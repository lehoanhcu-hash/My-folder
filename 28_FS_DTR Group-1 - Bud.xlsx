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Báo cáo Consolidate\Dữ liệu Thọ Share\"/>
    </mc:Choice>
  </mc:AlternateContent>
  <xr:revisionPtr revIDLastSave="0" documentId="13_ncr:1_{F19B6800-BE76-4971-A215-2E8A1E48F283}" xr6:coauthVersionLast="47" xr6:coauthVersionMax="47" xr10:uidLastSave="{00000000-0000-0000-0000-000000000000}"/>
  <bookViews>
    <workbookView xWindow="-110" yWindow="-110" windowWidth="19420" windowHeight="10300" activeTab="8" xr2:uid="{D973BC01-A481-4C42-8F06-3E9A46052ED5}"/>
  </bookViews>
  <sheets>
    <sheet name="PL DTRG" sheetId="1" r:id="rId1"/>
    <sheet name="PL DTR" sheetId="2" r:id="rId2"/>
    <sheet name="PL TRAM" sheetId="3" r:id="rId3"/>
    <sheet name="Dai loc" sheetId="4" r:id="rId4"/>
    <sheet name="KN" sheetId="6" r:id="rId5"/>
    <sheet name="DLam" sheetId="5" r:id="rId6"/>
    <sheet name="PL DTRG_Q" sheetId="12" r:id="rId7"/>
    <sheet name="PL DTR_Q" sheetId="11" r:id="rId8"/>
    <sheet name="PL 3Tram" sheetId="10" r:id="rId9"/>
    <sheet name="DaiLoc" sheetId="7" r:id="rId10"/>
    <sheet name="KNGA" sheetId="8" r:id="rId11"/>
    <sheet name="DongLam" sheetId="9" r:id="rId12"/>
  </sheets>
  <externalReferences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90" i="10" l="1"/>
  <c r="AD90" i="10"/>
  <c r="AC90" i="10"/>
  <c r="AB90" i="10"/>
  <c r="AA90" i="10"/>
  <c r="Z90" i="10"/>
  <c r="Y90" i="10"/>
  <c r="X90" i="10"/>
  <c r="W90" i="10"/>
  <c r="V90" i="10"/>
  <c r="U90" i="10"/>
  <c r="T90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Q67" i="10"/>
  <c r="P67" i="10"/>
  <c r="O67" i="10"/>
  <c r="N67" i="10"/>
  <c r="N152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AD80" i="10"/>
  <c r="AC80" i="10"/>
  <c r="AB80" i="10"/>
  <c r="AA80" i="10"/>
  <c r="Z80" i="10"/>
  <c r="Y80" i="10"/>
  <c r="X80" i="10"/>
  <c r="W80" i="10"/>
  <c r="V80" i="10"/>
  <c r="U80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R119" i="10"/>
  <c r="Q119" i="10"/>
  <c r="P119" i="10"/>
  <c r="O119" i="10"/>
  <c r="N119" i="10"/>
  <c r="R118" i="10"/>
  <c r="Q118" i="10"/>
  <c r="P118" i="10"/>
  <c r="O118" i="10"/>
  <c r="N118" i="10"/>
  <c r="R117" i="10"/>
  <c r="Q117" i="10"/>
  <c r="P117" i="10"/>
  <c r="O117" i="10"/>
  <c r="N117" i="10"/>
  <c r="R115" i="10"/>
  <c r="Q115" i="10"/>
  <c r="P115" i="10"/>
  <c r="O115" i="10"/>
  <c r="N115" i="10"/>
  <c r="R114" i="10"/>
  <c r="P114" i="10"/>
  <c r="O114" i="10"/>
  <c r="N114" i="10"/>
  <c r="Q111" i="10"/>
  <c r="P111" i="10"/>
  <c r="O111" i="10"/>
  <c r="N111" i="10"/>
  <c r="Q110" i="10"/>
  <c r="O110" i="10"/>
  <c r="N110" i="10"/>
  <c r="P109" i="10"/>
  <c r="O109" i="10"/>
  <c r="N109" i="10"/>
  <c r="R103" i="10"/>
  <c r="Q103" i="10"/>
  <c r="P103" i="10"/>
  <c r="O103" i="10"/>
  <c r="N103" i="10"/>
  <c r="R102" i="10"/>
  <c r="Q102" i="10"/>
  <c r="P102" i="10"/>
  <c r="O102" i="10"/>
  <c r="N102" i="10"/>
  <c r="R101" i="10"/>
  <c r="Q101" i="10"/>
  <c r="P101" i="10"/>
  <c r="O101" i="10"/>
  <c r="N101" i="10"/>
  <c r="R100" i="10"/>
  <c r="Q100" i="10"/>
  <c r="P100" i="10"/>
  <c r="O100" i="10"/>
  <c r="N100" i="10"/>
  <c r="R99" i="10"/>
  <c r="Q99" i="10"/>
  <c r="P99" i="10"/>
  <c r="O99" i="10"/>
  <c r="N99" i="10"/>
  <c r="R98" i="10"/>
  <c r="Q98" i="10"/>
  <c r="P98" i="10"/>
  <c r="O98" i="10"/>
  <c r="N98" i="10"/>
  <c r="P97" i="10"/>
  <c r="O97" i="10"/>
  <c r="N97" i="10"/>
  <c r="Q95" i="10"/>
  <c r="P95" i="10"/>
  <c r="O95" i="10"/>
  <c r="N95" i="10"/>
  <c r="Q94" i="10"/>
  <c r="P94" i="10"/>
  <c r="O94" i="10"/>
  <c r="N94" i="10"/>
  <c r="R92" i="10"/>
  <c r="P92" i="10"/>
  <c r="O92" i="10"/>
  <c r="N92" i="10"/>
  <c r="R91" i="10"/>
  <c r="P91" i="10"/>
  <c r="O91" i="10"/>
  <c r="N91" i="10"/>
  <c r="Q89" i="10"/>
  <c r="N89" i="10"/>
  <c r="Q88" i="10"/>
  <c r="R83" i="10"/>
  <c r="Q83" i="10"/>
  <c r="P83" i="10"/>
  <c r="O83" i="10"/>
  <c r="N83" i="10"/>
  <c r="Q82" i="10"/>
  <c r="O82" i="10"/>
  <c r="N82" i="10"/>
  <c r="Q80" i="10"/>
  <c r="O80" i="10"/>
  <c r="N80" i="10"/>
  <c r="Q79" i="10"/>
  <c r="O79" i="10"/>
  <c r="N79" i="10"/>
  <c r="Q78" i="10"/>
  <c r="O78" i="10"/>
  <c r="N78" i="10"/>
  <c r="R76" i="10"/>
  <c r="Q76" i="10"/>
  <c r="P76" i="10"/>
  <c r="O76" i="10"/>
  <c r="N76" i="10"/>
  <c r="Q75" i="10"/>
  <c r="O75" i="10"/>
  <c r="N75" i="10"/>
  <c r="R64" i="10"/>
  <c r="Q64" i="10"/>
  <c r="P64" i="10"/>
  <c r="O64" i="10"/>
  <c r="N64" i="10"/>
  <c r="Q63" i="10"/>
  <c r="P63" i="10"/>
  <c r="Q61" i="10"/>
  <c r="P61" i="10"/>
  <c r="O61" i="10"/>
  <c r="N61" i="10"/>
  <c r="Q60" i="10"/>
  <c r="P60" i="10"/>
  <c r="O60" i="10"/>
  <c r="N60" i="10"/>
  <c r="R18" i="10"/>
  <c r="Q18" i="10"/>
  <c r="P18" i="10"/>
  <c r="O18" i="10"/>
  <c r="N18" i="10"/>
  <c r="Q17" i="10"/>
  <c r="P17" i="10"/>
  <c r="O17" i="10"/>
  <c r="N17" i="10"/>
  <c r="Q16" i="10"/>
  <c r="P16" i="10"/>
  <c r="O16" i="10"/>
  <c r="N16" i="10"/>
  <c r="Q15" i="10"/>
  <c r="P15" i="10"/>
  <c r="O15" i="10"/>
  <c r="N15" i="10"/>
  <c r="Q14" i="10"/>
  <c r="P14" i="10"/>
  <c r="O14" i="10"/>
  <c r="N14" i="10"/>
  <c r="Q13" i="10"/>
  <c r="P13" i="10"/>
  <c r="O13" i="10"/>
  <c r="N13" i="10"/>
  <c r="AK154" i="12"/>
  <c r="AJ154" i="12"/>
  <c r="AI154" i="12"/>
  <c r="AH154" i="12"/>
  <c r="AG154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R148" i="12"/>
  <c r="R146" i="12"/>
  <c r="O146" i="12"/>
  <c r="N146" i="12"/>
  <c r="O145" i="12"/>
  <c r="N145" i="12"/>
  <c r="R141" i="12"/>
  <c r="AE140" i="12"/>
  <c r="AD140" i="12"/>
  <c r="AC140" i="12"/>
  <c r="AB140" i="12"/>
  <c r="AA140" i="12"/>
  <c r="Z140" i="12"/>
  <c r="Y140" i="12"/>
  <c r="X140" i="12"/>
  <c r="W140" i="12"/>
  <c r="U140" i="12"/>
  <c r="T140" i="12"/>
  <c r="Q140" i="12"/>
  <c r="P140" i="12"/>
  <c r="O140" i="12"/>
  <c r="N140" i="12"/>
  <c r="AE139" i="12"/>
  <c r="AD139" i="12"/>
  <c r="AC139" i="12"/>
  <c r="AB139" i="12"/>
  <c r="AA139" i="12"/>
  <c r="Z139" i="12"/>
  <c r="Y139" i="12"/>
  <c r="X139" i="12"/>
  <c r="W139" i="12"/>
  <c r="V139" i="12"/>
  <c r="U139" i="12"/>
  <c r="T139" i="12"/>
  <c r="R139" i="12"/>
  <c r="O135" i="12"/>
  <c r="N135" i="12"/>
  <c r="Q134" i="12"/>
  <c r="O134" i="12"/>
  <c r="Q133" i="12"/>
  <c r="O133" i="12"/>
  <c r="N133" i="12"/>
  <c r="Q132" i="12"/>
  <c r="O132" i="12"/>
  <c r="N132" i="12"/>
  <c r="Q131" i="12"/>
  <c r="O131" i="12"/>
  <c r="N131" i="12"/>
  <c r="Q130" i="12"/>
  <c r="O130" i="12"/>
  <c r="N130" i="12"/>
  <c r="O129" i="12"/>
  <c r="AE125" i="12"/>
  <c r="AD125" i="12"/>
  <c r="AC125" i="12"/>
  <c r="AB125" i="12"/>
  <c r="AA125" i="12"/>
  <c r="Z125" i="12"/>
  <c r="Y125" i="12"/>
  <c r="X125" i="12"/>
  <c r="W125" i="12"/>
  <c r="V125" i="12"/>
  <c r="U125" i="12"/>
  <c r="T125" i="12"/>
  <c r="AK122" i="12"/>
  <c r="AJ122" i="12"/>
  <c r="AI122" i="12"/>
  <c r="AH122" i="12"/>
  <c r="AG122" i="12"/>
  <c r="R121" i="12"/>
  <c r="R119" i="12"/>
  <c r="Q118" i="12"/>
  <c r="P118" i="12"/>
  <c r="Q117" i="12"/>
  <c r="Q116" i="12"/>
  <c r="O116" i="12"/>
  <c r="N116" i="12"/>
  <c r="M116" i="12"/>
  <c r="Q115" i="12"/>
  <c r="P115" i="12"/>
  <c r="R114" i="12"/>
  <c r="Q113" i="12"/>
  <c r="P113" i="12"/>
  <c r="O113" i="12"/>
  <c r="N113" i="12"/>
  <c r="M113" i="12"/>
  <c r="R112" i="12"/>
  <c r="P111" i="12"/>
  <c r="P109" i="12"/>
  <c r="O108" i="12"/>
  <c r="N108" i="12"/>
  <c r="M108" i="12"/>
  <c r="O107" i="12"/>
  <c r="N107" i="12"/>
  <c r="M107" i="12"/>
  <c r="R106" i="12"/>
  <c r="AK105" i="12"/>
  <c r="AJ105" i="12"/>
  <c r="AI105" i="12"/>
  <c r="AH105" i="12"/>
  <c r="AG105" i="12"/>
  <c r="R104" i="12"/>
  <c r="R103" i="12"/>
  <c r="R102" i="12"/>
  <c r="R101" i="12"/>
  <c r="AK100" i="12"/>
  <c r="AJ100" i="12"/>
  <c r="AI100" i="12"/>
  <c r="AH100" i="12"/>
  <c r="AG100" i="12"/>
  <c r="R100" i="12"/>
  <c r="Q100" i="12"/>
  <c r="P100" i="12"/>
  <c r="O100" i="12"/>
  <c r="N100" i="12"/>
  <c r="R99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R98" i="12"/>
  <c r="P98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R97" i="12"/>
  <c r="P97" i="12"/>
  <c r="AE96" i="12"/>
  <c r="AD96" i="12"/>
  <c r="AC96" i="12"/>
  <c r="AB96" i="12"/>
  <c r="AA96" i="12"/>
  <c r="Z96" i="12"/>
  <c r="Y96" i="12"/>
  <c r="X96" i="12"/>
  <c r="W96" i="12"/>
  <c r="V96" i="12"/>
  <c r="U96" i="12"/>
  <c r="T96" i="12"/>
  <c r="R96" i="12"/>
  <c r="Q96" i="12"/>
  <c r="P96" i="12"/>
  <c r="O96" i="12"/>
  <c r="N96" i="12"/>
  <c r="M96" i="12"/>
  <c r="P95" i="12"/>
  <c r="Q93" i="12"/>
  <c r="P93" i="12"/>
  <c r="O93" i="12"/>
  <c r="N93" i="12"/>
  <c r="M93" i="12"/>
  <c r="R92" i="12"/>
  <c r="P92" i="12"/>
  <c r="R91" i="12"/>
  <c r="P91" i="12"/>
  <c r="R90" i="12"/>
  <c r="P90" i="12"/>
  <c r="O90" i="12"/>
  <c r="N90" i="12"/>
  <c r="Q87" i="12"/>
  <c r="O87" i="12"/>
  <c r="N87" i="12"/>
  <c r="M87" i="12"/>
  <c r="Q86" i="12"/>
  <c r="O86" i="12"/>
  <c r="N86" i="12"/>
  <c r="M86" i="12"/>
  <c r="Q85" i="12"/>
  <c r="O85" i="12"/>
  <c r="N85" i="12"/>
  <c r="M85" i="12"/>
  <c r="R84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R83" i="12"/>
  <c r="P83" i="12"/>
  <c r="Q81" i="12"/>
  <c r="O81" i="12"/>
  <c r="N81" i="12"/>
  <c r="M81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R80" i="12"/>
  <c r="P80" i="12"/>
  <c r="M80" i="12"/>
  <c r="R79" i="12"/>
  <c r="P79" i="12"/>
  <c r="Q77" i="12"/>
  <c r="O77" i="12"/>
  <c r="N77" i="12"/>
  <c r="M77" i="12"/>
  <c r="R76" i="12"/>
  <c r="Q74" i="12"/>
  <c r="O74" i="12"/>
  <c r="N74" i="12"/>
  <c r="M74" i="12"/>
  <c r="Q73" i="12"/>
  <c r="O73" i="12"/>
  <c r="N73" i="12"/>
  <c r="M73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P72" i="12"/>
  <c r="O72" i="12"/>
  <c r="N72" i="12"/>
  <c r="AK62" i="12"/>
  <c r="AJ62" i="12"/>
  <c r="AI62" i="12"/>
  <c r="AH62" i="12"/>
  <c r="AG62" i="12"/>
  <c r="AK60" i="12"/>
  <c r="AJ60" i="12"/>
  <c r="AI60" i="12"/>
  <c r="AH60" i="12"/>
  <c r="AG60" i="12"/>
  <c r="Q60" i="12"/>
  <c r="R59" i="12"/>
  <c r="Q59" i="12"/>
  <c r="O59" i="12"/>
  <c r="N59" i="12"/>
  <c r="AK53" i="12"/>
  <c r="AJ53" i="12"/>
  <c r="AI53" i="12"/>
  <c r="AH53" i="12"/>
  <c r="AG53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R48" i="12"/>
  <c r="Q48" i="12"/>
  <c r="P48" i="12"/>
  <c r="O48" i="12"/>
  <c r="N48" i="12"/>
  <c r="O47" i="12"/>
  <c r="N47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R46" i="12"/>
  <c r="Q46" i="12"/>
  <c r="P46" i="12"/>
  <c r="O45" i="12"/>
  <c r="N45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Q44" i="12"/>
  <c r="P44" i="12"/>
  <c r="AK43" i="12"/>
  <c r="AJ43" i="12"/>
  <c r="AI43" i="12"/>
  <c r="AH43" i="12"/>
  <c r="AG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Q43" i="12"/>
  <c r="P43" i="12"/>
  <c r="O43" i="12"/>
  <c r="N43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R41" i="12"/>
  <c r="Q41" i="12"/>
  <c r="P41" i="12"/>
  <c r="O41" i="12"/>
  <c r="AK40" i="12"/>
  <c r="AJ40" i="12"/>
  <c r="AI40" i="12"/>
  <c r="AH40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R39" i="12"/>
  <c r="Q39" i="12"/>
  <c r="P39" i="12"/>
  <c r="O39" i="12"/>
  <c r="N39" i="12"/>
  <c r="N38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R37" i="12"/>
  <c r="Q37" i="12"/>
  <c r="P37" i="12"/>
  <c r="O37" i="12"/>
  <c r="AK36" i="12"/>
  <c r="AJ36" i="12"/>
  <c r="AI36" i="12"/>
  <c r="AH36" i="12"/>
  <c r="AG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R36" i="12"/>
  <c r="Q36" i="12"/>
  <c r="P36" i="12"/>
  <c r="O36" i="12"/>
  <c r="N36" i="12"/>
  <c r="AK32" i="12"/>
  <c r="AJ32" i="12"/>
  <c r="AI32" i="12"/>
  <c r="AH32" i="12"/>
  <c r="AG32" i="12"/>
  <c r="AK31" i="12"/>
  <c r="AJ31" i="12"/>
  <c r="AI31" i="12"/>
  <c r="AH31" i="12"/>
  <c r="AG31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R30" i="12"/>
  <c r="Q30" i="12"/>
  <c r="P30" i="12"/>
  <c r="O30" i="12"/>
  <c r="N30" i="12"/>
  <c r="AK29" i="12"/>
  <c r="AJ29" i="12"/>
  <c r="AI29" i="12"/>
  <c r="AH29" i="12"/>
  <c r="AG29" i="12"/>
  <c r="AK28" i="12"/>
  <c r="AJ28" i="12"/>
  <c r="AI28" i="12"/>
  <c r="AH28" i="12"/>
  <c r="AG28" i="12"/>
  <c r="N27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R26" i="12"/>
  <c r="Q26" i="12"/>
  <c r="P26" i="12"/>
  <c r="O26" i="12"/>
  <c r="N25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R24" i="12"/>
  <c r="Q24" i="12"/>
  <c r="P24" i="12"/>
  <c r="O24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R23" i="12"/>
  <c r="Q23" i="12"/>
  <c r="P23" i="12"/>
  <c r="O23" i="12"/>
  <c r="N23" i="12"/>
  <c r="AK20" i="12"/>
  <c r="AJ20" i="12"/>
  <c r="AI20" i="12"/>
  <c r="AH20" i="12"/>
  <c r="AG20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R15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R14" i="12"/>
  <c r="O14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R13" i="12"/>
  <c r="O13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Q12" i="12"/>
  <c r="P12" i="12"/>
  <c r="O12" i="12"/>
  <c r="N12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R10" i="12"/>
  <c r="Q10" i="12"/>
  <c r="P10" i="12"/>
  <c r="O10" i="12"/>
  <c r="N10" i="12"/>
  <c r="AE7" i="12"/>
  <c r="AD7" i="12"/>
  <c r="AC7" i="12"/>
  <c r="AB7" i="12"/>
  <c r="AA7" i="12"/>
  <c r="Z7" i="12"/>
  <c r="Y7" i="12"/>
  <c r="X7" i="12"/>
  <c r="W7" i="12"/>
  <c r="V7" i="12"/>
  <c r="U7" i="12"/>
  <c r="T7" i="12"/>
  <c r="R7" i="12"/>
  <c r="Q7" i="12"/>
  <c r="P7" i="12"/>
  <c r="O7" i="12"/>
  <c r="N7" i="12"/>
  <c r="AE5" i="12"/>
  <c r="AD5" i="12"/>
  <c r="AC5" i="12"/>
  <c r="AB5" i="12"/>
  <c r="AA5" i="12"/>
  <c r="Z5" i="12"/>
  <c r="Y5" i="12"/>
  <c r="X5" i="12"/>
  <c r="W5" i="12"/>
  <c r="V5" i="12"/>
  <c r="U5" i="12"/>
  <c r="T5" i="12"/>
  <c r="R5" i="12"/>
  <c r="Q5" i="12"/>
  <c r="P5" i="12"/>
  <c r="O5" i="12"/>
  <c r="N5" i="12"/>
  <c r="AE4" i="12"/>
  <c r="AD4" i="12"/>
  <c r="AC4" i="12"/>
  <c r="AB4" i="12"/>
  <c r="AA4" i="12"/>
  <c r="Z4" i="12"/>
  <c r="Y4" i="12"/>
  <c r="X4" i="12"/>
  <c r="W4" i="12"/>
  <c r="V4" i="12"/>
  <c r="U4" i="12"/>
  <c r="T4" i="12"/>
  <c r="P4" i="12"/>
  <c r="O4" i="12"/>
  <c r="N4" i="12"/>
  <c r="AK2" i="12"/>
  <c r="AJ2" i="12"/>
  <c r="AI2" i="12"/>
  <c r="AH2" i="12"/>
  <c r="AG2" i="12"/>
  <c r="R2" i="12"/>
  <c r="Q2" i="12"/>
  <c r="B1" i="12"/>
  <c r="AK154" i="11"/>
  <c r="AJ154" i="11"/>
  <c r="AI154" i="11"/>
  <c r="AH154" i="11"/>
  <c r="AG154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R148" i="11"/>
  <c r="R146" i="11"/>
  <c r="O146" i="11"/>
  <c r="N146" i="11"/>
  <c r="O145" i="11"/>
  <c r="N145" i="11"/>
  <c r="R141" i="11"/>
  <c r="AE140" i="11"/>
  <c r="AD140" i="11"/>
  <c r="AC140" i="11"/>
  <c r="AB140" i="11"/>
  <c r="AA140" i="11"/>
  <c r="Z140" i="11"/>
  <c r="Y140" i="11"/>
  <c r="X140" i="11"/>
  <c r="W140" i="11"/>
  <c r="U140" i="11"/>
  <c r="T140" i="11"/>
  <c r="Q140" i="11"/>
  <c r="P140" i="11"/>
  <c r="O140" i="11"/>
  <c r="N140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R139" i="11"/>
  <c r="O135" i="11"/>
  <c r="N135" i="11"/>
  <c r="Q134" i="11"/>
  <c r="O134" i="11"/>
  <c r="Q133" i="11"/>
  <c r="O133" i="11"/>
  <c r="N133" i="11"/>
  <c r="Q132" i="11"/>
  <c r="O132" i="11"/>
  <c r="N132" i="11"/>
  <c r="Q131" i="11"/>
  <c r="O131" i="11"/>
  <c r="N131" i="11"/>
  <c r="Q130" i="11"/>
  <c r="O130" i="11"/>
  <c r="N130" i="11"/>
  <c r="O129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AK122" i="11"/>
  <c r="AJ122" i="11"/>
  <c r="AI122" i="11"/>
  <c r="AH122" i="11"/>
  <c r="AG122" i="11"/>
  <c r="R121" i="11"/>
  <c r="R119" i="11"/>
  <c r="Q118" i="11"/>
  <c r="P118" i="11"/>
  <c r="V117" i="11"/>
  <c r="Q117" i="11"/>
  <c r="P117" i="11"/>
  <c r="Q116" i="11"/>
  <c r="O116" i="11"/>
  <c r="N116" i="11"/>
  <c r="M116" i="11"/>
  <c r="Q115" i="11"/>
  <c r="P115" i="11"/>
  <c r="R114" i="11"/>
  <c r="Q113" i="11"/>
  <c r="P113" i="11"/>
  <c r="O113" i="11"/>
  <c r="N113" i="11"/>
  <c r="M113" i="11"/>
  <c r="R112" i="11"/>
  <c r="P111" i="11"/>
  <c r="P109" i="11"/>
  <c r="O108" i="11"/>
  <c r="N108" i="11"/>
  <c r="M108" i="11"/>
  <c r="O107" i="11"/>
  <c r="N107" i="11"/>
  <c r="M107" i="11"/>
  <c r="R106" i="11"/>
  <c r="AK105" i="11"/>
  <c r="AJ105" i="11"/>
  <c r="AI105" i="11"/>
  <c r="AH105" i="11"/>
  <c r="AG105" i="11"/>
  <c r="R104" i="11"/>
  <c r="R103" i="11"/>
  <c r="R102" i="11"/>
  <c r="R101" i="11"/>
  <c r="AK100" i="11"/>
  <c r="AJ100" i="11"/>
  <c r="AI100" i="11"/>
  <c r="AH100" i="11"/>
  <c r="AG100" i="11"/>
  <c r="R100" i="11"/>
  <c r="Q100" i="11"/>
  <c r="P100" i="11"/>
  <c r="O100" i="11"/>
  <c r="N100" i="11"/>
  <c r="R99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R98" i="11"/>
  <c r="P98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R97" i="11"/>
  <c r="P97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R96" i="11"/>
  <c r="Q96" i="11"/>
  <c r="P96" i="11"/>
  <c r="O96" i="11"/>
  <c r="N96" i="11"/>
  <c r="M96" i="11"/>
  <c r="P95" i="11"/>
  <c r="Q93" i="11"/>
  <c r="P93" i="11"/>
  <c r="O93" i="11"/>
  <c r="N93" i="11"/>
  <c r="M93" i="11"/>
  <c r="R92" i="11"/>
  <c r="P92" i="11"/>
  <c r="R91" i="11"/>
  <c r="P91" i="11"/>
  <c r="R90" i="11"/>
  <c r="O90" i="11"/>
  <c r="N90" i="11"/>
  <c r="Q87" i="11"/>
  <c r="O87" i="11"/>
  <c r="N87" i="11"/>
  <c r="M87" i="11"/>
  <c r="Q86" i="11"/>
  <c r="O86" i="11"/>
  <c r="N86" i="11"/>
  <c r="M86" i="11"/>
  <c r="Q85" i="11"/>
  <c r="O85" i="11"/>
  <c r="N85" i="11"/>
  <c r="M85" i="11"/>
  <c r="R84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R83" i="11"/>
  <c r="P83" i="11"/>
  <c r="Q81" i="11"/>
  <c r="O81" i="11"/>
  <c r="N81" i="11"/>
  <c r="M81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R80" i="11"/>
  <c r="P80" i="11"/>
  <c r="M80" i="11"/>
  <c r="R79" i="11"/>
  <c r="P79" i="11"/>
  <c r="Q77" i="11"/>
  <c r="O77" i="11"/>
  <c r="N77" i="11"/>
  <c r="M77" i="11"/>
  <c r="R76" i="11"/>
  <c r="Q74" i="11"/>
  <c r="O74" i="11"/>
  <c r="N74" i="11"/>
  <c r="M74" i="11"/>
  <c r="Q73" i="11"/>
  <c r="O73" i="11"/>
  <c r="N73" i="11"/>
  <c r="M73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AK62" i="11"/>
  <c r="AJ62" i="11"/>
  <c r="AI62" i="11"/>
  <c r="AH62" i="11"/>
  <c r="AG62" i="11"/>
  <c r="AK60" i="11"/>
  <c r="AJ60" i="11"/>
  <c r="AI60" i="11"/>
  <c r="AH60" i="11"/>
  <c r="AG60" i="11"/>
  <c r="Q60" i="11"/>
  <c r="R59" i="11"/>
  <c r="Q59" i="11"/>
  <c r="O59" i="11"/>
  <c r="N59" i="11"/>
  <c r="AK53" i="11"/>
  <c r="AJ53" i="11"/>
  <c r="AI53" i="11"/>
  <c r="AH53" i="11"/>
  <c r="AG53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R48" i="11"/>
  <c r="Q48" i="11"/>
  <c r="P48" i="11"/>
  <c r="O48" i="11"/>
  <c r="N48" i="11"/>
  <c r="O47" i="11"/>
  <c r="N47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R46" i="11"/>
  <c r="Q46" i="11"/>
  <c r="P46" i="11"/>
  <c r="O45" i="11"/>
  <c r="N45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R44" i="11"/>
  <c r="Q44" i="11"/>
  <c r="P44" i="11"/>
  <c r="AK43" i="11"/>
  <c r="AJ43" i="11"/>
  <c r="AI43" i="11"/>
  <c r="AH43" i="11"/>
  <c r="AG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R43" i="11"/>
  <c r="Q43" i="11"/>
  <c r="P43" i="11"/>
  <c r="O43" i="11"/>
  <c r="N43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R41" i="11"/>
  <c r="Q41" i="11"/>
  <c r="P41" i="11"/>
  <c r="O41" i="11"/>
  <c r="AK40" i="11"/>
  <c r="AJ40" i="11"/>
  <c r="AI40" i="11"/>
  <c r="AH40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R39" i="11"/>
  <c r="Q39" i="11"/>
  <c r="P39" i="11"/>
  <c r="O39" i="11"/>
  <c r="N39" i="11"/>
  <c r="N38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R37" i="11"/>
  <c r="Q37" i="11"/>
  <c r="P37" i="11"/>
  <c r="O37" i="11"/>
  <c r="AK36" i="11"/>
  <c r="AJ36" i="11"/>
  <c r="AI36" i="11"/>
  <c r="AH36" i="11"/>
  <c r="AG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R36" i="11"/>
  <c r="Q36" i="11"/>
  <c r="P36" i="11"/>
  <c r="O36" i="11"/>
  <c r="N36" i="11"/>
  <c r="AK32" i="11"/>
  <c r="AJ32" i="11"/>
  <c r="AI32" i="11"/>
  <c r="AH32" i="11"/>
  <c r="AG32" i="11"/>
  <c r="AK31" i="11"/>
  <c r="AJ31" i="11"/>
  <c r="AI31" i="11"/>
  <c r="AH31" i="11"/>
  <c r="AG31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R30" i="11"/>
  <c r="Q30" i="11"/>
  <c r="P30" i="11"/>
  <c r="O30" i="11"/>
  <c r="N30" i="11"/>
  <c r="AK29" i="11"/>
  <c r="AJ29" i="11"/>
  <c r="AI29" i="11"/>
  <c r="AH29" i="11"/>
  <c r="AG29" i="11"/>
  <c r="AK28" i="11"/>
  <c r="AJ28" i="11"/>
  <c r="AI28" i="11"/>
  <c r="AH28" i="11"/>
  <c r="AG28" i="11"/>
  <c r="N27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R26" i="11"/>
  <c r="Q26" i="11"/>
  <c r="P26" i="11"/>
  <c r="O26" i="11"/>
  <c r="N25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R24" i="11"/>
  <c r="Q24" i="11"/>
  <c r="P24" i="11"/>
  <c r="O24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R23" i="11"/>
  <c r="Q23" i="11"/>
  <c r="P23" i="11"/>
  <c r="O23" i="11"/>
  <c r="N23" i="11"/>
  <c r="AK20" i="11"/>
  <c r="AJ20" i="11"/>
  <c r="AI20" i="11"/>
  <c r="AH20" i="11"/>
  <c r="AG20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R17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R16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O14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R13" i="11"/>
  <c r="O13" i="11"/>
  <c r="Q12" i="11"/>
  <c r="P12" i="11"/>
  <c r="O12" i="11"/>
  <c r="N12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R10" i="11"/>
  <c r="Q10" i="11"/>
  <c r="P10" i="11"/>
  <c r="O10" i="11"/>
  <c r="N10" i="11"/>
  <c r="AE7" i="11"/>
  <c r="AD7" i="11"/>
  <c r="AC7" i="11"/>
  <c r="AB7" i="11"/>
  <c r="AA7" i="11"/>
  <c r="Z7" i="11"/>
  <c r="Y7" i="11"/>
  <c r="X7" i="11"/>
  <c r="W7" i="11"/>
  <c r="V7" i="11"/>
  <c r="U7" i="11"/>
  <c r="T7" i="11"/>
  <c r="R7" i="11"/>
  <c r="Q7" i="11"/>
  <c r="P7" i="11"/>
  <c r="O7" i="11"/>
  <c r="N7" i="11"/>
  <c r="AE5" i="11"/>
  <c r="AD5" i="11"/>
  <c r="AC5" i="11"/>
  <c r="AB5" i="11"/>
  <c r="AA5" i="11"/>
  <c r="Z5" i="11"/>
  <c r="Y5" i="11"/>
  <c r="X5" i="11"/>
  <c r="W5" i="11"/>
  <c r="V5" i="11"/>
  <c r="U5" i="11"/>
  <c r="T5" i="11"/>
  <c r="R5" i="11"/>
  <c r="Q5" i="11"/>
  <c r="P5" i="11"/>
  <c r="O5" i="11"/>
  <c r="N5" i="11"/>
  <c r="AE4" i="11"/>
  <c r="AD4" i="11"/>
  <c r="AC4" i="11"/>
  <c r="AB4" i="11"/>
  <c r="AA4" i="11"/>
  <c r="Z4" i="11"/>
  <c r="Y4" i="11"/>
  <c r="X4" i="11"/>
  <c r="W4" i="11"/>
  <c r="V4" i="11"/>
  <c r="U4" i="11"/>
  <c r="T4" i="11"/>
  <c r="P4" i="11"/>
  <c r="O4" i="11"/>
  <c r="N4" i="11"/>
  <c r="AK2" i="11"/>
  <c r="AJ2" i="11"/>
  <c r="AI2" i="11"/>
  <c r="AH2" i="11"/>
  <c r="AG2" i="11"/>
  <c r="R2" i="11"/>
  <c r="Q2" i="11"/>
  <c r="B1" i="11"/>
  <c r="AK154" i="10"/>
  <c r="AJ154" i="10"/>
  <c r="AI154" i="10"/>
  <c r="AH154" i="10"/>
  <c r="AG154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AK122" i="10"/>
  <c r="AJ122" i="10"/>
  <c r="AI122" i="10"/>
  <c r="AH122" i="10"/>
  <c r="AG122" i="10"/>
  <c r="R121" i="10"/>
  <c r="M116" i="10"/>
  <c r="M113" i="10"/>
  <c r="R112" i="10"/>
  <c r="M108" i="10"/>
  <c r="M107" i="10"/>
  <c r="AK105" i="10"/>
  <c r="AJ105" i="10"/>
  <c r="AI105" i="10"/>
  <c r="AH105" i="10"/>
  <c r="AG105" i="10"/>
  <c r="R104" i="10"/>
  <c r="AK100" i="10"/>
  <c r="AJ100" i="10"/>
  <c r="AI100" i="10"/>
  <c r="AH100" i="10"/>
  <c r="AG100" i="10"/>
  <c r="P96" i="10"/>
  <c r="O96" i="10"/>
  <c r="N96" i="10"/>
  <c r="M96" i="10"/>
  <c r="M93" i="10"/>
  <c r="R90" i="10"/>
  <c r="P90" i="10"/>
  <c r="M87" i="10"/>
  <c r="R84" i="10"/>
  <c r="M81" i="10"/>
  <c r="M80" i="10"/>
  <c r="M77" i="10"/>
  <c r="M74" i="10"/>
  <c r="M73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AK62" i="10"/>
  <c r="AJ62" i="10"/>
  <c r="AI62" i="10"/>
  <c r="AH62" i="10"/>
  <c r="AG62" i="10"/>
  <c r="AK60" i="10"/>
  <c r="AJ60" i="10"/>
  <c r="AI60" i="10"/>
  <c r="AH60" i="10"/>
  <c r="AG60" i="10"/>
  <c r="R59" i="10"/>
  <c r="Q59" i="10"/>
  <c r="O59" i="10"/>
  <c r="N59" i="10"/>
  <c r="AK53" i="10"/>
  <c r="AJ53" i="10"/>
  <c r="AI53" i="10"/>
  <c r="AH53" i="10"/>
  <c r="AG53" i="10"/>
  <c r="AK43" i="10"/>
  <c r="AJ43" i="10"/>
  <c r="AI43" i="10"/>
  <c r="AH43" i="10"/>
  <c r="AG43" i="10"/>
  <c r="AK40" i="10"/>
  <c r="AJ40" i="10"/>
  <c r="AI40" i="10"/>
  <c r="AH40" i="10"/>
  <c r="AK36" i="10"/>
  <c r="AJ36" i="10"/>
  <c r="AI36" i="10"/>
  <c r="AH36" i="10"/>
  <c r="AG36" i="10"/>
  <c r="AK32" i="10"/>
  <c r="AJ32" i="10"/>
  <c r="AI32" i="10"/>
  <c r="AH32" i="10"/>
  <c r="AG32" i="10"/>
  <c r="AK31" i="10"/>
  <c r="AJ31" i="10"/>
  <c r="AI31" i="10"/>
  <c r="AH31" i="10"/>
  <c r="AG31" i="10"/>
  <c r="AK29" i="10"/>
  <c r="AJ29" i="10"/>
  <c r="AI29" i="10"/>
  <c r="AH29" i="10"/>
  <c r="AG29" i="10"/>
  <c r="AK28" i="10"/>
  <c r="AJ28" i="10"/>
  <c r="AI28" i="10"/>
  <c r="AH28" i="10"/>
  <c r="AG28" i="10"/>
  <c r="AK20" i="10"/>
  <c r="AJ20" i="10"/>
  <c r="AI20" i="10"/>
  <c r="AH20" i="10"/>
  <c r="AG20" i="10"/>
  <c r="AE4" i="10"/>
  <c r="AD4" i="10"/>
  <c r="AC4" i="10"/>
  <c r="AB4" i="10"/>
  <c r="AA4" i="10"/>
  <c r="Z4" i="10"/>
  <c r="Y4" i="10"/>
  <c r="X4" i="10"/>
  <c r="W4" i="10"/>
  <c r="V4" i="10"/>
  <c r="U4" i="10"/>
  <c r="T4" i="10"/>
  <c r="P4" i="10"/>
  <c r="O4" i="10"/>
  <c r="N4" i="10"/>
  <c r="AK2" i="10"/>
  <c r="AJ2" i="10"/>
  <c r="AI2" i="10"/>
  <c r="AH2" i="10"/>
  <c r="AG2" i="10"/>
  <c r="R2" i="10"/>
  <c r="Q2" i="10"/>
  <c r="B1" i="10"/>
  <c r="AK154" i="7"/>
  <c r="AJ154" i="7"/>
  <c r="AI154" i="7"/>
  <c r="AH154" i="7"/>
  <c r="AG154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R148" i="7"/>
  <c r="R146" i="7"/>
  <c r="O146" i="7"/>
  <c r="N146" i="7"/>
  <c r="O145" i="7"/>
  <c r="N145" i="7"/>
  <c r="R141" i="7"/>
  <c r="AE140" i="7"/>
  <c r="AD140" i="7"/>
  <c r="AC140" i="7"/>
  <c r="AB140" i="7"/>
  <c r="AA140" i="7"/>
  <c r="Z140" i="7"/>
  <c r="Y140" i="7"/>
  <c r="X140" i="7"/>
  <c r="W140" i="7"/>
  <c r="U140" i="7"/>
  <c r="T140" i="7"/>
  <c r="Q140" i="7"/>
  <c r="P140" i="7"/>
  <c r="O140" i="7"/>
  <c r="N140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R139" i="7"/>
  <c r="O135" i="7"/>
  <c r="N135" i="7"/>
  <c r="Q134" i="7"/>
  <c r="O134" i="7"/>
  <c r="Q133" i="7"/>
  <c r="O133" i="7"/>
  <c r="N133" i="7"/>
  <c r="Q132" i="7"/>
  <c r="O132" i="7"/>
  <c r="N132" i="7"/>
  <c r="Q131" i="7"/>
  <c r="O131" i="7"/>
  <c r="N131" i="7"/>
  <c r="Q130" i="7"/>
  <c r="O130" i="7"/>
  <c r="N130" i="7"/>
  <c r="O129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AK122" i="7"/>
  <c r="AJ122" i="7"/>
  <c r="AI122" i="7"/>
  <c r="AH122" i="7"/>
  <c r="AG122" i="7"/>
  <c r="R121" i="7"/>
  <c r="R119" i="7"/>
  <c r="Q118" i="7"/>
  <c r="P118" i="7"/>
  <c r="Q117" i="7"/>
  <c r="P117" i="7"/>
  <c r="Q116" i="7"/>
  <c r="O116" i="7"/>
  <c r="N116" i="7"/>
  <c r="M116" i="7"/>
  <c r="Q115" i="7"/>
  <c r="P115" i="7"/>
  <c r="R114" i="7"/>
  <c r="Q113" i="7"/>
  <c r="P113" i="7"/>
  <c r="O113" i="7"/>
  <c r="N113" i="7"/>
  <c r="M113" i="7"/>
  <c r="R112" i="7"/>
  <c r="P111" i="7"/>
  <c r="P109" i="7"/>
  <c r="O108" i="7"/>
  <c r="N108" i="7"/>
  <c r="M108" i="7"/>
  <c r="O107" i="7"/>
  <c r="N107" i="7"/>
  <c r="M107" i="7"/>
  <c r="R106" i="7"/>
  <c r="AK105" i="7"/>
  <c r="AJ105" i="7"/>
  <c r="AI105" i="7"/>
  <c r="AH105" i="7"/>
  <c r="AG105" i="7"/>
  <c r="R104" i="7"/>
  <c r="R103" i="7"/>
  <c r="R102" i="7"/>
  <c r="R101" i="7"/>
  <c r="AK100" i="7"/>
  <c r="AJ100" i="7"/>
  <c r="AI100" i="7"/>
  <c r="AH100" i="7"/>
  <c r="AG100" i="7"/>
  <c r="R100" i="7"/>
  <c r="Q100" i="7"/>
  <c r="P100" i="7"/>
  <c r="O100" i="7"/>
  <c r="N100" i="7"/>
  <c r="R99" i="7"/>
  <c r="AE98" i="7"/>
  <c r="AD98" i="7"/>
  <c r="AC98" i="7"/>
  <c r="AB98" i="7"/>
  <c r="AA98" i="7"/>
  <c r="Z98" i="7"/>
  <c r="Y98" i="7"/>
  <c r="X98" i="7"/>
  <c r="W98" i="7"/>
  <c r="V98" i="7"/>
  <c r="U98" i="7"/>
  <c r="T98" i="7"/>
  <c r="R98" i="7"/>
  <c r="P98" i="7"/>
  <c r="AE97" i="7"/>
  <c r="AD97" i="7"/>
  <c r="AC97" i="7"/>
  <c r="AB97" i="7"/>
  <c r="AA97" i="7"/>
  <c r="Z97" i="7"/>
  <c r="Y97" i="7"/>
  <c r="X97" i="7"/>
  <c r="W97" i="7"/>
  <c r="V97" i="7"/>
  <c r="U97" i="7"/>
  <c r="T97" i="7"/>
  <c r="R97" i="7"/>
  <c r="P97" i="7"/>
  <c r="AE96" i="7"/>
  <c r="AD96" i="7"/>
  <c r="AC96" i="7"/>
  <c r="AB96" i="7"/>
  <c r="AA96" i="7"/>
  <c r="Z96" i="7"/>
  <c r="Y96" i="7"/>
  <c r="X96" i="7"/>
  <c r="W96" i="7"/>
  <c r="V96" i="7"/>
  <c r="U96" i="7"/>
  <c r="T96" i="7"/>
  <c r="R96" i="7"/>
  <c r="Q96" i="7"/>
  <c r="P96" i="7"/>
  <c r="O96" i="7"/>
  <c r="N96" i="7"/>
  <c r="M96" i="7"/>
  <c r="P95" i="7"/>
  <c r="Q93" i="7"/>
  <c r="P93" i="7"/>
  <c r="O93" i="7"/>
  <c r="N93" i="7"/>
  <c r="M93" i="7"/>
  <c r="R92" i="7"/>
  <c r="P92" i="7"/>
  <c r="R91" i="7"/>
  <c r="P91" i="7"/>
  <c r="R90" i="7"/>
  <c r="P90" i="7"/>
  <c r="O90" i="7"/>
  <c r="N90" i="7"/>
  <c r="Q87" i="7"/>
  <c r="O87" i="7"/>
  <c r="N87" i="7"/>
  <c r="M87" i="7"/>
  <c r="Q86" i="7"/>
  <c r="O86" i="7"/>
  <c r="N86" i="7"/>
  <c r="M86" i="7"/>
  <c r="Q85" i="7"/>
  <c r="O85" i="7"/>
  <c r="N85" i="7"/>
  <c r="M85" i="7"/>
  <c r="R84" i="7"/>
  <c r="AE83" i="7"/>
  <c r="AD83" i="7"/>
  <c r="AC83" i="7"/>
  <c r="AB83" i="7"/>
  <c r="AA83" i="7"/>
  <c r="Z83" i="7"/>
  <c r="Y83" i="7"/>
  <c r="X83" i="7"/>
  <c r="W83" i="7"/>
  <c r="V83" i="7"/>
  <c r="U83" i="7"/>
  <c r="T83" i="7"/>
  <c r="R83" i="7"/>
  <c r="P83" i="7"/>
  <c r="Q81" i="7"/>
  <c r="O81" i="7"/>
  <c r="N81" i="7"/>
  <c r="M81" i="7"/>
  <c r="AE80" i="7"/>
  <c r="AD80" i="7"/>
  <c r="AC80" i="7"/>
  <c r="AB80" i="7"/>
  <c r="AA80" i="7"/>
  <c r="Z80" i="7"/>
  <c r="Y80" i="7"/>
  <c r="X80" i="7"/>
  <c r="W80" i="7"/>
  <c r="V80" i="7"/>
  <c r="U80" i="7"/>
  <c r="T80" i="7"/>
  <c r="R80" i="7"/>
  <c r="P80" i="7"/>
  <c r="M80" i="7"/>
  <c r="R79" i="7"/>
  <c r="P79" i="7"/>
  <c r="Q77" i="7"/>
  <c r="O77" i="7"/>
  <c r="N77" i="7"/>
  <c r="R76" i="7"/>
  <c r="Q74" i="7"/>
  <c r="O74" i="7"/>
  <c r="N74" i="7"/>
  <c r="M74" i="7"/>
  <c r="AE72" i="7"/>
  <c r="AD72" i="7"/>
  <c r="AC72" i="7"/>
  <c r="AB72" i="7"/>
  <c r="AA72" i="7"/>
  <c r="Z72" i="7"/>
  <c r="Y72" i="7"/>
  <c r="X72" i="7"/>
  <c r="W72" i="7"/>
  <c r="V72" i="7"/>
  <c r="U72" i="7"/>
  <c r="T72" i="7"/>
  <c r="AK62" i="7"/>
  <c r="AJ62" i="7"/>
  <c r="AI62" i="7"/>
  <c r="AH62" i="7"/>
  <c r="AG62" i="7"/>
  <c r="AK60" i="7"/>
  <c r="AJ60" i="7"/>
  <c r="AI60" i="7"/>
  <c r="AH60" i="7"/>
  <c r="AG60" i="7"/>
  <c r="Q60" i="7"/>
  <c r="R59" i="7"/>
  <c r="Q59" i="7"/>
  <c r="O59" i="7"/>
  <c r="N59" i="7"/>
  <c r="AK53" i="7"/>
  <c r="AJ53" i="7"/>
  <c r="AI53" i="7"/>
  <c r="AH53" i="7"/>
  <c r="AG53" i="7"/>
  <c r="AE48" i="7"/>
  <c r="AD48" i="7"/>
  <c r="AC48" i="7"/>
  <c r="AB48" i="7"/>
  <c r="AA48" i="7"/>
  <c r="Z48" i="7"/>
  <c r="Y48" i="7"/>
  <c r="X48" i="7"/>
  <c r="W48" i="7"/>
  <c r="V48" i="7"/>
  <c r="U48" i="7"/>
  <c r="T48" i="7"/>
  <c r="R48" i="7"/>
  <c r="Q48" i="7"/>
  <c r="P48" i="7"/>
  <c r="O48" i="7"/>
  <c r="N48" i="7"/>
  <c r="O47" i="7"/>
  <c r="N47" i="7"/>
  <c r="AE46" i="7"/>
  <c r="AD46" i="7"/>
  <c r="AC46" i="7"/>
  <c r="AB46" i="7"/>
  <c r="AA46" i="7"/>
  <c r="Z46" i="7"/>
  <c r="Y46" i="7"/>
  <c r="X46" i="7"/>
  <c r="W46" i="7"/>
  <c r="V46" i="7"/>
  <c r="U46" i="7"/>
  <c r="T46" i="7"/>
  <c r="R46" i="7"/>
  <c r="Q46" i="7"/>
  <c r="P46" i="7"/>
  <c r="O45" i="7"/>
  <c r="N45" i="7"/>
  <c r="AE44" i="7"/>
  <c r="AD44" i="7"/>
  <c r="AC44" i="7"/>
  <c r="AB44" i="7"/>
  <c r="AA44" i="7"/>
  <c r="Z44" i="7"/>
  <c r="Y44" i="7"/>
  <c r="X44" i="7"/>
  <c r="W44" i="7"/>
  <c r="V44" i="7"/>
  <c r="U44" i="7"/>
  <c r="T44" i="7"/>
  <c r="R44" i="7"/>
  <c r="Q44" i="7"/>
  <c r="P44" i="7"/>
  <c r="AK43" i="7"/>
  <c r="AJ43" i="7"/>
  <c r="AI43" i="7"/>
  <c r="AH43" i="7"/>
  <c r="AG43" i="7"/>
  <c r="AE43" i="7"/>
  <c r="AD43" i="7"/>
  <c r="AC43" i="7"/>
  <c r="AB43" i="7"/>
  <c r="AA43" i="7"/>
  <c r="Z43" i="7"/>
  <c r="Y43" i="7"/>
  <c r="X43" i="7"/>
  <c r="W43" i="7"/>
  <c r="V43" i="7"/>
  <c r="U43" i="7"/>
  <c r="T43" i="7"/>
  <c r="R43" i="7"/>
  <c r="Q43" i="7"/>
  <c r="P43" i="7"/>
  <c r="O43" i="7"/>
  <c r="N43" i="7"/>
  <c r="AE41" i="7"/>
  <c r="AD41" i="7"/>
  <c r="AC41" i="7"/>
  <c r="AB41" i="7"/>
  <c r="AA41" i="7"/>
  <c r="Z41" i="7"/>
  <c r="Y41" i="7"/>
  <c r="X41" i="7"/>
  <c r="W41" i="7"/>
  <c r="V41" i="7"/>
  <c r="U41" i="7"/>
  <c r="T41" i="7"/>
  <c r="R41" i="7"/>
  <c r="Q41" i="7"/>
  <c r="P41" i="7"/>
  <c r="O41" i="7"/>
  <c r="AK40" i="7"/>
  <c r="AJ40" i="7"/>
  <c r="AI40" i="7"/>
  <c r="AH40" i="7"/>
  <c r="AE39" i="7"/>
  <c r="AD39" i="7"/>
  <c r="AC39" i="7"/>
  <c r="AB39" i="7"/>
  <c r="AA39" i="7"/>
  <c r="Z39" i="7"/>
  <c r="Y39" i="7"/>
  <c r="X39" i="7"/>
  <c r="W39" i="7"/>
  <c r="V39" i="7"/>
  <c r="U39" i="7"/>
  <c r="T39" i="7"/>
  <c r="R39" i="7"/>
  <c r="Q39" i="7"/>
  <c r="P39" i="7"/>
  <c r="O39" i="7"/>
  <c r="N39" i="7"/>
  <c r="N38" i="7"/>
  <c r="AE37" i="7"/>
  <c r="AD37" i="7"/>
  <c r="AC37" i="7"/>
  <c r="AB37" i="7"/>
  <c r="AA37" i="7"/>
  <c r="Z37" i="7"/>
  <c r="Y37" i="7"/>
  <c r="X37" i="7"/>
  <c r="W37" i="7"/>
  <c r="V37" i="7"/>
  <c r="U37" i="7"/>
  <c r="T37" i="7"/>
  <c r="R37" i="7"/>
  <c r="Q37" i="7"/>
  <c r="P37" i="7"/>
  <c r="O37" i="7"/>
  <c r="AK36" i="7"/>
  <c r="AJ36" i="7"/>
  <c r="AI36" i="7"/>
  <c r="AH36" i="7"/>
  <c r="AG36" i="7"/>
  <c r="AE36" i="7"/>
  <c r="AD36" i="7"/>
  <c r="AC36" i="7"/>
  <c r="AB36" i="7"/>
  <c r="AA36" i="7"/>
  <c r="Z36" i="7"/>
  <c r="Y36" i="7"/>
  <c r="X36" i="7"/>
  <c r="W36" i="7"/>
  <c r="V36" i="7"/>
  <c r="U36" i="7"/>
  <c r="T36" i="7"/>
  <c r="R36" i="7"/>
  <c r="Q36" i="7"/>
  <c r="P36" i="7"/>
  <c r="O36" i="7"/>
  <c r="N36" i="7"/>
  <c r="AK32" i="7"/>
  <c r="AJ32" i="7"/>
  <c r="AI32" i="7"/>
  <c r="AH32" i="7"/>
  <c r="AG32" i="7"/>
  <c r="AK31" i="7"/>
  <c r="AJ31" i="7"/>
  <c r="AI31" i="7"/>
  <c r="AH31" i="7"/>
  <c r="AG31" i="7"/>
  <c r="AE30" i="7"/>
  <c r="AD30" i="7"/>
  <c r="AC30" i="7"/>
  <c r="AB30" i="7"/>
  <c r="AA30" i="7"/>
  <c r="Z30" i="7"/>
  <c r="Y30" i="7"/>
  <c r="X30" i="7"/>
  <c r="W30" i="7"/>
  <c r="V30" i="7"/>
  <c r="U30" i="7"/>
  <c r="T30" i="7"/>
  <c r="R30" i="7"/>
  <c r="Q30" i="7"/>
  <c r="P30" i="7"/>
  <c r="O30" i="7"/>
  <c r="N30" i="7"/>
  <c r="AK29" i="7"/>
  <c r="AJ29" i="7"/>
  <c r="AI29" i="7"/>
  <c r="AH29" i="7"/>
  <c r="AG29" i="7"/>
  <c r="AK28" i="7"/>
  <c r="AJ28" i="7"/>
  <c r="AI28" i="7"/>
  <c r="AH28" i="7"/>
  <c r="AG28" i="7"/>
  <c r="N27" i="7"/>
  <c r="AE26" i="7"/>
  <c r="AD26" i="7"/>
  <c r="AC26" i="7"/>
  <c r="AB26" i="7"/>
  <c r="AA26" i="7"/>
  <c r="Z26" i="7"/>
  <c r="Y26" i="7"/>
  <c r="X26" i="7"/>
  <c r="W26" i="7"/>
  <c r="V26" i="7"/>
  <c r="U26" i="7"/>
  <c r="T26" i="7"/>
  <c r="R26" i="7"/>
  <c r="Q26" i="7"/>
  <c r="P26" i="7"/>
  <c r="O26" i="7"/>
  <c r="N25" i="7"/>
  <c r="AE24" i="7"/>
  <c r="AD24" i="7"/>
  <c r="AC24" i="7"/>
  <c r="AB24" i="7"/>
  <c r="AA24" i="7"/>
  <c r="Z24" i="7"/>
  <c r="Y24" i="7"/>
  <c r="X24" i="7"/>
  <c r="W24" i="7"/>
  <c r="V24" i="7"/>
  <c r="U24" i="7"/>
  <c r="T24" i="7"/>
  <c r="R24" i="7"/>
  <c r="Q24" i="7"/>
  <c r="P24" i="7"/>
  <c r="O24" i="7"/>
  <c r="AE23" i="7"/>
  <c r="AD23" i="7"/>
  <c r="AC23" i="7"/>
  <c r="AB23" i="7"/>
  <c r="AA23" i="7"/>
  <c r="Z23" i="7"/>
  <c r="Y23" i="7"/>
  <c r="X23" i="7"/>
  <c r="W23" i="7"/>
  <c r="V23" i="7"/>
  <c r="U23" i="7"/>
  <c r="T23" i="7"/>
  <c r="R23" i="7"/>
  <c r="Q23" i="7"/>
  <c r="P23" i="7"/>
  <c r="O23" i="7"/>
  <c r="N23" i="7"/>
  <c r="AK20" i="7"/>
  <c r="AJ20" i="7"/>
  <c r="AI20" i="7"/>
  <c r="AH20" i="7"/>
  <c r="AG20" i="7"/>
  <c r="AE17" i="7"/>
  <c r="AD17" i="7"/>
  <c r="AC17" i="7"/>
  <c r="AB17" i="7"/>
  <c r="AA17" i="7"/>
  <c r="Z17" i="7"/>
  <c r="Y17" i="7"/>
  <c r="X17" i="7"/>
  <c r="W17" i="7"/>
  <c r="V17" i="7"/>
  <c r="U17" i="7"/>
  <c r="T17" i="7"/>
  <c r="R17" i="7"/>
  <c r="AE16" i="7"/>
  <c r="AD16" i="7"/>
  <c r="AC16" i="7"/>
  <c r="AB16" i="7"/>
  <c r="AA16" i="7"/>
  <c r="Z16" i="7"/>
  <c r="Y16" i="7"/>
  <c r="X16" i="7"/>
  <c r="W16" i="7"/>
  <c r="V16" i="7"/>
  <c r="U16" i="7"/>
  <c r="T16" i="7"/>
  <c r="R16" i="7"/>
  <c r="AE15" i="7"/>
  <c r="AD15" i="7"/>
  <c r="AC15" i="7"/>
  <c r="AB15" i="7"/>
  <c r="AA15" i="7"/>
  <c r="Z15" i="7"/>
  <c r="Y15" i="7"/>
  <c r="X15" i="7"/>
  <c r="W15" i="7"/>
  <c r="V15" i="7"/>
  <c r="U15" i="7"/>
  <c r="T15" i="7"/>
  <c r="R15" i="7"/>
  <c r="AE14" i="7"/>
  <c r="AD14" i="7"/>
  <c r="AC14" i="7"/>
  <c r="AB14" i="7"/>
  <c r="AA14" i="7"/>
  <c r="Z14" i="7"/>
  <c r="Y14" i="7"/>
  <c r="X14" i="7"/>
  <c r="W14" i="7"/>
  <c r="V14" i="7"/>
  <c r="U14" i="7"/>
  <c r="T14" i="7"/>
  <c r="R14" i="7"/>
  <c r="O14" i="7"/>
  <c r="AE13" i="7"/>
  <c r="AD13" i="7"/>
  <c r="AC13" i="7"/>
  <c r="AB13" i="7"/>
  <c r="AA13" i="7"/>
  <c r="Z13" i="7"/>
  <c r="Y13" i="7"/>
  <c r="X13" i="7"/>
  <c r="W13" i="7"/>
  <c r="V13" i="7"/>
  <c r="U13" i="7"/>
  <c r="T13" i="7"/>
  <c r="R13" i="7"/>
  <c r="O13" i="7"/>
  <c r="AE12" i="7"/>
  <c r="AD12" i="7"/>
  <c r="AC12" i="7"/>
  <c r="AB12" i="7"/>
  <c r="AA12" i="7"/>
  <c r="Z12" i="7"/>
  <c r="Y12" i="7"/>
  <c r="X12" i="7"/>
  <c r="W12" i="7"/>
  <c r="V12" i="7"/>
  <c r="U12" i="7"/>
  <c r="T12" i="7"/>
  <c r="R12" i="7"/>
  <c r="Q12" i="7"/>
  <c r="P12" i="7"/>
  <c r="O12" i="7"/>
  <c r="N12" i="7"/>
  <c r="AE10" i="7"/>
  <c r="AD10" i="7"/>
  <c r="AC10" i="7"/>
  <c r="AB10" i="7"/>
  <c r="AA10" i="7"/>
  <c r="Z10" i="7"/>
  <c r="Y10" i="7"/>
  <c r="X10" i="7"/>
  <c r="W10" i="7"/>
  <c r="V10" i="7"/>
  <c r="U10" i="7"/>
  <c r="T10" i="7"/>
  <c r="R10" i="7"/>
  <c r="Q10" i="7"/>
  <c r="P10" i="7"/>
  <c r="O10" i="7"/>
  <c r="N10" i="7"/>
  <c r="AE7" i="7"/>
  <c r="AD7" i="7"/>
  <c r="AC7" i="7"/>
  <c r="AB7" i="7"/>
  <c r="AA7" i="7"/>
  <c r="Z7" i="7"/>
  <c r="Y7" i="7"/>
  <c r="X7" i="7"/>
  <c r="W7" i="7"/>
  <c r="V7" i="7"/>
  <c r="U7" i="7"/>
  <c r="T7" i="7"/>
  <c r="R7" i="7"/>
  <c r="Q7" i="7"/>
  <c r="P7" i="7"/>
  <c r="O7" i="7"/>
  <c r="N7" i="7"/>
  <c r="AE5" i="7"/>
  <c r="AD5" i="7"/>
  <c r="AC5" i="7"/>
  <c r="AB5" i="7"/>
  <c r="AA5" i="7"/>
  <c r="Z5" i="7"/>
  <c r="Y5" i="7"/>
  <c r="X5" i="7"/>
  <c r="W5" i="7"/>
  <c r="V5" i="7"/>
  <c r="U5" i="7"/>
  <c r="T5" i="7"/>
  <c r="R5" i="7"/>
  <c r="Q5" i="7"/>
  <c r="P5" i="7"/>
  <c r="O5" i="7"/>
  <c r="N5" i="7"/>
  <c r="AE4" i="7"/>
  <c r="AD4" i="7"/>
  <c r="AC4" i="7"/>
  <c r="AB4" i="7"/>
  <c r="AA4" i="7"/>
  <c r="Z4" i="7"/>
  <c r="Y4" i="7"/>
  <c r="X4" i="7"/>
  <c r="W4" i="7"/>
  <c r="V4" i="7"/>
  <c r="U4" i="7"/>
  <c r="T4" i="7"/>
  <c r="P4" i="7"/>
  <c r="O4" i="7"/>
  <c r="N4" i="7"/>
  <c r="AK2" i="7"/>
  <c r="AJ2" i="7"/>
  <c r="AI2" i="7"/>
  <c r="AH2" i="7"/>
  <c r="AG2" i="7"/>
  <c r="S2" i="7"/>
  <c r="R2" i="7"/>
  <c r="Q2" i="7"/>
  <c r="B1" i="7"/>
  <c r="AK154" i="9"/>
  <c r="AJ154" i="9"/>
  <c r="AI154" i="9"/>
  <c r="AH154" i="9"/>
  <c r="AG154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R148" i="9"/>
  <c r="Q148" i="9"/>
  <c r="P148" i="9"/>
  <c r="O148" i="9"/>
  <c r="N148" i="9"/>
  <c r="P147" i="9"/>
  <c r="O147" i="9"/>
  <c r="R146" i="9"/>
  <c r="P146" i="9"/>
  <c r="O146" i="9"/>
  <c r="N146" i="9"/>
  <c r="O145" i="9"/>
  <c r="O142" i="9"/>
  <c r="N142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R140" i="9"/>
  <c r="Q140" i="9"/>
  <c r="P140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R139" i="9"/>
  <c r="R135" i="9"/>
  <c r="R134" i="9"/>
  <c r="N130" i="9"/>
  <c r="Q129" i="9"/>
  <c r="O129" i="9"/>
  <c r="N129" i="9"/>
  <c r="O128" i="9"/>
  <c r="N128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AK122" i="9"/>
  <c r="AJ122" i="9"/>
  <c r="AI122" i="9"/>
  <c r="AH122" i="9"/>
  <c r="AG122" i="9"/>
  <c r="R121" i="9"/>
  <c r="R119" i="9"/>
  <c r="Q118" i="9"/>
  <c r="Q117" i="9"/>
  <c r="P117" i="9"/>
  <c r="O116" i="9"/>
  <c r="N116" i="9"/>
  <c r="Q115" i="9"/>
  <c r="R114" i="9"/>
  <c r="Q114" i="9"/>
  <c r="Q113" i="9"/>
  <c r="P113" i="9"/>
  <c r="N113" i="9"/>
  <c r="R112" i="9"/>
  <c r="T111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R110" i="9"/>
  <c r="P110" i="9"/>
  <c r="T109" i="9"/>
  <c r="Q109" i="9"/>
  <c r="T108" i="9"/>
  <c r="Q108" i="9"/>
  <c r="P108" i="9"/>
  <c r="O108" i="9"/>
  <c r="N108" i="9"/>
  <c r="Q107" i="9"/>
  <c r="P107" i="9"/>
  <c r="O107" i="9"/>
  <c r="N107" i="9"/>
  <c r="R106" i="9"/>
  <c r="AK105" i="9"/>
  <c r="AJ105" i="9"/>
  <c r="AI105" i="9"/>
  <c r="AH105" i="9"/>
  <c r="AG105" i="9"/>
  <c r="R104" i="9"/>
  <c r="R103" i="9"/>
  <c r="R102" i="9"/>
  <c r="R101" i="9"/>
  <c r="AK100" i="9"/>
  <c r="AJ100" i="9"/>
  <c r="AI100" i="9"/>
  <c r="AH100" i="9"/>
  <c r="AG100" i="9"/>
  <c r="R100" i="9"/>
  <c r="Q100" i="9"/>
  <c r="P100" i="9"/>
  <c r="O100" i="9"/>
  <c r="N100" i="9"/>
  <c r="R99" i="9"/>
  <c r="AE98" i="9"/>
  <c r="AD98" i="9"/>
  <c r="AC98" i="9"/>
  <c r="AB98" i="9"/>
  <c r="AA98" i="9"/>
  <c r="Z98" i="9"/>
  <c r="Y98" i="9"/>
  <c r="X98" i="9"/>
  <c r="W98" i="9"/>
  <c r="V98" i="9"/>
  <c r="U98" i="9"/>
  <c r="T98" i="9"/>
  <c r="R98" i="9"/>
  <c r="AE97" i="9"/>
  <c r="AD97" i="9"/>
  <c r="AC97" i="9"/>
  <c r="AB97" i="9"/>
  <c r="AA97" i="9"/>
  <c r="Z97" i="9"/>
  <c r="Y97" i="9"/>
  <c r="X97" i="9"/>
  <c r="W97" i="9"/>
  <c r="V97" i="9"/>
  <c r="U97" i="9"/>
  <c r="T97" i="9"/>
  <c r="R97" i="9"/>
  <c r="Q97" i="9"/>
  <c r="AE96" i="9"/>
  <c r="AD96" i="9"/>
  <c r="AC96" i="9"/>
  <c r="AB96" i="9"/>
  <c r="AA96" i="9"/>
  <c r="Z96" i="9"/>
  <c r="Y96" i="9"/>
  <c r="X96" i="9"/>
  <c r="W96" i="9"/>
  <c r="V96" i="9"/>
  <c r="U96" i="9"/>
  <c r="T96" i="9"/>
  <c r="Q96" i="9"/>
  <c r="P96" i="9"/>
  <c r="O96" i="9"/>
  <c r="N96" i="9"/>
  <c r="AE95" i="9"/>
  <c r="AD95" i="9"/>
  <c r="AC95" i="9"/>
  <c r="AB95" i="9"/>
  <c r="AA95" i="9"/>
  <c r="Z95" i="9"/>
  <c r="Y95" i="9"/>
  <c r="X95" i="9"/>
  <c r="W95" i="9"/>
  <c r="V95" i="9"/>
  <c r="U95" i="9"/>
  <c r="T95" i="9"/>
  <c r="AE94" i="9"/>
  <c r="AD94" i="9"/>
  <c r="AC94" i="9"/>
  <c r="AB94" i="9"/>
  <c r="AA94" i="9"/>
  <c r="Z94" i="9"/>
  <c r="Y94" i="9"/>
  <c r="X94" i="9"/>
  <c r="W94" i="9"/>
  <c r="V94" i="9"/>
  <c r="U94" i="9"/>
  <c r="T94" i="9"/>
  <c r="R94" i="9"/>
  <c r="AE93" i="9"/>
  <c r="AD93" i="9"/>
  <c r="AC93" i="9"/>
  <c r="AB93" i="9"/>
  <c r="AA93" i="9"/>
  <c r="Z93" i="9"/>
  <c r="Y93" i="9"/>
  <c r="X93" i="9"/>
  <c r="W93" i="9"/>
  <c r="V93" i="9"/>
  <c r="U93" i="9"/>
  <c r="T93" i="9"/>
  <c r="Q93" i="9"/>
  <c r="P93" i="9"/>
  <c r="R92" i="9"/>
  <c r="Q92" i="9"/>
  <c r="R91" i="9"/>
  <c r="Q91" i="9"/>
  <c r="R90" i="9"/>
  <c r="Q90" i="9"/>
  <c r="P90" i="9"/>
  <c r="O90" i="9"/>
  <c r="N90" i="9"/>
  <c r="P89" i="9"/>
  <c r="AE88" i="9"/>
  <c r="AD88" i="9"/>
  <c r="AC88" i="9"/>
  <c r="AB88" i="9"/>
  <c r="AA88" i="9"/>
  <c r="Z88" i="9"/>
  <c r="Y88" i="9"/>
  <c r="X88" i="9"/>
  <c r="W88" i="9"/>
  <c r="V88" i="9"/>
  <c r="U88" i="9"/>
  <c r="T88" i="9"/>
  <c r="R88" i="9"/>
  <c r="P88" i="9"/>
  <c r="Q87" i="9"/>
  <c r="Q86" i="9"/>
  <c r="O86" i="9"/>
  <c r="N86" i="9"/>
  <c r="Q85" i="9"/>
  <c r="O85" i="9"/>
  <c r="N85" i="9"/>
  <c r="R84" i="9"/>
  <c r="AE83" i="9"/>
  <c r="AD83" i="9"/>
  <c r="AC83" i="9"/>
  <c r="AB83" i="9"/>
  <c r="AA83" i="9"/>
  <c r="Z83" i="9"/>
  <c r="Y83" i="9"/>
  <c r="X83" i="9"/>
  <c r="W83" i="9"/>
  <c r="V83" i="9"/>
  <c r="U83" i="9"/>
  <c r="T83" i="9"/>
  <c r="R83" i="9"/>
  <c r="P83" i="9"/>
  <c r="AE82" i="9"/>
  <c r="AD82" i="9"/>
  <c r="AC82" i="9"/>
  <c r="AB82" i="9"/>
  <c r="AA82" i="9"/>
  <c r="Z82" i="9"/>
  <c r="Y82" i="9"/>
  <c r="X82" i="9"/>
  <c r="W82" i="9"/>
  <c r="V82" i="9"/>
  <c r="U82" i="9"/>
  <c r="T82" i="9"/>
  <c r="R82" i="9"/>
  <c r="P82" i="9"/>
  <c r="AE81" i="9"/>
  <c r="AD81" i="9"/>
  <c r="AC81" i="9"/>
  <c r="AB81" i="9"/>
  <c r="AA81" i="9"/>
  <c r="Z81" i="9"/>
  <c r="Y81" i="9"/>
  <c r="X81" i="9"/>
  <c r="W81" i="9"/>
  <c r="V81" i="9"/>
  <c r="U81" i="9"/>
  <c r="T81" i="9"/>
  <c r="R81" i="9"/>
  <c r="Q81" i="9"/>
  <c r="P81" i="9"/>
  <c r="O81" i="9"/>
  <c r="N81" i="9"/>
  <c r="Q80" i="9"/>
  <c r="P80" i="9"/>
  <c r="AE79" i="9"/>
  <c r="AD79" i="9"/>
  <c r="AC79" i="9"/>
  <c r="AB79" i="9"/>
  <c r="AA79" i="9"/>
  <c r="Z79" i="9"/>
  <c r="Y79" i="9"/>
  <c r="X79" i="9"/>
  <c r="W79" i="9"/>
  <c r="V79" i="9"/>
  <c r="U79" i="9"/>
  <c r="T79" i="9"/>
  <c r="R79" i="9"/>
  <c r="P79" i="9"/>
  <c r="AE78" i="9"/>
  <c r="AD78" i="9"/>
  <c r="AC78" i="9"/>
  <c r="AB78" i="9"/>
  <c r="AA78" i="9"/>
  <c r="Z78" i="9"/>
  <c r="Y78" i="9"/>
  <c r="X78" i="9"/>
  <c r="W78" i="9"/>
  <c r="V78" i="9"/>
  <c r="U78" i="9"/>
  <c r="T78" i="9"/>
  <c r="R78" i="9"/>
  <c r="P78" i="9"/>
  <c r="Q77" i="9"/>
  <c r="P77" i="9"/>
  <c r="O77" i="9"/>
  <c r="N77" i="9"/>
  <c r="R76" i="9"/>
  <c r="Q74" i="9"/>
  <c r="O74" i="9"/>
  <c r="N74" i="9"/>
  <c r="Q73" i="9"/>
  <c r="O73" i="9"/>
  <c r="N73" i="9"/>
  <c r="AE72" i="9"/>
  <c r="AD72" i="9"/>
  <c r="AC72" i="9"/>
  <c r="AB72" i="9"/>
  <c r="AA72" i="9"/>
  <c r="Z72" i="9"/>
  <c r="Y72" i="9"/>
  <c r="X72" i="9"/>
  <c r="W72" i="9"/>
  <c r="V72" i="9"/>
  <c r="U72" i="9"/>
  <c r="T72" i="9"/>
  <c r="R63" i="9"/>
  <c r="O63" i="9"/>
  <c r="N63" i="9"/>
  <c r="AK62" i="9"/>
  <c r="AJ62" i="9"/>
  <c r="AI62" i="9"/>
  <c r="AH62" i="9"/>
  <c r="AG62" i="9"/>
  <c r="AK60" i="9"/>
  <c r="AJ60" i="9"/>
  <c r="AI60" i="9"/>
  <c r="AH60" i="9"/>
  <c r="AG60" i="9"/>
  <c r="Q60" i="9"/>
  <c r="P60" i="9"/>
  <c r="O60" i="9"/>
  <c r="N60" i="9"/>
  <c r="AE57" i="9"/>
  <c r="AD57" i="9"/>
  <c r="AC57" i="9"/>
  <c r="AB57" i="9"/>
  <c r="AA57" i="9"/>
  <c r="Z57" i="9"/>
  <c r="Y57" i="9"/>
  <c r="X57" i="9"/>
  <c r="W57" i="9"/>
  <c r="V57" i="9"/>
  <c r="U57" i="9"/>
  <c r="T57" i="9"/>
  <c r="R57" i="9"/>
  <c r="Q57" i="9"/>
  <c r="P57" i="9"/>
  <c r="O57" i="9"/>
  <c r="N57" i="9"/>
  <c r="AE48" i="9"/>
  <c r="AD48" i="9"/>
  <c r="AC48" i="9"/>
  <c r="AB48" i="9"/>
  <c r="AA48" i="9"/>
  <c r="Z48" i="9"/>
  <c r="Y48" i="9"/>
  <c r="X48" i="9"/>
  <c r="W48" i="9"/>
  <c r="V48" i="9"/>
  <c r="U48" i="9"/>
  <c r="T48" i="9"/>
  <c r="R48" i="9"/>
  <c r="Q48" i="9"/>
  <c r="P48" i="9"/>
  <c r="O48" i="9"/>
  <c r="N48" i="9"/>
  <c r="AE46" i="9"/>
  <c r="AD46" i="9"/>
  <c r="AC46" i="9"/>
  <c r="AB46" i="9"/>
  <c r="AA46" i="9"/>
  <c r="Z46" i="9"/>
  <c r="Y46" i="9"/>
  <c r="X46" i="9"/>
  <c r="W46" i="9"/>
  <c r="V46" i="9"/>
  <c r="U46" i="9"/>
  <c r="T46" i="9"/>
  <c r="R46" i="9"/>
  <c r="Q46" i="9"/>
  <c r="P46" i="9"/>
  <c r="O46" i="9"/>
  <c r="N46" i="9"/>
  <c r="AE44" i="9"/>
  <c r="AD44" i="9"/>
  <c r="AC44" i="9"/>
  <c r="AB44" i="9"/>
  <c r="AA44" i="9"/>
  <c r="Z44" i="9"/>
  <c r="Y44" i="9"/>
  <c r="X44" i="9"/>
  <c r="W44" i="9"/>
  <c r="V44" i="9"/>
  <c r="U44" i="9"/>
  <c r="T44" i="9"/>
  <c r="R44" i="9"/>
  <c r="Q44" i="9"/>
  <c r="P44" i="9"/>
  <c r="O44" i="9"/>
  <c r="N44" i="9"/>
  <c r="AK43" i="9"/>
  <c r="AJ43" i="9"/>
  <c r="AI43" i="9"/>
  <c r="AH43" i="9"/>
  <c r="AG43" i="9"/>
  <c r="AE43" i="9"/>
  <c r="AD43" i="9"/>
  <c r="AB43" i="9"/>
  <c r="AA43" i="9"/>
  <c r="Z43" i="9"/>
  <c r="Y43" i="9"/>
  <c r="X43" i="9"/>
  <c r="W43" i="9"/>
  <c r="V43" i="9"/>
  <c r="U43" i="9"/>
  <c r="T43" i="9"/>
  <c r="Q43" i="9"/>
  <c r="P43" i="9"/>
  <c r="O43" i="9"/>
  <c r="N43" i="9"/>
  <c r="AE41" i="9"/>
  <c r="AD41" i="9"/>
  <c r="AC41" i="9"/>
  <c r="AB41" i="9"/>
  <c r="AA41" i="9"/>
  <c r="Z41" i="9"/>
  <c r="Y41" i="9"/>
  <c r="X41" i="9"/>
  <c r="W41" i="9"/>
  <c r="V41" i="9"/>
  <c r="U41" i="9"/>
  <c r="T41" i="9"/>
  <c r="R41" i="9"/>
  <c r="Q41" i="9"/>
  <c r="P41" i="9"/>
  <c r="O41" i="9"/>
  <c r="N41" i="9"/>
  <c r="AK40" i="9"/>
  <c r="AJ40" i="9"/>
  <c r="AI40" i="9"/>
  <c r="AH40" i="9"/>
  <c r="AE39" i="9"/>
  <c r="AD39" i="9"/>
  <c r="AC39" i="9"/>
  <c r="AB39" i="9"/>
  <c r="AA39" i="9"/>
  <c r="Z39" i="9"/>
  <c r="Y39" i="9"/>
  <c r="X39" i="9"/>
  <c r="W39" i="9"/>
  <c r="V39" i="9"/>
  <c r="U39" i="9"/>
  <c r="T39" i="9"/>
  <c r="R39" i="9"/>
  <c r="Q39" i="9"/>
  <c r="P39" i="9"/>
  <c r="O39" i="9"/>
  <c r="N39" i="9"/>
  <c r="AE37" i="9"/>
  <c r="AD37" i="9"/>
  <c r="AC37" i="9"/>
  <c r="AB37" i="9"/>
  <c r="AA37" i="9"/>
  <c r="Z37" i="9"/>
  <c r="Y37" i="9"/>
  <c r="X37" i="9"/>
  <c r="W37" i="9"/>
  <c r="V37" i="9"/>
  <c r="U37" i="9"/>
  <c r="T37" i="9"/>
  <c r="R37" i="9"/>
  <c r="Q37" i="9"/>
  <c r="P37" i="9"/>
  <c r="O37" i="9"/>
  <c r="N37" i="9"/>
  <c r="AK36" i="9"/>
  <c r="AJ36" i="9"/>
  <c r="AI36" i="9"/>
  <c r="AH36" i="9"/>
  <c r="AG36" i="9"/>
  <c r="AE36" i="9"/>
  <c r="AD36" i="9"/>
  <c r="AC36" i="9"/>
  <c r="AB36" i="9"/>
  <c r="AA36" i="9"/>
  <c r="Z36" i="9"/>
  <c r="Y36" i="9"/>
  <c r="X36" i="9"/>
  <c r="AK30" i="9"/>
  <c r="AJ30" i="9"/>
  <c r="AI30" i="9"/>
  <c r="AH30" i="9"/>
  <c r="AG30" i="9"/>
  <c r="AE30" i="9"/>
  <c r="AD30" i="9"/>
  <c r="AC30" i="9"/>
  <c r="AB30" i="9"/>
  <c r="AA30" i="9"/>
  <c r="Z30" i="9"/>
  <c r="Y30" i="9"/>
  <c r="X30" i="9"/>
  <c r="W30" i="9"/>
  <c r="V30" i="9"/>
  <c r="U30" i="9"/>
  <c r="T30" i="9"/>
  <c r="R30" i="9"/>
  <c r="Q30" i="9"/>
  <c r="P30" i="9"/>
  <c r="O30" i="9"/>
  <c r="N30" i="9"/>
  <c r="AK29" i="9"/>
  <c r="AJ29" i="9"/>
  <c r="AI29" i="9"/>
  <c r="AH29" i="9"/>
  <c r="AG29" i="9"/>
  <c r="AK28" i="9"/>
  <c r="AJ28" i="9"/>
  <c r="AI28" i="9"/>
  <c r="AH28" i="9"/>
  <c r="AG28" i="9"/>
  <c r="AE26" i="9"/>
  <c r="AD26" i="9"/>
  <c r="AC26" i="9"/>
  <c r="AB26" i="9"/>
  <c r="AA26" i="9"/>
  <c r="Z26" i="9"/>
  <c r="Y26" i="9"/>
  <c r="X26" i="9"/>
  <c r="W26" i="9"/>
  <c r="V26" i="9"/>
  <c r="U26" i="9"/>
  <c r="T26" i="9"/>
  <c r="R26" i="9"/>
  <c r="Q26" i="9"/>
  <c r="P26" i="9"/>
  <c r="O26" i="9"/>
  <c r="N26" i="9"/>
  <c r="AE24" i="9"/>
  <c r="AD24" i="9"/>
  <c r="AC24" i="9"/>
  <c r="AB24" i="9"/>
  <c r="AA24" i="9"/>
  <c r="Z24" i="9"/>
  <c r="Y24" i="9"/>
  <c r="X24" i="9"/>
  <c r="W24" i="9"/>
  <c r="V24" i="9"/>
  <c r="U24" i="9"/>
  <c r="T24" i="9"/>
  <c r="R24" i="9"/>
  <c r="Q24" i="9"/>
  <c r="P24" i="9"/>
  <c r="O24" i="9"/>
  <c r="N24" i="9"/>
  <c r="AD23" i="9"/>
  <c r="AC23" i="9"/>
  <c r="AB23" i="9"/>
  <c r="AA23" i="9"/>
  <c r="Z23" i="9"/>
  <c r="Y23" i="9"/>
  <c r="X23" i="9"/>
  <c r="W23" i="9"/>
  <c r="V23" i="9"/>
  <c r="U23" i="9"/>
  <c r="T23" i="9"/>
  <c r="Q23" i="9"/>
  <c r="P23" i="9"/>
  <c r="O23" i="9"/>
  <c r="N23" i="9"/>
  <c r="AK20" i="9"/>
  <c r="AJ20" i="9"/>
  <c r="AI20" i="9"/>
  <c r="AH20" i="9"/>
  <c r="AG20" i="9"/>
  <c r="AE17" i="9"/>
  <c r="AD17" i="9"/>
  <c r="AC17" i="9"/>
  <c r="AB17" i="9"/>
  <c r="AA17" i="9"/>
  <c r="Z17" i="9"/>
  <c r="Y17" i="9"/>
  <c r="X17" i="9"/>
  <c r="W17" i="9"/>
  <c r="V17" i="9"/>
  <c r="U17" i="9"/>
  <c r="T17" i="9"/>
  <c r="R17" i="9"/>
  <c r="P17" i="9"/>
  <c r="AE16" i="9"/>
  <c r="AD16" i="9"/>
  <c r="AC16" i="9"/>
  <c r="AB16" i="9"/>
  <c r="AA16" i="9"/>
  <c r="Z16" i="9"/>
  <c r="Y16" i="9"/>
  <c r="X16" i="9"/>
  <c r="W16" i="9"/>
  <c r="V16" i="9"/>
  <c r="U16" i="9"/>
  <c r="T16" i="9"/>
  <c r="R16" i="9"/>
  <c r="AE15" i="9"/>
  <c r="AD15" i="9"/>
  <c r="AC15" i="9"/>
  <c r="AB15" i="9"/>
  <c r="AA15" i="9"/>
  <c r="Z15" i="9"/>
  <c r="Y15" i="9"/>
  <c r="X15" i="9"/>
  <c r="W15" i="9"/>
  <c r="V15" i="9"/>
  <c r="U15" i="9"/>
  <c r="T15" i="9"/>
  <c r="R15" i="9"/>
  <c r="AE14" i="9"/>
  <c r="AD14" i="9"/>
  <c r="AC14" i="9"/>
  <c r="AB14" i="9"/>
  <c r="AA14" i="9"/>
  <c r="Z14" i="9"/>
  <c r="Y14" i="9"/>
  <c r="X14" i="9"/>
  <c r="W14" i="9"/>
  <c r="V14" i="9"/>
  <c r="U14" i="9"/>
  <c r="T14" i="9"/>
  <c r="R14" i="9"/>
  <c r="Q14" i="9"/>
  <c r="P14" i="9"/>
  <c r="AE13" i="9"/>
  <c r="AD13" i="9"/>
  <c r="AC13" i="9"/>
  <c r="AB13" i="9"/>
  <c r="AA13" i="9"/>
  <c r="Z13" i="9"/>
  <c r="Y13" i="9"/>
  <c r="X13" i="9"/>
  <c r="W13" i="9"/>
  <c r="V13" i="9"/>
  <c r="U13" i="9"/>
  <c r="T13" i="9"/>
  <c r="R13" i="9"/>
  <c r="AE12" i="9"/>
  <c r="AD12" i="9"/>
  <c r="AC12" i="9"/>
  <c r="AB12" i="9"/>
  <c r="AA12" i="9"/>
  <c r="Z12" i="9"/>
  <c r="Y12" i="9"/>
  <c r="X12" i="9"/>
  <c r="W12" i="9"/>
  <c r="V12" i="9"/>
  <c r="U12" i="9"/>
  <c r="T12" i="9"/>
  <c r="R12" i="9"/>
  <c r="Q12" i="9"/>
  <c r="P12" i="9"/>
  <c r="O12" i="9"/>
  <c r="N12" i="9"/>
  <c r="AE10" i="9"/>
  <c r="AD10" i="9"/>
  <c r="AC10" i="9"/>
  <c r="AB10" i="9"/>
  <c r="AA10" i="9"/>
  <c r="Z10" i="9"/>
  <c r="Y10" i="9"/>
  <c r="X10" i="9"/>
  <c r="W10" i="9"/>
  <c r="V10" i="9"/>
  <c r="U10" i="9"/>
  <c r="T10" i="9"/>
  <c r="R10" i="9"/>
  <c r="Q10" i="9"/>
  <c r="P10" i="9"/>
  <c r="O10" i="9"/>
  <c r="N10" i="9"/>
  <c r="AE7" i="9"/>
  <c r="AD7" i="9"/>
  <c r="AC7" i="9"/>
  <c r="AB7" i="9"/>
  <c r="AA7" i="9"/>
  <c r="Z7" i="9"/>
  <c r="Y7" i="9"/>
  <c r="X7" i="9"/>
  <c r="W7" i="9"/>
  <c r="V7" i="9"/>
  <c r="U7" i="9"/>
  <c r="T7" i="9"/>
  <c r="R7" i="9"/>
  <c r="Q7" i="9"/>
  <c r="P7" i="9"/>
  <c r="O7" i="9"/>
  <c r="N7" i="9"/>
  <c r="AE5" i="9"/>
  <c r="AD5" i="9"/>
  <c r="AC5" i="9"/>
  <c r="AB5" i="9"/>
  <c r="AA5" i="9"/>
  <c r="Z5" i="9"/>
  <c r="Y5" i="9"/>
  <c r="X5" i="9"/>
  <c r="W5" i="9"/>
  <c r="V5" i="9"/>
  <c r="U5" i="9"/>
  <c r="T5" i="9"/>
  <c r="R5" i="9"/>
  <c r="Q5" i="9"/>
  <c r="P5" i="9"/>
  <c r="O5" i="9"/>
  <c r="N5" i="9"/>
  <c r="AE4" i="9"/>
  <c r="AD4" i="9"/>
  <c r="AC4" i="9"/>
  <c r="AB4" i="9"/>
  <c r="AA4" i="9"/>
  <c r="Z4" i="9"/>
  <c r="Y4" i="9"/>
  <c r="X4" i="9"/>
  <c r="W4" i="9"/>
  <c r="V4" i="9"/>
  <c r="U4" i="9"/>
  <c r="T4" i="9"/>
  <c r="P4" i="9"/>
  <c r="O4" i="9"/>
  <c r="N4" i="9"/>
  <c r="AK2" i="9"/>
  <c r="AJ2" i="9"/>
  <c r="AI2" i="9"/>
  <c r="AH2" i="9"/>
  <c r="AG2" i="9"/>
  <c r="R2" i="9"/>
  <c r="Q2" i="9"/>
  <c r="B1" i="9"/>
  <c r="AK154" i="8"/>
  <c r="AJ154" i="8"/>
  <c r="AI154" i="8"/>
  <c r="AH154" i="8"/>
  <c r="AG154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R148" i="8"/>
  <c r="Q148" i="8"/>
  <c r="P148" i="8"/>
  <c r="O148" i="8"/>
  <c r="N148" i="8"/>
  <c r="P147" i="8"/>
  <c r="O147" i="8"/>
  <c r="R146" i="8"/>
  <c r="P146" i="8"/>
  <c r="O146" i="8"/>
  <c r="N146" i="8"/>
  <c r="N145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R140" i="8"/>
  <c r="Q140" i="8"/>
  <c r="P140" i="8"/>
  <c r="O140" i="8"/>
  <c r="N140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R139" i="8"/>
  <c r="R135" i="8"/>
  <c r="O135" i="8"/>
  <c r="N135" i="8"/>
  <c r="R134" i="8"/>
  <c r="Q133" i="8"/>
  <c r="O133" i="8"/>
  <c r="N133" i="8"/>
  <c r="Q132" i="8"/>
  <c r="O132" i="8"/>
  <c r="N132" i="8"/>
  <c r="Q131" i="8"/>
  <c r="O131" i="8"/>
  <c r="N131" i="8"/>
  <c r="O130" i="8"/>
  <c r="N130" i="8"/>
  <c r="AE125" i="8"/>
  <c r="AD125" i="8"/>
  <c r="AC125" i="8"/>
  <c r="AB125" i="8"/>
  <c r="AA125" i="8"/>
  <c r="Z125" i="8"/>
  <c r="Y125" i="8"/>
  <c r="X125" i="8"/>
  <c r="W125" i="8"/>
  <c r="V125" i="8"/>
  <c r="U125" i="8"/>
  <c r="T125" i="8"/>
  <c r="AK122" i="8"/>
  <c r="AJ122" i="8"/>
  <c r="AI122" i="8"/>
  <c r="AH122" i="8"/>
  <c r="AG122" i="8"/>
  <c r="R121" i="8"/>
  <c r="R119" i="8"/>
  <c r="Q118" i="8"/>
  <c r="O117" i="8"/>
  <c r="Q115" i="8"/>
  <c r="R114" i="8"/>
  <c r="Q114" i="8"/>
  <c r="Q113" i="8"/>
  <c r="P113" i="8"/>
  <c r="N113" i="8"/>
  <c r="R112" i="8"/>
  <c r="R111" i="8"/>
  <c r="P111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R110" i="8"/>
  <c r="P110" i="8"/>
  <c r="T109" i="8"/>
  <c r="Q109" i="8"/>
  <c r="T108" i="8"/>
  <c r="Q108" i="8"/>
  <c r="P108" i="8"/>
  <c r="O108" i="8"/>
  <c r="N108" i="8"/>
  <c r="Q107" i="8"/>
  <c r="P107" i="8"/>
  <c r="O107" i="8"/>
  <c r="N107" i="8"/>
  <c r="R106" i="8"/>
  <c r="AK105" i="8"/>
  <c r="AJ105" i="8"/>
  <c r="AI105" i="8"/>
  <c r="AH105" i="8"/>
  <c r="AG105" i="8"/>
  <c r="R104" i="8"/>
  <c r="R103" i="8"/>
  <c r="R102" i="8"/>
  <c r="R101" i="8"/>
  <c r="AK100" i="8"/>
  <c r="AJ100" i="8"/>
  <c r="AI100" i="8"/>
  <c r="AH100" i="8"/>
  <c r="AG100" i="8"/>
  <c r="R100" i="8"/>
  <c r="P100" i="8"/>
  <c r="O100" i="8"/>
  <c r="N100" i="8"/>
  <c r="R99" i="8"/>
  <c r="Q98" i="8"/>
  <c r="P98" i="8"/>
  <c r="AE97" i="8"/>
  <c r="AD97" i="8"/>
  <c r="AC97" i="8"/>
  <c r="AB97" i="8"/>
  <c r="AA97" i="8"/>
  <c r="Z97" i="8"/>
  <c r="Y97" i="8"/>
  <c r="X97" i="8"/>
  <c r="W97" i="8"/>
  <c r="V97" i="8"/>
  <c r="U97" i="8"/>
  <c r="T97" i="8"/>
  <c r="R97" i="8"/>
  <c r="Q97" i="8"/>
  <c r="AE96" i="8"/>
  <c r="AD96" i="8"/>
  <c r="AC96" i="8"/>
  <c r="AB96" i="8"/>
  <c r="AA96" i="8"/>
  <c r="Z96" i="8"/>
  <c r="Y96" i="8"/>
  <c r="X96" i="8"/>
  <c r="W96" i="8"/>
  <c r="V96" i="8"/>
  <c r="U96" i="8"/>
  <c r="T96" i="8"/>
  <c r="R96" i="8"/>
  <c r="Q96" i="8"/>
  <c r="P96" i="8"/>
  <c r="O96" i="8"/>
  <c r="N96" i="8"/>
  <c r="AE95" i="8"/>
  <c r="AD95" i="8"/>
  <c r="AC95" i="8"/>
  <c r="AB95" i="8"/>
  <c r="AA95" i="8"/>
  <c r="Z95" i="8"/>
  <c r="Y95" i="8"/>
  <c r="X95" i="8"/>
  <c r="W95" i="8"/>
  <c r="V95" i="8"/>
  <c r="U95" i="8"/>
  <c r="T95" i="8"/>
  <c r="R95" i="8"/>
  <c r="AE94" i="8"/>
  <c r="AD94" i="8"/>
  <c r="AC94" i="8"/>
  <c r="AB94" i="8"/>
  <c r="AA94" i="8"/>
  <c r="Z94" i="8"/>
  <c r="Y94" i="8"/>
  <c r="X94" i="8"/>
  <c r="W94" i="8"/>
  <c r="V94" i="8"/>
  <c r="U94" i="8"/>
  <c r="T94" i="8"/>
  <c r="R94" i="8"/>
  <c r="AE93" i="8"/>
  <c r="AD93" i="8"/>
  <c r="AC93" i="8"/>
  <c r="AB93" i="8"/>
  <c r="AA93" i="8"/>
  <c r="Z93" i="8"/>
  <c r="Y93" i="8"/>
  <c r="X93" i="8"/>
  <c r="W93" i="8"/>
  <c r="V93" i="8"/>
  <c r="U93" i="8"/>
  <c r="T93" i="8"/>
  <c r="R93" i="8"/>
  <c r="Q93" i="8"/>
  <c r="P93" i="8"/>
  <c r="O93" i="8"/>
  <c r="N93" i="8"/>
  <c r="R92" i="8"/>
  <c r="Q92" i="8"/>
  <c r="R91" i="8"/>
  <c r="Q91" i="8"/>
  <c r="R90" i="8"/>
  <c r="Q90" i="8"/>
  <c r="P90" i="8"/>
  <c r="O90" i="8"/>
  <c r="N90" i="8"/>
  <c r="AE89" i="8"/>
  <c r="AD89" i="8"/>
  <c r="AC89" i="8"/>
  <c r="AB89" i="8"/>
  <c r="AA89" i="8"/>
  <c r="Z89" i="8"/>
  <c r="Y89" i="8"/>
  <c r="X89" i="8"/>
  <c r="W89" i="8"/>
  <c r="V89" i="8"/>
  <c r="U89" i="8"/>
  <c r="T89" i="8"/>
  <c r="R89" i="8"/>
  <c r="O89" i="8"/>
  <c r="AE88" i="8"/>
  <c r="AD88" i="8"/>
  <c r="AC88" i="8"/>
  <c r="AB88" i="8"/>
  <c r="AA88" i="8"/>
  <c r="Z88" i="8"/>
  <c r="Y88" i="8"/>
  <c r="X88" i="8"/>
  <c r="W88" i="8"/>
  <c r="V88" i="8"/>
  <c r="U88" i="8"/>
  <c r="T88" i="8"/>
  <c r="R88" i="8"/>
  <c r="N88" i="8"/>
  <c r="AE87" i="8"/>
  <c r="AD87" i="8"/>
  <c r="AC87" i="8"/>
  <c r="AB87" i="8"/>
  <c r="AA87" i="8"/>
  <c r="Z87" i="8"/>
  <c r="Y87" i="8"/>
  <c r="X87" i="8"/>
  <c r="W87" i="8"/>
  <c r="V87" i="8"/>
  <c r="U87" i="8"/>
  <c r="T87" i="8"/>
  <c r="R87" i="8"/>
  <c r="Q87" i="8"/>
  <c r="N87" i="8"/>
  <c r="AE86" i="8"/>
  <c r="AD86" i="8"/>
  <c r="AC86" i="8"/>
  <c r="AB86" i="8"/>
  <c r="AA86" i="8"/>
  <c r="Z86" i="8"/>
  <c r="Y86" i="8"/>
  <c r="X86" i="8"/>
  <c r="W86" i="8"/>
  <c r="V86" i="8"/>
  <c r="U86" i="8"/>
  <c r="T86" i="8"/>
  <c r="R86" i="8"/>
  <c r="Q86" i="8"/>
  <c r="N86" i="8"/>
  <c r="N85" i="8"/>
  <c r="R84" i="8"/>
  <c r="AE83" i="8"/>
  <c r="AD83" i="8"/>
  <c r="AC83" i="8"/>
  <c r="AB83" i="8"/>
  <c r="AA83" i="8"/>
  <c r="Z83" i="8"/>
  <c r="Y83" i="8"/>
  <c r="X83" i="8"/>
  <c r="W83" i="8"/>
  <c r="V83" i="8"/>
  <c r="U83" i="8"/>
  <c r="T83" i="8"/>
  <c r="R83" i="8"/>
  <c r="O83" i="8"/>
  <c r="N83" i="8"/>
  <c r="AE82" i="8"/>
  <c r="AD82" i="8"/>
  <c r="AC82" i="8"/>
  <c r="AB82" i="8"/>
  <c r="AA82" i="8"/>
  <c r="Z82" i="8"/>
  <c r="Y82" i="8"/>
  <c r="X82" i="8"/>
  <c r="W82" i="8"/>
  <c r="V82" i="8"/>
  <c r="U82" i="8"/>
  <c r="T82" i="8"/>
  <c r="R82" i="8"/>
  <c r="P82" i="8"/>
  <c r="AE81" i="8"/>
  <c r="AD81" i="8"/>
  <c r="AC81" i="8"/>
  <c r="AB81" i="8"/>
  <c r="AA81" i="8"/>
  <c r="Z81" i="8"/>
  <c r="Y81" i="8"/>
  <c r="X81" i="8"/>
  <c r="W81" i="8"/>
  <c r="V81" i="8"/>
  <c r="U81" i="8"/>
  <c r="T81" i="8"/>
  <c r="R81" i="8"/>
  <c r="Q81" i="8"/>
  <c r="P81" i="8"/>
  <c r="O81" i="8"/>
  <c r="N81" i="8"/>
  <c r="AE80" i="8"/>
  <c r="AD80" i="8"/>
  <c r="AC80" i="8"/>
  <c r="AB80" i="8"/>
  <c r="AA80" i="8"/>
  <c r="Z80" i="8"/>
  <c r="Y80" i="8"/>
  <c r="X80" i="8"/>
  <c r="W80" i="8"/>
  <c r="V80" i="8"/>
  <c r="U80" i="8"/>
  <c r="T80" i="8"/>
  <c r="R80" i="8"/>
  <c r="P80" i="8"/>
  <c r="AE79" i="8"/>
  <c r="AD79" i="8"/>
  <c r="AC79" i="8"/>
  <c r="AB79" i="8"/>
  <c r="AA79" i="8"/>
  <c r="Z79" i="8"/>
  <c r="Y79" i="8"/>
  <c r="X79" i="8"/>
  <c r="W79" i="8"/>
  <c r="V79" i="8"/>
  <c r="U79" i="8"/>
  <c r="T79" i="8"/>
  <c r="R79" i="8"/>
  <c r="P79" i="8"/>
  <c r="AE78" i="8"/>
  <c r="AD78" i="8"/>
  <c r="AC78" i="8"/>
  <c r="AB78" i="8"/>
  <c r="AA78" i="8"/>
  <c r="Z78" i="8"/>
  <c r="Y78" i="8"/>
  <c r="X78" i="8"/>
  <c r="W78" i="8"/>
  <c r="V78" i="8"/>
  <c r="U78" i="8"/>
  <c r="T78" i="8"/>
  <c r="R78" i="8"/>
  <c r="P78" i="8"/>
  <c r="AE77" i="8"/>
  <c r="AD77" i="8"/>
  <c r="AC77" i="8"/>
  <c r="AB77" i="8"/>
  <c r="AA77" i="8"/>
  <c r="Z77" i="8"/>
  <c r="Y77" i="8"/>
  <c r="X77" i="8"/>
  <c r="W77" i="8"/>
  <c r="V77" i="8"/>
  <c r="U77" i="8"/>
  <c r="T77" i="8"/>
  <c r="R77" i="8"/>
  <c r="Q77" i="8"/>
  <c r="P77" i="8"/>
  <c r="O77" i="8"/>
  <c r="N77" i="8"/>
  <c r="R76" i="8"/>
  <c r="Q74" i="8"/>
  <c r="O74" i="8"/>
  <c r="N74" i="8"/>
  <c r="Q73" i="8"/>
  <c r="O73" i="8"/>
  <c r="N73" i="8"/>
  <c r="AE72" i="8"/>
  <c r="AD72" i="8"/>
  <c r="AC72" i="8"/>
  <c r="AB72" i="8"/>
  <c r="AA72" i="8"/>
  <c r="Z72" i="8"/>
  <c r="Y72" i="8"/>
  <c r="X72" i="8"/>
  <c r="W72" i="8"/>
  <c r="V72" i="8"/>
  <c r="U72" i="8"/>
  <c r="T72" i="8"/>
  <c r="R63" i="8"/>
  <c r="O63" i="8"/>
  <c r="N63" i="8"/>
  <c r="AK62" i="8"/>
  <c r="AJ62" i="8"/>
  <c r="AI62" i="8"/>
  <c r="AH62" i="8"/>
  <c r="AG62" i="8"/>
  <c r="Q62" i="8"/>
  <c r="AK60" i="8"/>
  <c r="AJ60" i="8"/>
  <c r="AI60" i="8"/>
  <c r="AH60" i="8"/>
  <c r="AG60" i="8"/>
  <c r="Q60" i="8"/>
  <c r="P60" i="8"/>
  <c r="O60" i="8"/>
  <c r="N60" i="8"/>
  <c r="Q58" i="8"/>
  <c r="AE57" i="8"/>
  <c r="AD57" i="8"/>
  <c r="AC57" i="8"/>
  <c r="AB57" i="8"/>
  <c r="AA57" i="8"/>
  <c r="Z57" i="8"/>
  <c r="Y57" i="8"/>
  <c r="X57" i="8"/>
  <c r="W57" i="8"/>
  <c r="V57" i="8"/>
  <c r="U57" i="8"/>
  <c r="T57" i="8"/>
  <c r="R57" i="8"/>
  <c r="P57" i="8"/>
  <c r="O57" i="8"/>
  <c r="N57" i="8"/>
  <c r="AE48" i="8"/>
  <c r="AD48" i="8"/>
  <c r="AC48" i="8"/>
  <c r="AB48" i="8"/>
  <c r="AA48" i="8"/>
  <c r="Z48" i="8"/>
  <c r="Y48" i="8"/>
  <c r="X48" i="8"/>
  <c r="W48" i="8"/>
  <c r="V48" i="8"/>
  <c r="U48" i="8"/>
  <c r="T48" i="8"/>
  <c r="R48" i="8"/>
  <c r="P48" i="8"/>
  <c r="O48" i="8"/>
  <c r="N48" i="8"/>
  <c r="AE46" i="8"/>
  <c r="AD46" i="8"/>
  <c r="AC46" i="8"/>
  <c r="AB46" i="8"/>
  <c r="AA46" i="8"/>
  <c r="Z46" i="8"/>
  <c r="Y46" i="8"/>
  <c r="X46" i="8"/>
  <c r="W46" i="8"/>
  <c r="V46" i="8"/>
  <c r="U46" i="8"/>
  <c r="T46" i="8"/>
  <c r="R46" i="8"/>
  <c r="P46" i="8"/>
  <c r="O46" i="8"/>
  <c r="N46" i="8"/>
  <c r="AE44" i="8"/>
  <c r="AD44" i="8"/>
  <c r="AC44" i="8"/>
  <c r="AB44" i="8"/>
  <c r="AA44" i="8"/>
  <c r="Z44" i="8"/>
  <c r="Y44" i="8"/>
  <c r="X44" i="8"/>
  <c r="W44" i="8"/>
  <c r="V44" i="8"/>
  <c r="U44" i="8"/>
  <c r="T44" i="8"/>
  <c r="R44" i="8"/>
  <c r="P44" i="8"/>
  <c r="O44" i="8"/>
  <c r="N44" i="8"/>
  <c r="AK43" i="8"/>
  <c r="AJ43" i="8"/>
  <c r="AI43" i="8"/>
  <c r="AH43" i="8"/>
  <c r="AG43" i="8"/>
  <c r="AE43" i="8"/>
  <c r="AD43" i="8"/>
  <c r="AC43" i="8"/>
  <c r="AB43" i="8"/>
  <c r="AA43" i="8"/>
  <c r="Z43" i="8"/>
  <c r="Y43" i="8"/>
  <c r="X43" i="8"/>
  <c r="W43" i="8"/>
  <c r="V43" i="8"/>
  <c r="U43" i="8"/>
  <c r="T43" i="8"/>
  <c r="Q43" i="8"/>
  <c r="P43" i="8"/>
  <c r="O43" i="8"/>
  <c r="AE41" i="8"/>
  <c r="AD41" i="8"/>
  <c r="AC41" i="8"/>
  <c r="AB41" i="8"/>
  <c r="AA41" i="8"/>
  <c r="Z41" i="8"/>
  <c r="Y41" i="8"/>
  <c r="X41" i="8"/>
  <c r="W41" i="8"/>
  <c r="V41" i="8"/>
  <c r="U41" i="8"/>
  <c r="T41" i="8"/>
  <c r="R41" i="8"/>
  <c r="Q41" i="8"/>
  <c r="P41" i="8"/>
  <c r="O41" i="8"/>
  <c r="N41" i="8"/>
  <c r="AK40" i="8"/>
  <c r="AJ40" i="8"/>
  <c r="AI40" i="8"/>
  <c r="AH40" i="8"/>
  <c r="AE39" i="8"/>
  <c r="AD39" i="8"/>
  <c r="AC39" i="8"/>
  <c r="AB39" i="8"/>
  <c r="AA39" i="8"/>
  <c r="Z39" i="8"/>
  <c r="Y39" i="8"/>
  <c r="X39" i="8"/>
  <c r="W39" i="8"/>
  <c r="V39" i="8"/>
  <c r="U39" i="8"/>
  <c r="T39" i="8"/>
  <c r="R39" i="8"/>
  <c r="Q39" i="8"/>
  <c r="P39" i="8"/>
  <c r="O39" i="8"/>
  <c r="N39" i="8"/>
  <c r="AE37" i="8"/>
  <c r="AD37" i="8"/>
  <c r="AC37" i="8"/>
  <c r="AB37" i="8"/>
  <c r="AA37" i="8"/>
  <c r="Z37" i="8"/>
  <c r="Y37" i="8"/>
  <c r="X37" i="8"/>
  <c r="W37" i="8"/>
  <c r="V37" i="8"/>
  <c r="U37" i="8"/>
  <c r="T37" i="8"/>
  <c r="R37" i="8"/>
  <c r="Q37" i="8"/>
  <c r="P37" i="8"/>
  <c r="O37" i="8"/>
  <c r="N37" i="8"/>
  <c r="AK36" i="8"/>
  <c r="AJ36" i="8"/>
  <c r="AI36" i="8"/>
  <c r="AH36" i="8"/>
  <c r="AG36" i="8"/>
  <c r="AE36" i="8"/>
  <c r="AD36" i="8"/>
  <c r="AC36" i="8"/>
  <c r="AB36" i="8"/>
  <c r="AA36" i="8"/>
  <c r="Z36" i="8"/>
  <c r="Y36" i="8"/>
  <c r="X36" i="8"/>
  <c r="W36" i="8"/>
  <c r="V36" i="8"/>
  <c r="U36" i="8"/>
  <c r="T36" i="8"/>
  <c r="R36" i="8"/>
  <c r="Q36" i="8"/>
  <c r="P36" i="8"/>
  <c r="O36" i="8"/>
  <c r="N36" i="8"/>
  <c r="Q31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P30" i="8"/>
  <c r="O30" i="8"/>
  <c r="N30" i="8"/>
  <c r="AK29" i="8"/>
  <c r="AJ29" i="8"/>
  <c r="AI29" i="8"/>
  <c r="AH29" i="8"/>
  <c r="AG29" i="8"/>
  <c r="AK28" i="8"/>
  <c r="AJ28" i="8"/>
  <c r="AI28" i="8"/>
  <c r="AH28" i="8"/>
  <c r="AG28" i="8"/>
  <c r="AE26" i="8"/>
  <c r="AD26" i="8"/>
  <c r="AC26" i="8"/>
  <c r="AB26" i="8"/>
  <c r="AA26" i="8"/>
  <c r="Z26" i="8"/>
  <c r="Y26" i="8"/>
  <c r="X26" i="8"/>
  <c r="W26" i="8"/>
  <c r="V26" i="8"/>
  <c r="U26" i="8"/>
  <c r="T26" i="8"/>
  <c r="R26" i="8"/>
  <c r="P26" i="8"/>
  <c r="O26" i="8"/>
  <c r="N26" i="8"/>
  <c r="AE24" i="8"/>
  <c r="AD24" i="8"/>
  <c r="AC24" i="8"/>
  <c r="AB24" i="8"/>
  <c r="AA24" i="8"/>
  <c r="Z24" i="8"/>
  <c r="Y24" i="8"/>
  <c r="X24" i="8"/>
  <c r="W24" i="8"/>
  <c r="V24" i="8"/>
  <c r="U24" i="8"/>
  <c r="T24" i="8"/>
  <c r="R24" i="8"/>
  <c r="P24" i="8"/>
  <c r="O24" i="8"/>
  <c r="N24" i="8"/>
  <c r="AE23" i="8"/>
  <c r="AD23" i="8"/>
  <c r="AC23" i="8"/>
  <c r="AB23" i="8"/>
  <c r="AA23" i="8"/>
  <c r="Z23" i="8"/>
  <c r="Y23" i="8"/>
  <c r="X23" i="8"/>
  <c r="W23" i="8"/>
  <c r="V23" i="8"/>
  <c r="U23" i="8"/>
  <c r="T23" i="8"/>
  <c r="Q23" i="8"/>
  <c r="P23" i="8"/>
  <c r="O23" i="8"/>
  <c r="N23" i="8"/>
  <c r="AK20" i="8"/>
  <c r="AJ20" i="8"/>
  <c r="AI20" i="8"/>
  <c r="AH20" i="8"/>
  <c r="AG20" i="8"/>
  <c r="AE17" i="8"/>
  <c r="AD17" i="8"/>
  <c r="AC17" i="8"/>
  <c r="AB17" i="8"/>
  <c r="AA17" i="8"/>
  <c r="Z17" i="8"/>
  <c r="Y17" i="8"/>
  <c r="X17" i="8"/>
  <c r="W17" i="8"/>
  <c r="V17" i="8"/>
  <c r="U17" i="8"/>
  <c r="T17" i="8"/>
  <c r="AE16" i="8"/>
  <c r="AD16" i="8"/>
  <c r="AC16" i="8"/>
  <c r="AB16" i="8"/>
  <c r="AA16" i="8"/>
  <c r="Z16" i="8"/>
  <c r="Y16" i="8"/>
  <c r="X16" i="8"/>
  <c r="W16" i="8"/>
  <c r="V16" i="8"/>
  <c r="U16" i="8"/>
  <c r="T16" i="8"/>
  <c r="AE15" i="8"/>
  <c r="AD15" i="8"/>
  <c r="AC15" i="8"/>
  <c r="AB15" i="8"/>
  <c r="AA15" i="8"/>
  <c r="Z15" i="8"/>
  <c r="Y15" i="8"/>
  <c r="X15" i="8"/>
  <c r="W15" i="8"/>
  <c r="V15" i="8"/>
  <c r="U15" i="8"/>
  <c r="T15" i="8"/>
  <c r="AE14" i="8"/>
  <c r="AD14" i="8"/>
  <c r="AC14" i="8"/>
  <c r="AB14" i="8"/>
  <c r="AA14" i="8"/>
  <c r="Z14" i="8"/>
  <c r="Y14" i="8"/>
  <c r="X14" i="8"/>
  <c r="W14" i="8"/>
  <c r="V14" i="8"/>
  <c r="U14" i="8"/>
  <c r="T14" i="8"/>
  <c r="AE13" i="8"/>
  <c r="AD13" i="8"/>
  <c r="AC13" i="8"/>
  <c r="AB13" i="8"/>
  <c r="AA13" i="8"/>
  <c r="Z13" i="8"/>
  <c r="Y13" i="8"/>
  <c r="X13" i="8"/>
  <c r="W13" i="8"/>
  <c r="V13" i="8"/>
  <c r="U13" i="8"/>
  <c r="T13" i="8"/>
  <c r="R13" i="8"/>
  <c r="AE12" i="8"/>
  <c r="AD12" i="8"/>
  <c r="AC12" i="8"/>
  <c r="AB12" i="8"/>
  <c r="AA12" i="8"/>
  <c r="Z12" i="8"/>
  <c r="Y12" i="8"/>
  <c r="X12" i="8"/>
  <c r="W12" i="8"/>
  <c r="V12" i="8"/>
  <c r="U12" i="8"/>
  <c r="T12" i="8"/>
  <c r="Q12" i="8"/>
  <c r="P12" i="8"/>
  <c r="O12" i="8"/>
  <c r="N12" i="8"/>
  <c r="Q11" i="8"/>
  <c r="AE10" i="8"/>
  <c r="AD10" i="8"/>
  <c r="AC10" i="8"/>
  <c r="AB10" i="8"/>
  <c r="AA10" i="8"/>
  <c r="Z10" i="8"/>
  <c r="Y10" i="8"/>
  <c r="X10" i="8"/>
  <c r="W10" i="8"/>
  <c r="V10" i="8"/>
  <c r="U10" i="8"/>
  <c r="T10" i="8"/>
  <c r="R10" i="8"/>
  <c r="P10" i="8"/>
  <c r="O10" i="8"/>
  <c r="N10" i="8"/>
  <c r="Q9" i="8"/>
  <c r="AE7" i="8"/>
  <c r="AD7" i="8"/>
  <c r="AC7" i="8"/>
  <c r="AB7" i="8"/>
  <c r="AA7" i="8"/>
  <c r="Z7" i="8"/>
  <c r="Y7" i="8"/>
  <c r="X7" i="8"/>
  <c r="W7" i="8"/>
  <c r="V7" i="8"/>
  <c r="U7" i="8"/>
  <c r="T7" i="8"/>
  <c r="R7" i="8"/>
  <c r="P7" i="8"/>
  <c r="O7" i="8"/>
  <c r="N7" i="8"/>
  <c r="AE5" i="8"/>
  <c r="AD5" i="8"/>
  <c r="AC5" i="8"/>
  <c r="AB5" i="8"/>
  <c r="AA5" i="8"/>
  <c r="Z5" i="8"/>
  <c r="Y5" i="8"/>
  <c r="X5" i="8"/>
  <c r="W5" i="8"/>
  <c r="V5" i="8"/>
  <c r="U5" i="8"/>
  <c r="T5" i="8"/>
  <c r="R5" i="8"/>
  <c r="P5" i="8"/>
  <c r="O5" i="8"/>
  <c r="N5" i="8"/>
  <c r="AE4" i="8"/>
  <c r="AD4" i="8"/>
  <c r="AC4" i="8"/>
  <c r="AB4" i="8"/>
  <c r="AA4" i="8"/>
  <c r="Z4" i="8"/>
  <c r="Y4" i="8"/>
  <c r="X4" i="8"/>
  <c r="W4" i="8"/>
  <c r="V4" i="8"/>
  <c r="U4" i="8"/>
  <c r="T4" i="8"/>
  <c r="P4" i="8"/>
  <c r="O4" i="8"/>
  <c r="N4" i="8"/>
  <c r="AK2" i="8"/>
  <c r="AJ2" i="8"/>
  <c r="AI2" i="8"/>
  <c r="AH2" i="8"/>
  <c r="AG2" i="8"/>
  <c r="R2" i="8"/>
  <c r="Q2" i="8"/>
  <c r="Q1" i="8"/>
  <c r="B1" i="8"/>
  <c r="I24" i="5"/>
  <c r="H24" i="5"/>
  <c r="G24" i="5"/>
  <c r="F24" i="5"/>
  <c r="E24" i="5"/>
  <c r="I24" i="6"/>
  <c r="H24" i="6"/>
  <c r="G24" i="6"/>
  <c r="F24" i="6"/>
  <c r="E24" i="6"/>
  <c r="I24" i="4"/>
  <c r="H24" i="4"/>
  <c r="G24" i="4"/>
  <c r="F24" i="4"/>
  <c r="E24" i="4"/>
  <c r="J24" i="3"/>
  <c r="K24" i="3"/>
  <c r="L24" i="3"/>
  <c r="M24" i="3"/>
  <c r="N24" i="3"/>
  <c r="O24" i="3"/>
  <c r="P24" i="3"/>
  <c r="Q24" i="3"/>
  <c r="R24" i="3"/>
  <c r="S24" i="3"/>
  <c r="T24" i="3"/>
  <c r="BV24" i="3"/>
  <c r="BW24" i="3"/>
  <c r="BX24" i="3"/>
  <c r="BY24" i="3"/>
  <c r="BZ24" i="3"/>
  <c r="CA24" i="3"/>
  <c r="CB24" i="3"/>
  <c r="CC24" i="3"/>
  <c r="I24" i="1"/>
  <c r="H24" i="1"/>
  <c r="G24" i="1"/>
  <c r="F24" i="1"/>
  <c r="E24" i="1"/>
  <c r="I24" i="2"/>
  <c r="H24" i="2"/>
  <c r="G24" i="2"/>
  <c r="F24" i="2"/>
  <c r="E24" i="2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BV5" i="3"/>
  <c r="BV6" i="3"/>
  <c r="BV7" i="3"/>
  <c r="BV8" i="3"/>
  <c r="BV9" i="3"/>
  <c r="BV10" i="3"/>
  <c r="BV11" i="3"/>
  <c r="BV12" i="3"/>
  <c r="BV13" i="3"/>
  <c r="BV14" i="3"/>
  <c r="BV15" i="3"/>
  <c r="BV16" i="3"/>
  <c r="BV17" i="3"/>
  <c r="BV18" i="3"/>
  <c r="BV19" i="3"/>
  <c r="BV20" i="3"/>
  <c r="BV21" i="3"/>
  <c r="BV22" i="3"/>
  <c r="BV23" i="3"/>
  <c r="BW5" i="3"/>
  <c r="BW6" i="3"/>
  <c r="BW7" i="3"/>
  <c r="BW8" i="3"/>
  <c r="BW9" i="3"/>
  <c r="BW10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W23" i="3"/>
  <c r="BX5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Y19" i="3"/>
  <c r="BY20" i="3"/>
  <c r="BY21" i="3"/>
  <c r="BY22" i="3"/>
  <c r="BY23" i="3"/>
  <c r="BZ5" i="3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CA5" i="3"/>
  <c r="CA6" i="3"/>
  <c r="CA7" i="3"/>
  <c r="CA8" i="3"/>
  <c r="CA9" i="3"/>
  <c r="CA10" i="3"/>
  <c r="CA11" i="3"/>
  <c r="CA12" i="3"/>
  <c r="CA13" i="3"/>
  <c r="CA14" i="3"/>
  <c r="CA15" i="3"/>
  <c r="CA16" i="3"/>
  <c r="CA17" i="3"/>
  <c r="CA18" i="3"/>
  <c r="CA19" i="3"/>
  <c r="CA20" i="3"/>
  <c r="CA21" i="3"/>
  <c r="CA22" i="3"/>
  <c r="CA23" i="3"/>
  <c r="CB5" i="3"/>
  <c r="CB6" i="3"/>
  <c r="CB7" i="3"/>
  <c r="CB8" i="3"/>
  <c r="CB9" i="3"/>
  <c r="CB10" i="3"/>
  <c r="CB11" i="3"/>
  <c r="CB12" i="3"/>
  <c r="CB13" i="3"/>
  <c r="CB14" i="3"/>
  <c r="CB15" i="3"/>
  <c r="CB16" i="3"/>
  <c r="CB17" i="3"/>
  <c r="CB18" i="3"/>
  <c r="CB19" i="3"/>
  <c r="CB20" i="3"/>
  <c r="CB21" i="3"/>
  <c r="CB22" i="3"/>
  <c r="CB23" i="3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BU19" i="5"/>
  <c r="BT19" i="5"/>
  <c r="BS19" i="5"/>
  <c r="BQ16" i="5"/>
  <c r="BU9" i="5"/>
  <c r="BT9" i="5"/>
  <c r="BS7" i="5"/>
  <c r="BQ16" i="6"/>
  <c r="BR7" i="6"/>
  <c r="CC4" i="6"/>
  <c r="CB4" i="6"/>
  <c r="CA4" i="6"/>
  <c r="BZ4" i="6"/>
  <c r="BY4" i="6"/>
  <c r="BX4" i="6"/>
  <c r="BW4" i="6"/>
  <c r="BV4" i="6"/>
  <c r="BU4" i="6"/>
  <c r="BT4" i="6"/>
  <c r="BS4" i="6"/>
  <c r="BR4" i="6"/>
  <c r="BU4" i="4"/>
  <c r="I23" i="1"/>
  <c r="H23" i="1"/>
  <c r="G23" i="1"/>
  <c r="F23" i="1"/>
  <c r="E23" i="1"/>
  <c r="D23" i="1"/>
  <c r="I22" i="1"/>
  <c r="H22" i="1"/>
  <c r="G22" i="1"/>
  <c r="F22" i="1"/>
  <c r="E22" i="1"/>
  <c r="D22" i="1"/>
  <c r="I21" i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I18" i="1"/>
  <c r="H18" i="1"/>
  <c r="G18" i="1"/>
  <c r="F18" i="1"/>
  <c r="E18" i="1"/>
  <c r="D18" i="1"/>
  <c r="I17" i="1"/>
  <c r="H17" i="1"/>
  <c r="G17" i="1"/>
  <c r="F17" i="1"/>
  <c r="E17" i="1"/>
  <c r="D17" i="1"/>
  <c r="I16" i="1"/>
  <c r="H16" i="1"/>
  <c r="G16" i="1"/>
  <c r="F16" i="1"/>
  <c r="E16" i="1"/>
  <c r="D16" i="1"/>
  <c r="I15" i="1"/>
  <c r="H15" i="1"/>
  <c r="G15" i="1"/>
  <c r="F15" i="1"/>
  <c r="E15" i="1"/>
  <c r="D15" i="1"/>
  <c r="I14" i="1"/>
  <c r="H14" i="1"/>
  <c r="G14" i="1"/>
  <c r="F14" i="1"/>
  <c r="E14" i="1"/>
  <c r="D14" i="1"/>
  <c r="I13" i="1"/>
  <c r="H13" i="1"/>
  <c r="G13" i="1"/>
  <c r="F13" i="1"/>
  <c r="E13" i="1"/>
  <c r="D13" i="1"/>
  <c r="I12" i="1"/>
  <c r="H12" i="1"/>
  <c r="G12" i="1"/>
  <c r="F12" i="1"/>
  <c r="E12" i="1"/>
  <c r="D12" i="1"/>
  <c r="I11" i="1"/>
  <c r="H11" i="1"/>
  <c r="G11" i="1"/>
  <c r="F11" i="1"/>
  <c r="E11" i="1"/>
  <c r="D11" i="1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  <c r="I4" i="1"/>
  <c r="H4" i="1"/>
  <c r="G4" i="1"/>
  <c r="F4" i="1"/>
  <c r="E4" i="1"/>
  <c r="D4" i="1"/>
  <c r="CA4" i="3" l="1"/>
  <c r="BR4" i="3"/>
  <c r="BY4" i="3"/>
  <c r="BW4" i="3"/>
  <c r="BX4" i="3"/>
  <c r="BZ4" i="3"/>
  <c r="BS4" i="3"/>
  <c r="CB4" i="3"/>
  <c r="CC4" i="3"/>
  <c r="I4" i="6"/>
  <c r="BU4" i="3"/>
  <c r="BT4" i="3"/>
  <c r="AC43" i="9"/>
  <c r="R43" i="9"/>
  <c r="AU1" i="7"/>
  <c r="AO1" i="7"/>
  <c r="R43" i="8"/>
  <c r="Q57" i="10"/>
  <c r="Q44" i="10"/>
  <c r="Q24" i="10"/>
  <c r="Q10" i="10"/>
  <c r="B77" i="9"/>
  <c r="B72" i="9"/>
  <c r="C66" i="9"/>
  <c r="C58" i="9"/>
  <c r="AJ53" i="9"/>
  <c r="F47" i="9"/>
  <c r="D41" i="9"/>
  <c r="D39" i="9"/>
  <c r="D37" i="9"/>
  <c r="R95" i="9"/>
  <c r="R93" i="9" s="1"/>
  <c r="Q7" i="10"/>
  <c r="Q48" i="10"/>
  <c r="Q26" i="10"/>
  <c r="B85" i="9"/>
  <c r="C82" i="9"/>
  <c r="B81" i="9"/>
  <c r="C75" i="9"/>
  <c r="C70" i="9"/>
  <c r="C67" i="9"/>
  <c r="C54" i="9"/>
  <c r="AH53" i="9"/>
  <c r="Q46" i="10"/>
  <c r="Q30" i="10"/>
  <c r="Q5" i="10"/>
  <c r="C79" i="9"/>
  <c r="C76" i="9"/>
  <c r="B73" i="9"/>
  <c r="C68" i="9"/>
  <c r="C64" i="9"/>
  <c r="Q62" i="9"/>
  <c r="O62" i="9"/>
  <c r="C62" i="9"/>
  <c r="C61" i="9"/>
  <c r="O54" i="9"/>
  <c r="AI53" i="9"/>
  <c r="C49" i="9"/>
  <c r="D48" i="9"/>
  <c r="B43" i="9"/>
  <c r="C53" i="9"/>
  <c r="D46" i="9"/>
  <c r="D44" i="9"/>
  <c r="C87" i="9"/>
  <c r="C78" i="9"/>
  <c r="B74" i="9"/>
  <c r="C63" i="9"/>
  <c r="P62" i="9"/>
  <c r="N62" i="9"/>
  <c r="AK53" i="9"/>
  <c r="F45" i="9"/>
  <c r="F40" i="9"/>
  <c r="F38" i="9"/>
  <c r="B86" i="9"/>
  <c r="B83" i="9"/>
  <c r="C80" i="9"/>
  <c r="B69" i="9"/>
  <c r="B65" i="9"/>
  <c r="B60" i="9"/>
  <c r="C57" i="9"/>
  <c r="C56" i="9"/>
  <c r="N54" i="9"/>
  <c r="AG53" i="9"/>
  <c r="C52" i="9"/>
  <c r="C42" i="9"/>
  <c r="R7" i="10"/>
  <c r="P7" i="10"/>
  <c r="N7" i="10"/>
  <c r="AE97" i="10"/>
  <c r="AE96" i="10" s="1"/>
  <c r="R96" i="10" s="1"/>
  <c r="AD97" i="10"/>
  <c r="AD96" i="10" s="1"/>
  <c r="AC97" i="10"/>
  <c r="AC96" i="10" s="1"/>
  <c r="AB97" i="10"/>
  <c r="AB96" i="10" s="1"/>
  <c r="Z97" i="10"/>
  <c r="Z96" i="10" s="1"/>
  <c r="X97" i="10"/>
  <c r="X96" i="10" s="1"/>
  <c r="W97" i="10"/>
  <c r="W96" i="10" s="1"/>
  <c r="T97" i="10"/>
  <c r="T96" i="10" s="1"/>
  <c r="T80" i="10"/>
  <c r="AE48" i="10"/>
  <c r="AB48" i="10"/>
  <c r="Z48" i="10"/>
  <c r="X48" i="10"/>
  <c r="V48" i="10"/>
  <c r="AE46" i="10"/>
  <c r="AB46" i="10"/>
  <c r="Z46" i="10"/>
  <c r="X46" i="10"/>
  <c r="V46" i="10"/>
  <c r="T46" i="10"/>
  <c r="AD44" i="10"/>
  <c r="AC44" i="10"/>
  <c r="AA44" i="10"/>
  <c r="Y44" i="10"/>
  <c r="W44" i="10"/>
  <c r="U44" i="10"/>
  <c r="AE41" i="10"/>
  <c r="AC41" i="10"/>
  <c r="AA41" i="10"/>
  <c r="Y41" i="10"/>
  <c r="W41" i="10"/>
  <c r="U41" i="10"/>
  <c r="AE39" i="10"/>
  <c r="AB39" i="10"/>
  <c r="Z39" i="10"/>
  <c r="X39" i="10"/>
  <c r="V39" i="10"/>
  <c r="T39" i="10"/>
  <c r="AD37" i="10"/>
  <c r="O7" i="10"/>
  <c r="AA97" i="10"/>
  <c r="AA96" i="10" s="1"/>
  <c r="Y97" i="10"/>
  <c r="Y96" i="10" s="1"/>
  <c r="V97" i="10"/>
  <c r="V96" i="10" s="1"/>
  <c r="U97" i="10"/>
  <c r="U96" i="10" s="1"/>
  <c r="AE80" i="10"/>
  <c r="AD48" i="10"/>
  <c r="AC48" i="10"/>
  <c r="AA48" i="10"/>
  <c r="Y48" i="10"/>
  <c r="W48" i="10"/>
  <c r="U48" i="10"/>
  <c r="T48" i="10"/>
  <c r="AD46" i="10"/>
  <c r="AC46" i="10"/>
  <c r="AA46" i="10"/>
  <c r="Y46" i="10"/>
  <c r="W46" i="10"/>
  <c r="U46" i="10"/>
  <c r="AE44" i="10"/>
  <c r="AB44" i="10"/>
  <c r="Z44" i="10"/>
  <c r="X44" i="10"/>
  <c r="V44" i="10"/>
  <c r="T44" i="10"/>
  <c r="AD41" i="10"/>
  <c r="AB41" i="10"/>
  <c r="Z41" i="10"/>
  <c r="X41" i="10"/>
  <c r="V41" i="10"/>
  <c r="T41" i="10"/>
  <c r="AD39" i="10"/>
  <c r="AC39" i="10"/>
  <c r="AA39" i="10"/>
  <c r="Y39" i="10"/>
  <c r="W39" i="10"/>
  <c r="U39" i="10"/>
  <c r="AE37" i="10"/>
  <c r="AC37" i="10"/>
  <c r="AB37" i="10"/>
  <c r="AA37" i="10"/>
  <c r="Z37" i="10"/>
  <c r="Y37" i="10"/>
  <c r="X37" i="10"/>
  <c r="W37" i="10"/>
  <c r="V37" i="10"/>
  <c r="U37" i="10"/>
  <c r="T37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Q114" i="10"/>
  <c r="R97" i="10"/>
  <c r="Q97" i="10"/>
  <c r="Q96" i="10" s="1"/>
  <c r="Q92" i="10"/>
  <c r="Q91" i="10"/>
  <c r="O89" i="10"/>
  <c r="N88" i="10"/>
  <c r="P80" i="10"/>
  <c r="R79" i="10"/>
  <c r="P79" i="10"/>
  <c r="R63" i="10"/>
  <c r="O63" i="10"/>
  <c r="N63" i="10"/>
  <c r="R57" i="10"/>
  <c r="P57" i="10"/>
  <c r="O57" i="10"/>
  <c r="N57" i="10"/>
  <c r="R48" i="10"/>
  <c r="P48" i="10"/>
  <c r="O48" i="10"/>
  <c r="N48" i="10"/>
  <c r="R46" i="10"/>
  <c r="P46" i="10"/>
  <c r="O46" i="10"/>
  <c r="N46" i="10"/>
  <c r="R44" i="10"/>
  <c r="P44" i="10"/>
  <c r="O44" i="10"/>
  <c r="N44" i="10"/>
  <c r="R41" i="10"/>
  <c r="Q41" i="10"/>
  <c r="P41" i="10"/>
  <c r="O41" i="10"/>
  <c r="N41" i="10"/>
  <c r="R39" i="10"/>
  <c r="Q39" i="10"/>
  <c r="P39" i="10"/>
  <c r="O39" i="10"/>
  <c r="N39" i="10"/>
  <c r="R37" i="10"/>
  <c r="Q37" i="10"/>
  <c r="P37" i="10"/>
  <c r="O37" i="10"/>
  <c r="N37" i="10"/>
  <c r="P30" i="10"/>
  <c r="O30" i="10"/>
  <c r="N30" i="10"/>
  <c r="R26" i="10"/>
  <c r="P26" i="10"/>
  <c r="O26" i="10"/>
  <c r="N26" i="10"/>
  <c r="R24" i="10"/>
  <c r="P24" i="10"/>
  <c r="O24" i="10"/>
  <c r="N24" i="10"/>
  <c r="R13" i="10"/>
  <c r="R10" i="10"/>
  <c r="P10" i="10"/>
  <c r="O10" i="10"/>
  <c r="N10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AE7" i="10"/>
  <c r="AD7" i="10"/>
  <c r="AC7" i="10"/>
  <c r="AB7" i="10"/>
  <c r="AA7" i="10"/>
  <c r="Z7" i="10"/>
  <c r="Y7" i="10"/>
  <c r="X7" i="10"/>
  <c r="W7" i="10"/>
  <c r="V7" i="10"/>
  <c r="U7" i="10"/>
  <c r="T7" i="10"/>
  <c r="AE5" i="10"/>
  <c r="AD5" i="10"/>
  <c r="AC5" i="10"/>
  <c r="AB5" i="10"/>
  <c r="AA5" i="10"/>
  <c r="Z5" i="10"/>
  <c r="Y5" i="10"/>
  <c r="X5" i="10"/>
  <c r="W5" i="10"/>
  <c r="V5" i="10"/>
  <c r="U5" i="10"/>
  <c r="T5" i="10"/>
  <c r="R5" i="10"/>
  <c r="P5" i="10"/>
  <c r="O5" i="10"/>
  <c r="N5" i="10"/>
  <c r="Q85" i="8"/>
  <c r="R30" i="8"/>
  <c r="R30" i="10" s="1"/>
  <c r="R17" i="8"/>
  <c r="R17" i="10" s="1"/>
  <c r="R16" i="8"/>
  <c r="R16" i="10" s="1"/>
  <c r="R15" i="8"/>
  <c r="R15" i="10" s="1"/>
  <c r="R14" i="8"/>
  <c r="R14" i="11"/>
  <c r="S2" i="11" s="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B148" i="10"/>
  <c r="B147" i="10"/>
  <c r="B146" i="10"/>
  <c r="B144" i="10"/>
  <c r="B142" i="10"/>
  <c r="B141" i="10"/>
  <c r="B140" i="10"/>
  <c r="B139" i="10"/>
  <c r="B138" i="10"/>
  <c r="B136" i="10"/>
  <c r="C135" i="10"/>
  <c r="C134" i="10"/>
  <c r="C133" i="10"/>
  <c r="C132" i="10"/>
  <c r="C131" i="10"/>
  <c r="C130" i="10"/>
  <c r="B129" i="10"/>
  <c r="B128" i="10"/>
  <c r="B127" i="10"/>
  <c r="B126" i="10"/>
  <c r="B125" i="10"/>
  <c r="B122" i="10"/>
  <c r="C120" i="10"/>
  <c r="C118" i="10"/>
  <c r="C117" i="10"/>
  <c r="B116" i="10"/>
  <c r="C115" i="10"/>
  <c r="C114" i="10"/>
  <c r="B113" i="10"/>
  <c r="C111" i="10"/>
  <c r="C110" i="10"/>
  <c r="C109" i="10"/>
  <c r="B108" i="10"/>
  <c r="B107" i="10"/>
  <c r="B105" i="10"/>
  <c r="C101" i="10"/>
  <c r="B100" i="10"/>
  <c r="B99" i="10"/>
  <c r="B98" i="10"/>
  <c r="C97" i="10"/>
  <c r="B96" i="10"/>
  <c r="E95" i="10"/>
  <c r="E94" i="10"/>
  <c r="C93" i="10"/>
  <c r="E92" i="10"/>
  <c r="E91" i="10"/>
  <c r="C90" i="10"/>
  <c r="E89" i="10"/>
  <c r="E88" i="10"/>
  <c r="C87" i="10"/>
  <c r="B86" i="10"/>
  <c r="B85" i="10"/>
  <c r="B83" i="10"/>
  <c r="C82" i="10"/>
  <c r="B81" i="10"/>
  <c r="C80" i="10"/>
  <c r="C79" i="10"/>
  <c r="C78" i="10"/>
  <c r="B77" i="10"/>
  <c r="C76" i="10"/>
  <c r="C75" i="10"/>
  <c r="B74" i="10"/>
  <c r="B73" i="10"/>
  <c r="B72" i="10"/>
  <c r="C70" i="10"/>
  <c r="B69" i="10"/>
  <c r="C68" i="10"/>
  <c r="C67" i="10"/>
  <c r="C66" i="10"/>
  <c r="B65" i="10"/>
  <c r="C64" i="10"/>
  <c r="C63" i="10"/>
  <c r="C62" i="10"/>
  <c r="C61" i="10"/>
  <c r="B60" i="10"/>
  <c r="C58" i="10"/>
  <c r="C57" i="10"/>
  <c r="C56" i="10"/>
  <c r="C54" i="10"/>
  <c r="C53" i="10"/>
  <c r="C52" i="10"/>
  <c r="C49" i="10"/>
  <c r="D48" i="10"/>
  <c r="F47" i="10"/>
  <c r="D46" i="10"/>
  <c r="F45" i="10"/>
  <c r="D44" i="10"/>
  <c r="B43" i="10"/>
  <c r="C42" i="10"/>
  <c r="D41" i="10"/>
  <c r="F40" i="10"/>
  <c r="D39" i="10"/>
  <c r="F38" i="10"/>
  <c r="D37" i="10"/>
  <c r="B36" i="10"/>
  <c r="C35" i="10"/>
  <c r="B34" i="10"/>
  <c r="C33" i="10"/>
  <c r="B32" i="10"/>
  <c r="C31" i="10"/>
  <c r="D30" i="10"/>
  <c r="C29" i="10"/>
  <c r="C28" i="10"/>
  <c r="E27" i="10"/>
  <c r="D26" i="10"/>
  <c r="E25" i="10"/>
  <c r="D24" i="10"/>
  <c r="B23" i="10"/>
  <c r="C22" i="10"/>
  <c r="C21" i="10"/>
  <c r="B20" i="10"/>
  <c r="C19" i="10"/>
  <c r="C18" i="10"/>
  <c r="C17" i="10"/>
  <c r="C16" i="10"/>
  <c r="C15" i="10"/>
  <c r="C14" i="10"/>
  <c r="C13" i="10"/>
  <c r="B12" i="10"/>
  <c r="C11" i="10"/>
  <c r="B10" i="10"/>
  <c r="C9" i="10"/>
  <c r="C8" i="10"/>
  <c r="B7" i="10"/>
  <c r="C6" i="10"/>
  <c r="B5" i="10"/>
  <c r="AK4" i="10"/>
  <c r="AJ4" i="10"/>
  <c r="AI4" i="10"/>
  <c r="AH4" i="10"/>
  <c r="AG4" i="10"/>
  <c r="B108" i="7"/>
  <c r="B107" i="7"/>
  <c r="B105" i="7"/>
  <c r="C101" i="7"/>
  <c r="B100" i="7"/>
  <c r="B99" i="7"/>
  <c r="B98" i="7"/>
  <c r="C97" i="7"/>
  <c r="B96" i="7"/>
  <c r="E95" i="7"/>
  <c r="E94" i="7"/>
  <c r="C93" i="7"/>
  <c r="E92" i="7"/>
  <c r="E91" i="7"/>
  <c r="C90" i="7"/>
  <c r="E89" i="7"/>
  <c r="E88" i="7"/>
  <c r="C87" i="7"/>
  <c r="B86" i="7"/>
  <c r="B85" i="7"/>
  <c r="B83" i="7"/>
  <c r="C82" i="7"/>
  <c r="B81" i="7"/>
  <c r="C80" i="7"/>
  <c r="C79" i="7"/>
  <c r="R148" i="10"/>
  <c r="AE148" i="10"/>
  <c r="AC148" i="10"/>
  <c r="AA148" i="10"/>
  <c r="Z148" i="10"/>
  <c r="X148" i="10"/>
  <c r="W148" i="10"/>
  <c r="U148" i="10"/>
  <c r="AE139" i="10"/>
  <c r="AC139" i="10"/>
  <c r="AA139" i="10"/>
  <c r="Z139" i="10"/>
  <c r="X139" i="10"/>
  <c r="V139" i="10"/>
  <c r="T139" i="10"/>
  <c r="B141" i="12"/>
  <c r="B136" i="12"/>
  <c r="C134" i="12"/>
  <c r="C133" i="12"/>
  <c r="C131" i="12"/>
  <c r="B129" i="12"/>
  <c r="B127" i="12"/>
  <c r="B125" i="12"/>
  <c r="B122" i="12"/>
  <c r="C118" i="12"/>
  <c r="C117" i="12"/>
  <c r="C115" i="12"/>
  <c r="B113" i="12"/>
  <c r="C110" i="12"/>
  <c r="C109" i="12"/>
  <c r="B108" i="12"/>
  <c r="B105" i="12"/>
  <c r="B100" i="12"/>
  <c r="B99" i="12"/>
  <c r="E95" i="12"/>
  <c r="C93" i="12"/>
  <c r="E92" i="12"/>
  <c r="E91" i="12"/>
  <c r="E89" i="12"/>
  <c r="E88" i="12"/>
  <c r="B83" i="12"/>
  <c r="C82" i="12"/>
  <c r="C79" i="12"/>
  <c r="B77" i="12"/>
  <c r="C76" i="12"/>
  <c r="C75" i="12"/>
  <c r="B74" i="12"/>
  <c r="B73" i="12"/>
  <c r="B72" i="12"/>
  <c r="C70" i="12"/>
  <c r="B69" i="12"/>
  <c r="C68" i="12"/>
  <c r="C67" i="12"/>
  <c r="C66" i="12"/>
  <c r="C64" i="12"/>
  <c r="Q62" i="12"/>
  <c r="O62" i="12"/>
  <c r="C62" i="12"/>
  <c r="C61" i="12"/>
  <c r="B60" i="12"/>
  <c r="R58" i="12"/>
  <c r="Q58" i="12"/>
  <c r="P58" i="12"/>
  <c r="O58" i="12"/>
  <c r="N58" i="12"/>
  <c r="C58" i="12"/>
  <c r="C57" i="12"/>
  <c r="C54" i="12"/>
  <c r="C53" i="12"/>
  <c r="C49" i="12"/>
  <c r="F47" i="12"/>
  <c r="D46" i="12"/>
  <c r="F45" i="12"/>
  <c r="D44" i="12"/>
  <c r="B43" i="12"/>
  <c r="C42" i="12"/>
  <c r="D41" i="12"/>
  <c r="F40" i="12"/>
  <c r="D39" i="12"/>
  <c r="F38" i="12"/>
  <c r="C35" i="12"/>
  <c r="C33" i="12"/>
  <c r="B32" i="12"/>
  <c r="C31" i="12"/>
  <c r="C29" i="12"/>
  <c r="E27" i="12"/>
  <c r="D26" i="12"/>
  <c r="C22" i="12"/>
  <c r="B20" i="12"/>
  <c r="C19" i="12"/>
  <c r="C16" i="12"/>
  <c r="B12" i="12"/>
  <c r="O11" i="12"/>
  <c r="C11" i="12"/>
  <c r="P90" i="11"/>
  <c r="AD148" i="10"/>
  <c r="AB148" i="10"/>
  <c r="Y148" i="10"/>
  <c r="V148" i="10"/>
  <c r="T148" i="10"/>
  <c r="AD139" i="10"/>
  <c r="AB139" i="10"/>
  <c r="Y139" i="10"/>
  <c r="W139" i="10"/>
  <c r="U139" i="10"/>
  <c r="B140" i="12"/>
  <c r="B139" i="12"/>
  <c r="B138" i="12"/>
  <c r="C135" i="12"/>
  <c r="C132" i="12"/>
  <c r="C130" i="12"/>
  <c r="B128" i="12"/>
  <c r="B126" i="12"/>
  <c r="C120" i="12"/>
  <c r="B116" i="12"/>
  <c r="C114" i="12"/>
  <c r="C111" i="12"/>
  <c r="B107" i="12"/>
  <c r="C101" i="12"/>
  <c r="B98" i="12"/>
  <c r="C97" i="12"/>
  <c r="B96" i="12"/>
  <c r="E94" i="12"/>
  <c r="C90" i="12"/>
  <c r="C87" i="12"/>
  <c r="B86" i="12"/>
  <c r="B85" i="12"/>
  <c r="B81" i="12"/>
  <c r="C80" i="12"/>
  <c r="C78" i="12"/>
  <c r="B65" i="12"/>
  <c r="C63" i="12"/>
  <c r="P62" i="12"/>
  <c r="N62" i="12"/>
  <c r="C56" i="12"/>
  <c r="C52" i="12"/>
  <c r="D48" i="12"/>
  <c r="D37" i="12"/>
  <c r="B36" i="12"/>
  <c r="B34" i="12"/>
  <c r="D30" i="12"/>
  <c r="C28" i="12"/>
  <c r="E25" i="12"/>
  <c r="D24" i="12"/>
  <c r="B23" i="12"/>
  <c r="C21" i="12"/>
  <c r="C18" i="12"/>
  <c r="C17" i="12"/>
  <c r="C15" i="12"/>
  <c r="C14" i="12"/>
  <c r="C13" i="12"/>
  <c r="N11" i="12"/>
  <c r="R146" i="10"/>
  <c r="R141" i="10"/>
  <c r="O146" i="10"/>
  <c r="N146" i="10"/>
  <c r="O145" i="10"/>
  <c r="N145" i="10"/>
  <c r="P113" i="10"/>
  <c r="O113" i="10"/>
  <c r="N113" i="10"/>
  <c r="O135" i="10"/>
  <c r="N135" i="10"/>
  <c r="Q132" i="10"/>
  <c r="O132" i="10"/>
  <c r="N132" i="10"/>
  <c r="O108" i="10"/>
  <c r="O107" i="10" s="1"/>
  <c r="N108" i="10"/>
  <c r="N107" i="10" s="1"/>
  <c r="Q93" i="10"/>
  <c r="P93" i="10"/>
  <c r="O93" i="10"/>
  <c r="N93" i="10"/>
  <c r="O90" i="10"/>
  <c r="N90" i="10"/>
  <c r="Q87" i="10"/>
  <c r="N87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Q131" i="10"/>
  <c r="O131" i="10"/>
  <c r="N131" i="10"/>
  <c r="Q81" i="10"/>
  <c r="O81" i="10"/>
  <c r="N81" i="10"/>
  <c r="Q134" i="10"/>
  <c r="O134" i="10"/>
  <c r="Q133" i="10"/>
  <c r="O133" i="10"/>
  <c r="N133" i="10"/>
  <c r="Q130" i="10"/>
  <c r="O130" i="10"/>
  <c r="O129" i="10" s="1"/>
  <c r="N130" i="10"/>
  <c r="Q77" i="10"/>
  <c r="O77" i="10"/>
  <c r="N77" i="10"/>
  <c r="Q140" i="10"/>
  <c r="P140" i="10"/>
  <c r="O140" i="10"/>
  <c r="N140" i="10"/>
  <c r="Q74" i="10"/>
  <c r="Q73" i="10" s="1"/>
  <c r="O74" i="10"/>
  <c r="O73" i="10" s="1"/>
  <c r="N74" i="10"/>
  <c r="N73" i="10" s="1"/>
  <c r="Q12" i="10"/>
  <c r="P12" i="10"/>
  <c r="O12" i="10"/>
  <c r="N12" i="10"/>
  <c r="N43" i="8"/>
  <c r="AE23" i="9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AE23" i="10"/>
  <c r="AD23" i="10"/>
  <c r="AB23" i="10"/>
  <c r="AA23" i="10"/>
  <c r="Z23" i="10"/>
  <c r="Q86" i="10"/>
  <c r="M86" i="10"/>
  <c r="M85" i="10" s="1"/>
  <c r="P87" i="9"/>
  <c r="P86" i="9" s="1"/>
  <c r="P85" i="9" s="1"/>
  <c r="N72" i="9"/>
  <c r="R96" i="9"/>
  <c r="O72" i="9"/>
  <c r="R23" i="9"/>
  <c r="P72" i="9"/>
  <c r="R23" i="8"/>
  <c r="V140" i="7"/>
  <c r="R140" i="7" s="1"/>
  <c r="O72" i="10"/>
  <c r="P72" i="10"/>
  <c r="N72" i="10"/>
  <c r="B153" i="12"/>
  <c r="B152" i="12"/>
  <c r="B151" i="12"/>
  <c r="B149" i="12"/>
  <c r="B148" i="12"/>
  <c r="B147" i="12"/>
  <c r="Q146" i="12"/>
  <c r="P146" i="12"/>
  <c r="B146" i="12"/>
  <c r="Q145" i="12"/>
  <c r="B144" i="12"/>
  <c r="AE142" i="12"/>
  <c r="AD142" i="12"/>
  <c r="AC142" i="12"/>
  <c r="AA142" i="12"/>
  <c r="Z142" i="12"/>
  <c r="Y142" i="12"/>
  <c r="X142" i="12"/>
  <c r="W142" i="12"/>
  <c r="U142" i="12"/>
  <c r="T142" i="12"/>
  <c r="B142" i="12"/>
  <c r="Q141" i="12"/>
  <c r="O141" i="12"/>
  <c r="N141" i="12"/>
  <c r="O139" i="12"/>
  <c r="O142" i="12" s="1"/>
  <c r="Q135" i="12"/>
  <c r="Q129" i="12" s="1"/>
  <c r="P135" i="12"/>
  <c r="AD134" i="12"/>
  <c r="AA134" i="12"/>
  <c r="Z134" i="12"/>
  <c r="Y134" i="12"/>
  <c r="W134" i="12"/>
  <c r="V134" i="12"/>
  <c r="N134" i="12"/>
  <c r="N129" i="12" s="1"/>
  <c r="AJ123" i="12"/>
  <c r="AI123" i="12"/>
  <c r="AH123" i="12"/>
  <c r="N122" i="12"/>
  <c r="M122" i="12"/>
  <c r="AE118" i="12"/>
  <c r="R118" i="12" s="1"/>
  <c r="AD118" i="12"/>
  <c r="AC118" i="12"/>
  <c r="AB118" i="12"/>
  <c r="AA118" i="12"/>
  <c r="Z118" i="12"/>
  <c r="X118" i="12"/>
  <c r="U118" i="12"/>
  <c r="T118" i="12"/>
  <c r="AE117" i="12"/>
  <c r="AC117" i="12"/>
  <c r="AB117" i="12"/>
  <c r="Y117" i="12"/>
  <c r="X117" i="12"/>
  <c r="T117" i="12"/>
  <c r="P117" i="12"/>
  <c r="AA115" i="12"/>
  <c r="AA113" i="12" s="1"/>
  <c r="X115" i="12"/>
  <c r="X113" i="12" s="1"/>
  <c r="V115" i="12"/>
  <c r="V113" i="12" s="1"/>
  <c r="T115" i="12"/>
  <c r="T113" i="12" s="1"/>
  <c r="Q105" i="12"/>
  <c r="O105" i="12"/>
  <c r="N105" i="12"/>
  <c r="N123" i="12" s="1"/>
  <c r="M105" i="12"/>
  <c r="M123" i="12" s="1"/>
  <c r="AJ54" i="12"/>
  <c r="AH54" i="12"/>
  <c r="AE53" i="12"/>
  <c r="AA53" i="12"/>
  <c r="Y53" i="12"/>
  <c r="V53" i="12"/>
  <c r="T53" i="12"/>
  <c r="R53" i="12"/>
  <c r="R54" i="12" s="1"/>
  <c r="O53" i="12"/>
  <c r="AJ49" i="12"/>
  <c r="AH49" i="12"/>
  <c r="AE49" i="12"/>
  <c r="AB49" i="12"/>
  <c r="Y49" i="12"/>
  <c r="W49" i="12"/>
  <c r="T49" i="12"/>
  <c r="Q49" i="12"/>
  <c r="O49" i="12"/>
  <c r="Q47" i="12"/>
  <c r="P47" i="12"/>
  <c r="AH42" i="12"/>
  <c r="AE42" i="12"/>
  <c r="AB42" i="12"/>
  <c r="AA42" i="12"/>
  <c r="Y42" i="12"/>
  <c r="W42" i="12"/>
  <c r="U42" i="12"/>
  <c r="R42" i="12"/>
  <c r="O42" i="12"/>
  <c r="N42" i="12"/>
  <c r="AG40" i="12"/>
  <c r="R40" i="12"/>
  <c r="P40" i="12"/>
  <c r="N40" i="12"/>
  <c r="P38" i="12"/>
  <c r="AK34" i="12"/>
  <c r="AI34" i="12"/>
  <c r="AH34" i="12"/>
  <c r="AJ33" i="12"/>
  <c r="AI33" i="12"/>
  <c r="AG33" i="12"/>
  <c r="AE32" i="12"/>
  <c r="AC32" i="12"/>
  <c r="AB32" i="12"/>
  <c r="Z32" i="12"/>
  <c r="Y32" i="12"/>
  <c r="W32" i="12"/>
  <c r="V32" i="12"/>
  <c r="Q32" i="12"/>
  <c r="AE31" i="12"/>
  <c r="AC31" i="12"/>
  <c r="AA31" i="12"/>
  <c r="Y31" i="12"/>
  <c r="V31" i="12"/>
  <c r="T31" i="12"/>
  <c r="Q31" i="12"/>
  <c r="O31" i="12"/>
  <c r="AE29" i="12"/>
  <c r="AC29" i="12"/>
  <c r="AA29" i="12"/>
  <c r="X29" i="12"/>
  <c r="V29" i="12"/>
  <c r="U29" i="12"/>
  <c r="T29" i="12"/>
  <c r="Q29" i="12"/>
  <c r="P29" i="12"/>
  <c r="N29" i="12"/>
  <c r="AE28" i="12"/>
  <c r="AC28" i="12"/>
  <c r="AA28" i="12"/>
  <c r="Y28" i="12"/>
  <c r="X28" i="12"/>
  <c r="V28" i="12"/>
  <c r="T28" i="12"/>
  <c r="P28" i="12"/>
  <c r="N28" i="12"/>
  <c r="P27" i="12"/>
  <c r="O27" i="12"/>
  <c r="P25" i="12"/>
  <c r="AD20" i="12"/>
  <c r="AB20" i="12"/>
  <c r="Z20" i="12"/>
  <c r="Y20" i="12"/>
  <c r="X20" i="12"/>
  <c r="U20" i="12"/>
  <c r="P20" i="12"/>
  <c r="O20" i="12"/>
  <c r="N19" i="12"/>
  <c r="R17" i="12"/>
  <c r="R16" i="12"/>
  <c r="B10" i="12"/>
  <c r="AE9" i="12"/>
  <c r="AD9" i="12"/>
  <c r="AC9" i="12"/>
  <c r="AB9" i="12"/>
  <c r="AA9" i="12"/>
  <c r="Z9" i="12"/>
  <c r="Y9" i="12"/>
  <c r="X9" i="12"/>
  <c r="W9" i="12"/>
  <c r="V9" i="12"/>
  <c r="U9" i="12"/>
  <c r="T9" i="12"/>
  <c r="R9" i="12"/>
  <c r="Q9" i="12"/>
  <c r="P9" i="12"/>
  <c r="O9" i="12"/>
  <c r="N9" i="12"/>
  <c r="C9" i="12"/>
  <c r="R8" i="12"/>
  <c r="Q8" i="12"/>
  <c r="P8" i="12"/>
  <c r="O8" i="12"/>
  <c r="N8" i="12"/>
  <c r="C8" i="12"/>
  <c r="B7" i="12"/>
  <c r="R6" i="12"/>
  <c r="Q6" i="12"/>
  <c r="P6" i="12"/>
  <c r="O6" i="12"/>
  <c r="N6" i="12"/>
  <c r="C6" i="12"/>
  <c r="B5" i="12"/>
  <c r="AK4" i="12"/>
  <c r="AK72" i="12" s="1"/>
  <c r="AK125" i="12" s="1"/>
  <c r="AJ4" i="12"/>
  <c r="AJ72" i="12" s="1"/>
  <c r="AJ125" i="12" s="1"/>
  <c r="AI4" i="12"/>
  <c r="AI72" i="12" s="1"/>
  <c r="AI125" i="12" s="1"/>
  <c r="AH4" i="12"/>
  <c r="AH72" i="12" s="1"/>
  <c r="AH125" i="12" s="1"/>
  <c r="AG4" i="12"/>
  <c r="AG72" i="12" s="1"/>
  <c r="AG125" i="12" s="1"/>
  <c r="R4" i="12"/>
  <c r="R72" i="12" s="1"/>
  <c r="R125" i="12" s="1"/>
  <c r="Q4" i="12"/>
  <c r="Q72" i="12" s="1"/>
  <c r="Q125" i="12" s="1"/>
  <c r="B4" i="12"/>
  <c r="S2" i="12"/>
  <c r="B2" i="12"/>
  <c r="V140" i="12"/>
  <c r="R140" i="12" s="1"/>
  <c r="Q139" i="12"/>
  <c r="Q142" i="12" s="1"/>
  <c r="N139" i="12"/>
  <c r="N142" i="12" s="1"/>
  <c r="P134" i="12"/>
  <c r="P133" i="12"/>
  <c r="P125" i="12"/>
  <c r="AK123" i="12"/>
  <c r="O122" i="12"/>
  <c r="W118" i="12"/>
  <c r="V117" i="12"/>
  <c r="Y115" i="12"/>
  <c r="Y113" i="12" s="1"/>
  <c r="T111" i="12"/>
  <c r="AI54" i="12"/>
  <c r="AD53" i="12"/>
  <c r="AB53" i="12"/>
  <c r="X53" i="12"/>
  <c r="P53" i="12"/>
  <c r="AD49" i="12"/>
  <c r="AA49" i="12"/>
  <c r="U49" i="12"/>
  <c r="N49" i="12"/>
  <c r="Q45" i="12"/>
  <c r="AJ42" i="12"/>
  <c r="AD42" i="12"/>
  <c r="V42" i="12"/>
  <c r="Q42" i="12"/>
  <c r="Q38" i="12"/>
  <c r="AK33" i="12"/>
  <c r="AH33" i="12"/>
  <c r="T32" i="12"/>
  <c r="N32" i="12"/>
  <c r="W31" i="12"/>
  <c r="N31" i="12"/>
  <c r="Z29" i="12"/>
  <c r="U28" i="12"/>
  <c r="Q28" i="12"/>
  <c r="Q27" i="12"/>
  <c r="Q25" i="12"/>
  <c r="AC20" i="12"/>
  <c r="V20" i="12"/>
  <c r="P19" i="12"/>
  <c r="Q11" i="12"/>
  <c r="AB142" i="12"/>
  <c r="P141" i="12"/>
  <c r="AE134" i="12"/>
  <c r="AC134" i="12"/>
  <c r="X134" i="12"/>
  <c r="AG123" i="12"/>
  <c r="Y118" i="12"/>
  <c r="V118" i="12"/>
  <c r="AD117" i="12"/>
  <c r="AA117" i="12"/>
  <c r="Z117" i="12"/>
  <c r="W117" i="12"/>
  <c r="U117" i="12"/>
  <c r="AE115" i="12"/>
  <c r="AD115" i="12"/>
  <c r="AD113" i="12" s="1"/>
  <c r="AC115" i="12"/>
  <c r="AC113" i="12" s="1"/>
  <c r="AB115" i="12"/>
  <c r="AB113" i="12" s="1"/>
  <c r="Z115" i="12"/>
  <c r="Z113" i="12" s="1"/>
  <c r="W115" i="12"/>
  <c r="W113" i="12" s="1"/>
  <c r="U115" i="12"/>
  <c r="U113" i="12" s="1"/>
  <c r="AK54" i="12"/>
  <c r="AG54" i="12"/>
  <c r="AC53" i="12"/>
  <c r="Z53" i="12"/>
  <c r="W53" i="12"/>
  <c r="U53" i="12"/>
  <c r="Q53" i="12"/>
  <c r="N53" i="12"/>
  <c r="AK49" i="12"/>
  <c r="AI49" i="12"/>
  <c r="AG49" i="12"/>
  <c r="AC49" i="12"/>
  <c r="Z49" i="12"/>
  <c r="X49" i="12"/>
  <c r="V49" i="12"/>
  <c r="P49" i="12"/>
  <c r="R47" i="12"/>
  <c r="P45" i="12"/>
  <c r="R44" i="12"/>
  <c r="AK42" i="12"/>
  <c r="AI42" i="12"/>
  <c r="AG42" i="12"/>
  <c r="AC42" i="12"/>
  <c r="Z42" i="12"/>
  <c r="X42" i="12"/>
  <c r="T42" i="12"/>
  <c r="P42" i="12"/>
  <c r="Q40" i="12"/>
  <c r="O40" i="12"/>
  <c r="R38" i="12"/>
  <c r="O38" i="12"/>
  <c r="AJ34" i="12"/>
  <c r="AG34" i="12"/>
  <c r="AD32" i="12"/>
  <c r="AA32" i="12"/>
  <c r="X32" i="12"/>
  <c r="U32" i="12"/>
  <c r="P32" i="12"/>
  <c r="O32" i="12"/>
  <c r="AD31" i="12"/>
  <c r="AB31" i="12"/>
  <c r="Z31" i="12"/>
  <c r="X31" i="12"/>
  <c r="U31" i="12"/>
  <c r="R31" i="12"/>
  <c r="P31" i="12"/>
  <c r="AD29" i="12"/>
  <c r="AB29" i="12"/>
  <c r="Y29" i="12"/>
  <c r="W29" i="12"/>
  <c r="R29" i="12"/>
  <c r="O29" i="12"/>
  <c r="AD28" i="12"/>
  <c r="AB28" i="12"/>
  <c r="Z28" i="12"/>
  <c r="W28" i="12"/>
  <c r="R28" i="12"/>
  <c r="O28" i="12"/>
  <c r="R27" i="12"/>
  <c r="R25" i="12"/>
  <c r="O25" i="12"/>
  <c r="AE20" i="12"/>
  <c r="AA20" i="12"/>
  <c r="W20" i="12"/>
  <c r="T20" i="12"/>
  <c r="Q20" i="12"/>
  <c r="N20" i="12"/>
  <c r="Q19" i="12"/>
  <c r="O19" i="12"/>
  <c r="R11" i="12"/>
  <c r="P11" i="12"/>
  <c r="B149" i="11"/>
  <c r="B148" i="11"/>
  <c r="P146" i="11"/>
  <c r="B146" i="11"/>
  <c r="AE142" i="11"/>
  <c r="AA142" i="11"/>
  <c r="X142" i="11"/>
  <c r="U142" i="11"/>
  <c r="Q141" i="11"/>
  <c r="B140" i="11"/>
  <c r="O139" i="11"/>
  <c r="B136" i="11"/>
  <c r="AD134" i="11"/>
  <c r="Z134" i="11"/>
  <c r="C134" i="11"/>
  <c r="C133" i="11"/>
  <c r="C131" i="11"/>
  <c r="C130" i="11"/>
  <c r="B127" i="11"/>
  <c r="B126" i="11"/>
  <c r="AJ123" i="11"/>
  <c r="AG123" i="11"/>
  <c r="O122" i="11"/>
  <c r="B122" i="11"/>
  <c r="AB118" i="11"/>
  <c r="Y118" i="11"/>
  <c r="U118" i="11"/>
  <c r="C118" i="11"/>
  <c r="AC117" i="11"/>
  <c r="Z117" i="11"/>
  <c r="T117" i="11"/>
  <c r="B116" i="11"/>
  <c r="AC115" i="11"/>
  <c r="AC113" i="11" s="1"/>
  <c r="Z115" i="11"/>
  <c r="Z113" i="11" s="1"/>
  <c r="X115" i="11"/>
  <c r="X113" i="11" s="1"/>
  <c r="U115" i="11"/>
  <c r="U113" i="11" s="1"/>
  <c r="C115" i="11"/>
  <c r="B107" i="11"/>
  <c r="B73" i="11"/>
  <c r="O72" i="11"/>
  <c r="C68" i="11"/>
  <c r="B65" i="11"/>
  <c r="R11" i="11"/>
  <c r="AA9" i="11"/>
  <c r="U9" i="11"/>
  <c r="N8" i="11"/>
  <c r="B7" i="11"/>
  <c r="AJ4" i="11"/>
  <c r="AJ72" i="11" s="1"/>
  <c r="AJ125" i="11" s="1"/>
  <c r="R4" i="11"/>
  <c r="R72" i="11" s="1"/>
  <c r="Q105" i="11"/>
  <c r="O105" i="11"/>
  <c r="O123" i="11" s="1"/>
  <c r="N105" i="11"/>
  <c r="M105" i="11"/>
  <c r="B105" i="11"/>
  <c r="C101" i="11"/>
  <c r="B100" i="11"/>
  <c r="B99" i="11"/>
  <c r="B98" i="11"/>
  <c r="C97" i="11"/>
  <c r="B96" i="11"/>
  <c r="E95" i="11"/>
  <c r="E94" i="11"/>
  <c r="C93" i="11"/>
  <c r="E92" i="11"/>
  <c r="E91" i="11"/>
  <c r="C90" i="11"/>
  <c r="E89" i="11"/>
  <c r="E88" i="11"/>
  <c r="C87" i="11"/>
  <c r="B86" i="11"/>
  <c r="B85" i="11"/>
  <c r="B83" i="11"/>
  <c r="C82" i="11"/>
  <c r="B81" i="11"/>
  <c r="C80" i="11"/>
  <c r="C70" i="11"/>
  <c r="B69" i="11"/>
  <c r="C61" i="11"/>
  <c r="Q11" i="11"/>
  <c r="B10" i="11"/>
  <c r="X9" i="11"/>
  <c r="N9" i="11"/>
  <c r="C8" i="11"/>
  <c r="B60" i="11"/>
  <c r="R58" i="11"/>
  <c r="Q58" i="11"/>
  <c r="P58" i="11"/>
  <c r="O58" i="11"/>
  <c r="N58" i="11"/>
  <c r="C58" i="11"/>
  <c r="C57" i="11"/>
  <c r="C56" i="11"/>
  <c r="AK54" i="11"/>
  <c r="AJ54" i="11"/>
  <c r="AI54" i="11"/>
  <c r="AH54" i="11"/>
  <c r="AG54" i="11"/>
  <c r="C54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R53" i="11"/>
  <c r="R54" i="11" s="1"/>
  <c r="Q53" i="11"/>
  <c r="P53" i="11"/>
  <c r="O53" i="11"/>
  <c r="N53" i="11"/>
  <c r="C53" i="11"/>
  <c r="C52" i="11"/>
  <c r="AK49" i="11"/>
  <c r="AJ49" i="11"/>
  <c r="AI49" i="11"/>
  <c r="AH49" i="11"/>
  <c r="AG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R49" i="11"/>
  <c r="Q49" i="11"/>
  <c r="P49" i="11"/>
  <c r="O49" i="11"/>
  <c r="N49" i="11"/>
  <c r="C49" i="11"/>
  <c r="D48" i="11"/>
  <c r="R47" i="11"/>
  <c r="Q47" i="11"/>
  <c r="P47" i="11"/>
  <c r="F47" i="11"/>
  <c r="D46" i="11"/>
  <c r="R45" i="11"/>
  <c r="Q45" i="11"/>
  <c r="P45" i="11"/>
  <c r="F45" i="11"/>
  <c r="D44" i="11"/>
  <c r="B43" i="11"/>
  <c r="AK42" i="11"/>
  <c r="AJ42" i="11"/>
  <c r="AI42" i="11"/>
  <c r="AH42" i="11"/>
  <c r="AG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R42" i="11"/>
  <c r="Q42" i="11"/>
  <c r="P42" i="11"/>
  <c r="O42" i="11"/>
  <c r="N42" i="11"/>
  <c r="C42" i="11"/>
  <c r="D41" i="11"/>
  <c r="AG40" i="11"/>
  <c r="R40" i="11"/>
  <c r="Q40" i="11"/>
  <c r="P40" i="11"/>
  <c r="O40" i="11"/>
  <c r="N40" i="11"/>
  <c r="F40" i="11"/>
  <c r="D39" i="11"/>
  <c r="R38" i="11"/>
  <c r="Q38" i="11"/>
  <c r="P38" i="11"/>
  <c r="O38" i="11"/>
  <c r="F38" i="11"/>
  <c r="D37" i="11"/>
  <c r="B36" i="11"/>
  <c r="C35" i="11"/>
  <c r="AK34" i="11"/>
  <c r="AJ34" i="11"/>
  <c r="AI34" i="11"/>
  <c r="AH34" i="11"/>
  <c r="AG34" i="11"/>
  <c r="B34" i="11"/>
  <c r="AK33" i="11"/>
  <c r="AJ33" i="11"/>
  <c r="AI33" i="11"/>
  <c r="AH33" i="11"/>
  <c r="AG33" i="11"/>
  <c r="C33" i="11"/>
  <c r="AE32" i="11"/>
  <c r="AE33" i="11" s="1"/>
  <c r="AD32" i="11"/>
  <c r="AD33" i="11" s="1"/>
  <c r="AC32" i="11"/>
  <c r="AC33" i="11" s="1"/>
  <c r="AB32" i="11"/>
  <c r="AB33" i="11" s="1"/>
  <c r="AA32" i="11"/>
  <c r="AA33" i="11" s="1"/>
  <c r="Z32" i="11"/>
  <c r="Z33" i="11" s="1"/>
  <c r="Y32" i="11"/>
  <c r="Y33" i="11" s="1"/>
  <c r="X32" i="11"/>
  <c r="X33" i="11" s="1"/>
  <c r="W32" i="11"/>
  <c r="W33" i="11" s="1"/>
  <c r="V32" i="11"/>
  <c r="V33" i="11" s="1"/>
  <c r="U32" i="11"/>
  <c r="U33" i="11" s="1"/>
  <c r="T32" i="11"/>
  <c r="T33" i="11" s="1"/>
  <c r="Q32" i="11"/>
  <c r="Q33" i="11" s="1"/>
  <c r="P32" i="11"/>
  <c r="P33" i="11" s="1"/>
  <c r="O32" i="11"/>
  <c r="O33" i="11" s="1"/>
  <c r="N32" i="11"/>
  <c r="N33" i="11" s="1"/>
  <c r="B32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R31" i="11"/>
  <c r="Q31" i="11"/>
  <c r="P31" i="11"/>
  <c r="O31" i="11"/>
  <c r="N31" i="11"/>
  <c r="C31" i="11"/>
  <c r="D30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R29" i="11"/>
  <c r="Q29" i="11"/>
  <c r="P29" i="11"/>
  <c r="O29" i="11"/>
  <c r="N29" i="11"/>
  <c r="C29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R28" i="11"/>
  <c r="Q28" i="11"/>
  <c r="P28" i="11"/>
  <c r="O28" i="11"/>
  <c r="N28" i="11"/>
  <c r="C28" i="11"/>
  <c r="R27" i="11"/>
  <c r="Q27" i="11"/>
  <c r="P27" i="11"/>
  <c r="O27" i="11"/>
  <c r="E27" i="11"/>
  <c r="D26" i="11"/>
  <c r="R25" i="11"/>
  <c r="Q25" i="11"/>
  <c r="P25" i="11"/>
  <c r="O25" i="11"/>
  <c r="E25" i="11"/>
  <c r="D24" i="11"/>
  <c r="B23" i="11"/>
  <c r="C22" i="11"/>
  <c r="C21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Q20" i="11"/>
  <c r="P20" i="11"/>
  <c r="O20" i="11"/>
  <c r="N20" i="11"/>
  <c r="B20" i="11"/>
  <c r="Q19" i="11"/>
  <c r="P19" i="11"/>
  <c r="O19" i="11"/>
  <c r="N19" i="11"/>
  <c r="C19" i="11"/>
  <c r="C18" i="11"/>
  <c r="C17" i="11"/>
  <c r="R15" i="11"/>
  <c r="C14" i="11"/>
  <c r="AB9" i="11"/>
  <c r="Y9" i="11"/>
  <c r="O9" i="11"/>
  <c r="Q8" i="11"/>
  <c r="C6" i="11"/>
  <c r="B5" i="11"/>
  <c r="AH4" i="11"/>
  <c r="AH72" i="11" s="1"/>
  <c r="AH125" i="11" s="1"/>
  <c r="B153" i="11"/>
  <c r="Q145" i="11"/>
  <c r="B144" i="11"/>
  <c r="AD142" i="11"/>
  <c r="Z142" i="11"/>
  <c r="W142" i="11"/>
  <c r="T142" i="11"/>
  <c r="B142" i="11"/>
  <c r="P141" i="11"/>
  <c r="N141" i="11"/>
  <c r="V140" i="11"/>
  <c r="R140" i="11" s="1"/>
  <c r="Q139" i="11"/>
  <c r="Q142" i="11" s="1"/>
  <c r="B138" i="11"/>
  <c r="Q135" i="11"/>
  <c r="Q129" i="11" s="1"/>
  <c r="C135" i="11"/>
  <c r="AE134" i="11"/>
  <c r="AA134" i="11"/>
  <c r="X134" i="11"/>
  <c r="V134" i="11"/>
  <c r="R134" i="11" s="1"/>
  <c r="P134" i="11"/>
  <c r="P133" i="11"/>
  <c r="C132" i="11"/>
  <c r="B129" i="11"/>
  <c r="R125" i="11"/>
  <c r="AK123" i="11"/>
  <c r="AH123" i="11"/>
  <c r="N122" i="11"/>
  <c r="C120" i="11"/>
  <c r="AD118" i="11"/>
  <c r="AA118" i="11"/>
  <c r="Z118" i="11"/>
  <c r="W118" i="11"/>
  <c r="T118" i="11"/>
  <c r="AD117" i="11"/>
  <c r="AA117" i="11"/>
  <c r="X117" i="11"/>
  <c r="U117" i="11"/>
  <c r="C117" i="11"/>
  <c r="AD115" i="11"/>
  <c r="AD113" i="11" s="1"/>
  <c r="AA115" i="11"/>
  <c r="AA113" i="11" s="1"/>
  <c r="Y115" i="11"/>
  <c r="Y113" i="11" s="1"/>
  <c r="V115" i="11"/>
  <c r="V113" i="11" s="1"/>
  <c r="C114" i="11"/>
  <c r="B113" i="11"/>
  <c r="T111" i="11"/>
  <c r="C79" i="11"/>
  <c r="C75" i="11"/>
  <c r="N72" i="11"/>
  <c r="C67" i="11"/>
  <c r="C64" i="11"/>
  <c r="O62" i="11"/>
  <c r="B12" i="11"/>
  <c r="N11" i="11"/>
  <c r="AD9" i="11"/>
  <c r="V9" i="11"/>
  <c r="Q9" i="11"/>
  <c r="C9" i="11"/>
  <c r="Q6" i="11"/>
  <c r="AK4" i="11"/>
  <c r="AK72" i="11" s="1"/>
  <c r="AK125" i="11" s="1"/>
  <c r="B4" i="11"/>
  <c r="T115" i="11"/>
  <c r="T113" i="11" s="1"/>
  <c r="C111" i="11"/>
  <c r="C110" i="11"/>
  <c r="C109" i="11"/>
  <c r="C78" i="11"/>
  <c r="B74" i="11"/>
  <c r="P72" i="11"/>
  <c r="P125" i="11" s="1"/>
  <c r="C63" i="11"/>
  <c r="Q62" i="11"/>
  <c r="C62" i="11"/>
  <c r="C13" i="11"/>
  <c r="P11" i="11"/>
  <c r="T9" i="11"/>
  <c r="R8" i="11"/>
  <c r="P6" i="11"/>
  <c r="AI4" i="11"/>
  <c r="AI72" i="11" s="1"/>
  <c r="AI125" i="11" s="1"/>
  <c r="C66" i="11"/>
  <c r="P62" i="11"/>
  <c r="C11" i="11"/>
  <c r="AC9" i="11"/>
  <c r="Z9" i="11"/>
  <c r="W9" i="11"/>
  <c r="R9" i="11"/>
  <c r="P8" i="11"/>
  <c r="O6" i="11"/>
  <c r="B152" i="11"/>
  <c r="B151" i="11"/>
  <c r="B147" i="11"/>
  <c r="Q146" i="11"/>
  <c r="P145" i="11"/>
  <c r="AC142" i="11"/>
  <c r="AB142" i="11"/>
  <c r="Y142" i="11"/>
  <c r="O141" i="11"/>
  <c r="B141" i="11"/>
  <c r="N139" i="11"/>
  <c r="B139" i="11"/>
  <c r="P135" i="11"/>
  <c r="AC134" i="11"/>
  <c r="Y134" i="11"/>
  <c r="W134" i="11"/>
  <c r="N134" i="11"/>
  <c r="N129" i="11" s="1"/>
  <c r="B128" i="11"/>
  <c r="B125" i="11"/>
  <c r="AI123" i="11"/>
  <c r="M122" i="11"/>
  <c r="AE118" i="11"/>
  <c r="R118" i="11" s="1"/>
  <c r="AC118" i="11"/>
  <c r="X118" i="11"/>
  <c r="V118" i="11"/>
  <c r="AE117" i="11"/>
  <c r="AB117" i="11"/>
  <c r="Y117" i="11"/>
  <c r="W117" i="11"/>
  <c r="AE115" i="11"/>
  <c r="AB115" i="11"/>
  <c r="AB113" i="11" s="1"/>
  <c r="W115" i="11"/>
  <c r="W113" i="11" s="1"/>
  <c r="B108" i="11"/>
  <c r="B77" i="11"/>
  <c r="C76" i="11"/>
  <c r="B72" i="11"/>
  <c r="N62" i="11"/>
  <c r="C16" i="11"/>
  <c r="C15" i="11"/>
  <c r="O11" i="11"/>
  <c r="AE9" i="11"/>
  <c r="P9" i="11"/>
  <c r="O8" i="11"/>
  <c r="R6" i="11"/>
  <c r="N6" i="11"/>
  <c r="AG4" i="11"/>
  <c r="AG72" i="11" s="1"/>
  <c r="AG125" i="11" s="1"/>
  <c r="Q4" i="11"/>
  <c r="Q72" i="11" s="1"/>
  <c r="Q125" i="11" s="1"/>
  <c r="B2" i="11"/>
  <c r="R4" i="10"/>
  <c r="R72" i="10" s="1"/>
  <c r="Q4" i="10"/>
  <c r="Q72" i="10" s="1"/>
  <c r="B4" i="10"/>
  <c r="B2" i="10"/>
  <c r="Q146" i="10"/>
  <c r="Q145" i="10"/>
  <c r="P145" i="10"/>
  <c r="O141" i="10"/>
  <c r="N141" i="10"/>
  <c r="Q135" i="10"/>
  <c r="AD134" i="10"/>
  <c r="AC134" i="10"/>
  <c r="AA134" i="10"/>
  <c r="Z134" i="10"/>
  <c r="Y134" i="10"/>
  <c r="X134" i="10"/>
  <c r="V134" i="10"/>
  <c r="AK123" i="10"/>
  <c r="AJ123" i="10"/>
  <c r="AI123" i="10"/>
  <c r="AH123" i="10"/>
  <c r="AD113" i="10"/>
  <c r="AC113" i="10"/>
  <c r="AB113" i="10"/>
  <c r="AA113" i="10"/>
  <c r="Z113" i="10"/>
  <c r="Y113" i="10"/>
  <c r="X113" i="10"/>
  <c r="W113" i="10"/>
  <c r="V113" i="10"/>
  <c r="U113" i="10"/>
  <c r="AI72" i="10"/>
  <c r="AI125" i="10" s="1"/>
  <c r="AJ54" i="10"/>
  <c r="AH54" i="10"/>
  <c r="AG54" i="10"/>
  <c r="AJ49" i="10"/>
  <c r="AI49" i="10"/>
  <c r="AK42" i="10"/>
  <c r="AJ42" i="10"/>
  <c r="AI42" i="10"/>
  <c r="AH42" i="10"/>
  <c r="AG42" i="10"/>
  <c r="AK34" i="10"/>
  <c r="AJ34" i="10"/>
  <c r="AI34" i="10"/>
  <c r="AH34" i="10"/>
  <c r="B153" i="10"/>
  <c r="B152" i="10"/>
  <c r="B151" i="10"/>
  <c r="B149" i="10"/>
  <c r="P146" i="10"/>
  <c r="Q141" i="10"/>
  <c r="P141" i="10"/>
  <c r="R140" i="10"/>
  <c r="N139" i="10"/>
  <c r="N142" i="10" s="1"/>
  <c r="P135" i="10"/>
  <c r="W134" i="10"/>
  <c r="N134" i="10"/>
  <c r="AG123" i="10"/>
  <c r="M122" i="10"/>
  <c r="T113" i="10"/>
  <c r="AK72" i="10"/>
  <c r="AK125" i="10" s="1"/>
  <c r="AJ72" i="10"/>
  <c r="AJ125" i="10" s="1"/>
  <c r="AH72" i="10"/>
  <c r="AH125" i="10" s="1"/>
  <c r="AG72" i="10"/>
  <c r="AG125" i="10" s="1"/>
  <c r="AK54" i="10"/>
  <c r="AI54" i="10"/>
  <c r="AK49" i="10"/>
  <c r="AH49" i="10"/>
  <c r="AG49" i="10"/>
  <c r="AG34" i="10"/>
  <c r="AK33" i="10"/>
  <c r="AJ33" i="10"/>
  <c r="AI33" i="10"/>
  <c r="AH33" i="10"/>
  <c r="AG33" i="10"/>
  <c r="B153" i="7"/>
  <c r="B152" i="7"/>
  <c r="B151" i="7"/>
  <c r="B149" i="7"/>
  <c r="B148" i="7"/>
  <c r="B147" i="7"/>
  <c r="Q146" i="7"/>
  <c r="P146" i="7"/>
  <c r="B146" i="7"/>
  <c r="Q145" i="7"/>
  <c r="P145" i="7"/>
  <c r="B144" i="7"/>
  <c r="AE142" i="7"/>
  <c r="AD142" i="7"/>
  <c r="AC142" i="7"/>
  <c r="AB142" i="7"/>
  <c r="AA142" i="7"/>
  <c r="Z142" i="7"/>
  <c r="Y142" i="7"/>
  <c r="X142" i="7"/>
  <c r="W142" i="7"/>
  <c r="U142" i="7"/>
  <c r="T142" i="7"/>
  <c r="B142" i="7"/>
  <c r="Q141" i="7"/>
  <c r="P141" i="7"/>
  <c r="O141" i="7"/>
  <c r="N141" i="7"/>
  <c r="B141" i="7"/>
  <c r="B140" i="7"/>
  <c r="Q139" i="7"/>
  <c r="Q142" i="7" s="1"/>
  <c r="O139" i="7"/>
  <c r="O142" i="7" s="1"/>
  <c r="N139" i="7"/>
  <c r="N142" i="7" s="1"/>
  <c r="B139" i="7"/>
  <c r="B138" i="7"/>
  <c r="B136" i="7"/>
  <c r="Q135" i="7"/>
  <c r="Q129" i="7" s="1"/>
  <c r="P135" i="7"/>
  <c r="C135" i="7"/>
  <c r="AE134" i="7"/>
  <c r="AD134" i="7"/>
  <c r="AC134" i="7"/>
  <c r="AA134" i="7"/>
  <c r="Z134" i="7"/>
  <c r="Y134" i="7"/>
  <c r="X134" i="7"/>
  <c r="W134" i="7"/>
  <c r="V134" i="7"/>
  <c r="R134" i="7" s="1"/>
  <c r="P134" i="7"/>
  <c r="N134" i="7"/>
  <c r="N129" i="7" s="1"/>
  <c r="C134" i="7"/>
  <c r="P133" i="7"/>
  <c r="C133" i="7"/>
  <c r="C132" i="7"/>
  <c r="C131" i="7"/>
  <c r="C130" i="7"/>
  <c r="B129" i="7"/>
  <c r="B128" i="7"/>
  <c r="B127" i="7"/>
  <c r="B126" i="7"/>
  <c r="B125" i="7"/>
  <c r="AK123" i="7"/>
  <c r="AJ123" i="7"/>
  <c r="AI123" i="7"/>
  <c r="AH123" i="7"/>
  <c r="AG123" i="7"/>
  <c r="O122" i="7"/>
  <c r="N122" i="7"/>
  <c r="M122" i="7"/>
  <c r="B122" i="7"/>
  <c r="C120" i="7"/>
  <c r="AE118" i="7"/>
  <c r="R118" i="7" s="1"/>
  <c r="AD118" i="7"/>
  <c r="AC118" i="7"/>
  <c r="AB118" i="7"/>
  <c r="AA118" i="7"/>
  <c r="Z118" i="7"/>
  <c r="Y118" i="7"/>
  <c r="X118" i="7"/>
  <c r="W118" i="7"/>
  <c r="V118" i="7"/>
  <c r="U118" i="7"/>
  <c r="T118" i="7"/>
  <c r="C118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C117" i="7"/>
  <c r="B116" i="7"/>
  <c r="AE115" i="7"/>
  <c r="AD115" i="7"/>
  <c r="AD113" i="7" s="1"/>
  <c r="AC115" i="7"/>
  <c r="AC113" i="7" s="1"/>
  <c r="AB115" i="7"/>
  <c r="AB113" i="7" s="1"/>
  <c r="AA115" i="7"/>
  <c r="AA113" i="7" s="1"/>
  <c r="Z115" i="7"/>
  <c r="Z113" i="7" s="1"/>
  <c r="Y115" i="7"/>
  <c r="Y113" i="7" s="1"/>
  <c r="X115" i="7"/>
  <c r="X113" i="7" s="1"/>
  <c r="W115" i="7"/>
  <c r="W113" i="7" s="1"/>
  <c r="V115" i="7"/>
  <c r="V113" i="7" s="1"/>
  <c r="U115" i="7"/>
  <c r="U113" i="7" s="1"/>
  <c r="T115" i="7"/>
  <c r="T113" i="7" s="1"/>
  <c r="C115" i="7"/>
  <c r="C114" i="7"/>
  <c r="B113" i="7"/>
  <c r="T111" i="7"/>
  <c r="C111" i="7"/>
  <c r="C110" i="7"/>
  <c r="C109" i="7"/>
  <c r="C78" i="7"/>
  <c r="M77" i="7"/>
  <c r="M73" i="7" s="1"/>
  <c r="M105" i="7" s="1"/>
  <c r="M123" i="7" s="1"/>
  <c r="B77" i="7"/>
  <c r="C76" i="7"/>
  <c r="C75" i="7"/>
  <c r="B74" i="7"/>
  <c r="Q73" i="7"/>
  <c r="Q105" i="7" s="1"/>
  <c r="O73" i="7"/>
  <c r="O105" i="7" s="1"/>
  <c r="O123" i="7" s="1"/>
  <c r="N73" i="7"/>
  <c r="N105" i="7" s="1"/>
  <c r="N123" i="7" s="1"/>
  <c r="B73" i="7"/>
  <c r="P72" i="7"/>
  <c r="P125" i="7" s="1"/>
  <c r="O72" i="7"/>
  <c r="N72" i="7"/>
  <c r="B72" i="7"/>
  <c r="C70" i="7"/>
  <c r="B69" i="7"/>
  <c r="C68" i="7"/>
  <c r="C67" i="7"/>
  <c r="C66" i="7"/>
  <c r="B65" i="7"/>
  <c r="C64" i="7"/>
  <c r="C63" i="7"/>
  <c r="Q62" i="7"/>
  <c r="P62" i="7"/>
  <c r="O62" i="7"/>
  <c r="N62" i="7"/>
  <c r="C62" i="7"/>
  <c r="C61" i="7"/>
  <c r="B60" i="7"/>
  <c r="R58" i="7"/>
  <c r="Q58" i="7"/>
  <c r="P58" i="7"/>
  <c r="O58" i="7"/>
  <c r="N58" i="7"/>
  <c r="C58" i="7"/>
  <c r="C57" i="7"/>
  <c r="C56" i="7"/>
  <c r="AK54" i="7"/>
  <c r="AJ54" i="7"/>
  <c r="AI54" i="7"/>
  <c r="AH54" i="7"/>
  <c r="AG54" i="7"/>
  <c r="C54" i="7"/>
  <c r="AE53" i="7"/>
  <c r="AD53" i="7"/>
  <c r="AC53" i="7"/>
  <c r="AB53" i="7"/>
  <c r="AA53" i="7"/>
  <c r="Z53" i="7"/>
  <c r="Y53" i="7"/>
  <c r="X53" i="7"/>
  <c r="W53" i="7"/>
  <c r="V53" i="7"/>
  <c r="U53" i="7"/>
  <c r="T53" i="7"/>
  <c r="R53" i="7"/>
  <c r="R54" i="7" s="1"/>
  <c r="Q53" i="7"/>
  <c r="P53" i="7"/>
  <c r="O53" i="7"/>
  <c r="N53" i="7"/>
  <c r="C53" i="7"/>
  <c r="C52" i="7"/>
  <c r="AK49" i="7"/>
  <c r="AJ49" i="7"/>
  <c r="AI49" i="7"/>
  <c r="AH49" i="7"/>
  <c r="AG49" i="7"/>
  <c r="AE49" i="7"/>
  <c r="AD49" i="7"/>
  <c r="AC49" i="7"/>
  <c r="AB49" i="7"/>
  <c r="AA49" i="7"/>
  <c r="Z49" i="7"/>
  <c r="Y49" i="7"/>
  <c r="X49" i="7"/>
  <c r="W49" i="7"/>
  <c r="V49" i="7"/>
  <c r="U49" i="7"/>
  <c r="T49" i="7"/>
  <c r="R49" i="7"/>
  <c r="Q49" i="7"/>
  <c r="P49" i="7"/>
  <c r="O49" i="7"/>
  <c r="N49" i="7"/>
  <c r="C49" i="7"/>
  <c r="D48" i="7"/>
  <c r="R47" i="7"/>
  <c r="Q47" i="7"/>
  <c r="P47" i="7"/>
  <c r="F47" i="7"/>
  <c r="D46" i="7"/>
  <c r="R45" i="7"/>
  <c r="Q45" i="7"/>
  <c r="P45" i="7"/>
  <c r="F45" i="7"/>
  <c r="D44" i="7"/>
  <c r="B43" i="7"/>
  <c r="AK42" i="7"/>
  <c r="AJ42" i="7"/>
  <c r="AI42" i="7"/>
  <c r="AH42" i="7"/>
  <c r="AG42" i="7"/>
  <c r="AE42" i="7"/>
  <c r="AD42" i="7"/>
  <c r="AC42" i="7"/>
  <c r="AB42" i="7"/>
  <c r="AA42" i="7"/>
  <c r="Z42" i="7"/>
  <c r="Y42" i="7"/>
  <c r="X42" i="7"/>
  <c r="W42" i="7"/>
  <c r="V42" i="7"/>
  <c r="U42" i="7"/>
  <c r="T42" i="7"/>
  <c r="R42" i="7"/>
  <c r="Q42" i="7"/>
  <c r="P42" i="7"/>
  <c r="O42" i="7"/>
  <c r="N42" i="7"/>
  <c r="C42" i="7"/>
  <c r="D41" i="7"/>
  <c r="AG40" i="7"/>
  <c r="R40" i="7"/>
  <c r="Q40" i="7"/>
  <c r="P40" i="7"/>
  <c r="O40" i="7"/>
  <c r="N40" i="7"/>
  <c r="F40" i="7"/>
  <c r="D39" i="7"/>
  <c r="R38" i="7"/>
  <c r="Q38" i="7"/>
  <c r="P38" i="7"/>
  <c r="O38" i="7"/>
  <c r="F38" i="7"/>
  <c r="D37" i="7"/>
  <c r="B36" i="7"/>
  <c r="C35" i="7"/>
  <c r="AK34" i="7"/>
  <c r="AJ34" i="7"/>
  <c r="AI34" i="7"/>
  <c r="AH34" i="7"/>
  <c r="AG34" i="7"/>
  <c r="B34" i="7"/>
  <c r="AK33" i="7"/>
  <c r="AJ33" i="7"/>
  <c r="AI33" i="7"/>
  <c r="AH33" i="7"/>
  <c r="AG33" i="7"/>
  <c r="C33" i="7"/>
  <c r="AE32" i="7"/>
  <c r="AE33" i="7" s="1"/>
  <c r="AD32" i="7"/>
  <c r="AD33" i="7" s="1"/>
  <c r="AC32" i="7"/>
  <c r="AC33" i="7" s="1"/>
  <c r="AB32" i="7"/>
  <c r="AB33" i="7" s="1"/>
  <c r="AA32" i="7"/>
  <c r="AA33" i="7" s="1"/>
  <c r="Z32" i="7"/>
  <c r="Z33" i="7" s="1"/>
  <c r="Y32" i="7"/>
  <c r="Y33" i="7" s="1"/>
  <c r="X32" i="7"/>
  <c r="X33" i="7" s="1"/>
  <c r="W32" i="7"/>
  <c r="W33" i="7" s="1"/>
  <c r="V32" i="7"/>
  <c r="V33" i="7" s="1"/>
  <c r="U32" i="7"/>
  <c r="U33" i="7" s="1"/>
  <c r="T32" i="7"/>
  <c r="T33" i="7" s="1"/>
  <c r="R32" i="7"/>
  <c r="R33" i="7" s="1"/>
  <c r="Q32" i="7"/>
  <c r="Q33" i="7" s="1"/>
  <c r="P32" i="7"/>
  <c r="P33" i="7" s="1"/>
  <c r="O32" i="7"/>
  <c r="O33" i="7" s="1"/>
  <c r="N32" i="7"/>
  <c r="N33" i="7" s="1"/>
  <c r="B32" i="7"/>
  <c r="AE31" i="7"/>
  <c r="AD31" i="7"/>
  <c r="AC31" i="7"/>
  <c r="AB31" i="7"/>
  <c r="AA31" i="7"/>
  <c r="Z31" i="7"/>
  <c r="Y31" i="7"/>
  <c r="X31" i="7"/>
  <c r="W31" i="7"/>
  <c r="V31" i="7"/>
  <c r="U31" i="7"/>
  <c r="T31" i="7"/>
  <c r="R31" i="7"/>
  <c r="Q31" i="7"/>
  <c r="P31" i="7"/>
  <c r="O31" i="7"/>
  <c r="N31" i="7"/>
  <c r="C31" i="7"/>
  <c r="D30" i="7"/>
  <c r="AE29" i="7"/>
  <c r="AD29" i="7"/>
  <c r="AC29" i="7"/>
  <c r="AB29" i="7"/>
  <c r="AA29" i="7"/>
  <c r="Z29" i="7"/>
  <c r="Y29" i="7"/>
  <c r="X29" i="7"/>
  <c r="W29" i="7"/>
  <c r="V29" i="7"/>
  <c r="U29" i="7"/>
  <c r="T29" i="7"/>
  <c r="R29" i="7"/>
  <c r="Q29" i="7"/>
  <c r="P29" i="7"/>
  <c r="O29" i="7"/>
  <c r="N29" i="7"/>
  <c r="C29" i="7"/>
  <c r="AE28" i="7"/>
  <c r="AD28" i="7"/>
  <c r="AC28" i="7"/>
  <c r="AB28" i="7"/>
  <c r="AA28" i="7"/>
  <c r="Z28" i="7"/>
  <c r="Y28" i="7"/>
  <c r="X28" i="7"/>
  <c r="W28" i="7"/>
  <c r="V28" i="7"/>
  <c r="U28" i="7"/>
  <c r="T28" i="7"/>
  <c r="R28" i="7"/>
  <c r="Q28" i="7"/>
  <c r="P28" i="7"/>
  <c r="O28" i="7"/>
  <c r="N28" i="7"/>
  <c r="C28" i="7"/>
  <c r="R27" i="7"/>
  <c r="Q27" i="7"/>
  <c r="P27" i="7"/>
  <c r="O27" i="7"/>
  <c r="E27" i="7"/>
  <c r="D26" i="7"/>
  <c r="R25" i="7"/>
  <c r="Q25" i="7"/>
  <c r="P25" i="7"/>
  <c r="O25" i="7"/>
  <c r="E25" i="7"/>
  <c r="D24" i="7"/>
  <c r="B23" i="7"/>
  <c r="C22" i="7"/>
  <c r="C21" i="7"/>
  <c r="AE20" i="7"/>
  <c r="AD20" i="7"/>
  <c r="AC20" i="7"/>
  <c r="AB20" i="7"/>
  <c r="AA20" i="7"/>
  <c r="Z20" i="7"/>
  <c r="Y20" i="7"/>
  <c r="X20" i="7"/>
  <c r="W20" i="7"/>
  <c r="V20" i="7"/>
  <c r="U20" i="7"/>
  <c r="T20" i="7"/>
  <c r="R20" i="7"/>
  <c r="Q20" i="7"/>
  <c r="P20" i="7"/>
  <c r="O20" i="7"/>
  <c r="N20" i="7"/>
  <c r="B20" i="7"/>
  <c r="R19" i="7"/>
  <c r="Q19" i="7"/>
  <c r="P19" i="7"/>
  <c r="O19" i="7"/>
  <c r="N19" i="7"/>
  <c r="C19" i="7"/>
  <c r="C18" i="7"/>
  <c r="C17" i="7"/>
  <c r="C16" i="7"/>
  <c r="C15" i="7"/>
  <c r="C14" i="7"/>
  <c r="C13" i="7"/>
  <c r="B12" i="7"/>
  <c r="R11" i="7"/>
  <c r="Q11" i="7"/>
  <c r="P11" i="7"/>
  <c r="O11" i="7"/>
  <c r="N11" i="7"/>
  <c r="C11" i="7"/>
  <c r="B10" i="7"/>
  <c r="AE9" i="7"/>
  <c r="AD9" i="7"/>
  <c r="AC9" i="7"/>
  <c r="AB9" i="7"/>
  <c r="AA9" i="7"/>
  <c r="Z9" i="7"/>
  <c r="Y9" i="7"/>
  <c r="X9" i="7"/>
  <c r="W9" i="7"/>
  <c r="V9" i="7"/>
  <c r="U9" i="7"/>
  <c r="T9" i="7"/>
  <c r="R9" i="7"/>
  <c r="Q9" i="7"/>
  <c r="P9" i="7"/>
  <c r="O9" i="7"/>
  <c r="N9" i="7"/>
  <c r="C9" i="7"/>
  <c r="R8" i="7"/>
  <c r="Q8" i="7"/>
  <c r="P8" i="7"/>
  <c r="O8" i="7"/>
  <c r="N8" i="7"/>
  <c r="C8" i="7"/>
  <c r="B7" i="7"/>
  <c r="R6" i="7"/>
  <c r="Q6" i="7"/>
  <c r="P6" i="7"/>
  <c r="O6" i="7"/>
  <c r="N6" i="7"/>
  <c r="C6" i="7"/>
  <c r="B5" i="7"/>
  <c r="AK4" i="7"/>
  <c r="AK72" i="7" s="1"/>
  <c r="AK125" i="7" s="1"/>
  <c r="AJ4" i="7"/>
  <c r="AJ72" i="7" s="1"/>
  <c r="AJ125" i="7" s="1"/>
  <c r="AI4" i="7"/>
  <c r="AI72" i="7" s="1"/>
  <c r="AI125" i="7" s="1"/>
  <c r="AH4" i="7"/>
  <c r="AH72" i="7" s="1"/>
  <c r="AH125" i="7" s="1"/>
  <c r="AG4" i="7"/>
  <c r="AG72" i="7" s="1"/>
  <c r="AG125" i="7" s="1"/>
  <c r="R4" i="7"/>
  <c r="R72" i="7" s="1"/>
  <c r="R125" i="7" s="1"/>
  <c r="Q4" i="7"/>
  <c r="Q72" i="7" s="1"/>
  <c r="Q125" i="7" s="1"/>
  <c r="B4" i="7"/>
  <c r="B2" i="7"/>
  <c r="B153" i="9"/>
  <c r="B152" i="9"/>
  <c r="B151" i="9"/>
  <c r="O149" i="9"/>
  <c r="N149" i="9"/>
  <c r="B149" i="9"/>
  <c r="B148" i="9"/>
  <c r="B147" i="9"/>
  <c r="Q146" i="9"/>
  <c r="B146" i="9"/>
  <c r="Q145" i="9"/>
  <c r="P145" i="9"/>
  <c r="P149" i="9" s="1"/>
  <c r="B144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Q142" i="9"/>
  <c r="B142" i="9"/>
  <c r="R141" i="9"/>
  <c r="P141" i="9"/>
  <c r="B141" i="9"/>
  <c r="B140" i="9"/>
  <c r="P139" i="9"/>
  <c r="P142" i="9" s="1"/>
  <c r="B139" i="9"/>
  <c r="B138" i="9"/>
  <c r="O136" i="9"/>
  <c r="O151" i="9" s="1"/>
  <c r="N136" i="9"/>
  <c r="N151" i="9" s="1"/>
  <c r="N153" i="9" s="1"/>
  <c r="B136" i="9"/>
  <c r="C135" i="9"/>
  <c r="P134" i="9"/>
  <c r="C134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R133" i="9" s="1"/>
  <c r="P133" i="9"/>
  <c r="C133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R132" i="9" s="1"/>
  <c r="P132" i="9"/>
  <c r="C132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R131" i="9" s="1"/>
  <c r="P131" i="9"/>
  <c r="C131" i="9"/>
  <c r="AE130" i="9"/>
  <c r="AE129" i="9" s="1"/>
  <c r="AD130" i="9"/>
  <c r="AD129" i="9" s="1"/>
  <c r="AC130" i="9"/>
  <c r="AC129" i="9" s="1"/>
  <c r="AB130" i="9"/>
  <c r="AB129" i="9" s="1"/>
  <c r="AA130" i="9"/>
  <c r="AA129" i="9" s="1"/>
  <c r="Z130" i="9"/>
  <c r="Z129" i="9" s="1"/>
  <c r="Y130" i="9"/>
  <c r="Y129" i="9" s="1"/>
  <c r="X130" i="9"/>
  <c r="X129" i="9" s="1"/>
  <c r="W130" i="9"/>
  <c r="W129" i="9" s="1"/>
  <c r="V130" i="9"/>
  <c r="V129" i="9" s="1"/>
  <c r="U130" i="9"/>
  <c r="U129" i="9" s="1"/>
  <c r="T130" i="9"/>
  <c r="P130" i="9"/>
  <c r="P129" i="9" s="1"/>
  <c r="C130" i="9"/>
  <c r="B129" i="9"/>
  <c r="B128" i="9"/>
  <c r="B127" i="9"/>
  <c r="B126" i="9"/>
  <c r="B125" i="9"/>
  <c r="AK123" i="9"/>
  <c r="AJ123" i="9"/>
  <c r="AI123" i="9"/>
  <c r="AH123" i="9"/>
  <c r="AG123" i="9"/>
  <c r="O122" i="9"/>
  <c r="N122" i="9"/>
  <c r="B122" i="9"/>
  <c r="C120" i="9"/>
  <c r="AE118" i="9"/>
  <c r="R118" i="9" s="1"/>
  <c r="AD118" i="9"/>
  <c r="AC118" i="9"/>
  <c r="AB118" i="9"/>
  <c r="AA118" i="9"/>
  <c r="Z118" i="9"/>
  <c r="Y118" i="9"/>
  <c r="X118" i="9"/>
  <c r="W118" i="9"/>
  <c r="V118" i="9"/>
  <c r="U118" i="9"/>
  <c r="T118" i="9"/>
  <c r="C118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C117" i="9"/>
  <c r="B116" i="9"/>
  <c r="AE115" i="9"/>
  <c r="AD115" i="9"/>
  <c r="AD113" i="9" s="1"/>
  <c r="AC115" i="9"/>
  <c r="AC113" i="9" s="1"/>
  <c r="AB115" i="9"/>
  <c r="AB113" i="9" s="1"/>
  <c r="AA115" i="9"/>
  <c r="AA113" i="9" s="1"/>
  <c r="Z115" i="9"/>
  <c r="Z113" i="9" s="1"/>
  <c r="Y115" i="9"/>
  <c r="Y113" i="9" s="1"/>
  <c r="X115" i="9"/>
  <c r="X113" i="9" s="1"/>
  <c r="W115" i="9"/>
  <c r="W113" i="9" s="1"/>
  <c r="V115" i="9"/>
  <c r="V113" i="9" s="1"/>
  <c r="U115" i="9"/>
  <c r="U113" i="9" s="1"/>
  <c r="T115" i="9"/>
  <c r="T113" i="9" s="1"/>
  <c r="T107" i="9" s="1"/>
  <c r="C115" i="9"/>
  <c r="C114" i="9"/>
  <c r="B113" i="9"/>
  <c r="U111" i="9"/>
  <c r="C111" i="9"/>
  <c r="C110" i="9"/>
  <c r="C109" i="9"/>
  <c r="B108" i="9"/>
  <c r="B107" i="9"/>
  <c r="Q105" i="9"/>
  <c r="O105" i="9"/>
  <c r="O123" i="9" s="1"/>
  <c r="N105" i="9"/>
  <c r="N123" i="9" s="1"/>
  <c r="B105" i="9"/>
  <c r="C101" i="9"/>
  <c r="B100" i="9"/>
  <c r="B99" i="9"/>
  <c r="B98" i="9"/>
  <c r="C97" i="9"/>
  <c r="B96" i="9"/>
  <c r="E95" i="9"/>
  <c r="E94" i="9"/>
  <c r="C93" i="9"/>
  <c r="E92" i="9"/>
  <c r="E91" i="9"/>
  <c r="C90" i="9"/>
  <c r="E89" i="9"/>
  <c r="E88" i="9"/>
  <c r="AE80" i="9"/>
  <c r="AD80" i="9"/>
  <c r="AD77" i="9" s="1"/>
  <c r="AC80" i="9"/>
  <c r="AC77" i="9" s="1"/>
  <c r="AB80" i="9"/>
  <c r="AB77" i="9" s="1"/>
  <c r="AA80" i="9"/>
  <c r="AA77" i="9" s="1"/>
  <c r="Z80" i="9"/>
  <c r="Z77" i="9" s="1"/>
  <c r="Y80" i="9"/>
  <c r="Y77" i="9" s="1"/>
  <c r="X80" i="9"/>
  <c r="X77" i="9" s="1"/>
  <c r="W80" i="9"/>
  <c r="W77" i="9" s="1"/>
  <c r="V80" i="9"/>
  <c r="V77" i="9" s="1"/>
  <c r="U80" i="9"/>
  <c r="U77" i="9" s="1"/>
  <c r="T80" i="9"/>
  <c r="T77" i="9" s="1"/>
  <c r="AD58" i="9"/>
  <c r="AC58" i="9"/>
  <c r="AA58" i="9"/>
  <c r="Z58" i="9"/>
  <c r="X58" i="9"/>
  <c r="V58" i="9"/>
  <c r="U58" i="9"/>
  <c r="T58" i="9"/>
  <c r="Q58" i="9"/>
  <c r="P58" i="9"/>
  <c r="O58" i="9"/>
  <c r="N58" i="9"/>
  <c r="AD53" i="9"/>
  <c r="AC53" i="9"/>
  <c r="AA53" i="9"/>
  <c r="Z53" i="9"/>
  <c r="X53" i="9"/>
  <c r="W53" i="9"/>
  <c r="U53" i="9"/>
  <c r="T53" i="9"/>
  <c r="R53" i="9"/>
  <c r="P53" i="9"/>
  <c r="AK49" i="9"/>
  <c r="AI49" i="9"/>
  <c r="AH49" i="9"/>
  <c r="AG49" i="9"/>
  <c r="AE49" i="9"/>
  <c r="AB49" i="9"/>
  <c r="AA49" i="9"/>
  <c r="Y49" i="9"/>
  <c r="X49" i="9"/>
  <c r="V49" i="9"/>
  <c r="U49" i="9"/>
  <c r="T49" i="9"/>
  <c r="Q49" i="9"/>
  <c r="P49" i="9"/>
  <c r="N49" i="9"/>
  <c r="R47" i="9"/>
  <c r="Q47" i="9"/>
  <c r="P47" i="9"/>
  <c r="O47" i="9"/>
  <c r="N47" i="9"/>
  <c r="Q45" i="9"/>
  <c r="P45" i="9"/>
  <c r="N45" i="9"/>
  <c r="AK42" i="9"/>
  <c r="AJ42" i="9"/>
  <c r="AI42" i="9"/>
  <c r="AH42" i="9"/>
  <c r="AG42" i="9"/>
  <c r="AE42" i="9"/>
  <c r="AD42" i="9"/>
  <c r="AC42" i="9"/>
  <c r="AB42" i="9"/>
  <c r="AA42" i="9"/>
  <c r="Z42" i="9"/>
  <c r="Y42" i="9"/>
  <c r="R40" i="9"/>
  <c r="Q40" i="9"/>
  <c r="O40" i="9"/>
  <c r="N40" i="9"/>
  <c r="P38" i="9"/>
  <c r="O38" i="9"/>
  <c r="W36" i="9"/>
  <c r="W42" i="9" s="1"/>
  <c r="V36" i="9"/>
  <c r="V42" i="9" s="1"/>
  <c r="U36" i="9"/>
  <c r="U42" i="9" s="1"/>
  <c r="T36" i="9"/>
  <c r="T42" i="9" s="1"/>
  <c r="R36" i="9"/>
  <c r="R42" i="9" s="1"/>
  <c r="Q36" i="9"/>
  <c r="Q42" i="9" s="1"/>
  <c r="P36" i="9"/>
  <c r="P42" i="9" s="1"/>
  <c r="O36" i="9"/>
  <c r="O42" i="9" s="1"/>
  <c r="N36" i="9"/>
  <c r="N42" i="9" s="1"/>
  <c r="B36" i="9"/>
  <c r="C35" i="9"/>
  <c r="B34" i="9"/>
  <c r="C33" i="9"/>
  <c r="AK32" i="9"/>
  <c r="AJ32" i="9"/>
  <c r="AI32" i="9"/>
  <c r="AH32" i="9"/>
  <c r="AG32" i="9"/>
  <c r="AD32" i="9"/>
  <c r="AD33" i="9" s="1"/>
  <c r="AC32" i="9"/>
  <c r="AC33" i="9" s="1"/>
  <c r="AB32" i="9"/>
  <c r="AB33" i="9" s="1"/>
  <c r="AA32" i="9"/>
  <c r="AA33" i="9" s="1"/>
  <c r="Z32" i="9"/>
  <c r="Z33" i="9" s="1"/>
  <c r="Y32" i="9"/>
  <c r="Y33" i="9" s="1"/>
  <c r="X32" i="9"/>
  <c r="X33" i="9" s="1"/>
  <c r="W32" i="9"/>
  <c r="W33" i="9" s="1"/>
  <c r="V32" i="9"/>
  <c r="V33" i="9" s="1"/>
  <c r="U32" i="9"/>
  <c r="U33" i="9" s="1"/>
  <c r="T32" i="9"/>
  <c r="T33" i="9" s="1"/>
  <c r="Q32" i="9"/>
  <c r="Q33" i="9" s="1"/>
  <c r="P32" i="9"/>
  <c r="P33" i="9" s="1"/>
  <c r="O32" i="9"/>
  <c r="O33" i="9" s="1"/>
  <c r="N32" i="9"/>
  <c r="N33" i="9" s="1"/>
  <c r="B32" i="9"/>
  <c r="AK31" i="9"/>
  <c r="AJ31" i="9"/>
  <c r="AI31" i="9"/>
  <c r="AH31" i="9"/>
  <c r="AG31" i="9"/>
  <c r="AE31" i="9"/>
  <c r="AD31" i="9"/>
  <c r="AC31" i="9"/>
  <c r="AB31" i="9"/>
  <c r="AA31" i="9"/>
  <c r="Z31" i="9"/>
  <c r="Y31" i="9"/>
  <c r="X31" i="9"/>
  <c r="W31" i="9"/>
  <c r="V31" i="9"/>
  <c r="U31" i="9"/>
  <c r="T31" i="9"/>
  <c r="R31" i="9"/>
  <c r="Q31" i="9"/>
  <c r="P31" i="9"/>
  <c r="O31" i="9"/>
  <c r="N31" i="9"/>
  <c r="C31" i="9"/>
  <c r="D30" i="9"/>
  <c r="AD29" i="9"/>
  <c r="AC29" i="9"/>
  <c r="AB29" i="9"/>
  <c r="AA29" i="9"/>
  <c r="Z29" i="9"/>
  <c r="Y29" i="9"/>
  <c r="X29" i="9"/>
  <c r="W29" i="9"/>
  <c r="V29" i="9"/>
  <c r="U29" i="9"/>
  <c r="T29" i="9"/>
  <c r="Q29" i="9"/>
  <c r="P29" i="9"/>
  <c r="O29" i="9"/>
  <c r="N29" i="9"/>
  <c r="C29" i="9"/>
  <c r="AD28" i="9"/>
  <c r="AC28" i="9"/>
  <c r="AB28" i="9"/>
  <c r="AA28" i="9"/>
  <c r="Z28" i="9"/>
  <c r="Y28" i="9"/>
  <c r="X28" i="9"/>
  <c r="W28" i="9"/>
  <c r="V28" i="9"/>
  <c r="U28" i="9"/>
  <c r="T28" i="9"/>
  <c r="Q28" i="9"/>
  <c r="P28" i="9"/>
  <c r="O28" i="9"/>
  <c r="N28" i="9"/>
  <c r="C28" i="9"/>
  <c r="R27" i="9"/>
  <c r="Q27" i="9"/>
  <c r="P27" i="9"/>
  <c r="O27" i="9"/>
  <c r="N27" i="9"/>
  <c r="E27" i="9"/>
  <c r="D26" i="9"/>
  <c r="R25" i="9"/>
  <c r="Q25" i="9"/>
  <c r="P25" i="9"/>
  <c r="O25" i="9"/>
  <c r="N25" i="9"/>
  <c r="E25" i="9"/>
  <c r="D24" i="9"/>
  <c r="B23" i="9"/>
  <c r="C22" i="9"/>
  <c r="C21" i="9"/>
  <c r="AE20" i="9"/>
  <c r="AD20" i="9"/>
  <c r="AC20" i="9"/>
  <c r="AB20" i="9"/>
  <c r="AA20" i="9"/>
  <c r="Z20" i="9"/>
  <c r="Y20" i="9"/>
  <c r="X20" i="9"/>
  <c r="W20" i="9"/>
  <c r="V20" i="9"/>
  <c r="U20" i="9"/>
  <c r="T20" i="9"/>
  <c r="R20" i="9"/>
  <c r="Q20" i="9"/>
  <c r="P20" i="9"/>
  <c r="O20" i="9"/>
  <c r="N20" i="9"/>
  <c r="B20" i="9"/>
  <c r="R19" i="9"/>
  <c r="Q19" i="9"/>
  <c r="P19" i="9"/>
  <c r="O19" i="9"/>
  <c r="N19" i="9"/>
  <c r="C19" i="9"/>
  <c r="C18" i="9"/>
  <c r="C17" i="9"/>
  <c r="C16" i="9"/>
  <c r="C15" i="9"/>
  <c r="C14" i="9"/>
  <c r="C13" i="9"/>
  <c r="B12" i="9"/>
  <c r="R11" i="9"/>
  <c r="Q11" i="9"/>
  <c r="P11" i="9"/>
  <c r="O11" i="9"/>
  <c r="N11" i="9"/>
  <c r="C11" i="9"/>
  <c r="B10" i="9"/>
  <c r="AE9" i="9"/>
  <c r="AD9" i="9"/>
  <c r="AC9" i="9"/>
  <c r="AB9" i="9"/>
  <c r="AA9" i="9"/>
  <c r="Z9" i="9"/>
  <c r="Y9" i="9"/>
  <c r="X9" i="9"/>
  <c r="W9" i="9"/>
  <c r="V9" i="9"/>
  <c r="U9" i="9"/>
  <c r="T9" i="9"/>
  <c r="R9" i="9"/>
  <c r="Q9" i="9"/>
  <c r="P9" i="9"/>
  <c r="O9" i="9"/>
  <c r="N9" i="9"/>
  <c r="C9" i="9"/>
  <c r="R8" i="9"/>
  <c r="Q8" i="9"/>
  <c r="P8" i="9"/>
  <c r="O8" i="9"/>
  <c r="N8" i="9"/>
  <c r="C8" i="9"/>
  <c r="B7" i="9"/>
  <c r="R6" i="9"/>
  <c r="Q6" i="9"/>
  <c r="P6" i="9"/>
  <c r="O6" i="9"/>
  <c r="N6" i="9"/>
  <c r="C6" i="9"/>
  <c r="B5" i="9"/>
  <c r="AK4" i="9"/>
  <c r="AK72" i="9" s="1"/>
  <c r="AK125" i="9" s="1"/>
  <c r="AJ4" i="9"/>
  <c r="AJ72" i="9" s="1"/>
  <c r="AJ125" i="9" s="1"/>
  <c r="AI4" i="9"/>
  <c r="AI72" i="9" s="1"/>
  <c r="AI125" i="9" s="1"/>
  <c r="AH4" i="9"/>
  <c r="AH72" i="9" s="1"/>
  <c r="AH125" i="9" s="1"/>
  <c r="AG4" i="9"/>
  <c r="AG72" i="9" s="1"/>
  <c r="AG125" i="9" s="1"/>
  <c r="R4" i="9"/>
  <c r="R72" i="9" s="1"/>
  <c r="R125" i="9" s="1"/>
  <c r="Q4" i="9"/>
  <c r="Q72" i="9" s="1"/>
  <c r="Q125" i="9" s="1"/>
  <c r="B4" i="9"/>
  <c r="B2" i="9"/>
  <c r="AE58" i="9"/>
  <c r="AB58" i="9"/>
  <c r="Y58" i="9"/>
  <c r="W58" i="9"/>
  <c r="R58" i="9"/>
  <c r="AK54" i="9"/>
  <c r="AJ54" i="9"/>
  <c r="AI54" i="9"/>
  <c r="AH54" i="9"/>
  <c r="AG54" i="9"/>
  <c r="AE53" i="9"/>
  <c r="AB53" i="9"/>
  <c r="Y53" i="9"/>
  <c r="V53" i="9"/>
  <c r="Q53" i="9"/>
  <c r="AJ49" i="9"/>
  <c r="AD49" i="9"/>
  <c r="Z49" i="9"/>
  <c r="W49" i="9"/>
  <c r="O49" i="9"/>
  <c r="R45" i="9"/>
  <c r="O45" i="9"/>
  <c r="X42" i="9"/>
  <c r="AG40" i="9"/>
  <c r="P40" i="9"/>
  <c r="R38" i="9"/>
  <c r="Q38" i="9"/>
  <c r="N38" i="9"/>
  <c r="B153" i="8"/>
  <c r="B152" i="8"/>
  <c r="B151" i="8"/>
  <c r="N149" i="8"/>
  <c r="B149" i="8"/>
  <c r="B148" i="8"/>
  <c r="B147" i="8"/>
  <c r="Q146" i="8"/>
  <c r="B146" i="8"/>
  <c r="O145" i="8"/>
  <c r="O149" i="8" s="1"/>
  <c r="B144" i="8"/>
  <c r="AE142" i="8"/>
  <c r="AD142" i="8"/>
  <c r="AC142" i="8"/>
  <c r="AB142" i="8"/>
  <c r="AA142" i="8"/>
  <c r="Z142" i="8"/>
  <c r="Y142" i="8"/>
  <c r="X142" i="8"/>
  <c r="W142" i="8"/>
  <c r="V142" i="8"/>
  <c r="U142" i="8"/>
  <c r="T142" i="8"/>
  <c r="B142" i="8"/>
  <c r="Q141" i="8"/>
  <c r="P141" i="8"/>
  <c r="O141" i="8"/>
  <c r="N141" i="8"/>
  <c r="B141" i="8"/>
  <c r="B140" i="8"/>
  <c r="N139" i="8"/>
  <c r="N142" i="8" s="1"/>
  <c r="B139" i="8"/>
  <c r="B138" i="8"/>
  <c r="B136" i="8"/>
  <c r="Q135" i="8"/>
  <c r="P135" i="8"/>
  <c r="C135" i="8"/>
  <c r="Q134" i="8"/>
  <c r="Q129" i="8" s="1"/>
  <c r="O134" i="8"/>
  <c r="O129" i="8" s="1"/>
  <c r="N134" i="8"/>
  <c r="N129" i="8" s="1"/>
  <c r="C134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P133" i="8"/>
  <c r="C133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R132" i="8" s="1"/>
  <c r="P132" i="8"/>
  <c r="C132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R131" i="8" s="1"/>
  <c r="P131" i="8"/>
  <c r="C131" i="8"/>
  <c r="AE130" i="8"/>
  <c r="AE129" i="8" s="1"/>
  <c r="AD130" i="8"/>
  <c r="AD129" i="8" s="1"/>
  <c r="AC130" i="8"/>
  <c r="AC129" i="8" s="1"/>
  <c r="AB130" i="8"/>
  <c r="AB129" i="8" s="1"/>
  <c r="AA130" i="8"/>
  <c r="AA129" i="8" s="1"/>
  <c r="Z130" i="8"/>
  <c r="Z129" i="8" s="1"/>
  <c r="Y130" i="8"/>
  <c r="Y129" i="8" s="1"/>
  <c r="X130" i="8"/>
  <c r="X129" i="8" s="1"/>
  <c r="W130" i="8"/>
  <c r="W129" i="8" s="1"/>
  <c r="V130" i="8"/>
  <c r="V129" i="8" s="1"/>
  <c r="U130" i="8"/>
  <c r="U129" i="8" s="1"/>
  <c r="T130" i="8"/>
  <c r="P130" i="8"/>
  <c r="C130" i="8"/>
  <c r="B129" i="8"/>
  <c r="B128" i="8"/>
  <c r="B127" i="8"/>
  <c r="B126" i="8"/>
  <c r="B125" i="8"/>
  <c r="AK123" i="8"/>
  <c r="AJ123" i="8"/>
  <c r="AI123" i="8"/>
  <c r="AH123" i="8"/>
  <c r="AG123" i="8"/>
  <c r="B122" i="8"/>
  <c r="C120" i="8"/>
  <c r="AE118" i="8"/>
  <c r="R118" i="8" s="1"/>
  <c r="AD118" i="8"/>
  <c r="AC118" i="8"/>
  <c r="AB118" i="8"/>
  <c r="AA118" i="8"/>
  <c r="Z118" i="8"/>
  <c r="Y118" i="8"/>
  <c r="X118" i="8"/>
  <c r="W118" i="8"/>
  <c r="V118" i="8"/>
  <c r="U118" i="8"/>
  <c r="T118" i="8"/>
  <c r="C118" i="8"/>
  <c r="Q117" i="8"/>
  <c r="P117" i="8"/>
  <c r="C117" i="8"/>
  <c r="B116" i="8"/>
  <c r="AE115" i="8"/>
  <c r="AD115" i="8"/>
  <c r="AD113" i="8" s="1"/>
  <c r="AC115" i="8"/>
  <c r="AC113" i="8" s="1"/>
  <c r="AB115" i="8"/>
  <c r="AB113" i="8" s="1"/>
  <c r="AA115" i="8"/>
  <c r="AA113" i="8" s="1"/>
  <c r="Z115" i="8"/>
  <c r="Z113" i="8" s="1"/>
  <c r="Y115" i="8"/>
  <c r="Y113" i="8" s="1"/>
  <c r="X115" i="8"/>
  <c r="X113" i="8" s="1"/>
  <c r="W115" i="8"/>
  <c r="W113" i="8" s="1"/>
  <c r="V115" i="8"/>
  <c r="V113" i="8" s="1"/>
  <c r="U115" i="8"/>
  <c r="U113" i="8" s="1"/>
  <c r="T115" i="8"/>
  <c r="T113" i="8" s="1"/>
  <c r="T107" i="8" s="1"/>
  <c r="C115" i="8"/>
  <c r="C114" i="8"/>
  <c r="B113" i="8"/>
  <c r="C111" i="8"/>
  <c r="C110" i="8"/>
  <c r="C109" i="8"/>
  <c r="B108" i="8"/>
  <c r="B107" i="8"/>
  <c r="Q105" i="8"/>
  <c r="N105" i="8"/>
  <c r="B105" i="8"/>
  <c r="C101" i="8"/>
  <c r="B100" i="8"/>
  <c r="B99" i="8"/>
  <c r="AE98" i="8"/>
  <c r="AD98" i="8"/>
  <c r="AD85" i="8" s="1"/>
  <c r="AC98" i="8"/>
  <c r="AC85" i="8" s="1"/>
  <c r="AB98" i="8"/>
  <c r="AB85" i="8" s="1"/>
  <c r="AA98" i="8"/>
  <c r="AA85" i="8" s="1"/>
  <c r="Z98" i="8"/>
  <c r="Z85" i="8" s="1"/>
  <c r="Y98" i="8"/>
  <c r="Y85" i="8" s="1"/>
  <c r="X98" i="8"/>
  <c r="X85" i="8" s="1"/>
  <c r="W98" i="8"/>
  <c r="W85" i="8" s="1"/>
  <c r="V98" i="8"/>
  <c r="V85" i="8" s="1"/>
  <c r="U98" i="8"/>
  <c r="U85" i="8" s="1"/>
  <c r="T98" i="8"/>
  <c r="T85" i="8" s="1"/>
  <c r="B98" i="8"/>
  <c r="C97" i="8"/>
  <c r="B96" i="8"/>
  <c r="E95" i="8"/>
  <c r="E94" i="8"/>
  <c r="C93" i="8"/>
  <c r="E92" i="8"/>
  <c r="E91" i="8"/>
  <c r="C90" i="8"/>
  <c r="P89" i="8"/>
  <c r="E89" i="8"/>
  <c r="O88" i="8"/>
  <c r="O88" i="10" s="1"/>
  <c r="E88" i="8"/>
  <c r="C87" i="8"/>
  <c r="B86" i="8"/>
  <c r="B85" i="8"/>
  <c r="P83" i="8"/>
  <c r="B83" i="8"/>
  <c r="C82" i="8"/>
  <c r="B81" i="8"/>
  <c r="C80" i="8"/>
  <c r="C79" i="8"/>
  <c r="C78" i="8"/>
  <c r="B77" i="8"/>
  <c r="C76" i="8"/>
  <c r="C75" i="8"/>
  <c r="B74" i="8"/>
  <c r="B73" i="8"/>
  <c r="P72" i="8"/>
  <c r="P125" i="8" s="1"/>
  <c r="O72" i="8"/>
  <c r="N72" i="8"/>
  <c r="B72" i="8"/>
  <c r="C70" i="8"/>
  <c r="B69" i="8"/>
  <c r="C68" i="8"/>
  <c r="C67" i="8"/>
  <c r="C66" i="8"/>
  <c r="B65" i="8"/>
  <c r="C64" i="8"/>
  <c r="C63" i="8"/>
  <c r="P62" i="8"/>
  <c r="O62" i="8"/>
  <c r="N62" i="8"/>
  <c r="C62" i="8"/>
  <c r="C61" i="8"/>
  <c r="B60" i="8"/>
  <c r="AE58" i="8"/>
  <c r="AD58" i="8"/>
  <c r="AC58" i="8"/>
  <c r="AB58" i="8"/>
  <c r="AA58" i="8"/>
  <c r="Z58" i="8"/>
  <c r="Y58" i="8"/>
  <c r="X58" i="8"/>
  <c r="W58" i="8"/>
  <c r="V58" i="8"/>
  <c r="U58" i="8"/>
  <c r="T58" i="8"/>
  <c r="R58" i="8"/>
  <c r="P58" i="8"/>
  <c r="O58" i="8"/>
  <c r="N58" i="8"/>
  <c r="C58" i="8"/>
  <c r="C57" i="8"/>
  <c r="C56" i="8"/>
  <c r="C54" i="8"/>
  <c r="AK53" i="8"/>
  <c r="AK54" i="8" s="1"/>
  <c r="AJ53" i="8"/>
  <c r="AJ54" i="8" s="1"/>
  <c r="AI53" i="8"/>
  <c r="AI54" i="8" s="1"/>
  <c r="AH53" i="8"/>
  <c r="AH54" i="8" s="1"/>
  <c r="AG53" i="8"/>
  <c r="AG54" i="8" s="1"/>
  <c r="AE53" i="8"/>
  <c r="AD53" i="8"/>
  <c r="AC53" i="8"/>
  <c r="AB53" i="8"/>
  <c r="AA53" i="8"/>
  <c r="Z53" i="8"/>
  <c r="Y53" i="8"/>
  <c r="X53" i="8"/>
  <c r="W53" i="8"/>
  <c r="V53" i="8"/>
  <c r="U53" i="8"/>
  <c r="T53" i="8"/>
  <c r="R53" i="8"/>
  <c r="R54" i="8" s="1"/>
  <c r="Q53" i="8"/>
  <c r="P53" i="8"/>
  <c r="O53" i="8"/>
  <c r="N53" i="8"/>
  <c r="C53" i="8"/>
  <c r="C52" i="8"/>
  <c r="AK49" i="8"/>
  <c r="AJ49" i="8"/>
  <c r="AI49" i="8"/>
  <c r="AH49" i="8"/>
  <c r="AG49" i="8"/>
  <c r="AE49" i="8"/>
  <c r="AD49" i="8"/>
  <c r="AC49" i="8"/>
  <c r="AB49" i="8"/>
  <c r="AA49" i="8"/>
  <c r="Z49" i="8"/>
  <c r="Y49" i="8"/>
  <c r="X49" i="8"/>
  <c r="W49" i="8"/>
  <c r="V49" i="8"/>
  <c r="U49" i="8"/>
  <c r="T49" i="8"/>
  <c r="Q49" i="8"/>
  <c r="P49" i="8"/>
  <c r="O49" i="8"/>
  <c r="N49" i="8"/>
  <c r="C49" i="8"/>
  <c r="D48" i="8"/>
  <c r="R47" i="8"/>
  <c r="Q47" i="8"/>
  <c r="P47" i="8"/>
  <c r="O47" i="8"/>
  <c r="N47" i="8"/>
  <c r="F47" i="8"/>
  <c r="D46" i="8"/>
  <c r="R45" i="8"/>
  <c r="Q45" i="8"/>
  <c r="P45" i="8"/>
  <c r="O45" i="8"/>
  <c r="N45" i="8"/>
  <c r="F45" i="8"/>
  <c r="D44" i="8"/>
  <c r="B43" i="8"/>
  <c r="AK42" i="8"/>
  <c r="AJ42" i="8"/>
  <c r="AI42" i="8"/>
  <c r="AH42" i="8"/>
  <c r="AG42" i="8"/>
  <c r="AE42" i="8"/>
  <c r="AD42" i="8"/>
  <c r="AC42" i="8"/>
  <c r="AB42" i="8"/>
  <c r="AA42" i="8"/>
  <c r="Z42" i="8"/>
  <c r="Y42" i="8"/>
  <c r="X42" i="8"/>
  <c r="W42" i="8"/>
  <c r="V42" i="8"/>
  <c r="U42" i="8"/>
  <c r="T42" i="8"/>
  <c r="R42" i="8"/>
  <c r="Q42" i="8"/>
  <c r="P42" i="8"/>
  <c r="O42" i="8"/>
  <c r="N42" i="8"/>
  <c r="C42" i="8"/>
  <c r="D41" i="8"/>
  <c r="AG40" i="8"/>
  <c r="R40" i="8"/>
  <c r="Q40" i="8"/>
  <c r="P40" i="8"/>
  <c r="O40" i="8"/>
  <c r="N40" i="8"/>
  <c r="F40" i="8"/>
  <c r="D39" i="8"/>
  <c r="R38" i="8"/>
  <c r="Q38" i="8"/>
  <c r="P38" i="8"/>
  <c r="O38" i="8"/>
  <c r="N38" i="8"/>
  <c r="F38" i="8"/>
  <c r="D37" i="8"/>
  <c r="B36" i="8"/>
  <c r="C35" i="8"/>
  <c r="B34" i="8"/>
  <c r="C33" i="8"/>
  <c r="AK32" i="8"/>
  <c r="AJ32" i="8"/>
  <c r="AI32" i="8"/>
  <c r="AH32" i="8"/>
  <c r="AG32" i="8"/>
  <c r="AE32" i="8"/>
  <c r="AE33" i="8" s="1"/>
  <c r="AD32" i="8"/>
  <c r="AD33" i="8" s="1"/>
  <c r="AC32" i="8"/>
  <c r="AC33" i="8" s="1"/>
  <c r="AB32" i="8"/>
  <c r="AB33" i="8" s="1"/>
  <c r="AA32" i="8"/>
  <c r="AA33" i="8" s="1"/>
  <c r="Z32" i="8"/>
  <c r="Z33" i="8" s="1"/>
  <c r="Y32" i="8"/>
  <c r="Y33" i="8" s="1"/>
  <c r="X32" i="8"/>
  <c r="X33" i="8" s="1"/>
  <c r="W32" i="8"/>
  <c r="W33" i="8" s="1"/>
  <c r="V32" i="8"/>
  <c r="V33" i="8" s="1"/>
  <c r="U32" i="8"/>
  <c r="U33" i="8" s="1"/>
  <c r="T32" i="8"/>
  <c r="T33" i="8" s="1"/>
  <c r="Q32" i="8"/>
  <c r="P32" i="8"/>
  <c r="P33" i="8" s="1"/>
  <c r="O32" i="8"/>
  <c r="O33" i="8" s="1"/>
  <c r="N32" i="8"/>
  <c r="N33" i="8" s="1"/>
  <c r="B32" i="8"/>
  <c r="AK31" i="8"/>
  <c r="AJ31" i="8"/>
  <c r="AI31" i="8"/>
  <c r="AH31" i="8"/>
  <c r="AG31" i="8"/>
  <c r="AE31" i="8"/>
  <c r="AD31" i="8"/>
  <c r="AC31" i="8"/>
  <c r="AB31" i="8"/>
  <c r="AA31" i="8"/>
  <c r="Z31" i="8"/>
  <c r="Y31" i="8"/>
  <c r="X31" i="8"/>
  <c r="W31" i="8"/>
  <c r="V31" i="8"/>
  <c r="U31" i="8"/>
  <c r="T31" i="8"/>
  <c r="R31" i="8"/>
  <c r="P31" i="8"/>
  <c r="O31" i="8"/>
  <c r="N31" i="8"/>
  <c r="C31" i="8"/>
  <c r="D30" i="8"/>
  <c r="AE29" i="8"/>
  <c r="AD29" i="8"/>
  <c r="AC29" i="8"/>
  <c r="AB29" i="8"/>
  <c r="AA29" i="8"/>
  <c r="Z29" i="8"/>
  <c r="Y29" i="8"/>
  <c r="X29" i="8"/>
  <c r="W29" i="8"/>
  <c r="V29" i="8"/>
  <c r="U29" i="8"/>
  <c r="T29" i="8"/>
  <c r="R29" i="8"/>
  <c r="Q29" i="8"/>
  <c r="P29" i="8"/>
  <c r="O29" i="8"/>
  <c r="N29" i="8"/>
  <c r="C29" i="8"/>
  <c r="AE28" i="8"/>
  <c r="AD28" i="8"/>
  <c r="AC28" i="8"/>
  <c r="AB28" i="8"/>
  <c r="AA28" i="8"/>
  <c r="Z28" i="8"/>
  <c r="Y28" i="8"/>
  <c r="X28" i="8"/>
  <c r="W28" i="8"/>
  <c r="V28" i="8"/>
  <c r="U28" i="8"/>
  <c r="T28" i="8"/>
  <c r="R28" i="8"/>
  <c r="Q28" i="8"/>
  <c r="P28" i="8"/>
  <c r="O28" i="8"/>
  <c r="N28" i="8"/>
  <c r="C28" i="8"/>
  <c r="R27" i="8"/>
  <c r="Q27" i="8"/>
  <c r="P27" i="8"/>
  <c r="O27" i="8"/>
  <c r="N27" i="8"/>
  <c r="E27" i="8"/>
  <c r="D26" i="8"/>
  <c r="R25" i="8"/>
  <c r="Q25" i="8"/>
  <c r="P25" i="8"/>
  <c r="O25" i="8"/>
  <c r="N25" i="8"/>
  <c r="E25" i="8"/>
  <c r="D24" i="8"/>
  <c r="B23" i="8"/>
  <c r="C22" i="8"/>
  <c r="C21" i="8"/>
  <c r="AE20" i="8"/>
  <c r="AD20" i="8"/>
  <c r="AC20" i="8"/>
  <c r="AB20" i="8"/>
  <c r="AA20" i="8"/>
  <c r="Z20" i="8"/>
  <c r="Y20" i="8"/>
  <c r="X20" i="8"/>
  <c r="W20" i="8"/>
  <c r="V20" i="8"/>
  <c r="U20" i="8"/>
  <c r="T20" i="8"/>
  <c r="Q20" i="8"/>
  <c r="P20" i="8"/>
  <c r="O20" i="8"/>
  <c r="N20" i="8"/>
  <c r="B20" i="8"/>
  <c r="Q19" i="8"/>
  <c r="P19" i="8"/>
  <c r="O19" i="8"/>
  <c r="N19" i="8"/>
  <c r="C19" i="8"/>
  <c r="C18" i="8"/>
  <c r="C17" i="8"/>
  <c r="C16" i="8"/>
  <c r="C15" i="8"/>
  <c r="C14" i="8"/>
  <c r="C13" i="8"/>
  <c r="B12" i="8"/>
  <c r="R11" i="8"/>
  <c r="P11" i="8"/>
  <c r="O11" i="8"/>
  <c r="N11" i="8"/>
  <c r="C11" i="8"/>
  <c r="B10" i="8"/>
  <c r="AE9" i="8"/>
  <c r="AD9" i="8"/>
  <c r="AC9" i="8"/>
  <c r="AB9" i="8"/>
  <c r="AA9" i="8"/>
  <c r="Z9" i="8"/>
  <c r="Y9" i="8"/>
  <c r="X9" i="8"/>
  <c r="W9" i="8"/>
  <c r="V9" i="8"/>
  <c r="U9" i="8"/>
  <c r="T9" i="8"/>
  <c r="R9" i="8"/>
  <c r="P9" i="8"/>
  <c r="O9" i="8"/>
  <c r="N9" i="8"/>
  <c r="C9" i="8"/>
  <c r="R8" i="8"/>
  <c r="Q8" i="8"/>
  <c r="P8" i="8"/>
  <c r="O8" i="8"/>
  <c r="N8" i="8"/>
  <c r="C8" i="8"/>
  <c r="B7" i="8"/>
  <c r="R6" i="8"/>
  <c r="Q6" i="8"/>
  <c r="P6" i="8"/>
  <c r="O6" i="8"/>
  <c r="N6" i="8"/>
  <c r="C6" i="8"/>
  <c r="B5" i="8"/>
  <c r="AK4" i="8"/>
  <c r="AK72" i="8" s="1"/>
  <c r="AK125" i="8" s="1"/>
  <c r="AJ4" i="8"/>
  <c r="AJ72" i="8" s="1"/>
  <c r="AJ125" i="8" s="1"/>
  <c r="AI4" i="8"/>
  <c r="AI72" i="8" s="1"/>
  <c r="AI125" i="8" s="1"/>
  <c r="AH4" i="8"/>
  <c r="AH72" i="8" s="1"/>
  <c r="AH125" i="8" s="1"/>
  <c r="AG4" i="8"/>
  <c r="AG72" i="8" s="1"/>
  <c r="AG125" i="8" s="1"/>
  <c r="R4" i="8"/>
  <c r="R72" i="8" s="1"/>
  <c r="R125" i="8" s="1"/>
  <c r="Q4" i="8"/>
  <c r="Q72" i="8" s="1"/>
  <c r="Q125" i="8" s="1"/>
  <c r="B4" i="8"/>
  <c r="B2" i="8"/>
  <c r="H24" i="3"/>
  <c r="G24" i="3"/>
  <c r="F24" i="3"/>
  <c r="E24" i="3"/>
  <c r="BV4" i="3"/>
  <c r="D24" i="5"/>
  <c r="D24" i="6"/>
  <c r="D24" i="4"/>
  <c r="D24" i="2"/>
  <c r="D24" i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 s="1"/>
  <c r="H4" i="3"/>
  <c r="G4" i="3"/>
  <c r="F4" i="3"/>
  <c r="E4" i="3"/>
  <c r="BU16" i="5"/>
  <c r="BT16" i="5"/>
  <c r="BS9" i="5"/>
  <c r="BQ20" i="6"/>
  <c r="BR9" i="6"/>
  <c r="I4" i="3" l="1"/>
  <c r="AC49" i="9"/>
  <c r="R49" i="9"/>
  <c r="R49" i="8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Q113" i="10"/>
  <c r="O47" i="10"/>
  <c r="N47" i="10"/>
  <c r="Q43" i="10"/>
  <c r="O45" i="10"/>
  <c r="N45" i="10"/>
  <c r="R43" i="10"/>
  <c r="P43" i="10"/>
  <c r="O43" i="10"/>
  <c r="N43" i="10"/>
  <c r="N38" i="10"/>
  <c r="R36" i="10"/>
  <c r="Q36" i="10"/>
  <c r="P36" i="10"/>
  <c r="O36" i="10"/>
  <c r="N36" i="10"/>
  <c r="N27" i="10"/>
  <c r="N23" i="10"/>
  <c r="N25" i="10"/>
  <c r="Q23" i="10"/>
  <c r="P23" i="10"/>
  <c r="O23" i="10"/>
  <c r="Q85" i="10"/>
  <c r="R23" i="10"/>
  <c r="P45" i="10"/>
  <c r="Q31" i="10"/>
  <c r="R27" i="10"/>
  <c r="R25" i="10"/>
  <c r="P25" i="10"/>
  <c r="N20" i="10"/>
  <c r="P19" i="10"/>
  <c r="Q11" i="10"/>
  <c r="AD9" i="10"/>
  <c r="R9" i="10"/>
  <c r="Q8" i="10"/>
  <c r="O8" i="10"/>
  <c r="R6" i="10"/>
  <c r="X142" i="10"/>
  <c r="P134" i="10"/>
  <c r="Q58" i="10"/>
  <c r="AE53" i="10"/>
  <c r="O53" i="10"/>
  <c r="Q47" i="10"/>
  <c r="Q40" i="10"/>
  <c r="R38" i="10"/>
  <c r="P38" i="10"/>
  <c r="AC31" i="10"/>
  <c r="O31" i="10"/>
  <c r="Q25" i="10"/>
  <c r="O20" i="10"/>
  <c r="N19" i="10"/>
  <c r="T9" i="10"/>
  <c r="P9" i="10"/>
  <c r="O6" i="10"/>
  <c r="AU1" i="10"/>
  <c r="AO1" i="10"/>
  <c r="AE134" i="10"/>
  <c r="Q62" i="10"/>
  <c r="P62" i="10"/>
  <c r="O62" i="10"/>
  <c r="N62" i="10"/>
  <c r="R58" i="10"/>
  <c r="P58" i="10"/>
  <c r="N58" i="10"/>
  <c r="AD53" i="10"/>
  <c r="AB53" i="10"/>
  <c r="Z53" i="10"/>
  <c r="X53" i="10"/>
  <c r="V53" i="10"/>
  <c r="T53" i="10"/>
  <c r="Q53" i="10"/>
  <c r="N53" i="10"/>
  <c r="P47" i="10"/>
  <c r="R45" i="10"/>
  <c r="Q45" i="10"/>
  <c r="R40" i="10"/>
  <c r="P40" i="10"/>
  <c r="N40" i="10"/>
  <c r="AE31" i="10"/>
  <c r="AB31" i="10"/>
  <c r="Z31" i="10"/>
  <c r="X31" i="10"/>
  <c r="V31" i="10"/>
  <c r="T31" i="10"/>
  <c r="N31" i="10"/>
  <c r="Q27" i="10"/>
  <c r="O27" i="10"/>
  <c r="P20" i="10"/>
  <c r="Q19" i="10"/>
  <c r="R11" i="10"/>
  <c r="P11" i="10"/>
  <c r="N11" i="10"/>
  <c r="AE9" i="10"/>
  <c r="AB9" i="10"/>
  <c r="AA9" i="10"/>
  <c r="Y9" i="10"/>
  <c r="W9" i="10"/>
  <c r="U9" i="10"/>
  <c r="O9" i="10"/>
  <c r="N9" i="10"/>
  <c r="R8" i="10"/>
  <c r="P8" i="10"/>
  <c r="N8" i="10"/>
  <c r="P6" i="10"/>
  <c r="N6" i="10"/>
  <c r="Z142" i="10"/>
  <c r="T142" i="10"/>
  <c r="P133" i="10"/>
  <c r="O58" i="10"/>
  <c r="AC53" i="10"/>
  <c r="AA53" i="10"/>
  <c r="Y53" i="10"/>
  <c r="W53" i="10"/>
  <c r="U53" i="10"/>
  <c r="R53" i="10"/>
  <c r="R54" i="10" s="1"/>
  <c r="P53" i="10"/>
  <c r="R47" i="10"/>
  <c r="AG40" i="10"/>
  <c r="O40" i="10"/>
  <c r="Q38" i="10"/>
  <c r="O38" i="10"/>
  <c r="AD31" i="10"/>
  <c r="AA31" i="10"/>
  <c r="Y31" i="10"/>
  <c r="W31" i="10"/>
  <c r="U31" i="10"/>
  <c r="R31" i="10"/>
  <c r="P31" i="10"/>
  <c r="P27" i="10"/>
  <c r="O25" i="10"/>
  <c r="Q20" i="10"/>
  <c r="O19" i="10"/>
  <c r="O11" i="10"/>
  <c r="AC9" i="10"/>
  <c r="Z9" i="10"/>
  <c r="X9" i="10"/>
  <c r="V9" i="10"/>
  <c r="Q9" i="10"/>
  <c r="Q6" i="10"/>
  <c r="R14" i="10"/>
  <c r="R12" i="8"/>
  <c r="R133" i="8"/>
  <c r="R139" i="10"/>
  <c r="Y23" i="10"/>
  <c r="X23" i="10"/>
  <c r="W23" i="10"/>
  <c r="V23" i="10"/>
  <c r="U23" i="10"/>
  <c r="T23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N86" i="10"/>
  <c r="N85" i="10" s="1"/>
  <c r="O139" i="10"/>
  <c r="O142" i="10" s="1"/>
  <c r="Q139" i="10"/>
  <c r="Q142" i="10" s="1"/>
  <c r="O87" i="10"/>
  <c r="O86" i="10" s="1"/>
  <c r="O85" i="10" s="1"/>
  <c r="AE142" i="10"/>
  <c r="AC142" i="10"/>
  <c r="AA142" i="10"/>
  <c r="Y142" i="10"/>
  <c r="W142" i="10"/>
  <c r="U142" i="10"/>
  <c r="R49" i="10"/>
  <c r="P49" i="10"/>
  <c r="N49" i="10"/>
  <c r="AD20" i="10"/>
  <c r="AB20" i="10"/>
  <c r="AA20" i="10"/>
  <c r="Y20" i="10"/>
  <c r="W20" i="10"/>
  <c r="U20" i="10"/>
  <c r="AD142" i="10"/>
  <c r="AB142" i="10"/>
  <c r="Q49" i="10"/>
  <c r="O49" i="10"/>
  <c r="AE20" i="10"/>
  <c r="AC20" i="10"/>
  <c r="Z20" i="10"/>
  <c r="X20" i="10"/>
  <c r="V20" i="10"/>
  <c r="T20" i="10"/>
  <c r="Q129" i="10"/>
  <c r="N129" i="10"/>
  <c r="AE32" i="9"/>
  <c r="AE33" i="9" s="1"/>
  <c r="R32" i="9"/>
  <c r="R33" i="9" s="1"/>
  <c r="AE29" i="9"/>
  <c r="R29" i="9"/>
  <c r="AE28" i="9"/>
  <c r="R28" i="9"/>
  <c r="AE29" i="10"/>
  <c r="AB29" i="10"/>
  <c r="Z29" i="10"/>
  <c r="AE28" i="10"/>
  <c r="AA28" i="10"/>
  <c r="Z28" i="10"/>
  <c r="AC23" i="10"/>
  <c r="AC28" i="10" s="1"/>
  <c r="AA32" i="10"/>
  <c r="AB28" i="10"/>
  <c r="AE32" i="10"/>
  <c r="AE33" i="10" s="1"/>
  <c r="Z32" i="10"/>
  <c r="Z33" i="10" s="1"/>
  <c r="AD29" i="10"/>
  <c r="AA29" i="10"/>
  <c r="AD28" i="10"/>
  <c r="Q125" i="10"/>
  <c r="P125" i="10"/>
  <c r="Q105" i="10"/>
  <c r="O105" i="10"/>
  <c r="N105" i="10"/>
  <c r="M105" i="10"/>
  <c r="R125" i="10"/>
  <c r="P125" i="9"/>
  <c r="V142" i="7"/>
  <c r="R142" i="7"/>
  <c r="R117" i="12"/>
  <c r="R145" i="12" s="1"/>
  <c r="R149" i="12" s="1"/>
  <c r="P145" i="12"/>
  <c r="AE128" i="12"/>
  <c r="AE54" i="12"/>
  <c r="AA54" i="12"/>
  <c r="AA128" i="12"/>
  <c r="Y54" i="12"/>
  <c r="Y128" i="12"/>
  <c r="V128" i="12"/>
  <c r="V54" i="12"/>
  <c r="T128" i="12"/>
  <c r="T54" i="12"/>
  <c r="O54" i="12"/>
  <c r="O128" i="12"/>
  <c r="AK35" i="12"/>
  <c r="AK51" i="12"/>
  <c r="AI35" i="12"/>
  <c r="AI51" i="12"/>
  <c r="AH51" i="12"/>
  <c r="AH35" i="12"/>
  <c r="AE34" i="12"/>
  <c r="AE33" i="12"/>
  <c r="AC33" i="12"/>
  <c r="AC34" i="12"/>
  <c r="AB34" i="12"/>
  <c r="AB33" i="12"/>
  <c r="Z34" i="12"/>
  <c r="Z33" i="12"/>
  <c r="Y33" i="12"/>
  <c r="Y34" i="12"/>
  <c r="W33" i="12"/>
  <c r="W34" i="12"/>
  <c r="V33" i="12"/>
  <c r="V34" i="12"/>
  <c r="Q33" i="12"/>
  <c r="Q34" i="12"/>
  <c r="AD21" i="12"/>
  <c r="AD22" i="12"/>
  <c r="AB21" i="12"/>
  <c r="AB22" i="12"/>
  <c r="Z22" i="12"/>
  <c r="Z21" i="12"/>
  <c r="Y21" i="12"/>
  <c r="Y22" i="12"/>
  <c r="X22" i="12"/>
  <c r="X21" i="12"/>
  <c r="U21" i="12"/>
  <c r="U22" i="12"/>
  <c r="P21" i="12"/>
  <c r="P22" i="12"/>
  <c r="O22" i="12"/>
  <c r="O21" i="12"/>
  <c r="U111" i="12"/>
  <c r="AD128" i="12"/>
  <c r="AD54" i="12"/>
  <c r="AB128" i="12"/>
  <c r="AB54" i="12"/>
  <c r="X54" i="12"/>
  <c r="X128" i="12"/>
  <c r="P54" i="12"/>
  <c r="P128" i="12"/>
  <c r="T34" i="12"/>
  <c r="T33" i="12"/>
  <c r="N33" i="12"/>
  <c r="N34" i="12"/>
  <c r="AC21" i="12"/>
  <c r="AC22" i="12"/>
  <c r="V22" i="12"/>
  <c r="V21" i="12"/>
  <c r="R115" i="12"/>
  <c r="AE113" i="12"/>
  <c r="R113" i="12" s="1"/>
  <c r="AC54" i="12"/>
  <c r="AC128" i="12"/>
  <c r="Z54" i="12"/>
  <c r="Z128" i="12"/>
  <c r="W54" i="12"/>
  <c r="W128" i="12"/>
  <c r="U128" i="12"/>
  <c r="U54" i="12"/>
  <c r="Q128" i="12"/>
  <c r="Q54" i="12"/>
  <c r="N128" i="12"/>
  <c r="N54" i="12"/>
  <c r="R45" i="12"/>
  <c r="R43" i="12"/>
  <c r="R49" i="12" s="1"/>
  <c r="AJ35" i="12"/>
  <c r="AJ51" i="12"/>
  <c r="AG35" i="12"/>
  <c r="AG51" i="12"/>
  <c r="AD33" i="12"/>
  <c r="AD34" i="12"/>
  <c r="AA34" i="12"/>
  <c r="AA33" i="12"/>
  <c r="X33" i="12"/>
  <c r="X34" i="12"/>
  <c r="U33" i="12"/>
  <c r="U34" i="12"/>
  <c r="P33" i="12"/>
  <c r="P34" i="12"/>
  <c r="O33" i="12"/>
  <c r="O34" i="12"/>
  <c r="AE21" i="12"/>
  <c r="AE22" i="12"/>
  <c r="AA22" i="12"/>
  <c r="AA21" i="12"/>
  <c r="W22" i="12"/>
  <c r="W21" i="12"/>
  <c r="T22" i="12"/>
  <c r="T21" i="12"/>
  <c r="Q22" i="12"/>
  <c r="Q21" i="12"/>
  <c r="N22" i="12"/>
  <c r="N21" i="12"/>
  <c r="V142" i="12"/>
  <c r="R142" i="12"/>
  <c r="R134" i="12"/>
  <c r="O123" i="12"/>
  <c r="AO1" i="12"/>
  <c r="R12" i="12"/>
  <c r="AU1" i="12"/>
  <c r="AE54" i="11"/>
  <c r="AE128" i="11"/>
  <c r="AD54" i="11"/>
  <c r="AD128" i="11"/>
  <c r="AC54" i="11"/>
  <c r="AC128" i="11"/>
  <c r="AB54" i="11"/>
  <c r="AB128" i="11"/>
  <c r="AA54" i="11"/>
  <c r="AA128" i="11"/>
  <c r="Z54" i="11"/>
  <c r="Z128" i="11"/>
  <c r="Y54" i="11"/>
  <c r="Y128" i="11"/>
  <c r="X54" i="11"/>
  <c r="X128" i="11"/>
  <c r="W54" i="11"/>
  <c r="W128" i="11"/>
  <c r="V54" i="11"/>
  <c r="V128" i="11"/>
  <c r="U54" i="11"/>
  <c r="U128" i="11"/>
  <c r="T54" i="11"/>
  <c r="T128" i="11"/>
  <c r="R128" i="11" s="1"/>
  <c r="Q54" i="11"/>
  <c r="Q128" i="11"/>
  <c r="P54" i="11"/>
  <c r="P128" i="11"/>
  <c r="O54" i="11"/>
  <c r="O128" i="11"/>
  <c r="N54" i="11"/>
  <c r="N128" i="11"/>
  <c r="AK35" i="11"/>
  <c r="AK51" i="11"/>
  <c r="AJ35" i="11"/>
  <c r="AJ51" i="11"/>
  <c r="AI35" i="11"/>
  <c r="AI51" i="11"/>
  <c r="AH35" i="11"/>
  <c r="AH51" i="11"/>
  <c r="AG35" i="11"/>
  <c r="AG51" i="11"/>
  <c r="AE21" i="11"/>
  <c r="AE22" i="11"/>
  <c r="AD21" i="11"/>
  <c r="AD22" i="11"/>
  <c r="AC21" i="11"/>
  <c r="AC22" i="11"/>
  <c r="AB21" i="11"/>
  <c r="AB22" i="11"/>
  <c r="AA21" i="11"/>
  <c r="AA22" i="11"/>
  <c r="Z21" i="11"/>
  <c r="Z22" i="11"/>
  <c r="Y21" i="11"/>
  <c r="Y22" i="11"/>
  <c r="X21" i="11"/>
  <c r="X22" i="11"/>
  <c r="W21" i="11"/>
  <c r="W22" i="11"/>
  <c r="V21" i="11"/>
  <c r="V22" i="11"/>
  <c r="U21" i="11"/>
  <c r="U22" i="11"/>
  <c r="T21" i="11"/>
  <c r="T22" i="11"/>
  <c r="Q21" i="11"/>
  <c r="Q22" i="11"/>
  <c r="P21" i="11"/>
  <c r="P22" i="11"/>
  <c r="O21" i="11"/>
  <c r="O22" i="11"/>
  <c r="N21" i="11"/>
  <c r="N22" i="11"/>
  <c r="AO1" i="11"/>
  <c r="AU1" i="11"/>
  <c r="R12" i="11"/>
  <c r="U111" i="11"/>
  <c r="R117" i="11"/>
  <c r="R145" i="11" s="1"/>
  <c r="R149" i="11" s="1"/>
  <c r="AE113" i="11"/>
  <c r="R113" i="11" s="1"/>
  <c r="R115" i="11"/>
  <c r="V142" i="11"/>
  <c r="R142" i="11"/>
  <c r="N142" i="11"/>
  <c r="N123" i="11"/>
  <c r="AE34" i="11"/>
  <c r="AB34" i="11"/>
  <c r="Z34" i="11"/>
  <c r="X34" i="11"/>
  <c r="U34" i="11"/>
  <c r="O34" i="11"/>
  <c r="O142" i="11"/>
  <c r="AC34" i="11"/>
  <c r="V34" i="11"/>
  <c r="P34" i="11"/>
  <c r="M123" i="11"/>
  <c r="AD34" i="11"/>
  <c r="AA34" i="11"/>
  <c r="Y34" i="11"/>
  <c r="W34" i="11"/>
  <c r="T34" i="11"/>
  <c r="Q34" i="11"/>
  <c r="N34" i="11"/>
  <c r="AE113" i="10"/>
  <c r="R113" i="10" s="1"/>
  <c r="AK35" i="10"/>
  <c r="AK51" i="10"/>
  <c r="AJ35" i="10"/>
  <c r="AJ51" i="10"/>
  <c r="AI35" i="10"/>
  <c r="AI51" i="10"/>
  <c r="AH35" i="10"/>
  <c r="AH51" i="10"/>
  <c r="N22" i="10"/>
  <c r="N21" i="10"/>
  <c r="R145" i="10"/>
  <c r="AG35" i="10"/>
  <c r="AG51" i="10"/>
  <c r="O22" i="10"/>
  <c r="O21" i="10"/>
  <c r="R134" i="10"/>
  <c r="M123" i="10"/>
  <c r="V142" i="10"/>
  <c r="R117" i="7"/>
  <c r="R145" i="7" s="1"/>
  <c r="R149" i="7" s="1"/>
  <c r="AE113" i="7"/>
  <c r="R113" i="7" s="1"/>
  <c r="R115" i="7"/>
  <c r="U111" i="7"/>
  <c r="AE54" i="7"/>
  <c r="AE128" i="7"/>
  <c r="AD54" i="7"/>
  <c r="AD128" i="7"/>
  <c r="AC54" i="7"/>
  <c r="AC128" i="7"/>
  <c r="AB54" i="7"/>
  <c r="AB128" i="7"/>
  <c r="AA54" i="7"/>
  <c r="AA128" i="7"/>
  <c r="Z54" i="7"/>
  <c r="Z128" i="7"/>
  <c r="Y54" i="7"/>
  <c r="Y128" i="7"/>
  <c r="X54" i="7"/>
  <c r="X128" i="7"/>
  <c r="W54" i="7"/>
  <c r="W128" i="7"/>
  <c r="V54" i="7"/>
  <c r="V128" i="7"/>
  <c r="U54" i="7"/>
  <c r="U128" i="7"/>
  <c r="T54" i="7"/>
  <c r="T128" i="7"/>
  <c r="R128" i="7" s="1"/>
  <c r="Q54" i="7"/>
  <c r="Q128" i="7"/>
  <c r="P54" i="7"/>
  <c r="P128" i="7"/>
  <c r="O54" i="7"/>
  <c r="O128" i="7"/>
  <c r="N54" i="7"/>
  <c r="N128" i="7"/>
  <c r="AK35" i="7"/>
  <c r="AK51" i="7"/>
  <c r="AJ35" i="7"/>
  <c r="AJ51" i="7"/>
  <c r="AI35" i="7"/>
  <c r="AI51" i="7"/>
  <c r="AH35" i="7"/>
  <c r="AH51" i="7"/>
  <c r="AG35" i="7"/>
  <c r="AG51" i="7"/>
  <c r="AE21" i="7"/>
  <c r="AE22" i="7"/>
  <c r="AD21" i="7"/>
  <c r="AD22" i="7"/>
  <c r="AC21" i="7"/>
  <c r="AC22" i="7"/>
  <c r="AB21" i="7"/>
  <c r="AB22" i="7"/>
  <c r="AA21" i="7"/>
  <c r="AA22" i="7"/>
  <c r="Z21" i="7"/>
  <c r="Z22" i="7"/>
  <c r="Y21" i="7"/>
  <c r="Y22" i="7"/>
  <c r="X21" i="7"/>
  <c r="X22" i="7"/>
  <c r="W21" i="7"/>
  <c r="W22" i="7"/>
  <c r="V21" i="7"/>
  <c r="V22" i="7"/>
  <c r="U21" i="7"/>
  <c r="U22" i="7"/>
  <c r="T21" i="7"/>
  <c r="T22" i="7"/>
  <c r="R21" i="7"/>
  <c r="R22" i="7"/>
  <c r="Q21" i="7"/>
  <c r="Q22" i="7"/>
  <c r="P21" i="7"/>
  <c r="P22" i="7"/>
  <c r="O21" i="7"/>
  <c r="O22" i="7"/>
  <c r="N21" i="7"/>
  <c r="N22" i="7"/>
  <c r="AE34" i="7"/>
  <c r="AD34" i="7"/>
  <c r="AC34" i="7"/>
  <c r="AB34" i="7"/>
  <c r="AA34" i="7"/>
  <c r="Z34" i="7"/>
  <c r="Y34" i="7"/>
  <c r="X34" i="7"/>
  <c r="W34" i="7"/>
  <c r="V34" i="7"/>
  <c r="U34" i="7"/>
  <c r="T34" i="7"/>
  <c r="R34" i="7"/>
  <c r="Q34" i="7"/>
  <c r="P34" i="7"/>
  <c r="O34" i="7"/>
  <c r="N34" i="7"/>
  <c r="N154" i="9"/>
  <c r="O152" i="9"/>
  <c r="O153" i="9" s="1"/>
  <c r="T129" i="9"/>
  <c r="R130" i="9"/>
  <c r="R129" i="9" s="1"/>
  <c r="R117" i="9"/>
  <c r="R145" i="9" s="1"/>
  <c r="AE113" i="9"/>
  <c r="R113" i="9" s="1"/>
  <c r="R115" i="9"/>
  <c r="V111" i="9"/>
  <c r="AE77" i="9"/>
  <c r="R77" i="9" s="1"/>
  <c r="R80" i="9"/>
  <c r="R80" i="10" s="1"/>
  <c r="AD128" i="9"/>
  <c r="AD54" i="9"/>
  <c r="AC128" i="9"/>
  <c r="AC54" i="9"/>
  <c r="AA128" i="9"/>
  <c r="AA54" i="9"/>
  <c r="Z128" i="9"/>
  <c r="Z54" i="9"/>
  <c r="X128" i="9"/>
  <c r="X54" i="9"/>
  <c r="W128" i="9"/>
  <c r="W54" i="9"/>
  <c r="U128" i="9"/>
  <c r="U54" i="9"/>
  <c r="T54" i="9"/>
  <c r="T89" i="9"/>
  <c r="T128" i="9"/>
  <c r="R54" i="9"/>
  <c r="R128" i="9"/>
  <c r="P54" i="9"/>
  <c r="P128" i="9"/>
  <c r="AK33" i="9"/>
  <c r="AK34" i="9"/>
  <c r="AJ33" i="9"/>
  <c r="AJ34" i="9"/>
  <c r="AI33" i="9"/>
  <c r="AI34" i="9"/>
  <c r="AH33" i="9"/>
  <c r="AH34" i="9"/>
  <c r="AG33" i="9"/>
  <c r="AG34" i="9"/>
  <c r="AE21" i="9"/>
  <c r="AE22" i="9"/>
  <c r="AD21" i="9"/>
  <c r="AD22" i="9"/>
  <c r="AC21" i="9"/>
  <c r="AC22" i="9"/>
  <c r="AB21" i="9"/>
  <c r="AB22" i="9"/>
  <c r="AA21" i="9"/>
  <c r="AA22" i="9"/>
  <c r="Z21" i="9"/>
  <c r="Z22" i="9"/>
  <c r="Y21" i="9"/>
  <c r="Y22" i="9"/>
  <c r="X21" i="9"/>
  <c r="X22" i="9"/>
  <c r="W21" i="9"/>
  <c r="W22" i="9"/>
  <c r="V21" i="9"/>
  <c r="V22" i="9"/>
  <c r="U21" i="9"/>
  <c r="U22" i="9"/>
  <c r="T21" i="9"/>
  <c r="T22" i="9"/>
  <c r="R21" i="9"/>
  <c r="R22" i="9"/>
  <c r="Q21" i="9"/>
  <c r="Q22" i="9"/>
  <c r="P21" i="9"/>
  <c r="P22" i="9"/>
  <c r="O21" i="9"/>
  <c r="O22" i="9"/>
  <c r="N21" i="9"/>
  <c r="N22" i="9"/>
  <c r="AE54" i="9"/>
  <c r="AE128" i="9"/>
  <c r="AB54" i="9"/>
  <c r="AB128" i="9"/>
  <c r="Y54" i="9"/>
  <c r="Y128" i="9"/>
  <c r="V54" i="9"/>
  <c r="V128" i="9"/>
  <c r="Q54" i="9"/>
  <c r="Q128" i="9"/>
  <c r="R142" i="9"/>
  <c r="AE34" i="9"/>
  <c r="AD34" i="9"/>
  <c r="AC34" i="9"/>
  <c r="AB34" i="9"/>
  <c r="AA34" i="9"/>
  <c r="Z34" i="9"/>
  <c r="Y34" i="9"/>
  <c r="X34" i="9"/>
  <c r="W34" i="9"/>
  <c r="V34" i="9"/>
  <c r="T34" i="9"/>
  <c r="R34" i="9"/>
  <c r="P34" i="9"/>
  <c r="O34" i="9"/>
  <c r="U34" i="9"/>
  <c r="Q34" i="9"/>
  <c r="N34" i="9"/>
  <c r="T129" i="8"/>
  <c r="R129" i="8" s="1"/>
  <c r="R130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Q145" i="8"/>
  <c r="Q116" i="8"/>
  <c r="Q122" i="8" s="1"/>
  <c r="Q123" i="8" s="1"/>
  <c r="P145" i="8"/>
  <c r="P149" i="8" s="1"/>
  <c r="AE113" i="8"/>
  <c r="R115" i="8"/>
  <c r="AE85" i="8"/>
  <c r="R85" i="8" s="1"/>
  <c r="R98" i="8"/>
  <c r="R141" i="8" s="1"/>
  <c r="P88" i="8"/>
  <c r="P87" i="8" s="1"/>
  <c r="P86" i="8" s="1"/>
  <c r="P85" i="8" s="1"/>
  <c r="Q139" i="8"/>
  <c r="Q142" i="8" s="1"/>
  <c r="O87" i="8"/>
  <c r="O86" i="8" s="1"/>
  <c r="O85" i="8" s="1"/>
  <c r="O105" i="8" s="1"/>
  <c r="AE54" i="8"/>
  <c r="AE128" i="8"/>
  <c r="AD54" i="8"/>
  <c r="AD128" i="8"/>
  <c r="AC54" i="8"/>
  <c r="AC128" i="8"/>
  <c r="AB54" i="8"/>
  <c r="AB128" i="8"/>
  <c r="AA54" i="8"/>
  <c r="AA128" i="8"/>
  <c r="Z54" i="8"/>
  <c r="Z128" i="8"/>
  <c r="Y54" i="8"/>
  <c r="Y128" i="8"/>
  <c r="X54" i="8"/>
  <c r="X128" i="8"/>
  <c r="W54" i="8"/>
  <c r="W128" i="8"/>
  <c r="V54" i="8"/>
  <c r="V128" i="8"/>
  <c r="U54" i="8"/>
  <c r="U128" i="8"/>
  <c r="T54" i="8"/>
  <c r="T128" i="8"/>
  <c r="R128" i="8" s="1"/>
  <c r="Q54" i="8"/>
  <c r="Q128" i="8"/>
  <c r="P54" i="8"/>
  <c r="P128" i="8"/>
  <c r="O54" i="8"/>
  <c r="O128" i="8"/>
  <c r="N54" i="8"/>
  <c r="N128" i="8"/>
  <c r="AK33" i="8"/>
  <c r="AK34" i="8"/>
  <c r="AJ33" i="8"/>
  <c r="AJ34" i="8"/>
  <c r="AI33" i="8"/>
  <c r="AI34" i="8"/>
  <c r="AH33" i="8"/>
  <c r="AH34" i="8"/>
  <c r="AG33" i="8"/>
  <c r="AG34" i="8"/>
  <c r="Q33" i="8"/>
  <c r="Q34" i="8"/>
  <c r="AE21" i="8"/>
  <c r="AE22" i="8"/>
  <c r="AD21" i="8"/>
  <c r="AD22" i="8"/>
  <c r="AC21" i="8"/>
  <c r="AC22" i="8"/>
  <c r="AB21" i="8"/>
  <c r="AB22" i="8"/>
  <c r="AA21" i="8"/>
  <c r="AA22" i="8"/>
  <c r="Z21" i="8"/>
  <c r="Z22" i="8"/>
  <c r="Y21" i="8"/>
  <c r="Y22" i="8"/>
  <c r="X21" i="8"/>
  <c r="X22" i="8"/>
  <c r="W21" i="8"/>
  <c r="W22" i="8"/>
  <c r="V21" i="8"/>
  <c r="V22" i="8"/>
  <c r="U21" i="8"/>
  <c r="U22" i="8"/>
  <c r="T21" i="8"/>
  <c r="T22" i="8"/>
  <c r="Q21" i="8"/>
  <c r="Q22" i="8"/>
  <c r="P21" i="8"/>
  <c r="P22" i="8"/>
  <c r="O21" i="8"/>
  <c r="O22" i="8"/>
  <c r="N21" i="8"/>
  <c r="N22" i="8"/>
  <c r="R142" i="8"/>
  <c r="O139" i="8"/>
  <c r="O142" i="8" s="1"/>
  <c r="P134" i="8"/>
  <c r="P129" i="8" s="1"/>
  <c r="AE34" i="8"/>
  <c r="AD34" i="8"/>
  <c r="AC34" i="8"/>
  <c r="AB34" i="8"/>
  <c r="AA34" i="8"/>
  <c r="Z34" i="8"/>
  <c r="Y34" i="8"/>
  <c r="X34" i="8"/>
  <c r="W34" i="8"/>
  <c r="V34" i="8"/>
  <c r="U34" i="8"/>
  <c r="T34" i="8"/>
  <c r="P34" i="8"/>
  <c r="O34" i="8"/>
  <c r="N34" i="8"/>
  <c r="D6" i="3"/>
  <c r="D13" i="3"/>
  <c r="D20" i="3"/>
  <c r="D17" i="3"/>
  <c r="D4" i="3"/>
  <c r="D12" i="3"/>
  <c r="D8" i="3"/>
  <c r="D10" i="3"/>
  <c r="D11" i="3"/>
  <c r="D14" i="3"/>
  <c r="D16" i="3"/>
  <c r="D18" i="3"/>
  <c r="D22" i="3"/>
  <c r="D15" i="3"/>
  <c r="D21" i="3"/>
  <c r="D23" i="3"/>
  <c r="D19" i="3"/>
  <c r="D7" i="3"/>
  <c r="D9" i="3"/>
  <c r="D5" i="3"/>
  <c r="BU20" i="5"/>
  <c r="BT20" i="5"/>
  <c r="BS16" i="5"/>
  <c r="BQ23" i="6"/>
  <c r="BR16" i="6"/>
  <c r="O54" i="10" l="1"/>
  <c r="O128" i="10"/>
  <c r="Q32" i="10"/>
  <c r="Q33" i="10" s="1"/>
  <c r="Q28" i="10"/>
  <c r="Q29" i="10"/>
  <c r="AA42" i="10"/>
  <c r="O42" i="10"/>
  <c r="N42" i="10"/>
  <c r="N29" i="10"/>
  <c r="P28" i="10"/>
  <c r="N32" i="10"/>
  <c r="N33" i="10" s="1"/>
  <c r="T29" i="10"/>
  <c r="V32" i="10"/>
  <c r="X29" i="10"/>
  <c r="R29" i="10"/>
  <c r="AC49" i="10"/>
  <c r="AD49" i="10"/>
  <c r="AB49" i="10"/>
  <c r="Z49" i="10"/>
  <c r="U49" i="10"/>
  <c r="AE42" i="10"/>
  <c r="Y42" i="10"/>
  <c r="U42" i="10"/>
  <c r="X42" i="10"/>
  <c r="T42" i="10"/>
  <c r="Q42" i="10"/>
  <c r="P29" i="10"/>
  <c r="N28" i="10"/>
  <c r="O28" i="10"/>
  <c r="W28" i="10"/>
  <c r="X28" i="10"/>
  <c r="AE128" i="10"/>
  <c r="AE49" i="10"/>
  <c r="AA49" i="10"/>
  <c r="Y49" i="10"/>
  <c r="X49" i="10"/>
  <c r="T49" i="10"/>
  <c r="W49" i="10"/>
  <c r="V49" i="10"/>
  <c r="AC42" i="10"/>
  <c r="W42" i="10"/>
  <c r="AD42" i="10"/>
  <c r="AB42" i="10"/>
  <c r="Z42" i="10"/>
  <c r="V42" i="10"/>
  <c r="R42" i="10"/>
  <c r="P42" i="10"/>
  <c r="O32" i="10"/>
  <c r="P32" i="10"/>
  <c r="P33" i="10" s="1"/>
  <c r="O29" i="10"/>
  <c r="U29" i="10"/>
  <c r="T28" i="10"/>
  <c r="X32" i="10"/>
  <c r="Y29" i="10"/>
  <c r="V28" i="10"/>
  <c r="V29" i="10"/>
  <c r="U28" i="10"/>
  <c r="AE54" i="10"/>
  <c r="W29" i="10"/>
  <c r="Y28" i="10"/>
  <c r="R28" i="10"/>
  <c r="AD32" i="10"/>
  <c r="AD33" i="10" s="1"/>
  <c r="AB32" i="10"/>
  <c r="AB33" i="10" s="1"/>
  <c r="Y32" i="10"/>
  <c r="Y33" i="10" s="1"/>
  <c r="W32" i="10"/>
  <c r="W33" i="10" s="1"/>
  <c r="U32" i="10"/>
  <c r="U33" i="10" s="1"/>
  <c r="T32" i="10"/>
  <c r="AD54" i="10"/>
  <c r="AD128" i="10"/>
  <c r="AB54" i="10"/>
  <c r="AB128" i="10"/>
  <c r="Z54" i="10"/>
  <c r="Z128" i="10"/>
  <c r="X54" i="10"/>
  <c r="X128" i="10"/>
  <c r="V54" i="10"/>
  <c r="V128" i="10"/>
  <c r="T54" i="10"/>
  <c r="T128" i="10"/>
  <c r="Q54" i="10"/>
  <c r="Q128" i="10"/>
  <c r="N54" i="10"/>
  <c r="N128" i="10"/>
  <c r="P22" i="10"/>
  <c r="P21" i="10"/>
  <c r="AC54" i="10"/>
  <c r="AC128" i="10"/>
  <c r="AA54" i="10"/>
  <c r="AA128" i="10"/>
  <c r="Y54" i="10"/>
  <c r="Y128" i="10"/>
  <c r="W54" i="10"/>
  <c r="W128" i="10"/>
  <c r="U54" i="10"/>
  <c r="U128" i="10"/>
  <c r="P54" i="10"/>
  <c r="P128" i="10"/>
  <c r="Q21" i="10"/>
  <c r="Q22" i="10"/>
  <c r="R142" i="10"/>
  <c r="S2" i="10"/>
  <c r="R12" i="10"/>
  <c r="R32" i="8"/>
  <c r="R19" i="8"/>
  <c r="R20" i="8"/>
  <c r="AC32" i="10"/>
  <c r="AC29" i="10"/>
  <c r="P139" i="8"/>
  <c r="P142" i="8" s="1"/>
  <c r="AD21" i="10"/>
  <c r="W22" i="10"/>
  <c r="AC21" i="10"/>
  <c r="X21" i="10"/>
  <c r="V21" i="10"/>
  <c r="AD22" i="10"/>
  <c r="AA22" i="10"/>
  <c r="Y21" i="10"/>
  <c r="W21" i="10"/>
  <c r="U21" i="10"/>
  <c r="AE21" i="10"/>
  <c r="AE22" i="10"/>
  <c r="AC22" i="10"/>
  <c r="Z22" i="10"/>
  <c r="Z21" i="10"/>
  <c r="X22" i="10"/>
  <c r="V22" i="10"/>
  <c r="T21" i="10"/>
  <c r="AB21" i="10"/>
  <c r="AB22" i="10"/>
  <c r="AA21" i="10"/>
  <c r="Y22" i="10"/>
  <c r="U22" i="10"/>
  <c r="T22" i="10"/>
  <c r="Q34" i="10"/>
  <c r="AA34" i="10"/>
  <c r="AA33" i="10"/>
  <c r="V34" i="10"/>
  <c r="V33" i="10"/>
  <c r="Z34" i="10"/>
  <c r="AE34" i="10"/>
  <c r="AK52" i="12"/>
  <c r="AK55" i="12"/>
  <c r="AK56" i="12" s="1"/>
  <c r="AK65" i="12"/>
  <c r="AI65" i="12"/>
  <c r="AI55" i="12"/>
  <c r="AI56" i="12" s="1"/>
  <c r="AI52" i="12"/>
  <c r="AH55" i="12"/>
  <c r="AH56" i="12" s="1"/>
  <c r="AH65" i="12"/>
  <c r="AH52" i="12"/>
  <c r="AE51" i="12"/>
  <c r="AE52" i="12" s="1"/>
  <c r="AE35" i="12"/>
  <c r="AC35" i="12"/>
  <c r="AC51" i="12"/>
  <c r="AC52" i="12" s="1"/>
  <c r="AB35" i="12"/>
  <c r="AB51" i="12"/>
  <c r="AB52" i="12" s="1"/>
  <c r="Z35" i="12"/>
  <c r="Z51" i="12"/>
  <c r="Z52" i="12" s="1"/>
  <c r="Y51" i="12"/>
  <c r="Y52" i="12" s="1"/>
  <c r="Y35" i="12"/>
  <c r="W51" i="12"/>
  <c r="W52" i="12" s="1"/>
  <c r="W35" i="12"/>
  <c r="V51" i="12"/>
  <c r="V52" i="12" s="1"/>
  <c r="V35" i="12"/>
  <c r="Q65" i="12"/>
  <c r="Q35" i="12"/>
  <c r="Q51" i="12"/>
  <c r="Q52" i="12" s="1"/>
  <c r="V111" i="12"/>
  <c r="T35" i="12"/>
  <c r="T51" i="12"/>
  <c r="T52" i="12" s="1"/>
  <c r="N35" i="12"/>
  <c r="N51" i="12"/>
  <c r="N52" i="12" s="1"/>
  <c r="N65" i="12"/>
  <c r="AJ55" i="12"/>
  <c r="AJ56" i="12" s="1"/>
  <c r="AJ65" i="12"/>
  <c r="AJ52" i="12"/>
  <c r="AG65" i="12"/>
  <c r="AG52" i="12"/>
  <c r="AG55" i="12"/>
  <c r="AG56" i="12" s="1"/>
  <c r="AD35" i="12"/>
  <c r="AD51" i="12"/>
  <c r="AD52" i="12" s="1"/>
  <c r="AA35" i="12"/>
  <c r="AA51" i="12"/>
  <c r="AA52" i="12" s="1"/>
  <c r="X51" i="12"/>
  <c r="X52" i="12" s="1"/>
  <c r="X35" i="12"/>
  <c r="U35" i="12"/>
  <c r="U51" i="12"/>
  <c r="U52" i="12" s="1"/>
  <c r="P51" i="12"/>
  <c r="P52" i="12" s="1"/>
  <c r="P35" i="12"/>
  <c r="P65" i="12"/>
  <c r="O51" i="12"/>
  <c r="O52" i="12" s="1"/>
  <c r="O35" i="12"/>
  <c r="O65" i="12"/>
  <c r="R20" i="12"/>
  <c r="R32" i="12"/>
  <c r="R19" i="12"/>
  <c r="R128" i="12"/>
  <c r="AK52" i="11"/>
  <c r="AK55" i="11"/>
  <c r="AK56" i="11" s="1"/>
  <c r="AK65" i="11"/>
  <c r="AJ52" i="11"/>
  <c r="AJ55" i="11"/>
  <c r="AJ56" i="11" s="1"/>
  <c r="AJ65" i="11"/>
  <c r="AI52" i="11"/>
  <c r="AI55" i="11"/>
  <c r="AI56" i="11" s="1"/>
  <c r="AI65" i="11"/>
  <c r="AH52" i="11"/>
  <c r="AH55" i="11"/>
  <c r="AH56" i="11" s="1"/>
  <c r="AH65" i="11"/>
  <c r="AG52" i="11"/>
  <c r="AG55" i="11"/>
  <c r="AG56" i="11" s="1"/>
  <c r="AG65" i="11"/>
  <c r="R20" i="11"/>
  <c r="R32" i="11"/>
  <c r="R19" i="11"/>
  <c r="V111" i="11"/>
  <c r="AE51" i="11"/>
  <c r="AE52" i="11" s="1"/>
  <c r="AE35" i="11"/>
  <c r="AB51" i="11"/>
  <c r="AB52" i="11" s="1"/>
  <c r="AB35" i="11"/>
  <c r="Z51" i="11"/>
  <c r="Z52" i="11" s="1"/>
  <c r="Z35" i="11"/>
  <c r="X51" i="11"/>
  <c r="X52" i="11" s="1"/>
  <c r="X35" i="11"/>
  <c r="U51" i="11"/>
  <c r="U52" i="11" s="1"/>
  <c r="U35" i="11"/>
  <c r="O65" i="11"/>
  <c r="O51" i="11"/>
  <c r="O52" i="11" s="1"/>
  <c r="O35" i="11"/>
  <c r="AC51" i="11"/>
  <c r="AC52" i="11" s="1"/>
  <c r="AC35" i="11"/>
  <c r="V51" i="11"/>
  <c r="V52" i="11" s="1"/>
  <c r="V35" i="11"/>
  <c r="P65" i="11"/>
  <c r="P51" i="11"/>
  <c r="P52" i="11" s="1"/>
  <c r="P35" i="11"/>
  <c r="AD51" i="11"/>
  <c r="AD52" i="11" s="1"/>
  <c r="AD35" i="11"/>
  <c r="AA51" i="11"/>
  <c r="AA52" i="11" s="1"/>
  <c r="AA35" i="11"/>
  <c r="Y51" i="11"/>
  <c r="Y52" i="11" s="1"/>
  <c r="Y35" i="11"/>
  <c r="W51" i="11"/>
  <c r="W52" i="11" s="1"/>
  <c r="W35" i="11"/>
  <c r="T51" i="11"/>
  <c r="T52" i="11" s="1"/>
  <c r="T35" i="11"/>
  <c r="Q65" i="11"/>
  <c r="Q51" i="11"/>
  <c r="Q52" i="11" s="1"/>
  <c r="Q35" i="11"/>
  <c r="N65" i="11"/>
  <c r="N51" i="11"/>
  <c r="N52" i="11" s="1"/>
  <c r="N35" i="11"/>
  <c r="AK55" i="10"/>
  <c r="AK56" i="10" s="1"/>
  <c r="AK52" i="10"/>
  <c r="AK65" i="10"/>
  <c r="AJ55" i="10"/>
  <c r="AJ56" i="10" s="1"/>
  <c r="AJ52" i="10"/>
  <c r="AJ65" i="10"/>
  <c r="AI55" i="10"/>
  <c r="AI56" i="10" s="1"/>
  <c r="AI52" i="10"/>
  <c r="AI65" i="10"/>
  <c r="AH55" i="10"/>
  <c r="AH56" i="10" s="1"/>
  <c r="AH52" i="10"/>
  <c r="AH65" i="10"/>
  <c r="AG55" i="10"/>
  <c r="AG56" i="10" s="1"/>
  <c r="AG65" i="10"/>
  <c r="AG52" i="10"/>
  <c r="Z51" i="10"/>
  <c r="Z52" i="10" s="1"/>
  <c r="Z35" i="10"/>
  <c r="Q65" i="10"/>
  <c r="Q51" i="10"/>
  <c r="Q52" i="10" s="1"/>
  <c r="Q35" i="10"/>
  <c r="V111" i="7"/>
  <c r="AK52" i="7"/>
  <c r="AK55" i="7"/>
  <c r="AK56" i="7" s="1"/>
  <c r="AK65" i="7"/>
  <c r="AJ52" i="7"/>
  <c r="AJ55" i="7"/>
  <c r="AJ56" i="7" s="1"/>
  <c r="AJ65" i="7"/>
  <c r="AI52" i="7"/>
  <c r="AI55" i="7"/>
  <c r="AI56" i="7" s="1"/>
  <c r="AI65" i="7"/>
  <c r="AH52" i="7"/>
  <c r="AH55" i="7"/>
  <c r="AH56" i="7" s="1"/>
  <c r="AH65" i="7"/>
  <c r="AG52" i="7"/>
  <c r="AG55" i="7"/>
  <c r="AG56" i="7" s="1"/>
  <c r="AG65" i="7"/>
  <c r="AE51" i="7"/>
  <c r="AE52" i="7" s="1"/>
  <c r="AE35" i="7"/>
  <c r="AD51" i="7"/>
  <c r="AD52" i="7" s="1"/>
  <c r="AD35" i="7"/>
  <c r="AC51" i="7"/>
  <c r="AC52" i="7" s="1"/>
  <c r="AC35" i="7"/>
  <c r="AB51" i="7"/>
  <c r="AB52" i="7" s="1"/>
  <c r="AB35" i="7"/>
  <c r="AA51" i="7"/>
  <c r="AA52" i="7" s="1"/>
  <c r="AA35" i="7"/>
  <c r="Z51" i="7"/>
  <c r="Z52" i="7" s="1"/>
  <c r="Z35" i="7"/>
  <c r="Y51" i="7"/>
  <c r="Y52" i="7" s="1"/>
  <c r="Y35" i="7"/>
  <c r="X51" i="7"/>
  <c r="X52" i="7" s="1"/>
  <c r="X35" i="7"/>
  <c r="W51" i="7"/>
  <c r="W52" i="7" s="1"/>
  <c r="W35" i="7"/>
  <c r="V51" i="7"/>
  <c r="V52" i="7" s="1"/>
  <c r="V35" i="7"/>
  <c r="U51" i="7"/>
  <c r="U52" i="7" s="1"/>
  <c r="U35" i="7"/>
  <c r="T51" i="7"/>
  <c r="T52" i="7" s="1"/>
  <c r="T35" i="7"/>
  <c r="R51" i="7"/>
  <c r="R52" i="7" s="1"/>
  <c r="R35" i="7"/>
  <c r="Q65" i="7"/>
  <c r="Q51" i="7"/>
  <c r="Q52" i="7" s="1"/>
  <c r="Q35" i="7"/>
  <c r="P65" i="7"/>
  <c r="P51" i="7"/>
  <c r="P52" i="7" s="1"/>
  <c r="P35" i="7"/>
  <c r="O65" i="7"/>
  <c r="O51" i="7"/>
  <c r="O52" i="7" s="1"/>
  <c r="O35" i="7"/>
  <c r="N65" i="7"/>
  <c r="N51" i="7"/>
  <c r="N52" i="7" s="1"/>
  <c r="N35" i="7"/>
  <c r="Q152" i="9"/>
  <c r="P152" i="9"/>
  <c r="O154" i="9"/>
  <c r="W111" i="9"/>
  <c r="U89" i="9"/>
  <c r="T87" i="9"/>
  <c r="T86" i="9" s="1"/>
  <c r="T85" i="9" s="1"/>
  <c r="AK35" i="9"/>
  <c r="AK51" i="9"/>
  <c r="AJ35" i="9"/>
  <c r="AJ51" i="9"/>
  <c r="AI35" i="9"/>
  <c r="AI51" i="9"/>
  <c r="AH35" i="9"/>
  <c r="AH51" i="9"/>
  <c r="AG35" i="9"/>
  <c r="AG51" i="9"/>
  <c r="AE51" i="9"/>
  <c r="AE52" i="9" s="1"/>
  <c r="AE35" i="9"/>
  <c r="AD51" i="9"/>
  <c r="AD52" i="9" s="1"/>
  <c r="AD35" i="9"/>
  <c r="AC51" i="9"/>
  <c r="AC52" i="9" s="1"/>
  <c r="AC35" i="9"/>
  <c r="AB51" i="9"/>
  <c r="AB52" i="9" s="1"/>
  <c r="AB35" i="9"/>
  <c r="AA51" i="9"/>
  <c r="AA52" i="9" s="1"/>
  <c r="AA35" i="9"/>
  <c r="Z51" i="9"/>
  <c r="Z52" i="9" s="1"/>
  <c r="Z35" i="9"/>
  <c r="Y51" i="9"/>
  <c r="Y52" i="9" s="1"/>
  <c r="Y35" i="9"/>
  <c r="X51" i="9"/>
  <c r="X52" i="9" s="1"/>
  <c r="X35" i="9"/>
  <c r="W51" i="9"/>
  <c r="W52" i="9" s="1"/>
  <c r="W35" i="9"/>
  <c r="V51" i="9"/>
  <c r="V52" i="9" s="1"/>
  <c r="V35" i="9"/>
  <c r="T51" i="9"/>
  <c r="T52" i="9" s="1"/>
  <c r="T35" i="9"/>
  <c r="R51" i="9"/>
  <c r="R52" i="9" s="1"/>
  <c r="R35" i="9"/>
  <c r="P65" i="9"/>
  <c r="P51" i="9"/>
  <c r="P52" i="9" s="1"/>
  <c r="P35" i="9"/>
  <c r="O65" i="9"/>
  <c r="O51" i="9"/>
  <c r="O52" i="9" s="1"/>
  <c r="O35" i="9"/>
  <c r="U51" i="9"/>
  <c r="U52" i="9" s="1"/>
  <c r="U35" i="9"/>
  <c r="Q65" i="9"/>
  <c r="Q51" i="9"/>
  <c r="Q52" i="9" s="1"/>
  <c r="Q35" i="9"/>
  <c r="N51" i="9"/>
  <c r="N52" i="9" s="1"/>
  <c r="N65" i="9"/>
  <c r="N35" i="9"/>
  <c r="R117" i="8"/>
  <c r="R145" i="8" s="1"/>
  <c r="R113" i="8"/>
  <c r="AK35" i="8"/>
  <c r="AK51" i="8"/>
  <c r="AJ35" i="8"/>
  <c r="AJ51" i="8"/>
  <c r="AI35" i="8"/>
  <c r="AI51" i="8"/>
  <c r="AH35" i="8"/>
  <c r="AH51" i="8"/>
  <c r="AG35" i="8"/>
  <c r="AG51" i="8"/>
  <c r="Q35" i="8"/>
  <c r="Q51" i="8"/>
  <c r="Q52" i="8" s="1"/>
  <c r="Q65" i="8"/>
  <c r="AE51" i="8"/>
  <c r="AE52" i="8" s="1"/>
  <c r="AE35" i="8"/>
  <c r="AD51" i="8"/>
  <c r="AD52" i="8" s="1"/>
  <c r="AD35" i="8"/>
  <c r="AC51" i="8"/>
  <c r="AC52" i="8" s="1"/>
  <c r="AC35" i="8"/>
  <c r="AB51" i="8"/>
  <c r="AB52" i="8" s="1"/>
  <c r="AB35" i="8"/>
  <c r="AA51" i="8"/>
  <c r="AA52" i="8" s="1"/>
  <c r="AA35" i="8"/>
  <c r="Z51" i="8"/>
  <c r="Z52" i="8" s="1"/>
  <c r="Z35" i="8"/>
  <c r="Y51" i="8"/>
  <c r="Y52" i="8" s="1"/>
  <c r="Y35" i="8"/>
  <c r="X51" i="8"/>
  <c r="X52" i="8" s="1"/>
  <c r="X35" i="8"/>
  <c r="W51" i="8"/>
  <c r="W52" i="8" s="1"/>
  <c r="W35" i="8"/>
  <c r="V51" i="8"/>
  <c r="V52" i="8" s="1"/>
  <c r="V35" i="8"/>
  <c r="U51" i="8"/>
  <c r="U52" i="8" s="1"/>
  <c r="U35" i="8"/>
  <c r="T51" i="8"/>
  <c r="T52" i="8" s="1"/>
  <c r="T35" i="8"/>
  <c r="P65" i="8"/>
  <c r="P51" i="8"/>
  <c r="P52" i="8" s="1"/>
  <c r="P35" i="8"/>
  <c r="O65" i="8"/>
  <c r="O51" i="8"/>
  <c r="O52" i="8" s="1"/>
  <c r="O35" i="8"/>
  <c r="N65" i="8"/>
  <c r="N51" i="8"/>
  <c r="N52" i="8" s="1"/>
  <c r="N35" i="8"/>
  <c r="D24" i="3"/>
  <c r="BU23" i="5"/>
  <c r="BT23" i="5"/>
  <c r="BS20" i="5"/>
  <c r="W34" i="10" l="1"/>
  <c r="U34" i="10"/>
  <c r="AD34" i="10"/>
  <c r="AB34" i="10"/>
  <c r="N34" i="10"/>
  <c r="P34" i="10"/>
  <c r="O34" i="10"/>
  <c r="O33" i="10"/>
  <c r="Y34" i="10"/>
  <c r="AC34" i="10"/>
  <c r="AC33" i="10"/>
  <c r="X34" i="10"/>
  <c r="T34" i="10"/>
  <c r="T33" i="10"/>
  <c r="X33" i="10"/>
  <c r="R128" i="10"/>
  <c r="R32" i="10"/>
  <c r="R19" i="10"/>
  <c r="R20" i="10"/>
  <c r="R34" i="8"/>
  <c r="R33" i="8"/>
  <c r="R22" i="8"/>
  <c r="R21" i="8"/>
  <c r="AA51" i="10"/>
  <c r="AA52" i="10" s="1"/>
  <c r="AA35" i="10"/>
  <c r="V51" i="10"/>
  <c r="V52" i="10" s="1"/>
  <c r="V35" i="10"/>
  <c r="AE51" i="10"/>
  <c r="AE52" i="10" s="1"/>
  <c r="AE35" i="10"/>
  <c r="AK66" i="12"/>
  <c r="AK68" i="12"/>
  <c r="AK69" i="12"/>
  <c r="AK70" i="12" s="1"/>
  <c r="AI66" i="12"/>
  <c r="AI68" i="12"/>
  <c r="AI69" i="12"/>
  <c r="AI70" i="12" s="1"/>
  <c r="AH69" i="12"/>
  <c r="AH70" i="12" s="1"/>
  <c r="AH66" i="12"/>
  <c r="AH68" i="12"/>
  <c r="Q66" i="12"/>
  <c r="Q68" i="12"/>
  <c r="Q55" i="12"/>
  <c r="Q56" i="12" s="1"/>
  <c r="Q69" i="12"/>
  <c r="W111" i="12"/>
  <c r="N66" i="12"/>
  <c r="N68" i="12"/>
  <c r="N69" i="12"/>
  <c r="N55" i="12"/>
  <c r="N56" i="12" s="1"/>
  <c r="AJ66" i="12"/>
  <c r="AJ68" i="12"/>
  <c r="AJ69" i="12"/>
  <c r="AJ70" i="12" s="1"/>
  <c r="AG66" i="12"/>
  <c r="AG69" i="12"/>
  <c r="AG70" i="12" s="1"/>
  <c r="AG68" i="12"/>
  <c r="P66" i="12"/>
  <c r="P68" i="12"/>
  <c r="P69" i="12"/>
  <c r="P55" i="12"/>
  <c r="P56" i="12" s="1"/>
  <c r="O69" i="12"/>
  <c r="O55" i="12"/>
  <c r="O56" i="12" s="1"/>
  <c r="O66" i="12"/>
  <c r="O68" i="12"/>
  <c r="R21" i="12"/>
  <c r="R22" i="12"/>
  <c r="R34" i="12"/>
  <c r="R33" i="12"/>
  <c r="AK66" i="11"/>
  <c r="AK68" i="11"/>
  <c r="AK69" i="11"/>
  <c r="AK70" i="11" s="1"/>
  <c r="AJ69" i="11"/>
  <c r="AJ70" i="11" s="1"/>
  <c r="AJ66" i="11"/>
  <c r="AJ68" i="11"/>
  <c r="AI69" i="11"/>
  <c r="AI70" i="11" s="1"/>
  <c r="AI66" i="11"/>
  <c r="AI68" i="11"/>
  <c r="AH66" i="11"/>
  <c r="AH68" i="11"/>
  <c r="AH69" i="11"/>
  <c r="AH70" i="11" s="1"/>
  <c r="AG66" i="11"/>
  <c r="AG68" i="11"/>
  <c r="AG69" i="11"/>
  <c r="AG70" i="11" s="1"/>
  <c r="R22" i="11"/>
  <c r="R21" i="11"/>
  <c r="R34" i="11"/>
  <c r="R33" i="11"/>
  <c r="W111" i="11"/>
  <c r="O66" i="11"/>
  <c r="O69" i="11"/>
  <c r="O68" i="11"/>
  <c r="O55" i="11"/>
  <c r="O56" i="11" s="1"/>
  <c r="P66" i="11"/>
  <c r="P68" i="11"/>
  <c r="P69" i="11"/>
  <c r="P55" i="11"/>
  <c r="P56" i="11" s="1"/>
  <c r="Q66" i="11"/>
  <c r="Q55" i="11"/>
  <c r="Q56" i="11" s="1"/>
  <c r="Q68" i="11"/>
  <c r="Q69" i="11"/>
  <c r="N69" i="11"/>
  <c r="N68" i="11"/>
  <c r="N55" i="11"/>
  <c r="N56" i="11" s="1"/>
  <c r="N66" i="11"/>
  <c r="AK66" i="10"/>
  <c r="AK68" i="10"/>
  <c r="AK69" i="10"/>
  <c r="AK70" i="10" s="1"/>
  <c r="AJ66" i="10"/>
  <c r="AJ68" i="10"/>
  <c r="AJ69" i="10"/>
  <c r="AJ70" i="10" s="1"/>
  <c r="AI66" i="10"/>
  <c r="AI68" i="10"/>
  <c r="AI69" i="10"/>
  <c r="AI70" i="10" s="1"/>
  <c r="AH66" i="10"/>
  <c r="AH68" i="10"/>
  <c r="AH69" i="10"/>
  <c r="AH70" i="10" s="1"/>
  <c r="AG66" i="10"/>
  <c r="AG68" i="10"/>
  <c r="AG69" i="10"/>
  <c r="AG70" i="10" s="1"/>
  <c r="Q66" i="10"/>
  <c r="Q68" i="10"/>
  <c r="Q69" i="10"/>
  <c r="Q55" i="10"/>
  <c r="Q56" i="10" s="1"/>
  <c r="W111" i="7"/>
  <c r="AK66" i="7"/>
  <c r="AK68" i="7"/>
  <c r="AK69" i="7"/>
  <c r="AK70" i="7" s="1"/>
  <c r="AJ66" i="7"/>
  <c r="AJ68" i="7"/>
  <c r="AJ69" i="7"/>
  <c r="AJ70" i="7" s="1"/>
  <c r="AI66" i="7"/>
  <c r="AI68" i="7"/>
  <c r="AI69" i="7"/>
  <c r="AI70" i="7" s="1"/>
  <c r="AH66" i="7"/>
  <c r="AH68" i="7"/>
  <c r="AH69" i="7"/>
  <c r="AH70" i="7" s="1"/>
  <c r="AG66" i="7"/>
  <c r="AG68" i="7"/>
  <c r="AG69" i="7"/>
  <c r="AG70" i="7" s="1"/>
  <c r="Q66" i="7"/>
  <c r="Q68" i="7"/>
  <c r="Q69" i="7"/>
  <c r="Q55" i="7"/>
  <c r="Q56" i="7" s="1"/>
  <c r="P66" i="7"/>
  <c r="P68" i="7"/>
  <c r="P69" i="7"/>
  <c r="P55" i="7"/>
  <c r="P56" i="7" s="1"/>
  <c r="O66" i="7"/>
  <c r="O68" i="7"/>
  <c r="O69" i="7"/>
  <c r="O55" i="7"/>
  <c r="O56" i="7" s="1"/>
  <c r="N66" i="7"/>
  <c r="N68" i="7"/>
  <c r="N69" i="7"/>
  <c r="N55" i="7"/>
  <c r="N56" i="7" s="1"/>
  <c r="X111" i="9"/>
  <c r="V89" i="9"/>
  <c r="U87" i="9"/>
  <c r="U86" i="9" s="1"/>
  <c r="U85" i="9" s="1"/>
  <c r="AK55" i="9"/>
  <c r="AK56" i="9" s="1"/>
  <c r="AK65" i="9"/>
  <c r="AK52" i="9"/>
  <c r="AJ65" i="9"/>
  <c r="AJ52" i="9"/>
  <c r="AJ55" i="9"/>
  <c r="AJ56" i="9" s="1"/>
  <c r="AI52" i="9"/>
  <c r="AI55" i="9"/>
  <c r="AI56" i="9" s="1"/>
  <c r="AI65" i="9"/>
  <c r="AH52" i="9"/>
  <c r="AH55" i="9"/>
  <c r="AH56" i="9" s="1"/>
  <c r="AH65" i="9"/>
  <c r="AG52" i="9"/>
  <c r="AG55" i="9"/>
  <c r="AG56" i="9" s="1"/>
  <c r="AG65" i="9"/>
  <c r="P66" i="9"/>
  <c r="P68" i="9"/>
  <c r="P69" i="9"/>
  <c r="P55" i="9"/>
  <c r="P56" i="9" s="1"/>
  <c r="O66" i="9"/>
  <c r="O68" i="9"/>
  <c r="O69" i="9"/>
  <c r="O70" i="9" s="1"/>
  <c r="O55" i="9"/>
  <c r="O56" i="9" s="1"/>
  <c r="Q66" i="9"/>
  <c r="Q69" i="9"/>
  <c r="Q55" i="9"/>
  <c r="Q56" i="9" s="1"/>
  <c r="Q68" i="9"/>
  <c r="N68" i="9"/>
  <c r="N69" i="9"/>
  <c r="N70" i="9" s="1"/>
  <c r="N55" i="9"/>
  <c r="N56" i="9" s="1"/>
  <c r="N66" i="9"/>
  <c r="AK52" i="8"/>
  <c r="AK55" i="8"/>
  <c r="AK56" i="8" s="1"/>
  <c r="AK65" i="8"/>
  <c r="AJ52" i="8"/>
  <c r="AJ55" i="8"/>
  <c r="AJ56" i="8" s="1"/>
  <c r="AJ65" i="8"/>
  <c r="AI52" i="8"/>
  <c r="AI55" i="8"/>
  <c r="AI56" i="8" s="1"/>
  <c r="AI65" i="8"/>
  <c r="AH52" i="8"/>
  <c r="AH55" i="8"/>
  <c r="AH56" i="8" s="1"/>
  <c r="AH65" i="8"/>
  <c r="AG52" i="8"/>
  <c r="AG55" i="8"/>
  <c r="AG56" i="8" s="1"/>
  <c r="AG65" i="8"/>
  <c r="Q66" i="8"/>
  <c r="Q68" i="8"/>
  <c r="Q69" i="8"/>
  <c r="Q55" i="8"/>
  <c r="Q56" i="8" s="1"/>
  <c r="P66" i="8"/>
  <c r="P68" i="8"/>
  <c r="P69" i="8"/>
  <c r="P55" i="8"/>
  <c r="P56" i="8" s="1"/>
  <c r="O66" i="8"/>
  <c r="O68" i="8"/>
  <c r="O69" i="8"/>
  <c r="O55" i="8"/>
  <c r="O56" i="8" s="1"/>
  <c r="N66" i="8"/>
  <c r="N68" i="8"/>
  <c r="N69" i="8"/>
  <c r="N55" i="8"/>
  <c r="N56" i="8" s="1"/>
  <c r="BS23" i="5"/>
  <c r="X35" i="10" l="1"/>
  <c r="T35" i="10"/>
  <c r="X51" i="10"/>
  <c r="X52" i="10" s="1"/>
  <c r="T51" i="10"/>
  <c r="T52" i="10" s="1"/>
  <c r="O65" i="10"/>
  <c r="O51" i="10"/>
  <c r="O52" i="10" s="1"/>
  <c r="O35" i="10"/>
  <c r="AC51" i="10"/>
  <c r="AC52" i="10" s="1"/>
  <c r="AC35" i="10"/>
  <c r="W35" i="10"/>
  <c r="W51" i="10"/>
  <c r="W52" i="10" s="1"/>
  <c r="U35" i="10"/>
  <c r="U51" i="10"/>
  <c r="U52" i="10" s="1"/>
  <c r="AD35" i="10"/>
  <c r="AD51" i="10"/>
  <c r="AD52" i="10" s="1"/>
  <c r="AB51" i="10"/>
  <c r="AB52" i="10" s="1"/>
  <c r="AB35" i="10"/>
  <c r="N35" i="10"/>
  <c r="N65" i="10"/>
  <c r="N51" i="10"/>
  <c r="N52" i="10" s="1"/>
  <c r="P35" i="10"/>
  <c r="P51" i="10"/>
  <c r="P52" i="10" s="1"/>
  <c r="P65" i="10"/>
  <c r="Y51" i="10"/>
  <c r="Y52" i="10" s="1"/>
  <c r="Y35" i="10"/>
  <c r="R34" i="10"/>
  <c r="R33" i="10"/>
  <c r="R22" i="10"/>
  <c r="R21" i="10"/>
  <c r="R35" i="8"/>
  <c r="R51" i="8"/>
  <c r="R52" i="8" s="1"/>
  <c r="Q71" i="10"/>
  <c r="Q70" i="12"/>
  <c r="Q127" i="12"/>
  <c r="Q136" i="12" s="1"/>
  <c r="X111" i="12"/>
  <c r="N127" i="12"/>
  <c r="N136" i="12" s="1"/>
  <c r="N70" i="12"/>
  <c r="P120" i="12"/>
  <c r="P127" i="12"/>
  <c r="P70" i="12"/>
  <c r="O70" i="12"/>
  <c r="O127" i="12"/>
  <c r="O136" i="12" s="1"/>
  <c r="R35" i="12"/>
  <c r="R51" i="12"/>
  <c r="R52" i="12" s="1"/>
  <c r="R51" i="11"/>
  <c r="R52" i="11" s="1"/>
  <c r="R35" i="11"/>
  <c r="X111" i="11"/>
  <c r="O127" i="11"/>
  <c r="O136" i="11" s="1"/>
  <c r="O70" i="11"/>
  <c r="P70" i="11"/>
  <c r="P127" i="11"/>
  <c r="P120" i="11"/>
  <c r="Q70" i="11"/>
  <c r="Q127" i="11"/>
  <c r="Q136" i="11" s="1"/>
  <c r="N70" i="11"/>
  <c r="N127" i="11"/>
  <c r="N136" i="11" s="1"/>
  <c r="Q70" i="10"/>
  <c r="Q127" i="10"/>
  <c r="Q136" i="10" s="1"/>
  <c r="X111" i="7"/>
  <c r="Q70" i="7"/>
  <c r="Q127" i="7"/>
  <c r="Q136" i="7" s="1"/>
  <c r="P70" i="7"/>
  <c r="P120" i="7"/>
  <c r="P127" i="7"/>
  <c r="O70" i="7"/>
  <c r="O127" i="7"/>
  <c r="O136" i="7" s="1"/>
  <c r="N70" i="7"/>
  <c r="N127" i="7"/>
  <c r="N136" i="7" s="1"/>
  <c r="Y111" i="9"/>
  <c r="W89" i="9"/>
  <c r="V87" i="9"/>
  <c r="V86" i="9" s="1"/>
  <c r="V85" i="9" s="1"/>
  <c r="AK66" i="9"/>
  <c r="AK68" i="9"/>
  <c r="AK69" i="9"/>
  <c r="AK70" i="9" s="1"/>
  <c r="AJ66" i="9"/>
  <c r="AJ68" i="9"/>
  <c r="AJ69" i="9"/>
  <c r="AJ70" i="9" s="1"/>
  <c r="AI68" i="9"/>
  <c r="AI66" i="9"/>
  <c r="AI69" i="9"/>
  <c r="AI70" i="9" s="1"/>
  <c r="AH68" i="9"/>
  <c r="AH69" i="9"/>
  <c r="AH70" i="9" s="1"/>
  <c r="AH66" i="9"/>
  <c r="AG68" i="9"/>
  <c r="AG66" i="9"/>
  <c r="AG69" i="9"/>
  <c r="AG70" i="9" s="1"/>
  <c r="P120" i="9"/>
  <c r="P116" i="9" s="1"/>
  <c r="P122" i="9" s="1"/>
  <c r="P127" i="9"/>
  <c r="P136" i="9" s="1"/>
  <c r="P151" i="9" s="1"/>
  <c r="P153" i="9" s="1"/>
  <c r="P70" i="9"/>
  <c r="Q70" i="9"/>
  <c r="Q120" i="9"/>
  <c r="Q120" i="10" s="1"/>
  <c r="Q116" i="10" s="1"/>
  <c r="Q127" i="9"/>
  <c r="Q136" i="9" s="1"/>
  <c r="AK66" i="8"/>
  <c r="AK68" i="8"/>
  <c r="AK69" i="8"/>
  <c r="AK70" i="8" s="1"/>
  <c r="AJ66" i="8"/>
  <c r="AJ68" i="8"/>
  <c r="AJ69" i="8"/>
  <c r="AJ70" i="8" s="1"/>
  <c r="AI66" i="8"/>
  <c r="AI68" i="8"/>
  <c r="AI69" i="8"/>
  <c r="AI70" i="8" s="1"/>
  <c r="AH66" i="8"/>
  <c r="AH68" i="8"/>
  <c r="AH69" i="8"/>
  <c r="AH70" i="8" s="1"/>
  <c r="AG66" i="8"/>
  <c r="AG68" i="8"/>
  <c r="AG69" i="8"/>
  <c r="AG70" i="8" s="1"/>
  <c r="Q70" i="8"/>
  <c r="Q127" i="8"/>
  <c r="Q136" i="8" s="1"/>
  <c r="P70" i="8"/>
  <c r="P127" i="8"/>
  <c r="P136" i="8" s="1"/>
  <c r="P151" i="8" s="1"/>
  <c r="O70" i="8"/>
  <c r="O127" i="8"/>
  <c r="O136" i="8" s="1"/>
  <c r="O151" i="8" s="1"/>
  <c r="N70" i="8"/>
  <c r="N120" i="8"/>
  <c r="N120" i="10" s="1"/>
  <c r="N116" i="10" s="1"/>
  <c r="N122" i="10" s="1"/>
  <c r="N123" i="10" s="1"/>
  <c r="N127" i="8"/>
  <c r="N136" i="8" s="1"/>
  <c r="N151" i="8" s="1"/>
  <c r="N153" i="8" s="1"/>
  <c r="O68" i="10" l="1"/>
  <c r="O69" i="10"/>
  <c r="O71" i="10" s="1"/>
  <c r="O55" i="10"/>
  <c r="O56" i="10" s="1"/>
  <c r="O66" i="10"/>
  <c r="N69" i="10"/>
  <c r="N68" i="10"/>
  <c r="N66" i="10"/>
  <c r="N55" i="10"/>
  <c r="N56" i="10" s="1"/>
  <c r="P69" i="10"/>
  <c r="P55" i="10"/>
  <c r="P56" i="10" s="1"/>
  <c r="P68" i="10"/>
  <c r="P66" i="10"/>
  <c r="R35" i="10"/>
  <c r="R51" i="10"/>
  <c r="R52" i="10" s="1"/>
  <c r="O70" i="10"/>
  <c r="O127" i="10"/>
  <c r="O136" i="10" s="1"/>
  <c r="Y111" i="12"/>
  <c r="P116" i="12"/>
  <c r="Y111" i="11"/>
  <c r="P116" i="11"/>
  <c r="Y111" i="7"/>
  <c r="P116" i="7"/>
  <c r="Z111" i="9"/>
  <c r="X89" i="9"/>
  <c r="W87" i="9"/>
  <c r="W86" i="9" s="1"/>
  <c r="W85" i="9" s="1"/>
  <c r="P75" i="9"/>
  <c r="P74" i="9" s="1"/>
  <c r="P73" i="9" s="1"/>
  <c r="P105" i="9" s="1"/>
  <c r="Q116" i="9"/>
  <c r="Q122" i="9" s="1"/>
  <c r="Q123" i="9" s="1"/>
  <c r="O120" i="8"/>
  <c r="O120" i="10" s="1"/>
  <c r="O116" i="10" s="1"/>
  <c r="O122" i="10" s="1"/>
  <c r="O123" i="10" s="1"/>
  <c r="N116" i="8"/>
  <c r="N122" i="8" s="1"/>
  <c r="N123" i="8" s="1"/>
  <c r="N154" i="8"/>
  <c r="O152" i="8"/>
  <c r="O153" i="8" s="1"/>
  <c r="N127" i="10" l="1"/>
  <c r="N136" i="10" s="1"/>
  <c r="N70" i="10"/>
  <c r="N71" i="10"/>
  <c r="P71" i="10"/>
  <c r="P127" i="10"/>
  <c r="P70" i="10"/>
  <c r="P154" i="9"/>
  <c r="Z111" i="12"/>
  <c r="Z111" i="11"/>
  <c r="Z111" i="7"/>
  <c r="AA111" i="9"/>
  <c r="Y89" i="9"/>
  <c r="X87" i="9"/>
  <c r="X86" i="9" s="1"/>
  <c r="X85" i="9" s="1"/>
  <c r="P120" i="8"/>
  <c r="O116" i="8"/>
  <c r="O122" i="8" s="1"/>
  <c r="O123" i="8" s="1"/>
  <c r="Q152" i="8"/>
  <c r="P152" i="8"/>
  <c r="P153" i="8" s="1"/>
  <c r="O154" i="8"/>
  <c r="P116" i="8" l="1"/>
  <c r="P122" i="8" s="1"/>
  <c r="P120" i="10"/>
  <c r="P116" i="10" s="1"/>
  <c r="AA111" i="12"/>
  <c r="AA111" i="11"/>
  <c r="AA111" i="7"/>
  <c r="AB111" i="9"/>
  <c r="Z89" i="9"/>
  <c r="Y87" i="9"/>
  <c r="Y86" i="9" s="1"/>
  <c r="Y85" i="9" s="1"/>
  <c r="P75" i="8"/>
  <c r="P74" i="8" s="1"/>
  <c r="P73" i="8" s="1"/>
  <c r="P105" i="8" s="1"/>
  <c r="P123" i="8" s="1"/>
  <c r="P154" i="8"/>
  <c r="AB111" i="12" l="1"/>
  <c r="AB111" i="11"/>
  <c r="AB111" i="7"/>
  <c r="AC111" i="9"/>
  <c r="AA89" i="9"/>
  <c r="Z87" i="9"/>
  <c r="Z86" i="9" s="1"/>
  <c r="Z85" i="9" s="1"/>
  <c r="AC111" i="12" l="1"/>
  <c r="AC111" i="11"/>
  <c r="AC111" i="7"/>
  <c r="AD111" i="9"/>
  <c r="AB89" i="9"/>
  <c r="AA87" i="9"/>
  <c r="AA86" i="9" s="1"/>
  <c r="AA85" i="9" s="1"/>
  <c r="AD111" i="12" l="1"/>
  <c r="AD111" i="11"/>
  <c r="AD111" i="7"/>
  <c r="AE111" i="9"/>
  <c r="AC89" i="9"/>
  <c r="AB87" i="9"/>
  <c r="AB86" i="9" s="1"/>
  <c r="AB85" i="9" s="1"/>
  <c r="AE111" i="12" l="1"/>
  <c r="AE111" i="11"/>
  <c r="AE111" i="7"/>
  <c r="R111" i="9"/>
  <c r="AD89" i="9"/>
  <c r="AC87" i="9"/>
  <c r="AC86" i="9" s="1"/>
  <c r="AC85" i="9" s="1"/>
  <c r="AE89" i="9" l="1"/>
  <c r="AD87" i="9"/>
  <c r="AD86" i="9" s="1"/>
  <c r="AD85" i="9" s="1"/>
  <c r="AE87" i="9" l="1"/>
  <c r="AE86" i="9" s="1"/>
  <c r="AE85" i="9" s="1"/>
  <c r="R89" i="9"/>
  <c r="R87" i="9" s="1"/>
  <c r="R86" i="9" s="1"/>
  <c r="R85" i="9" s="1"/>
  <c r="P78" i="7" l="1"/>
  <c r="P78" i="12"/>
  <c r="P78" i="11"/>
  <c r="P77" i="7" l="1"/>
  <c r="P130" i="7"/>
  <c r="P78" i="10"/>
  <c r="P130" i="12"/>
  <c r="P77" i="12"/>
  <c r="P130" i="11"/>
  <c r="P77" i="11"/>
  <c r="P77" i="10" l="1"/>
  <c r="P130" i="10"/>
  <c r="T94" i="12" l="1"/>
  <c r="T94" i="11"/>
  <c r="T94" i="7"/>
  <c r="T94" i="10" l="1"/>
  <c r="T88" i="7"/>
  <c r="T88" i="12"/>
  <c r="T88" i="11"/>
  <c r="T88" i="10" l="1"/>
  <c r="O147" i="12" l="1"/>
  <c r="O147" i="7"/>
  <c r="O147" i="10" s="1"/>
  <c r="O147" i="11"/>
  <c r="O148" i="11" l="1"/>
  <c r="O149" i="11" s="1"/>
  <c r="O151" i="11" s="1"/>
  <c r="O148" i="7"/>
  <c r="O148" i="12"/>
  <c r="O149" i="12" s="1"/>
  <c r="O151" i="12" s="1"/>
  <c r="O148" i="10" l="1"/>
  <c r="O149" i="10" s="1"/>
  <c r="O151" i="10" s="1"/>
  <c r="O149" i="7"/>
  <c r="O151" i="7" s="1"/>
  <c r="T89" i="11" l="1"/>
  <c r="T87" i="11" s="1"/>
  <c r="T89" i="12"/>
  <c r="T87" i="12" s="1"/>
  <c r="T89" i="7"/>
  <c r="T95" i="12"/>
  <c r="T93" i="12" s="1"/>
  <c r="T95" i="7"/>
  <c r="T95" i="11"/>
  <c r="T93" i="11" s="1"/>
  <c r="T87" i="7" l="1"/>
  <c r="T89" i="10"/>
  <c r="T87" i="10" s="1"/>
  <c r="T93" i="7"/>
  <c r="T95" i="10"/>
  <c r="T93" i="10" s="1"/>
  <c r="T86" i="12"/>
  <c r="T85" i="12" s="1"/>
  <c r="T86" i="11"/>
  <c r="T85" i="11" s="1"/>
  <c r="U95" i="7"/>
  <c r="U95" i="10" s="1"/>
  <c r="U95" i="11"/>
  <c r="U95" i="12"/>
  <c r="V95" i="12" l="1"/>
  <c r="V95" i="11"/>
  <c r="V95" i="7"/>
  <c r="V95" i="10" s="1"/>
  <c r="T86" i="7"/>
  <c r="T85" i="7" s="1"/>
  <c r="T86" i="10"/>
  <c r="T85" i="10" s="1"/>
  <c r="U89" i="12"/>
  <c r="U89" i="7"/>
  <c r="U89" i="10" s="1"/>
  <c r="U89" i="11"/>
  <c r="W95" i="7" l="1"/>
  <c r="W95" i="10" s="1"/>
  <c r="W95" i="12"/>
  <c r="W95" i="11"/>
  <c r="V89" i="11"/>
  <c r="V89" i="12"/>
  <c r="V89" i="7"/>
  <c r="V89" i="10" s="1"/>
  <c r="W89" i="11"/>
  <c r="W89" i="12"/>
  <c r="W89" i="7"/>
  <c r="W89" i="10" s="1"/>
  <c r="X95" i="7" l="1"/>
  <c r="X95" i="10" s="1"/>
  <c r="X95" i="11"/>
  <c r="X95" i="12"/>
  <c r="X89" i="7"/>
  <c r="X89" i="10" s="1"/>
  <c r="X89" i="12"/>
  <c r="X89" i="11"/>
  <c r="Y95" i="7" l="1"/>
  <c r="Y95" i="10" s="1"/>
  <c r="Y95" i="11"/>
  <c r="Y95" i="12"/>
  <c r="Y89" i="12"/>
  <c r="Y89" i="11"/>
  <c r="Y89" i="7"/>
  <c r="Y89" i="10" s="1"/>
  <c r="Z95" i="7" l="1"/>
  <c r="Z95" i="10" s="1"/>
  <c r="Z95" i="11"/>
  <c r="Z95" i="12"/>
  <c r="Z89" i="12"/>
  <c r="Z89" i="11"/>
  <c r="Z89" i="7"/>
  <c r="Z89" i="10" s="1"/>
  <c r="AA95" i="7" l="1"/>
  <c r="AA95" i="10" s="1"/>
  <c r="AA95" i="11"/>
  <c r="AA95" i="12"/>
  <c r="AA89" i="11"/>
  <c r="AA89" i="7"/>
  <c r="AA89" i="10" s="1"/>
  <c r="AA89" i="12"/>
  <c r="AB95" i="7" l="1"/>
  <c r="AB95" i="10" s="1"/>
  <c r="AB95" i="11"/>
  <c r="AB95" i="12"/>
  <c r="AB89" i="12"/>
  <c r="AB89" i="11"/>
  <c r="AB89" i="7"/>
  <c r="AB89" i="10" s="1"/>
  <c r="AC95" i="11" l="1"/>
  <c r="AC95" i="7"/>
  <c r="AC95" i="10" s="1"/>
  <c r="AC95" i="12"/>
  <c r="AC89" i="12"/>
  <c r="AC89" i="7"/>
  <c r="AC89" i="10" s="1"/>
  <c r="AC89" i="11"/>
  <c r="AD95" i="7" l="1"/>
  <c r="AD95" i="10" s="1"/>
  <c r="AD95" i="11"/>
  <c r="AD95" i="12"/>
  <c r="AD89" i="12"/>
  <c r="AD89" i="11"/>
  <c r="AD89" i="7"/>
  <c r="AD89" i="10" s="1"/>
  <c r="AE95" i="12" l="1"/>
  <c r="R95" i="12" s="1"/>
  <c r="AE95" i="11"/>
  <c r="R95" i="11" s="1"/>
  <c r="AE95" i="7"/>
  <c r="AE89" i="12"/>
  <c r="R89" i="12" s="1"/>
  <c r="AE89" i="11"/>
  <c r="R89" i="11" s="1"/>
  <c r="AE89" i="7"/>
  <c r="AE95" i="10" l="1"/>
  <c r="R95" i="7"/>
  <c r="R95" i="10" s="1"/>
  <c r="AE89" i="10"/>
  <c r="R89" i="7"/>
  <c r="R89" i="10" s="1"/>
  <c r="T57" i="7" l="1"/>
  <c r="T57" i="12"/>
  <c r="T58" i="12" s="1"/>
  <c r="T57" i="11"/>
  <c r="T58" i="11" s="1"/>
  <c r="U57" i="7"/>
  <c r="U57" i="11"/>
  <c r="U58" i="11" s="1"/>
  <c r="U57" i="12"/>
  <c r="U58" i="12" s="1"/>
  <c r="AA57" i="12"/>
  <c r="AA58" i="12" s="1"/>
  <c r="AA57" i="11"/>
  <c r="AA58" i="11" s="1"/>
  <c r="AA57" i="7"/>
  <c r="Z57" i="11"/>
  <c r="Z58" i="11" s="1"/>
  <c r="Z57" i="12"/>
  <c r="Z58" i="12" s="1"/>
  <c r="Z57" i="7"/>
  <c r="AE57" i="12"/>
  <c r="AE58" i="12" s="1"/>
  <c r="AE57" i="11"/>
  <c r="AE58" i="11" s="1"/>
  <c r="AE57" i="7"/>
  <c r="W57" i="11"/>
  <c r="W58" i="11" s="1"/>
  <c r="W57" i="12"/>
  <c r="W58" i="12" s="1"/>
  <c r="W57" i="7"/>
  <c r="AC57" i="7"/>
  <c r="AC57" i="12"/>
  <c r="AC58" i="12" s="1"/>
  <c r="AC57" i="11"/>
  <c r="AC58" i="11" s="1"/>
  <c r="Y57" i="7"/>
  <c r="Y57" i="12"/>
  <c r="Y58" i="12" s="1"/>
  <c r="Y57" i="11"/>
  <c r="Y58" i="11" s="1"/>
  <c r="AB57" i="11"/>
  <c r="AB58" i="11" s="1"/>
  <c r="AB57" i="12"/>
  <c r="AB58" i="12" s="1"/>
  <c r="AB57" i="7"/>
  <c r="X57" i="11"/>
  <c r="X58" i="11" s="1"/>
  <c r="X57" i="7"/>
  <c r="X57" i="12"/>
  <c r="X58" i="12" s="1"/>
  <c r="AD57" i="11"/>
  <c r="AD58" i="11" s="1"/>
  <c r="AD57" i="12"/>
  <c r="AD58" i="12" s="1"/>
  <c r="AD57" i="7"/>
  <c r="V57" i="7"/>
  <c r="V57" i="12"/>
  <c r="V58" i="12" s="1"/>
  <c r="V57" i="11"/>
  <c r="V58" i="11" s="1"/>
  <c r="T58" i="7" l="1"/>
  <c r="T57" i="10"/>
  <c r="T58" i="10" s="1"/>
  <c r="U58" i="7"/>
  <c r="U57" i="10"/>
  <c r="U58" i="10" s="1"/>
  <c r="AA58" i="7"/>
  <c r="AA57" i="10"/>
  <c r="AA58" i="10" s="1"/>
  <c r="Z58" i="7"/>
  <c r="Z57" i="10"/>
  <c r="Z58" i="10" s="1"/>
  <c r="AE58" i="7"/>
  <c r="AE57" i="10"/>
  <c r="AE58" i="10" s="1"/>
  <c r="W58" i="7"/>
  <c r="W57" i="10"/>
  <c r="W58" i="10" s="1"/>
  <c r="AC58" i="7"/>
  <c r="AC57" i="10"/>
  <c r="AC58" i="10" s="1"/>
  <c r="Y58" i="7"/>
  <c r="Y57" i="10"/>
  <c r="Y58" i="10" s="1"/>
  <c r="AB58" i="7"/>
  <c r="AB57" i="10"/>
  <c r="AB58" i="10" s="1"/>
  <c r="X58" i="7"/>
  <c r="X57" i="10"/>
  <c r="X58" i="10" s="1"/>
  <c r="AD58" i="7"/>
  <c r="AD57" i="10"/>
  <c r="AD58" i="10" s="1"/>
  <c r="V58" i="7"/>
  <c r="V57" i="10"/>
  <c r="V58" i="10" s="1"/>
  <c r="AA109" i="8" l="1"/>
  <c r="AA108" i="8" s="1"/>
  <c r="AA107" i="8" s="1"/>
  <c r="W109" i="8"/>
  <c r="W108" i="8" s="1"/>
  <c r="W107" i="8" s="1"/>
  <c r="U109" i="8"/>
  <c r="U108" i="8" s="1"/>
  <c r="U107" i="8" s="1"/>
  <c r="AC109" i="8"/>
  <c r="AC108" i="8" s="1"/>
  <c r="AC107" i="8" s="1"/>
  <c r="AE109" i="8"/>
  <c r="AD109" i="8"/>
  <c r="AD108" i="8" s="1"/>
  <c r="AD107" i="8" s="1"/>
  <c r="Z109" i="8"/>
  <c r="Z108" i="8" s="1"/>
  <c r="Z107" i="8" s="1"/>
  <c r="X109" i="8"/>
  <c r="X108" i="8" s="1"/>
  <c r="X107" i="8" s="1"/>
  <c r="Y109" i="8"/>
  <c r="Y108" i="8" s="1"/>
  <c r="Y107" i="8" s="1"/>
  <c r="V109" i="8"/>
  <c r="V108" i="8" s="1"/>
  <c r="V107" i="8" s="1"/>
  <c r="AB109" i="8"/>
  <c r="AB108" i="8" s="1"/>
  <c r="AB107" i="8" s="1"/>
  <c r="AE108" i="8" l="1"/>
  <c r="R109" i="8"/>
  <c r="AE107" i="8" l="1"/>
  <c r="R108" i="8"/>
  <c r="AA61" i="8"/>
  <c r="AB61" i="8"/>
  <c r="X61" i="8"/>
  <c r="V61" i="8"/>
  <c r="Y61" i="8"/>
  <c r="Z61" i="8"/>
  <c r="AE61" i="8"/>
  <c r="W61" i="8"/>
  <c r="AC61" i="8"/>
  <c r="AD61" i="8"/>
  <c r="R107" i="8" l="1"/>
  <c r="AA65" i="8"/>
  <c r="AA62" i="8"/>
  <c r="AA60" i="8"/>
  <c r="Y147" i="8"/>
  <c r="Y149" i="8" s="1"/>
  <c r="AB65" i="8"/>
  <c r="AB62" i="8"/>
  <c r="AB60" i="8"/>
  <c r="Z147" i="8"/>
  <c r="Z149" i="8" s="1"/>
  <c r="X65" i="8"/>
  <c r="X62" i="8"/>
  <c r="X60" i="8"/>
  <c r="V147" i="8"/>
  <c r="V149" i="8" s="1"/>
  <c r="W147" i="8"/>
  <c r="W149" i="8" s="1"/>
  <c r="V65" i="8"/>
  <c r="V62" i="8"/>
  <c r="V60" i="8"/>
  <c r="Y65" i="8"/>
  <c r="Y62" i="8"/>
  <c r="Y60" i="8"/>
  <c r="Z65" i="8"/>
  <c r="Z62" i="8"/>
  <c r="Z60" i="8"/>
  <c r="X147" i="8"/>
  <c r="X149" i="8" s="1"/>
  <c r="AE65" i="8"/>
  <c r="AE62" i="8"/>
  <c r="AE60" i="8"/>
  <c r="AC147" i="8"/>
  <c r="AC149" i="8" s="1"/>
  <c r="U147" i="8"/>
  <c r="U149" i="8" s="1"/>
  <c r="W65" i="8"/>
  <c r="W62" i="8"/>
  <c r="W60" i="8"/>
  <c r="AC65" i="8"/>
  <c r="AC62" i="8"/>
  <c r="AC60" i="8"/>
  <c r="AD147" i="8"/>
  <c r="AD149" i="8" s="1"/>
  <c r="AA147" i="8"/>
  <c r="AA149" i="8" s="1"/>
  <c r="AD65" i="8"/>
  <c r="AD62" i="8"/>
  <c r="AD60" i="8"/>
  <c r="AB147" i="8"/>
  <c r="AB149" i="8" s="1"/>
  <c r="AE147" i="8"/>
  <c r="AE149" i="8" s="1"/>
  <c r="AA55" i="8" l="1"/>
  <c r="AA56" i="8" s="1"/>
  <c r="AA67" i="8"/>
  <c r="AA66" i="8"/>
  <c r="AB55" i="8"/>
  <c r="AB56" i="8" s="1"/>
  <c r="AB69" i="8"/>
  <c r="AB67" i="8"/>
  <c r="AB66" i="8"/>
  <c r="X55" i="8"/>
  <c r="X56" i="8" s="1"/>
  <c r="X67" i="8"/>
  <c r="X66" i="8"/>
  <c r="V55" i="8"/>
  <c r="V56" i="8" s="1"/>
  <c r="V66" i="8"/>
  <c r="Y55" i="8"/>
  <c r="Y56" i="8" s="1"/>
  <c r="Y67" i="8"/>
  <c r="Y66" i="8"/>
  <c r="Z55" i="8"/>
  <c r="Z56" i="8" s="1"/>
  <c r="Z67" i="8"/>
  <c r="Z66" i="8"/>
  <c r="AE55" i="8"/>
  <c r="AE56" i="8" s="1"/>
  <c r="AE67" i="8"/>
  <c r="AE66" i="8"/>
  <c r="W55" i="8"/>
  <c r="W56" i="8" s="1"/>
  <c r="W66" i="8"/>
  <c r="AC55" i="8"/>
  <c r="AC56" i="8" s="1"/>
  <c r="AC67" i="8"/>
  <c r="AC66" i="8"/>
  <c r="AD55" i="8"/>
  <c r="AD56" i="8" s="1"/>
  <c r="AD67" i="8"/>
  <c r="AD66" i="8"/>
  <c r="X69" i="8" l="1"/>
  <c r="AB127" i="8"/>
  <c r="AB136" i="8" s="1"/>
  <c r="AB151" i="8" s="1"/>
  <c r="AB70" i="8"/>
  <c r="X127" i="8"/>
  <c r="X136" i="8" s="1"/>
  <c r="X151" i="8" s="1"/>
  <c r="X70" i="8"/>
  <c r="AD69" i="8"/>
  <c r="Y69" i="8"/>
  <c r="Z69" i="8"/>
  <c r="AE69" i="8"/>
  <c r="AC69" i="8"/>
  <c r="AA69" i="8"/>
  <c r="AD70" i="8" l="1"/>
  <c r="AD127" i="8"/>
  <c r="AD136" i="8" s="1"/>
  <c r="AD151" i="8" s="1"/>
  <c r="Y70" i="8"/>
  <c r="Y127" i="8"/>
  <c r="Y136" i="8" s="1"/>
  <c r="Y151" i="8" s="1"/>
  <c r="Z127" i="8"/>
  <c r="Z136" i="8" s="1"/>
  <c r="Z151" i="8" s="1"/>
  <c r="Z70" i="8"/>
  <c r="AE70" i="8"/>
  <c r="AE127" i="8"/>
  <c r="AE136" i="8" s="1"/>
  <c r="AE151" i="8" s="1"/>
  <c r="AC70" i="8"/>
  <c r="AC127" i="8"/>
  <c r="AC136" i="8" s="1"/>
  <c r="AC151" i="8" s="1"/>
  <c r="AA127" i="8"/>
  <c r="AA136" i="8" s="1"/>
  <c r="AA151" i="8" s="1"/>
  <c r="AA70" i="8"/>
  <c r="AA109" i="9" l="1"/>
  <c r="AA108" i="9" s="1"/>
  <c r="AA107" i="9" s="1"/>
  <c r="W109" i="9"/>
  <c r="W108" i="9" s="1"/>
  <c r="W107" i="9" s="1"/>
  <c r="U109" i="9"/>
  <c r="U108" i="9" s="1"/>
  <c r="U107" i="9" s="1"/>
  <c r="AC109" i="9"/>
  <c r="AC108" i="9" s="1"/>
  <c r="AC107" i="9" s="1"/>
  <c r="AE109" i="9"/>
  <c r="AD109" i="9"/>
  <c r="AD108" i="9" s="1"/>
  <c r="AD107" i="9" s="1"/>
  <c r="Z109" i="9"/>
  <c r="Z108" i="9" s="1"/>
  <c r="Z107" i="9" s="1"/>
  <c r="X109" i="9"/>
  <c r="X108" i="9" s="1"/>
  <c r="X107" i="9" s="1"/>
  <c r="Y109" i="9"/>
  <c r="Y108" i="9" s="1"/>
  <c r="Y107" i="9" s="1"/>
  <c r="V109" i="9"/>
  <c r="V108" i="9" s="1"/>
  <c r="V107" i="9" s="1"/>
  <c r="AB109" i="9"/>
  <c r="AB108" i="9" s="1"/>
  <c r="AB107" i="9" s="1"/>
  <c r="AE108" i="9" l="1"/>
  <c r="R109" i="9"/>
  <c r="R108" i="9" l="1"/>
  <c r="AE107" i="9"/>
  <c r="AA61" i="9"/>
  <c r="AB61" i="9"/>
  <c r="X61" i="9"/>
  <c r="V61" i="9"/>
  <c r="Y61" i="9"/>
  <c r="Z61" i="9"/>
  <c r="AE61" i="9"/>
  <c r="W61" i="9"/>
  <c r="AC61" i="9"/>
  <c r="AD61" i="9"/>
  <c r="R107" i="9" l="1"/>
  <c r="AA65" i="9"/>
  <c r="AA62" i="9"/>
  <c r="AA60" i="9"/>
  <c r="Y147" i="9"/>
  <c r="Y149" i="9" s="1"/>
  <c r="AB65" i="9"/>
  <c r="AB62" i="9"/>
  <c r="AB60" i="9"/>
  <c r="Z147" i="9"/>
  <c r="Z149" i="9" s="1"/>
  <c r="X65" i="9"/>
  <c r="X62" i="9"/>
  <c r="X60" i="9"/>
  <c r="V147" i="9"/>
  <c r="V149" i="9" s="1"/>
  <c r="W147" i="9"/>
  <c r="W149" i="9" s="1"/>
  <c r="V65" i="9"/>
  <c r="V62" i="9"/>
  <c r="V60" i="9"/>
  <c r="Y65" i="9"/>
  <c r="Y62" i="9"/>
  <c r="Y60" i="9"/>
  <c r="Z65" i="9"/>
  <c r="Z62" i="9"/>
  <c r="Z60" i="9"/>
  <c r="X147" i="9"/>
  <c r="X149" i="9" s="1"/>
  <c r="AE65" i="9"/>
  <c r="AE62" i="9"/>
  <c r="AE60" i="9"/>
  <c r="AC147" i="9"/>
  <c r="AC149" i="9" s="1"/>
  <c r="U147" i="9"/>
  <c r="U149" i="9" s="1"/>
  <c r="W65" i="9"/>
  <c r="W62" i="9"/>
  <c r="W60" i="9"/>
  <c r="AC65" i="9"/>
  <c r="AC62" i="9"/>
  <c r="AC60" i="9"/>
  <c r="AD147" i="9"/>
  <c r="AD149" i="9" s="1"/>
  <c r="AA147" i="9"/>
  <c r="AA149" i="9" s="1"/>
  <c r="AD65" i="9"/>
  <c r="AD62" i="9"/>
  <c r="AD60" i="9"/>
  <c r="AB147" i="9"/>
  <c r="AB149" i="9" s="1"/>
  <c r="AE147" i="9"/>
  <c r="AE149" i="9" s="1"/>
  <c r="AA66" i="9" l="1"/>
  <c r="AA55" i="9"/>
  <c r="AA56" i="9" s="1"/>
  <c r="AB66" i="9"/>
  <c r="AB55" i="9"/>
  <c r="AB56" i="9" s="1"/>
  <c r="X66" i="9"/>
  <c r="X55" i="9"/>
  <c r="X56" i="9" s="1"/>
  <c r="V55" i="9"/>
  <c r="V56" i="9" s="1"/>
  <c r="V66" i="9"/>
  <c r="Y55" i="9"/>
  <c r="Y56" i="9" s="1"/>
  <c r="Y66" i="9"/>
  <c r="Z55" i="9"/>
  <c r="Z56" i="9" s="1"/>
  <c r="Z66" i="9"/>
  <c r="AE55" i="9"/>
  <c r="AE56" i="9" s="1"/>
  <c r="AE66" i="9"/>
  <c r="W55" i="9"/>
  <c r="W56" i="9" s="1"/>
  <c r="W66" i="9"/>
  <c r="AC55" i="9"/>
  <c r="AC56" i="9" s="1"/>
  <c r="AC66" i="9"/>
  <c r="AD66" i="9"/>
  <c r="AD55" i="9"/>
  <c r="AD56" i="9" s="1"/>
  <c r="AB78" i="11" l="1"/>
  <c r="AB78" i="12"/>
  <c r="AB78" i="7"/>
  <c r="AC78" i="12"/>
  <c r="AC78" i="11"/>
  <c r="AC78" i="7"/>
  <c r="U61" i="8" l="1"/>
  <c r="AB78" i="10"/>
  <c r="AC130" i="12"/>
  <c r="AC130" i="11"/>
  <c r="AC78" i="10"/>
  <c r="AC130" i="7"/>
  <c r="U65" i="8" l="1"/>
  <c r="U62" i="8"/>
  <c r="U60" i="8"/>
  <c r="AC130" i="10"/>
  <c r="AD78" i="7"/>
  <c r="AD78" i="12"/>
  <c r="AD78" i="11"/>
  <c r="AE78" i="12"/>
  <c r="AE78" i="11"/>
  <c r="AE78" i="7"/>
  <c r="AA78" i="12"/>
  <c r="AA78" i="11"/>
  <c r="AA78" i="7"/>
  <c r="X78" i="12"/>
  <c r="X78" i="11"/>
  <c r="X78" i="7"/>
  <c r="Z78" i="7"/>
  <c r="Z78" i="12"/>
  <c r="Z78" i="11"/>
  <c r="U78" i="11"/>
  <c r="U78" i="12"/>
  <c r="U78" i="7"/>
  <c r="Y78" i="11"/>
  <c r="Y78" i="12"/>
  <c r="Y78" i="7"/>
  <c r="U55" i="8" l="1"/>
  <c r="U56" i="8" s="1"/>
  <c r="U66" i="8"/>
  <c r="AD130" i="7"/>
  <c r="AD78" i="10"/>
  <c r="AD130" i="12"/>
  <c r="AD130" i="11"/>
  <c r="AE130" i="12"/>
  <c r="R78" i="12"/>
  <c r="R77" i="12" s="1"/>
  <c r="AE130" i="11"/>
  <c r="R78" i="11"/>
  <c r="R77" i="11" s="1"/>
  <c r="AE78" i="10"/>
  <c r="AE130" i="7"/>
  <c r="R78" i="7"/>
  <c r="AB130" i="12"/>
  <c r="AA130" i="12"/>
  <c r="AB130" i="11"/>
  <c r="AA130" i="11"/>
  <c r="AB130" i="7"/>
  <c r="AA130" i="7"/>
  <c r="AA78" i="10"/>
  <c r="X78" i="10"/>
  <c r="Z130" i="7"/>
  <c r="Z78" i="10"/>
  <c r="Z130" i="12"/>
  <c r="Z130" i="11"/>
  <c r="U78" i="10"/>
  <c r="Y130" i="11"/>
  <c r="Y130" i="12"/>
  <c r="Y130" i="7"/>
  <c r="Y78" i="10"/>
  <c r="V78" i="12"/>
  <c r="V78" i="11"/>
  <c r="V78" i="7"/>
  <c r="W78" i="11"/>
  <c r="W78" i="7"/>
  <c r="W78" i="12"/>
  <c r="T109" i="12"/>
  <c r="T109" i="11"/>
  <c r="T109" i="7"/>
  <c r="AD130" i="10" l="1"/>
  <c r="AE130" i="10"/>
  <c r="R77" i="7"/>
  <c r="R78" i="10"/>
  <c r="R77" i="10" s="1"/>
  <c r="AB130" i="10"/>
  <c r="AA130" i="10"/>
  <c r="Z130" i="10"/>
  <c r="Y130" i="10"/>
  <c r="V130" i="12"/>
  <c r="V130" i="11"/>
  <c r="V78" i="10"/>
  <c r="V130" i="7"/>
  <c r="W130" i="11"/>
  <c r="W130" i="7"/>
  <c r="W78" i="10"/>
  <c r="W130" i="12"/>
  <c r="T109" i="10"/>
  <c r="X130" i="11"/>
  <c r="X130" i="7"/>
  <c r="X130" i="12"/>
  <c r="T78" i="12"/>
  <c r="T78" i="11"/>
  <c r="T78" i="7"/>
  <c r="AA109" i="7"/>
  <c r="AA109" i="12"/>
  <c r="AA109" i="11"/>
  <c r="W109" i="7"/>
  <c r="W109" i="12"/>
  <c r="W109" i="11"/>
  <c r="U109" i="7"/>
  <c r="U109" i="11"/>
  <c r="U109" i="12"/>
  <c r="AC109" i="7"/>
  <c r="AC109" i="11"/>
  <c r="AC109" i="12"/>
  <c r="AE109" i="7"/>
  <c r="AE109" i="11"/>
  <c r="AE109" i="12"/>
  <c r="AD109" i="7"/>
  <c r="AD109" i="12"/>
  <c r="AD109" i="11"/>
  <c r="Z109" i="11"/>
  <c r="Z109" i="7"/>
  <c r="Z109" i="12"/>
  <c r="X109" i="7"/>
  <c r="X109" i="12"/>
  <c r="X109" i="11"/>
  <c r="Y109" i="12"/>
  <c r="Y109" i="7"/>
  <c r="Y109" i="11"/>
  <c r="V109" i="12"/>
  <c r="V109" i="7"/>
  <c r="V109" i="11"/>
  <c r="AB109" i="12"/>
  <c r="AB109" i="11"/>
  <c r="AB109" i="7"/>
  <c r="V130" i="10" l="1"/>
  <c r="W130" i="10"/>
  <c r="U130" i="12"/>
  <c r="T130" i="12"/>
  <c r="U130" i="11"/>
  <c r="T130" i="11"/>
  <c r="U130" i="7"/>
  <c r="T78" i="10"/>
  <c r="T130" i="7"/>
  <c r="X130" i="10"/>
  <c r="AA109" i="10"/>
  <c r="W109" i="10"/>
  <c r="U109" i="10"/>
  <c r="AC109" i="10"/>
  <c r="AE109" i="10"/>
  <c r="R109" i="7"/>
  <c r="R109" i="10" s="1"/>
  <c r="R109" i="11"/>
  <c r="R109" i="12"/>
  <c r="AD109" i="10"/>
  <c r="Z109" i="10"/>
  <c r="X109" i="10"/>
  <c r="Y109" i="10"/>
  <c r="V109" i="10"/>
  <c r="AB109" i="10"/>
  <c r="U61" i="9" l="1"/>
  <c r="R130" i="12"/>
  <c r="R130" i="11"/>
  <c r="U130" i="10"/>
  <c r="T130" i="10"/>
  <c r="R130" i="7"/>
  <c r="AA61" i="11"/>
  <c r="AA61" i="12"/>
  <c r="AA61" i="7"/>
  <c r="Y147" i="7"/>
  <c r="Y147" i="11"/>
  <c r="Y149" i="11" s="1"/>
  <c r="Y147" i="12"/>
  <c r="Y149" i="12" s="1"/>
  <c r="AB61" i="7"/>
  <c r="AB61" i="11"/>
  <c r="AB61" i="12"/>
  <c r="Z147" i="7"/>
  <c r="Z147" i="12"/>
  <c r="Z149" i="12" s="1"/>
  <c r="Z147" i="11"/>
  <c r="Z149" i="11" s="1"/>
  <c r="X61" i="11"/>
  <c r="X61" i="7"/>
  <c r="X61" i="12"/>
  <c r="V147" i="7"/>
  <c r="V147" i="12"/>
  <c r="V149" i="12" s="1"/>
  <c r="V147" i="11"/>
  <c r="V149" i="11" s="1"/>
  <c r="W147" i="11"/>
  <c r="W149" i="11" s="1"/>
  <c r="W147" i="7"/>
  <c r="W147" i="12"/>
  <c r="W149" i="12" s="1"/>
  <c r="V61" i="11"/>
  <c r="V61" i="7"/>
  <c r="V61" i="12"/>
  <c r="Y61" i="12"/>
  <c r="Y61" i="7"/>
  <c r="Y61" i="11"/>
  <c r="Z61" i="12"/>
  <c r="Z61" i="7"/>
  <c r="Z61" i="11"/>
  <c r="X147" i="12"/>
  <c r="X149" i="12" s="1"/>
  <c r="X147" i="7"/>
  <c r="X147" i="11"/>
  <c r="X149" i="11" s="1"/>
  <c r="AE61" i="11"/>
  <c r="AE61" i="7"/>
  <c r="AE61" i="12"/>
  <c r="AC147" i="11"/>
  <c r="AC149" i="11" s="1"/>
  <c r="AC147" i="12"/>
  <c r="AC149" i="12" s="1"/>
  <c r="AC147" i="7"/>
  <c r="U147" i="12"/>
  <c r="U149" i="12" s="1"/>
  <c r="U147" i="7"/>
  <c r="U147" i="11"/>
  <c r="U149" i="11" s="1"/>
  <c r="W61" i="7"/>
  <c r="W61" i="11"/>
  <c r="W61" i="12"/>
  <c r="AC61" i="12"/>
  <c r="AC61" i="11"/>
  <c r="AC61" i="7"/>
  <c r="AD147" i="7"/>
  <c r="AD147" i="11"/>
  <c r="AD149" i="11" s="1"/>
  <c r="AD147" i="12"/>
  <c r="AD149" i="12" s="1"/>
  <c r="AA147" i="12"/>
  <c r="AA149" i="12" s="1"/>
  <c r="AA147" i="7"/>
  <c r="AA147" i="11"/>
  <c r="AA149" i="11" s="1"/>
  <c r="AD61" i="7"/>
  <c r="AD61" i="12"/>
  <c r="AD61" i="11"/>
  <c r="AB147" i="11"/>
  <c r="AB149" i="11" s="1"/>
  <c r="AB147" i="12"/>
  <c r="AB149" i="12" s="1"/>
  <c r="AB147" i="7"/>
  <c r="AE147" i="11"/>
  <c r="AE149" i="11" s="1"/>
  <c r="AE147" i="12"/>
  <c r="AE149" i="12" s="1"/>
  <c r="AE147" i="7"/>
  <c r="U65" i="9" l="1"/>
  <c r="U62" i="9"/>
  <c r="U60" i="9"/>
  <c r="R130" i="10"/>
  <c r="AA65" i="11"/>
  <c r="AA62" i="11"/>
  <c r="AA60" i="11"/>
  <c r="AA65" i="12"/>
  <c r="AA62" i="12"/>
  <c r="AA60" i="12"/>
  <c r="AA65" i="7"/>
  <c r="AA62" i="7"/>
  <c r="AA61" i="10"/>
  <c r="AA60" i="7"/>
  <c r="Y149" i="7"/>
  <c r="Y147" i="10"/>
  <c r="Y149" i="10" s="1"/>
  <c r="AB65" i="7"/>
  <c r="AB62" i="7"/>
  <c r="AB61" i="10"/>
  <c r="AB60" i="7"/>
  <c r="AB65" i="11"/>
  <c r="AB62" i="11"/>
  <c r="AB60" i="11"/>
  <c r="AB65" i="12"/>
  <c r="AB62" i="12"/>
  <c r="AB60" i="12"/>
  <c r="Z149" i="7"/>
  <c r="Z147" i="10"/>
  <c r="Z149" i="10" s="1"/>
  <c r="X65" i="11"/>
  <c r="X62" i="11"/>
  <c r="X60" i="11"/>
  <c r="X65" i="7"/>
  <c r="X62" i="7"/>
  <c r="X61" i="10"/>
  <c r="X60" i="7"/>
  <c r="X65" i="12"/>
  <c r="X62" i="12"/>
  <c r="X60" i="12"/>
  <c r="V149" i="7"/>
  <c r="V147" i="10"/>
  <c r="V149" i="10" s="1"/>
  <c r="W149" i="7"/>
  <c r="W147" i="10"/>
  <c r="W149" i="10" s="1"/>
  <c r="V65" i="11"/>
  <c r="V62" i="11"/>
  <c r="V60" i="11"/>
  <c r="V65" i="7"/>
  <c r="V62" i="7"/>
  <c r="V61" i="10"/>
  <c r="V60" i="7"/>
  <c r="V65" i="12"/>
  <c r="V62" i="12"/>
  <c r="V60" i="12"/>
  <c r="Y65" i="12"/>
  <c r="Y62" i="12"/>
  <c r="Y60" i="12"/>
  <c r="Y65" i="7"/>
  <c r="Y62" i="7"/>
  <c r="Y61" i="10"/>
  <c r="Y60" i="7"/>
  <c r="Y65" i="11"/>
  <c r="Y62" i="11"/>
  <c r="Y60" i="11"/>
  <c r="Z65" i="12"/>
  <c r="Z62" i="12"/>
  <c r="Z60" i="12"/>
  <c r="Z65" i="7"/>
  <c r="Z62" i="7"/>
  <c r="Z61" i="10"/>
  <c r="Z60" i="7"/>
  <c r="Z65" i="11"/>
  <c r="Z62" i="11"/>
  <c r="Z60" i="11"/>
  <c r="X149" i="7"/>
  <c r="X147" i="10"/>
  <c r="X149" i="10" s="1"/>
  <c r="AE65" i="11"/>
  <c r="AE62" i="11"/>
  <c r="AE60" i="11"/>
  <c r="AE65" i="7"/>
  <c r="AE62" i="7"/>
  <c r="AE61" i="10"/>
  <c r="AE60" i="7"/>
  <c r="AE65" i="12"/>
  <c r="AE62" i="12"/>
  <c r="AE60" i="12"/>
  <c r="AC149" i="7"/>
  <c r="AC147" i="10"/>
  <c r="AC149" i="10" s="1"/>
  <c r="U149" i="7"/>
  <c r="U147" i="10"/>
  <c r="U149" i="10" s="1"/>
  <c r="W65" i="7"/>
  <c r="W62" i="7"/>
  <c r="W61" i="10"/>
  <c r="W60" i="7"/>
  <c r="W65" i="11"/>
  <c r="W62" i="11"/>
  <c r="W60" i="11"/>
  <c r="W65" i="12"/>
  <c r="W62" i="12"/>
  <c r="W60" i="12"/>
  <c r="AC65" i="12"/>
  <c r="AC62" i="12"/>
  <c r="AC60" i="12"/>
  <c r="AC65" i="11"/>
  <c r="AC62" i="11"/>
  <c r="AC60" i="11"/>
  <c r="AC65" i="7"/>
  <c r="AC62" i="7"/>
  <c r="AC61" i="10"/>
  <c r="AC60" i="7"/>
  <c r="AD149" i="7"/>
  <c r="AD147" i="10"/>
  <c r="AD149" i="10" s="1"/>
  <c r="AA149" i="7"/>
  <c r="AA147" i="10"/>
  <c r="AA149" i="10" s="1"/>
  <c r="AD65" i="7"/>
  <c r="AD62" i="7"/>
  <c r="AD61" i="10"/>
  <c r="AD60" i="7"/>
  <c r="AD65" i="12"/>
  <c r="AD62" i="12"/>
  <c r="AD60" i="12"/>
  <c r="AD65" i="11"/>
  <c r="AD62" i="11"/>
  <c r="AD60" i="11"/>
  <c r="AB149" i="7"/>
  <c r="AB147" i="10"/>
  <c r="AB149" i="10" s="1"/>
  <c r="AE149" i="7"/>
  <c r="AE147" i="10"/>
  <c r="AE149" i="10" s="1"/>
  <c r="U66" i="9" l="1"/>
  <c r="U55" i="9"/>
  <c r="U56" i="9" s="1"/>
  <c r="AA66" i="11"/>
  <c r="AA55" i="11"/>
  <c r="AA56" i="11" s="1"/>
  <c r="AA55" i="12"/>
  <c r="AA56" i="12" s="1"/>
  <c r="AA66" i="12"/>
  <c r="AA66" i="7"/>
  <c r="AA55" i="7"/>
  <c r="AA56" i="7" s="1"/>
  <c r="AA65" i="10"/>
  <c r="AA60" i="10"/>
  <c r="AA62" i="10"/>
  <c r="AB55" i="7"/>
  <c r="AB56" i="7" s="1"/>
  <c r="AB66" i="7"/>
  <c r="AB65" i="10"/>
  <c r="AB60" i="10"/>
  <c r="AB62" i="10"/>
  <c r="AB55" i="11"/>
  <c r="AB56" i="11" s="1"/>
  <c r="AB66" i="11"/>
  <c r="AB66" i="12"/>
  <c r="AB55" i="12"/>
  <c r="AB56" i="12" s="1"/>
  <c r="X55" i="11"/>
  <c r="X56" i="11" s="1"/>
  <c r="X66" i="11"/>
  <c r="X55" i="7"/>
  <c r="X56" i="7" s="1"/>
  <c r="X66" i="7"/>
  <c r="X65" i="10"/>
  <c r="X60" i="10"/>
  <c r="X62" i="10"/>
  <c r="X55" i="12"/>
  <c r="X56" i="12" s="1"/>
  <c r="X66" i="12"/>
  <c r="V66" i="11"/>
  <c r="V55" i="11"/>
  <c r="V56" i="11" s="1"/>
  <c r="V55" i="7"/>
  <c r="V56" i="7" s="1"/>
  <c r="V66" i="7"/>
  <c r="V65" i="10"/>
  <c r="V60" i="10"/>
  <c r="V62" i="10"/>
  <c r="V66" i="12"/>
  <c r="V55" i="12"/>
  <c r="V56" i="12" s="1"/>
  <c r="Y55" i="12"/>
  <c r="Y56" i="12" s="1"/>
  <c r="Y66" i="12"/>
  <c r="Y66" i="7"/>
  <c r="Y55" i="7"/>
  <c r="Y56" i="7" s="1"/>
  <c r="Y65" i="10"/>
  <c r="Y60" i="10"/>
  <c r="Y62" i="10"/>
  <c r="Y66" i="11"/>
  <c r="Y55" i="11"/>
  <c r="Y56" i="11" s="1"/>
  <c r="Z66" i="12"/>
  <c r="Z55" i="12"/>
  <c r="Z56" i="12" s="1"/>
  <c r="Z55" i="7"/>
  <c r="Z56" i="7" s="1"/>
  <c r="Z66" i="7"/>
  <c r="Z65" i="10"/>
  <c r="Z60" i="10"/>
  <c r="Z62" i="10"/>
  <c r="Z66" i="11"/>
  <c r="Z55" i="11"/>
  <c r="Z56" i="11" s="1"/>
  <c r="AE66" i="11"/>
  <c r="AE55" i="11"/>
  <c r="AE56" i="11" s="1"/>
  <c r="AE55" i="7"/>
  <c r="AE56" i="7" s="1"/>
  <c r="AE66" i="7"/>
  <c r="AE65" i="10"/>
  <c r="AE60" i="10"/>
  <c r="AE62" i="10"/>
  <c r="AE55" i="12"/>
  <c r="AE56" i="12" s="1"/>
  <c r="AE66" i="12"/>
  <c r="W55" i="7"/>
  <c r="W56" i="7" s="1"/>
  <c r="W66" i="7"/>
  <c r="W65" i="10"/>
  <c r="W60" i="10"/>
  <c r="W62" i="10"/>
  <c r="W66" i="11"/>
  <c r="W55" i="11"/>
  <c r="W56" i="11" s="1"/>
  <c r="W66" i="12"/>
  <c r="W55" i="12"/>
  <c r="W56" i="12" s="1"/>
  <c r="AC55" i="12"/>
  <c r="AC56" i="12" s="1"/>
  <c r="AC66" i="12"/>
  <c r="AC55" i="11"/>
  <c r="AC56" i="11" s="1"/>
  <c r="AC66" i="11"/>
  <c r="AC55" i="7"/>
  <c r="AC56" i="7" s="1"/>
  <c r="AC66" i="7"/>
  <c r="AC65" i="10"/>
  <c r="AC60" i="10"/>
  <c r="AC62" i="10"/>
  <c r="AD55" i="7"/>
  <c r="AD56" i="7" s="1"/>
  <c r="AD66" i="7"/>
  <c r="AD65" i="10"/>
  <c r="AD60" i="10"/>
  <c r="AD62" i="10"/>
  <c r="AD55" i="12"/>
  <c r="AD56" i="12" s="1"/>
  <c r="AD66" i="12"/>
  <c r="AD66" i="11"/>
  <c r="AD55" i="11"/>
  <c r="AD56" i="11" s="1"/>
  <c r="AA66" i="10" l="1"/>
  <c r="AA55" i="10"/>
  <c r="AA56" i="10" s="1"/>
  <c r="AB66" i="10"/>
  <c r="AB55" i="10"/>
  <c r="AB56" i="10" s="1"/>
  <c r="X55" i="10"/>
  <c r="X56" i="10" s="1"/>
  <c r="X66" i="10"/>
  <c r="V55" i="10"/>
  <c r="V56" i="10" s="1"/>
  <c r="V66" i="10"/>
  <c r="Y66" i="10"/>
  <c r="Y55" i="10"/>
  <c r="Y56" i="10" s="1"/>
  <c r="Z55" i="10"/>
  <c r="Z56" i="10" s="1"/>
  <c r="Z66" i="10"/>
  <c r="AE55" i="10"/>
  <c r="AE56" i="10" s="1"/>
  <c r="AE66" i="10"/>
  <c r="W55" i="10"/>
  <c r="W56" i="10" s="1"/>
  <c r="W66" i="10"/>
  <c r="AC66" i="10"/>
  <c r="AC55" i="10"/>
  <c r="AC56" i="10" s="1"/>
  <c r="AD55" i="10"/>
  <c r="AD56" i="10" s="1"/>
  <c r="AD66" i="10"/>
  <c r="U61" i="7" l="1"/>
  <c r="U61" i="12"/>
  <c r="U61" i="11"/>
  <c r="U65" i="7" l="1"/>
  <c r="U62" i="7"/>
  <c r="U61" i="10"/>
  <c r="U60" i="7"/>
  <c r="U65" i="12"/>
  <c r="U62" i="12"/>
  <c r="U60" i="12"/>
  <c r="U65" i="11"/>
  <c r="U62" i="11"/>
  <c r="U60" i="11"/>
  <c r="U55" i="7" l="1"/>
  <c r="U56" i="7" s="1"/>
  <c r="U66" i="7"/>
  <c r="U65" i="10"/>
  <c r="U60" i="10"/>
  <c r="U62" i="10"/>
  <c r="U55" i="12"/>
  <c r="U56" i="12" s="1"/>
  <c r="U66" i="12"/>
  <c r="U55" i="11"/>
  <c r="U56" i="11" s="1"/>
  <c r="U66" i="11"/>
  <c r="U55" i="10" l="1"/>
  <c r="U56" i="10" s="1"/>
  <c r="U66" i="10"/>
  <c r="N147" i="12" l="1"/>
  <c r="N147" i="7"/>
  <c r="N147" i="10" s="1"/>
  <c r="N147" i="11"/>
  <c r="P82" i="12" l="1"/>
  <c r="P82" i="11"/>
  <c r="P82" i="7"/>
  <c r="P131" i="12" l="1"/>
  <c r="P81" i="12"/>
  <c r="P131" i="11"/>
  <c r="P81" i="11"/>
  <c r="P131" i="7"/>
  <c r="P82" i="10"/>
  <c r="P81" i="7"/>
  <c r="P110" i="12"/>
  <c r="P110" i="7"/>
  <c r="P110" i="11"/>
  <c r="P81" i="10" l="1"/>
  <c r="P131" i="10"/>
  <c r="P132" i="12"/>
  <c r="P129" i="12" s="1"/>
  <c r="P136" i="12" s="1"/>
  <c r="P108" i="12"/>
  <c r="P107" i="12" s="1"/>
  <c r="P122" i="12" s="1"/>
  <c r="P132" i="7"/>
  <c r="P129" i="7" s="1"/>
  <c r="P136" i="7" s="1"/>
  <c r="P110" i="10"/>
  <c r="P108" i="7"/>
  <c r="P107" i="7" s="1"/>
  <c r="P122" i="7" s="1"/>
  <c r="P132" i="11"/>
  <c r="P129" i="11" s="1"/>
  <c r="P136" i="11" s="1"/>
  <c r="P108" i="11"/>
  <c r="P107" i="11" s="1"/>
  <c r="P122" i="11" s="1"/>
  <c r="N148" i="11"/>
  <c r="N149" i="11" s="1"/>
  <c r="N151" i="11" s="1"/>
  <c r="N153" i="11" s="1"/>
  <c r="N148" i="7"/>
  <c r="N148" i="12"/>
  <c r="N149" i="12" s="1"/>
  <c r="N151" i="12" s="1"/>
  <c r="N153" i="12" s="1"/>
  <c r="P108" i="10" l="1"/>
  <c r="P107" i="10" s="1"/>
  <c r="P122" i="10" s="1"/>
  <c r="P132" i="10"/>
  <c r="P129" i="10" s="1"/>
  <c r="P136" i="10" s="1"/>
  <c r="O152" i="11"/>
  <c r="O153" i="11" s="1"/>
  <c r="N154" i="11"/>
  <c r="N148" i="10"/>
  <c r="N149" i="10" s="1"/>
  <c r="N151" i="10" s="1"/>
  <c r="N153" i="10" s="1"/>
  <c r="N154" i="10" s="1"/>
  <c r="N149" i="7"/>
  <c r="N151" i="7" s="1"/>
  <c r="N153" i="7" s="1"/>
  <c r="O152" i="12"/>
  <c r="O153" i="12" s="1"/>
  <c r="N154" i="12"/>
  <c r="Q152" i="11" l="1"/>
  <c r="O154" i="11"/>
  <c r="O152" i="7"/>
  <c r="N154" i="7"/>
  <c r="Q152" i="12"/>
  <c r="O154" i="12"/>
  <c r="Q148" i="12"/>
  <c r="Q148" i="11"/>
  <c r="Q148" i="7"/>
  <c r="Q148" i="10" s="1"/>
  <c r="P148" i="11"/>
  <c r="P148" i="7"/>
  <c r="P148" i="12"/>
  <c r="O153" i="7" l="1"/>
  <c r="O152" i="10"/>
  <c r="O153" i="10" s="1"/>
  <c r="O154" i="10" s="1"/>
  <c r="P148" i="10"/>
  <c r="Q152" i="7" l="1"/>
  <c r="Q152" i="10" s="1"/>
  <c r="O154" i="7"/>
  <c r="T61" i="9" l="1"/>
  <c r="T65" i="9" l="1"/>
  <c r="T62" i="9"/>
  <c r="T60" i="9"/>
  <c r="R61" i="9"/>
  <c r="Q147" i="9"/>
  <c r="Q149" i="9" s="1"/>
  <c r="Q151" i="9" s="1"/>
  <c r="Q153" i="9" s="1"/>
  <c r="T147" i="9"/>
  <c r="T55" i="9" l="1"/>
  <c r="T56" i="9" s="1"/>
  <c r="T66" i="9"/>
  <c r="R65" i="9"/>
  <c r="R62" i="9"/>
  <c r="R60" i="9"/>
  <c r="Q154" i="9"/>
  <c r="R152" i="9"/>
  <c r="T152" i="9"/>
  <c r="T149" i="9"/>
  <c r="R147" i="9"/>
  <c r="R149" i="9" s="1"/>
  <c r="R66" i="9" l="1"/>
  <c r="R67" i="9"/>
  <c r="R68" i="9" s="1"/>
  <c r="R55" i="9"/>
  <c r="R56" i="9" s="1"/>
  <c r="R69" i="9" l="1"/>
  <c r="R127" i="9" l="1"/>
  <c r="R136" i="9" s="1"/>
  <c r="R151" i="9" s="1"/>
  <c r="R153" i="9" s="1"/>
  <c r="R70" i="9"/>
  <c r="T61" i="8" l="1"/>
  <c r="T65" i="8" l="1"/>
  <c r="T62" i="8"/>
  <c r="T60" i="8"/>
  <c r="R61" i="8"/>
  <c r="Q147" i="8"/>
  <c r="Q149" i="8" s="1"/>
  <c r="Q151" i="8" s="1"/>
  <c r="Q153" i="8" s="1"/>
  <c r="T147" i="8"/>
  <c r="T55" i="8" l="1"/>
  <c r="T56" i="8" s="1"/>
  <c r="W67" i="8"/>
  <c r="W69" i="8" s="1"/>
  <c r="T66" i="8"/>
  <c r="R65" i="8"/>
  <c r="R62" i="8"/>
  <c r="R60" i="8"/>
  <c r="Q154" i="8"/>
  <c r="R152" i="8"/>
  <c r="T152" i="8"/>
  <c r="T149" i="8"/>
  <c r="R147" i="8"/>
  <c r="W127" i="8" l="1"/>
  <c r="W136" i="8" s="1"/>
  <c r="W151" i="8" s="1"/>
  <c r="W70" i="8"/>
  <c r="R66" i="8"/>
  <c r="R67" i="8"/>
  <c r="R69" i="8"/>
  <c r="R70" i="8" s="1"/>
  <c r="R55" i="8"/>
  <c r="R56" i="8" s="1"/>
  <c r="R149" i="8"/>
  <c r="R147" i="10"/>
  <c r="R149" i="10" s="1"/>
  <c r="Q109" i="12" l="1"/>
  <c r="Q108" i="12" s="1"/>
  <c r="Q107" i="12" s="1"/>
  <c r="Q122" i="12" s="1"/>
  <c r="Q123" i="12" s="1"/>
  <c r="Q109" i="7"/>
  <c r="Q109" i="11"/>
  <c r="Q108" i="11" s="1"/>
  <c r="Q107" i="11" s="1"/>
  <c r="Q122" i="11" s="1"/>
  <c r="Q123" i="11" s="1"/>
  <c r="T61" i="7"/>
  <c r="T61" i="12"/>
  <c r="T61" i="11"/>
  <c r="R61" i="7"/>
  <c r="R61" i="12"/>
  <c r="R61" i="11"/>
  <c r="Q147" i="7"/>
  <c r="Q147" i="12"/>
  <c r="Q149" i="12" s="1"/>
  <c r="Q151" i="12" s="1"/>
  <c r="Q153" i="12" s="1"/>
  <c r="Q147" i="11"/>
  <c r="Q149" i="11" s="1"/>
  <c r="Q151" i="11" s="1"/>
  <c r="Q153" i="11" s="1"/>
  <c r="T147" i="7"/>
  <c r="T147" i="11"/>
  <c r="T149" i="11" s="1"/>
  <c r="T147" i="12"/>
  <c r="T149" i="12" s="1"/>
  <c r="Q109" i="10" l="1"/>
  <c r="Q108" i="10" s="1"/>
  <c r="Q107" i="10" s="1"/>
  <c r="Q122" i="10" s="1"/>
  <c r="Q123" i="10" s="1"/>
  <c r="Q108" i="7"/>
  <c r="Q107" i="7" s="1"/>
  <c r="Q122" i="7" s="1"/>
  <c r="Q123" i="7" s="1"/>
  <c r="T65" i="7"/>
  <c r="T62" i="7"/>
  <c r="T61" i="10"/>
  <c r="T60" i="7"/>
  <c r="T65" i="12"/>
  <c r="T62" i="12"/>
  <c r="T60" i="12"/>
  <c r="T65" i="11"/>
  <c r="T62" i="11"/>
  <c r="T60" i="11"/>
  <c r="R65" i="7"/>
  <c r="R62" i="7"/>
  <c r="R61" i="10"/>
  <c r="R60" i="7"/>
  <c r="R60" i="10" s="1"/>
  <c r="R65" i="12"/>
  <c r="R62" i="12"/>
  <c r="R60" i="12"/>
  <c r="R65" i="11"/>
  <c r="R62" i="11"/>
  <c r="R60" i="11"/>
  <c r="Q149" i="7"/>
  <c r="Q151" i="7" s="1"/>
  <c r="Q153" i="7" s="1"/>
  <c r="Q147" i="10"/>
  <c r="Q149" i="10" s="1"/>
  <c r="Q151" i="10" s="1"/>
  <c r="Q153" i="10" s="1"/>
  <c r="T152" i="10" s="1"/>
  <c r="P152" i="12"/>
  <c r="R152" i="12"/>
  <c r="T152" i="12"/>
  <c r="P152" i="11"/>
  <c r="T152" i="11"/>
  <c r="R152" i="11"/>
  <c r="T149" i="7"/>
  <c r="T147" i="10"/>
  <c r="T149" i="10" s="1"/>
  <c r="T55" i="7" l="1"/>
  <c r="T56" i="7" s="1"/>
  <c r="T66" i="7"/>
  <c r="T65" i="10"/>
  <c r="T60" i="10"/>
  <c r="T62" i="10"/>
  <c r="T55" i="12"/>
  <c r="T56" i="12" s="1"/>
  <c r="T66" i="12"/>
  <c r="T66" i="11"/>
  <c r="T55" i="11"/>
  <c r="T56" i="11" s="1"/>
  <c r="R55" i="7"/>
  <c r="R56" i="7" s="1"/>
  <c r="R67" i="7"/>
  <c r="R66" i="7"/>
  <c r="R65" i="10"/>
  <c r="R62" i="10"/>
  <c r="R55" i="12"/>
  <c r="R56" i="12" s="1"/>
  <c r="R66" i="12"/>
  <c r="R67" i="12"/>
  <c r="R68" i="12" s="1"/>
  <c r="R67" i="11"/>
  <c r="R68" i="11" s="1"/>
  <c r="R55" i="11"/>
  <c r="R56" i="11" s="1"/>
  <c r="R66" i="11"/>
  <c r="P152" i="7"/>
  <c r="R152" i="7"/>
  <c r="T152" i="7"/>
  <c r="R69" i="11" l="1"/>
  <c r="T55" i="10"/>
  <c r="T56" i="10" s="1"/>
  <c r="T66" i="10"/>
  <c r="R67" i="10"/>
  <c r="R68" i="10" s="1"/>
  <c r="R68" i="7"/>
  <c r="R66" i="10"/>
  <c r="R55" i="10"/>
  <c r="R56" i="10" s="1"/>
  <c r="R70" i="11"/>
  <c r="R120" i="11"/>
  <c r="P152" i="10"/>
  <c r="R152" i="10"/>
  <c r="R69" i="7"/>
  <c r="R69" i="12"/>
  <c r="R70" i="7" l="1"/>
  <c r="R120" i="7"/>
  <c r="R120" i="12"/>
  <c r="R70" i="12"/>
  <c r="R69" i="10"/>
  <c r="R71" i="10" l="1"/>
  <c r="R70" i="10"/>
  <c r="U94" i="12" l="1"/>
  <c r="U93" i="12" s="1"/>
  <c r="U94" i="11"/>
  <c r="U93" i="11" s="1"/>
  <c r="U94" i="7"/>
  <c r="U94" i="10" l="1"/>
  <c r="U93" i="10" s="1"/>
  <c r="U93" i="7"/>
  <c r="V94" i="12"/>
  <c r="V93" i="12" s="1"/>
  <c r="V94" i="7"/>
  <c r="V94" i="11"/>
  <c r="V93" i="11" s="1"/>
  <c r="V94" i="10" l="1"/>
  <c r="V93" i="10" s="1"/>
  <c r="V93" i="7"/>
  <c r="W94" i="7"/>
  <c r="W94" i="12"/>
  <c r="W93" i="12" s="1"/>
  <c r="W94" i="11"/>
  <c r="W93" i="11" s="1"/>
  <c r="W94" i="10" l="1"/>
  <c r="W93" i="10" s="1"/>
  <c r="W93" i="7"/>
  <c r="X94" i="12"/>
  <c r="X93" i="12" s="1"/>
  <c r="X94" i="11"/>
  <c r="X93" i="11" s="1"/>
  <c r="X94" i="7"/>
  <c r="X94" i="10" l="1"/>
  <c r="X93" i="10" s="1"/>
  <c r="X93" i="7"/>
  <c r="Y94" i="12"/>
  <c r="Y93" i="12" s="1"/>
  <c r="Y94" i="11"/>
  <c r="Y93" i="11" s="1"/>
  <c r="Y94" i="7"/>
  <c r="Y94" i="10" l="1"/>
  <c r="Y93" i="10" s="1"/>
  <c r="Y93" i="7"/>
  <c r="Z94" i="7"/>
  <c r="Z94" i="12"/>
  <c r="Z93" i="12" s="1"/>
  <c r="Z94" i="11"/>
  <c r="Z93" i="11" s="1"/>
  <c r="AA94" i="12"/>
  <c r="AA93" i="12" s="1"/>
  <c r="AA94" i="7"/>
  <c r="AA94" i="11"/>
  <c r="AA93" i="11" s="1"/>
  <c r="Z93" i="7" l="1"/>
  <c r="Z94" i="10"/>
  <c r="Z93" i="10" s="1"/>
  <c r="AA94" i="10"/>
  <c r="AA93" i="10" s="1"/>
  <c r="AA93" i="7"/>
  <c r="AB94" i="12"/>
  <c r="AB93" i="12" s="1"/>
  <c r="AB94" i="11"/>
  <c r="AB93" i="11" s="1"/>
  <c r="AB94" i="7"/>
  <c r="AB94" i="10" l="1"/>
  <c r="AB93" i="10" s="1"/>
  <c r="AB93" i="7"/>
  <c r="AC94" i="12"/>
  <c r="AC93" i="12" s="1"/>
  <c r="AC94" i="11"/>
  <c r="AC93" i="11" s="1"/>
  <c r="AC94" i="7"/>
  <c r="AC94" i="10" l="1"/>
  <c r="AC93" i="10" s="1"/>
  <c r="AC93" i="7"/>
  <c r="AD94" i="12"/>
  <c r="AD93" i="12" s="1"/>
  <c r="AD94" i="7"/>
  <c r="AD94" i="11"/>
  <c r="AD93" i="11" s="1"/>
  <c r="AD94" i="10" l="1"/>
  <c r="AD93" i="10" s="1"/>
  <c r="AD93" i="7"/>
  <c r="AE94" i="12"/>
  <c r="AE94" i="7"/>
  <c r="AE94" i="11"/>
  <c r="AE93" i="12" l="1"/>
  <c r="R93" i="12" s="1"/>
  <c r="R94" i="12"/>
  <c r="AE94" i="10"/>
  <c r="AE93" i="10" s="1"/>
  <c r="AE93" i="7"/>
  <c r="R93" i="7" s="1"/>
  <c r="R93" i="10" s="1"/>
  <c r="R94" i="7"/>
  <c r="R94" i="10" s="1"/>
  <c r="AE93" i="11"/>
  <c r="R93" i="11" s="1"/>
  <c r="R94" i="11"/>
  <c r="V67" i="8" l="1"/>
  <c r="T67" i="8"/>
  <c r="V69" i="8" l="1"/>
  <c r="V68" i="8"/>
  <c r="T69" i="8"/>
  <c r="T68" i="8"/>
  <c r="U67" i="8"/>
  <c r="V70" i="8" l="1"/>
  <c r="V127" i="8"/>
  <c r="V136" i="8" s="1"/>
  <c r="V151" i="8" s="1"/>
  <c r="T70" i="8"/>
  <c r="T120" i="8"/>
  <c r="T127" i="8"/>
  <c r="U69" i="8"/>
  <c r="U68" i="8"/>
  <c r="U120" i="8" l="1"/>
  <c r="T116" i="8"/>
  <c r="T122" i="8" s="1"/>
  <c r="R127" i="8"/>
  <c r="R136" i="8" s="1"/>
  <c r="R151" i="8" s="1"/>
  <c r="R153" i="8" s="1"/>
  <c r="T136" i="8"/>
  <c r="T151" i="8" s="1"/>
  <c r="T153" i="8" s="1"/>
  <c r="U70" i="8"/>
  <c r="U127" i="8"/>
  <c r="U136" i="8" s="1"/>
  <c r="U151" i="8" s="1"/>
  <c r="V120" i="8" l="1"/>
  <c r="U116" i="8"/>
  <c r="U122" i="8" s="1"/>
  <c r="U152" i="8"/>
  <c r="U153" i="8" s="1"/>
  <c r="T75" i="8"/>
  <c r="T74" i="8" s="1"/>
  <c r="T73" i="8" s="1"/>
  <c r="T105" i="8" s="1"/>
  <c r="T123" i="8" s="1"/>
  <c r="T154" i="8"/>
  <c r="W120" i="8" l="1"/>
  <c r="V116" i="8"/>
  <c r="V122" i="8" s="1"/>
  <c r="U75" i="8"/>
  <c r="U74" i="8" s="1"/>
  <c r="U73" i="8" s="1"/>
  <c r="U105" i="8" s="1"/>
  <c r="U123" i="8" s="1"/>
  <c r="V152" i="8"/>
  <c r="V153" i="8" s="1"/>
  <c r="X120" i="8" l="1"/>
  <c r="W116" i="8"/>
  <c r="W122" i="8" s="1"/>
  <c r="V75" i="8"/>
  <c r="V74" i="8" s="1"/>
  <c r="V73" i="8" s="1"/>
  <c r="V105" i="8" s="1"/>
  <c r="V123" i="8" s="1"/>
  <c r="W152" i="8"/>
  <c r="W153" i="8" s="1"/>
  <c r="U154" i="8"/>
  <c r="V154" i="8" l="1"/>
  <c r="Y120" i="8"/>
  <c r="X116" i="8"/>
  <c r="X122" i="8" s="1"/>
  <c r="W75" i="8"/>
  <c r="W74" i="8" s="1"/>
  <c r="W73" i="8" s="1"/>
  <c r="W105" i="8" s="1"/>
  <c r="W123" i="8" s="1"/>
  <c r="X152" i="8"/>
  <c r="X153" i="8" s="1"/>
  <c r="Z120" i="8" l="1"/>
  <c r="Y116" i="8"/>
  <c r="Y122" i="8" s="1"/>
  <c r="X75" i="8"/>
  <c r="X74" i="8" s="1"/>
  <c r="X73" i="8" s="1"/>
  <c r="X105" i="8" s="1"/>
  <c r="X123" i="8" s="1"/>
  <c r="Y152" i="8"/>
  <c r="Y153" i="8" s="1"/>
  <c r="W154" i="8"/>
  <c r="Z116" i="8" l="1"/>
  <c r="Z122" i="8" s="1"/>
  <c r="AA120" i="8"/>
  <c r="Y75" i="8"/>
  <c r="Y74" i="8" s="1"/>
  <c r="Y73" i="8" s="1"/>
  <c r="Y105" i="8" s="1"/>
  <c r="Y123" i="8" s="1"/>
  <c r="Z152" i="8"/>
  <c r="Z153" i="8" s="1"/>
  <c r="X154" i="8"/>
  <c r="AB120" i="8" l="1"/>
  <c r="AA116" i="8"/>
  <c r="AA122" i="8" s="1"/>
  <c r="Z154" i="8"/>
  <c r="Z75" i="8"/>
  <c r="Z74" i="8" s="1"/>
  <c r="Z73" i="8" s="1"/>
  <c r="Z105" i="8" s="1"/>
  <c r="Z123" i="8" s="1"/>
  <c r="AA152" i="8"/>
  <c r="AA153" i="8" s="1"/>
  <c r="Y154" i="8"/>
  <c r="AB116" i="8" l="1"/>
  <c r="AB122" i="8" s="1"/>
  <c r="AC120" i="8"/>
  <c r="AA75" i="8"/>
  <c r="AA74" i="8" s="1"/>
  <c r="AA73" i="8" s="1"/>
  <c r="AA105" i="8" s="1"/>
  <c r="AA123" i="8" s="1"/>
  <c r="AB152" i="8"/>
  <c r="AB153" i="8" s="1"/>
  <c r="AD120" i="8" l="1"/>
  <c r="AC116" i="8"/>
  <c r="AC122" i="8" s="1"/>
  <c r="AB75" i="8"/>
  <c r="AB74" i="8" s="1"/>
  <c r="AB73" i="8" s="1"/>
  <c r="AB105" i="8" s="1"/>
  <c r="AB123" i="8" s="1"/>
  <c r="AC152" i="8"/>
  <c r="AC153" i="8" s="1"/>
  <c r="AA154" i="8"/>
  <c r="AE120" i="8" l="1"/>
  <c r="AD116" i="8"/>
  <c r="AD122" i="8" s="1"/>
  <c r="AC75" i="8"/>
  <c r="AC74" i="8" s="1"/>
  <c r="AC73" i="8" s="1"/>
  <c r="AC105" i="8" s="1"/>
  <c r="AC123" i="8" s="1"/>
  <c r="AD152" i="8"/>
  <c r="AD153" i="8" s="1"/>
  <c r="AB154" i="8"/>
  <c r="AE116" i="8" l="1"/>
  <c r="R120" i="8"/>
  <c r="AD75" i="8"/>
  <c r="AD74" i="8" s="1"/>
  <c r="AD73" i="8" s="1"/>
  <c r="AD105" i="8" s="1"/>
  <c r="AD123" i="8" s="1"/>
  <c r="AE152" i="8"/>
  <c r="AE153" i="8" s="1"/>
  <c r="AC154" i="8"/>
  <c r="AE122" i="8" l="1"/>
  <c r="R122" i="8" s="1"/>
  <c r="R116" i="8"/>
  <c r="AE75" i="8"/>
  <c r="AD154" i="8"/>
  <c r="R75" i="8" l="1"/>
  <c r="R154" i="8" s="1"/>
  <c r="AE74" i="8"/>
  <c r="AE154" i="8"/>
  <c r="R74" i="8" l="1"/>
  <c r="AE73" i="8"/>
  <c r="AE105" i="8" l="1"/>
  <c r="R73" i="8"/>
  <c r="R105" i="8" l="1"/>
  <c r="R123" i="8" s="1"/>
  <c r="AE123" i="8"/>
  <c r="P89" i="12" l="1"/>
  <c r="P89" i="11"/>
  <c r="P89" i="7"/>
  <c r="P89" i="10" s="1"/>
  <c r="P88" i="11" l="1"/>
  <c r="P88" i="12"/>
  <c r="P88" i="7"/>
  <c r="P139" i="11" l="1"/>
  <c r="P142" i="11" s="1"/>
  <c r="P87" i="11"/>
  <c r="P86" i="11" s="1"/>
  <c r="P85" i="11" s="1"/>
  <c r="P139" i="12"/>
  <c r="P142" i="12" s="1"/>
  <c r="P87" i="12"/>
  <c r="P86" i="12" s="1"/>
  <c r="P85" i="12" s="1"/>
  <c r="P139" i="7"/>
  <c r="P142" i="7" s="1"/>
  <c r="P88" i="10"/>
  <c r="P87" i="7"/>
  <c r="P86" i="7" s="1"/>
  <c r="P85" i="7" s="1"/>
  <c r="U88" i="11"/>
  <c r="U87" i="11" s="1"/>
  <c r="U86" i="11" s="1"/>
  <c r="U85" i="11" s="1"/>
  <c r="U88" i="12"/>
  <c r="U87" i="12" s="1"/>
  <c r="U86" i="12" s="1"/>
  <c r="U85" i="12" s="1"/>
  <c r="U88" i="7"/>
  <c r="P87" i="10" l="1"/>
  <c r="P86" i="10" s="1"/>
  <c r="P85" i="10" s="1"/>
  <c r="P139" i="10"/>
  <c r="P142" i="10" s="1"/>
  <c r="U88" i="10"/>
  <c r="U87" i="10" s="1"/>
  <c r="U86" i="10" s="1"/>
  <c r="U85" i="10" s="1"/>
  <c r="U87" i="7"/>
  <c r="U86" i="7" s="1"/>
  <c r="U85" i="7" s="1"/>
  <c r="V88" i="12"/>
  <c r="V87" i="12" s="1"/>
  <c r="V86" i="12" s="1"/>
  <c r="V85" i="12" s="1"/>
  <c r="V88" i="11"/>
  <c r="V87" i="11" s="1"/>
  <c r="V86" i="11" s="1"/>
  <c r="V85" i="11" s="1"/>
  <c r="V88" i="7"/>
  <c r="V88" i="10" l="1"/>
  <c r="V87" i="10" s="1"/>
  <c r="V86" i="10" s="1"/>
  <c r="V85" i="10" s="1"/>
  <c r="V87" i="7"/>
  <c r="V86" i="7" s="1"/>
  <c r="V85" i="7" s="1"/>
  <c r="W88" i="12"/>
  <c r="W87" i="12" s="1"/>
  <c r="W86" i="12" s="1"/>
  <c r="W85" i="12" s="1"/>
  <c r="W88" i="11"/>
  <c r="W87" i="11" s="1"/>
  <c r="W86" i="11" s="1"/>
  <c r="W85" i="11" s="1"/>
  <c r="W88" i="7"/>
  <c r="W88" i="10" l="1"/>
  <c r="W87" i="10" s="1"/>
  <c r="W86" i="10" s="1"/>
  <c r="W85" i="10" s="1"/>
  <c r="W87" i="7"/>
  <c r="W86" i="7" s="1"/>
  <c r="W85" i="7" s="1"/>
  <c r="X88" i="7"/>
  <c r="X88" i="12"/>
  <c r="X87" i="12" s="1"/>
  <c r="X86" i="12" s="1"/>
  <c r="X85" i="12" s="1"/>
  <c r="X88" i="11"/>
  <c r="X87" i="11" s="1"/>
  <c r="X86" i="11" s="1"/>
  <c r="X85" i="11" s="1"/>
  <c r="X87" i="7" l="1"/>
  <c r="X86" i="7" s="1"/>
  <c r="X85" i="7" s="1"/>
  <c r="X88" i="10"/>
  <c r="X87" i="10" s="1"/>
  <c r="X86" i="10" s="1"/>
  <c r="X85" i="10" s="1"/>
  <c r="Y88" i="11"/>
  <c r="Y87" i="11" s="1"/>
  <c r="Y86" i="11" s="1"/>
  <c r="Y85" i="11" s="1"/>
  <c r="Y88" i="12"/>
  <c r="Y87" i="12" s="1"/>
  <c r="Y86" i="12" s="1"/>
  <c r="Y85" i="12" s="1"/>
  <c r="Y88" i="7"/>
  <c r="Y88" i="10" l="1"/>
  <c r="Y87" i="10" s="1"/>
  <c r="Y86" i="10" s="1"/>
  <c r="Y85" i="10" s="1"/>
  <c r="Y87" i="7"/>
  <c r="Y86" i="7" s="1"/>
  <c r="Y85" i="7" s="1"/>
  <c r="Z88" i="12"/>
  <c r="Z87" i="12" s="1"/>
  <c r="Z86" i="12" s="1"/>
  <c r="Z85" i="12" s="1"/>
  <c r="Z88" i="11"/>
  <c r="Z87" i="11" s="1"/>
  <c r="Z86" i="11" s="1"/>
  <c r="Z85" i="11" s="1"/>
  <c r="Z88" i="7"/>
  <c r="Z88" i="10" l="1"/>
  <c r="Z87" i="10" s="1"/>
  <c r="Z86" i="10" s="1"/>
  <c r="Z85" i="10" s="1"/>
  <c r="Z87" i="7"/>
  <c r="Z86" i="7" s="1"/>
  <c r="Z85" i="7" s="1"/>
  <c r="AA88" i="12"/>
  <c r="AA87" i="12" s="1"/>
  <c r="AA86" i="12" s="1"/>
  <c r="AA85" i="12" s="1"/>
  <c r="AA88" i="7"/>
  <c r="AA88" i="11"/>
  <c r="AA87" i="11" s="1"/>
  <c r="AA86" i="11" s="1"/>
  <c r="AA85" i="11" s="1"/>
  <c r="AA88" i="10" l="1"/>
  <c r="AA87" i="10" s="1"/>
  <c r="AA86" i="10" s="1"/>
  <c r="AA85" i="10" s="1"/>
  <c r="AA87" i="7"/>
  <c r="AA86" i="7" s="1"/>
  <c r="AA85" i="7" s="1"/>
  <c r="AB88" i="7"/>
  <c r="AB88" i="12"/>
  <c r="AB87" i="12" s="1"/>
  <c r="AB86" i="12" s="1"/>
  <c r="AB85" i="12" s="1"/>
  <c r="AB88" i="11"/>
  <c r="AB87" i="11" s="1"/>
  <c r="AB86" i="11" s="1"/>
  <c r="AB85" i="11" s="1"/>
  <c r="AB87" i="7" l="1"/>
  <c r="AB86" i="7" s="1"/>
  <c r="AB85" i="7" s="1"/>
  <c r="AB88" i="10"/>
  <c r="AB87" i="10" s="1"/>
  <c r="AB86" i="10" s="1"/>
  <c r="AB85" i="10" s="1"/>
  <c r="AC88" i="11"/>
  <c r="AC87" i="11" s="1"/>
  <c r="AC86" i="11" s="1"/>
  <c r="AC85" i="11" s="1"/>
  <c r="AC88" i="12"/>
  <c r="AC87" i="12" s="1"/>
  <c r="AC86" i="12" s="1"/>
  <c r="AC85" i="12" s="1"/>
  <c r="AC88" i="7"/>
  <c r="AC88" i="10" l="1"/>
  <c r="AC87" i="10" s="1"/>
  <c r="AC86" i="10" s="1"/>
  <c r="AC85" i="10" s="1"/>
  <c r="AC87" i="7"/>
  <c r="AC86" i="7" s="1"/>
  <c r="AC85" i="7" s="1"/>
  <c r="AD88" i="12"/>
  <c r="AD87" i="12" s="1"/>
  <c r="AD86" i="12" s="1"/>
  <c r="AD85" i="12" s="1"/>
  <c r="AD88" i="11"/>
  <c r="AD87" i="11" s="1"/>
  <c r="AD86" i="11" s="1"/>
  <c r="AD85" i="11" s="1"/>
  <c r="AD88" i="7"/>
  <c r="AD88" i="10" l="1"/>
  <c r="AD87" i="10" s="1"/>
  <c r="AD86" i="10" s="1"/>
  <c r="AD85" i="10" s="1"/>
  <c r="AD87" i="7"/>
  <c r="AD86" i="7" s="1"/>
  <c r="AD85" i="7" s="1"/>
  <c r="AE88" i="12"/>
  <c r="AE88" i="11"/>
  <c r="AE88" i="7"/>
  <c r="R111" i="12" l="1"/>
  <c r="AE87" i="12"/>
  <c r="R88" i="12"/>
  <c r="R111" i="11"/>
  <c r="AE87" i="11"/>
  <c r="R88" i="11"/>
  <c r="R111" i="7"/>
  <c r="R111" i="10" s="1"/>
  <c r="AE88" i="10"/>
  <c r="AE87" i="10" s="1"/>
  <c r="AE87" i="7"/>
  <c r="R88" i="7"/>
  <c r="R88" i="10" s="1"/>
  <c r="AE86" i="12" l="1"/>
  <c r="R87" i="12"/>
  <c r="AE86" i="11"/>
  <c r="R87" i="11"/>
  <c r="AE86" i="10"/>
  <c r="AE85" i="10" s="1"/>
  <c r="R87" i="10"/>
  <c r="R86" i="10" s="1"/>
  <c r="R85" i="10" s="1"/>
  <c r="AE86" i="7"/>
  <c r="R87" i="7"/>
  <c r="AE85" i="12" l="1"/>
  <c r="R85" i="12" s="1"/>
  <c r="R86" i="12"/>
  <c r="R86" i="11"/>
  <c r="AE85" i="11"/>
  <c r="R85" i="11" s="1"/>
  <c r="AE85" i="7"/>
  <c r="R85" i="7" s="1"/>
  <c r="R86" i="7"/>
  <c r="P147" i="12" l="1"/>
  <c r="P149" i="12" s="1"/>
  <c r="P151" i="12" s="1"/>
  <c r="P153" i="12" s="1"/>
  <c r="P147" i="7"/>
  <c r="P147" i="11"/>
  <c r="P149" i="11" s="1"/>
  <c r="P151" i="11" s="1"/>
  <c r="P153" i="11" s="1"/>
  <c r="P75" i="12" l="1"/>
  <c r="P74" i="12" s="1"/>
  <c r="P73" i="12" s="1"/>
  <c r="P105" i="12" s="1"/>
  <c r="P149" i="7"/>
  <c r="P151" i="7" s="1"/>
  <c r="P153" i="7" s="1"/>
  <c r="P147" i="10"/>
  <c r="P149" i="10" s="1"/>
  <c r="P151" i="10" s="1"/>
  <c r="P153" i="10" s="1"/>
  <c r="P75" i="11"/>
  <c r="P74" i="11" s="1"/>
  <c r="P73" i="11" s="1"/>
  <c r="P105" i="11" s="1"/>
  <c r="P75" i="7" l="1"/>
  <c r="P154" i="12"/>
  <c r="P154" i="11"/>
  <c r="P74" i="7" l="1"/>
  <c r="P73" i="7" s="1"/>
  <c r="P105" i="7" s="1"/>
  <c r="P75" i="10"/>
  <c r="P154" i="7"/>
  <c r="P154" i="10" l="1"/>
  <c r="P74" i="10"/>
  <c r="P73" i="10" s="1"/>
  <c r="P105" i="10" s="1"/>
  <c r="Z67" i="9" l="1"/>
  <c r="AA67" i="9" l="1"/>
  <c r="AD67" i="9"/>
  <c r="AE67" i="9"/>
  <c r="Z69" i="9"/>
  <c r="Z68" i="9"/>
  <c r="V67" i="9"/>
  <c r="T67" i="9"/>
  <c r="AC67" i="9"/>
  <c r="W67" i="9"/>
  <c r="AA69" i="9" l="1"/>
  <c r="AA68" i="9"/>
  <c r="AD69" i="9"/>
  <c r="AD68" i="9"/>
  <c r="AE69" i="9"/>
  <c r="AE68" i="9"/>
  <c r="Z127" i="9"/>
  <c r="Z136" i="9" s="1"/>
  <c r="Z151" i="9" s="1"/>
  <c r="Z70" i="9"/>
  <c r="V69" i="9"/>
  <c r="V68" i="9"/>
  <c r="T69" i="9"/>
  <c r="T68" i="9"/>
  <c r="Y67" i="9"/>
  <c r="AB67" i="9"/>
  <c r="X67" i="9"/>
  <c r="U67" i="9"/>
  <c r="AC69" i="9"/>
  <c r="AC68" i="9"/>
  <c r="W69" i="9"/>
  <c r="W68" i="9"/>
  <c r="AA127" i="9" l="1"/>
  <c r="AA136" i="9" s="1"/>
  <c r="AA151" i="9" s="1"/>
  <c r="AA70" i="9"/>
  <c r="AD70" i="9"/>
  <c r="AD127" i="9"/>
  <c r="AD136" i="9" s="1"/>
  <c r="AD151" i="9" s="1"/>
  <c r="AE127" i="9"/>
  <c r="AE136" i="9" s="1"/>
  <c r="AE151" i="9" s="1"/>
  <c r="AE70" i="9"/>
  <c r="V70" i="9"/>
  <c r="V127" i="9"/>
  <c r="V136" i="9" s="1"/>
  <c r="V151" i="9" s="1"/>
  <c r="T70" i="9"/>
  <c r="T127" i="9"/>
  <c r="T136" i="9" s="1"/>
  <c r="T151" i="9" s="1"/>
  <c r="T153" i="9" s="1"/>
  <c r="T120" i="9"/>
  <c r="Y69" i="9"/>
  <c r="Y68" i="9"/>
  <c r="AB69" i="9"/>
  <c r="AB68" i="9"/>
  <c r="X69" i="9"/>
  <c r="X68" i="9"/>
  <c r="U69" i="9"/>
  <c r="U68" i="9"/>
  <c r="AC70" i="9"/>
  <c r="AC127" i="9"/>
  <c r="AC136" i="9" s="1"/>
  <c r="AC151" i="9" s="1"/>
  <c r="W127" i="9"/>
  <c r="W136" i="9" s="1"/>
  <c r="W151" i="9" s="1"/>
  <c r="W70" i="9"/>
  <c r="U152" i="9" l="1"/>
  <c r="T75" i="9"/>
  <c r="T74" i="9" s="1"/>
  <c r="T73" i="9" s="1"/>
  <c r="T105" i="9" s="1"/>
  <c r="U120" i="9"/>
  <c r="T116" i="9"/>
  <c r="T122" i="9" s="1"/>
  <c r="Y70" i="9"/>
  <c r="Y127" i="9"/>
  <c r="Y136" i="9" s="1"/>
  <c r="Y151" i="9" s="1"/>
  <c r="AB127" i="9"/>
  <c r="AB136" i="9" s="1"/>
  <c r="AB151" i="9" s="1"/>
  <c r="AB70" i="9"/>
  <c r="X70" i="9"/>
  <c r="X127" i="9"/>
  <c r="X136" i="9" s="1"/>
  <c r="X151" i="9" s="1"/>
  <c r="U70" i="9"/>
  <c r="U127" i="9"/>
  <c r="U136" i="9" s="1"/>
  <c r="U151" i="9" s="1"/>
  <c r="U116" i="9" l="1"/>
  <c r="U122" i="9" s="1"/>
  <c r="V120" i="9"/>
  <c r="T154" i="9"/>
  <c r="U153" i="9"/>
  <c r="W120" i="9" l="1"/>
  <c r="V116" i="9"/>
  <c r="V122" i="9" s="1"/>
  <c r="U75" i="9"/>
  <c r="U74" i="9" s="1"/>
  <c r="U73" i="9" s="1"/>
  <c r="U105" i="9" s="1"/>
  <c r="V152" i="9"/>
  <c r="V153" i="9" s="1"/>
  <c r="V82" i="12"/>
  <c r="V81" i="12" s="1"/>
  <c r="V82" i="11"/>
  <c r="V81" i="11" s="1"/>
  <c r="V82" i="7"/>
  <c r="V110" i="12"/>
  <c r="V110" i="7"/>
  <c r="V110" i="11"/>
  <c r="U154" i="9" l="1"/>
  <c r="X120" i="9"/>
  <c r="W116" i="9"/>
  <c r="W122" i="9" s="1"/>
  <c r="V75" i="9"/>
  <c r="V74" i="9" s="1"/>
  <c r="V73" i="9" s="1"/>
  <c r="V105" i="9" s="1"/>
  <c r="W152" i="9"/>
  <c r="W153" i="9" s="1"/>
  <c r="V81" i="7"/>
  <c r="V82" i="10"/>
  <c r="V81" i="10" s="1"/>
  <c r="V108" i="12"/>
  <c r="V107" i="12" s="1"/>
  <c r="V108" i="7"/>
  <c r="V107" i="7" s="1"/>
  <c r="V110" i="10"/>
  <c r="V108" i="11"/>
  <c r="V107" i="11" s="1"/>
  <c r="W82" i="7"/>
  <c r="W82" i="12"/>
  <c r="W81" i="12" s="1"/>
  <c r="W131" i="12" s="1"/>
  <c r="W82" i="11"/>
  <c r="W81" i="11" s="1"/>
  <c r="W131" i="11" s="1"/>
  <c r="W110" i="12"/>
  <c r="W110" i="7"/>
  <c r="W110" i="11"/>
  <c r="V154" i="9" l="1"/>
  <c r="Y120" i="9"/>
  <c r="X116" i="9"/>
  <c r="X122" i="9" s="1"/>
  <c r="W75" i="9"/>
  <c r="W74" i="9" s="1"/>
  <c r="W73" i="9" s="1"/>
  <c r="W105" i="9" s="1"/>
  <c r="X152" i="9"/>
  <c r="X153" i="9" s="1"/>
  <c r="V108" i="10"/>
  <c r="V107" i="10" s="1"/>
  <c r="W81" i="7"/>
  <c r="W131" i="7" s="1"/>
  <c r="W82" i="10"/>
  <c r="W81" i="10" s="1"/>
  <c r="W131" i="10" s="1"/>
  <c r="W108" i="12"/>
  <c r="W107" i="12" s="1"/>
  <c r="W132" i="12"/>
  <c r="W108" i="7"/>
  <c r="W107" i="7" s="1"/>
  <c r="W132" i="7"/>
  <c r="W110" i="10"/>
  <c r="W108" i="11"/>
  <c r="W107" i="11" s="1"/>
  <c r="W132" i="11"/>
  <c r="X110" i="12"/>
  <c r="X110" i="11"/>
  <c r="X110" i="7"/>
  <c r="X82" i="12"/>
  <c r="X81" i="12" s="1"/>
  <c r="X131" i="12" s="1"/>
  <c r="X82" i="11"/>
  <c r="X81" i="11" s="1"/>
  <c r="X131" i="11" s="1"/>
  <c r="X82" i="7"/>
  <c r="U110" i="12"/>
  <c r="U110" i="11"/>
  <c r="U110" i="7"/>
  <c r="U82" i="7"/>
  <c r="U82" i="12"/>
  <c r="U81" i="12" s="1"/>
  <c r="U82" i="11"/>
  <c r="U81" i="11" s="1"/>
  <c r="Y116" i="9" l="1"/>
  <c r="Y122" i="9" s="1"/>
  <c r="Z120" i="9"/>
  <c r="X75" i="9"/>
  <c r="X74" i="9" s="1"/>
  <c r="X73" i="9" s="1"/>
  <c r="X105" i="9" s="1"/>
  <c r="Y152" i="9"/>
  <c r="Y153" i="9" s="1"/>
  <c r="W154" i="9"/>
  <c r="W108" i="10"/>
  <c r="W107" i="10" s="1"/>
  <c r="W132" i="10"/>
  <c r="X108" i="12"/>
  <c r="X107" i="12" s="1"/>
  <c r="X132" i="12"/>
  <c r="X108" i="11"/>
  <c r="X107" i="11" s="1"/>
  <c r="X132" i="11"/>
  <c r="X108" i="7"/>
  <c r="X107" i="7" s="1"/>
  <c r="X132" i="7"/>
  <c r="X110" i="10"/>
  <c r="X82" i="10"/>
  <c r="X81" i="10" s="1"/>
  <c r="X131" i="10" s="1"/>
  <c r="X81" i="7"/>
  <c r="X131" i="7" s="1"/>
  <c r="V132" i="12"/>
  <c r="U108" i="12"/>
  <c r="U107" i="12" s="1"/>
  <c r="V132" i="11"/>
  <c r="U108" i="11"/>
  <c r="U107" i="11" s="1"/>
  <c r="V132" i="7"/>
  <c r="U108" i="7"/>
  <c r="U107" i="7" s="1"/>
  <c r="U110" i="10"/>
  <c r="U82" i="10"/>
  <c r="U81" i="10" s="1"/>
  <c r="U81" i="7"/>
  <c r="V131" i="12"/>
  <c r="V131" i="11"/>
  <c r="V67" i="7"/>
  <c r="V67" i="12"/>
  <c r="V67" i="11"/>
  <c r="AA120" i="9" l="1"/>
  <c r="Z116" i="9"/>
  <c r="Z122" i="9" s="1"/>
  <c r="Z152" i="9"/>
  <c r="Z153" i="9" s="1"/>
  <c r="Y75" i="9"/>
  <c r="Y74" i="9" s="1"/>
  <c r="Y73" i="9" s="1"/>
  <c r="Y105" i="9" s="1"/>
  <c r="X154" i="9"/>
  <c r="X108" i="10"/>
  <c r="X107" i="10" s="1"/>
  <c r="X132" i="10"/>
  <c r="V132" i="10"/>
  <c r="U108" i="10"/>
  <c r="U107" i="10" s="1"/>
  <c r="V131" i="10"/>
  <c r="V131" i="7"/>
  <c r="V69" i="7"/>
  <c r="V68" i="7"/>
  <c r="V67" i="10"/>
  <c r="V69" i="12"/>
  <c r="V68" i="12"/>
  <c r="V69" i="11"/>
  <c r="V68" i="11"/>
  <c r="W67" i="7"/>
  <c r="W67" i="12"/>
  <c r="W67" i="11"/>
  <c r="AB120" i="9" l="1"/>
  <c r="AA116" i="9"/>
  <c r="AA122" i="9" s="1"/>
  <c r="Z75" i="9"/>
  <c r="Z74" i="9" s="1"/>
  <c r="Z73" i="9" s="1"/>
  <c r="Z105" i="9" s="1"/>
  <c r="AA152" i="9"/>
  <c r="AA153" i="9" s="1"/>
  <c r="Y154" i="9"/>
  <c r="V70" i="7"/>
  <c r="V127" i="7"/>
  <c r="V69" i="10"/>
  <c r="V68" i="10"/>
  <c r="V127" i="12"/>
  <c r="V70" i="12"/>
  <c r="V70" i="11"/>
  <c r="V127" i="11"/>
  <c r="W69" i="7"/>
  <c r="W68" i="7"/>
  <c r="W67" i="10"/>
  <c r="W69" i="12"/>
  <c r="W68" i="12"/>
  <c r="W69" i="11"/>
  <c r="W68" i="11"/>
  <c r="U67" i="7"/>
  <c r="U67" i="12"/>
  <c r="U67" i="11"/>
  <c r="X67" i="7"/>
  <c r="X67" i="12"/>
  <c r="X67" i="11"/>
  <c r="AC120" i="9" l="1"/>
  <c r="AB116" i="9"/>
  <c r="AB122" i="9" s="1"/>
  <c r="AA75" i="9"/>
  <c r="AA74" i="9" s="1"/>
  <c r="AA73" i="9" s="1"/>
  <c r="AA105" i="9" s="1"/>
  <c r="AB152" i="9"/>
  <c r="AB153" i="9" s="1"/>
  <c r="Z154" i="9"/>
  <c r="V127" i="10"/>
  <c r="V70" i="10"/>
  <c r="W70" i="7"/>
  <c r="W127" i="7"/>
  <c r="W69" i="10"/>
  <c r="W68" i="10"/>
  <c r="W127" i="12"/>
  <c r="W70" i="12"/>
  <c r="W127" i="11"/>
  <c r="W70" i="11"/>
  <c r="U69" i="7"/>
  <c r="U68" i="7"/>
  <c r="U67" i="10"/>
  <c r="U69" i="12"/>
  <c r="U68" i="12"/>
  <c r="U69" i="11"/>
  <c r="U68" i="11"/>
  <c r="X69" i="7"/>
  <c r="X68" i="7"/>
  <c r="X67" i="10"/>
  <c r="X69" i="12"/>
  <c r="X68" i="12"/>
  <c r="X69" i="11"/>
  <c r="X68" i="11"/>
  <c r="V71" i="10"/>
  <c r="AD120" i="9" l="1"/>
  <c r="AC116" i="9"/>
  <c r="AC122" i="9" s="1"/>
  <c r="AB75" i="9"/>
  <c r="AB74" i="9" s="1"/>
  <c r="AB73" i="9" s="1"/>
  <c r="AB105" i="9" s="1"/>
  <c r="AC152" i="9"/>
  <c r="AC153" i="9" s="1"/>
  <c r="AA154" i="9"/>
  <c r="W70" i="10"/>
  <c r="W127" i="10"/>
  <c r="U70" i="7"/>
  <c r="U127" i="7"/>
  <c r="U69" i="10"/>
  <c r="U68" i="10"/>
  <c r="U70" i="12"/>
  <c r="U127" i="12"/>
  <c r="U70" i="11"/>
  <c r="U127" i="11"/>
  <c r="X70" i="7"/>
  <c r="X127" i="7"/>
  <c r="X69" i="10"/>
  <c r="X68" i="10"/>
  <c r="X70" i="12"/>
  <c r="X127" i="12"/>
  <c r="X70" i="11"/>
  <c r="X127" i="11"/>
  <c r="W71" i="10"/>
  <c r="AE120" i="9" l="1"/>
  <c r="AD116" i="9"/>
  <c r="AD122" i="9" s="1"/>
  <c r="AD152" i="9"/>
  <c r="AD153" i="9" s="1"/>
  <c r="AC75" i="9"/>
  <c r="AC74" i="9" s="1"/>
  <c r="AC73" i="9" s="1"/>
  <c r="AC105" i="9" s="1"/>
  <c r="AB154" i="9"/>
  <c r="U70" i="10"/>
  <c r="U127" i="10"/>
  <c r="X127" i="10"/>
  <c r="X70" i="10"/>
  <c r="U71" i="10"/>
  <c r="X71" i="10"/>
  <c r="AC154" i="9" l="1"/>
  <c r="R120" i="9"/>
  <c r="R120" i="10" s="1"/>
  <c r="AE116" i="9"/>
  <c r="AD75" i="9"/>
  <c r="AD74" i="9" s="1"/>
  <c r="AD73" i="9" s="1"/>
  <c r="AD105" i="9" s="1"/>
  <c r="AE152" i="9"/>
  <c r="AE153" i="9" s="1"/>
  <c r="AD154" i="9" l="1"/>
  <c r="AE122" i="9"/>
  <c r="R122" i="9" s="1"/>
  <c r="R116" i="9"/>
  <c r="AE75" i="9"/>
  <c r="R75" i="9" l="1"/>
  <c r="R154" i="9" s="1"/>
  <c r="AE74" i="9"/>
  <c r="AE154" i="9"/>
  <c r="R74" i="9" l="1"/>
  <c r="R73" i="9" s="1"/>
  <c r="R105" i="9" s="1"/>
  <c r="R123" i="9" s="1"/>
  <c r="AE73" i="9"/>
  <c r="AE105" i="9" s="1"/>
  <c r="AD110" i="12"/>
  <c r="AD110" i="7"/>
  <c r="AD110" i="11"/>
  <c r="AD82" i="11"/>
  <c r="AD81" i="11" s="1"/>
  <c r="AD82" i="12"/>
  <c r="AD81" i="12" s="1"/>
  <c r="AD82" i="7"/>
  <c r="AD108" i="12" l="1"/>
  <c r="AD107" i="12" s="1"/>
  <c r="AD108" i="7"/>
  <c r="AD107" i="7" s="1"/>
  <c r="AD110" i="10"/>
  <c r="AD108" i="11"/>
  <c r="AD107" i="11" s="1"/>
  <c r="AD82" i="10"/>
  <c r="AD81" i="10" s="1"/>
  <c r="AD81" i="7"/>
  <c r="AA110" i="12"/>
  <c r="AA110" i="11"/>
  <c r="AA110" i="7"/>
  <c r="AA82" i="11"/>
  <c r="AA81" i="11" s="1"/>
  <c r="AA82" i="7"/>
  <c r="AA82" i="12"/>
  <c r="AA81" i="12" s="1"/>
  <c r="Y110" i="12"/>
  <c r="Y110" i="7"/>
  <c r="Y110" i="11"/>
  <c r="Y82" i="11"/>
  <c r="Y81" i="11" s="1"/>
  <c r="Y131" i="11" s="1"/>
  <c r="Y82" i="12"/>
  <c r="Y81" i="12" s="1"/>
  <c r="Y131" i="12" s="1"/>
  <c r="Y82" i="7"/>
  <c r="AD108" i="10" l="1"/>
  <c r="AD107" i="10" s="1"/>
  <c r="AA108" i="12"/>
  <c r="AA107" i="12" s="1"/>
  <c r="AA108" i="11"/>
  <c r="AA107" i="11" s="1"/>
  <c r="AA108" i="7"/>
  <c r="AA107" i="7" s="1"/>
  <c r="AA110" i="10"/>
  <c r="AA81" i="7"/>
  <c r="AA82" i="10"/>
  <c r="AA81" i="10" s="1"/>
  <c r="Y108" i="12"/>
  <c r="Y107" i="12" s="1"/>
  <c r="Y132" i="12"/>
  <c r="Y108" i="7"/>
  <c r="Y107" i="7" s="1"/>
  <c r="Y132" i="7"/>
  <c r="Y110" i="10"/>
  <c r="Y108" i="11"/>
  <c r="Y107" i="11" s="1"/>
  <c r="Y132" i="11"/>
  <c r="Y82" i="10"/>
  <c r="Y81" i="10" s="1"/>
  <c r="Y131" i="10" s="1"/>
  <c r="Y81" i="7"/>
  <c r="Y131" i="7" s="1"/>
  <c r="AB82" i="12"/>
  <c r="AB81" i="12" s="1"/>
  <c r="AB131" i="12" s="1"/>
  <c r="AB82" i="11"/>
  <c r="AB81" i="11" s="1"/>
  <c r="AB131" i="11" s="1"/>
  <c r="AB82" i="7"/>
  <c r="AB110" i="7"/>
  <c r="AB110" i="12"/>
  <c r="AB110" i="11"/>
  <c r="Z82" i="12"/>
  <c r="Z81" i="12" s="1"/>
  <c r="Z82" i="7"/>
  <c r="Z82" i="11"/>
  <c r="Z81" i="11" s="1"/>
  <c r="Z110" i="7"/>
  <c r="Z110" i="12"/>
  <c r="Z110" i="11"/>
  <c r="AC110" i="12"/>
  <c r="AC110" i="11"/>
  <c r="AC110" i="7"/>
  <c r="AC82" i="12"/>
  <c r="AC81" i="12" s="1"/>
  <c r="AC82" i="11"/>
  <c r="AC81" i="11" s="1"/>
  <c r="AC82" i="7"/>
  <c r="AA108" i="10" l="1"/>
  <c r="AA107" i="10" s="1"/>
  <c r="Y108" i="10"/>
  <c r="Y107" i="10" s="1"/>
  <c r="Y132" i="10"/>
  <c r="AB82" i="10"/>
  <c r="AB81" i="10" s="1"/>
  <c r="AB131" i="10" s="1"/>
  <c r="AB81" i="7"/>
  <c r="AB131" i="7" s="1"/>
  <c r="AB108" i="7"/>
  <c r="AB107" i="7" s="1"/>
  <c r="AB132" i="7"/>
  <c r="AB110" i="10"/>
  <c r="AB108" i="12"/>
  <c r="AB107" i="12" s="1"/>
  <c r="AB132" i="12"/>
  <c r="AB108" i="11"/>
  <c r="AB107" i="11" s="1"/>
  <c r="AB132" i="11"/>
  <c r="AA131" i="12"/>
  <c r="Z131" i="12"/>
  <c r="Z82" i="10"/>
  <c r="Z81" i="10" s="1"/>
  <c r="Z81" i="7"/>
  <c r="AA131" i="11"/>
  <c r="Z131" i="11"/>
  <c r="Z108" i="7"/>
  <c r="Z107" i="7" s="1"/>
  <c r="Z132" i="7"/>
  <c r="Z110" i="10"/>
  <c r="Z108" i="12"/>
  <c r="Z107" i="12" s="1"/>
  <c r="Z132" i="12"/>
  <c r="Z108" i="11"/>
  <c r="Z107" i="11" s="1"/>
  <c r="Z132" i="11"/>
  <c r="AD132" i="12"/>
  <c r="AC108" i="12"/>
  <c r="AC107" i="12" s="1"/>
  <c r="AC132" i="12"/>
  <c r="AD132" i="11"/>
  <c r="AC108" i="11"/>
  <c r="AC107" i="11" s="1"/>
  <c r="AC132" i="11"/>
  <c r="AD132" i="7"/>
  <c r="AC108" i="7"/>
  <c r="AC107" i="7" s="1"/>
  <c r="AC132" i="7"/>
  <c r="AC110" i="10"/>
  <c r="AD131" i="12"/>
  <c r="AC131" i="12"/>
  <c r="AD131" i="11"/>
  <c r="AC131" i="11"/>
  <c r="AC81" i="7"/>
  <c r="AC82" i="10"/>
  <c r="AC81" i="10" s="1"/>
  <c r="AA132" i="12"/>
  <c r="AA132" i="11"/>
  <c r="AA132" i="7"/>
  <c r="AE110" i="7"/>
  <c r="AE110" i="12"/>
  <c r="AE110" i="11"/>
  <c r="AE82" i="7"/>
  <c r="AE82" i="12"/>
  <c r="AE82" i="11"/>
  <c r="AD67" i="7"/>
  <c r="AD67" i="12"/>
  <c r="AD67" i="11"/>
  <c r="AB108" i="10" l="1"/>
  <c r="AB107" i="10" s="1"/>
  <c r="AB132" i="10"/>
  <c r="AA131" i="10"/>
  <c r="Z131" i="10"/>
  <c r="AA131" i="7"/>
  <c r="Z131" i="7"/>
  <c r="Z108" i="10"/>
  <c r="Z107" i="10" s="1"/>
  <c r="Z132" i="10"/>
  <c r="AD132" i="10"/>
  <c r="AC108" i="10"/>
  <c r="AC107" i="10" s="1"/>
  <c r="AC132" i="10"/>
  <c r="AD131" i="7"/>
  <c r="AC131" i="7"/>
  <c r="AD131" i="10"/>
  <c r="AC131" i="10"/>
  <c r="AE108" i="7"/>
  <c r="AE132" i="7"/>
  <c r="AE110" i="10"/>
  <c r="R110" i="7"/>
  <c r="R110" i="10" s="1"/>
  <c r="AE108" i="12"/>
  <c r="AE132" i="12"/>
  <c r="R110" i="12"/>
  <c r="AE108" i="11"/>
  <c r="AE132" i="11"/>
  <c r="R110" i="11"/>
  <c r="AE81" i="7"/>
  <c r="R82" i="7"/>
  <c r="R82" i="10" s="1"/>
  <c r="AE82" i="10"/>
  <c r="AE81" i="10" s="1"/>
  <c r="AE81" i="12"/>
  <c r="R82" i="12"/>
  <c r="R82" i="11"/>
  <c r="AE81" i="11"/>
  <c r="AA132" i="10"/>
  <c r="AD69" i="7"/>
  <c r="AD68" i="7"/>
  <c r="AD67" i="10"/>
  <c r="AD69" i="12"/>
  <c r="AD68" i="12"/>
  <c r="AD69" i="11"/>
  <c r="AD68" i="11"/>
  <c r="Y67" i="7"/>
  <c r="Y67" i="12"/>
  <c r="Y67" i="11"/>
  <c r="AA67" i="7"/>
  <c r="AA67" i="12"/>
  <c r="AA67" i="11"/>
  <c r="AE107" i="7" l="1"/>
  <c r="R107" i="7" s="1"/>
  <c r="R108" i="7"/>
  <c r="AE108" i="10"/>
  <c r="AE132" i="10"/>
  <c r="AE107" i="12"/>
  <c r="R107" i="12" s="1"/>
  <c r="R108" i="12"/>
  <c r="R108" i="11"/>
  <c r="AE107" i="11"/>
  <c r="R107" i="11" s="1"/>
  <c r="AE131" i="7"/>
  <c r="R81" i="7"/>
  <c r="AE131" i="10"/>
  <c r="R81" i="10"/>
  <c r="AE131" i="12"/>
  <c r="R81" i="12"/>
  <c r="AE131" i="11"/>
  <c r="R81" i="11"/>
  <c r="AD70" i="7"/>
  <c r="AD127" i="7"/>
  <c r="AD69" i="10"/>
  <c r="AD68" i="10"/>
  <c r="AD70" i="12"/>
  <c r="AD127" i="12"/>
  <c r="AD70" i="11"/>
  <c r="AD127" i="11"/>
  <c r="Y69" i="7"/>
  <c r="Y68" i="7"/>
  <c r="Y67" i="10"/>
  <c r="Y69" i="12"/>
  <c r="Y68" i="12"/>
  <c r="Y69" i="11"/>
  <c r="Y68" i="11"/>
  <c r="AA69" i="7"/>
  <c r="AA68" i="7"/>
  <c r="AA67" i="10"/>
  <c r="AA69" i="12"/>
  <c r="AA68" i="12"/>
  <c r="AA69" i="11"/>
  <c r="AA68" i="11"/>
  <c r="Z67" i="7"/>
  <c r="Z67" i="12"/>
  <c r="Z67" i="11"/>
  <c r="AB67" i="7"/>
  <c r="AB67" i="12"/>
  <c r="AB67" i="11"/>
  <c r="AC67" i="7"/>
  <c r="AC67" i="12"/>
  <c r="AC67" i="11"/>
  <c r="AE107" i="10" l="1"/>
  <c r="R107" i="10" s="1"/>
  <c r="R108" i="10"/>
  <c r="AD70" i="10"/>
  <c r="AD127" i="10"/>
  <c r="Y70" i="7"/>
  <c r="Y127" i="7"/>
  <c r="Y69" i="10"/>
  <c r="Y68" i="10"/>
  <c r="Y70" i="12"/>
  <c r="Y127" i="12"/>
  <c r="Y127" i="11"/>
  <c r="Y70" i="11"/>
  <c r="AA70" i="7"/>
  <c r="AA127" i="7"/>
  <c r="AA69" i="10"/>
  <c r="AA68" i="10"/>
  <c r="AA70" i="12"/>
  <c r="AA127" i="12"/>
  <c r="AA70" i="11"/>
  <c r="AA127" i="11"/>
  <c r="Z69" i="7"/>
  <c r="Z68" i="7"/>
  <c r="Z67" i="10"/>
  <c r="Z69" i="12"/>
  <c r="Z68" i="12"/>
  <c r="Z69" i="11"/>
  <c r="Z68" i="11"/>
  <c r="AB69" i="7"/>
  <c r="AB68" i="7"/>
  <c r="AB67" i="10"/>
  <c r="AB69" i="12"/>
  <c r="AB68" i="12"/>
  <c r="AB69" i="11"/>
  <c r="AB68" i="11"/>
  <c r="AC69" i="7"/>
  <c r="AC68" i="7"/>
  <c r="AC67" i="10"/>
  <c r="AC69" i="12"/>
  <c r="AC68" i="12"/>
  <c r="AC69" i="11"/>
  <c r="AC68" i="11"/>
  <c r="AD71" i="10"/>
  <c r="AE67" i="7"/>
  <c r="AE67" i="12"/>
  <c r="AE67" i="11"/>
  <c r="Y70" i="10" l="1"/>
  <c r="Y127" i="10"/>
  <c r="AA127" i="10"/>
  <c r="AA70" i="10"/>
  <c r="Z70" i="7"/>
  <c r="Z127" i="7"/>
  <c r="Z69" i="10"/>
  <c r="Z68" i="10"/>
  <c r="Z70" i="12"/>
  <c r="Z127" i="12"/>
  <c r="Z127" i="11"/>
  <c r="Z70" i="11"/>
  <c r="AB70" i="7"/>
  <c r="AB127" i="7"/>
  <c r="AB69" i="10"/>
  <c r="AB68" i="10"/>
  <c r="AB127" i="12"/>
  <c r="AB70" i="12"/>
  <c r="AB70" i="11"/>
  <c r="AB127" i="11"/>
  <c r="AC70" i="7"/>
  <c r="AC127" i="7"/>
  <c r="AC69" i="10"/>
  <c r="AC68" i="10"/>
  <c r="AC70" i="12"/>
  <c r="AC127" i="12"/>
  <c r="AC127" i="11"/>
  <c r="AC70" i="11"/>
  <c r="AE69" i="7"/>
  <c r="AE68" i="7"/>
  <c r="AE67" i="10"/>
  <c r="AE69" i="12"/>
  <c r="AE68" i="12"/>
  <c r="AE69" i="11"/>
  <c r="AE68" i="11"/>
  <c r="AA71" i="10"/>
  <c r="Y71" i="10"/>
  <c r="Z70" i="10" l="1"/>
  <c r="Z127" i="10"/>
  <c r="AB70" i="10"/>
  <c r="AB127" i="10"/>
  <c r="AC127" i="10"/>
  <c r="AC70" i="10"/>
  <c r="AE70" i="7"/>
  <c r="AE127" i="7"/>
  <c r="AE69" i="10"/>
  <c r="AE68" i="10"/>
  <c r="AE70" i="12"/>
  <c r="AE127" i="12"/>
  <c r="AE70" i="11"/>
  <c r="AE127" i="11"/>
  <c r="AB71" i="10"/>
  <c r="AC71" i="10"/>
  <c r="Z71" i="10"/>
  <c r="AE71" i="10" l="1"/>
  <c r="AE127" i="10"/>
  <c r="AE70" i="10"/>
  <c r="T79" i="11" l="1"/>
  <c r="T79" i="12"/>
  <c r="T79" i="7"/>
  <c r="AE79" i="12"/>
  <c r="AE77" i="12" s="1"/>
  <c r="AE79" i="7"/>
  <c r="AE79" i="11"/>
  <c r="AE77" i="11" s="1"/>
  <c r="AB79" i="11"/>
  <c r="AB79" i="12"/>
  <c r="AB79" i="7"/>
  <c r="Y79" i="12"/>
  <c r="Y79" i="7"/>
  <c r="Y79" i="11"/>
  <c r="T110" i="12"/>
  <c r="T110" i="7"/>
  <c r="T110" i="11"/>
  <c r="W79" i="11"/>
  <c r="W79" i="12"/>
  <c r="W79" i="7"/>
  <c r="AC79" i="12"/>
  <c r="AC79" i="11"/>
  <c r="AC79" i="7"/>
  <c r="V79" i="7"/>
  <c r="V79" i="11"/>
  <c r="V79" i="12"/>
  <c r="U79" i="11"/>
  <c r="U79" i="12"/>
  <c r="U79" i="7"/>
  <c r="T82" i="12"/>
  <c r="T81" i="12" s="1"/>
  <c r="T82" i="11"/>
  <c r="T81" i="11" s="1"/>
  <c r="T82" i="7"/>
  <c r="AA79" i="7"/>
  <c r="AA79" i="12"/>
  <c r="AA79" i="11"/>
  <c r="AD79" i="11"/>
  <c r="AD79" i="7"/>
  <c r="AD79" i="12"/>
  <c r="Z79" i="11"/>
  <c r="Z79" i="12"/>
  <c r="Z79" i="7"/>
  <c r="X79" i="12"/>
  <c r="X79" i="11"/>
  <c r="X79" i="7"/>
  <c r="T77" i="11" l="1"/>
  <c r="U133" i="11"/>
  <c r="T133" i="11"/>
  <c r="T77" i="12"/>
  <c r="T133" i="12"/>
  <c r="U133" i="12"/>
  <c r="T77" i="7"/>
  <c r="T133" i="7"/>
  <c r="U133" i="7"/>
  <c r="T79" i="10"/>
  <c r="AE77" i="7"/>
  <c r="AE79" i="10"/>
  <c r="AE77" i="10" s="1"/>
  <c r="AB77" i="11"/>
  <c r="AC133" i="11"/>
  <c r="AC129" i="11" s="1"/>
  <c r="AC136" i="11" s="1"/>
  <c r="AC151" i="11" s="1"/>
  <c r="AB77" i="12"/>
  <c r="AC133" i="12"/>
  <c r="AC129" i="12" s="1"/>
  <c r="AC136" i="12" s="1"/>
  <c r="AC151" i="12" s="1"/>
  <c r="AB77" i="7"/>
  <c r="AC133" i="7"/>
  <c r="AC129" i="7" s="1"/>
  <c r="AC136" i="7" s="1"/>
  <c r="AC151" i="7" s="1"/>
  <c r="AB79" i="10"/>
  <c r="Y77" i="12"/>
  <c r="Z133" i="12"/>
  <c r="Z129" i="12" s="1"/>
  <c r="Z136" i="12" s="1"/>
  <c r="Z151" i="12" s="1"/>
  <c r="Y77" i="7"/>
  <c r="Z133" i="7"/>
  <c r="Z129" i="7" s="1"/>
  <c r="Z136" i="7" s="1"/>
  <c r="Z151" i="7" s="1"/>
  <c r="Y79" i="10"/>
  <c r="Y77" i="11"/>
  <c r="Z133" i="11"/>
  <c r="Z129" i="11" s="1"/>
  <c r="Z136" i="11" s="1"/>
  <c r="Z151" i="11" s="1"/>
  <c r="U132" i="12"/>
  <c r="T108" i="12"/>
  <c r="T107" i="12" s="1"/>
  <c r="T132" i="12"/>
  <c r="U132" i="7"/>
  <c r="T108" i="7"/>
  <c r="T107" i="7" s="1"/>
  <c r="T132" i="7"/>
  <c r="R132" i="7" s="1"/>
  <c r="T110" i="10"/>
  <c r="U132" i="11"/>
  <c r="T108" i="11"/>
  <c r="T107" i="11" s="1"/>
  <c r="T132" i="11"/>
  <c r="R132" i="11" s="1"/>
  <c r="W77" i="11"/>
  <c r="X133" i="11"/>
  <c r="X129" i="11" s="1"/>
  <c r="X136" i="11" s="1"/>
  <c r="X151" i="11" s="1"/>
  <c r="W77" i="12"/>
  <c r="X133" i="12"/>
  <c r="X129" i="12" s="1"/>
  <c r="X136" i="12" s="1"/>
  <c r="X151" i="12" s="1"/>
  <c r="W77" i="7"/>
  <c r="X133" i="7"/>
  <c r="X129" i="7" s="1"/>
  <c r="X136" i="7" s="1"/>
  <c r="X151" i="7" s="1"/>
  <c r="W79" i="10"/>
  <c r="AC77" i="12"/>
  <c r="AD133" i="12"/>
  <c r="AD129" i="12" s="1"/>
  <c r="AD136" i="12" s="1"/>
  <c r="AD151" i="12" s="1"/>
  <c r="AC77" i="11"/>
  <c r="AD133" i="11"/>
  <c r="AD129" i="11" s="1"/>
  <c r="AD136" i="11" s="1"/>
  <c r="AD151" i="11" s="1"/>
  <c r="AC77" i="7"/>
  <c r="AD133" i="7"/>
  <c r="AD129" i="7" s="1"/>
  <c r="AD136" i="7" s="1"/>
  <c r="AD151" i="7" s="1"/>
  <c r="AC79" i="10"/>
  <c r="V77" i="7"/>
  <c r="W133" i="7"/>
  <c r="W129" i="7" s="1"/>
  <c r="W136" i="7" s="1"/>
  <c r="W151" i="7" s="1"/>
  <c r="V79" i="10"/>
  <c r="V77" i="11"/>
  <c r="W133" i="11"/>
  <c r="W129" i="11" s="1"/>
  <c r="W136" i="11" s="1"/>
  <c r="W151" i="11" s="1"/>
  <c r="V77" i="12"/>
  <c r="W133" i="12"/>
  <c r="W129" i="12" s="1"/>
  <c r="W136" i="12" s="1"/>
  <c r="W151" i="12" s="1"/>
  <c r="U77" i="11"/>
  <c r="V133" i="11"/>
  <c r="V129" i="11" s="1"/>
  <c r="V136" i="11" s="1"/>
  <c r="V151" i="11" s="1"/>
  <c r="U77" i="12"/>
  <c r="V133" i="12"/>
  <c r="V129" i="12" s="1"/>
  <c r="V136" i="12" s="1"/>
  <c r="V151" i="12" s="1"/>
  <c r="U77" i="7"/>
  <c r="V133" i="7"/>
  <c r="V129" i="7" s="1"/>
  <c r="V136" i="7" s="1"/>
  <c r="V151" i="7" s="1"/>
  <c r="U79" i="10"/>
  <c r="U131" i="12"/>
  <c r="U129" i="12" s="1"/>
  <c r="U136" i="12" s="1"/>
  <c r="U151" i="12" s="1"/>
  <c r="T131" i="12"/>
  <c r="U131" i="11"/>
  <c r="U129" i="11" s="1"/>
  <c r="U136" i="11" s="1"/>
  <c r="U151" i="11" s="1"/>
  <c r="T131" i="11"/>
  <c r="T81" i="7"/>
  <c r="T82" i="10"/>
  <c r="T81" i="10" s="1"/>
  <c r="AA77" i="7"/>
  <c r="AB133" i="7"/>
  <c r="AB129" i="7" s="1"/>
  <c r="AB136" i="7" s="1"/>
  <c r="AB151" i="7" s="1"/>
  <c r="AA79" i="10"/>
  <c r="AA77" i="12"/>
  <c r="AB133" i="12"/>
  <c r="AB129" i="12" s="1"/>
  <c r="AB136" i="12" s="1"/>
  <c r="AB151" i="12" s="1"/>
  <c r="AA77" i="11"/>
  <c r="AB133" i="11"/>
  <c r="AB129" i="11" s="1"/>
  <c r="AB136" i="11" s="1"/>
  <c r="AB151" i="11" s="1"/>
  <c r="AD77" i="11"/>
  <c r="AE133" i="11"/>
  <c r="AE129" i="11" s="1"/>
  <c r="AE136" i="11" s="1"/>
  <c r="AE151" i="11" s="1"/>
  <c r="AD77" i="7"/>
  <c r="AE133" i="7"/>
  <c r="AE129" i="7" s="1"/>
  <c r="AE136" i="7" s="1"/>
  <c r="AE151" i="7" s="1"/>
  <c r="AD79" i="10"/>
  <c r="AD77" i="12"/>
  <c r="AE133" i="12"/>
  <c r="AE129" i="12" s="1"/>
  <c r="AE136" i="12" s="1"/>
  <c r="AE151" i="12" s="1"/>
  <c r="Z77" i="11"/>
  <c r="AA133" i="11"/>
  <c r="AA129" i="11" s="1"/>
  <c r="AA136" i="11" s="1"/>
  <c r="AA151" i="11" s="1"/>
  <c r="Z77" i="12"/>
  <c r="AA133" i="12"/>
  <c r="AA129" i="12" s="1"/>
  <c r="AA136" i="12" s="1"/>
  <c r="AA151" i="12" s="1"/>
  <c r="Z77" i="7"/>
  <c r="AA133" i="7"/>
  <c r="AA129" i="7" s="1"/>
  <c r="AA136" i="7" s="1"/>
  <c r="AA151" i="7" s="1"/>
  <c r="Z79" i="10"/>
  <c r="X77" i="12"/>
  <c r="Y133" i="12"/>
  <c r="Y129" i="12" s="1"/>
  <c r="Y136" i="12" s="1"/>
  <c r="Y151" i="12" s="1"/>
  <c r="X77" i="11"/>
  <c r="Y133" i="11"/>
  <c r="Y129" i="11" s="1"/>
  <c r="Y136" i="11" s="1"/>
  <c r="Y151" i="11" s="1"/>
  <c r="X77" i="7"/>
  <c r="Y133" i="7"/>
  <c r="Y129" i="7" s="1"/>
  <c r="Y136" i="7" s="1"/>
  <c r="Y151" i="7" s="1"/>
  <c r="X79" i="10"/>
  <c r="T77" i="10" l="1"/>
  <c r="U133" i="10"/>
  <c r="T133" i="10"/>
  <c r="AB77" i="10"/>
  <c r="AC133" i="10"/>
  <c r="AC129" i="10" s="1"/>
  <c r="AC136" i="10" s="1"/>
  <c r="AC151" i="10" s="1"/>
  <c r="Y77" i="10"/>
  <c r="Z133" i="10"/>
  <c r="Z129" i="10" s="1"/>
  <c r="Z136" i="10" s="1"/>
  <c r="Z151" i="10" s="1"/>
  <c r="U132" i="10"/>
  <c r="T108" i="10"/>
  <c r="T107" i="10" s="1"/>
  <c r="T132" i="10"/>
  <c r="W77" i="10"/>
  <c r="X133" i="10"/>
  <c r="X129" i="10" s="1"/>
  <c r="X136" i="10" s="1"/>
  <c r="X151" i="10" s="1"/>
  <c r="AC77" i="10"/>
  <c r="AD133" i="10"/>
  <c r="AD129" i="10" s="1"/>
  <c r="AD136" i="10" s="1"/>
  <c r="AD151" i="10" s="1"/>
  <c r="V77" i="10"/>
  <c r="W133" i="10"/>
  <c r="W129" i="10" s="1"/>
  <c r="W136" i="10" s="1"/>
  <c r="W151" i="10" s="1"/>
  <c r="U77" i="10"/>
  <c r="V133" i="10"/>
  <c r="V129" i="10" s="1"/>
  <c r="V136" i="10" s="1"/>
  <c r="V151" i="10" s="1"/>
  <c r="T129" i="12"/>
  <c r="R129" i="12" s="1"/>
  <c r="R131" i="12"/>
  <c r="T129" i="11"/>
  <c r="R129" i="11" s="1"/>
  <c r="R131" i="11"/>
  <c r="U131" i="7"/>
  <c r="U129" i="7" s="1"/>
  <c r="U136" i="7" s="1"/>
  <c r="U151" i="7" s="1"/>
  <c r="T131" i="7"/>
  <c r="U131" i="10"/>
  <c r="U129" i="10" s="1"/>
  <c r="U136" i="10" s="1"/>
  <c r="U151" i="10" s="1"/>
  <c r="T131" i="10"/>
  <c r="AA77" i="10"/>
  <c r="AB133" i="10"/>
  <c r="AB129" i="10" s="1"/>
  <c r="AB136" i="10" s="1"/>
  <c r="AB151" i="10" s="1"/>
  <c r="AD77" i="10"/>
  <c r="AE133" i="10"/>
  <c r="AE129" i="10" s="1"/>
  <c r="AE136" i="10" s="1"/>
  <c r="AE151" i="10" s="1"/>
  <c r="Z77" i="10"/>
  <c r="AA133" i="10"/>
  <c r="AA129" i="10" s="1"/>
  <c r="AA136" i="10" s="1"/>
  <c r="AA151" i="10" s="1"/>
  <c r="X77" i="10"/>
  <c r="Y133" i="10"/>
  <c r="Y129" i="10" s="1"/>
  <c r="Y136" i="10" s="1"/>
  <c r="Y151" i="10" s="1"/>
  <c r="R132" i="12"/>
  <c r="R133" i="11"/>
  <c r="R133" i="12"/>
  <c r="R133" i="7"/>
  <c r="T67" i="7"/>
  <c r="T67" i="11"/>
  <c r="T67" i="12"/>
  <c r="T129" i="7" l="1"/>
  <c r="R129" i="7" s="1"/>
  <c r="R131" i="7"/>
  <c r="T129" i="10"/>
  <c r="R129" i="10" s="1"/>
  <c r="R131" i="10"/>
  <c r="R133" i="10"/>
  <c r="R132" i="10"/>
  <c r="T69" i="7"/>
  <c r="T68" i="7"/>
  <c r="T67" i="10"/>
  <c r="T69" i="11"/>
  <c r="T68" i="11"/>
  <c r="T69" i="12"/>
  <c r="T68" i="12"/>
  <c r="T70" i="7" l="1"/>
  <c r="T127" i="7"/>
  <c r="T120" i="7"/>
  <c r="T69" i="10"/>
  <c r="T68" i="10"/>
  <c r="T70" i="11"/>
  <c r="T127" i="11"/>
  <c r="T120" i="11"/>
  <c r="T127" i="12"/>
  <c r="T70" i="12"/>
  <c r="T120" i="12"/>
  <c r="R127" i="7" l="1"/>
  <c r="R136" i="7" s="1"/>
  <c r="R151" i="7" s="1"/>
  <c r="R153" i="7" s="1"/>
  <c r="T136" i="7"/>
  <c r="T151" i="7" s="1"/>
  <c r="T153" i="7" s="1"/>
  <c r="U120" i="7"/>
  <c r="T116" i="7"/>
  <c r="T122" i="7" s="1"/>
  <c r="T120" i="10"/>
  <c r="T116" i="10" s="1"/>
  <c r="T122" i="10" s="1"/>
  <c r="T127" i="10"/>
  <c r="T70" i="10"/>
  <c r="R127" i="11"/>
  <c r="R136" i="11" s="1"/>
  <c r="R151" i="11" s="1"/>
  <c r="R153" i="11" s="1"/>
  <c r="T136" i="11"/>
  <c r="T151" i="11" s="1"/>
  <c r="T153" i="11" s="1"/>
  <c r="U120" i="11"/>
  <c r="T116" i="11"/>
  <c r="T122" i="11" s="1"/>
  <c r="R127" i="12"/>
  <c r="R136" i="12" s="1"/>
  <c r="R151" i="12" s="1"/>
  <c r="R153" i="12" s="1"/>
  <c r="T136" i="12"/>
  <c r="T151" i="12" s="1"/>
  <c r="T153" i="12" s="1"/>
  <c r="U120" i="12"/>
  <c r="T116" i="12"/>
  <c r="T122" i="12" s="1"/>
  <c r="T71" i="10"/>
  <c r="U152" i="7" l="1"/>
  <c r="U153" i="7" s="1"/>
  <c r="T75" i="7"/>
  <c r="T74" i="7" s="1"/>
  <c r="T73" i="7" s="1"/>
  <c r="T105" i="7" s="1"/>
  <c r="V120" i="7"/>
  <c r="U116" i="7"/>
  <c r="U122" i="7" s="1"/>
  <c r="U120" i="10"/>
  <c r="U116" i="10" s="1"/>
  <c r="U122" i="10" s="1"/>
  <c r="R127" i="10"/>
  <c r="R136" i="10" s="1"/>
  <c r="R151" i="10" s="1"/>
  <c r="R153" i="10" s="1"/>
  <c r="T136" i="10"/>
  <c r="T151" i="10" s="1"/>
  <c r="T153" i="10" s="1"/>
  <c r="U152" i="11"/>
  <c r="U153" i="11" s="1"/>
  <c r="T75" i="11"/>
  <c r="T74" i="11" s="1"/>
  <c r="T73" i="11" s="1"/>
  <c r="T105" i="11" s="1"/>
  <c r="V120" i="11"/>
  <c r="U116" i="11"/>
  <c r="U122" i="11" s="1"/>
  <c r="U152" i="12"/>
  <c r="U153" i="12" s="1"/>
  <c r="T75" i="12"/>
  <c r="T74" i="12" s="1"/>
  <c r="T73" i="12" s="1"/>
  <c r="T105" i="12" s="1"/>
  <c r="V120" i="12"/>
  <c r="U116" i="12"/>
  <c r="U122" i="12" s="1"/>
  <c r="U75" i="7" l="1"/>
  <c r="U74" i="7" s="1"/>
  <c r="U73" i="7" s="1"/>
  <c r="U105" i="7" s="1"/>
  <c r="V152" i="7"/>
  <c r="V153" i="7" s="1"/>
  <c r="W120" i="7"/>
  <c r="V116" i="7"/>
  <c r="V122" i="7" s="1"/>
  <c r="V120" i="10"/>
  <c r="V116" i="10" s="1"/>
  <c r="V122" i="10" s="1"/>
  <c r="U152" i="10"/>
  <c r="U153" i="10" s="1"/>
  <c r="T75" i="10"/>
  <c r="T74" i="10" s="1"/>
  <c r="T73" i="10" s="1"/>
  <c r="T105" i="10" s="1"/>
  <c r="U75" i="11"/>
  <c r="U74" i="11" s="1"/>
  <c r="U73" i="11" s="1"/>
  <c r="U105" i="11" s="1"/>
  <c r="V152" i="11"/>
  <c r="V153" i="11" s="1"/>
  <c r="W120" i="11"/>
  <c r="V116" i="11"/>
  <c r="V122" i="11" s="1"/>
  <c r="U75" i="12"/>
  <c r="U74" i="12" s="1"/>
  <c r="U73" i="12" s="1"/>
  <c r="U105" i="12" s="1"/>
  <c r="V152" i="12"/>
  <c r="V153" i="12" s="1"/>
  <c r="W120" i="12"/>
  <c r="V116" i="12"/>
  <c r="V122" i="12" s="1"/>
  <c r="V75" i="7" l="1"/>
  <c r="V74" i="7" s="1"/>
  <c r="V73" i="7" s="1"/>
  <c r="V105" i="7" s="1"/>
  <c r="W152" i="7"/>
  <c r="W153" i="7" s="1"/>
  <c r="X120" i="7"/>
  <c r="W116" i="7"/>
  <c r="W122" i="7" s="1"/>
  <c r="W120" i="10"/>
  <c r="W116" i="10" s="1"/>
  <c r="W122" i="10" s="1"/>
  <c r="U75" i="10"/>
  <c r="U74" i="10" s="1"/>
  <c r="U73" i="10" s="1"/>
  <c r="U105" i="10" s="1"/>
  <c r="V152" i="10"/>
  <c r="V153" i="10" s="1"/>
  <c r="T123" i="10"/>
  <c r="T106" i="10"/>
  <c r="V75" i="11"/>
  <c r="V74" i="11" s="1"/>
  <c r="V73" i="11" s="1"/>
  <c r="V105" i="11" s="1"/>
  <c r="W152" i="11"/>
  <c r="W153" i="11" s="1"/>
  <c r="X120" i="11"/>
  <c r="W116" i="11"/>
  <c r="W122" i="11" s="1"/>
  <c r="V75" i="12"/>
  <c r="V74" i="12" s="1"/>
  <c r="V73" i="12" s="1"/>
  <c r="V105" i="12" s="1"/>
  <c r="W152" i="12"/>
  <c r="W153" i="12" s="1"/>
  <c r="X120" i="12"/>
  <c r="W116" i="12"/>
  <c r="W122" i="12" s="1"/>
  <c r="W75" i="7" l="1"/>
  <c r="W74" i="7" s="1"/>
  <c r="W73" i="7" s="1"/>
  <c r="W105" i="7" s="1"/>
  <c r="X152" i="7"/>
  <c r="X153" i="7" s="1"/>
  <c r="Y120" i="7"/>
  <c r="X116" i="7"/>
  <c r="X122" i="7" s="1"/>
  <c r="X120" i="10"/>
  <c r="X116" i="10" s="1"/>
  <c r="X122" i="10" s="1"/>
  <c r="U123" i="10"/>
  <c r="U106" i="10"/>
  <c r="V75" i="10"/>
  <c r="V74" i="10" s="1"/>
  <c r="V73" i="10" s="1"/>
  <c r="V105" i="10" s="1"/>
  <c r="W152" i="10"/>
  <c r="W153" i="10" s="1"/>
  <c r="X152" i="11"/>
  <c r="X153" i="11" s="1"/>
  <c r="W75" i="11"/>
  <c r="W74" i="11" s="1"/>
  <c r="W73" i="11" s="1"/>
  <c r="W105" i="11" s="1"/>
  <c r="Y120" i="11"/>
  <c r="X116" i="11"/>
  <c r="X122" i="11" s="1"/>
  <c r="W75" i="12"/>
  <c r="W74" i="12" s="1"/>
  <c r="W73" i="12" s="1"/>
  <c r="W105" i="12" s="1"/>
  <c r="X152" i="12"/>
  <c r="X153" i="12" s="1"/>
  <c r="Y120" i="12"/>
  <c r="X116" i="12"/>
  <c r="X122" i="12" s="1"/>
  <c r="X75" i="7" l="1"/>
  <c r="X74" i="7" s="1"/>
  <c r="X73" i="7" s="1"/>
  <c r="X105" i="7" s="1"/>
  <c r="Y152" i="7"/>
  <c r="Y153" i="7" s="1"/>
  <c r="Z120" i="7"/>
  <c r="Y116" i="7"/>
  <c r="Y122" i="7" s="1"/>
  <c r="Y120" i="10"/>
  <c r="Y116" i="10" s="1"/>
  <c r="Y122" i="10" s="1"/>
  <c r="V123" i="10"/>
  <c r="V106" i="10"/>
  <c r="W75" i="10"/>
  <c r="W74" i="10" s="1"/>
  <c r="W73" i="10" s="1"/>
  <c r="W105" i="10" s="1"/>
  <c r="X152" i="10"/>
  <c r="X153" i="10" s="1"/>
  <c r="X75" i="11"/>
  <c r="X74" i="11" s="1"/>
  <c r="X73" i="11" s="1"/>
  <c r="X105" i="11" s="1"/>
  <c r="Y152" i="11"/>
  <c r="Y153" i="11" s="1"/>
  <c r="Z120" i="11"/>
  <c r="Y116" i="11"/>
  <c r="Y122" i="11" s="1"/>
  <c r="X75" i="12"/>
  <c r="X74" i="12" s="1"/>
  <c r="X73" i="12" s="1"/>
  <c r="X105" i="12" s="1"/>
  <c r="Y152" i="12"/>
  <c r="Y153" i="12" s="1"/>
  <c r="Z120" i="12"/>
  <c r="Y116" i="12"/>
  <c r="Y122" i="12" s="1"/>
  <c r="Y75" i="7" l="1"/>
  <c r="Y74" i="7" s="1"/>
  <c r="Y73" i="7" s="1"/>
  <c r="Y105" i="7" s="1"/>
  <c r="Z152" i="7"/>
  <c r="Z153" i="7" s="1"/>
  <c r="AA120" i="7"/>
  <c r="Z116" i="7"/>
  <c r="Z122" i="7" s="1"/>
  <c r="Z120" i="10"/>
  <c r="Z116" i="10" s="1"/>
  <c r="Z122" i="10" s="1"/>
  <c r="W123" i="10"/>
  <c r="W106" i="10"/>
  <c r="X75" i="10"/>
  <c r="X74" i="10" s="1"/>
  <c r="X73" i="10" s="1"/>
  <c r="X105" i="10" s="1"/>
  <c r="Y152" i="10"/>
  <c r="Y153" i="10" s="1"/>
  <c r="Y75" i="11"/>
  <c r="Y74" i="11" s="1"/>
  <c r="Y73" i="11" s="1"/>
  <c r="Y105" i="11" s="1"/>
  <c r="Z152" i="11"/>
  <c r="Z153" i="11" s="1"/>
  <c r="AA120" i="11"/>
  <c r="Z116" i="11"/>
  <c r="Z122" i="11" s="1"/>
  <c r="Y75" i="12"/>
  <c r="Y74" i="12" s="1"/>
  <c r="Y73" i="12" s="1"/>
  <c r="Y105" i="12" s="1"/>
  <c r="Z152" i="12"/>
  <c r="Z153" i="12" s="1"/>
  <c r="AA120" i="12"/>
  <c r="Z116" i="12"/>
  <c r="Z122" i="12" s="1"/>
  <c r="Z75" i="7" l="1"/>
  <c r="Z74" i="7" s="1"/>
  <c r="Z73" i="7" s="1"/>
  <c r="Z105" i="7" s="1"/>
  <c r="AA152" i="7"/>
  <c r="AA153" i="7" s="1"/>
  <c r="AB120" i="7"/>
  <c r="AA116" i="7"/>
  <c r="AA122" i="7" s="1"/>
  <c r="AA120" i="10"/>
  <c r="AA116" i="10" s="1"/>
  <c r="AA122" i="10" s="1"/>
  <c r="X123" i="10"/>
  <c r="X106" i="10"/>
  <c r="Y75" i="10"/>
  <c r="Y74" i="10" s="1"/>
  <c r="Y73" i="10" s="1"/>
  <c r="Y105" i="10" s="1"/>
  <c r="Z152" i="10"/>
  <c r="Z153" i="10" s="1"/>
  <c r="Z75" i="11"/>
  <c r="Z74" i="11" s="1"/>
  <c r="Z73" i="11" s="1"/>
  <c r="Z105" i="11" s="1"/>
  <c r="AA152" i="11"/>
  <c r="AA153" i="11" s="1"/>
  <c r="AB120" i="11"/>
  <c r="AA116" i="11"/>
  <c r="AA122" i="11" s="1"/>
  <c r="Z75" i="12"/>
  <c r="Z74" i="12" s="1"/>
  <c r="Z73" i="12" s="1"/>
  <c r="Z105" i="12" s="1"/>
  <c r="AA152" i="12"/>
  <c r="AA153" i="12" s="1"/>
  <c r="AB120" i="12"/>
  <c r="AA116" i="12"/>
  <c r="AA122" i="12" s="1"/>
  <c r="AA75" i="7" l="1"/>
  <c r="AA74" i="7" s="1"/>
  <c r="AA73" i="7" s="1"/>
  <c r="AA105" i="7" s="1"/>
  <c r="AB152" i="7"/>
  <c r="AB153" i="7" s="1"/>
  <c r="AC120" i="7"/>
  <c r="AB116" i="7"/>
  <c r="AB122" i="7" s="1"/>
  <c r="AB120" i="10"/>
  <c r="AB116" i="10" s="1"/>
  <c r="AB122" i="10" s="1"/>
  <c r="Y123" i="10"/>
  <c r="Y106" i="10"/>
  <c r="Z75" i="10"/>
  <c r="Z74" i="10" s="1"/>
  <c r="Z73" i="10" s="1"/>
  <c r="Z105" i="10" s="1"/>
  <c r="AA152" i="10"/>
  <c r="AA153" i="10" s="1"/>
  <c r="AB152" i="11"/>
  <c r="AB153" i="11" s="1"/>
  <c r="AA75" i="11"/>
  <c r="AA74" i="11" s="1"/>
  <c r="AA73" i="11" s="1"/>
  <c r="AA105" i="11" s="1"/>
  <c r="AC120" i="11"/>
  <c r="AB116" i="11"/>
  <c r="AB122" i="11" s="1"/>
  <c r="AA75" i="12"/>
  <c r="AA74" i="12" s="1"/>
  <c r="AA73" i="12" s="1"/>
  <c r="AA105" i="12" s="1"/>
  <c r="AB152" i="12"/>
  <c r="AB153" i="12" s="1"/>
  <c r="AC120" i="12"/>
  <c r="AB116" i="12"/>
  <c r="AB122" i="12" s="1"/>
  <c r="AB75" i="7" l="1"/>
  <c r="AB74" i="7" s="1"/>
  <c r="AB73" i="7" s="1"/>
  <c r="AB105" i="7" s="1"/>
  <c r="AC152" i="7"/>
  <c r="AC153" i="7" s="1"/>
  <c r="AD120" i="7"/>
  <c r="AC116" i="7"/>
  <c r="AC122" i="7" s="1"/>
  <c r="AC120" i="10"/>
  <c r="AC116" i="10" s="1"/>
  <c r="AC122" i="10" s="1"/>
  <c r="Z123" i="10"/>
  <c r="Z106" i="10"/>
  <c r="AA75" i="10"/>
  <c r="AA74" i="10" s="1"/>
  <c r="AA73" i="10" s="1"/>
  <c r="AA105" i="10" s="1"/>
  <c r="AB152" i="10"/>
  <c r="AB153" i="10" s="1"/>
  <c r="AC152" i="11"/>
  <c r="AC153" i="11" s="1"/>
  <c r="AB75" i="11"/>
  <c r="AB74" i="11" s="1"/>
  <c r="AB73" i="11" s="1"/>
  <c r="AB105" i="11" s="1"/>
  <c r="AD120" i="11"/>
  <c r="AC116" i="11"/>
  <c r="AC122" i="11" s="1"/>
  <c r="AB75" i="12"/>
  <c r="AB74" i="12" s="1"/>
  <c r="AB73" i="12" s="1"/>
  <c r="AB105" i="12" s="1"/>
  <c r="AC152" i="12"/>
  <c r="AC153" i="12" s="1"/>
  <c r="AD120" i="12"/>
  <c r="AC116" i="12"/>
  <c r="AC122" i="12" s="1"/>
  <c r="AC75" i="7" l="1"/>
  <c r="AC74" i="7" s="1"/>
  <c r="AC73" i="7" s="1"/>
  <c r="AC105" i="7" s="1"/>
  <c r="AD152" i="7"/>
  <c r="AD153" i="7" s="1"/>
  <c r="AE120" i="7"/>
  <c r="AD116" i="7"/>
  <c r="AD122" i="7" s="1"/>
  <c r="AD120" i="10"/>
  <c r="AD116" i="10" s="1"/>
  <c r="AD122" i="10" s="1"/>
  <c r="AA123" i="10"/>
  <c r="AA106" i="10"/>
  <c r="AB75" i="10"/>
  <c r="AB74" i="10" s="1"/>
  <c r="AB73" i="10" s="1"/>
  <c r="AB105" i="10" s="1"/>
  <c r="AC152" i="10"/>
  <c r="AC153" i="10" s="1"/>
  <c r="AD152" i="11"/>
  <c r="AD153" i="11" s="1"/>
  <c r="AC75" i="11"/>
  <c r="AC74" i="11" s="1"/>
  <c r="AC73" i="11" s="1"/>
  <c r="AC105" i="11" s="1"/>
  <c r="AE120" i="11"/>
  <c r="AE116" i="11" s="1"/>
  <c r="AD116" i="11"/>
  <c r="AD122" i="11" s="1"/>
  <c r="AC75" i="12"/>
  <c r="AC74" i="12" s="1"/>
  <c r="AC73" i="12" s="1"/>
  <c r="AC105" i="12" s="1"/>
  <c r="AD152" i="12"/>
  <c r="AD153" i="12" s="1"/>
  <c r="AE120" i="12"/>
  <c r="AE116" i="12" s="1"/>
  <c r="AD116" i="12"/>
  <c r="AD122" i="12" s="1"/>
  <c r="AD75" i="7" l="1"/>
  <c r="AD74" i="7" s="1"/>
  <c r="AD73" i="7" s="1"/>
  <c r="AD105" i="7" s="1"/>
  <c r="AE152" i="7"/>
  <c r="AE153" i="7" s="1"/>
  <c r="AE75" i="7" s="1"/>
  <c r="AE120" i="10"/>
  <c r="AE116" i="10" s="1"/>
  <c r="AE116" i="7"/>
  <c r="AB123" i="10"/>
  <c r="AB106" i="10"/>
  <c r="AC75" i="10"/>
  <c r="AC74" i="10" s="1"/>
  <c r="AC73" i="10" s="1"/>
  <c r="AC105" i="10" s="1"/>
  <c r="AD152" i="10"/>
  <c r="AD153" i="10" s="1"/>
  <c r="AD75" i="11"/>
  <c r="AD74" i="11" s="1"/>
  <c r="AD73" i="11" s="1"/>
  <c r="AD105" i="11" s="1"/>
  <c r="AE152" i="11"/>
  <c r="AE153" i="11" s="1"/>
  <c r="AE75" i="11" s="1"/>
  <c r="AE122" i="11"/>
  <c r="R122" i="11" s="1"/>
  <c r="R116" i="11"/>
  <c r="AD75" i="12"/>
  <c r="AD74" i="12" s="1"/>
  <c r="AD73" i="12" s="1"/>
  <c r="AD105" i="12" s="1"/>
  <c r="AE152" i="12"/>
  <c r="AE153" i="12" s="1"/>
  <c r="AE75" i="12" s="1"/>
  <c r="AE122" i="12"/>
  <c r="R122" i="12" s="1"/>
  <c r="R116" i="12"/>
  <c r="AE74" i="7" l="1"/>
  <c r="AE73" i="7" s="1"/>
  <c r="AE105" i="7" s="1"/>
  <c r="R75" i="7"/>
  <c r="AE122" i="10"/>
  <c r="R122" i="10" s="1"/>
  <c r="R116" i="10"/>
  <c r="AE122" i="7"/>
  <c r="R122" i="7" s="1"/>
  <c r="R116" i="7"/>
  <c r="AC123" i="10"/>
  <c r="AC106" i="10"/>
  <c r="AD75" i="10"/>
  <c r="AD74" i="10" s="1"/>
  <c r="AD73" i="10" s="1"/>
  <c r="AD105" i="10" s="1"/>
  <c r="AE152" i="10"/>
  <c r="AE153" i="10" s="1"/>
  <c r="AE75" i="10" s="1"/>
  <c r="AE74" i="10" s="1"/>
  <c r="AE73" i="10" s="1"/>
  <c r="AE105" i="10" s="1"/>
  <c r="R75" i="11"/>
  <c r="R74" i="11" s="1"/>
  <c r="R73" i="11" s="1"/>
  <c r="R105" i="11" s="1"/>
  <c r="R123" i="11" s="1"/>
  <c r="AE74" i="11"/>
  <c r="AE73" i="11" s="1"/>
  <c r="AE105" i="11" s="1"/>
  <c r="AE74" i="12"/>
  <c r="AE73" i="12" s="1"/>
  <c r="AE105" i="12" s="1"/>
  <c r="R75" i="12"/>
  <c r="R74" i="12" s="1"/>
  <c r="R73" i="12" s="1"/>
  <c r="R105" i="12" s="1"/>
  <c r="R123" i="12" s="1"/>
  <c r="R75" i="10" l="1"/>
  <c r="R74" i="10" s="1"/>
  <c r="R73" i="10" s="1"/>
  <c r="R105" i="10" s="1"/>
  <c r="R123" i="10" s="1"/>
  <c r="R74" i="7"/>
  <c r="R73" i="7" s="1"/>
  <c r="R105" i="7" s="1"/>
  <c r="AD123" i="10"/>
  <c r="AD106" i="10"/>
  <c r="AE123" i="10"/>
  <c r="AE106" i="10"/>
  <c r="R106" i="10" l="1"/>
  <c r="R12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</authors>
  <commentList>
    <comment ref="Q14" authorId="0" shapeId="0" xr:uid="{B217EBDF-FB67-4581-AD56-4299356C6677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Dao
bun
hoa chat
day dai</t>
        </r>
      </text>
    </comment>
    <comment ref="Q17" authorId="0" shapeId="0" xr:uid="{04A7D5A1-B7E8-4EB5-A480-7B0BA113ED9E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Xang dau xe nang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</authors>
  <commentList>
    <comment ref="Q14" authorId="0" shapeId="0" xr:uid="{66DB213E-6E3F-4B04-A00F-2455941655A4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Dao
bun
hoa chat
day dai</t>
        </r>
      </text>
    </comment>
    <comment ref="Q17" authorId="0" shapeId="0" xr:uid="{99CE42E7-DA4F-4868-BF82-50CC44C19356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Xang dau xe nang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</authors>
  <commentList>
    <comment ref="Q14" authorId="0" shapeId="0" xr:uid="{AC7901C4-5858-4E66-9B91-FF066F45C261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Dao
bun
hoa chat
day dai</t>
        </r>
      </text>
    </comment>
    <comment ref="Q17" authorId="0" shapeId="0" xr:uid="{9194CDDC-1C73-4B8B-AEC1-33A65CCA725B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Xang dau xe nang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</authors>
  <commentList>
    <comment ref="Q14" authorId="0" shapeId="0" xr:uid="{C45DD5DB-8D6C-4A31-9EC3-2989C56C2D2C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Dao
bun
hoa chat
day dai</t>
        </r>
      </text>
    </comment>
    <comment ref="Q17" authorId="0" shapeId="0" xr:uid="{F1AA222C-352D-40EA-BB26-4299FA2D649E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Xang dau xe nang
</t>
        </r>
      </text>
    </comment>
  </commentList>
</comments>
</file>

<file path=xl/sharedStrings.xml><?xml version="1.0" encoding="utf-8"?>
<sst xmlns="http://schemas.openxmlformats.org/spreadsheetml/2006/main" count="677" uniqueCount="118">
  <si>
    <t>CTY CP NHỰA TÁI CHẾ DUY TÂN</t>
  </si>
  <si>
    <t>VND</t>
  </si>
  <si>
    <t>Index PL</t>
  </si>
  <si>
    <t>PHẦN II-KẾT QUẢ HOẠT ĐỘNG KINH DOANH</t>
  </si>
  <si>
    <t>TenCongTyID</t>
  </si>
  <si>
    <t>2021</t>
  </si>
  <si>
    <t>2022</t>
  </si>
  <si>
    <t>2023</t>
  </si>
  <si>
    <t>2024</t>
  </si>
  <si>
    <t>2025</t>
  </si>
  <si>
    <t>2026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</si>
  <si>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</si>
  <si>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</si>
  <si>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</si>
  <si>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</si>
  <si>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</si>
  <si>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</si>
  <si>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</si>
  <si>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</si>
  <si>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</si>
  <si>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</si>
  <si>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</si>
  <si>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</si>
  <si>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</si>
  <si>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</si>
  <si>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</si>
  <si>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</si>
  <si>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</si>
  <si>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</si>
  <si>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</si>
  <si>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</si>
  <si>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</si>
  <si>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</si>
  <si>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</si>
  <si>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</si>
  <si>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</si>
  <si>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</si>
  <si>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</si>
  <si>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</si>
  <si>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</si>
  <si>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</si>
  <si>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</si>
  <si>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</si>
  <si>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</si>
  <si>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</si>
  <si>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</si>
  <si>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</si>
  <si>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</si>
  <si>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</si>
  <si>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</si>
  <si>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</si>
  <si>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</si>
  <si>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</si>
  <si>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</si>
  <si>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</si>
  <si>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</si>
  <si>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</si>
  <si>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</si>
  <si>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</si>
  <si>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</si>
  <si>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</si>
  <si>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</si>
  <si>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</si>
  <si>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</si>
  <si>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</si>
  <si>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</si>
  <si>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</si>
  <si>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</si>
  <si>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</si>
  <si>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</si>
  <si>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</si>
  <si>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</si>
  <si>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</si>
  <si>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</si>
  <si>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</si>
  <si>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</si>
  <si>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</si>
  <si>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</si>
  <si>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</si>
  <si>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</si>
  <si>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</si>
  <si>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</si>
  <si>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</si>
  <si>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Sản lượng (kg)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</si>
  <si>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</si>
  <si>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</si>
  <si>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</si>
  <si>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</si>
  <si>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</si>
  <si>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</si>
  <si>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</si>
  <si>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</si>
  <si>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</si>
  <si>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</si>
  <si>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</si>
  <si>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</si>
  <si>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</si>
  <si>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</si>
  <si>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</si>
  <si>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</si>
  <si>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</si>
  <si>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</si>
  <si>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</si>
  <si>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CÔNG TY TNHH THU MUA PHẾ LIỆU ĐẠI LỘC</t>
  </si>
  <si>
    <t>Sản lượng (Tấn)</t>
  </si>
  <si>
    <t>CÔNG TY TNHH THU MUA PHẾ LIỆU KHÁNH NGA</t>
  </si>
  <si>
    <t xml:space="preserve">   </t>
  </si>
  <si>
    <t> </t>
  </si>
  <si>
    <t>CÔNG TY TNHH MTV ĐỒNG LÂM</t>
  </si>
  <si>
    <t>% LNST</t>
  </si>
  <si>
    <t>2025P</t>
  </si>
  <si>
    <t>EBIT</t>
  </si>
  <si>
    <t>EBITDA</t>
  </si>
  <si>
    <t>Extra excluded in EBITDA</t>
  </si>
  <si>
    <t>Investment in associates, joint ventures</t>
  </si>
  <si>
    <t>Investment in other entities</t>
  </si>
  <si>
    <t>Financial reserves</t>
  </si>
  <si>
    <t>Proceeds from share issuance and owner's capital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</si>
</sst>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_);_(* \(#,##0.0\);_(* &quot;-&quot;??_);_(@_)"/>
    <numFmt numFmtId="165" formatCode="_(* #.##0_);_(* \(#.##0\);_(* &quot;-&quot;??_);_(@_)"/>
    <numFmt numFmtId="166" formatCode="_(* #,##0_);_(* \(#,##0\);_(* &quot;-&quot;??_);_(@_)"/>
    <numFmt numFmtId="167" formatCode="0.0%"/>
    <numFmt numFmtId="168" formatCode="#,###,"/>
    <numFmt numFmtId="169" formatCode="#,###,,"/>
    <numFmt numFmtId="170" formatCode="_ * #,##0\ ;_ * \-#,##0\ ;_ * &quot;-&quot;\ ;_ @_ "/>
    <numFmt numFmtId="171" formatCode="0.0"/>
  </numFmts>
  <fonts count="5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FF0000"/>
      <name val="Times New Roman"/>
      <family val="1"/>
    </font>
    <font>
      <sz val="11"/>
      <name val="Times New Roman"/>
      <family val="1"/>
    </font>
    <font>
      <sz val="10"/>
      <name val="VNI-Times"/>
    </font>
    <font>
      <b/>
      <sz val="11"/>
      <color rgb="FF0000FF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FF0000"/>
      <name val="Arial"/>
      <family val="2"/>
      <charset val="163"/>
    </font>
    <font>
      <b/>
      <u/>
      <sz val="11"/>
      <color rgb="FFFF0000"/>
      <name val="Times New Roman"/>
      <family val="1"/>
      <charset val="163"/>
    </font>
    <font>
      <b/>
      <sz val="11"/>
      <color rgb="FF0000FF"/>
      <name val="Times New Roman"/>
      <family val="1"/>
      <charset val="163"/>
    </font>
    <font>
      <sz val="11"/>
      <color theme="1"/>
      <name val="Arial"/>
      <family val="2"/>
    </font>
    <font>
      <sz val="11"/>
      <color indexed="8"/>
      <name val="Times New Roman"/>
      <family val="1"/>
    </font>
    <font>
      <b/>
      <sz val="11"/>
      <color indexed="12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color indexed="12"/>
      <name val="Times New Roman"/>
      <family val="1"/>
    </font>
    <font>
      <sz val="11"/>
      <color rgb="FF000000"/>
      <name val="Times New Roman"/>
      <family val="1"/>
    </font>
    <font>
      <b/>
      <sz val="11"/>
      <color rgb="FF0000FF"/>
      <name val="Arial"/>
      <family val="2"/>
    </font>
    <font>
      <sz val="11"/>
      <color rgb="FF0000FF"/>
      <name val="Times New Roman"/>
      <family val="1"/>
    </font>
    <font>
      <sz val="8"/>
      <name val="Aptos Narrow"/>
      <family val="2"/>
      <scheme val="minor"/>
    </font>
    <font>
      <sz val="11"/>
      <color rgb="FF0000FF"/>
      <name val="Aptos Display"/>
      <family val="2"/>
      <scheme val="major"/>
    </font>
    <font>
      <sz val="11"/>
      <color rgb="FF0000FF"/>
      <name val="Aptos Narrow"/>
      <family val="2"/>
      <scheme val="minor"/>
    </font>
    <font>
      <sz val="11"/>
      <color theme="1"/>
      <name val="Segoe UI"/>
      <family val="2"/>
    </font>
    <font>
      <sz val="16"/>
      <color rgb="FF0000FF"/>
      <name val="Wingdings"/>
      <charset val="2"/>
    </font>
    <font>
      <sz val="11"/>
      <color rgb="FFFF0000"/>
      <name val="Segoe UI"/>
      <family val="2"/>
    </font>
    <font>
      <b/>
      <sz val="11"/>
      <color theme="1"/>
      <name val="Segoe UI"/>
      <family val="2"/>
    </font>
    <font>
      <b/>
      <sz val="11"/>
      <color rgb="FF0000FF"/>
      <name val="Segoe UI"/>
      <family val="2"/>
    </font>
    <font>
      <b/>
      <sz val="22"/>
      <color theme="0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b/>
      <sz val="11"/>
      <color rgb="FF0070C0"/>
      <name val="Segoe UI"/>
      <family val="2"/>
    </font>
    <font>
      <b/>
      <sz val="11"/>
      <color theme="5" tint="-0.249977111117893"/>
      <name val="Segoe UI"/>
      <family val="2"/>
    </font>
    <font>
      <sz val="11"/>
      <name val="Segoe UI"/>
      <family val="2"/>
    </font>
    <font>
      <i/>
      <sz val="11"/>
      <name val="Segoe UI"/>
      <family val="2"/>
    </font>
    <font>
      <b/>
      <sz val="11"/>
      <color rgb="FF000099"/>
      <name val="Segoe UI"/>
      <family val="2"/>
    </font>
    <font>
      <sz val="11"/>
      <color rgb="FF000099"/>
      <name val="Segoe UI"/>
      <family val="2"/>
    </font>
    <font>
      <sz val="11"/>
      <color rgb="FF009900"/>
      <name val="Wingdings"/>
      <charset val="2"/>
    </font>
    <font>
      <i/>
      <sz val="11"/>
      <color rgb="FF0070C0"/>
      <name val="Segoe UI"/>
      <family val="2"/>
    </font>
    <font>
      <sz val="11"/>
      <color rgb="FF0070C0"/>
      <name val="Segoe UI"/>
      <family val="2"/>
    </font>
    <font>
      <i/>
      <sz val="11"/>
      <color theme="1"/>
      <name val="Segoe UI"/>
      <family val="2"/>
    </font>
    <font>
      <b/>
      <sz val="11"/>
      <color theme="8" tint="-0.499984740745262"/>
      <name val="Segoe UI"/>
      <family val="2"/>
    </font>
    <font>
      <i/>
      <sz val="11"/>
      <color rgb="FF0000FF"/>
      <name val="Segoe UI"/>
      <family val="2"/>
    </font>
    <font>
      <sz val="11"/>
      <color rgb="FF0000FF"/>
      <name val="Segoe UI"/>
      <family val="2"/>
    </font>
    <font>
      <b/>
      <i/>
      <sz val="11"/>
      <name val="Segoe UI"/>
      <family val="2"/>
    </font>
    <font>
      <i/>
      <sz val="11"/>
      <color rgb="FFFF0000"/>
      <name val="Segoe UI"/>
      <family val="2"/>
    </font>
    <font>
      <b/>
      <i/>
      <sz val="11"/>
      <color rgb="FF00B050"/>
      <name val="Segoe UI"/>
      <family val="2"/>
    </font>
    <font>
      <b/>
      <i/>
      <sz val="11"/>
      <color rgb="FF0070C0"/>
      <name val="Segoe UI"/>
      <family val="2"/>
    </font>
    <font>
      <b/>
      <i/>
      <sz val="11"/>
      <color rgb="FF0000FF"/>
      <name val="Segoe UI"/>
      <family val="2"/>
    </font>
    <font>
      <sz val="11"/>
      <color theme="5" tint="-0.249977111117893"/>
      <name val="Segoe UI"/>
      <family val="2"/>
    </font>
    <font>
      <i/>
      <sz val="11"/>
      <color theme="5" tint="-0.249977111117893"/>
      <name val="segoe UI"/>
      <family val="2"/>
    </font>
    <font>
      <sz val="11"/>
      <color theme="8" tint="0.59999389629810485"/>
      <name val="Segoe UI"/>
      <family val="2"/>
    </font>
    <font>
      <b/>
      <sz val="11"/>
      <color rgb="FFFF0000"/>
      <name val="Segoe UI"/>
      <family val="2"/>
    </font>
    <font>
      <b/>
      <sz val="11"/>
      <color theme="5"/>
      <name val="Segoe UI"/>
      <family val="2"/>
    </font>
    <font>
      <sz val="11"/>
      <color rgb="FFFF0000"/>
      <name val="Wingdings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808080"/>
      </left>
      <right style="thin">
        <color rgb="FF808080"/>
      </right>
      <top style="hair">
        <color rgb="FF808080"/>
      </top>
      <bottom style="hair">
        <color rgb="FF80808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513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 applyAlignment="1">
      <alignment horizontal="center" vertical="center"/>
    </xf>
    <xf numFmtId="11" fontId="0" fillId="0" borderId="0" xfId="0" applyNumberFormat="1"/>
    <xf numFmtId="0" fontId="6" fillId="2" borderId="1" xfId="3" applyNumberFormat="1" applyFont="1" applyFill="1" applyBorder="1" applyAlignment="1" applyProtection="1">
      <alignment horizontal="center" vertical="center" wrapText="1"/>
    </xf>
    <xf numFmtId="0" fontId="7" fillId="3" borderId="2" xfId="2" applyFont="1" applyFill="1" applyBorder="1" applyAlignment="1">
      <alignment horizontal="left" vertical="top" wrapText="1"/>
    </xf>
    <xf numFmtId="0" fontId="8" fillId="0" borderId="3" xfId="4" applyNumberFormat="1" applyFont="1" applyFill="1" applyBorder="1" applyAlignment="1" applyProtection="1">
      <alignment horizontal="center" vertical="top" wrapText="1"/>
    </xf>
    <xf numFmtId="3" fontId="9" fillId="0" borderId="2" xfId="2" applyNumberFormat="1" applyFont="1" applyBorder="1" applyAlignment="1">
      <alignment horizontal="left" vertical="top" wrapText="1" indent="1"/>
    </xf>
    <xf numFmtId="164" fontId="8" fillId="0" borderId="3" xfId="4" applyNumberFormat="1" applyFont="1" applyFill="1" applyBorder="1" applyAlignment="1" applyProtection="1">
      <alignment horizontal="right" vertical="top" wrapText="1"/>
      <protection locked="0"/>
    </xf>
    <xf numFmtId="3" fontId="7" fillId="0" borderId="3" xfId="2" applyNumberFormat="1" applyFont="1" applyBorder="1" applyAlignment="1">
      <alignment horizontal="center" vertical="top" wrapText="1"/>
    </xf>
    <xf numFmtId="3" fontId="10" fillId="0" borderId="2" xfId="2" applyNumberFormat="1" applyFont="1" applyBorder="1" applyAlignment="1">
      <alignment horizontal="left" vertical="top" wrapText="1" indent="1"/>
    </xf>
    <xf numFmtId="3" fontId="7" fillId="0" borderId="3" xfId="2" applyNumberFormat="1" applyFont="1" applyBorder="1" applyAlignment="1" applyProtection="1">
      <alignment vertical="top" wrapText="1"/>
      <protection locked="0"/>
    </xf>
    <xf numFmtId="3" fontId="11" fillId="0" borderId="3" xfId="2" applyNumberFormat="1" applyFont="1" applyBorder="1" applyAlignment="1">
      <alignment horizontal="center" vertical="top" wrapText="1"/>
    </xf>
    <xf numFmtId="3" fontId="12" fillId="0" borderId="2" xfId="2" applyNumberFormat="1" applyFont="1" applyBorder="1" applyAlignment="1">
      <alignment horizontal="left" vertical="top" wrapText="1" indent="1"/>
    </xf>
    <xf numFmtId="3" fontId="11" fillId="0" borderId="3" xfId="2" applyNumberFormat="1" applyFont="1" applyBorder="1" applyAlignment="1" applyProtection="1">
      <alignment vertical="top" wrapText="1"/>
      <protection locked="0"/>
    </xf>
    <xf numFmtId="3" fontId="6" fillId="0" borderId="3" xfId="2" applyNumberFormat="1" applyFont="1" applyBorder="1" applyAlignment="1">
      <alignment horizontal="center" vertical="top" wrapText="1"/>
    </xf>
    <xf numFmtId="3" fontId="6" fillId="0" borderId="3" xfId="2" applyNumberFormat="1" applyFont="1" applyBorder="1" applyAlignment="1" applyProtection="1">
      <alignment vertical="top" wrapText="1"/>
      <protection locked="0"/>
    </xf>
    <xf numFmtId="3" fontId="11" fillId="0" borderId="2" xfId="2" applyNumberFormat="1" applyFont="1" applyBorder="1" applyAlignment="1">
      <alignment horizontal="center" vertical="top" wrapText="1"/>
    </xf>
    <xf numFmtId="3" fontId="11" fillId="0" borderId="2" xfId="2" applyNumberFormat="1" applyFont="1" applyBorder="1" applyAlignment="1" applyProtection="1">
      <alignment vertical="top" wrapText="1"/>
      <protection locked="0"/>
    </xf>
    <xf numFmtId="3" fontId="13" fillId="0" borderId="3" xfId="0" applyNumberFormat="1" applyFont="1" applyBorder="1" applyAlignment="1">
      <alignment horizontal="center" vertical="top" wrapText="1"/>
    </xf>
    <xf numFmtId="3" fontId="13" fillId="0" borderId="3" xfId="0" applyNumberFormat="1" applyFont="1" applyBorder="1" applyAlignment="1" applyProtection="1">
      <alignment vertical="top" wrapText="1"/>
      <protection locked="0"/>
    </xf>
    <xf numFmtId="3" fontId="12" fillId="0" borderId="2" xfId="2" applyNumberFormat="1" applyFont="1" applyBorder="1" applyAlignment="1">
      <alignment horizontal="left" vertical="top" wrapText="1" indent="2"/>
    </xf>
    <xf numFmtId="3" fontId="4" fillId="0" borderId="2" xfId="2" applyNumberFormat="1" applyFont="1" applyBorder="1" applyAlignment="1">
      <alignment horizontal="left" vertical="top" wrapText="1" indent="1"/>
    </xf>
    <xf numFmtId="165" fontId="14" fillId="0" borderId="0" xfId="2" applyNumberFormat="1" applyFont="1" applyProtection="1">
      <protection locked="0"/>
    </xf>
    <xf numFmtId="0" fontId="0" fillId="0" borderId="0" xfId="0" applyAlignment="1">
      <alignment horizontal="center"/>
    </xf>
    <xf numFmtId="0" fontId="6" fillId="2" borderId="1" xfId="3" applyNumberFormat="1" applyFont="1" applyFill="1" applyBorder="1" applyAlignment="1">
      <alignment horizontal="center" vertical="center" wrapText="1"/>
    </xf>
    <xf numFmtId="3" fontId="7" fillId="3" borderId="2" xfId="2" applyNumberFormat="1" applyFont="1" applyFill="1" applyBorder="1" applyAlignment="1">
      <alignment horizontal="left" vertical="top" wrapText="1"/>
    </xf>
    <xf numFmtId="166" fontId="6" fillId="2" borderId="1" xfId="3" applyNumberFormat="1" applyFont="1" applyFill="1" applyBorder="1" applyAlignment="1">
      <alignment horizontal="center" vertical="top" wrapText="1"/>
    </xf>
    <xf numFmtId="166" fontId="6" fillId="2" borderId="1" xfId="3" applyNumberFormat="1" applyFont="1" applyFill="1" applyBorder="1" applyAlignment="1">
      <alignment horizontal="center" vertical="center" wrapText="1"/>
    </xf>
    <xf numFmtId="0" fontId="8" fillId="0" borderId="4" xfId="4" applyNumberFormat="1" applyFont="1" applyFill="1" applyBorder="1" applyAlignment="1">
      <alignment horizontal="center" vertical="top" wrapText="1"/>
    </xf>
    <xf numFmtId="0" fontId="8" fillId="0" borderId="3" xfId="4" applyNumberFormat="1" applyFont="1" applyFill="1" applyBorder="1" applyAlignment="1">
      <alignment horizontal="center" vertical="top" wrapText="1"/>
    </xf>
    <xf numFmtId="164" fontId="8" fillId="0" borderId="4" xfId="4" applyNumberFormat="1" applyFont="1" applyFill="1" applyBorder="1" applyAlignment="1" applyProtection="1">
      <alignment horizontal="right" vertical="top" wrapText="1"/>
      <protection locked="0"/>
    </xf>
    <xf numFmtId="166" fontId="8" fillId="0" borderId="4" xfId="3" applyNumberFormat="1" applyFont="1" applyFill="1" applyBorder="1" applyAlignment="1" applyProtection="1">
      <alignment horizontal="right" vertical="top" wrapText="1"/>
      <protection locked="0"/>
    </xf>
    <xf numFmtId="166" fontId="8" fillId="0" borderId="3" xfId="3" applyNumberFormat="1" applyFont="1" applyFill="1" applyBorder="1" applyAlignment="1" applyProtection="1">
      <alignment horizontal="right" vertical="top" wrapText="1"/>
      <protection locked="0"/>
    </xf>
    <xf numFmtId="0" fontId="7" fillId="0" borderId="3" xfId="2" applyFont="1" applyBorder="1" applyAlignment="1" applyProtection="1">
      <alignment horizontal="center" vertical="top" wrapText="1"/>
      <protection locked="0"/>
    </xf>
    <xf numFmtId="3" fontId="7" fillId="0" borderId="3" xfId="2" applyNumberFormat="1" applyFont="1" applyBorder="1" applyAlignment="1" applyProtection="1">
      <alignment horizontal="center" vertical="top" wrapText="1"/>
      <protection locked="0"/>
    </xf>
    <xf numFmtId="0" fontId="11" fillId="0" borderId="3" xfId="2" applyFont="1" applyBorder="1" applyAlignment="1" applyProtection="1">
      <alignment horizontal="center" vertical="top" wrapText="1"/>
      <protection locked="0"/>
    </xf>
    <xf numFmtId="3" fontId="11" fillId="0" borderId="3" xfId="2" applyNumberFormat="1" applyFont="1" applyBorder="1" applyAlignment="1" applyProtection="1">
      <alignment horizontal="center" vertical="top" wrapText="1"/>
      <protection locked="0"/>
    </xf>
    <xf numFmtId="3" fontId="12" fillId="0" borderId="3" xfId="2" applyNumberFormat="1" applyFont="1" applyBorder="1" applyAlignment="1" applyProtection="1">
      <alignment vertical="top" wrapText="1"/>
      <protection locked="0"/>
    </xf>
    <xf numFmtId="3" fontId="12" fillId="0" borderId="3" xfId="0" applyNumberFormat="1" applyFont="1" applyBorder="1" applyAlignment="1" applyProtection="1">
      <alignment vertical="top" wrapText="1"/>
      <protection locked="0"/>
    </xf>
    <xf numFmtId="0" fontId="6" fillId="0" borderId="3" xfId="2" applyFont="1" applyBorder="1" applyAlignment="1" applyProtection="1">
      <alignment horizontal="center" vertical="top" wrapText="1"/>
      <protection locked="0"/>
    </xf>
    <xf numFmtId="3" fontId="6" fillId="0" borderId="3" xfId="2" applyNumberFormat="1" applyFont="1" applyBorder="1" applyAlignment="1" applyProtection="1">
      <alignment horizontal="center" vertical="top" wrapText="1"/>
      <protection locked="0"/>
    </xf>
    <xf numFmtId="3" fontId="6" fillId="0" borderId="3" xfId="0" applyNumberFormat="1" applyFont="1" applyBorder="1" applyAlignment="1" applyProtection="1">
      <alignment vertical="top" wrapText="1"/>
      <protection locked="0"/>
    </xf>
    <xf numFmtId="3" fontId="11" fillId="0" borderId="2" xfId="2" applyNumberFormat="1" applyFont="1" applyBorder="1" applyAlignment="1" applyProtection="1">
      <alignment horizontal="center" vertical="top" wrapText="1"/>
      <protection locked="0"/>
    </xf>
    <xf numFmtId="166" fontId="15" fillId="0" borderId="5" xfId="4" applyNumberFormat="1" applyFont="1" applyBorder="1" applyAlignment="1" applyProtection="1">
      <alignment horizontal="center" vertical="top" wrapText="1"/>
      <protection locked="0"/>
    </xf>
    <xf numFmtId="166" fontId="15" fillId="0" borderId="5" xfId="4" applyNumberFormat="1" applyFont="1" applyFill="1" applyBorder="1" applyAlignment="1" applyProtection="1">
      <alignment horizontal="center" vertical="top" wrapText="1"/>
      <protection locked="0"/>
    </xf>
    <xf numFmtId="0" fontId="13" fillId="0" borderId="3" xfId="0" applyFont="1" applyBorder="1" applyAlignment="1" applyProtection="1">
      <alignment horizontal="center" vertical="top" wrapText="1"/>
      <protection locked="0"/>
    </xf>
    <xf numFmtId="3" fontId="13" fillId="0" borderId="3" xfId="0" applyNumberFormat="1" applyFont="1" applyBorder="1" applyAlignment="1" applyProtection="1">
      <alignment horizontal="center" vertical="top" wrapText="1"/>
      <protection locked="0"/>
    </xf>
    <xf numFmtId="3" fontId="7" fillId="0" borderId="3" xfId="0" applyNumberFormat="1" applyFont="1" applyBorder="1" applyAlignment="1" applyProtection="1">
      <alignment vertical="top" wrapText="1"/>
      <protection locked="0"/>
    </xf>
    <xf numFmtId="0" fontId="16" fillId="0" borderId="3" xfId="2" applyFont="1" applyBorder="1" applyAlignment="1" applyProtection="1">
      <alignment horizontal="center" vertical="top" wrapText="1"/>
      <protection locked="0"/>
    </xf>
    <xf numFmtId="3" fontId="16" fillId="0" borderId="3" xfId="2" applyNumberFormat="1" applyFont="1" applyBorder="1" applyAlignment="1" applyProtection="1">
      <alignment vertical="top" wrapText="1"/>
      <protection locked="0"/>
    </xf>
    <xf numFmtId="3" fontId="16" fillId="0" borderId="3" xfId="0" applyNumberFormat="1" applyFont="1" applyBorder="1" applyAlignment="1" applyProtection="1">
      <alignment vertical="top" wrapText="1"/>
      <protection locked="0"/>
    </xf>
    <xf numFmtId="0" fontId="12" fillId="0" borderId="3" xfId="2" applyFont="1" applyBorder="1" applyAlignment="1" applyProtection="1">
      <alignment horizontal="center" vertical="top" wrapText="1"/>
      <protection locked="0"/>
    </xf>
    <xf numFmtId="3" fontId="2" fillId="0" borderId="0" xfId="2" applyNumberFormat="1" applyAlignment="1" applyProtection="1">
      <alignment vertical="top"/>
      <protection locked="0"/>
    </xf>
    <xf numFmtId="3" fontId="6" fillId="0" borderId="6" xfId="2" applyNumberFormat="1" applyFont="1" applyBorder="1" applyAlignment="1" applyProtection="1">
      <alignment vertical="top" wrapText="1"/>
      <protection locked="0"/>
    </xf>
    <xf numFmtId="3" fontId="17" fillId="0" borderId="6" xfId="0" applyNumberFormat="1" applyFont="1" applyBorder="1" applyAlignment="1" applyProtection="1">
      <alignment vertical="top" wrapText="1"/>
      <protection locked="0"/>
    </xf>
    <xf numFmtId="3" fontId="6" fillId="0" borderId="6" xfId="0" applyNumberFormat="1" applyFont="1" applyBorder="1" applyAlignment="1" applyProtection="1">
      <alignment vertical="top" wrapText="1"/>
      <protection locked="0"/>
    </xf>
    <xf numFmtId="166" fontId="15" fillId="0" borderId="7" xfId="4" applyNumberFormat="1" applyFont="1" applyFill="1" applyBorder="1" applyAlignment="1" applyProtection="1">
      <alignment horizontal="center" vertical="top" wrapText="1"/>
      <protection locked="0"/>
    </xf>
    <xf numFmtId="3" fontId="18" fillId="0" borderId="3" xfId="0" applyNumberFormat="1" applyFont="1" applyBorder="1" applyAlignment="1" applyProtection="1">
      <alignment vertical="top" wrapText="1"/>
      <protection locked="0"/>
    </xf>
    <xf numFmtId="3" fontId="18" fillId="0" borderId="6" xfId="0" applyNumberFormat="1" applyFont="1" applyBorder="1" applyAlignment="1" applyProtection="1">
      <alignment vertical="top" wrapText="1"/>
      <protection locked="0"/>
    </xf>
    <xf numFmtId="3" fontId="17" fillId="0" borderId="6" xfId="2" applyNumberFormat="1" applyFont="1" applyBorder="1" applyAlignment="1" applyProtection="1">
      <alignment vertical="top" wrapText="1"/>
      <protection locked="0"/>
    </xf>
    <xf numFmtId="3" fontId="19" fillId="0" borderId="6" xfId="0" applyNumberFormat="1" applyFont="1" applyBorder="1" applyAlignment="1" applyProtection="1">
      <alignment vertical="top" wrapText="1"/>
      <protection locked="0"/>
    </xf>
    <xf numFmtId="166" fontId="6" fillId="2" borderId="1" xfId="3" applyNumberFormat="1" applyFont="1" applyFill="1" applyBorder="1" applyAlignment="1" applyProtection="1">
      <alignment horizontal="center" vertical="center" wrapText="1"/>
    </xf>
    <xf numFmtId="0" fontId="8" fillId="0" borderId="4" xfId="4" applyNumberFormat="1" applyFont="1" applyFill="1" applyBorder="1" applyAlignment="1" applyProtection="1">
      <alignment horizontal="center" vertical="top" wrapText="1"/>
    </xf>
    <xf numFmtId="0" fontId="7" fillId="0" borderId="3" xfId="2" applyFont="1" applyBorder="1" applyAlignment="1">
      <alignment horizontal="center" vertical="top" wrapText="1"/>
    </xf>
    <xf numFmtId="0" fontId="11" fillId="0" borderId="3" xfId="2" applyFont="1" applyBorder="1" applyAlignment="1">
      <alignment horizontal="center" vertical="top" wrapText="1"/>
    </xf>
    <xf numFmtId="0" fontId="6" fillId="0" borderId="3" xfId="2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6" fillId="0" borderId="3" xfId="2" applyFont="1" applyBorder="1" applyAlignment="1">
      <alignment horizontal="center" vertical="top" wrapText="1"/>
    </xf>
    <xf numFmtId="0" fontId="12" fillId="0" borderId="3" xfId="2" applyFont="1" applyBorder="1" applyAlignment="1">
      <alignment horizontal="center" vertical="top" wrapText="1"/>
    </xf>
    <xf numFmtId="0" fontId="6" fillId="4" borderId="1" xfId="3" applyNumberFormat="1" applyFont="1" applyFill="1" applyBorder="1" applyAlignment="1" applyProtection="1">
      <alignment horizontal="center" vertical="center" wrapText="1"/>
    </xf>
    <xf numFmtId="3" fontId="10" fillId="0" borderId="8" xfId="2" applyNumberFormat="1" applyFont="1" applyBorder="1" applyAlignment="1">
      <alignment horizontal="center" vertical="top" wrapText="1"/>
    </xf>
    <xf numFmtId="3" fontId="10" fillId="0" borderId="9" xfId="2" applyNumberFormat="1" applyFont="1" applyBorder="1" applyAlignment="1">
      <alignment horizontal="left" vertical="top" wrapText="1" indent="1"/>
    </xf>
    <xf numFmtId="0" fontId="14" fillId="0" borderId="0" xfId="2" applyFont="1" applyProtection="1">
      <protection locked="0"/>
    </xf>
    <xf numFmtId="0" fontId="21" fillId="0" borderId="0" xfId="0" applyFont="1" applyAlignment="1">
      <alignment horizontal="center" vertical="center" wrapText="1"/>
    </xf>
    <xf numFmtId="3" fontId="10" fillId="0" borderId="8" xfId="0" applyNumberFormat="1" applyFont="1" applyBorder="1" applyAlignment="1">
      <alignment horizontal="center" vertical="top" wrapText="1"/>
    </xf>
    <xf numFmtId="0" fontId="14" fillId="0" borderId="0" xfId="0" applyFont="1" applyProtection="1">
      <protection locked="0"/>
    </xf>
    <xf numFmtId="165" fontId="14" fillId="0" borderId="0" xfId="0" applyNumberFormat="1" applyFont="1" applyProtection="1">
      <protection locked="0"/>
    </xf>
    <xf numFmtId="167" fontId="22" fillId="0" borderId="0" xfId="1" applyNumberFormat="1" applyFont="1" applyBorder="1"/>
    <xf numFmtId="9" fontId="22" fillId="0" borderId="0" xfId="0" applyNumberFormat="1" applyFont="1"/>
    <xf numFmtId="0" fontId="10" fillId="0" borderId="8" xfId="2" applyFont="1" applyBorder="1" applyAlignment="1">
      <alignment horizontal="center" vertical="top" wrapText="1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9" fontId="22" fillId="0" borderId="0" xfId="1" applyFont="1" applyBorder="1"/>
    <xf numFmtId="0" fontId="23" fillId="0" borderId="0" xfId="0" applyFont="1"/>
    <xf numFmtId="167" fontId="24" fillId="0" borderId="0" xfId="1" applyNumberFormat="1" applyFont="1" applyAlignment="1">
      <alignment horizontal="center" shrinkToFit="1"/>
    </xf>
    <xf numFmtId="0" fontId="23" fillId="0" borderId="0" xfId="0" applyFont="1" applyAlignment="1">
      <alignment shrinkToFit="1"/>
    </xf>
    <xf numFmtId="0" fontId="23" fillId="0" borderId="0" xfId="0" applyFont="1" applyAlignment="1">
      <alignment horizontal="center" shrinkToFit="1"/>
    </xf>
    <xf numFmtId="3" fontId="25" fillId="0" borderId="0" xfId="0" applyNumberFormat="1" applyFont="1" applyAlignment="1">
      <alignment horizontal="center" vertical="center"/>
    </xf>
    <xf numFmtId="9" fontId="26" fillId="0" borderId="0" xfId="1" applyFont="1" applyAlignment="1">
      <alignment horizontal="center" vertical="center" shrinkToFit="1"/>
    </xf>
    <xf numFmtId="9" fontId="26" fillId="0" borderId="0" xfId="1" applyFont="1" applyFill="1" applyBorder="1" applyAlignment="1">
      <alignment horizontal="center" vertical="center" shrinkToFit="1"/>
    </xf>
    <xf numFmtId="3" fontId="26" fillId="0" borderId="0" xfId="1" applyNumberFormat="1" applyFont="1" applyAlignment="1">
      <alignment horizontal="center" vertical="center" shrinkToFit="1"/>
    </xf>
    <xf numFmtId="0" fontId="27" fillId="0" borderId="0" xfId="0" applyFont="1" applyAlignment="1">
      <alignment horizontal="centerContinuous" vertical="center" shrinkToFit="1"/>
    </xf>
    <xf numFmtId="0" fontId="26" fillId="0" borderId="0" xfId="0" applyFont="1" applyAlignment="1">
      <alignment horizontal="centerContinuous" vertical="center" shrinkToFit="1"/>
    </xf>
    <xf numFmtId="0" fontId="28" fillId="5" borderId="10" xfId="0" applyFont="1" applyFill="1" applyBorder="1" applyAlignment="1">
      <alignment horizontal="left" vertical="center"/>
    </xf>
    <xf numFmtId="0" fontId="29" fillId="5" borderId="11" xfId="0" applyFont="1" applyFill="1" applyBorder="1"/>
    <xf numFmtId="0" fontId="30" fillId="5" borderId="11" xfId="0" applyFont="1" applyFill="1" applyBorder="1"/>
    <xf numFmtId="0" fontId="29" fillId="5" borderId="12" xfId="0" applyFont="1" applyFill="1" applyBorder="1"/>
    <xf numFmtId="0" fontId="26" fillId="6" borderId="13" xfId="0" applyFont="1" applyFill="1" applyBorder="1" applyAlignment="1">
      <alignment horizontal="center" vertical="center"/>
    </xf>
    <xf numFmtId="0" fontId="26" fillId="6" borderId="13" xfId="6" applyFont="1" applyFill="1" applyBorder="1" applyAlignment="1">
      <alignment horizontal="center" vertical="center"/>
    </xf>
    <xf numFmtId="0" fontId="26" fillId="6" borderId="13" xfId="6" applyFont="1" applyFill="1" applyBorder="1" applyAlignment="1">
      <alignment horizontal="center" vertical="center" shrinkToFit="1"/>
    </xf>
    <xf numFmtId="0" fontId="31" fillId="7" borderId="13" xfId="6" applyFont="1" applyFill="1" applyBorder="1" applyAlignment="1">
      <alignment horizontal="center" vertical="center" shrinkToFit="1"/>
    </xf>
    <xf numFmtId="0" fontId="32" fillId="7" borderId="13" xfId="0" applyFont="1" applyFill="1" applyBorder="1" applyAlignment="1">
      <alignment horizontal="center" vertical="center" shrinkToFit="1"/>
    </xf>
    <xf numFmtId="0" fontId="33" fillId="7" borderId="13" xfId="0" applyFont="1" applyFill="1" applyBorder="1" applyAlignment="1">
      <alignment horizontal="center" vertical="center" shrinkToFit="1"/>
    </xf>
    <xf numFmtId="0" fontId="30" fillId="5" borderId="13" xfId="0" applyFont="1" applyFill="1" applyBorder="1" applyAlignment="1">
      <alignment horizontal="center" vertical="center" shrinkToFit="1"/>
    </xf>
    <xf numFmtId="0" fontId="30" fillId="0" borderId="14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center" vertical="center" shrinkToFit="1"/>
    </xf>
    <xf numFmtId="166" fontId="23" fillId="0" borderId="0" xfId="0" applyNumberFormat="1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166" fontId="30" fillId="5" borderId="10" xfId="5" applyNumberFormat="1" applyFont="1" applyFill="1" applyBorder="1" applyAlignment="1">
      <alignment vertical="center"/>
    </xf>
    <xf numFmtId="166" fontId="30" fillId="5" borderId="11" xfId="5" applyNumberFormat="1" applyFont="1" applyFill="1" applyBorder="1" applyAlignment="1"/>
    <xf numFmtId="166" fontId="30" fillId="5" borderId="12" xfId="5" applyNumberFormat="1" applyFont="1" applyFill="1" applyBorder="1" applyAlignment="1"/>
    <xf numFmtId="0" fontId="31" fillId="8" borderId="13" xfId="0" applyFont="1" applyFill="1" applyBorder="1" applyAlignment="1">
      <alignment horizontal="center" vertical="center"/>
    </xf>
    <xf numFmtId="0" fontId="31" fillId="8" borderId="13" xfId="6" applyFont="1" applyFill="1" applyBorder="1" applyAlignment="1">
      <alignment horizontal="center" vertical="center"/>
    </xf>
    <xf numFmtId="0" fontId="30" fillId="0" borderId="0" xfId="6" applyFont="1" applyAlignment="1">
      <alignment horizontal="right"/>
    </xf>
    <xf numFmtId="166" fontId="27" fillId="0" borderId="15" xfId="5" applyNumberFormat="1" applyFont="1" applyFill="1" applyBorder="1" applyAlignment="1">
      <alignment horizontal="left" vertical="center"/>
    </xf>
    <xf numFmtId="166" fontId="27" fillId="0" borderId="0" xfId="5" applyNumberFormat="1" applyFont="1" applyFill="1" applyBorder="1" applyAlignment="1">
      <alignment vertical="center"/>
    </xf>
    <xf numFmtId="166" fontId="27" fillId="0" borderId="16" xfId="5" applyNumberFormat="1" applyFont="1" applyFill="1" applyBorder="1" applyAlignment="1">
      <alignment vertical="center"/>
    </xf>
    <xf numFmtId="166" fontId="27" fillId="0" borderId="14" xfId="5" applyNumberFormat="1" applyFont="1" applyFill="1" applyBorder="1" applyAlignment="1">
      <alignment horizontal="right" vertical="center"/>
    </xf>
    <xf numFmtId="166" fontId="27" fillId="0" borderId="14" xfId="5" applyNumberFormat="1" applyFont="1" applyFill="1" applyBorder="1" applyAlignment="1">
      <alignment horizontal="right" vertical="center" shrinkToFit="1"/>
    </xf>
    <xf numFmtId="168" fontId="27" fillId="0" borderId="14" xfId="5" applyNumberFormat="1" applyFont="1" applyFill="1" applyBorder="1" applyAlignment="1">
      <alignment horizontal="right" vertical="center" shrinkToFit="1"/>
    </xf>
    <xf numFmtId="166" fontId="31" fillId="0" borderId="0" xfId="5" applyNumberFormat="1" applyFont="1" applyFill="1" applyBorder="1" applyAlignment="1">
      <alignment horizontal="right" vertical="center"/>
    </xf>
    <xf numFmtId="166" fontId="34" fillId="0" borderId="0" xfId="5" applyNumberFormat="1" applyFont="1"/>
    <xf numFmtId="0" fontId="34" fillId="0" borderId="0" xfId="0" applyFont="1"/>
    <xf numFmtId="166" fontId="31" fillId="0" borderId="15" xfId="5" applyNumberFormat="1" applyFont="1" applyFill="1" applyBorder="1" applyAlignment="1">
      <alignment horizontal="left" vertical="center"/>
    </xf>
    <xf numFmtId="167" fontId="35" fillId="0" borderId="16" xfId="1" applyNumberFormat="1" applyFont="1" applyFill="1" applyBorder="1" applyAlignment="1">
      <alignment horizontal="left" vertical="center"/>
    </xf>
    <xf numFmtId="166" fontId="31" fillId="0" borderId="0" xfId="5" applyNumberFormat="1" applyFont="1" applyFill="1" applyBorder="1" applyAlignment="1">
      <alignment vertical="center"/>
    </xf>
    <xf numFmtId="167" fontId="35" fillId="0" borderId="16" xfId="1" applyNumberFormat="1" applyFont="1" applyFill="1" applyBorder="1" applyAlignment="1">
      <alignment horizontal="right" vertical="center"/>
    </xf>
    <xf numFmtId="167" fontId="35" fillId="0" borderId="14" xfId="1" applyNumberFormat="1" applyFont="1" applyFill="1" applyBorder="1" applyAlignment="1">
      <alignment horizontal="right" vertical="center"/>
    </xf>
    <xf numFmtId="167" fontId="35" fillId="0" borderId="14" xfId="1" applyNumberFormat="1" applyFont="1" applyFill="1" applyBorder="1" applyAlignment="1">
      <alignment horizontal="right" vertical="center" shrinkToFit="1"/>
    </xf>
    <xf numFmtId="166" fontId="27" fillId="0" borderId="17" xfId="5" applyNumberFormat="1" applyFont="1" applyFill="1" applyBorder="1" applyAlignment="1">
      <alignment horizontal="left" vertical="center"/>
    </xf>
    <xf numFmtId="166" fontId="27" fillId="0" borderId="18" xfId="5" applyNumberFormat="1" applyFont="1" applyFill="1" applyBorder="1" applyAlignment="1">
      <alignment vertical="center"/>
    </xf>
    <xf numFmtId="166" fontId="27" fillId="0" borderId="19" xfId="5" applyNumberFormat="1" applyFont="1" applyFill="1" applyBorder="1" applyAlignment="1">
      <alignment vertical="center"/>
    </xf>
    <xf numFmtId="166" fontId="27" fillId="0" borderId="20" xfId="5" applyNumberFormat="1" applyFont="1" applyFill="1" applyBorder="1" applyAlignment="1">
      <alignment horizontal="right" vertical="center"/>
    </xf>
    <xf numFmtId="166" fontId="27" fillId="0" borderId="20" xfId="5" applyNumberFormat="1" applyFont="1" applyFill="1" applyBorder="1" applyAlignment="1">
      <alignment horizontal="right" vertical="center" shrinkToFit="1"/>
    </xf>
    <xf numFmtId="169" fontId="27" fillId="0" borderId="20" xfId="5" applyNumberFormat="1" applyFont="1" applyFill="1" applyBorder="1" applyAlignment="1">
      <alignment horizontal="right" vertical="center" shrinkToFit="1"/>
    </xf>
    <xf numFmtId="169" fontId="27" fillId="0" borderId="14" xfId="5" applyNumberFormat="1" applyFont="1" applyFill="1" applyBorder="1" applyAlignment="1">
      <alignment horizontal="right" vertical="center" shrinkToFit="1"/>
    </xf>
    <xf numFmtId="166" fontId="36" fillId="0" borderId="0" xfId="5" applyNumberFormat="1" applyFont="1" applyFill="1" applyBorder="1" applyAlignment="1">
      <alignment horizontal="right" vertical="center"/>
    </xf>
    <xf numFmtId="170" fontId="37" fillId="0" borderId="0" xfId="0" applyNumberFormat="1" applyFont="1"/>
    <xf numFmtId="0" fontId="37" fillId="0" borderId="0" xfId="0" applyFont="1"/>
    <xf numFmtId="167" fontId="35" fillId="0" borderId="15" xfId="1" applyNumberFormat="1" applyFont="1" applyFill="1" applyBorder="1" applyAlignment="1">
      <alignment horizontal="left" vertical="center"/>
    </xf>
    <xf numFmtId="167" fontId="35" fillId="0" borderId="0" xfId="1" applyNumberFormat="1" applyFont="1" applyFill="1" applyBorder="1" applyAlignment="1">
      <alignment vertical="center"/>
    </xf>
    <xf numFmtId="167" fontId="35" fillId="0" borderId="0" xfId="1" applyNumberFormat="1" applyFont="1" applyFill="1" applyBorder="1" applyAlignment="1">
      <alignment horizontal="right" vertical="center"/>
    </xf>
    <xf numFmtId="167" fontId="38" fillId="0" borderId="0" xfId="1" applyNumberFormat="1" applyFont="1" applyAlignment="1">
      <alignment horizontal="right" shrinkToFit="1"/>
    </xf>
    <xf numFmtId="167" fontId="39" fillId="0" borderId="15" xfId="1" applyNumberFormat="1" applyFont="1" applyFill="1" applyBorder="1" applyAlignment="1">
      <alignment horizontal="left" vertical="center"/>
    </xf>
    <xf numFmtId="167" fontId="39" fillId="0" borderId="16" xfId="1" applyNumberFormat="1" applyFont="1" applyFill="1" applyBorder="1" applyAlignment="1">
      <alignment horizontal="left" vertical="center"/>
    </xf>
    <xf numFmtId="167" fontId="39" fillId="0" borderId="0" xfId="1" applyNumberFormat="1" applyFont="1" applyFill="1" applyBorder="1" applyAlignment="1">
      <alignment vertical="center"/>
    </xf>
    <xf numFmtId="167" fontId="39" fillId="0" borderId="16" xfId="1" applyNumberFormat="1" applyFont="1" applyFill="1" applyBorder="1" applyAlignment="1">
      <alignment horizontal="right" vertical="center"/>
    </xf>
    <xf numFmtId="167" fontId="39" fillId="0" borderId="14" xfId="1" applyNumberFormat="1" applyFont="1" applyFill="1" applyBorder="1" applyAlignment="1">
      <alignment horizontal="right" vertical="center"/>
    </xf>
    <xf numFmtId="4" fontId="39" fillId="0" borderId="14" xfId="1" applyNumberFormat="1" applyFont="1" applyFill="1" applyBorder="1" applyAlignment="1">
      <alignment horizontal="right" vertical="center" shrinkToFit="1"/>
    </xf>
    <xf numFmtId="3" fontId="39" fillId="0" borderId="14" xfId="1" applyNumberFormat="1" applyFont="1" applyFill="1" applyBorder="1" applyAlignment="1">
      <alignment horizontal="right" vertical="center" shrinkToFit="1"/>
    </xf>
    <xf numFmtId="167" fontId="39" fillId="0" borderId="0" xfId="1" applyNumberFormat="1" applyFont="1" applyFill="1" applyBorder="1" applyAlignment="1">
      <alignment horizontal="right" vertical="center"/>
    </xf>
    <xf numFmtId="0" fontId="40" fillId="0" borderId="0" xfId="0" applyFont="1"/>
    <xf numFmtId="166" fontId="26" fillId="0" borderId="15" xfId="5" applyNumberFormat="1" applyFont="1" applyFill="1" applyBorder="1" applyAlignment="1">
      <alignment horizontal="left" vertical="center"/>
    </xf>
    <xf numFmtId="167" fontId="41" fillId="0" borderId="0" xfId="1" applyNumberFormat="1" applyFont="1" applyFill="1" applyBorder="1" applyAlignment="1">
      <alignment vertical="center"/>
    </xf>
    <xf numFmtId="167" fontId="41" fillId="0" borderId="16" xfId="1" applyNumberFormat="1" applyFont="1" applyFill="1" applyBorder="1" applyAlignment="1">
      <alignment vertical="center"/>
    </xf>
    <xf numFmtId="166" fontId="26" fillId="0" borderId="14" xfId="5" applyNumberFormat="1" applyFont="1" applyFill="1" applyBorder="1" applyAlignment="1">
      <alignment horizontal="right" vertical="center"/>
    </xf>
    <xf numFmtId="166" fontId="42" fillId="0" borderId="14" xfId="5" applyNumberFormat="1" applyFont="1" applyFill="1" applyBorder="1" applyAlignment="1">
      <alignment horizontal="right" vertical="center" shrinkToFit="1"/>
    </xf>
    <xf numFmtId="169" fontId="42" fillId="0" borderId="14" xfId="5" applyNumberFormat="1" applyFont="1" applyFill="1" applyBorder="1" applyAlignment="1">
      <alignment horizontal="right" vertical="center" shrinkToFit="1"/>
    </xf>
    <xf numFmtId="166" fontId="26" fillId="0" borderId="14" xfId="5" applyNumberFormat="1" applyFont="1" applyFill="1" applyBorder="1" applyAlignment="1">
      <alignment horizontal="right" vertical="center" shrinkToFit="1"/>
    </xf>
    <xf numFmtId="166" fontId="26" fillId="0" borderId="0" xfId="5" applyNumberFormat="1" applyFont="1" applyFill="1" applyBorder="1" applyAlignment="1">
      <alignment horizontal="right" vertical="center"/>
    </xf>
    <xf numFmtId="167" fontId="43" fillId="0" borderId="15" xfId="1" applyNumberFormat="1" applyFont="1" applyFill="1" applyBorder="1" applyAlignment="1">
      <alignment horizontal="left" vertical="center"/>
    </xf>
    <xf numFmtId="167" fontId="43" fillId="0" borderId="0" xfId="1" applyNumberFormat="1" applyFont="1" applyFill="1" applyBorder="1" applyAlignment="1">
      <alignment horizontal="left" vertical="center"/>
    </xf>
    <xf numFmtId="167" fontId="43" fillId="0" borderId="0" xfId="1" applyNumberFormat="1" applyFont="1" applyFill="1" applyBorder="1" applyAlignment="1">
      <alignment vertical="center"/>
    </xf>
    <xf numFmtId="167" fontId="43" fillId="0" borderId="16" xfId="1" applyNumberFormat="1" applyFont="1" applyFill="1" applyBorder="1" applyAlignment="1">
      <alignment horizontal="right" vertical="center"/>
    </xf>
    <xf numFmtId="167" fontId="43" fillId="0" borderId="14" xfId="1" applyNumberFormat="1" applyFont="1" applyFill="1" applyBorder="1" applyAlignment="1">
      <alignment horizontal="right" vertical="center"/>
    </xf>
    <xf numFmtId="167" fontId="43" fillId="0" borderId="14" xfId="1" applyNumberFormat="1" applyFont="1" applyFill="1" applyBorder="1" applyAlignment="1">
      <alignment horizontal="right" vertical="center" shrinkToFit="1"/>
    </xf>
    <xf numFmtId="167" fontId="43" fillId="0" borderId="0" xfId="1" applyNumberFormat="1" applyFont="1" applyFill="1" applyBorder="1" applyAlignment="1">
      <alignment horizontal="right" vertical="center"/>
    </xf>
    <xf numFmtId="0" fontId="44" fillId="0" borderId="0" xfId="0" applyFont="1"/>
    <xf numFmtId="166" fontId="31" fillId="0" borderId="10" xfId="5" applyNumberFormat="1" applyFont="1" applyFill="1" applyBorder="1" applyAlignment="1">
      <alignment vertical="center"/>
    </xf>
    <xf numFmtId="166" fontId="31" fillId="0" borderId="11" xfId="5" applyNumberFormat="1" applyFont="1" applyFill="1" applyBorder="1" applyAlignment="1">
      <alignment vertical="center"/>
    </xf>
    <xf numFmtId="167" fontId="35" fillId="0" borderId="11" xfId="1" applyNumberFormat="1" applyFont="1" applyFill="1" applyBorder="1" applyAlignment="1">
      <alignment vertical="center"/>
    </xf>
    <xf numFmtId="167" fontId="35" fillId="0" borderId="12" xfId="1" applyNumberFormat="1" applyFont="1" applyFill="1" applyBorder="1" applyAlignment="1">
      <alignment vertical="center"/>
    </xf>
    <xf numFmtId="166" fontId="31" fillId="0" borderId="13" xfId="5" applyNumberFormat="1" applyFont="1" applyFill="1" applyBorder="1" applyAlignment="1">
      <alignment horizontal="right" vertical="center" shrinkToFit="1"/>
    </xf>
    <xf numFmtId="169" fontId="31" fillId="0" borderId="13" xfId="5" applyNumberFormat="1" applyFont="1" applyFill="1" applyBorder="1" applyAlignment="1">
      <alignment horizontal="right" vertical="center" shrinkToFit="1"/>
    </xf>
    <xf numFmtId="169" fontId="31" fillId="0" borderId="14" xfId="5" applyNumberFormat="1" applyFont="1" applyFill="1" applyBorder="1" applyAlignment="1">
      <alignment horizontal="right" vertical="center" shrinkToFit="1"/>
    </xf>
    <xf numFmtId="166" fontId="31" fillId="0" borderId="14" xfId="5" applyNumberFormat="1" applyFont="1" applyFill="1" applyBorder="1" applyAlignment="1">
      <alignment horizontal="right" vertical="center" shrinkToFit="1"/>
    </xf>
    <xf numFmtId="166" fontId="31" fillId="0" borderId="15" xfId="5" applyNumberFormat="1" applyFont="1" applyFill="1" applyBorder="1" applyAlignment="1">
      <alignment vertical="center"/>
    </xf>
    <xf numFmtId="167" fontId="34" fillId="0" borderId="16" xfId="1" applyNumberFormat="1" applyFont="1" applyFill="1" applyBorder="1" applyAlignment="1">
      <alignment vertical="center"/>
    </xf>
    <xf numFmtId="167" fontId="34" fillId="0" borderId="0" xfId="1" applyNumberFormat="1" applyFont="1" applyFill="1" applyBorder="1" applyAlignment="1">
      <alignment vertical="center"/>
    </xf>
    <xf numFmtId="166" fontId="31" fillId="0" borderId="14" xfId="5" applyNumberFormat="1" applyFont="1" applyFill="1" applyBorder="1" applyAlignment="1">
      <alignment horizontal="right" vertical="center"/>
    </xf>
    <xf numFmtId="166" fontId="34" fillId="0" borderId="14" xfId="5" applyNumberFormat="1" applyFont="1" applyFill="1" applyBorder="1" applyAlignment="1">
      <alignment horizontal="right" vertical="center"/>
    </xf>
    <xf numFmtId="166" fontId="34" fillId="0" borderId="14" xfId="5" applyNumberFormat="1" applyFont="1" applyFill="1" applyBorder="1" applyAlignment="1">
      <alignment horizontal="right" vertical="center" shrinkToFit="1"/>
    </xf>
    <xf numFmtId="169" fontId="34" fillId="0" borderId="14" xfId="5" applyNumberFormat="1" applyFont="1" applyFill="1" applyBorder="1" applyAlignment="1">
      <alignment horizontal="right" vertical="center" shrinkToFit="1"/>
    </xf>
    <xf numFmtId="167" fontId="34" fillId="0" borderId="0" xfId="1" applyNumberFormat="1" applyFont="1" applyFill="1" applyBorder="1" applyAlignment="1">
      <alignment horizontal="right" vertical="center"/>
    </xf>
    <xf numFmtId="166" fontId="45" fillId="0" borderId="15" xfId="5" applyNumberFormat="1" applyFont="1" applyFill="1" applyBorder="1" applyAlignment="1">
      <alignment vertical="center"/>
    </xf>
    <xf numFmtId="167" fontId="35" fillId="0" borderId="16" xfId="1" applyNumberFormat="1" applyFont="1" applyFill="1" applyBorder="1" applyAlignment="1">
      <alignment vertical="center"/>
    </xf>
    <xf numFmtId="166" fontId="45" fillId="0" borderId="14" xfId="5" applyNumberFormat="1" applyFont="1" applyFill="1" applyBorder="1" applyAlignment="1">
      <alignment horizontal="right" vertical="center"/>
    </xf>
    <xf numFmtId="166" fontId="35" fillId="0" borderId="14" xfId="5" applyNumberFormat="1" applyFont="1" applyFill="1" applyBorder="1" applyAlignment="1">
      <alignment horizontal="right" vertical="center" shrinkToFit="1"/>
    </xf>
    <xf numFmtId="169" fontId="35" fillId="0" borderId="14" xfId="5" applyNumberFormat="1" applyFont="1" applyFill="1" applyBorder="1" applyAlignment="1">
      <alignment horizontal="right" vertical="center" shrinkToFit="1"/>
    </xf>
    <xf numFmtId="0" fontId="35" fillId="0" borderId="0" xfId="0" applyFont="1"/>
    <xf numFmtId="171" fontId="43" fillId="0" borderId="0" xfId="1" applyNumberFormat="1" applyFont="1" applyFill="1" applyBorder="1" applyAlignment="1">
      <alignment horizontal="right" vertical="center"/>
    </xf>
    <xf numFmtId="166" fontId="44" fillId="0" borderId="0" xfId="0" applyNumberFormat="1" applyFont="1"/>
    <xf numFmtId="167" fontId="46" fillId="0" borderId="15" xfId="1" applyNumberFormat="1" applyFont="1" applyFill="1" applyBorder="1" applyAlignment="1">
      <alignment horizontal="left" vertical="center"/>
    </xf>
    <xf numFmtId="0" fontId="25" fillId="0" borderId="0" xfId="0" applyFont="1"/>
    <xf numFmtId="167" fontId="46" fillId="0" borderId="0" xfId="1" applyNumberFormat="1" applyFont="1" applyFill="1" applyBorder="1" applyAlignment="1">
      <alignment vertical="center"/>
    </xf>
    <xf numFmtId="167" fontId="46" fillId="0" borderId="14" xfId="1" applyNumberFormat="1" applyFont="1" applyFill="1" applyBorder="1" applyAlignment="1">
      <alignment horizontal="right" vertical="center"/>
    </xf>
    <xf numFmtId="167" fontId="46" fillId="0" borderId="0" xfId="1" applyNumberFormat="1" applyFont="1" applyFill="1" applyBorder="1" applyAlignment="1">
      <alignment horizontal="right" vertical="center"/>
    </xf>
    <xf numFmtId="166" fontId="26" fillId="0" borderId="10" xfId="5" applyNumberFormat="1" applyFont="1" applyFill="1" applyBorder="1" applyAlignment="1">
      <alignment vertical="center"/>
    </xf>
    <xf numFmtId="166" fontId="26" fillId="0" borderId="11" xfId="5" applyNumberFormat="1" applyFont="1" applyFill="1" applyBorder="1" applyAlignment="1">
      <alignment vertical="center"/>
    </xf>
    <xf numFmtId="167" fontId="41" fillId="0" borderId="11" xfId="1" applyNumberFormat="1" applyFont="1" applyFill="1" applyBorder="1" applyAlignment="1">
      <alignment vertical="center"/>
    </xf>
    <xf numFmtId="167" fontId="41" fillId="0" borderId="12" xfId="1" applyNumberFormat="1" applyFont="1" applyFill="1" applyBorder="1" applyAlignment="1">
      <alignment vertical="center"/>
    </xf>
    <xf numFmtId="166" fontId="26" fillId="0" borderId="13" xfId="5" applyNumberFormat="1" applyFont="1" applyFill="1" applyBorder="1" applyAlignment="1">
      <alignment horizontal="right" vertical="center" shrinkToFit="1"/>
    </xf>
    <xf numFmtId="169" fontId="26" fillId="0" borderId="13" xfId="5" applyNumberFormat="1" applyFont="1" applyFill="1" applyBorder="1" applyAlignment="1">
      <alignment horizontal="right" vertical="center" shrinkToFit="1"/>
    </xf>
    <xf numFmtId="169" fontId="26" fillId="0" borderId="14" xfId="5" applyNumberFormat="1" applyFont="1" applyFill="1" applyBorder="1" applyAlignment="1">
      <alignment horizontal="right" vertical="center" shrinkToFit="1"/>
    </xf>
    <xf numFmtId="167" fontId="41" fillId="0" borderId="0" xfId="1" applyNumberFormat="1" applyFont="1" applyFill="1" applyBorder="1" applyAlignment="1">
      <alignment horizontal="right" vertical="center"/>
    </xf>
    <xf numFmtId="167" fontId="47" fillId="0" borderId="15" xfId="1" applyNumberFormat="1" applyFont="1" applyFill="1" applyBorder="1" applyAlignment="1">
      <alignment horizontal="left" vertical="center"/>
    </xf>
    <xf numFmtId="167" fontId="31" fillId="0" borderId="0" xfId="1" applyNumberFormat="1" applyFont="1" applyFill="1" applyBorder="1" applyAlignment="1">
      <alignment vertical="center"/>
    </xf>
    <xf numFmtId="167" fontId="48" fillId="0" borderId="0" xfId="1" applyNumberFormat="1" applyFont="1" applyFill="1" applyBorder="1" applyAlignment="1">
      <alignment vertical="center"/>
    </xf>
    <xf numFmtId="167" fontId="45" fillId="0" borderId="16" xfId="1" applyNumberFormat="1" applyFont="1" applyFill="1" applyBorder="1" applyAlignment="1">
      <alignment vertical="center"/>
    </xf>
    <xf numFmtId="167" fontId="48" fillId="0" borderId="0" xfId="1" applyNumberFormat="1" applyFont="1" applyFill="1" applyBorder="1" applyAlignment="1">
      <alignment horizontal="right" vertical="center"/>
    </xf>
    <xf numFmtId="9" fontId="26" fillId="0" borderId="0" xfId="1" applyFont="1"/>
    <xf numFmtId="0" fontId="26" fillId="0" borderId="0" xfId="0" applyFont="1"/>
    <xf numFmtId="167" fontId="41" fillId="0" borderId="15" xfId="1" applyNumberFormat="1" applyFont="1" applyFill="1" applyBorder="1" applyAlignment="1">
      <alignment horizontal="left" vertical="center"/>
    </xf>
    <xf numFmtId="166" fontId="26" fillId="0" borderId="0" xfId="5" applyNumberFormat="1" applyFont="1" applyFill="1" applyBorder="1" applyAlignment="1">
      <alignment vertical="center"/>
    </xf>
    <xf numFmtId="167" fontId="41" fillId="0" borderId="0" xfId="1" applyNumberFormat="1" applyFont="1" applyFill="1" applyBorder="1" applyAlignment="1">
      <alignment horizontal="left" vertical="center"/>
    </xf>
    <xf numFmtId="167" fontId="41" fillId="0" borderId="16" xfId="1" applyNumberFormat="1" applyFont="1" applyFill="1" applyBorder="1" applyAlignment="1">
      <alignment horizontal="right" vertical="center"/>
    </xf>
    <xf numFmtId="167" fontId="41" fillId="0" borderId="14" xfId="1" applyNumberFormat="1" applyFont="1" applyFill="1" applyBorder="1" applyAlignment="1">
      <alignment horizontal="right" vertical="center"/>
    </xf>
    <xf numFmtId="167" fontId="41" fillId="0" borderId="14" xfId="1" applyNumberFormat="1" applyFont="1" applyFill="1" applyBorder="1" applyAlignment="1">
      <alignment horizontal="right" vertical="center" shrinkToFit="1"/>
    </xf>
    <xf numFmtId="167" fontId="23" fillId="0" borderId="14" xfId="5" applyNumberFormat="1" applyFont="1" applyFill="1" applyBorder="1" applyAlignment="1">
      <alignment horizontal="right" vertical="center" shrinkToFit="1"/>
    </xf>
    <xf numFmtId="3" fontId="26" fillId="0" borderId="0" xfId="0" applyNumberFormat="1" applyFont="1"/>
    <xf numFmtId="167" fontId="49" fillId="0" borderId="15" xfId="1" applyNumberFormat="1" applyFont="1" applyFill="1" applyBorder="1" applyAlignment="1">
      <alignment horizontal="left" vertical="center"/>
    </xf>
    <xf numFmtId="167" fontId="49" fillId="0" borderId="0" xfId="1" applyNumberFormat="1" applyFont="1" applyFill="1" applyBorder="1" applyAlignment="1">
      <alignment vertical="center"/>
    </xf>
    <xf numFmtId="167" fontId="49" fillId="0" borderId="16" xfId="1" applyNumberFormat="1" applyFont="1" applyFill="1" applyBorder="1" applyAlignment="1">
      <alignment horizontal="right" vertical="center"/>
    </xf>
    <xf numFmtId="167" fontId="49" fillId="0" borderId="0" xfId="1" applyNumberFormat="1" applyFont="1" applyFill="1" applyBorder="1" applyAlignment="1">
      <alignment horizontal="right" vertical="center"/>
    </xf>
    <xf numFmtId="0" fontId="27" fillId="0" borderId="0" xfId="0" applyFont="1"/>
    <xf numFmtId="167" fontId="48" fillId="0" borderId="15" xfId="1" applyNumberFormat="1" applyFont="1" applyFill="1" applyBorder="1" applyAlignment="1">
      <alignment horizontal="left" vertical="center"/>
    </xf>
    <xf numFmtId="4" fontId="39" fillId="0" borderId="14" xfId="1" applyNumberFormat="1" applyFont="1" applyFill="1" applyBorder="1" applyAlignment="1">
      <alignment horizontal="right" vertical="center"/>
    </xf>
    <xf numFmtId="0" fontId="32" fillId="0" borderId="0" xfId="0" applyFont="1"/>
    <xf numFmtId="166" fontId="23" fillId="0" borderId="15" xfId="5" applyNumberFormat="1" applyFont="1" applyFill="1" applyBorder="1" applyAlignment="1">
      <alignment vertical="center"/>
    </xf>
    <xf numFmtId="166" fontId="23" fillId="0" borderId="0" xfId="5" applyNumberFormat="1" applyFont="1" applyFill="1" applyBorder="1" applyAlignment="1">
      <alignment vertical="center"/>
    </xf>
    <xf numFmtId="166" fontId="23" fillId="0" borderId="14" xfId="5" applyNumberFormat="1" applyFont="1" applyFill="1" applyBorder="1" applyAlignment="1">
      <alignment horizontal="right" vertical="center"/>
    </xf>
    <xf numFmtId="166" fontId="23" fillId="0" borderId="14" xfId="5" applyNumberFormat="1" applyFont="1" applyFill="1" applyBorder="1" applyAlignment="1">
      <alignment horizontal="right" vertical="center" shrinkToFit="1"/>
    </xf>
    <xf numFmtId="170" fontId="23" fillId="0" borderId="0" xfId="0" applyNumberFormat="1" applyFont="1"/>
    <xf numFmtId="167" fontId="35" fillId="0" borderId="15" xfId="1" applyNumberFormat="1" applyFont="1" applyFill="1" applyBorder="1" applyAlignment="1">
      <alignment vertical="center"/>
    </xf>
    <xf numFmtId="167" fontId="35" fillId="0" borderId="0" xfId="1" applyNumberFormat="1" applyFont="1" applyFill="1" applyBorder="1" applyAlignment="1">
      <alignment horizontal="left" vertical="center"/>
    </xf>
    <xf numFmtId="166" fontId="31" fillId="0" borderId="10" xfId="5" applyNumberFormat="1" applyFont="1" applyFill="1" applyBorder="1" applyAlignment="1">
      <alignment horizontal="left" vertical="center"/>
    </xf>
    <xf numFmtId="166" fontId="31" fillId="0" borderId="12" xfId="5" applyNumberFormat="1" applyFont="1" applyFill="1" applyBorder="1" applyAlignment="1">
      <alignment vertical="center"/>
    </xf>
    <xf numFmtId="166" fontId="31" fillId="0" borderId="13" xfId="5" applyNumberFormat="1" applyFont="1" applyFill="1" applyBorder="1" applyAlignment="1">
      <alignment horizontal="right" vertical="center"/>
    </xf>
    <xf numFmtId="166" fontId="31" fillId="0" borderId="13" xfId="5" applyNumberFormat="1" applyFont="1" applyFill="1" applyBorder="1" applyAlignment="1">
      <alignment horizontal="left" vertical="center"/>
    </xf>
    <xf numFmtId="167" fontId="44" fillId="0" borderId="15" xfId="1" applyNumberFormat="1" applyFont="1" applyFill="1" applyBorder="1" applyAlignment="1">
      <alignment horizontal="left" vertical="center"/>
    </xf>
    <xf numFmtId="166" fontId="27" fillId="0" borderId="10" xfId="5" applyNumberFormat="1" applyFont="1" applyFill="1" applyBorder="1" applyAlignment="1">
      <alignment horizontal="left" vertical="center"/>
    </xf>
    <xf numFmtId="166" fontId="27" fillId="0" borderId="11" xfId="5" applyNumberFormat="1" applyFont="1" applyFill="1" applyBorder="1" applyAlignment="1">
      <alignment vertical="center"/>
    </xf>
    <xf numFmtId="166" fontId="27" fillId="0" borderId="12" xfId="5" applyNumberFormat="1" applyFont="1" applyFill="1" applyBorder="1" applyAlignment="1">
      <alignment vertical="center"/>
    </xf>
    <xf numFmtId="166" fontId="27" fillId="0" borderId="13" xfId="5" applyNumberFormat="1" applyFont="1" applyFill="1" applyBorder="1" applyAlignment="1">
      <alignment horizontal="right" vertical="center"/>
    </xf>
    <xf numFmtId="166" fontId="27" fillId="0" borderId="13" xfId="5" applyNumberFormat="1" applyFont="1" applyFill="1" applyBorder="1" applyAlignment="1">
      <alignment horizontal="right" vertical="center" shrinkToFit="1"/>
    </xf>
    <xf numFmtId="169" fontId="27" fillId="0" borderId="13" xfId="5" applyNumberFormat="1" applyFont="1" applyFill="1" applyBorder="1" applyAlignment="1">
      <alignment horizontal="right" vertical="center" shrinkToFit="1"/>
    </xf>
    <xf numFmtId="0" fontId="34" fillId="0" borderId="11" xfId="0" applyFont="1" applyBorder="1"/>
    <xf numFmtId="167" fontId="31" fillId="0" borderId="16" xfId="1" applyNumberFormat="1" applyFont="1" applyFill="1" applyBorder="1" applyAlignment="1">
      <alignment vertical="center"/>
    </xf>
    <xf numFmtId="167" fontId="34" fillId="0" borderId="14" xfId="5" applyNumberFormat="1" applyFont="1" applyFill="1" applyBorder="1" applyAlignment="1">
      <alignment horizontal="right" vertical="center" shrinkToFit="1"/>
    </xf>
    <xf numFmtId="167" fontId="45" fillId="0" borderId="16" xfId="1" applyNumberFormat="1" applyFont="1" applyFill="1" applyBorder="1" applyAlignment="1">
      <alignment horizontal="right" vertical="center"/>
    </xf>
    <xf numFmtId="167" fontId="45" fillId="0" borderId="14" xfId="1" applyNumberFormat="1" applyFont="1" applyFill="1" applyBorder="1" applyAlignment="1">
      <alignment horizontal="right" vertical="center"/>
    </xf>
    <xf numFmtId="3" fontId="31" fillId="0" borderId="14" xfId="1" applyNumberFormat="1" applyFont="1" applyFill="1" applyBorder="1" applyAlignment="1">
      <alignment horizontal="right" vertical="center" shrinkToFit="1"/>
    </xf>
    <xf numFmtId="3" fontId="45" fillId="0" borderId="14" xfId="1" applyNumberFormat="1" applyFont="1" applyFill="1" applyBorder="1" applyAlignment="1">
      <alignment horizontal="right" vertical="center" shrinkToFit="1"/>
    </xf>
    <xf numFmtId="3" fontId="45" fillId="0" borderId="14" xfId="1" applyNumberFormat="1" applyFont="1" applyBorder="1" applyAlignment="1">
      <alignment horizontal="right" vertical="center" shrinkToFit="1"/>
    </xf>
    <xf numFmtId="3" fontId="23" fillId="0" borderId="0" xfId="0" applyNumberFormat="1" applyFont="1"/>
    <xf numFmtId="166" fontId="26" fillId="0" borderId="0" xfId="0" applyNumberFormat="1" applyFont="1"/>
    <xf numFmtId="3" fontId="31" fillId="0" borderId="14" xfId="1" applyNumberFormat="1" applyFont="1" applyBorder="1" applyAlignment="1">
      <alignment horizontal="right" vertical="center" shrinkToFit="1"/>
    </xf>
    <xf numFmtId="3" fontId="31" fillId="0" borderId="14" xfId="5" applyNumberFormat="1" applyFont="1" applyFill="1" applyBorder="1" applyAlignment="1">
      <alignment horizontal="right" vertical="center" shrinkToFit="1"/>
    </xf>
    <xf numFmtId="3" fontId="35" fillId="0" borderId="14" xfId="1" applyNumberFormat="1" applyFont="1" applyFill="1" applyBorder="1" applyAlignment="1">
      <alignment horizontal="right" vertical="center"/>
    </xf>
    <xf numFmtId="3" fontId="35" fillId="0" borderId="14" xfId="1" applyNumberFormat="1" applyFont="1" applyFill="1" applyBorder="1" applyAlignment="1">
      <alignment horizontal="right" vertical="center" shrinkToFit="1"/>
    </xf>
    <xf numFmtId="3" fontId="35" fillId="0" borderId="0" xfId="0" applyNumberFormat="1" applyFont="1"/>
    <xf numFmtId="166" fontId="49" fillId="0" borderId="11" xfId="5" applyNumberFormat="1" applyFont="1" applyFill="1" applyBorder="1" applyAlignment="1">
      <alignment vertical="center"/>
    </xf>
    <xf numFmtId="166" fontId="49" fillId="0" borderId="12" xfId="5" applyNumberFormat="1" applyFont="1" applyFill="1" applyBorder="1" applyAlignment="1">
      <alignment vertical="center"/>
    </xf>
    <xf numFmtId="166" fontId="37" fillId="0" borderId="0" xfId="0" applyNumberFormat="1" applyFont="1"/>
    <xf numFmtId="0" fontId="35" fillId="0" borderId="15" xfId="7" applyNumberFormat="1" applyFont="1" applyFill="1" applyBorder="1" applyAlignment="1">
      <alignment horizontal="left" vertical="center"/>
    </xf>
    <xf numFmtId="0" fontId="35" fillId="0" borderId="0" xfId="6" applyFont="1" applyAlignment="1">
      <alignment vertical="center"/>
    </xf>
    <xf numFmtId="0" fontId="35" fillId="0" borderId="0" xfId="7" applyNumberFormat="1" applyFont="1" applyFill="1" applyBorder="1" applyAlignment="1">
      <alignment vertical="center"/>
    </xf>
    <xf numFmtId="0" fontId="35" fillId="0" borderId="16" xfId="7" applyNumberFormat="1" applyFont="1" applyFill="1" applyBorder="1" applyAlignment="1">
      <alignment vertical="center"/>
    </xf>
    <xf numFmtId="166" fontId="34" fillId="0" borderId="0" xfId="5" applyNumberFormat="1" applyFont="1" applyFill="1" applyBorder="1" applyAlignment="1">
      <alignment horizontal="right" vertical="center"/>
    </xf>
    <xf numFmtId="0" fontId="43" fillId="0" borderId="15" xfId="7" applyNumberFormat="1" applyFont="1" applyFill="1" applyBorder="1" applyAlignment="1">
      <alignment horizontal="left" vertical="center"/>
    </xf>
    <xf numFmtId="0" fontId="43" fillId="0" borderId="0" xfId="7" applyNumberFormat="1" applyFont="1" applyFill="1" applyBorder="1" applyAlignment="1">
      <alignment vertical="center"/>
    </xf>
    <xf numFmtId="0" fontId="43" fillId="0" borderId="16" xfId="7" applyNumberFormat="1" applyFont="1" applyFill="1" applyBorder="1" applyAlignment="1">
      <alignment vertical="center"/>
    </xf>
    <xf numFmtId="167" fontId="43" fillId="9" borderId="14" xfId="1" applyNumberFormat="1" applyFont="1" applyFill="1" applyBorder="1" applyAlignment="1">
      <alignment horizontal="right" vertical="center"/>
    </xf>
    <xf numFmtId="167" fontId="43" fillId="9" borderId="14" xfId="1" applyNumberFormat="1" applyFont="1" applyFill="1" applyBorder="1" applyAlignment="1">
      <alignment horizontal="right" vertical="center" shrinkToFit="1"/>
    </xf>
    <xf numFmtId="0" fontId="43" fillId="0" borderId="0" xfId="0" applyFont="1"/>
    <xf numFmtId="167" fontId="43" fillId="0" borderId="16" xfId="1" applyNumberFormat="1" applyFont="1" applyFill="1" applyBorder="1" applyAlignment="1">
      <alignment vertical="center"/>
    </xf>
    <xf numFmtId="0" fontId="49" fillId="0" borderId="0" xfId="0" applyFont="1"/>
    <xf numFmtId="0" fontId="34" fillId="0" borderId="15" xfId="6" applyFont="1" applyBorder="1" applyAlignment="1">
      <alignment horizontal="left" vertical="center"/>
    </xf>
    <xf numFmtId="0" fontId="34" fillId="0" borderId="0" xfId="6" applyFont="1" applyAlignment="1">
      <alignment vertical="center"/>
    </xf>
    <xf numFmtId="0" fontId="34" fillId="0" borderId="16" xfId="6" applyFont="1" applyBorder="1" applyAlignment="1">
      <alignment vertical="center"/>
    </xf>
    <xf numFmtId="0" fontId="35" fillId="0" borderId="15" xfId="6" applyFont="1" applyBorder="1" applyAlignment="1">
      <alignment horizontal="left" vertical="center"/>
    </xf>
    <xf numFmtId="167" fontId="39" fillId="0" borderId="0" xfId="1" applyNumberFormat="1" applyFont="1" applyFill="1" applyBorder="1" applyAlignment="1">
      <alignment horizontal="left" vertical="center"/>
    </xf>
    <xf numFmtId="167" fontId="39" fillId="0" borderId="14" xfId="1" applyNumberFormat="1" applyFont="1" applyFill="1" applyBorder="1" applyAlignment="1">
      <alignment horizontal="right" vertical="center" shrinkToFit="1"/>
    </xf>
    <xf numFmtId="167" fontId="39" fillId="9" borderId="14" xfId="1" applyNumberFormat="1" applyFont="1" applyFill="1" applyBorder="1" applyAlignment="1">
      <alignment horizontal="right" vertical="center" shrinkToFit="1"/>
    </xf>
    <xf numFmtId="166" fontId="35" fillId="0" borderId="14" xfId="1" applyNumberFormat="1" applyFont="1" applyFill="1" applyBorder="1" applyAlignment="1">
      <alignment horizontal="right" vertical="center" shrinkToFit="1"/>
    </xf>
    <xf numFmtId="166" fontId="34" fillId="0" borderId="0" xfId="0" applyNumberFormat="1" applyFont="1"/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66" fontId="26" fillId="9" borderId="13" xfId="5" applyNumberFormat="1" applyFont="1" applyFill="1" applyBorder="1" applyAlignment="1">
      <alignment horizontal="right" vertical="center"/>
    </xf>
    <xf numFmtId="166" fontId="26" fillId="9" borderId="13" xfId="5" applyNumberFormat="1" applyFont="1" applyFill="1" applyBorder="1" applyAlignment="1">
      <alignment horizontal="right" vertical="center" shrinkToFit="1"/>
    </xf>
    <xf numFmtId="166" fontId="34" fillId="9" borderId="14" xfId="5" applyNumberFormat="1" applyFont="1" applyFill="1" applyBorder="1" applyAlignment="1">
      <alignment horizontal="right" vertical="center"/>
    </xf>
    <xf numFmtId="166" fontId="34" fillId="9" borderId="14" xfId="5" applyNumberFormat="1" applyFont="1" applyFill="1" applyBorder="1" applyAlignment="1">
      <alignment horizontal="right" vertical="center" shrinkToFit="1"/>
    </xf>
    <xf numFmtId="0" fontId="43" fillId="0" borderId="15" xfId="6" applyFont="1" applyBorder="1" applyAlignment="1">
      <alignment horizontal="left" vertical="center"/>
    </xf>
    <xf numFmtId="0" fontId="43" fillId="0" borderId="0" xfId="6" applyFont="1" applyAlignment="1">
      <alignment vertical="center"/>
    </xf>
    <xf numFmtId="167" fontId="34" fillId="0" borderId="15" xfId="1" applyNumberFormat="1" applyFont="1" applyFill="1" applyBorder="1" applyAlignment="1">
      <alignment horizontal="left" vertical="center"/>
    </xf>
    <xf numFmtId="167" fontId="25" fillId="0" borderId="0" xfId="1" applyNumberFormat="1" applyFont="1" applyFill="1" applyBorder="1" applyAlignment="1">
      <alignment vertical="center"/>
    </xf>
    <xf numFmtId="167" fontId="25" fillId="0" borderId="16" xfId="1" applyNumberFormat="1" applyFont="1" applyFill="1" applyBorder="1" applyAlignment="1">
      <alignment vertical="center"/>
    </xf>
    <xf numFmtId="166" fontId="25" fillId="0" borderId="14" xfId="5" applyNumberFormat="1" applyFont="1" applyFill="1" applyBorder="1" applyAlignment="1">
      <alignment horizontal="right" vertical="center"/>
    </xf>
    <xf numFmtId="166" fontId="25" fillId="0" borderId="14" xfId="5" applyNumberFormat="1" applyFont="1" applyFill="1" applyBorder="1" applyAlignment="1">
      <alignment horizontal="right" vertical="center" shrinkToFit="1"/>
    </xf>
    <xf numFmtId="169" fontId="25" fillId="0" borderId="14" xfId="5" applyNumberFormat="1" applyFont="1" applyFill="1" applyBorder="1" applyAlignment="1">
      <alignment horizontal="right" vertical="center" shrinkToFit="1"/>
    </xf>
    <xf numFmtId="169" fontId="23" fillId="0" borderId="14" xfId="5" applyNumberFormat="1" applyFont="1" applyFill="1" applyBorder="1" applyAlignment="1">
      <alignment horizontal="right" vertical="center" shrinkToFit="1"/>
    </xf>
    <xf numFmtId="170" fontId="34" fillId="0" borderId="0" xfId="0" applyNumberFormat="1" applyFont="1"/>
    <xf numFmtId="167" fontId="34" fillId="0" borderId="0" xfId="1" applyNumberFormat="1" applyFont="1" applyFill="1" applyBorder="1" applyAlignment="1">
      <alignment horizontal="left" vertical="center"/>
    </xf>
    <xf numFmtId="166" fontId="27" fillId="0" borderId="20" xfId="5" applyNumberFormat="1" applyFont="1" applyFill="1" applyBorder="1" applyAlignment="1">
      <alignment horizontal="left" vertical="center"/>
    </xf>
    <xf numFmtId="166" fontId="27" fillId="0" borderId="20" xfId="5" applyNumberFormat="1" applyFont="1" applyFill="1" applyBorder="1" applyAlignment="1">
      <alignment vertical="center"/>
    </xf>
    <xf numFmtId="166" fontId="27" fillId="0" borderId="0" xfId="5" applyNumberFormat="1" applyFont="1" applyFill="1" applyBorder="1" applyAlignment="1">
      <alignment horizontal="right" vertical="center"/>
    </xf>
    <xf numFmtId="170" fontId="44" fillId="0" borderId="0" xfId="0" applyNumberFormat="1" applyFont="1"/>
    <xf numFmtId="167" fontId="43" fillId="0" borderId="0" xfId="1" applyNumberFormat="1" applyFont="1" applyFill="1" applyBorder="1" applyAlignment="1">
      <alignment horizontal="right" vertical="center" shrinkToFit="1"/>
    </xf>
    <xf numFmtId="3" fontId="23" fillId="0" borderId="0" xfId="1" applyNumberFormat="1" applyFont="1" applyAlignment="1"/>
    <xf numFmtId="167" fontId="23" fillId="0" borderId="0" xfId="1" applyNumberFormat="1" applyFont="1" applyAlignment="1">
      <alignment shrinkToFit="1"/>
    </xf>
    <xf numFmtId="167" fontId="23" fillId="0" borderId="0" xfId="1" applyNumberFormat="1" applyFont="1" applyFill="1" applyBorder="1" applyAlignment="1">
      <alignment shrinkToFit="1"/>
    </xf>
    <xf numFmtId="3" fontId="23" fillId="0" borderId="0" xfId="1" applyNumberFormat="1" applyFont="1" applyAlignment="1">
      <alignment shrinkToFit="1"/>
    </xf>
    <xf numFmtId="3" fontId="23" fillId="0" borderId="0" xfId="1" applyNumberFormat="1" applyFont="1" applyFill="1" applyBorder="1" applyAlignment="1"/>
    <xf numFmtId="0" fontId="30" fillId="0" borderId="0" xfId="6" applyFont="1" applyAlignment="1">
      <alignment horizontal="right" vertical="center"/>
    </xf>
    <xf numFmtId="166" fontId="26" fillId="0" borderId="0" xfId="5" applyNumberFormat="1" applyFont="1" applyFill="1" applyBorder="1" applyAlignment="1"/>
    <xf numFmtId="166" fontId="26" fillId="0" borderId="16" xfId="5" applyNumberFormat="1" applyFont="1" applyFill="1" applyBorder="1" applyAlignment="1"/>
    <xf numFmtId="166" fontId="31" fillId="0" borderId="14" xfId="5" applyNumberFormat="1" applyFont="1" applyFill="1" applyBorder="1" applyAlignment="1"/>
    <xf numFmtId="166" fontId="31" fillId="0" borderId="14" xfId="5" applyNumberFormat="1" applyFont="1" applyFill="1" applyBorder="1" applyAlignment="1">
      <alignment shrinkToFit="1"/>
    </xf>
    <xf numFmtId="169" fontId="31" fillId="0" borderId="14" xfId="5" applyNumberFormat="1" applyFont="1" applyFill="1" applyBorder="1" applyAlignment="1">
      <alignment shrinkToFit="1"/>
    </xf>
    <xf numFmtId="169" fontId="32" fillId="0" borderId="14" xfId="5" applyNumberFormat="1" applyFont="1" applyFill="1" applyBorder="1" applyAlignment="1">
      <alignment shrinkToFit="1"/>
    </xf>
    <xf numFmtId="169" fontId="33" fillId="0" borderId="14" xfId="5" applyNumberFormat="1" applyFont="1" applyFill="1" applyBorder="1" applyAlignment="1">
      <alignment shrinkToFit="1"/>
    </xf>
    <xf numFmtId="169" fontId="27" fillId="0" borderId="14" xfId="5" applyNumberFormat="1" applyFont="1" applyFill="1" applyBorder="1" applyAlignment="1">
      <alignment shrinkToFit="1"/>
    </xf>
    <xf numFmtId="166" fontId="27" fillId="0" borderId="14" xfId="5" applyNumberFormat="1" applyFont="1" applyFill="1" applyBorder="1" applyAlignment="1">
      <alignment shrinkToFit="1"/>
    </xf>
    <xf numFmtId="166" fontId="31" fillId="0" borderId="0" xfId="5" applyNumberFormat="1" applyFont="1" applyFill="1" applyBorder="1" applyAlignment="1"/>
    <xf numFmtId="166" fontId="31" fillId="0" borderId="15" xfId="5" applyNumberFormat="1" applyFont="1" applyFill="1" applyBorder="1" applyAlignment="1">
      <alignment horizontal="left" vertical="center" indent="1"/>
    </xf>
    <xf numFmtId="166" fontId="34" fillId="0" borderId="15" xfId="5" applyNumberFormat="1" applyFont="1" applyFill="1" applyBorder="1" applyAlignment="1">
      <alignment horizontal="left" vertical="center" indent="1"/>
    </xf>
    <xf numFmtId="166" fontId="34" fillId="0" borderId="0" xfId="5" applyNumberFormat="1" applyFont="1" applyFill="1" applyBorder="1" applyAlignment="1">
      <alignment horizontal="left" vertical="center"/>
    </xf>
    <xf numFmtId="166" fontId="23" fillId="0" borderId="0" xfId="5" applyNumberFormat="1" applyFont="1" applyFill="1" applyBorder="1" applyAlignment="1"/>
    <xf numFmtId="166" fontId="23" fillId="0" borderId="16" xfId="5" applyNumberFormat="1" applyFont="1" applyFill="1" applyBorder="1" applyAlignment="1"/>
    <xf numFmtId="166" fontId="34" fillId="0" borderId="14" xfId="5" applyNumberFormat="1" applyFont="1" applyFill="1" applyBorder="1" applyAlignment="1"/>
    <xf numFmtId="166" fontId="34" fillId="0" borderId="14" xfId="5" applyNumberFormat="1" applyFont="1" applyFill="1" applyBorder="1" applyAlignment="1">
      <alignment shrinkToFit="1"/>
    </xf>
    <xf numFmtId="169" fontId="23" fillId="0" borderId="14" xfId="5" applyNumberFormat="1" applyFont="1" applyFill="1" applyBorder="1" applyAlignment="1">
      <alignment shrinkToFit="1"/>
    </xf>
    <xf numFmtId="169" fontId="40" fillId="0" borderId="14" xfId="5" applyNumberFormat="1" applyFont="1" applyFill="1" applyBorder="1" applyAlignment="1">
      <alignment shrinkToFit="1"/>
    </xf>
    <xf numFmtId="169" fontId="50" fillId="0" borderId="14" xfId="5" applyNumberFormat="1" applyFont="1" applyFill="1" applyBorder="1" applyAlignment="1">
      <alignment shrinkToFit="1"/>
    </xf>
    <xf numFmtId="169" fontId="44" fillId="0" borderId="14" xfId="5" applyNumberFormat="1" applyFont="1" applyFill="1" applyBorder="1" applyAlignment="1">
      <alignment shrinkToFit="1"/>
    </xf>
    <xf numFmtId="166" fontId="44" fillId="0" borderId="14" xfId="5" applyNumberFormat="1" applyFont="1" applyFill="1" applyBorder="1" applyAlignment="1">
      <alignment shrinkToFit="1"/>
    </xf>
    <xf numFmtId="166" fontId="34" fillId="0" borderId="0" xfId="5" applyNumberFormat="1" applyFont="1" applyFill="1" applyBorder="1" applyAlignment="1"/>
    <xf numFmtId="169" fontId="34" fillId="0" borderId="14" xfId="5" applyNumberFormat="1" applyFont="1" applyFill="1" applyBorder="1" applyAlignment="1">
      <alignment shrinkToFit="1"/>
    </xf>
    <xf numFmtId="166" fontId="31" fillId="0" borderId="16" xfId="5" applyNumberFormat="1" applyFont="1" applyFill="1" applyBorder="1" applyAlignment="1"/>
    <xf numFmtId="166" fontId="34" fillId="0" borderId="15" xfId="5" applyNumberFormat="1" applyFont="1" applyFill="1" applyBorder="1" applyAlignment="1">
      <alignment horizontal="left" vertical="center"/>
    </xf>
    <xf numFmtId="9" fontId="34" fillId="0" borderId="14" xfId="1" applyFont="1" applyFill="1" applyBorder="1" applyAlignment="1"/>
    <xf numFmtId="9" fontId="34" fillId="0" borderId="14" xfId="1" applyFont="1" applyFill="1" applyBorder="1" applyAlignment="1">
      <alignment shrinkToFit="1"/>
    </xf>
    <xf numFmtId="169" fontId="34" fillId="0" borderId="14" xfId="1" applyNumberFormat="1" applyFont="1" applyFill="1" applyBorder="1" applyAlignment="1">
      <alignment shrinkToFit="1"/>
    </xf>
    <xf numFmtId="169" fontId="40" fillId="0" borderId="14" xfId="1" applyNumberFormat="1" applyFont="1" applyFill="1" applyBorder="1" applyAlignment="1">
      <alignment shrinkToFit="1"/>
    </xf>
    <xf numFmtId="169" fontId="50" fillId="0" borderId="14" xfId="1" applyNumberFormat="1" applyFont="1" applyFill="1" applyBorder="1" applyAlignment="1">
      <alignment shrinkToFit="1"/>
    </xf>
    <xf numFmtId="169" fontId="44" fillId="0" borderId="14" xfId="1" applyNumberFormat="1" applyFont="1" applyFill="1" applyBorder="1" applyAlignment="1">
      <alignment shrinkToFit="1"/>
    </xf>
    <xf numFmtId="9" fontId="44" fillId="0" borderId="14" xfId="1" applyFont="1" applyFill="1" applyBorder="1" applyAlignment="1">
      <alignment shrinkToFit="1"/>
    </xf>
    <xf numFmtId="9" fontId="34" fillId="0" borderId="0" xfId="1" applyFont="1" applyFill="1" applyBorder="1" applyAlignment="1"/>
    <xf numFmtId="166" fontId="34" fillId="0" borderId="0" xfId="5" applyNumberFormat="1" applyFont="1" applyFill="1" applyBorder="1" applyAlignment="1">
      <alignment horizontal="left" vertical="center" indent="1"/>
    </xf>
    <xf numFmtId="166" fontId="35" fillId="0" borderId="15" xfId="5" applyNumberFormat="1" applyFont="1" applyFill="1" applyBorder="1" applyAlignment="1">
      <alignment horizontal="left" vertical="center"/>
    </xf>
    <xf numFmtId="166" fontId="35" fillId="0" borderId="0" xfId="5" applyNumberFormat="1" applyFont="1" applyFill="1" applyBorder="1" applyAlignment="1">
      <alignment horizontal="left" indent="1"/>
    </xf>
    <xf numFmtId="166" fontId="35" fillId="0" borderId="0" xfId="5" applyNumberFormat="1" applyFont="1" applyFill="1" applyBorder="1" applyAlignment="1"/>
    <xf numFmtId="166" fontId="35" fillId="0" borderId="0" xfId="5" applyNumberFormat="1" applyFont="1" applyFill="1" applyBorder="1" applyAlignment="1">
      <alignment vertical="center"/>
    </xf>
    <xf numFmtId="166" fontId="35" fillId="0" borderId="16" xfId="5" applyNumberFormat="1" applyFont="1" applyFill="1" applyBorder="1" applyAlignment="1">
      <alignment vertical="center"/>
    </xf>
    <xf numFmtId="166" fontId="35" fillId="9" borderId="14" xfId="5" applyNumberFormat="1" applyFont="1" applyFill="1" applyBorder="1" applyAlignment="1"/>
    <xf numFmtId="166" fontId="35" fillId="9" borderId="14" xfId="5" applyNumberFormat="1" applyFont="1" applyFill="1" applyBorder="1" applyAlignment="1">
      <alignment shrinkToFit="1"/>
    </xf>
    <xf numFmtId="169" fontId="35" fillId="9" borderId="14" xfId="5" applyNumberFormat="1" applyFont="1" applyFill="1" applyBorder="1" applyAlignment="1">
      <alignment shrinkToFit="1"/>
    </xf>
    <xf numFmtId="169" fontId="39" fillId="0" borderId="14" xfId="5" applyNumberFormat="1" applyFont="1" applyFill="1" applyBorder="1" applyAlignment="1">
      <alignment shrinkToFit="1"/>
    </xf>
    <xf numFmtId="169" fontId="51" fillId="9" borderId="14" xfId="5" applyNumberFormat="1" applyFont="1" applyFill="1" applyBorder="1" applyAlignment="1">
      <alignment shrinkToFit="1"/>
    </xf>
    <xf numFmtId="169" fontId="43" fillId="9" borderId="14" xfId="5" applyNumberFormat="1" applyFont="1" applyFill="1" applyBorder="1" applyAlignment="1">
      <alignment shrinkToFit="1"/>
    </xf>
    <xf numFmtId="169" fontId="43" fillId="0" borderId="14" xfId="5" applyNumberFormat="1" applyFont="1" applyFill="1" applyBorder="1" applyAlignment="1">
      <alignment shrinkToFit="1"/>
    </xf>
    <xf numFmtId="166" fontId="43" fillId="0" borderId="14" xfId="5" applyNumberFormat="1" applyFont="1" applyFill="1" applyBorder="1" applyAlignment="1">
      <alignment shrinkToFit="1"/>
    </xf>
    <xf numFmtId="169" fontId="35" fillId="0" borderId="14" xfId="5" applyNumberFormat="1" applyFont="1" applyFill="1" applyBorder="1" applyAlignment="1">
      <alignment shrinkToFit="1"/>
    </xf>
    <xf numFmtId="166" fontId="41" fillId="0" borderId="0" xfId="5" applyNumberFormat="1" applyFont="1" applyFill="1" applyBorder="1" applyAlignment="1">
      <alignment horizontal="left" indent="1"/>
    </xf>
    <xf numFmtId="166" fontId="41" fillId="0" borderId="0" xfId="5" applyNumberFormat="1" applyFont="1" applyFill="1" applyBorder="1" applyAlignment="1"/>
    <xf numFmtId="166" fontId="34" fillId="9" borderId="14" xfId="5" applyNumberFormat="1" applyFont="1" applyFill="1" applyBorder="1" applyAlignment="1"/>
    <xf numFmtId="166" fontId="34" fillId="9" borderId="14" xfId="5" applyNumberFormat="1" applyFont="1" applyFill="1" applyBorder="1" applyAlignment="1">
      <alignment shrinkToFit="1"/>
    </xf>
    <xf numFmtId="169" fontId="34" fillId="9" borderId="14" xfId="5" applyNumberFormat="1" applyFont="1" applyFill="1" applyBorder="1" applyAlignment="1">
      <alignment shrinkToFit="1"/>
    </xf>
    <xf numFmtId="169" fontId="44" fillId="9" borderId="14" xfId="5" applyNumberFormat="1" applyFont="1" applyFill="1" applyBorder="1" applyAlignment="1">
      <alignment shrinkToFit="1"/>
    </xf>
    <xf numFmtId="169" fontId="50" fillId="9" borderId="14" xfId="5" applyNumberFormat="1" applyFont="1" applyFill="1" applyBorder="1" applyAlignment="1">
      <alignment shrinkToFit="1"/>
    </xf>
    <xf numFmtId="166" fontId="34" fillId="0" borderId="16" xfId="5" applyNumberFormat="1" applyFont="1" applyFill="1" applyBorder="1" applyAlignment="1"/>
    <xf numFmtId="166" fontId="31" fillId="0" borderId="17" xfId="5" applyNumberFormat="1" applyFont="1" applyFill="1" applyBorder="1" applyAlignment="1">
      <alignment horizontal="left" vertical="center"/>
    </xf>
    <xf numFmtId="166" fontId="31" fillId="0" borderId="18" xfId="5" applyNumberFormat="1" applyFont="1" applyFill="1" applyBorder="1" applyAlignment="1">
      <alignment horizontal="right" vertical="center"/>
    </xf>
    <xf numFmtId="166" fontId="26" fillId="0" borderId="18" xfId="5" applyNumberFormat="1" applyFont="1" applyFill="1" applyBorder="1" applyAlignment="1"/>
    <xf numFmtId="166" fontId="26" fillId="0" borderId="19" xfId="5" applyNumberFormat="1" applyFont="1" applyFill="1" applyBorder="1" applyAlignment="1"/>
    <xf numFmtId="166" fontId="31" fillId="0" borderId="20" xfId="5" applyNumberFormat="1" applyFont="1" applyFill="1" applyBorder="1" applyAlignment="1"/>
    <xf numFmtId="169" fontId="31" fillId="0" borderId="20" xfId="5" applyNumberFormat="1" applyFont="1" applyFill="1" applyBorder="1" applyAlignment="1"/>
    <xf numFmtId="169" fontId="32" fillId="0" borderId="20" xfId="5" applyNumberFormat="1" applyFont="1" applyFill="1" applyBorder="1" applyAlignment="1"/>
    <xf numFmtId="169" fontId="33" fillId="0" borderId="20" xfId="5" applyNumberFormat="1" applyFont="1" applyFill="1" applyBorder="1" applyAlignment="1"/>
    <xf numFmtId="169" fontId="27" fillId="0" borderId="20" xfId="5" applyNumberFormat="1" applyFont="1" applyFill="1" applyBorder="1" applyAlignment="1"/>
    <xf numFmtId="169" fontId="27" fillId="0" borderId="14" xfId="5" applyNumberFormat="1" applyFont="1" applyFill="1" applyBorder="1" applyAlignment="1"/>
    <xf numFmtId="166" fontId="27" fillId="0" borderId="14" xfId="5" applyNumberFormat="1" applyFont="1" applyFill="1" applyBorder="1" applyAlignment="1"/>
    <xf numFmtId="167" fontId="34" fillId="0" borderId="14" xfId="5" applyNumberFormat="1" applyFont="1" applyFill="1" applyBorder="1" applyAlignment="1">
      <alignment shrinkToFit="1"/>
    </xf>
    <xf numFmtId="167" fontId="44" fillId="0" borderId="14" xfId="5" applyNumberFormat="1" applyFont="1" applyFill="1" applyBorder="1" applyAlignment="1">
      <alignment shrinkToFit="1"/>
    </xf>
    <xf numFmtId="167" fontId="34" fillId="0" borderId="0" xfId="5" applyNumberFormat="1" applyFont="1" applyFill="1" applyBorder="1" applyAlignment="1"/>
    <xf numFmtId="169" fontId="23" fillId="9" borderId="14" xfId="5" applyNumberFormat="1" applyFont="1" applyFill="1" applyBorder="1" applyAlignment="1">
      <alignment shrinkToFit="1"/>
    </xf>
    <xf numFmtId="166" fontId="40" fillId="0" borderId="0" xfId="5" applyNumberFormat="1" applyFont="1" applyFill="1" applyBorder="1" applyAlignment="1"/>
    <xf numFmtId="9" fontId="52" fillId="0" borderId="14" xfId="1" applyFont="1" applyFill="1" applyBorder="1" applyAlignment="1"/>
    <xf numFmtId="9" fontId="52" fillId="0" borderId="14" xfId="1" applyFont="1" applyFill="1" applyBorder="1" applyAlignment="1">
      <alignment shrinkToFit="1"/>
    </xf>
    <xf numFmtId="169" fontId="52" fillId="0" borderId="14" xfId="1" applyNumberFormat="1" applyFont="1" applyFill="1" applyBorder="1" applyAlignment="1">
      <alignment shrinkToFit="1"/>
    </xf>
    <xf numFmtId="9" fontId="52" fillId="0" borderId="0" xfId="1" applyFont="1" applyFill="1" applyBorder="1" applyAlignment="1"/>
    <xf numFmtId="166" fontId="53" fillId="0" borderId="21" xfId="5" applyNumberFormat="1" applyFont="1" applyFill="1" applyBorder="1" applyAlignment="1">
      <alignment horizontal="left" vertical="center"/>
    </xf>
    <xf numFmtId="166" fontId="25" fillId="0" borderId="22" xfId="5" applyNumberFormat="1" applyFont="1" applyFill="1" applyBorder="1" applyAlignment="1">
      <alignment horizontal="left" vertical="center"/>
    </xf>
    <xf numFmtId="166" fontId="25" fillId="0" borderId="22" xfId="5" applyNumberFormat="1" applyFont="1" applyFill="1" applyBorder="1" applyAlignment="1"/>
    <xf numFmtId="166" fontId="25" fillId="0" borderId="16" xfId="5" applyNumberFormat="1" applyFont="1" applyFill="1" applyBorder="1" applyAlignment="1"/>
    <xf numFmtId="166" fontId="25" fillId="0" borderId="14" xfId="5" applyNumberFormat="1" applyFont="1" applyFill="1" applyBorder="1" applyAlignment="1"/>
    <xf numFmtId="166" fontId="25" fillId="0" borderId="14" xfId="5" applyNumberFormat="1" applyFont="1" applyFill="1" applyBorder="1" applyAlignment="1">
      <alignment shrinkToFit="1"/>
    </xf>
    <xf numFmtId="169" fontId="25" fillId="0" borderId="14" xfId="5" applyNumberFormat="1" applyFont="1" applyFill="1" applyBorder="1" applyAlignment="1">
      <alignment shrinkToFit="1"/>
    </xf>
    <xf numFmtId="166" fontId="25" fillId="0" borderId="0" xfId="5" applyNumberFormat="1" applyFont="1" applyFill="1" applyBorder="1" applyAlignment="1"/>
    <xf numFmtId="166" fontId="31" fillId="0" borderId="20" xfId="5" applyNumberFormat="1" applyFont="1" applyFill="1" applyBorder="1" applyAlignment="1">
      <alignment horizontal="left" vertical="center"/>
    </xf>
    <xf numFmtId="166" fontId="31" fillId="0" borderId="20" xfId="5" applyNumberFormat="1" applyFont="1" applyFill="1" applyBorder="1" applyAlignment="1">
      <alignment horizontal="right" vertical="center"/>
    </xf>
    <xf numFmtId="166" fontId="26" fillId="0" borderId="20" xfId="5" applyNumberFormat="1" applyFont="1" applyFill="1" applyBorder="1" applyAlignment="1"/>
    <xf numFmtId="166" fontId="31" fillId="0" borderId="20" xfId="5" applyNumberFormat="1" applyFont="1" applyFill="1" applyBorder="1" applyAlignment="1">
      <alignment shrinkToFit="1"/>
    </xf>
    <xf numFmtId="169" fontId="31" fillId="0" borderId="20" xfId="5" applyNumberFormat="1" applyFont="1" applyFill="1" applyBorder="1" applyAlignment="1">
      <alignment shrinkToFit="1"/>
    </xf>
    <xf numFmtId="169" fontId="32" fillId="0" borderId="20" xfId="5" applyNumberFormat="1" applyFont="1" applyFill="1" applyBorder="1" applyAlignment="1">
      <alignment shrinkToFit="1"/>
    </xf>
    <xf numFmtId="169" fontId="33" fillId="0" borderId="20" xfId="5" applyNumberFormat="1" applyFont="1" applyFill="1" applyBorder="1" applyAlignment="1">
      <alignment shrinkToFit="1"/>
    </xf>
    <xf numFmtId="169" fontId="27" fillId="0" borderId="20" xfId="5" applyNumberFormat="1" applyFont="1" applyFill="1" applyBorder="1" applyAlignment="1">
      <alignment shrinkToFit="1"/>
    </xf>
    <xf numFmtId="3" fontId="23" fillId="0" borderId="0" xfId="0" applyNumberFormat="1" applyFont="1" applyAlignment="1">
      <alignment shrinkToFit="1"/>
    </xf>
    <xf numFmtId="169" fontId="23" fillId="0" borderId="0" xfId="0" applyNumberFormat="1" applyFont="1" applyAlignment="1">
      <alignment shrinkToFit="1"/>
    </xf>
    <xf numFmtId="166" fontId="23" fillId="0" borderId="0" xfId="0" applyNumberFormat="1" applyFont="1" applyAlignment="1">
      <alignment shrinkToFit="1"/>
    </xf>
    <xf numFmtId="0" fontId="31" fillId="8" borderId="12" xfId="0" applyFont="1" applyFill="1" applyBorder="1" applyAlignment="1">
      <alignment horizontal="center" vertical="center"/>
    </xf>
    <xf numFmtId="169" fontId="32" fillId="7" borderId="13" xfId="0" applyNumberFormat="1" applyFont="1" applyFill="1" applyBorder="1" applyAlignment="1">
      <alignment horizontal="center" vertical="center" shrinkToFit="1"/>
    </xf>
    <xf numFmtId="169" fontId="54" fillId="7" borderId="13" xfId="0" applyNumberFormat="1" applyFont="1" applyFill="1" applyBorder="1" applyAlignment="1">
      <alignment horizontal="center" vertical="center" shrinkToFit="1"/>
    </xf>
    <xf numFmtId="169" fontId="30" fillId="5" borderId="13" xfId="0" applyNumberFormat="1" applyFont="1" applyFill="1" applyBorder="1" applyAlignment="1">
      <alignment horizontal="center" vertical="center" shrinkToFit="1"/>
    </xf>
    <xf numFmtId="169" fontId="30" fillId="0" borderId="14" xfId="0" applyNumberFormat="1" applyFont="1" applyBorder="1" applyAlignment="1">
      <alignment horizontal="center" vertical="center" shrinkToFit="1"/>
    </xf>
    <xf numFmtId="166" fontId="23" fillId="0" borderId="14" xfId="5" applyNumberFormat="1" applyFont="1" applyFill="1" applyBorder="1" applyAlignment="1"/>
    <xf numFmtId="166" fontId="23" fillId="0" borderId="14" xfId="5" applyNumberFormat="1" applyFont="1" applyFill="1" applyBorder="1" applyAlignment="1">
      <alignment shrinkToFit="1"/>
    </xf>
    <xf numFmtId="166" fontId="33" fillId="0" borderId="14" xfId="5" applyNumberFormat="1" applyFont="1" applyFill="1" applyBorder="1" applyAlignment="1">
      <alignment shrinkToFit="1"/>
    </xf>
    <xf numFmtId="169" fontId="26" fillId="0" borderId="14" xfId="5" applyNumberFormat="1" applyFont="1" applyFill="1" applyBorder="1" applyAlignment="1">
      <alignment shrinkToFit="1"/>
    </xf>
    <xf numFmtId="166" fontId="26" fillId="0" borderId="14" xfId="5" applyNumberFormat="1" applyFont="1" applyFill="1" applyBorder="1" applyAlignment="1">
      <alignment shrinkToFit="1"/>
    </xf>
    <xf numFmtId="166" fontId="34" fillId="0" borderId="15" xfId="5" applyNumberFormat="1" applyFont="1" applyFill="1" applyBorder="1" applyAlignment="1">
      <alignment vertical="center"/>
    </xf>
    <xf numFmtId="166" fontId="34" fillId="0" borderId="0" xfId="5" applyNumberFormat="1" applyFont="1" applyFill="1" applyBorder="1" applyAlignment="1">
      <alignment vertical="center"/>
    </xf>
    <xf numFmtId="166" fontId="50" fillId="0" borderId="14" xfId="5" applyNumberFormat="1" applyFont="1" applyFill="1" applyBorder="1" applyAlignment="1">
      <alignment shrinkToFit="1"/>
    </xf>
    <xf numFmtId="166" fontId="35" fillId="0" borderId="15" xfId="5" applyNumberFormat="1" applyFont="1" applyFill="1" applyBorder="1" applyAlignment="1">
      <alignment vertical="center"/>
    </xf>
    <xf numFmtId="166" fontId="51" fillId="0" borderId="14" xfId="5" applyNumberFormat="1" applyFont="1" applyFill="1" applyBorder="1" applyAlignment="1">
      <alignment shrinkToFit="1"/>
    </xf>
    <xf numFmtId="169" fontId="51" fillId="0" borderId="14" xfId="5" applyNumberFormat="1" applyFont="1" applyFill="1" applyBorder="1" applyAlignment="1">
      <alignment shrinkToFit="1"/>
    </xf>
    <xf numFmtId="169" fontId="41" fillId="0" borderId="14" xfId="5" applyNumberFormat="1" applyFont="1" applyFill="1" applyBorder="1" applyAlignment="1">
      <alignment shrinkToFit="1"/>
    </xf>
    <xf numFmtId="166" fontId="41" fillId="0" borderId="14" xfId="5" applyNumberFormat="1" applyFont="1" applyFill="1" applyBorder="1" applyAlignment="1">
      <alignment shrinkToFit="1"/>
    </xf>
    <xf numFmtId="166" fontId="35" fillId="0" borderId="21" xfId="5" applyNumberFormat="1" applyFont="1" applyFill="1" applyBorder="1" applyAlignment="1">
      <alignment vertical="center"/>
    </xf>
    <xf numFmtId="166" fontId="35" fillId="0" borderId="22" xfId="5" applyNumberFormat="1" applyFont="1" applyFill="1" applyBorder="1" applyAlignment="1">
      <alignment vertical="center"/>
    </xf>
    <xf numFmtId="166" fontId="51" fillId="0" borderId="23" xfId="5" applyNumberFormat="1" applyFont="1" applyFill="1" applyBorder="1" applyAlignment="1">
      <alignment shrinkToFit="1"/>
    </xf>
    <xf numFmtId="169" fontId="51" fillId="0" borderId="23" xfId="5" applyNumberFormat="1" applyFont="1" applyFill="1" applyBorder="1" applyAlignment="1">
      <alignment shrinkToFit="1"/>
    </xf>
    <xf numFmtId="169" fontId="41" fillId="0" borderId="23" xfId="5" applyNumberFormat="1" applyFont="1" applyFill="1" applyBorder="1" applyAlignment="1">
      <alignment shrinkToFit="1"/>
    </xf>
    <xf numFmtId="166" fontId="41" fillId="0" borderId="23" xfId="5" applyNumberFormat="1" applyFont="1" applyFill="1" applyBorder="1" applyAlignment="1">
      <alignment shrinkToFit="1"/>
    </xf>
    <xf numFmtId="166" fontId="36" fillId="0" borderId="17" xfId="5" applyNumberFormat="1" applyFont="1" applyFill="1" applyBorder="1" applyAlignment="1">
      <alignment vertical="center"/>
    </xf>
    <xf numFmtId="166" fontId="36" fillId="0" borderId="18" xfId="5" applyNumberFormat="1" applyFont="1" applyFill="1" applyBorder="1" applyAlignment="1">
      <alignment vertical="center"/>
    </xf>
    <xf numFmtId="166" fontId="33" fillId="0" borderId="20" xfId="5" applyNumberFormat="1" applyFont="1" applyFill="1" applyBorder="1" applyAlignment="1">
      <alignment shrinkToFit="1"/>
    </xf>
    <xf numFmtId="169" fontId="36" fillId="0" borderId="20" xfId="5" applyNumberFormat="1" applyFont="1" applyFill="1" applyBorder="1" applyAlignment="1">
      <alignment shrinkToFit="1"/>
    </xf>
    <xf numFmtId="169" fontId="36" fillId="0" borderId="14" xfId="5" applyNumberFormat="1" applyFont="1" applyFill="1" applyBorder="1" applyAlignment="1">
      <alignment shrinkToFit="1"/>
    </xf>
    <xf numFmtId="166" fontId="36" fillId="0" borderId="14" xfId="5" applyNumberFormat="1" applyFont="1" applyFill="1" applyBorder="1" applyAlignment="1">
      <alignment shrinkToFit="1"/>
    </xf>
    <xf numFmtId="166" fontId="36" fillId="0" borderId="20" xfId="5" applyNumberFormat="1" applyFont="1" applyFill="1" applyBorder="1" applyAlignment="1">
      <alignment shrinkToFit="1"/>
    </xf>
    <xf numFmtId="166" fontId="36" fillId="0" borderId="0" xfId="5" applyNumberFormat="1" applyFont="1" applyFill="1" applyBorder="1" applyAlignment="1"/>
    <xf numFmtId="166" fontId="50" fillId="0" borderId="14" xfId="5" applyNumberFormat="1" applyFont="1" applyBorder="1" applyAlignment="1">
      <alignment shrinkToFit="1"/>
    </xf>
    <xf numFmtId="169" fontId="50" fillId="0" borderId="14" xfId="5" applyNumberFormat="1" applyFont="1" applyBorder="1" applyAlignment="1">
      <alignment shrinkToFit="1"/>
    </xf>
    <xf numFmtId="169" fontId="23" fillId="0" borderId="14" xfId="5" applyNumberFormat="1" applyFont="1" applyBorder="1" applyAlignment="1">
      <alignment shrinkToFit="1"/>
    </xf>
    <xf numFmtId="166" fontId="23" fillId="0" borderId="14" xfId="5" applyNumberFormat="1" applyFont="1" applyBorder="1" applyAlignment="1">
      <alignment shrinkToFit="1"/>
    </xf>
    <xf numFmtId="166" fontId="34" fillId="0" borderId="21" xfId="5" applyNumberFormat="1" applyFont="1" applyFill="1" applyBorder="1" applyAlignment="1">
      <alignment vertical="center"/>
    </xf>
    <xf numFmtId="166" fontId="34" fillId="0" borderId="22" xfId="5" applyNumberFormat="1" applyFont="1" applyFill="1" applyBorder="1" applyAlignment="1">
      <alignment vertical="center"/>
    </xf>
    <xf numFmtId="166" fontId="50" fillId="0" borderId="23" xfId="5" applyNumberFormat="1" applyFont="1" applyFill="1" applyBorder="1" applyAlignment="1">
      <alignment shrinkToFit="1"/>
    </xf>
    <xf numFmtId="169" fontId="50" fillId="0" borderId="23" xfId="5" applyNumberFormat="1" applyFont="1" applyFill="1" applyBorder="1" applyAlignment="1">
      <alignment shrinkToFit="1"/>
    </xf>
    <xf numFmtId="169" fontId="23" fillId="0" borderId="23" xfId="5" applyNumberFormat="1" applyFont="1" applyFill="1" applyBorder="1" applyAlignment="1">
      <alignment shrinkToFit="1"/>
    </xf>
    <xf numFmtId="166" fontId="23" fillId="0" borderId="23" xfId="5" applyNumberFormat="1" applyFont="1" applyFill="1" applyBorder="1" applyAlignment="1">
      <alignment shrinkToFit="1"/>
    </xf>
    <xf numFmtId="169" fontId="26" fillId="0" borderId="20" xfId="5" applyNumberFormat="1" applyFont="1" applyFill="1" applyBorder="1" applyAlignment="1">
      <alignment shrinkToFit="1"/>
    </xf>
    <xf numFmtId="166" fontId="31" fillId="0" borderId="17" xfId="5" applyNumberFormat="1" applyFont="1" applyFill="1" applyBorder="1" applyAlignment="1">
      <alignment vertical="center"/>
    </xf>
    <xf numFmtId="166" fontId="31" fillId="0" borderId="18" xfId="5" applyNumberFormat="1" applyFont="1" applyFill="1" applyBorder="1" applyAlignment="1">
      <alignment vertical="center"/>
    </xf>
    <xf numFmtId="166" fontId="26" fillId="0" borderId="20" xfId="5" applyNumberFormat="1" applyFont="1" applyFill="1" applyBorder="1" applyAlignment="1">
      <alignment shrinkToFit="1"/>
    </xf>
    <xf numFmtId="166" fontId="31" fillId="0" borderId="21" xfId="5" applyNumberFormat="1" applyFont="1" applyFill="1" applyBorder="1" applyAlignment="1">
      <alignment vertical="center"/>
    </xf>
    <xf numFmtId="166" fontId="31" fillId="0" borderId="22" xfId="5" applyNumberFormat="1" applyFont="1" applyFill="1" applyBorder="1" applyAlignment="1">
      <alignment vertical="center"/>
    </xf>
    <xf numFmtId="166" fontId="33" fillId="0" borderId="23" xfId="5" applyNumberFormat="1" applyFont="1" applyFill="1" applyBorder="1" applyAlignment="1">
      <alignment shrinkToFit="1"/>
    </xf>
    <xf numFmtId="169" fontId="33" fillId="0" borderId="23" xfId="5" applyNumberFormat="1" applyFont="1" applyFill="1" applyBorder="1" applyAlignment="1">
      <alignment shrinkToFit="1"/>
    </xf>
    <xf numFmtId="169" fontId="31" fillId="10" borderId="23" xfId="5" applyNumberFormat="1" applyFont="1" applyFill="1" applyBorder="1" applyAlignment="1">
      <alignment shrinkToFit="1"/>
    </xf>
    <xf numFmtId="169" fontId="31" fillId="0" borderId="23" xfId="5" applyNumberFormat="1" applyFont="1" applyFill="1" applyBorder="1" applyAlignment="1">
      <alignment shrinkToFit="1"/>
    </xf>
    <xf numFmtId="166" fontId="31" fillId="0" borderId="23" xfId="5" applyNumberFormat="1" applyFont="1" applyFill="1" applyBorder="1" applyAlignment="1">
      <alignment shrinkToFit="1"/>
    </xf>
    <xf numFmtId="0" fontId="23" fillId="0" borderId="0" xfId="0" applyFont="1" applyAlignment="1">
      <alignment horizontal="center"/>
    </xf>
    <xf numFmtId="166" fontId="23" fillId="0" borderId="0" xfId="5" applyNumberFormat="1" applyFont="1" applyAlignment="1">
      <alignment horizontal="center" shrinkToFit="1"/>
    </xf>
    <xf numFmtId="169" fontId="23" fillId="0" borderId="0" xfId="0" applyNumberFormat="1" applyFont="1"/>
    <xf numFmtId="166" fontId="23" fillId="0" borderId="0" xfId="5" applyNumberFormat="1" applyFont="1" applyAlignment="1">
      <alignment shrinkToFit="1"/>
    </xf>
    <xf numFmtId="169" fontId="23" fillId="0" borderId="0" xfId="0" applyNumberFormat="1" applyFont="1" applyAlignment="1">
      <alignment horizontal="center" shrinkToFit="1"/>
    </xf>
    <xf numFmtId="166" fontId="25" fillId="0" borderId="0" xfId="5" applyNumberFormat="1" applyFont="1"/>
    <xf numFmtId="168" fontId="27" fillId="0" borderId="0" xfId="5" applyNumberFormat="1" applyFont="1" applyFill="1" applyBorder="1" applyAlignment="1">
      <alignment horizontal="right" vertical="center" shrinkToFit="1"/>
    </xf>
    <xf numFmtId="166" fontId="34" fillId="0" borderId="0" xfId="5" applyNumberFormat="1" applyFont="1" applyBorder="1"/>
    <xf numFmtId="167" fontId="35" fillId="0" borderId="0" xfId="1" applyNumberFormat="1" applyFont="1" applyFill="1" applyBorder="1" applyAlignment="1">
      <alignment horizontal="right" vertical="center" shrinkToFit="1"/>
    </xf>
    <xf numFmtId="170" fontId="25" fillId="0" borderId="0" xfId="0" applyNumberFormat="1" applyFont="1"/>
    <xf numFmtId="169" fontId="27" fillId="0" borderId="0" xfId="5" applyNumberFormat="1" applyFont="1" applyFill="1" applyBorder="1" applyAlignment="1">
      <alignment horizontal="right" vertical="center" shrinkToFit="1"/>
    </xf>
    <xf numFmtId="167" fontId="55" fillId="0" borderId="0" xfId="1" applyNumberFormat="1" applyFont="1" applyAlignment="1">
      <alignment horizontal="right" shrinkToFit="1"/>
    </xf>
    <xf numFmtId="3" fontId="39" fillId="0" borderId="0" xfId="1" applyNumberFormat="1" applyFont="1" applyFill="1" applyBorder="1" applyAlignment="1">
      <alignment horizontal="right" vertical="center" shrinkToFit="1"/>
    </xf>
    <xf numFmtId="169" fontId="42" fillId="0" borderId="0" xfId="5" applyNumberFormat="1" applyFont="1" applyFill="1" applyBorder="1" applyAlignment="1">
      <alignment horizontal="right" vertical="center" shrinkToFit="1"/>
    </xf>
    <xf numFmtId="169" fontId="31" fillId="0" borderId="0" xfId="5" applyNumberFormat="1" applyFont="1" applyFill="1" applyBorder="1" applyAlignment="1">
      <alignment horizontal="right" vertical="center" shrinkToFit="1"/>
    </xf>
    <xf numFmtId="169" fontId="34" fillId="0" borderId="0" xfId="5" applyNumberFormat="1" applyFont="1" applyFill="1" applyBorder="1" applyAlignment="1">
      <alignment horizontal="right" vertical="center" shrinkToFit="1"/>
    </xf>
    <xf numFmtId="169" fontId="35" fillId="0" borderId="0" xfId="5" applyNumberFormat="1" applyFont="1" applyFill="1" applyBorder="1" applyAlignment="1">
      <alignment horizontal="right" vertical="center" shrinkToFit="1"/>
    </xf>
    <xf numFmtId="166" fontId="25" fillId="0" borderId="0" xfId="0" applyNumberFormat="1" applyFont="1"/>
    <xf numFmtId="4" fontId="39" fillId="0" borderId="0" xfId="1" applyNumberFormat="1" applyFont="1" applyFill="1" applyBorder="1" applyAlignment="1">
      <alignment horizontal="right" vertical="center" shrinkToFit="1"/>
    </xf>
    <xf numFmtId="169" fontId="26" fillId="0" borderId="0" xfId="5" applyNumberFormat="1" applyFont="1" applyFill="1" applyBorder="1" applyAlignment="1">
      <alignment horizontal="right" vertical="center" shrinkToFit="1"/>
    </xf>
    <xf numFmtId="9" fontId="53" fillId="0" borderId="0" xfId="1" applyFont="1"/>
    <xf numFmtId="167" fontId="41" fillId="0" borderId="0" xfId="1" applyNumberFormat="1" applyFont="1" applyFill="1" applyBorder="1" applyAlignment="1">
      <alignment horizontal="right" vertical="center" shrinkToFit="1"/>
    </xf>
    <xf numFmtId="3" fontId="53" fillId="0" borderId="0" xfId="0" applyNumberFormat="1" applyFont="1"/>
    <xf numFmtId="0" fontId="53" fillId="0" borderId="0" xfId="0" applyFont="1"/>
    <xf numFmtId="166" fontId="31" fillId="0" borderId="0" xfId="5" applyNumberFormat="1" applyFont="1" applyFill="1" applyBorder="1" applyAlignment="1">
      <alignment horizontal="right" vertical="center" shrinkToFit="1"/>
    </xf>
    <xf numFmtId="3" fontId="45" fillId="0" borderId="0" xfId="1" applyNumberFormat="1" applyFont="1" applyBorder="1" applyAlignment="1">
      <alignment horizontal="right" vertical="center" shrinkToFit="1"/>
    </xf>
    <xf numFmtId="3" fontId="25" fillId="0" borderId="0" xfId="0" applyNumberFormat="1" applyFont="1"/>
    <xf numFmtId="0" fontId="46" fillId="0" borderId="0" xfId="0" applyFont="1"/>
    <xf numFmtId="3" fontId="35" fillId="0" borderId="0" xfId="1" applyNumberFormat="1" applyFont="1" applyFill="1" applyBorder="1" applyAlignment="1">
      <alignment horizontal="right" vertical="center" shrinkToFit="1"/>
    </xf>
    <xf numFmtId="167" fontId="43" fillId="9" borderId="0" xfId="1" applyNumberFormat="1" applyFont="1" applyFill="1" applyBorder="1" applyAlignment="1">
      <alignment horizontal="right" vertical="center" shrinkToFit="1"/>
    </xf>
    <xf numFmtId="167" fontId="39" fillId="0" borderId="0" xfId="1" applyNumberFormat="1" applyFont="1" applyFill="1" applyBorder="1" applyAlignment="1">
      <alignment horizontal="right" vertical="center" shrinkToFit="1"/>
    </xf>
    <xf numFmtId="166" fontId="35" fillId="0" borderId="0" xfId="1" applyNumberFormat="1" applyFont="1" applyFill="1" applyBorder="1" applyAlignment="1">
      <alignment horizontal="right" vertical="center" shrinkToFit="1"/>
    </xf>
    <xf numFmtId="166" fontId="26" fillId="9" borderId="0" xfId="5" applyNumberFormat="1" applyFont="1" applyFill="1" applyBorder="1" applyAlignment="1">
      <alignment horizontal="right" vertical="center" shrinkToFit="1"/>
    </xf>
    <xf numFmtId="166" fontId="53" fillId="0" borderId="0" xfId="0" applyNumberFormat="1" applyFont="1"/>
    <xf numFmtId="166" fontId="34" fillId="9" borderId="0" xfId="5" applyNumberFormat="1" applyFont="1" applyFill="1" applyBorder="1" applyAlignment="1">
      <alignment horizontal="right" vertical="center" shrinkToFit="1"/>
    </xf>
    <xf numFmtId="166" fontId="34" fillId="0" borderId="0" xfId="5" applyNumberFormat="1" applyFont="1" applyFill="1" applyBorder="1" applyAlignment="1">
      <alignment horizontal="right" vertical="center" shrinkToFit="1"/>
    </xf>
    <xf numFmtId="166" fontId="25" fillId="0" borderId="0" xfId="5" applyNumberFormat="1" applyFont="1" applyFill="1" applyBorder="1" applyAlignment="1">
      <alignment horizontal="right" vertical="center" shrinkToFit="1"/>
    </xf>
    <xf numFmtId="167" fontId="38" fillId="0" borderId="0" xfId="1" applyNumberFormat="1" applyFont="1" applyBorder="1" applyAlignment="1">
      <alignment horizontal="right" shrinkToFit="1"/>
    </xf>
    <xf numFmtId="169" fontId="27" fillId="0" borderId="14" xfId="8" applyNumberFormat="1" applyFont="1" applyFill="1" applyBorder="1" applyAlignment="1">
      <alignment shrinkToFit="1"/>
    </xf>
    <xf numFmtId="169" fontId="23" fillId="0" borderId="14" xfId="1" applyNumberFormat="1" applyFont="1" applyFill="1" applyBorder="1" applyAlignment="1">
      <alignment shrinkToFit="1"/>
    </xf>
    <xf numFmtId="169" fontId="41" fillId="9" borderId="14" xfId="5" applyNumberFormat="1" applyFont="1" applyFill="1" applyBorder="1" applyAlignment="1">
      <alignment shrinkToFit="1"/>
    </xf>
    <xf numFmtId="169" fontId="26" fillId="0" borderId="20" xfId="5" applyNumberFormat="1" applyFont="1" applyFill="1" applyBorder="1" applyAlignment="1"/>
    <xf numFmtId="166" fontId="23" fillId="0" borderId="0" xfId="5" applyNumberFormat="1" applyFont="1"/>
    <xf numFmtId="169" fontId="31" fillId="7" borderId="13" xfId="6" applyNumberFormat="1" applyFont="1" applyFill="1" applyBorder="1" applyAlignment="1">
      <alignment horizontal="center" vertical="center" shrinkToFit="1"/>
    </xf>
    <xf numFmtId="169" fontId="33" fillId="7" borderId="13" xfId="0" applyNumberFormat="1" applyFont="1" applyFill="1" applyBorder="1" applyAlignment="1">
      <alignment horizontal="center" vertical="center" shrinkToFit="1"/>
    </xf>
    <xf numFmtId="169" fontId="26" fillId="0" borderId="23" xfId="5" applyNumberFormat="1" applyFont="1" applyFill="1" applyBorder="1" applyAlignment="1">
      <alignment shrinkToFit="1"/>
    </xf>
    <xf numFmtId="169" fontId="23" fillId="0" borderId="0" xfId="5" applyNumberFormat="1" applyFont="1" applyAlignment="1">
      <alignment shrinkToFit="1"/>
    </xf>
  </cellXfs>
  <cellStyles count="9">
    <cellStyle name="Comma" xfId="5" builtinId="3"/>
    <cellStyle name="Comma 3" xfId="3" xr:uid="{6A6F4485-2133-4BE5-97AB-93F8D279B147}"/>
    <cellStyle name="Comma 4 11" xfId="8" xr:uid="{080C550F-DEB7-49A0-93BD-4D297987F3A1}"/>
    <cellStyle name="Comma 5 2" xfId="4" xr:uid="{CB3BBDA9-8690-499C-9981-ED730A6E1908}"/>
    <cellStyle name="Normal" xfId="0" builtinId="0"/>
    <cellStyle name="Normal 2" xfId="2" xr:uid="{67283D3F-5A8E-486D-B5B1-0A18D7FA292A}"/>
    <cellStyle name="Percent" xfId="1" builtinId="5"/>
    <cellStyle name="パーセント 6" xfId="7" xr:uid="{44DF336D-A625-4270-B6FB-755731DFD432}"/>
    <cellStyle name="標準 10" xfId="6" xr:uid="{B24AC5C0-B765-40F9-8B85-332485FA622C}"/>
  </cellStyles>
  <dxfs count="58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6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6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  <protection locked="0" hidden="0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6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numFmt numFmtId="165" formatCode="_(* #.##0_);_(* \(#.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5" formatCode="_(* #.##0_);_(* \(#.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numFmt numFmtId="165" formatCode="_(* #.##0_);_(* \(#.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border diagonalUp="0" diagonalDown="0" outline="0">
        <left/>
        <right/>
        <top/>
        <bottom/>
      </border>
    </dxf>
    <dxf>
      <numFmt numFmtId="0" formatCode="General"/>
    </dxf>
    <dxf>
      <border diagonalUp="0" diagonalDown="0" outline="0">
        <left/>
        <right/>
        <top/>
        <bottom/>
      </border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Display"/>
        <family val="2"/>
        <scheme val="maj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numFmt numFmtId="165" formatCode="_(* #.##0_);_(* \(#.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413892</xdr:colOff>
      <xdr:row>0</xdr:row>
      <xdr:rowOff>54380</xdr:rowOff>
    </xdr:from>
    <xdr:to>
      <xdr:col>17</xdr:col>
      <xdr:colOff>579848</xdr:colOff>
      <xdr:row>0</xdr:row>
      <xdr:rowOff>198332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87E050E-C6E2-446A-B9F8-98428827E32C}"/>
            </a:ext>
          </a:extLst>
        </xdr:cNvPr>
        <xdr:cNvSpPr/>
      </xdr:nvSpPr>
      <xdr:spPr>
        <a:xfrm>
          <a:off x="5627242" y="54380"/>
          <a:ext cx="165956" cy="143952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413892</xdr:colOff>
      <xdr:row>0</xdr:row>
      <xdr:rowOff>54380</xdr:rowOff>
    </xdr:from>
    <xdr:to>
      <xdr:col>17</xdr:col>
      <xdr:colOff>579848</xdr:colOff>
      <xdr:row>0</xdr:row>
      <xdr:rowOff>198332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E62438AE-1141-4D0B-9BDF-2BD1834567EC}"/>
            </a:ext>
          </a:extLst>
        </xdr:cNvPr>
        <xdr:cNvSpPr/>
      </xdr:nvSpPr>
      <xdr:spPr>
        <a:xfrm>
          <a:off x="5627242" y="54380"/>
          <a:ext cx="165956" cy="143952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413892</xdr:colOff>
      <xdr:row>0</xdr:row>
      <xdr:rowOff>54380</xdr:rowOff>
    </xdr:from>
    <xdr:to>
      <xdr:col>17</xdr:col>
      <xdr:colOff>579848</xdr:colOff>
      <xdr:row>0</xdr:row>
      <xdr:rowOff>198332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257B2CED-0FE2-44DE-9B5F-5BA8A166E45B}"/>
            </a:ext>
          </a:extLst>
        </xdr:cNvPr>
        <xdr:cNvSpPr/>
      </xdr:nvSpPr>
      <xdr:spPr>
        <a:xfrm>
          <a:off x="5627242" y="54380"/>
          <a:ext cx="165956" cy="143952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413892</xdr:colOff>
      <xdr:row>0</xdr:row>
      <xdr:rowOff>54380</xdr:rowOff>
    </xdr:from>
    <xdr:to>
      <xdr:col>17</xdr:col>
      <xdr:colOff>579848</xdr:colOff>
      <xdr:row>0</xdr:row>
      <xdr:rowOff>198332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DEE1F2D-07CA-4499-975F-6D1C2D77872D}"/>
            </a:ext>
          </a:extLst>
        </xdr:cNvPr>
        <xdr:cNvSpPr/>
      </xdr:nvSpPr>
      <xdr:spPr>
        <a:xfrm>
          <a:off x="5627242" y="54380"/>
          <a:ext cx="165956" cy="143952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413892</xdr:colOff>
      <xdr:row>0</xdr:row>
      <xdr:rowOff>54380</xdr:rowOff>
    </xdr:from>
    <xdr:to>
      <xdr:col>17</xdr:col>
      <xdr:colOff>579848</xdr:colOff>
      <xdr:row>0</xdr:row>
      <xdr:rowOff>198332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455E8D6B-22BA-41C3-B766-32CD42B5548A}"/>
            </a:ext>
          </a:extLst>
        </xdr:cNvPr>
        <xdr:cNvSpPr/>
      </xdr:nvSpPr>
      <xdr:spPr>
        <a:xfrm>
          <a:off x="10923142" y="54380"/>
          <a:ext cx="165956" cy="143952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99153</xdr:colOff>
      <xdr:row>0</xdr:row>
      <xdr:rowOff>4685</xdr:rowOff>
    </xdr:from>
    <xdr:to>
      <xdr:col>19</xdr:col>
      <xdr:colOff>265109</xdr:colOff>
      <xdr:row>0</xdr:row>
      <xdr:rowOff>148637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6457D936-8322-4218-971B-C8C64F81E305}"/>
            </a:ext>
          </a:extLst>
        </xdr:cNvPr>
        <xdr:cNvSpPr/>
      </xdr:nvSpPr>
      <xdr:spPr>
        <a:xfrm>
          <a:off x="9541603" y="4685"/>
          <a:ext cx="165956" cy="143952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g&#226;n%20S&#225;ch%202026/NS%203%20tr&#7841;m_BC%2003.06/03.%20&#272;&#7841;i%20L&#7897;c/DLoc_Annual%20Plan%202026_V8_Op7_10.03.2026.xlsx" TargetMode="External"/><Relationship Id="rId2" Type="http://schemas.openxmlformats.org/officeDocument/2006/relationships/externalLinkPath" Target="file:///C:\Data\G&#272;%20T&#224;i%20ch&#237;nh\Ng&#226;n%20S&#225;ch%202026\NS%203%20tr&#7841;m_BC%2003.06\03.%20&#272;&#7841;i%20L&#7897;c\DLoc_Annual%20Plan%202026_V8_Op7_10.03.2026.xlsx" TargetMode="External"/><Relationship Id="rId1" Type="http://schemas.openxmlformats.org/officeDocument/2006/relationships/externalLinkPath" Target="/Data/G&#272;%20T&#224;i%20ch&#237;nh/Ng&#226;n%20S&#225;ch%202026/NS%203%20tr&#7841;m_BC%2003.06/03.%20&#272;&#7841;i%20L&#7897;c/DLoc_Annual%20Plan%202026_V8_Op7_10.03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B&#225;o%20c&#225;o%20Consolidate\D&#7919;%20li&#7879;u%20Th&#7885;%20Share\7_FS_Khanh%20Nga.xlsx" TargetMode="External"/><Relationship Id="rId1" Type="http://schemas.openxmlformats.org/officeDocument/2006/relationships/externalLinkPath" Target="7_FS_Khanh%20Ng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g&#226;n%20S&#225;ch%202026/NS%203%20tr&#7841;m_BC%2003.06/02.%20Kh&#225;nh%20Nga/DTG_Annual%20Plan%202026-%20Khanh%20Nga%206.xlsx" TargetMode="External"/><Relationship Id="rId2" Type="http://schemas.openxmlformats.org/officeDocument/2006/relationships/externalLinkPath" Target="file:///C:\Data\G&#272;%20T&#224;i%20ch&#237;nh\Ng&#226;n%20S&#225;ch%202026\NS%203%20tr&#7841;m_BC%2003.06\02.%20Kh&#225;nh%20Nga\DTG_Annual%20Plan%202026-%20Khanh%20Nga%206.xlsx" TargetMode="External"/><Relationship Id="rId1" Type="http://schemas.openxmlformats.org/officeDocument/2006/relationships/externalLinkPath" Target="/Data/G&#272;%20T&#224;i%20ch&#237;nh/Ng&#226;n%20S&#225;ch%202026/NS%203%20tr&#7841;m_BC%2003.06/02.%20Kh&#225;nh%20Nga/DTG_Annual%20Plan%202026-%20Khanh%20Nga%20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g&#226;n%20S&#225;ch%202026/NS%203%20tr&#7841;m_BC%2003.06/01.%20&#272;&#7891;ng%20L&#226;m/DTG_Annual%20Plan%202026%20-%20DongLam%20-%20Option%2018.03.2026.xlsx" TargetMode="External"/><Relationship Id="rId2" Type="http://schemas.openxmlformats.org/officeDocument/2006/relationships/externalLinkPath" Target="file:///C:\Data\G&#272;%20T&#224;i%20ch&#237;nh\Ng&#226;n%20S&#225;ch%202026\NS%203%20tr&#7841;m_BC%2003.06\01.%20&#272;&#7891;ng%20L&#226;m\DTG_Annual%20Plan%202026%20-%20DongLam%20-%20Option%2018.03.2026.xlsx" TargetMode="External"/><Relationship Id="rId1" Type="http://schemas.openxmlformats.org/officeDocument/2006/relationships/externalLinkPath" Target="/Data/G&#272;%20T&#224;i%20ch&#237;nh/Ng&#226;n%20S&#225;ch%202026/NS%203%20tr&#7841;m_BC%2003.06/01.%20&#272;&#7891;ng%20L&#226;m/DTG_Annual%20Plan%202026%20-%20DongLam%20-%20Option%2018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TM_Summary"/>
      <sheetName val="Timeline &amp; PIC"/>
      <sheetName val="Slicer"/>
      <sheetName val="NOTE"/>
      <sheetName val="Overview"/>
      <sheetName val="Assumption"/>
      <sheetName val="FS"/>
      <sheetName val="Overview NGANH PET"/>
      <sheetName val="FS PET"/>
      <sheetName val="CapEx"/>
      <sheetName val="Net Sales"/>
      <sheetName val="Data"/>
      <sheetName val="Other Sales"/>
      <sheetName val="VCOGs"/>
      <sheetName val="Salary"/>
      <sheetName val="OpEx"/>
      <sheetName val="FOH"/>
      <sheetName val="MKT"/>
      <sheetName val="ADM"/>
      <sheetName val="Direct Selling"/>
      <sheetName val="Depreciation"/>
      <sheetName val="PGM_phasing"/>
      <sheetName val="PGM"/>
      <sheetName val="Ratios"/>
      <sheetName val="FIN"/>
      <sheetName val="NWC"/>
      <sheetName val="CIT"/>
      <sheetName val="FCF"/>
      <sheetName val="P&amp;L by Elements"/>
      <sheetName val="Resin price"/>
      <sheetName val="Mapping Account"/>
      <sheetName val="Produce b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VN</v>
          </cell>
        </row>
      </sheetData>
      <sheetData sheetId="5">
        <row r="3">
          <cell r="L3" t="str">
            <v>2025E</v>
          </cell>
          <cell r="M3" t="str">
            <v>2026P</v>
          </cell>
          <cell r="N3" t="str">
            <v>2025 MTP</v>
          </cell>
          <cell r="O3" t="str">
            <v>2026 MTP</v>
          </cell>
          <cell r="P3" t="str">
            <v>2027 MTP</v>
          </cell>
          <cell r="Q3" t="str">
            <v>2028 MTP</v>
          </cell>
          <cell r="R3" t="str">
            <v>2029 MTP</v>
          </cell>
        </row>
      </sheetData>
      <sheetData sheetId="6">
        <row r="5">
          <cell r="N5">
            <v>4773663.5</v>
          </cell>
        </row>
      </sheetData>
      <sheetData sheetId="7" refreshError="1"/>
      <sheetData sheetId="8" refreshError="1"/>
      <sheetData sheetId="9">
        <row r="75">
          <cell r="O75">
            <v>12876808.333333334</v>
          </cell>
          <cell r="P75">
            <v>12876808.333333334</v>
          </cell>
          <cell r="Q75">
            <v>12876808.333333334</v>
          </cell>
          <cell r="R75">
            <v>12876808.333333334</v>
          </cell>
          <cell r="S75">
            <v>12876808.333333334</v>
          </cell>
          <cell r="T75">
            <v>12876808.333333334</v>
          </cell>
          <cell r="U75">
            <v>12876808.333333334</v>
          </cell>
          <cell r="V75">
            <v>12876808.333333334</v>
          </cell>
          <cell r="W75">
            <v>12876808.333333334</v>
          </cell>
          <cell r="X75">
            <v>30237919.444444448</v>
          </cell>
          <cell r="Y75">
            <v>30237919.444444448</v>
          </cell>
          <cell r="Z75">
            <v>30237919.444444448</v>
          </cell>
        </row>
      </sheetData>
      <sheetData sheetId="10">
        <row r="7">
          <cell r="F7">
            <v>4773663.5</v>
          </cell>
          <cell r="G7">
            <v>6939751</v>
          </cell>
          <cell r="H7">
            <v>9455737.7000000011</v>
          </cell>
          <cell r="I7">
            <v>9796523</v>
          </cell>
          <cell r="J7">
            <v>11700786</v>
          </cell>
          <cell r="L7">
            <v>760725</v>
          </cell>
          <cell r="M7">
            <v>591675</v>
          </cell>
          <cell r="N7">
            <v>845250</v>
          </cell>
          <cell r="O7">
            <v>1055250</v>
          </cell>
          <cell r="P7">
            <v>1055250</v>
          </cell>
          <cell r="Q7">
            <v>1055250</v>
          </cell>
          <cell r="R7">
            <v>1055250</v>
          </cell>
          <cell r="S7">
            <v>1055250</v>
          </cell>
          <cell r="T7">
            <v>1055250</v>
          </cell>
          <cell r="U7">
            <v>1057212</v>
          </cell>
          <cell r="V7">
            <v>1057212</v>
          </cell>
          <cell r="W7">
            <v>1057212</v>
          </cell>
        </row>
        <row r="22">
          <cell r="F22">
            <v>68779491098</v>
          </cell>
          <cell r="G22">
            <v>124696185425</v>
          </cell>
          <cell r="H22">
            <v>191356244415</v>
          </cell>
          <cell r="I22">
            <v>173927684403</v>
          </cell>
          <cell r="J22">
            <v>181115247500</v>
          </cell>
          <cell r="L22">
            <v>11515218750</v>
          </cell>
          <cell r="M22">
            <v>8956281250</v>
          </cell>
          <cell r="N22">
            <v>12794687500</v>
          </cell>
          <cell r="O22">
            <v>15974312500</v>
          </cell>
          <cell r="P22">
            <v>15974312500</v>
          </cell>
          <cell r="Q22">
            <v>15974312500</v>
          </cell>
          <cell r="R22">
            <v>15974312500</v>
          </cell>
          <cell r="S22">
            <v>15974312500</v>
          </cell>
          <cell r="T22">
            <v>15974312500</v>
          </cell>
          <cell r="U22">
            <v>17334395000</v>
          </cell>
          <cell r="V22">
            <v>17334395000</v>
          </cell>
          <cell r="W22">
            <v>17334395000</v>
          </cell>
        </row>
      </sheetData>
      <sheetData sheetId="11" refreshError="1"/>
      <sheetData sheetId="12" refreshError="1"/>
      <sheetData sheetId="13">
        <row r="3">
          <cell r="D3">
            <v>9000000000</v>
          </cell>
          <cell r="E3">
            <v>7000000000</v>
          </cell>
          <cell r="F3">
            <v>10000000000</v>
          </cell>
          <cell r="G3">
            <v>12500000000</v>
          </cell>
          <cell r="H3">
            <v>12500000000</v>
          </cell>
          <cell r="I3">
            <v>12500000000</v>
          </cell>
          <cell r="J3">
            <v>12500000000</v>
          </cell>
          <cell r="K3">
            <v>12500000000</v>
          </cell>
          <cell r="L3">
            <v>12500000000</v>
          </cell>
          <cell r="M3">
            <v>13000000000</v>
          </cell>
          <cell r="N3">
            <v>13000000000</v>
          </cell>
          <cell r="O3">
            <v>13000000000</v>
          </cell>
        </row>
        <row r="5">
          <cell r="D5">
            <v>699596097.03846157</v>
          </cell>
          <cell r="E5">
            <v>526971758.15384614</v>
          </cell>
          <cell r="F5">
            <v>790245595.07692313</v>
          </cell>
          <cell r="G5">
            <v>782977725.96153843</v>
          </cell>
          <cell r="H5">
            <v>795226879.15384614</v>
          </cell>
          <cell r="I5">
            <v>800667725.96153843</v>
          </cell>
          <cell r="J5">
            <v>826201238</v>
          </cell>
          <cell r="K5">
            <v>826201238</v>
          </cell>
          <cell r="L5">
            <v>761529136.03846157</v>
          </cell>
          <cell r="M5">
            <v>865764750.03846157</v>
          </cell>
          <cell r="N5">
            <v>865937725.96153843</v>
          </cell>
          <cell r="O5">
            <v>856091237.99999988</v>
          </cell>
        </row>
        <row r="6">
          <cell r="D6">
            <v>264703058.41379312</v>
          </cell>
          <cell r="E6">
            <v>205880156.54406133</v>
          </cell>
          <cell r="F6">
            <v>294114509.34865898</v>
          </cell>
          <cell r="G6">
            <v>367664190.30103999</v>
          </cell>
          <cell r="H6">
            <v>367664190.30103999</v>
          </cell>
          <cell r="I6">
            <v>367664190.30103999</v>
          </cell>
          <cell r="J6">
            <v>367664190.30103999</v>
          </cell>
          <cell r="K6">
            <v>367664190.30103999</v>
          </cell>
          <cell r="L6">
            <v>367664190.30103999</v>
          </cell>
          <cell r="M6">
            <v>600446081.21044207</v>
          </cell>
          <cell r="N6">
            <v>600446081.21044207</v>
          </cell>
          <cell r="O6">
            <v>600446081.21044207</v>
          </cell>
        </row>
        <row r="7">
          <cell r="D7">
            <v>115678431.81818181</v>
          </cell>
          <cell r="E7">
            <v>89972113.63636364</v>
          </cell>
          <cell r="F7">
            <v>128531590.90909091</v>
          </cell>
          <cell r="G7">
            <v>160712922.07792208</v>
          </cell>
          <cell r="H7">
            <v>160712922.07792208</v>
          </cell>
          <cell r="I7">
            <v>160712922.07792208</v>
          </cell>
          <cell r="J7">
            <v>160712922.07792208</v>
          </cell>
          <cell r="K7">
            <v>160712922.07792208</v>
          </cell>
          <cell r="L7">
            <v>160712922.07792208</v>
          </cell>
          <cell r="M7">
            <v>340096038.96103901</v>
          </cell>
          <cell r="N7">
            <v>340096038.96103895</v>
          </cell>
          <cell r="O7">
            <v>340096038.96103895</v>
          </cell>
        </row>
        <row r="8">
          <cell r="D8">
            <v>33298363.636363637</v>
          </cell>
          <cell r="E8">
            <v>25898727.272727273</v>
          </cell>
          <cell r="F8">
            <v>36998181.81818182</v>
          </cell>
          <cell r="G8">
            <v>46218068.181818187</v>
          </cell>
          <cell r="H8">
            <v>46218068.181818187</v>
          </cell>
          <cell r="I8">
            <v>46218068.181818187</v>
          </cell>
          <cell r="J8">
            <v>46218068.181818187</v>
          </cell>
          <cell r="K8">
            <v>46218068.181818187</v>
          </cell>
          <cell r="L8">
            <v>46218068.181818187</v>
          </cell>
          <cell r="M8">
            <v>63543975.909090899</v>
          </cell>
          <cell r="N8">
            <v>63543975.909090899</v>
          </cell>
          <cell r="O8">
            <v>63543975.909090899</v>
          </cell>
        </row>
        <row r="9">
          <cell r="D9">
            <v>10025500</v>
          </cell>
          <cell r="E9">
            <v>7116500</v>
          </cell>
          <cell r="F9">
            <v>7001500</v>
          </cell>
          <cell r="G9">
            <v>8541500</v>
          </cell>
          <cell r="H9">
            <v>7241500</v>
          </cell>
          <cell r="I9">
            <v>6899833</v>
          </cell>
          <cell r="J9">
            <v>6276500</v>
          </cell>
          <cell r="K9">
            <v>6391500</v>
          </cell>
          <cell r="L9">
            <v>6126500</v>
          </cell>
          <cell r="M9">
            <v>7666500</v>
          </cell>
          <cell r="N9">
            <v>6126500</v>
          </cell>
          <cell r="O9">
            <v>6241500</v>
          </cell>
        </row>
      </sheetData>
      <sheetData sheetId="14" refreshError="1"/>
      <sheetData sheetId="15" refreshError="1"/>
      <sheetData sheetId="16">
        <row r="37">
          <cell r="H37">
            <v>8916499038</v>
          </cell>
          <cell r="I37">
            <v>10572361634.58889</v>
          </cell>
          <cell r="J37">
            <v>8308582026</v>
          </cell>
          <cell r="K37">
            <v>8832454816.2344818</v>
          </cell>
          <cell r="T37">
            <v>686355974.73888886</v>
          </cell>
          <cell r="U37">
            <v>675488808.40555549</v>
          </cell>
          <cell r="V37">
            <v>663847266.40555549</v>
          </cell>
          <cell r="W37">
            <v>680138655.62777781</v>
          </cell>
          <cell r="X37">
            <v>705394489.91896558</v>
          </cell>
          <cell r="Y37">
            <v>724061615.87681985</v>
          </cell>
          <cell r="Z37">
            <v>733216268.98793101</v>
          </cell>
          <cell r="AA37">
            <v>740352291.32126439</v>
          </cell>
          <cell r="AB37">
            <v>787651735.09904218</v>
          </cell>
          <cell r="AC37">
            <v>794031190.32126439</v>
          </cell>
          <cell r="AD37">
            <v>819411315.32126451</v>
          </cell>
          <cell r="AE37">
            <v>828833319.21015334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H39">
            <v>3142390433.059298</v>
          </cell>
          <cell r="I39">
            <v>4025432673</v>
          </cell>
          <cell r="J39">
            <v>3451956017</v>
          </cell>
          <cell r="K39">
            <v>2622329031</v>
          </cell>
        </row>
        <row r="40">
          <cell r="H40">
            <v>460019705.94070202</v>
          </cell>
          <cell r="I40">
            <v>51559875.000000007</v>
          </cell>
          <cell r="J40">
            <v>608416929</v>
          </cell>
          <cell r="K40">
            <v>946294069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T46">
            <v>296914317.33333331</v>
          </cell>
          <cell r="U46">
            <v>294603662.33333331</v>
          </cell>
          <cell r="V46">
            <v>282254749.33333331</v>
          </cell>
          <cell r="W46">
            <v>305060166.33333331</v>
          </cell>
          <cell r="X46">
            <v>289775491.33333331</v>
          </cell>
          <cell r="Y46">
            <v>305322666.33333331</v>
          </cell>
          <cell r="Z46">
            <v>298077765.33333331</v>
          </cell>
          <cell r="AA46">
            <v>298077765.33333331</v>
          </cell>
          <cell r="AB46">
            <v>304968925.33333331</v>
          </cell>
          <cell r="AC46">
            <v>290167159.33333331</v>
          </cell>
          <cell r="AD46">
            <v>305322666.33333331</v>
          </cell>
          <cell r="AE46">
            <v>298077765.33333331</v>
          </cell>
        </row>
      </sheetData>
      <sheetData sheetId="17">
        <row r="37">
          <cell r="G37">
            <v>1864168000</v>
          </cell>
          <cell r="H37">
            <v>1630000000</v>
          </cell>
          <cell r="I37">
            <v>0</v>
          </cell>
          <cell r="J37">
            <v>0</v>
          </cell>
          <cell r="K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9">
          <cell r="I39">
            <v>0</v>
          </cell>
          <cell r="J39">
            <v>0</v>
          </cell>
          <cell r="K39">
            <v>0</v>
          </cell>
        </row>
        <row r="40">
          <cell r="I40">
            <v>0</v>
          </cell>
          <cell r="J40">
            <v>0</v>
          </cell>
          <cell r="K40">
            <v>0</v>
          </cell>
        </row>
        <row r="43"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I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</sheetData>
      <sheetData sheetId="18">
        <row r="37">
          <cell r="I37">
            <v>1146053334.8333335</v>
          </cell>
          <cell r="J37">
            <v>1009483127</v>
          </cell>
          <cell r="K37">
            <v>1429289092.723774</v>
          </cell>
          <cell r="T37">
            <v>117010994.88438857</v>
          </cell>
          <cell r="U37">
            <v>105427661.55105525</v>
          </cell>
          <cell r="V37">
            <v>150831828.21772191</v>
          </cell>
          <cell r="W37">
            <v>132767499.66216636</v>
          </cell>
          <cell r="X37">
            <v>127079999.66216636</v>
          </cell>
          <cell r="Y37">
            <v>111774444.1066108</v>
          </cell>
          <cell r="Z37">
            <v>108774444.1066108</v>
          </cell>
          <cell r="AA37">
            <v>139149444.1066108</v>
          </cell>
          <cell r="AB37">
            <v>112518194.1066108</v>
          </cell>
          <cell r="AC37">
            <v>107318194.1066108</v>
          </cell>
          <cell r="AD37">
            <v>107318194.1066108</v>
          </cell>
          <cell r="AE37">
            <v>109318194.1066108</v>
          </cell>
        </row>
        <row r="43">
          <cell r="T43">
            <v>-2643466.0175438598</v>
          </cell>
          <cell r="U43">
            <v>-2643466.0175438598</v>
          </cell>
          <cell r="V43">
            <v>-2643466.0175438598</v>
          </cell>
          <cell r="W43">
            <v>-2643466.0175438598</v>
          </cell>
          <cell r="X43">
            <v>-2643466.0175438598</v>
          </cell>
          <cell r="Y43">
            <v>-2643466.0175438598</v>
          </cell>
          <cell r="Z43">
            <v>-2643466.0175438598</v>
          </cell>
          <cell r="AA43">
            <v>-2643466.0175438598</v>
          </cell>
          <cell r="AB43">
            <v>-2643466.0175438598</v>
          </cell>
          <cell r="AC43">
            <v>-2643466.0175438598</v>
          </cell>
          <cell r="AD43">
            <v>-2643466.0175438598</v>
          </cell>
          <cell r="AE43">
            <v>-2643466.0175438598</v>
          </cell>
        </row>
        <row r="45">
          <cell r="I45">
            <v>2894287550</v>
          </cell>
          <cell r="J45">
            <v>2824889563</v>
          </cell>
          <cell r="T45">
            <v>429339488.04912281</v>
          </cell>
          <cell r="U45">
            <v>374745660.04912281</v>
          </cell>
          <cell r="V45">
            <v>358601059.04912281</v>
          </cell>
          <cell r="W45">
            <v>381501008.04912281</v>
          </cell>
          <cell r="X45">
            <v>368679302.54912281</v>
          </cell>
          <cell r="Y45">
            <v>546806007.34912276</v>
          </cell>
          <cell r="Z45">
            <v>374584131.14912277</v>
          </cell>
          <cell r="AA45">
            <v>374584130.94912285</v>
          </cell>
          <cell r="AB45">
            <v>379887857.64912283</v>
          </cell>
          <cell r="AC45">
            <v>366611810.98245615</v>
          </cell>
          <cell r="AD45">
            <v>382157299.98245615</v>
          </cell>
          <cell r="AE45">
            <v>374325423.98245615</v>
          </cell>
        </row>
      </sheetData>
      <sheetData sheetId="19">
        <row r="14">
          <cell r="G14">
            <v>1393501600</v>
          </cell>
          <cell r="H14">
            <v>1878089700</v>
          </cell>
          <cell r="I14">
            <v>2966087138</v>
          </cell>
          <cell r="J14">
            <v>3127900000</v>
          </cell>
          <cell r="K14">
            <v>3893696516.666667</v>
          </cell>
          <cell r="M14">
            <v>259100625</v>
          </cell>
          <cell r="N14">
            <v>201522708.33333331</v>
          </cell>
          <cell r="O14">
            <v>287889583.33333331</v>
          </cell>
          <cell r="P14">
            <v>359368750</v>
          </cell>
          <cell r="Q14">
            <v>359368750</v>
          </cell>
          <cell r="R14">
            <v>359368750</v>
          </cell>
          <cell r="S14">
            <v>359368750</v>
          </cell>
          <cell r="T14">
            <v>359368750</v>
          </cell>
          <cell r="U14">
            <v>359368750</v>
          </cell>
          <cell r="V14">
            <v>329657033.33333337</v>
          </cell>
          <cell r="W14">
            <v>329657033.33333337</v>
          </cell>
          <cell r="X14">
            <v>329657033.33333337</v>
          </cell>
        </row>
      </sheetData>
      <sheetData sheetId="20">
        <row r="4">
          <cell r="J4">
            <v>36032931529</v>
          </cell>
          <cell r="N4">
            <v>36032931529</v>
          </cell>
          <cell r="O4">
            <v>36032931529</v>
          </cell>
          <cell r="P4">
            <v>36032931529</v>
          </cell>
          <cell r="Q4">
            <v>36032931529</v>
          </cell>
          <cell r="R4">
            <v>36032931529</v>
          </cell>
          <cell r="S4">
            <v>36032931529</v>
          </cell>
          <cell r="T4">
            <v>36032931529</v>
          </cell>
          <cell r="U4">
            <v>36032931529</v>
          </cell>
          <cell r="V4">
            <v>36032931529</v>
          </cell>
          <cell r="W4">
            <v>36032931529</v>
          </cell>
          <cell r="X4">
            <v>36032931529</v>
          </cell>
          <cell r="Y4">
            <v>36032931529</v>
          </cell>
        </row>
        <row r="5">
          <cell r="J5">
            <v>-22672066933.666668</v>
          </cell>
          <cell r="N5">
            <v>-14639294280.73719</v>
          </cell>
          <cell r="O5">
            <v>-15016778893</v>
          </cell>
          <cell r="P5">
            <v>-15391699869.26281</v>
          </cell>
          <cell r="Q5">
            <v>-15766620845.52562</v>
          </cell>
          <cell r="R5">
            <v>-16141541821.788429</v>
          </cell>
          <cell r="S5">
            <v>-16516462798.051239</v>
          </cell>
          <cell r="T5">
            <v>-16891383774.314049</v>
          </cell>
          <cell r="U5">
            <v>-17266304750.576862</v>
          </cell>
          <cell r="V5">
            <v>-17641225726.839676</v>
          </cell>
          <cell r="W5">
            <v>-18033507814.2136</v>
          </cell>
          <cell r="X5">
            <v>-18425789901.587524</v>
          </cell>
          <cell r="Y5">
            <v>-18818071988.961449</v>
          </cell>
        </row>
        <row r="12">
          <cell r="N12">
            <v>430507331</v>
          </cell>
          <cell r="O12">
            <v>430507331</v>
          </cell>
          <cell r="P12">
            <v>430507331</v>
          </cell>
          <cell r="Q12">
            <v>430507331</v>
          </cell>
          <cell r="R12">
            <v>430507331</v>
          </cell>
          <cell r="S12">
            <v>430507331</v>
          </cell>
          <cell r="T12">
            <v>430507331</v>
          </cell>
          <cell r="U12">
            <v>430507331</v>
          </cell>
          <cell r="V12">
            <v>430507331</v>
          </cell>
          <cell r="W12">
            <v>430507331</v>
          </cell>
          <cell r="X12">
            <v>430507331</v>
          </cell>
          <cell r="Y12">
            <v>430507331</v>
          </cell>
        </row>
        <row r="13">
          <cell r="N13">
            <v>-260947872.01754385</v>
          </cell>
          <cell r="O13">
            <v>-263591338.0350877</v>
          </cell>
          <cell r="P13">
            <v>-266234804.05263156</v>
          </cell>
          <cell r="Q13">
            <v>-268878270.07017541</v>
          </cell>
          <cell r="R13">
            <v>-271521736.08771926</v>
          </cell>
          <cell r="S13">
            <v>-274165202.10526311</v>
          </cell>
          <cell r="T13">
            <v>-276808668.12280697</v>
          </cell>
          <cell r="U13">
            <v>-279452134.14035082</v>
          </cell>
          <cell r="V13">
            <v>-282095600.15789467</v>
          </cell>
          <cell r="W13">
            <v>-284739066.17543852</v>
          </cell>
          <cell r="X13">
            <v>-287382532.19298238</v>
          </cell>
          <cell r="Y13">
            <v>-290025998.21052623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34"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7">
          <cell r="H37">
            <v>3656836640</v>
          </cell>
          <cell r="I37">
            <v>6479181081</v>
          </cell>
          <cell r="J37">
            <v>-7655288040.666667</v>
          </cell>
          <cell r="K37">
            <v>-7149747122.666667</v>
          </cell>
          <cell r="L37">
            <v>-4556262320.4870672</v>
          </cell>
          <cell r="N37">
            <v>-377484612.26281118</v>
          </cell>
          <cell r="O37">
            <v>-377484612.26281118</v>
          </cell>
          <cell r="P37">
            <v>-374920976.26281118</v>
          </cell>
          <cell r="Q37">
            <v>-374920976.26281118</v>
          </cell>
          <cell r="R37">
            <v>-374920976.26281118</v>
          </cell>
          <cell r="S37">
            <v>-374920976.26281118</v>
          </cell>
          <cell r="T37">
            <v>-374920976.26281118</v>
          </cell>
          <cell r="U37">
            <v>-374920976.26281118</v>
          </cell>
          <cell r="V37">
            <v>-374920976.26281118</v>
          </cell>
          <cell r="W37">
            <v>-392282087.37392229</v>
          </cell>
          <cell r="X37">
            <v>-392282087.37392229</v>
          </cell>
          <cell r="Y37">
            <v>-392282087.37392229</v>
          </cell>
        </row>
        <row r="38">
          <cell r="L38">
            <v>0</v>
          </cell>
        </row>
        <row r="39">
          <cell r="H39">
            <v>92651466</v>
          </cell>
          <cell r="I39">
            <v>86101466</v>
          </cell>
          <cell r="J39">
            <v>-86101466</v>
          </cell>
          <cell r="K39">
            <v>-86101464</v>
          </cell>
          <cell r="L39">
            <v>-31721592.210526317</v>
          </cell>
        </row>
      </sheetData>
      <sheetData sheetId="21">
        <row r="25">
          <cell r="C25">
            <v>1010000</v>
          </cell>
          <cell r="D25">
            <v>1010000</v>
          </cell>
          <cell r="E25">
            <v>1010000</v>
          </cell>
          <cell r="F25">
            <v>1010000</v>
          </cell>
          <cell r="G25">
            <v>1010000</v>
          </cell>
          <cell r="H25">
            <v>1010000</v>
          </cell>
          <cell r="I25">
            <v>1010000</v>
          </cell>
          <cell r="J25">
            <v>1010000</v>
          </cell>
          <cell r="K25">
            <v>1010000</v>
          </cell>
          <cell r="L25">
            <v>1010000</v>
          </cell>
          <cell r="M25">
            <v>1010000</v>
          </cell>
          <cell r="N25">
            <v>1010000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</sheetData>
      <sheetData sheetId="22" refreshError="1"/>
      <sheetData sheetId="23" refreshError="1"/>
      <sheetData sheetId="24"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N7">
            <v>32770000000</v>
          </cell>
          <cell r="P7">
            <v>0</v>
          </cell>
        </row>
        <row r="15">
          <cell r="N15">
            <v>-19000000000</v>
          </cell>
          <cell r="O15">
            <v>0</v>
          </cell>
          <cell r="P15">
            <v>0</v>
          </cell>
          <cell r="Q15">
            <v>4055856697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23">
          <cell r="R23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8">
          <cell r="P28">
            <v>0</v>
          </cell>
          <cell r="Q28">
            <v>18373342323.534836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</sheetData>
      <sheetData sheetId="25">
        <row r="6">
          <cell r="L6">
            <v>1708166923.630137</v>
          </cell>
          <cell r="O6">
            <v>1919203125</v>
          </cell>
          <cell r="P6">
            <v>1492713541.6666665</v>
          </cell>
          <cell r="Q6">
            <v>2132447916.6666665</v>
          </cell>
          <cell r="R6">
            <v>2662385416.6666665</v>
          </cell>
          <cell r="S6">
            <v>2662385416.6666665</v>
          </cell>
          <cell r="T6">
            <v>2662385416.6666665</v>
          </cell>
          <cell r="U6">
            <v>2662385416.6666665</v>
          </cell>
          <cell r="V6">
            <v>2662385416.6666665</v>
          </cell>
          <cell r="W6">
            <v>2662385416.6666665</v>
          </cell>
          <cell r="X6">
            <v>2889065833.333333</v>
          </cell>
          <cell r="Y6">
            <v>2889065833.333333</v>
          </cell>
          <cell r="Z6">
            <v>2889065833.333333</v>
          </cell>
        </row>
        <row r="7">
          <cell r="L7">
            <v>10633093111.726332</v>
          </cell>
          <cell r="O7">
            <v>5480139924.1128559</v>
          </cell>
          <cell r="P7">
            <v>4388971555.2396145</v>
          </cell>
          <cell r="Q7">
            <v>6004041844.4943485</v>
          </cell>
          <cell r="R7">
            <v>7273281378.8815804</v>
          </cell>
          <cell r="S7">
            <v>7283044191.3738775</v>
          </cell>
          <cell r="T7">
            <v>7301390482.3977995</v>
          </cell>
          <cell r="U7">
            <v>7313906450.2676001</v>
          </cell>
          <cell r="V7">
            <v>7317290260.6898232</v>
          </cell>
          <cell r="W7">
            <v>7312275228.2040672</v>
          </cell>
          <cell r="X7">
            <v>7785705581.0244141</v>
          </cell>
          <cell r="Y7">
            <v>7803984264.7218494</v>
          </cell>
          <cell r="Z7">
            <v>7800458885.0212793</v>
          </cell>
        </row>
        <row r="8">
          <cell r="L8">
            <v>2658273277.9315829</v>
          </cell>
          <cell r="O8">
            <v>7045894188.1451006</v>
          </cell>
          <cell r="P8">
            <v>5642963428.1652193</v>
          </cell>
          <cell r="Q8">
            <v>7719482371.492734</v>
          </cell>
          <cell r="R8">
            <v>9351361772.8477459</v>
          </cell>
          <cell r="S8">
            <v>9363913960.3378429</v>
          </cell>
          <cell r="T8">
            <v>9387502048.7971706</v>
          </cell>
          <cell r="U8">
            <v>9403594007.4869137</v>
          </cell>
          <cell r="V8">
            <v>9407944620.8869152</v>
          </cell>
          <cell r="W8">
            <v>9401496721.9766579</v>
          </cell>
          <cell r="X8">
            <v>10010192889.888531</v>
          </cell>
          <cell r="Y8">
            <v>10033694054.642378</v>
          </cell>
          <cell r="Z8">
            <v>10029161423.598787</v>
          </cell>
        </row>
        <row r="9"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</sheetData>
      <sheetData sheetId="26">
        <row r="9">
          <cell r="S9">
            <v>0</v>
          </cell>
        </row>
        <row r="24">
          <cell r="S24">
            <v>0</v>
          </cell>
        </row>
      </sheetData>
      <sheetData sheetId="27">
        <row r="10">
          <cell r="AR10">
            <v>0</v>
          </cell>
          <cell r="AS10">
            <v>0</v>
          </cell>
          <cell r="BN10">
            <v>0</v>
          </cell>
          <cell r="CH10">
            <v>0</v>
          </cell>
        </row>
        <row r="11">
          <cell r="BN11">
            <v>0</v>
          </cell>
          <cell r="CH11">
            <v>0</v>
          </cell>
        </row>
        <row r="12">
          <cell r="AR12">
            <v>0</v>
          </cell>
          <cell r="AS12">
            <v>0</v>
          </cell>
          <cell r="BN12">
            <v>0</v>
          </cell>
          <cell r="CH12">
            <v>0</v>
          </cell>
        </row>
      </sheetData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ong tin"/>
      <sheetName val="BIA"/>
      <sheetName val="Index"/>
      <sheetName val="THTC in"/>
      <sheetName val="KQKD in"/>
      <sheetName val="LCTT_GT in"/>
      <sheetName val="Tinh hinh tai chinh"/>
      <sheetName val="Ket qua kinh doanh"/>
      <sheetName val="Luu chuyen tien te"/>
      <sheetName val="KQKD theo yeu to"/>
      <sheetName val="No vay"/>
      <sheetName val="Giao dich voi BLQ"/>
      <sheetName val="Phu luc S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BL8">
            <v>580.27200000000005</v>
          </cell>
          <cell r="BM8">
            <v>464.90899999999999</v>
          </cell>
          <cell r="BN8">
            <v>656.06799999999998</v>
          </cell>
          <cell r="BO8">
            <v>641.11400000000003</v>
          </cell>
        </row>
      </sheetData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TM_Summary"/>
      <sheetName val="Timeline &amp; PIC"/>
      <sheetName val="Slicer"/>
      <sheetName val="NOTE"/>
      <sheetName val="Overview"/>
      <sheetName val="Assumption"/>
      <sheetName val="FS"/>
      <sheetName val="CapEx"/>
      <sheetName val="Net Sales"/>
      <sheetName val="Data"/>
      <sheetName val="Other Sales"/>
      <sheetName val="VCOGs"/>
      <sheetName val="Salary"/>
      <sheetName val="OpEx"/>
      <sheetName val="FOH"/>
      <sheetName val="MKT"/>
      <sheetName val="ADM"/>
      <sheetName val="Direct Selling"/>
      <sheetName val="Depreciation"/>
      <sheetName val="PGM_phasing"/>
      <sheetName val="PGM"/>
      <sheetName val="Ratios"/>
      <sheetName val="FIN"/>
      <sheetName val="NWC"/>
      <sheetName val="CIT"/>
      <sheetName val="FCF"/>
      <sheetName val="P&amp;L by Elements"/>
      <sheetName val="Resin price"/>
      <sheetName val="Mapping Account"/>
      <sheetName val="Produce b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VN</v>
          </cell>
        </row>
      </sheetData>
      <sheetData sheetId="5">
        <row r="2">
          <cell r="L2" t="str">
            <v>Act 8+4</v>
          </cell>
        </row>
        <row r="3">
          <cell r="L3" t="str">
            <v>2025E</v>
          </cell>
          <cell r="M3" t="str">
            <v>2026P</v>
          </cell>
          <cell r="N3" t="str">
            <v>2027 MTP</v>
          </cell>
          <cell r="O3" t="str">
            <v>2028 MTP</v>
          </cell>
          <cell r="P3" t="str">
            <v>2029 MTP</v>
          </cell>
          <cell r="Q3" t="str">
            <v>2030 MTP</v>
          </cell>
          <cell r="R3" t="str">
            <v>2031 MTP</v>
          </cell>
        </row>
      </sheetData>
      <sheetData sheetId="6" refreshError="1"/>
      <sheetData sheetId="7">
        <row r="17">
          <cell r="G17">
            <v>5085043150</v>
          </cell>
          <cell r="H17">
            <v>1186489000</v>
          </cell>
          <cell r="I17">
            <v>2225328414</v>
          </cell>
          <cell r="J17">
            <v>3744325672</v>
          </cell>
        </row>
        <row r="75"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</sheetData>
      <sheetData sheetId="8">
        <row r="7">
          <cell r="F7">
            <v>5652770.5</v>
          </cell>
          <cell r="G7">
            <v>4895018.4000000004</v>
          </cell>
          <cell r="H7">
            <v>5922672.7999999998</v>
          </cell>
          <cell r="J7">
            <v>7116000</v>
          </cell>
          <cell r="L7">
            <v>533700</v>
          </cell>
          <cell r="M7">
            <v>400275</v>
          </cell>
          <cell r="N7">
            <v>578175</v>
          </cell>
          <cell r="O7">
            <v>622650</v>
          </cell>
          <cell r="P7">
            <v>622650</v>
          </cell>
          <cell r="Q7">
            <v>622650</v>
          </cell>
          <cell r="R7">
            <v>622650</v>
          </cell>
          <cell r="S7">
            <v>622650</v>
          </cell>
          <cell r="T7">
            <v>622650</v>
          </cell>
          <cell r="U7">
            <v>622650</v>
          </cell>
          <cell r="V7">
            <v>622650</v>
          </cell>
          <cell r="W7">
            <v>622650</v>
          </cell>
        </row>
        <row r="22">
          <cell r="F22">
            <v>78915665269</v>
          </cell>
          <cell r="G22">
            <v>74523104085</v>
          </cell>
          <cell r="H22">
            <v>103856134288</v>
          </cell>
          <cell r="J22">
            <v>99594000000</v>
          </cell>
          <cell r="L22">
            <v>7469550000</v>
          </cell>
          <cell r="M22">
            <v>5602162500</v>
          </cell>
          <cell r="N22">
            <v>8092012500</v>
          </cell>
          <cell r="O22">
            <v>8714475000</v>
          </cell>
          <cell r="P22">
            <v>8714475000</v>
          </cell>
          <cell r="Q22">
            <v>8714475000</v>
          </cell>
          <cell r="R22">
            <v>8714475000</v>
          </cell>
          <cell r="S22">
            <v>8714475000</v>
          </cell>
          <cell r="T22">
            <v>8714475000</v>
          </cell>
          <cell r="U22">
            <v>8714475000</v>
          </cell>
          <cell r="V22">
            <v>8714475000</v>
          </cell>
          <cell r="W22">
            <v>8714475000</v>
          </cell>
        </row>
      </sheetData>
      <sheetData sheetId="9" refreshError="1"/>
      <sheetData sheetId="10" refreshError="1"/>
      <sheetData sheetId="11">
        <row r="3">
          <cell r="D3">
            <v>5337000000</v>
          </cell>
          <cell r="E3">
            <v>4002750000</v>
          </cell>
          <cell r="F3">
            <v>5781750000</v>
          </cell>
          <cell r="G3">
            <v>6226500000</v>
          </cell>
          <cell r="H3">
            <v>6226500000</v>
          </cell>
          <cell r="I3">
            <v>6226500000</v>
          </cell>
          <cell r="J3">
            <v>6226500000</v>
          </cell>
          <cell r="K3">
            <v>6226500000</v>
          </cell>
          <cell r="L3">
            <v>6226500000</v>
          </cell>
          <cell r="M3">
            <v>6226500000</v>
          </cell>
          <cell r="N3">
            <v>6226500000</v>
          </cell>
          <cell r="O3">
            <v>6226500000</v>
          </cell>
        </row>
        <row r="4">
          <cell r="D4">
            <v>663000000</v>
          </cell>
          <cell r="E4">
            <v>497250000</v>
          </cell>
          <cell r="F4">
            <v>718250000</v>
          </cell>
          <cell r="G4">
            <v>773500000</v>
          </cell>
          <cell r="H4">
            <v>773500000</v>
          </cell>
          <cell r="I4">
            <v>773500000</v>
          </cell>
          <cell r="J4">
            <v>773500000</v>
          </cell>
          <cell r="K4">
            <v>773500000</v>
          </cell>
          <cell r="L4">
            <v>773500000</v>
          </cell>
          <cell r="M4">
            <v>773500000</v>
          </cell>
          <cell r="N4">
            <v>773500000</v>
          </cell>
          <cell r="O4">
            <v>773500000</v>
          </cell>
        </row>
        <row r="5">
          <cell r="D5">
            <v>409878578.2352941</v>
          </cell>
          <cell r="E5">
            <v>417703402.2352941</v>
          </cell>
          <cell r="F5">
            <v>399417185.2352941</v>
          </cell>
          <cell r="G5">
            <v>425647304.2352941</v>
          </cell>
          <cell r="H5">
            <v>400784828.2352941</v>
          </cell>
          <cell r="I5">
            <v>419433922.2352941</v>
          </cell>
          <cell r="J5">
            <v>450962373.2352941</v>
          </cell>
          <cell r="K5">
            <v>462928846.2352941</v>
          </cell>
          <cell r="L5">
            <v>455903505.2352941</v>
          </cell>
          <cell r="M5">
            <v>404478555.2352941</v>
          </cell>
          <cell r="N5">
            <v>419433922.2352941</v>
          </cell>
          <cell r="O5">
            <v>409079689.2352941</v>
          </cell>
        </row>
        <row r="6">
          <cell r="D6">
            <v>13305373.04347826</v>
          </cell>
          <cell r="E6">
            <v>9979029.7826086953</v>
          </cell>
          <cell r="F6">
            <v>14414154.130434783</v>
          </cell>
          <cell r="G6">
            <v>15522935.217391305</v>
          </cell>
          <cell r="H6">
            <v>15522935.217391305</v>
          </cell>
          <cell r="I6">
            <v>15522935.217391305</v>
          </cell>
          <cell r="J6">
            <v>15522935.217391305</v>
          </cell>
          <cell r="K6">
            <v>15522935.217391305</v>
          </cell>
          <cell r="L6">
            <v>15522935.217391305</v>
          </cell>
          <cell r="M6">
            <v>15522935.217391305</v>
          </cell>
          <cell r="N6">
            <v>15522935.217391305</v>
          </cell>
          <cell r="O6">
            <v>15522935.217391305</v>
          </cell>
        </row>
        <row r="7">
          <cell r="D7">
            <v>36467418.929457642</v>
          </cell>
          <cell r="E7">
            <v>27350564.19709323</v>
          </cell>
          <cell r="F7">
            <v>39506370.50691244</v>
          </cell>
          <cell r="G7">
            <v>42545322.084367245</v>
          </cell>
          <cell r="H7">
            <v>42545322.084367245</v>
          </cell>
          <cell r="I7">
            <v>42545322.084367245</v>
          </cell>
          <cell r="J7">
            <v>42545322.084367245</v>
          </cell>
          <cell r="K7">
            <v>42545322.084367245</v>
          </cell>
          <cell r="L7">
            <v>42545322.084367245</v>
          </cell>
          <cell r="M7">
            <v>42545322.084367245</v>
          </cell>
          <cell r="N7">
            <v>42545322.084367245</v>
          </cell>
          <cell r="O7">
            <v>42545322.084367245</v>
          </cell>
        </row>
        <row r="8">
          <cell r="D8">
            <v>9339750</v>
          </cell>
          <cell r="E8">
            <v>7004812.5</v>
          </cell>
          <cell r="F8">
            <v>10118062.5</v>
          </cell>
          <cell r="G8">
            <v>10896375</v>
          </cell>
          <cell r="H8">
            <v>10896375</v>
          </cell>
          <cell r="I8">
            <v>10896375</v>
          </cell>
          <cell r="J8">
            <v>10896375</v>
          </cell>
          <cell r="K8">
            <v>10896375</v>
          </cell>
          <cell r="L8">
            <v>10896375</v>
          </cell>
          <cell r="M8">
            <v>10896375</v>
          </cell>
          <cell r="N8">
            <v>10896375</v>
          </cell>
          <cell r="O8">
            <v>10896375</v>
          </cell>
        </row>
      </sheetData>
      <sheetData sheetId="12" refreshError="1"/>
      <sheetData sheetId="13" refreshError="1"/>
      <sheetData sheetId="14">
        <row r="37">
          <cell r="G37">
            <v>1774066555</v>
          </cell>
          <cell r="H37">
            <v>2162965329</v>
          </cell>
          <cell r="I37">
            <v>2145600000</v>
          </cell>
          <cell r="K37">
            <v>2853686796.3583465</v>
          </cell>
          <cell r="T37">
            <v>251981912.19236225</v>
          </cell>
          <cell r="U37">
            <v>240305181.29236224</v>
          </cell>
          <cell r="V37">
            <v>235017922.59236225</v>
          </cell>
          <cell r="W37">
            <v>241137138.59236225</v>
          </cell>
          <cell r="X37">
            <v>231549842.29236224</v>
          </cell>
          <cell r="Y37">
            <v>251844462.39236224</v>
          </cell>
          <cell r="Z37">
            <v>232259749.59236225</v>
          </cell>
          <cell r="AA37">
            <v>236829147.84236225</v>
          </cell>
          <cell r="AB37">
            <v>229004756.29236224</v>
          </cell>
          <cell r="AC37">
            <v>234039327.29236224</v>
          </cell>
          <cell r="AD37">
            <v>228327732.59236225</v>
          </cell>
          <cell r="AE37">
            <v>241389623.39236224</v>
          </cell>
        </row>
        <row r="38">
          <cell r="G38">
            <v>0</v>
          </cell>
          <cell r="H38">
            <v>0</v>
          </cell>
          <cell r="I38">
            <v>0</v>
          </cell>
          <cell r="K38">
            <v>0</v>
          </cell>
        </row>
        <row r="39">
          <cell r="G39">
            <v>264707795.15000004</v>
          </cell>
          <cell r="H39">
            <v>197432216</v>
          </cell>
          <cell r="I39">
            <v>828537058</v>
          </cell>
          <cell r="K39">
            <v>1615113555.6666665</v>
          </cell>
        </row>
        <row r="40">
          <cell r="G40">
            <v>55383445.350000001</v>
          </cell>
          <cell r="H40">
            <v>24799231</v>
          </cell>
          <cell r="I40">
            <v>272708440</v>
          </cell>
          <cell r="K40">
            <v>483791017.92647058</v>
          </cell>
        </row>
        <row r="44">
          <cell r="G44">
            <v>0</v>
          </cell>
          <cell r="H44">
            <v>0</v>
          </cell>
          <cell r="I44">
            <v>0</v>
          </cell>
          <cell r="K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K45">
            <v>0</v>
          </cell>
        </row>
        <row r="46">
          <cell r="T46">
            <v>174134542.99387252</v>
          </cell>
          <cell r="U46">
            <v>194504081.99387252</v>
          </cell>
          <cell r="V46">
            <v>166744825.16053921</v>
          </cell>
          <cell r="W46">
            <v>175928438.32720584</v>
          </cell>
          <cell r="X46">
            <v>168867143.8272059</v>
          </cell>
          <cell r="Y46">
            <v>174252739.99387252</v>
          </cell>
          <cell r="Z46">
            <v>175356325.66053921</v>
          </cell>
          <cell r="AA46">
            <v>176353098.99387252</v>
          </cell>
          <cell r="AB46">
            <v>179597610.66053921</v>
          </cell>
          <cell r="AC46">
            <v>167235572.99387252</v>
          </cell>
          <cell r="AD46">
            <v>175070573.99387252</v>
          </cell>
          <cell r="AE46">
            <v>170859618.99387252</v>
          </cell>
        </row>
      </sheetData>
      <sheetData sheetId="15"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9">
          <cell r="I39">
            <v>0</v>
          </cell>
          <cell r="J39">
            <v>0</v>
          </cell>
          <cell r="K39">
            <v>0</v>
          </cell>
        </row>
        <row r="40">
          <cell r="I40">
            <v>0</v>
          </cell>
          <cell r="J40">
            <v>0</v>
          </cell>
          <cell r="K40">
            <v>0</v>
          </cell>
        </row>
        <row r="43"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</sheetData>
      <sheetData sheetId="16">
        <row r="37">
          <cell r="G37">
            <v>222951436</v>
          </cell>
          <cell r="H37">
            <v>585003451</v>
          </cell>
          <cell r="I37">
            <v>392000000</v>
          </cell>
          <cell r="K37">
            <v>473988213.18193668</v>
          </cell>
          <cell r="T37">
            <v>47223556.529281765</v>
          </cell>
          <cell r="U37">
            <v>40055405.33205954</v>
          </cell>
          <cell r="V37">
            <v>39237493.33205954</v>
          </cell>
          <cell r="W37">
            <v>38070822.33205954</v>
          </cell>
          <cell r="X37">
            <v>42315814.33205954</v>
          </cell>
          <cell r="Y37">
            <v>37433140.33205954</v>
          </cell>
          <cell r="Z37">
            <v>38243975.33205954</v>
          </cell>
          <cell r="AA37">
            <v>36599492.33205954</v>
          </cell>
          <cell r="AB37">
            <v>37056503.33205954</v>
          </cell>
          <cell r="AC37">
            <v>36584003.33205954</v>
          </cell>
          <cell r="AD37">
            <v>36584003.33205954</v>
          </cell>
          <cell r="AE37">
            <v>44584003.33205954</v>
          </cell>
        </row>
        <row r="38">
          <cell r="G38">
            <v>750344536</v>
          </cell>
          <cell r="H38">
            <v>988310840</v>
          </cell>
          <cell r="I38">
            <v>2339099715.9999852</v>
          </cell>
        </row>
        <row r="39">
          <cell r="G39">
            <v>57900000</v>
          </cell>
          <cell r="H39">
            <v>139133331</v>
          </cell>
          <cell r="I39">
            <v>166099896</v>
          </cell>
        </row>
        <row r="40">
          <cell r="G40">
            <v>383220800</v>
          </cell>
          <cell r="H40">
            <v>309839206</v>
          </cell>
          <cell r="I40">
            <v>720010040</v>
          </cell>
        </row>
        <row r="43">
          <cell r="T43">
            <v>5327908.3333333349</v>
          </cell>
          <cell r="U43">
            <v>5327908.3333333349</v>
          </cell>
          <cell r="V43">
            <v>5327908.3333333349</v>
          </cell>
          <cell r="W43">
            <v>5327908.3333333349</v>
          </cell>
          <cell r="X43">
            <v>5327908.3333333349</v>
          </cell>
          <cell r="Y43">
            <v>5327908.3333333349</v>
          </cell>
          <cell r="Z43">
            <v>5327908.3333333349</v>
          </cell>
          <cell r="AA43">
            <v>5327908.3333333349</v>
          </cell>
          <cell r="AB43">
            <v>5327908.3333333349</v>
          </cell>
          <cell r="AC43">
            <v>5327908.3333333349</v>
          </cell>
          <cell r="AD43">
            <v>5327908.3333333349</v>
          </cell>
          <cell r="AE43">
            <v>5327908.3333333349</v>
          </cell>
        </row>
        <row r="45">
          <cell r="T45">
            <v>331368763.01328617</v>
          </cell>
          <cell r="U45">
            <v>336943686.01328617</v>
          </cell>
          <cell r="V45">
            <v>313560917.01328617</v>
          </cell>
          <cell r="W45">
            <v>316413686.01328617</v>
          </cell>
          <cell r="X45">
            <v>315829840.01328617</v>
          </cell>
          <cell r="Y45">
            <v>316413686.01328617</v>
          </cell>
          <cell r="Z45">
            <v>315462763.01328617</v>
          </cell>
          <cell r="AA45">
            <v>315462762.01328617</v>
          </cell>
          <cell r="AB45">
            <v>315370634.01328617</v>
          </cell>
          <cell r="AC45">
            <v>313056788.01328617</v>
          </cell>
          <cell r="AD45">
            <v>314958634.01328617</v>
          </cell>
          <cell r="AE45">
            <v>314007711.01328617</v>
          </cell>
        </row>
      </sheetData>
      <sheetData sheetId="17">
        <row r="14">
          <cell r="G14">
            <v>1478599034</v>
          </cell>
          <cell r="H14">
            <v>1294051828</v>
          </cell>
          <cell r="I14">
            <v>2236055280</v>
          </cell>
          <cell r="K14">
            <v>1386233766.2337661</v>
          </cell>
          <cell r="M14">
            <v>103967532.46753247</v>
          </cell>
          <cell r="N14">
            <v>77975649.350649357</v>
          </cell>
          <cell r="O14">
            <v>112631493.50649351</v>
          </cell>
          <cell r="P14">
            <v>121295454.54545455</v>
          </cell>
          <cell r="Q14">
            <v>121295454.54545455</v>
          </cell>
          <cell r="R14">
            <v>121295454.54545455</v>
          </cell>
          <cell r="S14">
            <v>121295454.54545455</v>
          </cell>
          <cell r="T14">
            <v>121295454.54545455</v>
          </cell>
          <cell r="U14">
            <v>121295454.54545455</v>
          </cell>
          <cell r="V14">
            <v>121295454.54545455</v>
          </cell>
          <cell r="W14">
            <v>121295454.54545455</v>
          </cell>
          <cell r="X14">
            <v>121295454.54545455</v>
          </cell>
        </row>
      </sheetData>
      <sheetData sheetId="18">
        <row r="4">
          <cell r="N4">
            <v>11503956236</v>
          </cell>
          <cell r="O4">
            <v>11503956236</v>
          </cell>
          <cell r="P4">
            <v>11503956236</v>
          </cell>
          <cell r="Q4">
            <v>11503956236</v>
          </cell>
          <cell r="R4">
            <v>11503956236</v>
          </cell>
          <cell r="S4">
            <v>11503956236</v>
          </cell>
          <cell r="T4">
            <v>11503956236</v>
          </cell>
          <cell r="U4">
            <v>11503956236</v>
          </cell>
          <cell r="V4">
            <v>11503956236</v>
          </cell>
          <cell r="W4">
            <v>11503956236</v>
          </cell>
          <cell r="X4">
            <v>11503956236</v>
          </cell>
          <cell r="Y4">
            <v>11503956236</v>
          </cell>
        </row>
        <row r="5">
          <cell r="N5">
            <v>-4952577487.0653477</v>
          </cell>
          <cell r="O5">
            <v>-5053470121.0631075</v>
          </cell>
          <cell r="P5">
            <v>-5162396948.6092548</v>
          </cell>
          <cell r="Q5">
            <v>-5273332324.5424986</v>
          </cell>
          <cell r="R5">
            <v>-5384267700.4757423</v>
          </cell>
          <cell r="S5">
            <v>-5495203076.4089861</v>
          </cell>
          <cell r="T5">
            <v>-5606138452.3422298</v>
          </cell>
          <cell r="U5">
            <v>-5717073828.2754736</v>
          </cell>
          <cell r="V5">
            <v>-5828009204.2087173</v>
          </cell>
          <cell r="W5">
            <v>-5938944580.1419611</v>
          </cell>
          <cell r="X5">
            <v>-6049879956.0752048</v>
          </cell>
          <cell r="Y5">
            <v>-6160815332.0084486</v>
          </cell>
        </row>
        <row r="12">
          <cell r="N12">
            <v>737230000</v>
          </cell>
          <cell r="O12">
            <v>737230000</v>
          </cell>
          <cell r="P12">
            <v>737230000</v>
          </cell>
          <cell r="Q12">
            <v>737230000</v>
          </cell>
          <cell r="R12">
            <v>737230000</v>
          </cell>
          <cell r="S12">
            <v>737230000</v>
          </cell>
          <cell r="T12">
            <v>737230000</v>
          </cell>
          <cell r="U12">
            <v>737230000</v>
          </cell>
          <cell r="V12">
            <v>737230000</v>
          </cell>
          <cell r="W12">
            <v>737230000</v>
          </cell>
          <cell r="X12">
            <v>737230000</v>
          </cell>
          <cell r="Y12">
            <v>737230000</v>
          </cell>
        </row>
        <row r="13">
          <cell r="N13">
            <v>-3839739.5833333349</v>
          </cell>
          <cell r="O13">
            <v>-7679479.1666666698</v>
          </cell>
          <cell r="P13">
            <v>-11519218.750000004</v>
          </cell>
          <cell r="Q13">
            <v>-15358958.33333334</v>
          </cell>
          <cell r="R13">
            <v>-19198697.916666675</v>
          </cell>
          <cell r="S13">
            <v>-23038437.500000011</v>
          </cell>
          <cell r="T13">
            <v>-26878177.083333347</v>
          </cell>
          <cell r="U13">
            <v>-30717916.666666683</v>
          </cell>
          <cell r="V13">
            <v>-34557656.250000015</v>
          </cell>
          <cell r="W13">
            <v>-38397395.833333351</v>
          </cell>
          <cell r="X13">
            <v>-42237135.416666687</v>
          </cell>
          <cell r="Y13">
            <v>-46076875.000000022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34">
          <cell r="K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7">
          <cell r="H37">
            <v>-1036408270</v>
          </cell>
          <cell r="I37">
            <v>-1382050356</v>
          </cell>
          <cell r="J37">
            <v>-2794084411</v>
          </cell>
          <cell r="N37">
            <v>-105.43011040905017</v>
          </cell>
          <cell r="O37">
            <v>-99.404465247759845</v>
          </cell>
          <cell r="P37">
            <v>-107.43865879614694</v>
          </cell>
          <cell r="Q37">
            <v>-109.44720718324372</v>
          </cell>
          <cell r="R37">
            <v>-109.44720718324372</v>
          </cell>
          <cell r="S37">
            <v>-109.44720718324372</v>
          </cell>
          <cell r="T37">
            <v>-109.44720718324372</v>
          </cell>
          <cell r="U37">
            <v>-109.44720718324372</v>
          </cell>
          <cell r="V37">
            <v>-109.44720718324372</v>
          </cell>
          <cell r="W37">
            <v>-109.44720718324372</v>
          </cell>
          <cell r="X37">
            <v>-109.44720718324372</v>
          </cell>
          <cell r="Y37">
            <v>-109.44720718324372</v>
          </cell>
          <cell r="Z37">
            <v>-1297.2980991021504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I39">
            <v>-13747942</v>
          </cell>
          <cell r="J39">
            <v>-60000000</v>
          </cell>
          <cell r="L39">
            <v>-63.93490000000002</v>
          </cell>
        </row>
        <row r="57">
          <cell r="I57">
            <v>-1395798298</v>
          </cell>
          <cell r="J57">
            <v>-2854084410.9062924</v>
          </cell>
        </row>
      </sheetData>
      <sheetData sheetId="19">
        <row r="25">
          <cell r="C25">
            <v>60000</v>
          </cell>
          <cell r="D25">
            <v>60000</v>
          </cell>
          <cell r="E25">
            <v>60000</v>
          </cell>
          <cell r="F25">
            <v>60000</v>
          </cell>
          <cell r="G25">
            <v>60000</v>
          </cell>
          <cell r="H25">
            <v>60000</v>
          </cell>
          <cell r="I25">
            <v>60000</v>
          </cell>
          <cell r="J25">
            <v>60000</v>
          </cell>
          <cell r="K25">
            <v>60000</v>
          </cell>
          <cell r="L25">
            <v>60000</v>
          </cell>
          <cell r="M25">
            <v>60000</v>
          </cell>
          <cell r="N25">
            <v>60000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43">
          <cell r="C43">
            <v>0</v>
          </cell>
          <cell r="D43">
            <v>0</v>
          </cell>
          <cell r="E43">
            <v>0</v>
          </cell>
        </row>
      </sheetData>
      <sheetData sheetId="20" refreshError="1"/>
      <sheetData sheetId="21" refreshError="1"/>
      <sheetData sheetId="22">
        <row r="6">
          <cell r="O6">
            <v>0</v>
          </cell>
          <cell r="P6">
            <v>0</v>
          </cell>
          <cell r="Q6">
            <v>0</v>
          </cell>
        </row>
        <row r="7">
          <cell r="Q7">
            <v>0</v>
          </cell>
        </row>
        <row r="9">
          <cell r="Q9">
            <v>0</v>
          </cell>
        </row>
        <row r="15">
          <cell r="O15">
            <v>0</v>
          </cell>
          <cell r="Q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23">
          <cell r="R23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8">
          <cell r="Q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36">
          <cell r="N36">
            <v>4823037</v>
          </cell>
          <cell r="O36">
            <v>438643</v>
          </cell>
          <cell r="R36">
            <v>720000</v>
          </cell>
        </row>
      </sheetData>
      <sheetData sheetId="23">
        <row r="6">
          <cell r="K6">
            <v>2088100650.1307054</v>
          </cell>
          <cell r="O6">
            <v>1742895000</v>
          </cell>
          <cell r="P6">
            <v>1307171250</v>
          </cell>
          <cell r="Q6">
            <v>1888136250</v>
          </cell>
          <cell r="R6">
            <v>2033377500</v>
          </cell>
          <cell r="S6">
            <v>2033377500</v>
          </cell>
          <cell r="T6">
            <v>2033377500</v>
          </cell>
          <cell r="U6">
            <v>2033377500</v>
          </cell>
          <cell r="V6">
            <v>2033377500</v>
          </cell>
          <cell r="W6">
            <v>2033377500</v>
          </cell>
          <cell r="X6">
            <v>2033377500</v>
          </cell>
          <cell r="Y6">
            <v>2033377500</v>
          </cell>
          <cell r="Z6">
            <v>2033377500</v>
          </cell>
        </row>
        <row r="7">
          <cell r="K7">
            <v>2119679335.1205242</v>
          </cell>
          <cell r="O7">
            <v>2368168406.0903487</v>
          </cell>
          <cell r="P7">
            <v>1858075728.8665466</v>
          </cell>
          <cell r="Q7">
            <v>2528429557.4760609</v>
          </cell>
          <cell r="R7">
            <v>2714140058.3951063</v>
          </cell>
          <cell r="S7">
            <v>2700303036.1284394</v>
          </cell>
          <cell r="T7">
            <v>2715079472.8839951</v>
          </cell>
          <cell r="U7">
            <v>2719428580.8395505</v>
          </cell>
          <cell r="V7">
            <v>2725272795.7006617</v>
          </cell>
          <cell r="W7">
            <v>2721404388.7395506</v>
          </cell>
          <cell r="X7">
            <v>2701820249.8506618</v>
          </cell>
          <cell r="Y7">
            <v>2707513174.2839952</v>
          </cell>
          <cell r="Z7">
            <v>2707012075.2173285</v>
          </cell>
        </row>
        <row r="8">
          <cell r="K8">
            <v>1030932425.9423375</v>
          </cell>
          <cell r="O8">
            <v>473633681.21806979</v>
          </cell>
          <cell r="P8">
            <v>371615145.77330935</v>
          </cell>
          <cell r="Q8">
            <v>505685911.49521226</v>
          </cell>
          <cell r="R8">
            <v>542828011.67902124</v>
          </cell>
          <cell r="S8">
            <v>540060607.22568786</v>
          </cell>
          <cell r="T8">
            <v>543015894.57679904</v>
          </cell>
          <cell r="U8">
            <v>543885716.1679101</v>
          </cell>
          <cell r="V8">
            <v>545054559.14013243</v>
          </cell>
          <cell r="W8">
            <v>544280877.74791014</v>
          </cell>
          <cell r="X8">
            <v>540364049.97013235</v>
          </cell>
          <cell r="Y8">
            <v>541502634.85679901</v>
          </cell>
          <cell r="Z8">
            <v>541402415.04346573</v>
          </cell>
        </row>
        <row r="9">
          <cell r="K9">
            <v>34782515.314573966</v>
          </cell>
          <cell r="O9">
            <v>3703337.0723706605</v>
          </cell>
          <cell r="P9">
            <v>6608992.2243806124</v>
          </cell>
          <cell r="Q9">
            <v>10562945.368505789</v>
          </cell>
          <cell r="R9">
            <v>14807312.226880889</v>
          </cell>
          <cell r="S9">
            <v>19030040.777186524</v>
          </cell>
          <cell r="T9">
            <v>23275876.690082442</v>
          </cell>
          <cell r="U9">
            <v>27528513.729402535</v>
          </cell>
          <cell r="V9">
            <v>31790289.940370385</v>
          </cell>
          <cell r="W9">
            <v>36046016.744178995</v>
          </cell>
          <cell r="X9">
            <v>40271117.910304412</v>
          </cell>
          <cell r="Y9">
            <v>44505121.660405688</v>
          </cell>
          <cell r="Z9">
            <v>48738341.792777009</v>
          </cell>
        </row>
      </sheetData>
      <sheetData sheetId="24" refreshError="1"/>
      <sheetData sheetId="25">
        <row r="10">
          <cell r="X10">
            <v>114814093</v>
          </cell>
          <cell r="AR10">
            <v>-59489094</v>
          </cell>
          <cell r="CH10">
            <v>0</v>
          </cell>
        </row>
      </sheetData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TM_Summary"/>
      <sheetName val="Timeline &amp; PIC"/>
      <sheetName val="Slicer"/>
      <sheetName val="Overview"/>
      <sheetName val="Assumption"/>
      <sheetName val="FS"/>
      <sheetName val="CapEx"/>
      <sheetName val="Net Sales"/>
      <sheetName val="Data"/>
      <sheetName val="Other Sales"/>
      <sheetName val="VCOGs"/>
      <sheetName val="Salary"/>
      <sheetName val="OpEx"/>
      <sheetName val="FOH"/>
      <sheetName val="MKT"/>
      <sheetName val="ADM"/>
      <sheetName val="Direct Selling"/>
      <sheetName val="Depreciation"/>
      <sheetName val="PGM_phasing"/>
      <sheetName val="PGM"/>
      <sheetName val="Ratios"/>
      <sheetName val="FIN"/>
      <sheetName val="NWC"/>
      <sheetName val="CIT"/>
      <sheetName val="FCF"/>
      <sheetName val="P&amp;L by Elements"/>
      <sheetName val="Mapping Account"/>
      <sheetName val="Produce by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VN</v>
          </cell>
        </row>
      </sheetData>
      <sheetData sheetId="4">
        <row r="3">
          <cell r="L3" t="str">
            <v>2025E</v>
          </cell>
          <cell r="M3" t="str">
            <v>2026P</v>
          </cell>
          <cell r="N3" t="str">
            <v>2027 MTP</v>
          </cell>
          <cell r="O3" t="str">
            <v>2028 MTP</v>
          </cell>
          <cell r="P3" t="str">
            <v>2029 MTP</v>
          </cell>
          <cell r="Q3" t="str">
            <v>2030 MTP</v>
          </cell>
          <cell r="R3" t="str">
            <v>2031 MTP</v>
          </cell>
        </row>
      </sheetData>
      <sheetData sheetId="5" refreshError="1"/>
      <sheetData sheetId="6">
        <row r="17">
          <cell r="J17">
            <v>15364673142</v>
          </cell>
        </row>
        <row r="75">
          <cell r="O75">
            <v>0</v>
          </cell>
          <cell r="P75">
            <v>1295000000</v>
          </cell>
          <cell r="Q75">
            <v>300000000</v>
          </cell>
          <cell r="R75">
            <v>2434000000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</sheetData>
      <sheetData sheetId="7">
        <row r="7">
          <cell r="F7">
            <v>3125610.5</v>
          </cell>
          <cell r="G7">
            <v>4267466</v>
          </cell>
          <cell r="H7">
            <v>4425375.5444444446</v>
          </cell>
          <cell r="I7">
            <v>5702390</v>
          </cell>
          <cell r="J7">
            <v>11305142</v>
          </cell>
          <cell r="L7">
            <v>667500</v>
          </cell>
          <cell r="M7">
            <v>400500</v>
          </cell>
          <cell r="N7">
            <v>884000</v>
          </cell>
          <cell r="O7">
            <v>984348</v>
          </cell>
          <cell r="P7">
            <v>1025362.5</v>
          </cell>
          <cell r="Q7">
            <v>1025362.5</v>
          </cell>
          <cell r="R7">
            <v>1066377</v>
          </cell>
          <cell r="S7">
            <v>1067144</v>
          </cell>
          <cell r="T7">
            <v>1026100</v>
          </cell>
          <cell r="U7">
            <v>1066546</v>
          </cell>
          <cell r="V7">
            <v>1025525</v>
          </cell>
          <cell r="W7">
            <v>1066377</v>
          </cell>
        </row>
        <row r="22">
          <cell r="F22">
            <v>44482013609</v>
          </cell>
          <cell r="G22">
            <v>63950445550</v>
          </cell>
          <cell r="H22">
            <v>77567743030.727997</v>
          </cell>
          <cell r="I22">
            <v>96184706621</v>
          </cell>
          <cell r="J22">
            <v>177488853750</v>
          </cell>
          <cell r="L22">
            <v>9420187500</v>
          </cell>
          <cell r="M22">
            <v>5652112500</v>
          </cell>
          <cell r="N22">
            <v>12443100000</v>
          </cell>
          <cell r="O22">
            <v>15779640000</v>
          </cell>
          <cell r="P22">
            <v>16437125000</v>
          </cell>
          <cell r="Q22">
            <v>16437125000</v>
          </cell>
          <cell r="R22">
            <v>17094610000</v>
          </cell>
          <cell r="S22">
            <v>17118140000</v>
          </cell>
          <cell r="T22">
            <v>16459750000</v>
          </cell>
          <cell r="U22">
            <v>17105172500</v>
          </cell>
          <cell r="V22">
            <v>16447281250</v>
          </cell>
          <cell r="W22">
            <v>17094610000</v>
          </cell>
        </row>
      </sheetData>
      <sheetData sheetId="8" refreshError="1"/>
      <sheetData sheetId="9" refreshError="1"/>
      <sheetData sheetId="10">
        <row r="3">
          <cell r="D3">
            <v>6547500000</v>
          </cell>
          <cell r="E3">
            <v>3847500000</v>
          </cell>
          <cell r="F3">
            <v>8950000000</v>
          </cell>
          <cell r="G3">
            <v>9981480000</v>
          </cell>
          <cell r="H3">
            <v>10397375000</v>
          </cell>
          <cell r="I3">
            <v>10397375000</v>
          </cell>
          <cell r="J3">
            <v>10813270000</v>
          </cell>
          <cell r="K3">
            <v>10814440000</v>
          </cell>
          <cell r="L3">
            <v>10398500000</v>
          </cell>
          <cell r="M3">
            <v>10814960000</v>
          </cell>
          <cell r="N3">
            <v>10399000000</v>
          </cell>
          <cell r="O3">
            <v>10813270000</v>
          </cell>
        </row>
        <row r="4">
          <cell r="D4">
            <v>727500000</v>
          </cell>
          <cell r="E4">
            <v>427500000</v>
          </cell>
          <cell r="F4">
            <v>1050000000</v>
          </cell>
          <cell r="G4">
            <v>2018520000</v>
          </cell>
          <cell r="H4">
            <v>2102625000</v>
          </cell>
          <cell r="I4">
            <v>2102625000</v>
          </cell>
          <cell r="J4">
            <v>2186730000</v>
          </cell>
          <cell r="K4">
            <v>2185560000</v>
          </cell>
          <cell r="L4">
            <v>2101500000</v>
          </cell>
          <cell r="M4">
            <v>2185040000</v>
          </cell>
          <cell r="N4">
            <v>2101000000</v>
          </cell>
          <cell r="O4">
            <v>2186730000</v>
          </cell>
        </row>
        <row r="5">
          <cell r="D5">
            <v>474779423.80000001</v>
          </cell>
          <cell r="E5">
            <v>363164942.5</v>
          </cell>
          <cell r="F5">
            <v>540987417.33333337</v>
          </cell>
          <cell r="G5">
            <v>721851158.33333337</v>
          </cell>
          <cell r="H5">
            <v>715197172.33333337</v>
          </cell>
          <cell r="I5">
            <v>729851158.33333337</v>
          </cell>
          <cell r="J5">
            <v>725974307.33333337</v>
          </cell>
          <cell r="K5">
            <v>683699016.33333337</v>
          </cell>
          <cell r="L5">
            <v>731876843.33333337</v>
          </cell>
          <cell r="M5">
            <v>713325979.33333337</v>
          </cell>
          <cell r="N5">
            <v>728878108.33333337</v>
          </cell>
          <cell r="O5">
            <v>725102057.33333337</v>
          </cell>
        </row>
        <row r="6">
          <cell r="D6">
            <v>107837893.50281118</v>
          </cell>
          <cell r="E6">
            <v>92983829.851686716</v>
          </cell>
          <cell r="F6">
            <v>181814605.87113869</v>
          </cell>
          <cell r="G6">
            <v>675183055.99877214</v>
          </cell>
          <cell r="H6">
            <v>806706110.60419607</v>
          </cell>
          <cell r="I6">
            <v>806706110.60419607</v>
          </cell>
          <cell r="J6">
            <v>838974355.02836394</v>
          </cell>
          <cell r="K6">
            <v>839299680.5699532</v>
          </cell>
          <cell r="L6">
            <v>807018923.62495494</v>
          </cell>
          <cell r="M6">
            <v>838616120.76343012</v>
          </cell>
          <cell r="N6">
            <v>806361654.5802213</v>
          </cell>
          <cell r="O6">
            <v>838974355.02836394</v>
          </cell>
        </row>
        <row r="7">
          <cell r="D7">
            <v>114415568.18181816</v>
          </cell>
          <cell r="E7">
            <v>68649340.909090891</v>
          </cell>
          <cell r="F7">
            <v>172928086.85537028</v>
          </cell>
          <cell r="G7">
            <v>446729492.22179139</v>
          </cell>
          <cell r="H7">
            <v>465343221.06436598</v>
          </cell>
          <cell r="I7">
            <v>465343221.06436598</v>
          </cell>
          <cell r="J7">
            <v>483956949.90694064</v>
          </cell>
          <cell r="K7">
            <v>484359080.40756238</v>
          </cell>
          <cell r="L7">
            <v>465729885.00727153</v>
          </cell>
          <cell r="M7">
            <v>483999505.94792342</v>
          </cell>
          <cell r="N7">
            <v>465384140.33454174</v>
          </cell>
          <cell r="O7">
            <v>483956949.90694064</v>
          </cell>
        </row>
        <row r="8">
          <cell r="D8">
            <v>18221015.897634741</v>
          </cell>
          <cell r="E8">
            <v>10932609.538580844</v>
          </cell>
          <cell r="F8">
            <v>24130903.450949982</v>
          </cell>
          <cell r="G8">
            <v>42320616.810994789</v>
          </cell>
          <cell r="H8">
            <v>44083975.844786234</v>
          </cell>
          <cell r="I8">
            <v>44083975.844786234</v>
          </cell>
          <cell r="J8">
            <v>45847334.878577687</v>
          </cell>
          <cell r="K8">
            <v>45880450.796260469</v>
          </cell>
          <cell r="L8">
            <v>44115818.07332737</v>
          </cell>
          <cell r="M8">
            <v>45849713.972413197</v>
          </cell>
          <cell r="N8">
            <v>44086263.435012691</v>
          </cell>
          <cell r="O8">
            <v>45847334.878577687</v>
          </cell>
        </row>
        <row r="9">
          <cell r="D9">
            <v>3000000</v>
          </cell>
          <cell r="E9">
            <v>3000000</v>
          </cell>
          <cell r="F9">
            <v>3000000</v>
          </cell>
          <cell r="G9">
            <v>8000000</v>
          </cell>
          <cell r="H9">
            <v>8000000</v>
          </cell>
          <cell r="I9">
            <v>8000000</v>
          </cell>
          <cell r="J9">
            <v>8000000</v>
          </cell>
          <cell r="K9">
            <v>8000000</v>
          </cell>
          <cell r="L9">
            <v>8000000</v>
          </cell>
          <cell r="M9">
            <v>8000000</v>
          </cell>
          <cell r="N9">
            <v>8000000</v>
          </cell>
          <cell r="O9">
            <v>8000000</v>
          </cell>
        </row>
      </sheetData>
      <sheetData sheetId="11" refreshError="1"/>
      <sheetData sheetId="12" refreshError="1"/>
      <sheetData sheetId="13">
        <row r="37">
          <cell r="G37">
            <v>144983595</v>
          </cell>
          <cell r="H37">
            <v>640440296</v>
          </cell>
          <cell r="I37">
            <v>1294067859.4168243</v>
          </cell>
          <cell r="J37">
            <v>709529570</v>
          </cell>
          <cell r="K37">
            <v>5201509786.666667</v>
          </cell>
          <cell r="T37">
            <v>102020462.66666667</v>
          </cell>
          <cell r="U37">
            <v>116991288</v>
          </cell>
          <cell r="V37">
            <v>195959410.33333331</v>
          </cell>
          <cell r="W37">
            <v>455213761.8888889</v>
          </cell>
          <cell r="X37">
            <v>510864241.55555558</v>
          </cell>
          <cell r="Y37">
            <v>518214056.8888889</v>
          </cell>
          <cell r="Z37">
            <v>548206436.11111116</v>
          </cell>
          <cell r="AA37">
            <v>550232225.11111116</v>
          </cell>
          <cell r="AB37">
            <v>553075540.77777779</v>
          </cell>
          <cell r="AC37">
            <v>552682263.77777779</v>
          </cell>
          <cell r="AD37">
            <v>552872263.77777779</v>
          </cell>
          <cell r="AE37">
            <v>545177835.77777779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G39">
            <v>348472626.58333331</v>
          </cell>
          <cell r="H39">
            <v>435888096</v>
          </cell>
          <cell r="I39">
            <v>1556763668</v>
          </cell>
          <cell r="J39">
            <v>975429241</v>
          </cell>
          <cell r="K39">
            <v>2789187174.5999999</v>
          </cell>
        </row>
        <row r="40">
          <cell r="G40">
            <v>50095705.893590003</v>
          </cell>
          <cell r="H40">
            <v>94769741</v>
          </cell>
          <cell r="I40">
            <v>515609442</v>
          </cell>
          <cell r="J40">
            <v>225985828</v>
          </cell>
          <cell r="K40">
            <v>1072804737.826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T46">
            <v>193199593.5</v>
          </cell>
          <cell r="U46">
            <v>114974230.82600001</v>
          </cell>
          <cell r="V46">
            <v>207945144.09999999</v>
          </cell>
          <cell r="W46">
            <v>378400505</v>
          </cell>
          <cell r="X46">
            <v>365430740</v>
          </cell>
          <cell r="Y46">
            <v>378400505</v>
          </cell>
          <cell r="Z46">
            <v>368841683</v>
          </cell>
          <cell r="AA46">
            <v>368646707</v>
          </cell>
          <cell r="AB46">
            <v>380383257</v>
          </cell>
          <cell r="AC46">
            <v>359087027</v>
          </cell>
          <cell r="AD46">
            <v>378092671</v>
          </cell>
          <cell r="AE46">
            <v>368589849</v>
          </cell>
        </row>
      </sheetData>
      <sheetData sheetId="14"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9">
          <cell r="I39">
            <v>0</v>
          </cell>
          <cell r="J39">
            <v>0</v>
          </cell>
          <cell r="K39">
            <v>0</v>
          </cell>
        </row>
        <row r="40">
          <cell r="I40">
            <v>0</v>
          </cell>
          <cell r="J40">
            <v>0</v>
          </cell>
          <cell r="K40">
            <v>0</v>
          </cell>
        </row>
        <row r="43"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</sheetData>
      <sheetData sheetId="15">
        <row r="37">
          <cell r="G37">
            <v>1078905811</v>
          </cell>
          <cell r="H37">
            <v>1099966075</v>
          </cell>
          <cell r="I37">
            <v>775640537.16666698</v>
          </cell>
          <cell r="J37">
            <v>555431179</v>
          </cell>
          <cell r="K37">
            <v>1174527900.3703704</v>
          </cell>
          <cell r="T37">
            <v>80071159</v>
          </cell>
          <cell r="U37">
            <v>91823862</v>
          </cell>
          <cell r="V37">
            <v>93538165.333333343</v>
          </cell>
          <cell r="W37">
            <v>90103147</v>
          </cell>
          <cell r="X37">
            <v>92721331</v>
          </cell>
          <cell r="Y37">
            <v>97741283.148148149</v>
          </cell>
          <cell r="Z37">
            <v>102488267.14814815</v>
          </cell>
          <cell r="AA37">
            <v>97401525.148148149</v>
          </cell>
          <cell r="AB37">
            <v>117264764.14814815</v>
          </cell>
          <cell r="AC37">
            <v>112219972.14814815</v>
          </cell>
          <cell r="AD37">
            <v>97219990.148148149</v>
          </cell>
          <cell r="AE37">
            <v>101934434.14814815</v>
          </cell>
        </row>
        <row r="38">
          <cell r="G38">
            <v>423637255</v>
          </cell>
          <cell r="H38">
            <v>369969538</v>
          </cell>
          <cell r="I38">
            <v>851481816</v>
          </cell>
          <cell r="J38">
            <v>904724935</v>
          </cell>
        </row>
        <row r="39">
          <cell r="G39">
            <v>45906609.935538083</v>
          </cell>
          <cell r="H39">
            <v>28125001</v>
          </cell>
          <cell r="I39">
            <v>60617616</v>
          </cell>
          <cell r="J39">
            <v>108818333</v>
          </cell>
        </row>
        <row r="40">
          <cell r="G40">
            <v>128972165.06446192</v>
          </cell>
          <cell r="H40">
            <v>145342062</v>
          </cell>
          <cell r="I40">
            <v>386507674</v>
          </cell>
          <cell r="J40">
            <v>476153945</v>
          </cell>
        </row>
        <row r="42">
          <cell r="G42">
            <v>120525864</v>
          </cell>
        </row>
        <row r="43">
          <cell r="G43">
            <v>122582375</v>
          </cell>
          <cell r="H43">
            <v>14347824</v>
          </cell>
          <cell r="I43">
            <v>57506111.000000358</v>
          </cell>
          <cell r="J43">
            <v>186961564</v>
          </cell>
          <cell r="K43">
            <v>124654947</v>
          </cell>
          <cell r="T43">
            <v>8512912.25</v>
          </cell>
          <cell r="U43">
            <v>8512912.25</v>
          </cell>
          <cell r="V43">
            <v>8512912.25</v>
          </cell>
          <cell r="W43">
            <v>11012912.25</v>
          </cell>
          <cell r="X43">
            <v>11012912.25</v>
          </cell>
          <cell r="Y43">
            <v>11012912.25</v>
          </cell>
          <cell r="Z43">
            <v>11012912.25</v>
          </cell>
          <cell r="AA43">
            <v>11012912.25</v>
          </cell>
          <cell r="AB43">
            <v>11012912.25</v>
          </cell>
          <cell r="AC43">
            <v>11012912.25</v>
          </cell>
          <cell r="AD43">
            <v>11012912.25</v>
          </cell>
          <cell r="AE43">
            <v>11012912.25</v>
          </cell>
        </row>
        <row r="45">
          <cell r="T45">
            <v>189310182.25</v>
          </cell>
          <cell r="U45">
            <v>242081486.25</v>
          </cell>
          <cell r="V45">
            <v>196154300.91666666</v>
          </cell>
          <cell r="W45">
            <v>260992678.25</v>
          </cell>
          <cell r="X45">
            <v>252240912.25</v>
          </cell>
          <cell r="Y45">
            <v>260992678.25</v>
          </cell>
          <cell r="Z45">
            <v>275014395.25</v>
          </cell>
          <cell r="AA45">
            <v>451791109.25</v>
          </cell>
          <cell r="AB45">
            <v>262380195.25</v>
          </cell>
          <cell r="AC45">
            <v>248972962.25</v>
          </cell>
          <cell r="AD45">
            <v>260579666.25</v>
          </cell>
          <cell r="AE45">
            <v>274623783.25</v>
          </cell>
        </row>
      </sheetData>
      <sheetData sheetId="16">
        <row r="14">
          <cell r="G14">
            <v>1365150000</v>
          </cell>
          <cell r="H14">
            <v>1040686400</v>
          </cell>
          <cell r="I14">
            <v>1625463886.1111112</v>
          </cell>
          <cell r="J14">
            <v>2125300000</v>
          </cell>
          <cell r="K14">
            <v>3799518440</v>
          </cell>
          <cell r="M14">
            <v>267000000</v>
          </cell>
          <cell r="N14">
            <v>160200000</v>
          </cell>
          <cell r="O14">
            <v>353600000</v>
          </cell>
          <cell r="P14">
            <v>317703360</v>
          </cell>
          <cell r="Q14">
            <v>330941000</v>
          </cell>
          <cell r="R14">
            <v>330941000</v>
          </cell>
          <cell r="S14">
            <v>344178640</v>
          </cell>
          <cell r="T14">
            <v>344398080</v>
          </cell>
          <cell r="U14">
            <v>331152000</v>
          </cell>
          <cell r="V14">
            <v>344232720</v>
          </cell>
          <cell r="W14">
            <v>330993000</v>
          </cell>
          <cell r="X14">
            <v>344178640</v>
          </cell>
        </row>
      </sheetData>
      <sheetData sheetId="17">
        <row r="4">
          <cell r="N4">
            <v>36199766121</v>
          </cell>
          <cell r="O4">
            <v>37237766121</v>
          </cell>
          <cell r="P4">
            <v>37537766121</v>
          </cell>
          <cell r="Q4">
            <v>38861766121</v>
          </cell>
          <cell r="R4">
            <v>38861766121</v>
          </cell>
          <cell r="S4">
            <v>38861766121</v>
          </cell>
          <cell r="T4">
            <v>38861766121</v>
          </cell>
          <cell r="U4">
            <v>38861766121</v>
          </cell>
          <cell r="V4">
            <v>38861766121</v>
          </cell>
          <cell r="W4">
            <v>38861766121</v>
          </cell>
          <cell r="X4">
            <v>38861766121</v>
          </cell>
          <cell r="Y4">
            <v>38861766121</v>
          </cell>
        </row>
        <row r="12">
          <cell r="N12">
            <v>312000000</v>
          </cell>
          <cell r="O12">
            <v>312000000</v>
          </cell>
          <cell r="P12">
            <v>312000000</v>
          </cell>
          <cell r="Q12">
            <v>312000000</v>
          </cell>
          <cell r="R12">
            <v>312000000</v>
          </cell>
          <cell r="S12">
            <v>312000000</v>
          </cell>
          <cell r="T12">
            <v>312000000</v>
          </cell>
          <cell r="U12">
            <v>312000000</v>
          </cell>
          <cell r="V12">
            <v>312000000</v>
          </cell>
          <cell r="W12">
            <v>312000000</v>
          </cell>
          <cell r="X12">
            <v>312000000</v>
          </cell>
          <cell r="Y12">
            <v>312000000</v>
          </cell>
        </row>
        <row r="13">
          <cell r="N13">
            <v>-61206406.25</v>
          </cell>
          <cell r="O13">
            <v>-67412812.5</v>
          </cell>
          <cell r="P13">
            <v>-73619218.75</v>
          </cell>
          <cell r="Q13">
            <v>-79825625</v>
          </cell>
          <cell r="R13">
            <v>-86032031.25</v>
          </cell>
          <cell r="S13">
            <v>-92238437.5</v>
          </cell>
          <cell r="T13">
            <v>-98444843.75</v>
          </cell>
          <cell r="U13">
            <v>-104651250</v>
          </cell>
          <cell r="V13">
            <v>-110857656.25</v>
          </cell>
          <cell r="W13">
            <v>-117064062.5</v>
          </cell>
          <cell r="X13">
            <v>-123270468.75</v>
          </cell>
          <cell r="Y13">
            <v>-129476875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34">
          <cell r="K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7">
          <cell r="H37">
            <v>-2781645223</v>
          </cell>
          <cell r="I37">
            <v>-3963471515</v>
          </cell>
          <cell r="J37">
            <v>-4480877937</v>
          </cell>
          <cell r="K37">
            <v>-3851337229</v>
          </cell>
          <cell r="N37">
            <v>-189.68351421666668</v>
          </cell>
          <cell r="O37">
            <v>-190.04462499444446</v>
          </cell>
          <cell r="P37">
            <v>-204.21129166111115</v>
          </cell>
          <cell r="Q37">
            <v>-240.69740277222229</v>
          </cell>
          <cell r="R37">
            <v>-240.69740277222229</v>
          </cell>
          <cell r="S37">
            <v>-240.69740277222229</v>
          </cell>
          <cell r="T37">
            <v>-240.69740277222229</v>
          </cell>
          <cell r="U37">
            <v>-240.69740277222229</v>
          </cell>
          <cell r="V37">
            <v>-240.69740277222229</v>
          </cell>
          <cell r="W37">
            <v>-240.69740277222229</v>
          </cell>
          <cell r="X37">
            <v>-240.69740277222229</v>
          </cell>
          <cell r="Y37">
            <v>-234.58629177222227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57">
          <cell r="J57">
            <v>4538384049</v>
          </cell>
        </row>
      </sheetData>
      <sheetData sheetId="18">
        <row r="25">
          <cell r="C25">
            <v>20000000</v>
          </cell>
          <cell r="D25">
            <v>20000000</v>
          </cell>
          <cell r="E25">
            <v>20000000</v>
          </cell>
          <cell r="F25">
            <v>10000000</v>
          </cell>
          <cell r="G25">
            <v>10000000</v>
          </cell>
          <cell r="H25">
            <v>10000000</v>
          </cell>
          <cell r="I25">
            <v>10000000</v>
          </cell>
          <cell r="J25">
            <v>10000000</v>
          </cell>
          <cell r="K25">
            <v>10000000</v>
          </cell>
          <cell r="L25">
            <v>10000000</v>
          </cell>
          <cell r="M25">
            <v>10000000</v>
          </cell>
          <cell r="N25">
            <v>10000000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</sheetData>
      <sheetData sheetId="19" refreshError="1"/>
      <sheetData sheetId="20" refreshError="1"/>
      <sheetData sheetId="21">
        <row r="6">
          <cell r="O6">
            <v>0</v>
          </cell>
          <cell r="P6">
            <v>0</v>
          </cell>
          <cell r="Q6">
            <v>0</v>
          </cell>
        </row>
        <row r="7">
          <cell r="Q7">
            <v>0</v>
          </cell>
        </row>
        <row r="9">
          <cell r="Q9">
            <v>0</v>
          </cell>
        </row>
        <row r="15">
          <cell r="O15">
            <v>0</v>
          </cell>
          <cell r="Q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23">
          <cell r="R23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8">
          <cell r="Q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36">
          <cell r="N36">
            <v>27142139</v>
          </cell>
          <cell r="O36">
            <v>52016376</v>
          </cell>
          <cell r="P36">
            <v>74500000</v>
          </cell>
          <cell r="Q36">
            <v>318990785</v>
          </cell>
          <cell r="R36">
            <v>150000000</v>
          </cell>
        </row>
      </sheetData>
      <sheetData sheetId="22">
        <row r="6">
          <cell r="K6">
            <v>1559554048.1266427</v>
          </cell>
          <cell r="O6">
            <v>2198043750</v>
          </cell>
          <cell r="P6">
            <v>1318826250</v>
          </cell>
          <cell r="Q6">
            <v>2903390000</v>
          </cell>
          <cell r="R6">
            <v>3681916000</v>
          </cell>
          <cell r="S6">
            <v>3835329166.6666665</v>
          </cell>
          <cell r="T6">
            <v>3835329166.6666665</v>
          </cell>
          <cell r="U6">
            <v>3988742333.3333335</v>
          </cell>
          <cell r="V6">
            <v>3994232666.6666665</v>
          </cell>
          <cell r="W6">
            <v>3840608333.3333335</v>
          </cell>
          <cell r="X6">
            <v>3991206916.6666665</v>
          </cell>
          <cell r="Y6">
            <v>3837698958.3333335</v>
          </cell>
          <cell r="Z6">
            <v>3988742333.3333335</v>
          </cell>
        </row>
        <row r="7">
          <cell r="K7">
            <v>1659096220.6454532</v>
          </cell>
          <cell r="O7">
            <v>2425000000</v>
          </cell>
          <cell r="P7">
            <v>1425000000</v>
          </cell>
          <cell r="Q7">
            <v>3333333333.333333</v>
          </cell>
          <cell r="R7">
            <v>4000000000</v>
          </cell>
          <cell r="S7">
            <v>4166666666.6666665</v>
          </cell>
          <cell r="T7">
            <v>4166666666.6666665</v>
          </cell>
          <cell r="U7">
            <v>4333333333.333333</v>
          </cell>
          <cell r="V7">
            <v>4333333333.333333</v>
          </cell>
          <cell r="W7">
            <v>4166666666.6666665</v>
          </cell>
          <cell r="X7">
            <v>4333333333.333333</v>
          </cell>
          <cell r="Y7">
            <v>4166666666.6666665</v>
          </cell>
          <cell r="Z7">
            <v>4333333333.333333</v>
          </cell>
        </row>
        <row r="8">
          <cell r="K8">
            <v>806922095.84829831</v>
          </cell>
          <cell r="O8">
            <v>583010498.11770654</v>
          </cell>
          <cell r="P8">
            <v>359729391.10798687</v>
          </cell>
          <cell r="Q8">
            <v>792305123.97368252</v>
          </cell>
          <cell r="R8">
            <v>1019073290.2017336</v>
          </cell>
          <cell r="S8">
            <v>1065817590.9449639</v>
          </cell>
          <cell r="T8">
            <v>1068149162.0338529</v>
          </cell>
          <cell r="U8">
            <v>1106978473.93537</v>
          </cell>
          <cell r="V8">
            <v>1104347509.5326962</v>
          </cell>
          <cell r="W8">
            <v>1070803311.3725926</v>
          </cell>
          <cell r="X8">
            <v>1105766048.9044735</v>
          </cell>
          <cell r="Y8">
            <v>1070357700.2822074</v>
          </cell>
          <cell r="Z8">
            <v>1106294220.9131479</v>
          </cell>
        </row>
        <row r="9">
          <cell r="K9">
            <v>34782515.314573966</v>
          </cell>
          <cell r="O9">
            <v>2481085.9310605978</v>
          </cell>
          <cell r="P9">
            <v>4011966.651302495</v>
          </cell>
          <cell r="Q9">
            <v>7383736.2893192824</v>
          </cell>
          <cell r="R9">
            <v>11720550.82559661</v>
          </cell>
          <cell r="S9">
            <v>16256292.529233245</v>
          </cell>
          <cell r="T9">
            <v>20801956.57259547</v>
          </cell>
          <cell r="U9">
            <v>25512864.397643711</v>
          </cell>
          <cell r="V9">
            <v>30212575.771194648</v>
          </cell>
          <cell r="W9">
            <v>34769534.932920165</v>
          </cell>
          <cell r="X9">
            <v>39475283.10699071</v>
          </cell>
          <cell r="Y9">
            <v>44030345.90593949</v>
          </cell>
          <cell r="Z9">
            <v>48738341.792777002</v>
          </cell>
        </row>
      </sheetData>
      <sheetData sheetId="23">
        <row r="9">
          <cell r="S9">
            <v>0</v>
          </cell>
        </row>
        <row r="24">
          <cell r="S24">
            <v>0</v>
          </cell>
        </row>
      </sheetData>
      <sheetData sheetId="24">
        <row r="10">
          <cell r="X10">
            <v>0</v>
          </cell>
          <cell r="AR10">
            <v>0</v>
          </cell>
          <cell r="CH10">
            <v>0</v>
          </cell>
        </row>
      </sheetData>
      <sheetData sheetId="25" refreshError="1"/>
      <sheetData sheetId="26" refreshError="1"/>
      <sheetData sheetId="2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1EA89-116D-40A3-AA6E-5799F758F3E5}" name="Data_PL7" displayName="Data_PL7" ref="A3:CC24" totalsRowCount="1" headerRowDxfId="581" dataDxfId="580" tableBorderDxfId="579" headerRowCellStyle="Comma 3">
  <tableColumns count="81">
    <tableColumn id="1" xr3:uid="{5819D643-B9DF-450F-80FD-E5839C01D86D}" name="Index PL" dataDxfId="578" totalsRowDxfId="577" dataCellStyle="Normal 2"/>
    <tableColumn id="2" xr3:uid="{207B9F30-2209-4BCE-BC87-74821C71940C}" name="PHẦN II-KẾT QUẢ HOẠT ĐỘNG KINH DOANH" totalsRowLabel="% LNST" dataDxfId="576" totalsRowDxfId="575" dataCellStyle="Normal 2"/>
    <tableColumn id="3" xr3:uid="{2D50FBB2-F3AE-407D-B3B5-421F6BB08905}" name="TenCongTyID" dataDxfId="574" totalsRowDxfId="573"/>
    <tableColumn id="77" xr3:uid="{93A44EAF-9EC9-404F-A33B-9EC080BA2AC9}" name="2021" totalsRowFunction="custom" dataDxfId="572" totalsRowDxfId="571">
      <calculatedColumnFormula>SUM(Data_PL7[[#This Row],[T1.2021]:[T12.2021]])</calculatedColumnFormula>
      <totalsRowFormula>D23/D7</totalsRowFormula>
    </tableColumn>
    <tableColumn id="76" xr3:uid="{110F42F0-AEC6-40AC-833D-072742D68C05}" name="2022" totalsRowFunction="custom" dataDxfId="570" totalsRowDxfId="569">
      <calculatedColumnFormula>SUM(Data_PL7[[#This Row],[T1.2022]:[T12.2022]])</calculatedColumnFormula>
      <totalsRowFormula>E23/E7</totalsRowFormula>
    </tableColumn>
    <tableColumn id="78" xr3:uid="{69677450-BCE6-41CE-A7FF-D683EA429589}" name="2023" totalsRowFunction="custom" dataDxfId="568" totalsRowDxfId="567">
      <calculatedColumnFormula>SUM(Data_PL7[[#This Row],[T1.2023]:[T12.2023]])</calculatedColumnFormula>
      <totalsRowFormula>F23/F7</totalsRowFormula>
    </tableColumn>
    <tableColumn id="79" xr3:uid="{826C8C17-22B9-4797-9EB8-B3E8D20E8406}" name="2024" totalsRowFunction="custom" dataDxfId="566" totalsRowDxfId="565">
      <calculatedColumnFormula>SUM(Data_PL7[[#This Row],[T01.2024]:[T12.2024]])</calculatedColumnFormula>
      <totalsRowFormula>G23/G7</totalsRowFormula>
    </tableColumn>
    <tableColumn id="80" xr3:uid="{BCF2E1E5-6266-47D3-AE2C-C4DD0568B036}" name="2025" totalsRowFunction="custom" dataDxfId="564" totalsRowDxfId="563">
      <calculatedColumnFormula>SUM(Data_PL7[[#This Row],[T01.2025]:[T12.2025]])</calculatedColumnFormula>
      <totalsRowFormula>H23/H7</totalsRowFormula>
    </tableColumn>
    <tableColumn id="81" xr3:uid="{ABC0C80D-7FA6-40B4-9427-246CD3594886}" name="2026" totalsRowFunction="custom" dataDxfId="562" totalsRowDxfId="561">
      <calculatedColumnFormula>SUM(Data_PL7[[#This Row],[T01.2026]:[T12.2026]])</calculatedColumnFormula>
      <totalsRowFormula>I23/I7</totalsRowFormula>
    </tableColumn>
    <tableColumn id="4" xr3:uid="{41AA8F0B-818C-420A-84D4-CD73D8AAC7ED}" name="T1.2021" dataDxfId="560" totalsRowDxfId="559" dataCellStyle="Normal 2"/>
    <tableColumn id="5" xr3:uid="{BAB69D10-2B82-4816-B8AD-3EDE7D687915}" name="T02.2021" dataDxfId="558" totalsRowDxfId="557" dataCellStyle="Normal 2"/>
    <tableColumn id="6" xr3:uid="{5F74A76B-4265-4BC8-982D-9BD9A7064A0F}" name="T03.2021" dataDxfId="556" totalsRowDxfId="555" dataCellStyle="Normal 2"/>
    <tableColumn id="7" xr3:uid="{12E9ACBD-00E1-4AC3-8E68-9D34D8EEC9D0}" name="T04.2021" dataDxfId="554" totalsRowDxfId="553" dataCellStyle="Normal 2"/>
    <tableColumn id="8" xr3:uid="{6D8D70DE-DE5D-4FC5-A371-F500228A7035}" name="T05.2021" dataDxfId="552" totalsRowDxfId="551" dataCellStyle="Normal 2"/>
    <tableColumn id="9" xr3:uid="{A126FE08-E2DF-4B18-AF98-814D29FBE825}" name="T06.2021" dataDxfId="550" totalsRowDxfId="549" dataCellStyle="Normal 2"/>
    <tableColumn id="10" xr3:uid="{7F191142-E045-4C05-B8DF-AEAEC14C66A1}" name="T07.2021" dataDxfId="548" totalsRowDxfId="547" dataCellStyle="Normal 2"/>
    <tableColumn id="11" xr3:uid="{64061795-3470-4FA1-AFE3-68CD37E736C8}" name="T08.2021" dataDxfId="546" totalsRowDxfId="545" dataCellStyle="Normal 2"/>
    <tableColumn id="12" xr3:uid="{91C3B0FA-C5E4-4C39-8927-538B01EE3011}" name="T09.2021" dataDxfId="544" totalsRowDxfId="543" dataCellStyle="Normal 2"/>
    <tableColumn id="13" xr3:uid="{32E6849A-D9AF-4056-B40A-758E09F01E17}" name="T10.2021" dataDxfId="542" totalsRowDxfId="541" dataCellStyle="Normal 2"/>
    <tableColumn id="14" xr3:uid="{FF86929F-58BA-41A2-8C9F-BF6A8B0D8265}" name="T11.2021" dataDxfId="540" totalsRowDxfId="539" dataCellStyle="Normal 2"/>
    <tableColumn id="15" xr3:uid="{518D840A-C3EB-4EEC-BA16-FD191FD521B1}" name="T12.2021" dataDxfId="538" totalsRowDxfId="537" dataCellStyle="Normal 2"/>
    <tableColumn id="16" xr3:uid="{80BB2E7E-E201-4ACE-852E-1F6DEAB94EE1}" name="T1.2022" dataDxfId="536" totalsRowDxfId="535" dataCellStyle="Normal 2"/>
    <tableColumn id="17" xr3:uid="{853038FA-E3B8-4BF9-B11B-B4CA8B413C1C}" name="T02.2022" dataDxfId="534" totalsRowDxfId="533" dataCellStyle="Normal 2"/>
    <tableColumn id="18" xr3:uid="{70F3048D-A0D4-4544-8FE9-8058CC4D9B14}" name="T03.2022" dataDxfId="532" totalsRowDxfId="531" dataCellStyle="Normal 2"/>
    <tableColumn id="19" xr3:uid="{F663D610-FB1F-4F38-9ED3-5B99C345DE18}" name="T04.2022" dataDxfId="530" totalsRowDxfId="529" dataCellStyle="Normal 2"/>
    <tableColumn id="20" xr3:uid="{D5057CB7-0538-4596-84B4-CBC36EE2A7E3}" name="T05.2022" dataDxfId="528" totalsRowDxfId="527" dataCellStyle="Normal 2"/>
    <tableColumn id="21" xr3:uid="{E2500851-E445-4361-9CF0-9DAEDEEC6FB1}" name="T06.2022" dataDxfId="526" totalsRowDxfId="525" dataCellStyle="Normal 2"/>
    <tableColumn id="22" xr3:uid="{7E354BCD-93E1-489D-A12E-566362E19003}" name="T07.2022" dataDxfId="524" totalsRowDxfId="523" dataCellStyle="Normal 2"/>
    <tableColumn id="23" xr3:uid="{22EFD073-88C1-47E2-9EAA-265B708EB0B0}" name="T08.2022" dataDxfId="522" totalsRowDxfId="521" dataCellStyle="Normal 2"/>
    <tableColumn id="24" xr3:uid="{3108DEDE-DD6B-4FCF-A1B3-9D87237DF976}" name="T09.2022" dataDxfId="520" totalsRowDxfId="519" dataCellStyle="Normal 2"/>
    <tableColumn id="25" xr3:uid="{A35F99C7-F1B0-4AF3-9AC2-C76F945E33D2}" name="T10.2022" dataDxfId="518" totalsRowDxfId="517" dataCellStyle="Normal 2"/>
    <tableColumn id="26" xr3:uid="{528DA89D-8A0A-45C6-ABF0-D250FC225FBA}" name="T11.2022" dataDxfId="516" totalsRowDxfId="515" dataCellStyle="Normal 2"/>
    <tableColumn id="27" xr3:uid="{28EE880C-5496-447A-8C0F-C29387B69245}" name="T12.2022" dataDxfId="514" totalsRowDxfId="513" dataCellStyle="Normal 2"/>
    <tableColumn id="28" xr3:uid="{82940883-452B-46CC-914C-80B8C6DDB190}" name="T1.2023" dataDxfId="512" totalsRowDxfId="511" dataCellStyle="Normal 2"/>
    <tableColumn id="29" xr3:uid="{EFFC5308-E65A-4D9D-938B-F76A43F240CA}" name="T02.2023" dataDxfId="510" totalsRowDxfId="509" dataCellStyle="Normal 2"/>
    <tableColumn id="30" xr3:uid="{E6FBD471-7401-4CF5-B0D4-D2057AB0B456}" name="T03.2023" dataDxfId="508" totalsRowDxfId="507" dataCellStyle="Normal 2"/>
    <tableColumn id="31" xr3:uid="{A7198B32-4C1E-4C05-9392-81AA8ACE9ECE}" name="T04.2023" dataDxfId="506" totalsRowDxfId="505" dataCellStyle="Normal 2"/>
    <tableColumn id="32" xr3:uid="{6F864526-C600-408B-B68A-1CFCA8B60975}" name="T05.2023" dataDxfId="504" totalsRowDxfId="503" dataCellStyle="Normal 2"/>
    <tableColumn id="33" xr3:uid="{37A2ECDB-C0A2-49CF-B49F-DA3D75B4E31C}" name="T06.2023" dataDxfId="502" totalsRowDxfId="501" dataCellStyle="Normal 2"/>
    <tableColumn id="34" xr3:uid="{D9307027-0040-4319-94AA-E9053902222C}" name="T07.2023" dataDxfId="500" totalsRowDxfId="499" dataCellStyle="Normal 2"/>
    <tableColumn id="35" xr3:uid="{5DE65663-F078-4AEE-AA14-A586ECF31B87}" name="T08.2023" dataDxfId="498" totalsRowDxfId="497" dataCellStyle="Normal 2"/>
    <tableColumn id="36" xr3:uid="{4F601840-8B95-4DDF-A682-A254E0F3A7E2}" name="T09.2023" dataDxfId="496" totalsRowDxfId="495" dataCellStyle="Normal 2"/>
    <tableColumn id="37" xr3:uid="{B5AE929E-460A-4BC3-8375-A0F57B9A19A3}" name="T10.2023" dataDxfId="494" totalsRowDxfId="493" dataCellStyle="Normal 2"/>
    <tableColumn id="38" xr3:uid="{E94BE751-59A7-4FFB-BF7D-2F00E4367BCE}" name="T11.2023" dataDxfId="492" totalsRowDxfId="491" dataCellStyle="Normal 2"/>
    <tableColumn id="39" xr3:uid="{6E716634-95B2-4F3F-AB42-CAAC7BF0FC53}" name="T12.2023" dataDxfId="490" totalsRowDxfId="489" dataCellStyle="Normal 2"/>
    <tableColumn id="40" xr3:uid="{B231267F-ADE6-4F41-A668-C7A91F6B3FB2}" name="T01.2024" dataDxfId="488" totalsRowDxfId="487" dataCellStyle="Normal 2"/>
    <tableColumn id="41" xr3:uid="{D1972F2B-9C52-4704-A115-825252FB5F08}" name="T02.2024" dataDxfId="486" totalsRowDxfId="485" dataCellStyle="Normal 2"/>
    <tableColumn id="42" xr3:uid="{5E2AA5B5-982B-4A29-A5A5-1B101AFEA750}" name="T03.2024" dataDxfId="484" totalsRowDxfId="483" dataCellStyle="Normal 2"/>
    <tableColumn id="43" xr3:uid="{674DFF4E-8204-4834-BF9E-C20830059F1B}" name="T04.2024" dataDxfId="482" totalsRowDxfId="481" dataCellStyle="Normal 2"/>
    <tableColumn id="44" xr3:uid="{05880A00-CDA4-4384-8270-D2C5813E712C}" name="T05.2024" dataDxfId="480" totalsRowDxfId="479" dataCellStyle="Normal 2"/>
    <tableColumn id="45" xr3:uid="{6DE2890C-65E5-4483-B1DC-4E0782D7E160}" name="T06.2024" dataDxfId="478" totalsRowDxfId="477" dataCellStyle="Normal 2"/>
    <tableColumn id="46" xr3:uid="{9552587B-F491-43D9-AB5A-EDEFBB402B3A}" name="T07.2024" dataDxfId="476" totalsRowDxfId="475" dataCellStyle="Normal 2"/>
    <tableColumn id="47" xr3:uid="{46C33341-EA59-4C09-8870-FD5E02E4CDDD}" name="T08.2024" dataDxfId="474" totalsRowDxfId="473" dataCellStyle="Normal 2"/>
    <tableColumn id="48" xr3:uid="{E070A20A-B3EC-48E3-9A16-6D1866311DBB}" name="T09.2024" dataDxfId="472" totalsRowDxfId="471" dataCellStyle="Normal 2"/>
    <tableColumn id="49" xr3:uid="{B97F60C0-3478-4ECB-806A-C3996C390C75}" name="T10.2024" dataDxfId="470" totalsRowDxfId="469" dataCellStyle="Normal 2"/>
    <tableColumn id="50" xr3:uid="{D2CCD6DA-86B3-44C8-88DE-1405918D2A1E}" name="T11.2024" dataDxfId="468" totalsRowDxfId="467" dataCellStyle="Normal 2"/>
    <tableColumn id="51" xr3:uid="{9354C675-1927-4EF8-B570-D91A6331B534}" name="T12.2024" dataDxfId="466" totalsRowDxfId="465" dataCellStyle="Normal 2"/>
    <tableColumn id="52" xr3:uid="{9F13C648-7D76-4607-8427-9C345C86241A}" name="T01.2025" dataDxfId="464" totalsRowDxfId="463" dataCellStyle="Normal 2"/>
    <tableColumn id="53" xr3:uid="{E2E48EA4-02A9-484D-8EAB-C743DB49F924}" name="T02.2025" dataDxfId="462" totalsRowDxfId="461" dataCellStyle="Normal 2"/>
    <tableColumn id="54" xr3:uid="{157B3FCF-68A4-4289-8E5D-9BB87F2B4FF5}" name="T03.2025" dataDxfId="460" totalsRowDxfId="459" dataCellStyle="Normal 2"/>
    <tableColumn id="55" xr3:uid="{3270052C-F995-46B6-A298-15E1FF8D4705}" name="T04.2025" dataDxfId="458" totalsRowDxfId="457" dataCellStyle="Normal 2"/>
    <tableColumn id="56" xr3:uid="{0129CB96-3EF7-4206-9E76-9863774D43B6}" name="T05.2025" dataDxfId="456" totalsRowDxfId="455" dataCellStyle="Normal 2"/>
    <tableColumn id="57" xr3:uid="{67BFD3CD-21D5-41E0-B132-018D517B08C2}" name="T06.2025" dataDxfId="454" totalsRowDxfId="453" dataCellStyle="Normal 2"/>
    <tableColumn id="58" xr3:uid="{1E17B2DC-1252-48A3-B4C3-5E552606BC57}" name="T07.2025" dataDxfId="452" totalsRowDxfId="451" dataCellStyle="Normal 2"/>
    <tableColumn id="59" xr3:uid="{BF6070C0-4309-4353-BE97-C5F3A7CB3D0F}" name="T08.2025" dataDxfId="450" totalsRowDxfId="449" dataCellStyle="Normal 2"/>
    <tableColumn id="60" xr3:uid="{A3425ED1-1E10-4657-AD3C-F61D90D5DCD5}" name="T09.2025" dataDxfId="448" totalsRowDxfId="447" dataCellStyle="Normal 2"/>
    <tableColumn id="61" xr3:uid="{1B84C758-5021-46A8-8973-B7F4BF9B3E21}" name="T10.2025" dataDxfId="446" totalsRowDxfId="445" dataCellStyle="Normal 2"/>
    <tableColumn id="62" xr3:uid="{E6D4341C-900B-43F5-B4D8-2C54A3EE3D81}" name="T11.2025" dataDxfId="444" totalsRowDxfId="443" dataCellStyle="Normal 2"/>
    <tableColumn id="63" xr3:uid="{DB14AE4D-C1CE-4A49-BB23-DDC5E1F39B27}" name="T12.2025" dataDxfId="442" totalsRowDxfId="441" dataCellStyle="Normal 2"/>
    <tableColumn id="64" xr3:uid="{E6EF99F0-DB4F-41DF-9D20-CB1431FB0F36}" name="T01.2026" dataDxfId="440" totalsRowDxfId="439" dataCellStyle="Normal 2"/>
    <tableColumn id="65" xr3:uid="{CD16CAC6-BEDD-4B66-9741-E437F13EB737}" name="T02.2026" dataDxfId="438" totalsRowDxfId="437" dataCellStyle="Normal 2"/>
    <tableColumn id="66" xr3:uid="{F1238337-BEF7-41C1-9E2E-4E30B2964767}" name="T03.2026" dataDxfId="436" totalsRowDxfId="435" dataCellStyle="Normal 2"/>
    <tableColumn id="67" xr3:uid="{D622B7E9-D7E2-4DAF-8753-B4E0345DED42}" name="T04.2026" dataDxfId="434" totalsRowDxfId="433" dataCellStyle="Normal 2"/>
    <tableColumn id="68" xr3:uid="{2B16DAB7-C793-41BA-B058-A775AB9E35BB}" name="T05.2026" dataDxfId="432" totalsRowDxfId="431" dataCellStyle="Normal 2"/>
    <tableColumn id="69" xr3:uid="{224D0F2D-5249-4687-860F-6BF0270848AB}" name="T06.2026" dataDxfId="430" totalsRowDxfId="429" dataCellStyle="Normal 2"/>
    <tableColumn id="70" xr3:uid="{B827B27F-0099-44B7-86FF-6FF3858A3585}" name="T07.2026" dataDxfId="428" totalsRowDxfId="427" dataCellStyle="Normal 2"/>
    <tableColumn id="71" xr3:uid="{3DA886A1-A26E-4488-95F8-50B83EF3B667}" name="T08.2026" dataDxfId="426" totalsRowDxfId="425" dataCellStyle="Normal 2"/>
    <tableColumn id="72" xr3:uid="{49777372-D1DA-4F9D-AA4D-EE0FBC7632BB}" name="T09.2026" dataDxfId="424" totalsRowDxfId="423" dataCellStyle="Normal 2"/>
    <tableColumn id="73" xr3:uid="{D13CC54F-816B-4A45-8E7D-846A64CEA75B}" name="T10.2026" dataDxfId="422" totalsRowDxfId="421" dataCellStyle="Normal 2"/>
    <tableColumn id="74" xr3:uid="{6E42E6B2-F094-4928-BC79-71B3EF58FE2E}" name="T11.2026" dataDxfId="420" totalsRowDxfId="419" dataCellStyle="Normal 2"/>
    <tableColumn id="75" xr3:uid="{DE0FC758-0C73-49B1-B4A9-9DE8A8577E48}" name="T12.2026" dataDxfId="418" totalsRowDxfId="417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F6C30-4601-45DB-85AA-32260EA8D930}" name="Data_PL73" displayName="Data_PL73" ref="A3:CC24" totalsRowShown="0" headerRowDxfId="416" dataDxfId="415" tableBorderDxfId="414" headerRowCellStyle="Comma 3">
  <tableColumns count="81">
    <tableColumn id="1" xr3:uid="{7DA75628-AD6B-4C0F-8359-4FBE4BB7E855}" name="Index PL" dataDxfId="413" dataCellStyle="Normal 2"/>
    <tableColumn id="2" xr3:uid="{39958BA3-6F89-40CE-B470-A2B867A7E95D}" name="PHẦN II-KẾT QUẢ HOẠT ĐỘNG KINH DOANH" dataDxfId="412" dataCellStyle="Normal 2"/>
    <tableColumn id="3" xr3:uid="{BDB70996-0FFF-4983-8E85-7EA263925E90}" name="TenCongTyID" dataDxfId="411"/>
    <tableColumn id="76" xr3:uid="{58FC58A4-BCC5-463B-A07F-47D130996F79}" name="2021" dataDxfId="410">
      <calculatedColumnFormula>SUM(Data_PL73[[#This Row],[T1.2021]:[T12.2021]])</calculatedColumnFormula>
    </tableColumn>
    <tableColumn id="77" xr3:uid="{0EFB2FF2-0489-4DF8-9BEA-8CFFA77A9538}" name="2022" dataDxfId="409">
      <calculatedColumnFormula>SUM(Data_PL73[[#This Row],[T1.2022]:[T12.2022]])</calculatedColumnFormula>
    </tableColumn>
    <tableColumn id="78" xr3:uid="{2A962E2A-5EBE-4E28-935C-25BCA0D01406}" name="2023" dataDxfId="408">
      <calculatedColumnFormula>SUM(Data_PL73[[#This Row],[T1.2023]:[T12.2023]])</calculatedColumnFormula>
    </tableColumn>
    <tableColumn id="79" xr3:uid="{E471B380-A24F-475B-9762-7AC54E9AB658}" name="2024" dataDxfId="407">
      <calculatedColumnFormula>SUM(Data_PL73[[#This Row],[T01.2024]:[T12.2024]])</calculatedColumnFormula>
    </tableColumn>
    <tableColumn id="80" xr3:uid="{F2F2BC7A-11F8-4CD9-AAB9-0CC93851FFA2}" name="2025" dataDxfId="406">
      <calculatedColumnFormula>SUM(Data_PL73[[#This Row],[T01.2025]:[T12.2025]])</calculatedColumnFormula>
    </tableColumn>
    <tableColumn id="81" xr3:uid="{CDE671BF-0B98-480D-9B36-0BDF0427BEDE}" name="2026" dataDxfId="405">
      <calculatedColumnFormula>SUM(Data_PL73[[#This Row],[T01.2026]:[T12.2026]])</calculatedColumnFormula>
    </tableColumn>
    <tableColumn id="4" xr3:uid="{D48AA50A-A8DE-473A-9BDF-A8597AA310EB}" name="T1.2021" dataDxfId="404" dataCellStyle="Normal 2"/>
    <tableColumn id="5" xr3:uid="{ACD79E97-B0F4-49F1-A355-3616DB8255C1}" name="T02.2021" dataDxfId="403" dataCellStyle="Normal 2"/>
    <tableColumn id="6" xr3:uid="{8B60BE90-9BE8-4CEC-B3D5-F5C4FF237CC5}" name="T03.2021" dataDxfId="402" dataCellStyle="Normal 2"/>
    <tableColumn id="7" xr3:uid="{51D42DD7-0DE7-4FB3-8EA0-6203702892B3}" name="T04.2021" dataDxfId="401" dataCellStyle="Normal 2"/>
    <tableColumn id="8" xr3:uid="{BA8D17B7-D806-4711-A700-CA01841F70D0}" name="T05.2021" dataDxfId="400" dataCellStyle="Normal 2"/>
    <tableColumn id="9" xr3:uid="{9185F921-872D-46C7-B163-3BE3A4F3B973}" name="T06.2021" dataDxfId="399" dataCellStyle="Normal 2"/>
    <tableColumn id="10" xr3:uid="{0173064C-7EC2-4836-BC1F-05011D5D786D}" name="T07.2021" dataDxfId="398" dataCellStyle="Normal 2"/>
    <tableColumn id="11" xr3:uid="{5ECF1105-8388-4973-A06F-A3189A94A6FC}" name="T08.2021" dataDxfId="397" dataCellStyle="Normal 2"/>
    <tableColumn id="12" xr3:uid="{A3C82454-D1CC-4C89-8039-1502647CD038}" name="T09.2021" dataDxfId="396" dataCellStyle="Normal 2"/>
    <tableColumn id="13" xr3:uid="{F645197B-A6B3-4AB2-A5BE-D78DFDB1AE1C}" name="T10.2021" dataDxfId="395" dataCellStyle="Normal 2"/>
    <tableColumn id="14" xr3:uid="{8BC516E0-253E-41F0-A748-21D42203AA47}" name="T11.2021" dataDxfId="394" dataCellStyle="Normal 2"/>
    <tableColumn id="15" xr3:uid="{7DDCB2FF-AE81-4B69-88A0-A04200D5392F}" name="T12.2021" dataDxfId="393" dataCellStyle="Normal 2"/>
    <tableColumn id="16" xr3:uid="{2903E77D-96C8-4FF9-81DC-C5200F6231DF}" name="T1.2022" dataDxfId="392" dataCellStyle="Normal 2"/>
    <tableColumn id="17" xr3:uid="{30916EED-C4AC-457E-9E91-5AAA76B91AEC}" name="T02.2022" dataDxfId="391" dataCellStyle="Normal 2"/>
    <tableColumn id="18" xr3:uid="{0873CEC8-DA2C-48BA-A36E-0B480A7E1D68}" name="T03.2022" dataDxfId="390" dataCellStyle="Normal 2"/>
    <tableColumn id="19" xr3:uid="{2DD8CADC-2C7C-459B-9838-EB918E2E906A}" name="T04.2022" dataDxfId="389" dataCellStyle="Normal 2"/>
    <tableColumn id="20" xr3:uid="{0BDA1017-108A-49D4-A9D2-382610F4E04B}" name="T05.2022" dataDxfId="388" dataCellStyle="Normal 2"/>
    <tableColumn id="21" xr3:uid="{E4CC3753-ED7C-40C4-BAE6-687947D87351}" name="T06.2022" dataDxfId="387" dataCellStyle="Normal 2"/>
    <tableColumn id="22" xr3:uid="{4CE0D7E6-AC1C-4141-8DF7-2D505C14B6DD}" name="T07.2022" dataDxfId="386" dataCellStyle="Normal 2"/>
    <tableColumn id="23" xr3:uid="{508B46EF-1FC6-4CBD-880B-3CBC78F7061A}" name="T08.2022" dataDxfId="385" dataCellStyle="Normal 2"/>
    <tableColumn id="24" xr3:uid="{17381E10-0091-4AC4-92F6-74F779596791}" name="T09.2022" dataDxfId="384" dataCellStyle="Normal 2"/>
    <tableColumn id="25" xr3:uid="{ADD1D4A8-918A-474E-8082-A0D1BEDC6065}" name="T10.2022" dataDxfId="383" dataCellStyle="Normal 2"/>
    <tableColumn id="26" xr3:uid="{03B3787F-C651-4F2E-AAF9-E33F5F82E225}" name="T11.2022" dataDxfId="382" dataCellStyle="Normal 2"/>
    <tableColumn id="27" xr3:uid="{CABEAF69-AEF3-41F9-BD9A-FF1F1F013C33}" name="T12.2022" dataDxfId="381" dataCellStyle="Normal 2"/>
    <tableColumn id="28" xr3:uid="{9A1E425E-F816-413A-B903-31B0B4CF797C}" name="T1.2023" dataDxfId="380" dataCellStyle="Normal 2"/>
    <tableColumn id="29" xr3:uid="{16637C24-BD3B-49CA-88E8-1F3571A16099}" name="T02.2023" dataDxfId="379" dataCellStyle="Normal 2"/>
    <tableColumn id="30" xr3:uid="{1E6D64A2-149E-4569-9AAA-7E0321EFA298}" name="T03.2023" dataDxfId="378" dataCellStyle="Normal 2"/>
    <tableColumn id="31" xr3:uid="{93785508-4CED-4030-86CA-46CC14F3AE0E}" name="T04.2023" dataDxfId="377" dataCellStyle="Normal 2"/>
    <tableColumn id="32" xr3:uid="{E734762F-626F-442F-B71E-5E851C9D01BB}" name="T05.2023" dataDxfId="376" dataCellStyle="Normal 2"/>
    <tableColumn id="33" xr3:uid="{A625381D-7F9C-400E-8537-5C2D64D0EE61}" name="T06.2023" dataDxfId="375" dataCellStyle="Normal 2"/>
    <tableColumn id="34" xr3:uid="{A7BC7926-7109-4785-95FC-34BBFD5D26DC}" name="T07.2023" dataDxfId="374" dataCellStyle="Normal 2"/>
    <tableColumn id="35" xr3:uid="{94DF0E70-06C5-4896-BBF4-E12B7DEE3CAB}" name="T08.2023" dataDxfId="373" dataCellStyle="Normal 2"/>
    <tableColumn id="36" xr3:uid="{D58D3934-226C-4647-A397-3BF038D28EC3}" name="T09.2023" dataDxfId="372" dataCellStyle="Normal 2"/>
    <tableColumn id="37" xr3:uid="{9FCA29E4-1B75-4DAF-BC96-6542734548E2}" name="T10.2023" dataDxfId="371" dataCellStyle="Normal 2"/>
    <tableColumn id="38" xr3:uid="{634BC5AF-A8B0-43B9-96DF-2FF5282D32F9}" name="T11.2023" dataDxfId="370" dataCellStyle="Normal 2"/>
    <tableColumn id="39" xr3:uid="{C4CB1DCD-E004-4404-90BC-F08F8FF8F919}" name="T12.2023" dataDxfId="369" dataCellStyle="Normal 2"/>
    <tableColumn id="40" xr3:uid="{8FA5B6B7-7CD1-43F2-AFE8-ED486C95E3D2}" name="T01.2024" dataDxfId="368" dataCellStyle="Normal 2"/>
    <tableColumn id="41" xr3:uid="{3BD82947-5C34-4F72-A071-F79A8F5D5DF2}" name="T02.2024" dataDxfId="367" dataCellStyle="Normal 2"/>
    <tableColumn id="42" xr3:uid="{7F0B17CB-7749-4C20-BEA7-21E54DEC11C7}" name="T03.2024" dataDxfId="366" dataCellStyle="Normal 2"/>
    <tableColumn id="43" xr3:uid="{6A525F0C-A90B-4228-883C-5941A487B4A3}" name="T04.2024" dataDxfId="365" dataCellStyle="Normal 2"/>
    <tableColumn id="44" xr3:uid="{ABB4078D-13A2-4A57-909D-AFDF8ADC0809}" name="T05.2024" dataDxfId="364" dataCellStyle="Normal 2"/>
    <tableColumn id="45" xr3:uid="{EED1AF96-04DF-4897-A112-E6B8BDE5C780}" name="T06.2024" dataDxfId="363" dataCellStyle="Normal 2"/>
    <tableColumn id="46" xr3:uid="{47FB0F3F-CFA8-42C9-B01E-38ADD281234D}" name="T07.2024" dataDxfId="362" dataCellStyle="Normal 2"/>
    <tableColumn id="47" xr3:uid="{1C0137AD-229A-4022-AB19-E2BE8F30DBBA}" name="T08.2024" dataDxfId="361" dataCellStyle="Normal 2"/>
    <tableColumn id="48" xr3:uid="{C67896B3-3585-45D8-9113-933042FC563E}" name="T09.2024" dataDxfId="360" dataCellStyle="Normal 2"/>
    <tableColumn id="49" xr3:uid="{33F8D760-D394-440D-A9AF-C876EDB31725}" name="T10.2024" dataDxfId="359" dataCellStyle="Normal 2"/>
    <tableColumn id="50" xr3:uid="{98FA7AF3-A658-4A6F-8DA9-641BD044224F}" name="T11.2024" dataDxfId="358" dataCellStyle="Normal 2"/>
    <tableColumn id="51" xr3:uid="{34DAB952-BD8B-43C0-8793-2C23611B8832}" name="T12.2024" dataDxfId="357" dataCellStyle="Normal 2"/>
    <tableColumn id="52" xr3:uid="{ED08C14C-2D88-46FD-90B9-A961A7FBC69E}" name="T01.2025" dataDxfId="356" dataCellStyle="Normal 2"/>
    <tableColumn id="53" xr3:uid="{E542133D-BB3A-4426-992F-2814BF4145BA}" name="T02.2025" dataDxfId="355" dataCellStyle="Normal 2"/>
    <tableColumn id="54" xr3:uid="{09B944D2-A0F3-4FD5-BAB2-D308F0799BFF}" name="T03.2025" dataDxfId="354" dataCellStyle="Normal 2"/>
    <tableColumn id="55" xr3:uid="{684F4055-2DFA-46A1-9FE7-2F41B82FDA8B}" name="T04.2025" dataDxfId="353" dataCellStyle="Normal 2"/>
    <tableColumn id="56" xr3:uid="{2BA06701-54DE-4F4E-8267-43C2F4E28464}" name="T05.2025" dataDxfId="352" dataCellStyle="Normal 2"/>
    <tableColumn id="57" xr3:uid="{26D25EAA-5CB1-437C-9A55-EC0C7C93728E}" name="T06.2025" dataDxfId="351" dataCellStyle="Normal 2"/>
    <tableColumn id="58" xr3:uid="{1654D92A-D5AF-4634-9710-8A9FE5568AB3}" name="T07.2025" dataDxfId="350" dataCellStyle="Normal 2"/>
    <tableColumn id="59" xr3:uid="{C9DC0C37-0171-4107-AE98-7BB13B7702C9}" name="T08.2025" dataDxfId="349" dataCellStyle="Normal 2"/>
    <tableColumn id="60" xr3:uid="{A6881753-1F73-4FDD-A882-3A4F4184519A}" name="T09.2025" dataDxfId="348" dataCellStyle="Normal 2"/>
    <tableColumn id="61" xr3:uid="{7941C1D5-7F08-4CED-B0A4-25A28AA58A9A}" name="T10.2025" dataDxfId="347" dataCellStyle="Normal 2"/>
    <tableColumn id="62" xr3:uid="{1F366938-6F8C-4492-B6C4-72454FC9BBE7}" name="T11.2025" dataDxfId="346" dataCellStyle="Normal 2"/>
    <tableColumn id="63" xr3:uid="{E7D72A8D-4046-45A0-B3B0-A337F141B5E5}" name="T12.2025" dataDxfId="345" dataCellStyle="Normal 2"/>
    <tableColumn id="64" xr3:uid="{79BB8902-6DCD-4030-A534-B94806DF36EA}" name="T01.2026" dataDxfId="344" dataCellStyle="Normal 2"/>
    <tableColumn id="65" xr3:uid="{90CECA76-BB70-4A7C-A5CF-EAE4D0190222}" name="T02.2026" dataDxfId="343" dataCellStyle="Normal 2"/>
    <tableColumn id="66" xr3:uid="{36F2D6C7-3666-4420-B6AD-09BDA3F16226}" name="T03.2026" dataDxfId="342" dataCellStyle="Normal 2"/>
    <tableColumn id="67" xr3:uid="{79305FD6-C55C-4FF9-BB57-BCE3C5A9F600}" name="T04.2026" dataDxfId="341" dataCellStyle="Normal 2"/>
    <tableColumn id="68" xr3:uid="{A2A15AEA-C78D-41B6-B21B-155DDD4DE721}" name="T05.2026" dataDxfId="340" dataCellStyle="Normal 2"/>
    <tableColumn id="69" xr3:uid="{96206300-F358-45D6-91FE-A4D142B97EB6}" name="T06.2026" dataDxfId="339" dataCellStyle="Normal 2"/>
    <tableColumn id="70" xr3:uid="{CB81544B-2FAB-4002-95B3-B4F6B4A64D56}" name="T07.2026" dataDxfId="338" dataCellStyle="Normal 2"/>
    <tableColumn id="71" xr3:uid="{A43411A4-762A-4BB8-AF9E-86C240F63A8B}" name="T08.2026" dataDxfId="337" dataCellStyle="Normal 2"/>
    <tableColumn id="72" xr3:uid="{3735D5EF-EB15-46AD-992D-5385F0485373}" name="T09.2026" dataDxfId="336" dataCellStyle="Normal 2"/>
    <tableColumn id="73" xr3:uid="{CEEE8963-8FF0-4EF2-8D69-70C1EA1AA8FC}" name="T10.2026" dataDxfId="335" dataCellStyle="Normal 2"/>
    <tableColumn id="74" xr3:uid="{A974472F-9B95-48C2-8B24-45859933D180}" name="T11.2026" dataDxfId="334" dataCellStyle="Normal 2"/>
    <tableColumn id="75" xr3:uid="{C95918BC-5742-461D-9020-CC9D54AE71E3}" name="T12.2026" dataDxfId="333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64FCDC-ABB5-422A-9C32-09C36FCD462E}" name="Data_PL8" displayName="Data_PL8" ref="A3:CC24" totalsRowShown="0" headerRowDxfId="332" headerRowCellStyle="Comma 3">
  <tableColumns count="81">
    <tableColumn id="1" xr3:uid="{A0497BA1-4517-49A0-9E32-87331164AA6F}" name="Index PL" dataDxfId="331" dataCellStyle="Normal 2"/>
    <tableColumn id="2" xr3:uid="{4179A8ED-767E-401C-AD8A-E8210B964383}" name="PHẦN II-KẾT QUẢ HOẠT ĐỘNG KINH DOANH" dataDxfId="330" dataCellStyle="Normal 2"/>
    <tableColumn id="3" xr3:uid="{B7713EB6-984C-41BA-B713-920AF4E8AAB9}" name="TenCongTyID"/>
    <tableColumn id="76" xr3:uid="{63579366-8690-4F2F-B4A7-1046FDEA7D15}" name="2021" dataDxfId="329">
      <calculatedColumnFormula>SUM(Data_PL8[[#This Row],[T1.2021]:[T12.2021]])</calculatedColumnFormula>
    </tableColumn>
    <tableColumn id="77" xr3:uid="{A5808399-F0EE-4A4B-923F-039BFE9CD381}" name="2022" dataDxfId="328">
      <calculatedColumnFormula>SUM(Data_PL8[[#This Row],[T1.2022]:[T12.2022]])</calculatedColumnFormula>
    </tableColumn>
    <tableColumn id="78" xr3:uid="{19DDF59E-8687-4ED6-B3D2-9944427A8B73}" name="2023" dataDxfId="327">
      <calculatedColumnFormula>SUM(Data_PL8[[#This Row],[T1.2023]:[T12.2023]])</calculatedColumnFormula>
    </tableColumn>
    <tableColumn id="79" xr3:uid="{498824B5-0541-40CB-91A7-78E5EFAE3E38}" name="2024" dataDxfId="326">
      <calculatedColumnFormula>SUM(Data_PL8[[#This Row],[T01.2024]:[T12.2024]])</calculatedColumnFormula>
    </tableColumn>
    <tableColumn id="80" xr3:uid="{D0CB0A9B-61FC-4E35-A004-677B0FAE1F19}" name="2025" dataDxfId="325">
      <calculatedColumnFormula>SUM(Data_PL8[[#This Row],[T01.2025]:[T12.2025]])</calculatedColumnFormula>
    </tableColumn>
    <tableColumn id="81" xr3:uid="{E25E32B5-4530-4557-957F-14ACB38EE16B}" name="2026" dataDxfId="324">
      <calculatedColumnFormula>SUM(Data_PL8[[#This Row],[T01.2026]:[T12.2026]])</calculatedColumnFormula>
    </tableColumn>
    <tableColumn id="4" xr3:uid="{4BAAEA04-1557-434A-9214-E9F23E899C0F}" name="T1.2021" dataDxfId="323">
      <calculatedColumnFormula>SUM('Dai loc:DLam'!J4)</calculatedColumnFormula>
    </tableColumn>
    <tableColumn id="5" xr3:uid="{D5DA6F6A-61BB-45BA-80AD-79B03CC9F1D7}" name="T02.2021" dataDxfId="322">
      <calculatedColumnFormula>SUM('Dai loc:DLam'!K4)</calculatedColumnFormula>
    </tableColumn>
    <tableColumn id="6" xr3:uid="{6F350CCD-ADF5-43DD-809F-78608D163D39}" name="T03.2021" dataDxfId="321">
      <calculatedColumnFormula>SUM('Dai loc:DLam'!L4)</calculatedColumnFormula>
    </tableColumn>
    <tableColumn id="7" xr3:uid="{3EBD005F-BB03-414D-8164-8C59EDB4EA4F}" name="T04.2021" dataDxfId="320">
      <calculatedColumnFormula>SUM('Dai loc:DLam'!M4)</calculatedColumnFormula>
    </tableColumn>
    <tableColumn id="8" xr3:uid="{C2DDA830-EB96-4B02-BFD0-0F88AD042F64}" name="T05.2021" dataDxfId="319">
      <calculatedColumnFormula>SUM('Dai loc:DLam'!N4)</calculatedColumnFormula>
    </tableColumn>
    <tableColumn id="9" xr3:uid="{3B267E3E-4274-4F0F-B64C-95DD166FEC03}" name="T06.2021" dataDxfId="318">
      <calculatedColumnFormula>SUM('Dai loc:DLam'!O4)</calculatedColumnFormula>
    </tableColumn>
    <tableColumn id="10" xr3:uid="{9A38D73C-7443-4F46-A2EF-D313FC960949}" name="T07.2021" dataDxfId="317">
      <calculatedColumnFormula>SUM('Dai loc:DLam'!P4)</calculatedColumnFormula>
    </tableColumn>
    <tableColumn id="11" xr3:uid="{3956EA6C-332A-4C20-8805-857EF32289A4}" name="T08.2021" dataDxfId="316">
      <calculatedColumnFormula>SUM('Dai loc:DLam'!Q4)</calculatedColumnFormula>
    </tableColumn>
    <tableColumn id="12" xr3:uid="{2B2AF0E5-8557-4C80-8DC8-F5EE0F725FEE}" name="T09.2021" dataDxfId="315">
      <calculatedColumnFormula>SUM('Dai loc:DLam'!R4)</calculatedColumnFormula>
    </tableColumn>
    <tableColumn id="13" xr3:uid="{85B69152-798F-485E-B86C-B3CAB62ADBCD}" name="T10.2021" dataDxfId="314">
      <calculatedColumnFormula>SUM('Dai loc:DLam'!S4)</calculatedColumnFormula>
    </tableColumn>
    <tableColumn id="14" xr3:uid="{1DC820EA-4EC9-4C61-9AFF-5D081A9437D6}" name="T11.2021" dataDxfId="313">
      <calculatedColumnFormula>SUM('Dai loc:DLam'!T4)</calculatedColumnFormula>
    </tableColumn>
    <tableColumn id="15" xr3:uid="{A7587305-FDCC-4862-B4FF-1154DB06B39D}" name="T12.2021" dataDxfId="312"/>
    <tableColumn id="16" xr3:uid="{070346EC-1508-4168-950C-3DA32F56677B}" name="T1.2022" dataDxfId="311"/>
    <tableColumn id="17" xr3:uid="{671A75B2-2111-4DB9-A0EF-8D2DFF05703A}" name="T02.2022" dataDxfId="310"/>
    <tableColumn id="18" xr3:uid="{2C6792D8-88AB-467A-A11A-008B140F8071}" name="T03.2022" dataDxfId="309"/>
    <tableColumn id="19" xr3:uid="{6EA4AF56-2F50-4CF8-A031-5DDDB41174C0}" name="T04.2022" dataDxfId="308"/>
    <tableColumn id="20" xr3:uid="{B6A7D78E-25F0-444C-899B-28D14C71FB70}" name="T05.2022" dataDxfId="307"/>
    <tableColumn id="21" xr3:uid="{50D06C17-87CE-4F45-81D5-0C5DD17A781D}" name="T06.2022" dataDxfId="306"/>
    <tableColumn id="22" xr3:uid="{89888EEB-196E-4E39-99C9-DEF12177393F}" name="T07.2022" dataDxfId="305"/>
    <tableColumn id="23" xr3:uid="{1B8CA8AF-3983-48A8-B3A9-9BDCB3907EFF}" name="T08.2022" dataDxfId="304"/>
    <tableColumn id="24" xr3:uid="{A800B151-E3AE-455E-B5C7-10AE8D42CEE7}" name="T09.2022" dataDxfId="303"/>
    <tableColumn id="25" xr3:uid="{43B69C45-D74D-46B6-A7F1-46357CB8A66A}" name="T10.2022" dataDxfId="302"/>
    <tableColumn id="26" xr3:uid="{A2D34038-3DA4-4FD5-832A-2ED40C81548A}" name="T11.2022" dataDxfId="301"/>
    <tableColumn id="27" xr3:uid="{BA6A9C3A-4852-49E5-8A48-4526B79A2434}" name="T12.2022" dataDxfId="300"/>
    <tableColumn id="28" xr3:uid="{56769949-AC36-4986-89A6-1AF808FC2CB7}" name="T1.2023" dataDxfId="299"/>
    <tableColumn id="29" xr3:uid="{D7C266A7-7502-4484-BFCC-796D2CD64F78}" name="T02.2023" dataDxfId="298"/>
    <tableColumn id="30" xr3:uid="{B169790F-4021-4319-81F2-AC2B55A86605}" name="T03.2023" dataDxfId="297"/>
    <tableColumn id="31" xr3:uid="{6B347CB0-ACFA-487D-8796-48FF4A3EE2A9}" name="T04.2023" dataDxfId="296"/>
    <tableColumn id="32" xr3:uid="{3A860BB9-3CDB-4183-A11F-F61112A3FA36}" name="T05.2023" dataDxfId="295"/>
    <tableColumn id="33" xr3:uid="{25590CAD-F271-470E-9F44-04F94B094C97}" name="T06.2023" dataDxfId="294"/>
    <tableColumn id="34" xr3:uid="{EAAB0D89-AA3A-4C76-B850-AB9E44FA4D9E}" name="T07.2023" dataDxfId="293"/>
    <tableColumn id="35" xr3:uid="{44619CCD-0ABA-401B-A189-6515F983D067}" name="T08.2023" dataDxfId="292"/>
    <tableColumn id="36" xr3:uid="{DB0FBEFF-F4C0-4604-A5C5-24F4B20DFF7A}" name="T09.2023" dataDxfId="291"/>
    <tableColumn id="37" xr3:uid="{EEC35722-35C3-4047-8D11-032F694ACB16}" name="T10.2023" dataDxfId="290"/>
    <tableColumn id="38" xr3:uid="{F3A3701A-C448-4DBB-B03F-77D7BEFA1B7C}" name="T11.2023" dataDxfId="289"/>
    <tableColumn id="39" xr3:uid="{74793F73-DC4A-4B58-A917-334678DC4204}" name="T12.2023" dataDxfId="288"/>
    <tableColumn id="40" xr3:uid="{5A522933-A31B-4506-8F00-41A6D5C12808}" name="T01.2024" dataDxfId="287"/>
    <tableColumn id="41" xr3:uid="{60A55E0E-596A-4D63-AE64-3F8CA026D3D9}" name="T02.2024" dataDxfId="286"/>
    <tableColumn id="42" xr3:uid="{C4EEC13A-1465-4AC9-BABF-035D35BA10C2}" name="T03.2024" dataDxfId="285"/>
    <tableColumn id="43" xr3:uid="{9C1CE92F-A713-4670-BD45-BC74CCF5F2D9}" name="T04.2024" dataDxfId="284"/>
    <tableColumn id="44" xr3:uid="{6A6EA312-BB0C-436A-B17B-B58521B4354D}" name="T05.2024" dataDxfId="283"/>
    <tableColumn id="45" xr3:uid="{FF3D37F1-9017-4FC6-9BBB-2DCC9F2D71C9}" name="T06.2024" dataDxfId="282"/>
    <tableColumn id="46" xr3:uid="{FC0B3F41-E140-4001-96D9-E2B27D318035}" name="T07.2024" dataDxfId="281"/>
    <tableColumn id="47" xr3:uid="{C076F55A-FCDA-4F5A-B54A-0320F04A637F}" name="T08.2024" dataDxfId="280"/>
    <tableColumn id="48" xr3:uid="{84655E1F-6377-4F6F-922C-9019B4BA508C}" name="T09.2024" dataDxfId="279"/>
    <tableColumn id="49" xr3:uid="{98B2F638-DBAB-46DD-B604-9894DAF2CEE0}" name="T10.2024" dataDxfId="278"/>
    <tableColumn id="50" xr3:uid="{10D66CD0-D2AE-4E7A-A728-7F5CF1382455}" name="T11.2024" dataDxfId="277"/>
    <tableColumn id="51" xr3:uid="{ECBD364F-4B46-4397-8DE2-7816738BD346}" name="T12.2024" dataDxfId="276"/>
    <tableColumn id="52" xr3:uid="{062D5078-BC76-43D3-AC40-4F1C9BCDE5A2}" name="T01.2025" dataDxfId="275"/>
    <tableColumn id="53" xr3:uid="{F5EAB03F-49C1-4A4E-AE55-8C775DEF702B}" name="T02.2025" dataDxfId="274"/>
    <tableColumn id="54" xr3:uid="{DE44F4B7-83E7-4B33-AC72-F89ECAC387CF}" name="T03.2025" dataDxfId="273"/>
    <tableColumn id="55" xr3:uid="{50CD15D9-9432-4B41-A99E-A589B209DD98}" name="T04.2025" dataDxfId="272"/>
    <tableColumn id="56" xr3:uid="{710091D2-F5DE-4BDE-8F1B-47D12B3CD538}" name="T05.2025" dataDxfId="271"/>
    <tableColumn id="57" xr3:uid="{156267C3-98C3-4720-8343-3F0131D2F08F}" name="T06.2025" dataDxfId="270"/>
    <tableColumn id="58" xr3:uid="{B1C4CF87-F1F1-424B-B3B1-4534B0528C79}" name="T07.2025" dataDxfId="269"/>
    <tableColumn id="59" xr3:uid="{D3F06ABB-A5C1-42E2-AF76-1B533DF634C9}" name="T08.2025" dataDxfId="268"/>
    <tableColumn id="60" xr3:uid="{0AC3445B-D814-4060-AD93-5DC36C93632D}" name="T09.2025" dataDxfId="267"/>
    <tableColumn id="61" xr3:uid="{2AEFBA4E-2BFD-4ACD-8C2B-5E4EBF3D8F3E}" name="T10.2025" dataDxfId="266"/>
    <tableColumn id="62" xr3:uid="{8D068B85-B603-46C9-A2DC-E7B6D933AD83}" name="T11.2025" dataDxfId="265"/>
    <tableColumn id="63" xr3:uid="{ABDEB535-6D39-465A-85DA-F61D29DCB60B}" name="T12.2025" dataDxfId="264"/>
    <tableColumn id="64" xr3:uid="{4E88E4D5-8388-4F0E-B1DD-D736799F79F6}" name="T01.2026" dataDxfId="263"/>
    <tableColumn id="65" xr3:uid="{88220A32-4424-4168-AD8A-E69A7B6D6113}" name="T02.2026" dataDxfId="262"/>
    <tableColumn id="66" xr3:uid="{E41B00C0-9508-4B1E-B38C-D497A2CD2BA0}" name="T03.2026" dataDxfId="261"/>
    <tableColumn id="67" xr3:uid="{53F11F5B-A758-4087-944B-5424483D47DB}" name="T04.2026" dataDxfId="260"/>
    <tableColumn id="68" xr3:uid="{237940AF-6D2E-407B-972C-9F7A1086839D}" name="T05.2026" dataDxfId="259">
      <calculatedColumnFormula>SUM('Dai loc:DLam'!BV4)</calculatedColumnFormula>
    </tableColumn>
    <tableColumn id="69" xr3:uid="{FF81ADF4-C33D-42D7-985A-A9A95C858E42}" name="T06.2026" dataDxfId="258">
      <calculatedColumnFormula>SUM('Dai loc:DLam'!BW4)</calculatedColumnFormula>
    </tableColumn>
    <tableColumn id="70" xr3:uid="{284883DC-0131-4968-A673-56C9970346EE}" name="T07.2026" dataDxfId="257">
      <calculatedColumnFormula>SUM('Dai loc:DLam'!BX4)</calculatedColumnFormula>
    </tableColumn>
    <tableColumn id="71" xr3:uid="{1C184243-6F5C-4711-82BD-09F85028C186}" name="T08.2026" dataDxfId="256">
      <calculatedColumnFormula>SUM('Dai loc:DLam'!BY4)</calculatedColumnFormula>
    </tableColumn>
    <tableColumn id="72" xr3:uid="{33AF2CE7-0236-412A-AA9C-F1FE147D709A}" name="T09.2026" dataDxfId="255">
      <calculatedColumnFormula>SUM('Dai loc:DLam'!BZ4)</calculatedColumnFormula>
    </tableColumn>
    <tableColumn id="73" xr3:uid="{1555A85B-85F9-46BB-A5C3-78630DC3E32C}" name="T10.2026" dataDxfId="254">
      <calculatedColumnFormula>SUM('Dai loc:DLam'!CA4)</calculatedColumnFormula>
    </tableColumn>
    <tableColumn id="74" xr3:uid="{98D211DC-2FF3-41C9-AB94-52843ACF3C42}" name="T11.2026" dataDxfId="253">
      <calculatedColumnFormula>SUM('Dai loc:DLam'!CB4)</calculatedColumnFormula>
    </tableColumn>
    <tableColumn id="75" xr3:uid="{D4A9A814-9287-4B67-8DC9-EFF4E48AC7B2}" name="T12.2026" dataDxfId="252">
      <calculatedColumnFormula>SUM('Dai loc:DLam'!CC4)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EFE622-A7FD-40E0-A178-B5A846715EBA}" name="Data_PL" displayName="Data_PL" ref="A3:CC24" totalsRowShown="0" headerRowDxfId="251" headerRowCellStyle="Comma 3">
  <tableColumns count="81">
    <tableColumn id="1" xr3:uid="{140C27AB-DA07-4D43-A514-FF06CA5C3034}" name="Index PL" dataDxfId="250" dataCellStyle="Normal 2"/>
    <tableColumn id="2" xr3:uid="{D3A064E3-366A-444A-9880-6EBCDA276547}" name="PHẦN II-KẾT QUẢ HOẠT ĐỘNG KINH DOANH" dataDxfId="249" dataCellStyle="Normal 2"/>
    <tableColumn id="3" xr3:uid="{BE833AAD-635C-434E-80B4-51D7F31BDE6E}" name="TenCongTyID"/>
    <tableColumn id="76" xr3:uid="{E70529FA-BE94-48F7-849A-D381090E3578}" name="2021" dataDxfId="248">
      <calculatedColumnFormula>SUM(Data_PL[[#This Row],[T1.2021]:[T12.2021]])</calculatedColumnFormula>
    </tableColumn>
    <tableColumn id="77" xr3:uid="{55649180-AE83-42F9-A079-6AEEF76968BC}" name="2022" dataDxfId="247">
      <calculatedColumnFormula>SUM(Data_PL[[#This Row],[T1.2022]:[T12.2022]])</calculatedColumnFormula>
    </tableColumn>
    <tableColumn id="78" xr3:uid="{EF9746C0-FDEA-47B1-AE07-657762837FDB}" name="2023" dataDxfId="246">
      <calculatedColumnFormula>SUM(Data_PL[[#This Row],[T1.2023]:[T12.2023]])</calculatedColumnFormula>
    </tableColumn>
    <tableColumn id="79" xr3:uid="{5D35CC48-2DA0-41B6-96D0-D0C9E6916D30}" name="2024" dataDxfId="245">
      <calculatedColumnFormula>SUM(Data_PL[[#This Row],[T01.2024]:[T12.2024]])</calculatedColumnFormula>
    </tableColumn>
    <tableColumn id="80" xr3:uid="{FAD4405B-5918-4DBB-A31C-E65E449C6E36}" name="2025" dataDxfId="244">
      <calculatedColumnFormula>SUM(Data_PL[[#This Row],[T01.2025]:[T12.2025]])</calculatedColumnFormula>
    </tableColumn>
    <tableColumn id="81" xr3:uid="{37CB0561-B53D-434B-BC4C-92FF62CB150F}" name="2026" dataDxfId="243">
      <calculatedColumnFormula>SUM(Data_PL[[#This Row],[T01.2026]:[T12.2026]])</calculatedColumnFormula>
    </tableColumn>
    <tableColumn id="4" xr3:uid="{CA850C43-C01C-4E2F-A496-CFDD677E7FE5}" name="T1.2021" dataDxfId="242"/>
    <tableColumn id="5" xr3:uid="{F17E2081-4654-408F-B5A6-E5D6FC121265}" name="T02.2021" dataDxfId="241"/>
    <tableColumn id="6" xr3:uid="{0931E297-85CF-4A9B-A075-ADFF659F7A11}" name="T03.2021" dataDxfId="240"/>
    <tableColumn id="7" xr3:uid="{FF77EE29-004E-42B7-8C2E-122CCD883A3A}" name="T04.2021" dataDxfId="239"/>
    <tableColumn id="8" xr3:uid="{1F21124F-A0F2-4D22-A666-7792B8A407C1}" name="T05.2021" dataDxfId="238"/>
    <tableColumn id="9" xr3:uid="{7E4774C7-18CD-48D7-8D33-E4D7559C9845}" name="T06.2021" dataDxfId="237"/>
    <tableColumn id="10" xr3:uid="{49DBD12C-5E39-454D-BB1C-C6DEE19D264C}" name="T07.2021" dataDxfId="236"/>
    <tableColumn id="11" xr3:uid="{FE63919F-7C10-4E60-B0B4-99EE875ABB04}" name="T08.2021" dataDxfId="235"/>
    <tableColumn id="12" xr3:uid="{267DC064-D147-4076-B595-D3CE33707255}" name="T09.2021" dataDxfId="234"/>
    <tableColumn id="13" xr3:uid="{063720AC-B604-4460-B32E-E1C473E8FC0C}" name="T10.2021" dataDxfId="233"/>
    <tableColumn id="14" xr3:uid="{33874FE7-7AEA-4B74-87EF-3101C1F61A21}" name="T11.2021" dataDxfId="232"/>
    <tableColumn id="15" xr3:uid="{ED54E98F-8AE8-48DC-866C-3D29A4B3CB36}" name="T12.2021" dataDxfId="231"/>
    <tableColumn id="16" xr3:uid="{2C0DD9D0-03B4-40ED-95B6-7B276753DA21}" name="T1.2022" dataDxfId="230"/>
    <tableColumn id="17" xr3:uid="{31D13514-0D80-411C-8D86-A597C466D8B9}" name="T02.2022" dataDxfId="229"/>
    <tableColumn id="18" xr3:uid="{FEBCA5AA-51CC-4E56-A8D0-24ED1D5D4ECA}" name="T03.2022" dataDxfId="228"/>
    <tableColumn id="19" xr3:uid="{97AED4D3-29B9-4277-8F97-2EE504060389}" name="T04.2022" dataDxfId="227"/>
    <tableColumn id="20" xr3:uid="{9D39A74B-5ED2-4F82-97A1-684A87E14AC1}" name="T05.2022" dataDxfId="226"/>
    <tableColumn id="21" xr3:uid="{69C87390-62AC-4BF1-A91F-37E96C267D68}" name="T06.2022" dataDxfId="225"/>
    <tableColumn id="22" xr3:uid="{45EABDA3-EA6C-4EAF-818B-948F8334ED13}" name="T07.2022" dataDxfId="224"/>
    <tableColumn id="23" xr3:uid="{2EF47145-AC06-4B7F-8E1C-BC0D50EDD007}" name="T08.2022" dataDxfId="223"/>
    <tableColumn id="24" xr3:uid="{20F18264-29D8-4424-BC96-9BDD18EF59C9}" name="T09.2022" dataDxfId="222"/>
    <tableColumn id="25" xr3:uid="{F0273C8A-533A-4F34-969C-69460EDAD137}" name="T10.2022" dataDxfId="221"/>
    <tableColumn id="26" xr3:uid="{88791801-EEF3-43AE-9D37-407F290DEF84}" name="T11.2022" dataDxfId="220"/>
    <tableColumn id="27" xr3:uid="{E764C691-6ED0-4004-99AA-6013486C8F70}" name="T12.2022" dataDxfId="219"/>
    <tableColumn id="28" xr3:uid="{88601D5F-8DF4-45DC-A5E7-680B3F9BD80E}" name="T1.2023" dataDxfId="218"/>
    <tableColumn id="29" xr3:uid="{2476753C-3354-419C-A77C-5F6FE8FCDC36}" name="T02.2023" dataDxfId="217"/>
    <tableColumn id="30" xr3:uid="{440A180B-8F9C-40BB-A686-C82057DBB7E3}" name="T03.2023" dataDxfId="216"/>
    <tableColumn id="31" xr3:uid="{3F901FC8-34E8-4D25-88D7-B10ACDF6C81A}" name="T04.2023" dataDxfId="215"/>
    <tableColumn id="32" xr3:uid="{298713AA-D3DA-4CFC-AB27-A0FFCAAABEE6}" name="T05.2023" dataDxfId="214"/>
    <tableColumn id="33" xr3:uid="{6CFD36F6-2F8F-4E42-A7EF-2FE4EDED1485}" name="T06.2023" dataDxfId="213"/>
    <tableColumn id="34" xr3:uid="{2BBA1F46-8202-430B-9519-A03AD4685267}" name="T07.2023" dataDxfId="212"/>
    <tableColumn id="35" xr3:uid="{E228BE79-D907-4563-91EE-8D3890015EA9}" name="T08.2023" dataDxfId="211"/>
    <tableColumn id="36" xr3:uid="{F7E8F578-89FE-408F-AF6A-A381E7E153BB}" name="T09.2023" dataDxfId="210"/>
    <tableColumn id="37" xr3:uid="{5C6B9E98-D7CA-44A0-BB1E-EF253FC6ED81}" name="T10.2023" dataDxfId="209"/>
    <tableColumn id="38" xr3:uid="{43B33DD7-5458-413F-A8CE-E40427AD1877}" name="T11.2023" dataDxfId="208"/>
    <tableColumn id="39" xr3:uid="{11E5EB13-BF8F-4AC9-AC43-0A5FEF9E9CD5}" name="T12.2023" dataDxfId="207"/>
    <tableColumn id="40" xr3:uid="{C4D54656-38AB-4988-A36E-B331117E5AF2}" name="T01.2024" dataDxfId="206"/>
    <tableColumn id="41" xr3:uid="{DE4B1BFC-3A7A-44FB-B4FF-EC6235A74DFF}" name="T02.2024" dataDxfId="205"/>
    <tableColumn id="42" xr3:uid="{5F2A7928-D3B2-431F-951E-64C7FD449F25}" name="T03.2024" dataDxfId="204"/>
    <tableColumn id="43" xr3:uid="{5A9C72F4-2F87-49C7-B09D-7C8A38862779}" name="T04.2024" dataDxfId="203"/>
    <tableColumn id="44" xr3:uid="{20D09DB2-5C7B-40F4-BA7D-5A3291E93DD5}" name="T05.2024" dataDxfId="202"/>
    <tableColumn id="45" xr3:uid="{41F130D0-4DA9-44CC-B16D-46155C11AE65}" name="T06.2024" dataDxfId="201"/>
    <tableColumn id="46" xr3:uid="{81E535E7-F749-42F9-BE6A-0B87CE5DF84A}" name="T07.2024" dataDxfId="200"/>
    <tableColumn id="47" xr3:uid="{50818A64-2E67-41D1-BD54-2BE330D13A0A}" name="T08.2024" dataDxfId="199"/>
    <tableColumn id="48" xr3:uid="{5626BA8F-4596-4E04-A185-756307BD2EA6}" name="T09.2024" dataDxfId="198"/>
    <tableColumn id="49" xr3:uid="{E10245EE-E5EF-471F-9816-A9A5A1901EB6}" name="T10.2024" dataDxfId="197"/>
    <tableColumn id="50" xr3:uid="{EEE6BEBF-8905-426F-B95F-9643B9E21E00}" name="T11.2024" dataDxfId="196"/>
    <tableColumn id="51" xr3:uid="{5FC52FCB-1E14-483F-BE67-4C79CAF73B5D}" name="T12.2024" dataDxfId="195"/>
    <tableColumn id="52" xr3:uid="{9E47EEE7-0294-4365-8E2E-334071969956}" name="T01.2025" dataDxfId="194"/>
    <tableColumn id="53" xr3:uid="{CB05C531-A575-4431-9D6C-D519938785D4}" name="T02.2025" dataDxfId="193"/>
    <tableColumn id="54" xr3:uid="{3013EA00-326C-48D4-A7B4-A5060957F6A9}" name="T03.2025" dataDxfId="192"/>
    <tableColumn id="55" xr3:uid="{E75B6642-039B-4DF3-A771-C46611B7DBC5}" name="T04.2025" dataDxfId="191"/>
    <tableColumn id="56" xr3:uid="{77384B17-E071-4969-9D9C-2098EE119662}" name="T05.2025" dataDxfId="190"/>
    <tableColumn id="57" xr3:uid="{B0DE232D-14D9-4449-A7E4-C4D05799A2F1}" name="T06.2025" dataDxfId="189"/>
    <tableColumn id="58" xr3:uid="{409C9DEA-456A-47B6-869B-7403A4444C8B}" name="T07.2025" dataDxfId="188"/>
    <tableColumn id="59" xr3:uid="{D0CEEA27-B2BD-4BC7-BE97-77B6145A3B40}" name="T08.2025" dataDxfId="187"/>
    <tableColumn id="60" xr3:uid="{1C93D485-B91D-4BD6-86AA-B788B54A3720}" name="T09.2025" dataDxfId="186"/>
    <tableColumn id="61" xr3:uid="{D0AA2E3D-18E0-40D9-9F7D-7F065A68D590}" name="T10.2025" dataDxfId="185"/>
    <tableColumn id="62" xr3:uid="{0C623E39-6CC4-4A24-8306-E3D8ACDB6971}" name="T11.2025" dataDxfId="184"/>
    <tableColumn id="63" xr3:uid="{A390CC5C-D539-4B46-9414-325639CE47D8}" name="T12.2025" dataDxfId="183"/>
    <tableColumn id="64" xr3:uid="{5176DCCF-E2DE-4A38-893D-A525372B6100}" name="T01.2026" dataDxfId="182"/>
    <tableColumn id="65" xr3:uid="{95844B3B-836D-4FA7-A0E1-1F5049211EA1}" name="T02.2026" dataDxfId="181"/>
    <tableColumn id="66" xr3:uid="{0A1DB28E-D616-4809-B6A3-B20151E8D208}" name="T03.2026" dataDxfId="180"/>
    <tableColumn id="67" xr3:uid="{6F39B0BB-817E-45EF-A54F-F27885A37F77}" name="T04.2026" dataDxfId="179"/>
    <tableColumn id="68" xr3:uid="{FE5E1445-0E59-49D0-BBB9-8BA022A181DE}" name="T05.2026" dataDxfId="178"/>
    <tableColumn id="69" xr3:uid="{80D100CF-0921-45C2-819A-9B368B037B9B}" name="T06.2026" dataDxfId="177"/>
    <tableColumn id="70" xr3:uid="{32CB5DBB-AFA0-482F-BAF5-1622A3E32709}" name="T07.2026" dataDxfId="176"/>
    <tableColumn id="71" xr3:uid="{01C58B18-77EA-418F-ABEB-EE62EA46CC1A}" name="T08.2026" dataDxfId="175"/>
    <tableColumn id="72" xr3:uid="{C320243E-3792-4AAB-A01B-0D18ACA50084}" name="T09.2026" dataDxfId="174"/>
    <tableColumn id="73" xr3:uid="{C63289CE-FAF3-4105-9588-7914C02A1DCC}" name="T10.2026" dataDxfId="173"/>
    <tableColumn id="74" xr3:uid="{B0357FD9-2663-4A1C-82BD-A2998DE6F35A}" name="T11.2026" dataDxfId="172"/>
    <tableColumn id="75" xr3:uid="{03EC3163-C9CE-48A6-96F3-7EE10DB93C60}" name="T12.2026" dataDxfId="17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5EDE80-1F5B-44C1-9FFE-01778C362C0D}" name="Data_PL5" displayName="Data_PL5" ref="A3:CC24" totalsRowShown="0" headerRowDxfId="170" dataDxfId="169" headerRowCellStyle="Comma 3">
  <tableColumns count="81">
    <tableColumn id="1" xr3:uid="{A76896E3-4BEE-4707-89B5-CFEB29F151FB}" name="Index PL" dataDxfId="168" dataCellStyle="Normal 2"/>
    <tableColumn id="2" xr3:uid="{3DE66BF0-8F11-4ED8-9107-D5A7C4E68E96}" name="PHẦN II-KẾT QUẢ HOẠT ĐỘNG KINH DOANH" dataDxfId="167" dataCellStyle="Normal 2"/>
    <tableColumn id="3" xr3:uid="{01E0F252-77E3-47A9-91BF-A570A644D98C}" name="TenCongTyID" dataDxfId="166"/>
    <tableColumn id="76" xr3:uid="{60B471C3-FCD0-45BC-9CDA-71A336669F36}" name="2021" dataDxfId="165">
      <calculatedColumnFormula>SUM(Data_PL5[[#This Row],[T1.2021]:[T12.2021]])</calculatedColumnFormula>
    </tableColumn>
    <tableColumn id="77" xr3:uid="{84F6F7E3-2A79-4826-8BE0-0824355ED750}" name="2022" dataDxfId="164">
      <calculatedColumnFormula>SUM(Data_PL5[[#This Row],[T1.2022]:[T12.2022]])</calculatedColumnFormula>
    </tableColumn>
    <tableColumn id="78" xr3:uid="{2BE29B67-37B9-496D-B9E3-977446CA2D25}" name="2023" dataDxfId="163">
      <calculatedColumnFormula>SUM(Data_PL5[[#This Row],[T1.2023]:[T12.2023]])</calculatedColumnFormula>
    </tableColumn>
    <tableColumn id="79" xr3:uid="{8EC26878-D2CA-4CBA-8C30-7DBEA46DD132}" name="2024" dataDxfId="162">
      <calculatedColumnFormula>SUM(Data_PL5[[#This Row],[T01.2024]:[T12.2024]])</calculatedColumnFormula>
    </tableColumn>
    <tableColumn id="80" xr3:uid="{202B4C08-C8D7-4E34-8F9D-DDD25D24826D}" name="2025" dataDxfId="161">
      <calculatedColumnFormula>SUM(Data_PL5[[#This Row],[T01.2025]:[T12.2025]])</calculatedColumnFormula>
    </tableColumn>
    <tableColumn id="81" xr3:uid="{AB6E8FEC-382A-4CE0-83DD-B0B297D7899F}" name="2026" dataDxfId="160">
      <calculatedColumnFormula>SUM(Data_PL5[[#This Row],[T01.2026]:[T12.2026]])</calculatedColumnFormula>
    </tableColumn>
    <tableColumn id="4" xr3:uid="{9358A18E-B00B-4671-A543-E06C424CC82E}" name="T1.2021" dataDxfId="159"/>
    <tableColumn id="5" xr3:uid="{4A315C28-2434-4BAD-B0CD-5249A7185D69}" name="T02.2021" dataDxfId="158"/>
    <tableColumn id="6" xr3:uid="{5F484136-F446-48BD-8C51-E8460EEBF539}" name="T03.2021" dataDxfId="157"/>
    <tableColumn id="7" xr3:uid="{E779138D-BB78-4A13-9101-036718DE20DB}" name="T04.2021" dataDxfId="156"/>
    <tableColumn id="8" xr3:uid="{95C9EEB5-3331-4853-A74D-C76C230690FB}" name="T05.2021" dataDxfId="155"/>
    <tableColumn id="9" xr3:uid="{45D87E7F-C63F-4C64-B1F5-81B61DC6B2F9}" name="T06.2021" dataDxfId="154"/>
    <tableColumn id="10" xr3:uid="{F4351E44-75BC-4430-BDA1-BA21BE3FA2A0}" name="T07.2021" dataDxfId="153"/>
    <tableColumn id="11" xr3:uid="{959392D0-F22C-4871-B197-B735C335A3DD}" name="T08.2021" dataDxfId="152"/>
    <tableColumn id="12" xr3:uid="{0942B715-4830-4635-AB12-0FD0D1D562FD}" name="T09.2021" dataDxfId="151"/>
    <tableColumn id="13" xr3:uid="{F5758D5F-C99D-4428-9647-543CA72C8686}" name="T10.2021" dataDxfId="150"/>
    <tableColumn id="14" xr3:uid="{5FEA8DB3-72A7-4443-830C-55BB62D9B3D0}" name="T11.2021" dataDxfId="149"/>
    <tableColumn id="15" xr3:uid="{062A0FDD-574B-409D-9176-96C253526481}" name="T12.2021" dataDxfId="148"/>
    <tableColumn id="16" xr3:uid="{899FB725-00E1-4BA7-B9CF-8CF0284692B6}" name="T1.2022" dataDxfId="147"/>
    <tableColumn id="17" xr3:uid="{2200DAD8-C97E-43DD-B38F-267117BDCF46}" name="T02.2022" dataDxfId="146"/>
    <tableColumn id="18" xr3:uid="{6ADF77DF-9AFF-475A-8420-8E3A7E87EAAA}" name="T03.2022" dataDxfId="145"/>
    <tableColumn id="19" xr3:uid="{AD579CF7-C106-4012-8184-25069E9C8F3B}" name="T04.2022" dataDxfId="144"/>
    <tableColumn id="20" xr3:uid="{804AA37C-404E-47E4-9C81-8EEBFF52321B}" name="T05.2022" dataDxfId="143"/>
    <tableColumn id="21" xr3:uid="{D907B067-090A-4455-9F48-5DD397036937}" name="T06.2022" dataDxfId="142"/>
    <tableColumn id="22" xr3:uid="{BF9490CE-0BEC-4AE5-B5B5-CF572489AC1B}" name="T07.2022" dataDxfId="141"/>
    <tableColumn id="23" xr3:uid="{89BCC81F-926E-4CDB-9A7A-7B60845A89A3}" name="T08.2022" dataDxfId="140"/>
    <tableColumn id="24" xr3:uid="{91285C21-62B8-4DFA-934A-C555C319CFEA}" name="T09.2022" dataDxfId="139"/>
    <tableColumn id="25" xr3:uid="{9868F559-7A8F-481A-9E17-2994F38DEB77}" name="T10.2022" dataDxfId="138"/>
    <tableColumn id="26" xr3:uid="{28BF89A9-4A22-4C38-ADB2-5EE953708F59}" name="T11.2022" dataDxfId="137"/>
    <tableColumn id="27" xr3:uid="{3CCC3850-FB21-40E4-8C31-2D3CC2AACA39}" name="T12.2022" dataDxfId="136"/>
    <tableColumn id="28" xr3:uid="{A13D8159-A807-428E-8723-79AC3D8B7EDB}" name="T1.2023" dataDxfId="135"/>
    <tableColumn id="29" xr3:uid="{01032A21-8C1E-41F1-A408-AC525F364506}" name="T02.2023" dataDxfId="134"/>
    <tableColumn id="30" xr3:uid="{648E2DE5-D057-4F58-9A6A-76400EA85405}" name="T03.2023" dataDxfId="133"/>
    <tableColumn id="31" xr3:uid="{9FD0A6FD-2577-44E4-89CC-B1E59CC821B7}" name="T04.2023" dataDxfId="132"/>
    <tableColumn id="32" xr3:uid="{56DDDB46-423A-42A9-81E4-176A371B8CBF}" name="T05.2023" dataDxfId="131"/>
    <tableColumn id="33" xr3:uid="{6549E8E4-BB51-4058-9CD5-FCBC37F92C5A}" name="T06.2023" dataDxfId="130"/>
    <tableColumn id="34" xr3:uid="{9798860C-4316-4244-A4E0-2E9FE5307ECB}" name="T07.2023" dataDxfId="129"/>
    <tableColumn id="35" xr3:uid="{5473D98F-3327-4A1C-918B-023C92CA03BA}" name="T08.2023" dataDxfId="128"/>
    <tableColumn id="36" xr3:uid="{3DEEF54F-6B09-476F-9F28-6CB6F2066D43}" name="T09.2023" dataDxfId="127"/>
    <tableColumn id="37" xr3:uid="{F9EB8F68-B9F4-4C14-ABC7-B1378B740081}" name="T10.2023" dataDxfId="126"/>
    <tableColumn id="38" xr3:uid="{C6404852-8C65-471C-B3AA-9CF1A8B2FCC0}" name="T11.2023" dataDxfId="125"/>
    <tableColumn id="39" xr3:uid="{0DD1835A-C5FE-4703-B327-E3B07637C21E}" name="T12.2023" dataDxfId="124"/>
    <tableColumn id="40" xr3:uid="{205435D1-B382-4141-8169-20ABF5E7DA79}" name="T01.2024" dataDxfId="123"/>
    <tableColumn id="41" xr3:uid="{FAF89579-FB89-4212-ACD4-BECF4858051A}" name="T02.2024" dataDxfId="122"/>
    <tableColumn id="42" xr3:uid="{7B428395-533F-47E6-B9B7-18CF15935333}" name="T03.2024" dataDxfId="121"/>
    <tableColumn id="43" xr3:uid="{F11DFCD0-1D71-4593-A15F-A2BB357966B4}" name="T04.2024" dataDxfId="120"/>
    <tableColumn id="44" xr3:uid="{DEB0F1D3-2263-4A03-8BB3-FDC60B73AF8A}" name="T05.2024" dataDxfId="119"/>
    <tableColumn id="45" xr3:uid="{4E5C9791-0031-4071-8113-1E3C8E93B2A3}" name="T06.2024" dataDxfId="118"/>
    <tableColumn id="46" xr3:uid="{9F48DABE-6987-41A2-9AC9-0B92448DBBBB}" name="T07.2024" dataDxfId="117"/>
    <tableColumn id="47" xr3:uid="{067F643A-DFF1-41B9-81DA-2678DEE2DFFF}" name="T08.2024" dataDxfId="116"/>
    <tableColumn id="48" xr3:uid="{19EFFBA7-C998-4D57-9296-C4345F692ABA}" name="T09.2024" dataDxfId="115"/>
    <tableColumn id="49" xr3:uid="{16C2B119-A8F1-4D41-AC4F-9F2FBB89C6D8}" name="T10.2024" dataDxfId="114"/>
    <tableColumn id="50" xr3:uid="{CD9E6B5D-4D29-4F99-B5B8-BB7EE3370356}" name="T11.2024" dataDxfId="113"/>
    <tableColumn id="51" xr3:uid="{840E783C-5EBD-46EC-BF37-DD37442F7864}" name="T12.2024" dataDxfId="112"/>
    <tableColumn id="52" xr3:uid="{6B81585F-858D-478C-8521-D071042B438A}" name="T01.2025" dataDxfId="111"/>
    <tableColumn id="53" xr3:uid="{4842A57C-D096-4812-8904-D934B77AFCBD}" name="T02.2025" dataDxfId="110"/>
    <tableColumn id="54" xr3:uid="{71F35288-4138-44D3-9E87-C78470785AF8}" name="T03.2025" dataDxfId="109"/>
    <tableColumn id="55" xr3:uid="{2135E153-FBA2-4774-92F7-A5766DC72731}" name="T04.2025" dataDxfId="108"/>
    <tableColumn id="56" xr3:uid="{AE9E7065-9BAC-4CC8-9492-A443877949CC}" name="T05.2025" dataDxfId="107"/>
    <tableColumn id="57" xr3:uid="{3EBED8CD-B7DF-4FF5-90FC-C58F27F23C4D}" name="T06.2025" dataDxfId="106"/>
    <tableColumn id="58" xr3:uid="{2250EA20-77C4-495B-A3A3-F61D0519E94A}" name="T07.2025" dataDxfId="105"/>
    <tableColumn id="59" xr3:uid="{95BB5CD1-6E77-4512-9E31-7BC93180D915}" name="T08.2025" dataDxfId="104"/>
    <tableColumn id="60" xr3:uid="{1659AB7C-51BA-4064-B98E-18DE9CA3EDA7}" name="T09.2025" dataDxfId="103"/>
    <tableColumn id="61" xr3:uid="{1FFE8B30-1A33-4697-8CD4-DDE5A5CA8330}" name="T10.2025" dataDxfId="102"/>
    <tableColumn id="62" xr3:uid="{729F1037-170C-46F1-8F7F-2BBF38B304F2}" name="T11.2025" dataDxfId="101"/>
    <tableColumn id="63" xr3:uid="{0EFD22D2-3C15-437B-BFEA-D2CBB275831F}" name="T12.2025" dataDxfId="100"/>
    <tableColumn id="64" xr3:uid="{9F496020-FCD9-4CDA-9ACC-9540ABD85273}" name="T01.2026" dataDxfId="99"/>
    <tableColumn id="65" xr3:uid="{018AD624-B1B7-47BB-AE6D-8807510B0494}" name="T02.2026" dataDxfId="98"/>
    <tableColumn id="66" xr3:uid="{612FDBD4-7C7A-4C2D-B1EF-77FA6AAFC9FA}" name="T03.2026" dataDxfId="97"/>
    <tableColumn id="67" xr3:uid="{D603BA20-48B8-4770-B09A-4F482C82A335}" name="T04.2026"/>
    <tableColumn id="68" xr3:uid="{26072CAD-4C0A-459B-B310-C7BF740D2EE3}" name="T05.2026" dataDxfId="96"/>
    <tableColumn id="69" xr3:uid="{E830ADF6-0C77-4C7D-A48C-42696E1DAD4D}" name="T06.2026" dataDxfId="95"/>
    <tableColumn id="70" xr3:uid="{B6604AF7-E6F9-4CEF-8B4E-137253E45AE7}" name="T07.2026" dataDxfId="94"/>
    <tableColumn id="71" xr3:uid="{6DDF9650-1BEA-4D21-BA1A-9AEC72EFB865}" name="T08.2026" dataDxfId="93"/>
    <tableColumn id="72" xr3:uid="{C986246D-B2AF-4DF8-BCA7-A211DF42A4FF}" name="T09.2026" dataDxfId="92"/>
    <tableColumn id="73" xr3:uid="{1D789049-6442-4529-B377-45476D7293E0}" name="T10.2026" dataDxfId="91"/>
    <tableColumn id="74" xr3:uid="{D76A76B6-51E7-437B-80CF-1E2FB7672165}" name="T11.2026" dataDxfId="90"/>
    <tableColumn id="75" xr3:uid="{A0745315-F52D-42E8-BCE3-58B2BC2FA6A2}" name="T12.2026" dataDxfId="8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2C8170-B188-4F65-BC8F-257A4797E5CE}" name="Data_PL6" displayName="Data_PL6" ref="A3:CC24" totalsRowShown="0" headerRowDxfId="88" dataDxfId="87" headerRowCellStyle="Comma 3">
  <tableColumns count="81">
    <tableColumn id="1" xr3:uid="{D7EEBCC2-D3C3-45D9-BB5B-E37E6BA82DD5}" name="Index PL" dataDxfId="86" dataCellStyle="Normal 2"/>
    <tableColumn id="2" xr3:uid="{DAB0413A-7B8A-4CC6-80BF-314D1CD44752}" name="PHẦN II-KẾT QUẢ HOẠT ĐỘNG KINH DOANH" dataDxfId="85" dataCellStyle="Normal 2"/>
    <tableColumn id="3" xr3:uid="{F539DB8B-E0FD-4F3F-B929-C57719CA2570}" name="TenCongTyID" dataDxfId="84"/>
    <tableColumn id="76" xr3:uid="{1F20B277-0B0E-4061-9EA1-99F955129695}" name="2021" dataDxfId="83">
      <calculatedColumnFormula>SUM(Data_PL6[[#This Row],[T1.2021]:[T12.2021]])</calculatedColumnFormula>
    </tableColumn>
    <tableColumn id="77" xr3:uid="{FD62AF8E-C6D5-4444-ACCB-04362F422274}" name="2022" dataDxfId="82">
      <calculatedColumnFormula>SUM(Data_PL6[[#This Row],[T1.2022]:[T12.2022]])</calculatedColumnFormula>
    </tableColumn>
    <tableColumn id="78" xr3:uid="{ECA76508-8D52-4D24-9C31-0F99E1A6B651}" name="2023" dataDxfId="81">
      <calculatedColumnFormula>SUM(Data_PL6[[#This Row],[T1.2023]:[T12.2023]])</calculatedColumnFormula>
    </tableColumn>
    <tableColumn id="79" xr3:uid="{F6DFC9AD-3ACB-4DE5-BDBE-3445D88AF3F8}" name="2024" dataDxfId="80">
      <calculatedColumnFormula>SUM(Data_PL6[[#This Row],[T01.2024]:[T12.2024]])</calculatedColumnFormula>
    </tableColumn>
    <tableColumn id="80" xr3:uid="{B5D5AB40-EFCB-4A35-87CD-F24EA9758E35}" name="2025" dataDxfId="79">
      <calculatedColumnFormula>SUM(Data_PL6[[#This Row],[T01.2025]:[T12.2025]])</calculatedColumnFormula>
    </tableColumn>
    <tableColumn id="81" xr3:uid="{DE8CAE88-47CC-4C3B-A56A-6069EE832B6A}" name="2026" dataDxfId="78">
      <calculatedColumnFormula>SUM(Data_PL6[[#This Row],[T01.2026]:[T12.2026]])</calculatedColumnFormula>
    </tableColumn>
    <tableColumn id="4" xr3:uid="{5A37CAA3-4213-4335-B3E1-EBFAA666FD71}" name="T1.2021" dataDxfId="77"/>
    <tableColumn id="5" xr3:uid="{69ACD482-919F-442C-8230-F989EE395D49}" name="T02.2021" dataDxfId="76"/>
    <tableColumn id="6" xr3:uid="{D066EC66-FD34-448A-9CE9-543EDC5A4F34}" name="T03.2021" dataDxfId="75"/>
    <tableColumn id="7" xr3:uid="{6E794510-EA87-4219-B691-281D6E9ECE4A}" name="T04.2021" dataDxfId="74"/>
    <tableColumn id="8" xr3:uid="{67B87CD1-57C8-4D19-AC28-EE17B908175D}" name="T05.2021" dataDxfId="73"/>
    <tableColumn id="9" xr3:uid="{C0AAD5FF-7F54-4B14-9D19-D400F55BE522}" name="T06.2021" dataDxfId="72"/>
    <tableColumn id="10" xr3:uid="{02487CB2-3226-4C56-8599-8ACB6E0AF875}" name="T07.2021" dataDxfId="71"/>
    <tableColumn id="11" xr3:uid="{D7AB2797-EAA0-40FC-AC93-3BF89A796C50}" name="T08.2021" dataDxfId="70"/>
    <tableColumn id="12" xr3:uid="{8D27312C-7BC8-47D0-867C-FBBF2852AFCB}" name="T09.2021" dataDxfId="69"/>
    <tableColumn id="13" xr3:uid="{284A700E-C90B-43D9-A88C-6DEFAA20BBB5}" name="T10.2021" dataDxfId="68"/>
    <tableColumn id="14" xr3:uid="{64785D5B-41FC-448C-B35B-326509C19311}" name="T11.2021" dataDxfId="67"/>
    <tableColumn id="15" xr3:uid="{EE3188D5-B765-4D22-969C-5EBAA1641EDD}" name="T12.2021" dataDxfId="66"/>
    <tableColumn id="16" xr3:uid="{245A441F-F06B-47BB-A7A7-C4CCC8A8151A}" name="T1.2022" dataDxfId="65"/>
    <tableColumn id="17" xr3:uid="{CDB56059-E538-4408-A7B3-1316151D43EC}" name="T02.2022" dataDxfId="64"/>
    <tableColumn id="18" xr3:uid="{AF75EFA8-B6A8-4DED-8511-710F216D280F}" name="T03.2022" dataDxfId="63"/>
    <tableColumn id="19" xr3:uid="{35D78899-E169-4E10-A058-B4E6ED0AA748}" name="T04.2022" dataDxfId="62"/>
    <tableColumn id="20" xr3:uid="{11711E0C-D7AE-407D-8DDC-85BF6E0DF9BF}" name="T05.2022" dataDxfId="61"/>
    <tableColumn id="21" xr3:uid="{B1454307-84DE-4794-A137-FD4508F06231}" name="T06.2022" dataDxfId="60"/>
    <tableColumn id="22" xr3:uid="{30696974-86F5-4DF9-942B-99D64DFE188A}" name="T07.2022" dataDxfId="59"/>
    <tableColumn id="23" xr3:uid="{058204DE-1817-4692-8117-0B4053E18B74}" name="T08.2022" dataDxfId="58"/>
    <tableColumn id="24" xr3:uid="{741184AC-1613-4C69-80C4-7D43F846026E}" name="T09.2022" dataDxfId="57"/>
    <tableColumn id="25" xr3:uid="{5F77DBC7-FCF2-4B73-9E04-E29F35A7ED45}" name="T10.2022" dataDxfId="56"/>
    <tableColumn id="26" xr3:uid="{1E4223D8-B730-4E43-8049-2D54FE823631}" name="T11.2022" dataDxfId="55"/>
    <tableColumn id="27" xr3:uid="{D36E6F0A-22C4-43EA-A0A6-361ABFABD3FA}" name="T12.2022" dataDxfId="54"/>
    <tableColumn id="28" xr3:uid="{DC05BA6D-DCC8-4829-AB0E-31B91B041DD7}" name="T1.2023" dataDxfId="53"/>
    <tableColumn id="29" xr3:uid="{7DE44CF5-587E-4F85-A96F-669E606FF28C}" name="T02.2023" dataDxfId="52"/>
    <tableColumn id="30" xr3:uid="{DE200859-BBC6-4E27-93FA-19BD1DE57A4E}" name="T03.2023" dataDxfId="51"/>
    <tableColumn id="31" xr3:uid="{EBB6B13A-F691-41C3-9D6D-933AA6A5BAA8}" name="T04.2023" dataDxfId="50"/>
    <tableColumn id="32" xr3:uid="{04258A5E-EC43-4BC0-96B2-DC4C75FAA94E}" name="T05.2023" dataDxfId="49"/>
    <tableColumn id="33" xr3:uid="{B6BB8B12-E3F6-4031-AB2E-90C5863B9FD5}" name="T06.2023" dataDxfId="48"/>
    <tableColumn id="34" xr3:uid="{A2154DFE-D6D9-46B9-9A66-C8DD149B10CB}" name="T07.2023" dataDxfId="47"/>
    <tableColumn id="35" xr3:uid="{A4B1BD70-8C74-40C9-A21F-6B7ED74710A5}" name="T08.2023" dataDxfId="46"/>
    <tableColumn id="36" xr3:uid="{B7A1D148-7503-4396-A114-2D29FA90D461}" name="T09.2023" dataDxfId="45"/>
    <tableColumn id="37" xr3:uid="{7BFAC8E6-218F-48CC-BC84-49F962DBF206}" name="T10.2023" dataDxfId="44"/>
    <tableColumn id="38" xr3:uid="{55C381E7-9B3E-459A-82C2-315CD37AB39C}" name="T11.2023" dataDxfId="43"/>
    <tableColumn id="39" xr3:uid="{EF3DB112-3EF3-46C9-866E-F5AFB66A0AF4}" name="T12.2023" dataDxfId="42"/>
    <tableColumn id="40" xr3:uid="{9A1F5399-1B2F-4602-93D8-1E8DFBA50682}" name="T01.2024" dataDxfId="41"/>
    <tableColumn id="41" xr3:uid="{F7F0A570-7CA9-4029-858E-C34DEB750C85}" name="T02.2024" dataDxfId="40"/>
    <tableColumn id="42" xr3:uid="{247B48BF-C762-4148-AB36-91206D620450}" name="T03.2024" dataDxfId="39"/>
    <tableColumn id="43" xr3:uid="{9FDE3E28-63F5-4A7F-A0FD-E87EE5DF83FF}" name="T04.2024" dataDxfId="38"/>
    <tableColumn id="44" xr3:uid="{94781ECC-F114-4250-B28D-0A4180C9B459}" name="T05.2024" dataDxfId="37"/>
    <tableColumn id="45" xr3:uid="{D2A0566F-3931-42CF-A42A-CAAB0786CE06}" name="T06.2024" dataDxfId="36"/>
    <tableColumn id="46" xr3:uid="{E5C857A7-984E-4F35-B5AE-9C1FA47547FB}" name="T07.2024" dataDxfId="35"/>
    <tableColumn id="47" xr3:uid="{0A8B20EE-3E55-49CC-B51D-7560E789BF2E}" name="T08.2024" dataDxfId="34"/>
    <tableColumn id="48" xr3:uid="{99819206-D5B2-4A2C-AA8D-3E7CA20D9E25}" name="T09.2024" dataDxfId="33"/>
    <tableColumn id="49" xr3:uid="{77ED7D9B-8EF1-4068-A76E-956884780FB9}" name="T10.2024" dataDxfId="32"/>
    <tableColumn id="50" xr3:uid="{E45D2954-5A31-431D-BB2F-F4E39BAB0668}" name="T11.2024" dataDxfId="31"/>
    <tableColumn id="51" xr3:uid="{2BF384F4-1F76-446F-8015-CAC477787CD1}" name="T12.2024" dataDxfId="30"/>
    <tableColumn id="52" xr3:uid="{E37C67FA-371D-431C-813C-FA2B7317873A}" name="T01.2025" dataDxfId="29"/>
    <tableColumn id="53" xr3:uid="{4DF70A23-FB3C-4C91-B0BB-33170FCFA8E3}" name="T02.2025" dataDxfId="28"/>
    <tableColumn id="54" xr3:uid="{301F6A9C-CC84-4FAD-9009-3F89C16E819A}" name="T03.2025" dataDxfId="27"/>
    <tableColumn id="55" xr3:uid="{5651D468-DFAB-45BF-9BC2-FCA014453F60}" name="T04.2025" dataDxfId="26"/>
    <tableColumn id="56" xr3:uid="{5D26D294-C3AD-4BD8-9BB3-02671115B156}" name="T05.2025" dataDxfId="25"/>
    <tableColumn id="57" xr3:uid="{718A5445-69CB-48A8-83F3-0AC760BB5142}" name="T06.2025" dataDxfId="24"/>
    <tableColumn id="58" xr3:uid="{2AC6BCF7-BB68-42DF-ACBD-DCC0C90E75C9}" name="T07.2025" dataDxfId="23"/>
    <tableColumn id="59" xr3:uid="{C3EDE26A-D4A1-469C-8792-FCFE71FD0446}" name="T08.2025" dataDxfId="22"/>
    <tableColumn id="60" xr3:uid="{47CC8433-F100-454C-9056-2348BC24514D}" name="T09.2025" dataDxfId="21"/>
    <tableColumn id="61" xr3:uid="{1F08D150-EF04-499D-A21B-E92A1947C549}" name="T10.2025" dataDxfId="20"/>
    <tableColumn id="62" xr3:uid="{52C43987-3CD8-437A-9E27-20198DC1B806}" name="T11.2025" dataDxfId="19"/>
    <tableColumn id="63" xr3:uid="{19074014-07AB-4B56-9066-6A081527B354}" name="T12.2025" dataDxfId="18"/>
    <tableColumn id="64" xr3:uid="{15B0283D-7ECB-4A2D-8EF1-A9F698F31A43}" name="T01.2026" dataDxfId="17"/>
    <tableColumn id="65" xr3:uid="{AC48FFAA-E55A-4E70-9400-F71E57026E78}" name="T02.2026" dataDxfId="16"/>
    <tableColumn id="66" xr3:uid="{5A3D2156-BAF5-4C3A-B043-E486F88D97CF}" name="T03.2026" dataDxfId="15"/>
    <tableColumn id="67" xr3:uid="{30CFD6AE-AD4F-48F0-80B1-AAB4786C622F}" name="T04.2026" dataDxfId="14"/>
    <tableColumn id="68" xr3:uid="{0B68B8DA-EEFF-48C5-BD0A-8125AE6C2477}" name="T05.2026" dataDxfId="13"/>
    <tableColumn id="69" xr3:uid="{B0FF78FE-770D-49C2-BDE9-757BE3BAA115}" name="T06.2026" dataDxfId="12"/>
    <tableColumn id="70" xr3:uid="{80AB600E-6F3E-4762-A930-138F636DEA31}" name="T07.2026" dataDxfId="11"/>
    <tableColumn id="71" xr3:uid="{5E93A68A-487C-4553-8F16-B1479B571178}" name="T08.2026" dataDxfId="10"/>
    <tableColumn id="72" xr3:uid="{24358023-7EDC-4D5D-ACBC-047C858CB9C8}" name="T09.2026" dataDxfId="9"/>
    <tableColumn id="73" xr3:uid="{29A48CEA-74C3-4C0A-A292-7AFE35C4B277}" name="T10.2026" dataDxfId="8"/>
    <tableColumn id="74" xr3:uid="{E99AB7FA-46C9-4902-85FD-D1294BF343B7}" name="T11.2026" dataDxfId="7"/>
    <tableColumn id="75" xr3:uid="{9FC2B276-CD19-4CBD-A3D0-0EFD7A72A657}" name="T12.2026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1292-1AAD-4A26-8898-550090797106}">
  <sheetPr>
    <tabColor theme="6" tint="0.39997558519241921"/>
  </sheetPr>
  <dimension ref="A1:CC24"/>
  <sheetViews>
    <sheetView topLeftCell="B1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F23" sqref="F23"/>
    </sheetView>
  </sheetViews>
  <sheetFormatPr defaultRowHeight="14.5"/>
  <cols>
    <col min="1" max="1" width="7" hidden="1" customWidth="1"/>
    <col min="2" max="2" width="56" bestFit="1" customWidth="1"/>
    <col min="3" max="3" width="12.08984375" hidden="1" customWidth="1"/>
    <col min="4" max="6" width="15.54296875" customWidth="1"/>
    <col min="7" max="7" width="16.08984375" bestFit="1" customWidth="1"/>
    <col min="8" max="8" width="17.26953125" bestFit="1" customWidth="1"/>
    <col min="9" max="16" width="15.54296875" customWidth="1"/>
    <col min="17" max="17" width="16.08984375" customWidth="1"/>
    <col min="18" max="20" width="15.54296875" customWidth="1"/>
    <col min="21" max="21" width="16.90625" customWidth="1"/>
    <col min="22" max="22" width="15.54296875" customWidth="1"/>
    <col min="23" max="23" width="16.08984375" customWidth="1"/>
    <col min="24" max="50" width="16.90625" customWidth="1"/>
    <col min="51" max="52" width="17.453125" customWidth="1"/>
    <col min="53" max="55" width="18" customWidth="1"/>
    <col min="56" max="56" width="16.90625" customWidth="1"/>
    <col min="57" max="57" width="18" customWidth="1"/>
    <col min="58" max="58" width="16.90625" bestFit="1" customWidth="1"/>
    <col min="59" max="65" width="18" bestFit="1" customWidth="1"/>
    <col min="66" max="66" width="17.453125" bestFit="1" customWidth="1"/>
    <col min="67" max="69" width="16.90625" bestFit="1" customWidth="1"/>
    <col min="70" max="70" width="18" bestFit="1" customWidth="1"/>
    <col min="71" max="81" width="18" customWidth="1"/>
  </cols>
  <sheetData>
    <row r="1" spans="1:81" ht="17.5">
      <c r="B1" s="1" t="s">
        <v>0</v>
      </c>
    </row>
    <row r="2" spans="1:81">
      <c r="B2" s="2" t="s">
        <v>1</v>
      </c>
      <c r="BF2" s="3"/>
    </row>
    <row r="3" spans="1:81" ht="28">
      <c r="A3" s="4" t="s">
        <v>2</v>
      </c>
      <c r="B3" s="5" t="s">
        <v>3</v>
      </c>
      <c r="C3" s="4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</row>
    <row r="4" spans="1:81">
      <c r="A4" s="6">
        <v>1</v>
      </c>
      <c r="B4" s="7" t="s">
        <v>83</v>
      </c>
      <c r="C4" s="6">
        <v>5</v>
      </c>
      <c r="D4" s="8">
        <f>SUM(Data_PL7[[#This Row],[T1.2021]:[T12.2021]])</f>
        <v>2131.962</v>
      </c>
      <c r="E4" s="8">
        <f>SUM(Data_PL7[[#This Row],[T1.2022]:[T12.2022]])</f>
        <v>9850.8649999999998</v>
      </c>
      <c r="F4" s="8">
        <f>SUM(Data_PL7[[#This Row],[T1.2023]:[T12.2023]])</f>
        <v>22582.090000000004</v>
      </c>
      <c r="G4" s="8">
        <f>SUM(Data_PL7[[#This Row],[T01.2024]:[T12.2024]])</f>
        <v>40044.8442</v>
      </c>
      <c r="H4" s="8">
        <f>SUM(Data_PL7[[#This Row],[T01.2025]:[T12.2025]])</f>
        <v>50376.160699999993</v>
      </c>
      <c r="I4" s="8">
        <f>SUM(Data_PL7[[#This Row],[T01.2026]:[T12.2026]])</f>
        <v>19871.663</v>
      </c>
      <c r="J4" s="8">
        <v>76.025000000000006</v>
      </c>
      <c r="K4" s="8">
        <v>61</v>
      </c>
      <c r="L4" s="8">
        <v>303.8</v>
      </c>
      <c r="M4" s="8">
        <v>215.35</v>
      </c>
      <c r="N4" s="8">
        <v>35.93</v>
      </c>
      <c r="O4" s="8">
        <v>30.437000000000001</v>
      </c>
      <c r="P4" s="8">
        <v>87.5</v>
      </c>
      <c r="Q4" s="8">
        <v>69.2</v>
      </c>
      <c r="R4" s="8">
        <v>115.5</v>
      </c>
      <c r="S4" s="8">
        <v>262.5</v>
      </c>
      <c r="T4" s="8">
        <v>284.8</v>
      </c>
      <c r="U4" s="8">
        <v>589.91999999999996</v>
      </c>
      <c r="V4" s="8">
        <v>250.8</v>
      </c>
      <c r="W4" s="8">
        <v>242</v>
      </c>
      <c r="X4" s="8">
        <v>710</v>
      </c>
      <c r="Y4" s="8">
        <v>815.18899999999996</v>
      </c>
      <c r="Z4" s="8">
        <v>578.20799999999997</v>
      </c>
      <c r="AA4" s="8">
        <v>678.9</v>
      </c>
      <c r="AB4" s="8">
        <v>421.5</v>
      </c>
      <c r="AC4" s="8">
        <v>1104.4680000000001</v>
      </c>
      <c r="AD4" s="8">
        <v>1030.32</v>
      </c>
      <c r="AE4" s="8">
        <v>1178.2750000000001</v>
      </c>
      <c r="AF4" s="8">
        <v>981.1</v>
      </c>
      <c r="AG4" s="8">
        <v>1860.105</v>
      </c>
      <c r="AH4" s="8">
        <v>651.79999999999995</v>
      </c>
      <c r="AI4" s="8">
        <v>653.07500000000005</v>
      </c>
      <c r="AJ4" s="8">
        <v>1875.95</v>
      </c>
      <c r="AK4" s="8">
        <v>1792.575</v>
      </c>
      <c r="AL4" s="8">
        <v>1632.875</v>
      </c>
      <c r="AM4" s="8">
        <v>1573.9749999999999</v>
      </c>
      <c r="AN4" s="8">
        <v>2078.5990000000002</v>
      </c>
      <c r="AO4" s="8">
        <v>2591.9430000000002</v>
      </c>
      <c r="AP4" s="8">
        <v>2246.875</v>
      </c>
      <c r="AQ4" s="8">
        <v>3057.3470000000002</v>
      </c>
      <c r="AR4" s="8">
        <v>2111.308</v>
      </c>
      <c r="AS4" s="8">
        <v>2315.768</v>
      </c>
      <c r="AT4" s="8">
        <v>3553.2</v>
      </c>
      <c r="AU4" s="8">
        <v>2285.0509999999999</v>
      </c>
      <c r="AV4" s="8">
        <v>2972.0680000000002</v>
      </c>
      <c r="AW4" s="8">
        <v>3202.752</v>
      </c>
      <c r="AX4" s="8">
        <v>3455.89</v>
      </c>
      <c r="AY4" s="8">
        <v>2432.3249999999998</v>
      </c>
      <c r="AZ4" s="8">
        <v>1986.8530000000001</v>
      </c>
      <c r="BA4" s="8">
        <v>5184.5942000000005</v>
      </c>
      <c r="BB4" s="8">
        <v>4932.5069999999996</v>
      </c>
      <c r="BC4" s="8">
        <v>4058.203</v>
      </c>
      <c r="BD4" s="8">
        <v>2606.2530000000002</v>
      </c>
      <c r="BE4" s="8">
        <v>3375.1480000000001</v>
      </c>
      <c r="BF4" s="8">
        <v>3612.7512999999999</v>
      </c>
      <c r="BG4" s="8">
        <v>6002.0379999999996</v>
      </c>
      <c r="BH4" s="8">
        <v>4985.5379999999996</v>
      </c>
      <c r="BI4" s="8">
        <v>4060.3609999999999</v>
      </c>
      <c r="BJ4" s="8">
        <v>4785.7602999999999</v>
      </c>
      <c r="BK4" s="8">
        <v>3895.6950000000002</v>
      </c>
      <c r="BL4" s="8">
        <v>4652.4191000000001</v>
      </c>
      <c r="BM4" s="8">
        <v>5655.27</v>
      </c>
      <c r="BN4" s="8">
        <v>3106.2919999999999</v>
      </c>
      <c r="BO4" s="8">
        <v>3393.5369999999998</v>
      </c>
      <c r="BP4" s="8">
        <v>3040.82</v>
      </c>
      <c r="BQ4" s="8">
        <v>3185.6790000000001</v>
      </c>
      <c r="BR4" s="8">
        <v>4409.9920000000002</v>
      </c>
      <c r="BS4" s="8">
        <v>3267.6</v>
      </c>
      <c r="BT4" s="8">
        <v>6445.4459999999999</v>
      </c>
      <c r="BU4" s="8">
        <v>5748.625</v>
      </c>
      <c r="BV4" s="8"/>
      <c r="BW4" s="8"/>
      <c r="BX4" s="8"/>
      <c r="BY4" s="8"/>
      <c r="BZ4" s="8"/>
      <c r="CA4" s="8"/>
      <c r="CB4" s="8"/>
      <c r="CC4" s="8"/>
    </row>
    <row r="5" spans="1:81">
      <c r="A5" s="9">
        <v>2</v>
      </c>
      <c r="B5" s="10" t="s">
        <v>84</v>
      </c>
      <c r="C5" s="9">
        <v>5</v>
      </c>
      <c r="D5" s="11">
        <f>SUM(Data_PL7[[#This Row],[T1.2021]:[T12.2021]])</f>
        <v>60562275921</v>
      </c>
      <c r="E5" s="11">
        <f>SUM(Data_PL7[[#This Row],[T1.2022]:[T12.2022]])</f>
        <v>330330688073</v>
      </c>
      <c r="F5" s="11">
        <f>SUM(Data_PL7[[#This Row],[T1.2023]:[T12.2023]])</f>
        <v>685554367311</v>
      </c>
      <c r="G5" s="11">
        <f>SUM(Data_PL7[[#This Row],[T01.2024]:[T12.2024]])</f>
        <v>1211387224737</v>
      </c>
      <c r="H5" s="11">
        <f>SUM(Data_PL7[[#This Row],[T01.2025]:[T12.2025]])</f>
        <v>1551998582223</v>
      </c>
      <c r="I5" s="11">
        <f>SUM(Data_PL7[[#This Row],[T01.2026]:[T12.2026]])</f>
        <v>556792402428</v>
      </c>
      <c r="J5" s="11">
        <v>2192940600</v>
      </c>
      <c r="K5" s="11">
        <v>1791822000</v>
      </c>
      <c r="L5" s="11">
        <v>8682084600</v>
      </c>
      <c r="M5" s="11">
        <v>6264332700</v>
      </c>
      <c r="N5" s="11">
        <v>1376973402</v>
      </c>
      <c r="O5" s="11">
        <v>904631370</v>
      </c>
      <c r="P5" s="11">
        <v>3085582842</v>
      </c>
      <c r="Q5" s="11">
        <v>2036756400</v>
      </c>
      <c r="R5" s="11">
        <v>4007834643</v>
      </c>
      <c r="S5" s="11">
        <v>8372308560</v>
      </c>
      <c r="T5" s="11">
        <v>8615033640</v>
      </c>
      <c r="U5" s="11">
        <v>13231975164</v>
      </c>
      <c r="V5" s="11">
        <v>7498036216</v>
      </c>
      <c r="W5" s="11">
        <v>6876982200</v>
      </c>
      <c r="X5" s="11">
        <v>21877405036</v>
      </c>
      <c r="Y5" s="11">
        <v>27424133378</v>
      </c>
      <c r="Z5" s="11">
        <v>18350378815</v>
      </c>
      <c r="AA5" s="11">
        <v>21902018748</v>
      </c>
      <c r="AB5" s="11">
        <v>15882148168</v>
      </c>
      <c r="AC5" s="11">
        <v>38706132850</v>
      </c>
      <c r="AD5" s="11">
        <v>36809694250</v>
      </c>
      <c r="AE5" s="11">
        <v>41577847270</v>
      </c>
      <c r="AF5" s="11">
        <v>34741567940</v>
      </c>
      <c r="AG5" s="11">
        <v>58684343202</v>
      </c>
      <c r="AH5" s="11">
        <v>24985455241</v>
      </c>
      <c r="AI5" s="11">
        <v>23042319009</v>
      </c>
      <c r="AJ5" s="11">
        <v>59212986698</v>
      </c>
      <c r="AK5" s="11">
        <v>54287237375</v>
      </c>
      <c r="AL5" s="11">
        <v>57641008821</v>
      </c>
      <c r="AM5" s="11">
        <v>50922412416</v>
      </c>
      <c r="AN5" s="11">
        <v>53533092198</v>
      </c>
      <c r="AO5" s="11">
        <v>78282463651</v>
      </c>
      <c r="AP5" s="11">
        <v>64916176630</v>
      </c>
      <c r="AQ5" s="11">
        <v>84671529098</v>
      </c>
      <c r="AR5" s="11">
        <v>62903041444</v>
      </c>
      <c r="AS5" s="11">
        <v>71156644730</v>
      </c>
      <c r="AT5" s="11">
        <v>95961616736</v>
      </c>
      <c r="AU5" s="11">
        <v>70105871996</v>
      </c>
      <c r="AV5" s="11">
        <v>92109508133</v>
      </c>
      <c r="AW5" s="11">
        <v>97489092894</v>
      </c>
      <c r="AX5" s="11">
        <v>102501453344</v>
      </c>
      <c r="AY5" s="11">
        <v>68093170109</v>
      </c>
      <c r="AZ5" s="11">
        <v>56451269692</v>
      </c>
      <c r="BA5" s="11">
        <v>160372945473</v>
      </c>
      <c r="BB5" s="11">
        <v>161501484254</v>
      </c>
      <c r="BC5" s="11">
        <v>119734804022</v>
      </c>
      <c r="BD5" s="11">
        <v>76175498864</v>
      </c>
      <c r="BE5" s="11">
        <v>110890509220</v>
      </c>
      <c r="BF5" s="11">
        <v>114976445897</v>
      </c>
      <c r="BG5" s="11">
        <v>188477338235</v>
      </c>
      <c r="BH5" s="11">
        <v>150730683132</v>
      </c>
      <c r="BI5" s="11">
        <v>125734240353</v>
      </c>
      <c r="BJ5" s="11">
        <v>153674258114</v>
      </c>
      <c r="BK5" s="11">
        <v>119843310993</v>
      </c>
      <c r="BL5" s="11">
        <v>138018360641</v>
      </c>
      <c r="BM5" s="11">
        <v>169442946928</v>
      </c>
      <c r="BN5" s="11">
        <v>91484253567</v>
      </c>
      <c r="BO5" s="11">
        <v>108928556660</v>
      </c>
      <c r="BP5" s="11">
        <v>89826973802</v>
      </c>
      <c r="BQ5" s="11">
        <v>100861213901</v>
      </c>
      <c r="BR5" s="11">
        <v>126786913920</v>
      </c>
      <c r="BS5" s="11">
        <v>96600110916</v>
      </c>
      <c r="BT5" s="11">
        <v>174261948689</v>
      </c>
      <c r="BU5" s="11">
        <v>159143428903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12">
        <v>3</v>
      </c>
      <c r="B6" s="13" t="s">
        <v>85</v>
      </c>
      <c r="C6" s="12">
        <v>5</v>
      </c>
      <c r="D6" s="14">
        <f>SUM(Data_PL7[[#This Row],[T1.2021]:[T12.2021]])</f>
        <v>68351150</v>
      </c>
      <c r="E6" s="14">
        <f>SUM(Data_PL7[[#This Row],[T1.2022]:[T12.2022]])</f>
        <v>398631999</v>
      </c>
      <c r="F6" s="14">
        <f>SUM(Data_PL7[[#This Row],[T1.2023]:[T12.2023]])</f>
        <v>35151625</v>
      </c>
      <c r="G6" s="14">
        <f>SUM(Data_PL7[[#This Row],[T01.2024]:[T12.2024]])</f>
        <v>19971229676</v>
      </c>
      <c r="H6" s="14">
        <f>SUM(Data_PL7[[#This Row],[T01.2025]:[T12.2025]])</f>
        <v>14472758187</v>
      </c>
      <c r="I6" s="14">
        <f>SUM(Data_PL7[[#This Row],[T01.2026]:[T12.2026]])</f>
        <v>1763882787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36461250</v>
      </c>
      <c r="P6" s="14">
        <v>0</v>
      </c>
      <c r="Q6" s="14">
        <v>686000</v>
      </c>
      <c r="R6" s="14">
        <v>0</v>
      </c>
      <c r="S6" s="14">
        <v>0</v>
      </c>
      <c r="T6" s="14">
        <v>0</v>
      </c>
      <c r="U6" s="14">
        <v>31203900</v>
      </c>
      <c r="V6" s="14">
        <v>0</v>
      </c>
      <c r="W6" s="14">
        <v>765658695</v>
      </c>
      <c r="X6" s="14">
        <v>-760221195</v>
      </c>
      <c r="Y6" s="14">
        <v>0</v>
      </c>
      <c r="Z6" s="14">
        <v>0</v>
      </c>
      <c r="AA6" s="14">
        <v>0</v>
      </c>
      <c r="AB6" s="14">
        <v>3076000</v>
      </c>
      <c r="AC6" s="14">
        <v>346771999</v>
      </c>
      <c r="AD6" s="14">
        <v>0</v>
      </c>
      <c r="AE6" s="14">
        <v>0</v>
      </c>
      <c r="AF6" s="14">
        <v>43346500</v>
      </c>
      <c r="AG6" s="14">
        <v>0</v>
      </c>
      <c r="AH6" s="14">
        <v>0</v>
      </c>
      <c r="AI6" s="14">
        <v>0</v>
      </c>
      <c r="AJ6" s="14">
        <v>453218</v>
      </c>
      <c r="AK6" s="14">
        <v>195177</v>
      </c>
      <c r="AL6" s="14">
        <v>9024000</v>
      </c>
      <c r="AM6" s="14">
        <v>18714230</v>
      </c>
      <c r="AN6" s="14">
        <v>6765000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1166125000</v>
      </c>
      <c r="AV6" s="14">
        <v>0</v>
      </c>
      <c r="AW6" s="14">
        <v>0</v>
      </c>
      <c r="AX6" s="14">
        <v>136455000</v>
      </c>
      <c r="AY6" s="14">
        <v>0</v>
      </c>
      <c r="AZ6" s="14">
        <v>0</v>
      </c>
      <c r="BA6" s="14">
        <v>6345077301</v>
      </c>
      <c r="BB6" s="14">
        <v>4671587529</v>
      </c>
      <c r="BC6" s="14">
        <v>2922205276</v>
      </c>
      <c r="BD6" s="14">
        <v>49359030</v>
      </c>
      <c r="BE6" s="14">
        <v>4680420540</v>
      </c>
      <c r="BF6" s="14">
        <v>513935495</v>
      </c>
      <c r="BG6" s="14">
        <v>477877176</v>
      </c>
      <c r="BH6" s="14">
        <v>477350452</v>
      </c>
      <c r="BI6" s="14">
        <v>304590498</v>
      </c>
      <c r="BJ6" s="14">
        <v>1607115262</v>
      </c>
      <c r="BK6" s="14">
        <v>708638196</v>
      </c>
      <c r="BL6" s="14">
        <v>26953743</v>
      </c>
      <c r="BM6" s="14">
        <v>1000293545</v>
      </c>
      <c r="BN6" s="14">
        <v>6773818500</v>
      </c>
      <c r="BO6" s="14">
        <v>0</v>
      </c>
      <c r="BP6" s="14">
        <v>1479093000</v>
      </c>
      <c r="BQ6" s="14">
        <v>1103092320</v>
      </c>
      <c r="BR6" s="14">
        <v>687876997</v>
      </c>
      <c r="BS6" s="14">
        <v>33305556</v>
      </c>
      <c r="BT6" s="14">
        <v>956126160</v>
      </c>
      <c r="BU6" s="14">
        <v>86574074</v>
      </c>
      <c r="BV6" s="14"/>
      <c r="BW6" s="14"/>
      <c r="BX6" s="14"/>
      <c r="BY6" s="14"/>
      <c r="BZ6" s="14"/>
      <c r="CA6" s="14"/>
      <c r="CB6" s="14"/>
      <c r="CC6" s="14"/>
    </row>
    <row r="7" spans="1:81">
      <c r="A7" s="15">
        <v>4</v>
      </c>
      <c r="B7" s="10" t="s">
        <v>86</v>
      </c>
      <c r="C7" s="15">
        <v>5</v>
      </c>
      <c r="D7" s="16">
        <f>SUM(Data_PL7[[#This Row],[T1.2021]:[T12.2021]])</f>
        <v>60493924771</v>
      </c>
      <c r="E7" s="16">
        <f>SUM(Data_PL7[[#This Row],[T1.2022]:[T12.2022]])</f>
        <v>329932056074</v>
      </c>
      <c r="F7" s="16">
        <f>SUM(Data_PL7[[#This Row],[T1.2023]:[T12.2023]])</f>
        <v>685519215686</v>
      </c>
      <c r="G7" s="16">
        <f>SUM(Data_PL7[[#This Row],[T01.2024]:[T12.2024]])</f>
        <v>1191415995061</v>
      </c>
      <c r="H7" s="16">
        <f>SUM(Data_PL7[[#This Row],[T01.2025]:[T12.2025]])</f>
        <v>1537525824036</v>
      </c>
      <c r="I7" s="16">
        <f>SUM(Data_PL7[[#This Row],[T01.2026]:[T12.2026]])</f>
        <v>555028519641</v>
      </c>
      <c r="J7" s="16">
        <v>2192940600</v>
      </c>
      <c r="K7" s="16">
        <v>1791822000</v>
      </c>
      <c r="L7" s="16">
        <v>8682084600</v>
      </c>
      <c r="M7" s="16">
        <v>6264332700</v>
      </c>
      <c r="N7" s="16">
        <v>1376973402</v>
      </c>
      <c r="O7" s="16">
        <v>868170120</v>
      </c>
      <c r="P7" s="16">
        <v>3085582842</v>
      </c>
      <c r="Q7" s="16">
        <v>2036070400</v>
      </c>
      <c r="R7" s="16">
        <v>4007834643</v>
      </c>
      <c r="S7" s="16">
        <v>8372308560</v>
      </c>
      <c r="T7" s="16">
        <v>8615033640</v>
      </c>
      <c r="U7" s="16">
        <v>13200771264</v>
      </c>
      <c r="V7" s="16">
        <v>7498036216</v>
      </c>
      <c r="W7" s="16">
        <v>6111323505</v>
      </c>
      <c r="X7" s="16">
        <v>22637626231</v>
      </c>
      <c r="Y7" s="16">
        <v>27424133378</v>
      </c>
      <c r="Z7" s="16">
        <v>18350378815</v>
      </c>
      <c r="AA7" s="16">
        <v>21902018748</v>
      </c>
      <c r="AB7" s="16">
        <v>15879072168</v>
      </c>
      <c r="AC7" s="16">
        <v>38359360851</v>
      </c>
      <c r="AD7" s="16">
        <v>36809694250</v>
      </c>
      <c r="AE7" s="16">
        <v>41577847270</v>
      </c>
      <c r="AF7" s="16">
        <v>34698221440</v>
      </c>
      <c r="AG7" s="16">
        <v>58684343202</v>
      </c>
      <c r="AH7" s="16">
        <v>24985455241</v>
      </c>
      <c r="AI7" s="16">
        <v>23042319009</v>
      </c>
      <c r="AJ7" s="16">
        <v>59212533480</v>
      </c>
      <c r="AK7" s="16">
        <v>54287042198</v>
      </c>
      <c r="AL7" s="16">
        <v>57631984821</v>
      </c>
      <c r="AM7" s="16">
        <v>50903698186</v>
      </c>
      <c r="AN7" s="16">
        <v>53526327198</v>
      </c>
      <c r="AO7" s="16">
        <v>78282463651</v>
      </c>
      <c r="AP7" s="16">
        <v>64916176630</v>
      </c>
      <c r="AQ7" s="16">
        <v>84671529098</v>
      </c>
      <c r="AR7" s="16">
        <v>62903041444</v>
      </c>
      <c r="AS7" s="16">
        <v>71156644730</v>
      </c>
      <c r="AT7" s="16">
        <v>95961616736</v>
      </c>
      <c r="AU7" s="16">
        <v>68939746996</v>
      </c>
      <c r="AV7" s="16">
        <v>92109508133</v>
      </c>
      <c r="AW7" s="16">
        <v>97489092894</v>
      </c>
      <c r="AX7" s="16">
        <v>102364998344</v>
      </c>
      <c r="AY7" s="16">
        <v>68093170109</v>
      </c>
      <c r="AZ7" s="16">
        <v>56451269692</v>
      </c>
      <c r="BA7" s="16">
        <v>154027868172</v>
      </c>
      <c r="BB7" s="16">
        <v>156829896725</v>
      </c>
      <c r="BC7" s="16">
        <v>116812598746</v>
      </c>
      <c r="BD7" s="16">
        <v>76126139834</v>
      </c>
      <c r="BE7" s="16">
        <v>106210088680</v>
      </c>
      <c r="BF7" s="16">
        <v>114462510402</v>
      </c>
      <c r="BG7" s="16">
        <v>187999461059</v>
      </c>
      <c r="BH7" s="16">
        <v>150253332680</v>
      </c>
      <c r="BI7" s="16">
        <v>125429649855</v>
      </c>
      <c r="BJ7" s="16">
        <v>152067142852</v>
      </c>
      <c r="BK7" s="16">
        <v>119134672797</v>
      </c>
      <c r="BL7" s="16">
        <v>137991406898</v>
      </c>
      <c r="BM7" s="16">
        <v>168442653383</v>
      </c>
      <c r="BN7" s="16">
        <v>84710435067</v>
      </c>
      <c r="BO7" s="16">
        <v>108928556660</v>
      </c>
      <c r="BP7" s="16">
        <v>88347880802</v>
      </c>
      <c r="BQ7" s="16">
        <v>99758121581</v>
      </c>
      <c r="BR7" s="16">
        <v>126099036923</v>
      </c>
      <c r="BS7" s="16">
        <v>96566805360</v>
      </c>
      <c r="BT7" s="16">
        <v>173305822529</v>
      </c>
      <c r="BU7" s="16">
        <v>159056854829</v>
      </c>
      <c r="BV7" s="16"/>
      <c r="BW7" s="16"/>
      <c r="BX7" s="16"/>
      <c r="BY7" s="16"/>
      <c r="BZ7" s="16"/>
      <c r="CA7" s="16"/>
      <c r="CB7" s="16"/>
      <c r="CC7" s="16"/>
    </row>
    <row r="8" spans="1:81">
      <c r="A8" s="17">
        <v>5</v>
      </c>
      <c r="B8" s="13" t="s">
        <v>87</v>
      </c>
      <c r="C8" s="17">
        <v>5</v>
      </c>
      <c r="D8" s="18">
        <f>SUM(Data_PL7[[#This Row],[T1.2021]:[T12.2021]])</f>
        <v>55288134722</v>
      </c>
      <c r="E8" s="18">
        <f>SUM(Data_PL7[[#This Row],[T1.2022]:[T12.2022]])</f>
        <v>299901216900</v>
      </c>
      <c r="F8" s="18">
        <f>SUM(Data_PL7[[#This Row],[T1.2023]:[T12.2023]])</f>
        <v>518594542678</v>
      </c>
      <c r="G8" s="18">
        <f>SUM(Data_PL7[[#This Row],[T01.2024]:[T12.2024]])</f>
        <v>998230253982</v>
      </c>
      <c r="H8" s="18">
        <f>SUM(Data_PL7[[#This Row],[T01.2025]:[T12.2025]])</f>
        <v>1343495797036</v>
      </c>
      <c r="I8" s="18">
        <f>SUM(Data_PL7[[#This Row],[T01.2026]:[T12.2026]])</f>
        <v>512422326416</v>
      </c>
      <c r="J8" s="18">
        <v>1714389259</v>
      </c>
      <c r="K8" s="18">
        <v>1513381552</v>
      </c>
      <c r="L8" s="18">
        <v>6687623393</v>
      </c>
      <c r="M8" s="18">
        <v>4774057263</v>
      </c>
      <c r="N8" s="18">
        <v>1087102095</v>
      </c>
      <c r="O8" s="18">
        <v>807656278</v>
      </c>
      <c r="P8" s="18">
        <v>2716172489</v>
      </c>
      <c r="Q8" s="18">
        <v>4315716140</v>
      </c>
      <c r="R8" s="18">
        <v>4265960659</v>
      </c>
      <c r="S8" s="18">
        <v>7443114351</v>
      </c>
      <c r="T8" s="18">
        <v>7773986301</v>
      </c>
      <c r="U8" s="18">
        <v>12188974942</v>
      </c>
      <c r="V8" s="18">
        <v>6843552810</v>
      </c>
      <c r="W8" s="18">
        <v>6912963718</v>
      </c>
      <c r="X8" s="18">
        <v>19836366360</v>
      </c>
      <c r="Y8" s="18">
        <v>21907875072</v>
      </c>
      <c r="Z8" s="18">
        <v>15580244606</v>
      </c>
      <c r="AA8" s="18">
        <v>18312738285</v>
      </c>
      <c r="AB8" s="18">
        <v>12006617281</v>
      </c>
      <c r="AC8" s="18">
        <v>32529935445</v>
      </c>
      <c r="AD8" s="18">
        <v>32281385317</v>
      </c>
      <c r="AE8" s="18">
        <v>38377094489</v>
      </c>
      <c r="AF8" s="18">
        <v>30963456194</v>
      </c>
      <c r="AG8" s="18">
        <v>64348987323</v>
      </c>
      <c r="AH8" s="18">
        <v>20792367485</v>
      </c>
      <c r="AI8" s="18">
        <v>21918378947</v>
      </c>
      <c r="AJ8" s="18">
        <v>61251223688</v>
      </c>
      <c r="AK8" s="18">
        <v>53942190282</v>
      </c>
      <c r="AL8" s="18">
        <v>50245648463</v>
      </c>
      <c r="AM8" s="18">
        <v>7904131770</v>
      </c>
      <c r="AN8" s="18">
        <v>44797235508</v>
      </c>
      <c r="AO8" s="18">
        <v>62222051344</v>
      </c>
      <c r="AP8" s="18">
        <v>37728980820</v>
      </c>
      <c r="AQ8" s="18">
        <v>61940025172</v>
      </c>
      <c r="AR8" s="18">
        <v>49113504898</v>
      </c>
      <c r="AS8" s="18">
        <v>46738804301</v>
      </c>
      <c r="AT8" s="18">
        <v>85841765176</v>
      </c>
      <c r="AU8" s="18">
        <v>68748321616</v>
      </c>
      <c r="AV8" s="18">
        <v>86824377307</v>
      </c>
      <c r="AW8" s="18">
        <v>85475594862</v>
      </c>
      <c r="AX8" s="18">
        <v>99208228636</v>
      </c>
      <c r="AY8" s="18">
        <v>69795611979</v>
      </c>
      <c r="AZ8" s="18">
        <v>61217801757</v>
      </c>
      <c r="BA8" s="18">
        <v>147970813832</v>
      </c>
      <c r="BB8" s="18">
        <v>132769623597</v>
      </c>
      <c r="BC8" s="18">
        <v>112138441893</v>
      </c>
      <c r="BD8" s="18">
        <v>70998442117</v>
      </c>
      <c r="BE8" s="18">
        <v>-22758768790</v>
      </c>
      <c r="BF8" s="18">
        <v>96299447936</v>
      </c>
      <c r="BG8" s="18">
        <v>154570631505</v>
      </c>
      <c r="BH8" s="18">
        <v>129509315823</v>
      </c>
      <c r="BI8" s="18">
        <v>109641808151</v>
      </c>
      <c r="BJ8" s="18">
        <v>129906078108</v>
      </c>
      <c r="BK8" s="18">
        <v>105463649620</v>
      </c>
      <c r="BL8" s="18">
        <v>128673842020</v>
      </c>
      <c r="BM8" s="18">
        <v>155101842643</v>
      </c>
      <c r="BN8" s="18">
        <v>83113314505</v>
      </c>
      <c r="BO8" s="18">
        <v>99966937216</v>
      </c>
      <c r="BP8" s="18">
        <v>80940600844</v>
      </c>
      <c r="BQ8" s="18">
        <v>70308328665</v>
      </c>
      <c r="BR8" s="18">
        <v>115080112871</v>
      </c>
      <c r="BS8" s="18">
        <v>90411470461</v>
      </c>
      <c r="BT8" s="18">
        <v>165844739865</v>
      </c>
      <c r="BU8" s="18">
        <v>141086003219</v>
      </c>
      <c r="BV8" s="18"/>
      <c r="BW8" s="18"/>
      <c r="BX8" s="18"/>
      <c r="BY8" s="18"/>
      <c r="BZ8" s="18"/>
      <c r="CA8" s="18"/>
      <c r="CB8" s="18"/>
      <c r="CC8" s="18"/>
    </row>
    <row r="9" spans="1:81">
      <c r="A9" s="19">
        <v>6</v>
      </c>
      <c r="B9" s="10" t="s">
        <v>88</v>
      </c>
      <c r="C9" s="19">
        <v>5</v>
      </c>
      <c r="D9" s="20">
        <f>SUM(Data_PL7[[#This Row],[T1.2021]:[T12.2021]])</f>
        <v>5205790049</v>
      </c>
      <c r="E9" s="20">
        <f>SUM(Data_PL7[[#This Row],[T1.2022]:[T12.2022]])</f>
        <v>30030839174</v>
      </c>
      <c r="F9" s="20">
        <f>SUM(Data_PL7[[#This Row],[T1.2023]:[T12.2023]])</f>
        <v>166924673008</v>
      </c>
      <c r="G9" s="20">
        <f>SUM(Data_PL7[[#This Row],[T01.2024]:[T12.2024]])</f>
        <v>193185741079</v>
      </c>
      <c r="H9" s="20">
        <f>SUM(Data_PL7[[#This Row],[T01.2025]:[T12.2025]])</f>
        <v>194030027000</v>
      </c>
      <c r="I9" s="20">
        <f>SUM(Data_PL7[[#This Row],[T01.2026]:[T12.2026]])</f>
        <v>42606193225</v>
      </c>
      <c r="J9" s="20">
        <v>478551341</v>
      </c>
      <c r="K9" s="20">
        <v>278440448</v>
      </c>
      <c r="L9" s="20">
        <v>1994461207</v>
      </c>
      <c r="M9" s="20">
        <v>1490275437</v>
      </c>
      <c r="N9" s="20">
        <v>289871307</v>
      </c>
      <c r="O9" s="20">
        <v>60513842</v>
      </c>
      <c r="P9" s="20">
        <v>369410353</v>
      </c>
      <c r="Q9" s="20">
        <v>-2279645740</v>
      </c>
      <c r="R9" s="20">
        <v>-258126016</v>
      </c>
      <c r="S9" s="20">
        <v>929194209</v>
      </c>
      <c r="T9" s="20">
        <v>841047339</v>
      </c>
      <c r="U9" s="20">
        <v>1011796322</v>
      </c>
      <c r="V9" s="20">
        <v>654483406</v>
      </c>
      <c r="W9" s="20">
        <v>-801640213</v>
      </c>
      <c r="X9" s="20">
        <v>2801259871</v>
      </c>
      <c r="Y9" s="20">
        <v>5516258306</v>
      </c>
      <c r="Z9" s="20">
        <v>2770134209</v>
      </c>
      <c r="AA9" s="20">
        <v>3589280463</v>
      </c>
      <c r="AB9" s="20">
        <v>3872454887</v>
      </c>
      <c r="AC9" s="20">
        <v>5829425406</v>
      </c>
      <c r="AD9" s="20">
        <v>4528308933</v>
      </c>
      <c r="AE9" s="20">
        <v>3200752781</v>
      </c>
      <c r="AF9" s="20">
        <v>3734765246</v>
      </c>
      <c r="AG9" s="20">
        <v>-5664644121</v>
      </c>
      <c r="AH9" s="20">
        <v>4193087756</v>
      </c>
      <c r="AI9" s="20">
        <v>1123940062</v>
      </c>
      <c r="AJ9" s="20">
        <v>-2038690208</v>
      </c>
      <c r="AK9" s="20">
        <v>344851916</v>
      </c>
      <c r="AL9" s="20">
        <v>7386336358</v>
      </c>
      <c r="AM9" s="20">
        <v>42999566416</v>
      </c>
      <c r="AN9" s="20">
        <v>8729091690</v>
      </c>
      <c r="AO9" s="20">
        <v>16060412307</v>
      </c>
      <c r="AP9" s="20">
        <v>27187195810</v>
      </c>
      <c r="AQ9" s="20">
        <v>22731503926</v>
      </c>
      <c r="AR9" s="20">
        <v>13789536546</v>
      </c>
      <c r="AS9" s="20">
        <v>24417840429</v>
      </c>
      <c r="AT9" s="20">
        <v>10119851560</v>
      </c>
      <c r="AU9" s="20">
        <v>191425380</v>
      </c>
      <c r="AV9" s="20">
        <v>5285130826</v>
      </c>
      <c r="AW9" s="20">
        <v>12013498032</v>
      </c>
      <c r="AX9" s="20">
        <v>3156769708</v>
      </c>
      <c r="AY9" s="20">
        <v>-1702441870</v>
      </c>
      <c r="AZ9" s="20">
        <v>-4766532065</v>
      </c>
      <c r="BA9" s="20">
        <v>6057054340</v>
      </c>
      <c r="BB9" s="20">
        <v>24060273128</v>
      </c>
      <c r="BC9" s="20">
        <v>4674156853</v>
      </c>
      <c r="BD9" s="20">
        <v>5127697717</v>
      </c>
      <c r="BE9" s="20">
        <v>128968857470</v>
      </c>
      <c r="BF9" s="20">
        <v>18163062466</v>
      </c>
      <c r="BG9" s="20">
        <v>33428829554</v>
      </c>
      <c r="BH9" s="20">
        <v>20744016857</v>
      </c>
      <c r="BI9" s="20">
        <v>15787841704</v>
      </c>
      <c r="BJ9" s="20">
        <v>22161064744</v>
      </c>
      <c r="BK9" s="20">
        <v>13671023177</v>
      </c>
      <c r="BL9" s="20">
        <v>9317564878</v>
      </c>
      <c r="BM9" s="20">
        <v>13340810740</v>
      </c>
      <c r="BN9" s="20">
        <v>1597120562</v>
      </c>
      <c r="BO9" s="20">
        <v>8961619444</v>
      </c>
      <c r="BP9" s="20">
        <v>7407279958</v>
      </c>
      <c r="BQ9" s="20">
        <v>29449792916</v>
      </c>
      <c r="BR9" s="20">
        <v>11018924052</v>
      </c>
      <c r="BS9" s="20">
        <v>6155334899</v>
      </c>
      <c r="BT9" s="20">
        <v>7461082664</v>
      </c>
      <c r="BU9" s="20">
        <v>17970851610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19">
        <v>7</v>
      </c>
      <c r="B10" s="10" t="s">
        <v>89</v>
      </c>
      <c r="C10" s="19">
        <v>5</v>
      </c>
      <c r="D10" s="20">
        <f>SUM(Data_PL7[[#This Row],[T1.2021]:[T12.2021]])</f>
        <v>0</v>
      </c>
      <c r="E10" s="20">
        <f>SUM(Data_PL7[[#This Row],[T1.2022]:[T12.2022]])</f>
        <v>0</v>
      </c>
      <c r="F10" s="20">
        <f>SUM(Data_PL7[[#This Row],[T1.2023]:[T12.2023]])</f>
        <v>0</v>
      </c>
      <c r="G10" s="20">
        <f>SUM(Data_PL7[[#This Row],[T01.2024]:[T12.2024]])</f>
        <v>0</v>
      </c>
      <c r="H10" s="20">
        <f>SUM(Data_PL7[[#This Row],[T01.2025]:[T12.2025]])</f>
        <v>0</v>
      </c>
      <c r="I10" s="20">
        <f>SUM(Data_PL7[[#This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>
      <c r="A11" s="12">
        <v>8</v>
      </c>
      <c r="B11" s="13" t="s">
        <v>90</v>
      </c>
      <c r="C11" s="12">
        <v>5</v>
      </c>
      <c r="D11" s="14">
        <f>SUM(Data_PL7[[#This Row],[T1.2021]:[T12.2021]])</f>
        <v>18328733000</v>
      </c>
      <c r="E11" s="14">
        <f>SUM(Data_PL7[[#This Row],[T1.2022]:[T12.2022]])</f>
        <v>17240601582</v>
      </c>
      <c r="F11" s="14">
        <f>SUM(Data_PL7[[#This Row],[T1.2023]:[T12.2023]])</f>
        <v>9282695737</v>
      </c>
      <c r="G11" s="14">
        <f>SUM(Data_PL7[[#This Row],[T01.2024]:[T12.2024]])</f>
        <v>15099094600</v>
      </c>
      <c r="H11" s="14">
        <f>SUM(Data_PL7[[#This Row],[T01.2025]:[T12.2025]])</f>
        <v>16906508752</v>
      </c>
      <c r="I11" s="14">
        <f>SUM(Data_PL7[[#This Row],[T01.2026]:[T12.2026]])</f>
        <v>3968224388</v>
      </c>
      <c r="J11" s="14">
        <v>1228117</v>
      </c>
      <c r="K11" s="14">
        <v>1370668</v>
      </c>
      <c r="L11" s="14">
        <v>503786</v>
      </c>
      <c r="M11" s="14">
        <v>991223</v>
      </c>
      <c r="N11" s="14">
        <v>924399</v>
      </c>
      <c r="O11" s="14">
        <v>2721429</v>
      </c>
      <c r="P11" s="14">
        <v>5630167167</v>
      </c>
      <c r="Q11" s="14">
        <v>4552274821</v>
      </c>
      <c r="R11" s="14">
        <v>4006107516</v>
      </c>
      <c r="S11" s="14">
        <v>1404451824</v>
      </c>
      <c r="T11" s="14">
        <v>1487413089</v>
      </c>
      <c r="U11" s="14">
        <v>1240578961</v>
      </c>
      <c r="V11" s="14">
        <v>1479346434</v>
      </c>
      <c r="W11" s="14">
        <v>1527456177</v>
      </c>
      <c r="X11" s="14">
        <v>1512346597</v>
      </c>
      <c r="Y11" s="14">
        <v>1655612808</v>
      </c>
      <c r="Z11" s="14">
        <v>2665641339</v>
      </c>
      <c r="AA11" s="14">
        <v>1264179580</v>
      </c>
      <c r="AB11" s="14">
        <v>1129143854</v>
      </c>
      <c r="AC11" s="14">
        <v>1236134244</v>
      </c>
      <c r="AD11" s="14">
        <v>1420307305</v>
      </c>
      <c r="AE11" s="14">
        <v>1826774837</v>
      </c>
      <c r="AF11" s="14">
        <v>1006924842</v>
      </c>
      <c r="AG11" s="14">
        <v>516733565</v>
      </c>
      <c r="AH11" s="14">
        <v>23897328</v>
      </c>
      <c r="AI11" s="14">
        <v>190776336</v>
      </c>
      <c r="AJ11" s="14">
        <v>16660712</v>
      </c>
      <c r="AK11" s="14">
        <v>967330723</v>
      </c>
      <c r="AL11" s="14">
        <v>867791673</v>
      </c>
      <c r="AM11" s="14">
        <v>866039044</v>
      </c>
      <c r="AN11" s="14">
        <v>810000497</v>
      </c>
      <c r="AO11" s="14">
        <v>1331407010</v>
      </c>
      <c r="AP11" s="14">
        <v>1045754825</v>
      </c>
      <c r="AQ11" s="14">
        <v>1146315118</v>
      </c>
      <c r="AR11" s="14">
        <v>946685267</v>
      </c>
      <c r="AS11" s="14">
        <v>1070037204</v>
      </c>
      <c r="AT11" s="14">
        <v>702840610</v>
      </c>
      <c r="AU11" s="14">
        <v>1100851130</v>
      </c>
      <c r="AV11" s="14">
        <v>994712341</v>
      </c>
      <c r="AW11" s="14">
        <v>1735368123</v>
      </c>
      <c r="AX11" s="14">
        <v>1021938222</v>
      </c>
      <c r="AY11" s="14">
        <v>578784271</v>
      </c>
      <c r="AZ11" s="14">
        <v>343643819</v>
      </c>
      <c r="BA11" s="14">
        <v>1242477440</v>
      </c>
      <c r="BB11" s="14">
        <v>1549112434</v>
      </c>
      <c r="BC11" s="14">
        <v>2779237425</v>
      </c>
      <c r="BD11" s="14">
        <v>865910053</v>
      </c>
      <c r="BE11" s="14">
        <v>2184218732</v>
      </c>
      <c r="BF11" s="14">
        <v>773999253</v>
      </c>
      <c r="BG11" s="14">
        <v>1788435256</v>
      </c>
      <c r="BH11" s="14">
        <v>931124505</v>
      </c>
      <c r="BI11" s="14">
        <v>1307926421</v>
      </c>
      <c r="BJ11" s="14">
        <v>2429341904</v>
      </c>
      <c r="BK11" s="14">
        <v>1641453607</v>
      </c>
      <c r="BL11" s="14">
        <v>1393514763</v>
      </c>
      <c r="BM11" s="14">
        <v>1498736488</v>
      </c>
      <c r="BN11" s="14">
        <v>1228780215</v>
      </c>
      <c r="BO11" s="14">
        <v>2716737103</v>
      </c>
      <c r="BP11" s="14">
        <v>515476780</v>
      </c>
      <c r="BQ11" s="14">
        <v>680982457</v>
      </c>
      <c r="BR11" s="14">
        <v>1053165322</v>
      </c>
      <c r="BS11" s="14">
        <v>307705069</v>
      </c>
      <c r="BT11" s="14">
        <v>839416558</v>
      </c>
      <c r="BU11" s="14">
        <v>1767937439</v>
      </c>
      <c r="BV11" s="14"/>
      <c r="BW11" s="14"/>
      <c r="BX11" s="14"/>
      <c r="BY11" s="14"/>
      <c r="BZ11" s="14"/>
      <c r="CA11" s="14"/>
      <c r="CB11" s="14"/>
      <c r="CC11" s="14"/>
    </row>
    <row r="12" spans="1:81">
      <c r="A12" s="9">
        <v>9</v>
      </c>
      <c r="B12" s="10" t="s">
        <v>91</v>
      </c>
      <c r="C12" s="9">
        <v>5</v>
      </c>
      <c r="D12" s="11">
        <f>SUM(Data_PL7[[#This Row],[T1.2021]:[T12.2021]])</f>
        <v>3984725509</v>
      </c>
      <c r="E12" s="11">
        <f>SUM(Data_PL7[[#This Row],[T1.2022]:[T12.2022]])</f>
        <v>8892172663</v>
      </c>
      <c r="F12" s="11">
        <f>SUM(Data_PL7[[#This Row],[T1.2023]:[T12.2023]])</f>
        <v>3023468987</v>
      </c>
      <c r="G12" s="11">
        <f>SUM(Data_PL7[[#This Row],[T01.2024]:[T12.2024]])</f>
        <v>13113711111</v>
      </c>
      <c r="H12" s="11">
        <f>SUM(Data_PL7[[#This Row],[T01.2025]:[T12.2025]])</f>
        <v>18541073627</v>
      </c>
      <c r="I12" s="11">
        <f>SUM(Data_PL7[[#This Row],[T01.2026]:[T12.2026]])</f>
        <v>6611590325</v>
      </c>
      <c r="J12" s="11">
        <v>167606071</v>
      </c>
      <c r="K12" s="11">
        <v>221668883</v>
      </c>
      <c r="L12" s="11">
        <v>208008837</v>
      </c>
      <c r="M12" s="11">
        <v>262181583</v>
      </c>
      <c r="N12" s="11">
        <v>294284803</v>
      </c>
      <c r="O12" s="11">
        <v>376440316</v>
      </c>
      <c r="P12" s="11">
        <v>341383390</v>
      </c>
      <c r="Q12" s="11">
        <v>424333601</v>
      </c>
      <c r="R12" s="11">
        <v>404885911</v>
      </c>
      <c r="S12" s="11">
        <v>376140889</v>
      </c>
      <c r="T12" s="11">
        <v>457278692</v>
      </c>
      <c r="U12" s="11">
        <v>450512533</v>
      </c>
      <c r="V12" s="11">
        <v>566186825</v>
      </c>
      <c r="W12" s="11">
        <v>636770194</v>
      </c>
      <c r="X12" s="11">
        <v>622676693</v>
      </c>
      <c r="Y12" s="11">
        <v>508923847</v>
      </c>
      <c r="Z12" s="11">
        <v>611802389</v>
      </c>
      <c r="AA12" s="11">
        <v>151684906</v>
      </c>
      <c r="AB12" s="11">
        <v>632905650</v>
      </c>
      <c r="AC12" s="11">
        <v>700652271</v>
      </c>
      <c r="AD12" s="11">
        <v>1025151505</v>
      </c>
      <c r="AE12" s="11">
        <v>1107933886</v>
      </c>
      <c r="AF12" s="11">
        <v>1595489167</v>
      </c>
      <c r="AG12" s="11">
        <v>731995330</v>
      </c>
      <c r="AH12" s="11">
        <v>74107271</v>
      </c>
      <c r="AI12" s="11">
        <v>30659803</v>
      </c>
      <c r="AJ12" s="11">
        <v>220600896</v>
      </c>
      <c r="AK12" s="11">
        <v>69167924</v>
      </c>
      <c r="AL12" s="11">
        <v>49408830</v>
      </c>
      <c r="AM12" s="11">
        <v>124156445</v>
      </c>
      <c r="AN12" s="11">
        <v>311284353</v>
      </c>
      <c r="AO12" s="11">
        <v>709793834</v>
      </c>
      <c r="AP12" s="11">
        <v>328510530</v>
      </c>
      <c r="AQ12" s="11">
        <v>475535318</v>
      </c>
      <c r="AR12" s="11">
        <v>86442609</v>
      </c>
      <c r="AS12" s="11">
        <v>543801174</v>
      </c>
      <c r="AT12" s="11">
        <v>801399604</v>
      </c>
      <c r="AU12" s="11">
        <v>695500231</v>
      </c>
      <c r="AV12" s="11">
        <v>663502461</v>
      </c>
      <c r="AW12" s="11">
        <v>1555671370</v>
      </c>
      <c r="AX12" s="11">
        <v>936492932</v>
      </c>
      <c r="AY12" s="11">
        <v>1103852896</v>
      </c>
      <c r="AZ12" s="11">
        <v>1608708972</v>
      </c>
      <c r="BA12" s="11">
        <v>1489581015</v>
      </c>
      <c r="BB12" s="11">
        <v>1372261307</v>
      </c>
      <c r="BC12" s="11">
        <v>636041020</v>
      </c>
      <c r="BD12" s="11">
        <v>1257673070</v>
      </c>
      <c r="BE12" s="11">
        <v>993026233</v>
      </c>
      <c r="BF12" s="11">
        <v>1529745602</v>
      </c>
      <c r="BG12" s="11">
        <v>1349010483</v>
      </c>
      <c r="BH12" s="11">
        <v>902730488</v>
      </c>
      <c r="BI12" s="11">
        <v>1450570894</v>
      </c>
      <c r="BJ12" s="11">
        <v>858169737</v>
      </c>
      <c r="BK12" s="11">
        <v>1483876982</v>
      </c>
      <c r="BL12" s="11">
        <v>1315247967</v>
      </c>
      <c r="BM12" s="11">
        <v>1366041150</v>
      </c>
      <c r="BN12" s="11">
        <v>1603769193</v>
      </c>
      <c r="BO12" s="11">
        <v>2900732378</v>
      </c>
      <c r="BP12" s="11">
        <v>1301741764</v>
      </c>
      <c r="BQ12" s="11">
        <v>2479436989</v>
      </c>
      <c r="BR12" s="11">
        <v>1532817392</v>
      </c>
      <c r="BS12" s="11">
        <v>1569283837</v>
      </c>
      <c r="BT12" s="11">
        <v>1510605035</v>
      </c>
      <c r="BU12" s="11">
        <v>1998884061</v>
      </c>
      <c r="BV12" s="11"/>
      <c r="BW12" s="11"/>
      <c r="BX12" s="11"/>
      <c r="BY12" s="11"/>
      <c r="BZ12" s="11"/>
      <c r="CA12" s="11"/>
      <c r="CB12" s="11"/>
      <c r="CC12" s="11"/>
    </row>
    <row r="13" spans="1:81">
      <c r="A13" s="12">
        <v>10</v>
      </c>
      <c r="B13" s="21" t="s">
        <v>92</v>
      </c>
      <c r="C13" s="12">
        <v>5</v>
      </c>
      <c r="D13" s="14">
        <f>SUM(Data_PL7[[#This Row],[T1.2021]:[T12.2021]])</f>
        <v>3929610603</v>
      </c>
      <c r="E13" s="14">
        <f>SUM(Data_PL7[[#This Row],[T1.2022]:[T12.2022]])</f>
        <v>7725836076</v>
      </c>
      <c r="F13" s="14">
        <f>SUM(Data_PL7[[#This Row],[T1.2023]:[T12.2023]])</f>
        <v>1165406526</v>
      </c>
      <c r="G13" s="14">
        <f>SUM(Data_PL7[[#This Row],[T01.2024]:[T12.2024]])</f>
        <v>10328501137</v>
      </c>
      <c r="H13" s="14">
        <f>SUM(Data_PL7[[#This Row],[T01.2025]:[T12.2025]])</f>
        <v>14263439054</v>
      </c>
      <c r="I13" s="14">
        <f>SUM(Data_PL7[[#This Row],[T01.2026]:[T12.2026]])</f>
        <v>4418197522</v>
      </c>
      <c r="J13" s="14">
        <v>167603935</v>
      </c>
      <c r="K13" s="14">
        <v>221659846</v>
      </c>
      <c r="L13" s="14">
        <v>208008837</v>
      </c>
      <c r="M13" s="14">
        <v>262170575</v>
      </c>
      <c r="N13" s="14">
        <v>294134531</v>
      </c>
      <c r="O13" s="14">
        <v>375347816</v>
      </c>
      <c r="P13" s="14">
        <v>340813568</v>
      </c>
      <c r="Q13" s="14">
        <v>399256526</v>
      </c>
      <c r="R13" s="14">
        <v>400979485</v>
      </c>
      <c r="S13" s="14">
        <v>368636370</v>
      </c>
      <c r="T13" s="14">
        <v>424483338</v>
      </c>
      <c r="U13" s="14">
        <v>466515776</v>
      </c>
      <c r="V13" s="14">
        <v>517655739</v>
      </c>
      <c r="W13" s="14">
        <v>651086182</v>
      </c>
      <c r="X13" s="14">
        <v>617884939</v>
      </c>
      <c r="Y13" s="14">
        <v>507919165</v>
      </c>
      <c r="Z13" s="14">
        <v>603465663</v>
      </c>
      <c r="AA13" s="14">
        <v>147007916</v>
      </c>
      <c r="AB13" s="14">
        <v>631302971</v>
      </c>
      <c r="AC13" s="14">
        <v>699695123</v>
      </c>
      <c r="AD13" s="14">
        <v>854484433</v>
      </c>
      <c r="AE13" s="14">
        <v>862022364</v>
      </c>
      <c r="AF13" s="14">
        <v>1093552795</v>
      </c>
      <c r="AG13" s="14">
        <v>539758786</v>
      </c>
      <c r="AH13" s="14">
        <v>44321388</v>
      </c>
      <c r="AI13" s="14">
        <v>0</v>
      </c>
      <c r="AJ13" s="14">
        <v>48722388</v>
      </c>
      <c r="AK13" s="14">
        <v>76187496</v>
      </c>
      <c r="AL13" s="14">
        <v>68801482</v>
      </c>
      <c r="AM13" s="14">
        <v>28249626</v>
      </c>
      <c r="AN13" s="14">
        <v>91396439</v>
      </c>
      <c r="AO13" s="14">
        <v>93845376</v>
      </c>
      <c r="AP13" s="14">
        <v>109400024</v>
      </c>
      <c r="AQ13" s="14">
        <v>129996535</v>
      </c>
      <c r="AR13" s="14">
        <v>157601782</v>
      </c>
      <c r="AS13" s="14">
        <v>316883990</v>
      </c>
      <c r="AT13" s="14">
        <v>460461775</v>
      </c>
      <c r="AU13" s="14">
        <v>563909516</v>
      </c>
      <c r="AV13" s="14">
        <v>587315920</v>
      </c>
      <c r="AW13" s="14">
        <v>905708142</v>
      </c>
      <c r="AX13" s="14">
        <v>974310029</v>
      </c>
      <c r="AY13" s="14">
        <v>1115056080</v>
      </c>
      <c r="AZ13" s="14">
        <v>1160823006</v>
      </c>
      <c r="BA13" s="14">
        <v>939585045</v>
      </c>
      <c r="BB13" s="14">
        <v>859444105</v>
      </c>
      <c r="BC13" s="14">
        <v>840165515</v>
      </c>
      <c r="BD13" s="14">
        <v>889159081</v>
      </c>
      <c r="BE13" s="14">
        <v>1032562923</v>
      </c>
      <c r="BF13" s="14">
        <v>1114824276</v>
      </c>
      <c r="BG13" s="14">
        <v>928379281</v>
      </c>
      <c r="BH13" s="14">
        <v>673966789</v>
      </c>
      <c r="BI13" s="14">
        <v>888393452</v>
      </c>
      <c r="BJ13" s="14">
        <v>1186588729</v>
      </c>
      <c r="BK13" s="14">
        <v>1448899822</v>
      </c>
      <c r="BL13" s="14">
        <v>1242023326</v>
      </c>
      <c r="BM13" s="14">
        <v>1303560910</v>
      </c>
      <c r="BN13" s="14">
        <v>1595764355</v>
      </c>
      <c r="BO13" s="14">
        <v>1368802426</v>
      </c>
      <c r="BP13" s="14">
        <v>1256132292</v>
      </c>
      <c r="BQ13" s="14">
        <v>1256103396</v>
      </c>
      <c r="BR13" s="14">
        <v>1240115065</v>
      </c>
      <c r="BS13" s="14">
        <v>1156279418</v>
      </c>
      <c r="BT13" s="14">
        <v>959718564</v>
      </c>
      <c r="BU13" s="14">
        <v>1062084475</v>
      </c>
      <c r="BV13" s="14"/>
      <c r="BW13" s="14"/>
      <c r="BX13" s="14"/>
      <c r="BY13" s="14"/>
      <c r="BZ13" s="14"/>
      <c r="CA13" s="14"/>
      <c r="CB13" s="14"/>
      <c r="CC13" s="14"/>
    </row>
    <row r="14" spans="1:81">
      <c r="A14" s="12">
        <v>11</v>
      </c>
      <c r="B14" s="13" t="s">
        <v>93</v>
      </c>
      <c r="C14" s="12">
        <v>5</v>
      </c>
      <c r="D14" s="14">
        <f>SUM(Data_PL7[[#This Row],[T1.2021]:[T12.2021]])</f>
        <v>3009092451</v>
      </c>
      <c r="E14" s="14">
        <f>SUM(Data_PL7[[#This Row],[T1.2022]:[T12.2022]])</f>
        <v>14690021152</v>
      </c>
      <c r="F14" s="14">
        <f>SUM(Data_PL7[[#This Row],[T1.2023]:[T12.2023]])</f>
        <v>19132571517</v>
      </c>
      <c r="G14" s="14">
        <f>SUM(Data_PL7[[#This Row],[T01.2024]:[T12.2024]])</f>
        <v>50836279646</v>
      </c>
      <c r="H14" s="14">
        <f>SUM(Data_PL7[[#This Row],[T01.2025]:[T12.2025]])</f>
        <v>55101745592</v>
      </c>
      <c r="I14" s="14">
        <f>SUM(Data_PL7[[#This Row],[T01.2026]:[T12.2026]])</f>
        <v>19001448254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251616145</v>
      </c>
      <c r="R14" s="14">
        <v>680077987</v>
      </c>
      <c r="S14" s="14">
        <v>546329598</v>
      </c>
      <c r="T14" s="14">
        <v>967543289</v>
      </c>
      <c r="U14" s="14">
        <v>563525432</v>
      </c>
      <c r="V14" s="14">
        <v>496681104</v>
      </c>
      <c r="W14" s="14">
        <v>38696800</v>
      </c>
      <c r="X14" s="14">
        <v>1520204587</v>
      </c>
      <c r="Y14" s="14">
        <v>3287497220</v>
      </c>
      <c r="Z14" s="14">
        <v>563902784</v>
      </c>
      <c r="AA14" s="14">
        <v>802923682</v>
      </c>
      <c r="AB14" s="14">
        <v>1108487180</v>
      </c>
      <c r="AC14" s="14">
        <v>819028904</v>
      </c>
      <c r="AD14" s="14">
        <v>1282383810</v>
      </c>
      <c r="AE14" s="14">
        <v>1073636694</v>
      </c>
      <c r="AF14" s="14">
        <v>1462938929</v>
      </c>
      <c r="AG14" s="14">
        <v>2233639458</v>
      </c>
      <c r="AH14" s="14">
        <v>645459129</v>
      </c>
      <c r="AI14" s="14">
        <v>991254056</v>
      </c>
      <c r="AJ14" s="14">
        <v>1883160244</v>
      </c>
      <c r="AK14" s="14">
        <v>1145404547</v>
      </c>
      <c r="AL14" s="14">
        <v>1970368365</v>
      </c>
      <c r="AM14" s="14">
        <v>1459341885</v>
      </c>
      <c r="AN14" s="14">
        <v>1450399092</v>
      </c>
      <c r="AO14" s="14">
        <v>2363556660</v>
      </c>
      <c r="AP14" s="14">
        <v>1466584216</v>
      </c>
      <c r="AQ14" s="14">
        <v>2298997918</v>
      </c>
      <c r="AR14" s="14">
        <v>1849124450</v>
      </c>
      <c r="AS14" s="14">
        <v>1608920955</v>
      </c>
      <c r="AT14" s="14">
        <v>2846219487</v>
      </c>
      <c r="AU14" s="14">
        <v>1219456854</v>
      </c>
      <c r="AV14" s="14">
        <v>3715738043</v>
      </c>
      <c r="AW14" s="14">
        <v>4585159549</v>
      </c>
      <c r="AX14" s="14">
        <v>1693810954</v>
      </c>
      <c r="AY14" s="14">
        <v>2407466874</v>
      </c>
      <c r="AZ14" s="14">
        <v>2300964337</v>
      </c>
      <c r="BA14" s="14">
        <v>8205607205</v>
      </c>
      <c r="BB14" s="14">
        <v>7036529523</v>
      </c>
      <c r="BC14" s="14">
        <v>4608951194</v>
      </c>
      <c r="BD14" s="14">
        <v>1949627546</v>
      </c>
      <c r="BE14" s="14">
        <v>10266748080</v>
      </c>
      <c r="BF14" s="14">
        <v>4006424849</v>
      </c>
      <c r="BG14" s="14">
        <v>6313682258</v>
      </c>
      <c r="BH14" s="14">
        <v>5091544776</v>
      </c>
      <c r="BI14" s="14">
        <v>4077126734</v>
      </c>
      <c r="BJ14" s="14">
        <v>4686536575</v>
      </c>
      <c r="BK14" s="14">
        <v>4796729528</v>
      </c>
      <c r="BL14" s="14">
        <v>3449972349</v>
      </c>
      <c r="BM14" s="14">
        <v>4949095751</v>
      </c>
      <c r="BN14" s="14">
        <v>2811598286</v>
      </c>
      <c r="BO14" s="14">
        <v>6688603934</v>
      </c>
      <c r="BP14" s="14">
        <v>3413749635</v>
      </c>
      <c r="BQ14" s="14">
        <v>4816680917</v>
      </c>
      <c r="BR14" s="14">
        <v>3731798004</v>
      </c>
      <c r="BS14" s="14">
        <v>3202645336</v>
      </c>
      <c r="BT14" s="14">
        <v>6245695788</v>
      </c>
      <c r="BU14" s="14">
        <v>5821309126</v>
      </c>
      <c r="BV14" s="14"/>
      <c r="BW14" s="14"/>
      <c r="BX14" s="14"/>
      <c r="BY14" s="14"/>
      <c r="BZ14" s="14"/>
      <c r="CA14" s="14"/>
      <c r="CB14" s="14"/>
      <c r="CC14" s="14"/>
    </row>
    <row r="15" spans="1:81">
      <c r="A15" s="12">
        <v>12</v>
      </c>
      <c r="B15" s="13" t="s">
        <v>94</v>
      </c>
      <c r="C15" s="12">
        <v>5</v>
      </c>
      <c r="D15" s="14">
        <f>SUM(Data_PL7[[#This Row],[T1.2021]:[T12.2021]])</f>
        <v>11203395485</v>
      </c>
      <c r="E15" s="14">
        <f>SUM(Data_PL7[[#This Row],[T1.2022]:[T12.2022]])</f>
        <v>29733399077</v>
      </c>
      <c r="F15" s="14">
        <f>SUM(Data_PL7[[#This Row],[T1.2023]:[T12.2023]])</f>
        <v>40274613810</v>
      </c>
      <c r="G15" s="14">
        <f>SUM(Data_PL7[[#This Row],[T01.2024]:[T12.2024]])</f>
        <v>70102214341</v>
      </c>
      <c r="H15" s="14">
        <f>SUM(Data_PL7[[#This Row],[T01.2025]:[T12.2025]])</f>
        <v>98715170412</v>
      </c>
      <c r="I15" s="14">
        <f>SUM(Data_PL7[[#This Row],[T01.2026]:[T12.2026]])</f>
        <v>31832287701</v>
      </c>
      <c r="J15" s="14">
        <v>457415751</v>
      </c>
      <c r="K15" s="14">
        <v>619384345</v>
      </c>
      <c r="L15" s="14">
        <v>707076077</v>
      </c>
      <c r="M15" s="14">
        <v>816715935</v>
      </c>
      <c r="N15" s="14">
        <v>827613489</v>
      </c>
      <c r="O15" s="14">
        <v>624184259</v>
      </c>
      <c r="P15" s="14">
        <v>2510720411</v>
      </c>
      <c r="Q15" s="14">
        <v>569609208</v>
      </c>
      <c r="R15" s="14">
        <v>536039299</v>
      </c>
      <c r="S15" s="14">
        <v>941857345</v>
      </c>
      <c r="T15" s="14">
        <v>3424596971</v>
      </c>
      <c r="U15" s="14">
        <v>-831817605</v>
      </c>
      <c r="V15" s="14">
        <v>1435430845</v>
      </c>
      <c r="W15" s="14">
        <v>1479188151</v>
      </c>
      <c r="X15" s="14">
        <v>1624743284</v>
      </c>
      <c r="Y15" s="14">
        <v>1725353483</v>
      </c>
      <c r="Z15" s="14">
        <v>1803134313</v>
      </c>
      <c r="AA15" s="14">
        <v>1872200320</v>
      </c>
      <c r="AB15" s="14">
        <v>1882239518</v>
      </c>
      <c r="AC15" s="14">
        <v>2444716491</v>
      </c>
      <c r="AD15" s="14">
        <v>2755381317</v>
      </c>
      <c r="AE15" s="14">
        <v>3239626198</v>
      </c>
      <c r="AF15" s="14">
        <v>3143544394</v>
      </c>
      <c r="AG15" s="14">
        <v>6327840763</v>
      </c>
      <c r="AH15" s="14">
        <v>2772788125</v>
      </c>
      <c r="AI15" s="14">
        <v>2947588122</v>
      </c>
      <c r="AJ15" s="14">
        <v>3098829707</v>
      </c>
      <c r="AK15" s="14">
        <v>3036290770</v>
      </c>
      <c r="AL15" s="14">
        <v>3448026712</v>
      </c>
      <c r="AM15" s="14">
        <v>3261800788</v>
      </c>
      <c r="AN15" s="14">
        <v>3348437381</v>
      </c>
      <c r="AO15" s="14">
        <v>1910475796</v>
      </c>
      <c r="AP15" s="14">
        <v>3536419913</v>
      </c>
      <c r="AQ15" s="14">
        <v>3592592574</v>
      </c>
      <c r="AR15" s="14">
        <v>3600549435</v>
      </c>
      <c r="AS15" s="14">
        <v>5720814487</v>
      </c>
      <c r="AT15" s="14">
        <v>5241377343</v>
      </c>
      <c r="AU15" s="14">
        <v>4647980221</v>
      </c>
      <c r="AV15" s="14">
        <v>4838115306</v>
      </c>
      <c r="AW15" s="14">
        <v>5132788494</v>
      </c>
      <c r="AX15" s="14">
        <v>5665606587</v>
      </c>
      <c r="AY15" s="14">
        <v>5470797521</v>
      </c>
      <c r="AZ15" s="14">
        <v>5239042307</v>
      </c>
      <c r="BA15" s="14">
        <v>6065017937</v>
      </c>
      <c r="BB15" s="14">
        <v>7524726581</v>
      </c>
      <c r="BC15" s="14">
        <v>7016385931</v>
      </c>
      <c r="BD15" s="14">
        <v>7426888275</v>
      </c>
      <c r="BE15" s="14">
        <v>5833487838</v>
      </c>
      <c r="BF15" s="14">
        <v>7638868570</v>
      </c>
      <c r="BG15" s="14">
        <v>7013534740</v>
      </c>
      <c r="BH15" s="14">
        <v>7332584934</v>
      </c>
      <c r="BI15" s="14">
        <v>7155903324</v>
      </c>
      <c r="BJ15" s="14">
        <v>7948694673</v>
      </c>
      <c r="BK15" s="14">
        <v>7721648228</v>
      </c>
      <c r="BL15" s="14">
        <v>7616453256</v>
      </c>
      <c r="BM15" s="14">
        <v>7931593154</v>
      </c>
      <c r="BN15" s="14">
        <v>9422194647</v>
      </c>
      <c r="BO15" s="14">
        <v>3775611792</v>
      </c>
      <c r="BP15" s="14">
        <v>9875644458</v>
      </c>
      <c r="BQ15" s="14">
        <v>15282438636</v>
      </c>
      <c r="BR15" s="14">
        <v>8394130638</v>
      </c>
      <c r="BS15" s="14">
        <v>7959394332</v>
      </c>
      <c r="BT15" s="14">
        <v>7329810589</v>
      </c>
      <c r="BU15" s="14">
        <v>8148952142</v>
      </c>
      <c r="BV15" s="14"/>
      <c r="BW15" s="14"/>
      <c r="BX15" s="14"/>
      <c r="BY15" s="14"/>
      <c r="BZ15" s="14"/>
      <c r="CA15" s="14"/>
      <c r="CB15" s="14"/>
      <c r="CC15" s="14"/>
    </row>
    <row r="16" spans="1:81">
      <c r="A16" s="9">
        <v>13</v>
      </c>
      <c r="B16" s="10" t="s">
        <v>95</v>
      </c>
      <c r="C16" s="9">
        <v>5</v>
      </c>
      <c r="D16" s="11">
        <f>SUM(Data_PL7[[#This Row],[T1.2021]:[T12.2021]])</f>
        <v>5337309604</v>
      </c>
      <c r="E16" s="11">
        <f>SUM(Data_PL7[[#This Row],[T1.2022]:[T12.2022]])</f>
        <v>-6044152136</v>
      </c>
      <c r="F16" s="11">
        <f>SUM(Data_PL7[[#This Row],[T1.2023]:[T12.2023]])</f>
        <v>113776714431</v>
      </c>
      <c r="G16" s="11">
        <f>SUM(Data_PL7[[#This Row],[T01.2024]:[T12.2024]])</f>
        <v>74232630581</v>
      </c>
      <c r="H16" s="11">
        <f>SUM(Data_PL7[[#This Row],[T01.2025]:[T12.2025]])</f>
        <v>38578546121</v>
      </c>
      <c r="I16" s="11">
        <f>SUM(Data_PL7[[#This Row],[T01.2026]:[T12.2026]])</f>
        <v>-10870908667</v>
      </c>
      <c r="J16" s="11">
        <v>-145242364</v>
      </c>
      <c r="K16" s="11">
        <v>-561242112</v>
      </c>
      <c r="L16" s="11">
        <v>1079880079</v>
      </c>
      <c r="M16" s="11">
        <v>412369142</v>
      </c>
      <c r="N16" s="11">
        <v>-831102586</v>
      </c>
      <c r="O16" s="11">
        <v>-937389304</v>
      </c>
      <c r="P16" s="11">
        <v>3147473719</v>
      </c>
      <c r="Q16" s="11">
        <v>1027070127</v>
      </c>
      <c r="R16" s="11">
        <v>2126978303</v>
      </c>
      <c r="S16" s="11">
        <v>469318201</v>
      </c>
      <c r="T16" s="11">
        <v>-2520958524</v>
      </c>
      <c r="U16" s="11">
        <v>2070154923</v>
      </c>
      <c r="V16" s="11">
        <v>-364468934</v>
      </c>
      <c r="W16" s="11">
        <v>-1428839181</v>
      </c>
      <c r="X16" s="11">
        <v>545981904</v>
      </c>
      <c r="Y16" s="11">
        <v>1650096564</v>
      </c>
      <c r="Z16" s="11">
        <v>2456936062</v>
      </c>
      <c r="AA16" s="11">
        <v>2026651135</v>
      </c>
      <c r="AB16" s="11">
        <v>1377966393</v>
      </c>
      <c r="AC16" s="11">
        <v>3101161984</v>
      </c>
      <c r="AD16" s="11">
        <v>885699606</v>
      </c>
      <c r="AE16" s="11">
        <v>-393669160</v>
      </c>
      <c r="AF16" s="11">
        <v>-1460282402</v>
      </c>
      <c r="AG16" s="11">
        <v>-14441386107</v>
      </c>
      <c r="AH16" s="11">
        <v>724630559</v>
      </c>
      <c r="AI16" s="11">
        <v>-2654785583</v>
      </c>
      <c r="AJ16" s="11">
        <v>-7224620343</v>
      </c>
      <c r="AK16" s="11">
        <v>-2938680602</v>
      </c>
      <c r="AL16" s="11">
        <v>2786324124</v>
      </c>
      <c r="AM16" s="11">
        <v>39020306342</v>
      </c>
      <c r="AN16" s="11">
        <v>4428971361</v>
      </c>
      <c r="AO16" s="11">
        <v>12407993027</v>
      </c>
      <c r="AP16" s="11">
        <v>22901435976</v>
      </c>
      <c r="AQ16" s="11">
        <v>17510693234</v>
      </c>
      <c r="AR16" s="11">
        <v>9200105319</v>
      </c>
      <c r="AS16" s="11">
        <v>17614341017</v>
      </c>
      <c r="AT16" s="11">
        <v>1933695736</v>
      </c>
      <c r="AU16" s="11">
        <v>-5270660796</v>
      </c>
      <c r="AV16" s="11">
        <v>-2937512643</v>
      </c>
      <c r="AW16" s="11">
        <v>2475246742</v>
      </c>
      <c r="AX16" s="11">
        <v>-4117202543</v>
      </c>
      <c r="AY16" s="11">
        <v>-10105774890</v>
      </c>
      <c r="AZ16" s="11">
        <v>-13571603862</v>
      </c>
      <c r="BA16" s="11">
        <v>-8460674377</v>
      </c>
      <c r="BB16" s="11">
        <v>9675868151</v>
      </c>
      <c r="BC16" s="11">
        <v>-4807983867</v>
      </c>
      <c r="BD16" s="11">
        <v>-4640581121</v>
      </c>
      <c r="BE16" s="11">
        <v>114059814051</v>
      </c>
      <c r="BF16" s="11">
        <v>5762022698</v>
      </c>
      <c r="BG16" s="11">
        <v>20541037329</v>
      </c>
      <c r="BH16" s="11">
        <v>8348281164</v>
      </c>
      <c r="BI16" s="11">
        <v>4412167173</v>
      </c>
      <c r="BJ16" s="11">
        <v>11097005663</v>
      </c>
      <c r="BK16" s="11">
        <v>1310222046</v>
      </c>
      <c r="BL16" s="11">
        <v>-1670593931</v>
      </c>
      <c r="BM16" s="11">
        <v>592817173</v>
      </c>
      <c r="BN16" s="11">
        <v>-11011661349</v>
      </c>
      <c r="BO16" s="11">
        <v>-1686591557</v>
      </c>
      <c r="BP16" s="11">
        <v>-6668379119</v>
      </c>
      <c r="BQ16" s="11">
        <v>7552218831</v>
      </c>
      <c r="BR16" s="11">
        <v>-1586656660</v>
      </c>
      <c r="BS16" s="11">
        <v>-6268283537</v>
      </c>
      <c r="BT16" s="11">
        <v>-6785612190</v>
      </c>
      <c r="BU16" s="11">
        <v>3769643720</v>
      </c>
      <c r="BV16" s="11"/>
      <c r="BW16" s="11"/>
      <c r="BX16" s="11"/>
      <c r="BY16" s="11"/>
      <c r="BZ16" s="11"/>
      <c r="CA16" s="11"/>
      <c r="CB16" s="11"/>
      <c r="CC16" s="11"/>
    </row>
    <row r="17" spans="1:81">
      <c r="A17" s="12">
        <v>14</v>
      </c>
      <c r="B17" s="13" t="s">
        <v>96</v>
      </c>
      <c r="C17" s="12">
        <v>5</v>
      </c>
      <c r="D17" s="14">
        <f>SUM(Data_PL7[[#This Row],[T1.2021]:[T12.2021]])</f>
        <v>18771710496</v>
      </c>
      <c r="E17" s="14">
        <f>SUM(Data_PL7[[#This Row],[T1.2022]:[T12.2022]])</f>
        <v>92779904880</v>
      </c>
      <c r="F17" s="14">
        <f>SUM(Data_PL7[[#This Row],[T1.2023]:[T12.2023]])</f>
        <v>17391162</v>
      </c>
      <c r="G17" s="14">
        <f>SUM(Data_PL7[[#This Row],[T01.2024]:[T12.2024]])</f>
        <v>1503561903</v>
      </c>
      <c r="H17" s="14">
        <f>SUM(Data_PL7[[#This Row],[T01.2025]:[T12.2025]])</f>
        <v>454238633</v>
      </c>
      <c r="I17" s="14">
        <f>SUM(Data_PL7[[#This Row],[T01.2026]:[T12.2026]])</f>
        <v>11703115</v>
      </c>
      <c r="J17" s="14">
        <v>0</v>
      </c>
      <c r="K17" s="14">
        <v>299375994</v>
      </c>
      <c r="L17" s="14">
        <v>787003464</v>
      </c>
      <c r="M17" s="14">
        <v>853324557</v>
      </c>
      <c r="N17" s="14">
        <v>610174630</v>
      </c>
      <c r="O17" s="14">
        <v>1291891103</v>
      </c>
      <c r="P17" s="14">
        <v>8989972067</v>
      </c>
      <c r="Q17" s="14">
        <v>40395118</v>
      </c>
      <c r="R17" s="14">
        <v>2077248</v>
      </c>
      <c r="S17" s="14">
        <v>399581022</v>
      </c>
      <c r="T17" s="14">
        <v>2510200174</v>
      </c>
      <c r="U17" s="14">
        <v>2987715119</v>
      </c>
      <c r="V17" s="14">
        <v>5351841304</v>
      </c>
      <c r="W17" s="14">
        <v>240544660</v>
      </c>
      <c r="X17" s="14">
        <v>164167319</v>
      </c>
      <c r="Y17" s="14">
        <v>0</v>
      </c>
      <c r="Z17" s="14">
        <v>397562937</v>
      </c>
      <c r="AA17" s="14">
        <v>263298162</v>
      </c>
      <c r="AB17" s="14">
        <v>116035636</v>
      </c>
      <c r="AC17" s="14">
        <v>406946130</v>
      </c>
      <c r="AD17" s="14">
        <v>1142849269</v>
      </c>
      <c r="AE17" s="14">
        <v>973159654</v>
      </c>
      <c r="AF17" s="14">
        <v>4531212183</v>
      </c>
      <c r="AG17" s="14">
        <v>79192287626</v>
      </c>
      <c r="AH17" s="14">
        <v>332026</v>
      </c>
      <c r="AI17" s="14">
        <v>0</v>
      </c>
      <c r="AJ17" s="14">
        <v>2</v>
      </c>
      <c r="AK17" s="14">
        <v>1</v>
      </c>
      <c r="AL17" s="14">
        <v>0</v>
      </c>
      <c r="AM17" s="14">
        <v>425</v>
      </c>
      <c r="AN17" s="14">
        <v>0</v>
      </c>
      <c r="AO17" s="14">
        <v>0</v>
      </c>
      <c r="AP17" s="14">
        <v>0</v>
      </c>
      <c r="AQ17" s="14">
        <v>0</v>
      </c>
      <c r="AR17" s="14">
        <v>8116</v>
      </c>
      <c r="AS17" s="14">
        <v>17050592</v>
      </c>
      <c r="AT17" s="14">
        <v>1945</v>
      </c>
      <c r="AU17" s="14">
        <v>12000</v>
      </c>
      <c r="AV17" s="14">
        <v>0</v>
      </c>
      <c r="AW17" s="14">
        <v>0</v>
      </c>
      <c r="AX17" s="14">
        <v>203</v>
      </c>
      <c r="AY17" s="14">
        <v>58510228</v>
      </c>
      <c r="AZ17" s="14">
        <v>52918371</v>
      </c>
      <c r="BA17" s="14">
        <v>177726993</v>
      </c>
      <c r="BB17" s="14">
        <v>999</v>
      </c>
      <c r="BC17" s="14">
        <v>196700</v>
      </c>
      <c r="BD17" s="14">
        <v>1398763491</v>
      </c>
      <c r="BE17" s="14">
        <v>-184569027</v>
      </c>
      <c r="BF17" s="14">
        <v>500207</v>
      </c>
      <c r="BG17" s="14">
        <v>2492480</v>
      </c>
      <c r="BH17" s="14">
        <v>2600082</v>
      </c>
      <c r="BI17" s="14">
        <v>33918440</v>
      </c>
      <c r="BJ17" s="14">
        <v>115000000</v>
      </c>
      <c r="BK17" s="14">
        <v>2020926</v>
      </c>
      <c r="BL17" s="14">
        <v>9788652</v>
      </c>
      <c r="BM17" s="14">
        <v>244500606</v>
      </c>
      <c r="BN17" s="14">
        <v>742</v>
      </c>
      <c r="BO17" s="14">
        <v>819591</v>
      </c>
      <c r="BP17" s="14">
        <v>110446</v>
      </c>
      <c r="BQ17" s="14">
        <v>42486461</v>
      </c>
      <c r="BR17" s="14">
        <v>4505</v>
      </c>
      <c r="BS17" s="14">
        <v>70001</v>
      </c>
      <c r="BT17" s="14">
        <v>1144804</v>
      </c>
      <c r="BU17" s="14">
        <v>10483805</v>
      </c>
      <c r="BV17" s="14"/>
      <c r="BW17" s="14"/>
      <c r="BX17" s="14"/>
      <c r="BY17" s="14"/>
      <c r="BZ17" s="14"/>
      <c r="CA17" s="14"/>
      <c r="CB17" s="14"/>
      <c r="CC17" s="14"/>
    </row>
    <row r="18" spans="1:81">
      <c r="A18" s="12">
        <v>15</v>
      </c>
      <c r="B18" s="13" t="s">
        <v>97</v>
      </c>
      <c r="C18" s="12">
        <v>5</v>
      </c>
      <c r="D18" s="14">
        <f>SUM(Data_PL7[[#This Row],[T1.2021]:[T12.2021]])</f>
        <v>3720756403</v>
      </c>
      <c r="E18" s="14">
        <f>SUM(Data_PL7[[#This Row],[T1.2022]:[T12.2022]])</f>
        <v>5507730098</v>
      </c>
      <c r="F18" s="14">
        <f>SUM(Data_PL7[[#This Row],[T1.2023]:[T12.2023]])</f>
        <v>198294222</v>
      </c>
      <c r="G18" s="14">
        <f>SUM(Data_PL7[[#This Row],[T01.2024]:[T12.2024]])</f>
        <v>8884638060</v>
      </c>
      <c r="H18" s="14">
        <f>SUM(Data_PL7[[#This Row],[T01.2025]:[T12.2025]])</f>
        <v>7634668922</v>
      </c>
      <c r="I18" s="14">
        <f>SUM(Data_PL7[[#This Row],[T01.2026]:[T12.2026]])</f>
        <v>368182201</v>
      </c>
      <c r="J18" s="14">
        <v>77565</v>
      </c>
      <c r="K18" s="14">
        <v>0</v>
      </c>
      <c r="L18" s="14">
        <v>0</v>
      </c>
      <c r="M18" s="14">
        <v>0</v>
      </c>
      <c r="N18" s="14">
        <v>6136364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3714542474</v>
      </c>
      <c r="V18" s="14">
        <v>0</v>
      </c>
      <c r="W18" s="14">
        <v>274745</v>
      </c>
      <c r="X18" s="14">
        <v>2093722658</v>
      </c>
      <c r="Y18" s="14">
        <v>631668424</v>
      </c>
      <c r="Z18" s="14">
        <v>567391744</v>
      </c>
      <c r="AA18" s="14">
        <v>150706725</v>
      </c>
      <c r="AB18" s="14">
        <v>2322906</v>
      </c>
      <c r="AC18" s="14">
        <v>1880704</v>
      </c>
      <c r="AD18" s="14">
        <v>593797145</v>
      </c>
      <c r="AE18" s="14">
        <v>15441</v>
      </c>
      <c r="AF18" s="14">
        <v>441600828</v>
      </c>
      <c r="AG18" s="14">
        <v>1024348778</v>
      </c>
      <c r="AH18" s="14">
        <v>1</v>
      </c>
      <c r="AI18" s="14">
        <v>236</v>
      </c>
      <c r="AJ18" s="14">
        <v>0</v>
      </c>
      <c r="AK18" s="14">
        <v>7135172</v>
      </c>
      <c r="AL18" s="14">
        <v>3500000</v>
      </c>
      <c r="AM18" s="14">
        <v>99064</v>
      </c>
      <c r="AN18" s="14">
        <v>0</v>
      </c>
      <c r="AO18" s="14">
        <v>-36000</v>
      </c>
      <c r="AP18" s="14">
        <v>0</v>
      </c>
      <c r="AQ18" s="14">
        <v>0</v>
      </c>
      <c r="AR18" s="14">
        <v>0</v>
      </c>
      <c r="AS18" s="14">
        <v>187595749</v>
      </c>
      <c r="AT18" s="14">
        <v>7958068</v>
      </c>
      <c r="AU18" s="14">
        <v>1</v>
      </c>
      <c r="AV18" s="14">
        <v>21796958</v>
      </c>
      <c r="AW18" s="14">
        <v>2</v>
      </c>
      <c r="AX18" s="14">
        <v>36200000</v>
      </c>
      <c r="AY18" s="14">
        <v>168183405</v>
      </c>
      <c r="AZ18" s="14">
        <v>6000002</v>
      </c>
      <c r="BA18" s="14">
        <v>601</v>
      </c>
      <c r="BB18" s="14">
        <v>2601033</v>
      </c>
      <c r="BC18" s="14">
        <v>170398064</v>
      </c>
      <c r="BD18" s="14">
        <v>202496</v>
      </c>
      <c r="BE18" s="14">
        <v>8471297430</v>
      </c>
      <c r="BF18" s="14">
        <v>1251667</v>
      </c>
      <c r="BG18" s="14">
        <v>130033300</v>
      </c>
      <c r="BH18" s="14">
        <v>0</v>
      </c>
      <c r="BI18" s="14">
        <v>17808640</v>
      </c>
      <c r="BJ18" s="14">
        <v>600</v>
      </c>
      <c r="BK18" s="14">
        <v>50477376</v>
      </c>
      <c r="BL18" s="14">
        <v>130663204</v>
      </c>
      <c r="BM18" s="14">
        <v>539898446</v>
      </c>
      <c r="BN18" s="14">
        <v>539664890</v>
      </c>
      <c r="BO18" s="14">
        <v>3515574706</v>
      </c>
      <c r="BP18" s="14">
        <v>1106262251</v>
      </c>
      <c r="BQ18" s="14">
        <v>1603033842</v>
      </c>
      <c r="BR18" s="14">
        <v>106808581</v>
      </c>
      <c r="BS18" s="14">
        <v>151000202</v>
      </c>
      <c r="BT18" s="14">
        <v>34000105</v>
      </c>
      <c r="BU18" s="14">
        <v>76373313</v>
      </c>
      <c r="BV18" s="14"/>
      <c r="BW18" s="14"/>
      <c r="BX18" s="14"/>
      <c r="BY18" s="14"/>
      <c r="BZ18" s="14"/>
      <c r="CA18" s="14"/>
      <c r="CB18" s="14"/>
      <c r="CC18" s="14"/>
    </row>
    <row r="19" spans="1:81">
      <c r="A19" s="9">
        <v>16</v>
      </c>
      <c r="B19" s="10" t="s">
        <v>98</v>
      </c>
      <c r="C19" s="9">
        <v>5</v>
      </c>
      <c r="D19" s="11">
        <f>SUM(Data_PL7[[#This Row],[T1.2021]:[T12.2021]])</f>
        <v>15050954093</v>
      </c>
      <c r="E19" s="11">
        <f>SUM(Data_PL7[[#This Row],[T1.2022]:[T12.2022]])</f>
        <v>87272174782</v>
      </c>
      <c r="F19" s="11">
        <f>SUM(Data_PL7[[#This Row],[T1.2023]:[T12.2023]])</f>
        <v>-180903060</v>
      </c>
      <c r="G19" s="11">
        <f>SUM(Data_PL7[[#This Row],[T01.2024]:[T12.2024]])</f>
        <v>-7381076157</v>
      </c>
      <c r="H19" s="11">
        <f>SUM(Data_PL7[[#This Row],[T01.2025]:[T12.2025]])</f>
        <v>-7180430289</v>
      </c>
      <c r="I19" s="11">
        <f>SUM(Data_PL7[[#This Row],[T01.2026]:[T12.2026]])</f>
        <v>-356479086</v>
      </c>
      <c r="J19" s="11">
        <v>-77565</v>
      </c>
      <c r="K19" s="11">
        <v>299375994</v>
      </c>
      <c r="L19" s="11">
        <v>787003464</v>
      </c>
      <c r="M19" s="11">
        <v>853324557</v>
      </c>
      <c r="N19" s="11">
        <v>604038266</v>
      </c>
      <c r="O19" s="11">
        <v>1291891103</v>
      </c>
      <c r="P19" s="11">
        <v>8989972067</v>
      </c>
      <c r="Q19" s="11">
        <v>40395118</v>
      </c>
      <c r="R19" s="11">
        <v>2077248</v>
      </c>
      <c r="S19" s="11">
        <v>399581022</v>
      </c>
      <c r="T19" s="11">
        <v>2510200174</v>
      </c>
      <c r="U19" s="11">
        <v>-726827355</v>
      </c>
      <c r="V19" s="11">
        <v>5351841304</v>
      </c>
      <c r="W19" s="11">
        <v>240269915</v>
      </c>
      <c r="X19" s="11">
        <v>-1929555339</v>
      </c>
      <c r="Y19" s="11">
        <v>-631668424</v>
      </c>
      <c r="Z19" s="11">
        <v>-169828807</v>
      </c>
      <c r="AA19" s="11">
        <v>112591437</v>
      </c>
      <c r="AB19" s="11">
        <v>113712730</v>
      </c>
      <c r="AC19" s="11">
        <v>405065426</v>
      </c>
      <c r="AD19" s="11">
        <v>549052124</v>
      </c>
      <c r="AE19" s="11">
        <v>973144213</v>
      </c>
      <c r="AF19" s="11">
        <v>4089611355</v>
      </c>
      <c r="AG19" s="11">
        <v>78167938848</v>
      </c>
      <c r="AH19" s="11">
        <v>332025</v>
      </c>
      <c r="AI19" s="11">
        <v>-236</v>
      </c>
      <c r="AJ19" s="11">
        <v>2</v>
      </c>
      <c r="AK19" s="11">
        <v>-7135171</v>
      </c>
      <c r="AL19" s="11">
        <v>-3500000</v>
      </c>
      <c r="AM19" s="11">
        <v>-98639</v>
      </c>
      <c r="AN19" s="11">
        <v>0</v>
      </c>
      <c r="AO19" s="11">
        <v>36000</v>
      </c>
      <c r="AP19" s="11">
        <v>0</v>
      </c>
      <c r="AQ19" s="11">
        <v>0</v>
      </c>
      <c r="AR19" s="11">
        <v>8116</v>
      </c>
      <c r="AS19" s="11">
        <v>-170545157</v>
      </c>
      <c r="AT19" s="11">
        <v>-7956123</v>
      </c>
      <c r="AU19" s="11">
        <v>11999</v>
      </c>
      <c r="AV19" s="11">
        <v>-21796958</v>
      </c>
      <c r="AW19" s="11">
        <v>-2</v>
      </c>
      <c r="AX19" s="11">
        <v>-36199797</v>
      </c>
      <c r="AY19" s="11">
        <v>-109673177</v>
      </c>
      <c r="AZ19" s="11">
        <v>46918369</v>
      </c>
      <c r="BA19" s="11">
        <v>177726392</v>
      </c>
      <c r="BB19" s="11">
        <v>-2600034</v>
      </c>
      <c r="BC19" s="11">
        <v>-170201364</v>
      </c>
      <c r="BD19" s="11">
        <v>1398560995</v>
      </c>
      <c r="BE19" s="11">
        <v>-8655866457</v>
      </c>
      <c r="BF19" s="11">
        <v>-751460</v>
      </c>
      <c r="BG19" s="11">
        <v>-127540820</v>
      </c>
      <c r="BH19" s="11">
        <v>2600082</v>
      </c>
      <c r="BI19" s="11">
        <v>16109800</v>
      </c>
      <c r="BJ19" s="11">
        <v>114999400</v>
      </c>
      <c r="BK19" s="11">
        <v>-48456450</v>
      </c>
      <c r="BL19" s="11">
        <v>-120874552</v>
      </c>
      <c r="BM19" s="11">
        <v>-295397840</v>
      </c>
      <c r="BN19" s="11">
        <v>-539664148</v>
      </c>
      <c r="BO19" s="11">
        <v>-3514755115</v>
      </c>
      <c r="BP19" s="11">
        <v>-1106151805</v>
      </c>
      <c r="BQ19" s="11">
        <v>-1560547381</v>
      </c>
      <c r="BR19" s="11">
        <v>-106804076</v>
      </c>
      <c r="BS19" s="11">
        <v>-150930201</v>
      </c>
      <c r="BT19" s="11">
        <v>-32855301</v>
      </c>
      <c r="BU19" s="11">
        <v>-65889508</v>
      </c>
      <c r="BV19" s="11"/>
      <c r="BW19" s="11"/>
      <c r="BX19" s="11"/>
      <c r="BY19" s="11"/>
      <c r="BZ19" s="11"/>
      <c r="CA19" s="11"/>
      <c r="CB19" s="11"/>
      <c r="CC19" s="11"/>
    </row>
    <row r="20" spans="1:81">
      <c r="A20" s="15">
        <v>17</v>
      </c>
      <c r="B20" s="10" t="s">
        <v>99</v>
      </c>
      <c r="C20" s="15">
        <v>5</v>
      </c>
      <c r="D20" s="16">
        <f>SUM(Data_PL7[[#This Row],[T1.2021]:[T12.2021]])</f>
        <v>20388263697</v>
      </c>
      <c r="E20" s="16">
        <f>SUM(Data_PL7[[#This Row],[T1.2022]:[T12.2022]])</f>
        <v>81228022646</v>
      </c>
      <c r="F20" s="16">
        <f>SUM(Data_PL7[[#This Row],[T1.2023]:[T12.2023]])</f>
        <v>113595811371</v>
      </c>
      <c r="G20" s="16">
        <f>SUM(Data_PL7[[#This Row],[T01.2024]:[T12.2024]])</f>
        <v>66851554424</v>
      </c>
      <c r="H20" s="16">
        <f>SUM(Data_PL7[[#This Row],[T01.2025]:[T12.2025]])</f>
        <v>31398115832</v>
      </c>
      <c r="I20" s="16">
        <f>SUM(Data_PL7[[#This Row],[T01.2026]:[T12.2026]])</f>
        <v>-11227387753</v>
      </c>
      <c r="J20" s="16">
        <v>-145319929</v>
      </c>
      <c r="K20" s="16">
        <v>-261866118</v>
      </c>
      <c r="L20" s="16">
        <v>1866883543</v>
      </c>
      <c r="M20" s="16">
        <v>1265693699</v>
      </c>
      <c r="N20" s="16">
        <v>-227064320</v>
      </c>
      <c r="O20" s="16">
        <v>354501799</v>
      </c>
      <c r="P20" s="16">
        <v>12137445786</v>
      </c>
      <c r="Q20" s="16">
        <v>1067465245</v>
      </c>
      <c r="R20" s="16">
        <v>2129055551</v>
      </c>
      <c r="S20" s="16">
        <v>868899223</v>
      </c>
      <c r="T20" s="16">
        <v>-10758350</v>
      </c>
      <c r="U20" s="16">
        <v>1343327568</v>
      </c>
      <c r="V20" s="16">
        <v>4987372370</v>
      </c>
      <c r="W20" s="16">
        <v>-1188569266</v>
      </c>
      <c r="X20" s="16">
        <v>-1383573435</v>
      </c>
      <c r="Y20" s="16">
        <v>1018428140</v>
      </c>
      <c r="Z20" s="16">
        <v>2287107255</v>
      </c>
      <c r="AA20" s="16">
        <v>2139242572</v>
      </c>
      <c r="AB20" s="16">
        <v>1491679123</v>
      </c>
      <c r="AC20" s="16">
        <v>3506227410</v>
      </c>
      <c r="AD20" s="16">
        <v>1434751730</v>
      </c>
      <c r="AE20" s="16">
        <v>579475053</v>
      </c>
      <c r="AF20" s="16">
        <v>2629328953</v>
      </c>
      <c r="AG20" s="16">
        <v>63726552741</v>
      </c>
      <c r="AH20" s="16">
        <v>724962584</v>
      </c>
      <c r="AI20" s="16">
        <v>-2654785819</v>
      </c>
      <c r="AJ20" s="16">
        <v>-7224620341</v>
      </c>
      <c r="AK20" s="16">
        <v>-2945815773</v>
      </c>
      <c r="AL20" s="16">
        <v>2782824124</v>
      </c>
      <c r="AM20" s="16">
        <v>39020207703</v>
      </c>
      <c r="AN20" s="16">
        <v>4428971361</v>
      </c>
      <c r="AO20" s="16">
        <v>12408029027</v>
      </c>
      <c r="AP20" s="16">
        <v>22901435976</v>
      </c>
      <c r="AQ20" s="16">
        <v>17510693234</v>
      </c>
      <c r="AR20" s="16">
        <v>9200113435</v>
      </c>
      <c r="AS20" s="16">
        <v>17443795860</v>
      </c>
      <c r="AT20" s="16">
        <v>1925739613</v>
      </c>
      <c r="AU20" s="16">
        <v>-5270648797</v>
      </c>
      <c r="AV20" s="16">
        <v>-2959309601</v>
      </c>
      <c r="AW20" s="16">
        <v>2475246740</v>
      </c>
      <c r="AX20" s="16">
        <v>-4153402340</v>
      </c>
      <c r="AY20" s="16">
        <v>-10215448067</v>
      </c>
      <c r="AZ20" s="16">
        <v>-13524685493</v>
      </c>
      <c r="BA20" s="16">
        <v>-8282947985</v>
      </c>
      <c r="BB20" s="16">
        <v>9673268117</v>
      </c>
      <c r="BC20" s="16">
        <v>-4978185231</v>
      </c>
      <c r="BD20" s="16">
        <v>-3242020126</v>
      </c>
      <c r="BE20" s="16">
        <v>105403947594</v>
      </c>
      <c r="BF20" s="16">
        <v>5761271238</v>
      </c>
      <c r="BG20" s="16">
        <v>20413496509</v>
      </c>
      <c r="BH20" s="16">
        <v>8350881246</v>
      </c>
      <c r="BI20" s="16">
        <v>4428276973</v>
      </c>
      <c r="BJ20" s="16">
        <v>11212005063</v>
      </c>
      <c r="BK20" s="16">
        <v>1261765596</v>
      </c>
      <c r="BL20" s="16">
        <v>-1791468483</v>
      </c>
      <c r="BM20" s="16">
        <v>297419333</v>
      </c>
      <c r="BN20" s="16">
        <v>-11551325497</v>
      </c>
      <c r="BO20" s="16">
        <v>-5201346672</v>
      </c>
      <c r="BP20" s="16">
        <v>-7774530924</v>
      </c>
      <c r="BQ20" s="16">
        <v>5991671450</v>
      </c>
      <c r="BR20" s="16">
        <v>-1693460736</v>
      </c>
      <c r="BS20" s="16">
        <v>-6419213738</v>
      </c>
      <c r="BT20" s="16">
        <v>-6818467491</v>
      </c>
      <c r="BU20" s="16">
        <v>3703754212</v>
      </c>
      <c r="BV20" s="16"/>
      <c r="BW20" s="16"/>
      <c r="BX20" s="16"/>
      <c r="BY20" s="16"/>
      <c r="BZ20" s="16"/>
      <c r="CA20" s="16"/>
      <c r="CB20" s="16"/>
      <c r="CC20" s="16"/>
    </row>
    <row r="21" spans="1:81">
      <c r="A21" s="12">
        <v>18</v>
      </c>
      <c r="B21" s="22" t="s">
        <v>100</v>
      </c>
      <c r="C21" s="12">
        <v>5</v>
      </c>
      <c r="D21" s="14">
        <f>SUM(Data_PL7[[#This Row],[T1.2021]:[T12.2021]])</f>
        <v>2854356918</v>
      </c>
      <c r="E21" s="14">
        <f>SUM(Data_PL7[[#This Row],[T1.2022]:[T12.2022]])</f>
        <v>19125239788</v>
      </c>
      <c r="F21" s="14">
        <f>SUM(Data_PL7[[#This Row],[T1.2023]:[T12.2023]])</f>
        <v>11001624815</v>
      </c>
      <c r="G21" s="14">
        <f>SUM(Data_PL7[[#This Row],[T01.2024]:[T12.2024]])</f>
        <v>11495266455</v>
      </c>
      <c r="H21" s="14">
        <f>SUM(Data_PL7[[#This Row],[T01.2025]:[T12.2025]])</f>
        <v>7500302208</v>
      </c>
      <c r="I21" s="14">
        <f>SUM(Data_PL7[[#This Row],[T01.2026]:[T12.2026]])</f>
        <v>-153060867</v>
      </c>
      <c r="J21" s="14">
        <v>0</v>
      </c>
      <c r="K21" s="14">
        <v>0</v>
      </c>
      <c r="L21" s="14">
        <v>373376709</v>
      </c>
      <c r="M21" s="14">
        <v>253138740</v>
      </c>
      <c r="N21" s="14">
        <v>0</v>
      </c>
      <c r="O21" s="14">
        <v>70900360</v>
      </c>
      <c r="P21" s="14">
        <v>2427489157</v>
      </c>
      <c r="Q21" s="14">
        <v>213493049</v>
      </c>
      <c r="R21" s="14">
        <v>425811110</v>
      </c>
      <c r="S21" s="14">
        <v>173779845</v>
      </c>
      <c r="T21" s="14">
        <v>0</v>
      </c>
      <c r="U21" s="14">
        <v>-1083632052</v>
      </c>
      <c r="V21" s="14">
        <v>997474474</v>
      </c>
      <c r="W21" s="14">
        <v>0</v>
      </c>
      <c r="X21" s="14">
        <v>0</v>
      </c>
      <c r="Y21" s="14">
        <v>203685628</v>
      </c>
      <c r="Z21" s="14">
        <v>457567861</v>
      </c>
      <c r="AA21" s="14">
        <v>427848514</v>
      </c>
      <c r="AB21" s="14">
        <v>298494225</v>
      </c>
      <c r="AC21" s="14">
        <v>701245482</v>
      </c>
      <c r="AD21" s="14">
        <v>286950346</v>
      </c>
      <c r="AE21" s="14">
        <v>115895011</v>
      </c>
      <c r="AF21" s="14">
        <v>525865791</v>
      </c>
      <c r="AG21" s="14">
        <v>15110212456</v>
      </c>
      <c r="AH21" s="14">
        <v>144992517</v>
      </c>
      <c r="AI21" s="14">
        <v>0</v>
      </c>
      <c r="AJ21" s="14">
        <v>0</v>
      </c>
      <c r="AK21" s="14">
        <v>0</v>
      </c>
      <c r="AL21" s="14">
        <v>0</v>
      </c>
      <c r="AM21" s="14">
        <v>5795561979</v>
      </c>
      <c r="AN21" s="14">
        <v>885794272</v>
      </c>
      <c r="AO21" s="14">
        <v>2481605805</v>
      </c>
      <c r="AP21" s="14">
        <v>4580287195</v>
      </c>
      <c r="AQ21" s="14">
        <v>3502138647</v>
      </c>
      <c r="AR21" s="14">
        <v>1840022687</v>
      </c>
      <c r="AS21" s="14">
        <v>-8228778287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11495266455</v>
      </c>
      <c r="BF21" s="14">
        <v>864190686</v>
      </c>
      <c r="BG21" s="14">
        <v>3020742780</v>
      </c>
      <c r="BH21" s="14">
        <v>1252632187</v>
      </c>
      <c r="BI21" s="14">
        <v>677293488</v>
      </c>
      <c r="BJ21" s="14">
        <v>1681800759</v>
      </c>
      <c r="BK21" s="14">
        <v>189264839</v>
      </c>
      <c r="BL21" s="14">
        <v>-1000088030</v>
      </c>
      <c r="BM21" s="14">
        <v>204199602</v>
      </c>
      <c r="BN21" s="14">
        <v>-1349170846</v>
      </c>
      <c r="BO21" s="14">
        <v>-516688622</v>
      </c>
      <c r="BP21" s="14">
        <v>-854033077</v>
      </c>
      <c r="BQ21" s="14">
        <v>3330158442</v>
      </c>
      <c r="BR21" s="23"/>
      <c r="BS21" s="14">
        <v>0</v>
      </c>
      <c r="BT21" s="14">
        <v>-153060867</v>
      </c>
      <c r="BU21" s="14"/>
      <c r="BV21" s="14"/>
      <c r="BW21" s="14"/>
      <c r="BX21" s="14"/>
      <c r="BY21" s="14"/>
      <c r="BZ21" s="14"/>
      <c r="CA21" s="14"/>
      <c r="CB21" s="14"/>
      <c r="CC21" s="14"/>
    </row>
    <row r="22" spans="1:81">
      <c r="A22" s="12">
        <v>19</v>
      </c>
      <c r="B22" s="13" t="s">
        <v>101</v>
      </c>
      <c r="C22" s="12">
        <v>5</v>
      </c>
      <c r="D22" s="14">
        <f>SUM(Data_PL7[[#This Row],[T1.2021]:[T12.2021]])</f>
        <v>0</v>
      </c>
      <c r="E22" s="14">
        <f>SUM(Data_PL7[[#This Row],[T1.2022]:[T12.2022]])</f>
        <v>0</v>
      </c>
      <c r="F22" s="14">
        <f>SUM(Data_PL7[[#This Row],[T1.2023]:[T12.2023]])</f>
        <v>0</v>
      </c>
      <c r="G22" s="14">
        <f>SUM(Data_PL7[[#This Row],[T01.2024]:[T12.2024]])</f>
        <v>1838941310</v>
      </c>
      <c r="H22" s="14">
        <f>SUM(Data_PL7[[#This Row],[T01.2025]:[T12.2025]])</f>
        <v>-1838941310</v>
      </c>
      <c r="I22" s="14">
        <f>SUM(Data_PL7[[#This Row],[T01.2026]:[T12.2026]])</f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1838941310</v>
      </c>
      <c r="BF22" s="14">
        <v>0</v>
      </c>
      <c r="BG22" s="14">
        <v>-8043000</v>
      </c>
      <c r="BH22" s="14">
        <v>0</v>
      </c>
      <c r="BI22" s="14">
        <v>0</v>
      </c>
      <c r="BJ22" s="14"/>
      <c r="BK22" s="14">
        <v>0</v>
      </c>
      <c r="BL22" s="14">
        <v>-1830898310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/>
      <c r="BS22" s="14">
        <v>0</v>
      </c>
      <c r="BT22" s="14"/>
      <c r="BU22" s="14"/>
      <c r="BV22" s="14"/>
      <c r="BW22" s="14"/>
      <c r="BX22" s="14"/>
      <c r="BY22" s="14"/>
      <c r="BZ22" s="14"/>
      <c r="CA22" s="14"/>
      <c r="CB22" s="14"/>
      <c r="CC22" s="14"/>
    </row>
    <row r="23" spans="1:81">
      <c r="A23" s="19">
        <v>20</v>
      </c>
      <c r="B23" s="10" t="s">
        <v>102</v>
      </c>
      <c r="C23" s="19">
        <v>5</v>
      </c>
      <c r="D23" s="20">
        <f>SUM(Data_PL7[[#This Row],[T1.2021]:[T12.2021]])</f>
        <v>17533906779</v>
      </c>
      <c r="E23" s="20">
        <f>SUM(Data_PL7[[#This Row],[T1.2022]:[T12.2022]])</f>
        <v>62102782858</v>
      </c>
      <c r="F23" s="20">
        <f>SUM(Data_PL7[[#This Row],[T1.2023]:[T12.2023]])</f>
        <v>102594186556</v>
      </c>
      <c r="G23" s="20">
        <f>SUM(Data_PL7[[#This Row],[T01.2024]:[T12.2024]])</f>
        <v>53517346659</v>
      </c>
      <c r="H23" s="20">
        <f>SUM(Data_PL7[[#This Row],[T01.2025]:[T12.2025]])</f>
        <v>25736754934</v>
      </c>
      <c r="I23" s="20">
        <f>SUM(Data_PL7[[#This Row],[T01.2026]:[T12.2026]])</f>
        <v>-11074326886</v>
      </c>
      <c r="J23" s="20">
        <v>-145319929</v>
      </c>
      <c r="K23" s="20">
        <v>-261866118</v>
      </c>
      <c r="L23" s="20">
        <v>1493506834</v>
      </c>
      <c r="M23" s="20">
        <v>1012554959</v>
      </c>
      <c r="N23" s="20">
        <v>-227064320</v>
      </c>
      <c r="O23" s="20">
        <v>283601439</v>
      </c>
      <c r="P23" s="20">
        <v>9709956629</v>
      </c>
      <c r="Q23" s="20">
        <v>853972196</v>
      </c>
      <c r="R23" s="20">
        <v>1703244441</v>
      </c>
      <c r="S23" s="20">
        <v>695119378</v>
      </c>
      <c r="T23" s="20">
        <v>-10758350</v>
      </c>
      <c r="U23" s="20">
        <v>2426959620</v>
      </c>
      <c r="V23" s="20">
        <v>3989897896</v>
      </c>
      <c r="W23" s="20">
        <v>-1188569266</v>
      </c>
      <c r="X23" s="20">
        <v>-1383573435</v>
      </c>
      <c r="Y23" s="20">
        <v>814742512</v>
      </c>
      <c r="Z23" s="20">
        <v>1829539394</v>
      </c>
      <c r="AA23" s="20">
        <v>1711394058</v>
      </c>
      <c r="AB23" s="20">
        <v>1193184898</v>
      </c>
      <c r="AC23" s="20">
        <v>2804981928</v>
      </c>
      <c r="AD23" s="20">
        <v>1147801384</v>
      </c>
      <c r="AE23" s="20">
        <v>463580042</v>
      </c>
      <c r="AF23" s="20">
        <v>2103463162</v>
      </c>
      <c r="AG23" s="20">
        <v>48616340285</v>
      </c>
      <c r="AH23" s="20">
        <v>579970067</v>
      </c>
      <c r="AI23" s="20">
        <v>-2654785819</v>
      </c>
      <c r="AJ23" s="20">
        <v>-7224620341</v>
      </c>
      <c r="AK23" s="20">
        <v>-2945815773</v>
      </c>
      <c r="AL23" s="20">
        <v>2782824124</v>
      </c>
      <c r="AM23" s="20">
        <v>33224645724</v>
      </c>
      <c r="AN23" s="20">
        <v>3543177089</v>
      </c>
      <c r="AO23" s="20">
        <v>9926423222</v>
      </c>
      <c r="AP23" s="20">
        <v>18321148781</v>
      </c>
      <c r="AQ23" s="20">
        <v>14008554587</v>
      </c>
      <c r="AR23" s="20">
        <v>7360090748</v>
      </c>
      <c r="AS23" s="20">
        <v>25672574147</v>
      </c>
      <c r="AT23" s="20">
        <v>1925739613</v>
      </c>
      <c r="AU23" s="20">
        <v>-5270648797</v>
      </c>
      <c r="AV23" s="20">
        <v>-2959309601</v>
      </c>
      <c r="AW23" s="20">
        <v>2475246740</v>
      </c>
      <c r="AX23" s="20">
        <v>-4153402340</v>
      </c>
      <c r="AY23" s="20">
        <v>-10215448067</v>
      </c>
      <c r="AZ23" s="20">
        <v>-13524685493</v>
      </c>
      <c r="BA23" s="20">
        <v>-8282947985</v>
      </c>
      <c r="BB23" s="20">
        <v>9673268117</v>
      </c>
      <c r="BC23" s="20">
        <v>-4978185231</v>
      </c>
      <c r="BD23" s="20">
        <v>-3242020126</v>
      </c>
      <c r="BE23" s="20">
        <v>92069739829</v>
      </c>
      <c r="BF23" s="20">
        <v>4897080552</v>
      </c>
      <c r="BG23" s="20">
        <v>17400796729</v>
      </c>
      <c r="BH23" s="20">
        <v>7098249059</v>
      </c>
      <c r="BI23" s="20">
        <v>3750983485</v>
      </c>
      <c r="BJ23" s="20">
        <v>9530204304</v>
      </c>
      <c r="BK23" s="20">
        <v>1072500757</v>
      </c>
      <c r="BL23" s="20">
        <v>1039517857</v>
      </c>
      <c r="BM23" s="20">
        <v>93219731</v>
      </c>
      <c r="BN23" s="20">
        <v>-10202154651</v>
      </c>
      <c r="BO23" s="20">
        <v>-4684658050</v>
      </c>
      <c r="BP23" s="20">
        <v>-6920497847</v>
      </c>
      <c r="BQ23" s="20">
        <v>2661513008</v>
      </c>
      <c r="BR23" s="20">
        <v>-1693460736</v>
      </c>
      <c r="BS23" s="20">
        <v>-6419213738</v>
      </c>
      <c r="BT23" s="20">
        <v>-6665406624</v>
      </c>
      <c r="BU23" s="20">
        <v>3703754212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75"/>
      <c r="B24" s="74" t="s">
        <v>109</v>
      </c>
      <c r="D24" s="79">
        <f>D23/D7</f>
        <v>0.2898457464179201</v>
      </c>
      <c r="E24" s="79">
        <f t="shared" ref="E24:I24" si="0">E23/E7</f>
        <v>0.18822900568373707</v>
      </c>
      <c r="F24" s="79">
        <f t="shared" si="0"/>
        <v>0.14965909665031615</v>
      </c>
      <c r="G24" s="79">
        <f t="shared" si="0"/>
        <v>4.4919110437374926E-2</v>
      </c>
      <c r="H24" s="79">
        <f t="shared" si="0"/>
        <v>1.6739071651129155E-2</v>
      </c>
      <c r="I24" s="79">
        <f t="shared" si="0"/>
        <v>-1.9952716831854019E-2</v>
      </c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</row>
  </sheetData>
  <protectedRanges>
    <protectedRange sqref="J4:BQ23 BS4:CC23 BR4:BR20 BR22:BR23" name="PL"/>
  </protectedRange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ACD-193D-483C-8FC5-79E6E4E95BFB}">
  <sheetPr>
    <tabColor rgb="FFFFC000"/>
  </sheetPr>
  <dimension ref="A1:CC24"/>
  <sheetViews>
    <sheetView topLeftCell="B2" workbookViewId="0">
      <selection activeCell="B24" sqref="B24:D24"/>
    </sheetView>
  </sheetViews>
  <sheetFormatPr defaultRowHeight="14.5"/>
  <cols>
    <col min="1" max="1" width="7" hidden="1" customWidth="1"/>
    <col min="2" max="2" width="56" bestFit="1" customWidth="1"/>
    <col min="3" max="3" width="12.08984375" hidden="1" customWidth="1"/>
    <col min="4" max="4" width="14.54296875" bestFit="1" customWidth="1"/>
    <col min="5" max="6" width="15.6328125" bestFit="1" customWidth="1"/>
    <col min="7" max="7" width="16.08984375" bestFit="1" customWidth="1"/>
    <col min="8" max="8" width="17.36328125" bestFit="1" customWidth="1"/>
    <col min="9" max="9" width="15.6328125" bestFit="1" customWidth="1"/>
    <col min="10" max="16" width="15.54296875" customWidth="1"/>
    <col min="17" max="17" width="16.08984375" customWidth="1"/>
    <col min="18" max="20" width="15.54296875" customWidth="1"/>
    <col min="21" max="21" width="16.90625" customWidth="1"/>
    <col min="22" max="22" width="15.54296875" customWidth="1"/>
    <col min="23" max="23" width="16.08984375" customWidth="1"/>
    <col min="24" max="50" width="16.90625" customWidth="1"/>
    <col min="51" max="52" width="17.453125" customWidth="1"/>
    <col min="53" max="55" width="18" customWidth="1"/>
    <col min="56" max="56" width="16.90625" customWidth="1"/>
    <col min="57" max="57" width="18" customWidth="1"/>
    <col min="58" max="58" width="16.90625" bestFit="1" customWidth="1"/>
    <col min="59" max="65" width="18" bestFit="1" customWidth="1"/>
    <col min="66" max="66" width="17.453125" bestFit="1" customWidth="1"/>
    <col min="67" max="69" width="16.90625" bestFit="1" customWidth="1"/>
    <col min="70" max="70" width="18" bestFit="1" customWidth="1"/>
    <col min="71" max="81" width="18" customWidth="1"/>
  </cols>
  <sheetData>
    <row r="1" spans="1:81" ht="17.5">
      <c r="B1" s="1" t="s">
        <v>0</v>
      </c>
    </row>
    <row r="2" spans="1:81">
      <c r="B2" s="2" t="s">
        <v>1</v>
      </c>
      <c r="BF2" s="3"/>
    </row>
    <row r="3" spans="1:81" ht="28">
      <c r="A3" s="4" t="s">
        <v>2</v>
      </c>
      <c r="B3" s="5" t="s">
        <v>3</v>
      </c>
      <c r="C3" s="4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</row>
    <row r="4" spans="1:81">
      <c r="A4" s="6">
        <v>1</v>
      </c>
      <c r="B4" s="7" t="s">
        <v>83</v>
      </c>
      <c r="C4" s="6">
        <v>5</v>
      </c>
      <c r="D4" s="8">
        <f>SUM(Data_PL73[[#This Row],[T1.2021]:[T12.2021]])</f>
        <v>2131.962</v>
      </c>
      <c r="E4" s="8">
        <f>SUM(Data_PL73[[#This Row],[T1.2022]:[T12.2022]])</f>
        <v>9850.8649999999998</v>
      </c>
      <c r="F4" s="8">
        <f>SUM(Data_PL73[[#This Row],[T1.2023]:[T12.2023]])</f>
        <v>22582.090000000004</v>
      </c>
      <c r="G4" s="8">
        <f>SUM(Data_PL73[[#This Row],[T01.2024]:[T12.2024]])</f>
        <v>40044.8442</v>
      </c>
      <c r="H4" s="8">
        <f>SUM(Data_PL73[[#This Row],[T01.2025]:[T12.2025]])</f>
        <v>50376.160699999993</v>
      </c>
      <c r="I4" s="8">
        <f>SUM(Data_PL73[[#This Row],[T01.2026]:[T12.2026]])</f>
        <v>19871.663</v>
      </c>
      <c r="J4" s="8">
        <v>76.025000000000006</v>
      </c>
      <c r="K4" s="8">
        <v>61</v>
      </c>
      <c r="L4" s="8">
        <v>303.8</v>
      </c>
      <c r="M4" s="8">
        <v>215.35</v>
      </c>
      <c r="N4" s="8">
        <v>35.93</v>
      </c>
      <c r="O4" s="8">
        <v>30.437000000000001</v>
      </c>
      <c r="P4" s="8">
        <v>87.5</v>
      </c>
      <c r="Q4" s="8">
        <v>69.2</v>
      </c>
      <c r="R4" s="8">
        <v>115.5</v>
      </c>
      <c r="S4" s="8">
        <v>262.5</v>
      </c>
      <c r="T4" s="8">
        <v>284.8</v>
      </c>
      <c r="U4" s="8">
        <v>589.91999999999996</v>
      </c>
      <c r="V4" s="8">
        <v>250.8</v>
      </c>
      <c r="W4" s="8">
        <v>242</v>
      </c>
      <c r="X4" s="8">
        <v>710</v>
      </c>
      <c r="Y4" s="8">
        <v>815.18899999999996</v>
      </c>
      <c r="Z4" s="8">
        <v>578.20799999999997</v>
      </c>
      <c r="AA4" s="8">
        <v>678.9</v>
      </c>
      <c r="AB4" s="8">
        <v>421.5</v>
      </c>
      <c r="AC4" s="8">
        <v>1104.4680000000001</v>
      </c>
      <c r="AD4" s="8">
        <v>1030.32</v>
      </c>
      <c r="AE4" s="8">
        <v>1178.2750000000001</v>
      </c>
      <c r="AF4" s="8">
        <v>981.1</v>
      </c>
      <c r="AG4" s="8">
        <v>1860.105</v>
      </c>
      <c r="AH4" s="8">
        <v>651.79999999999995</v>
      </c>
      <c r="AI4" s="8">
        <v>653.07500000000005</v>
      </c>
      <c r="AJ4" s="8">
        <v>1875.95</v>
      </c>
      <c r="AK4" s="8">
        <v>1792.575</v>
      </c>
      <c r="AL4" s="8">
        <v>1632.875</v>
      </c>
      <c r="AM4" s="8">
        <v>1573.9749999999999</v>
      </c>
      <c r="AN4" s="8">
        <v>2078.5990000000002</v>
      </c>
      <c r="AO4" s="8">
        <v>2591.9430000000002</v>
      </c>
      <c r="AP4" s="8">
        <v>2246.875</v>
      </c>
      <c r="AQ4" s="8">
        <v>3057.3470000000002</v>
      </c>
      <c r="AR4" s="8">
        <v>2111.308</v>
      </c>
      <c r="AS4" s="8">
        <v>2315.768</v>
      </c>
      <c r="AT4" s="8">
        <v>3553.2</v>
      </c>
      <c r="AU4" s="8">
        <v>2285.0509999999999</v>
      </c>
      <c r="AV4" s="8">
        <v>2972.0680000000002</v>
      </c>
      <c r="AW4" s="8">
        <v>3202.752</v>
      </c>
      <c r="AX4" s="8">
        <v>3455.89</v>
      </c>
      <c r="AY4" s="8">
        <v>2432.3249999999998</v>
      </c>
      <c r="AZ4" s="8">
        <v>1986.8530000000001</v>
      </c>
      <c r="BA4" s="8">
        <v>5184.5942000000005</v>
      </c>
      <c r="BB4" s="8">
        <v>4932.5069999999996</v>
      </c>
      <c r="BC4" s="8">
        <v>4058.203</v>
      </c>
      <c r="BD4" s="8">
        <v>2606.2530000000002</v>
      </c>
      <c r="BE4" s="8">
        <v>3375.1480000000001</v>
      </c>
      <c r="BF4" s="8">
        <v>3612.7512999999999</v>
      </c>
      <c r="BG4" s="8">
        <v>6002.0379999999996</v>
      </c>
      <c r="BH4" s="8">
        <v>4985.5379999999996</v>
      </c>
      <c r="BI4" s="8">
        <v>4060.3609999999999</v>
      </c>
      <c r="BJ4" s="8">
        <v>4785.7602999999999</v>
      </c>
      <c r="BK4" s="8">
        <v>3895.6950000000002</v>
      </c>
      <c r="BL4" s="8">
        <v>4652.4191000000001</v>
      </c>
      <c r="BM4" s="8">
        <v>5655.27</v>
      </c>
      <c r="BN4" s="8">
        <v>3106.2919999999999</v>
      </c>
      <c r="BO4" s="8">
        <v>3393.5369999999998</v>
      </c>
      <c r="BP4" s="8">
        <v>3040.82</v>
      </c>
      <c r="BQ4" s="8">
        <v>3185.6790000000001</v>
      </c>
      <c r="BR4" s="8">
        <v>4409.9920000000002</v>
      </c>
      <c r="BS4" s="8">
        <v>3267.6</v>
      </c>
      <c r="BT4" s="8">
        <v>6445.4459999999999</v>
      </c>
      <c r="BU4" s="8">
        <v>5748.625</v>
      </c>
      <c r="BV4" s="8"/>
      <c r="BW4" s="8"/>
      <c r="BX4" s="8"/>
      <c r="BY4" s="8"/>
      <c r="BZ4" s="8"/>
      <c r="CA4" s="8"/>
      <c r="CB4" s="8"/>
      <c r="CC4" s="8"/>
    </row>
    <row r="5" spans="1:81">
      <c r="A5" s="9">
        <v>2</v>
      </c>
      <c r="B5" s="10" t="s">
        <v>84</v>
      </c>
      <c r="C5" s="9">
        <v>5</v>
      </c>
      <c r="D5" s="9">
        <f>SUM(Data_PL73[[#This Row],[T1.2021]:[T12.2021]])</f>
        <v>60562275921</v>
      </c>
      <c r="E5" s="9">
        <f>SUM(Data_PL73[[#This Row],[T1.2022]:[T12.2022]])</f>
        <v>330330688073</v>
      </c>
      <c r="F5" s="9">
        <f>SUM(Data_PL73[[#This Row],[T1.2023]:[T12.2023]])</f>
        <v>685554367311</v>
      </c>
      <c r="G5" s="9">
        <f>SUM(Data_PL73[[#This Row],[T01.2024]:[T12.2024]])</f>
        <v>1211387224737</v>
      </c>
      <c r="H5" s="9">
        <f>SUM(Data_PL73[[#This Row],[T01.2025]:[T12.2025]])</f>
        <v>1551998582223</v>
      </c>
      <c r="I5" s="9">
        <f>SUM(Data_PL73[[#This Row],[T01.2026]:[T12.2026]])</f>
        <v>556792402428</v>
      </c>
      <c r="J5" s="11">
        <v>2192940600</v>
      </c>
      <c r="K5" s="11">
        <v>1791822000</v>
      </c>
      <c r="L5" s="11">
        <v>8682084600</v>
      </c>
      <c r="M5" s="11">
        <v>6264332700</v>
      </c>
      <c r="N5" s="11">
        <v>1376973402</v>
      </c>
      <c r="O5" s="11">
        <v>904631370</v>
      </c>
      <c r="P5" s="11">
        <v>3085582842</v>
      </c>
      <c r="Q5" s="11">
        <v>2036756400</v>
      </c>
      <c r="R5" s="11">
        <v>4007834643</v>
      </c>
      <c r="S5" s="11">
        <v>8372308560</v>
      </c>
      <c r="T5" s="11">
        <v>8615033640</v>
      </c>
      <c r="U5" s="11">
        <v>13231975164</v>
      </c>
      <c r="V5" s="11">
        <v>7498036216</v>
      </c>
      <c r="W5" s="11">
        <v>6876982200</v>
      </c>
      <c r="X5" s="11">
        <v>21877405036</v>
      </c>
      <c r="Y5" s="11">
        <v>27424133378</v>
      </c>
      <c r="Z5" s="11">
        <v>18350378815</v>
      </c>
      <c r="AA5" s="11">
        <v>21902018748</v>
      </c>
      <c r="AB5" s="11">
        <v>15882148168</v>
      </c>
      <c r="AC5" s="11">
        <v>38706132850</v>
      </c>
      <c r="AD5" s="11">
        <v>36809694250</v>
      </c>
      <c r="AE5" s="11">
        <v>41577847270</v>
      </c>
      <c r="AF5" s="11">
        <v>34741567940</v>
      </c>
      <c r="AG5" s="11">
        <v>58684343202</v>
      </c>
      <c r="AH5" s="11">
        <v>24985455241</v>
      </c>
      <c r="AI5" s="11">
        <v>23042319009</v>
      </c>
      <c r="AJ5" s="11">
        <v>59212986698</v>
      </c>
      <c r="AK5" s="11">
        <v>54287237375</v>
      </c>
      <c r="AL5" s="11">
        <v>57641008821</v>
      </c>
      <c r="AM5" s="11">
        <v>50922412416</v>
      </c>
      <c r="AN5" s="11">
        <v>53533092198</v>
      </c>
      <c r="AO5" s="11">
        <v>78282463651</v>
      </c>
      <c r="AP5" s="11">
        <v>64916176630</v>
      </c>
      <c r="AQ5" s="11">
        <v>84671529098</v>
      </c>
      <c r="AR5" s="11">
        <v>62903041444</v>
      </c>
      <c r="AS5" s="11">
        <v>71156644730</v>
      </c>
      <c r="AT5" s="11">
        <v>95961616736</v>
      </c>
      <c r="AU5" s="11">
        <v>70105871996</v>
      </c>
      <c r="AV5" s="11">
        <v>92109508133</v>
      </c>
      <c r="AW5" s="11">
        <v>97489092894</v>
      </c>
      <c r="AX5" s="11">
        <v>102501453344</v>
      </c>
      <c r="AY5" s="11">
        <v>68093170109</v>
      </c>
      <c r="AZ5" s="11">
        <v>56451269692</v>
      </c>
      <c r="BA5" s="11">
        <v>160372945473</v>
      </c>
      <c r="BB5" s="11">
        <v>161501484254</v>
      </c>
      <c r="BC5" s="11">
        <v>119734804022</v>
      </c>
      <c r="BD5" s="11">
        <v>76175498864</v>
      </c>
      <c r="BE5" s="11">
        <v>110890509220</v>
      </c>
      <c r="BF5" s="11">
        <v>114976445897</v>
      </c>
      <c r="BG5" s="11">
        <v>188477338235</v>
      </c>
      <c r="BH5" s="11">
        <v>150730683132</v>
      </c>
      <c r="BI5" s="11">
        <v>125734240353</v>
      </c>
      <c r="BJ5" s="11">
        <v>153674258114</v>
      </c>
      <c r="BK5" s="11">
        <v>119843310993</v>
      </c>
      <c r="BL5" s="11">
        <v>138018360641</v>
      </c>
      <c r="BM5" s="11">
        <v>169442946928</v>
      </c>
      <c r="BN5" s="11">
        <v>91484253567</v>
      </c>
      <c r="BO5" s="11">
        <v>108928556660</v>
      </c>
      <c r="BP5" s="11">
        <v>89826973802</v>
      </c>
      <c r="BQ5" s="11">
        <v>100861213901</v>
      </c>
      <c r="BR5" s="11">
        <v>126786913920</v>
      </c>
      <c r="BS5" s="11">
        <v>96600110916</v>
      </c>
      <c r="BT5" s="11">
        <v>174261948689</v>
      </c>
      <c r="BU5" s="11">
        <v>159143428903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12">
        <v>3</v>
      </c>
      <c r="B6" s="13" t="s">
        <v>85</v>
      </c>
      <c r="C6" s="12">
        <v>5</v>
      </c>
      <c r="D6" s="12">
        <f>SUM(Data_PL73[[#This Row],[T1.2021]:[T12.2021]])</f>
        <v>68351150</v>
      </c>
      <c r="E6" s="12">
        <f>SUM(Data_PL73[[#This Row],[T1.2022]:[T12.2022]])</f>
        <v>398631999</v>
      </c>
      <c r="F6" s="12">
        <f>SUM(Data_PL73[[#This Row],[T1.2023]:[T12.2023]])</f>
        <v>35151625</v>
      </c>
      <c r="G6" s="12">
        <f>SUM(Data_PL73[[#This Row],[T01.2024]:[T12.2024]])</f>
        <v>19971229676</v>
      </c>
      <c r="H6" s="12">
        <f>SUM(Data_PL73[[#This Row],[T01.2025]:[T12.2025]])</f>
        <v>14472758187</v>
      </c>
      <c r="I6" s="12">
        <f>SUM(Data_PL73[[#This Row],[T01.2026]:[T12.2026]])</f>
        <v>1763882787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36461250</v>
      </c>
      <c r="P6" s="14">
        <v>0</v>
      </c>
      <c r="Q6" s="14">
        <v>686000</v>
      </c>
      <c r="R6" s="14">
        <v>0</v>
      </c>
      <c r="S6" s="14">
        <v>0</v>
      </c>
      <c r="T6" s="14">
        <v>0</v>
      </c>
      <c r="U6" s="14">
        <v>31203900</v>
      </c>
      <c r="V6" s="14">
        <v>0</v>
      </c>
      <c r="W6" s="14">
        <v>765658695</v>
      </c>
      <c r="X6" s="14">
        <v>-760221195</v>
      </c>
      <c r="Y6" s="14">
        <v>0</v>
      </c>
      <c r="Z6" s="14">
        <v>0</v>
      </c>
      <c r="AA6" s="14">
        <v>0</v>
      </c>
      <c r="AB6" s="14">
        <v>3076000</v>
      </c>
      <c r="AC6" s="14">
        <v>346771999</v>
      </c>
      <c r="AD6" s="14">
        <v>0</v>
      </c>
      <c r="AE6" s="14">
        <v>0</v>
      </c>
      <c r="AF6" s="14">
        <v>43346500</v>
      </c>
      <c r="AG6" s="14">
        <v>0</v>
      </c>
      <c r="AH6" s="14">
        <v>0</v>
      </c>
      <c r="AI6" s="14">
        <v>0</v>
      </c>
      <c r="AJ6" s="14">
        <v>453218</v>
      </c>
      <c r="AK6" s="14">
        <v>195177</v>
      </c>
      <c r="AL6" s="14">
        <v>9024000</v>
      </c>
      <c r="AM6" s="14">
        <v>18714230</v>
      </c>
      <c r="AN6" s="14">
        <v>6765000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1166125000</v>
      </c>
      <c r="AV6" s="14">
        <v>0</v>
      </c>
      <c r="AW6" s="14">
        <v>0</v>
      </c>
      <c r="AX6" s="14">
        <v>136455000</v>
      </c>
      <c r="AY6" s="14">
        <v>0</v>
      </c>
      <c r="AZ6" s="14">
        <v>0</v>
      </c>
      <c r="BA6" s="14">
        <v>6345077301</v>
      </c>
      <c r="BB6" s="14">
        <v>4671587529</v>
      </c>
      <c r="BC6" s="14">
        <v>2922205276</v>
      </c>
      <c r="BD6" s="14">
        <v>49359030</v>
      </c>
      <c r="BE6" s="14">
        <v>4680420540</v>
      </c>
      <c r="BF6" s="14">
        <v>513935495</v>
      </c>
      <c r="BG6" s="14">
        <v>477877176</v>
      </c>
      <c r="BH6" s="14">
        <v>477350452</v>
      </c>
      <c r="BI6" s="14">
        <v>304590498</v>
      </c>
      <c r="BJ6" s="14">
        <v>1607115262</v>
      </c>
      <c r="BK6" s="14">
        <v>708638196</v>
      </c>
      <c r="BL6" s="14">
        <v>26953743</v>
      </c>
      <c r="BM6" s="14">
        <v>1000293545</v>
      </c>
      <c r="BN6" s="14">
        <v>6773818500</v>
      </c>
      <c r="BO6" s="14">
        <v>0</v>
      </c>
      <c r="BP6" s="14">
        <v>1479093000</v>
      </c>
      <c r="BQ6" s="14">
        <v>1103092320</v>
      </c>
      <c r="BR6" s="14">
        <v>687876997</v>
      </c>
      <c r="BS6" s="14">
        <v>33305556</v>
      </c>
      <c r="BT6" s="14">
        <v>956126160</v>
      </c>
      <c r="BU6" s="14">
        <v>86574074</v>
      </c>
      <c r="BV6" s="14"/>
      <c r="BW6" s="14"/>
      <c r="BX6" s="14"/>
      <c r="BY6" s="14"/>
      <c r="BZ6" s="14"/>
      <c r="CA6" s="14"/>
      <c r="CB6" s="14"/>
      <c r="CC6" s="14"/>
    </row>
    <row r="7" spans="1:81">
      <c r="A7" s="15">
        <v>4</v>
      </c>
      <c r="B7" s="10" t="s">
        <v>86</v>
      </c>
      <c r="C7" s="15">
        <v>5</v>
      </c>
      <c r="D7" s="15">
        <f>SUM(Data_PL73[[#This Row],[T1.2021]:[T12.2021]])</f>
        <v>60493924771</v>
      </c>
      <c r="E7" s="15">
        <f>SUM(Data_PL73[[#This Row],[T1.2022]:[T12.2022]])</f>
        <v>329932056074</v>
      </c>
      <c r="F7" s="15">
        <f>SUM(Data_PL73[[#This Row],[T1.2023]:[T12.2023]])</f>
        <v>685519215686</v>
      </c>
      <c r="G7" s="15">
        <f>SUM(Data_PL73[[#This Row],[T01.2024]:[T12.2024]])</f>
        <v>1191415995061</v>
      </c>
      <c r="H7" s="15">
        <f>SUM(Data_PL73[[#This Row],[T01.2025]:[T12.2025]])</f>
        <v>1537525824036</v>
      </c>
      <c r="I7" s="15">
        <f>SUM(Data_PL73[[#This Row],[T01.2026]:[T12.2026]])</f>
        <v>555028519641</v>
      </c>
      <c r="J7" s="16">
        <v>2192940600</v>
      </c>
      <c r="K7" s="16">
        <v>1791822000</v>
      </c>
      <c r="L7" s="16">
        <v>8682084600</v>
      </c>
      <c r="M7" s="16">
        <v>6264332700</v>
      </c>
      <c r="N7" s="16">
        <v>1376973402</v>
      </c>
      <c r="O7" s="16">
        <v>868170120</v>
      </c>
      <c r="P7" s="16">
        <v>3085582842</v>
      </c>
      <c r="Q7" s="16">
        <v>2036070400</v>
      </c>
      <c r="R7" s="16">
        <v>4007834643</v>
      </c>
      <c r="S7" s="16">
        <v>8372308560</v>
      </c>
      <c r="T7" s="16">
        <v>8615033640</v>
      </c>
      <c r="U7" s="16">
        <v>13200771264</v>
      </c>
      <c r="V7" s="16">
        <v>7498036216</v>
      </c>
      <c r="W7" s="16">
        <v>6111323505</v>
      </c>
      <c r="X7" s="16">
        <v>22637626231</v>
      </c>
      <c r="Y7" s="16">
        <v>27424133378</v>
      </c>
      <c r="Z7" s="16">
        <v>18350378815</v>
      </c>
      <c r="AA7" s="16">
        <v>21902018748</v>
      </c>
      <c r="AB7" s="16">
        <v>15879072168</v>
      </c>
      <c r="AC7" s="16">
        <v>38359360851</v>
      </c>
      <c r="AD7" s="16">
        <v>36809694250</v>
      </c>
      <c r="AE7" s="16">
        <v>41577847270</v>
      </c>
      <c r="AF7" s="16">
        <v>34698221440</v>
      </c>
      <c r="AG7" s="16">
        <v>58684343202</v>
      </c>
      <c r="AH7" s="16">
        <v>24985455241</v>
      </c>
      <c r="AI7" s="16">
        <v>23042319009</v>
      </c>
      <c r="AJ7" s="16">
        <v>59212533480</v>
      </c>
      <c r="AK7" s="16">
        <v>54287042198</v>
      </c>
      <c r="AL7" s="16">
        <v>57631984821</v>
      </c>
      <c r="AM7" s="16">
        <v>50903698186</v>
      </c>
      <c r="AN7" s="16">
        <v>53526327198</v>
      </c>
      <c r="AO7" s="16">
        <v>78282463651</v>
      </c>
      <c r="AP7" s="16">
        <v>64916176630</v>
      </c>
      <c r="AQ7" s="16">
        <v>84671529098</v>
      </c>
      <c r="AR7" s="16">
        <v>62903041444</v>
      </c>
      <c r="AS7" s="16">
        <v>71156644730</v>
      </c>
      <c r="AT7" s="16">
        <v>95961616736</v>
      </c>
      <c r="AU7" s="16">
        <v>68939746996</v>
      </c>
      <c r="AV7" s="16">
        <v>92109508133</v>
      </c>
      <c r="AW7" s="16">
        <v>97489092894</v>
      </c>
      <c r="AX7" s="16">
        <v>102364998344</v>
      </c>
      <c r="AY7" s="16">
        <v>68093170109</v>
      </c>
      <c r="AZ7" s="16">
        <v>56451269692</v>
      </c>
      <c r="BA7" s="16">
        <v>154027868172</v>
      </c>
      <c r="BB7" s="16">
        <v>156829896725</v>
      </c>
      <c r="BC7" s="16">
        <v>116812598746</v>
      </c>
      <c r="BD7" s="16">
        <v>76126139834</v>
      </c>
      <c r="BE7" s="16">
        <v>106210088680</v>
      </c>
      <c r="BF7" s="16">
        <v>114462510402</v>
      </c>
      <c r="BG7" s="16">
        <v>187999461059</v>
      </c>
      <c r="BH7" s="16">
        <v>150253332680</v>
      </c>
      <c r="BI7" s="16">
        <v>125429649855</v>
      </c>
      <c r="BJ7" s="16">
        <v>152067142852</v>
      </c>
      <c r="BK7" s="16">
        <v>119134672797</v>
      </c>
      <c r="BL7" s="16">
        <v>137991406898</v>
      </c>
      <c r="BM7" s="16">
        <v>168442653383</v>
      </c>
      <c r="BN7" s="16">
        <v>84710435067</v>
      </c>
      <c r="BO7" s="16">
        <v>108928556660</v>
      </c>
      <c r="BP7" s="16">
        <v>88347880802</v>
      </c>
      <c r="BQ7" s="16">
        <v>99758121581</v>
      </c>
      <c r="BR7" s="16">
        <v>126099036923</v>
      </c>
      <c r="BS7" s="16">
        <v>96566805360</v>
      </c>
      <c r="BT7" s="16">
        <v>173305822529</v>
      </c>
      <c r="BU7" s="16">
        <v>159056854829</v>
      </c>
      <c r="BV7" s="16"/>
      <c r="BW7" s="16"/>
      <c r="BX7" s="16"/>
      <c r="BY7" s="16"/>
      <c r="BZ7" s="16"/>
      <c r="CA7" s="16"/>
      <c r="CB7" s="16"/>
      <c r="CC7" s="16"/>
    </row>
    <row r="8" spans="1:81">
      <c r="A8" s="17">
        <v>5</v>
      </c>
      <c r="B8" s="13" t="s">
        <v>87</v>
      </c>
      <c r="C8" s="17">
        <v>5</v>
      </c>
      <c r="D8" s="17">
        <f>SUM(Data_PL73[[#This Row],[T1.2021]:[T12.2021]])</f>
        <v>55288134722</v>
      </c>
      <c r="E8" s="17">
        <f>SUM(Data_PL73[[#This Row],[T1.2022]:[T12.2022]])</f>
        <v>299901216900</v>
      </c>
      <c r="F8" s="17">
        <f>SUM(Data_PL73[[#This Row],[T1.2023]:[T12.2023]])</f>
        <v>518594542678</v>
      </c>
      <c r="G8" s="17">
        <f>SUM(Data_PL73[[#This Row],[T01.2024]:[T12.2024]])</f>
        <v>998230253982</v>
      </c>
      <c r="H8" s="17">
        <f>SUM(Data_PL73[[#This Row],[T01.2025]:[T12.2025]])</f>
        <v>1343495797036</v>
      </c>
      <c r="I8" s="17">
        <f>SUM(Data_PL73[[#This Row],[T01.2026]:[T12.2026]])</f>
        <v>512422326416</v>
      </c>
      <c r="J8" s="18">
        <v>1714389259</v>
      </c>
      <c r="K8" s="18">
        <v>1513381552</v>
      </c>
      <c r="L8" s="18">
        <v>6687623393</v>
      </c>
      <c r="M8" s="18">
        <v>4774057263</v>
      </c>
      <c r="N8" s="18">
        <v>1087102095</v>
      </c>
      <c r="O8" s="18">
        <v>807656278</v>
      </c>
      <c r="P8" s="18">
        <v>2716172489</v>
      </c>
      <c r="Q8" s="18">
        <v>4315716140</v>
      </c>
      <c r="R8" s="18">
        <v>4265960659</v>
      </c>
      <c r="S8" s="18">
        <v>7443114351</v>
      </c>
      <c r="T8" s="18">
        <v>7773986301</v>
      </c>
      <c r="U8" s="18">
        <v>12188974942</v>
      </c>
      <c r="V8" s="18">
        <v>6843552810</v>
      </c>
      <c r="W8" s="18">
        <v>6912963718</v>
      </c>
      <c r="X8" s="18">
        <v>19836366360</v>
      </c>
      <c r="Y8" s="18">
        <v>21907875072</v>
      </c>
      <c r="Z8" s="18">
        <v>15580244606</v>
      </c>
      <c r="AA8" s="18">
        <v>18312738285</v>
      </c>
      <c r="AB8" s="18">
        <v>12006617281</v>
      </c>
      <c r="AC8" s="18">
        <v>32529935445</v>
      </c>
      <c r="AD8" s="18">
        <v>32281385317</v>
      </c>
      <c r="AE8" s="18">
        <v>38377094489</v>
      </c>
      <c r="AF8" s="18">
        <v>30963456194</v>
      </c>
      <c r="AG8" s="18">
        <v>64348987323</v>
      </c>
      <c r="AH8" s="18">
        <v>20792367485</v>
      </c>
      <c r="AI8" s="18">
        <v>21918378947</v>
      </c>
      <c r="AJ8" s="18">
        <v>61251223688</v>
      </c>
      <c r="AK8" s="18">
        <v>53942190282</v>
      </c>
      <c r="AL8" s="18">
        <v>50245648463</v>
      </c>
      <c r="AM8" s="18">
        <v>7904131770</v>
      </c>
      <c r="AN8" s="18">
        <v>44797235508</v>
      </c>
      <c r="AO8" s="18">
        <v>62222051344</v>
      </c>
      <c r="AP8" s="18">
        <v>37728980820</v>
      </c>
      <c r="AQ8" s="18">
        <v>61940025172</v>
      </c>
      <c r="AR8" s="18">
        <v>49113504898</v>
      </c>
      <c r="AS8" s="18">
        <v>46738804301</v>
      </c>
      <c r="AT8" s="18">
        <v>85841765176</v>
      </c>
      <c r="AU8" s="18">
        <v>68748321616</v>
      </c>
      <c r="AV8" s="18">
        <v>86824377307</v>
      </c>
      <c r="AW8" s="18">
        <v>85475594862</v>
      </c>
      <c r="AX8" s="18">
        <v>99208228636</v>
      </c>
      <c r="AY8" s="18">
        <v>69795611979</v>
      </c>
      <c r="AZ8" s="18">
        <v>61217801757</v>
      </c>
      <c r="BA8" s="18">
        <v>147970813832</v>
      </c>
      <c r="BB8" s="18">
        <v>132769623597</v>
      </c>
      <c r="BC8" s="18">
        <v>112138441893</v>
      </c>
      <c r="BD8" s="18">
        <v>70998442117</v>
      </c>
      <c r="BE8" s="18">
        <v>-22758768790</v>
      </c>
      <c r="BF8" s="18">
        <v>96299447936</v>
      </c>
      <c r="BG8" s="18">
        <v>154570631505</v>
      </c>
      <c r="BH8" s="18">
        <v>129509315823</v>
      </c>
      <c r="BI8" s="18">
        <v>109641808151</v>
      </c>
      <c r="BJ8" s="18">
        <v>129906078108</v>
      </c>
      <c r="BK8" s="18">
        <v>105463649620</v>
      </c>
      <c r="BL8" s="18">
        <v>128673842020</v>
      </c>
      <c r="BM8" s="18">
        <v>155101842643</v>
      </c>
      <c r="BN8" s="18">
        <v>83113314505</v>
      </c>
      <c r="BO8" s="18">
        <v>99966937216</v>
      </c>
      <c r="BP8" s="18">
        <v>80940600844</v>
      </c>
      <c r="BQ8" s="18">
        <v>70308328665</v>
      </c>
      <c r="BR8" s="18">
        <v>115080112871</v>
      </c>
      <c r="BS8" s="18">
        <v>90411470461</v>
      </c>
      <c r="BT8" s="18">
        <v>165844739865</v>
      </c>
      <c r="BU8" s="18">
        <v>141086003219</v>
      </c>
      <c r="BV8" s="18"/>
      <c r="BW8" s="18"/>
      <c r="BX8" s="18"/>
      <c r="BY8" s="18"/>
      <c r="BZ8" s="18"/>
      <c r="CA8" s="18"/>
      <c r="CB8" s="18"/>
      <c r="CC8" s="18"/>
    </row>
    <row r="9" spans="1:81">
      <c r="A9" s="19">
        <v>6</v>
      </c>
      <c r="B9" s="10" t="s">
        <v>88</v>
      </c>
      <c r="C9" s="19">
        <v>5</v>
      </c>
      <c r="D9" s="19">
        <f>SUM(Data_PL73[[#This Row],[T1.2021]:[T12.2021]])</f>
        <v>5205790049</v>
      </c>
      <c r="E9" s="19">
        <f>SUM(Data_PL73[[#This Row],[T1.2022]:[T12.2022]])</f>
        <v>30030839174</v>
      </c>
      <c r="F9" s="19">
        <f>SUM(Data_PL73[[#This Row],[T1.2023]:[T12.2023]])</f>
        <v>166924673008</v>
      </c>
      <c r="G9" s="19">
        <f>SUM(Data_PL73[[#This Row],[T01.2024]:[T12.2024]])</f>
        <v>193185741079</v>
      </c>
      <c r="H9" s="19">
        <f>SUM(Data_PL73[[#This Row],[T01.2025]:[T12.2025]])</f>
        <v>194030027000</v>
      </c>
      <c r="I9" s="19">
        <f>SUM(Data_PL73[[#This Row],[T01.2026]:[T12.2026]])</f>
        <v>42606193225</v>
      </c>
      <c r="J9" s="20">
        <v>478551341</v>
      </c>
      <c r="K9" s="20">
        <v>278440448</v>
      </c>
      <c r="L9" s="20">
        <v>1994461207</v>
      </c>
      <c r="M9" s="20">
        <v>1490275437</v>
      </c>
      <c r="N9" s="20">
        <v>289871307</v>
      </c>
      <c r="O9" s="20">
        <v>60513842</v>
      </c>
      <c r="P9" s="20">
        <v>369410353</v>
      </c>
      <c r="Q9" s="20">
        <v>-2279645740</v>
      </c>
      <c r="R9" s="20">
        <v>-258126016</v>
      </c>
      <c r="S9" s="20">
        <v>929194209</v>
      </c>
      <c r="T9" s="20">
        <v>841047339</v>
      </c>
      <c r="U9" s="20">
        <v>1011796322</v>
      </c>
      <c r="V9" s="20">
        <v>654483406</v>
      </c>
      <c r="W9" s="20">
        <v>-801640213</v>
      </c>
      <c r="X9" s="20">
        <v>2801259871</v>
      </c>
      <c r="Y9" s="20">
        <v>5516258306</v>
      </c>
      <c r="Z9" s="20">
        <v>2770134209</v>
      </c>
      <c r="AA9" s="20">
        <v>3589280463</v>
      </c>
      <c r="AB9" s="20">
        <v>3872454887</v>
      </c>
      <c r="AC9" s="20">
        <v>5829425406</v>
      </c>
      <c r="AD9" s="20">
        <v>4528308933</v>
      </c>
      <c r="AE9" s="20">
        <v>3200752781</v>
      </c>
      <c r="AF9" s="20">
        <v>3734765246</v>
      </c>
      <c r="AG9" s="20">
        <v>-5664644121</v>
      </c>
      <c r="AH9" s="20">
        <v>4193087756</v>
      </c>
      <c r="AI9" s="20">
        <v>1123940062</v>
      </c>
      <c r="AJ9" s="20">
        <v>-2038690208</v>
      </c>
      <c r="AK9" s="20">
        <v>344851916</v>
      </c>
      <c r="AL9" s="20">
        <v>7386336358</v>
      </c>
      <c r="AM9" s="20">
        <v>42999566416</v>
      </c>
      <c r="AN9" s="20">
        <v>8729091690</v>
      </c>
      <c r="AO9" s="20">
        <v>16060412307</v>
      </c>
      <c r="AP9" s="20">
        <v>27187195810</v>
      </c>
      <c r="AQ9" s="20">
        <v>22731503926</v>
      </c>
      <c r="AR9" s="20">
        <v>13789536546</v>
      </c>
      <c r="AS9" s="20">
        <v>24417840429</v>
      </c>
      <c r="AT9" s="20">
        <v>10119851560</v>
      </c>
      <c r="AU9" s="20">
        <v>191425380</v>
      </c>
      <c r="AV9" s="20">
        <v>5285130826</v>
      </c>
      <c r="AW9" s="20">
        <v>12013498032</v>
      </c>
      <c r="AX9" s="20">
        <v>3156769708</v>
      </c>
      <c r="AY9" s="20">
        <v>-1702441870</v>
      </c>
      <c r="AZ9" s="20">
        <v>-4766532065</v>
      </c>
      <c r="BA9" s="20">
        <v>6057054340</v>
      </c>
      <c r="BB9" s="20">
        <v>24060273128</v>
      </c>
      <c r="BC9" s="20">
        <v>4674156853</v>
      </c>
      <c r="BD9" s="20">
        <v>5127697717</v>
      </c>
      <c r="BE9" s="20">
        <v>128968857470</v>
      </c>
      <c r="BF9" s="20">
        <v>18163062466</v>
      </c>
      <c r="BG9" s="20">
        <v>33428829554</v>
      </c>
      <c r="BH9" s="20">
        <v>20744016857</v>
      </c>
      <c r="BI9" s="20">
        <v>15787841704</v>
      </c>
      <c r="BJ9" s="20">
        <v>22161064744</v>
      </c>
      <c r="BK9" s="20">
        <v>13671023177</v>
      </c>
      <c r="BL9" s="20">
        <v>9317564878</v>
      </c>
      <c r="BM9" s="20">
        <v>13340810740</v>
      </c>
      <c r="BN9" s="20">
        <v>1597120562</v>
      </c>
      <c r="BO9" s="20">
        <v>8961619444</v>
      </c>
      <c r="BP9" s="20">
        <v>7407279958</v>
      </c>
      <c r="BQ9" s="20">
        <v>29449792916</v>
      </c>
      <c r="BR9" s="20">
        <v>11018924052</v>
      </c>
      <c r="BS9" s="20">
        <v>6155334899</v>
      </c>
      <c r="BT9" s="20">
        <v>7461082664</v>
      </c>
      <c r="BU9" s="20">
        <v>17970851610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19">
        <v>7</v>
      </c>
      <c r="B10" s="10" t="s">
        <v>89</v>
      </c>
      <c r="C10" s="19">
        <v>5</v>
      </c>
      <c r="D10" s="19">
        <f>SUM(Data_PL73[[#This Row],[T1.2021]:[T12.2021]])</f>
        <v>0</v>
      </c>
      <c r="E10" s="19">
        <f>SUM(Data_PL73[[#This Row],[T1.2022]:[T12.2022]])</f>
        <v>0</v>
      </c>
      <c r="F10" s="19">
        <f>SUM(Data_PL73[[#This Row],[T1.2023]:[T12.2023]])</f>
        <v>0</v>
      </c>
      <c r="G10" s="19">
        <f>SUM(Data_PL73[[#This Row],[T01.2024]:[T12.2024]])</f>
        <v>0</v>
      </c>
      <c r="H10" s="19">
        <f>SUM(Data_PL73[[#This Row],[T01.2025]:[T12.2025]])</f>
        <v>0</v>
      </c>
      <c r="I10" s="19">
        <f>SUM(Data_PL73[[#This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>
      <c r="A11" s="12">
        <v>8</v>
      </c>
      <c r="B11" s="13" t="s">
        <v>90</v>
      </c>
      <c r="C11" s="12">
        <v>5</v>
      </c>
      <c r="D11" s="12">
        <f>SUM(Data_PL73[[#This Row],[T1.2021]:[T12.2021]])</f>
        <v>18328733000</v>
      </c>
      <c r="E11" s="12">
        <f>SUM(Data_PL73[[#This Row],[T1.2022]:[T12.2022]])</f>
        <v>17240601582</v>
      </c>
      <c r="F11" s="12">
        <f>SUM(Data_PL73[[#This Row],[T1.2023]:[T12.2023]])</f>
        <v>9282695737</v>
      </c>
      <c r="G11" s="12">
        <f>SUM(Data_PL73[[#This Row],[T01.2024]:[T12.2024]])</f>
        <v>15099094600</v>
      </c>
      <c r="H11" s="12">
        <f>SUM(Data_PL73[[#This Row],[T01.2025]:[T12.2025]])</f>
        <v>16906508752</v>
      </c>
      <c r="I11" s="12">
        <f>SUM(Data_PL73[[#This Row],[T01.2026]:[T12.2026]])</f>
        <v>3968224388</v>
      </c>
      <c r="J11" s="14">
        <v>1228117</v>
      </c>
      <c r="K11" s="14">
        <v>1370668</v>
      </c>
      <c r="L11" s="14">
        <v>503786</v>
      </c>
      <c r="M11" s="14">
        <v>991223</v>
      </c>
      <c r="N11" s="14">
        <v>924399</v>
      </c>
      <c r="O11" s="14">
        <v>2721429</v>
      </c>
      <c r="P11" s="14">
        <v>5630167167</v>
      </c>
      <c r="Q11" s="14">
        <v>4552274821</v>
      </c>
      <c r="R11" s="14">
        <v>4006107516</v>
      </c>
      <c r="S11" s="14">
        <v>1404451824</v>
      </c>
      <c r="T11" s="14">
        <v>1487413089</v>
      </c>
      <c r="U11" s="14">
        <v>1240578961</v>
      </c>
      <c r="V11" s="14">
        <v>1479346434</v>
      </c>
      <c r="W11" s="14">
        <v>1527456177</v>
      </c>
      <c r="X11" s="14">
        <v>1512346597</v>
      </c>
      <c r="Y11" s="14">
        <v>1655612808</v>
      </c>
      <c r="Z11" s="14">
        <v>2665641339</v>
      </c>
      <c r="AA11" s="14">
        <v>1264179580</v>
      </c>
      <c r="AB11" s="14">
        <v>1129143854</v>
      </c>
      <c r="AC11" s="14">
        <v>1236134244</v>
      </c>
      <c r="AD11" s="14">
        <v>1420307305</v>
      </c>
      <c r="AE11" s="14">
        <v>1826774837</v>
      </c>
      <c r="AF11" s="14">
        <v>1006924842</v>
      </c>
      <c r="AG11" s="14">
        <v>516733565</v>
      </c>
      <c r="AH11" s="14">
        <v>23897328</v>
      </c>
      <c r="AI11" s="14">
        <v>190776336</v>
      </c>
      <c r="AJ11" s="14">
        <v>16660712</v>
      </c>
      <c r="AK11" s="14">
        <v>967330723</v>
      </c>
      <c r="AL11" s="14">
        <v>867791673</v>
      </c>
      <c r="AM11" s="14">
        <v>866039044</v>
      </c>
      <c r="AN11" s="14">
        <v>810000497</v>
      </c>
      <c r="AO11" s="14">
        <v>1331407010</v>
      </c>
      <c r="AP11" s="14">
        <v>1045754825</v>
      </c>
      <c r="AQ11" s="14">
        <v>1146315118</v>
      </c>
      <c r="AR11" s="14">
        <v>946685267</v>
      </c>
      <c r="AS11" s="14">
        <v>1070037204</v>
      </c>
      <c r="AT11" s="14">
        <v>702840610</v>
      </c>
      <c r="AU11" s="14">
        <v>1100851130</v>
      </c>
      <c r="AV11" s="14">
        <v>994712341</v>
      </c>
      <c r="AW11" s="14">
        <v>1735368123</v>
      </c>
      <c r="AX11" s="14">
        <v>1021938222</v>
      </c>
      <c r="AY11" s="14">
        <v>578784271</v>
      </c>
      <c r="AZ11" s="14">
        <v>343643819</v>
      </c>
      <c r="BA11" s="14">
        <v>1242477440</v>
      </c>
      <c r="BB11" s="14">
        <v>1549112434</v>
      </c>
      <c r="BC11" s="14">
        <v>2779237425</v>
      </c>
      <c r="BD11" s="14">
        <v>865910053</v>
      </c>
      <c r="BE11" s="14">
        <v>2184218732</v>
      </c>
      <c r="BF11" s="14">
        <v>773999253</v>
      </c>
      <c r="BG11" s="14">
        <v>1788435256</v>
      </c>
      <c r="BH11" s="14">
        <v>931124505</v>
      </c>
      <c r="BI11" s="14">
        <v>1307926421</v>
      </c>
      <c r="BJ11" s="14">
        <v>2429341904</v>
      </c>
      <c r="BK11" s="14">
        <v>1641453607</v>
      </c>
      <c r="BL11" s="14">
        <v>1393514763</v>
      </c>
      <c r="BM11" s="14">
        <v>1498736488</v>
      </c>
      <c r="BN11" s="14">
        <v>1228780215</v>
      </c>
      <c r="BO11" s="14">
        <v>2716737103</v>
      </c>
      <c r="BP11" s="14">
        <v>515476780</v>
      </c>
      <c r="BQ11" s="14">
        <v>680982457</v>
      </c>
      <c r="BR11" s="14">
        <v>1053165322</v>
      </c>
      <c r="BS11" s="14">
        <v>307705069</v>
      </c>
      <c r="BT11" s="14">
        <v>839416558</v>
      </c>
      <c r="BU11" s="14">
        <v>1767937439</v>
      </c>
      <c r="BV11" s="14"/>
      <c r="BW11" s="14"/>
      <c r="BX11" s="14"/>
      <c r="BY11" s="14"/>
      <c r="BZ11" s="14"/>
      <c r="CA11" s="14"/>
      <c r="CB11" s="14"/>
      <c r="CC11" s="14"/>
    </row>
    <row r="12" spans="1:81">
      <c r="A12" s="9">
        <v>9</v>
      </c>
      <c r="B12" s="10" t="s">
        <v>91</v>
      </c>
      <c r="C12" s="9">
        <v>5</v>
      </c>
      <c r="D12" s="9">
        <f>SUM(Data_PL73[[#This Row],[T1.2021]:[T12.2021]])</f>
        <v>3984725509</v>
      </c>
      <c r="E12" s="9">
        <f>SUM(Data_PL73[[#This Row],[T1.2022]:[T12.2022]])</f>
        <v>8892172663</v>
      </c>
      <c r="F12" s="9">
        <f>SUM(Data_PL73[[#This Row],[T1.2023]:[T12.2023]])</f>
        <v>3023468987</v>
      </c>
      <c r="G12" s="9">
        <f>SUM(Data_PL73[[#This Row],[T01.2024]:[T12.2024]])</f>
        <v>13113711111</v>
      </c>
      <c r="H12" s="9">
        <f>SUM(Data_PL73[[#This Row],[T01.2025]:[T12.2025]])</f>
        <v>18541073627</v>
      </c>
      <c r="I12" s="9">
        <f>SUM(Data_PL73[[#This Row],[T01.2026]:[T12.2026]])</f>
        <v>6611590325</v>
      </c>
      <c r="J12" s="11">
        <v>167606071</v>
      </c>
      <c r="K12" s="11">
        <v>221668883</v>
      </c>
      <c r="L12" s="11">
        <v>208008837</v>
      </c>
      <c r="M12" s="11">
        <v>262181583</v>
      </c>
      <c r="N12" s="11">
        <v>294284803</v>
      </c>
      <c r="O12" s="11">
        <v>376440316</v>
      </c>
      <c r="P12" s="11">
        <v>341383390</v>
      </c>
      <c r="Q12" s="11">
        <v>424333601</v>
      </c>
      <c r="R12" s="11">
        <v>404885911</v>
      </c>
      <c r="S12" s="11">
        <v>376140889</v>
      </c>
      <c r="T12" s="11">
        <v>457278692</v>
      </c>
      <c r="U12" s="11">
        <v>450512533</v>
      </c>
      <c r="V12" s="11">
        <v>566186825</v>
      </c>
      <c r="W12" s="11">
        <v>636770194</v>
      </c>
      <c r="X12" s="11">
        <v>622676693</v>
      </c>
      <c r="Y12" s="11">
        <v>508923847</v>
      </c>
      <c r="Z12" s="11">
        <v>611802389</v>
      </c>
      <c r="AA12" s="11">
        <v>151684906</v>
      </c>
      <c r="AB12" s="11">
        <v>632905650</v>
      </c>
      <c r="AC12" s="11">
        <v>700652271</v>
      </c>
      <c r="AD12" s="11">
        <v>1025151505</v>
      </c>
      <c r="AE12" s="11">
        <v>1107933886</v>
      </c>
      <c r="AF12" s="11">
        <v>1595489167</v>
      </c>
      <c r="AG12" s="11">
        <v>731995330</v>
      </c>
      <c r="AH12" s="11">
        <v>74107271</v>
      </c>
      <c r="AI12" s="11">
        <v>30659803</v>
      </c>
      <c r="AJ12" s="11">
        <v>220600896</v>
      </c>
      <c r="AK12" s="11">
        <v>69167924</v>
      </c>
      <c r="AL12" s="11">
        <v>49408830</v>
      </c>
      <c r="AM12" s="11">
        <v>124156445</v>
      </c>
      <c r="AN12" s="11">
        <v>311284353</v>
      </c>
      <c r="AO12" s="11">
        <v>709793834</v>
      </c>
      <c r="AP12" s="11">
        <v>328510530</v>
      </c>
      <c r="AQ12" s="11">
        <v>475535318</v>
      </c>
      <c r="AR12" s="11">
        <v>86442609</v>
      </c>
      <c r="AS12" s="11">
        <v>543801174</v>
      </c>
      <c r="AT12" s="11">
        <v>801399604</v>
      </c>
      <c r="AU12" s="11">
        <v>695500231</v>
      </c>
      <c r="AV12" s="11">
        <v>663502461</v>
      </c>
      <c r="AW12" s="11">
        <v>1555671370</v>
      </c>
      <c r="AX12" s="11">
        <v>936492932</v>
      </c>
      <c r="AY12" s="11">
        <v>1103852896</v>
      </c>
      <c r="AZ12" s="11">
        <v>1608708972</v>
      </c>
      <c r="BA12" s="11">
        <v>1489581015</v>
      </c>
      <c r="BB12" s="11">
        <v>1372261307</v>
      </c>
      <c r="BC12" s="11">
        <v>636041020</v>
      </c>
      <c r="BD12" s="11">
        <v>1257673070</v>
      </c>
      <c r="BE12" s="11">
        <v>993026233</v>
      </c>
      <c r="BF12" s="11">
        <v>1529745602</v>
      </c>
      <c r="BG12" s="11">
        <v>1349010483</v>
      </c>
      <c r="BH12" s="11">
        <v>902730488</v>
      </c>
      <c r="BI12" s="11">
        <v>1450570894</v>
      </c>
      <c r="BJ12" s="11">
        <v>858169737</v>
      </c>
      <c r="BK12" s="11">
        <v>1483876982</v>
      </c>
      <c r="BL12" s="11">
        <v>1315247967</v>
      </c>
      <c r="BM12" s="11">
        <v>1366041150</v>
      </c>
      <c r="BN12" s="11">
        <v>1603769193</v>
      </c>
      <c r="BO12" s="11">
        <v>2900732378</v>
      </c>
      <c r="BP12" s="11">
        <v>1301741764</v>
      </c>
      <c r="BQ12" s="11">
        <v>2479436989</v>
      </c>
      <c r="BR12" s="11">
        <v>1532817392</v>
      </c>
      <c r="BS12" s="11">
        <v>1569283837</v>
      </c>
      <c r="BT12" s="11">
        <v>1510605035</v>
      </c>
      <c r="BU12" s="11">
        <v>1998884061</v>
      </c>
      <c r="BV12" s="11"/>
      <c r="BW12" s="11"/>
      <c r="BX12" s="11"/>
      <c r="BY12" s="11"/>
      <c r="BZ12" s="11"/>
      <c r="CA12" s="11"/>
      <c r="CB12" s="11"/>
      <c r="CC12" s="11"/>
    </row>
    <row r="13" spans="1:81">
      <c r="A13" s="12">
        <v>10</v>
      </c>
      <c r="B13" s="21" t="s">
        <v>92</v>
      </c>
      <c r="C13" s="12">
        <v>5</v>
      </c>
      <c r="D13" s="12">
        <f>SUM(Data_PL73[[#This Row],[T1.2021]:[T12.2021]])</f>
        <v>3929610603</v>
      </c>
      <c r="E13" s="12">
        <f>SUM(Data_PL73[[#This Row],[T1.2022]:[T12.2022]])</f>
        <v>7725836076</v>
      </c>
      <c r="F13" s="12">
        <f>SUM(Data_PL73[[#This Row],[T1.2023]:[T12.2023]])</f>
        <v>1165406526</v>
      </c>
      <c r="G13" s="12">
        <f>SUM(Data_PL73[[#This Row],[T01.2024]:[T12.2024]])</f>
        <v>10328501137</v>
      </c>
      <c r="H13" s="12">
        <f>SUM(Data_PL73[[#This Row],[T01.2025]:[T12.2025]])</f>
        <v>14263439054</v>
      </c>
      <c r="I13" s="12">
        <f>SUM(Data_PL73[[#This Row],[T01.2026]:[T12.2026]])</f>
        <v>4418197522</v>
      </c>
      <c r="J13" s="14">
        <v>167603935</v>
      </c>
      <c r="K13" s="14">
        <v>221659846</v>
      </c>
      <c r="L13" s="14">
        <v>208008837</v>
      </c>
      <c r="M13" s="14">
        <v>262170575</v>
      </c>
      <c r="N13" s="14">
        <v>294134531</v>
      </c>
      <c r="O13" s="14">
        <v>375347816</v>
      </c>
      <c r="P13" s="14">
        <v>340813568</v>
      </c>
      <c r="Q13" s="14">
        <v>399256526</v>
      </c>
      <c r="R13" s="14">
        <v>400979485</v>
      </c>
      <c r="S13" s="14">
        <v>368636370</v>
      </c>
      <c r="T13" s="14">
        <v>424483338</v>
      </c>
      <c r="U13" s="14">
        <v>466515776</v>
      </c>
      <c r="V13" s="14">
        <v>517655739</v>
      </c>
      <c r="W13" s="14">
        <v>651086182</v>
      </c>
      <c r="X13" s="14">
        <v>617884939</v>
      </c>
      <c r="Y13" s="14">
        <v>507919165</v>
      </c>
      <c r="Z13" s="14">
        <v>603465663</v>
      </c>
      <c r="AA13" s="14">
        <v>147007916</v>
      </c>
      <c r="AB13" s="14">
        <v>631302971</v>
      </c>
      <c r="AC13" s="14">
        <v>699695123</v>
      </c>
      <c r="AD13" s="14">
        <v>854484433</v>
      </c>
      <c r="AE13" s="14">
        <v>862022364</v>
      </c>
      <c r="AF13" s="14">
        <v>1093552795</v>
      </c>
      <c r="AG13" s="14">
        <v>539758786</v>
      </c>
      <c r="AH13" s="14">
        <v>44321388</v>
      </c>
      <c r="AI13" s="14">
        <v>0</v>
      </c>
      <c r="AJ13" s="14">
        <v>48722388</v>
      </c>
      <c r="AK13" s="14">
        <v>76187496</v>
      </c>
      <c r="AL13" s="14">
        <v>68801482</v>
      </c>
      <c r="AM13" s="14">
        <v>28249626</v>
      </c>
      <c r="AN13" s="14">
        <v>91396439</v>
      </c>
      <c r="AO13" s="14">
        <v>93845376</v>
      </c>
      <c r="AP13" s="14">
        <v>109400024</v>
      </c>
      <c r="AQ13" s="14">
        <v>129996535</v>
      </c>
      <c r="AR13" s="14">
        <v>157601782</v>
      </c>
      <c r="AS13" s="14">
        <v>316883990</v>
      </c>
      <c r="AT13" s="14">
        <v>460461775</v>
      </c>
      <c r="AU13" s="14">
        <v>563909516</v>
      </c>
      <c r="AV13" s="14">
        <v>587315920</v>
      </c>
      <c r="AW13" s="14">
        <v>905708142</v>
      </c>
      <c r="AX13" s="14">
        <v>974310029</v>
      </c>
      <c r="AY13" s="14">
        <v>1115056080</v>
      </c>
      <c r="AZ13" s="14">
        <v>1160823006</v>
      </c>
      <c r="BA13" s="14">
        <v>939585045</v>
      </c>
      <c r="BB13" s="14">
        <v>859444105</v>
      </c>
      <c r="BC13" s="14">
        <v>840165515</v>
      </c>
      <c r="BD13" s="14">
        <v>889159081</v>
      </c>
      <c r="BE13" s="14">
        <v>1032562923</v>
      </c>
      <c r="BF13" s="14">
        <v>1114824276</v>
      </c>
      <c r="BG13" s="14">
        <v>928379281</v>
      </c>
      <c r="BH13" s="14">
        <v>673966789</v>
      </c>
      <c r="BI13" s="14">
        <v>888393452</v>
      </c>
      <c r="BJ13" s="14">
        <v>1186588729</v>
      </c>
      <c r="BK13" s="14">
        <v>1448899822</v>
      </c>
      <c r="BL13" s="14">
        <v>1242023326</v>
      </c>
      <c r="BM13" s="14">
        <v>1303560910</v>
      </c>
      <c r="BN13" s="14">
        <v>1595764355</v>
      </c>
      <c r="BO13" s="14">
        <v>1368802426</v>
      </c>
      <c r="BP13" s="14">
        <v>1256132292</v>
      </c>
      <c r="BQ13" s="14">
        <v>1256103396</v>
      </c>
      <c r="BR13" s="14">
        <v>1240115065</v>
      </c>
      <c r="BS13" s="14">
        <v>1156279418</v>
      </c>
      <c r="BT13" s="14">
        <v>959718564</v>
      </c>
      <c r="BU13" s="14">
        <v>1062084475</v>
      </c>
      <c r="BV13" s="14"/>
      <c r="BW13" s="14"/>
      <c r="BX13" s="14"/>
      <c r="BY13" s="14"/>
      <c r="BZ13" s="14"/>
      <c r="CA13" s="14"/>
      <c r="CB13" s="14"/>
      <c r="CC13" s="14"/>
    </row>
    <row r="14" spans="1:81">
      <c r="A14" s="12">
        <v>11</v>
      </c>
      <c r="B14" s="13" t="s">
        <v>93</v>
      </c>
      <c r="C14" s="12">
        <v>5</v>
      </c>
      <c r="D14" s="12">
        <f>SUM(Data_PL73[[#This Row],[T1.2021]:[T12.2021]])</f>
        <v>3009092451</v>
      </c>
      <c r="E14" s="12">
        <f>SUM(Data_PL73[[#This Row],[T1.2022]:[T12.2022]])</f>
        <v>14690021152</v>
      </c>
      <c r="F14" s="12">
        <f>SUM(Data_PL73[[#This Row],[T1.2023]:[T12.2023]])</f>
        <v>19132571517</v>
      </c>
      <c r="G14" s="12">
        <f>SUM(Data_PL73[[#This Row],[T01.2024]:[T12.2024]])</f>
        <v>50836279646</v>
      </c>
      <c r="H14" s="12">
        <f>SUM(Data_PL73[[#This Row],[T01.2025]:[T12.2025]])</f>
        <v>55101745592</v>
      </c>
      <c r="I14" s="12">
        <f>SUM(Data_PL73[[#This Row],[T01.2026]:[T12.2026]])</f>
        <v>19001448254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251616145</v>
      </c>
      <c r="R14" s="14">
        <v>680077987</v>
      </c>
      <c r="S14" s="14">
        <v>546329598</v>
      </c>
      <c r="T14" s="14">
        <v>967543289</v>
      </c>
      <c r="U14" s="14">
        <v>563525432</v>
      </c>
      <c r="V14" s="14">
        <v>496681104</v>
      </c>
      <c r="W14" s="14">
        <v>38696800</v>
      </c>
      <c r="X14" s="14">
        <v>1520204587</v>
      </c>
      <c r="Y14" s="14">
        <v>3287497220</v>
      </c>
      <c r="Z14" s="14">
        <v>563902784</v>
      </c>
      <c r="AA14" s="14">
        <v>802923682</v>
      </c>
      <c r="AB14" s="14">
        <v>1108487180</v>
      </c>
      <c r="AC14" s="14">
        <v>819028904</v>
      </c>
      <c r="AD14" s="14">
        <v>1282383810</v>
      </c>
      <c r="AE14" s="14">
        <v>1073636694</v>
      </c>
      <c r="AF14" s="14">
        <v>1462938929</v>
      </c>
      <c r="AG14" s="14">
        <v>2233639458</v>
      </c>
      <c r="AH14" s="14">
        <v>645459129</v>
      </c>
      <c r="AI14" s="14">
        <v>991254056</v>
      </c>
      <c r="AJ14" s="14">
        <v>1883160244</v>
      </c>
      <c r="AK14" s="14">
        <v>1145404547</v>
      </c>
      <c r="AL14" s="14">
        <v>1970368365</v>
      </c>
      <c r="AM14" s="14">
        <v>1459341885</v>
      </c>
      <c r="AN14" s="14">
        <v>1450399092</v>
      </c>
      <c r="AO14" s="14">
        <v>2363556660</v>
      </c>
      <c r="AP14" s="14">
        <v>1466584216</v>
      </c>
      <c r="AQ14" s="14">
        <v>2298997918</v>
      </c>
      <c r="AR14" s="14">
        <v>1849124450</v>
      </c>
      <c r="AS14" s="14">
        <v>1608920955</v>
      </c>
      <c r="AT14" s="14">
        <v>2846219487</v>
      </c>
      <c r="AU14" s="14">
        <v>1219456854</v>
      </c>
      <c r="AV14" s="14">
        <v>3715738043</v>
      </c>
      <c r="AW14" s="14">
        <v>4585159549</v>
      </c>
      <c r="AX14" s="14">
        <v>1693810954</v>
      </c>
      <c r="AY14" s="14">
        <v>2407466874</v>
      </c>
      <c r="AZ14" s="14">
        <v>2300964337</v>
      </c>
      <c r="BA14" s="14">
        <v>8205607205</v>
      </c>
      <c r="BB14" s="14">
        <v>7036529523</v>
      </c>
      <c r="BC14" s="14">
        <v>4608951194</v>
      </c>
      <c r="BD14" s="14">
        <v>1949627546</v>
      </c>
      <c r="BE14" s="14">
        <v>10266748080</v>
      </c>
      <c r="BF14" s="14">
        <v>4006424849</v>
      </c>
      <c r="BG14" s="14">
        <v>6313682258</v>
      </c>
      <c r="BH14" s="14">
        <v>5091544776</v>
      </c>
      <c r="BI14" s="14">
        <v>4077126734</v>
      </c>
      <c r="BJ14" s="14">
        <v>4686536575</v>
      </c>
      <c r="BK14" s="14">
        <v>4796729528</v>
      </c>
      <c r="BL14" s="14">
        <v>3449972349</v>
      </c>
      <c r="BM14" s="14">
        <v>4949095751</v>
      </c>
      <c r="BN14" s="14">
        <v>2811598286</v>
      </c>
      <c r="BO14" s="14">
        <v>6688603934</v>
      </c>
      <c r="BP14" s="14">
        <v>3413749635</v>
      </c>
      <c r="BQ14" s="14">
        <v>4816680917</v>
      </c>
      <c r="BR14" s="14">
        <v>3731798004</v>
      </c>
      <c r="BS14" s="14">
        <v>3202645336</v>
      </c>
      <c r="BT14" s="14">
        <v>6245695788</v>
      </c>
      <c r="BU14" s="14">
        <v>5821309126</v>
      </c>
      <c r="BV14" s="14"/>
      <c r="BW14" s="14"/>
      <c r="BX14" s="14"/>
      <c r="BY14" s="14"/>
      <c r="BZ14" s="14"/>
      <c r="CA14" s="14"/>
      <c r="CB14" s="14"/>
      <c r="CC14" s="14"/>
    </row>
    <row r="15" spans="1:81">
      <c r="A15" s="12">
        <v>12</v>
      </c>
      <c r="B15" s="13" t="s">
        <v>94</v>
      </c>
      <c r="C15" s="12">
        <v>5</v>
      </c>
      <c r="D15" s="12">
        <f>SUM(Data_PL73[[#This Row],[T1.2021]:[T12.2021]])</f>
        <v>11203395485</v>
      </c>
      <c r="E15" s="12">
        <f>SUM(Data_PL73[[#This Row],[T1.2022]:[T12.2022]])</f>
        <v>29733399077</v>
      </c>
      <c r="F15" s="12">
        <f>SUM(Data_PL73[[#This Row],[T1.2023]:[T12.2023]])</f>
        <v>40274613810</v>
      </c>
      <c r="G15" s="12">
        <f>SUM(Data_PL73[[#This Row],[T01.2024]:[T12.2024]])</f>
        <v>70102214341</v>
      </c>
      <c r="H15" s="12">
        <f>SUM(Data_PL73[[#This Row],[T01.2025]:[T12.2025]])</f>
        <v>98715170412</v>
      </c>
      <c r="I15" s="12">
        <f>SUM(Data_PL73[[#This Row],[T01.2026]:[T12.2026]])</f>
        <v>31832287701</v>
      </c>
      <c r="J15" s="14">
        <v>457415751</v>
      </c>
      <c r="K15" s="14">
        <v>619384345</v>
      </c>
      <c r="L15" s="14">
        <v>707076077</v>
      </c>
      <c r="M15" s="14">
        <v>816715935</v>
      </c>
      <c r="N15" s="14">
        <v>827613489</v>
      </c>
      <c r="O15" s="14">
        <v>624184259</v>
      </c>
      <c r="P15" s="14">
        <v>2510720411</v>
      </c>
      <c r="Q15" s="14">
        <v>569609208</v>
      </c>
      <c r="R15" s="14">
        <v>536039299</v>
      </c>
      <c r="S15" s="14">
        <v>941857345</v>
      </c>
      <c r="T15" s="14">
        <v>3424596971</v>
      </c>
      <c r="U15" s="14">
        <v>-831817605</v>
      </c>
      <c r="V15" s="14">
        <v>1435430845</v>
      </c>
      <c r="W15" s="14">
        <v>1479188151</v>
      </c>
      <c r="X15" s="14">
        <v>1624743284</v>
      </c>
      <c r="Y15" s="14">
        <v>1725353483</v>
      </c>
      <c r="Z15" s="14">
        <v>1803134313</v>
      </c>
      <c r="AA15" s="14">
        <v>1872200320</v>
      </c>
      <c r="AB15" s="14">
        <v>1882239518</v>
      </c>
      <c r="AC15" s="14">
        <v>2444716491</v>
      </c>
      <c r="AD15" s="14">
        <v>2755381317</v>
      </c>
      <c r="AE15" s="14">
        <v>3239626198</v>
      </c>
      <c r="AF15" s="14">
        <v>3143544394</v>
      </c>
      <c r="AG15" s="14">
        <v>6327840763</v>
      </c>
      <c r="AH15" s="14">
        <v>2772788125</v>
      </c>
      <c r="AI15" s="14">
        <v>2947588122</v>
      </c>
      <c r="AJ15" s="14">
        <v>3098829707</v>
      </c>
      <c r="AK15" s="14">
        <v>3036290770</v>
      </c>
      <c r="AL15" s="14">
        <v>3448026712</v>
      </c>
      <c r="AM15" s="14">
        <v>3261800788</v>
      </c>
      <c r="AN15" s="14">
        <v>3348437381</v>
      </c>
      <c r="AO15" s="14">
        <v>1910475796</v>
      </c>
      <c r="AP15" s="14">
        <v>3536419913</v>
      </c>
      <c r="AQ15" s="14">
        <v>3592592574</v>
      </c>
      <c r="AR15" s="14">
        <v>3600549435</v>
      </c>
      <c r="AS15" s="14">
        <v>5720814487</v>
      </c>
      <c r="AT15" s="14">
        <v>5241377343</v>
      </c>
      <c r="AU15" s="14">
        <v>4647980221</v>
      </c>
      <c r="AV15" s="14">
        <v>4838115306</v>
      </c>
      <c r="AW15" s="14">
        <v>5132788494</v>
      </c>
      <c r="AX15" s="14">
        <v>5665606587</v>
      </c>
      <c r="AY15" s="14">
        <v>5470797521</v>
      </c>
      <c r="AZ15" s="14">
        <v>5239042307</v>
      </c>
      <c r="BA15" s="14">
        <v>6065017937</v>
      </c>
      <c r="BB15" s="14">
        <v>7524726581</v>
      </c>
      <c r="BC15" s="14">
        <v>7016385931</v>
      </c>
      <c r="BD15" s="14">
        <v>7426888275</v>
      </c>
      <c r="BE15" s="14">
        <v>5833487838</v>
      </c>
      <c r="BF15" s="14">
        <v>7638868570</v>
      </c>
      <c r="BG15" s="14">
        <v>7013534740</v>
      </c>
      <c r="BH15" s="14">
        <v>7332584934</v>
      </c>
      <c r="BI15" s="14">
        <v>7155903324</v>
      </c>
      <c r="BJ15" s="14">
        <v>7948694673</v>
      </c>
      <c r="BK15" s="14">
        <v>7721648228</v>
      </c>
      <c r="BL15" s="14">
        <v>7616453256</v>
      </c>
      <c r="BM15" s="14">
        <v>7931593154</v>
      </c>
      <c r="BN15" s="14">
        <v>9422194647</v>
      </c>
      <c r="BO15" s="14">
        <v>3775611792</v>
      </c>
      <c r="BP15" s="14">
        <v>9875644458</v>
      </c>
      <c r="BQ15" s="14">
        <v>15282438636</v>
      </c>
      <c r="BR15" s="14">
        <v>8394130638</v>
      </c>
      <c r="BS15" s="14">
        <v>7959394332</v>
      </c>
      <c r="BT15" s="14">
        <v>7329810589</v>
      </c>
      <c r="BU15" s="14">
        <v>8148952142</v>
      </c>
      <c r="BV15" s="14"/>
      <c r="BW15" s="14"/>
      <c r="BX15" s="14"/>
      <c r="BY15" s="14"/>
      <c r="BZ15" s="14"/>
      <c r="CA15" s="14"/>
      <c r="CB15" s="14"/>
      <c r="CC15" s="14"/>
    </row>
    <row r="16" spans="1:81">
      <c r="A16" s="9">
        <v>13</v>
      </c>
      <c r="B16" s="10" t="s">
        <v>95</v>
      </c>
      <c r="C16" s="9">
        <v>5</v>
      </c>
      <c r="D16" s="9">
        <f>SUM(Data_PL73[[#This Row],[T1.2021]:[T12.2021]])</f>
        <v>5337309604</v>
      </c>
      <c r="E16" s="9">
        <f>SUM(Data_PL73[[#This Row],[T1.2022]:[T12.2022]])</f>
        <v>-6044152136</v>
      </c>
      <c r="F16" s="9">
        <f>SUM(Data_PL73[[#This Row],[T1.2023]:[T12.2023]])</f>
        <v>113776714431</v>
      </c>
      <c r="G16" s="9">
        <f>SUM(Data_PL73[[#This Row],[T01.2024]:[T12.2024]])</f>
        <v>74232630581</v>
      </c>
      <c r="H16" s="9">
        <f>SUM(Data_PL73[[#This Row],[T01.2025]:[T12.2025]])</f>
        <v>38578546121</v>
      </c>
      <c r="I16" s="9">
        <f>SUM(Data_PL73[[#This Row],[T01.2026]:[T12.2026]])</f>
        <v>-10870908667</v>
      </c>
      <c r="J16" s="11">
        <v>-145242364</v>
      </c>
      <c r="K16" s="11">
        <v>-561242112</v>
      </c>
      <c r="L16" s="11">
        <v>1079880079</v>
      </c>
      <c r="M16" s="11">
        <v>412369142</v>
      </c>
      <c r="N16" s="11">
        <v>-831102586</v>
      </c>
      <c r="O16" s="11">
        <v>-937389304</v>
      </c>
      <c r="P16" s="11">
        <v>3147473719</v>
      </c>
      <c r="Q16" s="11">
        <v>1027070127</v>
      </c>
      <c r="R16" s="11">
        <v>2126978303</v>
      </c>
      <c r="S16" s="11">
        <v>469318201</v>
      </c>
      <c r="T16" s="11">
        <v>-2520958524</v>
      </c>
      <c r="U16" s="11">
        <v>2070154923</v>
      </c>
      <c r="V16" s="11">
        <v>-364468934</v>
      </c>
      <c r="W16" s="11">
        <v>-1428839181</v>
      </c>
      <c r="X16" s="11">
        <v>545981904</v>
      </c>
      <c r="Y16" s="11">
        <v>1650096564</v>
      </c>
      <c r="Z16" s="11">
        <v>2456936062</v>
      </c>
      <c r="AA16" s="11">
        <v>2026651135</v>
      </c>
      <c r="AB16" s="11">
        <v>1377966393</v>
      </c>
      <c r="AC16" s="11">
        <v>3101161984</v>
      </c>
      <c r="AD16" s="11">
        <v>885699606</v>
      </c>
      <c r="AE16" s="11">
        <v>-393669160</v>
      </c>
      <c r="AF16" s="11">
        <v>-1460282402</v>
      </c>
      <c r="AG16" s="11">
        <v>-14441386107</v>
      </c>
      <c r="AH16" s="11">
        <v>724630559</v>
      </c>
      <c r="AI16" s="11">
        <v>-2654785583</v>
      </c>
      <c r="AJ16" s="11">
        <v>-7224620343</v>
      </c>
      <c r="AK16" s="11">
        <v>-2938680602</v>
      </c>
      <c r="AL16" s="11">
        <v>2786324124</v>
      </c>
      <c r="AM16" s="11">
        <v>39020306342</v>
      </c>
      <c r="AN16" s="11">
        <v>4428971361</v>
      </c>
      <c r="AO16" s="11">
        <v>12407993027</v>
      </c>
      <c r="AP16" s="11">
        <v>22901435976</v>
      </c>
      <c r="AQ16" s="11">
        <v>17510693234</v>
      </c>
      <c r="AR16" s="11">
        <v>9200105319</v>
      </c>
      <c r="AS16" s="11">
        <v>17614341017</v>
      </c>
      <c r="AT16" s="11">
        <v>1933695736</v>
      </c>
      <c r="AU16" s="11">
        <v>-5270660796</v>
      </c>
      <c r="AV16" s="11">
        <v>-2937512643</v>
      </c>
      <c r="AW16" s="11">
        <v>2475246742</v>
      </c>
      <c r="AX16" s="11">
        <v>-4117202543</v>
      </c>
      <c r="AY16" s="11">
        <v>-10105774890</v>
      </c>
      <c r="AZ16" s="11">
        <v>-13571603862</v>
      </c>
      <c r="BA16" s="11">
        <v>-8460674377</v>
      </c>
      <c r="BB16" s="11">
        <v>9675868151</v>
      </c>
      <c r="BC16" s="11">
        <v>-4807983867</v>
      </c>
      <c r="BD16" s="11">
        <v>-4640581121</v>
      </c>
      <c r="BE16" s="11">
        <v>114059814051</v>
      </c>
      <c r="BF16" s="11">
        <v>5762022698</v>
      </c>
      <c r="BG16" s="11">
        <v>20541037329</v>
      </c>
      <c r="BH16" s="11">
        <v>8348281164</v>
      </c>
      <c r="BI16" s="11">
        <v>4412167173</v>
      </c>
      <c r="BJ16" s="11">
        <v>11097005663</v>
      </c>
      <c r="BK16" s="11">
        <v>1310222046</v>
      </c>
      <c r="BL16" s="11">
        <v>-1670593931</v>
      </c>
      <c r="BM16" s="11">
        <v>592817173</v>
      </c>
      <c r="BN16" s="11">
        <v>-11011661349</v>
      </c>
      <c r="BO16" s="11">
        <v>-1686591557</v>
      </c>
      <c r="BP16" s="11">
        <v>-6668379119</v>
      </c>
      <c r="BQ16" s="11">
        <v>7552218831</v>
      </c>
      <c r="BR16" s="11">
        <v>-1586656660</v>
      </c>
      <c r="BS16" s="11">
        <v>-6268283537</v>
      </c>
      <c r="BT16" s="11">
        <v>-6785612190</v>
      </c>
      <c r="BU16" s="11">
        <v>3769643720</v>
      </c>
      <c r="BV16" s="11"/>
      <c r="BW16" s="11"/>
      <c r="BX16" s="11"/>
      <c r="BY16" s="11"/>
      <c r="BZ16" s="11"/>
      <c r="CA16" s="11"/>
      <c r="CB16" s="11"/>
      <c r="CC16" s="11"/>
    </row>
    <row r="17" spans="1:81">
      <c r="A17" s="12">
        <v>14</v>
      </c>
      <c r="B17" s="13" t="s">
        <v>96</v>
      </c>
      <c r="C17" s="12">
        <v>5</v>
      </c>
      <c r="D17" s="12">
        <f>SUM(Data_PL73[[#This Row],[T1.2021]:[T12.2021]])</f>
        <v>18771710496</v>
      </c>
      <c r="E17" s="12">
        <f>SUM(Data_PL73[[#This Row],[T1.2022]:[T12.2022]])</f>
        <v>92779904880</v>
      </c>
      <c r="F17" s="12">
        <f>SUM(Data_PL73[[#This Row],[T1.2023]:[T12.2023]])</f>
        <v>17391162</v>
      </c>
      <c r="G17" s="12">
        <f>SUM(Data_PL73[[#This Row],[T01.2024]:[T12.2024]])</f>
        <v>1503561903</v>
      </c>
      <c r="H17" s="12">
        <f>SUM(Data_PL73[[#This Row],[T01.2025]:[T12.2025]])</f>
        <v>454238633</v>
      </c>
      <c r="I17" s="12">
        <f>SUM(Data_PL73[[#This Row],[T01.2026]:[T12.2026]])</f>
        <v>11703115</v>
      </c>
      <c r="J17" s="14">
        <v>0</v>
      </c>
      <c r="K17" s="14">
        <v>299375994</v>
      </c>
      <c r="L17" s="14">
        <v>787003464</v>
      </c>
      <c r="M17" s="14">
        <v>853324557</v>
      </c>
      <c r="N17" s="14">
        <v>610174630</v>
      </c>
      <c r="O17" s="14">
        <v>1291891103</v>
      </c>
      <c r="P17" s="14">
        <v>8989972067</v>
      </c>
      <c r="Q17" s="14">
        <v>40395118</v>
      </c>
      <c r="R17" s="14">
        <v>2077248</v>
      </c>
      <c r="S17" s="14">
        <v>399581022</v>
      </c>
      <c r="T17" s="14">
        <v>2510200174</v>
      </c>
      <c r="U17" s="14">
        <v>2987715119</v>
      </c>
      <c r="V17" s="14">
        <v>5351841304</v>
      </c>
      <c r="W17" s="14">
        <v>240544660</v>
      </c>
      <c r="X17" s="14">
        <v>164167319</v>
      </c>
      <c r="Y17" s="14">
        <v>0</v>
      </c>
      <c r="Z17" s="14">
        <v>397562937</v>
      </c>
      <c r="AA17" s="14">
        <v>263298162</v>
      </c>
      <c r="AB17" s="14">
        <v>116035636</v>
      </c>
      <c r="AC17" s="14">
        <v>406946130</v>
      </c>
      <c r="AD17" s="14">
        <v>1142849269</v>
      </c>
      <c r="AE17" s="14">
        <v>973159654</v>
      </c>
      <c r="AF17" s="14">
        <v>4531212183</v>
      </c>
      <c r="AG17" s="14">
        <v>79192287626</v>
      </c>
      <c r="AH17" s="14">
        <v>332026</v>
      </c>
      <c r="AI17" s="14">
        <v>0</v>
      </c>
      <c r="AJ17" s="14">
        <v>2</v>
      </c>
      <c r="AK17" s="14">
        <v>1</v>
      </c>
      <c r="AL17" s="14">
        <v>0</v>
      </c>
      <c r="AM17" s="14">
        <v>425</v>
      </c>
      <c r="AN17" s="14">
        <v>0</v>
      </c>
      <c r="AO17" s="14">
        <v>0</v>
      </c>
      <c r="AP17" s="14">
        <v>0</v>
      </c>
      <c r="AQ17" s="14">
        <v>0</v>
      </c>
      <c r="AR17" s="14">
        <v>8116</v>
      </c>
      <c r="AS17" s="14">
        <v>17050592</v>
      </c>
      <c r="AT17" s="14">
        <v>1945</v>
      </c>
      <c r="AU17" s="14">
        <v>12000</v>
      </c>
      <c r="AV17" s="14">
        <v>0</v>
      </c>
      <c r="AW17" s="14">
        <v>0</v>
      </c>
      <c r="AX17" s="14">
        <v>203</v>
      </c>
      <c r="AY17" s="14">
        <v>58510228</v>
      </c>
      <c r="AZ17" s="14">
        <v>52918371</v>
      </c>
      <c r="BA17" s="14">
        <v>177726993</v>
      </c>
      <c r="BB17" s="14">
        <v>999</v>
      </c>
      <c r="BC17" s="14">
        <v>196700</v>
      </c>
      <c r="BD17" s="14">
        <v>1398763491</v>
      </c>
      <c r="BE17" s="14">
        <v>-184569027</v>
      </c>
      <c r="BF17" s="14">
        <v>500207</v>
      </c>
      <c r="BG17" s="14">
        <v>2492480</v>
      </c>
      <c r="BH17" s="14">
        <v>2600082</v>
      </c>
      <c r="BI17" s="14">
        <v>33918440</v>
      </c>
      <c r="BJ17" s="14">
        <v>115000000</v>
      </c>
      <c r="BK17" s="14">
        <v>2020926</v>
      </c>
      <c r="BL17" s="14">
        <v>9788652</v>
      </c>
      <c r="BM17" s="14">
        <v>244500606</v>
      </c>
      <c r="BN17" s="14">
        <v>742</v>
      </c>
      <c r="BO17" s="14">
        <v>819591</v>
      </c>
      <c r="BP17" s="14">
        <v>110446</v>
      </c>
      <c r="BQ17" s="14">
        <v>42486461</v>
      </c>
      <c r="BR17" s="14">
        <v>4505</v>
      </c>
      <c r="BS17" s="14">
        <v>70001</v>
      </c>
      <c r="BT17" s="14">
        <v>1144804</v>
      </c>
      <c r="BU17" s="14">
        <v>10483805</v>
      </c>
      <c r="BV17" s="14"/>
      <c r="BW17" s="14"/>
      <c r="BX17" s="14"/>
      <c r="BY17" s="14"/>
      <c r="BZ17" s="14"/>
      <c r="CA17" s="14"/>
      <c r="CB17" s="14"/>
      <c r="CC17" s="14"/>
    </row>
    <row r="18" spans="1:81">
      <c r="A18" s="12">
        <v>15</v>
      </c>
      <c r="B18" s="13" t="s">
        <v>97</v>
      </c>
      <c r="C18" s="12">
        <v>5</v>
      </c>
      <c r="D18" s="12">
        <f>SUM(Data_PL73[[#This Row],[T1.2021]:[T12.2021]])</f>
        <v>3720756403</v>
      </c>
      <c r="E18" s="12">
        <f>SUM(Data_PL73[[#This Row],[T1.2022]:[T12.2022]])</f>
        <v>5507730098</v>
      </c>
      <c r="F18" s="12">
        <f>SUM(Data_PL73[[#This Row],[T1.2023]:[T12.2023]])</f>
        <v>198294222</v>
      </c>
      <c r="G18" s="12">
        <f>SUM(Data_PL73[[#This Row],[T01.2024]:[T12.2024]])</f>
        <v>8884638060</v>
      </c>
      <c r="H18" s="12">
        <f>SUM(Data_PL73[[#This Row],[T01.2025]:[T12.2025]])</f>
        <v>7634668922</v>
      </c>
      <c r="I18" s="12">
        <f>SUM(Data_PL73[[#This Row],[T01.2026]:[T12.2026]])</f>
        <v>368182201</v>
      </c>
      <c r="J18" s="14">
        <v>77565</v>
      </c>
      <c r="K18" s="14">
        <v>0</v>
      </c>
      <c r="L18" s="14">
        <v>0</v>
      </c>
      <c r="M18" s="14">
        <v>0</v>
      </c>
      <c r="N18" s="14">
        <v>6136364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3714542474</v>
      </c>
      <c r="V18" s="14">
        <v>0</v>
      </c>
      <c r="W18" s="14">
        <v>274745</v>
      </c>
      <c r="X18" s="14">
        <v>2093722658</v>
      </c>
      <c r="Y18" s="14">
        <v>631668424</v>
      </c>
      <c r="Z18" s="14">
        <v>567391744</v>
      </c>
      <c r="AA18" s="14">
        <v>150706725</v>
      </c>
      <c r="AB18" s="14">
        <v>2322906</v>
      </c>
      <c r="AC18" s="14">
        <v>1880704</v>
      </c>
      <c r="AD18" s="14">
        <v>593797145</v>
      </c>
      <c r="AE18" s="14">
        <v>15441</v>
      </c>
      <c r="AF18" s="14">
        <v>441600828</v>
      </c>
      <c r="AG18" s="14">
        <v>1024348778</v>
      </c>
      <c r="AH18" s="14">
        <v>1</v>
      </c>
      <c r="AI18" s="14">
        <v>236</v>
      </c>
      <c r="AJ18" s="14">
        <v>0</v>
      </c>
      <c r="AK18" s="14">
        <v>7135172</v>
      </c>
      <c r="AL18" s="14">
        <v>3500000</v>
      </c>
      <c r="AM18" s="14">
        <v>99064</v>
      </c>
      <c r="AN18" s="14">
        <v>0</v>
      </c>
      <c r="AO18" s="14">
        <v>-36000</v>
      </c>
      <c r="AP18" s="14">
        <v>0</v>
      </c>
      <c r="AQ18" s="14">
        <v>0</v>
      </c>
      <c r="AR18" s="14">
        <v>0</v>
      </c>
      <c r="AS18" s="14">
        <v>187595749</v>
      </c>
      <c r="AT18" s="14">
        <v>7958068</v>
      </c>
      <c r="AU18" s="14">
        <v>1</v>
      </c>
      <c r="AV18" s="14">
        <v>21796958</v>
      </c>
      <c r="AW18" s="14">
        <v>2</v>
      </c>
      <c r="AX18" s="14">
        <v>36200000</v>
      </c>
      <c r="AY18" s="14">
        <v>168183405</v>
      </c>
      <c r="AZ18" s="14">
        <v>6000002</v>
      </c>
      <c r="BA18" s="14">
        <v>601</v>
      </c>
      <c r="BB18" s="14">
        <v>2601033</v>
      </c>
      <c r="BC18" s="14">
        <v>170398064</v>
      </c>
      <c r="BD18" s="14">
        <v>202496</v>
      </c>
      <c r="BE18" s="14">
        <v>8471297430</v>
      </c>
      <c r="BF18" s="14">
        <v>1251667</v>
      </c>
      <c r="BG18" s="14">
        <v>130033300</v>
      </c>
      <c r="BH18" s="14">
        <v>0</v>
      </c>
      <c r="BI18" s="14">
        <v>17808640</v>
      </c>
      <c r="BJ18" s="14">
        <v>600</v>
      </c>
      <c r="BK18" s="14">
        <v>50477376</v>
      </c>
      <c r="BL18" s="14">
        <v>130663204</v>
      </c>
      <c r="BM18" s="14">
        <v>539898446</v>
      </c>
      <c r="BN18" s="14">
        <v>539664890</v>
      </c>
      <c r="BO18" s="14">
        <v>3515574706</v>
      </c>
      <c r="BP18" s="14">
        <v>1106262251</v>
      </c>
      <c r="BQ18" s="14">
        <v>1603033842</v>
      </c>
      <c r="BR18" s="14">
        <v>106808581</v>
      </c>
      <c r="BS18" s="14">
        <v>151000202</v>
      </c>
      <c r="BT18" s="14">
        <v>34000105</v>
      </c>
      <c r="BU18" s="14">
        <v>76373313</v>
      </c>
      <c r="BV18" s="14"/>
      <c r="BW18" s="14"/>
      <c r="BX18" s="14"/>
      <c r="BY18" s="14"/>
      <c r="BZ18" s="14"/>
      <c r="CA18" s="14"/>
      <c r="CB18" s="14"/>
      <c r="CC18" s="14"/>
    </row>
    <row r="19" spans="1:81">
      <c r="A19" s="9">
        <v>16</v>
      </c>
      <c r="B19" s="10" t="s">
        <v>98</v>
      </c>
      <c r="C19" s="9">
        <v>5</v>
      </c>
      <c r="D19" s="9">
        <f>SUM(Data_PL73[[#This Row],[T1.2021]:[T12.2021]])</f>
        <v>15050954093</v>
      </c>
      <c r="E19" s="9">
        <f>SUM(Data_PL73[[#This Row],[T1.2022]:[T12.2022]])</f>
        <v>87272174782</v>
      </c>
      <c r="F19" s="9">
        <f>SUM(Data_PL73[[#This Row],[T1.2023]:[T12.2023]])</f>
        <v>-180903060</v>
      </c>
      <c r="G19" s="9">
        <f>SUM(Data_PL73[[#This Row],[T01.2024]:[T12.2024]])</f>
        <v>-7381076157</v>
      </c>
      <c r="H19" s="9">
        <f>SUM(Data_PL73[[#This Row],[T01.2025]:[T12.2025]])</f>
        <v>-7180430289</v>
      </c>
      <c r="I19" s="9">
        <f>SUM(Data_PL73[[#This Row],[T01.2026]:[T12.2026]])</f>
        <v>-356479086</v>
      </c>
      <c r="J19" s="11">
        <v>-77565</v>
      </c>
      <c r="K19" s="11">
        <v>299375994</v>
      </c>
      <c r="L19" s="11">
        <v>787003464</v>
      </c>
      <c r="M19" s="11">
        <v>853324557</v>
      </c>
      <c r="N19" s="11">
        <v>604038266</v>
      </c>
      <c r="O19" s="11">
        <v>1291891103</v>
      </c>
      <c r="P19" s="11">
        <v>8989972067</v>
      </c>
      <c r="Q19" s="11">
        <v>40395118</v>
      </c>
      <c r="R19" s="11">
        <v>2077248</v>
      </c>
      <c r="S19" s="11">
        <v>399581022</v>
      </c>
      <c r="T19" s="11">
        <v>2510200174</v>
      </c>
      <c r="U19" s="11">
        <v>-726827355</v>
      </c>
      <c r="V19" s="11">
        <v>5351841304</v>
      </c>
      <c r="W19" s="11">
        <v>240269915</v>
      </c>
      <c r="X19" s="11">
        <v>-1929555339</v>
      </c>
      <c r="Y19" s="11">
        <v>-631668424</v>
      </c>
      <c r="Z19" s="11">
        <v>-169828807</v>
      </c>
      <c r="AA19" s="11">
        <v>112591437</v>
      </c>
      <c r="AB19" s="11">
        <v>113712730</v>
      </c>
      <c r="AC19" s="11">
        <v>405065426</v>
      </c>
      <c r="AD19" s="11">
        <v>549052124</v>
      </c>
      <c r="AE19" s="11">
        <v>973144213</v>
      </c>
      <c r="AF19" s="11">
        <v>4089611355</v>
      </c>
      <c r="AG19" s="11">
        <v>78167938848</v>
      </c>
      <c r="AH19" s="11">
        <v>332025</v>
      </c>
      <c r="AI19" s="11">
        <v>-236</v>
      </c>
      <c r="AJ19" s="11">
        <v>2</v>
      </c>
      <c r="AK19" s="11">
        <v>-7135171</v>
      </c>
      <c r="AL19" s="11">
        <v>-3500000</v>
      </c>
      <c r="AM19" s="11">
        <v>-98639</v>
      </c>
      <c r="AN19" s="11">
        <v>0</v>
      </c>
      <c r="AO19" s="11">
        <v>36000</v>
      </c>
      <c r="AP19" s="11">
        <v>0</v>
      </c>
      <c r="AQ19" s="11">
        <v>0</v>
      </c>
      <c r="AR19" s="11">
        <v>8116</v>
      </c>
      <c r="AS19" s="11">
        <v>-170545157</v>
      </c>
      <c r="AT19" s="11">
        <v>-7956123</v>
      </c>
      <c r="AU19" s="11">
        <v>11999</v>
      </c>
      <c r="AV19" s="11">
        <v>-21796958</v>
      </c>
      <c r="AW19" s="11">
        <v>-2</v>
      </c>
      <c r="AX19" s="11">
        <v>-36199797</v>
      </c>
      <c r="AY19" s="11">
        <v>-109673177</v>
      </c>
      <c r="AZ19" s="11">
        <v>46918369</v>
      </c>
      <c r="BA19" s="11">
        <v>177726392</v>
      </c>
      <c r="BB19" s="11">
        <v>-2600034</v>
      </c>
      <c r="BC19" s="11">
        <v>-170201364</v>
      </c>
      <c r="BD19" s="11">
        <v>1398560995</v>
      </c>
      <c r="BE19" s="11">
        <v>-8655866457</v>
      </c>
      <c r="BF19" s="11">
        <v>-751460</v>
      </c>
      <c r="BG19" s="11">
        <v>-127540820</v>
      </c>
      <c r="BH19" s="11">
        <v>2600082</v>
      </c>
      <c r="BI19" s="11">
        <v>16109800</v>
      </c>
      <c r="BJ19" s="11">
        <v>114999400</v>
      </c>
      <c r="BK19" s="11">
        <v>-48456450</v>
      </c>
      <c r="BL19" s="11">
        <v>-120874552</v>
      </c>
      <c r="BM19" s="11">
        <v>-295397840</v>
      </c>
      <c r="BN19" s="11">
        <v>-539664148</v>
      </c>
      <c r="BO19" s="11">
        <v>-3514755115</v>
      </c>
      <c r="BP19" s="11">
        <v>-1106151805</v>
      </c>
      <c r="BQ19" s="11">
        <v>-1560547381</v>
      </c>
      <c r="BR19" s="11">
        <v>-106804076</v>
      </c>
      <c r="BS19" s="11">
        <v>-150930201</v>
      </c>
      <c r="BT19" s="11">
        <v>-32855301</v>
      </c>
      <c r="BU19" s="11">
        <v>-65889508</v>
      </c>
      <c r="BV19" s="11"/>
      <c r="BW19" s="11"/>
      <c r="BX19" s="11"/>
      <c r="BY19" s="11"/>
      <c r="BZ19" s="11"/>
      <c r="CA19" s="11"/>
      <c r="CB19" s="11"/>
      <c r="CC19" s="11"/>
    </row>
    <row r="20" spans="1:81">
      <c r="A20" s="15">
        <v>17</v>
      </c>
      <c r="B20" s="10" t="s">
        <v>99</v>
      </c>
      <c r="C20" s="15">
        <v>5</v>
      </c>
      <c r="D20" s="15">
        <f>SUM(Data_PL73[[#This Row],[T1.2021]:[T12.2021]])</f>
        <v>20388263697</v>
      </c>
      <c r="E20" s="15">
        <f>SUM(Data_PL73[[#This Row],[T1.2022]:[T12.2022]])</f>
        <v>81228022646</v>
      </c>
      <c r="F20" s="15">
        <f>SUM(Data_PL73[[#This Row],[T1.2023]:[T12.2023]])</f>
        <v>113595811371</v>
      </c>
      <c r="G20" s="15">
        <f>SUM(Data_PL73[[#This Row],[T01.2024]:[T12.2024]])</f>
        <v>66851554424</v>
      </c>
      <c r="H20" s="15">
        <f>SUM(Data_PL73[[#This Row],[T01.2025]:[T12.2025]])</f>
        <v>31398115832</v>
      </c>
      <c r="I20" s="15">
        <f>SUM(Data_PL73[[#This Row],[T01.2026]:[T12.2026]])</f>
        <v>-11227387753</v>
      </c>
      <c r="J20" s="16">
        <v>-145319929</v>
      </c>
      <c r="K20" s="16">
        <v>-261866118</v>
      </c>
      <c r="L20" s="16">
        <v>1866883543</v>
      </c>
      <c r="M20" s="16">
        <v>1265693699</v>
      </c>
      <c r="N20" s="16">
        <v>-227064320</v>
      </c>
      <c r="O20" s="16">
        <v>354501799</v>
      </c>
      <c r="P20" s="16">
        <v>12137445786</v>
      </c>
      <c r="Q20" s="16">
        <v>1067465245</v>
      </c>
      <c r="R20" s="16">
        <v>2129055551</v>
      </c>
      <c r="S20" s="16">
        <v>868899223</v>
      </c>
      <c r="T20" s="16">
        <v>-10758350</v>
      </c>
      <c r="U20" s="16">
        <v>1343327568</v>
      </c>
      <c r="V20" s="16">
        <v>4987372370</v>
      </c>
      <c r="W20" s="16">
        <v>-1188569266</v>
      </c>
      <c r="X20" s="16">
        <v>-1383573435</v>
      </c>
      <c r="Y20" s="16">
        <v>1018428140</v>
      </c>
      <c r="Z20" s="16">
        <v>2287107255</v>
      </c>
      <c r="AA20" s="16">
        <v>2139242572</v>
      </c>
      <c r="AB20" s="16">
        <v>1491679123</v>
      </c>
      <c r="AC20" s="16">
        <v>3506227410</v>
      </c>
      <c r="AD20" s="16">
        <v>1434751730</v>
      </c>
      <c r="AE20" s="16">
        <v>579475053</v>
      </c>
      <c r="AF20" s="16">
        <v>2629328953</v>
      </c>
      <c r="AG20" s="16">
        <v>63726552741</v>
      </c>
      <c r="AH20" s="16">
        <v>724962584</v>
      </c>
      <c r="AI20" s="16">
        <v>-2654785819</v>
      </c>
      <c r="AJ20" s="16">
        <v>-7224620341</v>
      </c>
      <c r="AK20" s="16">
        <v>-2945815773</v>
      </c>
      <c r="AL20" s="16">
        <v>2782824124</v>
      </c>
      <c r="AM20" s="16">
        <v>39020207703</v>
      </c>
      <c r="AN20" s="16">
        <v>4428971361</v>
      </c>
      <c r="AO20" s="16">
        <v>12408029027</v>
      </c>
      <c r="AP20" s="16">
        <v>22901435976</v>
      </c>
      <c r="AQ20" s="16">
        <v>17510693234</v>
      </c>
      <c r="AR20" s="16">
        <v>9200113435</v>
      </c>
      <c r="AS20" s="16">
        <v>17443795860</v>
      </c>
      <c r="AT20" s="16">
        <v>1925739613</v>
      </c>
      <c r="AU20" s="16">
        <v>-5270648797</v>
      </c>
      <c r="AV20" s="16">
        <v>-2959309601</v>
      </c>
      <c r="AW20" s="16">
        <v>2475246740</v>
      </c>
      <c r="AX20" s="16">
        <v>-4153402340</v>
      </c>
      <c r="AY20" s="16">
        <v>-10215448067</v>
      </c>
      <c r="AZ20" s="16">
        <v>-13524685493</v>
      </c>
      <c r="BA20" s="16">
        <v>-8282947985</v>
      </c>
      <c r="BB20" s="16">
        <v>9673268117</v>
      </c>
      <c r="BC20" s="16">
        <v>-4978185231</v>
      </c>
      <c r="BD20" s="16">
        <v>-3242020126</v>
      </c>
      <c r="BE20" s="16">
        <v>105403947594</v>
      </c>
      <c r="BF20" s="16">
        <v>5761271238</v>
      </c>
      <c r="BG20" s="16">
        <v>20413496509</v>
      </c>
      <c r="BH20" s="16">
        <v>8350881246</v>
      </c>
      <c r="BI20" s="16">
        <v>4428276973</v>
      </c>
      <c r="BJ20" s="16">
        <v>11212005063</v>
      </c>
      <c r="BK20" s="16">
        <v>1261765596</v>
      </c>
      <c r="BL20" s="16">
        <v>-1791468483</v>
      </c>
      <c r="BM20" s="16">
        <v>297419333</v>
      </c>
      <c r="BN20" s="16">
        <v>-11551325497</v>
      </c>
      <c r="BO20" s="16">
        <v>-5201346672</v>
      </c>
      <c r="BP20" s="16">
        <v>-7774530924</v>
      </c>
      <c r="BQ20" s="16">
        <v>5991671450</v>
      </c>
      <c r="BR20" s="16">
        <v>-1693460736</v>
      </c>
      <c r="BS20" s="16">
        <v>-6419213738</v>
      </c>
      <c r="BT20" s="16">
        <v>-6818467491</v>
      </c>
      <c r="BU20" s="16">
        <v>3703754212</v>
      </c>
      <c r="BV20" s="16"/>
      <c r="BW20" s="16"/>
      <c r="BX20" s="16"/>
      <c r="BY20" s="16"/>
      <c r="BZ20" s="16"/>
      <c r="CA20" s="16"/>
      <c r="CB20" s="16"/>
      <c r="CC20" s="16"/>
    </row>
    <row r="21" spans="1:81">
      <c r="A21" s="12">
        <v>18</v>
      </c>
      <c r="B21" s="22" t="s">
        <v>100</v>
      </c>
      <c r="C21" s="12">
        <v>5</v>
      </c>
      <c r="D21" s="12">
        <f>SUM(Data_PL73[[#This Row],[T1.2021]:[T12.2021]])</f>
        <v>2854356918</v>
      </c>
      <c r="E21" s="12">
        <f>SUM(Data_PL73[[#This Row],[T1.2022]:[T12.2022]])</f>
        <v>19125239788</v>
      </c>
      <c r="F21" s="12">
        <f>SUM(Data_PL73[[#This Row],[T1.2023]:[T12.2023]])</f>
        <v>11001624815</v>
      </c>
      <c r="G21" s="12">
        <f>SUM(Data_PL73[[#This Row],[T01.2024]:[T12.2024]])</f>
        <v>11495266455</v>
      </c>
      <c r="H21" s="12">
        <f>SUM(Data_PL73[[#This Row],[T01.2025]:[T12.2025]])</f>
        <v>7500302208</v>
      </c>
      <c r="I21" s="12">
        <f>SUM(Data_PL73[[#This Row],[T01.2026]:[T12.2026]])</f>
        <v>-153060867</v>
      </c>
      <c r="J21" s="14">
        <v>0</v>
      </c>
      <c r="K21" s="14">
        <v>0</v>
      </c>
      <c r="L21" s="14">
        <v>373376709</v>
      </c>
      <c r="M21" s="14">
        <v>253138740</v>
      </c>
      <c r="N21" s="14">
        <v>0</v>
      </c>
      <c r="O21" s="14">
        <v>70900360</v>
      </c>
      <c r="P21" s="14">
        <v>2427489157</v>
      </c>
      <c r="Q21" s="14">
        <v>213493049</v>
      </c>
      <c r="R21" s="14">
        <v>425811110</v>
      </c>
      <c r="S21" s="14">
        <v>173779845</v>
      </c>
      <c r="T21" s="14">
        <v>0</v>
      </c>
      <c r="U21" s="14">
        <v>-1083632052</v>
      </c>
      <c r="V21" s="14">
        <v>997474474</v>
      </c>
      <c r="W21" s="14">
        <v>0</v>
      </c>
      <c r="X21" s="14">
        <v>0</v>
      </c>
      <c r="Y21" s="14">
        <v>203685628</v>
      </c>
      <c r="Z21" s="14">
        <v>457567861</v>
      </c>
      <c r="AA21" s="14">
        <v>427848514</v>
      </c>
      <c r="AB21" s="14">
        <v>298494225</v>
      </c>
      <c r="AC21" s="14">
        <v>701245482</v>
      </c>
      <c r="AD21" s="14">
        <v>286950346</v>
      </c>
      <c r="AE21" s="14">
        <v>115895011</v>
      </c>
      <c r="AF21" s="14">
        <v>525865791</v>
      </c>
      <c r="AG21" s="14">
        <v>15110212456</v>
      </c>
      <c r="AH21" s="14">
        <v>144992517</v>
      </c>
      <c r="AI21" s="14">
        <v>0</v>
      </c>
      <c r="AJ21" s="14">
        <v>0</v>
      </c>
      <c r="AK21" s="14">
        <v>0</v>
      </c>
      <c r="AL21" s="14">
        <v>0</v>
      </c>
      <c r="AM21" s="14">
        <v>5795561979</v>
      </c>
      <c r="AN21" s="14">
        <v>885794272</v>
      </c>
      <c r="AO21" s="14">
        <v>2481605805</v>
      </c>
      <c r="AP21" s="14">
        <v>4580287195</v>
      </c>
      <c r="AQ21" s="14">
        <v>3502138647</v>
      </c>
      <c r="AR21" s="14">
        <v>1840022687</v>
      </c>
      <c r="AS21" s="14">
        <v>-8228778287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11495266455</v>
      </c>
      <c r="BF21" s="14">
        <v>864190686</v>
      </c>
      <c r="BG21" s="14">
        <v>3020742780</v>
      </c>
      <c r="BH21" s="14">
        <v>1252632187</v>
      </c>
      <c r="BI21" s="14">
        <v>677293488</v>
      </c>
      <c r="BJ21" s="14">
        <v>1681800759</v>
      </c>
      <c r="BK21" s="14">
        <v>189264839</v>
      </c>
      <c r="BL21" s="14">
        <v>-1000088030</v>
      </c>
      <c r="BM21" s="14">
        <v>204199602</v>
      </c>
      <c r="BN21" s="14">
        <v>-1349170846</v>
      </c>
      <c r="BO21" s="14">
        <v>-516688622</v>
      </c>
      <c r="BP21" s="14">
        <v>-854033077</v>
      </c>
      <c r="BQ21" s="14">
        <v>3330158442</v>
      </c>
      <c r="BR21" s="23"/>
      <c r="BS21" s="14">
        <v>0</v>
      </c>
      <c r="BT21" s="14">
        <v>-153060867</v>
      </c>
      <c r="BU21" s="14"/>
      <c r="BV21" s="14"/>
      <c r="BW21" s="14"/>
      <c r="BX21" s="14"/>
      <c r="BY21" s="14"/>
      <c r="BZ21" s="14"/>
      <c r="CA21" s="14"/>
      <c r="CB21" s="14"/>
      <c r="CC21" s="14"/>
    </row>
    <row r="22" spans="1:81">
      <c r="A22" s="12">
        <v>19</v>
      </c>
      <c r="B22" s="13" t="s">
        <v>101</v>
      </c>
      <c r="C22" s="12">
        <v>5</v>
      </c>
      <c r="D22" s="12">
        <f>SUM(Data_PL73[[#This Row],[T1.2021]:[T12.2021]])</f>
        <v>0</v>
      </c>
      <c r="E22" s="12">
        <f>SUM(Data_PL73[[#This Row],[T1.2022]:[T12.2022]])</f>
        <v>0</v>
      </c>
      <c r="F22" s="12">
        <f>SUM(Data_PL73[[#This Row],[T1.2023]:[T12.2023]])</f>
        <v>0</v>
      </c>
      <c r="G22" s="12">
        <f>SUM(Data_PL73[[#This Row],[T01.2024]:[T12.2024]])</f>
        <v>1838941310</v>
      </c>
      <c r="H22" s="12">
        <f>SUM(Data_PL73[[#This Row],[T01.2025]:[T12.2025]])</f>
        <v>-1838941310</v>
      </c>
      <c r="I22" s="12">
        <f>SUM(Data_PL73[[#This Row],[T01.2026]:[T12.2026]])</f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1838941310</v>
      </c>
      <c r="BF22" s="14">
        <v>0</v>
      </c>
      <c r="BG22" s="14">
        <v>-8043000</v>
      </c>
      <c r="BH22" s="14">
        <v>0</v>
      </c>
      <c r="BI22" s="14">
        <v>0</v>
      </c>
      <c r="BJ22" s="14"/>
      <c r="BK22" s="14">
        <v>0</v>
      </c>
      <c r="BL22" s="14">
        <v>-1830898310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/>
      <c r="BS22" s="14">
        <v>0</v>
      </c>
      <c r="BT22" s="14"/>
      <c r="BU22" s="14"/>
      <c r="BV22" s="14"/>
      <c r="BW22" s="14"/>
      <c r="BX22" s="14"/>
      <c r="BY22" s="14"/>
      <c r="BZ22" s="14"/>
      <c r="CA22" s="14"/>
      <c r="CB22" s="14"/>
      <c r="CC22" s="14"/>
    </row>
    <row r="23" spans="1:81">
      <c r="A23" s="19">
        <v>20</v>
      </c>
      <c r="B23" s="10" t="s">
        <v>102</v>
      </c>
      <c r="C23" s="19">
        <v>5</v>
      </c>
      <c r="D23" s="19">
        <f>SUM(Data_PL73[[#This Row],[T1.2021]:[T12.2021]])</f>
        <v>17533906779</v>
      </c>
      <c r="E23" s="19">
        <f>SUM(Data_PL73[[#This Row],[T1.2022]:[T12.2022]])</f>
        <v>62102782858</v>
      </c>
      <c r="F23" s="19">
        <f>SUM(Data_PL73[[#This Row],[T1.2023]:[T12.2023]])</f>
        <v>102594186556</v>
      </c>
      <c r="G23" s="19">
        <f>SUM(Data_PL73[[#This Row],[T01.2024]:[T12.2024]])</f>
        <v>53517346659</v>
      </c>
      <c r="H23" s="19">
        <f>SUM(Data_PL73[[#This Row],[T01.2025]:[T12.2025]])</f>
        <v>25736754934</v>
      </c>
      <c r="I23" s="19">
        <f>SUM(Data_PL73[[#This Row],[T01.2026]:[T12.2026]])</f>
        <v>-11074326886</v>
      </c>
      <c r="J23" s="20">
        <v>-145319929</v>
      </c>
      <c r="K23" s="20">
        <v>-261866118</v>
      </c>
      <c r="L23" s="20">
        <v>1493506834</v>
      </c>
      <c r="M23" s="20">
        <v>1012554959</v>
      </c>
      <c r="N23" s="20">
        <v>-227064320</v>
      </c>
      <c r="O23" s="20">
        <v>283601439</v>
      </c>
      <c r="P23" s="20">
        <v>9709956629</v>
      </c>
      <c r="Q23" s="20">
        <v>853972196</v>
      </c>
      <c r="R23" s="20">
        <v>1703244441</v>
      </c>
      <c r="S23" s="20">
        <v>695119378</v>
      </c>
      <c r="T23" s="20">
        <v>-10758350</v>
      </c>
      <c r="U23" s="20">
        <v>2426959620</v>
      </c>
      <c r="V23" s="20">
        <v>3989897896</v>
      </c>
      <c r="W23" s="20">
        <v>-1188569266</v>
      </c>
      <c r="X23" s="20">
        <v>-1383573435</v>
      </c>
      <c r="Y23" s="20">
        <v>814742512</v>
      </c>
      <c r="Z23" s="20">
        <v>1829539394</v>
      </c>
      <c r="AA23" s="20">
        <v>1711394058</v>
      </c>
      <c r="AB23" s="20">
        <v>1193184898</v>
      </c>
      <c r="AC23" s="20">
        <v>2804981928</v>
      </c>
      <c r="AD23" s="20">
        <v>1147801384</v>
      </c>
      <c r="AE23" s="20">
        <v>463580042</v>
      </c>
      <c r="AF23" s="20">
        <v>2103463162</v>
      </c>
      <c r="AG23" s="20">
        <v>48616340285</v>
      </c>
      <c r="AH23" s="20">
        <v>579970067</v>
      </c>
      <c r="AI23" s="20">
        <v>-2654785819</v>
      </c>
      <c r="AJ23" s="20">
        <v>-7224620341</v>
      </c>
      <c r="AK23" s="20">
        <v>-2945815773</v>
      </c>
      <c r="AL23" s="20">
        <v>2782824124</v>
      </c>
      <c r="AM23" s="20">
        <v>33224645724</v>
      </c>
      <c r="AN23" s="20">
        <v>3543177089</v>
      </c>
      <c r="AO23" s="20">
        <v>9926423222</v>
      </c>
      <c r="AP23" s="20">
        <v>18321148781</v>
      </c>
      <c r="AQ23" s="20">
        <v>14008554587</v>
      </c>
      <c r="AR23" s="20">
        <v>7360090748</v>
      </c>
      <c r="AS23" s="20">
        <v>25672574147</v>
      </c>
      <c r="AT23" s="20">
        <v>1925739613</v>
      </c>
      <c r="AU23" s="20">
        <v>-5270648797</v>
      </c>
      <c r="AV23" s="20">
        <v>-2959309601</v>
      </c>
      <c r="AW23" s="20">
        <v>2475246740</v>
      </c>
      <c r="AX23" s="20">
        <v>-4153402340</v>
      </c>
      <c r="AY23" s="20">
        <v>-10215448067</v>
      </c>
      <c r="AZ23" s="20">
        <v>-13524685493</v>
      </c>
      <c r="BA23" s="20">
        <v>-8282947985</v>
      </c>
      <c r="BB23" s="20">
        <v>9673268117</v>
      </c>
      <c r="BC23" s="20">
        <v>-4978185231</v>
      </c>
      <c r="BD23" s="20">
        <v>-3242020126</v>
      </c>
      <c r="BE23" s="20">
        <v>92069739829</v>
      </c>
      <c r="BF23" s="20">
        <v>4897080552</v>
      </c>
      <c r="BG23" s="20">
        <v>17400796729</v>
      </c>
      <c r="BH23" s="20">
        <v>7098249059</v>
      </c>
      <c r="BI23" s="20">
        <v>3750983485</v>
      </c>
      <c r="BJ23" s="20">
        <v>9530204304</v>
      </c>
      <c r="BK23" s="20">
        <v>1072500757</v>
      </c>
      <c r="BL23" s="20">
        <v>1039517857</v>
      </c>
      <c r="BM23" s="20">
        <v>93219731</v>
      </c>
      <c r="BN23" s="20">
        <v>-10202154651</v>
      </c>
      <c r="BO23" s="20">
        <v>-4684658050</v>
      </c>
      <c r="BP23" s="20">
        <v>-6920497847</v>
      </c>
      <c r="BQ23" s="20">
        <v>2661513008</v>
      </c>
      <c r="BR23" s="20">
        <v>-1693460736</v>
      </c>
      <c r="BS23" s="20">
        <v>-6419213738</v>
      </c>
      <c r="BT23" s="20">
        <v>-6665406624</v>
      </c>
      <c r="BU23" s="20">
        <v>3703754212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71"/>
      <c r="B24" s="72" t="s">
        <v>109</v>
      </c>
      <c r="D24" s="78">
        <f>D23/D7</f>
        <v>0.2898457464179201</v>
      </c>
      <c r="E24" s="78">
        <f t="shared" ref="E24:I24" si="0">E23/E7</f>
        <v>0.18822900568373707</v>
      </c>
      <c r="F24" s="78">
        <f t="shared" si="0"/>
        <v>0.14965909665031615</v>
      </c>
      <c r="G24" s="78">
        <f t="shared" si="0"/>
        <v>4.4919110437374926E-2</v>
      </c>
      <c r="H24" s="78">
        <f t="shared" si="0"/>
        <v>1.6739071651129155E-2</v>
      </c>
      <c r="I24" s="78">
        <f t="shared" si="0"/>
        <v>-1.9952716831854019E-2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</row>
  </sheetData>
  <protectedRanges>
    <protectedRange sqref="J4:BQ23 BS4:CC23 BR4:BR20 BR22:BR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F2F2-4296-465C-86D3-873E8C3CEEAB}">
  <sheetPr>
    <tabColor rgb="FF00B0F0"/>
  </sheetPr>
  <dimension ref="A1:CC24"/>
  <sheetViews>
    <sheetView topLeftCell="B1" workbookViewId="0">
      <pane xSplit="2" ySplit="3" topLeftCell="D7" activePane="bottomRight" state="frozen"/>
      <selection activeCell="B1" sqref="B1"/>
      <selection pane="topRight" activeCell="D1" sqref="D1"/>
      <selection pane="bottomLeft" activeCell="B4" sqref="B4"/>
      <selection pane="bottomRight" activeCell="J5" sqref="J5"/>
    </sheetView>
  </sheetViews>
  <sheetFormatPr defaultRowHeight="14.5"/>
  <cols>
    <col min="1" max="1" width="8.81640625" style="24" hidden="1" customWidth="1"/>
    <col min="2" max="2" width="56" bestFit="1" customWidth="1"/>
    <col min="3" max="3" width="15.1796875" hidden="1" customWidth="1"/>
    <col min="4" max="4" width="17.36328125" bestFit="1" customWidth="1"/>
    <col min="5" max="6" width="15.6328125" bestFit="1" customWidth="1"/>
    <col min="7" max="7" width="16.08984375" bestFit="1" customWidth="1"/>
    <col min="8" max="8" width="17.36328125" bestFit="1" customWidth="1"/>
    <col min="9" max="9" width="15.6328125" bestFit="1" customWidth="1"/>
    <col min="10" max="81" width="17.54296875" customWidth="1"/>
  </cols>
  <sheetData>
    <row r="1" spans="1:81" ht="17.5">
      <c r="B1" s="1" t="s">
        <v>103</v>
      </c>
    </row>
    <row r="2" spans="1:81">
      <c r="B2" s="2" t="s">
        <v>1</v>
      </c>
    </row>
    <row r="3" spans="1:81" ht="28">
      <c r="A3" s="25" t="s">
        <v>2</v>
      </c>
      <c r="B3" s="26" t="s">
        <v>3</v>
      </c>
      <c r="C3" s="27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28" t="s">
        <v>11</v>
      </c>
      <c r="K3" s="28" t="s">
        <v>12</v>
      </c>
      <c r="L3" s="28" t="s">
        <v>13</v>
      </c>
      <c r="M3" s="28" t="s">
        <v>14</v>
      </c>
      <c r="N3" s="28" t="s">
        <v>15</v>
      </c>
      <c r="O3" s="28" t="s">
        <v>16</v>
      </c>
      <c r="P3" s="28" t="s">
        <v>17</v>
      </c>
      <c r="Q3" s="28" t="s">
        <v>18</v>
      </c>
      <c r="R3" s="28" t="s">
        <v>19</v>
      </c>
      <c r="S3" s="28" t="s">
        <v>20</v>
      </c>
      <c r="T3" s="28" t="s">
        <v>21</v>
      </c>
      <c r="U3" s="28" t="s">
        <v>22</v>
      </c>
      <c r="V3" s="28" t="s">
        <v>23</v>
      </c>
      <c r="W3" s="28" t="s">
        <v>24</v>
      </c>
      <c r="X3" s="28" t="s">
        <v>25</v>
      </c>
      <c r="Y3" s="28" t="s">
        <v>26</v>
      </c>
      <c r="Z3" s="28" t="s">
        <v>27</v>
      </c>
      <c r="AA3" s="28" t="s">
        <v>28</v>
      </c>
      <c r="AB3" s="28" t="s">
        <v>29</v>
      </c>
      <c r="AC3" s="28" t="s">
        <v>30</v>
      </c>
      <c r="AD3" s="28" t="s">
        <v>31</v>
      </c>
      <c r="AE3" s="28" t="s">
        <v>32</v>
      </c>
      <c r="AF3" s="28" t="s">
        <v>33</v>
      </c>
      <c r="AG3" s="28" t="s">
        <v>34</v>
      </c>
      <c r="AH3" s="28" t="s">
        <v>35</v>
      </c>
      <c r="AI3" s="28" t="s">
        <v>36</v>
      </c>
      <c r="AJ3" s="28" t="s">
        <v>37</v>
      </c>
      <c r="AK3" s="28" t="s">
        <v>38</v>
      </c>
      <c r="AL3" s="28" t="s">
        <v>39</v>
      </c>
      <c r="AM3" s="28" t="s">
        <v>40</v>
      </c>
      <c r="AN3" s="28" t="s">
        <v>41</v>
      </c>
      <c r="AO3" s="28" t="s">
        <v>42</v>
      </c>
      <c r="AP3" s="28" t="s">
        <v>43</v>
      </c>
      <c r="AQ3" s="28" t="s">
        <v>44</v>
      </c>
      <c r="AR3" s="28" t="s">
        <v>45</v>
      </c>
      <c r="AS3" s="28" t="s">
        <v>46</v>
      </c>
      <c r="AT3" s="28" t="s">
        <v>47</v>
      </c>
      <c r="AU3" s="28" t="s">
        <v>48</v>
      </c>
      <c r="AV3" s="28" t="s">
        <v>49</v>
      </c>
      <c r="AW3" s="28" t="s">
        <v>50</v>
      </c>
      <c r="AX3" s="28" t="s">
        <v>51</v>
      </c>
      <c r="AY3" s="28" t="s">
        <v>52</v>
      </c>
      <c r="AZ3" s="28" t="s">
        <v>53</v>
      </c>
      <c r="BA3" s="28" t="s">
        <v>54</v>
      </c>
      <c r="BB3" s="28" t="s">
        <v>55</v>
      </c>
      <c r="BC3" s="28" t="s">
        <v>56</v>
      </c>
      <c r="BD3" s="28" t="s">
        <v>57</v>
      </c>
      <c r="BE3" s="28" t="s">
        <v>58</v>
      </c>
      <c r="BF3" s="28" t="s">
        <v>59</v>
      </c>
      <c r="BG3" s="28" t="s">
        <v>60</v>
      </c>
      <c r="BH3" s="28" t="s">
        <v>61</v>
      </c>
      <c r="BI3" s="28" t="s">
        <v>62</v>
      </c>
      <c r="BJ3" s="28" t="s">
        <v>63</v>
      </c>
      <c r="BK3" s="28" t="s">
        <v>64</v>
      </c>
      <c r="BL3" s="28" t="s">
        <v>65</v>
      </c>
      <c r="BM3" s="28" t="s">
        <v>66</v>
      </c>
      <c r="BN3" s="28" t="s">
        <v>67</v>
      </c>
      <c r="BO3" s="28" t="s">
        <v>68</v>
      </c>
      <c r="BP3" s="28" t="s">
        <v>69</v>
      </c>
      <c r="BQ3" s="28" t="s">
        <v>70</v>
      </c>
      <c r="BR3" s="28" t="s">
        <v>71</v>
      </c>
      <c r="BS3" s="28" t="s">
        <v>72</v>
      </c>
      <c r="BT3" s="28" t="s">
        <v>73</v>
      </c>
      <c r="BU3" s="28" t="s">
        <v>74</v>
      </c>
      <c r="BV3" s="28" t="s">
        <v>75</v>
      </c>
      <c r="BW3" s="28" t="s">
        <v>76</v>
      </c>
      <c r="BX3" s="28" t="s">
        <v>77</v>
      </c>
      <c r="BY3" s="28" t="s">
        <v>78</v>
      </c>
      <c r="BZ3" s="28" t="s">
        <v>79</v>
      </c>
      <c r="CA3" s="28" t="s">
        <v>80</v>
      </c>
      <c r="CB3" s="28" t="s">
        <v>81</v>
      </c>
      <c r="CC3" s="28" t="s">
        <v>82</v>
      </c>
    </row>
    <row r="4" spans="1:81">
      <c r="A4" s="29">
        <v>1</v>
      </c>
      <c r="B4" s="7" t="s">
        <v>104</v>
      </c>
      <c r="C4" s="30">
        <v>6</v>
      </c>
      <c r="D4" s="8">
        <f>SUM(Data_PL8[[#This Row],[T1.2021]:[T12.2021]])</f>
        <v>417.15609999999998</v>
      </c>
      <c r="E4" s="8">
        <f>SUM(Data_PL8[[#This Row],[T1.2022]:[T12.2022]])</f>
        <v>6481.6244999999999</v>
      </c>
      <c r="F4" s="8">
        <f>SUM(Data_PL8[[#This Row],[T1.2023]:[T12.2023]])</f>
        <v>13557.320500000002</v>
      </c>
      <c r="G4" s="8">
        <f>SUM(Data_PL8[[#This Row],[T01.2024]:[T12.2024]])</f>
        <v>15932.977999999999</v>
      </c>
      <c r="H4" s="8">
        <f>SUM(Data_PL8[[#This Row],[T01.2025]:[T12.2025]])</f>
        <v>21888.602999999999</v>
      </c>
      <c r="I4" s="8">
        <f>SUM(Data_PL8[[#This Row],[T01.2026]:[T12.2026]])</f>
        <v>7582.15</v>
      </c>
      <c r="J4" s="31">
        <f>SUM('Dai loc:DLam'!J4)</f>
        <v>32</v>
      </c>
      <c r="K4" s="31">
        <f>SUM('Dai loc:DLam'!K4)</f>
        <v>61</v>
      </c>
      <c r="L4" s="31">
        <f>SUM('Dai loc:DLam'!L4)</f>
        <v>92</v>
      </c>
      <c r="M4" s="31">
        <f>SUM('Dai loc:DLam'!M4)</f>
        <v>57</v>
      </c>
      <c r="N4" s="31">
        <f>SUM('Dai loc:DLam'!N4)</f>
        <v>39</v>
      </c>
      <c r="O4" s="31">
        <f>SUM('Dai loc:DLam'!O4)</f>
        <v>24</v>
      </c>
      <c r="P4" s="31">
        <f>SUM('Dai loc:DLam'!P4)</f>
        <v>16</v>
      </c>
      <c r="Q4" s="31">
        <f>SUM('Dai loc:DLam'!Q4)</f>
        <v>0</v>
      </c>
      <c r="R4" s="31">
        <f>SUM('Dai loc:DLam'!R4)</f>
        <v>0</v>
      </c>
      <c r="S4" s="31">
        <f>SUM('Dai loc:DLam'!S4)</f>
        <v>0</v>
      </c>
      <c r="T4" s="31">
        <f>SUM('Dai loc:DLam'!T4)</f>
        <v>0.15609999999999999</v>
      </c>
      <c r="U4" s="31">
        <f>SUM('Dai loc:DLam'!U4)</f>
        <v>96</v>
      </c>
      <c r="V4" s="31">
        <f>SUM('Dai loc:DLam'!V4)</f>
        <v>73.775999999999996</v>
      </c>
      <c r="W4" s="31">
        <f>SUM('Dai loc:DLam'!W4)</f>
        <v>145</v>
      </c>
      <c r="X4" s="31">
        <f>SUM('Dai loc:DLam'!X4)</f>
        <v>215.24299999999999</v>
      </c>
      <c r="Y4" s="31">
        <f>SUM('Dai loc:DLam'!Y4)</f>
        <v>251.21899999999999</v>
      </c>
      <c r="Z4" s="31">
        <f>SUM('Dai loc:DLam'!Z4)</f>
        <v>359.68199999999996</v>
      </c>
      <c r="AA4" s="31">
        <f>SUM('Dai loc:DLam'!AA4)</f>
        <v>400.39100000000002</v>
      </c>
      <c r="AB4" s="31">
        <f>SUM('Dai loc:DLam'!AB4)</f>
        <v>311.19299999999998</v>
      </c>
      <c r="AC4" s="31">
        <f>SUM('Dai loc:DLam'!AC4)</f>
        <v>614.62400000000002</v>
      </c>
      <c r="AD4" s="31">
        <f>SUM('Dai loc:DLam'!AD4)</f>
        <v>617.43700000000001</v>
      </c>
      <c r="AE4" s="31">
        <f>SUM('Dai loc:DLam'!AE4)</f>
        <v>873.24300000000005</v>
      </c>
      <c r="AF4" s="31">
        <f>SUM('Dai loc:DLam'!AF4)</f>
        <v>1119.7015000000001</v>
      </c>
      <c r="AG4" s="31">
        <f>SUM('Dai loc:DLam'!AG4)</f>
        <v>1500.1149999999998</v>
      </c>
      <c r="AH4" s="31">
        <f>SUM('Dai loc:DLam'!AH4)</f>
        <v>571.26200000000006</v>
      </c>
      <c r="AI4" s="31">
        <f>SUM('Dai loc:DLam'!AI4)</f>
        <v>922.93600000000004</v>
      </c>
      <c r="AJ4" s="31">
        <f>SUM('Dai loc:DLam'!AJ4)</f>
        <v>1543.8834999999999</v>
      </c>
      <c r="AK4" s="31">
        <f>SUM('Dai loc:DLam'!AK4)</f>
        <v>1383.7149999999999</v>
      </c>
      <c r="AL4" s="31">
        <f>SUM('Dai loc:DLam'!AL4)</f>
        <v>1244.3119999999999</v>
      </c>
      <c r="AM4" s="31">
        <f>SUM('Dai loc:DLam'!AM4)</f>
        <v>1272.8310000000001</v>
      </c>
      <c r="AN4" s="31">
        <f>SUM('Dai loc:DLam'!AN4)</f>
        <v>1069</v>
      </c>
      <c r="AO4" s="31">
        <f>SUM('Dai loc:DLam'!AO4)</f>
        <v>979</v>
      </c>
      <c r="AP4" s="31">
        <f>SUM('Dai loc:DLam'!AP4)</f>
        <v>821.82999999999993</v>
      </c>
      <c r="AQ4" s="31">
        <f>SUM('Dai loc:DLam'!AQ4)</f>
        <v>1112.7159999999999</v>
      </c>
      <c r="AR4" s="31">
        <f>SUM('Dai loc:DLam'!AR4)</f>
        <v>1118.6555000000001</v>
      </c>
      <c r="AS4" s="31">
        <f>SUM('Dai loc:DLam'!AS4)</f>
        <v>1517.1795</v>
      </c>
      <c r="AT4" s="31">
        <f>SUM('Dai loc:DLam'!AT4)</f>
        <v>1965</v>
      </c>
      <c r="AU4" s="31">
        <f>SUM('Dai loc:DLam'!AU4)</f>
        <v>974</v>
      </c>
      <c r="AV4" s="31">
        <f>SUM('Dai loc:DLam'!AV4)</f>
        <v>1486</v>
      </c>
      <c r="AW4" s="31">
        <f>SUM('Dai loc:DLam'!AW4)</f>
        <v>1234</v>
      </c>
      <c r="AX4" s="31">
        <f>SUM('Dai loc:DLam'!AX4)</f>
        <v>1625.692</v>
      </c>
      <c r="AY4" s="31">
        <f>SUM('Dai loc:DLam'!AY4)</f>
        <v>1651</v>
      </c>
      <c r="AZ4" s="31">
        <f>SUM('Dai loc:DLam'!AZ4)</f>
        <v>1168.9090000000001</v>
      </c>
      <c r="BA4" s="31">
        <f>SUM('Dai loc:DLam'!BA4)</f>
        <v>1153.529</v>
      </c>
      <c r="BB4" s="31">
        <f>SUM('Dai loc:DLam'!BB4)</f>
        <v>1106.07</v>
      </c>
      <c r="BC4" s="31">
        <f>SUM('Dai loc:DLam'!BC4)</f>
        <v>1410.9270000000001</v>
      </c>
      <c r="BD4" s="31">
        <f>SUM('Dai loc:DLam'!BD4)</f>
        <v>1222.6030000000001</v>
      </c>
      <c r="BE4" s="31">
        <f>SUM('Dai loc:DLam'!BE4)</f>
        <v>935.24800000000005</v>
      </c>
      <c r="BF4" s="31">
        <f>SUM('Dai loc:DLam'!BF4)</f>
        <v>714.07600000000002</v>
      </c>
      <c r="BG4" s="31">
        <f>SUM('Dai loc:DLam'!BG4)</f>
        <v>1039.183</v>
      </c>
      <c r="BH4" s="31">
        <f>SUM('Dai loc:DLam'!BH4)</f>
        <v>1722.1559999999999</v>
      </c>
      <c r="BI4" s="31">
        <f>SUM('Dai loc:DLam'!BI4)</f>
        <v>1742.1480000000001</v>
      </c>
      <c r="BJ4" s="31">
        <f>SUM('Dai loc:DLam'!BJ4)</f>
        <v>1805.941</v>
      </c>
      <c r="BK4" s="31">
        <f>SUM('Dai loc:DLam'!BK4)</f>
        <v>2237.91</v>
      </c>
      <c r="BL4" s="31">
        <f>SUM('Dai loc:DLam'!BL4)</f>
        <v>2554.1999999999998</v>
      </c>
      <c r="BM4" s="31">
        <f>SUM('Dai loc:DLam'!BM4)</f>
        <v>2555.732</v>
      </c>
      <c r="BN4" s="31">
        <f>SUM('Dai loc:DLam'!BN4)</f>
        <v>2256.9270000000001</v>
      </c>
      <c r="BO4" s="31">
        <f>SUM('Dai loc:DLam'!BO4)</f>
        <v>2042.192</v>
      </c>
      <c r="BP4" s="31">
        <f>SUM('Dai loc:DLam'!BP4)</f>
        <v>1388.336</v>
      </c>
      <c r="BQ4" s="31">
        <f>SUM('Dai loc:DLam'!BQ4)</f>
        <v>1829.8020000000001</v>
      </c>
      <c r="BR4" s="31">
        <f>SUM('Dai loc:DLam'!BR4)</f>
        <v>1876.8150000000001</v>
      </c>
      <c r="BS4" s="31">
        <f>SUM('Dai loc:DLam'!BS4)</f>
        <v>1310.491</v>
      </c>
      <c r="BT4" s="31">
        <f>SUM('Dai loc:DLam'!BT4)</f>
        <v>2345.0729999999999</v>
      </c>
      <c r="BU4" s="31">
        <f>SUM('Dai loc:DLam'!BU4)</f>
        <v>2049.7709999999997</v>
      </c>
      <c r="BV4" s="31">
        <f>SUM('Dai loc:DLam'!BV4)</f>
        <v>0</v>
      </c>
      <c r="BW4" s="31">
        <f>SUM('Dai loc:DLam'!BW4)</f>
        <v>0</v>
      </c>
      <c r="BX4" s="31">
        <f>SUM('Dai loc:DLam'!BX4)</f>
        <v>0</v>
      </c>
      <c r="BY4" s="31">
        <f>SUM('Dai loc:DLam'!BY4)</f>
        <v>0</v>
      </c>
      <c r="BZ4" s="31">
        <f>SUM('Dai loc:DLam'!BZ4)</f>
        <v>0</v>
      </c>
      <c r="CA4" s="31">
        <f>SUM('Dai loc:DLam'!CA4)</f>
        <v>0</v>
      </c>
      <c r="CB4" s="31">
        <f>SUM('Dai loc:DLam'!CB4)</f>
        <v>0</v>
      </c>
      <c r="CC4" s="31">
        <f>SUM('Dai loc:DLam'!CC4)</f>
        <v>0</v>
      </c>
    </row>
    <row r="5" spans="1:81">
      <c r="A5" s="34">
        <v>2</v>
      </c>
      <c r="B5" s="10" t="s">
        <v>84</v>
      </c>
      <c r="C5" s="35">
        <v>6</v>
      </c>
      <c r="D5" s="35">
        <f>SUM(Data_PL8[[#This Row],[T1.2021]:[T12.2021]])</f>
        <v>4950646304</v>
      </c>
      <c r="E5" s="35">
        <f>SUM(Data_PL8[[#This Row],[T1.2022]:[T12.2022]])</f>
        <v>35845555207</v>
      </c>
      <c r="F5" s="35">
        <f>SUM(Data_PL8[[#This Row],[T1.2023]:[T12.2023]])</f>
        <v>68779491098</v>
      </c>
      <c r="G5" s="35">
        <f>SUM(Data_PL8[[#This Row],[T01.2024]:[T12.2024]])</f>
        <v>124696185425</v>
      </c>
      <c r="H5" s="35">
        <f>SUM(Data_PL8[[#This Row],[T01.2025]:[T12.2025]])</f>
        <v>173927684403</v>
      </c>
      <c r="I5" s="35">
        <f>SUM(Data_PL8[[#This Row],[T01.2026]:[T12.2026]])</f>
        <v>49102336080</v>
      </c>
      <c r="J5" s="11">
        <f>SUM('Dai loc:DLam'!J5)</f>
        <v>312737600</v>
      </c>
      <c r="K5" s="11">
        <f>SUM('Dai loc:DLam'!K5)</f>
        <v>606797380</v>
      </c>
      <c r="L5" s="11">
        <f>SUM('Dai loc:DLam'!L5)</f>
        <v>903716800</v>
      </c>
      <c r="M5" s="11">
        <f>SUM('Dai loc:DLam'!M5)</f>
        <v>952907750</v>
      </c>
      <c r="N5" s="11">
        <f>SUM('Dai loc:DLam'!N5)</f>
        <v>1013081774</v>
      </c>
      <c r="O5" s="11">
        <f>SUM('Dai loc:DLam'!O5)</f>
        <v>337909600</v>
      </c>
      <c r="P5" s="11">
        <f>SUM('Dai loc:DLam'!P5)</f>
        <v>212259000</v>
      </c>
      <c r="Q5" s="11">
        <f>SUM('Dai loc:DLam'!Q5)</f>
        <v>0</v>
      </c>
      <c r="R5" s="11">
        <f>SUM('Dai loc:DLam'!R5)</f>
        <v>0</v>
      </c>
      <c r="S5" s="11">
        <f>SUM('Dai loc:DLam'!S5)</f>
        <v>85659200</v>
      </c>
      <c r="T5" s="11">
        <f>SUM('Dai loc:DLam'!T5)</f>
        <v>525577200</v>
      </c>
      <c r="U5" s="11">
        <v>0</v>
      </c>
      <c r="V5" s="11">
        <v>0</v>
      </c>
      <c r="W5" s="11">
        <v>0</v>
      </c>
      <c r="X5" s="11">
        <v>0</v>
      </c>
      <c r="Y5" s="11">
        <v>867124500</v>
      </c>
      <c r="Z5" s="11">
        <v>1806629000</v>
      </c>
      <c r="AA5" s="11">
        <v>1808611000</v>
      </c>
      <c r="AB5" s="11">
        <v>1898558000</v>
      </c>
      <c r="AC5" s="11">
        <v>3939705500</v>
      </c>
      <c r="AD5" s="11">
        <v>3396159500</v>
      </c>
      <c r="AE5" s="11">
        <v>7207694201</v>
      </c>
      <c r="AF5" s="11">
        <v>5938251216</v>
      </c>
      <c r="AG5" s="11">
        <v>8982822290</v>
      </c>
      <c r="AH5" s="11">
        <v>2253383204</v>
      </c>
      <c r="AI5" s="11">
        <v>4265090683</v>
      </c>
      <c r="AJ5" s="11">
        <v>10639282713</v>
      </c>
      <c r="AK5" s="11">
        <v>6949558981</v>
      </c>
      <c r="AL5" s="11">
        <v>3324235725</v>
      </c>
      <c r="AM5" s="11">
        <v>5636906111</v>
      </c>
      <c r="AN5" s="11">
        <v>3501002041</v>
      </c>
      <c r="AO5" s="11">
        <v>4192925810</v>
      </c>
      <c r="AP5" s="11">
        <v>4197374650</v>
      </c>
      <c r="AQ5" s="11">
        <v>7583193100</v>
      </c>
      <c r="AR5" s="11">
        <v>7831508500</v>
      </c>
      <c r="AS5" s="11">
        <v>8405029580</v>
      </c>
      <c r="AT5" s="11">
        <v>18859106420</v>
      </c>
      <c r="AU5" s="11">
        <v>4569145960</v>
      </c>
      <c r="AV5" s="11">
        <v>9889167500</v>
      </c>
      <c r="AW5" s="11">
        <v>8988544600</v>
      </c>
      <c r="AX5" s="11">
        <v>8396397250</v>
      </c>
      <c r="AY5" s="11">
        <v>13981977600</v>
      </c>
      <c r="AZ5" s="11">
        <v>8695495766</v>
      </c>
      <c r="BA5" s="11">
        <v>9066018899</v>
      </c>
      <c r="BB5" s="11">
        <v>10085358702</v>
      </c>
      <c r="BC5" s="11">
        <v>12770520896</v>
      </c>
      <c r="BD5" s="11">
        <v>10341915406</v>
      </c>
      <c r="BE5" s="11">
        <v>9052536426</v>
      </c>
      <c r="BF5" s="11">
        <v>5422948492</v>
      </c>
      <c r="BG5" s="11">
        <v>8810676928</v>
      </c>
      <c r="BH5" s="11">
        <v>16279256392</v>
      </c>
      <c r="BI5" s="11">
        <v>14772471605</v>
      </c>
      <c r="BJ5" s="11">
        <v>17582066937</v>
      </c>
      <c r="BK5" s="11">
        <v>19496019197</v>
      </c>
      <c r="BL5" s="11">
        <v>21794142714</v>
      </c>
      <c r="BM5" s="11">
        <v>20947068360</v>
      </c>
      <c r="BN5" s="11">
        <v>16624308416</v>
      </c>
      <c r="BO5" s="11">
        <v>14529961948</v>
      </c>
      <c r="BP5" s="11">
        <v>7374095784</v>
      </c>
      <c r="BQ5" s="11">
        <v>10294667630</v>
      </c>
      <c r="BR5" s="11">
        <v>11775760050</v>
      </c>
      <c r="BS5" s="11">
        <v>8275817930</v>
      </c>
      <c r="BT5" s="11">
        <v>14654267870</v>
      </c>
      <c r="BU5" s="11">
        <v>14396490230</v>
      </c>
      <c r="BV5" s="11">
        <f>SUM('Dai loc:DLam'!BV5)</f>
        <v>0</v>
      </c>
      <c r="BW5" s="11">
        <f>SUM('Dai loc:DLam'!BW5)</f>
        <v>0</v>
      </c>
      <c r="BX5" s="11">
        <f>SUM('Dai loc:DLam'!BX5)</f>
        <v>0</v>
      </c>
      <c r="BY5" s="11">
        <f>SUM('Dai loc:DLam'!BY5)</f>
        <v>0</v>
      </c>
      <c r="BZ5" s="11">
        <f>SUM('Dai loc:DLam'!BZ5)</f>
        <v>0</v>
      </c>
      <c r="CA5" s="11">
        <f>SUM('Dai loc:DLam'!CA5)</f>
        <v>0</v>
      </c>
      <c r="CB5" s="11">
        <f>SUM('Dai loc:DLam'!CB5)</f>
        <v>0</v>
      </c>
      <c r="CC5" s="11">
        <f>SUM('Dai loc:DLam'!CC5)</f>
        <v>0</v>
      </c>
    </row>
    <row r="6" spans="1:81">
      <c r="A6" s="36">
        <v>3</v>
      </c>
      <c r="B6" s="13" t="s">
        <v>85</v>
      </c>
      <c r="C6" s="37">
        <v>6</v>
      </c>
      <c r="D6" s="37">
        <f>SUM(Data_PL8[[#This Row],[T1.2021]:[T12.2021]])</f>
        <v>0</v>
      </c>
      <c r="E6" s="37">
        <f>SUM(Data_PL8[[#This Row],[T1.2022]:[T12.2022]])</f>
        <v>0</v>
      </c>
      <c r="F6" s="37">
        <f>SUM(Data_PL8[[#This Row],[T1.2023]:[T12.2023]])</f>
        <v>0</v>
      </c>
      <c r="G6" s="37">
        <f>SUM(Data_PL8[[#This Row],[T01.2024]:[T12.2024]])</f>
        <v>0</v>
      </c>
      <c r="H6" s="37">
        <f>SUM(Data_PL8[[#This Row],[T01.2025]:[T12.2025]])</f>
        <v>0</v>
      </c>
      <c r="I6" s="37">
        <f>SUM(Data_PL8[[#This Row],[T01.2026]:[T12.2026]])</f>
        <v>0</v>
      </c>
      <c r="J6" s="14">
        <f>SUM('Dai loc:DLam'!J6)</f>
        <v>0</v>
      </c>
      <c r="K6" s="14">
        <f>SUM('Dai loc:DLam'!K6)</f>
        <v>0</v>
      </c>
      <c r="L6" s="14">
        <f>SUM('Dai loc:DLam'!L6)</f>
        <v>0</v>
      </c>
      <c r="M6" s="14">
        <f>SUM('Dai loc:DLam'!M6)</f>
        <v>0</v>
      </c>
      <c r="N6" s="14">
        <f>SUM('Dai loc:DLam'!N6)</f>
        <v>0</v>
      </c>
      <c r="O6" s="14">
        <f>SUM('Dai loc:DLam'!O6)</f>
        <v>0</v>
      </c>
      <c r="P6" s="14">
        <f>SUM('Dai loc:DLam'!P6)</f>
        <v>0</v>
      </c>
      <c r="Q6" s="14">
        <f>SUM('Dai loc:DLam'!Q6)</f>
        <v>0</v>
      </c>
      <c r="R6" s="14">
        <f>SUM('Dai loc:DLam'!R6)</f>
        <v>0</v>
      </c>
      <c r="S6" s="14">
        <f>SUM('Dai loc:DLam'!S6)</f>
        <v>0</v>
      </c>
      <c r="T6" s="14">
        <f>SUM('Dai loc:DLam'!T6)</f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38">
        <v>0</v>
      </c>
      <c r="AX6" s="38">
        <v>0</v>
      </c>
      <c r="AY6" s="38">
        <v>0</v>
      </c>
      <c r="AZ6" s="38">
        <v>0</v>
      </c>
      <c r="BA6" s="38">
        <v>0</v>
      </c>
      <c r="BB6" s="38">
        <v>0</v>
      </c>
      <c r="BC6" s="38">
        <v>0</v>
      </c>
      <c r="BD6" s="38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  <c r="BP6" s="39">
        <v>0</v>
      </c>
      <c r="BQ6" s="39">
        <v>0</v>
      </c>
      <c r="BR6" s="39"/>
      <c r="BS6" s="39">
        <v>0</v>
      </c>
      <c r="BT6" s="39"/>
      <c r="BU6" s="39"/>
      <c r="BV6" s="39">
        <f>SUM('Dai loc:DLam'!BV6)</f>
        <v>0</v>
      </c>
      <c r="BW6" s="39">
        <f>SUM('Dai loc:DLam'!BW6)</f>
        <v>0</v>
      </c>
      <c r="BX6" s="39">
        <f>SUM('Dai loc:DLam'!BX6)</f>
        <v>0</v>
      </c>
      <c r="BY6" s="39">
        <f>SUM('Dai loc:DLam'!BY6)</f>
        <v>0</v>
      </c>
      <c r="BZ6" s="39">
        <f>SUM('Dai loc:DLam'!BZ6)</f>
        <v>0</v>
      </c>
      <c r="CA6" s="39">
        <f>SUM('Dai loc:DLam'!CA6)</f>
        <v>0</v>
      </c>
      <c r="CB6" s="39">
        <f>SUM('Dai loc:DLam'!CB6)</f>
        <v>0</v>
      </c>
      <c r="CC6" s="39">
        <f>SUM('Dai loc:DLam'!CC6)</f>
        <v>0</v>
      </c>
    </row>
    <row r="7" spans="1:81">
      <c r="A7" s="40">
        <v>4</v>
      </c>
      <c r="B7" s="10" t="s">
        <v>86</v>
      </c>
      <c r="C7" s="41">
        <v>6</v>
      </c>
      <c r="D7" s="41">
        <f>SUM(Data_PL8[[#This Row],[T1.2021]:[T12.2021]])</f>
        <v>4950646304</v>
      </c>
      <c r="E7" s="41">
        <f>SUM(Data_PL8[[#This Row],[T1.2022]:[T12.2022]])</f>
        <v>35845555207</v>
      </c>
      <c r="F7" s="41">
        <f>SUM(Data_PL8[[#This Row],[T1.2023]:[T12.2023]])</f>
        <v>68779491098</v>
      </c>
      <c r="G7" s="41">
        <f>SUM(Data_PL8[[#This Row],[T01.2024]:[T12.2024]])</f>
        <v>124696185425</v>
      </c>
      <c r="H7" s="41">
        <f>SUM(Data_PL8[[#This Row],[T01.2025]:[T12.2025]])</f>
        <v>173927684403</v>
      </c>
      <c r="I7" s="41">
        <f>SUM(Data_PL8[[#This Row],[T01.2026]:[T12.2026]])</f>
        <v>49102336080</v>
      </c>
      <c r="J7" s="16">
        <f>SUM('Dai loc:DLam'!J7)</f>
        <v>312737600</v>
      </c>
      <c r="K7" s="16">
        <f>SUM('Dai loc:DLam'!K7)</f>
        <v>606797380</v>
      </c>
      <c r="L7" s="16">
        <f>SUM('Dai loc:DLam'!L7)</f>
        <v>903716800</v>
      </c>
      <c r="M7" s="16">
        <f>SUM('Dai loc:DLam'!M7)</f>
        <v>952907750</v>
      </c>
      <c r="N7" s="16">
        <f>SUM('Dai loc:DLam'!N7)</f>
        <v>1013081774</v>
      </c>
      <c r="O7" s="16">
        <f>SUM('Dai loc:DLam'!O7)</f>
        <v>337909600</v>
      </c>
      <c r="P7" s="16">
        <f>SUM('Dai loc:DLam'!P7)</f>
        <v>212259000</v>
      </c>
      <c r="Q7" s="16">
        <f>SUM('Dai loc:DLam'!Q7)</f>
        <v>0</v>
      </c>
      <c r="R7" s="16">
        <f>SUM('Dai loc:DLam'!R7)</f>
        <v>0</v>
      </c>
      <c r="S7" s="16">
        <f>SUM('Dai loc:DLam'!S7)</f>
        <v>85659200</v>
      </c>
      <c r="T7" s="16">
        <f>SUM('Dai loc:DLam'!T7)</f>
        <v>525577200</v>
      </c>
      <c r="U7" s="16">
        <v>0</v>
      </c>
      <c r="V7" s="16">
        <v>0</v>
      </c>
      <c r="W7" s="16">
        <v>0</v>
      </c>
      <c r="X7" s="16">
        <v>0</v>
      </c>
      <c r="Y7" s="16">
        <v>867124500</v>
      </c>
      <c r="Z7" s="16">
        <v>1806629000</v>
      </c>
      <c r="AA7" s="16">
        <v>1808611000</v>
      </c>
      <c r="AB7" s="16">
        <v>1898558000</v>
      </c>
      <c r="AC7" s="16">
        <v>3939705500</v>
      </c>
      <c r="AD7" s="16">
        <v>3396159500</v>
      </c>
      <c r="AE7" s="16">
        <v>7207694201</v>
      </c>
      <c r="AF7" s="16">
        <v>5938251216</v>
      </c>
      <c r="AG7" s="16">
        <v>8982822290</v>
      </c>
      <c r="AH7" s="16">
        <v>2253383204</v>
      </c>
      <c r="AI7" s="16">
        <v>4265090683</v>
      </c>
      <c r="AJ7" s="16">
        <v>10639282713</v>
      </c>
      <c r="AK7" s="16">
        <v>6949558981</v>
      </c>
      <c r="AL7" s="16">
        <v>3324235725</v>
      </c>
      <c r="AM7" s="16">
        <v>5636906111</v>
      </c>
      <c r="AN7" s="16">
        <v>3501002041</v>
      </c>
      <c r="AO7" s="16">
        <v>4192925810</v>
      </c>
      <c r="AP7" s="16">
        <v>4197374650</v>
      </c>
      <c r="AQ7" s="16">
        <v>7583193100</v>
      </c>
      <c r="AR7" s="16">
        <v>7831508500</v>
      </c>
      <c r="AS7" s="16">
        <v>8405029580</v>
      </c>
      <c r="AT7" s="16">
        <v>18859106420</v>
      </c>
      <c r="AU7" s="16">
        <v>4569145960</v>
      </c>
      <c r="AV7" s="16">
        <v>9889167500</v>
      </c>
      <c r="AW7" s="16">
        <v>8988544600</v>
      </c>
      <c r="AX7" s="16">
        <v>8396397250</v>
      </c>
      <c r="AY7" s="16">
        <v>13981977600</v>
      </c>
      <c r="AZ7" s="16">
        <v>8695495766</v>
      </c>
      <c r="BA7" s="16">
        <v>9066018899</v>
      </c>
      <c r="BB7" s="16">
        <v>10085358702</v>
      </c>
      <c r="BC7" s="16">
        <v>12770520896</v>
      </c>
      <c r="BD7" s="16">
        <v>10341915406</v>
      </c>
      <c r="BE7" s="42">
        <v>9052536426</v>
      </c>
      <c r="BF7" s="42">
        <v>5422948492</v>
      </c>
      <c r="BG7" s="42">
        <v>8810676928</v>
      </c>
      <c r="BH7" s="42">
        <v>16279256392</v>
      </c>
      <c r="BI7" s="42">
        <v>14772471605</v>
      </c>
      <c r="BJ7" s="42">
        <v>17582066937</v>
      </c>
      <c r="BK7" s="42">
        <v>19496019197</v>
      </c>
      <c r="BL7" s="42">
        <v>21794142714</v>
      </c>
      <c r="BM7" s="42">
        <v>20947068360</v>
      </c>
      <c r="BN7" s="42">
        <v>16624308416</v>
      </c>
      <c r="BO7" s="42">
        <v>14529961948</v>
      </c>
      <c r="BP7" s="42">
        <v>7374095784</v>
      </c>
      <c r="BQ7" s="42">
        <v>10294667630</v>
      </c>
      <c r="BR7" s="42">
        <v>11775760050</v>
      </c>
      <c r="BS7" s="42">
        <v>8275817930</v>
      </c>
      <c r="BT7" s="42">
        <v>14654267870</v>
      </c>
      <c r="BU7" s="42">
        <v>14396490230</v>
      </c>
      <c r="BV7" s="42">
        <f>SUM('Dai loc:DLam'!BV7)</f>
        <v>0</v>
      </c>
      <c r="BW7" s="42">
        <f>SUM('Dai loc:DLam'!BW7)</f>
        <v>0</v>
      </c>
      <c r="BX7" s="42">
        <f>SUM('Dai loc:DLam'!BX7)</f>
        <v>0</v>
      </c>
      <c r="BY7" s="42">
        <f>SUM('Dai loc:DLam'!BY7)</f>
        <v>0</v>
      </c>
      <c r="BZ7" s="42">
        <f>SUM('Dai loc:DLam'!BZ7)</f>
        <v>0</v>
      </c>
      <c r="CA7" s="42">
        <f>SUM('Dai loc:DLam'!CA7)</f>
        <v>0</v>
      </c>
      <c r="CB7" s="42">
        <f>SUM('Dai loc:DLam'!CB7)</f>
        <v>0</v>
      </c>
      <c r="CC7" s="42">
        <f>SUM('Dai loc:DLam'!CC7)</f>
        <v>0</v>
      </c>
    </row>
    <row r="8" spans="1:81" ht="15.5">
      <c r="A8" s="36">
        <v>5</v>
      </c>
      <c r="B8" s="13" t="s">
        <v>87</v>
      </c>
      <c r="C8" s="43">
        <v>6</v>
      </c>
      <c r="D8" s="37">
        <f>SUM(Data_PL8[[#This Row],[T1.2021]:[T12.2021]])</f>
        <v>4704715542</v>
      </c>
      <c r="E8" s="37">
        <f>SUM(Data_PL8[[#This Row],[T1.2022]:[T12.2022]])</f>
        <v>38057133750</v>
      </c>
      <c r="F8" s="37">
        <f>SUM(Data_PL8[[#This Row],[T1.2023]:[T12.2023]])</f>
        <v>83388707818</v>
      </c>
      <c r="G8" s="37">
        <f>SUM(Data_PL8[[#This Row],[T01.2024]:[T12.2024]])</f>
        <v>130705402599</v>
      </c>
      <c r="H8" s="37">
        <f>SUM(Data_PL8[[#This Row],[T01.2025]:[T12.2025]])</f>
        <v>173615125606</v>
      </c>
      <c r="I8" s="37">
        <f>SUM(Data_PL8[[#This Row],[T01.2026]:[T12.2026]])</f>
        <v>46648691386</v>
      </c>
      <c r="J8" s="14">
        <f>SUM('Dai loc:DLam'!J8)</f>
        <v>307386576</v>
      </c>
      <c r="K8" s="14">
        <f>SUM('Dai loc:DLam'!K8)</f>
        <v>594551595</v>
      </c>
      <c r="L8" s="14">
        <f>SUM('Dai loc:DLam'!L8)</f>
        <v>883311950</v>
      </c>
      <c r="M8" s="14">
        <f>SUM('Dai loc:DLam'!M8)</f>
        <v>901147615</v>
      </c>
      <c r="N8" s="14">
        <f>SUM('Dai loc:DLam'!N8)</f>
        <v>969467230</v>
      </c>
      <c r="O8" s="14">
        <f>SUM('Dai loc:DLam'!O8)</f>
        <v>308655184</v>
      </c>
      <c r="P8" s="14">
        <f>SUM('Dai loc:DLam'!P8)</f>
        <v>190295081</v>
      </c>
      <c r="Q8" s="14">
        <f>SUM('Dai loc:DLam'!Q8)</f>
        <v>0</v>
      </c>
      <c r="R8" s="14">
        <f>SUM('Dai loc:DLam'!R8)</f>
        <v>0</v>
      </c>
      <c r="S8" s="14">
        <f>SUM('Dai loc:DLam'!S8)</f>
        <v>84649200</v>
      </c>
      <c r="T8" s="14">
        <f>SUM('Dai loc:DLam'!T8)</f>
        <v>465251111</v>
      </c>
      <c r="U8" s="14">
        <v>0</v>
      </c>
      <c r="V8" s="14">
        <v>0</v>
      </c>
      <c r="W8" s="14">
        <v>0</v>
      </c>
      <c r="X8" s="14">
        <v>0</v>
      </c>
      <c r="Y8" s="14">
        <v>1043158263</v>
      </c>
      <c r="Z8" s="14">
        <v>2018502531</v>
      </c>
      <c r="AA8" s="14">
        <v>3246780250</v>
      </c>
      <c r="AB8" s="14">
        <v>2460816541</v>
      </c>
      <c r="AC8" s="14">
        <v>3098316370</v>
      </c>
      <c r="AD8" s="14">
        <v>3349405980</v>
      </c>
      <c r="AE8" s="14">
        <v>7265678210</v>
      </c>
      <c r="AF8" s="14">
        <v>6705345773</v>
      </c>
      <c r="AG8" s="14">
        <v>8869129832</v>
      </c>
      <c r="AH8" s="14">
        <v>3240340811</v>
      </c>
      <c r="AI8" s="14">
        <v>5619697963</v>
      </c>
      <c r="AJ8" s="14">
        <v>13421808004</v>
      </c>
      <c r="AK8" s="14">
        <v>9317382917</v>
      </c>
      <c r="AL8" s="14">
        <v>5227287464</v>
      </c>
      <c r="AM8" s="14">
        <v>7363604310</v>
      </c>
      <c r="AN8" s="14">
        <v>5177182851</v>
      </c>
      <c r="AO8" s="14">
        <v>5105270549</v>
      </c>
      <c r="AP8" s="14">
        <v>4755249704</v>
      </c>
      <c r="AQ8" s="14">
        <v>7896150860</v>
      </c>
      <c r="AR8" s="14">
        <v>9903541557</v>
      </c>
      <c r="AS8" s="14">
        <v>6361190828</v>
      </c>
      <c r="AT8" s="18">
        <v>19303813750</v>
      </c>
      <c r="AU8" s="14">
        <v>5445357498</v>
      </c>
      <c r="AV8" s="14">
        <v>9525099975</v>
      </c>
      <c r="AW8" s="44">
        <v>9177542757</v>
      </c>
      <c r="AX8" s="44">
        <v>9252785278</v>
      </c>
      <c r="AY8" s="44">
        <v>15202791010</v>
      </c>
      <c r="AZ8" s="44">
        <v>9266546963</v>
      </c>
      <c r="BA8" s="44">
        <v>9640445579</v>
      </c>
      <c r="BB8" s="44">
        <v>10348331156</v>
      </c>
      <c r="BC8" s="44">
        <v>12802871939</v>
      </c>
      <c r="BD8" s="45">
        <v>11067427637</v>
      </c>
      <c r="BE8" s="44">
        <v>9672389057</v>
      </c>
      <c r="BF8" s="44">
        <v>6459461109</v>
      </c>
      <c r="BG8" s="44">
        <v>9788053505</v>
      </c>
      <c r="BH8" s="44">
        <v>16279720003</v>
      </c>
      <c r="BI8" s="44">
        <v>15135281409</v>
      </c>
      <c r="BJ8" s="44">
        <v>16857467163</v>
      </c>
      <c r="BK8" s="44">
        <v>19925736275</v>
      </c>
      <c r="BL8" s="44">
        <v>20517811328</v>
      </c>
      <c r="BM8" s="44">
        <v>19931952590</v>
      </c>
      <c r="BN8" s="44">
        <v>16609887050</v>
      </c>
      <c r="BO8" s="44">
        <v>14135481149</v>
      </c>
      <c r="BP8" s="44">
        <v>7795260584</v>
      </c>
      <c r="BQ8" s="44">
        <v>10179013441</v>
      </c>
      <c r="BR8" s="44">
        <v>11302623439</v>
      </c>
      <c r="BS8" s="44">
        <v>8036742611</v>
      </c>
      <c r="BT8" s="44">
        <v>13652461082</v>
      </c>
      <c r="BU8" s="44">
        <v>13656864254</v>
      </c>
      <c r="BV8" s="44">
        <f>SUM('Dai loc:DLam'!BV8)</f>
        <v>0</v>
      </c>
      <c r="BW8" s="44">
        <f>SUM('Dai loc:DLam'!BW8)</f>
        <v>0</v>
      </c>
      <c r="BX8" s="44">
        <f>SUM('Dai loc:DLam'!BX8)</f>
        <v>0</v>
      </c>
      <c r="BY8" s="44">
        <f>SUM('Dai loc:DLam'!BY8)</f>
        <v>0</v>
      </c>
      <c r="BZ8" s="44">
        <f>SUM('Dai loc:DLam'!BZ8)</f>
        <v>0</v>
      </c>
      <c r="CA8" s="44">
        <f>SUM('Dai loc:DLam'!CA8)</f>
        <v>0</v>
      </c>
      <c r="CB8" s="44">
        <f>SUM('Dai loc:DLam'!CB8)</f>
        <v>0</v>
      </c>
      <c r="CC8" s="44">
        <f>SUM('Dai loc:DLam'!CC8)</f>
        <v>0</v>
      </c>
    </row>
    <row r="9" spans="1:81">
      <c r="A9" s="46">
        <v>6</v>
      </c>
      <c r="B9" s="10" t="s">
        <v>88</v>
      </c>
      <c r="C9" s="47">
        <v>6</v>
      </c>
      <c r="D9" s="47">
        <f>SUM(Data_PL8[[#This Row],[T1.2021]:[T12.2021]])</f>
        <v>245930762</v>
      </c>
      <c r="E9" s="47">
        <f>SUM(Data_PL8[[#This Row],[T1.2022]:[T12.2022]])</f>
        <v>-2211578543</v>
      </c>
      <c r="F9" s="47">
        <f>SUM(Data_PL8[[#This Row],[T1.2023]:[T12.2023]])</f>
        <v>-14609216720</v>
      </c>
      <c r="G9" s="47">
        <f>SUM(Data_PL8[[#This Row],[T01.2024]:[T12.2024]])</f>
        <v>-6009217174</v>
      </c>
      <c r="H9" s="47">
        <f>SUM(Data_PL8[[#This Row],[T01.2025]:[T12.2025]])</f>
        <v>312558797</v>
      </c>
      <c r="I9" s="47">
        <f>SUM(Data_PL8[[#This Row],[T01.2026]:[T12.2026]])</f>
        <v>2453644694</v>
      </c>
      <c r="J9" s="20">
        <f>SUM('Dai loc:DLam'!J9)</f>
        <v>5351024</v>
      </c>
      <c r="K9" s="20">
        <f>SUM('Dai loc:DLam'!K9)</f>
        <v>12245785</v>
      </c>
      <c r="L9" s="20">
        <f>SUM('Dai loc:DLam'!L9)</f>
        <v>20404850</v>
      </c>
      <c r="M9" s="20">
        <f>SUM('Dai loc:DLam'!M9)</f>
        <v>51760135</v>
      </c>
      <c r="N9" s="20">
        <f>SUM('Dai loc:DLam'!N9)</f>
        <v>43614544</v>
      </c>
      <c r="O9" s="20">
        <f>SUM('Dai loc:DLam'!O9)</f>
        <v>29254416</v>
      </c>
      <c r="P9" s="20">
        <f>SUM('Dai loc:DLam'!P9)</f>
        <v>21963919</v>
      </c>
      <c r="Q9" s="20">
        <f>SUM('Dai loc:DLam'!Q9)</f>
        <v>0</v>
      </c>
      <c r="R9" s="20">
        <f>SUM('Dai loc:DLam'!R9)</f>
        <v>0</v>
      </c>
      <c r="S9" s="20">
        <f>SUM('Dai loc:DLam'!S9)</f>
        <v>1010000</v>
      </c>
      <c r="T9" s="20">
        <f>SUM('Dai loc:DLam'!T9)</f>
        <v>60326089</v>
      </c>
      <c r="U9" s="20">
        <v>0</v>
      </c>
      <c r="V9" s="20">
        <v>0</v>
      </c>
      <c r="W9" s="20">
        <v>0</v>
      </c>
      <c r="X9" s="20">
        <v>0</v>
      </c>
      <c r="Y9" s="20">
        <v>-176033763</v>
      </c>
      <c r="Z9" s="20">
        <v>-211873531</v>
      </c>
      <c r="AA9" s="20">
        <v>-1438169250</v>
      </c>
      <c r="AB9" s="20">
        <v>-562258541</v>
      </c>
      <c r="AC9" s="20">
        <v>841389130</v>
      </c>
      <c r="AD9" s="20">
        <v>46753520</v>
      </c>
      <c r="AE9" s="20">
        <v>-57984009</v>
      </c>
      <c r="AF9" s="20">
        <v>-767094557</v>
      </c>
      <c r="AG9" s="20">
        <v>113692458</v>
      </c>
      <c r="AH9" s="20">
        <v>-986957607</v>
      </c>
      <c r="AI9" s="20">
        <v>-1354607280</v>
      </c>
      <c r="AJ9" s="20">
        <v>-2782525291</v>
      </c>
      <c r="AK9" s="20">
        <v>-2367823936</v>
      </c>
      <c r="AL9" s="20">
        <v>-1903051739</v>
      </c>
      <c r="AM9" s="20">
        <v>-1726698199</v>
      </c>
      <c r="AN9" s="20">
        <v>-1676180810</v>
      </c>
      <c r="AO9" s="20">
        <v>-912344739</v>
      </c>
      <c r="AP9" s="20">
        <v>-557875054</v>
      </c>
      <c r="AQ9" s="20">
        <v>-312957760</v>
      </c>
      <c r="AR9" s="20">
        <v>-2072033057</v>
      </c>
      <c r="AS9" s="20">
        <v>2043838752</v>
      </c>
      <c r="AT9" s="20">
        <v>-444707330</v>
      </c>
      <c r="AU9" s="20">
        <v>-876211538</v>
      </c>
      <c r="AV9" s="20">
        <v>364067525</v>
      </c>
      <c r="AW9" s="20">
        <v>-188998157</v>
      </c>
      <c r="AX9" s="20">
        <v>-856388028</v>
      </c>
      <c r="AY9" s="20">
        <v>-1220813410</v>
      </c>
      <c r="AZ9" s="20">
        <v>-571051197</v>
      </c>
      <c r="BA9" s="20">
        <v>-574426680</v>
      </c>
      <c r="BB9" s="20">
        <v>-262972454</v>
      </c>
      <c r="BC9" s="20">
        <v>-32351043</v>
      </c>
      <c r="BD9" s="20">
        <v>-725512231</v>
      </c>
      <c r="BE9" s="20">
        <v>-619852631</v>
      </c>
      <c r="BF9" s="20">
        <v>-1036512617</v>
      </c>
      <c r="BG9" s="20">
        <v>-977376577</v>
      </c>
      <c r="BH9" s="20">
        <v>-463611</v>
      </c>
      <c r="BI9" s="20">
        <v>-362809804</v>
      </c>
      <c r="BJ9" s="20">
        <v>724599774</v>
      </c>
      <c r="BK9" s="20">
        <v>-429717078</v>
      </c>
      <c r="BL9" s="20">
        <v>1276331386</v>
      </c>
      <c r="BM9" s="20">
        <v>1015115770</v>
      </c>
      <c r="BN9" s="20">
        <v>14421366</v>
      </c>
      <c r="BO9" s="20">
        <v>394480799</v>
      </c>
      <c r="BP9" s="20">
        <v>-421164800</v>
      </c>
      <c r="BQ9" s="20">
        <v>115654189</v>
      </c>
      <c r="BR9" s="20">
        <v>473136611</v>
      </c>
      <c r="BS9" s="20">
        <v>239075319</v>
      </c>
      <c r="BT9" s="20">
        <v>1001806788</v>
      </c>
      <c r="BU9" s="20">
        <v>739625976</v>
      </c>
      <c r="BV9" s="20">
        <f>SUM('Dai loc:DLam'!BV9)</f>
        <v>0</v>
      </c>
      <c r="BW9" s="20">
        <f>SUM('Dai loc:DLam'!BW9)</f>
        <v>0</v>
      </c>
      <c r="BX9" s="20">
        <f>SUM('Dai loc:DLam'!BX9)</f>
        <v>0</v>
      </c>
      <c r="BY9" s="20">
        <f>SUM('Dai loc:DLam'!BY9)</f>
        <v>0</v>
      </c>
      <c r="BZ9" s="20">
        <f>SUM('Dai loc:DLam'!BZ9)</f>
        <v>0</v>
      </c>
      <c r="CA9" s="20">
        <f>SUM('Dai loc:DLam'!CA9)</f>
        <v>0</v>
      </c>
      <c r="CB9" s="20">
        <f>SUM('Dai loc:DLam'!CB9)</f>
        <v>0</v>
      </c>
      <c r="CC9" s="20">
        <f>SUM('Dai loc:DLam'!CC9)</f>
        <v>0</v>
      </c>
    </row>
    <row r="10" spans="1:81">
      <c r="A10" s="46">
        <v>7</v>
      </c>
      <c r="B10" s="10" t="s">
        <v>89</v>
      </c>
      <c r="C10" s="47">
        <v>6</v>
      </c>
      <c r="D10" s="47">
        <f>SUM(Data_PL8[[#This Row],[T1.2021]:[T12.2021]])</f>
        <v>0</v>
      </c>
      <c r="E10" s="47">
        <f>SUM(Data_PL8[[#This Row],[T1.2022]:[T12.2022]])</f>
        <v>0</v>
      </c>
      <c r="F10" s="47">
        <f>SUM(Data_PL8[[#This Row],[T1.2023]:[T12.2023]])</f>
        <v>0</v>
      </c>
      <c r="G10" s="47">
        <f>SUM(Data_PL8[[#This Row],[T01.2024]:[T12.2024]])</f>
        <v>0</v>
      </c>
      <c r="H10" s="47">
        <f>SUM(Data_PL8[[#This Row],[T01.2025]:[T12.2025]])</f>
        <v>0</v>
      </c>
      <c r="I10" s="47">
        <f>SUM(Data_PL8[[#This Row],[T01.2026]:[T12.2026]])</f>
        <v>0</v>
      </c>
      <c r="J10" s="20">
        <f>SUM('Dai loc:DLam'!J10)</f>
        <v>0</v>
      </c>
      <c r="K10" s="20">
        <f>SUM('Dai loc:DLam'!K10)</f>
        <v>0</v>
      </c>
      <c r="L10" s="20">
        <f>SUM('Dai loc:DLam'!L10)</f>
        <v>0</v>
      </c>
      <c r="M10" s="20">
        <f>SUM('Dai loc:DLam'!M10)</f>
        <v>0</v>
      </c>
      <c r="N10" s="20">
        <f>SUM('Dai loc:DLam'!N10)</f>
        <v>0</v>
      </c>
      <c r="O10" s="20">
        <f>SUM('Dai loc:DLam'!O10)</f>
        <v>0</v>
      </c>
      <c r="P10" s="20">
        <f>SUM('Dai loc:DLam'!P10)</f>
        <v>0</v>
      </c>
      <c r="Q10" s="20">
        <f>SUM('Dai loc:DLam'!Q10)</f>
        <v>0</v>
      </c>
      <c r="R10" s="20">
        <f>SUM('Dai loc:DLam'!R10)</f>
        <v>0</v>
      </c>
      <c r="S10" s="20">
        <f>SUM('Dai loc:DLam'!S10)</f>
        <v>0</v>
      </c>
      <c r="T10" s="20">
        <f>SUM('Dai loc:DLam'!T10)</f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>
        <f>SUM('Dai loc:DLam'!BV10)</f>
        <v>0</v>
      </c>
      <c r="BW10" s="20">
        <f>SUM('Dai loc:DLam'!BW10)</f>
        <v>0</v>
      </c>
      <c r="BX10" s="20">
        <f>SUM('Dai loc:DLam'!BX10)</f>
        <v>0</v>
      </c>
      <c r="BY10" s="20">
        <f>SUM('Dai loc:DLam'!BY10)</f>
        <v>0</v>
      </c>
      <c r="BZ10" s="20">
        <f>SUM('Dai loc:DLam'!BZ10)</f>
        <v>0</v>
      </c>
      <c r="CA10" s="20">
        <f>SUM('Dai loc:DLam'!CA10)</f>
        <v>0</v>
      </c>
      <c r="CB10" s="20">
        <f>SUM('Dai loc:DLam'!CB10)</f>
        <v>0</v>
      </c>
      <c r="CC10" s="20">
        <f>SUM('Dai loc:DLam'!CC10)</f>
        <v>0</v>
      </c>
    </row>
    <row r="11" spans="1:81">
      <c r="A11" s="36">
        <v>8</v>
      </c>
      <c r="B11" s="13" t="s">
        <v>90</v>
      </c>
      <c r="C11" s="37">
        <v>6</v>
      </c>
      <c r="D11" s="37">
        <f>SUM(Data_PL8[[#This Row],[T1.2021]:[T12.2021]])</f>
        <v>2530404</v>
      </c>
      <c r="E11" s="37">
        <f>SUM(Data_PL8[[#This Row],[T1.2022]:[T12.2022]])</f>
        <v>2185937</v>
      </c>
      <c r="F11" s="37">
        <f>SUM(Data_PL8[[#This Row],[T1.2023]:[T12.2023]])</f>
        <v>18611706</v>
      </c>
      <c r="G11" s="37">
        <f>SUM(Data_PL8[[#This Row],[T01.2024]:[T12.2024]])</f>
        <v>9933782</v>
      </c>
      <c r="H11" s="37">
        <f>SUM(Data_PL8[[#This Row],[T01.2025]:[T12.2025]])</f>
        <v>30416253</v>
      </c>
      <c r="I11" s="37">
        <f>SUM(Data_PL8[[#This Row],[T01.2026]:[T12.2026]])</f>
        <v>64439</v>
      </c>
      <c r="J11" s="14">
        <f>SUM('Dai loc:DLam'!J11)</f>
        <v>425596</v>
      </c>
      <c r="K11" s="14">
        <f>SUM('Dai loc:DLam'!K11)</f>
        <v>377488</v>
      </c>
      <c r="L11" s="14">
        <f>SUM('Dai loc:DLam'!L11)</f>
        <v>298250</v>
      </c>
      <c r="M11" s="14">
        <f>SUM('Dai loc:DLam'!M11)</f>
        <v>236564</v>
      </c>
      <c r="N11" s="14">
        <f>SUM('Dai loc:DLam'!N11)</f>
        <v>145459</v>
      </c>
      <c r="O11" s="14">
        <f>SUM('Dai loc:DLam'!O11)</f>
        <v>106755</v>
      </c>
      <c r="P11" s="14">
        <f>SUM('Dai loc:DLam'!P11)</f>
        <v>45345</v>
      </c>
      <c r="Q11" s="14">
        <f>SUM('Dai loc:DLam'!Q11)</f>
        <v>186733</v>
      </c>
      <c r="R11" s="14">
        <f>SUM('Dai loc:DLam'!R11)</f>
        <v>212109</v>
      </c>
      <c r="S11" s="14">
        <f>SUM('Dai loc:DLam'!S11)</f>
        <v>74497</v>
      </c>
      <c r="T11" s="14">
        <f>SUM('Dai loc:DLam'!T11)</f>
        <v>421608</v>
      </c>
      <c r="U11" s="14">
        <v>0</v>
      </c>
      <c r="V11" s="14">
        <v>193525</v>
      </c>
      <c r="W11" s="14">
        <v>41776</v>
      </c>
      <c r="X11" s="14">
        <v>63253</v>
      </c>
      <c r="Y11" s="14">
        <v>253599</v>
      </c>
      <c r="Z11" s="14">
        <v>146252</v>
      </c>
      <c r="AA11" s="14">
        <v>130471</v>
      </c>
      <c r="AB11" s="14">
        <v>87564</v>
      </c>
      <c r="AC11" s="14">
        <v>97977</v>
      </c>
      <c r="AD11" s="14">
        <v>59406</v>
      </c>
      <c r="AE11" s="14">
        <v>19128</v>
      </c>
      <c r="AF11" s="14">
        <v>237530</v>
      </c>
      <c r="AG11" s="14">
        <v>855456</v>
      </c>
      <c r="AH11" s="14">
        <v>1538411</v>
      </c>
      <c r="AI11" s="14">
        <v>490186</v>
      </c>
      <c r="AJ11" s="14">
        <v>416617</v>
      </c>
      <c r="AK11" s="14">
        <v>153598</v>
      </c>
      <c r="AL11" s="14">
        <v>175725</v>
      </c>
      <c r="AM11" s="14">
        <v>42514</v>
      </c>
      <c r="AN11" s="14">
        <v>78830</v>
      </c>
      <c r="AO11" s="14">
        <v>214369</v>
      </c>
      <c r="AP11" s="14">
        <v>78036</v>
      </c>
      <c r="AQ11" s="14">
        <v>43303</v>
      </c>
      <c r="AR11" s="14">
        <v>15370732</v>
      </c>
      <c r="AS11" s="14">
        <v>9385</v>
      </c>
      <c r="AT11" s="14">
        <v>12211</v>
      </c>
      <c r="AU11" s="14">
        <v>25165</v>
      </c>
      <c r="AV11" s="14">
        <v>19778</v>
      </c>
      <c r="AW11" s="38">
        <v>32521</v>
      </c>
      <c r="AX11" s="38">
        <v>24020</v>
      </c>
      <c r="AY11" s="38">
        <v>16492</v>
      </c>
      <c r="AZ11" s="38">
        <v>11977</v>
      </c>
      <c r="BA11" s="38">
        <v>14708</v>
      </c>
      <c r="BB11" s="38">
        <v>4723</v>
      </c>
      <c r="BC11" s="38">
        <v>16840</v>
      </c>
      <c r="BD11" s="38">
        <v>9746260</v>
      </c>
      <c r="BE11" s="39">
        <v>9087</v>
      </c>
      <c r="BF11" s="39">
        <v>15622</v>
      </c>
      <c r="BG11" s="39">
        <v>11487</v>
      </c>
      <c r="BH11" s="39">
        <v>8067</v>
      </c>
      <c r="BI11" s="39">
        <v>20954</v>
      </c>
      <c r="BJ11" s="39">
        <v>11723</v>
      </c>
      <c r="BK11" s="39">
        <v>8134</v>
      </c>
      <c r="BL11" s="39">
        <v>14534</v>
      </c>
      <c r="BM11" s="39">
        <v>10653</v>
      </c>
      <c r="BN11" s="39">
        <v>24933</v>
      </c>
      <c r="BO11" s="39">
        <v>46896</v>
      </c>
      <c r="BP11" s="39">
        <v>22423098</v>
      </c>
      <c r="BQ11" s="39">
        <v>7820152</v>
      </c>
      <c r="BR11" s="39">
        <v>10853</v>
      </c>
      <c r="BS11" s="39">
        <v>7889</v>
      </c>
      <c r="BT11" s="39">
        <v>4769</v>
      </c>
      <c r="BU11" s="39">
        <v>40928</v>
      </c>
      <c r="BV11" s="39">
        <f>SUM('Dai loc:DLam'!BV11)</f>
        <v>0</v>
      </c>
      <c r="BW11" s="39">
        <f>SUM('Dai loc:DLam'!BW11)</f>
        <v>0</v>
      </c>
      <c r="BX11" s="39">
        <f>SUM('Dai loc:DLam'!BX11)</f>
        <v>0</v>
      </c>
      <c r="BY11" s="39">
        <f>SUM('Dai loc:DLam'!BY11)</f>
        <v>0</v>
      </c>
      <c r="BZ11" s="39">
        <f>SUM('Dai loc:DLam'!BZ11)</f>
        <v>0</v>
      </c>
      <c r="CA11" s="39">
        <f>SUM('Dai loc:DLam'!CA11)</f>
        <v>0</v>
      </c>
      <c r="CB11" s="39">
        <f>SUM('Dai loc:DLam'!CB11)</f>
        <v>0</v>
      </c>
      <c r="CC11" s="39">
        <f>SUM('Dai loc:DLam'!CC11)</f>
        <v>0</v>
      </c>
    </row>
    <row r="12" spans="1:81">
      <c r="A12" s="34">
        <v>9</v>
      </c>
      <c r="B12" s="10" t="s">
        <v>91</v>
      </c>
      <c r="C12" s="35">
        <v>6</v>
      </c>
      <c r="D12" s="35">
        <f>SUM(Data_PL8[[#This Row],[T1.2021]:[T12.2021]])</f>
        <v>0</v>
      </c>
      <c r="E12" s="35">
        <f>SUM(Data_PL8[[#This Row],[T1.2022]:[T12.2022]])</f>
        <v>0</v>
      </c>
      <c r="F12" s="35">
        <f>SUM(Data_PL8[[#This Row],[T1.2023]:[T12.2023]])</f>
        <v>0</v>
      </c>
      <c r="G12" s="35">
        <f>SUM(Data_PL8[[#This Row],[T01.2024]:[T12.2024]])</f>
        <v>0</v>
      </c>
      <c r="H12" s="35">
        <f>SUM(Data_PL8[[#This Row],[T01.2025]:[T12.2025]])</f>
        <v>0</v>
      </c>
      <c r="I12" s="35">
        <f>SUM(Data_PL8[[#This Row],[T01.2026]:[T12.2026]])</f>
        <v>9654850</v>
      </c>
      <c r="J12" s="11">
        <f>SUM('Dai loc:DLam'!J12)</f>
        <v>0</v>
      </c>
      <c r="K12" s="11">
        <f>SUM('Dai loc:DLam'!K12)</f>
        <v>0</v>
      </c>
      <c r="L12" s="11">
        <f>SUM('Dai loc:DLam'!L12)</f>
        <v>0</v>
      </c>
      <c r="M12" s="11">
        <f>SUM('Dai loc:DLam'!M12)</f>
        <v>0</v>
      </c>
      <c r="N12" s="11">
        <f>SUM('Dai loc:DLam'!N12)</f>
        <v>0</v>
      </c>
      <c r="O12" s="11">
        <f>SUM('Dai loc:DLam'!O12)</f>
        <v>0</v>
      </c>
      <c r="P12" s="11">
        <f>SUM('Dai loc:DLam'!P12)</f>
        <v>0</v>
      </c>
      <c r="Q12" s="11">
        <f>SUM('Dai loc:DLam'!Q12)</f>
        <v>0</v>
      </c>
      <c r="R12" s="11">
        <f>SUM('Dai loc:DLam'!R12)</f>
        <v>0</v>
      </c>
      <c r="S12" s="11">
        <f>SUM('Dai loc:DLam'!S12)</f>
        <v>0</v>
      </c>
      <c r="T12" s="11">
        <f>SUM('Dai loc:DLam'!T12)</f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48">
        <v>0</v>
      </c>
      <c r="BF12" s="48">
        <v>0</v>
      </c>
      <c r="BG12" s="48">
        <v>0</v>
      </c>
      <c r="BH12" s="48">
        <v>0</v>
      </c>
      <c r="BI12" s="48">
        <v>0</v>
      </c>
      <c r="BJ12" s="48">
        <v>0</v>
      </c>
      <c r="BK12" s="48">
        <v>0</v>
      </c>
      <c r="BL12" s="48">
        <v>0</v>
      </c>
      <c r="BM12" s="48">
        <v>0</v>
      </c>
      <c r="BN12" s="48">
        <v>0</v>
      </c>
      <c r="BO12" s="48">
        <v>0</v>
      </c>
      <c r="BP12" s="48">
        <v>0</v>
      </c>
      <c r="BQ12" s="48">
        <v>0</v>
      </c>
      <c r="BR12" s="48"/>
      <c r="BS12" s="48">
        <v>9235200</v>
      </c>
      <c r="BT12" s="48"/>
      <c r="BU12" s="48">
        <v>419650</v>
      </c>
      <c r="BV12" s="48">
        <f>SUM('Dai loc:DLam'!BV12)</f>
        <v>0</v>
      </c>
      <c r="BW12" s="48">
        <f>SUM('Dai loc:DLam'!BW12)</f>
        <v>0</v>
      </c>
      <c r="BX12" s="48">
        <f>SUM('Dai loc:DLam'!BX12)</f>
        <v>0</v>
      </c>
      <c r="BY12" s="48">
        <f>SUM('Dai loc:DLam'!BY12)</f>
        <v>0</v>
      </c>
      <c r="BZ12" s="48">
        <f>SUM('Dai loc:DLam'!BZ12)</f>
        <v>0</v>
      </c>
      <c r="CA12" s="48">
        <f>SUM('Dai loc:DLam'!CA12)</f>
        <v>0</v>
      </c>
      <c r="CB12" s="48">
        <f>SUM('Dai loc:DLam'!CB12)</f>
        <v>0</v>
      </c>
      <c r="CC12" s="48">
        <f>SUM('Dai loc:DLam'!CC12)</f>
        <v>0</v>
      </c>
    </row>
    <row r="13" spans="1:81">
      <c r="A13" s="36">
        <v>10</v>
      </c>
      <c r="B13" s="21" t="s">
        <v>92</v>
      </c>
      <c r="C13" s="37">
        <v>6</v>
      </c>
      <c r="D13" s="37">
        <f>SUM(Data_PL8[[#This Row],[T1.2021]:[T12.2021]])</f>
        <v>0</v>
      </c>
      <c r="E13" s="37">
        <f>SUM(Data_PL8[[#This Row],[T1.2022]:[T12.2022]])</f>
        <v>0</v>
      </c>
      <c r="F13" s="37">
        <f>SUM(Data_PL8[[#This Row],[T1.2023]:[T12.2023]])</f>
        <v>0</v>
      </c>
      <c r="G13" s="37">
        <f>SUM(Data_PL8[[#This Row],[T01.2024]:[T12.2024]])</f>
        <v>0</v>
      </c>
      <c r="H13" s="37">
        <f>SUM(Data_PL8[[#This Row],[T01.2025]:[T12.2025]])</f>
        <v>0</v>
      </c>
      <c r="I13" s="37">
        <f>SUM(Data_PL8[[#This Row],[T01.2026]:[T12.2026]])</f>
        <v>0</v>
      </c>
      <c r="J13" s="14">
        <f>SUM('Dai loc:DLam'!J13)</f>
        <v>0</v>
      </c>
      <c r="K13" s="14">
        <f>SUM('Dai loc:DLam'!K13)</f>
        <v>0</v>
      </c>
      <c r="L13" s="14">
        <f>SUM('Dai loc:DLam'!L13)</f>
        <v>0</v>
      </c>
      <c r="M13" s="14">
        <f>SUM('Dai loc:DLam'!M13)</f>
        <v>0</v>
      </c>
      <c r="N13" s="14">
        <f>SUM('Dai loc:DLam'!N13)</f>
        <v>0</v>
      </c>
      <c r="O13" s="14">
        <f>SUM('Dai loc:DLam'!O13)</f>
        <v>0</v>
      </c>
      <c r="P13" s="14">
        <f>SUM('Dai loc:DLam'!P13)</f>
        <v>0</v>
      </c>
      <c r="Q13" s="14">
        <f>SUM('Dai loc:DLam'!Q13)</f>
        <v>0</v>
      </c>
      <c r="R13" s="14">
        <f>SUM('Dai loc:DLam'!R13)</f>
        <v>0</v>
      </c>
      <c r="S13" s="14">
        <f>SUM('Dai loc:DLam'!S13)</f>
        <v>0</v>
      </c>
      <c r="T13" s="14">
        <f>SUM('Dai loc:DLam'!T13)</f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0</v>
      </c>
      <c r="BO13" s="39">
        <v>0</v>
      </c>
      <c r="BP13" s="39">
        <v>0</v>
      </c>
      <c r="BQ13" s="39">
        <v>0</v>
      </c>
      <c r="BR13" s="39"/>
      <c r="BS13" s="39"/>
      <c r="BT13" s="39"/>
      <c r="BU13" s="39"/>
      <c r="BV13" s="39">
        <f>SUM('Dai loc:DLam'!BV13)</f>
        <v>0</v>
      </c>
      <c r="BW13" s="39">
        <f>SUM('Dai loc:DLam'!BW13)</f>
        <v>0</v>
      </c>
      <c r="BX13" s="39">
        <f>SUM('Dai loc:DLam'!BX13)</f>
        <v>0</v>
      </c>
      <c r="BY13" s="39">
        <f>SUM('Dai loc:DLam'!BY13)</f>
        <v>0</v>
      </c>
      <c r="BZ13" s="39">
        <f>SUM('Dai loc:DLam'!BZ13)</f>
        <v>0</v>
      </c>
      <c r="CA13" s="39">
        <f>SUM('Dai loc:DLam'!CA13)</f>
        <v>0</v>
      </c>
      <c r="CB13" s="39">
        <f>SUM('Dai loc:DLam'!CB13)</f>
        <v>0</v>
      </c>
      <c r="CC13" s="39">
        <f>SUM('Dai loc:DLam'!CC13)</f>
        <v>0</v>
      </c>
    </row>
    <row r="14" spans="1:81">
      <c r="A14" s="36">
        <v>11</v>
      </c>
      <c r="B14" s="13" t="s">
        <v>93</v>
      </c>
      <c r="C14" s="37">
        <v>6</v>
      </c>
      <c r="D14" s="37">
        <f>SUM(Data_PL8[[#This Row],[T1.2021]:[T12.2021]])</f>
        <v>613806900</v>
      </c>
      <c r="E14" s="37">
        <f>SUM(Data_PL8[[#This Row],[T1.2022]:[T12.2022]])</f>
        <v>846137000</v>
      </c>
      <c r="F14" s="37">
        <f>SUM(Data_PL8[[#This Row],[T1.2023]:[T12.2023]])</f>
        <v>3257669600</v>
      </c>
      <c r="G14" s="37">
        <f>SUM(Data_PL8[[#This Row],[T01.2024]:[T12.2024]])</f>
        <v>3508089700</v>
      </c>
      <c r="H14" s="37">
        <f>SUM(Data_PL8[[#This Row],[T01.2025]:[T12.2025]])</f>
        <v>3127900000</v>
      </c>
      <c r="I14" s="37">
        <f>SUM(Data_PL8[[#This Row],[T01.2026]:[T12.2026]])</f>
        <v>1107700000</v>
      </c>
      <c r="J14" s="14">
        <f>SUM('Dai loc:DLam'!J14)</f>
        <v>124600000</v>
      </c>
      <c r="K14" s="14">
        <f>SUM('Dai loc:DLam'!K14)</f>
        <v>137482710</v>
      </c>
      <c r="L14" s="14">
        <f>SUM('Dai loc:DLam'!L14)</f>
        <v>167076390</v>
      </c>
      <c r="M14" s="14">
        <f>SUM('Dai loc:DLam'!M14)</f>
        <v>43940000</v>
      </c>
      <c r="N14" s="14">
        <f>SUM('Dai loc:DLam'!N14)</f>
        <v>54150000</v>
      </c>
      <c r="O14" s="14">
        <f>SUM('Dai loc:DLam'!O14)</f>
        <v>51400000</v>
      </c>
      <c r="P14" s="14">
        <f>SUM('Dai loc:DLam'!P14)</f>
        <v>31900000</v>
      </c>
      <c r="Q14" s="14">
        <f>SUM('Dai loc:DLam'!Q14)</f>
        <v>3257800</v>
      </c>
      <c r="R14" s="14">
        <f>SUM('Dai loc:DLam'!R14)</f>
        <v>0</v>
      </c>
      <c r="S14" s="14">
        <f>SUM('Dai loc:DLam'!S14)</f>
        <v>0</v>
      </c>
      <c r="T14" s="14">
        <f>SUM('Dai loc:DLam'!T14)</f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55956000</v>
      </c>
      <c r="AA14" s="14">
        <v>41117000</v>
      </c>
      <c r="AB14" s="14">
        <v>57464000</v>
      </c>
      <c r="AC14" s="14">
        <v>93500000</v>
      </c>
      <c r="AD14" s="14">
        <v>95700000</v>
      </c>
      <c r="AE14" s="14">
        <v>176000000</v>
      </c>
      <c r="AF14" s="14">
        <v>138700000</v>
      </c>
      <c r="AG14" s="14">
        <v>187700000</v>
      </c>
      <c r="AH14" s="14">
        <v>75300000</v>
      </c>
      <c r="AI14" s="14">
        <v>126000000</v>
      </c>
      <c r="AJ14" s="14">
        <v>157600000</v>
      </c>
      <c r="AK14" s="14">
        <v>240643000</v>
      </c>
      <c r="AL14" s="14">
        <v>89750000</v>
      </c>
      <c r="AM14" s="14">
        <v>145050000</v>
      </c>
      <c r="AN14" s="14">
        <v>84700000</v>
      </c>
      <c r="AO14" s="14">
        <v>66600000</v>
      </c>
      <c r="AP14" s="14">
        <v>38300000</v>
      </c>
      <c r="AQ14" s="14">
        <v>93600000</v>
      </c>
      <c r="AR14" s="14">
        <v>349438000</v>
      </c>
      <c r="AS14" s="14">
        <v>1790688600</v>
      </c>
      <c r="AT14" s="14">
        <v>1789900000</v>
      </c>
      <c r="AU14" s="14">
        <v>95542200</v>
      </c>
      <c r="AV14" s="14">
        <v>198747500</v>
      </c>
      <c r="AW14" s="38">
        <v>149800000</v>
      </c>
      <c r="AX14" s="38">
        <v>136700000</v>
      </c>
      <c r="AY14" s="38">
        <v>187000000</v>
      </c>
      <c r="AZ14" s="38">
        <v>154000000</v>
      </c>
      <c r="BA14" s="38">
        <v>132500000</v>
      </c>
      <c r="BB14" s="38">
        <v>185900000</v>
      </c>
      <c r="BC14" s="38">
        <v>180600000</v>
      </c>
      <c r="BD14" s="38">
        <v>156300000</v>
      </c>
      <c r="BE14" s="38">
        <v>141100000</v>
      </c>
      <c r="BF14" s="38">
        <v>91100000</v>
      </c>
      <c r="BG14" s="38">
        <v>139700000</v>
      </c>
      <c r="BH14" s="38">
        <v>291900000</v>
      </c>
      <c r="BI14" s="38">
        <v>255100000</v>
      </c>
      <c r="BJ14" s="38">
        <v>287700000</v>
      </c>
      <c r="BK14" s="38">
        <v>330500000</v>
      </c>
      <c r="BL14" s="38">
        <v>365500000</v>
      </c>
      <c r="BM14" s="38">
        <v>358900000</v>
      </c>
      <c r="BN14" s="38">
        <v>327900000</v>
      </c>
      <c r="BO14" s="38">
        <v>294000000</v>
      </c>
      <c r="BP14" s="38">
        <v>171600000</v>
      </c>
      <c r="BQ14" s="38">
        <v>214000000</v>
      </c>
      <c r="BR14" s="38">
        <v>252400000</v>
      </c>
      <c r="BS14" s="38">
        <v>167700000</v>
      </c>
      <c r="BT14" s="38">
        <v>349500000</v>
      </c>
      <c r="BU14" s="38">
        <v>338100000</v>
      </c>
      <c r="BV14" s="38">
        <f>SUM('Dai loc:DLam'!BV14)</f>
        <v>0</v>
      </c>
      <c r="BW14" s="38">
        <f>SUM('Dai loc:DLam'!BW14)</f>
        <v>0</v>
      </c>
      <c r="BX14" s="38">
        <f>SUM('Dai loc:DLam'!BX14)</f>
        <v>0</v>
      </c>
      <c r="BY14" s="38">
        <f>SUM('Dai loc:DLam'!BY14)</f>
        <v>0</v>
      </c>
      <c r="BZ14" s="38">
        <f>SUM('Dai loc:DLam'!BZ14)</f>
        <v>0</v>
      </c>
      <c r="CA14" s="38">
        <f>SUM('Dai loc:DLam'!CA14)</f>
        <v>0</v>
      </c>
      <c r="CB14" s="38">
        <f>SUM('Dai loc:DLam'!CB14)</f>
        <v>0</v>
      </c>
      <c r="CC14" s="38">
        <f>SUM('Dai loc:DLam'!CC14)</f>
        <v>0</v>
      </c>
    </row>
    <row r="15" spans="1:81">
      <c r="A15" s="36">
        <v>12</v>
      </c>
      <c r="B15" s="13" t="s">
        <v>94</v>
      </c>
      <c r="C15" s="37">
        <v>6</v>
      </c>
      <c r="D15" s="37">
        <f>SUM(Data_PL8[[#This Row],[T1.2021]:[T12.2021]])</f>
        <v>3482504390</v>
      </c>
      <c r="E15" s="37">
        <f>SUM(Data_PL8[[#This Row],[T1.2022]:[T12.2022]])</f>
        <v>3554786333</v>
      </c>
      <c r="F15" s="37">
        <f>SUM(Data_PL8[[#This Row],[T1.2023]:[T12.2023]])</f>
        <v>4726260715</v>
      </c>
      <c r="G15" s="37">
        <f>SUM(Data_PL8[[#This Row],[T01.2024]:[T12.2024]])</f>
        <v>2854734951</v>
      </c>
      <c r="H15" s="37">
        <f>SUM(Data_PL8[[#This Row],[T01.2025]:[T12.2025]])</f>
        <v>3920744156</v>
      </c>
      <c r="I15" s="37">
        <f>SUM(Data_PL8[[#This Row],[T01.2026]:[T12.2026]])</f>
        <v>2468576452</v>
      </c>
      <c r="J15" s="14">
        <f>SUM('Dai loc:DLam'!J15)</f>
        <v>512393321</v>
      </c>
      <c r="K15" s="14">
        <f>SUM('Dai loc:DLam'!K15)</f>
        <v>291931741</v>
      </c>
      <c r="L15" s="14">
        <f>SUM('Dai loc:DLam'!L15)</f>
        <v>308386505</v>
      </c>
      <c r="M15" s="14">
        <f>SUM('Dai loc:DLam'!M15)</f>
        <v>395071206</v>
      </c>
      <c r="N15" s="14">
        <f>SUM('Dai loc:DLam'!N15)</f>
        <v>319551728</v>
      </c>
      <c r="O15" s="14">
        <f>SUM('Dai loc:DLam'!O15)</f>
        <v>287977276</v>
      </c>
      <c r="P15" s="14">
        <f>SUM('Dai loc:DLam'!P15)</f>
        <v>231279900</v>
      </c>
      <c r="Q15" s="14">
        <f>SUM('Dai loc:DLam'!Q15)</f>
        <v>189966458</v>
      </c>
      <c r="R15" s="14">
        <f>SUM('Dai loc:DLam'!R15)</f>
        <v>267984020</v>
      </c>
      <c r="S15" s="14">
        <f>SUM('Dai loc:DLam'!S15)</f>
        <v>267140313</v>
      </c>
      <c r="T15" s="14">
        <f>SUM('Dai loc:DLam'!T15)</f>
        <v>405606537</v>
      </c>
      <c r="U15" s="14">
        <v>5215385</v>
      </c>
      <c r="V15" s="14">
        <v>54384111</v>
      </c>
      <c r="W15" s="14">
        <v>81006325</v>
      </c>
      <c r="X15" s="14">
        <v>120760187</v>
      </c>
      <c r="Y15" s="14">
        <v>135508222</v>
      </c>
      <c r="Z15" s="14">
        <v>128854203</v>
      </c>
      <c r="AA15" s="14">
        <v>158782511</v>
      </c>
      <c r="AB15" s="14">
        <v>144294348</v>
      </c>
      <c r="AC15" s="14">
        <v>130754061</v>
      </c>
      <c r="AD15" s="14">
        <v>151931954</v>
      </c>
      <c r="AE15" s="14">
        <v>136440059</v>
      </c>
      <c r="AF15" s="14">
        <v>1818058793</v>
      </c>
      <c r="AG15" s="14">
        <v>494011559</v>
      </c>
      <c r="AH15" s="14">
        <v>512428705</v>
      </c>
      <c r="AI15" s="14">
        <v>513524746</v>
      </c>
      <c r="AJ15" s="14">
        <v>289805194</v>
      </c>
      <c r="AK15" s="14">
        <v>385726708</v>
      </c>
      <c r="AL15" s="14">
        <v>356542104</v>
      </c>
      <c r="AM15" s="14">
        <v>323320047</v>
      </c>
      <c r="AN15" s="14">
        <v>340009205</v>
      </c>
      <c r="AO15" s="14">
        <v>692274279</v>
      </c>
      <c r="AP15" s="14">
        <v>332140369</v>
      </c>
      <c r="AQ15" s="14">
        <v>324903258</v>
      </c>
      <c r="AR15" s="14">
        <v>323801165</v>
      </c>
      <c r="AS15" s="14">
        <v>331784935</v>
      </c>
      <c r="AT15" s="14">
        <v>189486394</v>
      </c>
      <c r="AU15" s="14">
        <v>225236410</v>
      </c>
      <c r="AV15" s="14">
        <v>229978521</v>
      </c>
      <c r="AW15" s="38">
        <v>229889992</v>
      </c>
      <c r="AX15" s="38">
        <v>224134296</v>
      </c>
      <c r="AY15" s="38">
        <v>214897048</v>
      </c>
      <c r="AZ15" s="38">
        <v>230047625</v>
      </c>
      <c r="BA15" s="38">
        <v>229954420</v>
      </c>
      <c r="BB15" s="38">
        <v>228488322</v>
      </c>
      <c r="BC15" s="38">
        <v>213155072</v>
      </c>
      <c r="BD15" s="38">
        <v>300846378</v>
      </c>
      <c r="BE15" s="38">
        <v>338620473</v>
      </c>
      <c r="BF15" s="38">
        <v>390880567</v>
      </c>
      <c r="BG15" s="38">
        <v>288060338</v>
      </c>
      <c r="BH15" s="38">
        <v>278341956</v>
      </c>
      <c r="BI15" s="38">
        <v>277195306</v>
      </c>
      <c r="BJ15" s="38">
        <v>257971197</v>
      </c>
      <c r="BK15" s="38">
        <v>282882950</v>
      </c>
      <c r="BL15" s="38">
        <v>303895747</v>
      </c>
      <c r="BM15" s="38">
        <v>325151310</v>
      </c>
      <c r="BN15" s="38">
        <v>377683972</v>
      </c>
      <c r="BO15" s="38">
        <v>341492876</v>
      </c>
      <c r="BP15" s="38">
        <v>395204855</v>
      </c>
      <c r="BQ15" s="38">
        <v>401983082</v>
      </c>
      <c r="BR15" s="38">
        <v>638193690</v>
      </c>
      <c r="BS15" s="38">
        <v>962454402</v>
      </c>
      <c r="BT15" s="38">
        <v>406416217</v>
      </c>
      <c r="BU15" s="38">
        <v>461512143</v>
      </c>
      <c r="BV15" s="38">
        <f>SUM('Dai loc:DLam'!BV15)</f>
        <v>0</v>
      </c>
      <c r="BW15" s="38">
        <f>SUM('Dai loc:DLam'!BW15)</f>
        <v>0</v>
      </c>
      <c r="BX15" s="38">
        <f>SUM('Dai loc:DLam'!BX15)</f>
        <v>0</v>
      </c>
      <c r="BY15" s="38">
        <f>SUM('Dai loc:DLam'!BY15)</f>
        <v>0</v>
      </c>
      <c r="BZ15" s="38">
        <f>SUM('Dai loc:DLam'!BZ15)</f>
        <v>0</v>
      </c>
      <c r="CA15" s="38">
        <f>SUM('Dai loc:DLam'!CA15)</f>
        <v>0</v>
      </c>
      <c r="CB15" s="38">
        <f>SUM('Dai loc:DLam'!CB15)</f>
        <v>0</v>
      </c>
      <c r="CC15" s="38">
        <f>SUM('Dai loc:DLam'!CC15)</f>
        <v>0</v>
      </c>
    </row>
    <row r="16" spans="1:81">
      <c r="A16" s="34">
        <v>13</v>
      </c>
      <c r="B16" s="10" t="s">
        <v>95</v>
      </c>
      <c r="C16" s="35">
        <v>6</v>
      </c>
      <c r="D16" s="35">
        <f>SUM(Data_PL8[[#This Row],[T1.2021]:[T12.2021]])</f>
        <v>-3847850124</v>
      </c>
      <c r="E16" s="35">
        <f>SUM(Data_PL8[[#This Row],[T1.2022]:[T12.2022]])</f>
        <v>-6610315939</v>
      </c>
      <c r="F16" s="35">
        <f>SUM(Data_PL8[[#This Row],[T1.2023]:[T12.2023]])</f>
        <v>-22574535329</v>
      </c>
      <c r="G16" s="35">
        <f>SUM(Data_PL8[[#This Row],[T01.2024]:[T12.2024]])</f>
        <v>-12362108043</v>
      </c>
      <c r="H16" s="35">
        <f>SUM(Data_PL8[[#This Row],[T01.2025]:[T12.2025]])</f>
        <v>-6705669106</v>
      </c>
      <c r="I16" s="35">
        <f>SUM(Data_PL8[[#This Row],[T01.2026]:[T12.2026]])</f>
        <v>-1132222169</v>
      </c>
      <c r="J16" s="11">
        <f>SUM('Dai loc:DLam'!J16)</f>
        <v>-631216701</v>
      </c>
      <c r="K16" s="11">
        <f>SUM('Dai loc:DLam'!K16)</f>
        <v>-416791178</v>
      </c>
      <c r="L16" s="11">
        <f>SUM('Dai loc:DLam'!L16)</f>
        <v>-454759795</v>
      </c>
      <c r="M16" s="11">
        <f>SUM('Dai loc:DLam'!M16)</f>
        <v>-387014507</v>
      </c>
      <c r="N16" s="11">
        <f>SUM('Dai loc:DLam'!N16)</f>
        <v>-329941725</v>
      </c>
      <c r="O16" s="11">
        <f>SUM('Dai loc:DLam'!O16)</f>
        <v>-310016105</v>
      </c>
      <c r="P16" s="11">
        <f>SUM('Dai loc:DLam'!P16)</f>
        <v>-241170636</v>
      </c>
      <c r="Q16" s="11">
        <f>SUM('Dai loc:DLam'!Q16)</f>
        <v>-193037525</v>
      </c>
      <c r="R16" s="11">
        <f>SUM('Dai loc:DLam'!R16)</f>
        <v>-267771911</v>
      </c>
      <c r="S16" s="11">
        <f>SUM('Dai loc:DLam'!S16)</f>
        <v>-266055816</v>
      </c>
      <c r="T16" s="11">
        <f>SUM('Dai loc:DLam'!T16)</f>
        <v>-344858840</v>
      </c>
      <c r="U16" s="11">
        <v>-5215385</v>
      </c>
      <c r="V16" s="11">
        <v>-54190586</v>
      </c>
      <c r="W16" s="11">
        <v>-80964549</v>
      </c>
      <c r="X16" s="11">
        <v>-120696934</v>
      </c>
      <c r="Y16" s="11">
        <v>-311288386</v>
      </c>
      <c r="Z16" s="11">
        <v>-396537482</v>
      </c>
      <c r="AA16" s="11">
        <v>-1637938290</v>
      </c>
      <c r="AB16" s="11">
        <v>-763929325</v>
      </c>
      <c r="AC16" s="11">
        <v>617233046</v>
      </c>
      <c r="AD16" s="11">
        <v>-200819028</v>
      </c>
      <c r="AE16" s="11">
        <v>-370404940</v>
      </c>
      <c r="AF16" s="11">
        <v>-2723615820</v>
      </c>
      <c r="AG16" s="11">
        <v>-567163645</v>
      </c>
      <c r="AH16" s="11">
        <v>-1573147901</v>
      </c>
      <c r="AI16" s="11">
        <v>-1993641840</v>
      </c>
      <c r="AJ16" s="11">
        <v>-3229513868</v>
      </c>
      <c r="AK16" s="11">
        <v>-2994040046</v>
      </c>
      <c r="AL16" s="11">
        <v>-2349168118</v>
      </c>
      <c r="AM16" s="11">
        <v>-2195025732</v>
      </c>
      <c r="AN16" s="11">
        <v>-2100811185</v>
      </c>
      <c r="AO16" s="11">
        <v>-1671004649</v>
      </c>
      <c r="AP16" s="11">
        <v>-928237387</v>
      </c>
      <c r="AQ16" s="11">
        <v>-731417715</v>
      </c>
      <c r="AR16" s="11">
        <v>-2729901490</v>
      </c>
      <c r="AS16" s="11">
        <v>-78625398</v>
      </c>
      <c r="AT16" s="11">
        <v>-2424081513</v>
      </c>
      <c r="AU16" s="11">
        <v>-1196964983</v>
      </c>
      <c r="AV16" s="11">
        <v>-64638718</v>
      </c>
      <c r="AW16" s="11">
        <v>-568655628</v>
      </c>
      <c r="AX16" s="11">
        <v>-1217198304</v>
      </c>
      <c r="AY16" s="11">
        <v>-1622693966</v>
      </c>
      <c r="AZ16" s="11">
        <v>-955086845</v>
      </c>
      <c r="BA16" s="11">
        <v>-936866392</v>
      </c>
      <c r="BB16" s="11">
        <v>-677356053</v>
      </c>
      <c r="BC16" s="11">
        <v>-426089275</v>
      </c>
      <c r="BD16" s="11">
        <v>-1172912349</v>
      </c>
      <c r="BE16" s="48">
        <v>-1099564017</v>
      </c>
      <c r="BF16" s="48">
        <v>-1518477562</v>
      </c>
      <c r="BG16" s="48">
        <v>-1405125428</v>
      </c>
      <c r="BH16" s="48">
        <v>-570697500</v>
      </c>
      <c r="BI16" s="48">
        <v>-895084156</v>
      </c>
      <c r="BJ16" s="48">
        <v>178940300</v>
      </c>
      <c r="BK16" s="48">
        <v>-1043091894</v>
      </c>
      <c r="BL16" s="48">
        <v>606950173</v>
      </c>
      <c r="BM16" s="48">
        <v>331075113</v>
      </c>
      <c r="BN16" s="48">
        <v>-691137673</v>
      </c>
      <c r="BO16" s="48">
        <v>-240965181</v>
      </c>
      <c r="BP16" s="48">
        <v>-965546557</v>
      </c>
      <c r="BQ16" s="48">
        <v>-492508741</v>
      </c>
      <c r="BR16" s="48">
        <v>-417446226</v>
      </c>
      <c r="BS16" s="48">
        <v>-900306394</v>
      </c>
      <c r="BT16" s="48">
        <v>245895340</v>
      </c>
      <c r="BU16" s="48">
        <v>-60364889</v>
      </c>
      <c r="BV16" s="48">
        <f>SUM('Dai loc:DLam'!BV16)</f>
        <v>0</v>
      </c>
      <c r="BW16" s="48">
        <f>SUM('Dai loc:DLam'!BW16)</f>
        <v>0</v>
      </c>
      <c r="BX16" s="48">
        <f>SUM('Dai loc:DLam'!BX16)</f>
        <v>0</v>
      </c>
      <c r="BY16" s="48">
        <f>SUM('Dai loc:DLam'!BY16)</f>
        <v>0</v>
      </c>
      <c r="BZ16" s="48">
        <f>SUM('Dai loc:DLam'!BZ16)</f>
        <v>0</v>
      </c>
      <c r="CA16" s="48">
        <f>SUM('Dai loc:DLam'!CA16)</f>
        <v>0</v>
      </c>
      <c r="CB16" s="48">
        <f>SUM('Dai loc:DLam'!CB16)</f>
        <v>0</v>
      </c>
      <c r="CC16" s="48">
        <f>SUM('Dai loc:DLam'!CC16)</f>
        <v>0</v>
      </c>
    </row>
    <row r="17" spans="1:81">
      <c r="A17" s="36">
        <v>14</v>
      </c>
      <c r="B17" s="13" t="s">
        <v>96</v>
      </c>
      <c r="C17" s="37">
        <v>6</v>
      </c>
      <c r="D17" s="37">
        <f>SUM(Data_PL8[[#This Row],[T1.2021]:[T12.2021]])</f>
        <v>1770000</v>
      </c>
      <c r="E17" s="37">
        <f>SUM(Data_PL8[[#This Row],[T1.2022]:[T12.2022]])</f>
        <v>190000</v>
      </c>
      <c r="F17" s="37">
        <f>SUM(Data_PL8[[#This Row],[T1.2023]:[T12.2023]])</f>
        <v>411943144</v>
      </c>
      <c r="G17" s="37">
        <f>SUM(Data_PL8[[#This Row],[T01.2024]:[T12.2024]])</f>
        <v>37322058</v>
      </c>
      <c r="H17" s="37">
        <f>SUM(Data_PL8[[#This Row],[T01.2025]:[T12.2025]])</f>
        <v>223318560</v>
      </c>
      <c r="I17" s="37">
        <f>SUM(Data_PL8[[#This Row],[T01.2026]:[T12.2026]])</f>
        <v>149865373</v>
      </c>
      <c r="J17" s="14">
        <f>SUM('Dai loc:DLam'!J17)</f>
        <v>0</v>
      </c>
      <c r="K17" s="14">
        <f>SUM('Dai loc:DLam'!K17)</f>
        <v>0</v>
      </c>
      <c r="L17" s="14">
        <f>SUM('Dai loc:DLam'!L17)</f>
        <v>810000</v>
      </c>
      <c r="M17" s="14">
        <f>SUM('Dai loc:DLam'!M17)</f>
        <v>0</v>
      </c>
      <c r="N17" s="14">
        <f>SUM('Dai loc:DLam'!N17)</f>
        <v>960000</v>
      </c>
      <c r="O17" s="14">
        <f>SUM('Dai loc:DLam'!O17)</f>
        <v>0</v>
      </c>
      <c r="P17" s="14">
        <f>SUM('Dai loc:DLam'!P17)</f>
        <v>0</v>
      </c>
      <c r="Q17" s="14">
        <f>SUM('Dai loc:DLam'!Q17)</f>
        <v>0</v>
      </c>
      <c r="R17" s="14">
        <f>SUM('Dai loc:DLam'!R17)</f>
        <v>0</v>
      </c>
      <c r="S17" s="14">
        <f>SUM('Dai loc:DLam'!S17)</f>
        <v>0</v>
      </c>
      <c r="T17" s="14">
        <f>SUM('Dai loc:DLam'!T17)</f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190000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109815</v>
      </c>
      <c r="AL17" s="14">
        <v>58651962</v>
      </c>
      <c r="AM17" s="14">
        <v>310961198</v>
      </c>
      <c r="AN17" s="14">
        <v>7456238</v>
      </c>
      <c r="AO17" s="14">
        <v>12453000</v>
      </c>
      <c r="AP17" s="14">
        <v>0</v>
      </c>
      <c r="AQ17" s="14">
        <v>0</v>
      </c>
      <c r="AR17" s="14">
        <v>0</v>
      </c>
      <c r="AS17" s="14">
        <v>22310931</v>
      </c>
      <c r="AT17" s="14">
        <v>0</v>
      </c>
      <c r="AU17" s="14">
        <v>0</v>
      </c>
      <c r="AV17" s="14">
        <v>0</v>
      </c>
      <c r="AW17" s="38">
        <v>0</v>
      </c>
      <c r="AX17" s="38">
        <v>4695924</v>
      </c>
      <c r="AY17" s="38">
        <v>6427650</v>
      </c>
      <c r="AZ17" s="38"/>
      <c r="BA17" s="38">
        <v>6515785</v>
      </c>
      <c r="BB17" s="38">
        <v>5868055</v>
      </c>
      <c r="BC17" s="38">
        <v>2949074</v>
      </c>
      <c r="BD17" s="38">
        <v>4844907</v>
      </c>
      <c r="BE17" s="39">
        <v>6020663</v>
      </c>
      <c r="BF17" s="39">
        <v>6872690</v>
      </c>
      <c r="BG17" s="39">
        <v>0</v>
      </c>
      <c r="BH17" s="39">
        <v>5897640</v>
      </c>
      <c r="BI17" s="39">
        <v>14981280</v>
      </c>
      <c r="BJ17" s="39">
        <v>21977736</v>
      </c>
      <c r="BK17" s="39">
        <v>20040080</v>
      </c>
      <c r="BL17" s="39">
        <v>35343900</v>
      </c>
      <c r="BM17" s="39">
        <v>28282224</v>
      </c>
      <c r="BN17" s="39">
        <v>14984820</v>
      </c>
      <c r="BO17" s="39">
        <v>24570392</v>
      </c>
      <c r="BP17" s="39">
        <v>8366410</v>
      </c>
      <c r="BQ17" s="39">
        <v>42001388</v>
      </c>
      <c r="BR17" s="39">
        <v>8748278</v>
      </c>
      <c r="BS17" s="39">
        <v>10969252</v>
      </c>
      <c r="BT17" s="39">
        <v>13764543</v>
      </c>
      <c r="BU17" s="39">
        <v>116383300</v>
      </c>
      <c r="BV17" s="39">
        <f>SUM('Dai loc:DLam'!BV17)</f>
        <v>0</v>
      </c>
      <c r="BW17" s="39">
        <f>SUM('Dai loc:DLam'!BW17)</f>
        <v>0</v>
      </c>
      <c r="BX17" s="39">
        <f>SUM('Dai loc:DLam'!BX17)</f>
        <v>0</v>
      </c>
      <c r="BY17" s="39">
        <f>SUM('Dai loc:DLam'!BY17)</f>
        <v>0</v>
      </c>
      <c r="BZ17" s="39">
        <f>SUM('Dai loc:DLam'!BZ17)</f>
        <v>0</v>
      </c>
      <c r="CA17" s="39">
        <f>SUM('Dai loc:DLam'!CA17)</f>
        <v>0</v>
      </c>
      <c r="CB17" s="39">
        <f>SUM('Dai loc:DLam'!CB17)</f>
        <v>0</v>
      </c>
      <c r="CC17" s="39">
        <f>SUM('Dai loc:DLam'!CC17)</f>
        <v>0</v>
      </c>
    </row>
    <row r="18" spans="1:81">
      <c r="A18" s="36">
        <v>15</v>
      </c>
      <c r="B18" s="13" t="s">
        <v>97</v>
      </c>
      <c r="C18" s="37">
        <v>6</v>
      </c>
      <c r="D18" s="37">
        <f>SUM(Data_PL8[[#This Row],[T1.2021]:[T12.2021]])</f>
        <v>3300000</v>
      </c>
      <c r="E18" s="37">
        <f>SUM(Data_PL8[[#This Row],[T1.2022]:[T12.2022]])</f>
        <v>3420266062</v>
      </c>
      <c r="F18" s="37">
        <f>SUM(Data_PL8[[#This Row],[T1.2023]:[T12.2023]])</f>
        <v>469346186</v>
      </c>
      <c r="G18" s="37">
        <f>SUM(Data_PL8[[#This Row],[T01.2024]:[T12.2024]])</f>
        <v>231135145</v>
      </c>
      <c r="H18" s="37">
        <f>SUM(Data_PL8[[#This Row],[T01.2025]:[T12.2025]])</f>
        <v>171338420</v>
      </c>
      <c r="I18" s="37">
        <f>SUM(Data_PL8[[#This Row],[T01.2026]:[T12.2026]])</f>
        <v>662336263</v>
      </c>
      <c r="J18" s="14">
        <f>SUM('Dai loc:DLam'!J18)</f>
        <v>0</v>
      </c>
      <c r="K18" s="14">
        <f>SUM('Dai loc:DLam'!K18)</f>
        <v>2500000</v>
      </c>
      <c r="L18" s="14">
        <f>SUM('Dai loc:DLam'!L18)</f>
        <v>800000</v>
      </c>
      <c r="M18" s="14">
        <f>SUM('Dai loc:DLam'!M18)</f>
        <v>0</v>
      </c>
      <c r="N18" s="14">
        <f>SUM('Dai loc:DLam'!N18)</f>
        <v>0</v>
      </c>
      <c r="O18" s="14">
        <f>SUM('Dai loc:DLam'!O18)</f>
        <v>0</v>
      </c>
      <c r="P18" s="14">
        <f>SUM('Dai loc:DLam'!P18)</f>
        <v>0</v>
      </c>
      <c r="Q18" s="14">
        <f>SUM('Dai loc:DLam'!Q18)</f>
        <v>0</v>
      </c>
      <c r="R18" s="14">
        <f>SUM('Dai loc:DLam'!R18)</f>
        <v>0</v>
      </c>
      <c r="S18" s="14">
        <f>SUM('Dai loc:DLam'!S18)</f>
        <v>0</v>
      </c>
      <c r="T18" s="14">
        <f>SUM('Dai loc:DLam'!T18)</f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296296</v>
      </c>
      <c r="AD18" s="14">
        <v>0</v>
      </c>
      <c r="AE18" s="14">
        <v>16391</v>
      </c>
      <c r="AF18" s="14">
        <v>0</v>
      </c>
      <c r="AG18" s="14">
        <v>3419953375</v>
      </c>
      <c r="AH18" s="14">
        <v>0</v>
      </c>
      <c r="AI18" s="14">
        <v>0</v>
      </c>
      <c r="AJ18" s="14">
        <v>8284629</v>
      </c>
      <c r="AK18" s="14">
        <v>61546</v>
      </c>
      <c r="AL18" s="14">
        <v>52651</v>
      </c>
      <c r="AM18" s="14">
        <v>342751500</v>
      </c>
      <c r="AN18" s="14">
        <v>34965381</v>
      </c>
      <c r="AO18" s="14">
        <v>3001865</v>
      </c>
      <c r="AP18" s="14">
        <v>8601062</v>
      </c>
      <c r="AQ18" s="14">
        <v>12875003</v>
      </c>
      <c r="AR18" s="14">
        <v>11895000</v>
      </c>
      <c r="AS18" s="14">
        <v>46857549</v>
      </c>
      <c r="AT18" s="14">
        <v>25035000</v>
      </c>
      <c r="AU18" s="14">
        <v>4500869</v>
      </c>
      <c r="AV18" s="14">
        <v>15342970</v>
      </c>
      <c r="AW18" s="38">
        <v>1400000</v>
      </c>
      <c r="AX18" s="38">
        <v>4112330</v>
      </c>
      <c r="AY18" s="38">
        <v>3788889</v>
      </c>
      <c r="AZ18" s="38">
        <v>1603193</v>
      </c>
      <c r="BA18" s="38">
        <v>3600000</v>
      </c>
      <c r="BB18" s="38">
        <v>4730520</v>
      </c>
      <c r="BC18" s="38">
        <v>5100000</v>
      </c>
      <c r="BD18" s="38">
        <v>2300000</v>
      </c>
      <c r="BE18" s="39">
        <v>159621374</v>
      </c>
      <c r="BF18" s="39">
        <v>1000000</v>
      </c>
      <c r="BG18" s="39">
        <v>3800000</v>
      </c>
      <c r="BH18" s="39">
        <v>2500000</v>
      </c>
      <c r="BI18" s="39">
        <v>1000000</v>
      </c>
      <c r="BJ18" s="39">
        <v>6500000</v>
      </c>
      <c r="BK18" s="39">
        <v>1500000</v>
      </c>
      <c r="BL18" s="39">
        <v>128951632</v>
      </c>
      <c r="BM18" s="39">
        <v>13282176</v>
      </c>
      <c r="BN18" s="39">
        <v>4000000</v>
      </c>
      <c r="BO18" s="39">
        <v>500000</v>
      </c>
      <c r="BP18" s="39">
        <v>2295000</v>
      </c>
      <c r="BQ18" s="39">
        <v>6009612</v>
      </c>
      <c r="BR18" s="39">
        <v>136900483</v>
      </c>
      <c r="BS18" s="39">
        <v>48552980</v>
      </c>
      <c r="BT18" s="39">
        <v>4660403</v>
      </c>
      <c r="BU18" s="39">
        <v>472222397</v>
      </c>
      <c r="BV18" s="39">
        <f>SUM('Dai loc:DLam'!BV18)</f>
        <v>0</v>
      </c>
      <c r="BW18" s="39">
        <f>SUM('Dai loc:DLam'!BW18)</f>
        <v>0</v>
      </c>
      <c r="BX18" s="39">
        <f>SUM('Dai loc:DLam'!BX18)</f>
        <v>0</v>
      </c>
      <c r="BY18" s="39">
        <f>SUM('Dai loc:DLam'!BY18)</f>
        <v>0</v>
      </c>
      <c r="BZ18" s="39">
        <f>SUM('Dai loc:DLam'!BZ18)</f>
        <v>0</v>
      </c>
      <c r="CA18" s="39">
        <f>SUM('Dai loc:DLam'!CA18)</f>
        <v>0</v>
      </c>
      <c r="CB18" s="39">
        <f>SUM('Dai loc:DLam'!CB18)</f>
        <v>0</v>
      </c>
      <c r="CC18" s="39">
        <f>SUM('Dai loc:DLam'!CC18)</f>
        <v>0</v>
      </c>
    </row>
    <row r="19" spans="1:81">
      <c r="A19" s="34">
        <v>16</v>
      </c>
      <c r="B19" s="10" t="s">
        <v>98</v>
      </c>
      <c r="C19" s="35">
        <v>6</v>
      </c>
      <c r="D19" s="35">
        <f>SUM(Data_PL8[[#This Row],[T1.2021]:[T12.2021]])</f>
        <v>-1530000</v>
      </c>
      <c r="E19" s="35">
        <f>SUM(Data_PL8[[#This Row],[T1.2022]:[T12.2022]])</f>
        <v>-3420076062</v>
      </c>
      <c r="F19" s="35">
        <f>SUM(Data_PL8[[#This Row],[T1.2023]:[T12.2023]])</f>
        <v>-57403042</v>
      </c>
      <c r="G19" s="35">
        <f>SUM(Data_PL8[[#This Row],[T01.2024]:[T12.2024]])</f>
        <v>-193813087</v>
      </c>
      <c r="H19" s="35">
        <f>SUM(Data_PL8[[#This Row],[T01.2025]:[T12.2025]])</f>
        <v>51980140</v>
      </c>
      <c r="I19" s="35">
        <f>SUM(Data_PL8[[#This Row],[T01.2026]:[T12.2026]])</f>
        <v>-512470890</v>
      </c>
      <c r="J19" s="11">
        <f>SUM('Dai loc:DLam'!J19)</f>
        <v>0</v>
      </c>
      <c r="K19" s="11">
        <f>SUM('Dai loc:DLam'!K19)</f>
        <v>-2500000</v>
      </c>
      <c r="L19" s="11">
        <f>SUM('Dai loc:DLam'!L19)</f>
        <v>10000</v>
      </c>
      <c r="M19" s="11">
        <f>SUM('Dai loc:DLam'!M19)</f>
        <v>0</v>
      </c>
      <c r="N19" s="11">
        <f>SUM('Dai loc:DLam'!N19)</f>
        <v>960000</v>
      </c>
      <c r="O19" s="11">
        <f>SUM('Dai loc:DLam'!O19)</f>
        <v>0</v>
      </c>
      <c r="P19" s="11">
        <f>SUM('Dai loc:DLam'!P19)</f>
        <v>0</v>
      </c>
      <c r="Q19" s="11">
        <f>SUM('Dai loc:DLam'!Q19)</f>
        <v>0</v>
      </c>
      <c r="R19" s="11">
        <f>SUM('Dai loc:DLam'!R19)</f>
        <v>0</v>
      </c>
      <c r="S19" s="11">
        <f>SUM('Dai loc:DLam'!S19)</f>
        <v>0</v>
      </c>
      <c r="T19" s="11">
        <f>SUM('Dai loc:DLam'!T19)</f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190000</v>
      </c>
      <c r="AB19" s="11">
        <v>0</v>
      </c>
      <c r="AC19" s="11">
        <v>-296296</v>
      </c>
      <c r="AD19" s="11">
        <v>0</v>
      </c>
      <c r="AE19" s="11">
        <v>-16391</v>
      </c>
      <c r="AF19" s="11">
        <v>0</v>
      </c>
      <c r="AG19" s="11">
        <v>-3419953375</v>
      </c>
      <c r="AH19" s="11">
        <v>0</v>
      </c>
      <c r="AI19" s="11">
        <v>0</v>
      </c>
      <c r="AJ19" s="11">
        <v>-8284629</v>
      </c>
      <c r="AK19" s="11">
        <v>48269</v>
      </c>
      <c r="AL19" s="11">
        <v>58599311</v>
      </c>
      <c r="AM19" s="11">
        <v>-31790302</v>
      </c>
      <c r="AN19" s="11">
        <v>-27509143</v>
      </c>
      <c r="AO19" s="11">
        <v>9451135</v>
      </c>
      <c r="AP19" s="11">
        <v>-8601062</v>
      </c>
      <c r="AQ19" s="11">
        <v>-12875003</v>
      </c>
      <c r="AR19" s="11">
        <v>-11895000</v>
      </c>
      <c r="AS19" s="11">
        <v>-24546618</v>
      </c>
      <c r="AT19" s="11">
        <v>-25035000</v>
      </c>
      <c r="AU19" s="11">
        <v>-4500869</v>
      </c>
      <c r="AV19" s="11">
        <v>-15342970</v>
      </c>
      <c r="AW19" s="11">
        <v>-1400000</v>
      </c>
      <c r="AX19" s="11">
        <v>583594</v>
      </c>
      <c r="AY19" s="11">
        <v>2638761</v>
      </c>
      <c r="AZ19" s="11">
        <v>-1603193</v>
      </c>
      <c r="BA19" s="11">
        <v>2915785</v>
      </c>
      <c r="BB19" s="11">
        <v>1137535</v>
      </c>
      <c r="BC19" s="11">
        <v>-2150926</v>
      </c>
      <c r="BD19" s="11">
        <v>2544907</v>
      </c>
      <c r="BE19" s="48">
        <v>-153600711</v>
      </c>
      <c r="BF19" s="48">
        <v>5872690</v>
      </c>
      <c r="BG19" s="48">
        <v>-3800000</v>
      </c>
      <c r="BH19" s="48">
        <v>3397640</v>
      </c>
      <c r="BI19" s="48">
        <v>13981280</v>
      </c>
      <c r="BJ19" s="48">
        <v>15477736</v>
      </c>
      <c r="BK19" s="48">
        <v>18540080</v>
      </c>
      <c r="BL19" s="48">
        <v>-93607732</v>
      </c>
      <c r="BM19" s="48">
        <v>15000048</v>
      </c>
      <c r="BN19" s="48">
        <v>10984820</v>
      </c>
      <c r="BO19" s="48">
        <v>24070392</v>
      </c>
      <c r="BP19" s="48">
        <v>6071410</v>
      </c>
      <c r="BQ19" s="48">
        <v>35991776</v>
      </c>
      <c r="BR19" s="48">
        <v>-128152205</v>
      </c>
      <c r="BS19" s="48">
        <v>-37583728</v>
      </c>
      <c r="BT19" s="48">
        <v>9104140</v>
      </c>
      <c r="BU19" s="48">
        <v>-355839097</v>
      </c>
      <c r="BV19" s="48">
        <f>SUM('Dai loc:DLam'!BV19)</f>
        <v>0</v>
      </c>
      <c r="BW19" s="48">
        <f>SUM('Dai loc:DLam'!BW19)</f>
        <v>0</v>
      </c>
      <c r="BX19" s="48">
        <f>SUM('Dai loc:DLam'!BX19)</f>
        <v>0</v>
      </c>
      <c r="BY19" s="48">
        <f>SUM('Dai loc:DLam'!BY19)</f>
        <v>0</v>
      </c>
      <c r="BZ19" s="48">
        <f>SUM('Dai loc:DLam'!BZ19)</f>
        <v>0</v>
      </c>
      <c r="CA19" s="48">
        <f>SUM('Dai loc:DLam'!CA19)</f>
        <v>0</v>
      </c>
      <c r="CB19" s="48">
        <f>SUM('Dai loc:DLam'!CB19)</f>
        <v>0</v>
      </c>
      <c r="CC19" s="48">
        <f>SUM('Dai loc:DLam'!CC19)</f>
        <v>0</v>
      </c>
    </row>
    <row r="20" spans="1:81">
      <c r="A20" s="40">
        <v>17</v>
      </c>
      <c r="B20" s="10" t="s">
        <v>99</v>
      </c>
      <c r="C20" s="41">
        <v>6</v>
      </c>
      <c r="D20" s="41">
        <f>SUM(Data_PL8[[#This Row],[T1.2021]:[T12.2021]])</f>
        <v>-3849380124</v>
      </c>
      <c r="E20" s="41">
        <f>SUM(Data_PL8[[#This Row],[T1.2022]:[T12.2022]])</f>
        <v>-10030392001</v>
      </c>
      <c r="F20" s="41">
        <f>SUM(Data_PL8[[#This Row],[T1.2023]:[T12.2023]])</f>
        <v>-22631938371</v>
      </c>
      <c r="G20" s="41">
        <f>SUM(Data_PL8[[#This Row],[T01.2024]:[T12.2024]])</f>
        <v>-12555921130</v>
      </c>
      <c r="H20" s="41">
        <f>SUM(Data_PL8[[#This Row],[T01.2025]:[T12.2025]])</f>
        <v>-6653688966</v>
      </c>
      <c r="I20" s="41">
        <f>SUM(Data_PL8[[#This Row],[T01.2026]:[T12.2026]])</f>
        <v>-1644693059</v>
      </c>
      <c r="J20" s="16">
        <f>SUM('Dai loc:DLam'!J20)</f>
        <v>-631216701</v>
      </c>
      <c r="K20" s="16">
        <f>SUM('Dai loc:DLam'!K20)</f>
        <v>-419291178</v>
      </c>
      <c r="L20" s="16">
        <f>SUM('Dai loc:DLam'!L20)</f>
        <v>-454749795</v>
      </c>
      <c r="M20" s="16">
        <f>SUM('Dai loc:DLam'!M20)</f>
        <v>-387014507</v>
      </c>
      <c r="N20" s="16">
        <f>SUM('Dai loc:DLam'!N20)</f>
        <v>-328981725</v>
      </c>
      <c r="O20" s="16">
        <f>SUM('Dai loc:DLam'!O20)</f>
        <v>-310016105</v>
      </c>
      <c r="P20" s="16">
        <f>SUM('Dai loc:DLam'!P20)</f>
        <v>-241170636</v>
      </c>
      <c r="Q20" s="16">
        <f>SUM('Dai loc:DLam'!Q20)</f>
        <v>-193037525</v>
      </c>
      <c r="R20" s="16">
        <f>SUM('Dai loc:DLam'!R20)</f>
        <v>-267771911</v>
      </c>
      <c r="S20" s="16">
        <f>SUM('Dai loc:DLam'!S20)</f>
        <v>-266055816</v>
      </c>
      <c r="T20" s="16">
        <f>SUM('Dai loc:DLam'!T20)</f>
        <v>-344858840</v>
      </c>
      <c r="U20" s="16">
        <v>-5215385</v>
      </c>
      <c r="V20" s="16">
        <v>-54190586</v>
      </c>
      <c r="W20" s="16">
        <v>-80964549</v>
      </c>
      <c r="X20" s="16">
        <v>-120696934</v>
      </c>
      <c r="Y20" s="16">
        <v>-311288386</v>
      </c>
      <c r="Z20" s="16">
        <v>-396537482</v>
      </c>
      <c r="AA20" s="16">
        <v>-1637748290</v>
      </c>
      <c r="AB20" s="16">
        <v>-763929325</v>
      </c>
      <c r="AC20" s="16">
        <v>616936750</v>
      </c>
      <c r="AD20" s="16">
        <v>-200819028</v>
      </c>
      <c r="AE20" s="16">
        <v>-370421331</v>
      </c>
      <c r="AF20" s="16">
        <v>-2723615820</v>
      </c>
      <c r="AG20" s="16">
        <v>-3987117020</v>
      </c>
      <c r="AH20" s="16">
        <v>-1573147901</v>
      </c>
      <c r="AI20" s="16">
        <v>-1993641840</v>
      </c>
      <c r="AJ20" s="16">
        <v>-3237798497</v>
      </c>
      <c r="AK20" s="16">
        <v>-2993991777</v>
      </c>
      <c r="AL20" s="16">
        <v>-2290568807</v>
      </c>
      <c r="AM20" s="16">
        <v>-2226816034</v>
      </c>
      <c r="AN20" s="16">
        <v>-2128320328</v>
      </c>
      <c r="AO20" s="16">
        <v>-1661553514</v>
      </c>
      <c r="AP20" s="16">
        <v>-936838449</v>
      </c>
      <c r="AQ20" s="16">
        <v>-744292718</v>
      </c>
      <c r="AR20" s="16">
        <v>-2741796490</v>
      </c>
      <c r="AS20" s="16">
        <v>-103172016</v>
      </c>
      <c r="AT20" s="16">
        <v>-2449116513</v>
      </c>
      <c r="AU20" s="16">
        <v>-1201465852</v>
      </c>
      <c r="AV20" s="16">
        <v>-79981688</v>
      </c>
      <c r="AW20" s="16">
        <v>-570055628</v>
      </c>
      <c r="AX20" s="16">
        <v>-1216614710</v>
      </c>
      <c r="AY20" s="16">
        <v>-1620055205</v>
      </c>
      <c r="AZ20" s="16">
        <v>-956690038</v>
      </c>
      <c r="BA20" s="16">
        <v>-933950607</v>
      </c>
      <c r="BB20" s="16">
        <v>-676218518</v>
      </c>
      <c r="BC20" s="16">
        <v>-428240201</v>
      </c>
      <c r="BD20" s="16">
        <v>-1170367442</v>
      </c>
      <c r="BE20" s="42">
        <v>-1253164728</v>
      </c>
      <c r="BF20" s="42">
        <v>-1512604872</v>
      </c>
      <c r="BG20" s="42">
        <v>-1408925428</v>
      </c>
      <c r="BH20" s="42">
        <v>-567299860</v>
      </c>
      <c r="BI20" s="42">
        <v>-881102876</v>
      </c>
      <c r="BJ20" s="42">
        <v>194418036</v>
      </c>
      <c r="BK20" s="42">
        <v>-1024551814</v>
      </c>
      <c r="BL20" s="42">
        <v>513342441</v>
      </c>
      <c r="BM20" s="42">
        <v>346075161</v>
      </c>
      <c r="BN20" s="42">
        <v>-680152853</v>
      </c>
      <c r="BO20" s="42">
        <v>-216894789</v>
      </c>
      <c r="BP20" s="42">
        <v>-959475147</v>
      </c>
      <c r="BQ20" s="42">
        <v>-456516965</v>
      </c>
      <c r="BR20" s="42">
        <v>-545598431</v>
      </c>
      <c r="BS20" s="42">
        <v>-937890122</v>
      </c>
      <c r="BT20" s="42">
        <v>254999480</v>
      </c>
      <c r="BU20" s="42">
        <v>-416203986</v>
      </c>
      <c r="BV20" s="42">
        <f>SUM('Dai loc:DLam'!BV20)</f>
        <v>0</v>
      </c>
      <c r="BW20" s="42">
        <f>SUM('Dai loc:DLam'!BW20)</f>
        <v>0</v>
      </c>
      <c r="BX20" s="42">
        <f>SUM('Dai loc:DLam'!BX20)</f>
        <v>0</v>
      </c>
      <c r="BY20" s="42">
        <f>SUM('Dai loc:DLam'!BY20)</f>
        <v>0</v>
      </c>
      <c r="BZ20" s="42">
        <f>SUM('Dai loc:DLam'!BZ20)</f>
        <v>0</v>
      </c>
      <c r="CA20" s="42">
        <f>SUM('Dai loc:DLam'!CA20)</f>
        <v>0</v>
      </c>
      <c r="CB20" s="42">
        <f>SUM('Dai loc:DLam'!CB20)</f>
        <v>0</v>
      </c>
      <c r="CC20" s="42">
        <f>SUM('Dai loc:DLam'!CC20)</f>
        <v>0</v>
      </c>
    </row>
    <row r="21" spans="1:81">
      <c r="A21" s="49">
        <v>18</v>
      </c>
      <c r="B21" s="22" t="s">
        <v>100</v>
      </c>
      <c r="C21" s="37">
        <v>6</v>
      </c>
      <c r="D21" s="37">
        <f>SUM(Data_PL8[[#This Row],[T1.2021]:[T12.2021]])</f>
        <v>0</v>
      </c>
      <c r="E21" s="37">
        <f>SUM(Data_PL8[[#This Row],[T1.2022]:[T12.2022]])</f>
        <v>0</v>
      </c>
      <c r="F21" s="37">
        <f>SUM(Data_PL8[[#This Row],[T1.2023]:[T12.2023]])</f>
        <v>0</v>
      </c>
      <c r="G21" s="37">
        <f>SUM(Data_PL8[[#This Row],[T01.2024]:[T12.2024]])</f>
        <v>0</v>
      </c>
      <c r="H21" s="37">
        <f>SUM(Data_PL8[[#This Row],[T01.2025]:[T12.2025]])</f>
        <v>0</v>
      </c>
      <c r="I21" s="37">
        <f>SUM(Data_PL8[[#This Row],[T01.2026]:[T12.2026]])</f>
        <v>0</v>
      </c>
      <c r="J21" s="50">
        <f>SUM('Dai loc:DLam'!J21)</f>
        <v>0</v>
      </c>
      <c r="K21" s="50">
        <f>SUM('Dai loc:DLam'!K21)</f>
        <v>0</v>
      </c>
      <c r="L21" s="50">
        <f>SUM('Dai loc:DLam'!L21)</f>
        <v>0</v>
      </c>
      <c r="M21" s="50">
        <f>SUM('Dai loc:DLam'!M21)</f>
        <v>0</v>
      </c>
      <c r="N21" s="50">
        <f>SUM('Dai loc:DLam'!N21)</f>
        <v>0</v>
      </c>
      <c r="O21" s="50">
        <f>SUM('Dai loc:DLam'!O21)</f>
        <v>0</v>
      </c>
      <c r="P21" s="50">
        <f>SUM('Dai loc:DLam'!P21)</f>
        <v>0</v>
      </c>
      <c r="Q21" s="50">
        <f>SUM('Dai loc:DLam'!Q21)</f>
        <v>0</v>
      </c>
      <c r="R21" s="50">
        <f>SUM('Dai loc:DLam'!R21)</f>
        <v>0</v>
      </c>
      <c r="S21" s="50">
        <f>SUM('Dai loc:DLam'!S21)</f>
        <v>0</v>
      </c>
      <c r="T21" s="50">
        <f>SUM('Dai loc:DLam'!T21)</f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14">
        <v>0</v>
      </c>
      <c r="AU21" s="50">
        <v>0</v>
      </c>
      <c r="AV21" s="50">
        <v>0</v>
      </c>
      <c r="AW21" s="50">
        <v>0</v>
      </c>
      <c r="AX21" s="50">
        <v>0</v>
      </c>
      <c r="AY21" s="50">
        <v>0</v>
      </c>
      <c r="AZ21" s="50">
        <v>0</v>
      </c>
      <c r="BA21" s="50">
        <v>0</v>
      </c>
      <c r="BB21" s="50">
        <v>0</v>
      </c>
      <c r="BC21" s="50">
        <v>0</v>
      </c>
      <c r="BD21" s="50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/>
      <c r="BR21" s="51"/>
      <c r="BS21" s="51">
        <v>0</v>
      </c>
      <c r="BT21" s="51"/>
      <c r="BU21" s="51"/>
      <c r="BV21" s="51">
        <f>SUM('Dai loc:DLam'!BV21)</f>
        <v>0</v>
      </c>
      <c r="BW21" s="51">
        <f>SUM('Dai loc:DLam'!BW21)</f>
        <v>0</v>
      </c>
      <c r="BX21" s="51">
        <f>SUM('Dai loc:DLam'!BX21)</f>
        <v>0</v>
      </c>
      <c r="BY21" s="51">
        <f>SUM('Dai loc:DLam'!BY21)</f>
        <v>0</v>
      </c>
      <c r="BZ21" s="51">
        <f>SUM('Dai loc:DLam'!BZ21)</f>
        <v>0</v>
      </c>
      <c r="CA21" s="51">
        <f>SUM('Dai loc:DLam'!CA21)</f>
        <v>0</v>
      </c>
      <c r="CB21" s="51">
        <f>SUM('Dai loc:DLam'!CB21)</f>
        <v>0</v>
      </c>
      <c r="CC21" s="51">
        <f>SUM('Dai loc:DLam'!CC21)</f>
        <v>0</v>
      </c>
    </row>
    <row r="22" spans="1:81">
      <c r="A22" s="52">
        <v>19</v>
      </c>
      <c r="B22" s="13" t="s">
        <v>101</v>
      </c>
      <c r="C22" s="37">
        <v>6</v>
      </c>
      <c r="D22" s="37">
        <f>SUM(Data_PL8[[#This Row],[T1.2021]:[T12.2021]])</f>
        <v>0</v>
      </c>
      <c r="E22" s="37">
        <f>SUM(Data_PL8[[#This Row],[T1.2022]:[T12.2022]])</f>
        <v>0</v>
      </c>
      <c r="F22" s="37">
        <f>SUM(Data_PL8[[#This Row],[T1.2023]:[T12.2023]])</f>
        <v>0</v>
      </c>
      <c r="G22" s="37">
        <f>SUM(Data_PL8[[#This Row],[T01.2024]:[T12.2024]])</f>
        <v>0</v>
      </c>
      <c r="H22" s="37">
        <f>SUM(Data_PL8[[#This Row],[T01.2025]:[T12.2025]])</f>
        <v>0</v>
      </c>
      <c r="I22" s="37">
        <f>SUM(Data_PL8[[#This Row],[T01.2026]:[T12.2026]])</f>
        <v>0</v>
      </c>
      <c r="J22" s="38">
        <f>SUM('Dai loc:DLam'!J22)</f>
        <v>0</v>
      </c>
      <c r="K22" s="38">
        <f>SUM('Dai loc:DLam'!K22)</f>
        <v>0</v>
      </c>
      <c r="L22" s="38">
        <f>SUM('Dai loc:DLam'!L22)</f>
        <v>0</v>
      </c>
      <c r="M22" s="38">
        <f>SUM('Dai loc:DLam'!M22)</f>
        <v>0</v>
      </c>
      <c r="N22" s="38">
        <f>SUM('Dai loc:DLam'!N22)</f>
        <v>0</v>
      </c>
      <c r="O22" s="38">
        <f>SUM('Dai loc:DLam'!O22)</f>
        <v>0</v>
      </c>
      <c r="P22" s="38">
        <f>SUM('Dai loc:DLam'!P22)</f>
        <v>0</v>
      </c>
      <c r="Q22" s="38">
        <f>SUM('Dai loc:DLam'!Q22)</f>
        <v>0</v>
      </c>
      <c r="R22" s="38">
        <f>SUM('Dai loc:DLam'!R22)</f>
        <v>0</v>
      </c>
      <c r="S22" s="38">
        <f>SUM('Dai loc:DLam'!S22)</f>
        <v>0</v>
      </c>
      <c r="T22" s="38">
        <f>SUM('Dai loc:DLam'!T22)</f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>
        <v>0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14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9">
        <v>0</v>
      </c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>
        <v>0</v>
      </c>
      <c r="BT22" s="39"/>
      <c r="BU22" s="39"/>
      <c r="BV22" s="39">
        <f>SUM('Dai loc:DLam'!BV22)</f>
        <v>0</v>
      </c>
      <c r="BW22" s="39">
        <f>SUM('Dai loc:DLam'!BW22)</f>
        <v>0</v>
      </c>
      <c r="BX22" s="39">
        <f>SUM('Dai loc:DLam'!BX22)</f>
        <v>0</v>
      </c>
      <c r="BY22" s="39">
        <f>SUM('Dai loc:DLam'!BY22)</f>
        <v>0</v>
      </c>
      <c r="BZ22" s="39">
        <f>SUM('Dai loc:DLam'!BZ22)</f>
        <v>0</v>
      </c>
      <c r="CA22" s="39">
        <f>SUM('Dai loc:DLam'!CA22)</f>
        <v>0</v>
      </c>
      <c r="CB22" s="39">
        <f>SUM('Dai loc:DLam'!CB22)</f>
        <v>0</v>
      </c>
      <c r="CC22" s="39">
        <f>SUM('Dai loc:DLam'!CC22)</f>
        <v>0</v>
      </c>
    </row>
    <row r="23" spans="1:81">
      <c r="A23" s="46">
        <v>20</v>
      </c>
      <c r="B23" s="10" t="s">
        <v>102</v>
      </c>
      <c r="C23" s="47">
        <v>6</v>
      </c>
      <c r="D23" s="47">
        <f>SUM(Data_PL8[[#This Row],[T1.2021]:[T12.2021]])</f>
        <v>-3849380124</v>
      </c>
      <c r="E23" s="47">
        <f>SUM(Data_PL8[[#This Row],[T1.2022]:[T12.2022]])</f>
        <v>-10030392001</v>
      </c>
      <c r="F23" s="47">
        <f>SUM(Data_PL8[[#This Row],[T1.2023]:[T12.2023]])</f>
        <v>-22631938371</v>
      </c>
      <c r="G23" s="47">
        <f>SUM(Data_PL8[[#This Row],[T01.2024]:[T12.2024]])</f>
        <v>-12555921130</v>
      </c>
      <c r="H23" s="47">
        <f>SUM(Data_PL8[[#This Row],[T01.2025]:[T12.2025]])</f>
        <v>-6653688966</v>
      </c>
      <c r="I23" s="47">
        <f>SUM(Data_PL8[[#This Row],[T01.2026]:[T12.2026]])</f>
        <v>-1644693059</v>
      </c>
      <c r="J23" s="20">
        <f>SUM('Dai loc:DLam'!J23)</f>
        <v>-631216701</v>
      </c>
      <c r="K23" s="20">
        <f>SUM('Dai loc:DLam'!K23)</f>
        <v>-419291178</v>
      </c>
      <c r="L23" s="20">
        <f>SUM('Dai loc:DLam'!L23)</f>
        <v>-454749795</v>
      </c>
      <c r="M23" s="20">
        <f>SUM('Dai loc:DLam'!M23)</f>
        <v>-387014507</v>
      </c>
      <c r="N23" s="20">
        <f>SUM('Dai loc:DLam'!N23)</f>
        <v>-328981725</v>
      </c>
      <c r="O23" s="20">
        <f>SUM('Dai loc:DLam'!O23)</f>
        <v>-310016105</v>
      </c>
      <c r="P23" s="20">
        <f>SUM('Dai loc:DLam'!P23)</f>
        <v>-241170636</v>
      </c>
      <c r="Q23" s="20">
        <f>SUM('Dai loc:DLam'!Q23)</f>
        <v>-193037525</v>
      </c>
      <c r="R23" s="20">
        <f>SUM('Dai loc:DLam'!R23)</f>
        <v>-267771911</v>
      </c>
      <c r="S23" s="20">
        <f>SUM('Dai loc:DLam'!S23)</f>
        <v>-266055816</v>
      </c>
      <c r="T23" s="20">
        <f>SUM('Dai loc:DLam'!T23)</f>
        <v>-344858840</v>
      </c>
      <c r="U23" s="20">
        <v>-5215385</v>
      </c>
      <c r="V23" s="20">
        <v>-54190586</v>
      </c>
      <c r="W23" s="20">
        <v>-80964549</v>
      </c>
      <c r="X23" s="20">
        <v>-120696934</v>
      </c>
      <c r="Y23" s="20">
        <v>-311288386</v>
      </c>
      <c r="Z23" s="20">
        <v>-396537482</v>
      </c>
      <c r="AA23" s="20">
        <v>-1637748290</v>
      </c>
      <c r="AB23" s="20">
        <v>-763929325</v>
      </c>
      <c r="AC23" s="20">
        <v>616936750</v>
      </c>
      <c r="AD23" s="20">
        <v>-200819028</v>
      </c>
      <c r="AE23" s="20">
        <v>-370421331</v>
      </c>
      <c r="AF23" s="20">
        <v>-2723615820</v>
      </c>
      <c r="AG23" s="20">
        <v>-3987117020</v>
      </c>
      <c r="AH23" s="20">
        <v>-1573147901</v>
      </c>
      <c r="AI23" s="20">
        <v>-1993641840</v>
      </c>
      <c r="AJ23" s="20">
        <v>-3237798497</v>
      </c>
      <c r="AK23" s="20">
        <v>-2993991777</v>
      </c>
      <c r="AL23" s="20">
        <v>-2290568807</v>
      </c>
      <c r="AM23" s="20">
        <v>-2226816034</v>
      </c>
      <c r="AN23" s="20">
        <v>-2128320328</v>
      </c>
      <c r="AO23" s="20">
        <v>-1661553514</v>
      </c>
      <c r="AP23" s="20">
        <v>-936838449</v>
      </c>
      <c r="AQ23" s="20">
        <v>-744292718</v>
      </c>
      <c r="AR23" s="20">
        <v>-2741796490</v>
      </c>
      <c r="AS23" s="20">
        <v>-103172016</v>
      </c>
      <c r="AT23" s="20">
        <v>-2449116513</v>
      </c>
      <c r="AU23" s="20">
        <v>-1201465852</v>
      </c>
      <c r="AV23" s="20">
        <v>-79981688</v>
      </c>
      <c r="AW23" s="20">
        <v>-570055628</v>
      </c>
      <c r="AX23" s="20">
        <v>-1216614710</v>
      </c>
      <c r="AY23" s="20">
        <v>-1620055205</v>
      </c>
      <c r="AZ23" s="20">
        <v>-956690038</v>
      </c>
      <c r="BA23" s="20">
        <v>-933950607</v>
      </c>
      <c r="BB23" s="20">
        <v>-676218518</v>
      </c>
      <c r="BC23" s="20">
        <v>-428240201</v>
      </c>
      <c r="BD23" s="20">
        <v>-1170367442</v>
      </c>
      <c r="BE23" s="20">
        <v>-1253164728</v>
      </c>
      <c r="BF23" s="20">
        <v>-1512604872</v>
      </c>
      <c r="BG23" s="20">
        <v>-1408925428</v>
      </c>
      <c r="BH23" s="20">
        <v>-567299860</v>
      </c>
      <c r="BI23" s="20">
        <v>-881102876</v>
      </c>
      <c r="BJ23" s="20">
        <v>194418036</v>
      </c>
      <c r="BK23" s="20">
        <v>-1024551814</v>
      </c>
      <c r="BL23" s="20">
        <v>513342441</v>
      </c>
      <c r="BM23" s="20">
        <v>346075161</v>
      </c>
      <c r="BN23" s="20">
        <v>-680152853</v>
      </c>
      <c r="BO23" s="20">
        <v>-216894789</v>
      </c>
      <c r="BP23" s="20">
        <v>-959475147</v>
      </c>
      <c r="BQ23" s="20">
        <v>-456516965</v>
      </c>
      <c r="BR23" s="20">
        <v>-545598431</v>
      </c>
      <c r="BS23" s="20">
        <v>-937890122</v>
      </c>
      <c r="BT23" s="20">
        <v>254999480</v>
      </c>
      <c r="BU23" s="20">
        <v>-416203986</v>
      </c>
      <c r="BV23" s="20">
        <f>SUM('Dai loc:DLam'!BV23)</f>
        <v>0</v>
      </c>
      <c r="BW23" s="20">
        <f>SUM('Dai loc:DLam'!BW23)</f>
        <v>0</v>
      </c>
      <c r="BX23" s="20">
        <f>SUM('Dai loc:DLam'!BX23)</f>
        <v>0</v>
      </c>
      <c r="BY23" s="20">
        <f>SUM('Dai loc:DLam'!BY23)</f>
        <v>0</v>
      </c>
      <c r="BZ23" s="20">
        <f>SUM('Dai loc:DLam'!BZ23)</f>
        <v>0</v>
      </c>
      <c r="CA23" s="20">
        <f>SUM('Dai loc:DLam'!CA23)</f>
        <v>0</v>
      </c>
      <c r="CB23" s="20">
        <f>SUM('Dai loc:DLam'!CB23)</f>
        <v>0</v>
      </c>
      <c r="CC23" s="20">
        <f>SUM('Dai loc:DLam'!CC23)</f>
        <v>0</v>
      </c>
    </row>
    <row r="24" spans="1:81">
      <c r="A24" s="80"/>
      <c r="B24" s="72" t="s">
        <v>109</v>
      </c>
      <c r="D24" s="78">
        <f>D23/D7</f>
        <v>-0.7775510282141942</v>
      </c>
      <c r="E24" s="78">
        <f t="shared" ref="E24:I24" si="0">E23/E7</f>
        <v>-0.27982247570380059</v>
      </c>
      <c r="F24" s="78">
        <f t="shared" si="0"/>
        <v>-0.32905068080182553</v>
      </c>
      <c r="G24" s="78">
        <f t="shared" si="0"/>
        <v>-0.10069210286750839</v>
      </c>
      <c r="H24" s="78">
        <f t="shared" si="0"/>
        <v>-3.8255491003853288E-2</v>
      </c>
      <c r="I24" s="78">
        <f t="shared" si="0"/>
        <v>-3.3495210010382873E-2</v>
      </c>
      <c r="J24" s="81">
        <f>SUM('Dai loc:DLam'!J24)</f>
        <v>0</v>
      </c>
      <c r="K24" s="81">
        <f>SUM('Dai loc:DLam'!K24)</f>
        <v>0</v>
      </c>
      <c r="L24" s="81">
        <f>SUM('Dai loc:DLam'!L24)</f>
        <v>0</v>
      </c>
      <c r="M24" s="81">
        <f>SUM('Dai loc:DLam'!M24)</f>
        <v>0</v>
      </c>
      <c r="N24" s="81">
        <f>SUM('Dai loc:DLam'!N24)</f>
        <v>0</v>
      </c>
      <c r="O24" s="81">
        <f>SUM('Dai loc:DLam'!O24)</f>
        <v>0</v>
      </c>
      <c r="P24" s="81">
        <f>SUM('Dai loc:DLam'!P24)</f>
        <v>0</v>
      </c>
      <c r="Q24" s="81">
        <f>SUM('Dai loc:DLam'!Q24)</f>
        <v>0</v>
      </c>
      <c r="R24" s="81">
        <f>SUM('Dai loc:DLam'!R24)</f>
        <v>0</v>
      </c>
      <c r="S24" s="81">
        <f>SUM('Dai loc:DLam'!S24)</f>
        <v>0</v>
      </c>
      <c r="T24" s="81">
        <f>SUM('Dai loc:DLam'!T24)</f>
        <v>0</v>
      </c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1">
        <f>SUM('Dai loc:DLam'!BV24)</f>
        <v>0</v>
      </c>
      <c r="BW24" s="81">
        <f>SUM('Dai loc:DLam'!BW24)</f>
        <v>0</v>
      </c>
      <c r="BX24" s="81">
        <f>SUM('Dai loc:DLam'!BX24)</f>
        <v>0</v>
      </c>
      <c r="BY24" s="81">
        <f>SUM('Dai loc:DLam'!BY24)</f>
        <v>0</v>
      </c>
      <c r="BZ24" s="81">
        <f>SUM('Dai loc:DLam'!BZ24)</f>
        <v>0</v>
      </c>
      <c r="CA24" s="81">
        <f>SUM('Dai loc:DLam'!CA24)</f>
        <v>0</v>
      </c>
      <c r="CB24" s="81">
        <f>SUM('Dai loc:DLam'!CB24)</f>
        <v>0</v>
      </c>
      <c r="CC24" s="81">
        <f>SUM('Dai loc:DLam'!CC24)</f>
        <v>0</v>
      </c>
    </row>
  </sheetData>
  <protectedRanges>
    <protectedRange sqref="J4:CC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D2B7-21AB-48D4-8473-EA62291C381D}">
  <dimension ref="A1:CC24"/>
  <sheetViews>
    <sheetView topLeftCell="B1" workbookViewId="0">
      <selection activeCell="B16" sqref="B16"/>
    </sheetView>
  </sheetViews>
  <sheetFormatPr defaultRowHeight="14.5"/>
  <cols>
    <col min="1" max="1" width="8.81640625" style="24" hidden="1" customWidth="1"/>
    <col min="2" max="2" width="56" bestFit="1" customWidth="1"/>
    <col min="3" max="3" width="15.1796875" hidden="1" customWidth="1"/>
    <col min="4" max="4" width="14.54296875" bestFit="1" customWidth="1"/>
    <col min="5" max="6" width="15.6328125" bestFit="1" customWidth="1"/>
    <col min="7" max="7" width="16.08984375" bestFit="1" customWidth="1"/>
    <col min="8" max="8" width="17.36328125" bestFit="1" customWidth="1"/>
    <col min="9" max="9" width="15.6328125" bestFit="1" customWidth="1"/>
    <col min="10" max="81" width="17.54296875" customWidth="1"/>
  </cols>
  <sheetData>
    <row r="1" spans="1:81" ht="17.5">
      <c r="B1" s="1" t="s">
        <v>103</v>
      </c>
    </row>
    <row r="2" spans="1:81">
      <c r="B2" s="2" t="s">
        <v>1</v>
      </c>
    </row>
    <row r="3" spans="1:81" ht="28">
      <c r="A3" s="25" t="s">
        <v>2</v>
      </c>
      <c r="B3" s="26" t="s">
        <v>3</v>
      </c>
      <c r="C3" s="27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28" t="s">
        <v>11</v>
      </c>
      <c r="K3" s="28" t="s">
        <v>12</v>
      </c>
      <c r="L3" s="28" t="s">
        <v>13</v>
      </c>
      <c r="M3" s="28" t="s">
        <v>14</v>
      </c>
      <c r="N3" s="28" t="s">
        <v>15</v>
      </c>
      <c r="O3" s="28" t="s">
        <v>16</v>
      </c>
      <c r="P3" s="28" t="s">
        <v>17</v>
      </c>
      <c r="Q3" s="28" t="s">
        <v>18</v>
      </c>
      <c r="R3" s="28" t="s">
        <v>19</v>
      </c>
      <c r="S3" s="28" t="s">
        <v>20</v>
      </c>
      <c r="T3" s="28" t="s">
        <v>21</v>
      </c>
      <c r="U3" s="28" t="s">
        <v>22</v>
      </c>
      <c r="V3" s="28" t="s">
        <v>23</v>
      </c>
      <c r="W3" s="28" t="s">
        <v>24</v>
      </c>
      <c r="X3" s="28" t="s">
        <v>25</v>
      </c>
      <c r="Y3" s="28" t="s">
        <v>26</v>
      </c>
      <c r="Z3" s="28" t="s">
        <v>27</v>
      </c>
      <c r="AA3" s="28" t="s">
        <v>28</v>
      </c>
      <c r="AB3" s="28" t="s">
        <v>29</v>
      </c>
      <c r="AC3" s="28" t="s">
        <v>30</v>
      </c>
      <c r="AD3" s="28" t="s">
        <v>31</v>
      </c>
      <c r="AE3" s="28" t="s">
        <v>32</v>
      </c>
      <c r="AF3" s="28" t="s">
        <v>33</v>
      </c>
      <c r="AG3" s="28" t="s">
        <v>34</v>
      </c>
      <c r="AH3" s="28" t="s">
        <v>35</v>
      </c>
      <c r="AI3" s="28" t="s">
        <v>36</v>
      </c>
      <c r="AJ3" s="28" t="s">
        <v>37</v>
      </c>
      <c r="AK3" s="28" t="s">
        <v>38</v>
      </c>
      <c r="AL3" s="28" t="s">
        <v>39</v>
      </c>
      <c r="AM3" s="28" t="s">
        <v>40</v>
      </c>
      <c r="AN3" s="28" t="s">
        <v>41</v>
      </c>
      <c r="AO3" s="28" t="s">
        <v>42</v>
      </c>
      <c r="AP3" s="28" t="s">
        <v>43</v>
      </c>
      <c r="AQ3" s="28" t="s">
        <v>44</v>
      </c>
      <c r="AR3" s="28" t="s">
        <v>45</v>
      </c>
      <c r="AS3" s="28" t="s">
        <v>46</v>
      </c>
      <c r="AT3" s="28" t="s">
        <v>47</v>
      </c>
      <c r="AU3" s="28" t="s">
        <v>48</v>
      </c>
      <c r="AV3" s="28" t="s">
        <v>49</v>
      </c>
      <c r="AW3" s="28" t="s">
        <v>50</v>
      </c>
      <c r="AX3" s="28" t="s">
        <v>51</v>
      </c>
      <c r="AY3" s="28" t="s">
        <v>52</v>
      </c>
      <c r="AZ3" s="28" t="s">
        <v>53</v>
      </c>
      <c r="BA3" s="28" t="s">
        <v>54</v>
      </c>
      <c r="BB3" s="28" t="s">
        <v>55</v>
      </c>
      <c r="BC3" s="28" t="s">
        <v>56</v>
      </c>
      <c r="BD3" s="28" t="s">
        <v>57</v>
      </c>
      <c r="BE3" s="28" t="s">
        <v>58</v>
      </c>
      <c r="BF3" s="28" t="s">
        <v>59</v>
      </c>
      <c r="BG3" s="28" t="s">
        <v>60</v>
      </c>
      <c r="BH3" s="28" t="s">
        <v>61</v>
      </c>
      <c r="BI3" s="28" t="s">
        <v>62</v>
      </c>
      <c r="BJ3" s="28" t="s">
        <v>63</v>
      </c>
      <c r="BK3" s="28" t="s">
        <v>64</v>
      </c>
      <c r="BL3" s="28" t="s">
        <v>65</v>
      </c>
      <c r="BM3" s="28" t="s">
        <v>66</v>
      </c>
      <c r="BN3" s="28" t="s">
        <v>67</v>
      </c>
      <c r="BO3" s="28" t="s">
        <v>68</v>
      </c>
      <c r="BP3" s="28" t="s">
        <v>69</v>
      </c>
      <c r="BQ3" s="28" t="s">
        <v>70</v>
      </c>
      <c r="BR3" s="28" t="s">
        <v>71</v>
      </c>
      <c r="BS3" s="28" t="s">
        <v>72</v>
      </c>
      <c r="BT3" s="28" t="s">
        <v>73</v>
      </c>
      <c r="BU3" s="28" t="s">
        <v>74</v>
      </c>
      <c r="BV3" s="28" t="s">
        <v>75</v>
      </c>
      <c r="BW3" s="28" t="s">
        <v>76</v>
      </c>
      <c r="BX3" s="28" t="s">
        <v>77</v>
      </c>
      <c r="BY3" s="28" t="s">
        <v>78</v>
      </c>
      <c r="BZ3" s="28" t="s">
        <v>79</v>
      </c>
      <c r="CA3" s="28" t="s">
        <v>80</v>
      </c>
      <c r="CB3" s="28" t="s">
        <v>81</v>
      </c>
      <c r="CC3" s="28" t="s">
        <v>82</v>
      </c>
    </row>
    <row r="4" spans="1:81">
      <c r="A4" s="29">
        <v>1</v>
      </c>
      <c r="B4" s="7" t="s">
        <v>104</v>
      </c>
      <c r="C4" s="30">
        <v>6</v>
      </c>
      <c r="D4" s="8">
        <f>SUM(Data_PL[[#This Row],[T1.2021]:[T12.2021]])</f>
        <v>0</v>
      </c>
      <c r="E4" s="8">
        <f>SUM(Data_PL[[#This Row],[T1.2022]:[T12.2022]])</f>
        <v>2444.1040000000003</v>
      </c>
      <c r="F4" s="8">
        <f>SUM(Data_PL[[#This Row],[T1.2023]:[T12.2023]])</f>
        <v>4773.3469999999998</v>
      </c>
      <c r="G4" s="8">
        <f>SUM(Data_PL[[#This Row],[T01.2024]:[T12.2024]])</f>
        <v>6788</v>
      </c>
      <c r="H4" s="8">
        <f>SUM(Data_PL[[#This Row],[T01.2025]:[T12.2025]])</f>
        <v>10024.546</v>
      </c>
      <c r="I4" s="8">
        <f>SUM(Data_PL[[#This Row],[T01.2026]:[T12.2026]])</f>
        <v>3212.4859999999999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54.835000000000001</v>
      </c>
      <c r="Z4" s="31">
        <v>109.376</v>
      </c>
      <c r="AA4" s="31">
        <v>98.263000000000005</v>
      </c>
      <c r="AB4" s="31">
        <v>105.184</v>
      </c>
      <c r="AC4" s="31">
        <v>213.47300000000001</v>
      </c>
      <c r="AD4" s="31">
        <v>201.09700000000001</v>
      </c>
      <c r="AE4" s="31">
        <v>390.959</v>
      </c>
      <c r="AF4" s="31">
        <v>542.95100000000002</v>
      </c>
      <c r="AG4" s="31">
        <v>727.96600000000001</v>
      </c>
      <c r="AH4" s="31">
        <v>208.2345</v>
      </c>
      <c r="AI4" s="31">
        <v>392.92200000000003</v>
      </c>
      <c r="AJ4" s="31">
        <v>716.88350000000003</v>
      </c>
      <c r="AK4" s="31">
        <v>473.315</v>
      </c>
      <c r="AL4" s="31">
        <v>316.38099999999997</v>
      </c>
      <c r="AM4" s="31">
        <v>414.83100000000002</v>
      </c>
      <c r="AN4" s="31">
        <v>288</v>
      </c>
      <c r="AO4" s="31">
        <v>282</v>
      </c>
      <c r="AP4" s="31">
        <v>269.83</v>
      </c>
      <c r="AQ4" s="31">
        <v>453.71600000000001</v>
      </c>
      <c r="AR4" s="31">
        <v>445.65550000000002</v>
      </c>
      <c r="AS4" s="31">
        <v>511.57850000000002</v>
      </c>
      <c r="AT4" s="8">
        <v>938</v>
      </c>
      <c r="AU4" s="31">
        <v>278</v>
      </c>
      <c r="AV4" s="31">
        <v>573</v>
      </c>
      <c r="AW4" s="31">
        <v>500</v>
      </c>
      <c r="AX4" s="31">
        <v>507</v>
      </c>
      <c r="AY4" s="31">
        <v>799</v>
      </c>
      <c r="AZ4" s="31">
        <v>509</v>
      </c>
      <c r="BA4" s="31">
        <v>498</v>
      </c>
      <c r="BB4" s="31">
        <v>551</v>
      </c>
      <c r="BC4" s="31">
        <v>716</v>
      </c>
      <c r="BD4" s="32">
        <v>538</v>
      </c>
      <c r="BE4" s="33">
        <v>381</v>
      </c>
      <c r="BF4" s="8">
        <v>335.18099999999998</v>
      </c>
      <c r="BG4" s="31">
        <v>444.00400000000002</v>
      </c>
      <c r="BH4" s="31">
        <v>890.471</v>
      </c>
      <c r="BI4" s="31">
        <v>800.71199999999999</v>
      </c>
      <c r="BJ4" s="31">
        <v>928.13599999999997</v>
      </c>
      <c r="BK4" s="31">
        <v>1154.8889999999999</v>
      </c>
      <c r="BL4" s="31">
        <v>1153.798</v>
      </c>
      <c r="BM4" s="31">
        <v>1107.847</v>
      </c>
      <c r="BN4" s="31">
        <v>1004.975</v>
      </c>
      <c r="BO4" s="31">
        <v>1004.9</v>
      </c>
      <c r="BP4" s="31">
        <v>513.84</v>
      </c>
      <c r="BQ4" s="31">
        <v>685.79300000000001</v>
      </c>
      <c r="BR4" s="31">
        <v>783.08199999999999</v>
      </c>
      <c r="BS4" s="31">
        <v>523.87300000000005</v>
      </c>
      <c r="BT4" s="31">
        <v>990.11400000000003</v>
      </c>
      <c r="BU4" s="31">
        <f t="shared" ref="BU4" si="0">915417/1000</f>
        <v>915.41700000000003</v>
      </c>
      <c r="BV4" s="31"/>
      <c r="BW4" s="31"/>
      <c r="BX4" s="31"/>
      <c r="BY4" s="31"/>
      <c r="BZ4" s="31"/>
      <c r="CA4" s="31"/>
      <c r="CB4" s="31"/>
      <c r="CC4" s="31"/>
    </row>
    <row r="5" spans="1:81">
      <c r="A5" s="34">
        <v>2</v>
      </c>
      <c r="B5" s="10" t="s">
        <v>84</v>
      </c>
      <c r="C5" s="35">
        <v>6</v>
      </c>
      <c r="D5" s="35">
        <f>SUM(Data_PL[[#This Row],[T1.2021]:[T12.2021]])</f>
        <v>0</v>
      </c>
      <c r="E5" s="35">
        <f>SUM(Data_PL[[#This Row],[T1.2022]:[T12.2022]])</f>
        <v>35845555207</v>
      </c>
      <c r="F5" s="35">
        <f>SUM(Data_PL[[#This Row],[T1.2023]:[T12.2023]])</f>
        <v>68779491098</v>
      </c>
      <c r="G5" s="35">
        <f>SUM(Data_PL[[#This Row],[T01.2024]:[T12.2024]])</f>
        <v>124696185425</v>
      </c>
      <c r="H5" s="35">
        <f>SUM(Data_PL[[#This Row],[T01.2025]:[T12.2025]])</f>
        <v>173927684403</v>
      </c>
      <c r="I5" s="35">
        <f>SUM(Data_PL[[#This Row],[T01.2026]:[T12.2026]])</f>
        <v>49102336080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>
        <v>0</v>
      </c>
      <c r="V5" s="11">
        <v>0</v>
      </c>
      <c r="W5" s="11">
        <v>0</v>
      </c>
      <c r="X5" s="11">
        <v>0</v>
      </c>
      <c r="Y5" s="11">
        <v>867124500</v>
      </c>
      <c r="Z5" s="11">
        <v>1806629000</v>
      </c>
      <c r="AA5" s="11">
        <v>1808611000</v>
      </c>
      <c r="AB5" s="11">
        <v>1898558000</v>
      </c>
      <c r="AC5" s="11">
        <v>3939705500</v>
      </c>
      <c r="AD5" s="11">
        <v>3396159500</v>
      </c>
      <c r="AE5" s="11">
        <v>7207694201</v>
      </c>
      <c r="AF5" s="11">
        <v>5938251216</v>
      </c>
      <c r="AG5" s="11">
        <v>8982822290</v>
      </c>
      <c r="AH5" s="11">
        <v>2253383204</v>
      </c>
      <c r="AI5" s="11">
        <v>4265090683</v>
      </c>
      <c r="AJ5" s="11">
        <v>10639282713</v>
      </c>
      <c r="AK5" s="11">
        <v>6949558981</v>
      </c>
      <c r="AL5" s="11">
        <v>3324235725</v>
      </c>
      <c r="AM5" s="11">
        <v>5636906111</v>
      </c>
      <c r="AN5" s="11">
        <v>3501002041</v>
      </c>
      <c r="AO5" s="11">
        <v>4192925810</v>
      </c>
      <c r="AP5" s="11">
        <v>4197374650</v>
      </c>
      <c r="AQ5" s="11">
        <v>7583193100</v>
      </c>
      <c r="AR5" s="11">
        <v>7831508500</v>
      </c>
      <c r="AS5" s="11">
        <v>8405029580</v>
      </c>
      <c r="AT5" s="11">
        <v>18859106420</v>
      </c>
      <c r="AU5" s="11">
        <v>4569145960</v>
      </c>
      <c r="AV5" s="11">
        <v>9889167500</v>
      </c>
      <c r="AW5" s="11">
        <v>8988544600</v>
      </c>
      <c r="AX5" s="11">
        <v>8396397250</v>
      </c>
      <c r="AY5" s="11">
        <v>13981977600</v>
      </c>
      <c r="AZ5" s="11">
        <v>8695495766</v>
      </c>
      <c r="BA5" s="11">
        <v>9066018899</v>
      </c>
      <c r="BB5" s="11">
        <v>10085358702</v>
      </c>
      <c r="BC5" s="11">
        <v>12770520896</v>
      </c>
      <c r="BD5" s="11">
        <v>10341915406</v>
      </c>
      <c r="BE5" s="11">
        <v>9052536426</v>
      </c>
      <c r="BF5" s="11">
        <v>5422948492</v>
      </c>
      <c r="BG5" s="11">
        <v>8810676928</v>
      </c>
      <c r="BH5" s="11">
        <v>16279256392</v>
      </c>
      <c r="BI5" s="11">
        <v>14772471605</v>
      </c>
      <c r="BJ5" s="11">
        <v>17582066937</v>
      </c>
      <c r="BK5" s="11">
        <v>19496019197</v>
      </c>
      <c r="BL5" s="11">
        <v>21794142714</v>
      </c>
      <c r="BM5" s="11">
        <v>20947068360</v>
      </c>
      <c r="BN5" s="11">
        <v>16624308416</v>
      </c>
      <c r="BO5" s="11">
        <v>14529961948</v>
      </c>
      <c r="BP5" s="11">
        <v>7374095784</v>
      </c>
      <c r="BQ5" s="11">
        <v>10294667630</v>
      </c>
      <c r="BR5" s="11">
        <v>11775760050</v>
      </c>
      <c r="BS5" s="11">
        <v>8275817930</v>
      </c>
      <c r="BT5" s="11">
        <v>14654267870</v>
      </c>
      <c r="BU5" s="11">
        <v>14396490230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36">
        <v>3</v>
      </c>
      <c r="B6" s="13" t="s">
        <v>85</v>
      </c>
      <c r="C6" s="37">
        <v>6</v>
      </c>
      <c r="D6" s="37">
        <f>SUM(Data_PL[[#This Row],[T1.2021]:[T12.2021]])</f>
        <v>0</v>
      </c>
      <c r="E6" s="37">
        <f>SUM(Data_PL[[#This Row],[T1.2022]:[T12.2022]])</f>
        <v>0</v>
      </c>
      <c r="F6" s="37">
        <f>SUM(Data_PL[[#This Row],[T1.2023]:[T12.2023]])</f>
        <v>0</v>
      </c>
      <c r="G6" s="37">
        <f>SUM(Data_PL[[#This Row],[T01.2024]:[T12.2024]])</f>
        <v>0</v>
      </c>
      <c r="H6" s="37">
        <f>SUM(Data_PL[[#This Row],[T01.2025]:[T12.2025]])</f>
        <v>0</v>
      </c>
      <c r="I6" s="37">
        <f>SUM(Data_PL[[#This Row],[T01.2026]:[T12.2026]])</f>
        <v>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38">
        <v>0</v>
      </c>
      <c r="AX6" s="38">
        <v>0</v>
      </c>
      <c r="AY6" s="38">
        <v>0</v>
      </c>
      <c r="AZ6" s="38">
        <v>0</v>
      </c>
      <c r="BA6" s="38">
        <v>0</v>
      </c>
      <c r="BB6" s="38">
        <v>0</v>
      </c>
      <c r="BC6" s="38">
        <v>0</v>
      </c>
      <c r="BD6" s="38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  <c r="BP6" s="39">
        <v>0</v>
      </c>
      <c r="BQ6" s="39">
        <v>0</v>
      </c>
      <c r="BR6" s="39"/>
      <c r="BS6" s="39">
        <v>0</v>
      </c>
      <c r="BT6" s="39"/>
      <c r="BU6" s="39"/>
      <c r="BV6" s="39"/>
      <c r="BW6" s="39"/>
      <c r="BX6" s="39"/>
      <c r="BY6" s="39"/>
      <c r="BZ6" s="39"/>
      <c r="CA6" s="39"/>
      <c r="CB6" s="39"/>
      <c r="CC6" s="39"/>
    </row>
    <row r="7" spans="1:81">
      <c r="A7" s="40">
        <v>4</v>
      </c>
      <c r="B7" s="10" t="s">
        <v>86</v>
      </c>
      <c r="C7" s="41">
        <v>6</v>
      </c>
      <c r="D7" s="41">
        <f>SUM(Data_PL[[#This Row],[T1.2021]:[T12.2021]])</f>
        <v>0</v>
      </c>
      <c r="E7" s="41">
        <f>SUM(Data_PL[[#This Row],[T1.2022]:[T12.2022]])</f>
        <v>35845555207</v>
      </c>
      <c r="F7" s="41">
        <f>SUM(Data_PL[[#This Row],[T1.2023]:[T12.2023]])</f>
        <v>68779491098</v>
      </c>
      <c r="G7" s="41">
        <f>SUM(Data_PL[[#This Row],[T01.2024]:[T12.2024]])</f>
        <v>124696185425</v>
      </c>
      <c r="H7" s="41">
        <f>SUM(Data_PL[[#This Row],[T01.2025]:[T12.2025]])</f>
        <v>173927684403</v>
      </c>
      <c r="I7" s="41">
        <f>SUM(Data_PL[[#This Row],[T01.2026]:[T12.2026]])</f>
        <v>49102336080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0</v>
      </c>
      <c r="V7" s="16">
        <v>0</v>
      </c>
      <c r="W7" s="16">
        <v>0</v>
      </c>
      <c r="X7" s="16">
        <v>0</v>
      </c>
      <c r="Y7" s="16">
        <v>867124500</v>
      </c>
      <c r="Z7" s="16">
        <v>1806629000</v>
      </c>
      <c r="AA7" s="16">
        <v>1808611000</v>
      </c>
      <c r="AB7" s="16">
        <v>1898558000</v>
      </c>
      <c r="AC7" s="16">
        <v>3939705500</v>
      </c>
      <c r="AD7" s="16">
        <v>3396159500</v>
      </c>
      <c r="AE7" s="16">
        <v>7207694201</v>
      </c>
      <c r="AF7" s="16">
        <v>5938251216</v>
      </c>
      <c r="AG7" s="16">
        <v>8982822290</v>
      </c>
      <c r="AH7" s="16">
        <v>2253383204</v>
      </c>
      <c r="AI7" s="16">
        <v>4265090683</v>
      </c>
      <c r="AJ7" s="16">
        <v>10639282713</v>
      </c>
      <c r="AK7" s="16">
        <v>6949558981</v>
      </c>
      <c r="AL7" s="16">
        <v>3324235725</v>
      </c>
      <c r="AM7" s="16">
        <v>5636906111</v>
      </c>
      <c r="AN7" s="16">
        <v>3501002041</v>
      </c>
      <c r="AO7" s="16">
        <v>4192925810</v>
      </c>
      <c r="AP7" s="16">
        <v>4197374650</v>
      </c>
      <c r="AQ7" s="16">
        <v>7583193100</v>
      </c>
      <c r="AR7" s="16">
        <v>7831508500</v>
      </c>
      <c r="AS7" s="16">
        <v>8405029580</v>
      </c>
      <c r="AT7" s="16">
        <v>18859106420</v>
      </c>
      <c r="AU7" s="16">
        <v>4569145960</v>
      </c>
      <c r="AV7" s="16">
        <v>9889167500</v>
      </c>
      <c r="AW7" s="16">
        <v>8988544600</v>
      </c>
      <c r="AX7" s="16">
        <v>8396397250</v>
      </c>
      <c r="AY7" s="16">
        <v>13981977600</v>
      </c>
      <c r="AZ7" s="16">
        <v>8695495766</v>
      </c>
      <c r="BA7" s="16">
        <v>9066018899</v>
      </c>
      <c r="BB7" s="16">
        <v>10085358702</v>
      </c>
      <c r="BC7" s="16">
        <v>12770520896</v>
      </c>
      <c r="BD7" s="16">
        <v>10341915406</v>
      </c>
      <c r="BE7" s="42">
        <v>9052536426</v>
      </c>
      <c r="BF7" s="42">
        <v>5422948492</v>
      </c>
      <c r="BG7" s="42">
        <v>8810676928</v>
      </c>
      <c r="BH7" s="42">
        <v>16279256392</v>
      </c>
      <c r="BI7" s="42">
        <v>14772471605</v>
      </c>
      <c r="BJ7" s="42">
        <v>17582066937</v>
      </c>
      <c r="BK7" s="42">
        <v>19496019197</v>
      </c>
      <c r="BL7" s="42">
        <v>21794142714</v>
      </c>
      <c r="BM7" s="42">
        <v>20947068360</v>
      </c>
      <c r="BN7" s="42">
        <v>16624308416</v>
      </c>
      <c r="BO7" s="42">
        <v>14529961948</v>
      </c>
      <c r="BP7" s="42">
        <v>7374095784</v>
      </c>
      <c r="BQ7" s="42">
        <v>10294667630</v>
      </c>
      <c r="BR7" s="42">
        <v>11775760050</v>
      </c>
      <c r="BS7" s="42">
        <v>8275817930</v>
      </c>
      <c r="BT7" s="42">
        <v>14654267870</v>
      </c>
      <c r="BU7" s="42">
        <v>14396490230</v>
      </c>
      <c r="BV7" s="42"/>
      <c r="BW7" s="42"/>
      <c r="BX7" s="42"/>
      <c r="BY7" s="42"/>
      <c r="BZ7" s="42"/>
      <c r="CA7" s="42"/>
      <c r="CB7" s="42"/>
      <c r="CC7" s="42"/>
    </row>
    <row r="8" spans="1:81" ht="15.5">
      <c r="A8" s="36">
        <v>5</v>
      </c>
      <c r="B8" s="13" t="s">
        <v>87</v>
      </c>
      <c r="C8" s="43">
        <v>6</v>
      </c>
      <c r="D8" s="37">
        <f>SUM(Data_PL[[#This Row],[T1.2021]:[T12.2021]])</f>
        <v>0</v>
      </c>
      <c r="E8" s="37">
        <f>SUM(Data_PL[[#This Row],[T1.2022]:[T12.2022]])</f>
        <v>38057133750</v>
      </c>
      <c r="F8" s="37">
        <f>SUM(Data_PL[[#This Row],[T1.2023]:[T12.2023]])</f>
        <v>83388707818</v>
      </c>
      <c r="G8" s="37">
        <f>SUM(Data_PL[[#This Row],[T01.2024]:[T12.2024]])</f>
        <v>130705402599</v>
      </c>
      <c r="H8" s="37">
        <f>SUM(Data_PL[[#This Row],[T01.2025]:[T12.2025]])</f>
        <v>173615125606</v>
      </c>
      <c r="I8" s="37">
        <f>SUM(Data_PL[[#This Row],[T01.2026]:[T12.2026]])</f>
        <v>46648691386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>
        <v>0</v>
      </c>
      <c r="V8" s="14">
        <v>0</v>
      </c>
      <c r="W8" s="14">
        <v>0</v>
      </c>
      <c r="X8" s="14">
        <v>0</v>
      </c>
      <c r="Y8" s="14">
        <v>1043158263</v>
      </c>
      <c r="Z8" s="14">
        <v>2018502531</v>
      </c>
      <c r="AA8" s="14">
        <v>3246780250</v>
      </c>
      <c r="AB8" s="14">
        <v>2460816541</v>
      </c>
      <c r="AC8" s="14">
        <v>3098316370</v>
      </c>
      <c r="AD8" s="14">
        <v>3349405980</v>
      </c>
      <c r="AE8" s="14">
        <v>7265678210</v>
      </c>
      <c r="AF8" s="14">
        <v>6705345773</v>
      </c>
      <c r="AG8" s="14">
        <v>8869129832</v>
      </c>
      <c r="AH8" s="14">
        <v>3240340811</v>
      </c>
      <c r="AI8" s="14">
        <v>5619697963</v>
      </c>
      <c r="AJ8" s="14">
        <v>13421808004</v>
      </c>
      <c r="AK8" s="14">
        <v>9317382917</v>
      </c>
      <c r="AL8" s="14">
        <v>5227287464</v>
      </c>
      <c r="AM8" s="14">
        <v>7363604310</v>
      </c>
      <c r="AN8" s="14">
        <v>5177182851</v>
      </c>
      <c r="AO8" s="14">
        <v>5105270549</v>
      </c>
      <c r="AP8" s="14">
        <v>4755249704</v>
      </c>
      <c r="AQ8" s="14">
        <v>7896150860</v>
      </c>
      <c r="AR8" s="14">
        <v>9903541557</v>
      </c>
      <c r="AS8" s="14">
        <v>6361190828</v>
      </c>
      <c r="AT8" s="18">
        <v>19303813750</v>
      </c>
      <c r="AU8" s="14">
        <v>5445357498</v>
      </c>
      <c r="AV8" s="14">
        <v>9525099975</v>
      </c>
      <c r="AW8" s="44">
        <v>9177542757</v>
      </c>
      <c r="AX8" s="44">
        <v>9252785278</v>
      </c>
      <c r="AY8" s="44">
        <v>15202791010</v>
      </c>
      <c r="AZ8" s="44">
        <v>9266546963</v>
      </c>
      <c r="BA8" s="44">
        <v>9640445579</v>
      </c>
      <c r="BB8" s="44">
        <v>10348331156</v>
      </c>
      <c r="BC8" s="44">
        <v>12802871939</v>
      </c>
      <c r="BD8" s="45">
        <v>11067427637</v>
      </c>
      <c r="BE8" s="44">
        <v>9672389057</v>
      </c>
      <c r="BF8" s="44">
        <v>6459461109</v>
      </c>
      <c r="BG8" s="44">
        <v>9788053505</v>
      </c>
      <c r="BH8" s="44">
        <v>16279720003</v>
      </c>
      <c r="BI8" s="44">
        <v>15135281409</v>
      </c>
      <c r="BJ8" s="44">
        <v>16857467163</v>
      </c>
      <c r="BK8" s="44">
        <v>19925736275</v>
      </c>
      <c r="BL8" s="44">
        <v>20517811328</v>
      </c>
      <c r="BM8" s="44">
        <v>19931952590</v>
      </c>
      <c r="BN8" s="44">
        <v>16609887050</v>
      </c>
      <c r="BO8" s="44">
        <v>14135481149</v>
      </c>
      <c r="BP8" s="44">
        <v>7795260584</v>
      </c>
      <c r="BQ8" s="44">
        <v>10179013441</v>
      </c>
      <c r="BR8" s="44">
        <v>11302623439</v>
      </c>
      <c r="BS8" s="44">
        <v>8036742611</v>
      </c>
      <c r="BT8" s="44">
        <v>13652461082</v>
      </c>
      <c r="BU8" s="44">
        <v>13656864254</v>
      </c>
      <c r="BV8" s="44"/>
      <c r="BW8" s="44"/>
      <c r="BX8" s="44"/>
      <c r="BY8" s="44"/>
      <c r="BZ8" s="44"/>
      <c r="CA8" s="44"/>
      <c r="CB8" s="44"/>
      <c r="CC8" s="44"/>
    </row>
    <row r="9" spans="1:81">
      <c r="A9" s="46">
        <v>6</v>
      </c>
      <c r="B9" s="10" t="s">
        <v>88</v>
      </c>
      <c r="C9" s="47">
        <v>6</v>
      </c>
      <c r="D9" s="47">
        <f>SUM(Data_PL[[#This Row],[T1.2021]:[T12.2021]])</f>
        <v>0</v>
      </c>
      <c r="E9" s="47">
        <f>SUM(Data_PL[[#This Row],[T1.2022]:[T12.2022]])</f>
        <v>-2211578543</v>
      </c>
      <c r="F9" s="47">
        <f>SUM(Data_PL[[#This Row],[T1.2023]:[T12.2023]])</f>
        <v>-14609216720</v>
      </c>
      <c r="G9" s="47">
        <f>SUM(Data_PL[[#This Row],[T01.2024]:[T12.2024]])</f>
        <v>-6009217174</v>
      </c>
      <c r="H9" s="47">
        <f>SUM(Data_PL[[#This Row],[T01.2025]:[T12.2025]])</f>
        <v>312558797</v>
      </c>
      <c r="I9" s="47">
        <f>SUM(Data_PL[[#This Row],[T01.2026]:[T12.2026]])</f>
        <v>2453644694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>
        <v>0</v>
      </c>
      <c r="V9" s="20">
        <v>0</v>
      </c>
      <c r="W9" s="20">
        <v>0</v>
      </c>
      <c r="X9" s="20">
        <v>0</v>
      </c>
      <c r="Y9" s="20">
        <v>-176033763</v>
      </c>
      <c r="Z9" s="20">
        <v>-211873531</v>
      </c>
      <c r="AA9" s="20">
        <v>-1438169250</v>
      </c>
      <c r="AB9" s="20">
        <v>-562258541</v>
      </c>
      <c r="AC9" s="20">
        <v>841389130</v>
      </c>
      <c r="AD9" s="20">
        <v>46753520</v>
      </c>
      <c r="AE9" s="20">
        <v>-57984009</v>
      </c>
      <c r="AF9" s="20">
        <v>-767094557</v>
      </c>
      <c r="AG9" s="20">
        <v>113692458</v>
      </c>
      <c r="AH9" s="20">
        <v>-986957607</v>
      </c>
      <c r="AI9" s="20">
        <v>-1354607280</v>
      </c>
      <c r="AJ9" s="20">
        <v>-2782525291</v>
      </c>
      <c r="AK9" s="20">
        <v>-2367823936</v>
      </c>
      <c r="AL9" s="20">
        <v>-1903051739</v>
      </c>
      <c r="AM9" s="20">
        <v>-1726698199</v>
      </c>
      <c r="AN9" s="20">
        <v>-1676180810</v>
      </c>
      <c r="AO9" s="20">
        <v>-912344739</v>
      </c>
      <c r="AP9" s="20">
        <v>-557875054</v>
      </c>
      <c r="AQ9" s="20">
        <v>-312957760</v>
      </c>
      <c r="AR9" s="20">
        <v>-2072033057</v>
      </c>
      <c r="AS9" s="20">
        <v>2043838752</v>
      </c>
      <c r="AT9" s="20">
        <v>-444707330</v>
      </c>
      <c r="AU9" s="20">
        <v>-876211538</v>
      </c>
      <c r="AV9" s="20">
        <v>364067525</v>
      </c>
      <c r="AW9" s="20">
        <v>-188998157</v>
      </c>
      <c r="AX9" s="20">
        <v>-856388028</v>
      </c>
      <c r="AY9" s="20">
        <v>-1220813410</v>
      </c>
      <c r="AZ9" s="20">
        <v>-571051197</v>
      </c>
      <c r="BA9" s="20">
        <v>-574426680</v>
      </c>
      <c r="BB9" s="20">
        <v>-262972454</v>
      </c>
      <c r="BC9" s="20">
        <v>-32351043</v>
      </c>
      <c r="BD9" s="20">
        <v>-725512231</v>
      </c>
      <c r="BE9" s="20">
        <v>-619852631</v>
      </c>
      <c r="BF9" s="20">
        <v>-1036512617</v>
      </c>
      <c r="BG9" s="20">
        <v>-977376577</v>
      </c>
      <c r="BH9" s="20">
        <v>-463611</v>
      </c>
      <c r="BI9" s="20">
        <v>-362809804</v>
      </c>
      <c r="BJ9" s="20">
        <v>724599774</v>
      </c>
      <c r="BK9" s="20">
        <v>-429717078</v>
      </c>
      <c r="BL9" s="20">
        <v>1276331386</v>
      </c>
      <c r="BM9" s="20">
        <v>1015115770</v>
      </c>
      <c r="BN9" s="20">
        <v>14421366</v>
      </c>
      <c r="BO9" s="20">
        <v>394480799</v>
      </c>
      <c r="BP9" s="20">
        <v>-421164800</v>
      </c>
      <c r="BQ9" s="20">
        <v>115654189</v>
      </c>
      <c r="BR9" s="20">
        <v>473136611</v>
      </c>
      <c r="BS9" s="20">
        <v>239075319</v>
      </c>
      <c r="BT9" s="20">
        <v>1001806788</v>
      </c>
      <c r="BU9" s="20">
        <v>739625976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46">
        <v>7</v>
      </c>
      <c r="B10" s="10" t="s">
        <v>89</v>
      </c>
      <c r="C10" s="47">
        <v>6</v>
      </c>
      <c r="D10" s="47">
        <f>SUM(Data_PL[[#This Row],[T1.2021]:[T12.2021]])</f>
        <v>0</v>
      </c>
      <c r="E10" s="47">
        <f>SUM(Data_PL[[#This Row],[T1.2022]:[T12.2022]])</f>
        <v>0</v>
      </c>
      <c r="F10" s="47">
        <f>SUM(Data_PL[[#This Row],[T1.2023]:[T12.2023]])</f>
        <v>0</v>
      </c>
      <c r="G10" s="47">
        <f>SUM(Data_PL[[#This Row],[T01.2024]:[T12.2024]])</f>
        <v>0</v>
      </c>
      <c r="H10" s="47">
        <f>SUM(Data_PL[[#This Row],[T01.2025]:[T12.2025]])</f>
        <v>0</v>
      </c>
      <c r="I10" s="47">
        <f>SUM(Data_PL[[#This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>
      <c r="A11" s="36">
        <v>8</v>
      </c>
      <c r="B11" s="13" t="s">
        <v>90</v>
      </c>
      <c r="C11" s="37">
        <v>6</v>
      </c>
      <c r="D11" s="37">
        <f>SUM(Data_PL[[#This Row],[T1.2021]:[T12.2021]])</f>
        <v>0</v>
      </c>
      <c r="E11" s="37">
        <f>SUM(Data_PL[[#This Row],[T1.2022]:[T12.2022]])</f>
        <v>2185937</v>
      </c>
      <c r="F11" s="37">
        <f>SUM(Data_PL[[#This Row],[T1.2023]:[T12.2023]])</f>
        <v>18611706</v>
      </c>
      <c r="G11" s="37">
        <f>SUM(Data_PL[[#This Row],[T01.2024]:[T12.2024]])</f>
        <v>9933782</v>
      </c>
      <c r="H11" s="37">
        <f>SUM(Data_PL[[#This Row],[T01.2025]:[T12.2025]])</f>
        <v>30416253</v>
      </c>
      <c r="I11" s="37">
        <f>SUM(Data_PL[[#This Row],[T01.2026]:[T12.2026]])</f>
        <v>64439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>
        <v>0</v>
      </c>
      <c r="V11" s="14">
        <v>193525</v>
      </c>
      <c r="W11" s="14">
        <v>41776</v>
      </c>
      <c r="X11" s="14">
        <v>63253</v>
      </c>
      <c r="Y11" s="14">
        <v>253599</v>
      </c>
      <c r="Z11" s="14">
        <v>146252</v>
      </c>
      <c r="AA11" s="14">
        <v>130471</v>
      </c>
      <c r="AB11" s="14">
        <v>87564</v>
      </c>
      <c r="AC11" s="14">
        <v>97977</v>
      </c>
      <c r="AD11" s="14">
        <v>59406</v>
      </c>
      <c r="AE11" s="14">
        <v>19128</v>
      </c>
      <c r="AF11" s="14">
        <v>237530</v>
      </c>
      <c r="AG11" s="14">
        <v>855456</v>
      </c>
      <c r="AH11" s="14">
        <v>1538411</v>
      </c>
      <c r="AI11" s="14">
        <v>490186</v>
      </c>
      <c r="AJ11" s="14">
        <v>416617</v>
      </c>
      <c r="AK11" s="14">
        <v>153598</v>
      </c>
      <c r="AL11" s="14">
        <v>175725</v>
      </c>
      <c r="AM11" s="14">
        <v>42514</v>
      </c>
      <c r="AN11" s="14">
        <v>78830</v>
      </c>
      <c r="AO11" s="14">
        <v>214369</v>
      </c>
      <c r="AP11" s="14">
        <v>78036</v>
      </c>
      <c r="AQ11" s="14">
        <v>43303</v>
      </c>
      <c r="AR11" s="14">
        <v>15370732</v>
      </c>
      <c r="AS11" s="14">
        <v>9385</v>
      </c>
      <c r="AT11" s="14">
        <v>12211</v>
      </c>
      <c r="AU11" s="14">
        <v>25165</v>
      </c>
      <c r="AV11" s="14">
        <v>19778</v>
      </c>
      <c r="AW11" s="38">
        <v>32521</v>
      </c>
      <c r="AX11" s="38">
        <v>24020</v>
      </c>
      <c r="AY11" s="38">
        <v>16492</v>
      </c>
      <c r="AZ11" s="38">
        <v>11977</v>
      </c>
      <c r="BA11" s="38">
        <v>14708</v>
      </c>
      <c r="BB11" s="38">
        <v>4723</v>
      </c>
      <c r="BC11" s="38">
        <v>16840</v>
      </c>
      <c r="BD11" s="38">
        <v>9746260</v>
      </c>
      <c r="BE11" s="39">
        <v>9087</v>
      </c>
      <c r="BF11" s="39">
        <v>15622</v>
      </c>
      <c r="BG11" s="39">
        <v>11487</v>
      </c>
      <c r="BH11" s="39">
        <v>8067</v>
      </c>
      <c r="BI11" s="39">
        <v>20954</v>
      </c>
      <c r="BJ11" s="39">
        <v>11723</v>
      </c>
      <c r="BK11" s="39">
        <v>8134</v>
      </c>
      <c r="BL11" s="39">
        <v>14534</v>
      </c>
      <c r="BM11" s="39">
        <v>10653</v>
      </c>
      <c r="BN11" s="39">
        <v>24933</v>
      </c>
      <c r="BO11" s="39">
        <v>46896</v>
      </c>
      <c r="BP11" s="39">
        <v>22423098</v>
      </c>
      <c r="BQ11" s="39">
        <v>7820152</v>
      </c>
      <c r="BR11" s="39">
        <v>10853</v>
      </c>
      <c r="BS11" s="39">
        <v>7889</v>
      </c>
      <c r="BT11" s="39">
        <v>4769</v>
      </c>
      <c r="BU11" s="39">
        <v>40928</v>
      </c>
      <c r="BV11" s="39"/>
      <c r="BW11" s="39"/>
      <c r="BX11" s="39"/>
      <c r="BY11" s="39"/>
      <c r="BZ11" s="39"/>
      <c r="CA11" s="39"/>
      <c r="CB11" s="39"/>
      <c r="CC11" s="39"/>
    </row>
    <row r="12" spans="1:81">
      <c r="A12" s="34">
        <v>9</v>
      </c>
      <c r="B12" s="10" t="s">
        <v>91</v>
      </c>
      <c r="C12" s="35">
        <v>6</v>
      </c>
      <c r="D12" s="35">
        <f>SUM(Data_PL[[#This Row],[T1.2021]:[T12.2021]])</f>
        <v>0</v>
      </c>
      <c r="E12" s="35">
        <f>SUM(Data_PL[[#This Row],[T1.2022]:[T12.2022]])</f>
        <v>0</v>
      </c>
      <c r="F12" s="35">
        <f>SUM(Data_PL[[#This Row],[T1.2023]:[T12.2023]])</f>
        <v>0</v>
      </c>
      <c r="G12" s="35">
        <f>SUM(Data_PL[[#This Row],[T01.2024]:[T12.2024]])</f>
        <v>0</v>
      </c>
      <c r="H12" s="35">
        <f>SUM(Data_PL[[#This Row],[T01.2025]:[T12.2025]])</f>
        <v>0</v>
      </c>
      <c r="I12" s="35">
        <f>SUM(Data_PL[[#This Row],[T01.2026]:[T12.2026]])</f>
        <v>9654850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48">
        <v>0</v>
      </c>
      <c r="BF12" s="48">
        <v>0</v>
      </c>
      <c r="BG12" s="48">
        <v>0</v>
      </c>
      <c r="BH12" s="48">
        <v>0</v>
      </c>
      <c r="BI12" s="48">
        <v>0</v>
      </c>
      <c r="BJ12" s="48">
        <v>0</v>
      </c>
      <c r="BK12" s="48">
        <v>0</v>
      </c>
      <c r="BL12" s="48">
        <v>0</v>
      </c>
      <c r="BM12" s="48">
        <v>0</v>
      </c>
      <c r="BN12" s="48">
        <v>0</v>
      </c>
      <c r="BO12" s="48">
        <v>0</v>
      </c>
      <c r="BP12" s="48">
        <v>0</v>
      </c>
      <c r="BQ12" s="48">
        <v>0</v>
      </c>
      <c r="BR12" s="48"/>
      <c r="BS12" s="48">
        <v>9235200</v>
      </c>
      <c r="BT12" s="48"/>
      <c r="BU12" s="48">
        <v>419650</v>
      </c>
      <c r="BV12" s="48"/>
      <c r="BW12" s="48"/>
      <c r="BX12" s="48"/>
      <c r="BY12" s="48"/>
      <c r="BZ12" s="48"/>
      <c r="CA12" s="48"/>
      <c r="CB12" s="48"/>
      <c r="CC12" s="48"/>
    </row>
    <row r="13" spans="1:81">
      <c r="A13" s="36">
        <v>10</v>
      </c>
      <c r="B13" s="21" t="s">
        <v>92</v>
      </c>
      <c r="C13" s="37">
        <v>6</v>
      </c>
      <c r="D13" s="37">
        <f>SUM(Data_PL[[#This Row],[T1.2021]:[T12.2021]])</f>
        <v>0</v>
      </c>
      <c r="E13" s="37">
        <f>SUM(Data_PL[[#This Row],[T1.2022]:[T12.2022]])</f>
        <v>0</v>
      </c>
      <c r="F13" s="37">
        <f>SUM(Data_PL[[#This Row],[T1.2023]:[T12.2023]])</f>
        <v>0</v>
      </c>
      <c r="G13" s="37">
        <f>SUM(Data_PL[[#This Row],[T01.2024]:[T12.2024]])</f>
        <v>0</v>
      </c>
      <c r="H13" s="37">
        <f>SUM(Data_PL[[#This Row],[T01.2025]:[T12.2025]])</f>
        <v>0</v>
      </c>
      <c r="I13" s="37">
        <f>SUM(Data_PL[[#This Row],[T01.2026]:[T12.2026]])</f>
        <v>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0</v>
      </c>
      <c r="BO13" s="39">
        <v>0</v>
      </c>
      <c r="BP13" s="39">
        <v>0</v>
      </c>
      <c r="BQ13" s="39">
        <v>0</v>
      </c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</row>
    <row r="14" spans="1:81">
      <c r="A14" s="36">
        <v>11</v>
      </c>
      <c r="B14" s="13" t="s">
        <v>93</v>
      </c>
      <c r="C14" s="37">
        <v>6</v>
      </c>
      <c r="D14" s="37">
        <f>SUM(Data_PL[[#This Row],[T1.2021]:[T12.2021]])</f>
        <v>0</v>
      </c>
      <c r="E14" s="37">
        <f>SUM(Data_PL[[#This Row],[T1.2022]:[T12.2022]])</f>
        <v>846137000</v>
      </c>
      <c r="F14" s="37">
        <f>SUM(Data_PL[[#This Row],[T1.2023]:[T12.2023]])</f>
        <v>3257669600</v>
      </c>
      <c r="G14" s="37">
        <f>SUM(Data_PL[[#This Row],[T01.2024]:[T12.2024]])</f>
        <v>3508089700</v>
      </c>
      <c r="H14" s="37">
        <f>SUM(Data_PL[[#This Row],[T01.2025]:[T12.2025]])</f>
        <v>3127900000</v>
      </c>
      <c r="I14" s="37">
        <f>SUM(Data_PL[[#This Row],[T01.2026]:[T12.2026]])</f>
        <v>1107700000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55956000</v>
      </c>
      <c r="AA14" s="14">
        <v>41117000</v>
      </c>
      <c r="AB14" s="14">
        <v>57464000</v>
      </c>
      <c r="AC14" s="14">
        <v>93500000</v>
      </c>
      <c r="AD14" s="14">
        <v>95700000</v>
      </c>
      <c r="AE14" s="14">
        <v>176000000</v>
      </c>
      <c r="AF14" s="14">
        <v>138700000</v>
      </c>
      <c r="AG14" s="14">
        <v>187700000</v>
      </c>
      <c r="AH14" s="14">
        <v>75300000</v>
      </c>
      <c r="AI14" s="14">
        <v>126000000</v>
      </c>
      <c r="AJ14" s="14">
        <v>157600000</v>
      </c>
      <c r="AK14" s="14">
        <v>240643000</v>
      </c>
      <c r="AL14" s="14">
        <v>89750000</v>
      </c>
      <c r="AM14" s="14">
        <v>145050000</v>
      </c>
      <c r="AN14" s="14">
        <v>84700000</v>
      </c>
      <c r="AO14" s="14">
        <v>66600000</v>
      </c>
      <c r="AP14" s="14">
        <v>38300000</v>
      </c>
      <c r="AQ14" s="14">
        <v>93600000</v>
      </c>
      <c r="AR14" s="14">
        <v>349438000</v>
      </c>
      <c r="AS14" s="14">
        <v>1790688600</v>
      </c>
      <c r="AT14" s="14">
        <v>1789900000</v>
      </c>
      <c r="AU14" s="14">
        <v>95542200</v>
      </c>
      <c r="AV14" s="14">
        <v>198747500</v>
      </c>
      <c r="AW14" s="38">
        <v>149800000</v>
      </c>
      <c r="AX14" s="38">
        <v>136700000</v>
      </c>
      <c r="AY14" s="38">
        <v>187000000</v>
      </c>
      <c r="AZ14" s="38">
        <v>154000000</v>
      </c>
      <c r="BA14" s="38">
        <v>132500000</v>
      </c>
      <c r="BB14" s="38">
        <v>185900000</v>
      </c>
      <c r="BC14" s="38">
        <v>180600000</v>
      </c>
      <c r="BD14" s="38">
        <v>156300000</v>
      </c>
      <c r="BE14" s="38">
        <v>141100000</v>
      </c>
      <c r="BF14" s="38">
        <v>91100000</v>
      </c>
      <c r="BG14" s="38">
        <v>139700000</v>
      </c>
      <c r="BH14" s="38">
        <v>291900000</v>
      </c>
      <c r="BI14" s="38">
        <v>255100000</v>
      </c>
      <c r="BJ14" s="38">
        <v>287700000</v>
      </c>
      <c r="BK14" s="38">
        <v>330500000</v>
      </c>
      <c r="BL14" s="38">
        <v>365500000</v>
      </c>
      <c r="BM14" s="38">
        <v>358900000</v>
      </c>
      <c r="BN14" s="38">
        <v>327900000</v>
      </c>
      <c r="BO14" s="38">
        <v>294000000</v>
      </c>
      <c r="BP14" s="38">
        <v>171600000</v>
      </c>
      <c r="BQ14" s="38">
        <v>214000000</v>
      </c>
      <c r="BR14" s="38">
        <v>252400000</v>
      </c>
      <c r="BS14" s="38">
        <v>167700000</v>
      </c>
      <c r="BT14" s="38">
        <v>349500000</v>
      </c>
      <c r="BU14" s="38">
        <v>338100000</v>
      </c>
      <c r="BV14" s="38"/>
      <c r="BW14" s="38"/>
      <c r="BX14" s="38"/>
      <c r="BY14" s="38"/>
      <c r="BZ14" s="38"/>
      <c r="CA14" s="38"/>
      <c r="CB14" s="38"/>
      <c r="CC14" s="38"/>
    </row>
    <row r="15" spans="1:81">
      <c r="A15" s="36">
        <v>12</v>
      </c>
      <c r="B15" s="13" t="s">
        <v>94</v>
      </c>
      <c r="C15" s="37">
        <v>6</v>
      </c>
      <c r="D15" s="37">
        <f>SUM(Data_PL[[#This Row],[T1.2021]:[T12.2021]])</f>
        <v>5215385</v>
      </c>
      <c r="E15" s="37">
        <f>SUM(Data_PL[[#This Row],[T1.2022]:[T12.2022]])</f>
        <v>3554786333</v>
      </c>
      <c r="F15" s="37">
        <f>SUM(Data_PL[[#This Row],[T1.2023]:[T12.2023]])</f>
        <v>4726260715</v>
      </c>
      <c r="G15" s="37">
        <f>SUM(Data_PL[[#This Row],[T01.2024]:[T12.2024]])</f>
        <v>2854734951</v>
      </c>
      <c r="H15" s="37">
        <f>SUM(Data_PL[[#This Row],[T01.2025]:[T12.2025]])</f>
        <v>3920744156</v>
      </c>
      <c r="I15" s="37">
        <f>SUM(Data_PL[[#This Row],[T01.2026]:[T12.2026]])</f>
        <v>2468576452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5215385</v>
      </c>
      <c r="V15" s="14">
        <v>54384111</v>
      </c>
      <c r="W15" s="14">
        <v>81006325</v>
      </c>
      <c r="X15" s="14">
        <v>120760187</v>
      </c>
      <c r="Y15" s="14">
        <v>135508222</v>
      </c>
      <c r="Z15" s="14">
        <v>128854203</v>
      </c>
      <c r="AA15" s="14">
        <v>158782511</v>
      </c>
      <c r="AB15" s="14">
        <v>144294348</v>
      </c>
      <c r="AC15" s="14">
        <v>130754061</v>
      </c>
      <c r="AD15" s="14">
        <v>151931954</v>
      </c>
      <c r="AE15" s="14">
        <v>136440059</v>
      </c>
      <c r="AF15" s="14">
        <v>1818058793</v>
      </c>
      <c r="AG15" s="14">
        <v>494011559</v>
      </c>
      <c r="AH15" s="14">
        <v>512428705</v>
      </c>
      <c r="AI15" s="14">
        <v>513524746</v>
      </c>
      <c r="AJ15" s="14">
        <v>289805194</v>
      </c>
      <c r="AK15" s="14">
        <v>385726708</v>
      </c>
      <c r="AL15" s="14">
        <v>356542104</v>
      </c>
      <c r="AM15" s="14">
        <v>323320047</v>
      </c>
      <c r="AN15" s="14">
        <v>340009205</v>
      </c>
      <c r="AO15" s="14">
        <v>692274279</v>
      </c>
      <c r="AP15" s="14">
        <v>332140369</v>
      </c>
      <c r="AQ15" s="14">
        <v>324903258</v>
      </c>
      <c r="AR15" s="14">
        <v>323801165</v>
      </c>
      <c r="AS15" s="14">
        <v>331784935</v>
      </c>
      <c r="AT15" s="14">
        <v>189486394</v>
      </c>
      <c r="AU15" s="14">
        <v>225236410</v>
      </c>
      <c r="AV15" s="14">
        <v>229978521</v>
      </c>
      <c r="AW15" s="38">
        <v>229889992</v>
      </c>
      <c r="AX15" s="38">
        <v>224134296</v>
      </c>
      <c r="AY15" s="38">
        <v>214897048</v>
      </c>
      <c r="AZ15" s="38">
        <v>230047625</v>
      </c>
      <c r="BA15" s="38">
        <v>229954420</v>
      </c>
      <c r="BB15" s="38">
        <v>228488322</v>
      </c>
      <c r="BC15" s="38">
        <v>213155072</v>
      </c>
      <c r="BD15" s="38">
        <v>300846378</v>
      </c>
      <c r="BE15" s="38">
        <v>338620473</v>
      </c>
      <c r="BF15" s="38">
        <v>390880567</v>
      </c>
      <c r="BG15" s="38">
        <v>288060338</v>
      </c>
      <c r="BH15" s="38">
        <v>278341956</v>
      </c>
      <c r="BI15" s="38">
        <v>277195306</v>
      </c>
      <c r="BJ15" s="38">
        <v>257971197</v>
      </c>
      <c r="BK15" s="38">
        <v>282882950</v>
      </c>
      <c r="BL15" s="38">
        <v>303895747</v>
      </c>
      <c r="BM15" s="38">
        <v>325151310</v>
      </c>
      <c r="BN15" s="38">
        <v>377683972</v>
      </c>
      <c r="BO15" s="38">
        <v>341492876</v>
      </c>
      <c r="BP15" s="38">
        <v>395204855</v>
      </c>
      <c r="BQ15" s="38">
        <v>401983082</v>
      </c>
      <c r="BR15" s="38">
        <v>638193690</v>
      </c>
      <c r="BS15" s="38">
        <v>962454402</v>
      </c>
      <c r="BT15" s="38">
        <v>406416217</v>
      </c>
      <c r="BU15" s="38">
        <v>461512143</v>
      </c>
      <c r="BV15" s="38"/>
      <c r="BW15" s="38"/>
      <c r="BX15" s="38"/>
      <c r="BY15" s="38"/>
      <c r="BZ15" s="38"/>
      <c r="CA15" s="38"/>
      <c r="CB15" s="38"/>
      <c r="CC15" s="38"/>
    </row>
    <row r="16" spans="1:81">
      <c r="A16" s="34">
        <v>13</v>
      </c>
      <c r="B16" s="10" t="s">
        <v>95</v>
      </c>
      <c r="C16" s="35">
        <v>6</v>
      </c>
      <c r="D16" s="35">
        <f>SUM(Data_PL[[#This Row],[T1.2021]:[T12.2021]])</f>
        <v>-5215385</v>
      </c>
      <c r="E16" s="35">
        <f>SUM(Data_PL[[#This Row],[T1.2022]:[T12.2022]])</f>
        <v>-6610315939</v>
      </c>
      <c r="F16" s="35">
        <f>SUM(Data_PL[[#This Row],[T1.2023]:[T12.2023]])</f>
        <v>-22574535329</v>
      </c>
      <c r="G16" s="35">
        <f>SUM(Data_PL[[#This Row],[T01.2024]:[T12.2024]])</f>
        <v>-12362108043</v>
      </c>
      <c r="H16" s="35">
        <f>SUM(Data_PL[[#This Row],[T01.2025]:[T12.2025]])</f>
        <v>-6705669106</v>
      </c>
      <c r="I16" s="35">
        <f>SUM(Data_PL[[#This Row],[T01.2026]:[T12.2026]])</f>
        <v>-1132222169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>
        <v>-5215385</v>
      </c>
      <c r="V16" s="11">
        <v>-54190586</v>
      </c>
      <c r="W16" s="11">
        <v>-80964549</v>
      </c>
      <c r="X16" s="11">
        <v>-120696934</v>
      </c>
      <c r="Y16" s="11">
        <v>-311288386</v>
      </c>
      <c r="Z16" s="11">
        <v>-396537482</v>
      </c>
      <c r="AA16" s="11">
        <v>-1637938290</v>
      </c>
      <c r="AB16" s="11">
        <v>-763929325</v>
      </c>
      <c r="AC16" s="11">
        <v>617233046</v>
      </c>
      <c r="AD16" s="11">
        <v>-200819028</v>
      </c>
      <c r="AE16" s="11">
        <v>-370404940</v>
      </c>
      <c r="AF16" s="11">
        <v>-2723615820</v>
      </c>
      <c r="AG16" s="11">
        <v>-567163645</v>
      </c>
      <c r="AH16" s="11">
        <v>-1573147901</v>
      </c>
      <c r="AI16" s="11">
        <v>-1993641840</v>
      </c>
      <c r="AJ16" s="11">
        <v>-3229513868</v>
      </c>
      <c r="AK16" s="11">
        <v>-2994040046</v>
      </c>
      <c r="AL16" s="11">
        <v>-2349168118</v>
      </c>
      <c r="AM16" s="11">
        <v>-2195025732</v>
      </c>
      <c r="AN16" s="11">
        <v>-2100811185</v>
      </c>
      <c r="AO16" s="11">
        <v>-1671004649</v>
      </c>
      <c r="AP16" s="11">
        <v>-928237387</v>
      </c>
      <c r="AQ16" s="11">
        <v>-731417715</v>
      </c>
      <c r="AR16" s="11">
        <v>-2729901490</v>
      </c>
      <c r="AS16" s="11">
        <v>-78625398</v>
      </c>
      <c r="AT16" s="11">
        <v>-2424081513</v>
      </c>
      <c r="AU16" s="11">
        <v>-1196964983</v>
      </c>
      <c r="AV16" s="11">
        <v>-64638718</v>
      </c>
      <c r="AW16" s="11">
        <v>-568655628</v>
      </c>
      <c r="AX16" s="11">
        <v>-1217198304</v>
      </c>
      <c r="AY16" s="11">
        <v>-1622693966</v>
      </c>
      <c r="AZ16" s="11">
        <v>-955086845</v>
      </c>
      <c r="BA16" s="11">
        <v>-936866392</v>
      </c>
      <c r="BB16" s="11">
        <v>-677356053</v>
      </c>
      <c r="BC16" s="11">
        <v>-426089275</v>
      </c>
      <c r="BD16" s="11">
        <v>-1172912349</v>
      </c>
      <c r="BE16" s="48">
        <v>-1099564017</v>
      </c>
      <c r="BF16" s="48">
        <v>-1518477562</v>
      </c>
      <c r="BG16" s="48">
        <v>-1405125428</v>
      </c>
      <c r="BH16" s="48">
        <v>-570697500</v>
      </c>
      <c r="BI16" s="48">
        <v>-895084156</v>
      </c>
      <c r="BJ16" s="48">
        <v>178940300</v>
      </c>
      <c r="BK16" s="48">
        <v>-1043091894</v>
      </c>
      <c r="BL16" s="48">
        <v>606950173</v>
      </c>
      <c r="BM16" s="48">
        <v>331075113</v>
      </c>
      <c r="BN16" s="48">
        <v>-691137673</v>
      </c>
      <c r="BO16" s="48">
        <v>-240965181</v>
      </c>
      <c r="BP16" s="48">
        <v>-965546557</v>
      </c>
      <c r="BQ16" s="48">
        <v>-492508741</v>
      </c>
      <c r="BR16" s="48">
        <v>-417446226</v>
      </c>
      <c r="BS16" s="48">
        <v>-900306394</v>
      </c>
      <c r="BT16" s="48">
        <v>245895340</v>
      </c>
      <c r="BU16" s="48">
        <v>-60364889</v>
      </c>
      <c r="BV16" s="48"/>
      <c r="BW16" s="48"/>
      <c r="BX16" s="48"/>
      <c r="BY16" s="48"/>
      <c r="BZ16" s="48"/>
      <c r="CA16" s="48"/>
      <c r="CB16" s="48"/>
      <c r="CC16" s="48"/>
    </row>
    <row r="17" spans="1:81">
      <c r="A17" s="36">
        <v>14</v>
      </c>
      <c r="B17" s="13" t="s">
        <v>96</v>
      </c>
      <c r="C17" s="37">
        <v>6</v>
      </c>
      <c r="D17" s="37">
        <f>SUM(Data_PL[[#This Row],[T1.2021]:[T12.2021]])</f>
        <v>0</v>
      </c>
      <c r="E17" s="37">
        <f>SUM(Data_PL[[#This Row],[T1.2022]:[T12.2022]])</f>
        <v>190000</v>
      </c>
      <c r="F17" s="37">
        <f>SUM(Data_PL[[#This Row],[T1.2023]:[T12.2023]])</f>
        <v>411943144</v>
      </c>
      <c r="G17" s="37">
        <f>SUM(Data_PL[[#This Row],[T01.2024]:[T12.2024]])</f>
        <v>37322058</v>
      </c>
      <c r="H17" s="37">
        <f>SUM(Data_PL[[#This Row],[T01.2025]:[T12.2025]])</f>
        <v>223318560</v>
      </c>
      <c r="I17" s="37">
        <f>SUM(Data_PL[[#This Row],[T01.2026]:[T12.2026]])</f>
        <v>149865373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190000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109815</v>
      </c>
      <c r="AL17" s="14">
        <v>58651962</v>
      </c>
      <c r="AM17" s="14">
        <v>310961198</v>
      </c>
      <c r="AN17" s="14">
        <v>7456238</v>
      </c>
      <c r="AO17" s="14">
        <v>12453000</v>
      </c>
      <c r="AP17" s="14">
        <v>0</v>
      </c>
      <c r="AQ17" s="14">
        <v>0</v>
      </c>
      <c r="AR17" s="14">
        <v>0</v>
      </c>
      <c r="AS17" s="14">
        <v>22310931</v>
      </c>
      <c r="AT17" s="14">
        <v>0</v>
      </c>
      <c r="AU17" s="14">
        <v>0</v>
      </c>
      <c r="AV17" s="14">
        <v>0</v>
      </c>
      <c r="AW17" s="38">
        <v>0</v>
      </c>
      <c r="AX17" s="38">
        <v>4695924</v>
      </c>
      <c r="AY17" s="38">
        <v>6427650</v>
      </c>
      <c r="AZ17" s="38"/>
      <c r="BA17" s="38">
        <v>6515785</v>
      </c>
      <c r="BB17" s="38">
        <v>5868055</v>
      </c>
      <c r="BC17" s="38">
        <v>2949074</v>
      </c>
      <c r="BD17" s="38">
        <v>4844907</v>
      </c>
      <c r="BE17" s="39">
        <v>6020663</v>
      </c>
      <c r="BF17" s="39">
        <v>6872690</v>
      </c>
      <c r="BG17" s="39">
        <v>0</v>
      </c>
      <c r="BH17" s="39">
        <v>5897640</v>
      </c>
      <c r="BI17" s="39">
        <v>14981280</v>
      </c>
      <c r="BJ17" s="39">
        <v>21977736</v>
      </c>
      <c r="BK17" s="39">
        <v>20040080</v>
      </c>
      <c r="BL17" s="39">
        <v>35343900</v>
      </c>
      <c r="BM17" s="39">
        <v>28282224</v>
      </c>
      <c r="BN17" s="39">
        <v>14984820</v>
      </c>
      <c r="BO17" s="39">
        <v>24570392</v>
      </c>
      <c r="BP17" s="39">
        <v>8366410</v>
      </c>
      <c r="BQ17" s="39">
        <v>42001388</v>
      </c>
      <c r="BR17" s="39">
        <v>8748278</v>
      </c>
      <c r="BS17" s="39">
        <v>10969252</v>
      </c>
      <c r="BT17" s="39">
        <v>13764543</v>
      </c>
      <c r="BU17" s="39">
        <v>116383300</v>
      </c>
      <c r="BV17" s="39"/>
      <c r="BW17" s="39"/>
      <c r="BX17" s="39"/>
      <c r="BY17" s="39"/>
      <c r="BZ17" s="39"/>
      <c r="CA17" s="39"/>
      <c r="CB17" s="39"/>
      <c r="CC17" s="39"/>
    </row>
    <row r="18" spans="1:81">
      <c r="A18" s="36">
        <v>15</v>
      </c>
      <c r="B18" s="13" t="s">
        <v>97</v>
      </c>
      <c r="C18" s="37">
        <v>6</v>
      </c>
      <c r="D18" s="37">
        <f>SUM(Data_PL[[#This Row],[T1.2021]:[T12.2021]])</f>
        <v>0</v>
      </c>
      <c r="E18" s="37">
        <f>SUM(Data_PL[[#This Row],[T1.2022]:[T12.2022]])</f>
        <v>3420266062</v>
      </c>
      <c r="F18" s="37">
        <f>SUM(Data_PL[[#This Row],[T1.2023]:[T12.2023]])</f>
        <v>469346186</v>
      </c>
      <c r="G18" s="37">
        <f>SUM(Data_PL[[#This Row],[T01.2024]:[T12.2024]])</f>
        <v>231135145</v>
      </c>
      <c r="H18" s="37">
        <f>SUM(Data_PL[[#This Row],[T01.2025]:[T12.2025]])</f>
        <v>171338420</v>
      </c>
      <c r="I18" s="37">
        <f>SUM(Data_PL[[#This Row],[T01.2026]:[T12.2026]])</f>
        <v>662336263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296296</v>
      </c>
      <c r="AD18" s="14">
        <v>0</v>
      </c>
      <c r="AE18" s="14">
        <v>16391</v>
      </c>
      <c r="AF18" s="14">
        <v>0</v>
      </c>
      <c r="AG18" s="14">
        <v>3419953375</v>
      </c>
      <c r="AH18" s="14">
        <v>0</v>
      </c>
      <c r="AI18" s="14">
        <v>0</v>
      </c>
      <c r="AJ18" s="14">
        <v>8284629</v>
      </c>
      <c r="AK18" s="14">
        <v>61546</v>
      </c>
      <c r="AL18" s="14">
        <v>52651</v>
      </c>
      <c r="AM18" s="14">
        <v>342751500</v>
      </c>
      <c r="AN18" s="14">
        <v>34965381</v>
      </c>
      <c r="AO18" s="14">
        <v>3001865</v>
      </c>
      <c r="AP18" s="14">
        <v>8601062</v>
      </c>
      <c r="AQ18" s="14">
        <v>12875003</v>
      </c>
      <c r="AR18" s="14">
        <v>11895000</v>
      </c>
      <c r="AS18" s="14">
        <v>46857549</v>
      </c>
      <c r="AT18" s="14">
        <v>25035000</v>
      </c>
      <c r="AU18" s="14">
        <v>4500869</v>
      </c>
      <c r="AV18" s="14">
        <v>15342970</v>
      </c>
      <c r="AW18" s="38">
        <v>1400000</v>
      </c>
      <c r="AX18" s="38">
        <v>4112330</v>
      </c>
      <c r="AY18" s="38">
        <v>3788889</v>
      </c>
      <c r="AZ18" s="38">
        <v>1603193</v>
      </c>
      <c r="BA18" s="38">
        <v>3600000</v>
      </c>
      <c r="BB18" s="38">
        <v>4730520</v>
      </c>
      <c r="BC18" s="38">
        <v>5100000</v>
      </c>
      <c r="BD18" s="38">
        <v>2300000</v>
      </c>
      <c r="BE18" s="39">
        <v>159621374</v>
      </c>
      <c r="BF18" s="39">
        <v>1000000</v>
      </c>
      <c r="BG18" s="39">
        <v>3800000</v>
      </c>
      <c r="BH18" s="39">
        <v>2500000</v>
      </c>
      <c r="BI18" s="39">
        <v>1000000</v>
      </c>
      <c r="BJ18" s="39">
        <v>6500000</v>
      </c>
      <c r="BK18" s="39">
        <v>1500000</v>
      </c>
      <c r="BL18" s="39">
        <v>128951632</v>
      </c>
      <c r="BM18" s="39">
        <v>13282176</v>
      </c>
      <c r="BN18" s="39">
        <v>4000000</v>
      </c>
      <c r="BO18" s="39">
        <v>500000</v>
      </c>
      <c r="BP18" s="39">
        <v>2295000</v>
      </c>
      <c r="BQ18" s="39">
        <v>6009612</v>
      </c>
      <c r="BR18" s="39">
        <v>136900483</v>
      </c>
      <c r="BS18" s="39">
        <v>48552980</v>
      </c>
      <c r="BT18" s="39">
        <v>4660403</v>
      </c>
      <c r="BU18" s="39">
        <v>472222397</v>
      </c>
      <c r="BV18" s="39"/>
      <c r="BW18" s="39"/>
      <c r="BX18" s="39"/>
      <c r="BY18" s="39"/>
      <c r="BZ18" s="39"/>
      <c r="CA18" s="39"/>
      <c r="CB18" s="39"/>
      <c r="CC18" s="39"/>
    </row>
    <row r="19" spans="1:81">
      <c r="A19" s="34">
        <v>16</v>
      </c>
      <c r="B19" s="10" t="s">
        <v>98</v>
      </c>
      <c r="C19" s="35">
        <v>6</v>
      </c>
      <c r="D19" s="35">
        <f>SUM(Data_PL[[#This Row],[T1.2021]:[T12.2021]])</f>
        <v>0</v>
      </c>
      <c r="E19" s="35">
        <f>SUM(Data_PL[[#This Row],[T1.2022]:[T12.2022]])</f>
        <v>-3420076062</v>
      </c>
      <c r="F19" s="35">
        <f>SUM(Data_PL[[#This Row],[T1.2023]:[T12.2023]])</f>
        <v>-57403042</v>
      </c>
      <c r="G19" s="35">
        <f>SUM(Data_PL[[#This Row],[T01.2024]:[T12.2024]])</f>
        <v>-193813087</v>
      </c>
      <c r="H19" s="35">
        <f>SUM(Data_PL[[#This Row],[T01.2025]:[T12.2025]])</f>
        <v>51980140</v>
      </c>
      <c r="I19" s="35">
        <f>SUM(Data_PL[[#This Row],[T01.2026]:[T12.2026]])</f>
        <v>-512470890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190000</v>
      </c>
      <c r="AB19" s="11">
        <v>0</v>
      </c>
      <c r="AC19" s="11">
        <v>-296296</v>
      </c>
      <c r="AD19" s="11">
        <v>0</v>
      </c>
      <c r="AE19" s="11">
        <v>-16391</v>
      </c>
      <c r="AF19" s="11">
        <v>0</v>
      </c>
      <c r="AG19" s="11">
        <v>-3419953375</v>
      </c>
      <c r="AH19" s="11">
        <v>0</v>
      </c>
      <c r="AI19" s="11">
        <v>0</v>
      </c>
      <c r="AJ19" s="11">
        <v>-8284629</v>
      </c>
      <c r="AK19" s="11">
        <v>48269</v>
      </c>
      <c r="AL19" s="11">
        <v>58599311</v>
      </c>
      <c r="AM19" s="11">
        <v>-31790302</v>
      </c>
      <c r="AN19" s="11">
        <v>-27509143</v>
      </c>
      <c r="AO19" s="11">
        <v>9451135</v>
      </c>
      <c r="AP19" s="11">
        <v>-8601062</v>
      </c>
      <c r="AQ19" s="11">
        <v>-12875003</v>
      </c>
      <c r="AR19" s="11">
        <v>-11895000</v>
      </c>
      <c r="AS19" s="11">
        <v>-24546618</v>
      </c>
      <c r="AT19" s="11">
        <v>-25035000</v>
      </c>
      <c r="AU19" s="11">
        <v>-4500869</v>
      </c>
      <c r="AV19" s="11">
        <v>-15342970</v>
      </c>
      <c r="AW19" s="11">
        <v>-1400000</v>
      </c>
      <c r="AX19" s="11">
        <v>583594</v>
      </c>
      <c r="AY19" s="11">
        <v>2638761</v>
      </c>
      <c r="AZ19" s="11">
        <v>-1603193</v>
      </c>
      <c r="BA19" s="11">
        <v>2915785</v>
      </c>
      <c r="BB19" s="11">
        <v>1137535</v>
      </c>
      <c r="BC19" s="11">
        <v>-2150926</v>
      </c>
      <c r="BD19" s="11">
        <v>2544907</v>
      </c>
      <c r="BE19" s="48">
        <v>-153600711</v>
      </c>
      <c r="BF19" s="48">
        <v>5872690</v>
      </c>
      <c r="BG19" s="48">
        <v>-3800000</v>
      </c>
      <c r="BH19" s="48">
        <v>3397640</v>
      </c>
      <c r="BI19" s="48">
        <v>13981280</v>
      </c>
      <c r="BJ19" s="48">
        <v>15477736</v>
      </c>
      <c r="BK19" s="48">
        <v>18540080</v>
      </c>
      <c r="BL19" s="48">
        <v>-93607732</v>
      </c>
      <c r="BM19" s="48">
        <v>15000048</v>
      </c>
      <c r="BN19" s="48">
        <v>10984820</v>
      </c>
      <c r="BO19" s="48">
        <v>24070392</v>
      </c>
      <c r="BP19" s="48">
        <v>6071410</v>
      </c>
      <c r="BQ19" s="48">
        <v>35991776</v>
      </c>
      <c r="BR19" s="48">
        <v>-128152205</v>
      </c>
      <c r="BS19" s="48">
        <v>-37583728</v>
      </c>
      <c r="BT19" s="48">
        <v>9104140</v>
      </c>
      <c r="BU19" s="48">
        <v>-355839097</v>
      </c>
      <c r="BV19" s="48"/>
      <c r="BW19" s="48"/>
      <c r="BX19" s="48"/>
      <c r="BY19" s="48"/>
      <c r="BZ19" s="48"/>
      <c r="CA19" s="48"/>
      <c r="CB19" s="48"/>
      <c r="CC19" s="48"/>
    </row>
    <row r="20" spans="1:81">
      <c r="A20" s="40">
        <v>17</v>
      </c>
      <c r="B20" s="10" t="s">
        <v>99</v>
      </c>
      <c r="C20" s="41">
        <v>6</v>
      </c>
      <c r="D20" s="41">
        <f>SUM(Data_PL[[#This Row],[T1.2021]:[T12.2021]])</f>
        <v>-5215385</v>
      </c>
      <c r="E20" s="41">
        <f>SUM(Data_PL[[#This Row],[T1.2022]:[T12.2022]])</f>
        <v>-10030392001</v>
      </c>
      <c r="F20" s="41">
        <f>SUM(Data_PL[[#This Row],[T1.2023]:[T12.2023]])</f>
        <v>-22631938371</v>
      </c>
      <c r="G20" s="41">
        <f>SUM(Data_PL[[#This Row],[T01.2024]:[T12.2024]])</f>
        <v>-12555921130</v>
      </c>
      <c r="H20" s="41">
        <f>SUM(Data_PL[[#This Row],[T01.2025]:[T12.2025]])</f>
        <v>-6653688966</v>
      </c>
      <c r="I20" s="41">
        <f>SUM(Data_PL[[#This Row],[T01.2026]:[T12.2026]])</f>
        <v>-1644693059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-5215385</v>
      </c>
      <c r="V20" s="16">
        <v>-54190586</v>
      </c>
      <c r="W20" s="16">
        <v>-80964549</v>
      </c>
      <c r="X20" s="16">
        <v>-120696934</v>
      </c>
      <c r="Y20" s="16">
        <v>-311288386</v>
      </c>
      <c r="Z20" s="16">
        <v>-396537482</v>
      </c>
      <c r="AA20" s="16">
        <v>-1637748290</v>
      </c>
      <c r="AB20" s="16">
        <v>-763929325</v>
      </c>
      <c r="AC20" s="16">
        <v>616936750</v>
      </c>
      <c r="AD20" s="16">
        <v>-200819028</v>
      </c>
      <c r="AE20" s="16">
        <v>-370421331</v>
      </c>
      <c r="AF20" s="16">
        <v>-2723615820</v>
      </c>
      <c r="AG20" s="16">
        <v>-3987117020</v>
      </c>
      <c r="AH20" s="16">
        <v>-1573147901</v>
      </c>
      <c r="AI20" s="16">
        <v>-1993641840</v>
      </c>
      <c r="AJ20" s="16">
        <v>-3237798497</v>
      </c>
      <c r="AK20" s="16">
        <v>-2993991777</v>
      </c>
      <c r="AL20" s="16">
        <v>-2290568807</v>
      </c>
      <c r="AM20" s="16">
        <v>-2226816034</v>
      </c>
      <c r="AN20" s="16">
        <v>-2128320328</v>
      </c>
      <c r="AO20" s="16">
        <v>-1661553514</v>
      </c>
      <c r="AP20" s="16">
        <v>-936838449</v>
      </c>
      <c r="AQ20" s="16">
        <v>-744292718</v>
      </c>
      <c r="AR20" s="16">
        <v>-2741796490</v>
      </c>
      <c r="AS20" s="16">
        <v>-103172016</v>
      </c>
      <c r="AT20" s="16">
        <v>-2449116513</v>
      </c>
      <c r="AU20" s="16">
        <v>-1201465852</v>
      </c>
      <c r="AV20" s="16">
        <v>-79981688</v>
      </c>
      <c r="AW20" s="16">
        <v>-570055628</v>
      </c>
      <c r="AX20" s="16">
        <v>-1216614710</v>
      </c>
      <c r="AY20" s="16">
        <v>-1620055205</v>
      </c>
      <c r="AZ20" s="16">
        <v>-956690038</v>
      </c>
      <c r="BA20" s="16">
        <v>-933950607</v>
      </c>
      <c r="BB20" s="16">
        <v>-676218518</v>
      </c>
      <c r="BC20" s="16">
        <v>-428240201</v>
      </c>
      <c r="BD20" s="16">
        <v>-1170367442</v>
      </c>
      <c r="BE20" s="42">
        <v>-1253164728</v>
      </c>
      <c r="BF20" s="42">
        <v>-1512604872</v>
      </c>
      <c r="BG20" s="42">
        <v>-1408925428</v>
      </c>
      <c r="BH20" s="42">
        <v>-567299860</v>
      </c>
      <c r="BI20" s="42">
        <v>-881102876</v>
      </c>
      <c r="BJ20" s="42">
        <v>194418036</v>
      </c>
      <c r="BK20" s="42">
        <v>-1024551814</v>
      </c>
      <c r="BL20" s="42">
        <v>513342441</v>
      </c>
      <c r="BM20" s="42">
        <v>346075161</v>
      </c>
      <c r="BN20" s="42">
        <v>-680152853</v>
      </c>
      <c r="BO20" s="42">
        <v>-216894789</v>
      </c>
      <c r="BP20" s="42">
        <v>-959475147</v>
      </c>
      <c r="BQ20" s="42">
        <v>-456516965</v>
      </c>
      <c r="BR20" s="42">
        <v>-545598431</v>
      </c>
      <c r="BS20" s="42">
        <v>-937890122</v>
      </c>
      <c r="BT20" s="42">
        <v>254999480</v>
      </c>
      <c r="BU20" s="42">
        <v>-416203986</v>
      </c>
      <c r="BV20" s="42"/>
      <c r="BW20" s="42"/>
      <c r="BX20" s="42"/>
      <c r="BY20" s="42"/>
      <c r="BZ20" s="42"/>
      <c r="CA20" s="42"/>
      <c r="CB20" s="42"/>
      <c r="CC20" s="42"/>
    </row>
    <row r="21" spans="1:81">
      <c r="A21" s="49">
        <v>18</v>
      </c>
      <c r="B21" s="22" t="s">
        <v>100</v>
      </c>
      <c r="C21" s="37">
        <v>6</v>
      </c>
      <c r="D21" s="37">
        <f>SUM(Data_PL[[#This Row],[T1.2021]:[T12.2021]])</f>
        <v>0</v>
      </c>
      <c r="E21" s="37">
        <f>SUM(Data_PL[[#This Row],[T1.2022]:[T12.2022]])</f>
        <v>0</v>
      </c>
      <c r="F21" s="37">
        <f>SUM(Data_PL[[#This Row],[T1.2023]:[T12.2023]])</f>
        <v>0</v>
      </c>
      <c r="G21" s="37">
        <f>SUM(Data_PL[[#This Row],[T01.2024]:[T12.2024]])</f>
        <v>0</v>
      </c>
      <c r="H21" s="37">
        <f>SUM(Data_PL[[#This Row],[T01.2025]:[T12.2025]])</f>
        <v>0</v>
      </c>
      <c r="I21" s="37">
        <f>SUM(Data_PL[[#This Row],[T01.2026]:[T12.2026]])</f>
        <v>0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14">
        <v>0</v>
      </c>
      <c r="AU21" s="50">
        <v>0</v>
      </c>
      <c r="AV21" s="50">
        <v>0</v>
      </c>
      <c r="AW21" s="50">
        <v>0</v>
      </c>
      <c r="AX21" s="50">
        <v>0</v>
      </c>
      <c r="AY21" s="50">
        <v>0</v>
      </c>
      <c r="AZ21" s="50">
        <v>0</v>
      </c>
      <c r="BA21" s="50">
        <v>0</v>
      </c>
      <c r="BB21" s="50">
        <v>0</v>
      </c>
      <c r="BC21" s="50">
        <v>0</v>
      </c>
      <c r="BD21" s="50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/>
      <c r="BR21" s="51"/>
      <c r="BS21" s="51">
        <v>0</v>
      </c>
      <c r="BT21" s="51"/>
      <c r="BU21" s="51"/>
      <c r="BV21" s="51"/>
      <c r="BW21" s="51"/>
      <c r="BX21" s="51"/>
      <c r="BY21" s="51"/>
      <c r="BZ21" s="51"/>
      <c r="CA21" s="51"/>
      <c r="CB21" s="51"/>
      <c r="CC21" s="51"/>
    </row>
    <row r="22" spans="1:81">
      <c r="A22" s="52">
        <v>19</v>
      </c>
      <c r="B22" s="13" t="s">
        <v>101</v>
      </c>
      <c r="C22" s="37">
        <v>6</v>
      </c>
      <c r="D22" s="37">
        <f>SUM(Data_PL[[#This Row],[T1.2021]:[T12.2021]])</f>
        <v>0</v>
      </c>
      <c r="E22" s="37">
        <f>SUM(Data_PL[[#This Row],[T1.2022]:[T12.2022]])</f>
        <v>0</v>
      </c>
      <c r="F22" s="37">
        <f>SUM(Data_PL[[#This Row],[T1.2023]:[T12.2023]])</f>
        <v>0</v>
      </c>
      <c r="G22" s="37">
        <f>SUM(Data_PL[[#This Row],[T01.2024]:[T12.2024]])</f>
        <v>0</v>
      </c>
      <c r="H22" s="37">
        <f>SUM(Data_PL[[#This Row],[T01.2025]:[T12.2025]])</f>
        <v>0</v>
      </c>
      <c r="I22" s="37">
        <f>SUM(Data_PL[[#This Row],[T01.2026]:[T12.2026]])</f>
        <v>0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>
        <v>0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14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9">
        <v>0</v>
      </c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>
        <v>0</v>
      </c>
      <c r="BT22" s="39"/>
      <c r="BU22" s="39"/>
      <c r="BV22" s="39"/>
      <c r="BW22" s="39"/>
      <c r="BX22" s="39"/>
      <c r="BY22" s="39"/>
      <c r="BZ22" s="39"/>
      <c r="CA22" s="39"/>
      <c r="CB22" s="39"/>
      <c r="CC22" s="39"/>
    </row>
    <row r="23" spans="1:81">
      <c r="A23" s="46">
        <v>20</v>
      </c>
      <c r="B23" s="10" t="s">
        <v>102</v>
      </c>
      <c r="C23" s="47">
        <v>6</v>
      </c>
      <c r="D23" s="47">
        <f>SUM(Data_PL[[#This Row],[T1.2021]:[T12.2021]])</f>
        <v>-5215385</v>
      </c>
      <c r="E23" s="47">
        <f>SUM(Data_PL[[#This Row],[T1.2022]:[T12.2022]])</f>
        <v>-10030392001</v>
      </c>
      <c r="F23" s="47">
        <f>SUM(Data_PL[[#This Row],[T1.2023]:[T12.2023]])</f>
        <v>-22631938371</v>
      </c>
      <c r="G23" s="47">
        <f>SUM(Data_PL[[#This Row],[T01.2024]:[T12.2024]])</f>
        <v>-12555921130</v>
      </c>
      <c r="H23" s="47">
        <f>SUM(Data_PL[[#This Row],[T01.2025]:[T12.2025]])</f>
        <v>-6653688966</v>
      </c>
      <c r="I23" s="47">
        <f>SUM(Data_PL[[#This Row],[T01.2026]:[T12.2026]])</f>
        <v>-1644693059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>
        <v>-5215385</v>
      </c>
      <c r="V23" s="20">
        <v>-54190586</v>
      </c>
      <c r="W23" s="20">
        <v>-80964549</v>
      </c>
      <c r="X23" s="20">
        <v>-120696934</v>
      </c>
      <c r="Y23" s="20">
        <v>-311288386</v>
      </c>
      <c r="Z23" s="20">
        <v>-396537482</v>
      </c>
      <c r="AA23" s="20">
        <v>-1637748290</v>
      </c>
      <c r="AB23" s="20">
        <v>-763929325</v>
      </c>
      <c r="AC23" s="20">
        <v>616936750</v>
      </c>
      <c r="AD23" s="20">
        <v>-200819028</v>
      </c>
      <c r="AE23" s="20">
        <v>-370421331</v>
      </c>
      <c r="AF23" s="20">
        <v>-2723615820</v>
      </c>
      <c r="AG23" s="20">
        <v>-3987117020</v>
      </c>
      <c r="AH23" s="20">
        <v>-1573147901</v>
      </c>
      <c r="AI23" s="20">
        <v>-1993641840</v>
      </c>
      <c r="AJ23" s="20">
        <v>-3237798497</v>
      </c>
      <c r="AK23" s="20">
        <v>-2993991777</v>
      </c>
      <c r="AL23" s="20">
        <v>-2290568807</v>
      </c>
      <c r="AM23" s="20">
        <v>-2226816034</v>
      </c>
      <c r="AN23" s="20">
        <v>-2128320328</v>
      </c>
      <c r="AO23" s="20">
        <v>-1661553514</v>
      </c>
      <c r="AP23" s="20">
        <v>-936838449</v>
      </c>
      <c r="AQ23" s="20">
        <v>-744292718</v>
      </c>
      <c r="AR23" s="20">
        <v>-2741796490</v>
      </c>
      <c r="AS23" s="20">
        <v>-103172016</v>
      </c>
      <c r="AT23" s="20">
        <v>-2449116513</v>
      </c>
      <c r="AU23" s="20">
        <v>-1201465852</v>
      </c>
      <c r="AV23" s="20">
        <v>-79981688</v>
      </c>
      <c r="AW23" s="20">
        <v>-570055628</v>
      </c>
      <c r="AX23" s="20">
        <v>-1216614710</v>
      </c>
      <c r="AY23" s="20">
        <v>-1620055205</v>
      </c>
      <c r="AZ23" s="20">
        <v>-956690038</v>
      </c>
      <c r="BA23" s="20">
        <v>-933950607</v>
      </c>
      <c r="BB23" s="20">
        <v>-676218518</v>
      </c>
      <c r="BC23" s="20">
        <v>-428240201</v>
      </c>
      <c r="BD23" s="20">
        <v>-1170367442</v>
      </c>
      <c r="BE23" s="20">
        <v>-1253164728</v>
      </c>
      <c r="BF23" s="20">
        <v>-1512604872</v>
      </c>
      <c r="BG23" s="20">
        <v>-1408925428</v>
      </c>
      <c r="BH23" s="20">
        <v>-567299860</v>
      </c>
      <c r="BI23" s="20">
        <v>-881102876</v>
      </c>
      <c r="BJ23" s="20">
        <v>194418036</v>
      </c>
      <c r="BK23" s="20">
        <v>-1024551814</v>
      </c>
      <c r="BL23" s="20">
        <v>513342441</v>
      </c>
      <c r="BM23" s="20">
        <v>346075161</v>
      </c>
      <c r="BN23" s="20">
        <v>-680152853</v>
      </c>
      <c r="BO23" s="20">
        <v>-216894789</v>
      </c>
      <c r="BP23" s="20">
        <v>-959475147</v>
      </c>
      <c r="BQ23" s="20">
        <v>-456516965</v>
      </c>
      <c r="BR23" s="20">
        <v>-545598431</v>
      </c>
      <c r="BS23" s="20">
        <v>-937890122</v>
      </c>
      <c r="BT23" s="20">
        <v>254999480</v>
      </c>
      <c r="BU23" s="20">
        <v>-416203986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80"/>
      <c r="B24" s="72" t="s">
        <v>109</v>
      </c>
      <c r="D24" s="83" t="e">
        <f>D23/D7</f>
        <v>#DIV/0!</v>
      </c>
      <c r="E24" s="83">
        <f t="shared" ref="E24:I24" si="1">E23/E7</f>
        <v>-0.27982247570380059</v>
      </c>
      <c r="F24" s="83">
        <f t="shared" si="1"/>
        <v>-0.32905068080182553</v>
      </c>
      <c r="G24" s="83">
        <f t="shared" si="1"/>
        <v>-0.10069210286750839</v>
      </c>
      <c r="H24" s="83">
        <f t="shared" si="1"/>
        <v>-3.8255491003853288E-2</v>
      </c>
      <c r="I24" s="83">
        <f t="shared" si="1"/>
        <v>-3.3495210010382873E-2</v>
      </c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</row>
  </sheetData>
  <protectedRanges>
    <protectedRange sqref="J4:CC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E07B-A79C-4889-8386-13C6C505BC03}">
  <dimension ref="A1:CC24"/>
  <sheetViews>
    <sheetView topLeftCell="B1" zoomScaleNormal="100" workbookViewId="0">
      <selection activeCell="F4" sqref="F4"/>
    </sheetView>
  </sheetViews>
  <sheetFormatPr defaultRowHeight="14.5"/>
  <cols>
    <col min="1" max="1" width="8" hidden="1" customWidth="1"/>
    <col min="2" max="2" width="55.54296875" customWidth="1"/>
    <col min="3" max="3" width="9.1796875" hidden="1" customWidth="1"/>
    <col min="4" max="4" width="14.54296875" bestFit="1" customWidth="1"/>
    <col min="5" max="6" width="15.6328125" bestFit="1" customWidth="1"/>
    <col min="7" max="7" width="16.08984375" bestFit="1" customWidth="1"/>
    <col min="8" max="8" width="17.36328125" bestFit="1" customWidth="1"/>
    <col min="9" max="9" width="15.6328125" bestFit="1" customWidth="1"/>
    <col min="10" max="10" width="14.81640625" customWidth="1"/>
    <col min="11" max="21" width="14.453125" customWidth="1"/>
    <col min="22" max="22" width="14.81640625" customWidth="1"/>
    <col min="23" max="32" width="15.54296875" customWidth="1"/>
    <col min="33" max="33" width="16.26953125" customWidth="1"/>
    <col min="34" max="48" width="15.54296875" customWidth="1"/>
    <col min="49" max="57" width="15.453125" customWidth="1"/>
    <col min="58" max="60" width="15.453125" bestFit="1" customWidth="1"/>
    <col min="61" max="61" width="15.54296875" bestFit="1" customWidth="1"/>
    <col min="62" max="63" width="15.453125" bestFit="1" customWidth="1"/>
    <col min="64" max="65" width="16.54296875" bestFit="1" customWidth="1"/>
    <col min="66" max="71" width="15.453125" bestFit="1" customWidth="1"/>
    <col min="72" max="72" width="15.54296875" customWidth="1"/>
    <col min="73" max="81" width="15.453125" bestFit="1" customWidth="1"/>
  </cols>
  <sheetData>
    <row r="1" spans="1:81" ht="17.5">
      <c r="B1" s="1" t="s">
        <v>105</v>
      </c>
    </row>
    <row r="2" spans="1:81">
      <c r="B2" s="2" t="s">
        <v>1</v>
      </c>
    </row>
    <row r="3" spans="1:81" ht="28">
      <c r="A3" s="4" t="s">
        <v>2</v>
      </c>
      <c r="B3" s="5" t="s">
        <v>3</v>
      </c>
      <c r="C3" s="4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</row>
    <row r="4" spans="1:81">
      <c r="A4" s="6">
        <v>1</v>
      </c>
      <c r="B4" s="7" t="s">
        <v>104</v>
      </c>
      <c r="C4" s="6">
        <v>7</v>
      </c>
      <c r="D4" s="8">
        <f>SUM(Data_PL5[[#This Row],[T1.2021]:[T12.2021]])</f>
        <v>417.15609999999998</v>
      </c>
      <c r="E4" s="8">
        <f>SUM(Data_PL5[[#This Row],[T1.2022]:[T12.2022]])</f>
        <v>3029</v>
      </c>
      <c r="F4" s="8">
        <f>SUM(Data_PL5[[#This Row],[T1.2023]:[T12.2023]])</f>
        <v>5651.7480000000005</v>
      </c>
      <c r="G4" s="8">
        <f>SUM(Data_PL5[[#This Row],[T01.2024]:[T12.2024]])</f>
        <v>4904</v>
      </c>
      <c r="H4" s="8">
        <f>SUM(Data_PL5[[#This Row],[T01.2025]:[T12.2025]])</f>
        <v>6160.6200000000008</v>
      </c>
      <c r="I4" s="8">
        <f>SUM(Data_PL5[[#This Row],[T01.2026]:[T12.2026]])</f>
        <v>2342.3630000000003</v>
      </c>
      <c r="J4" s="31">
        <v>32</v>
      </c>
      <c r="K4" s="31">
        <v>61</v>
      </c>
      <c r="L4" s="31">
        <v>92</v>
      </c>
      <c r="M4" s="31">
        <v>57</v>
      </c>
      <c r="N4" s="31">
        <v>39</v>
      </c>
      <c r="O4" s="31">
        <v>24</v>
      </c>
      <c r="P4" s="31">
        <v>16</v>
      </c>
      <c r="Q4" s="31">
        <v>0</v>
      </c>
      <c r="R4" s="31">
        <v>0</v>
      </c>
      <c r="S4" s="31">
        <v>0</v>
      </c>
      <c r="T4" s="31">
        <v>0.15609999999999999</v>
      </c>
      <c r="U4" s="31">
        <v>96</v>
      </c>
      <c r="V4" s="31">
        <v>60</v>
      </c>
      <c r="W4" s="31">
        <v>145</v>
      </c>
      <c r="X4" s="31">
        <v>194</v>
      </c>
      <c r="Y4" s="31">
        <v>178</v>
      </c>
      <c r="Z4" s="31">
        <v>181</v>
      </c>
      <c r="AA4" s="31">
        <v>245</v>
      </c>
      <c r="AB4" s="31">
        <v>161</v>
      </c>
      <c r="AC4" s="31">
        <v>268</v>
      </c>
      <c r="AD4" s="31">
        <v>329</v>
      </c>
      <c r="AE4" s="31">
        <v>282</v>
      </c>
      <c r="AF4" s="31">
        <v>414</v>
      </c>
      <c r="AG4" s="31">
        <v>572</v>
      </c>
      <c r="AH4" s="31">
        <v>186</v>
      </c>
      <c r="AI4" s="31">
        <v>413.61700000000002</v>
      </c>
      <c r="AJ4" s="31">
        <v>514</v>
      </c>
      <c r="AK4" s="31">
        <v>543.4</v>
      </c>
      <c r="AL4" s="31">
        <v>667.93100000000004</v>
      </c>
      <c r="AM4" s="31">
        <v>538</v>
      </c>
      <c r="AN4" s="31">
        <v>508</v>
      </c>
      <c r="AO4" s="31">
        <v>456</v>
      </c>
      <c r="AP4" s="31">
        <v>327</v>
      </c>
      <c r="AQ4" s="31">
        <v>392</v>
      </c>
      <c r="AR4" s="31">
        <v>512</v>
      </c>
      <c r="AS4" s="31">
        <v>593.79999999999995</v>
      </c>
      <c r="AT4" s="8">
        <v>454</v>
      </c>
      <c r="AU4" s="31">
        <v>427</v>
      </c>
      <c r="AV4" s="31">
        <v>528</v>
      </c>
      <c r="AW4" s="31">
        <v>341</v>
      </c>
      <c r="AX4" s="31">
        <v>491</v>
      </c>
      <c r="AY4" s="31">
        <v>473</v>
      </c>
      <c r="AZ4" s="31">
        <v>370</v>
      </c>
      <c r="BA4" s="31">
        <v>406</v>
      </c>
      <c r="BB4" s="31">
        <v>299</v>
      </c>
      <c r="BC4" s="31">
        <v>409</v>
      </c>
      <c r="BD4" s="32">
        <v>383</v>
      </c>
      <c r="BE4" s="33">
        <v>323</v>
      </c>
      <c r="BF4" s="8">
        <v>242.078</v>
      </c>
      <c r="BG4" s="31">
        <v>310.59300000000002</v>
      </c>
      <c r="BH4" s="31">
        <v>475.98700000000002</v>
      </c>
      <c r="BI4" s="31">
        <v>519.90300000000002</v>
      </c>
      <c r="BJ4" s="31">
        <v>467.35599999999999</v>
      </c>
      <c r="BK4" s="31">
        <v>510.435</v>
      </c>
      <c r="BL4" s="31">
        <v>718.97</v>
      </c>
      <c r="BM4" s="31">
        <v>711.69899999999996</v>
      </c>
      <c r="BN4" s="31">
        <v>591.82399999999996</v>
      </c>
      <c r="BO4" s="31">
        <v>543.36400000000003</v>
      </c>
      <c r="BP4" s="31">
        <v>454.67200000000003</v>
      </c>
      <c r="BQ4" s="31">
        <v>613.73900000000003</v>
      </c>
      <c r="BR4" s="31">
        <f>'[2]KQKD theo yeu to'!BL8</f>
        <v>580.27200000000005</v>
      </c>
      <c r="BS4" s="31">
        <f>'[2]KQKD theo yeu to'!BM8</f>
        <v>464.90899999999999</v>
      </c>
      <c r="BT4" s="31">
        <f>'[2]KQKD theo yeu to'!BN8</f>
        <v>656.06799999999998</v>
      </c>
      <c r="BU4" s="31">
        <f>'[2]KQKD theo yeu to'!BO8</f>
        <v>641.11400000000003</v>
      </c>
      <c r="BV4" s="31">
        <f>'[2]KQKD theo yeu to'!BP8</f>
        <v>0</v>
      </c>
      <c r="BW4" s="31">
        <f>'[2]KQKD theo yeu to'!BQ8</f>
        <v>0</v>
      </c>
      <c r="BX4" s="31">
        <f>'[2]KQKD theo yeu to'!BR8</f>
        <v>0</v>
      </c>
      <c r="BY4" s="31">
        <f>'[2]KQKD theo yeu to'!BS8</f>
        <v>0</v>
      </c>
      <c r="BZ4" s="31">
        <f>'[2]KQKD theo yeu to'!BT8</f>
        <v>0</v>
      </c>
      <c r="CA4" s="31">
        <f>'[2]KQKD theo yeu to'!BU8</f>
        <v>0</v>
      </c>
      <c r="CB4" s="31">
        <f>'[2]KQKD theo yeu to'!BV8</f>
        <v>0</v>
      </c>
      <c r="CC4" s="31">
        <f>'[2]KQKD theo yeu to'!BW8</f>
        <v>0</v>
      </c>
    </row>
    <row r="5" spans="1:81">
      <c r="A5" s="9">
        <v>2</v>
      </c>
      <c r="B5" s="10" t="s">
        <v>84</v>
      </c>
      <c r="C5" s="9">
        <v>7</v>
      </c>
      <c r="D5" s="9">
        <f>SUM(Data_PL5[[#This Row],[T1.2021]:[T12.2021]])</f>
        <v>4484708150</v>
      </c>
      <c r="E5" s="9">
        <f>SUM(Data_PL5[[#This Row],[T1.2022]:[T12.2022]])</f>
        <v>45767834776</v>
      </c>
      <c r="F5" s="9">
        <f>SUM(Data_PL5[[#This Row],[T1.2023]:[T12.2023]])</f>
        <v>78915665269</v>
      </c>
      <c r="G5" s="9">
        <f>SUM(Data_PL5[[#This Row],[T01.2024]:[T12.2024]])</f>
        <v>74523104085</v>
      </c>
      <c r="H5" s="9">
        <f>SUM(Data_PL5[[#This Row],[T01.2025]:[T12.2025]])</f>
        <v>102263015418</v>
      </c>
      <c r="I5" s="9">
        <f>SUM(Data_PL5[[#This Row],[T01.2026]:[T12.2026]])</f>
        <v>33478415002</v>
      </c>
      <c r="J5" s="11">
        <v>312737600</v>
      </c>
      <c r="K5" s="11">
        <v>606797380</v>
      </c>
      <c r="L5" s="11">
        <v>903716800</v>
      </c>
      <c r="M5" s="11">
        <v>584483600</v>
      </c>
      <c r="N5" s="11">
        <v>473255400</v>
      </c>
      <c r="O5" s="11">
        <v>327063600</v>
      </c>
      <c r="P5" s="11">
        <v>212259000</v>
      </c>
      <c r="Q5" s="11">
        <v>0</v>
      </c>
      <c r="R5" s="11">
        <v>0</v>
      </c>
      <c r="S5" s="11">
        <v>0</v>
      </c>
      <c r="T5" s="11">
        <v>23415000</v>
      </c>
      <c r="U5" s="11">
        <v>1040979770</v>
      </c>
      <c r="V5" s="11">
        <v>1387649940</v>
      </c>
      <c r="W5" s="11">
        <v>1583445960</v>
      </c>
      <c r="X5" s="11">
        <v>2573716230</v>
      </c>
      <c r="Y5" s="11">
        <v>2789415475</v>
      </c>
      <c r="Z5" s="11">
        <v>3061211620</v>
      </c>
      <c r="AA5" s="11">
        <v>4013573585</v>
      </c>
      <c r="AB5" s="11">
        <v>2566597774</v>
      </c>
      <c r="AC5" s="11">
        <v>4244037032</v>
      </c>
      <c r="AD5" s="11">
        <v>4500455270</v>
      </c>
      <c r="AE5" s="11">
        <v>4093507967</v>
      </c>
      <c r="AF5" s="11">
        <v>6936881675</v>
      </c>
      <c r="AG5" s="11">
        <v>8017342248</v>
      </c>
      <c r="AH5" s="11">
        <v>2672344837</v>
      </c>
      <c r="AI5" s="11">
        <v>4854309360</v>
      </c>
      <c r="AJ5" s="11">
        <v>6533069323</v>
      </c>
      <c r="AK5" s="11">
        <v>8443399962</v>
      </c>
      <c r="AL5" s="11">
        <v>10076762540</v>
      </c>
      <c r="AM5" s="11">
        <v>6865915296</v>
      </c>
      <c r="AN5" s="11">
        <v>6253371756</v>
      </c>
      <c r="AO5" s="11">
        <v>5694464185</v>
      </c>
      <c r="AP5" s="11">
        <v>4475524426</v>
      </c>
      <c r="AQ5" s="11">
        <v>6155131250</v>
      </c>
      <c r="AR5" s="11">
        <v>7975368000</v>
      </c>
      <c r="AS5" s="11">
        <v>8916004334</v>
      </c>
      <c r="AT5" s="11">
        <v>6816503925</v>
      </c>
      <c r="AU5" s="11">
        <v>6039598500</v>
      </c>
      <c r="AV5" s="11">
        <v>7858071500</v>
      </c>
      <c r="AW5" s="11">
        <v>5360336000</v>
      </c>
      <c r="AX5" s="11">
        <v>7701926000</v>
      </c>
      <c r="AY5" s="11">
        <v>7405493500</v>
      </c>
      <c r="AZ5" s="11">
        <v>5356795000</v>
      </c>
      <c r="BA5" s="11">
        <v>5872209850</v>
      </c>
      <c r="BB5" s="11">
        <v>4632824810</v>
      </c>
      <c r="BC5" s="11">
        <v>6376620000</v>
      </c>
      <c r="BD5" s="11">
        <v>6008306800</v>
      </c>
      <c r="BE5" s="11">
        <v>5094418200</v>
      </c>
      <c r="BF5" s="11">
        <v>3795897480</v>
      </c>
      <c r="BG5" s="11">
        <v>5012982676</v>
      </c>
      <c r="BH5" s="11">
        <v>8087243089</v>
      </c>
      <c r="BI5" s="11">
        <v>9694585314</v>
      </c>
      <c r="BJ5" s="11">
        <v>8388349104</v>
      </c>
      <c r="BK5" s="11">
        <v>9515421651</v>
      </c>
      <c r="BL5" s="11">
        <v>13592588554</v>
      </c>
      <c r="BM5" s="11">
        <v>12421660930</v>
      </c>
      <c r="BN5" s="11">
        <v>8808063400</v>
      </c>
      <c r="BO5" s="11">
        <v>7719934000</v>
      </c>
      <c r="BP5" s="11">
        <v>6532057500</v>
      </c>
      <c r="BQ5" s="11">
        <v>8694231720</v>
      </c>
      <c r="BR5" s="53">
        <v>8331190500</v>
      </c>
      <c r="BS5" s="11">
        <v>6640520862</v>
      </c>
      <c r="BT5" s="11">
        <v>9363644480</v>
      </c>
      <c r="BU5" s="54">
        <v>9143059160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12">
        <v>3</v>
      </c>
      <c r="B6" s="13" t="s">
        <v>85</v>
      </c>
      <c r="C6" s="12">
        <v>7</v>
      </c>
      <c r="D6" s="12">
        <f>SUM(Data_PL5[[#This Row],[T1.2021]:[T12.2021]])</f>
        <v>0</v>
      </c>
      <c r="E6" s="12">
        <f>SUM(Data_PL5[[#This Row],[T1.2022]:[T12.2022]])</f>
        <v>0</v>
      </c>
      <c r="F6" s="12">
        <f>SUM(Data_PL5[[#This Row],[T1.2023]:[T12.2023]])</f>
        <v>0</v>
      </c>
      <c r="G6" s="12">
        <f>SUM(Data_PL5[[#This Row],[T01.2024]:[T12.2024]])</f>
        <v>0</v>
      </c>
      <c r="H6" s="12">
        <f>SUM(Data_PL5[[#This Row],[T01.2025]:[T12.2025]])</f>
        <v>0</v>
      </c>
      <c r="I6" s="12">
        <f>SUM(Data_PL5[[#This Row],[T01.2026]:[T12.2026]])</f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/>
      <c r="AF6" s="14" t="s">
        <v>106</v>
      </c>
      <c r="AG6" s="14">
        <v>0</v>
      </c>
      <c r="AH6" s="14">
        <v>0</v>
      </c>
      <c r="AI6" s="14">
        <v>0</v>
      </c>
      <c r="AJ6" s="14">
        <v>0</v>
      </c>
      <c r="AK6" s="14"/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38">
        <v>0</v>
      </c>
      <c r="AX6" s="38">
        <v>0</v>
      </c>
      <c r="AY6" s="38">
        <v>0</v>
      </c>
      <c r="AZ6" s="38">
        <v>0</v>
      </c>
      <c r="BA6" s="38">
        <v>0</v>
      </c>
      <c r="BB6" s="38">
        <v>0</v>
      </c>
      <c r="BC6" s="38">
        <v>0</v>
      </c>
      <c r="BD6" s="38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  <c r="BP6" s="39"/>
      <c r="BQ6" s="39"/>
      <c r="BR6" s="39"/>
      <c r="BS6" s="39"/>
      <c r="BT6" s="39"/>
      <c r="BU6" s="55"/>
      <c r="BV6" s="39"/>
      <c r="BW6" s="39"/>
      <c r="BX6" s="39"/>
      <c r="BY6" s="39"/>
      <c r="BZ6" s="39"/>
      <c r="CA6" s="39"/>
      <c r="CB6" s="39"/>
      <c r="CC6" s="39"/>
    </row>
    <row r="7" spans="1:81">
      <c r="A7" s="15">
        <v>4</v>
      </c>
      <c r="B7" s="10" t="s">
        <v>86</v>
      </c>
      <c r="C7" s="15">
        <v>7</v>
      </c>
      <c r="D7" s="15">
        <f>SUM(Data_PL5[[#This Row],[T1.2021]:[T12.2021]])</f>
        <v>4484708150</v>
      </c>
      <c r="E7" s="15">
        <f>SUM(Data_PL5[[#This Row],[T1.2022]:[T12.2022]])</f>
        <v>45767834776</v>
      </c>
      <c r="F7" s="15">
        <f>SUM(Data_PL5[[#This Row],[T1.2023]:[T12.2023]])</f>
        <v>78915665269</v>
      </c>
      <c r="G7" s="15">
        <f>SUM(Data_PL5[[#This Row],[T01.2024]:[T12.2024]])</f>
        <v>74523104085</v>
      </c>
      <c r="H7" s="15">
        <f>SUM(Data_PL5[[#This Row],[T01.2025]:[T12.2025]])</f>
        <v>102263015418</v>
      </c>
      <c r="I7" s="15">
        <f>SUM(Data_PL5[[#This Row],[T01.2026]:[T12.2026]])</f>
        <v>33478415002</v>
      </c>
      <c r="J7" s="16">
        <v>312737600</v>
      </c>
      <c r="K7" s="16">
        <v>606797380</v>
      </c>
      <c r="L7" s="16">
        <v>903716800</v>
      </c>
      <c r="M7" s="16">
        <v>584483600</v>
      </c>
      <c r="N7" s="16">
        <v>473255400</v>
      </c>
      <c r="O7" s="16">
        <v>327063600</v>
      </c>
      <c r="P7" s="16">
        <v>212259000</v>
      </c>
      <c r="Q7" s="16">
        <v>0</v>
      </c>
      <c r="R7" s="16">
        <v>0</v>
      </c>
      <c r="S7" s="16">
        <v>0</v>
      </c>
      <c r="T7" s="16">
        <v>23415000</v>
      </c>
      <c r="U7" s="16">
        <v>1040979770</v>
      </c>
      <c r="V7" s="16">
        <v>1387649940</v>
      </c>
      <c r="W7" s="16">
        <v>1583445960</v>
      </c>
      <c r="X7" s="16">
        <v>2573716230</v>
      </c>
      <c r="Y7" s="16">
        <v>2789415475</v>
      </c>
      <c r="Z7" s="16">
        <v>3061211620</v>
      </c>
      <c r="AA7" s="16">
        <v>4013573585</v>
      </c>
      <c r="AB7" s="16">
        <v>2566597774</v>
      </c>
      <c r="AC7" s="16">
        <v>4244037032</v>
      </c>
      <c r="AD7" s="16">
        <v>4500455270</v>
      </c>
      <c r="AE7" s="16">
        <v>4093507967</v>
      </c>
      <c r="AF7" s="16">
        <v>6936881675</v>
      </c>
      <c r="AG7" s="16">
        <v>8017342248</v>
      </c>
      <c r="AH7" s="16">
        <v>2672344837</v>
      </c>
      <c r="AI7" s="16">
        <v>4854309360</v>
      </c>
      <c r="AJ7" s="16">
        <v>6533069323</v>
      </c>
      <c r="AK7" s="16">
        <v>8443399962</v>
      </c>
      <c r="AL7" s="16">
        <v>10076762540</v>
      </c>
      <c r="AM7" s="16">
        <v>6865915296</v>
      </c>
      <c r="AN7" s="16">
        <v>6253371756</v>
      </c>
      <c r="AO7" s="16">
        <v>5694464185</v>
      </c>
      <c r="AP7" s="16">
        <v>4475524426</v>
      </c>
      <c r="AQ7" s="16">
        <v>6155131250</v>
      </c>
      <c r="AR7" s="16">
        <v>7975368000</v>
      </c>
      <c r="AS7" s="16">
        <v>8916004334</v>
      </c>
      <c r="AT7" s="16">
        <v>6816503925</v>
      </c>
      <c r="AU7" s="16">
        <v>6039598500</v>
      </c>
      <c r="AV7" s="16">
        <v>7858071500</v>
      </c>
      <c r="AW7" s="16">
        <v>5360336000</v>
      </c>
      <c r="AX7" s="16">
        <v>7701926000</v>
      </c>
      <c r="AY7" s="16">
        <v>7405493500</v>
      </c>
      <c r="AZ7" s="16">
        <v>5356795000</v>
      </c>
      <c r="BA7" s="16">
        <v>5872209850</v>
      </c>
      <c r="BB7" s="16">
        <v>4632824810</v>
      </c>
      <c r="BC7" s="16">
        <v>6376620000</v>
      </c>
      <c r="BD7" s="16">
        <v>6008306800</v>
      </c>
      <c r="BE7" s="42">
        <v>5094418200</v>
      </c>
      <c r="BF7" s="42">
        <v>3795897480</v>
      </c>
      <c r="BG7" s="42">
        <v>5012982676</v>
      </c>
      <c r="BH7" s="42">
        <v>8087243089</v>
      </c>
      <c r="BI7" s="42">
        <v>9694585314</v>
      </c>
      <c r="BJ7" s="42">
        <v>8388349104</v>
      </c>
      <c r="BK7" s="42">
        <v>9515421651</v>
      </c>
      <c r="BL7" s="42">
        <v>13592588554</v>
      </c>
      <c r="BM7" s="42">
        <v>12421660930</v>
      </c>
      <c r="BN7" s="42">
        <v>8808063400</v>
      </c>
      <c r="BO7" s="42">
        <v>7719934000</v>
      </c>
      <c r="BP7" s="42">
        <v>6532057500</v>
      </c>
      <c r="BQ7" s="42">
        <v>8694231720</v>
      </c>
      <c r="BR7" s="42">
        <f>BR5</f>
        <v>8331190500</v>
      </c>
      <c r="BS7" s="42">
        <v>6640520862</v>
      </c>
      <c r="BT7" s="42">
        <v>9363644480</v>
      </c>
      <c r="BU7" s="56">
        <v>9143059160</v>
      </c>
      <c r="BV7" s="42"/>
      <c r="BW7" s="42"/>
      <c r="BX7" s="42"/>
      <c r="BY7" s="42"/>
      <c r="BZ7" s="42"/>
      <c r="CA7" s="42"/>
      <c r="CB7" s="42"/>
      <c r="CC7" s="42"/>
    </row>
    <row r="8" spans="1:81" ht="15.5">
      <c r="A8" s="17">
        <v>5</v>
      </c>
      <c r="B8" s="13" t="s">
        <v>87</v>
      </c>
      <c r="C8" s="17">
        <v>7</v>
      </c>
      <c r="D8" s="12">
        <f>SUM(Data_PL5[[#This Row],[T1.2021]:[T12.2021]])</f>
        <v>4241284606</v>
      </c>
      <c r="E8" s="12">
        <f>SUM(Data_PL5[[#This Row],[T1.2022]:[T12.2022]])</f>
        <v>41683827544.940704</v>
      </c>
      <c r="F8" s="12">
        <f>SUM(Data_PL5[[#This Row],[T1.2023]:[T12.2023]])</f>
        <v>66674046263</v>
      </c>
      <c r="G8" s="12">
        <f>SUM(Data_PL5[[#This Row],[T01.2024]:[T12.2024]])</f>
        <v>73456683084</v>
      </c>
      <c r="H8" s="12">
        <f>SUM(Data_PL5[[#This Row],[T01.2025]:[T12.2025]])</f>
        <v>92839155156</v>
      </c>
      <c r="I8" s="12">
        <f>SUM(Data_PL5[[#This Row],[T01.2026]:[T12.2026]])</f>
        <v>29200841249</v>
      </c>
      <c r="J8" s="14">
        <v>307386576</v>
      </c>
      <c r="K8" s="14">
        <v>594551595</v>
      </c>
      <c r="L8" s="14">
        <v>883311950</v>
      </c>
      <c r="M8" s="14">
        <v>545112534</v>
      </c>
      <c r="N8" s="14">
        <v>429782229</v>
      </c>
      <c r="O8" s="14">
        <v>297804989</v>
      </c>
      <c r="P8" s="14">
        <v>190295081</v>
      </c>
      <c r="Q8" s="14">
        <v>0</v>
      </c>
      <c r="R8" s="14">
        <v>0</v>
      </c>
      <c r="S8" s="14">
        <v>0</v>
      </c>
      <c r="T8" s="14">
        <v>0</v>
      </c>
      <c r="U8" s="14">
        <v>993039652</v>
      </c>
      <c r="V8" s="14">
        <v>925318497</v>
      </c>
      <c r="W8" s="14">
        <v>1707322194</v>
      </c>
      <c r="X8" s="14">
        <v>2217846032</v>
      </c>
      <c r="Y8" s="14">
        <v>2602912448</v>
      </c>
      <c r="Z8" s="14">
        <v>2370282789</v>
      </c>
      <c r="AA8" s="14">
        <v>3820527867</v>
      </c>
      <c r="AB8" s="14">
        <v>2211991801</v>
      </c>
      <c r="AC8" s="14">
        <v>3337732602</v>
      </c>
      <c r="AD8" s="14">
        <v>3917856191</v>
      </c>
      <c r="AE8" s="14">
        <v>3981567453.9407091</v>
      </c>
      <c r="AF8" s="14">
        <v>5471834459</v>
      </c>
      <c r="AG8" s="14">
        <v>9118635211</v>
      </c>
      <c r="AH8" s="14">
        <v>1959307170</v>
      </c>
      <c r="AI8" s="14">
        <v>4350442102</v>
      </c>
      <c r="AJ8" s="14">
        <v>6113575485</v>
      </c>
      <c r="AK8" s="14">
        <v>6988900943</v>
      </c>
      <c r="AL8" s="14">
        <v>7690397229</v>
      </c>
      <c r="AM8" s="14">
        <v>5623409224</v>
      </c>
      <c r="AN8" s="14">
        <v>5700764058</v>
      </c>
      <c r="AO8" s="14">
        <v>4951896169</v>
      </c>
      <c r="AP8" s="14">
        <v>3904690074</v>
      </c>
      <c r="AQ8" s="14">
        <v>5122380259</v>
      </c>
      <c r="AR8" s="14">
        <v>6706430896</v>
      </c>
      <c r="AS8" s="14">
        <v>7561852654</v>
      </c>
      <c r="AT8" s="18">
        <v>6559783004</v>
      </c>
      <c r="AU8" s="14">
        <v>5886345396</v>
      </c>
      <c r="AV8" s="14">
        <v>7324351881</v>
      </c>
      <c r="AW8" s="44">
        <v>5224998353</v>
      </c>
      <c r="AX8" s="44">
        <v>7764479089</v>
      </c>
      <c r="AY8" s="44">
        <v>7281939097</v>
      </c>
      <c r="AZ8" s="44">
        <v>5437205244</v>
      </c>
      <c r="BA8" s="44">
        <v>5773497558</v>
      </c>
      <c r="BB8" s="44">
        <v>4867603245</v>
      </c>
      <c r="BC8" s="44">
        <v>6301887244</v>
      </c>
      <c r="BD8" s="45">
        <v>5850497140</v>
      </c>
      <c r="BE8" s="44">
        <v>5184095833</v>
      </c>
      <c r="BF8" s="44">
        <v>4115294618</v>
      </c>
      <c r="BG8" s="44">
        <v>5323842751</v>
      </c>
      <c r="BH8" s="44">
        <v>7964328238</v>
      </c>
      <c r="BI8" s="44">
        <v>8541162245</v>
      </c>
      <c r="BJ8" s="44">
        <v>7739685565</v>
      </c>
      <c r="BK8" s="44">
        <v>8523016034</v>
      </c>
      <c r="BL8" s="44">
        <v>11750480818</v>
      </c>
      <c r="BM8" s="44">
        <v>10965244594</v>
      </c>
      <c r="BN8" s="44">
        <v>8023329011</v>
      </c>
      <c r="BO8" s="44">
        <v>6836790306</v>
      </c>
      <c r="BP8" s="44">
        <v>5683019867</v>
      </c>
      <c r="BQ8" s="44">
        <v>7372961109</v>
      </c>
      <c r="BR8" s="44">
        <v>7000379183</v>
      </c>
      <c r="BS8" s="44">
        <v>6068834875</v>
      </c>
      <c r="BT8" s="44">
        <v>8096833514</v>
      </c>
      <c r="BU8" s="57">
        <v>8034793677</v>
      </c>
      <c r="BV8" s="44"/>
      <c r="BW8" s="44"/>
      <c r="BX8" s="44"/>
      <c r="BY8" s="44"/>
      <c r="BZ8" s="44"/>
      <c r="CA8" s="44"/>
      <c r="CB8" s="44"/>
      <c r="CC8" s="44"/>
    </row>
    <row r="9" spans="1:81">
      <c r="A9" s="19">
        <v>6</v>
      </c>
      <c r="B9" s="10" t="s">
        <v>88</v>
      </c>
      <c r="C9" s="19">
        <v>7</v>
      </c>
      <c r="D9" s="19">
        <f>SUM(Data_PL5[[#This Row],[T1.2021]:[T12.2021]])</f>
        <v>243423544</v>
      </c>
      <c r="E9" s="19">
        <f>SUM(Data_PL5[[#This Row],[T1.2022]:[T12.2022]])</f>
        <v>4104990139.0592909</v>
      </c>
      <c r="F9" s="19">
        <f>SUM(Data_PL5[[#This Row],[T1.2023]:[T12.2023]])</f>
        <v>12241619006</v>
      </c>
      <c r="G9" s="19">
        <f>SUM(Data_PL5[[#This Row],[T01.2024]:[T12.2024]])</f>
        <v>1066421001</v>
      </c>
      <c r="H9" s="19">
        <f>SUM(Data_PL5[[#This Row],[T01.2025]:[T12.2025]])</f>
        <v>9423860262</v>
      </c>
      <c r="I9" s="19">
        <f>SUM(Data_PL5[[#This Row],[T01.2026]:[T12.2026]])</f>
        <v>4277573753</v>
      </c>
      <c r="J9" s="20">
        <v>5351024</v>
      </c>
      <c r="K9" s="20">
        <v>12245785</v>
      </c>
      <c r="L9" s="20">
        <v>20404850</v>
      </c>
      <c r="M9" s="20">
        <v>39371066</v>
      </c>
      <c r="N9" s="20">
        <v>43473171</v>
      </c>
      <c r="O9" s="20">
        <v>29258611</v>
      </c>
      <c r="P9" s="20">
        <v>21963919</v>
      </c>
      <c r="Q9" s="20">
        <v>0</v>
      </c>
      <c r="R9" s="20">
        <v>0</v>
      </c>
      <c r="S9" s="20">
        <v>0</v>
      </c>
      <c r="T9" s="20">
        <v>23415000</v>
      </c>
      <c r="U9" s="20">
        <v>47940118</v>
      </c>
      <c r="V9" s="20">
        <v>462331443</v>
      </c>
      <c r="W9" s="20">
        <v>-123876234</v>
      </c>
      <c r="X9" s="20">
        <v>355870198</v>
      </c>
      <c r="Y9" s="20">
        <v>186503027</v>
      </c>
      <c r="Z9" s="20">
        <v>690928831</v>
      </c>
      <c r="AA9" s="20">
        <v>193045718</v>
      </c>
      <c r="AB9" s="20">
        <v>354605973</v>
      </c>
      <c r="AC9" s="20">
        <v>906304430</v>
      </c>
      <c r="AD9" s="20">
        <v>582599079</v>
      </c>
      <c r="AE9" s="20">
        <v>111940513.05929089</v>
      </c>
      <c r="AF9" s="20">
        <v>1486030124</v>
      </c>
      <c r="AG9" s="20">
        <v>-1101292963</v>
      </c>
      <c r="AH9" s="20">
        <v>713037667</v>
      </c>
      <c r="AI9" s="20">
        <v>503867258</v>
      </c>
      <c r="AJ9" s="20">
        <v>419493838</v>
      </c>
      <c r="AK9" s="20">
        <v>1454499019</v>
      </c>
      <c r="AL9" s="20">
        <v>2386365311</v>
      </c>
      <c r="AM9" s="20">
        <v>1242506072</v>
      </c>
      <c r="AN9" s="20">
        <v>552607698</v>
      </c>
      <c r="AO9" s="20">
        <v>742568016</v>
      </c>
      <c r="AP9" s="20">
        <v>570834352</v>
      </c>
      <c r="AQ9" s="20">
        <v>1032750991</v>
      </c>
      <c r="AR9" s="20">
        <v>1268937104</v>
      </c>
      <c r="AS9" s="20">
        <v>1354151680</v>
      </c>
      <c r="AT9" s="20">
        <v>256720921</v>
      </c>
      <c r="AU9" s="20">
        <v>153253104</v>
      </c>
      <c r="AV9" s="20">
        <v>533719619</v>
      </c>
      <c r="AW9" s="20">
        <v>135337647</v>
      </c>
      <c r="AX9" s="20">
        <v>-62553089</v>
      </c>
      <c r="AY9" s="20">
        <v>123554403</v>
      </c>
      <c r="AZ9" s="20">
        <v>-80410244</v>
      </c>
      <c r="BA9" s="20">
        <v>98712292</v>
      </c>
      <c r="BB9" s="20">
        <v>-234778435</v>
      </c>
      <c r="BC9" s="20">
        <v>74732756</v>
      </c>
      <c r="BD9" s="20">
        <v>157809660</v>
      </c>
      <c r="BE9" s="20">
        <v>-89677633</v>
      </c>
      <c r="BF9" s="20">
        <v>-319397138</v>
      </c>
      <c r="BG9" s="20">
        <v>-310860075</v>
      </c>
      <c r="BH9" s="20">
        <v>122914851</v>
      </c>
      <c r="BI9" s="20">
        <v>1153423069</v>
      </c>
      <c r="BJ9" s="20">
        <v>648663539</v>
      </c>
      <c r="BK9" s="20">
        <v>992405617</v>
      </c>
      <c r="BL9" s="20">
        <v>1842107736</v>
      </c>
      <c r="BM9" s="20">
        <v>1456416336</v>
      </c>
      <c r="BN9" s="20">
        <v>784734389</v>
      </c>
      <c r="BO9" s="20">
        <v>883143694</v>
      </c>
      <c r="BP9" s="20">
        <v>849037633</v>
      </c>
      <c r="BQ9" s="20">
        <v>1321270611</v>
      </c>
      <c r="BR9" s="20">
        <f>BR7-BR8</f>
        <v>1330811317</v>
      </c>
      <c r="BS9" s="20">
        <v>571685987</v>
      </c>
      <c r="BT9" s="20">
        <v>1266810966</v>
      </c>
      <c r="BU9" s="58">
        <v>1108265483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19">
        <v>7</v>
      </c>
      <c r="B10" s="10" t="s">
        <v>89</v>
      </c>
      <c r="C10" s="19">
        <v>7</v>
      </c>
      <c r="D10" s="19">
        <f>SUM(Data_PL5[[#This Row],[T1.2021]:[T12.2021]])</f>
        <v>0</v>
      </c>
      <c r="E10" s="19">
        <f>SUM(Data_PL5[[#This Row],[T1.2022]:[T12.2022]])</f>
        <v>0</v>
      </c>
      <c r="F10" s="19">
        <f>SUM(Data_PL5[[#This Row],[T1.2023]:[T12.2023]])</f>
        <v>0</v>
      </c>
      <c r="G10" s="19">
        <f>SUM(Data_PL5[[#This Row],[T01.2024]:[T12.2024]])</f>
        <v>0</v>
      </c>
      <c r="H10" s="19">
        <f>SUM(Data_PL5[[#This Row],[T01.2025]:[T12.2025]])</f>
        <v>0</v>
      </c>
      <c r="I10" s="19">
        <f>SUM(Data_PL5[[#This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59" t="s">
        <v>107</v>
      </c>
      <c r="BV10" s="20"/>
      <c r="BW10" s="20"/>
      <c r="BX10" s="20"/>
      <c r="BY10" s="20"/>
      <c r="BZ10" s="20"/>
      <c r="CA10" s="20"/>
      <c r="CB10" s="20"/>
      <c r="CC10" s="20"/>
    </row>
    <row r="11" spans="1:81">
      <c r="A11" s="12">
        <v>8</v>
      </c>
      <c r="B11" s="13" t="s">
        <v>90</v>
      </c>
      <c r="C11" s="12">
        <v>7</v>
      </c>
      <c r="D11" s="12">
        <f>SUM(Data_PL5[[#This Row],[T1.2021]:[T12.2021]])</f>
        <v>2333856</v>
      </c>
      <c r="E11" s="12">
        <f>SUM(Data_PL5[[#This Row],[T1.2022]:[T12.2022]])</f>
        <v>2627533</v>
      </c>
      <c r="F11" s="12">
        <f>SUM(Data_PL5[[#This Row],[T1.2023]:[T12.2023]])</f>
        <v>4823037</v>
      </c>
      <c r="G11" s="12">
        <f>SUM(Data_PL5[[#This Row],[T01.2024]:[T12.2024]])</f>
        <v>438643</v>
      </c>
      <c r="H11" s="12">
        <f>SUM(Data_PL5[[#This Row],[T01.2025]:[T12.2025]])</f>
        <v>25757691</v>
      </c>
      <c r="I11" s="12">
        <f>SUM(Data_PL5[[#This Row],[T01.2026]:[T12.2026]])</f>
        <v>49665428</v>
      </c>
      <c r="J11" s="14">
        <v>318142</v>
      </c>
      <c r="K11" s="14">
        <v>320963</v>
      </c>
      <c r="L11" s="14">
        <v>233602</v>
      </c>
      <c r="M11" s="14">
        <v>61216</v>
      </c>
      <c r="N11" s="14">
        <v>35718</v>
      </c>
      <c r="O11" s="14">
        <v>34791</v>
      </c>
      <c r="P11" s="14">
        <v>12026</v>
      </c>
      <c r="Q11" s="14">
        <v>150953</v>
      </c>
      <c r="R11" s="14">
        <v>154805</v>
      </c>
      <c r="S11" s="14">
        <v>33961</v>
      </c>
      <c r="T11" s="14">
        <v>393956</v>
      </c>
      <c r="U11" s="14">
        <v>583723</v>
      </c>
      <c r="V11" s="14">
        <v>188347</v>
      </c>
      <c r="W11" s="14">
        <v>108270</v>
      </c>
      <c r="X11" s="14">
        <v>116336</v>
      </c>
      <c r="Y11" s="14">
        <v>112685</v>
      </c>
      <c r="Z11" s="14">
        <v>69856</v>
      </c>
      <c r="AA11" s="14">
        <v>58583</v>
      </c>
      <c r="AB11" s="14">
        <v>58534</v>
      </c>
      <c r="AC11" s="14">
        <v>31901</v>
      </c>
      <c r="AD11" s="14">
        <v>52284</v>
      </c>
      <c r="AE11" s="14">
        <v>76465</v>
      </c>
      <c r="AF11" s="14">
        <v>917457</v>
      </c>
      <c r="AG11" s="14">
        <v>836815</v>
      </c>
      <c r="AH11" s="14">
        <v>1927792</v>
      </c>
      <c r="AI11" s="14">
        <v>898359</v>
      </c>
      <c r="AJ11" s="14">
        <v>313046</v>
      </c>
      <c r="AK11" s="14">
        <v>305664</v>
      </c>
      <c r="AL11" s="14">
        <v>225244</v>
      </c>
      <c r="AM11" s="14">
        <v>179902</v>
      </c>
      <c r="AN11" s="14">
        <v>290077</v>
      </c>
      <c r="AO11" s="14">
        <v>217696</v>
      </c>
      <c r="AP11" s="14">
        <v>212651</v>
      </c>
      <c r="AQ11" s="14">
        <v>199782</v>
      </c>
      <c r="AR11" s="14">
        <v>37087</v>
      </c>
      <c r="AS11" s="14">
        <v>15737</v>
      </c>
      <c r="AT11" s="14">
        <v>25689</v>
      </c>
      <c r="AU11" s="14">
        <v>15096</v>
      </c>
      <c r="AV11" s="14">
        <v>20265</v>
      </c>
      <c r="AW11" s="38">
        <v>39658</v>
      </c>
      <c r="AX11" s="38">
        <v>32454</v>
      </c>
      <c r="AY11" s="38">
        <v>31525</v>
      </c>
      <c r="AZ11" s="38">
        <v>35902</v>
      </c>
      <c r="BA11" s="38">
        <v>42375</v>
      </c>
      <c r="BB11" s="38">
        <v>48870</v>
      </c>
      <c r="BC11" s="38">
        <v>40410</v>
      </c>
      <c r="BD11" s="38">
        <v>56627</v>
      </c>
      <c r="BE11" s="39">
        <v>49772</v>
      </c>
      <c r="BF11" s="39">
        <v>29372</v>
      </c>
      <c r="BG11" s="39">
        <v>5534452</v>
      </c>
      <c r="BH11" s="39">
        <v>11730</v>
      </c>
      <c r="BI11" s="39">
        <v>32915</v>
      </c>
      <c r="BJ11" s="39">
        <v>29738</v>
      </c>
      <c r="BK11" s="39">
        <v>31894</v>
      </c>
      <c r="BL11" s="39">
        <v>35475</v>
      </c>
      <c r="BM11" s="39">
        <v>52005</v>
      </c>
      <c r="BN11" s="39">
        <v>67306</v>
      </c>
      <c r="BO11" s="39">
        <v>64017</v>
      </c>
      <c r="BP11" s="39">
        <v>74303</v>
      </c>
      <c r="BQ11" s="39">
        <v>19794484</v>
      </c>
      <c r="BR11" s="39">
        <v>21329</v>
      </c>
      <c r="BS11" s="39">
        <v>29022</v>
      </c>
      <c r="BT11" s="39">
        <v>37724173</v>
      </c>
      <c r="BU11" s="55">
        <v>11890904</v>
      </c>
      <c r="BV11" s="39"/>
      <c r="BW11" s="39"/>
      <c r="BX11" s="39"/>
      <c r="BY11" s="39"/>
      <c r="BZ11" s="39"/>
      <c r="CA11" s="39"/>
      <c r="CB11" s="39"/>
      <c r="CC11" s="39"/>
    </row>
    <row r="12" spans="1:81">
      <c r="A12" s="9">
        <v>9</v>
      </c>
      <c r="B12" s="10" t="s">
        <v>91</v>
      </c>
      <c r="C12" s="9">
        <v>7</v>
      </c>
      <c r="D12" s="9">
        <f>SUM(Data_PL5[[#This Row],[T1.2021]:[T12.2021]])</f>
        <v>0</v>
      </c>
      <c r="E12" s="9">
        <f>SUM(Data_PL5[[#This Row],[T1.2022]:[T12.2022]])</f>
        <v>0</v>
      </c>
      <c r="F12" s="9">
        <f>SUM(Data_PL5[[#This Row],[T1.2023]:[T12.2023]])</f>
        <v>0</v>
      </c>
      <c r="G12" s="9">
        <f>SUM(Data_PL5[[#This Row],[T01.2024]:[T12.2024]])</f>
        <v>0</v>
      </c>
      <c r="H12" s="9">
        <f>SUM(Data_PL5[[#This Row],[T01.2025]:[T12.2025]])</f>
        <v>0</v>
      </c>
      <c r="I12" s="9">
        <f>SUM(Data_PL5[[#This Row],[T01.2026]:[T12.2026]])</f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/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48">
        <v>0</v>
      </c>
      <c r="BF12" s="48">
        <v>0</v>
      </c>
      <c r="BG12" s="48">
        <v>0</v>
      </c>
      <c r="BH12" s="48">
        <v>0</v>
      </c>
      <c r="BI12" s="48">
        <v>0</v>
      </c>
      <c r="BJ12" s="48">
        <v>0</v>
      </c>
      <c r="BK12" s="48">
        <v>0</v>
      </c>
      <c r="BL12" s="48">
        <v>0</v>
      </c>
      <c r="BM12" s="48">
        <v>0</v>
      </c>
      <c r="BN12" s="48">
        <v>0</v>
      </c>
      <c r="BO12" s="48">
        <v>0</v>
      </c>
      <c r="BP12" s="48"/>
      <c r="BQ12" s="48"/>
      <c r="BR12" s="48"/>
      <c r="BS12" s="48"/>
      <c r="BT12" s="48"/>
      <c r="BU12" s="56" t="s">
        <v>107</v>
      </c>
      <c r="BV12" s="48"/>
      <c r="BW12" s="48"/>
      <c r="BX12" s="48"/>
      <c r="BY12" s="48"/>
      <c r="BZ12" s="48"/>
      <c r="CA12" s="48"/>
      <c r="CB12" s="48"/>
      <c r="CC12" s="48"/>
    </row>
    <row r="13" spans="1:81">
      <c r="A13" s="12">
        <v>10</v>
      </c>
      <c r="B13" s="21" t="s">
        <v>92</v>
      </c>
      <c r="C13" s="12">
        <v>7</v>
      </c>
      <c r="D13" s="12">
        <f>SUM(Data_PL5[[#This Row],[T1.2021]:[T12.2021]])</f>
        <v>0</v>
      </c>
      <c r="E13" s="12">
        <f>SUM(Data_PL5[[#This Row],[T1.2022]:[T12.2022]])</f>
        <v>0</v>
      </c>
      <c r="F13" s="12">
        <f>SUM(Data_PL5[[#This Row],[T1.2023]:[T12.2023]])</f>
        <v>0</v>
      </c>
      <c r="G13" s="12">
        <f>SUM(Data_PL5[[#This Row],[T01.2024]:[T12.2024]])</f>
        <v>0</v>
      </c>
      <c r="H13" s="12">
        <f>SUM(Data_PL5[[#This Row],[T01.2025]:[T12.2025]])</f>
        <v>0</v>
      </c>
      <c r="I13" s="12">
        <f>SUM(Data_PL5[[#This Row],[T01.2026]:[T12.2026]])</f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9">
        <v>0</v>
      </c>
      <c r="BF13" s="39">
        <v>0</v>
      </c>
      <c r="BG13" s="39">
        <v>0</v>
      </c>
      <c r="BH13" s="39">
        <v>0</v>
      </c>
      <c r="BI13" s="39">
        <v>0</v>
      </c>
      <c r="BJ13" s="39">
        <v>0</v>
      </c>
      <c r="BK13" s="39">
        <v>0</v>
      </c>
      <c r="BL13" s="39">
        <v>0</v>
      </c>
      <c r="BM13" s="39">
        <v>0</v>
      </c>
      <c r="BN13" s="39">
        <v>0</v>
      </c>
      <c r="BO13" s="39">
        <v>0</v>
      </c>
      <c r="BP13" s="39"/>
      <c r="BQ13" s="39"/>
      <c r="BR13" s="39"/>
      <c r="BS13" s="39"/>
      <c r="BT13" s="39"/>
      <c r="BU13" s="55" t="s">
        <v>107</v>
      </c>
      <c r="BV13" s="39"/>
      <c r="BW13" s="39"/>
      <c r="BX13" s="39"/>
      <c r="BY13" s="39"/>
      <c r="BZ13" s="39"/>
      <c r="CA13" s="39"/>
      <c r="CB13" s="39"/>
      <c r="CC13" s="39"/>
    </row>
    <row r="14" spans="1:81">
      <c r="A14" s="12">
        <v>11</v>
      </c>
      <c r="B14" s="13" t="s">
        <v>93</v>
      </c>
      <c r="C14" s="12">
        <v>7</v>
      </c>
      <c r="D14" s="12">
        <f>SUM(Data_PL5[[#This Row],[T1.2021]:[T12.2021]])</f>
        <v>625397809</v>
      </c>
      <c r="E14" s="12">
        <f>SUM(Data_PL5[[#This Row],[T1.2022]:[T12.2022]])</f>
        <v>1467610767</v>
      </c>
      <c r="F14" s="12">
        <f>SUM(Data_PL5[[#This Row],[T1.2023]:[T12.2023]])</f>
        <v>8774366106</v>
      </c>
      <c r="G14" s="12">
        <f>SUM(Data_PL5[[#This Row],[T01.2024]:[T12.2024]])</f>
        <v>1294051828</v>
      </c>
      <c r="H14" s="12">
        <f>SUM(Data_PL5[[#This Row],[T01.2025]:[T12.2025]])</f>
        <v>1386300000</v>
      </c>
      <c r="I14" s="12">
        <f>SUM(Data_PL5[[#This Row],[T01.2026]:[T12.2026]])</f>
        <v>491400000</v>
      </c>
      <c r="J14" s="14">
        <v>124600000</v>
      </c>
      <c r="K14" s="14">
        <v>137482710</v>
      </c>
      <c r="L14" s="14">
        <v>167076390</v>
      </c>
      <c r="M14" s="14">
        <v>43940000</v>
      </c>
      <c r="N14" s="14">
        <v>54150000</v>
      </c>
      <c r="O14" s="14">
        <v>51400000</v>
      </c>
      <c r="P14" s="14">
        <v>31900000</v>
      </c>
      <c r="Q14" s="14">
        <v>3257800</v>
      </c>
      <c r="R14" s="14">
        <v>0</v>
      </c>
      <c r="S14" s="14">
        <v>0</v>
      </c>
      <c r="T14" s="14">
        <v>0</v>
      </c>
      <c r="U14" s="14">
        <v>11590909</v>
      </c>
      <c r="V14" s="14">
        <v>19977518</v>
      </c>
      <c r="W14" s="14">
        <v>32702728</v>
      </c>
      <c r="X14" s="14">
        <v>33368636</v>
      </c>
      <c r="Y14" s="14">
        <v>25171391</v>
      </c>
      <c r="Z14" s="14">
        <v>41525527</v>
      </c>
      <c r="AA14" s="14">
        <v>40466172</v>
      </c>
      <c r="AB14" s="14">
        <v>44065127</v>
      </c>
      <c r="AC14" s="14">
        <v>49489591</v>
      </c>
      <c r="AD14" s="14">
        <v>63884844</v>
      </c>
      <c r="AE14" s="14">
        <v>-800000</v>
      </c>
      <c r="AF14" s="14">
        <v>544659282</v>
      </c>
      <c r="AG14" s="14">
        <v>573099951</v>
      </c>
      <c r="AH14" s="14">
        <v>962814777</v>
      </c>
      <c r="AI14" s="14">
        <v>637316957</v>
      </c>
      <c r="AJ14" s="14">
        <v>714463931</v>
      </c>
      <c r="AK14" s="14">
        <v>772770445</v>
      </c>
      <c r="AL14" s="14">
        <v>899348766</v>
      </c>
      <c r="AM14" s="14">
        <v>1010824035</v>
      </c>
      <c r="AN14" s="14">
        <v>741281738</v>
      </c>
      <c r="AO14" s="14">
        <v>719882492</v>
      </c>
      <c r="AP14" s="14">
        <v>503759926</v>
      </c>
      <c r="AQ14" s="14">
        <v>501487798</v>
      </c>
      <c r="AR14" s="14">
        <v>675805769</v>
      </c>
      <c r="AS14" s="14">
        <v>634609472</v>
      </c>
      <c r="AT14" s="14">
        <v>133375123</v>
      </c>
      <c r="AU14" s="14">
        <v>153076705</v>
      </c>
      <c r="AV14" s="14">
        <v>183500000</v>
      </c>
      <c r="AW14" s="38">
        <v>113500000</v>
      </c>
      <c r="AX14" s="38">
        <v>148600000</v>
      </c>
      <c r="AY14" s="38">
        <v>115000000</v>
      </c>
      <c r="AZ14" s="38">
        <v>78000000</v>
      </c>
      <c r="BA14" s="38">
        <v>88000000</v>
      </c>
      <c r="BB14" s="38">
        <v>88400000</v>
      </c>
      <c r="BC14" s="38">
        <v>71100000</v>
      </c>
      <c r="BD14" s="38">
        <v>64500000</v>
      </c>
      <c r="BE14" s="38">
        <v>57000000</v>
      </c>
      <c r="BF14" s="38">
        <v>37500000</v>
      </c>
      <c r="BG14" s="38">
        <v>70500000</v>
      </c>
      <c r="BH14" s="38">
        <v>103500000</v>
      </c>
      <c r="BI14" s="38">
        <v>129000000</v>
      </c>
      <c r="BJ14" s="38">
        <v>111000000</v>
      </c>
      <c r="BK14" s="38">
        <v>116500000</v>
      </c>
      <c r="BL14" s="38">
        <v>172500000</v>
      </c>
      <c r="BM14" s="38">
        <v>164700000</v>
      </c>
      <c r="BN14" s="38">
        <v>127600000</v>
      </c>
      <c r="BO14" s="38">
        <v>115500000</v>
      </c>
      <c r="BP14" s="38">
        <v>100000000</v>
      </c>
      <c r="BQ14" s="38">
        <v>138000000</v>
      </c>
      <c r="BR14" s="38">
        <v>128500000</v>
      </c>
      <c r="BS14" s="38">
        <v>102500000</v>
      </c>
      <c r="BT14" s="38">
        <v>145600000</v>
      </c>
      <c r="BU14" s="60">
        <v>114800000</v>
      </c>
      <c r="BV14" s="38"/>
      <c r="BW14" s="38"/>
      <c r="BX14" s="38"/>
      <c r="BY14" s="38"/>
      <c r="BZ14" s="38"/>
      <c r="CA14" s="38"/>
      <c r="CB14" s="38"/>
      <c r="CC14" s="38"/>
    </row>
    <row r="15" spans="1:81">
      <c r="A15" s="12">
        <v>12</v>
      </c>
      <c r="B15" s="13" t="s">
        <v>94</v>
      </c>
      <c r="C15" s="12">
        <v>7</v>
      </c>
      <c r="D15" s="12">
        <f>SUM(Data_PL5[[#This Row],[T1.2021]:[T12.2021]])</f>
        <v>2039891685</v>
      </c>
      <c r="E15" s="12">
        <f>SUM(Data_PL5[[#This Row],[T1.2022]:[T12.2022]])</f>
        <v>1927652229</v>
      </c>
      <c r="F15" s="12">
        <f>SUM(Data_PL5[[#This Row],[T1.2023]:[T12.2023]])</f>
        <v>4010468134</v>
      </c>
      <c r="G15" s="12">
        <f>SUM(Data_PL5[[#This Row],[T01.2024]:[T12.2024]])</f>
        <v>1998229844</v>
      </c>
      <c r="H15" s="12">
        <f>SUM(Data_PL5[[#This Row],[T01.2025]:[T12.2025]])</f>
        <v>4197280868</v>
      </c>
      <c r="I15" s="12">
        <f>SUM(Data_PL5[[#This Row],[T01.2026]:[T12.2026]])</f>
        <v>1524959825</v>
      </c>
      <c r="J15" s="14">
        <v>290450887</v>
      </c>
      <c r="K15" s="14">
        <v>130936346</v>
      </c>
      <c r="L15" s="14">
        <v>143934808</v>
      </c>
      <c r="M15" s="14">
        <v>216650285</v>
      </c>
      <c r="N15" s="14">
        <v>149107773</v>
      </c>
      <c r="O15" s="14">
        <v>141204731</v>
      </c>
      <c r="P15" s="14">
        <v>118353303</v>
      </c>
      <c r="Q15" s="14">
        <v>97570688</v>
      </c>
      <c r="R15" s="14">
        <v>123041539</v>
      </c>
      <c r="S15" s="14">
        <v>154194004</v>
      </c>
      <c r="T15" s="14">
        <v>201891032</v>
      </c>
      <c r="U15" s="14">
        <v>272556289</v>
      </c>
      <c r="V15" s="14">
        <v>75508157</v>
      </c>
      <c r="W15" s="14">
        <v>93356278</v>
      </c>
      <c r="X15" s="14">
        <v>70003962</v>
      </c>
      <c r="Y15" s="14">
        <v>72286603</v>
      </c>
      <c r="Z15" s="14">
        <v>67380693</v>
      </c>
      <c r="AA15" s="14">
        <v>90342388</v>
      </c>
      <c r="AB15" s="14">
        <v>65440018</v>
      </c>
      <c r="AC15" s="14">
        <v>69282072</v>
      </c>
      <c r="AD15" s="14">
        <v>67377790</v>
      </c>
      <c r="AE15" s="14">
        <v>95150209</v>
      </c>
      <c r="AF15" s="14">
        <v>549676445</v>
      </c>
      <c r="AG15" s="14">
        <v>611847614</v>
      </c>
      <c r="AH15" s="14">
        <v>437925898</v>
      </c>
      <c r="AI15" s="14">
        <v>280408198</v>
      </c>
      <c r="AJ15" s="14">
        <v>331111159</v>
      </c>
      <c r="AK15" s="14">
        <v>406104277</v>
      </c>
      <c r="AL15" s="14">
        <v>397327338</v>
      </c>
      <c r="AM15" s="14">
        <v>419101489</v>
      </c>
      <c r="AN15" s="14">
        <v>339062283</v>
      </c>
      <c r="AO15" s="14">
        <v>323040469</v>
      </c>
      <c r="AP15" s="14">
        <v>314799888</v>
      </c>
      <c r="AQ15" s="14">
        <v>316250411</v>
      </c>
      <c r="AR15" s="14">
        <v>312166512</v>
      </c>
      <c r="AS15" s="14">
        <v>133170212</v>
      </c>
      <c r="AT15" s="14">
        <v>108609904</v>
      </c>
      <c r="AU15" s="14">
        <v>112973768</v>
      </c>
      <c r="AV15" s="14">
        <v>101629977</v>
      </c>
      <c r="AW15" s="38">
        <v>115745156</v>
      </c>
      <c r="AX15" s="38">
        <v>112729162</v>
      </c>
      <c r="AY15" s="38">
        <v>120069599</v>
      </c>
      <c r="AZ15" s="38">
        <v>160850671</v>
      </c>
      <c r="BA15" s="38">
        <v>405694070</v>
      </c>
      <c r="BB15" s="38">
        <v>233540627</v>
      </c>
      <c r="BC15" s="38">
        <v>92522618</v>
      </c>
      <c r="BD15" s="38">
        <v>230673757</v>
      </c>
      <c r="BE15" s="38">
        <v>203190535</v>
      </c>
      <c r="BF15" s="38">
        <v>352795333</v>
      </c>
      <c r="BG15" s="38">
        <v>295358943</v>
      </c>
      <c r="BH15" s="38">
        <v>271063548</v>
      </c>
      <c r="BI15" s="38">
        <v>313168414</v>
      </c>
      <c r="BJ15" s="38">
        <v>312964157</v>
      </c>
      <c r="BK15" s="38">
        <v>275253185</v>
      </c>
      <c r="BL15" s="38">
        <v>348145066</v>
      </c>
      <c r="BM15" s="38">
        <v>329900505</v>
      </c>
      <c r="BN15" s="38">
        <v>317487600</v>
      </c>
      <c r="BO15" s="38">
        <v>350884750</v>
      </c>
      <c r="BP15" s="38">
        <v>369111823</v>
      </c>
      <c r="BQ15" s="38">
        <v>661147544</v>
      </c>
      <c r="BR15" s="38">
        <v>408101430</v>
      </c>
      <c r="BS15" s="38">
        <v>323633206</v>
      </c>
      <c r="BT15" s="38">
        <v>385055662</v>
      </c>
      <c r="BU15" s="60">
        <v>408169527</v>
      </c>
      <c r="BV15" s="38"/>
      <c r="BW15" s="38"/>
      <c r="BX15" s="38"/>
      <c r="BY15" s="38"/>
      <c r="BZ15" s="38"/>
      <c r="CA15" s="38"/>
      <c r="CB15" s="38"/>
      <c r="CC15" s="38"/>
    </row>
    <row r="16" spans="1:81">
      <c r="A16" s="9">
        <v>13</v>
      </c>
      <c r="B16" s="10" t="s">
        <v>95</v>
      </c>
      <c r="C16" s="9">
        <v>7</v>
      </c>
      <c r="D16" s="9">
        <f>SUM(Data_PL5[[#This Row],[T1.2021]:[T12.2021]])</f>
        <v>-2419532094</v>
      </c>
      <c r="E16" s="9">
        <f>SUM(Data_PL5[[#This Row],[T1.2022]:[T12.2022]])</f>
        <v>712354676.05929089</v>
      </c>
      <c r="F16" s="9">
        <f>SUM(Data_PL5[[#This Row],[T1.2023]:[T12.2023]])</f>
        <v>-538392197</v>
      </c>
      <c r="G16" s="9">
        <f>SUM(Data_PL5[[#This Row],[T01.2024]:[T12.2024]])</f>
        <v>-2224797028</v>
      </c>
      <c r="H16" s="9">
        <f>SUM(Data_PL5[[#This Row],[T01.2025]:[T12.2025]])</f>
        <v>3866037085</v>
      </c>
      <c r="I16" s="9">
        <f>SUM(Data_PL5[[#This Row],[T01.2026]:[T12.2026]])</f>
        <v>2310879356</v>
      </c>
      <c r="J16" s="11">
        <v>-409381721</v>
      </c>
      <c r="K16" s="11">
        <v>-255852308</v>
      </c>
      <c r="L16" s="11">
        <v>-290372746</v>
      </c>
      <c r="M16" s="11">
        <v>-221158003</v>
      </c>
      <c r="N16" s="11">
        <v>-159748884</v>
      </c>
      <c r="O16" s="11">
        <v>-163311329</v>
      </c>
      <c r="P16" s="11">
        <v>-128277358</v>
      </c>
      <c r="Q16" s="11">
        <v>-100677535</v>
      </c>
      <c r="R16" s="11">
        <v>-122886734</v>
      </c>
      <c r="S16" s="11">
        <v>-154160043</v>
      </c>
      <c r="T16" s="11">
        <v>-178082076</v>
      </c>
      <c r="U16" s="11">
        <v>-235623357</v>
      </c>
      <c r="V16" s="11">
        <v>367034115</v>
      </c>
      <c r="W16" s="11">
        <v>-249826970</v>
      </c>
      <c r="X16" s="11">
        <v>252613936</v>
      </c>
      <c r="Y16" s="11">
        <v>89157718</v>
      </c>
      <c r="Z16" s="11">
        <v>582092467</v>
      </c>
      <c r="AA16" s="11">
        <v>62295741</v>
      </c>
      <c r="AB16" s="11">
        <v>245159362</v>
      </c>
      <c r="AC16" s="11">
        <v>787564668</v>
      </c>
      <c r="AD16" s="11">
        <v>451388729</v>
      </c>
      <c r="AE16" s="11">
        <v>17666769.059290886</v>
      </c>
      <c r="AF16" s="11">
        <v>392611854</v>
      </c>
      <c r="AG16" s="11">
        <v>-2285403713</v>
      </c>
      <c r="AH16" s="11">
        <v>-685775216</v>
      </c>
      <c r="AI16" s="11">
        <v>-412959538</v>
      </c>
      <c r="AJ16" s="11">
        <v>-625768206</v>
      </c>
      <c r="AK16" s="11">
        <v>275929961</v>
      </c>
      <c r="AL16" s="11">
        <v>1089914451</v>
      </c>
      <c r="AM16" s="11">
        <v>-187239550</v>
      </c>
      <c r="AN16" s="11">
        <v>-527446246</v>
      </c>
      <c r="AO16" s="11">
        <v>-300137249</v>
      </c>
      <c r="AP16" s="11">
        <v>-247512811</v>
      </c>
      <c r="AQ16" s="11">
        <v>215212564</v>
      </c>
      <c r="AR16" s="11">
        <v>281001910</v>
      </c>
      <c r="AS16" s="11">
        <v>586387733</v>
      </c>
      <c r="AT16" s="11">
        <v>14761583</v>
      </c>
      <c r="AU16" s="11">
        <v>-112782273</v>
      </c>
      <c r="AV16" s="11">
        <v>248609907</v>
      </c>
      <c r="AW16" s="11">
        <v>-93867851</v>
      </c>
      <c r="AX16" s="11">
        <v>-323849797</v>
      </c>
      <c r="AY16" s="11">
        <v>-111483671</v>
      </c>
      <c r="AZ16" s="11">
        <v>-319225013</v>
      </c>
      <c r="BA16" s="11">
        <v>-394314403</v>
      </c>
      <c r="BB16" s="11">
        <v>-556670192</v>
      </c>
      <c r="BC16" s="11">
        <v>-88849452</v>
      </c>
      <c r="BD16" s="11">
        <v>-137307470</v>
      </c>
      <c r="BE16" s="48">
        <v>-349818396</v>
      </c>
      <c r="BF16" s="48">
        <v>-709663099</v>
      </c>
      <c r="BG16" s="48">
        <v>-671184566</v>
      </c>
      <c r="BH16" s="48">
        <v>-251636967</v>
      </c>
      <c r="BI16" s="48">
        <v>711287570</v>
      </c>
      <c r="BJ16" s="48">
        <v>224729120</v>
      </c>
      <c r="BK16" s="48">
        <v>600684326</v>
      </c>
      <c r="BL16" s="48">
        <v>1321498145</v>
      </c>
      <c r="BM16" s="48">
        <v>961867836</v>
      </c>
      <c r="BN16" s="48">
        <v>339714095</v>
      </c>
      <c r="BO16" s="48">
        <v>416822961</v>
      </c>
      <c r="BP16" s="48">
        <v>380000113</v>
      </c>
      <c r="BQ16" s="48">
        <f>+BQ9+BQ11-BQ12-BQ14-BQ15</f>
        <v>541917551</v>
      </c>
      <c r="BR16" s="48">
        <f>BR9+BR11-BR14-BR15</f>
        <v>794231216</v>
      </c>
      <c r="BS16" s="48">
        <v>145581803</v>
      </c>
      <c r="BT16" s="48">
        <v>773879477</v>
      </c>
      <c r="BU16" s="56">
        <v>597186860</v>
      </c>
      <c r="BV16" s="48"/>
      <c r="BW16" s="48"/>
      <c r="BX16" s="48"/>
      <c r="BY16" s="48"/>
      <c r="BZ16" s="48"/>
      <c r="CA16" s="48"/>
      <c r="CB16" s="48"/>
      <c r="CC16" s="48"/>
    </row>
    <row r="17" spans="1:81">
      <c r="A17" s="12">
        <v>14</v>
      </c>
      <c r="B17" s="13" t="s">
        <v>96</v>
      </c>
      <c r="C17" s="12">
        <v>7</v>
      </c>
      <c r="D17" s="12">
        <f>SUM(Data_PL5[[#This Row],[T1.2021]:[T12.2021]])</f>
        <v>1770000</v>
      </c>
      <c r="E17" s="12">
        <f>SUM(Data_PL5[[#This Row],[T1.2022]:[T12.2022]])</f>
        <v>1540177563</v>
      </c>
      <c r="F17" s="12">
        <f>SUM(Data_PL5[[#This Row],[T1.2023]:[T12.2023]])</f>
        <v>153685000</v>
      </c>
      <c r="G17" s="12">
        <f>SUM(Data_PL5[[#This Row],[T01.2024]:[T12.2024]])</f>
        <v>4158777</v>
      </c>
      <c r="H17" s="12">
        <f>SUM(Data_PL5[[#This Row],[T01.2025]:[T12.2025]])</f>
        <v>365637245</v>
      </c>
      <c r="I17" s="12">
        <f>SUM(Data_PL5[[#This Row],[T01.2026]:[T12.2026]])</f>
        <v>116055781</v>
      </c>
      <c r="J17" s="14">
        <v>0</v>
      </c>
      <c r="K17" s="14">
        <v>0</v>
      </c>
      <c r="L17" s="14">
        <v>810000</v>
      </c>
      <c r="M17" s="14">
        <v>0</v>
      </c>
      <c r="N17" s="14">
        <v>960000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334571363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2400200</v>
      </c>
      <c r="AF17" s="14">
        <v>948405000</v>
      </c>
      <c r="AG17" s="14">
        <v>254801000</v>
      </c>
      <c r="AH17" s="14">
        <v>26130000</v>
      </c>
      <c r="AI17" s="14">
        <v>3000000</v>
      </c>
      <c r="AJ17" s="14">
        <v>1200000</v>
      </c>
      <c r="AK17" s="14">
        <v>710000</v>
      </c>
      <c r="AL17" s="14">
        <v>200000</v>
      </c>
      <c r="AM17" s="14">
        <v>4200000</v>
      </c>
      <c r="AN17" s="14">
        <v>16400000</v>
      </c>
      <c r="AO17" s="14">
        <v>200000</v>
      </c>
      <c r="AP17" s="14">
        <v>0</v>
      </c>
      <c r="AQ17" s="14">
        <v>200000</v>
      </c>
      <c r="AR17" s="14">
        <v>0</v>
      </c>
      <c r="AS17" s="14">
        <v>101445000</v>
      </c>
      <c r="AT17" s="14">
        <v>0</v>
      </c>
      <c r="AU17" s="14">
        <v>1097349</v>
      </c>
      <c r="AV17" s="14">
        <v>0</v>
      </c>
      <c r="AW17" s="38">
        <v>0</v>
      </c>
      <c r="AX17" s="38">
        <v>0</v>
      </c>
      <c r="AY17" s="38">
        <v>0</v>
      </c>
      <c r="AZ17" s="38">
        <v>927028</v>
      </c>
      <c r="BA17" s="38">
        <v>0</v>
      </c>
      <c r="BB17" s="38">
        <v>0</v>
      </c>
      <c r="BC17" s="38">
        <v>0</v>
      </c>
      <c r="BD17" s="38">
        <v>2134400</v>
      </c>
      <c r="BE17" s="39">
        <v>0</v>
      </c>
      <c r="BF17" s="39">
        <v>21584470</v>
      </c>
      <c r="BG17" s="39">
        <v>5000000</v>
      </c>
      <c r="BH17" s="39">
        <v>0</v>
      </c>
      <c r="BI17" s="39">
        <v>0</v>
      </c>
      <c r="BJ17" s="39">
        <v>0</v>
      </c>
      <c r="BK17" s="39">
        <v>38848871</v>
      </c>
      <c r="BL17" s="39">
        <v>192651</v>
      </c>
      <c r="BM17" s="39">
        <v>244036935</v>
      </c>
      <c r="BN17" s="39">
        <v>60000</v>
      </c>
      <c r="BO17" s="39">
        <v>75000</v>
      </c>
      <c r="BP17" s="39">
        <v>-84500</v>
      </c>
      <c r="BQ17" s="39">
        <v>55923818</v>
      </c>
      <c r="BR17" s="39">
        <v>20577776</v>
      </c>
      <c r="BS17" s="39">
        <v>7185766</v>
      </c>
      <c r="BT17" s="39">
        <v>63682976</v>
      </c>
      <c r="BU17" s="55">
        <v>24609263</v>
      </c>
      <c r="BV17" s="39"/>
      <c r="BW17" s="39"/>
      <c r="BX17" s="39"/>
      <c r="BY17" s="39"/>
      <c r="BZ17" s="39"/>
      <c r="CA17" s="39"/>
      <c r="CB17" s="39"/>
      <c r="CC17" s="39"/>
    </row>
    <row r="18" spans="1:81">
      <c r="A18" s="12">
        <v>15</v>
      </c>
      <c r="B18" s="13" t="s">
        <v>97</v>
      </c>
      <c r="C18" s="12">
        <v>7</v>
      </c>
      <c r="D18" s="12">
        <f>SUM(Data_PL5[[#This Row],[T1.2021]:[T12.2021]])</f>
        <v>0</v>
      </c>
      <c r="E18" s="12">
        <f>SUM(Data_PL5[[#This Row],[T1.2022]:[T12.2022]])</f>
        <v>1428405000</v>
      </c>
      <c r="F18" s="12">
        <f>SUM(Data_PL5[[#This Row],[T1.2023]:[T12.2023]])</f>
        <v>38870907</v>
      </c>
      <c r="G18" s="12">
        <f>SUM(Data_PL5[[#This Row],[T01.2024]:[T12.2024]])</f>
        <v>30720540</v>
      </c>
      <c r="H18" s="12">
        <f>SUM(Data_PL5[[#This Row],[T01.2025]:[T12.2025]])</f>
        <v>26544890</v>
      </c>
      <c r="I18" s="12">
        <f>SUM(Data_PL5[[#This Row],[T01.2026]:[T12.2026]])</f>
        <v>572396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265000000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>
        <v>948405000</v>
      </c>
      <c r="AG18" s="14">
        <v>215000000</v>
      </c>
      <c r="AH18" s="14">
        <v>35745455</v>
      </c>
      <c r="AI18" s="14">
        <v>0</v>
      </c>
      <c r="AJ18" s="14">
        <v>3125452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21650000</v>
      </c>
      <c r="AU18" s="14">
        <v>0</v>
      </c>
      <c r="AV18" s="14">
        <v>2961692</v>
      </c>
      <c r="AW18" s="38">
        <v>1535462</v>
      </c>
      <c r="AX18" s="38">
        <v>0</v>
      </c>
      <c r="AY18" s="38">
        <v>0</v>
      </c>
      <c r="AZ18" s="38">
        <v>0</v>
      </c>
      <c r="BA18" s="38">
        <v>812640</v>
      </c>
      <c r="BB18" s="38">
        <v>0</v>
      </c>
      <c r="BC18" s="38">
        <v>1609246</v>
      </c>
      <c r="BD18" s="38">
        <v>2151500</v>
      </c>
      <c r="BE18" s="39">
        <v>0</v>
      </c>
      <c r="BF18" s="39">
        <v>21650000</v>
      </c>
      <c r="BG18" s="39">
        <v>12</v>
      </c>
      <c r="BH18" s="39">
        <v>0</v>
      </c>
      <c r="BI18" s="39">
        <v>0</v>
      </c>
      <c r="BJ18" s="39">
        <v>0</v>
      </c>
      <c r="BK18" s="39">
        <v>4346108</v>
      </c>
      <c r="BL18" s="39">
        <v>10140</v>
      </c>
      <c r="BM18" s="39">
        <v>3</v>
      </c>
      <c r="BN18" s="39">
        <v>43112</v>
      </c>
      <c r="BO18" s="39">
        <v>494540</v>
      </c>
      <c r="BP18" s="39"/>
      <c r="BQ18" s="39">
        <v>975</v>
      </c>
      <c r="BR18" s="39">
        <v>-4</v>
      </c>
      <c r="BS18" s="39">
        <v>300000</v>
      </c>
      <c r="BT18" s="39">
        <v>52000</v>
      </c>
      <c r="BU18" s="55">
        <v>220400</v>
      </c>
      <c r="BV18" s="39"/>
      <c r="BW18" s="39"/>
      <c r="BX18" s="39"/>
      <c r="BY18" s="39"/>
      <c r="BZ18" s="39"/>
      <c r="CA18" s="39"/>
      <c r="CB18" s="39"/>
      <c r="CC18" s="39"/>
    </row>
    <row r="19" spans="1:81">
      <c r="A19" s="9">
        <v>16</v>
      </c>
      <c r="B19" s="10" t="s">
        <v>98</v>
      </c>
      <c r="C19" s="9">
        <v>7</v>
      </c>
      <c r="D19" s="9">
        <f>SUM(Data_PL5[[#This Row],[T1.2021]:[T12.2021]])</f>
        <v>1770000</v>
      </c>
      <c r="E19" s="9">
        <f>SUM(Data_PL5[[#This Row],[T1.2022]:[T12.2022]])</f>
        <v>111772563</v>
      </c>
      <c r="F19" s="9">
        <f>SUM(Data_PL5[[#This Row],[T1.2023]:[T12.2023]])</f>
        <v>114814093</v>
      </c>
      <c r="G19" s="9">
        <f>SUM(Data_PL5[[#This Row],[T01.2024]:[T12.2024]])</f>
        <v>-26561763</v>
      </c>
      <c r="H19" s="9">
        <f>SUM(Data_PL5[[#This Row],[T01.2025]:[T12.2025]])</f>
        <v>339092355</v>
      </c>
      <c r="I19" s="9">
        <f>SUM(Data_PL5[[#This Row],[T01.2026]:[T12.2026]])</f>
        <v>115483385</v>
      </c>
      <c r="J19" s="11">
        <v>0</v>
      </c>
      <c r="K19" s="11">
        <v>0</v>
      </c>
      <c r="L19" s="11">
        <v>810000</v>
      </c>
      <c r="M19" s="11">
        <v>0</v>
      </c>
      <c r="N19" s="11">
        <v>960000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69571363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2400200</v>
      </c>
      <c r="AF19" s="11"/>
      <c r="AG19" s="11">
        <v>39801000</v>
      </c>
      <c r="AH19" s="11">
        <v>-9615455</v>
      </c>
      <c r="AI19" s="11">
        <v>3000000</v>
      </c>
      <c r="AJ19" s="11">
        <v>-1925452</v>
      </c>
      <c r="AK19" s="11">
        <v>710000</v>
      </c>
      <c r="AL19" s="11">
        <v>200000</v>
      </c>
      <c r="AM19" s="11">
        <v>4200000</v>
      </c>
      <c r="AN19" s="11">
        <v>16400000</v>
      </c>
      <c r="AO19" s="11">
        <v>200000</v>
      </c>
      <c r="AP19" s="11">
        <v>0</v>
      </c>
      <c r="AQ19" s="11">
        <v>200000</v>
      </c>
      <c r="AR19" s="11">
        <v>0</v>
      </c>
      <c r="AS19" s="11">
        <v>101445000</v>
      </c>
      <c r="AT19" s="11">
        <v>-21650000</v>
      </c>
      <c r="AU19" s="11">
        <v>1097349</v>
      </c>
      <c r="AV19" s="11">
        <v>-2961692</v>
      </c>
      <c r="AW19" s="11">
        <v>-1535462</v>
      </c>
      <c r="AX19" s="11">
        <v>0</v>
      </c>
      <c r="AY19" s="11">
        <v>0</v>
      </c>
      <c r="AZ19" s="11">
        <v>927028</v>
      </c>
      <c r="BA19" s="11">
        <v>-812640</v>
      </c>
      <c r="BB19" s="11">
        <v>0</v>
      </c>
      <c r="BC19" s="11">
        <v>-1609246</v>
      </c>
      <c r="BD19" s="11">
        <v>-17100</v>
      </c>
      <c r="BE19" s="48">
        <v>0</v>
      </c>
      <c r="BF19" s="48">
        <v>-65530</v>
      </c>
      <c r="BG19" s="48">
        <v>4999988</v>
      </c>
      <c r="BH19" s="48">
        <v>0</v>
      </c>
      <c r="BI19" s="48">
        <v>0</v>
      </c>
      <c r="BJ19" s="48">
        <v>0</v>
      </c>
      <c r="BK19" s="48">
        <v>34502763</v>
      </c>
      <c r="BL19" s="48">
        <v>182511</v>
      </c>
      <c r="BM19" s="48">
        <v>244036932</v>
      </c>
      <c r="BN19" s="48">
        <v>16888</v>
      </c>
      <c r="BO19" s="48">
        <v>-419540</v>
      </c>
      <c r="BP19" s="48">
        <v>-84500</v>
      </c>
      <c r="BQ19" s="48">
        <v>55922843</v>
      </c>
      <c r="BR19" s="48">
        <v>20577780</v>
      </c>
      <c r="BS19" s="48">
        <v>6885766</v>
      </c>
      <c r="BT19" s="48">
        <v>63630976</v>
      </c>
      <c r="BU19" s="56">
        <v>24388863</v>
      </c>
      <c r="BV19" s="48"/>
      <c r="BW19" s="48"/>
      <c r="BX19" s="48"/>
      <c r="BY19" s="48"/>
      <c r="BZ19" s="48"/>
      <c r="CA19" s="48"/>
      <c r="CB19" s="48"/>
      <c r="CC19" s="48"/>
    </row>
    <row r="20" spans="1:81">
      <c r="A20" s="15">
        <v>17</v>
      </c>
      <c r="B20" s="10" t="s">
        <v>99</v>
      </c>
      <c r="C20" s="15">
        <v>7</v>
      </c>
      <c r="D20" s="15">
        <f>SUM(Data_PL5[[#This Row],[T1.2021]:[T12.2021]])</f>
        <v>-2417762094</v>
      </c>
      <c r="E20" s="15">
        <f>SUM(Data_PL5[[#This Row],[T1.2022]:[T12.2022]])</f>
        <v>803144331.05929089</v>
      </c>
      <c r="F20" s="15">
        <f>SUM(Data_PL5[[#This Row],[T1.2023]:[T12.2023]])</f>
        <v>-423578104</v>
      </c>
      <c r="G20" s="15">
        <f>SUM(Data_PL5[[#This Row],[T01.2024]:[T12.2024]])</f>
        <v>-2251983791</v>
      </c>
      <c r="H20" s="15">
        <f>SUM(Data_PL5[[#This Row],[T01.2025]:[T12.2025]])</f>
        <v>4205129440</v>
      </c>
      <c r="I20" s="15">
        <f>SUM(Data_PL5[[#This Row],[T01.2026]:[T12.2026]])</f>
        <v>2426362741</v>
      </c>
      <c r="J20" s="16">
        <v>-409381721</v>
      </c>
      <c r="K20" s="16">
        <v>-255852308</v>
      </c>
      <c r="L20" s="16">
        <v>-289562746</v>
      </c>
      <c r="M20" s="16">
        <v>-221158003</v>
      </c>
      <c r="N20" s="16">
        <v>-158788884</v>
      </c>
      <c r="O20" s="16">
        <v>-163311329</v>
      </c>
      <c r="P20" s="16">
        <v>-128277358</v>
      </c>
      <c r="Q20" s="16">
        <v>-100677535</v>
      </c>
      <c r="R20" s="16">
        <v>-122886734</v>
      </c>
      <c r="S20" s="16">
        <v>-154160043</v>
      </c>
      <c r="T20" s="16">
        <v>-178082076</v>
      </c>
      <c r="U20" s="16">
        <v>-235623357</v>
      </c>
      <c r="V20" s="16">
        <v>436605478</v>
      </c>
      <c r="W20" s="16">
        <v>-249826970</v>
      </c>
      <c r="X20" s="16">
        <v>252613936</v>
      </c>
      <c r="Y20" s="16">
        <v>89157718</v>
      </c>
      <c r="Z20" s="16">
        <v>582092467</v>
      </c>
      <c r="AA20" s="16">
        <v>62295741</v>
      </c>
      <c r="AB20" s="16">
        <v>245159362</v>
      </c>
      <c r="AC20" s="16">
        <v>787564668</v>
      </c>
      <c r="AD20" s="16">
        <v>451388729</v>
      </c>
      <c r="AE20" s="16">
        <v>20066969.059290901</v>
      </c>
      <c r="AF20" s="16">
        <v>371628946</v>
      </c>
      <c r="AG20" s="16">
        <v>-2245602713</v>
      </c>
      <c r="AH20" s="16">
        <v>-695390671</v>
      </c>
      <c r="AI20" s="16">
        <v>-409959538</v>
      </c>
      <c r="AJ20" s="16">
        <v>-627693658</v>
      </c>
      <c r="AK20" s="16">
        <v>276639961</v>
      </c>
      <c r="AL20" s="16">
        <v>1090114451</v>
      </c>
      <c r="AM20" s="16">
        <v>-183039550</v>
      </c>
      <c r="AN20" s="16">
        <v>-511046246</v>
      </c>
      <c r="AO20" s="16">
        <v>-299937249</v>
      </c>
      <c r="AP20" s="16">
        <v>-247512811</v>
      </c>
      <c r="AQ20" s="16">
        <v>215412564</v>
      </c>
      <c r="AR20" s="16">
        <v>281001910</v>
      </c>
      <c r="AS20" s="16">
        <v>687832733</v>
      </c>
      <c r="AT20" s="16">
        <v>-6888417</v>
      </c>
      <c r="AU20" s="16">
        <v>-111684924</v>
      </c>
      <c r="AV20" s="16">
        <v>245648215</v>
      </c>
      <c r="AW20" s="16">
        <v>-95403313</v>
      </c>
      <c r="AX20" s="16">
        <v>-323849797</v>
      </c>
      <c r="AY20" s="16">
        <v>-111483671</v>
      </c>
      <c r="AZ20" s="16">
        <v>-318297985</v>
      </c>
      <c r="BA20" s="16">
        <v>-395752043</v>
      </c>
      <c r="BB20" s="16">
        <v>-556670192</v>
      </c>
      <c r="BC20" s="16">
        <v>-90458698</v>
      </c>
      <c r="BD20" s="16">
        <v>-137324570</v>
      </c>
      <c r="BE20" s="42">
        <v>-349818396</v>
      </c>
      <c r="BF20" s="42">
        <v>-709728629</v>
      </c>
      <c r="BG20" s="42">
        <v>-666184578</v>
      </c>
      <c r="BH20" s="42">
        <v>-251636967</v>
      </c>
      <c r="BI20" s="42">
        <v>711287570</v>
      </c>
      <c r="BJ20" s="42">
        <v>224729120</v>
      </c>
      <c r="BK20" s="42">
        <v>635187089</v>
      </c>
      <c r="BL20" s="42">
        <v>1321680656</v>
      </c>
      <c r="BM20" s="42">
        <v>1205904768</v>
      </c>
      <c r="BN20" s="42">
        <v>339730983</v>
      </c>
      <c r="BO20" s="42">
        <v>416403421</v>
      </c>
      <c r="BP20" s="42">
        <v>379915613</v>
      </c>
      <c r="BQ20" s="42">
        <f>+BQ16+BQ19</f>
        <v>597840394</v>
      </c>
      <c r="BR20" s="42">
        <v>814808996</v>
      </c>
      <c r="BS20" s="42">
        <v>152467569</v>
      </c>
      <c r="BT20" s="42">
        <v>837510453</v>
      </c>
      <c r="BU20" s="56">
        <v>621575723</v>
      </c>
      <c r="BV20" s="42"/>
      <c r="BW20" s="42"/>
      <c r="BX20" s="42"/>
      <c r="BY20" s="42"/>
      <c r="BZ20" s="42"/>
      <c r="CA20" s="42"/>
      <c r="CB20" s="42"/>
      <c r="CC20" s="42"/>
    </row>
    <row r="21" spans="1:81">
      <c r="A21" s="12">
        <v>18</v>
      </c>
      <c r="B21" s="22" t="s">
        <v>100</v>
      </c>
      <c r="C21" s="12">
        <v>7</v>
      </c>
      <c r="D21" s="12">
        <f>SUM(Data_PL5[[#This Row],[T1.2021]:[T12.2021]])</f>
        <v>0</v>
      </c>
      <c r="E21" s="12">
        <f>SUM(Data_PL5[[#This Row],[T1.2022]:[T12.2022]])</f>
        <v>0</v>
      </c>
      <c r="F21" s="12">
        <f>SUM(Data_PL5[[#This Row],[T1.2023]:[T12.2023]])</f>
        <v>0</v>
      </c>
      <c r="G21" s="12">
        <f>SUM(Data_PL5[[#This Row],[T01.2024]:[T12.2024]])</f>
        <v>32927331</v>
      </c>
      <c r="H21" s="12">
        <f>SUM(Data_PL5[[#This Row],[T01.2025]:[T12.2025]])</f>
        <v>0</v>
      </c>
      <c r="I21" s="12">
        <f>SUM(Data_PL5[[#This Row],[T01.2026]:[T12.2026]])</f>
        <v>412481666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/>
      <c r="AF21" s="50">
        <v>0</v>
      </c>
      <c r="AG21" s="50">
        <v>0</v>
      </c>
      <c r="AH21" s="50"/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14">
        <v>0</v>
      </c>
      <c r="AU21" s="50">
        <v>0</v>
      </c>
      <c r="AV21" s="50">
        <v>0</v>
      </c>
      <c r="AW21" s="50">
        <v>0</v>
      </c>
      <c r="AX21" s="50">
        <v>0</v>
      </c>
      <c r="AY21" s="50">
        <v>0</v>
      </c>
      <c r="AZ21" s="50">
        <v>0</v>
      </c>
      <c r="BA21" s="50">
        <v>32927331</v>
      </c>
      <c r="BB21" s="50">
        <v>0</v>
      </c>
      <c r="BC21" s="50">
        <v>0</v>
      </c>
      <c r="BD21" s="50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/>
      <c r="BQ21" s="51"/>
      <c r="BR21" s="51"/>
      <c r="BS21" s="51"/>
      <c r="BT21" s="51">
        <v>306813793</v>
      </c>
      <c r="BU21" s="61">
        <v>105667873</v>
      </c>
      <c r="BV21" s="51"/>
      <c r="BW21" s="51"/>
      <c r="BX21" s="51"/>
      <c r="BY21" s="51"/>
      <c r="BZ21" s="51"/>
      <c r="CA21" s="51"/>
      <c r="CB21" s="51"/>
      <c r="CC21" s="51"/>
    </row>
    <row r="22" spans="1:81">
      <c r="A22" s="12">
        <v>19</v>
      </c>
      <c r="B22" s="13" t="s">
        <v>101</v>
      </c>
      <c r="C22" s="12">
        <v>7</v>
      </c>
      <c r="D22" s="12">
        <f>SUM(Data_PL5[[#This Row],[T1.2021]:[T12.2021]])</f>
        <v>0</v>
      </c>
      <c r="E22" s="12">
        <f>SUM(Data_PL5[[#This Row],[T1.2022]:[T12.2022]])</f>
        <v>0</v>
      </c>
      <c r="F22" s="12">
        <f>SUM(Data_PL5[[#This Row],[T1.2023]:[T12.2023]])</f>
        <v>0</v>
      </c>
      <c r="G22" s="12">
        <f>SUM(Data_PL5[[#This Row],[T01.2024]:[T12.2024]])</f>
        <v>0</v>
      </c>
      <c r="H22" s="12">
        <f>SUM(Data_PL5[[#This Row],[T01.2025]:[T12.2025]])</f>
        <v>0</v>
      </c>
      <c r="I22" s="12">
        <f>SUM(Data_PL5[[#This Row],[T01.2026]:[T12.2026]])</f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/>
      <c r="AF22" s="38">
        <v>0</v>
      </c>
      <c r="AG22" s="38">
        <v>0</v>
      </c>
      <c r="AH22" s="38"/>
      <c r="AI22" s="38">
        <v>0</v>
      </c>
      <c r="AJ22" s="38">
        <v>0</v>
      </c>
      <c r="AK22" s="38">
        <v>0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14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9">
        <v>0</v>
      </c>
      <c r="BF22" s="39">
        <v>0</v>
      </c>
      <c r="BG22" s="39">
        <v>0</v>
      </c>
      <c r="BH22" s="39">
        <v>0</v>
      </c>
      <c r="BI22" s="39">
        <v>0</v>
      </c>
      <c r="BJ22" s="39">
        <v>0</v>
      </c>
      <c r="BK22" s="39">
        <v>0</v>
      </c>
      <c r="BL22" s="39">
        <v>0</v>
      </c>
      <c r="BM22" s="39">
        <v>0</v>
      </c>
      <c r="BN22" s="39">
        <v>0</v>
      </c>
      <c r="BO22" s="39">
        <v>0</v>
      </c>
      <c r="BP22" s="39"/>
      <c r="BQ22" s="39"/>
      <c r="BR22" s="39"/>
      <c r="BS22" s="39"/>
      <c r="BT22" s="39"/>
      <c r="BU22" s="55" t="s">
        <v>107</v>
      </c>
      <c r="BV22" s="39"/>
      <c r="BW22" s="39"/>
      <c r="BX22" s="39"/>
      <c r="BY22" s="39"/>
      <c r="BZ22" s="39"/>
      <c r="CA22" s="39"/>
      <c r="CB22" s="39"/>
      <c r="CC22" s="39"/>
    </row>
    <row r="23" spans="1:81">
      <c r="A23" s="19">
        <v>20</v>
      </c>
      <c r="B23" s="10" t="s">
        <v>102</v>
      </c>
      <c r="C23" s="19">
        <v>7</v>
      </c>
      <c r="D23" s="19">
        <f>SUM(Data_PL5[[#This Row],[T1.2021]:[T12.2021]])</f>
        <v>-2417762094</v>
      </c>
      <c r="E23" s="19">
        <f>SUM(Data_PL5[[#This Row],[T1.2022]:[T12.2022]])</f>
        <v>803144331.05929089</v>
      </c>
      <c r="F23" s="19">
        <f>SUM(Data_PL5[[#This Row],[T1.2023]:[T12.2023]])</f>
        <v>-423578104</v>
      </c>
      <c r="G23" s="19">
        <f>SUM(Data_PL5[[#This Row],[T01.2024]:[T12.2024]])</f>
        <v>-2284911122</v>
      </c>
      <c r="H23" s="19">
        <f>SUM(Data_PL5[[#This Row],[T01.2025]:[T12.2025]])</f>
        <v>4205129440</v>
      </c>
      <c r="I23" s="19">
        <f>SUM(Data_PL5[[#This Row],[T01.2026]:[T12.2026]])</f>
        <v>2013881075</v>
      </c>
      <c r="J23" s="20">
        <v>-409381721</v>
      </c>
      <c r="K23" s="20">
        <v>-255852308</v>
      </c>
      <c r="L23" s="20">
        <v>-289562746</v>
      </c>
      <c r="M23" s="20">
        <v>-221158003</v>
      </c>
      <c r="N23" s="20">
        <v>-158788884</v>
      </c>
      <c r="O23" s="20">
        <v>-163311329</v>
      </c>
      <c r="P23" s="20">
        <v>-128277358</v>
      </c>
      <c r="Q23" s="20">
        <v>-100677535</v>
      </c>
      <c r="R23" s="20">
        <v>-122886734</v>
      </c>
      <c r="S23" s="20">
        <v>-154160043</v>
      </c>
      <c r="T23" s="20">
        <v>-178082076</v>
      </c>
      <c r="U23" s="20">
        <v>-235623357</v>
      </c>
      <c r="V23" s="20">
        <v>436605478</v>
      </c>
      <c r="W23" s="20">
        <v>-249826970</v>
      </c>
      <c r="X23" s="20">
        <v>252613936</v>
      </c>
      <c r="Y23" s="20">
        <v>89157718</v>
      </c>
      <c r="Z23" s="20">
        <v>582092467</v>
      </c>
      <c r="AA23" s="20">
        <v>62295741</v>
      </c>
      <c r="AB23" s="20">
        <v>245159362</v>
      </c>
      <c r="AC23" s="20">
        <v>787564668</v>
      </c>
      <c r="AD23" s="20">
        <v>451388729</v>
      </c>
      <c r="AE23" s="20">
        <v>20066969.059290886</v>
      </c>
      <c r="AF23" s="20">
        <v>371628946</v>
      </c>
      <c r="AG23" s="20">
        <v>-2245602713</v>
      </c>
      <c r="AH23" s="20">
        <v>-695390671</v>
      </c>
      <c r="AI23" s="20">
        <v>-409959538</v>
      </c>
      <c r="AJ23" s="20">
        <v>-627693658</v>
      </c>
      <c r="AK23" s="20">
        <v>276639961</v>
      </c>
      <c r="AL23" s="20">
        <v>1090114451</v>
      </c>
      <c r="AM23" s="20">
        <v>-183039550</v>
      </c>
      <c r="AN23" s="20">
        <v>-511046246</v>
      </c>
      <c r="AO23" s="20">
        <v>-299937249</v>
      </c>
      <c r="AP23" s="20">
        <v>-247512811</v>
      </c>
      <c r="AQ23" s="20">
        <v>215412564</v>
      </c>
      <c r="AR23" s="20">
        <v>281001910</v>
      </c>
      <c r="AS23" s="20">
        <v>687832733</v>
      </c>
      <c r="AT23" s="20">
        <v>-6888417</v>
      </c>
      <c r="AU23" s="20">
        <v>-111684924</v>
      </c>
      <c r="AV23" s="20">
        <v>245648215</v>
      </c>
      <c r="AW23" s="20">
        <v>-95403313</v>
      </c>
      <c r="AX23" s="20">
        <v>-323849797</v>
      </c>
      <c r="AY23" s="20">
        <v>-111483671</v>
      </c>
      <c r="AZ23" s="20">
        <v>-318297985</v>
      </c>
      <c r="BA23" s="20">
        <v>-428679374</v>
      </c>
      <c r="BB23" s="20">
        <v>-556670192</v>
      </c>
      <c r="BC23" s="20">
        <v>-90458698</v>
      </c>
      <c r="BD23" s="20">
        <v>-137324570</v>
      </c>
      <c r="BE23" s="20">
        <v>-349818396</v>
      </c>
      <c r="BF23" s="20">
        <v>-709728629</v>
      </c>
      <c r="BG23" s="20">
        <v>-666184578</v>
      </c>
      <c r="BH23" s="20">
        <v>-251636967</v>
      </c>
      <c r="BI23" s="20">
        <v>711287570</v>
      </c>
      <c r="BJ23" s="20">
        <v>224729120</v>
      </c>
      <c r="BK23" s="20">
        <v>635187089</v>
      </c>
      <c r="BL23" s="20">
        <v>1321680656</v>
      </c>
      <c r="BM23" s="20">
        <v>1205904768</v>
      </c>
      <c r="BN23" s="20">
        <v>339730983</v>
      </c>
      <c r="BO23" s="20">
        <v>416403421</v>
      </c>
      <c r="BP23" s="20">
        <v>379915613</v>
      </c>
      <c r="BQ23" s="20">
        <f>+BQ20-BQ21-BQ22</f>
        <v>597840394</v>
      </c>
      <c r="BR23" s="20">
        <v>814808996</v>
      </c>
      <c r="BS23" s="20">
        <v>152467569</v>
      </c>
      <c r="BT23" s="20">
        <v>530696660</v>
      </c>
      <c r="BU23" s="59">
        <v>515907850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71"/>
      <c r="B24" s="72" t="s">
        <v>109</v>
      </c>
      <c r="D24" s="83">
        <f>D23/D7</f>
        <v>-0.53911247134331364</v>
      </c>
      <c r="E24" s="83">
        <f t="shared" ref="E24:I24" si="0">E23/E7</f>
        <v>1.7548226499900937E-2</v>
      </c>
      <c r="F24" s="83">
        <f t="shared" si="0"/>
        <v>-5.3674780863361971E-3</v>
      </c>
      <c r="G24" s="83">
        <f t="shared" si="0"/>
        <v>-3.0660439471145252E-2</v>
      </c>
      <c r="H24" s="83">
        <f t="shared" si="0"/>
        <v>4.112072602994872E-2</v>
      </c>
      <c r="I24" s="83">
        <f t="shared" si="0"/>
        <v>6.0154612304067885E-2</v>
      </c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V24" s="82"/>
      <c r="BW24" s="82"/>
      <c r="BX24" s="82"/>
      <c r="BY24" s="82"/>
      <c r="BZ24" s="82"/>
      <c r="CA24" s="82"/>
      <c r="CB24" s="82"/>
      <c r="CC24" s="82"/>
    </row>
  </sheetData>
  <protectedRanges>
    <protectedRange sqref="J4:CC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4C19-A9D3-4B62-83AF-6D46B02A422F}">
  <dimension ref="A1:CC24"/>
  <sheetViews>
    <sheetView topLeftCell="B14" workbookViewId="0">
      <selection activeCell="F24" sqref="F24"/>
    </sheetView>
  </sheetViews>
  <sheetFormatPr defaultRowHeight="14.5"/>
  <cols>
    <col min="1" max="1" width="7.6328125" hidden="1" customWidth="1"/>
    <col min="2" max="2" width="55.90625" customWidth="1"/>
    <col min="3" max="3" width="15.54296875" hidden="1" customWidth="1"/>
    <col min="4" max="6" width="15.54296875" customWidth="1"/>
    <col min="7" max="7" width="16.08984375" bestFit="1" customWidth="1"/>
    <col min="8" max="8" width="17.36328125" bestFit="1" customWidth="1"/>
    <col min="9" max="9" width="15.54296875" customWidth="1"/>
    <col min="10" max="10" width="14.90625" customWidth="1"/>
    <col min="11" max="16" width="14.453125" customWidth="1"/>
    <col min="17" max="17" width="14.36328125" customWidth="1"/>
    <col min="18" max="21" width="14.453125" customWidth="1"/>
    <col min="22" max="22" width="14.90625" customWidth="1"/>
    <col min="23" max="28" width="14.453125" customWidth="1"/>
    <col min="29" max="32" width="15.54296875" customWidth="1"/>
    <col min="33" max="34" width="16.36328125" customWidth="1"/>
    <col min="35" max="48" width="15.54296875" customWidth="1"/>
    <col min="49" max="57" width="15.453125" customWidth="1"/>
    <col min="58" max="63" width="15.453125" bestFit="1" customWidth="1"/>
    <col min="64" max="65" width="16.54296875" bestFit="1" customWidth="1"/>
    <col min="66" max="81" width="15.453125" bestFit="1" customWidth="1"/>
  </cols>
  <sheetData>
    <row r="1" spans="1:81" ht="17.5">
      <c r="B1" s="1" t="s">
        <v>108</v>
      </c>
    </row>
    <row r="2" spans="1:81">
      <c r="B2" s="2" t="s">
        <v>1</v>
      </c>
    </row>
    <row r="3" spans="1:81" ht="28">
      <c r="A3" s="62" t="s">
        <v>2</v>
      </c>
      <c r="B3" s="26" t="s">
        <v>3</v>
      </c>
      <c r="C3" s="62" t="s">
        <v>4</v>
      </c>
      <c r="D3" s="70" t="s">
        <v>5</v>
      </c>
      <c r="E3" s="70" t="s">
        <v>6</v>
      </c>
      <c r="F3" s="70" t="s">
        <v>7</v>
      </c>
      <c r="G3" s="70" t="s">
        <v>8</v>
      </c>
      <c r="H3" s="70" t="s">
        <v>9</v>
      </c>
      <c r="I3" s="70" t="s">
        <v>10</v>
      </c>
      <c r="J3" s="62" t="s">
        <v>11</v>
      </c>
      <c r="K3" s="62" t="s">
        <v>12</v>
      </c>
      <c r="L3" s="62" t="s">
        <v>13</v>
      </c>
      <c r="M3" s="62" t="s">
        <v>14</v>
      </c>
      <c r="N3" s="62" t="s">
        <v>15</v>
      </c>
      <c r="O3" s="62" t="s">
        <v>16</v>
      </c>
      <c r="P3" s="62" t="s">
        <v>17</v>
      </c>
      <c r="Q3" s="62" t="s">
        <v>18</v>
      </c>
      <c r="R3" s="62" t="s">
        <v>19</v>
      </c>
      <c r="S3" s="62" t="s">
        <v>20</v>
      </c>
      <c r="T3" s="62" t="s">
        <v>21</v>
      </c>
      <c r="U3" s="62" t="s">
        <v>22</v>
      </c>
      <c r="V3" s="62" t="s">
        <v>23</v>
      </c>
      <c r="W3" s="62" t="s">
        <v>24</v>
      </c>
      <c r="X3" s="62" t="s">
        <v>25</v>
      </c>
      <c r="Y3" s="62" t="s">
        <v>26</v>
      </c>
      <c r="Z3" s="62" t="s">
        <v>27</v>
      </c>
      <c r="AA3" s="62" t="s">
        <v>28</v>
      </c>
      <c r="AB3" s="62" t="s">
        <v>29</v>
      </c>
      <c r="AC3" s="62" t="s">
        <v>30</v>
      </c>
      <c r="AD3" s="62" t="s">
        <v>31</v>
      </c>
      <c r="AE3" s="62" t="s">
        <v>32</v>
      </c>
      <c r="AF3" s="62" t="s">
        <v>33</v>
      </c>
      <c r="AG3" s="62" t="s">
        <v>34</v>
      </c>
      <c r="AH3" s="62" t="s">
        <v>35</v>
      </c>
      <c r="AI3" s="62" t="s">
        <v>36</v>
      </c>
      <c r="AJ3" s="62" t="s">
        <v>37</v>
      </c>
      <c r="AK3" s="62" t="s">
        <v>38</v>
      </c>
      <c r="AL3" s="62" t="s">
        <v>39</v>
      </c>
      <c r="AM3" s="62" t="s">
        <v>40</v>
      </c>
      <c r="AN3" s="62" t="s">
        <v>41</v>
      </c>
      <c r="AO3" s="62" t="s">
        <v>42</v>
      </c>
      <c r="AP3" s="62" t="s">
        <v>43</v>
      </c>
      <c r="AQ3" s="62" t="s">
        <v>44</v>
      </c>
      <c r="AR3" s="62" t="s">
        <v>45</v>
      </c>
      <c r="AS3" s="62" t="s">
        <v>46</v>
      </c>
      <c r="AT3" s="62" t="s">
        <v>47</v>
      </c>
      <c r="AU3" s="62" t="s">
        <v>48</v>
      </c>
      <c r="AV3" s="62" t="s">
        <v>49</v>
      </c>
      <c r="AW3" s="62" t="s">
        <v>50</v>
      </c>
      <c r="AX3" s="62" t="s">
        <v>51</v>
      </c>
      <c r="AY3" s="62" t="s">
        <v>52</v>
      </c>
      <c r="AZ3" s="62" t="s">
        <v>53</v>
      </c>
      <c r="BA3" s="62" t="s">
        <v>54</v>
      </c>
      <c r="BB3" s="62" t="s">
        <v>55</v>
      </c>
      <c r="BC3" s="62" t="s">
        <v>56</v>
      </c>
      <c r="BD3" s="62" t="s">
        <v>57</v>
      </c>
      <c r="BE3" s="62" t="s">
        <v>58</v>
      </c>
      <c r="BF3" s="62" t="s">
        <v>59</v>
      </c>
      <c r="BG3" s="62" t="s">
        <v>60</v>
      </c>
      <c r="BH3" s="62" t="s">
        <v>61</v>
      </c>
      <c r="BI3" s="62" t="s">
        <v>62</v>
      </c>
      <c r="BJ3" s="62" t="s">
        <v>63</v>
      </c>
      <c r="BK3" s="62" t="s">
        <v>64</v>
      </c>
      <c r="BL3" s="62" t="s">
        <v>65</v>
      </c>
      <c r="BM3" s="62" t="s">
        <v>66</v>
      </c>
      <c r="BN3" s="62" t="s">
        <v>67</v>
      </c>
      <c r="BO3" s="62" t="s">
        <v>68</v>
      </c>
      <c r="BP3" s="62" t="s">
        <v>69</v>
      </c>
      <c r="BQ3" s="62" t="s">
        <v>70</v>
      </c>
      <c r="BR3" s="62" t="s">
        <v>71</v>
      </c>
      <c r="BS3" s="62" t="s">
        <v>72</v>
      </c>
      <c r="BT3" s="62" t="s">
        <v>73</v>
      </c>
      <c r="BU3" s="62" t="s">
        <v>74</v>
      </c>
      <c r="BV3" s="62" t="s">
        <v>75</v>
      </c>
      <c r="BW3" s="62" t="s">
        <v>76</v>
      </c>
      <c r="BX3" s="62" t="s">
        <v>77</v>
      </c>
      <c r="BY3" s="62" t="s">
        <v>78</v>
      </c>
      <c r="BZ3" s="62" t="s">
        <v>79</v>
      </c>
      <c r="CA3" s="62" t="s">
        <v>80</v>
      </c>
      <c r="CB3" s="62" t="s">
        <v>81</v>
      </c>
      <c r="CC3" s="62" t="s">
        <v>82</v>
      </c>
    </row>
    <row r="4" spans="1:81">
      <c r="A4" s="63">
        <v>1</v>
      </c>
      <c r="B4" s="7" t="s">
        <v>104</v>
      </c>
      <c r="C4" s="6">
        <v>8</v>
      </c>
      <c r="D4" s="8">
        <f>SUM(Data_PL6[[#This Row],[T1.2021]:[T12.2021]])</f>
        <v>0</v>
      </c>
      <c r="E4" s="8">
        <f>SUM(Data_PL6[[#This Row],[T1.2022]:[T12.2022]])</f>
        <v>1008.5205</v>
      </c>
      <c r="F4" s="8">
        <f>SUM(Data_PL6[[#This Row],[T1.2023]:[T12.2023]])</f>
        <v>3132.2255</v>
      </c>
      <c r="G4" s="8">
        <f>SUM(Data_PL6[[#This Row],[T01.2024]:[T12.2024]])</f>
        <v>4240.9780000000001</v>
      </c>
      <c r="H4" s="8">
        <f>SUM(Data_PL6[[#This Row],[T01.2025]:[T12.2025]])</f>
        <v>5703.4369999999999</v>
      </c>
      <c r="I4" s="8">
        <f>SUM(Data_PL6[[#This Row],[T01.2026]:[T12.2026]])</f>
        <v>2027.3010000000002</v>
      </c>
      <c r="J4" s="31">
        <v>0</v>
      </c>
      <c r="K4" s="31">
        <v>0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>
        <v>13.776</v>
      </c>
      <c r="W4" s="31">
        <v>0</v>
      </c>
      <c r="X4" s="31">
        <v>21.242999999999999</v>
      </c>
      <c r="Y4" s="31">
        <v>18.384</v>
      </c>
      <c r="Z4" s="31">
        <v>69.305999999999997</v>
      </c>
      <c r="AA4" s="31">
        <v>57.128</v>
      </c>
      <c r="AB4" s="31">
        <v>45.009</v>
      </c>
      <c r="AC4" s="31">
        <v>133.15100000000001</v>
      </c>
      <c r="AD4" s="31">
        <v>87.34</v>
      </c>
      <c r="AE4" s="31">
        <v>200.28399999999999</v>
      </c>
      <c r="AF4" s="31">
        <v>162.75049999999999</v>
      </c>
      <c r="AG4" s="31">
        <v>200.149</v>
      </c>
      <c r="AH4" s="31">
        <v>177.0275</v>
      </c>
      <c r="AI4" s="31">
        <v>116.39700000000001</v>
      </c>
      <c r="AJ4" s="31">
        <v>313</v>
      </c>
      <c r="AK4" s="31">
        <v>367</v>
      </c>
      <c r="AL4" s="31">
        <v>260</v>
      </c>
      <c r="AM4" s="31">
        <v>320</v>
      </c>
      <c r="AN4" s="31">
        <v>273</v>
      </c>
      <c r="AO4" s="31">
        <v>241</v>
      </c>
      <c r="AP4" s="31">
        <v>225</v>
      </c>
      <c r="AQ4" s="31">
        <v>267</v>
      </c>
      <c r="AR4" s="31">
        <v>161</v>
      </c>
      <c r="AS4" s="31">
        <v>411.80099999999999</v>
      </c>
      <c r="AT4" s="8">
        <v>573</v>
      </c>
      <c r="AU4" s="31">
        <v>269</v>
      </c>
      <c r="AV4" s="31">
        <v>385</v>
      </c>
      <c r="AW4" s="31">
        <v>393</v>
      </c>
      <c r="AX4" s="31">
        <v>627.69200000000001</v>
      </c>
      <c r="AY4" s="31">
        <v>379</v>
      </c>
      <c r="AZ4" s="31">
        <v>289.90899999999999</v>
      </c>
      <c r="BA4" s="31">
        <v>249.529</v>
      </c>
      <c r="BB4" s="31">
        <v>256.07</v>
      </c>
      <c r="BC4" s="31">
        <v>285.92700000000002</v>
      </c>
      <c r="BD4" s="32">
        <v>301.60300000000001</v>
      </c>
      <c r="BE4" s="33">
        <v>231.24799999999999</v>
      </c>
      <c r="BF4" s="8">
        <v>136.81700000000001</v>
      </c>
      <c r="BG4" s="31">
        <v>284.58600000000001</v>
      </c>
      <c r="BH4" s="31">
        <v>355.69799999999998</v>
      </c>
      <c r="BI4" s="31">
        <v>421.53300000000002</v>
      </c>
      <c r="BJ4" s="31">
        <v>410.44900000000001</v>
      </c>
      <c r="BK4" s="31">
        <v>572.58600000000001</v>
      </c>
      <c r="BL4" s="31">
        <v>681.43200000000002</v>
      </c>
      <c r="BM4" s="31">
        <v>736.18600000000004</v>
      </c>
      <c r="BN4" s="31">
        <v>660.12800000000004</v>
      </c>
      <c r="BO4" s="31">
        <v>493.928</v>
      </c>
      <c r="BP4" s="31">
        <v>419.82400000000001</v>
      </c>
      <c r="BQ4" s="31">
        <v>530.27</v>
      </c>
      <c r="BR4" s="31">
        <v>513.46100000000001</v>
      </c>
      <c r="BS4" s="31">
        <v>321.709</v>
      </c>
      <c r="BT4" s="31">
        <v>698.89099999999996</v>
      </c>
      <c r="BU4" s="31">
        <v>493.24</v>
      </c>
      <c r="BV4" s="31"/>
      <c r="BW4" s="31"/>
      <c r="BX4" s="31"/>
      <c r="BY4" s="31"/>
      <c r="BZ4" s="31"/>
      <c r="CA4" s="31"/>
      <c r="CB4" s="31"/>
      <c r="CC4" s="31"/>
    </row>
    <row r="5" spans="1:81">
      <c r="A5" s="64">
        <v>2</v>
      </c>
      <c r="B5" s="10" t="s">
        <v>84</v>
      </c>
      <c r="C5" s="9">
        <v>8</v>
      </c>
      <c r="D5" s="9">
        <f>SUM(Data_PL6[[#This Row],[T1.2021]:[T12.2021]])</f>
        <v>1528637924</v>
      </c>
      <c r="E5" s="9">
        <f>SUM(Data_PL6[[#This Row],[T1.2022]:[T12.2022]])</f>
        <v>15050385533</v>
      </c>
      <c r="F5" s="9">
        <f>SUM(Data_PL6[[#This Row],[T1.2023]:[T12.2023]])</f>
        <v>44482013611</v>
      </c>
      <c r="G5" s="9">
        <f>SUM(Data_PL6[[#This Row],[T01.2024]:[T12.2024]])</f>
        <v>63950445550</v>
      </c>
      <c r="H5" s="9">
        <f>SUM(Data_PL6[[#This Row],[T01.2025]:[T12.2025]])</f>
        <v>96184706621</v>
      </c>
      <c r="I5" s="9">
        <f>SUM(Data_PL6[[#This Row],[T01.2026]:[T12.2026]])</f>
        <v>28543319477</v>
      </c>
      <c r="J5" s="11"/>
      <c r="K5" s="11"/>
      <c r="L5" s="11"/>
      <c r="M5" s="11">
        <v>368424150</v>
      </c>
      <c r="N5" s="11">
        <v>539826374</v>
      </c>
      <c r="O5" s="11">
        <v>10846000</v>
      </c>
      <c r="P5" s="11"/>
      <c r="Q5" s="11"/>
      <c r="R5" s="11"/>
      <c r="S5" s="11">
        <v>85659200</v>
      </c>
      <c r="T5" s="11">
        <v>502162200</v>
      </c>
      <c r="U5" s="11">
        <v>21720000</v>
      </c>
      <c r="V5" s="11">
        <v>106450910</v>
      </c>
      <c r="W5" s="11"/>
      <c r="X5" s="11">
        <v>265207910</v>
      </c>
      <c r="Y5" s="11">
        <v>235390963</v>
      </c>
      <c r="Z5" s="11">
        <v>549971500</v>
      </c>
      <c r="AA5" s="11">
        <v>1004388000</v>
      </c>
      <c r="AB5" s="11">
        <v>811042500</v>
      </c>
      <c r="AC5" s="11">
        <v>2190311943</v>
      </c>
      <c r="AD5" s="11">
        <v>1430897000</v>
      </c>
      <c r="AE5" s="11">
        <v>3280888000</v>
      </c>
      <c r="AF5" s="11">
        <v>2548509050</v>
      </c>
      <c r="AG5" s="11">
        <v>2627327757</v>
      </c>
      <c r="AH5" s="11">
        <v>1822423459</v>
      </c>
      <c r="AI5" s="11">
        <v>1503889814</v>
      </c>
      <c r="AJ5" s="11">
        <v>4340539454</v>
      </c>
      <c r="AK5" s="11">
        <v>5632467285</v>
      </c>
      <c r="AL5" s="11">
        <v>3711774521</v>
      </c>
      <c r="AM5" s="11">
        <v>4642198050</v>
      </c>
      <c r="AN5" s="11">
        <v>3681484099</v>
      </c>
      <c r="AO5" s="11">
        <v>3500109250</v>
      </c>
      <c r="AP5" s="11">
        <v>3283780279</v>
      </c>
      <c r="AQ5" s="11">
        <v>4161593000</v>
      </c>
      <c r="AR5" s="11">
        <v>2393981900</v>
      </c>
      <c r="AS5" s="11">
        <v>5807772500</v>
      </c>
      <c r="AT5" s="11">
        <v>8400713900</v>
      </c>
      <c r="AU5" s="11">
        <v>3931174800</v>
      </c>
      <c r="AV5" s="11">
        <v>5768669300</v>
      </c>
      <c r="AW5" s="11">
        <v>5809292600</v>
      </c>
      <c r="AX5" s="11">
        <v>9485730900</v>
      </c>
      <c r="AY5" s="11">
        <v>6180931000</v>
      </c>
      <c r="AZ5" s="11">
        <v>4176102000</v>
      </c>
      <c r="BA5" s="11">
        <v>3625752000</v>
      </c>
      <c r="BB5" s="11">
        <v>3921219000</v>
      </c>
      <c r="BC5" s="11">
        <v>4329468100</v>
      </c>
      <c r="BD5" s="11">
        <v>4671750950</v>
      </c>
      <c r="BE5" s="11">
        <v>3649641000</v>
      </c>
      <c r="BF5" s="11">
        <v>2184030270</v>
      </c>
      <c r="BG5" s="11">
        <v>4906179695</v>
      </c>
      <c r="BH5" s="11">
        <v>6333654608</v>
      </c>
      <c r="BI5" s="11">
        <v>7807068174</v>
      </c>
      <c r="BJ5" s="11">
        <v>7380147015</v>
      </c>
      <c r="BK5" s="11">
        <v>10556762949</v>
      </c>
      <c r="BL5" s="11">
        <v>12875151030</v>
      </c>
      <c r="BM5" s="11">
        <v>13763220740</v>
      </c>
      <c r="BN5" s="11">
        <v>9904916640</v>
      </c>
      <c r="BO5" s="11">
        <v>7003708500</v>
      </c>
      <c r="BP5" s="11">
        <v>5985740000</v>
      </c>
      <c r="BQ5" s="11">
        <v>7484127000</v>
      </c>
      <c r="BR5" s="11">
        <v>7320017770</v>
      </c>
      <c r="BS5" s="11">
        <v>4596489350</v>
      </c>
      <c r="BT5" s="11">
        <v>9617317135</v>
      </c>
      <c r="BU5" s="11">
        <v>7009495222</v>
      </c>
      <c r="BV5" s="11"/>
      <c r="BW5" s="11"/>
      <c r="BX5" s="11"/>
      <c r="BY5" s="11"/>
      <c r="BZ5" s="11"/>
      <c r="CA5" s="11"/>
      <c r="CB5" s="11"/>
      <c r="CC5" s="11"/>
    </row>
    <row r="6" spans="1:81">
      <c r="A6" s="65">
        <v>3</v>
      </c>
      <c r="B6" s="13" t="s">
        <v>85</v>
      </c>
      <c r="C6" s="12">
        <v>8</v>
      </c>
      <c r="D6" s="12">
        <f>SUM(Data_PL6[[#This Row],[T1.2021]:[T12.2021]])</f>
        <v>0</v>
      </c>
      <c r="E6" s="12">
        <f>SUM(Data_PL6[[#This Row],[T1.2022]:[T12.2022]])</f>
        <v>0</v>
      </c>
      <c r="F6" s="12">
        <f>SUM(Data_PL6[[#This Row],[T1.2023]:[T12.2023]])</f>
        <v>0</v>
      </c>
      <c r="G6" s="12">
        <f>SUM(Data_PL6[[#This Row],[T01.2024]:[T12.2024]])</f>
        <v>0</v>
      </c>
      <c r="H6" s="12">
        <f>SUM(Data_PL6[[#This Row],[T01.2025]:[T12.2025]])</f>
        <v>0</v>
      </c>
      <c r="I6" s="12">
        <f>SUM(Data_PL6[[#This Row],[T01.2026]:[T12.2026]])</f>
        <v>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38"/>
      <c r="AX6" s="38"/>
      <c r="AY6" s="38"/>
      <c r="AZ6" s="38"/>
      <c r="BA6" s="38"/>
      <c r="BB6" s="38"/>
      <c r="BC6" s="38"/>
      <c r="BD6" s="38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</row>
    <row r="7" spans="1:81">
      <c r="A7" s="66">
        <v>4</v>
      </c>
      <c r="B7" s="10" t="s">
        <v>86</v>
      </c>
      <c r="C7" s="15">
        <v>8</v>
      </c>
      <c r="D7" s="15">
        <f>SUM(Data_PL6[[#This Row],[T1.2021]:[T12.2021]])</f>
        <v>1528637924</v>
      </c>
      <c r="E7" s="15">
        <f>SUM(Data_PL6[[#This Row],[T1.2022]:[T12.2022]])</f>
        <v>15050385533</v>
      </c>
      <c r="F7" s="15">
        <f>SUM(Data_PL6[[#This Row],[T1.2023]:[T12.2023]])</f>
        <v>44482013611</v>
      </c>
      <c r="G7" s="15">
        <f>SUM(Data_PL6[[#This Row],[T01.2024]:[T12.2024]])</f>
        <v>63950445550</v>
      </c>
      <c r="H7" s="15">
        <f>SUM(Data_PL6[[#This Row],[T01.2025]:[T12.2025]])</f>
        <v>96184706621</v>
      </c>
      <c r="I7" s="15">
        <f>SUM(Data_PL6[[#This Row],[T01.2026]:[T12.2026]])</f>
        <v>28543319477</v>
      </c>
      <c r="J7" s="16">
        <v>0</v>
      </c>
      <c r="K7" s="16">
        <v>0</v>
      </c>
      <c r="L7" s="16">
        <v>0</v>
      </c>
      <c r="M7" s="16">
        <v>368424150</v>
      </c>
      <c r="N7" s="16">
        <v>539826374</v>
      </c>
      <c r="O7" s="16">
        <v>10846000</v>
      </c>
      <c r="P7" s="16">
        <v>0</v>
      </c>
      <c r="Q7" s="16">
        <v>0</v>
      </c>
      <c r="R7" s="16">
        <v>0</v>
      </c>
      <c r="S7" s="16">
        <v>85659200</v>
      </c>
      <c r="T7" s="16">
        <v>502162200</v>
      </c>
      <c r="U7" s="16">
        <v>21720000</v>
      </c>
      <c r="V7" s="16">
        <v>106450910</v>
      </c>
      <c r="W7" s="16">
        <v>0</v>
      </c>
      <c r="X7" s="16">
        <v>265207910</v>
      </c>
      <c r="Y7" s="16">
        <v>235390963</v>
      </c>
      <c r="Z7" s="16">
        <v>549971500</v>
      </c>
      <c r="AA7" s="16">
        <v>1004388000</v>
      </c>
      <c r="AB7" s="16">
        <v>811042500</v>
      </c>
      <c r="AC7" s="16">
        <v>2190311943</v>
      </c>
      <c r="AD7" s="16">
        <v>1430897000</v>
      </c>
      <c r="AE7" s="16">
        <v>3280888000</v>
      </c>
      <c r="AF7" s="16">
        <v>2548509050</v>
      </c>
      <c r="AG7" s="16">
        <v>2627327757</v>
      </c>
      <c r="AH7" s="16">
        <v>1822423459</v>
      </c>
      <c r="AI7" s="16">
        <v>1503889814</v>
      </c>
      <c r="AJ7" s="16">
        <v>4340539454</v>
      </c>
      <c r="AK7" s="16">
        <v>5632467285</v>
      </c>
      <c r="AL7" s="16">
        <v>3711774521</v>
      </c>
      <c r="AM7" s="16">
        <v>4642198050</v>
      </c>
      <c r="AN7" s="16">
        <v>3681484099</v>
      </c>
      <c r="AO7" s="16">
        <v>3500109250</v>
      </c>
      <c r="AP7" s="16">
        <v>3283780279</v>
      </c>
      <c r="AQ7" s="16">
        <v>4161593000</v>
      </c>
      <c r="AR7" s="16">
        <v>2393981900</v>
      </c>
      <c r="AS7" s="16">
        <v>5807772500</v>
      </c>
      <c r="AT7" s="16">
        <v>8400713900</v>
      </c>
      <c r="AU7" s="16">
        <v>3931174800</v>
      </c>
      <c r="AV7" s="16">
        <v>5768669300</v>
      </c>
      <c r="AW7" s="16">
        <v>5809292600</v>
      </c>
      <c r="AX7" s="16">
        <v>9485730900</v>
      </c>
      <c r="AY7" s="16">
        <v>6180931000</v>
      </c>
      <c r="AZ7" s="16">
        <v>4176102000</v>
      </c>
      <c r="BA7" s="16">
        <v>3625752000</v>
      </c>
      <c r="BB7" s="16">
        <v>3921219000</v>
      </c>
      <c r="BC7" s="16">
        <v>4329468100</v>
      </c>
      <c r="BD7" s="16">
        <v>4671750950</v>
      </c>
      <c r="BE7" s="42">
        <v>3649641000</v>
      </c>
      <c r="BF7" s="42">
        <v>2184030270</v>
      </c>
      <c r="BG7" s="42">
        <v>4906179695</v>
      </c>
      <c r="BH7" s="42">
        <v>6333654608</v>
      </c>
      <c r="BI7" s="42">
        <v>7807068174</v>
      </c>
      <c r="BJ7" s="42">
        <v>7380147015</v>
      </c>
      <c r="BK7" s="42">
        <v>10556762949</v>
      </c>
      <c r="BL7" s="42">
        <v>12875151030</v>
      </c>
      <c r="BM7" s="42">
        <v>13763220740</v>
      </c>
      <c r="BN7" s="42">
        <v>9904916640</v>
      </c>
      <c r="BO7" s="42">
        <v>7003708500</v>
      </c>
      <c r="BP7" s="42">
        <v>5985740000</v>
      </c>
      <c r="BQ7" s="42">
        <v>7484127000</v>
      </c>
      <c r="BR7" s="42">
        <v>7320017770</v>
      </c>
      <c r="BS7" s="42">
        <f>BS5-BS6</f>
        <v>4596489350</v>
      </c>
      <c r="BT7" s="42">
        <v>9617317135</v>
      </c>
      <c r="BU7" s="42">
        <v>7009495222</v>
      </c>
      <c r="BV7" s="42"/>
      <c r="BW7" s="42"/>
      <c r="BX7" s="42"/>
      <c r="BY7" s="42"/>
      <c r="BZ7" s="42"/>
      <c r="CA7" s="42"/>
      <c r="CB7" s="42"/>
      <c r="CC7" s="42"/>
    </row>
    <row r="8" spans="1:81" ht="15.5">
      <c r="A8" s="65">
        <v>5</v>
      </c>
      <c r="B8" s="13" t="s">
        <v>87</v>
      </c>
      <c r="C8" s="17">
        <v>8</v>
      </c>
      <c r="D8" s="12">
        <f>SUM(Data_PL6[[#This Row],[T1.2021]:[T12.2021]])</f>
        <v>1472445523</v>
      </c>
      <c r="E8" s="12">
        <f>SUM(Data_PL6[[#This Row],[T1.2022]:[T12.2022]])</f>
        <v>13731682171</v>
      </c>
      <c r="F8" s="12">
        <f>SUM(Data_PL6[[#This Row],[T1.2023]:[T12.2023]])</f>
        <v>41701693449</v>
      </c>
      <c r="G8" s="12">
        <f>SUM(Data_PL6[[#This Row],[T01.2024]:[T12.2024]])</f>
        <v>64457272305</v>
      </c>
      <c r="H8" s="12">
        <f>SUM(Data_PL6[[#This Row],[T01.2025]:[T12.2025]])</f>
        <v>88860212617</v>
      </c>
      <c r="I8" s="12">
        <f>SUM(Data_PL6[[#This Row],[T01.2026]:[T12.2026]])</f>
        <v>25136221368</v>
      </c>
      <c r="J8" s="14"/>
      <c r="K8" s="14"/>
      <c r="L8" s="14"/>
      <c r="M8" s="14">
        <v>356035081</v>
      </c>
      <c r="N8" s="14">
        <v>539685001</v>
      </c>
      <c r="O8" s="14">
        <v>10850195</v>
      </c>
      <c r="P8" s="14"/>
      <c r="Q8" s="14"/>
      <c r="R8" s="14"/>
      <c r="S8" s="14">
        <v>84649200</v>
      </c>
      <c r="T8" s="14">
        <v>465251111</v>
      </c>
      <c r="U8" s="14">
        <v>15974935</v>
      </c>
      <c r="V8" s="14">
        <v>168407744</v>
      </c>
      <c r="W8" s="14">
        <v>5395812</v>
      </c>
      <c r="X8" s="14">
        <v>236779308</v>
      </c>
      <c r="Y8" s="14">
        <v>207650748</v>
      </c>
      <c r="Z8" s="14">
        <v>435137862</v>
      </c>
      <c r="AA8" s="14">
        <v>918387357</v>
      </c>
      <c r="AB8" s="14">
        <v>738967733</v>
      </c>
      <c r="AC8" s="14">
        <v>1857317418</v>
      </c>
      <c r="AD8" s="14">
        <v>1276370111</v>
      </c>
      <c r="AE8" s="14">
        <v>2962185705</v>
      </c>
      <c r="AF8" s="14">
        <v>2312380906</v>
      </c>
      <c r="AG8" s="14">
        <v>2612701467</v>
      </c>
      <c r="AH8" s="14">
        <v>2339926056</v>
      </c>
      <c r="AI8" s="14">
        <v>1617373611</v>
      </c>
      <c r="AJ8" s="14">
        <v>4386031675</v>
      </c>
      <c r="AK8" s="14">
        <v>4924018381</v>
      </c>
      <c r="AL8" s="14">
        <v>3584096913</v>
      </c>
      <c r="AM8" s="14">
        <v>4175851308</v>
      </c>
      <c r="AN8" s="14">
        <v>3523205486</v>
      </c>
      <c r="AO8" s="14">
        <v>3237017132</v>
      </c>
      <c r="AP8" s="14">
        <v>3209996558</v>
      </c>
      <c r="AQ8" s="14">
        <v>3747756710</v>
      </c>
      <c r="AR8" s="14">
        <v>2368686966</v>
      </c>
      <c r="AS8" s="14">
        <v>4587732653</v>
      </c>
      <c r="AT8" s="18">
        <v>8360095204</v>
      </c>
      <c r="AU8" s="14">
        <v>3915335812</v>
      </c>
      <c r="AV8" s="14">
        <v>5491561659</v>
      </c>
      <c r="AW8" s="44">
        <v>5777251201</v>
      </c>
      <c r="AX8" s="44">
        <v>9281674213</v>
      </c>
      <c r="AY8" s="44">
        <v>6197150720</v>
      </c>
      <c r="AZ8" s="44">
        <v>4472052819</v>
      </c>
      <c r="BA8" s="44">
        <v>3843795589</v>
      </c>
      <c r="BB8" s="44">
        <v>4098228510</v>
      </c>
      <c r="BC8" s="44">
        <v>4453562079</v>
      </c>
      <c r="BD8" s="45">
        <v>4802207565</v>
      </c>
      <c r="BE8" s="44">
        <v>3764356934</v>
      </c>
      <c r="BF8" s="44">
        <v>2508077713</v>
      </c>
      <c r="BG8" s="44">
        <v>4740440112</v>
      </c>
      <c r="BH8" s="44">
        <v>6014198762</v>
      </c>
      <c r="BI8" s="44">
        <v>7255972077</v>
      </c>
      <c r="BJ8" s="44">
        <v>7126741795</v>
      </c>
      <c r="BK8" s="44">
        <v>9609629830</v>
      </c>
      <c r="BL8" s="44">
        <v>11568387569</v>
      </c>
      <c r="BM8" s="44">
        <v>11854114403</v>
      </c>
      <c r="BN8" s="44">
        <v>9491382430</v>
      </c>
      <c r="BO8" s="44">
        <v>6472207694</v>
      </c>
      <c r="BP8" s="44">
        <v>5524770244</v>
      </c>
      <c r="BQ8" s="44">
        <v>6694289988</v>
      </c>
      <c r="BR8" s="44">
        <v>6508047485</v>
      </c>
      <c r="BS8" s="44">
        <v>4138247394</v>
      </c>
      <c r="BT8" s="44">
        <v>8386341981</v>
      </c>
      <c r="BU8" s="44">
        <v>6103584508</v>
      </c>
      <c r="BV8" s="44"/>
      <c r="BW8" s="44"/>
      <c r="BX8" s="44"/>
      <c r="BY8" s="44"/>
      <c r="BZ8" s="44"/>
      <c r="CA8" s="44"/>
      <c r="CB8" s="44"/>
      <c r="CC8" s="44"/>
    </row>
    <row r="9" spans="1:81">
      <c r="A9" s="67">
        <v>6</v>
      </c>
      <c r="B9" s="10" t="s">
        <v>88</v>
      </c>
      <c r="C9" s="19">
        <v>8</v>
      </c>
      <c r="D9" s="19">
        <f>SUM(Data_PL6[[#This Row],[T1.2021]:[T12.2021]])</f>
        <v>56192401</v>
      </c>
      <c r="E9" s="19">
        <f>SUM(Data_PL6[[#This Row],[T1.2022]:[T12.2022]])</f>
        <v>1318703362</v>
      </c>
      <c r="F9" s="19">
        <f>SUM(Data_PL6[[#This Row],[T1.2023]:[T12.2023]])</f>
        <v>2780320162</v>
      </c>
      <c r="G9" s="19">
        <f>SUM(Data_PL6[[#This Row],[T01.2024]:[T12.2024]])</f>
        <v>-506826755</v>
      </c>
      <c r="H9" s="19">
        <f>SUM(Data_PL6[[#This Row],[T01.2025]:[T12.2025]])</f>
        <v>7324494004</v>
      </c>
      <c r="I9" s="19">
        <f>SUM(Data_PL6[[#This Row],[T01.2026]:[T12.2026]])</f>
        <v>3407098109</v>
      </c>
      <c r="J9" s="20">
        <v>0</v>
      </c>
      <c r="K9" s="20">
        <v>0</v>
      </c>
      <c r="L9" s="20">
        <v>0</v>
      </c>
      <c r="M9" s="20">
        <v>12389069</v>
      </c>
      <c r="N9" s="20">
        <v>141373</v>
      </c>
      <c r="O9" s="20">
        <v>-4195</v>
      </c>
      <c r="P9" s="20">
        <v>0</v>
      </c>
      <c r="Q9" s="20">
        <v>0</v>
      </c>
      <c r="R9" s="20">
        <v>0</v>
      </c>
      <c r="S9" s="20">
        <v>1010000</v>
      </c>
      <c r="T9" s="20">
        <v>36911089</v>
      </c>
      <c r="U9" s="20">
        <v>5745065</v>
      </c>
      <c r="V9" s="20">
        <v>-61956834</v>
      </c>
      <c r="W9" s="20">
        <v>-5395812</v>
      </c>
      <c r="X9" s="20">
        <v>28428602</v>
      </c>
      <c r="Y9" s="20">
        <v>27740215</v>
      </c>
      <c r="Z9" s="20">
        <v>114833638</v>
      </c>
      <c r="AA9" s="20">
        <v>86000643</v>
      </c>
      <c r="AB9" s="20">
        <v>72074767</v>
      </c>
      <c r="AC9" s="20">
        <v>332994525</v>
      </c>
      <c r="AD9" s="20">
        <v>154526889</v>
      </c>
      <c r="AE9" s="20">
        <v>318702295</v>
      </c>
      <c r="AF9" s="20">
        <v>236128144</v>
      </c>
      <c r="AG9" s="20">
        <v>14626290</v>
      </c>
      <c r="AH9" s="20">
        <v>-517502597</v>
      </c>
      <c r="AI9" s="20">
        <v>-113483797</v>
      </c>
      <c r="AJ9" s="20">
        <v>-45492221</v>
      </c>
      <c r="AK9" s="20">
        <v>708448904</v>
      </c>
      <c r="AL9" s="20">
        <v>127677608</v>
      </c>
      <c r="AM9" s="20">
        <v>466346742</v>
      </c>
      <c r="AN9" s="20">
        <v>158278613</v>
      </c>
      <c r="AO9" s="20">
        <v>263092118</v>
      </c>
      <c r="AP9" s="20">
        <v>73783721</v>
      </c>
      <c r="AQ9" s="20">
        <v>413836290</v>
      </c>
      <c r="AR9" s="20">
        <v>25294934</v>
      </c>
      <c r="AS9" s="20">
        <v>1220039847</v>
      </c>
      <c r="AT9" s="20">
        <v>40618696</v>
      </c>
      <c r="AU9" s="20">
        <v>15838988</v>
      </c>
      <c r="AV9" s="20">
        <v>277107641</v>
      </c>
      <c r="AW9" s="20">
        <v>32041399</v>
      </c>
      <c r="AX9" s="20">
        <v>204056687</v>
      </c>
      <c r="AY9" s="20">
        <v>-16219720</v>
      </c>
      <c r="AZ9" s="20">
        <v>-295950819</v>
      </c>
      <c r="BA9" s="20">
        <v>-218043589</v>
      </c>
      <c r="BB9" s="20">
        <v>-177009510</v>
      </c>
      <c r="BC9" s="20">
        <v>-124093979</v>
      </c>
      <c r="BD9" s="20">
        <v>-130456615</v>
      </c>
      <c r="BE9" s="20">
        <v>-114715934</v>
      </c>
      <c r="BF9" s="20">
        <v>-324047443</v>
      </c>
      <c r="BG9" s="20">
        <v>165739583</v>
      </c>
      <c r="BH9" s="20">
        <v>319455846</v>
      </c>
      <c r="BI9" s="20">
        <v>551096097</v>
      </c>
      <c r="BJ9" s="20">
        <v>253405220</v>
      </c>
      <c r="BK9" s="20">
        <v>947133119</v>
      </c>
      <c r="BL9" s="20">
        <v>1306763461</v>
      </c>
      <c r="BM9" s="20">
        <v>1909106337</v>
      </c>
      <c r="BN9" s="20">
        <v>413534210</v>
      </c>
      <c r="BO9" s="20">
        <v>531500806</v>
      </c>
      <c r="BP9" s="20">
        <v>460969756</v>
      </c>
      <c r="BQ9" s="20">
        <v>789837012</v>
      </c>
      <c r="BR9" s="20">
        <v>811970285</v>
      </c>
      <c r="BS9" s="20">
        <f>BS7-BS8</f>
        <v>458241956</v>
      </c>
      <c r="BT9" s="20">
        <f>BT7-BT8</f>
        <v>1230975154</v>
      </c>
      <c r="BU9" s="20">
        <f>BU7-BU8</f>
        <v>905910714</v>
      </c>
      <c r="BV9" s="20"/>
      <c r="BW9" s="20"/>
      <c r="BX9" s="20"/>
      <c r="BY9" s="20"/>
      <c r="BZ9" s="20"/>
      <c r="CA9" s="20"/>
      <c r="CB9" s="20"/>
      <c r="CC9" s="20"/>
    </row>
    <row r="10" spans="1:81">
      <c r="A10" s="67">
        <v>7</v>
      </c>
      <c r="B10" s="10" t="s">
        <v>89</v>
      </c>
      <c r="C10" s="19">
        <v>8</v>
      </c>
      <c r="D10" s="19">
        <f>SUM(Data_PL6[[#This Row],[T1.2021]:[T12.2021]])</f>
        <v>0</v>
      </c>
      <c r="E10" s="19">
        <f>SUM(Data_PL6[[#This Row],[T1.2022]:[T12.2022]])</f>
        <v>0</v>
      </c>
      <c r="F10" s="19">
        <f>SUM(Data_PL6[[#This Row],[T1.2023]:[T12.2023]])</f>
        <v>0</v>
      </c>
      <c r="G10" s="19">
        <f>SUM(Data_PL6[[#This Row],[T01.2024]:[T12.2024]])</f>
        <v>0</v>
      </c>
      <c r="H10" s="19">
        <f>SUM(Data_PL6[[#This Row],[T01.2025]:[T12.2025]])</f>
        <v>0</v>
      </c>
      <c r="I10" s="19">
        <f>SUM(Data_PL6[[#This Row],[T01.2026]:[T12.2026]])</f>
        <v>0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81">
      <c r="A11" s="65">
        <v>8</v>
      </c>
      <c r="B11" s="13" t="s">
        <v>90</v>
      </c>
      <c r="C11" s="12">
        <v>8</v>
      </c>
      <c r="D11" s="12">
        <f>SUM(Data_PL6[[#This Row],[T1.2021]:[T12.2021]])</f>
        <v>810492</v>
      </c>
      <c r="E11" s="12">
        <f>SUM(Data_PL6[[#This Row],[T1.2022]:[T12.2022]])</f>
        <v>4594327</v>
      </c>
      <c r="F11" s="12">
        <f>SUM(Data_PL6[[#This Row],[T1.2023]:[T12.2023]])</f>
        <v>27223645</v>
      </c>
      <c r="G11" s="12">
        <f>SUM(Data_PL6[[#This Row],[T01.2024]:[T12.2024]])</f>
        <v>192088676</v>
      </c>
      <c r="H11" s="12">
        <f>SUM(Data_PL6[[#This Row],[T01.2025]:[T12.2025]])</f>
        <v>318990785</v>
      </c>
      <c r="I11" s="12">
        <f>SUM(Data_PL6[[#This Row],[T01.2026]:[T12.2026]])</f>
        <v>162989914</v>
      </c>
      <c r="J11" s="14">
        <v>107454</v>
      </c>
      <c r="K11" s="14">
        <v>56525</v>
      </c>
      <c r="L11" s="14">
        <v>64648</v>
      </c>
      <c r="M11" s="14">
        <v>175348</v>
      </c>
      <c r="N11" s="14">
        <v>109741</v>
      </c>
      <c r="O11" s="14">
        <v>71964</v>
      </c>
      <c r="P11" s="14">
        <v>33319</v>
      </c>
      <c r="Q11" s="14">
        <v>35780</v>
      </c>
      <c r="R11" s="14">
        <v>57304</v>
      </c>
      <c r="S11" s="14">
        <v>40536</v>
      </c>
      <c r="T11" s="14">
        <v>27652</v>
      </c>
      <c r="U11" s="14">
        <v>30221</v>
      </c>
      <c r="V11" s="14">
        <v>100771</v>
      </c>
      <c r="W11" s="14">
        <v>22232</v>
      </c>
      <c r="X11" s="14">
        <v>9940</v>
      </c>
      <c r="Y11" s="14">
        <v>18461</v>
      </c>
      <c r="Z11" s="14">
        <v>51784</v>
      </c>
      <c r="AA11" s="14">
        <v>65299</v>
      </c>
      <c r="AB11" s="14">
        <v>28201</v>
      </c>
      <c r="AC11" s="14">
        <v>103587</v>
      </c>
      <c r="AD11" s="14">
        <v>134052</v>
      </c>
      <c r="AE11" s="14">
        <v>100634</v>
      </c>
      <c r="AF11" s="14">
        <v>1758913</v>
      </c>
      <c r="AG11" s="14">
        <v>2200453</v>
      </c>
      <c r="AH11" s="14">
        <v>3773270</v>
      </c>
      <c r="AI11" s="14">
        <v>3236864</v>
      </c>
      <c r="AJ11" s="14">
        <v>2346303</v>
      </c>
      <c r="AK11" s="14">
        <v>1424265</v>
      </c>
      <c r="AL11" s="14">
        <v>777811</v>
      </c>
      <c r="AM11" s="14">
        <v>307201</v>
      </c>
      <c r="AN11" s="14">
        <v>328719</v>
      </c>
      <c r="AO11" s="14">
        <v>368024</v>
      </c>
      <c r="AP11" s="14">
        <v>352533</v>
      </c>
      <c r="AQ11" s="14">
        <v>313627</v>
      </c>
      <c r="AR11" s="14">
        <v>161478</v>
      </c>
      <c r="AS11" s="14">
        <v>13833550</v>
      </c>
      <c r="AT11" s="14">
        <v>9382459</v>
      </c>
      <c r="AU11" s="14">
        <v>10579719</v>
      </c>
      <c r="AV11" s="14">
        <v>9899400</v>
      </c>
      <c r="AW11" s="38">
        <v>10580906</v>
      </c>
      <c r="AX11" s="38">
        <v>10872809</v>
      </c>
      <c r="AY11" s="38">
        <v>12253869</v>
      </c>
      <c r="AZ11" s="38">
        <v>32961164</v>
      </c>
      <c r="BA11" s="38">
        <v>10484107</v>
      </c>
      <c r="BB11" s="38">
        <v>10990062</v>
      </c>
      <c r="BC11" s="38">
        <v>51973968</v>
      </c>
      <c r="BD11" s="38">
        <v>11239032</v>
      </c>
      <c r="BE11" s="39">
        <v>10871181</v>
      </c>
      <c r="BF11" s="39">
        <v>56610291</v>
      </c>
      <c r="BG11" s="39">
        <v>11478700</v>
      </c>
      <c r="BH11" s="39">
        <v>10596772</v>
      </c>
      <c r="BI11" s="39">
        <v>57102551</v>
      </c>
      <c r="BJ11" s="39">
        <v>11106781</v>
      </c>
      <c r="BK11" s="39">
        <v>10419655</v>
      </c>
      <c r="BL11" s="39">
        <v>56496007</v>
      </c>
      <c r="BM11" s="39">
        <v>7319275</v>
      </c>
      <c r="BN11" s="39">
        <v>7346208</v>
      </c>
      <c r="BO11" s="39">
        <v>52495236</v>
      </c>
      <c r="BP11" s="39">
        <v>19072961</v>
      </c>
      <c r="BQ11" s="39">
        <v>18946348</v>
      </c>
      <c r="BR11" s="39">
        <v>65571081</v>
      </c>
      <c r="BS11" s="39">
        <v>20192380</v>
      </c>
      <c r="BT11" s="39">
        <v>18234753</v>
      </c>
      <c r="BU11" s="39">
        <v>58991700</v>
      </c>
      <c r="BV11" s="39"/>
      <c r="BW11" s="39"/>
      <c r="BX11" s="39"/>
      <c r="BY11" s="39"/>
      <c r="BZ11" s="39"/>
      <c r="CA11" s="39"/>
      <c r="CB11" s="39"/>
      <c r="CC11" s="39"/>
    </row>
    <row r="12" spans="1:81">
      <c r="A12" s="64">
        <v>9</v>
      </c>
      <c r="B12" s="10" t="s">
        <v>91</v>
      </c>
      <c r="C12" s="9">
        <v>8</v>
      </c>
      <c r="D12" s="9">
        <f>SUM(Data_PL6[[#This Row],[T1.2021]:[T12.2021]])</f>
        <v>0</v>
      </c>
      <c r="E12" s="9">
        <f>SUM(Data_PL6[[#This Row],[T1.2022]:[T12.2022]])</f>
        <v>0</v>
      </c>
      <c r="F12" s="9">
        <f>SUM(Data_PL6[[#This Row],[T1.2023]:[T12.2023]])</f>
        <v>0</v>
      </c>
      <c r="G12" s="9">
        <f>SUM(Data_PL6[[#This Row],[T01.2024]:[T12.2024]])</f>
        <v>0</v>
      </c>
      <c r="H12" s="9">
        <f>SUM(Data_PL6[[#This Row],[T01.2025]:[T12.2025]])</f>
        <v>3187200</v>
      </c>
      <c r="I12" s="9">
        <f>SUM(Data_PL6[[#This Row],[T01.2026]:[T12.2026]])</f>
        <v>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48"/>
      <c r="BF12" s="48"/>
      <c r="BG12" s="48"/>
      <c r="BH12" s="48"/>
      <c r="BI12" s="48"/>
      <c r="BJ12" s="48"/>
      <c r="BK12" s="48"/>
      <c r="BL12" s="48">
        <v>3187200</v>
      </c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</row>
    <row r="13" spans="1:81">
      <c r="A13" s="65">
        <v>10</v>
      </c>
      <c r="B13" s="21" t="s">
        <v>92</v>
      </c>
      <c r="C13" s="12">
        <v>8</v>
      </c>
      <c r="D13" s="12">
        <f>SUM(Data_PL6[[#This Row],[T1.2021]:[T12.2021]])</f>
        <v>0</v>
      </c>
      <c r="E13" s="12">
        <f>SUM(Data_PL6[[#This Row],[T1.2022]:[T12.2022]])</f>
        <v>0</v>
      </c>
      <c r="F13" s="12">
        <f>SUM(Data_PL6[[#This Row],[T1.2023]:[T12.2023]])</f>
        <v>0</v>
      </c>
      <c r="G13" s="12">
        <f>SUM(Data_PL6[[#This Row],[T01.2024]:[T12.2024]])</f>
        <v>0</v>
      </c>
      <c r="H13" s="12">
        <f>SUM(Data_PL6[[#This Row],[T01.2025]:[T12.2025]])</f>
        <v>3187200</v>
      </c>
      <c r="I13" s="12">
        <f>SUM(Data_PL6[[#This Row],[T01.2026]:[T12.2026]])</f>
        <v>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38"/>
      <c r="AX13" s="38"/>
      <c r="AY13" s="38"/>
      <c r="AZ13" s="38"/>
      <c r="BA13" s="38"/>
      <c r="BB13" s="38"/>
      <c r="BC13" s="38"/>
      <c r="BD13" s="38"/>
      <c r="BE13" s="39"/>
      <c r="BF13" s="39"/>
      <c r="BG13" s="39"/>
      <c r="BH13" s="39"/>
      <c r="BI13" s="39"/>
      <c r="BJ13" s="39"/>
      <c r="BK13" s="39"/>
      <c r="BL13" s="39">
        <v>3187200</v>
      </c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</row>
    <row r="14" spans="1:81">
      <c r="A14" s="65">
        <v>11</v>
      </c>
      <c r="B14" s="13" t="s">
        <v>93</v>
      </c>
      <c r="C14" s="12">
        <v>8</v>
      </c>
      <c r="D14" s="12">
        <f>SUM(Data_PL6[[#This Row],[T1.2021]:[T12.2021]])</f>
        <v>0</v>
      </c>
      <c r="E14" s="12">
        <f>SUM(Data_PL6[[#This Row],[T1.2022]:[T12.2022]])</f>
        <v>2904725277</v>
      </c>
      <c r="F14" s="12">
        <f>SUM(Data_PL6[[#This Row],[T1.2023]:[T12.2023]])</f>
        <v>5058309993</v>
      </c>
      <c r="G14" s="12">
        <f>SUM(Data_PL6[[#This Row],[T01.2024]:[T12.2024]])</f>
        <v>1040686400</v>
      </c>
      <c r="H14" s="12">
        <f>SUM(Data_PL6[[#This Row],[T01.2025]:[T12.2025]])</f>
        <v>2125300000</v>
      </c>
      <c r="I14" s="12">
        <f>SUM(Data_PL6[[#This Row],[T01.2026]:[T12.2026]])</f>
        <v>784300000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>
        <v>4154275</v>
      </c>
      <c r="W14" s="14">
        <v>111551042</v>
      </c>
      <c r="X14" s="14">
        <v>110233410</v>
      </c>
      <c r="Y14" s="14">
        <v>127730395</v>
      </c>
      <c r="Z14" s="14">
        <v>186833035</v>
      </c>
      <c r="AA14" s="14">
        <v>196635214</v>
      </c>
      <c r="AB14" s="14">
        <v>194194095</v>
      </c>
      <c r="AC14" s="14">
        <v>278805851</v>
      </c>
      <c r="AD14" s="14">
        <v>297860980</v>
      </c>
      <c r="AE14" s="14">
        <v>356552796</v>
      </c>
      <c r="AF14" s="14">
        <v>391895076</v>
      </c>
      <c r="AG14" s="14">
        <v>648279108</v>
      </c>
      <c r="AH14" s="14">
        <v>366527895</v>
      </c>
      <c r="AI14" s="14">
        <v>316438292</v>
      </c>
      <c r="AJ14" s="14">
        <v>474659267</v>
      </c>
      <c r="AK14" s="14">
        <v>500360421</v>
      </c>
      <c r="AL14" s="14">
        <v>442222030</v>
      </c>
      <c r="AM14" s="14">
        <v>537898379</v>
      </c>
      <c r="AN14" s="14">
        <v>496904815</v>
      </c>
      <c r="AO14" s="14">
        <v>432396059</v>
      </c>
      <c r="AP14" s="14">
        <v>375069710</v>
      </c>
      <c r="AQ14" s="14">
        <v>355199519</v>
      </c>
      <c r="AR14" s="14">
        <v>319486926</v>
      </c>
      <c r="AS14" s="14">
        <v>441146680</v>
      </c>
      <c r="AT14" s="14">
        <v>80500000</v>
      </c>
      <c r="AU14" s="14">
        <v>92396800</v>
      </c>
      <c r="AV14" s="14">
        <v>121389600</v>
      </c>
      <c r="AW14" s="38">
        <v>78000000</v>
      </c>
      <c r="AX14" s="38">
        <v>146000000</v>
      </c>
      <c r="AY14" s="38">
        <v>115500000</v>
      </c>
      <c r="AZ14" s="38">
        <v>64000000</v>
      </c>
      <c r="BA14" s="38">
        <v>54000000</v>
      </c>
      <c r="BB14" s="38">
        <v>57900000</v>
      </c>
      <c r="BC14" s="38">
        <v>75900000</v>
      </c>
      <c r="BD14" s="38">
        <v>79200000</v>
      </c>
      <c r="BE14" s="38">
        <v>75900000</v>
      </c>
      <c r="BF14" s="38">
        <v>46200000</v>
      </c>
      <c r="BG14" s="38">
        <v>111100000</v>
      </c>
      <c r="BH14" s="38">
        <v>142500000</v>
      </c>
      <c r="BI14" s="38">
        <v>161600000</v>
      </c>
      <c r="BJ14" s="38">
        <v>157100000</v>
      </c>
      <c r="BK14" s="38">
        <v>207400000</v>
      </c>
      <c r="BL14" s="38">
        <v>261000000</v>
      </c>
      <c r="BM14" s="38">
        <v>278300000</v>
      </c>
      <c r="BN14" s="38">
        <v>246900000</v>
      </c>
      <c r="BO14" s="38">
        <v>175300000</v>
      </c>
      <c r="BP14" s="38">
        <v>144200000</v>
      </c>
      <c r="BQ14" s="38">
        <v>193700000</v>
      </c>
      <c r="BR14" s="38">
        <v>195900000</v>
      </c>
      <c r="BS14" s="38">
        <v>121800000</v>
      </c>
      <c r="BT14" s="38">
        <v>271300000</v>
      </c>
      <c r="BU14" s="38">
        <v>195300000</v>
      </c>
      <c r="BV14" s="38"/>
      <c r="BW14" s="38"/>
      <c r="BX14" s="38"/>
      <c r="BY14" s="38"/>
      <c r="BZ14" s="38"/>
      <c r="CA14" s="38"/>
      <c r="CB14" s="38"/>
      <c r="CC14" s="38"/>
    </row>
    <row r="15" spans="1:81">
      <c r="A15" s="65">
        <v>12</v>
      </c>
      <c r="B15" s="13" t="s">
        <v>94</v>
      </c>
      <c r="C15" s="12">
        <v>8</v>
      </c>
      <c r="D15" s="12">
        <f>SUM(Data_PL6[[#This Row],[T1.2021]:[T12.2021]])</f>
        <v>1872536978</v>
      </c>
      <c r="E15" s="12">
        <f>SUM(Data_PL6[[#This Row],[T1.2022]:[T12.2022]])</f>
        <v>3300814546</v>
      </c>
      <c r="F15" s="12">
        <f>SUM(Data_PL6[[#This Row],[T1.2023]:[T12.2023]])</f>
        <v>1954737169</v>
      </c>
      <c r="G15" s="12">
        <f>SUM(Data_PL6[[#This Row],[T01.2024]:[T12.2024]])</f>
        <v>1657750500</v>
      </c>
      <c r="H15" s="12">
        <f>SUM(Data_PL6[[#This Row],[T01.2025]:[T12.2025]])</f>
        <v>2232589956</v>
      </c>
      <c r="I15" s="12">
        <f>SUM(Data_PL6[[#This Row],[T01.2026]:[T12.2026]])</f>
        <v>1199107431</v>
      </c>
      <c r="J15" s="14">
        <v>221942434</v>
      </c>
      <c r="K15" s="14">
        <v>160995395</v>
      </c>
      <c r="L15" s="14">
        <v>164451697</v>
      </c>
      <c r="M15" s="14">
        <v>178420921</v>
      </c>
      <c r="N15" s="14">
        <v>170443955</v>
      </c>
      <c r="O15" s="14">
        <v>146772545</v>
      </c>
      <c r="P15" s="14">
        <v>112926597</v>
      </c>
      <c r="Q15" s="14">
        <v>92395770</v>
      </c>
      <c r="R15" s="14">
        <v>144942481</v>
      </c>
      <c r="S15" s="14">
        <v>112946309</v>
      </c>
      <c r="T15" s="14">
        <v>203715505</v>
      </c>
      <c r="U15" s="14">
        <v>162583369</v>
      </c>
      <c r="V15" s="14">
        <v>280578279</v>
      </c>
      <c r="W15" s="14">
        <v>215624058</v>
      </c>
      <c r="X15" s="14">
        <v>219366011</v>
      </c>
      <c r="Y15" s="14">
        <v>231890562</v>
      </c>
      <c r="Z15" s="14">
        <v>256308230</v>
      </c>
      <c r="AA15" s="14">
        <v>263761631</v>
      </c>
      <c r="AB15" s="14">
        <v>256193542</v>
      </c>
      <c r="AC15" s="14">
        <v>352498211</v>
      </c>
      <c r="AD15" s="14">
        <v>279335970</v>
      </c>
      <c r="AE15" s="14">
        <v>316719998</v>
      </c>
      <c r="AF15" s="14">
        <v>313644325</v>
      </c>
      <c r="AG15" s="14">
        <v>314893729</v>
      </c>
      <c r="AH15" s="14">
        <v>171041154</v>
      </c>
      <c r="AI15" s="14">
        <v>106732861</v>
      </c>
      <c r="AJ15" s="14">
        <v>216653690</v>
      </c>
      <c r="AK15" s="14">
        <v>175450114</v>
      </c>
      <c r="AL15" s="14">
        <v>150767254</v>
      </c>
      <c r="AM15" s="14">
        <v>113915370</v>
      </c>
      <c r="AN15" s="14">
        <v>131931037</v>
      </c>
      <c r="AO15" s="14">
        <v>141040749</v>
      </c>
      <c r="AP15" s="14">
        <v>159030184</v>
      </c>
      <c r="AQ15" s="14">
        <v>164620496</v>
      </c>
      <c r="AR15" s="14">
        <v>144231512</v>
      </c>
      <c r="AS15" s="14">
        <v>279322748</v>
      </c>
      <c r="AT15" s="14">
        <v>159221608</v>
      </c>
      <c r="AU15" s="14">
        <v>104655178</v>
      </c>
      <c r="AV15" s="14">
        <v>115295655</v>
      </c>
      <c r="AW15" s="38">
        <v>106050997</v>
      </c>
      <c r="AX15" s="38">
        <v>66870820</v>
      </c>
      <c r="AY15" s="38">
        <v>76195851</v>
      </c>
      <c r="AZ15" s="38">
        <v>68152514</v>
      </c>
      <c r="BA15" s="38">
        <v>139408411</v>
      </c>
      <c r="BB15" s="38">
        <v>83156007</v>
      </c>
      <c r="BC15" s="38">
        <v>88772319</v>
      </c>
      <c r="BD15" s="38">
        <v>552891636</v>
      </c>
      <c r="BE15" s="38">
        <v>97079504</v>
      </c>
      <c r="BF15" s="38">
        <v>147069830</v>
      </c>
      <c r="BG15" s="38">
        <v>115999204</v>
      </c>
      <c r="BH15" s="38">
        <v>120706843</v>
      </c>
      <c r="BI15" s="38">
        <v>155764782</v>
      </c>
      <c r="BJ15" s="38">
        <v>142223547</v>
      </c>
      <c r="BK15" s="38">
        <v>131398532</v>
      </c>
      <c r="BL15" s="38">
        <v>129629381</v>
      </c>
      <c r="BM15" s="38">
        <v>133594277</v>
      </c>
      <c r="BN15" s="38">
        <v>218907692</v>
      </c>
      <c r="BO15" s="38">
        <v>204745721</v>
      </c>
      <c r="BP15" s="38">
        <v>227424354</v>
      </c>
      <c r="BQ15" s="38">
        <v>505125793</v>
      </c>
      <c r="BR15" s="38">
        <v>282752757</v>
      </c>
      <c r="BS15" s="38">
        <v>375736155</v>
      </c>
      <c r="BT15" s="38">
        <v>268709308</v>
      </c>
      <c r="BU15" s="38">
        <v>271909211</v>
      </c>
      <c r="BV15" s="38"/>
      <c r="BW15" s="38"/>
      <c r="BX15" s="38"/>
      <c r="BY15" s="38"/>
      <c r="BZ15" s="38"/>
      <c r="CA15" s="38"/>
      <c r="CB15" s="38"/>
      <c r="CC15" s="38"/>
    </row>
    <row r="16" spans="1:81">
      <c r="A16" s="64">
        <v>13</v>
      </c>
      <c r="B16" s="10" t="s">
        <v>95</v>
      </c>
      <c r="C16" s="9">
        <v>8</v>
      </c>
      <c r="D16" s="9">
        <f>SUM(Data_PL6[[#This Row],[T1.2021]:[T12.2021]])</f>
        <v>-1815534085</v>
      </c>
      <c r="E16" s="9">
        <f>SUM(Data_PL6[[#This Row],[T1.2022]:[T12.2022]])</f>
        <v>-4882242134</v>
      </c>
      <c r="F16" s="9">
        <f>SUM(Data_PL6[[#This Row],[T1.2023]:[T12.2023]])</f>
        <v>-4205503355</v>
      </c>
      <c r="G16" s="9">
        <f>SUM(Data_PL6[[#This Row],[T01.2024]:[T12.2024]])</f>
        <v>-3013174979</v>
      </c>
      <c r="H16" s="9">
        <f>SUM(Data_PL6[[#This Row],[T01.2025]:[T12.2025]])</f>
        <v>3282407633</v>
      </c>
      <c r="I16" s="9">
        <f>SUM(Data_PL6[[#This Row],[T01.2026]:[T12.2026]])</f>
        <v>1586680592</v>
      </c>
      <c r="J16" s="11">
        <v>-221834980</v>
      </c>
      <c r="K16" s="11">
        <v>-160938870</v>
      </c>
      <c r="L16" s="11">
        <v>-164387049</v>
      </c>
      <c r="M16" s="11">
        <v>-165856504</v>
      </c>
      <c r="N16" s="11">
        <v>-170192841</v>
      </c>
      <c r="O16" s="11">
        <v>-146704776</v>
      </c>
      <c r="P16" s="11">
        <v>-112893278</v>
      </c>
      <c r="Q16" s="11">
        <v>-92359990</v>
      </c>
      <c r="R16" s="11">
        <v>-144885177</v>
      </c>
      <c r="S16" s="11">
        <v>-111895773</v>
      </c>
      <c r="T16" s="11">
        <v>-166776764</v>
      </c>
      <c r="U16" s="11">
        <v>-156808083</v>
      </c>
      <c r="V16" s="11">
        <v>-346588617</v>
      </c>
      <c r="W16" s="11">
        <v>-332548680</v>
      </c>
      <c r="X16" s="11">
        <v>-301160879</v>
      </c>
      <c r="Y16" s="11">
        <v>-331862281</v>
      </c>
      <c r="Z16" s="11">
        <v>-328255843</v>
      </c>
      <c r="AA16" s="11">
        <v>-374330903</v>
      </c>
      <c r="AB16" s="11">
        <v>-378284669</v>
      </c>
      <c r="AC16" s="11">
        <v>-298205950</v>
      </c>
      <c r="AD16" s="11">
        <v>-422536009</v>
      </c>
      <c r="AE16" s="11">
        <v>-354469865</v>
      </c>
      <c r="AF16" s="11">
        <v>-467652344</v>
      </c>
      <c r="AG16" s="11">
        <v>-946346094</v>
      </c>
      <c r="AH16" s="11">
        <v>-1051298376</v>
      </c>
      <c r="AI16" s="11">
        <v>-533418086</v>
      </c>
      <c r="AJ16" s="11">
        <v>-734458875</v>
      </c>
      <c r="AK16" s="11">
        <v>34062634</v>
      </c>
      <c r="AL16" s="11">
        <v>-464533865</v>
      </c>
      <c r="AM16" s="11">
        <v>-185159806</v>
      </c>
      <c r="AN16" s="11">
        <v>-470228520</v>
      </c>
      <c r="AO16" s="11">
        <v>-309976666</v>
      </c>
      <c r="AP16" s="11">
        <v>-459963640</v>
      </c>
      <c r="AQ16" s="11">
        <v>-105670098</v>
      </c>
      <c r="AR16" s="11">
        <v>-438262026</v>
      </c>
      <c r="AS16" s="11">
        <v>513403969</v>
      </c>
      <c r="AT16" s="11">
        <v>-189720453</v>
      </c>
      <c r="AU16" s="11">
        <v>-170633271</v>
      </c>
      <c r="AV16" s="11">
        <v>50321786</v>
      </c>
      <c r="AW16" s="11">
        <v>-141428692</v>
      </c>
      <c r="AX16" s="11">
        <v>2058676</v>
      </c>
      <c r="AY16" s="11">
        <v>-195661702</v>
      </c>
      <c r="AZ16" s="11">
        <v>-395142169</v>
      </c>
      <c r="BA16" s="11">
        <v>-400967893</v>
      </c>
      <c r="BB16" s="11">
        <v>-307075455</v>
      </c>
      <c r="BC16" s="11">
        <v>-236792330</v>
      </c>
      <c r="BD16" s="11">
        <v>-751309219</v>
      </c>
      <c r="BE16" s="48">
        <v>-276824257</v>
      </c>
      <c r="BF16" s="48">
        <v>-460706982</v>
      </c>
      <c r="BG16" s="48">
        <v>-49880921</v>
      </c>
      <c r="BH16" s="48">
        <v>66845775</v>
      </c>
      <c r="BI16" s="48">
        <v>290833866</v>
      </c>
      <c r="BJ16" s="48">
        <v>-34811546</v>
      </c>
      <c r="BK16" s="48">
        <v>618754242</v>
      </c>
      <c r="BL16" s="48">
        <v>969442887</v>
      </c>
      <c r="BM16" s="48">
        <v>1504531335</v>
      </c>
      <c r="BN16" s="48">
        <v>-44927274</v>
      </c>
      <c r="BO16" s="48">
        <v>203950321</v>
      </c>
      <c r="BP16" s="48">
        <v>108418363</v>
      </c>
      <c r="BQ16" s="48">
        <f>+BQ9+BQ11-BQ12-BQ14-BQ15</f>
        <v>109957567</v>
      </c>
      <c r="BR16" s="48">
        <v>398888609</v>
      </c>
      <c r="BS16" s="48">
        <f>SUM(BS9:BS11)-BS12-BS14-BS15</f>
        <v>-19101819</v>
      </c>
      <c r="BT16" s="48">
        <f>SUM(BT9:BT11)-BT12-BT14-BT15</f>
        <v>709200599</v>
      </c>
      <c r="BU16" s="48">
        <f>SUM(BU9:BU11)-BU12-BU14-BU15</f>
        <v>497693203</v>
      </c>
      <c r="BV16" s="48"/>
      <c r="BW16" s="48"/>
      <c r="BX16" s="48"/>
      <c r="BY16" s="48"/>
      <c r="BZ16" s="48"/>
      <c r="CA16" s="48"/>
      <c r="CB16" s="48"/>
      <c r="CC16" s="48"/>
    </row>
    <row r="17" spans="1:81">
      <c r="A17" s="65">
        <v>14</v>
      </c>
      <c r="B17" s="13" t="s">
        <v>96</v>
      </c>
      <c r="C17" s="12">
        <v>8</v>
      </c>
      <c r="D17" s="12">
        <f>SUM(Data_PL6[[#This Row],[T1.2021]:[T12.2021]])</f>
        <v>0</v>
      </c>
      <c r="E17" s="12">
        <f>SUM(Data_PL6[[#This Row],[T1.2022]:[T12.2022]])</f>
        <v>6181097313</v>
      </c>
      <c r="F17" s="12">
        <f>SUM(Data_PL6[[#This Row],[T1.2023]:[T12.2023]])</f>
        <v>9001</v>
      </c>
      <c r="G17" s="12">
        <f>SUM(Data_PL6[[#This Row],[T01.2024]:[T12.2024]])</f>
        <v>82239351</v>
      </c>
      <c r="H17" s="12">
        <f>SUM(Data_PL6[[#This Row],[T01.2025]:[T12.2025]])</f>
        <v>129727962</v>
      </c>
      <c r="I17" s="12">
        <f>SUM(Data_PL6[[#This Row],[T01.2026]:[T12.2026]])</f>
        <v>53564051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>
        <v>500</v>
      </c>
      <c r="W17" s="14">
        <v>500</v>
      </c>
      <c r="X17" s="14"/>
      <c r="Y17" s="14">
        <v>8003</v>
      </c>
      <c r="Z17" s="14">
        <v>20000</v>
      </c>
      <c r="AA17" s="14">
        <v>310</v>
      </c>
      <c r="AB17" s="14"/>
      <c r="AC17" s="14"/>
      <c r="AD17" s="14"/>
      <c r="AE17" s="14"/>
      <c r="AF17" s="14">
        <v>2683400000</v>
      </c>
      <c r="AG17" s="14">
        <v>3497668000</v>
      </c>
      <c r="AH17" s="14">
        <v>9000</v>
      </c>
      <c r="AI17" s="14"/>
      <c r="AJ17" s="14"/>
      <c r="AK17" s="14"/>
      <c r="AL17" s="14"/>
      <c r="AM17" s="14"/>
      <c r="AN17" s="14"/>
      <c r="AO17" s="14"/>
      <c r="AP17" s="14">
        <v>1</v>
      </c>
      <c r="AQ17" s="14"/>
      <c r="AR17" s="14"/>
      <c r="AS17" s="14"/>
      <c r="AT17" s="14"/>
      <c r="AU17" s="14"/>
      <c r="AV17" s="14"/>
      <c r="AW17" s="38">
        <v>81700000</v>
      </c>
      <c r="AX17" s="38"/>
      <c r="AY17" s="38"/>
      <c r="AZ17" s="38">
        <v>539351</v>
      </c>
      <c r="BA17" s="38"/>
      <c r="BB17" s="38"/>
      <c r="BC17" s="38"/>
      <c r="BD17" s="38"/>
      <c r="BE17" s="39"/>
      <c r="BF17" s="39">
        <v>76532366</v>
      </c>
      <c r="BG17" s="39">
        <v>300</v>
      </c>
      <c r="BH17" s="39">
        <v>13680000</v>
      </c>
      <c r="BI17" s="39">
        <v>6000060</v>
      </c>
      <c r="BJ17" s="39"/>
      <c r="BK17" s="39"/>
      <c r="BL17" s="39">
        <v>70515</v>
      </c>
      <c r="BM17" s="39"/>
      <c r="BN17" s="39"/>
      <c r="BO17" s="39"/>
      <c r="BP17" s="39"/>
      <c r="BQ17" s="39">
        <v>33444721</v>
      </c>
      <c r="BR17" s="39">
        <v>32987038</v>
      </c>
      <c r="BS17" s="39">
        <v>2504914</v>
      </c>
      <c r="BT17" s="39">
        <v>4888889</v>
      </c>
      <c r="BU17" s="39">
        <v>13183210</v>
      </c>
      <c r="BV17" s="39"/>
      <c r="BW17" s="39"/>
      <c r="BX17" s="39"/>
      <c r="BY17" s="39"/>
      <c r="BZ17" s="39"/>
      <c r="CA17" s="39"/>
      <c r="CB17" s="39"/>
      <c r="CC17" s="39"/>
    </row>
    <row r="18" spans="1:81">
      <c r="A18" s="65">
        <v>15</v>
      </c>
      <c r="B18" s="13" t="s">
        <v>97</v>
      </c>
      <c r="C18" s="12">
        <v>8</v>
      </c>
      <c r="D18" s="12">
        <f>SUM(Data_PL6[[#This Row],[T1.2021]:[T12.2021]])</f>
        <v>385614178</v>
      </c>
      <c r="E18" s="12">
        <f>SUM(Data_PL6[[#This Row],[T1.2022]:[T12.2022]])</f>
        <v>6801835760</v>
      </c>
      <c r="F18" s="12">
        <f>SUM(Data_PL6[[#This Row],[T1.2023]:[T12.2023]])</f>
        <v>90513</v>
      </c>
      <c r="G18" s="12">
        <f>SUM(Data_PL6[[#This Row],[T01.2024]:[T12.2024]])</f>
        <v>222311651</v>
      </c>
      <c r="H18" s="12">
        <f>SUM(Data_PL6[[#This Row],[T01.2025]:[T12.2025]])</f>
        <v>42387675</v>
      </c>
      <c r="I18" s="12">
        <f>SUM(Data_PL6[[#This Row],[T01.2026]:[T12.2026]])</f>
        <v>22020396</v>
      </c>
      <c r="J18" s="14"/>
      <c r="K18" s="14">
        <v>2500000</v>
      </c>
      <c r="L18" s="14">
        <v>800000</v>
      </c>
      <c r="M18" s="14"/>
      <c r="N18" s="14"/>
      <c r="O18" s="14"/>
      <c r="P18" s="14"/>
      <c r="Q18" s="14"/>
      <c r="R18" s="14"/>
      <c r="S18" s="14"/>
      <c r="T18" s="14"/>
      <c r="U18" s="14">
        <v>382314178</v>
      </c>
      <c r="V18" s="14"/>
      <c r="W18" s="14"/>
      <c r="X18" s="14"/>
      <c r="Y18" s="14"/>
      <c r="Z18" s="14">
        <v>46</v>
      </c>
      <c r="AA18" s="14"/>
      <c r="AB18" s="14"/>
      <c r="AC18" s="14"/>
      <c r="AD18" s="14"/>
      <c r="AE18" s="14">
        <v>2428</v>
      </c>
      <c r="AF18" s="14">
        <v>3077644948</v>
      </c>
      <c r="AG18" s="14">
        <v>3724188338</v>
      </c>
      <c r="AH18" s="14">
        <v>10</v>
      </c>
      <c r="AI18" s="14"/>
      <c r="AJ18" s="14"/>
      <c r="AK18" s="14"/>
      <c r="AL18" s="14">
        <v>90501</v>
      </c>
      <c r="AM18" s="14"/>
      <c r="AN18" s="14"/>
      <c r="AO18" s="14">
        <v>1</v>
      </c>
      <c r="AP18" s="14">
        <v>1</v>
      </c>
      <c r="AQ18" s="14"/>
      <c r="AR18" s="14"/>
      <c r="AS18" s="14"/>
      <c r="AT18" s="14"/>
      <c r="AU18" s="14">
        <v>4500000</v>
      </c>
      <c r="AV18" s="14"/>
      <c r="AW18" s="38">
        <v>81718690</v>
      </c>
      <c r="AX18" s="38"/>
      <c r="AY18" s="38"/>
      <c r="AZ18" s="38"/>
      <c r="BA18" s="38"/>
      <c r="BB18" s="38"/>
      <c r="BC18" s="38"/>
      <c r="BD18" s="38">
        <v>136092961</v>
      </c>
      <c r="BE18" s="39"/>
      <c r="BF18" s="39">
        <v>36339675</v>
      </c>
      <c r="BG18" s="39"/>
      <c r="BH18" s="39"/>
      <c r="BI18" s="39">
        <v>6000000</v>
      </c>
      <c r="BJ18" s="39"/>
      <c r="BK18" s="39"/>
      <c r="BL18" s="39"/>
      <c r="BM18" s="39"/>
      <c r="BN18" s="39"/>
      <c r="BO18" s="39"/>
      <c r="BP18" s="39"/>
      <c r="BQ18" s="39">
        <v>48000</v>
      </c>
      <c r="BR18" s="39">
        <v>0</v>
      </c>
      <c r="BS18" s="39"/>
      <c r="BT18" s="39">
        <v>450</v>
      </c>
      <c r="BU18" s="39">
        <v>22019946</v>
      </c>
      <c r="BV18" s="39"/>
      <c r="BW18" s="39"/>
      <c r="BX18" s="39"/>
      <c r="BY18" s="39"/>
      <c r="BZ18" s="39"/>
      <c r="CA18" s="39"/>
      <c r="CB18" s="39"/>
      <c r="CC18" s="39"/>
    </row>
    <row r="19" spans="1:81">
      <c r="A19" s="64">
        <v>16</v>
      </c>
      <c r="B19" s="10" t="s">
        <v>98</v>
      </c>
      <c r="C19" s="9">
        <v>8</v>
      </c>
      <c r="D19" s="9">
        <f>SUM(Data_PL6[[#This Row],[T1.2021]:[T12.2021]])</f>
        <v>-385614178</v>
      </c>
      <c r="E19" s="9">
        <f>SUM(Data_PL6[[#This Row],[T1.2022]:[T12.2022]])</f>
        <v>-620738447</v>
      </c>
      <c r="F19" s="9">
        <f>SUM(Data_PL6[[#This Row],[T1.2023]:[T12.2023]])</f>
        <v>-81512</v>
      </c>
      <c r="G19" s="9">
        <f>SUM(Data_PL6[[#This Row],[T01.2024]:[T12.2024]])</f>
        <v>-140072300</v>
      </c>
      <c r="H19" s="9">
        <f>SUM(Data_PL6[[#This Row],[T01.2025]:[T12.2025]])</f>
        <v>87340287</v>
      </c>
      <c r="I19" s="9">
        <f>SUM(Data_PL6[[#This Row],[T01.2026]:[T12.2026]])</f>
        <v>31543655</v>
      </c>
      <c r="J19" s="11">
        <v>0</v>
      </c>
      <c r="K19" s="11">
        <v>-2500000</v>
      </c>
      <c r="L19" s="11">
        <v>-800000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-382314178</v>
      </c>
      <c r="V19" s="11">
        <v>500</v>
      </c>
      <c r="W19" s="11">
        <v>500</v>
      </c>
      <c r="X19" s="11">
        <v>0</v>
      </c>
      <c r="Y19" s="11">
        <v>8003</v>
      </c>
      <c r="Z19" s="11">
        <v>19954</v>
      </c>
      <c r="AA19" s="11">
        <v>310</v>
      </c>
      <c r="AB19" s="11">
        <v>0</v>
      </c>
      <c r="AC19" s="11">
        <v>0</v>
      </c>
      <c r="AD19" s="11">
        <v>0</v>
      </c>
      <c r="AE19" s="11">
        <v>-2428</v>
      </c>
      <c r="AF19" s="11">
        <v>-394244948</v>
      </c>
      <c r="AG19" s="11">
        <v>-226520338</v>
      </c>
      <c r="AH19" s="11">
        <v>8990</v>
      </c>
      <c r="AI19" s="11">
        <v>0</v>
      </c>
      <c r="AJ19" s="11">
        <v>0</v>
      </c>
      <c r="AK19" s="11">
        <v>0</v>
      </c>
      <c r="AL19" s="11">
        <v>-90501</v>
      </c>
      <c r="AM19" s="11">
        <v>0</v>
      </c>
      <c r="AN19" s="11">
        <v>0</v>
      </c>
      <c r="AO19" s="11">
        <v>-1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-4500000</v>
      </c>
      <c r="AV19" s="11">
        <v>0</v>
      </c>
      <c r="AW19" s="11">
        <v>-18690</v>
      </c>
      <c r="AX19" s="11">
        <v>0</v>
      </c>
      <c r="AY19" s="11">
        <v>0</v>
      </c>
      <c r="AZ19" s="11">
        <v>539351</v>
      </c>
      <c r="BA19" s="11">
        <v>0</v>
      </c>
      <c r="BB19" s="11">
        <v>0</v>
      </c>
      <c r="BC19" s="11">
        <v>0</v>
      </c>
      <c r="BD19" s="11">
        <v>-136092961</v>
      </c>
      <c r="BE19" s="48">
        <v>0</v>
      </c>
      <c r="BF19" s="48">
        <v>40192691</v>
      </c>
      <c r="BG19" s="48">
        <v>300</v>
      </c>
      <c r="BH19" s="48">
        <v>13680000</v>
      </c>
      <c r="BI19" s="48">
        <v>60</v>
      </c>
      <c r="BJ19" s="48">
        <v>0</v>
      </c>
      <c r="BK19" s="48">
        <v>0</v>
      </c>
      <c r="BL19" s="48">
        <v>70515</v>
      </c>
      <c r="BM19" s="48">
        <v>0</v>
      </c>
      <c r="BN19" s="48">
        <v>0</v>
      </c>
      <c r="BO19" s="48">
        <v>0</v>
      </c>
      <c r="BP19" s="48">
        <v>0</v>
      </c>
      <c r="BQ19" s="48">
        <v>33396721</v>
      </c>
      <c r="BR19" s="48">
        <v>32987038</v>
      </c>
      <c r="BS19" s="48">
        <f>BS17-BS18</f>
        <v>2504914</v>
      </c>
      <c r="BT19" s="48">
        <f>BT17-BT18</f>
        <v>4888439</v>
      </c>
      <c r="BU19" s="48">
        <f>BU17-BU18</f>
        <v>-8836736</v>
      </c>
      <c r="BV19" s="48"/>
      <c r="BW19" s="48"/>
      <c r="BX19" s="48"/>
      <c r="BY19" s="48"/>
      <c r="BZ19" s="48"/>
      <c r="CA19" s="48"/>
      <c r="CB19" s="48"/>
      <c r="CC19" s="48"/>
    </row>
    <row r="20" spans="1:81">
      <c r="A20" s="66">
        <v>17</v>
      </c>
      <c r="B20" s="10" t="s">
        <v>99</v>
      </c>
      <c r="C20" s="15">
        <v>8</v>
      </c>
      <c r="D20" s="15">
        <f>SUM(Data_PL6[[#This Row],[T1.2021]:[T12.2021]])</f>
        <v>-2201148263</v>
      </c>
      <c r="E20" s="15">
        <f>SUM(Data_PL6[[#This Row],[T1.2022]:[T12.2022]])</f>
        <v>-5502980581</v>
      </c>
      <c r="F20" s="15">
        <f>SUM(Data_PL6[[#This Row],[T1.2023]:[T12.2023]])</f>
        <v>-4205584867</v>
      </c>
      <c r="G20" s="15">
        <f>SUM(Data_PL6[[#This Row],[T01.2024]:[T12.2024]])</f>
        <v>-3153247279</v>
      </c>
      <c r="H20" s="15">
        <f>SUM(Data_PL6[[#This Row],[T01.2025]:[T12.2025]])</f>
        <v>3369747920</v>
      </c>
      <c r="I20" s="15">
        <f>SUM(Data_PL6[[#This Row],[T01.2026]:[T12.2026]])</f>
        <v>1618224247</v>
      </c>
      <c r="J20" s="16">
        <v>-221834980</v>
      </c>
      <c r="K20" s="16">
        <v>-163438870</v>
      </c>
      <c r="L20" s="16">
        <v>-165187049</v>
      </c>
      <c r="M20" s="16">
        <v>-165856504</v>
      </c>
      <c r="N20" s="16">
        <v>-170192841</v>
      </c>
      <c r="O20" s="16">
        <v>-146704776</v>
      </c>
      <c r="P20" s="16">
        <v>-112893278</v>
      </c>
      <c r="Q20" s="16">
        <v>-92359990</v>
      </c>
      <c r="R20" s="16">
        <v>-144885177</v>
      </c>
      <c r="S20" s="16">
        <v>-111895773</v>
      </c>
      <c r="T20" s="16">
        <v>-166776764</v>
      </c>
      <c r="U20" s="16">
        <v>-539122261</v>
      </c>
      <c r="V20" s="16">
        <v>-346588117</v>
      </c>
      <c r="W20" s="16">
        <v>-332548180</v>
      </c>
      <c r="X20" s="16">
        <v>-301160879</v>
      </c>
      <c r="Y20" s="16">
        <v>-331854278</v>
      </c>
      <c r="Z20" s="16">
        <v>-328235889</v>
      </c>
      <c r="AA20" s="16">
        <v>-374330593</v>
      </c>
      <c r="AB20" s="16">
        <v>-378284669</v>
      </c>
      <c r="AC20" s="16">
        <v>-298205950</v>
      </c>
      <c r="AD20" s="16">
        <v>-422536009</v>
      </c>
      <c r="AE20" s="16">
        <v>-354472293</v>
      </c>
      <c r="AF20" s="16">
        <v>-861897292</v>
      </c>
      <c r="AG20" s="16">
        <v>-1172866432</v>
      </c>
      <c r="AH20" s="16">
        <v>-1051289386</v>
      </c>
      <c r="AI20" s="16">
        <v>-533418086</v>
      </c>
      <c r="AJ20" s="16">
        <v>-734458875</v>
      </c>
      <c r="AK20" s="16">
        <v>34062634</v>
      </c>
      <c r="AL20" s="16">
        <v>-464624366</v>
      </c>
      <c r="AM20" s="16">
        <v>-185159806</v>
      </c>
      <c r="AN20" s="16">
        <v>-470228520</v>
      </c>
      <c r="AO20" s="16">
        <v>-309976667</v>
      </c>
      <c r="AP20" s="16">
        <v>-459963640</v>
      </c>
      <c r="AQ20" s="16">
        <v>-105670098</v>
      </c>
      <c r="AR20" s="16">
        <v>-438262026</v>
      </c>
      <c r="AS20" s="16">
        <v>513403969</v>
      </c>
      <c r="AT20" s="16">
        <v>-189720453</v>
      </c>
      <c r="AU20" s="16">
        <v>-175133271</v>
      </c>
      <c r="AV20" s="16">
        <v>50321786</v>
      </c>
      <c r="AW20" s="16">
        <v>-141447382</v>
      </c>
      <c r="AX20" s="16">
        <v>2058676</v>
      </c>
      <c r="AY20" s="16">
        <v>-195661702</v>
      </c>
      <c r="AZ20" s="16">
        <v>-394602818</v>
      </c>
      <c r="BA20" s="16">
        <v>-400967893</v>
      </c>
      <c r="BB20" s="16">
        <v>-307075455</v>
      </c>
      <c r="BC20" s="16">
        <v>-236792330</v>
      </c>
      <c r="BD20" s="16">
        <v>-887402180</v>
      </c>
      <c r="BE20" s="42">
        <v>-276824257</v>
      </c>
      <c r="BF20" s="42">
        <v>-420514291</v>
      </c>
      <c r="BG20" s="42">
        <v>-49880621</v>
      </c>
      <c r="BH20" s="42">
        <v>80525775</v>
      </c>
      <c r="BI20" s="42">
        <v>290833926</v>
      </c>
      <c r="BJ20" s="42">
        <v>-34811546</v>
      </c>
      <c r="BK20" s="42">
        <v>618754242</v>
      </c>
      <c r="BL20" s="42">
        <v>969513402</v>
      </c>
      <c r="BM20" s="42">
        <v>1504531335</v>
      </c>
      <c r="BN20" s="42">
        <v>-44927274</v>
      </c>
      <c r="BO20" s="42">
        <v>203950321</v>
      </c>
      <c r="BP20" s="42">
        <v>108418363</v>
      </c>
      <c r="BQ20" s="42">
        <v>143354288</v>
      </c>
      <c r="BR20" s="42">
        <v>431875647</v>
      </c>
      <c r="BS20" s="42">
        <f>BS16+BS19</f>
        <v>-16596905</v>
      </c>
      <c r="BT20" s="42">
        <f>BT16+BT19</f>
        <v>714089038</v>
      </c>
      <c r="BU20" s="42">
        <f>BU16+BU19</f>
        <v>488856467</v>
      </c>
      <c r="BV20" s="42"/>
      <c r="BW20" s="42"/>
      <c r="BX20" s="42"/>
      <c r="BY20" s="42"/>
      <c r="BZ20" s="42"/>
      <c r="CA20" s="42"/>
      <c r="CB20" s="42"/>
      <c r="CC20" s="42"/>
    </row>
    <row r="21" spans="1:81">
      <c r="A21" s="68">
        <v>18</v>
      </c>
      <c r="B21" s="22" t="s">
        <v>100</v>
      </c>
      <c r="C21" s="12">
        <v>8</v>
      </c>
      <c r="D21" s="12">
        <f>SUM(Data_PL6[[#This Row],[T1.2021]:[T12.2021]])</f>
        <v>0</v>
      </c>
      <c r="E21" s="12">
        <f>SUM(Data_PL6[[#This Row],[T1.2022]:[T12.2022]])</f>
        <v>0</v>
      </c>
      <c r="F21" s="12">
        <f>SUM(Data_PL6[[#This Row],[T1.2023]:[T12.2023]])</f>
        <v>0</v>
      </c>
      <c r="G21" s="12">
        <f>SUM(Data_PL6[[#This Row],[T01.2024]:[T12.2024]])</f>
        <v>0</v>
      </c>
      <c r="H21" s="12">
        <f>SUM(Data_PL6[[#This Row],[T01.2025]:[T12.2025]])</f>
        <v>0</v>
      </c>
      <c r="I21" s="12">
        <f>SUM(Data_PL6[[#This Row],[T01.2026]:[T12.2026]])</f>
        <v>0</v>
      </c>
      <c r="J21" s="50">
        <v>0</v>
      </c>
      <c r="K21" s="50">
        <v>0</v>
      </c>
      <c r="L21" s="50"/>
      <c r="M21" s="50"/>
      <c r="N21" s="50"/>
      <c r="O21" s="50"/>
      <c r="P21" s="50"/>
      <c r="Q21" s="50">
        <v>0</v>
      </c>
      <c r="R21" s="50"/>
      <c r="S21" s="50"/>
      <c r="T21" s="50"/>
      <c r="U21" s="50"/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/>
      <c r="AH21" s="50">
        <v>0</v>
      </c>
      <c r="AI21" s="50">
        <v>0</v>
      </c>
      <c r="AJ21" s="50"/>
      <c r="AK21" s="50"/>
      <c r="AL21" s="50"/>
      <c r="AM21" s="50"/>
      <c r="AN21" s="50"/>
      <c r="AO21" s="50">
        <v>0</v>
      </c>
      <c r="AP21" s="50"/>
      <c r="AQ21" s="50"/>
      <c r="AR21" s="50"/>
      <c r="AS21" s="50"/>
      <c r="AT21" s="14">
        <v>0</v>
      </c>
      <c r="AU21" s="50">
        <v>0</v>
      </c>
      <c r="AV21" s="50"/>
      <c r="AW21" s="50"/>
      <c r="AX21" s="50"/>
      <c r="AY21" s="50"/>
      <c r="AZ21" s="50"/>
      <c r="BA21" s="50">
        <v>0</v>
      </c>
      <c r="BB21" s="50"/>
      <c r="BC21" s="50"/>
      <c r="BD21" s="50"/>
      <c r="BE21" s="51"/>
      <c r="BF21" s="51">
        <v>0</v>
      </c>
      <c r="BG21" s="51">
        <v>0</v>
      </c>
      <c r="BH21" s="51"/>
      <c r="BI21" s="51"/>
      <c r="BJ21" s="51"/>
      <c r="BK21" s="51"/>
      <c r="BL21" s="51"/>
      <c r="BM21" s="51">
        <v>0</v>
      </c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</row>
    <row r="22" spans="1:81">
      <c r="A22" s="69">
        <v>19</v>
      </c>
      <c r="B22" s="13" t="s">
        <v>101</v>
      </c>
      <c r="C22" s="12">
        <v>8</v>
      </c>
      <c r="D22" s="12">
        <f>SUM(Data_PL6[[#This Row],[T1.2021]:[T12.2021]])</f>
        <v>0</v>
      </c>
      <c r="E22" s="12">
        <f>SUM(Data_PL6[[#This Row],[T1.2022]:[T12.2022]])</f>
        <v>0</v>
      </c>
      <c r="F22" s="12">
        <f>SUM(Data_PL6[[#This Row],[T1.2023]:[T12.2023]])</f>
        <v>0</v>
      </c>
      <c r="G22" s="12">
        <f>SUM(Data_PL6[[#This Row],[T01.2024]:[T12.2024]])</f>
        <v>0</v>
      </c>
      <c r="H22" s="12">
        <f>SUM(Data_PL6[[#This Row],[T01.2025]:[T12.2025]])</f>
        <v>0</v>
      </c>
      <c r="I22" s="12">
        <f>SUM(Data_PL6[[#This Row],[T01.2026]:[T12.2026]])</f>
        <v>0</v>
      </c>
      <c r="J22" s="38">
        <v>0</v>
      </c>
      <c r="K22" s="38">
        <v>0</v>
      </c>
      <c r="L22" s="38"/>
      <c r="M22" s="38"/>
      <c r="N22" s="38"/>
      <c r="O22" s="38"/>
      <c r="P22" s="38"/>
      <c r="Q22" s="38">
        <v>0</v>
      </c>
      <c r="R22" s="38"/>
      <c r="S22" s="38"/>
      <c r="T22" s="38"/>
      <c r="U22" s="38"/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/>
      <c r="AK22" s="38"/>
      <c r="AL22" s="38"/>
      <c r="AM22" s="38"/>
      <c r="AN22" s="38"/>
      <c r="AO22" s="38">
        <v>0</v>
      </c>
      <c r="AP22" s="38"/>
      <c r="AQ22" s="38"/>
      <c r="AR22" s="38"/>
      <c r="AS22" s="38"/>
      <c r="AT22" s="14">
        <v>0</v>
      </c>
      <c r="AU22" s="38">
        <v>0</v>
      </c>
      <c r="AV22" s="38"/>
      <c r="AW22" s="38"/>
      <c r="AX22" s="38"/>
      <c r="AY22" s="38"/>
      <c r="AZ22" s="38"/>
      <c r="BA22" s="38">
        <v>0</v>
      </c>
      <c r="BB22" s="38"/>
      <c r="BC22" s="38"/>
      <c r="BD22" s="38"/>
      <c r="BE22" s="39"/>
      <c r="BF22" s="39">
        <v>0</v>
      </c>
      <c r="BG22" s="39">
        <v>0</v>
      </c>
      <c r="BH22" s="39"/>
      <c r="BI22" s="39"/>
      <c r="BJ22" s="39"/>
      <c r="BK22" s="39"/>
      <c r="BL22" s="39"/>
      <c r="BM22" s="39">
        <v>0</v>
      </c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</row>
    <row r="23" spans="1:81">
      <c r="A23" s="67">
        <v>20</v>
      </c>
      <c r="B23" s="10" t="s">
        <v>102</v>
      </c>
      <c r="C23" s="19">
        <v>8</v>
      </c>
      <c r="D23" s="19">
        <f>SUM(Data_PL6[[#This Row],[T1.2021]:[T12.2021]])</f>
        <v>-2201148263</v>
      </c>
      <c r="E23" s="19">
        <f>SUM(Data_PL6[[#This Row],[T1.2022]:[T12.2022]])</f>
        <v>-5502980581</v>
      </c>
      <c r="F23" s="19">
        <f>SUM(Data_PL6[[#This Row],[T1.2023]:[T12.2023]])</f>
        <v>-4205584867</v>
      </c>
      <c r="G23" s="19">
        <f>SUM(Data_PL6[[#This Row],[T01.2024]:[T12.2024]])</f>
        <v>-3153247279</v>
      </c>
      <c r="H23" s="19">
        <f>SUM(Data_PL6[[#This Row],[T01.2025]:[T12.2025]])</f>
        <v>3369747920</v>
      </c>
      <c r="I23" s="19">
        <f>SUM(Data_PL6[[#This Row],[T01.2026]:[T12.2026]])</f>
        <v>1618224247</v>
      </c>
      <c r="J23" s="20">
        <v>-221834980</v>
      </c>
      <c r="K23" s="20">
        <v>-163438870</v>
      </c>
      <c r="L23" s="20">
        <v>-165187049</v>
      </c>
      <c r="M23" s="20">
        <v>-165856504</v>
      </c>
      <c r="N23" s="20">
        <v>-170192841</v>
      </c>
      <c r="O23" s="20">
        <v>-146704776</v>
      </c>
      <c r="P23" s="20">
        <v>-112893278</v>
      </c>
      <c r="Q23" s="20">
        <v>-92359990</v>
      </c>
      <c r="R23" s="20">
        <v>-144885177</v>
      </c>
      <c r="S23" s="20">
        <v>-111895773</v>
      </c>
      <c r="T23" s="20">
        <v>-166776764</v>
      </c>
      <c r="U23" s="20">
        <v>-539122261</v>
      </c>
      <c r="V23" s="20">
        <v>-346588117</v>
      </c>
      <c r="W23" s="20">
        <v>-332548180</v>
      </c>
      <c r="X23" s="20">
        <v>-301160879</v>
      </c>
      <c r="Y23" s="20">
        <v>-331854278</v>
      </c>
      <c r="Z23" s="20">
        <v>-328235889</v>
      </c>
      <c r="AA23" s="20">
        <v>-374330593</v>
      </c>
      <c r="AB23" s="20">
        <v>-378284669</v>
      </c>
      <c r="AC23" s="20">
        <v>-298205950</v>
      </c>
      <c r="AD23" s="20">
        <v>-422536009</v>
      </c>
      <c r="AE23" s="20">
        <v>-354472293</v>
      </c>
      <c r="AF23" s="20">
        <v>-861897292</v>
      </c>
      <c r="AG23" s="20">
        <v>-1172866432</v>
      </c>
      <c r="AH23" s="20">
        <v>-1051289386</v>
      </c>
      <c r="AI23" s="20">
        <v>-533418086</v>
      </c>
      <c r="AJ23" s="20">
        <v>-734458875</v>
      </c>
      <c r="AK23" s="20">
        <v>34062634</v>
      </c>
      <c r="AL23" s="20">
        <v>-464624366</v>
      </c>
      <c r="AM23" s="20">
        <v>-185159806</v>
      </c>
      <c r="AN23" s="20">
        <v>-470228520</v>
      </c>
      <c r="AO23" s="20">
        <v>-309976667</v>
      </c>
      <c r="AP23" s="20">
        <v>-459963640</v>
      </c>
      <c r="AQ23" s="20">
        <v>-105670098</v>
      </c>
      <c r="AR23" s="20">
        <v>-438262026</v>
      </c>
      <c r="AS23" s="20">
        <v>513403969</v>
      </c>
      <c r="AT23" s="20">
        <v>-189720453</v>
      </c>
      <c r="AU23" s="20">
        <v>-175133271</v>
      </c>
      <c r="AV23" s="20">
        <v>50321786</v>
      </c>
      <c r="AW23" s="20">
        <v>-141447382</v>
      </c>
      <c r="AX23" s="20">
        <v>2058676</v>
      </c>
      <c r="AY23" s="20">
        <v>-195661702</v>
      </c>
      <c r="AZ23" s="20">
        <v>-394602818</v>
      </c>
      <c r="BA23" s="20">
        <v>-400967893</v>
      </c>
      <c r="BB23" s="20">
        <v>-307075455</v>
      </c>
      <c r="BC23" s="20">
        <v>-236792330</v>
      </c>
      <c r="BD23" s="20">
        <v>-887402180</v>
      </c>
      <c r="BE23" s="20">
        <v>-276824257</v>
      </c>
      <c r="BF23" s="20">
        <v>-420514291</v>
      </c>
      <c r="BG23" s="20">
        <v>-49880621</v>
      </c>
      <c r="BH23" s="20">
        <v>80525775</v>
      </c>
      <c r="BI23" s="20">
        <v>290833926</v>
      </c>
      <c r="BJ23" s="20">
        <v>-34811546</v>
      </c>
      <c r="BK23" s="20">
        <v>618754242</v>
      </c>
      <c r="BL23" s="20">
        <v>969513402</v>
      </c>
      <c r="BM23" s="20">
        <v>1504531335</v>
      </c>
      <c r="BN23" s="20">
        <v>-44927274</v>
      </c>
      <c r="BO23" s="20">
        <v>203950321</v>
      </c>
      <c r="BP23" s="20">
        <v>108418363</v>
      </c>
      <c r="BQ23" s="20">
        <v>143354288</v>
      </c>
      <c r="BR23" s="20">
        <v>431875647</v>
      </c>
      <c r="BS23" s="20">
        <f>SUM(BS20:BS22)</f>
        <v>-16596905</v>
      </c>
      <c r="BT23" s="20">
        <f>SUM(BT20:BT22)</f>
        <v>714089038</v>
      </c>
      <c r="BU23" s="20">
        <f>SUM(BU20:BU22)</f>
        <v>488856467</v>
      </c>
      <c r="BV23" s="20"/>
      <c r="BW23" s="20"/>
      <c r="BX23" s="20"/>
      <c r="BY23" s="20"/>
      <c r="BZ23" s="20"/>
      <c r="CA23" s="20"/>
      <c r="CB23" s="20"/>
      <c r="CC23" s="20"/>
    </row>
    <row r="24" spans="1:81">
      <c r="A24" s="80"/>
      <c r="B24" s="72" t="s">
        <v>109</v>
      </c>
      <c r="D24" s="83">
        <f>D23/D7</f>
        <v>-1.4399408966907195</v>
      </c>
      <c r="E24" s="83">
        <f t="shared" ref="E24:I24" si="0">E23/E7</f>
        <v>-0.36563718377406168</v>
      </c>
      <c r="F24" s="83">
        <f t="shared" si="0"/>
        <v>-9.4545739403307877E-2</v>
      </c>
      <c r="G24" s="83">
        <f t="shared" si="0"/>
        <v>-4.930766708317328E-2</v>
      </c>
      <c r="H24" s="83">
        <f t="shared" si="0"/>
        <v>3.5034134202622635E-2</v>
      </c>
      <c r="I24" s="83">
        <f t="shared" si="0"/>
        <v>5.6693624870924816E-2</v>
      </c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</row>
  </sheetData>
  <protectedRanges>
    <protectedRange sqref="J4:CC23" name="PL"/>
  </protectedRanges>
  <phoneticPr fontId="2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699C-BEE7-4DD9-8B44-657E4E7C60F2}">
  <sheetPr>
    <tabColor rgb="FF002060"/>
  </sheetPr>
  <dimension ref="A1:AU163"/>
  <sheetViews>
    <sheetView workbookViewId="0">
      <selection activeCell="N5" sqref="N5"/>
    </sheetView>
  </sheetViews>
  <sheetFormatPr defaultColWidth="9.1796875" defaultRowHeight="16.5" outlineLevelRow="1" outlineLevelCol="1"/>
  <cols>
    <col min="1" max="1" width="1.1796875" style="84" customWidth="1"/>
    <col min="2" max="4" width="2.1796875" style="84" customWidth="1"/>
    <col min="5" max="5" width="10.26953125" style="84" customWidth="1"/>
    <col min="6" max="6" width="28.81640625" style="84" customWidth="1" collapsed="1"/>
    <col min="7" max="10" width="7.7265625" style="84" hidden="1" customWidth="1" outlineLevel="1"/>
    <col min="11" max="12" width="7.7265625" style="86" hidden="1" customWidth="1" outlineLevel="1"/>
    <col min="13" max="13" width="10.54296875" style="86" hidden="1" customWidth="1"/>
    <col min="14" max="14" width="13.26953125" style="86" customWidth="1" collapsed="1"/>
    <col min="15" max="15" width="12.1796875" style="86" hidden="1" customWidth="1" outlineLevel="1"/>
    <col min="16" max="16" width="12.453125" style="86" hidden="1" customWidth="1" outlineLevel="1"/>
    <col min="17" max="17" width="14.54296875" style="86" customWidth="1" collapsed="1"/>
    <col min="18" max="18" width="14.54296875" style="86" bestFit="1" customWidth="1"/>
    <col min="19" max="19" width="17.7265625" style="86" customWidth="1"/>
    <col min="20" max="31" width="12.1796875" style="86" customWidth="1" outlineLevel="1"/>
    <col min="32" max="32" width="1" style="86" hidden="1" customWidth="1"/>
    <col min="33" max="36" width="11.453125" style="86" hidden="1" customWidth="1"/>
    <col min="37" max="37" width="12.1796875" style="86" hidden="1" customWidth="1"/>
    <col min="38" max="38" width="1.7265625" style="84" customWidth="1"/>
    <col min="39" max="40" width="10.1796875" style="84" customWidth="1"/>
    <col min="41" max="41" width="17" style="84" customWidth="1"/>
    <col min="42" max="43" width="10.1796875" style="84" customWidth="1"/>
    <col min="44" max="45" width="9.7265625" style="84" bestFit="1" customWidth="1"/>
    <col min="46" max="16384" width="9.1796875" style="84"/>
  </cols>
  <sheetData>
    <row r="1" spans="2:47" ht="20.25" customHeight="1">
      <c r="B1" s="84" t="str">
        <f>[1]Overview!C2</f>
        <v>VN</v>
      </c>
      <c r="F1" s="85"/>
      <c r="N1" s="470"/>
      <c r="O1" s="470"/>
      <c r="P1" s="470"/>
      <c r="Q1" s="470"/>
      <c r="R1" s="89"/>
      <c r="S1" s="90"/>
      <c r="T1" s="89"/>
      <c r="U1" s="89"/>
      <c r="V1" s="91"/>
      <c r="W1" s="91"/>
      <c r="X1" s="89"/>
      <c r="Y1" s="89"/>
      <c r="Z1" s="89"/>
      <c r="AA1" s="89"/>
      <c r="AB1" s="89"/>
      <c r="AC1" s="89"/>
      <c r="AD1" s="89"/>
      <c r="AE1" s="89"/>
      <c r="AF1" s="90"/>
      <c r="AG1" s="92"/>
      <c r="AH1" s="93"/>
      <c r="AI1" s="92"/>
      <c r="AJ1" s="93"/>
      <c r="AK1" s="93"/>
      <c r="AO1" s="468">
        <f>R15+R24+R44</f>
        <v>17709578979.384613</v>
      </c>
      <c r="AU1" s="468">
        <f>R15+R24+R44</f>
        <v>17709578979.384613</v>
      </c>
    </row>
    <row r="2" spans="2:47" ht="30" customHeight="1">
      <c r="B2" s="94" t="str">
        <f>IF(B1="EN", "FINANCIAL STATEMENT", "BÁO CÁO TÀI CHÍNH")</f>
        <v>BÁO CÁO TÀI CHÍNH</v>
      </c>
      <c r="C2" s="95"/>
      <c r="D2" s="95"/>
      <c r="E2" s="96"/>
      <c r="F2" s="97"/>
      <c r="G2" s="98"/>
      <c r="H2" s="98"/>
      <c r="I2" s="98"/>
      <c r="J2" s="99"/>
      <c r="K2" s="100"/>
      <c r="L2" s="100"/>
      <c r="M2" s="100"/>
      <c r="N2" s="101">
        <v>2023</v>
      </c>
      <c r="O2" s="101">
        <v>2024</v>
      </c>
      <c r="P2" s="102" t="s">
        <v>110</v>
      </c>
      <c r="Q2" s="103" t="str">
        <f>[1]Assumption!L3</f>
        <v>2025E</v>
      </c>
      <c r="R2" s="104" t="str">
        <f>[1]Assumption!M3</f>
        <v>2026P</v>
      </c>
      <c r="S2" s="417">
        <f>R14+R16+R17</f>
        <v>7740559838.0038204</v>
      </c>
      <c r="T2" s="104">
        <v>1</v>
      </c>
      <c r="U2" s="104">
        <v>2</v>
      </c>
      <c r="V2" s="104">
        <v>3</v>
      </c>
      <c r="W2" s="104">
        <v>4</v>
      </c>
      <c r="X2" s="104">
        <v>5</v>
      </c>
      <c r="Y2" s="104">
        <v>6</v>
      </c>
      <c r="Z2" s="104">
        <v>7</v>
      </c>
      <c r="AA2" s="104">
        <v>8</v>
      </c>
      <c r="AB2" s="104">
        <v>9</v>
      </c>
      <c r="AC2" s="104">
        <v>10</v>
      </c>
      <c r="AD2" s="104">
        <v>11</v>
      </c>
      <c r="AE2" s="104">
        <v>12</v>
      </c>
      <c r="AF2" s="105"/>
      <c r="AG2" s="106" t="str">
        <f>[1]Assumption!N3</f>
        <v>2025 MTP</v>
      </c>
      <c r="AH2" s="106" t="str">
        <f>[1]Assumption!O3</f>
        <v>2026 MTP</v>
      </c>
      <c r="AI2" s="106" t="str">
        <f>[1]Assumption!P3</f>
        <v>2027 MTP</v>
      </c>
      <c r="AJ2" s="106" t="str">
        <f>[1]Assumption!Q3</f>
        <v>2028 MTP</v>
      </c>
      <c r="AK2" s="106" t="str">
        <f>[1]Assumption!R3</f>
        <v>2029 MTP</v>
      </c>
      <c r="AL2" s="107"/>
    </row>
    <row r="3" spans="2:47" s="110" customFormat="1" ht="16.399999999999999" customHeight="1">
      <c r="B3" s="108"/>
      <c r="C3" s="108"/>
      <c r="D3" s="108"/>
      <c r="E3" s="108"/>
      <c r="F3" s="108"/>
      <c r="G3" s="108"/>
      <c r="H3" s="108"/>
      <c r="I3" s="108"/>
      <c r="J3" s="108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8"/>
    </row>
    <row r="4" spans="2:47">
      <c r="B4" s="111" t="str">
        <f>IF(B1="EN", "INCOME STATEMENT", "KẾT QUẢ KINH DOANH")</f>
        <v>KẾT QUẢ KINH DOANH</v>
      </c>
      <c r="C4" s="112"/>
      <c r="D4" s="112"/>
      <c r="E4" s="112"/>
      <c r="F4" s="113"/>
      <c r="G4" s="114"/>
      <c r="H4" s="114"/>
      <c r="I4" s="114"/>
      <c r="J4" s="115"/>
      <c r="K4" s="101"/>
      <c r="L4" s="101"/>
      <c r="M4" s="101"/>
      <c r="N4" s="101">
        <f t="shared" ref="N4:AK4" si="0">N2</f>
        <v>2023</v>
      </c>
      <c r="O4" s="101">
        <f t="shared" si="0"/>
        <v>2024</v>
      </c>
      <c r="P4" s="102" t="str">
        <f>P2</f>
        <v>2025P</v>
      </c>
      <c r="Q4" s="103" t="str">
        <f>Q2</f>
        <v>2025E</v>
      </c>
      <c r="R4" s="104" t="str">
        <f>R2</f>
        <v>2026P</v>
      </c>
      <c r="S4" s="105"/>
      <c r="T4" s="104">
        <f>T2</f>
        <v>1</v>
      </c>
      <c r="U4" s="104">
        <f t="shared" ref="U4:AE4" si="1">U2</f>
        <v>2</v>
      </c>
      <c r="V4" s="104">
        <f t="shared" si="1"/>
        <v>3</v>
      </c>
      <c r="W4" s="104">
        <f t="shared" si="1"/>
        <v>4</v>
      </c>
      <c r="X4" s="104">
        <f t="shared" si="1"/>
        <v>5</v>
      </c>
      <c r="Y4" s="104">
        <f t="shared" si="1"/>
        <v>6</v>
      </c>
      <c r="Z4" s="104">
        <f t="shared" si="1"/>
        <v>7</v>
      </c>
      <c r="AA4" s="104">
        <f t="shared" si="1"/>
        <v>8</v>
      </c>
      <c r="AB4" s="104">
        <f t="shared" si="1"/>
        <v>9</v>
      </c>
      <c r="AC4" s="104">
        <f t="shared" si="1"/>
        <v>10</v>
      </c>
      <c r="AD4" s="104">
        <f t="shared" si="1"/>
        <v>11</v>
      </c>
      <c r="AE4" s="104">
        <f t="shared" si="1"/>
        <v>12</v>
      </c>
      <c r="AF4" s="105"/>
      <c r="AG4" s="106" t="str">
        <f t="shared" si="0"/>
        <v>2025 MTP</v>
      </c>
      <c r="AH4" s="106" t="str">
        <f t="shared" si="0"/>
        <v>2026 MTP</v>
      </c>
      <c r="AI4" s="106" t="str">
        <f t="shared" si="0"/>
        <v>2027 MTP</v>
      </c>
      <c r="AJ4" s="106" t="str">
        <f t="shared" si="0"/>
        <v>2028 MTP</v>
      </c>
      <c r="AK4" s="106" t="str">
        <f t="shared" si="0"/>
        <v>2029 MTP</v>
      </c>
      <c r="AL4" s="116"/>
      <c r="AM4" s="196"/>
    </row>
    <row r="5" spans="2:47" s="125" customFormat="1">
      <c r="B5" s="117" t="str">
        <f>IF(B1="EN","SALES VOLUME (Ton)","SẢN LƯỢNG BÁN")</f>
        <v>SẢN LƯỢNG BÁN</v>
      </c>
      <c r="C5" s="118"/>
      <c r="D5" s="118"/>
      <c r="E5" s="118"/>
      <c r="F5" s="119"/>
      <c r="G5" s="120"/>
      <c r="H5" s="120"/>
      <c r="I5" s="120"/>
      <c r="J5" s="120"/>
      <c r="K5" s="121"/>
      <c r="L5" s="121"/>
      <c r="M5" s="121"/>
      <c r="N5" s="122">
        <f>'[1]Net Sales'!F7</f>
        <v>4773663.5</v>
      </c>
      <c r="O5" s="122">
        <f>'[1]Net Sales'!G7</f>
        <v>6939751</v>
      </c>
      <c r="P5" s="122">
        <f>'[1]Net Sales'!H7</f>
        <v>9455737.7000000011</v>
      </c>
      <c r="Q5" s="122">
        <f>'[1]Net Sales'!I7</f>
        <v>9796523</v>
      </c>
      <c r="R5" s="122">
        <f>'[1]Net Sales'!J7</f>
        <v>11700786</v>
      </c>
      <c r="S5" s="122"/>
      <c r="T5" s="122">
        <f>'[1]Net Sales'!L7</f>
        <v>760725</v>
      </c>
      <c r="U5" s="122">
        <f>'[1]Net Sales'!M7</f>
        <v>591675</v>
      </c>
      <c r="V5" s="122">
        <f>'[1]Net Sales'!N7</f>
        <v>845250</v>
      </c>
      <c r="W5" s="122">
        <f>'[1]Net Sales'!O7</f>
        <v>1055250</v>
      </c>
      <c r="X5" s="122">
        <f>'[1]Net Sales'!P7</f>
        <v>1055250</v>
      </c>
      <c r="Y5" s="122">
        <f>'[1]Net Sales'!Q7</f>
        <v>1055250</v>
      </c>
      <c r="Z5" s="122">
        <f>'[1]Net Sales'!R7</f>
        <v>1055250</v>
      </c>
      <c r="AA5" s="122">
        <f>'[1]Net Sales'!S7</f>
        <v>1055250</v>
      </c>
      <c r="AB5" s="122">
        <f>'[1]Net Sales'!T7</f>
        <v>1055250</v>
      </c>
      <c r="AC5" s="122">
        <f>'[1]Net Sales'!U7</f>
        <v>1057212</v>
      </c>
      <c r="AD5" s="122">
        <f>'[1]Net Sales'!V7</f>
        <v>1057212</v>
      </c>
      <c r="AE5" s="122">
        <f>'[1]Net Sales'!W7</f>
        <v>1057212</v>
      </c>
      <c r="AF5" s="121"/>
      <c r="AG5" s="121">
        <v>10130120727661</v>
      </c>
      <c r="AH5" s="121">
        <v>110633901989403</v>
      </c>
      <c r="AI5" s="121">
        <v>121924262276516</v>
      </c>
      <c r="AJ5" s="121">
        <v>134115064616605</v>
      </c>
      <c r="AK5" s="121">
        <v>146577496827428</v>
      </c>
      <c r="AL5" s="123"/>
      <c r="AM5" s="471"/>
      <c r="AN5" s="472"/>
      <c r="AO5" s="473"/>
    </row>
    <row r="6" spans="2:47" s="125" customFormat="1" outlineLevel="1">
      <c r="B6" s="126"/>
      <c r="C6" s="127" t="str">
        <f>IF(B1="EN", "Sales Volume Growth (%)", "Tăng giảm Sản lượng bán (%)")</f>
        <v>Tăng giảm Sản lượng bán (%)</v>
      </c>
      <c r="D6" s="128"/>
      <c r="E6" s="128"/>
      <c r="F6" s="129"/>
      <c r="G6" s="130"/>
      <c r="H6" s="130"/>
      <c r="I6" s="130"/>
      <c r="J6" s="130"/>
      <c r="K6" s="131"/>
      <c r="L6" s="131"/>
      <c r="M6" s="131"/>
      <c r="N6" s="131">
        <f>IFERROR(N5/M5-1,)</f>
        <v>0</v>
      </c>
      <c r="O6" s="131">
        <f>IFERROR(O5/N5-1,)</f>
        <v>0.45375789474896999</v>
      </c>
      <c r="P6" s="131">
        <f>IFERROR(P5/O5-1,)</f>
        <v>0.36254711444257892</v>
      </c>
      <c r="Q6" s="131">
        <f>IFERROR(Q5/O5-1,)</f>
        <v>0.41165338641112625</v>
      </c>
      <c r="R6" s="131">
        <f>IFERROR(R5/Q5-1,)</f>
        <v>0.19438151678917093</v>
      </c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>
        <v>1080898044455.17</v>
      </c>
      <c r="AH6" s="131">
        <v>9212816869308.9297</v>
      </c>
      <c r="AI6" s="131">
        <v>1020515419242.3101</v>
      </c>
      <c r="AJ6" s="131">
        <v>9998668117787.5605</v>
      </c>
      <c r="AK6" s="131">
        <v>9292343292268.4199</v>
      </c>
      <c r="AL6" s="123"/>
      <c r="AM6" s="196"/>
      <c r="AN6" s="474"/>
      <c r="AO6" s="473"/>
    </row>
    <row r="7" spans="2:47" s="141" customFormat="1" ht="17" thickBot="1">
      <c r="B7" s="132" t="str">
        <f>IF(B1="en","NET SALES","DOANH THU THUẦN")</f>
        <v>DOANH THU THUẦN</v>
      </c>
      <c r="C7" s="133"/>
      <c r="D7" s="133"/>
      <c r="E7" s="133"/>
      <c r="F7" s="134"/>
      <c r="G7" s="135"/>
      <c r="H7" s="135"/>
      <c r="I7" s="135"/>
      <c r="J7" s="135"/>
      <c r="K7" s="136"/>
      <c r="L7" s="136"/>
      <c r="M7" s="136"/>
      <c r="N7" s="137">
        <f>'[1]Net Sales'!F22</f>
        <v>68779491098</v>
      </c>
      <c r="O7" s="137">
        <f>'[1]Net Sales'!G22</f>
        <v>124696185425</v>
      </c>
      <c r="P7" s="137">
        <f>'[1]Net Sales'!H22</f>
        <v>191356244415</v>
      </c>
      <c r="Q7" s="137">
        <f>'[1]Net Sales'!I22</f>
        <v>173927684403</v>
      </c>
      <c r="R7" s="137">
        <f>'[1]Net Sales'!J22</f>
        <v>181115247500</v>
      </c>
      <c r="S7" s="138"/>
      <c r="T7" s="137">
        <f>'[1]Net Sales'!L22</f>
        <v>11515218750</v>
      </c>
      <c r="U7" s="137">
        <f>'[1]Net Sales'!M22</f>
        <v>8956281250</v>
      </c>
      <c r="V7" s="137">
        <f>'[1]Net Sales'!N22</f>
        <v>12794687500</v>
      </c>
      <c r="W7" s="137">
        <f>'[1]Net Sales'!O22</f>
        <v>15974312500</v>
      </c>
      <c r="X7" s="137">
        <f>'[1]Net Sales'!P22</f>
        <v>15974312500</v>
      </c>
      <c r="Y7" s="137">
        <f>'[1]Net Sales'!Q22</f>
        <v>15974312500</v>
      </c>
      <c r="Z7" s="137">
        <f>'[1]Net Sales'!R22</f>
        <v>15974312500</v>
      </c>
      <c r="AA7" s="137">
        <f>'[1]Net Sales'!S22</f>
        <v>15974312500</v>
      </c>
      <c r="AB7" s="137">
        <f>'[1]Net Sales'!T22</f>
        <v>15974312500</v>
      </c>
      <c r="AC7" s="137">
        <f>'[1]Net Sales'!U22</f>
        <v>17334395000</v>
      </c>
      <c r="AD7" s="137">
        <f>'[1]Net Sales'!V22</f>
        <v>17334395000</v>
      </c>
      <c r="AE7" s="137">
        <f>'[1]Net Sales'!W22</f>
        <v>17334395000</v>
      </c>
      <c r="AF7" s="121"/>
      <c r="AG7" s="136">
        <v>619122724416282</v>
      </c>
      <c r="AH7" s="136">
        <v>679579279038665</v>
      </c>
      <c r="AI7" s="136">
        <v>755559957683902</v>
      </c>
      <c r="AJ7" s="136">
        <v>838783549542362</v>
      </c>
      <c r="AK7" s="136">
        <v>925768511365268</v>
      </c>
      <c r="AL7" s="139"/>
      <c r="AM7" s="475"/>
      <c r="AN7" s="476"/>
      <c r="AO7" s="473"/>
      <c r="AP7" s="140"/>
      <c r="AQ7" s="140"/>
      <c r="AR7" s="140"/>
      <c r="AS7" s="140"/>
    </row>
    <row r="8" spans="2:47" s="125" customFormat="1" ht="17" outlineLevel="1" thickTop="1">
      <c r="B8" s="142"/>
      <c r="C8" s="125" t="str">
        <f>IF(B1="EN", "Net Sales Growth (%)", "Tăng giảm Doanh thu (%)")</f>
        <v>Tăng giảm Doanh thu (%)</v>
      </c>
      <c r="D8" s="143"/>
      <c r="E8" s="143"/>
      <c r="F8" s="129"/>
      <c r="G8" s="130"/>
      <c r="H8" s="130"/>
      <c r="I8" s="130"/>
      <c r="J8" s="130"/>
      <c r="K8" s="131"/>
      <c r="L8" s="131"/>
      <c r="M8" s="131"/>
      <c r="N8" s="131">
        <f>IFERROR(N7/M7-1,)</f>
        <v>0</v>
      </c>
      <c r="O8" s="131">
        <f>IFERROR(O7/N7-1,)</f>
        <v>0.81298499646249889</v>
      </c>
      <c r="P8" s="131">
        <f>IFERROR(P7/O7-1,)</f>
        <v>0.53457977694188163</v>
      </c>
      <c r="Q8" s="131">
        <f>IFERROR(Q7/O7-1,)</f>
        <v>0.39481158794236637</v>
      </c>
      <c r="R8" s="131">
        <f>IFERROR(R7/Q7-1,)</f>
        <v>4.1325008848769773E-2</v>
      </c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>
        <v>1063075586178.25</v>
      </c>
      <c r="AH8" s="131">
        <v>9764874109471.9102</v>
      </c>
      <c r="AI8" s="131">
        <v>1118054669835.1299</v>
      </c>
      <c r="AJ8" s="131">
        <v>1101482298156.3799</v>
      </c>
      <c r="AK8" s="131">
        <v>1037037050504.45</v>
      </c>
      <c r="AL8" s="144"/>
      <c r="AM8" s="477"/>
      <c r="AN8" s="474"/>
      <c r="AO8" s="473"/>
      <c r="AP8" s="145"/>
      <c r="AQ8" s="145"/>
      <c r="AR8" s="145"/>
      <c r="AS8" s="145"/>
    </row>
    <row r="9" spans="2:47" s="154" customFormat="1" outlineLevel="1">
      <c r="B9" s="146"/>
      <c r="C9" s="147" t="str">
        <f>IF(B1="EN", "Selling price per Ton (m VND/Ton)", "Giá bán / Tấn (Triệu đồng/Tấn)")</f>
        <v>Giá bán / Tấn (Triệu đồng/Tấn)</v>
      </c>
      <c r="D9" s="148"/>
      <c r="E9" s="148"/>
      <c r="F9" s="149"/>
      <c r="G9" s="150"/>
      <c r="H9" s="150"/>
      <c r="I9" s="150"/>
      <c r="J9" s="150"/>
      <c r="K9" s="151"/>
      <c r="L9" s="151"/>
      <c r="M9" s="151"/>
      <c r="N9" s="151">
        <f>IFERROR(N7/N5,)</f>
        <v>14408.114668744456</v>
      </c>
      <c r="O9" s="151">
        <f t="shared" ref="O9:R9" si="2">IFERROR(O7/O5,)</f>
        <v>17968.394748601211</v>
      </c>
      <c r="P9" s="151">
        <f>IFERROR(P7/P5,)</f>
        <v>20237.050824178423</v>
      </c>
      <c r="Q9" s="151">
        <f>IFERROR(Q7/Q5,)</f>
        <v>17754.02195278876</v>
      </c>
      <c r="R9" s="152">
        <f t="shared" si="2"/>
        <v>15478.895819477426</v>
      </c>
      <c r="S9" s="151"/>
      <c r="T9" s="151">
        <f>T7/T5</f>
        <v>15137.163561076604</v>
      </c>
      <c r="U9" s="151">
        <f t="shared" ref="U9:AE9" si="3">U7/U5</f>
        <v>15137.163561076604</v>
      </c>
      <c r="V9" s="151">
        <f t="shared" si="3"/>
        <v>15137.163561076604</v>
      </c>
      <c r="W9" s="151">
        <f t="shared" si="3"/>
        <v>15137.941246150202</v>
      </c>
      <c r="X9" s="151">
        <f t="shared" si="3"/>
        <v>15137.941246150202</v>
      </c>
      <c r="Y9" s="151">
        <f t="shared" si="3"/>
        <v>15137.941246150202</v>
      </c>
      <c r="Z9" s="151">
        <f t="shared" si="3"/>
        <v>15137.941246150202</v>
      </c>
      <c r="AA9" s="151">
        <f t="shared" si="3"/>
        <v>15137.941246150202</v>
      </c>
      <c r="AB9" s="151">
        <f t="shared" si="3"/>
        <v>15137.941246150202</v>
      </c>
      <c r="AC9" s="151">
        <f t="shared" si="3"/>
        <v>16396.3282671782</v>
      </c>
      <c r="AD9" s="151">
        <f t="shared" si="3"/>
        <v>16396.3282671782</v>
      </c>
      <c r="AE9" s="151">
        <f t="shared" si="3"/>
        <v>16396.3282671782</v>
      </c>
      <c r="AF9" s="151"/>
      <c r="AG9" s="151">
        <v>611170134158151</v>
      </c>
      <c r="AH9" s="151">
        <v>614259523363606</v>
      </c>
      <c r="AI9" s="151">
        <v>619696148720872</v>
      </c>
      <c r="AJ9" s="151">
        <v>62542082944984</v>
      </c>
      <c r="AK9" s="151">
        <v>631589794752203</v>
      </c>
      <c r="AL9" s="153"/>
      <c r="AM9" s="196"/>
      <c r="AN9" s="478"/>
      <c r="AO9" s="473"/>
    </row>
    <row r="10" spans="2:47">
      <c r="B10" s="155" t="str">
        <f>IF(B1="en","Direct Selling &amp; Delivery expenses","Chi phí vận chuyển")</f>
        <v>Chi phí vận chuyển</v>
      </c>
      <c r="C10" s="156"/>
      <c r="D10" s="156"/>
      <c r="E10" s="156"/>
      <c r="F10" s="157"/>
      <c r="G10" s="158"/>
      <c r="H10" s="158"/>
      <c r="I10" s="158"/>
      <c r="J10" s="158"/>
      <c r="K10" s="159"/>
      <c r="L10" s="159"/>
      <c r="M10" s="159"/>
      <c r="N10" s="160">
        <f>'[1]Direct Selling'!G14</f>
        <v>1393501600</v>
      </c>
      <c r="O10" s="160">
        <f>'[1]Direct Selling'!H14</f>
        <v>1878089700</v>
      </c>
      <c r="P10" s="160">
        <f>'[1]Direct Selling'!I14</f>
        <v>2966087138</v>
      </c>
      <c r="Q10" s="160">
        <f>'[1]Direct Selling'!J14</f>
        <v>3127900000</v>
      </c>
      <c r="R10" s="160">
        <f>'[1]Direct Selling'!K14</f>
        <v>3893696516.666667</v>
      </c>
      <c r="S10" s="160"/>
      <c r="T10" s="160">
        <f>'[1]Direct Selling'!M14</f>
        <v>259100625</v>
      </c>
      <c r="U10" s="160">
        <f>'[1]Direct Selling'!N14</f>
        <v>201522708.33333331</v>
      </c>
      <c r="V10" s="160">
        <f>'[1]Direct Selling'!O14</f>
        <v>287889583.33333331</v>
      </c>
      <c r="W10" s="160">
        <f>'[1]Direct Selling'!P14</f>
        <v>359368750</v>
      </c>
      <c r="X10" s="160">
        <f>'[1]Direct Selling'!Q14</f>
        <v>359368750</v>
      </c>
      <c r="Y10" s="160">
        <f>'[1]Direct Selling'!R14</f>
        <v>359368750</v>
      </c>
      <c r="Z10" s="160">
        <f>'[1]Direct Selling'!S14</f>
        <v>359368750</v>
      </c>
      <c r="AA10" s="160">
        <f>'[1]Direct Selling'!T14</f>
        <v>359368750</v>
      </c>
      <c r="AB10" s="160">
        <f>'[1]Direct Selling'!U14</f>
        <v>359368750</v>
      </c>
      <c r="AC10" s="160">
        <f>'[1]Direct Selling'!V14</f>
        <v>329657033.33333337</v>
      </c>
      <c r="AD10" s="160">
        <f>'[1]Direct Selling'!W14</f>
        <v>329657033.33333337</v>
      </c>
      <c r="AE10" s="160">
        <f>'[1]Direct Selling'!X14</f>
        <v>329657033.33333337</v>
      </c>
      <c r="AF10" s="159"/>
      <c r="AG10" s="161">
        <v>23786211649968</v>
      </c>
      <c r="AH10" s="161">
        <v>265853338544703</v>
      </c>
      <c r="AI10" s="161">
        <v>303991986747201</v>
      </c>
      <c r="AJ10" s="161">
        <v>346060429852807</v>
      </c>
      <c r="AK10" s="161">
        <v>391825860160892</v>
      </c>
      <c r="AL10" s="162"/>
      <c r="AM10" s="196"/>
      <c r="AN10" s="479"/>
      <c r="AO10" s="473"/>
    </row>
    <row r="11" spans="2:47" s="170" customFormat="1" hidden="1" outlineLevel="1">
      <c r="B11" s="163"/>
      <c r="C11" s="164" t="str">
        <f>IF(B1="EN", "Direct Selling on Net Sales (%)", "Chi phí vận chuyển / Doanh thu (%)")</f>
        <v>Chi phí vận chuyển / Doanh thu (%)</v>
      </c>
      <c r="D11" s="165"/>
      <c r="E11" s="165"/>
      <c r="F11" s="166"/>
      <c r="G11" s="167"/>
      <c r="H11" s="167"/>
      <c r="I11" s="167"/>
      <c r="J11" s="167"/>
      <c r="K11" s="168"/>
      <c r="L11" s="168"/>
      <c r="M11" s="168"/>
      <c r="N11" s="168">
        <f t="shared" ref="N11:O11" si="4">IFERROR(N10/N7,)</f>
        <v>2.0260423241784075E-2</v>
      </c>
      <c r="O11" s="168">
        <f t="shared" si="4"/>
        <v>1.5061324398969681E-2</v>
      </c>
      <c r="P11" s="168">
        <f>IFERROR(P10/P7,)</f>
        <v>1.5500341507368624E-2</v>
      </c>
      <c r="Q11" s="168">
        <f>IFERROR(Q10/Q7,)</f>
        <v>1.798391101874549E-2</v>
      </c>
      <c r="R11" s="168">
        <f>IFERROR(R10/R7,)</f>
        <v>2.1498446819982215E-2</v>
      </c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>
        <v>3841921918209.9902</v>
      </c>
      <c r="AH11" s="168">
        <v>3912028320239.2598</v>
      </c>
      <c r="AI11" s="168">
        <v>4023399912285.71</v>
      </c>
      <c r="AJ11" s="168">
        <v>4125741736847.5698</v>
      </c>
      <c r="AK11" s="168">
        <v>4232438837037.6802</v>
      </c>
      <c r="AL11" s="169"/>
      <c r="AM11" s="196"/>
      <c r="AN11" s="310"/>
      <c r="AO11" s="473"/>
    </row>
    <row r="12" spans="2:47" s="125" customFormat="1" collapsed="1">
      <c r="B12" s="171" t="str">
        <f>IF(B1="EN","Variable Cost of Goods Sold","Biến phí hàng bán")</f>
        <v>Biến phí hàng bán</v>
      </c>
      <c r="C12" s="172"/>
      <c r="D12" s="173"/>
      <c r="E12" s="173"/>
      <c r="F12" s="174"/>
      <c r="G12" s="175"/>
      <c r="H12" s="175"/>
      <c r="I12" s="175"/>
      <c r="J12" s="175"/>
      <c r="K12" s="175"/>
      <c r="L12" s="175"/>
      <c r="M12" s="175"/>
      <c r="N12" s="176">
        <f>SUM(N13:N18)</f>
        <v>69905016264</v>
      </c>
      <c r="O12" s="176">
        <f t="shared" ref="O12" si="5">SUM(O13:O18)</f>
        <v>111707312340.13184</v>
      </c>
      <c r="P12" s="176">
        <f>SUM(P13:P18)</f>
        <v>168783219927.75</v>
      </c>
      <c r="Q12" s="176">
        <f>SUM(Q13:Q18)</f>
        <v>154096423513.24307</v>
      </c>
      <c r="R12" s="176">
        <f>SUM(R13:R18)</f>
        <v>157137970945.38843</v>
      </c>
      <c r="S12" s="177"/>
      <c r="T12" s="176">
        <f>SUM(T13:T18)</f>
        <v>10123301450.906801</v>
      </c>
      <c r="U12" s="176">
        <f t="shared" ref="U12:AE12" si="6">SUM(U13:U18)</f>
        <v>7855839255.6069984</v>
      </c>
      <c r="V12" s="176">
        <f t="shared" si="6"/>
        <v>11256891377.152855</v>
      </c>
      <c r="W12" s="176">
        <f t="shared" si="6"/>
        <v>13866114406.52232</v>
      </c>
      <c r="X12" s="176">
        <f t="shared" si="6"/>
        <v>13877063559.714628</v>
      </c>
      <c r="Y12" s="176">
        <f t="shared" si="6"/>
        <v>13882162739.52232</v>
      </c>
      <c r="Z12" s="176">
        <f t="shared" si="6"/>
        <v>13907072918.560781</v>
      </c>
      <c r="AA12" s="176">
        <f t="shared" si="6"/>
        <v>13907187918.560781</v>
      </c>
      <c r="AB12" s="176">
        <f t="shared" si="6"/>
        <v>13842250816.599243</v>
      </c>
      <c r="AC12" s="176">
        <f t="shared" si="6"/>
        <v>14877517346.119032</v>
      </c>
      <c r="AD12" s="176">
        <f t="shared" si="6"/>
        <v>14876150322.042109</v>
      </c>
      <c r="AE12" s="176">
        <f t="shared" si="6"/>
        <v>14866418834.08057</v>
      </c>
      <c r="AF12" s="178"/>
      <c r="AG12" s="175">
        <v>339227810146679</v>
      </c>
      <c r="AH12" s="175">
        <v>37061411990251</v>
      </c>
      <c r="AI12" s="175">
        <v>409113322448425</v>
      </c>
      <c r="AJ12" s="175">
        <v>450948163056241</v>
      </c>
      <c r="AK12" s="175">
        <v>493829450753841</v>
      </c>
      <c r="AL12" s="144"/>
      <c r="AM12" s="471"/>
      <c r="AN12" s="480"/>
      <c r="AO12" s="473"/>
    </row>
    <row r="13" spans="2:47" s="125" customFormat="1" outlineLevel="1">
      <c r="B13" s="179"/>
      <c r="C13" s="180" t="str">
        <f>IF(B1="EN", "Resin cost", "Chi phí nguyên vật liệu chính")</f>
        <v>Chi phí nguyên vật liệu chính</v>
      </c>
      <c r="D13" s="181"/>
      <c r="E13" s="181"/>
      <c r="F13" s="180"/>
      <c r="G13" s="182"/>
      <c r="H13" s="183"/>
      <c r="I13" s="183"/>
      <c r="J13" s="183"/>
      <c r="K13" s="184"/>
      <c r="L13" s="184"/>
      <c r="M13" s="184"/>
      <c r="N13" s="185">
        <v>61397416940</v>
      </c>
      <c r="O13" s="185">
        <f>103487206845+1111644049</f>
        <v>104598850894</v>
      </c>
      <c r="P13" s="185">
        <v>156874560000</v>
      </c>
      <c r="Q13" s="185">
        <v>144569179803.24307</v>
      </c>
      <c r="R13" s="185">
        <f>SUM(T13:AE13)</f>
        <v>140000000000</v>
      </c>
      <c r="S13" s="185"/>
      <c r="T13" s="185">
        <f>[1]VCOGs!D$3+[1]VCOGs!D$4</f>
        <v>9000000000</v>
      </c>
      <c r="U13" s="185">
        <f>[1]VCOGs!E$3+[1]VCOGs!E$4</f>
        <v>7000000000</v>
      </c>
      <c r="V13" s="185">
        <f>[1]VCOGs!F$3+[1]VCOGs!F$4</f>
        <v>10000000000</v>
      </c>
      <c r="W13" s="185">
        <f>[1]VCOGs!G$3+[1]VCOGs!G$4</f>
        <v>12500000000</v>
      </c>
      <c r="X13" s="185">
        <f>[1]VCOGs!H$3+[1]VCOGs!H$4</f>
        <v>12500000000</v>
      </c>
      <c r="Y13" s="185">
        <f>[1]VCOGs!I$3+[1]VCOGs!I$4</f>
        <v>12500000000</v>
      </c>
      <c r="Z13" s="185">
        <f>[1]VCOGs!J$3+[1]VCOGs!J$4</f>
        <v>12500000000</v>
      </c>
      <c r="AA13" s="185">
        <f>[1]VCOGs!K$3+[1]VCOGs!K$4</f>
        <v>12500000000</v>
      </c>
      <c r="AB13" s="185">
        <f>[1]VCOGs!L$3+[1]VCOGs!L$4</f>
        <v>12500000000</v>
      </c>
      <c r="AC13" s="185">
        <f>[1]VCOGs!M$3+[1]VCOGs!M$4</f>
        <v>13000000000</v>
      </c>
      <c r="AD13" s="185">
        <f>[1]VCOGs!N$3+[1]VCOGs!N$4</f>
        <v>13000000000</v>
      </c>
      <c r="AE13" s="185">
        <f>[1]VCOGs!O$3+[1]VCOGs!O$4</f>
        <v>13000000000</v>
      </c>
      <c r="AF13" s="184"/>
      <c r="AG13" s="184">
        <v>266353933093539</v>
      </c>
      <c r="AH13" s="184">
        <v>290247645419028</v>
      </c>
      <c r="AI13" s="184">
        <v>319661230473187</v>
      </c>
      <c r="AJ13" s="184">
        <v>351550385941357</v>
      </c>
      <c r="AK13" s="184">
        <v>384067702886992</v>
      </c>
      <c r="AL13" s="186"/>
      <c r="AM13" s="471"/>
      <c r="AN13" s="481"/>
      <c r="AO13" s="473"/>
    </row>
    <row r="14" spans="2:47" s="125" customFormat="1" outlineLevel="1">
      <c r="B14" s="179"/>
      <c r="C14" s="180" t="str">
        <f>IF(B1="EN", "Sub-material cost", "Chi phí vật liệu phục vụ sản xuất")</f>
        <v>Chi phí vật liệu phục vụ sản xuất</v>
      </c>
      <c r="D14" s="181"/>
      <c r="E14" s="181"/>
      <c r="F14" s="180"/>
      <c r="G14" s="182"/>
      <c r="H14" s="182"/>
      <c r="I14" s="182"/>
      <c r="J14" s="182"/>
      <c r="K14" s="184"/>
      <c r="L14" s="184"/>
      <c r="M14" s="184"/>
      <c r="N14" s="185"/>
      <c r="O14" s="185">
        <f>165373771+85000000+146664754</f>
        <v>397038525</v>
      </c>
      <c r="P14" s="185">
        <v>1064057277.5</v>
      </c>
      <c r="Q14" s="185">
        <v>1653967539</v>
      </c>
      <c r="R14" s="185">
        <f>SUM(T14:AE14)</f>
        <v>4772021109.7440796</v>
      </c>
      <c r="S14" s="185"/>
      <c r="T14" s="185">
        <f>[1]VCOGs!D$6</f>
        <v>264703058.41379312</v>
      </c>
      <c r="U14" s="185">
        <f>[1]VCOGs!E$6</f>
        <v>205880156.54406133</v>
      </c>
      <c r="V14" s="185">
        <f>[1]VCOGs!F$6</f>
        <v>294114509.34865898</v>
      </c>
      <c r="W14" s="185">
        <f>[1]VCOGs!G$6</f>
        <v>367664190.30103999</v>
      </c>
      <c r="X14" s="185">
        <f>[1]VCOGs!H$6</f>
        <v>367664190.30103999</v>
      </c>
      <c r="Y14" s="185">
        <f>[1]VCOGs!I$6</f>
        <v>367664190.30103999</v>
      </c>
      <c r="Z14" s="185">
        <f>[1]VCOGs!J$6</f>
        <v>367664190.30103999</v>
      </c>
      <c r="AA14" s="185">
        <f>[1]VCOGs!K$6</f>
        <v>367664190.30103999</v>
      </c>
      <c r="AB14" s="185">
        <f>[1]VCOGs!L$6</f>
        <v>367664190.30103999</v>
      </c>
      <c r="AC14" s="185">
        <f>[1]VCOGs!M$6</f>
        <v>600446081.21044207</v>
      </c>
      <c r="AD14" s="185">
        <f>[1]VCOGs!N$6</f>
        <v>600446081.21044207</v>
      </c>
      <c r="AE14" s="185">
        <f>[1]VCOGs!O$6</f>
        <v>600446081.21044207</v>
      </c>
      <c r="AF14" s="184"/>
      <c r="AG14" s="184">
        <v>396087720451544</v>
      </c>
      <c r="AH14" s="184">
        <v>432578556778565</v>
      </c>
      <c r="AI14" s="184">
        <v>476723865501176</v>
      </c>
      <c r="AJ14" s="184">
        <v>524389902650926</v>
      </c>
      <c r="AK14" s="184">
        <v>573118012595242</v>
      </c>
      <c r="AL14" s="186"/>
      <c r="AM14" s="471"/>
      <c r="AN14" s="481"/>
      <c r="AO14" s="473"/>
    </row>
    <row r="15" spans="2:47" s="125" customFormat="1" outlineLevel="1">
      <c r="B15" s="179"/>
      <c r="C15" s="180" t="str">
        <f>IF(B1="EN", "Salary and Wages - Direct", "Chi phí lương nhân công trực tiếp")</f>
        <v>Chi phí lương nhân công trực tiếp</v>
      </c>
      <c r="D15" s="181"/>
      <c r="E15" s="181"/>
      <c r="F15" s="180"/>
      <c r="G15" s="182"/>
      <c r="H15" s="182"/>
      <c r="I15" s="182"/>
      <c r="J15" s="182"/>
      <c r="K15" s="184"/>
      <c r="L15" s="184"/>
      <c r="M15" s="184"/>
      <c r="N15" s="185">
        <v>7382446484</v>
      </c>
      <c r="O15" s="185">
        <v>4522557535.1318388</v>
      </c>
      <c r="P15" s="185">
        <v>7394791429</v>
      </c>
      <c r="Q15" s="185">
        <v>6160821039</v>
      </c>
      <c r="R15" s="185">
        <f>SUM(T15:AE15)</f>
        <v>9397411107.3846149</v>
      </c>
      <c r="S15" s="185"/>
      <c r="T15" s="185">
        <f>[1]VCOGs!D$5</f>
        <v>699596097.03846157</v>
      </c>
      <c r="U15" s="185">
        <f>[1]VCOGs!E$5</f>
        <v>526971758.15384614</v>
      </c>
      <c r="V15" s="185">
        <f>[1]VCOGs!F$5</f>
        <v>790245595.07692313</v>
      </c>
      <c r="W15" s="185">
        <f>[1]VCOGs!G$5</f>
        <v>782977725.96153843</v>
      </c>
      <c r="X15" s="185">
        <f>[1]VCOGs!H$5</f>
        <v>795226879.15384614</v>
      </c>
      <c r="Y15" s="185">
        <f>[1]VCOGs!I$5</f>
        <v>800667725.96153843</v>
      </c>
      <c r="Z15" s="185">
        <f>[1]VCOGs!J$5</f>
        <v>826201238</v>
      </c>
      <c r="AA15" s="185">
        <f>[1]VCOGs!K$5</f>
        <v>826201238</v>
      </c>
      <c r="AB15" s="185">
        <f>[1]VCOGs!L$5</f>
        <v>761529136.03846157</v>
      </c>
      <c r="AC15" s="185">
        <f>[1]VCOGs!M$5</f>
        <v>865764750.03846157</v>
      </c>
      <c r="AD15" s="185">
        <f>[1]VCOGs!N$5</f>
        <v>865937725.96153843</v>
      </c>
      <c r="AE15" s="185">
        <f>[1]VCOGs!O$5</f>
        <v>856091237.99999988</v>
      </c>
      <c r="AF15" s="184"/>
      <c r="AG15" s="184">
        <v>237719532132491</v>
      </c>
      <c r="AH15" s="184">
        <v>267408803209148</v>
      </c>
      <c r="AI15" s="184">
        <v>303539232417778</v>
      </c>
      <c r="AJ15" s="184">
        <v>343905786260747</v>
      </c>
      <c r="AK15" s="184">
        <v>387138573297732</v>
      </c>
      <c r="AL15" s="186"/>
      <c r="AM15" s="471"/>
      <c r="AN15" s="481"/>
      <c r="AO15" s="473"/>
    </row>
    <row r="16" spans="2:47" s="125" customFormat="1" outlineLevel="1">
      <c r="B16" s="179"/>
      <c r="C16" s="180" t="str">
        <f>IF(B1="EN", "Electricity cost", "Chi phí điện")</f>
        <v>Chi phí điện</v>
      </c>
      <c r="D16" s="180"/>
      <c r="E16" s="181"/>
      <c r="F16" s="180"/>
      <c r="G16" s="182"/>
      <c r="H16" s="182"/>
      <c r="I16" s="182"/>
      <c r="J16" s="182"/>
      <c r="K16" s="184"/>
      <c r="L16" s="184"/>
      <c r="M16" s="184"/>
      <c r="N16" s="185">
        <v>1125152840</v>
      </c>
      <c r="O16" s="185">
        <v>1986676827</v>
      </c>
      <c r="P16" s="303">
        <v>2961969221.25</v>
      </c>
      <c r="Q16" s="303">
        <v>1409501660</v>
      </c>
      <c r="R16" s="185">
        <f t="shared" ref="R16" si="7">SUM(T16:AE16)</f>
        <v>2318747785.7142859</v>
      </c>
      <c r="S16" s="185"/>
      <c r="T16" s="185">
        <f>[1]VCOGs!D$7</f>
        <v>115678431.81818181</v>
      </c>
      <c r="U16" s="185">
        <f>[1]VCOGs!E$7</f>
        <v>89972113.63636364</v>
      </c>
      <c r="V16" s="185">
        <f>[1]VCOGs!F$7</f>
        <v>128531590.90909091</v>
      </c>
      <c r="W16" s="185">
        <f>[1]VCOGs!G$7</f>
        <v>160712922.07792208</v>
      </c>
      <c r="X16" s="185">
        <f>[1]VCOGs!H$7</f>
        <v>160712922.07792208</v>
      </c>
      <c r="Y16" s="185">
        <f>[1]VCOGs!I$7</f>
        <v>160712922.07792208</v>
      </c>
      <c r="Z16" s="185">
        <f>[1]VCOGs!J$7</f>
        <v>160712922.07792208</v>
      </c>
      <c r="AA16" s="185">
        <f>[1]VCOGs!K$7</f>
        <v>160712922.07792208</v>
      </c>
      <c r="AB16" s="185">
        <f>[1]VCOGs!L$7</f>
        <v>160712922.07792208</v>
      </c>
      <c r="AC16" s="185">
        <f>[1]VCOGs!M$7</f>
        <v>340096038.96103901</v>
      </c>
      <c r="AD16" s="185">
        <f>[1]VCOGs!N$7</f>
        <v>340096038.96103895</v>
      </c>
      <c r="AE16" s="185">
        <f>[1]VCOGs!O$7</f>
        <v>340096038.96103895</v>
      </c>
      <c r="AF16" s="184"/>
      <c r="AG16" s="184">
        <v>949315179473609</v>
      </c>
      <c r="AH16" s="184">
        <v>103677384847106</v>
      </c>
      <c r="AI16" s="184">
        <v>114257821833425</v>
      </c>
      <c r="AJ16" s="184">
        <v>125682082237163</v>
      </c>
      <c r="AK16" s="184">
        <v>137360892775511</v>
      </c>
      <c r="AL16" s="186"/>
      <c r="AM16" s="471"/>
      <c r="AN16" s="481"/>
      <c r="AO16" s="473"/>
    </row>
    <row r="17" spans="2:41" s="125" customFormat="1" outlineLevel="1">
      <c r="B17" s="179"/>
      <c r="C17" s="181" t="str">
        <f>IF(B1="EN", "Other", "Khác")</f>
        <v>Khác</v>
      </c>
      <c r="D17" s="181"/>
      <c r="E17" s="181"/>
      <c r="F17" s="180"/>
      <c r="G17" s="182"/>
      <c r="H17" s="182"/>
      <c r="I17" s="182"/>
      <c r="J17" s="182"/>
      <c r="K17" s="184"/>
      <c r="L17" s="184"/>
      <c r="M17" s="184"/>
      <c r="N17" s="185"/>
      <c r="O17" s="185">
        <v>202188559</v>
      </c>
      <c r="P17" s="303">
        <v>487842000</v>
      </c>
      <c r="Q17" s="303">
        <v>302953472</v>
      </c>
      <c r="R17" s="185">
        <f>SUM(T17:AE17)</f>
        <v>649790942.5454545</v>
      </c>
      <c r="S17" s="185"/>
      <c r="T17" s="185">
        <f>[1]VCOGs!D$8+[1]VCOGs!D$9</f>
        <v>43323863.63636364</v>
      </c>
      <c r="U17" s="185">
        <f>[1]VCOGs!E$8+[1]VCOGs!E$9</f>
        <v>33015227.272727273</v>
      </c>
      <c r="V17" s="185">
        <f>[1]VCOGs!F$8+[1]VCOGs!F$9</f>
        <v>43999681.81818182</v>
      </c>
      <c r="W17" s="185">
        <f>[1]VCOGs!G$8+[1]VCOGs!G$9</f>
        <v>54759568.181818187</v>
      </c>
      <c r="X17" s="185">
        <f>[1]VCOGs!H$8+[1]VCOGs!H$9</f>
        <v>53459568.181818187</v>
      </c>
      <c r="Y17" s="185">
        <f>[1]VCOGs!I$8+[1]VCOGs!I$9</f>
        <v>53117901.181818187</v>
      </c>
      <c r="Z17" s="185">
        <f>[1]VCOGs!J$8+[1]VCOGs!J$9</f>
        <v>52494568.181818187</v>
      </c>
      <c r="AA17" s="185">
        <f>[1]VCOGs!K$8+[1]VCOGs!K$9</f>
        <v>52609568.181818187</v>
      </c>
      <c r="AB17" s="185">
        <f>[1]VCOGs!L$8+[1]VCOGs!L$9</f>
        <v>52344568.181818187</v>
      </c>
      <c r="AC17" s="185">
        <f>[1]VCOGs!M$8+[1]VCOGs!M$9</f>
        <v>71210475.909090906</v>
      </c>
      <c r="AD17" s="185">
        <f>[1]VCOGs!N$8+[1]VCOGs!N$9</f>
        <v>69670475.909090906</v>
      </c>
      <c r="AE17" s="185">
        <f>[1]VCOGs!O$8+[1]VCOGs!O$9</f>
        <v>69785475.909090906</v>
      </c>
      <c r="AF17" s="184"/>
      <c r="AG17" s="184"/>
      <c r="AH17" s="184"/>
      <c r="AI17" s="184"/>
      <c r="AJ17" s="184"/>
      <c r="AK17" s="184"/>
      <c r="AL17" s="186"/>
      <c r="AM17" s="471"/>
      <c r="AN17" s="481"/>
      <c r="AO17" s="473"/>
    </row>
    <row r="18" spans="2:41" s="192" customFormat="1" outlineLevel="1">
      <c r="B18" s="187"/>
      <c r="C18" s="143" t="str">
        <f>IF(B1="EN", "Adjusting VCOGs by FOH for consolidating", "Điều chỉnh lãi chưa thực hiện HTK khi Hợp nhất")</f>
        <v>Điều chỉnh lãi chưa thực hiện HTK khi Hợp nhất</v>
      </c>
      <c r="D18" s="143"/>
      <c r="E18" s="143"/>
      <c r="F18" s="188"/>
      <c r="G18" s="189"/>
      <c r="H18" s="189"/>
      <c r="I18" s="189"/>
      <c r="J18" s="189"/>
      <c r="K18" s="190"/>
      <c r="L18" s="190"/>
      <c r="M18" s="190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0"/>
      <c r="AG18" s="190"/>
      <c r="AH18" s="190"/>
      <c r="AI18" s="190"/>
      <c r="AJ18" s="190"/>
      <c r="AK18" s="190"/>
      <c r="AL18" s="144"/>
      <c r="AM18" s="471"/>
      <c r="AN18" s="482"/>
      <c r="AO18" s="473"/>
    </row>
    <row r="19" spans="2:41" s="170" customFormat="1" outlineLevel="1">
      <c r="B19" s="163"/>
      <c r="C19" s="164" t="str">
        <f>IF(B1="EN", "Variable COGs on Net Sales (%)", "Biến phí hàng bán / Doanh thu (%)")</f>
        <v>Biến phí hàng bán / Doanh thu (%)</v>
      </c>
      <c r="E19" s="165"/>
      <c r="F19" s="166"/>
      <c r="G19" s="167"/>
      <c r="H19" s="167"/>
      <c r="I19" s="167"/>
      <c r="J19" s="167"/>
      <c r="K19" s="168"/>
      <c r="L19" s="168"/>
      <c r="M19" s="168"/>
      <c r="N19" s="168">
        <f t="shared" ref="N19:O19" si="8">IFERROR(N12/N7,)</f>
        <v>1.0163642555074492</v>
      </c>
      <c r="O19" s="168">
        <f t="shared" si="8"/>
        <v>0.89583584260738691</v>
      </c>
      <c r="P19" s="168">
        <f>IFERROR(P12/P7,)</f>
        <v>0.88203664554423833</v>
      </c>
      <c r="Q19" s="168">
        <f>IFERROR(Q12/Q7,)</f>
        <v>0.88597984870650726</v>
      </c>
      <c r="R19" s="168">
        <f>IFERROR(R12/R7,)</f>
        <v>0.86761315303057751</v>
      </c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>
        <v>5479169101190.8398</v>
      </c>
      <c r="AH19" s="168">
        <v>5453581816484.7803</v>
      </c>
      <c r="AI19" s="168">
        <v>5414703602114.1699</v>
      </c>
      <c r="AJ19" s="168">
        <v>5376216108461.79</v>
      </c>
      <c r="AK19" s="168">
        <v>5334264934390.25</v>
      </c>
      <c r="AL19" s="169"/>
      <c r="AM19" s="196"/>
      <c r="AN19" s="310"/>
      <c r="AO19" s="473"/>
    </row>
    <row r="20" spans="2:41" s="170" customFormat="1" ht="17" thickBot="1">
      <c r="B20" s="132" t="str">
        <f>IF(B1="EN","NET CONTRIBUTION","LÃI BIẾN PHÍ")</f>
        <v>LÃI BIẾN PHÍ</v>
      </c>
      <c r="C20" s="133"/>
      <c r="D20" s="133"/>
      <c r="E20" s="133"/>
      <c r="F20" s="134"/>
      <c r="G20" s="135"/>
      <c r="H20" s="135"/>
      <c r="I20" s="135"/>
      <c r="J20" s="135"/>
      <c r="K20" s="136"/>
      <c r="L20" s="136"/>
      <c r="M20" s="136"/>
      <c r="N20" s="137">
        <f>N7-N10-N12</f>
        <v>-2519026766</v>
      </c>
      <c r="O20" s="137">
        <f>O7-O10-O12</f>
        <v>11110783384.868164</v>
      </c>
      <c r="P20" s="137">
        <f>P7-P10-P12</f>
        <v>19606937349.25</v>
      </c>
      <c r="Q20" s="137">
        <f>Q7-Q10-Q12</f>
        <v>16703360889.756927</v>
      </c>
      <c r="R20" s="137">
        <f>R7-R10-R12</f>
        <v>20083580037.944916</v>
      </c>
      <c r="S20" s="138"/>
      <c r="T20" s="137">
        <f t="shared" ref="T20:AE20" si="9">T7-T10-T12</f>
        <v>1132816674.0931988</v>
      </c>
      <c r="U20" s="137">
        <f t="shared" si="9"/>
        <v>898919286.05966759</v>
      </c>
      <c r="V20" s="137">
        <f t="shared" si="9"/>
        <v>1249906539.5138111</v>
      </c>
      <c r="W20" s="137">
        <f t="shared" si="9"/>
        <v>1748829343.4776802</v>
      </c>
      <c r="X20" s="137">
        <f t="shared" si="9"/>
        <v>1737880190.2853718</v>
      </c>
      <c r="Y20" s="137">
        <f t="shared" si="9"/>
        <v>1732781010.4776802</v>
      </c>
      <c r="Z20" s="137">
        <f t="shared" si="9"/>
        <v>1707870831.4392185</v>
      </c>
      <c r="AA20" s="137">
        <f t="shared" si="9"/>
        <v>1707755831.4392185</v>
      </c>
      <c r="AB20" s="137">
        <f t="shared" si="9"/>
        <v>1772692933.4007568</v>
      </c>
      <c r="AC20" s="137">
        <f t="shared" si="9"/>
        <v>2127220620.5476341</v>
      </c>
      <c r="AD20" s="137">
        <f t="shared" si="9"/>
        <v>2128587644.6245575</v>
      </c>
      <c r="AE20" s="137">
        <f t="shared" si="9"/>
        <v>2138319132.5860958</v>
      </c>
      <c r="AF20" s="121"/>
      <c r="AG20" s="136">
        <f t="shared" ref="AG20:AK20" si="10">AG7-AG10-AG12</f>
        <v>256108702619635</v>
      </c>
      <c r="AH20" s="136">
        <f t="shared" si="10"/>
        <v>376664528503711</v>
      </c>
      <c r="AI20" s="136">
        <f t="shared" si="10"/>
        <v>42454648488276</v>
      </c>
      <c r="AJ20" s="136">
        <f t="shared" si="10"/>
        <v>41774956633314</v>
      </c>
      <c r="AK20" s="136">
        <f t="shared" si="10"/>
        <v>40113200450535</v>
      </c>
      <c r="AL20" s="193"/>
      <c r="AM20" s="483"/>
      <c r="AN20" s="476"/>
      <c r="AO20" s="473"/>
    </row>
    <row r="21" spans="2:41" s="170" customFormat="1" ht="17" collapsed="1" thickTop="1">
      <c r="B21" s="163"/>
      <c r="C21" s="164" t="str">
        <f>IF(B1="EN", "NET CONTRIBUTION Margin (%)", "Tỷ lệ Lãi biến phí (%)")</f>
        <v>Tỷ lệ Lãi biến phí (%)</v>
      </c>
      <c r="E21" s="165"/>
      <c r="F21" s="166"/>
      <c r="G21" s="167"/>
      <c r="H21" s="167"/>
      <c r="I21" s="167"/>
      <c r="J21" s="167"/>
      <c r="K21" s="168"/>
      <c r="L21" s="168"/>
      <c r="M21" s="168"/>
      <c r="N21" s="168">
        <f t="shared" ref="N21:O21" si="11">IFERROR(N20/N7,)</f>
        <v>-3.662467874923328E-2</v>
      </c>
      <c r="O21" s="168">
        <f t="shared" si="11"/>
        <v>8.9102832993643397E-2</v>
      </c>
      <c r="P21" s="168">
        <f>IFERROR(P20/P7,)</f>
        <v>0.102463012948393</v>
      </c>
      <c r="Q21" s="168">
        <f>IFERROR(Q20/Q7,)</f>
        <v>9.6036240274747303E-2</v>
      </c>
      <c r="R21" s="168">
        <f>IFERROR(R20/R7,)</f>
        <v>0.11088840014944029</v>
      </c>
      <c r="S21" s="168"/>
      <c r="T21" s="168">
        <f t="shared" ref="T21:AE21" si="12">IFERROR(T20/T7,)</f>
        <v>9.8375610458394352E-2</v>
      </c>
      <c r="U21" s="168">
        <f t="shared" si="12"/>
        <v>0.10036746959678913</v>
      </c>
      <c r="V21" s="168">
        <f t="shared" si="12"/>
        <v>9.7689493355254758E-2</v>
      </c>
      <c r="W21" s="168">
        <f t="shared" si="12"/>
        <v>0.10947759682788728</v>
      </c>
      <c r="X21" s="168">
        <f t="shared" si="12"/>
        <v>0.10879217432896544</v>
      </c>
      <c r="Y21" s="168">
        <f t="shared" si="12"/>
        <v>0.10847296310734375</v>
      </c>
      <c r="Z21" s="168">
        <f t="shared" si="12"/>
        <v>0.10691357336594101</v>
      </c>
      <c r="AA21" s="168">
        <f t="shared" si="12"/>
        <v>0.10690637430807857</v>
      </c>
      <c r="AB21" s="168">
        <f t="shared" si="12"/>
        <v>0.110971469564074</v>
      </c>
      <c r="AC21" s="168">
        <f t="shared" si="12"/>
        <v>0.12271675016910796</v>
      </c>
      <c r="AD21" s="168">
        <f t="shared" si="12"/>
        <v>0.12279561211248258</v>
      </c>
      <c r="AE21" s="168">
        <f t="shared" si="12"/>
        <v>0.12335700972465989</v>
      </c>
      <c r="AF21" s="168"/>
      <c r="AG21" s="168">
        <v>4136638706988.1602</v>
      </c>
      <c r="AH21" s="168">
        <v>4155215351491.29</v>
      </c>
      <c r="AI21" s="168">
        <v>4182956406657.2598</v>
      </c>
      <c r="AJ21" s="168">
        <v>4211209717853.4502</v>
      </c>
      <c r="AK21" s="168">
        <v>4242491181905.98</v>
      </c>
      <c r="AL21" s="169"/>
      <c r="AM21" s="483"/>
      <c r="AN21" s="310"/>
      <c r="AO21" s="473"/>
    </row>
    <row r="22" spans="2:41" s="196" customFormat="1" hidden="1" outlineLevel="1">
      <c r="B22" s="195"/>
      <c r="C22" s="147" t="str">
        <f>IF(B1="EN", "Net Contribution per Ton (m VND/Ton)", "Lãi biến phí / Tấn (Triệu đồng/Tấn)")</f>
        <v>Lãi biến phí / Tấn (Triệu đồng/Tấn)</v>
      </c>
      <c r="E22" s="197"/>
      <c r="F22" s="149"/>
      <c r="G22" s="198"/>
      <c r="H22" s="198"/>
      <c r="I22" s="198"/>
      <c r="J22" s="198"/>
      <c r="K22" s="151"/>
      <c r="L22" s="151"/>
      <c r="M22" s="151"/>
      <c r="N22" s="151">
        <f t="shared" ref="N22:O22" si="13">IFERROR(N20/N5,)</f>
        <v>-527.6925711248814</v>
      </c>
      <c r="O22" s="151">
        <f t="shared" si="13"/>
        <v>1601.0348764484727</v>
      </c>
      <c r="P22" s="151">
        <f>IFERROR(P20/P5,)</f>
        <v>2073.549200635081</v>
      </c>
      <c r="Q22" s="151">
        <f>IFERROR(Q20/Q5,)</f>
        <v>1705.0295181011597</v>
      </c>
      <c r="R22" s="151">
        <f>IFERROR(R20/R5,)</f>
        <v>1716.4299935017114</v>
      </c>
      <c r="S22" s="151"/>
      <c r="T22" s="151">
        <f t="shared" ref="T22:AE22" si="14">IFERROR(T20/T5,)</f>
        <v>1489.1277059294734</v>
      </c>
      <c r="U22" s="151">
        <f t="shared" si="14"/>
        <v>1519.2788034979806</v>
      </c>
      <c r="V22" s="151">
        <f t="shared" si="14"/>
        <v>1478.7418391171975</v>
      </c>
      <c r="W22" s="151">
        <f t="shared" si="14"/>
        <v>1657.2654285502774</v>
      </c>
      <c r="X22" s="151">
        <f t="shared" si="14"/>
        <v>1646.8895430328091</v>
      </c>
      <c r="Y22" s="151">
        <f t="shared" si="14"/>
        <v>1642.0573423147882</v>
      </c>
      <c r="Z22" s="151">
        <f t="shared" si="14"/>
        <v>1618.451392029584</v>
      </c>
      <c r="AA22" s="151">
        <f t="shared" si="14"/>
        <v>1618.3424131146348</v>
      </c>
      <c r="AB22" s="151">
        <f t="shared" si="14"/>
        <v>1679.8795862598975</v>
      </c>
      <c r="AC22" s="151">
        <f t="shared" si="14"/>
        <v>2012.10411965399</v>
      </c>
      <c r="AD22" s="151">
        <f t="shared" si="14"/>
        <v>2013.397165965348</v>
      </c>
      <c r="AE22" s="151">
        <f t="shared" si="14"/>
        <v>2022.6020255030171</v>
      </c>
      <c r="AF22" s="151"/>
      <c r="AG22" s="151">
        <v>252819003351375</v>
      </c>
      <c r="AH22" s="151">
        <v>255238060128018</v>
      </c>
      <c r="AI22" s="151">
        <v>25921619754728</v>
      </c>
      <c r="AJ22" s="151">
        <v>263377827472713</v>
      </c>
      <c r="AK22" s="151">
        <v>267951413481803</v>
      </c>
      <c r="AL22" s="199"/>
      <c r="AN22" s="484"/>
      <c r="AO22" s="473"/>
    </row>
    <row r="23" spans="2:41" collapsed="1">
      <c r="B23" s="200" t="str">
        <f>IF(B1="en","FACTORY OVERHEAD EXPENSES (FOH)","CHI PHÍ SẢN XUẤT")</f>
        <v>CHI PHÍ SẢN XUẤT</v>
      </c>
      <c r="C23" s="201"/>
      <c r="D23" s="202"/>
      <c r="E23" s="202"/>
      <c r="F23" s="203"/>
      <c r="G23" s="204"/>
      <c r="H23" s="204"/>
      <c r="I23" s="204"/>
      <c r="J23" s="204"/>
      <c r="K23" s="204"/>
      <c r="L23" s="204"/>
      <c r="M23" s="204"/>
      <c r="N23" s="205">
        <f>N24+N26</f>
        <v>9826854913</v>
      </c>
      <c r="O23" s="205">
        <f t="shared" ref="O23:AE23" si="15">O24+O26</f>
        <v>12518909177</v>
      </c>
      <c r="P23" s="205">
        <f>P24+P26</f>
        <v>14649354182.58889</v>
      </c>
      <c r="Q23" s="205">
        <f>Q24+Q26</f>
        <v>12368954972</v>
      </c>
      <c r="R23" s="205">
        <f>R24+R26</f>
        <v>12401077916.234482</v>
      </c>
      <c r="S23" s="206"/>
      <c r="T23" s="205">
        <f t="shared" si="15"/>
        <v>983270292.07222223</v>
      </c>
      <c r="U23" s="205">
        <f t="shared" si="15"/>
        <v>970092470.73888874</v>
      </c>
      <c r="V23" s="205">
        <f t="shared" si="15"/>
        <v>946102015.73888874</v>
      </c>
      <c r="W23" s="205">
        <f t="shared" si="15"/>
        <v>985198821.96111107</v>
      </c>
      <c r="X23" s="205">
        <f t="shared" si="15"/>
        <v>995169981.25229883</v>
      </c>
      <c r="Y23" s="205">
        <f t="shared" si="15"/>
        <v>1029384282.2101531</v>
      </c>
      <c r="Z23" s="205">
        <f t="shared" si="15"/>
        <v>1031294034.3212643</v>
      </c>
      <c r="AA23" s="205">
        <f t="shared" si="15"/>
        <v>1038430056.6545978</v>
      </c>
      <c r="AB23" s="205">
        <f t="shared" si="15"/>
        <v>1092620660.4323754</v>
      </c>
      <c r="AC23" s="205">
        <f t="shared" si="15"/>
        <v>1084198349.6545978</v>
      </c>
      <c r="AD23" s="205">
        <f t="shared" si="15"/>
        <v>1124733981.6545978</v>
      </c>
      <c r="AE23" s="205">
        <f t="shared" si="15"/>
        <v>1126911084.5434866</v>
      </c>
      <c r="AF23" s="161"/>
      <c r="AG23" s="204">
        <v>691882003128585</v>
      </c>
      <c r="AH23" s="204">
        <v>732955110277672</v>
      </c>
      <c r="AI23" s="204">
        <v>78352168015947</v>
      </c>
      <c r="AJ23" s="204">
        <v>836007510211843</v>
      </c>
      <c r="AK23" s="204">
        <v>886281432069577</v>
      </c>
      <c r="AL23" s="207"/>
      <c r="AM23" s="483"/>
      <c r="AN23" s="485"/>
      <c r="AO23" s="473"/>
    </row>
    <row r="24" spans="2:41" s="214" customFormat="1" outlineLevel="1">
      <c r="B24" s="208"/>
      <c r="C24" s="128"/>
      <c r="D24" s="209" t="str">
        <f>IF(B1="en","Salary &amp; Welfare Expenses (FOH)","Chi phí lương sản xuất")</f>
        <v>Chi phí lương sản xuất</v>
      </c>
      <c r="E24" s="210"/>
      <c r="F24" s="211"/>
      <c r="G24" s="182"/>
      <c r="H24" s="182"/>
      <c r="I24" s="182"/>
      <c r="J24" s="182"/>
      <c r="K24" s="178"/>
      <c r="L24" s="178"/>
      <c r="M24" s="178"/>
      <c r="N24" s="177">
        <v>3728381096</v>
      </c>
      <c r="O24" s="177">
        <f>[1]FOH!H38+[1]FOH!H39+[1]FOH!H40+[1]FOH!H44+[1]FOH!H45</f>
        <v>3602410139</v>
      </c>
      <c r="P24" s="177">
        <f>[1]FOH!I38+[1]FOH!I39+[1]FOH!I40+[1]FOH!I44+[1]FOH!I45</f>
        <v>4076992548</v>
      </c>
      <c r="Q24" s="177">
        <f>[1]FOH!J38+[1]FOH!J39+[1]FOH!J40+[1]FOH!J44+[1]FOH!J45</f>
        <v>4060372946</v>
      </c>
      <c r="R24" s="177">
        <f>[1]FOH!K38+[1]FOH!K39+[1]FOH!K40+[1]FOH!K44+[1]FOH!K45-AM24</f>
        <v>3568623100</v>
      </c>
      <c r="S24" s="177"/>
      <c r="T24" s="177">
        <f>[1]FOH!T46</f>
        <v>296914317.33333331</v>
      </c>
      <c r="U24" s="177">
        <f>[1]FOH!U46</f>
        <v>294603662.33333331</v>
      </c>
      <c r="V24" s="177">
        <f>[1]FOH!V46</f>
        <v>282254749.33333331</v>
      </c>
      <c r="W24" s="177">
        <f>[1]FOH!W46</f>
        <v>305060166.33333331</v>
      </c>
      <c r="X24" s="177">
        <f>[1]FOH!X46</f>
        <v>289775491.33333331</v>
      </c>
      <c r="Y24" s="177">
        <f>[1]FOH!Y46</f>
        <v>305322666.33333331</v>
      </c>
      <c r="Z24" s="177">
        <f>[1]FOH!Z46</f>
        <v>298077765.33333331</v>
      </c>
      <c r="AA24" s="177">
        <f>[1]FOH!AA46</f>
        <v>298077765.33333331</v>
      </c>
      <c r="AB24" s="177">
        <f>[1]FOH!AB46</f>
        <v>304968925.33333331</v>
      </c>
      <c r="AC24" s="177">
        <f>[1]FOH!AC46</f>
        <v>290167159.33333331</v>
      </c>
      <c r="AD24" s="177">
        <f>[1]FOH!AD46</f>
        <v>305322666.33333331</v>
      </c>
      <c r="AE24" s="177">
        <f>[1]FOH!AE46</f>
        <v>298077765.33333331</v>
      </c>
      <c r="AF24" s="178"/>
      <c r="AG24" s="178">
        <v>629714478511346</v>
      </c>
      <c r="AH24" s="178">
        <v>684173333613842</v>
      </c>
      <c r="AI24" s="178">
        <v>769503076782236</v>
      </c>
      <c r="AJ24" s="178">
        <v>820815919116905</v>
      </c>
      <c r="AK24" s="178">
        <v>917070975061887</v>
      </c>
      <c r="AL24" s="212"/>
      <c r="AM24" s="486"/>
      <c r="AN24" s="480"/>
      <c r="AO24" s="473"/>
    </row>
    <row r="25" spans="2:41" outlineLevel="1">
      <c r="B25" s="215"/>
      <c r="C25" s="216"/>
      <c r="D25" s="156"/>
      <c r="E25" s="217" t="str">
        <f>IF(B1="EN", "Growth (%)", "Tăng trưởng (%)")</f>
        <v>Tăng trưởng (%)</v>
      </c>
      <c r="F25" s="218"/>
      <c r="G25" s="219"/>
      <c r="H25" s="219"/>
      <c r="I25" s="219"/>
      <c r="J25" s="219"/>
      <c r="K25" s="220"/>
      <c r="L25" s="220"/>
      <c r="M25" s="220"/>
      <c r="N25" s="220">
        <f>IFERROR(N24/M24-1,)</f>
        <v>0</v>
      </c>
      <c r="O25" s="220">
        <f t="shared" ref="O25" si="16">IFERROR(O24/N24-1,)</f>
        <v>-3.378703886658696E-2</v>
      </c>
      <c r="P25" s="220">
        <f>IFERROR(P24/O24-1,)</f>
        <v>0.13174024907995086</v>
      </c>
      <c r="Q25" s="220">
        <f>IFERROR(Q24/O24-1,)</f>
        <v>0.12712678160713997</v>
      </c>
      <c r="R25" s="220">
        <f>IFERROR(R24/Q24-1,)</f>
        <v>-0.12110952677005649</v>
      </c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1">
        <v>1331542859044.8301</v>
      </c>
      <c r="AH25" s="221">
        <v>8648182146174.7305</v>
      </c>
      <c r="AI25" s="221">
        <v>1247194811257.51</v>
      </c>
      <c r="AJ25" s="221">
        <v>66683089233.690002</v>
      </c>
      <c r="AK25" s="221">
        <v>1172675306401.72</v>
      </c>
      <c r="AL25" s="207"/>
      <c r="AM25" s="196"/>
      <c r="AN25" s="487"/>
      <c r="AO25" s="473"/>
    </row>
    <row r="26" spans="2:41" s="214" customFormat="1" outlineLevel="1">
      <c r="B26" s="208"/>
      <c r="C26" s="128"/>
      <c r="D26" s="209" t="str">
        <f>IF(B1="EN","Operating Expenses (FOH)","Chi phí hoạt động sản xuất")</f>
        <v>Chi phí hoạt động sản xuất</v>
      </c>
      <c r="E26" s="210"/>
      <c r="F26" s="211"/>
      <c r="G26" s="182"/>
      <c r="H26" s="182"/>
      <c r="I26" s="182"/>
      <c r="J26" s="182"/>
      <c r="K26" s="178"/>
      <c r="L26" s="178"/>
      <c r="M26" s="178"/>
      <c r="N26" s="177">
        <v>6098473817</v>
      </c>
      <c r="O26" s="177">
        <f>[1]FOH!H37</f>
        <v>8916499038</v>
      </c>
      <c r="P26" s="206">
        <f>[1]FOH!I37</f>
        <v>10572361634.58889</v>
      </c>
      <c r="Q26" s="177">
        <f>[1]FOH!J37</f>
        <v>8308582026</v>
      </c>
      <c r="R26" s="177">
        <f>[1]FOH!K37-AM26</f>
        <v>8832454816.2344818</v>
      </c>
      <c r="S26" s="177"/>
      <c r="T26" s="177">
        <f>[1]FOH!T37</f>
        <v>686355974.73888886</v>
      </c>
      <c r="U26" s="177">
        <f>[1]FOH!U37</f>
        <v>675488808.40555549</v>
      </c>
      <c r="V26" s="177">
        <f>[1]FOH!V37</f>
        <v>663847266.40555549</v>
      </c>
      <c r="W26" s="177">
        <f>[1]FOH!W37</f>
        <v>680138655.62777781</v>
      </c>
      <c r="X26" s="177">
        <f>[1]FOH!X37</f>
        <v>705394489.91896558</v>
      </c>
      <c r="Y26" s="177">
        <f>[1]FOH!Y37</f>
        <v>724061615.87681985</v>
      </c>
      <c r="Z26" s="177">
        <f>[1]FOH!Z37</f>
        <v>733216268.98793101</v>
      </c>
      <c r="AA26" s="177">
        <f>[1]FOH!AA37</f>
        <v>740352291.32126439</v>
      </c>
      <c r="AB26" s="177">
        <f>[1]FOH!AB37</f>
        <v>787651735.09904218</v>
      </c>
      <c r="AC26" s="177">
        <f>[1]FOH!AC37</f>
        <v>794031190.32126439</v>
      </c>
      <c r="AD26" s="177">
        <f>[1]FOH!AD37</f>
        <v>819411315.32126451</v>
      </c>
      <c r="AE26" s="177">
        <f>[1]FOH!AE37</f>
        <v>828833319.21015334</v>
      </c>
      <c r="AF26" s="178"/>
      <c r="AG26" s="178">
        <v>974947260130163</v>
      </c>
      <c r="AH26" s="178">
        <v>10647673657783</v>
      </c>
      <c r="AI26" s="178">
        <v>117342851724658</v>
      </c>
      <c r="AJ26" s="178">
        <v>129075574028554</v>
      </c>
      <c r="AK26" s="178">
        <v>141069719473753</v>
      </c>
      <c r="AL26" s="212"/>
      <c r="AM26" s="488"/>
      <c r="AN26" s="480"/>
      <c r="AO26" s="473"/>
    </row>
    <row r="27" spans="2:41" outlineLevel="1">
      <c r="B27" s="215"/>
      <c r="C27" s="216"/>
      <c r="D27" s="156"/>
      <c r="E27" s="217" t="str">
        <f>IF(B1="EN", "Growth (%)", "Tăng trưởng (%)")</f>
        <v>Tăng trưởng (%)</v>
      </c>
      <c r="F27" s="218"/>
      <c r="G27" s="219"/>
      <c r="H27" s="219"/>
      <c r="I27" s="219"/>
      <c r="J27" s="219"/>
      <c r="K27" s="220"/>
      <c r="L27" s="220"/>
      <c r="M27" s="220"/>
      <c r="N27" s="220">
        <f>IFERROR(N26/M26-1,)</f>
        <v>0</v>
      </c>
      <c r="O27" s="220">
        <f t="shared" ref="O27" si="17">IFERROR(O26/N26-1,)</f>
        <v>0.46208695905925201</v>
      </c>
      <c r="P27" s="220">
        <f>IFERROR(P26/O26-1,)</f>
        <v>0.18570770764758637</v>
      </c>
      <c r="Q27" s="220">
        <f>IFERROR(Q26/O26-1,)</f>
        <v>-6.8178890549889792E-2</v>
      </c>
      <c r="R27" s="220">
        <f>IFERROR(R26/Q26-1,)</f>
        <v>6.3052009187022584E-2</v>
      </c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1">
        <v>1080898044455.17</v>
      </c>
      <c r="AH27" s="221">
        <v>9212816869308.9492</v>
      </c>
      <c r="AI27" s="221">
        <v>1020515419242.3101</v>
      </c>
      <c r="AJ27" s="221">
        <v>9998668117787.5605</v>
      </c>
      <c r="AK27" s="221">
        <v>929234329226.83997</v>
      </c>
      <c r="AL27" s="207"/>
      <c r="AM27" s="196"/>
      <c r="AN27" s="487"/>
      <c r="AO27" s="473"/>
    </row>
    <row r="28" spans="2:41" s="227" customFormat="1" outlineLevel="1">
      <c r="B28" s="223"/>
      <c r="C28" s="164" t="str">
        <f>IF(B1="EN", "FOH Expenses on Net Sales (%)", "Chi phí Sản xuất / Doanh thu (%)")</f>
        <v>Chi phí Sản xuất / Doanh thu (%)</v>
      </c>
      <c r="D28" s="224"/>
      <c r="E28" s="224"/>
      <c r="F28" s="225"/>
      <c r="G28" s="167"/>
      <c r="H28" s="167"/>
      <c r="I28" s="167"/>
      <c r="J28" s="167"/>
      <c r="K28" s="168"/>
      <c r="L28" s="168"/>
      <c r="M28" s="168"/>
      <c r="N28" s="168">
        <f t="shared" ref="N28:O28" si="18">IFERROR(N23/N7,)</f>
        <v>0.14287478369094461</v>
      </c>
      <c r="O28" s="168">
        <f t="shared" si="18"/>
        <v>0.10039528582475882</v>
      </c>
      <c r="P28" s="168">
        <f>IFERROR(P23/P7,)</f>
        <v>7.6555401823305017E-2</v>
      </c>
      <c r="Q28" s="168">
        <f>IFERROR(Q23/Q7,)</f>
        <v>7.1115504207716881E-2</v>
      </c>
      <c r="R28" s="168">
        <f>IFERROR(R23/R7,)</f>
        <v>6.8470645555308546E-2</v>
      </c>
      <c r="S28" s="168"/>
      <c r="T28" s="168">
        <f>T23/T7</f>
        <v>8.5388763637010562E-2</v>
      </c>
      <c r="U28" s="168">
        <f t="shared" ref="U28:AE28" si="19">U23/U7</f>
        <v>0.10831420359190805</v>
      </c>
      <c r="V28" s="168">
        <f t="shared" si="19"/>
        <v>7.3944910005726103E-2</v>
      </c>
      <c r="W28" s="168">
        <f t="shared" si="19"/>
        <v>6.1673941959074052E-2</v>
      </c>
      <c r="X28" s="168">
        <f t="shared" si="19"/>
        <v>6.2298141547706597E-2</v>
      </c>
      <c r="Y28" s="168">
        <f t="shared" si="19"/>
        <v>6.443997400264663E-2</v>
      </c>
      <c r="Z28" s="168">
        <f t="shared" si="19"/>
        <v>6.4559525445696916E-2</v>
      </c>
      <c r="AA28" s="168">
        <f t="shared" si="19"/>
        <v>6.5006244034264249E-2</v>
      </c>
      <c r="AB28" s="168">
        <f t="shared" si="19"/>
        <v>6.8398603096839095E-2</v>
      </c>
      <c r="AC28" s="168">
        <f t="shared" si="19"/>
        <v>6.2546073840742511E-2</v>
      </c>
      <c r="AD28" s="168">
        <f t="shared" si="19"/>
        <v>6.4884524764469584E-2</v>
      </c>
      <c r="AE28" s="168">
        <f t="shared" si="19"/>
        <v>6.5010119161556357E-2</v>
      </c>
      <c r="AF28" s="168"/>
      <c r="AG28" s="168">
        <f t="shared" ref="AG28:AK28" si="20">AG23/AG7</f>
        <v>1.1175199614598246</v>
      </c>
      <c r="AH28" s="168">
        <f t="shared" si="20"/>
        <v>1.0785424642648207</v>
      </c>
      <c r="AI28" s="168">
        <f t="shared" si="20"/>
        <v>0.1037007946478903</v>
      </c>
      <c r="AJ28" s="168">
        <f t="shared" si="20"/>
        <v>0.99669039845615282</v>
      </c>
      <c r="AK28" s="168">
        <f t="shared" si="20"/>
        <v>0.95734670297064028</v>
      </c>
      <c r="AL28" s="226"/>
      <c r="AM28" s="489"/>
      <c r="AN28" s="310"/>
      <c r="AO28" s="473"/>
    </row>
    <row r="29" spans="2:41" s="230" customFormat="1" outlineLevel="1">
      <c r="B29" s="228"/>
      <c r="C29" s="148" t="str">
        <f>IF(B1="EN", "FOH Expenses per Ton (m VND/Ton)", "Chi phí Sản xuất / Tấn (Triệu đồng/Tấn)")</f>
        <v>Chi phí Sản xuất / Tấn (Triệu đồng/Tấn)</v>
      </c>
      <c r="D29" s="210"/>
      <c r="E29" s="148"/>
      <c r="F29" s="149"/>
      <c r="G29" s="229"/>
      <c r="H29" s="229"/>
      <c r="I29" s="229"/>
      <c r="J29" s="229"/>
      <c r="K29" s="151"/>
      <c r="L29" s="151"/>
      <c r="M29" s="151"/>
      <c r="N29" s="151">
        <f t="shared" ref="N29:O29" si="21">IFERROR(N23/N5,)</f>
        <v>2058.5562666911901</v>
      </c>
      <c r="O29" s="151">
        <f t="shared" si="21"/>
        <v>1803.942126597914</v>
      </c>
      <c r="P29" s="151">
        <f>IFERROR(P23/P5,)</f>
        <v>1549.255557563625</v>
      </c>
      <c r="Q29" s="151">
        <f>IFERROR(Q23/Q5,)</f>
        <v>1262.5862228874469</v>
      </c>
      <c r="R29" s="151">
        <f>IFERROR(R23/R5,)</f>
        <v>1059.8499892429861</v>
      </c>
      <c r="S29" s="151"/>
      <c r="T29" s="151">
        <f>T23/T5</f>
        <v>1292.5436814515392</v>
      </c>
      <c r="U29" s="151">
        <f t="shared" ref="U29:AE29" si="22">U23/U5</f>
        <v>1639.5698157584632</v>
      </c>
      <c r="V29" s="151">
        <f t="shared" si="22"/>
        <v>1119.316197265766</v>
      </c>
      <c r="W29" s="151">
        <f t="shared" si="22"/>
        <v>933.61650979494061</v>
      </c>
      <c r="X29" s="151">
        <f t="shared" si="22"/>
        <v>943.06560649353128</v>
      </c>
      <c r="Y29" s="151">
        <f t="shared" si="22"/>
        <v>975.48854035551108</v>
      </c>
      <c r="Z29" s="151">
        <f t="shared" si="22"/>
        <v>977.29830307629879</v>
      </c>
      <c r="AA29" s="151">
        <f t="shared" si="22"/>
        <v>984.06070282359417</v>
      </c>
      <c r="AB29" s="151">
        <f t="shared" si="22"/>
        <v>1035.4140349986974</v>
      </c>
      <c r="AC29" s="151">
        <f t="shared" si="22"/>
        <v>1025.5259585159815</v>
      </c>
      <c r="AD29" s="151">
        <f t="shared" si="22"/>
        <v>1063.8679674980967</v>
      </c>
      <c r="AE29" s="151">
        <f t="shared" si="22"/>
        <v>1065.9272544612495</v>
      </c>
      <c r="AF29" s="151"/>
      <c r="AG29" s="151">
        <f t="shared" ref="AG29:AK29" si="23">AG23/AG5</f>
        <v>68.299482476981055</v>
      </c>
      <c r="AH29" s="151">
        <f t="shared" si="23"/>
        <v>6.6250498002671696</v>
      </c>
      <c r="AI29" s="151">
        <f t="shared" si="23"/>
        <v>0.64262983062591406</v>
      </c>
      <c r="AJ29" s="151">
        <f t="shared" si="23"/>
        <v>6.2335093570714024</v>
      </c>
      <c r="AK29" s="151">
        <f t="shared" si="23"/>
        <v>6.0465040763592404</v>
      </c>
      <c r="AL29" s="212"/>
      <c r="AM29" s="489"/>
      <c r="AN29" s="484"/>
      <c r="AO29" s="473"/>
    </row>
    <row r="30" spans="2:41" outlineLevel="1">
      <c r="B30" s="231"/>
      <c r="C30" s="232"/>
      <c r="D30" s="181" t="str">
        <f>IF(B1="EN", "Depreciation &amp; Amortization (FOH)", "Chi phí Khấu hao (Sản xuất)")</f>
        <v>Chi phí Khấu hao (Sản xuất)</v>
      </c>
      <c r="E30" s="156"/>
      <c r="F30" s="157"/>
      <c r="G30" s="233"/>
      <c r="H30" s="233"/>
      <c r="I30" s="233"/>
      <c r="J30" s="233"/>
      <c r="K30" s="234"/>
      <c r="L30" s="234"/>
      <c r="M30" s="234"/>
      <c r="N30" s="177">
        <f>[1]Depreciation!H37</f>
        <v>3656836640</v>
      </c>
      <c r="O30" s="177">
        <f>[1]Depreciation!I37</f>
        <v>6479181081</v>
      </c>
      <c r="P30" s="177">
        <f>-[1]Depreciation!J37</f>
        <v>7655288040.666667</v>
      </c>
      <c r="Q30" s="177">
        <f>-[1]Depreciation!K37</f>
        <v>7149747122.666667</v>
      </c>
      <c r="R30" s="177">
        <f>-[1]Depreciation!L37</f>
        <v>4556262320.4870672</v>
      </c>
      <c r="S30" s="234"/>
      <c r="T30" s="185">
        <f>-[1]Depreciation!N37</f>
        <v>377484612.26281118</v>
      </c>
      <c r="U30" s="185">
        <f>-[1]Depreciation!O37</f>
        <v>377484612.26281118</v>
      </c>
      <c r="V30" s="185">
        <f>-[1]Depreciation!P37</f>
        <v>374920976.26281118</v>
      </c>
      <c r="W30" s="185">
        <f>-[1]Depreciation!Q37</f>
        <v>374920976.26281118</v>
      </c>
      <c r="X30" s="185">
        <f>-[1]Depreciation!R37</f>
        <v>374920976.26281118</v>
      </c>
      <c r="Y30" s="185">
        <f>-[1]Depreciation!S37</f>
        <v>374920976.26281118</v>
      </c>
      <c r="Z30" s="185">
        <f>-[1]Depreciation!T37</f>
        <v>374920976.26281118</v>
      </c>
      <c r="AA30" s="185">
        <f>-[1]Depreciation!U37</f>
        <v>374920976.26281118</v>
      </c>
      <c r="AB30" s="185">
        <f>-[1]Depreciation!V37</f>
        <v>374920976.26281118</v>
      </c>
      <c r="AC30" s="185">
        <f>-[1]Depreciation!W37</f>
        <v>392282087.37392229</v>
      </c>
      <c r="AD30" s="185">
        <f>-[1]Depreciation!X37</f>
        <v>392282087.37392229</v>
      </c>
      <c r="AE30" s="185">
        <f>-[1]Depreciation!Y37</f>
        <v>392282087.37392229</v>
      </c>
      <c r="AF30" s="234"/>
      <c r="AG30" s="234">
        <v>16411693990044</v>
      </c>
      <c r="AH30" s="234">
        <v>193435219254773</v>
      </c>
      <c r="AI30" s="234">
        <v>240134784320806</v>
      </c>
      <c r="AJ30" s="234">
        <v>299516409388806</v>
      </c>
      <c r="AK30" s="234">
        <v>352427285911839</v>
      </c>
      <c r="AL30" s="207"/>
      <c r="AM30" s="483"/>
      <c r="AN30" s="480"/>
      <c r="AO30" s="473"/>
    </row>
    <row r="31" spans="2:41" s="125" customFormat="1" outlineLevel="1">
      <c r="B31" s="236"/>
      <c r="C31" s="237" t="str">
        <f>IF(B1="EN", "% Depreciation on Net Sales", "% Chi phí Khấu hao / Doanh thu")</f>
        <v>% Chi phí Khấu hao / Doanh thu</v>
      </c>
      <c r="D31" s="143"/>
      <c r="E31" s="143"/>
      <c r="F31" s="129"/>
      <c r="G31" s="130"/>
      <c r="H31" s="130"/>
      <c r="I31" s="130"/>
      <c r="J31" s="130"/>
      <c r="K31" s="131"/>
      <c r="L31" s="131"/>
      <c r="M31" s="131"/>
      <c r="N31" s="131">
        <f t="shared" ref="N31:O31" si="24">IFERROR(N30/N7,)</f>
        <v>5.3167544301681163E-2</v>
      </c>
      <c r="O31" s="131">
        <f t="shared" si="24"/>
        <v>5.1959737652897013E-2</v>
      </c>
      <c r="P31" s="131">
        <f>IFERROR(P30/P7,)</f>
        <v>4.0005425817536508E-2</v>
      </c>
      <c r="Q31" s="131">
        <f>IFERROR(Q30/Q7,)</f>
        <v>4.1107585300223452E-2</v>
      </c>
      <c r="R31" s="131">
        <f>IFERROR(R30/R7,)</f>
        <v>2.5156702063348184E-2</v>
      </c>
      <c r="S31" s="190"/>
      <c r="T31" s="131">
        <f>T30/T7</f>
        <v>3.2781367028985986E-2</v>
      </c>
      <c r="U31" s="131">
        <f t="shared" ref="U31:AE31" si="25">U30/U7</f>
        <v>4.2147471894410551E-2</v>
      </c>
      <c r="V31" s="131">
        <f t="shared" si="25"/>
        <v>2.9302863103363108E-2</v>
      </c>
      <c r="W31" s="131">
        <f t="shared" si="25"/>
        <v>2.3470241756120096E-2</v>
      </c>
      <c r="X31" s="131">
        <f t="shared" si="25"/>
        <v>2.3470241756120096E-2</v>
      </c>
      <c r="Y31" s="131">
        <f t="shared" si="25"/>
        <v>2.3470241756120096E-2</v>
      </c>
      <c r="Z31" s="131">
        <f t="shared" si="25"/>
        <v>2.3470241756120096E-2</v>
      </c>
      <c r="AA31" s="131">
        <f t="shared" si="25"/>
        <v>2.3470241756120096E-2</v>
      </c>
      <c r="AB31" s="131">
        <f t="shared" si="25"/>
        <v>2.3470241756120096E-2</v>
      </c>
      <c r="AC31" s="131">
        <f t="shared" si="25"/>
        <v>2.2630272782749112E-2</v>
      </c>
      <c r="AD31" s="131">
        <f t="shared" si="25"/>
        <v>2.2630272782749112E-2</v>
      </c>
      <c r="AE31" s="131">
        <f t="shared" si="25"/>
        <v>2.2630272782749112E-2</v>
      </c>
      <c r="AF31" s="131"/>
      <c r="AG31" s="131">
        <f>AG30/AG7</f>
        <v>2.6507981928004961E-2</v>
      </c>
      <c r="AH31" s="131">
        <f>AH30/AH7</f>
        <v>0.28463966636594201</v>
      </c>
      <c r="AI31" s="131">
        <f>AI30/AI7</f>
        <v>0.31782359808600313</v>
      </c>
      <c r="AJ31" s="131">
        <f>AJ30/AJ7</f>
        <v>0.35708426751123257</v>
      </c>
      <c r="AK31" s="131">
        <f>AK30/AK7</f>
        <v>0.38068618837780549</v>
      </c>
      <c r="AL31" s="144"/>
      <c r="AM31" s="196"/>
      <c r="AN31" s="474"/>
      <c r="AO31" s="473"/>
    </row>
    <row r="32" spans="2:41">
      <c r="B32" s="238" t="str">
        <f>IF(B1="EN", "COST OF GOODS SOLD", "GIÁ VỐN HÀNG BÁN")</f>
        <v>GIÁ VỐN HÀNG BÁN</v>
      </c>
      <c r="C32" s="172"/>
      <c r="D32" s="172"/>
      <c r="E32" s="172"/>
      <c r="F32" s="239"/>
      <c r="G32" s="240"/>
      <c r="H32" s="241"/>
      <c r="I32" s="240"/>
      <c r="J32" s="240"/>
      <c r="K32" s="175"/>
      <c r="L32" s="175"/>
      <c r="M32" s="175"/>
      <c r="N32" s="176">
        <f>N10+N12+N23+N30</f>
        <v>84782209417</v>
      </c>
      <c r="O32" s="176">
        <f>O10+O12+O23+O30</f>
        <v>132583492298.13184</v>
      </c>
      <c r="P32" s="176">
        <f>P10+P12+P23+P30</f>
        <v>194053949289.00555</v>
      </c>
      <c r="Q32" s="176">
        <f>Q10+Q12+Q23+Q30</f>
        <v>176743025607.90973</v>
      </c>
      <c r="R32" s="176">
        <f>R10+R12+R23+R30</f>
        <v>177989007698.77661</v>
      </c>
      <c r="S32" s="177"/>
      <c r="T32" s="176">
        <f t="shared" ref="T32:AK32" si="26">T10+T12+T23+T30</f>
        <v>11743156980.241835</v>
      </c>
      <c r="U32" s="176">
        <f t="shared" si="26"/>
        <v>9404939046.9420319</v>
      </c>
      <c r="V32" s="176">
        <f t="shared" si="26"/>
        <v>12865803952.48789</v>
      </c>
      <c r="W32" s="176">
        <f t="shared" si="26"/>
        <v>15585602954.746243</v>
      </c>
      <c r="X32" s="176">
        <f t="shared" si="26"/>
        <v>15606523267.229738</v>
      </c>
      <c r="Y32" s="176">
        <f t="shared" si="26"/>
        <v>15645836747.995285</v>
      </c>
      <c r="Z32" s="176">
        <f t="shared" si="26"/>
        <v>15672656679.144857</v>
      </c>
      <c r="AA32" s="176">
        <f t="shared" si="26"/>
        <v>15679907701.478191</v>
      </c>
      <c r="AB32" s="176">
        <f t="shared" si="26"/>
        <v>15669161203.29443</v>
      </c>
      <c r="AC32" s="176">
        <f t="shared" si="26"/>
        <v>16683654816.480886</v>
      </c>
      <c r="AD32" s="176">
        <f t="shared" si="26"/>
        <v>16722823424.403963</v>
      </c>
      <c r="AE32" s="176">
        <f t="shared" si="26"/>
        <v>16715269039.331312</v>
      </c>
      <c r="AF32" s="178"/>
      <c r="AG32" s="175">
        <f>AG10+AG12+AG23+AG30</f>
        <v>1071307718915276</v>
      </c>
      <c r="AH32" s="175">
        <f t="shared" si="26"/>
        <v>1229305080067399</v>
      </c>
      <c r="AI32" s="175">
        <f t="shared" si="26"/>
        <v>1031592261532379</v>
      </c>
      <c r="AJ32" s="175">
        <f t="shared" si="26"/>
        <v>1932532512509697</v>
      </c>
      <c r="AK32" s="175">
        <f t="shared" si="26"/>
        <v>2124364028896149</v>
      </c>
      <c r="AL32" s="123"/>
      <c r="AM32" s="483"/>
      <c r="AN32" s="480"/>
      <c r="AO32" s="473"/>
    </row>
    <row r="33" spans="2:41" s="170" customFormat="1" hidden="1" outlineLevel="1">
      <c r="B33" s="242"/>
      <c r="C33" s="164" t="str">
        <f>IF(B1="EN", "% COGs on Net Sales", "% Giá vốn hàng bán / Doanh thu")</f>
        <v>% Giá vốn hàng bán / Doanh thu</v>
      </c>
      <c r="D33" s="165"/>
      <c r="E33" s="165"/>
      <c r="F33" s="166"/>
      <c r="G33" s="167"/>
      <c r="H33" s="167"/>
      <c r="I33" s="167"/>
      <c r="J33" s="167"/>
      <c r="K33" s="168"/>
      <c r="L33" s="168"/>
      <c r="M33" s="168"/>
      <c r="N33" s="168">
        <f t="shared" ref="N33:O33" si="27">IFERROR(N32/N7,)</f>
        <v>1.232667006741859</v>
      </c>
      <c r="O33" s="168">
        <f t="shared" si="27"/>
        <v>1.0632521904840124</v>
      </c>
      <c r="P33" s="168">
        <f>IFERROR(P32/P7,)</f>
        <v>1.0140978146924484</v>
      </c>
      <c r="Q33" s="168">
        <f>IFERROR(Q32/Q7,)</f>
        <v>1.0161868492331929</v>
      </c>
      <c r="R33" s="168">
        <f>IFERROR(R32/R7,)</f>
        <v>0.98273894746921631</v>
      </c>
      <c r="S33" s="168"/>
      <c r="T33" s="168">
        <f>T32/T7</f>
        <v>1.0197945202076022</v>
      </c>
      <c r="U33" s="168">
        <f t="shared" ref="U33:AE33" si="28">U32/U7</f>
        <v>1.0500942058895295</v>
      </c>
      <c r="V33" s="168">
        <f t="shared" si="28"/>
        <v>1.0055582797538345</v>
      </c>
      <c r="W33" s="168">
        <f t="shared" si="28"/>
        <v>0.9756665868873069</v>
      </c>
      <c r="X33" s="168">
        <f t="shared" si="28"/>
        <v>0.97697620897486126</v>
      </c>
      <c r="Y33" s="168">
        <f t="shared" si="28"/>
        <v>0.97943725265142301</v>
      </c>
      <c r="Z33" s="168">
        <f t="shared" si="28"/>
        <v>0.981116193835876</v>
      </c>
      <c r="AA33" s="168">
        <f t="shared" si="28"/>
        <v>0.98157011148230577</v>
      </c>
      <c r="AB33" s="168">
        <f t="shared" si="28"/>
        <v>0.98089737528888521</v>
      </c>
      <c r="AC33" s="168">
        <f t="shared" si="28"/>
        <v>0.96245959645438373</v>
      </c>
      <c r="AD33" s="168">
        <f t="shared" si="28"/>
        <v>0.96471918543473612</v>
      </c>
      <c r="AE33" s="168">
        <f t="shared" si="28"/>
        <v>0.96428338221964549</v>
      </c>
      <c r="AF33" s="168"/>
      <c r="AG33" s="168">
        <f t="shared" ref="AG33:AK33" si="29">AG32/AG7</f>
        <v>1.7303640726890144</v>
      </c>
      <c r="AH33" s="168">
        <f t="shared" si="29"/>
        <v>1.8089207808195358</v>
      </c>
      <c r="AI33" s="168">
        <f t="shared" si="29"/>
        <v>1.3653347441738815</v>
      </c>
      <c r="AJ33" s="168">
        <f t="shared" si="29"/>
        <v>2.3039704504983214</v>
      </c>
      <c r="AK33" s="168">
        <f t="shared" si="29"/>
        <v>2.2947032684912387</v>
      </c>
      <c r="AL33" s="169"/>
      <c r="AM33" s="483"/>
      <c r="AN33" s="310"/>
      <c r="AO33" s="473"/>
    </row>
    <row r="34" spans="2:41" s="141" customFormat="1" collapsed="1">
      <c r="B34" s="243" t="str">
        <f>IF(B1="EN", "GROSS PROFIT", "LÃI GỘP")</f>
        <v>LÃI GỘP</v>
      </c>
      <c r="C34" s="244"/>
      <c r="D34" s="244"/>
      <c r="E34" s="244"/>
      <c r="F34" s="245"/>
      <c r="G34" s="246"/>
      <c r="H34" s="246"/>
      <c r="I34" s="246"/>
      <c r="J34" s="246"/>
      <c r="K34" s="247"/>
      <c r="L34" s="247"/>
      <c r="M34" s="247"/>
      <c r="N34" s="248">
        <f>N7-N32</f>
        <v>-16002718319</v>
      </c>
      <c r="O34" s="248">
        <f>O7-O32</f>
        <v>-7887306873.1318359</v>
      </c>
      <c r="P34" s="248">
        <f>P7-P32</f>
        <v>-2697704874.0055542</v>
      </c>
      <c r="Q34" s="248">
        <f>Q7-Q32</f>
        <v>-2815341204.909729</v>
      </c>
      <c r="R34" s="248">
        <f>R7-R32</f>
        <v>3126239801.2233887</v>
      </c>
      <c r="S34" s="138"/>
      <c r="T34" s="248">
        <f t="shared" ref="T34:AK34" si="30">T7-T32</f>
        <v>-227938230.24183464</v>
      </c>
      <c r="U34" s="248">
        <f t="shared" si="30"/>
        <v>-448657796.94203186</v>
      </c>
      <c r="V34" s="248">
        <f t="shared" si="30"/>
        <v>-71116452.487890244</v>
      </c>
      <c r="W34" s="248">
        <f t="shared" si="30"/>
        <v>388709545.25375748</v>
      </c>
      <c r="X34" s="248">
        <f t="shared" si="30"/>
        <v>367789232.77026176</v>
      </c>
      <c r="Y34" s="248">
        <f t="shared" si="30"/>
        <v>328475752.00471497</v>
      </c>
      <c r="Z34" s="248">
        <f t="shared" si="30"/>
        <v>301655820.85514259</v>
      </c>
      <c r="AA34" s="248">
        <f t="shared" si="30"/>
        <v>294404798.52180862</v>
      </c>
      <c r="AB34" s="248">
        <f t="shared" si="30"/>
        <v>305151296.70557022</v>
      </c>
      <c r="AC34" s="248">
        <f t="shared" si="30"/>
        <v>650740183.51911354</v>
      </c>
      <c r="AD34" s="248">
        <f t="shared" si="30"/>
        <v>611571575.59603691</v>
      </c>
      <c r="AE34" s="248">
        <f t="shared" si="30"/>
        <v>619125960.66868782</v>
      </c>
      <c r="AF34" s="121"/>
      <c r="AG34" s="247">
        <f t="shared" si="30"/>
        <v>-452184994498994</v>
      </c>
      <c r="AH34" s="247">
        <f t="shared" si="30"/>
        <v>-549725801028734</v>
      </c>
      <c r="AI34" s="247">
        <f t="shared" si="30"/>
        <v>-276032303848477</v>
      </c>
      <c r="AJ34" s="247">
        <f t="shared" si="30"/>
        <v>-1093748962967335</v>
      </c>
      <c r="AK34" s="247">
        <f t="shared" si="30"/>
        <v>-1198595517530881</v>
      </c>
      <c r="AL34" s="139"/>
      <c r="AM34" s="196"/>
      <c r="AN34" s="476"/>
      <c r="AO34" s="473"/>
    </row>
    <row r="35" spans="2:41" s="227" customFormat="1" hidden="1" outlineLevel="1">
      <c r="B35" s="163"/>
      <c r="C35" s="164" t="str">
        <f>IF(B1="EN", "(%) Gross profit Margin", "(%) Tỷ lệ Lãi gộp")</f>
        <v>(%) Tỷ lệ Lãi gộp</v>
      </c>
      <c r="D35" s="165"/>
      <c r="E35" s="165"/>
      <c r="F35" s="166"/>
      <c r="G35" s="167"/>
      <c r="H35" s="167"/>
      <c r="I35" s="167"/>
      <c r="J35" s="167"/>
      <c r="K35" s="168"/>
      <c r="L35" s="168"/>
      <c r="M35" s="168"/>
      <c r="N35" s="168">
        <f t="shared" ref="N35:O35" si="31">IFERROR(N34/N$7,)</f>
        <v>-0.23266700674185906</v>
      </c>
      <c r="O35" s="168">
        <f t="shared" si="31"/>
        <v>-6.3252190484012441E-2</v>
      </c>
      <c r="P35" s="168">
        <f>IFERROR(P34/P$7,)</f>
        <v>-1.4097814692448505E-2</v>
      </c>
      <c r="Q35" s="168">
        <f>IFERROR(Q34/Q$7,)</f>
        <v>-1.6186849233192968E-2</v>
      </c>
      <c r="R35" s="168">
        <f>IFERROR(R34/R$7,)</f>
        <v>1.7261052530783687E-2</v>
      </c>
      <c r="S35" s="168"/>
      <c r="T35" s="168">
        <f>T34/T7</f>
        <v>-1.9794520207602192E-2</v>
      </c>
      <c r="U35" s="168">
        <f t="shared" ref="U35:AE35" si="32">U34/U7</f>
        <v>-5.0094205889529411E-2</v>
      </c>
      <c r="V35" s="168">
        <f t="shared" si="32"/>
        <v>-5.5582797538345696E-3</v>
      </c>
      <c r="W35" s="168">
        <f t="shared" si="32"/>
        <v>2.433341311269311E-2</v>
      </c>
      <c r="X35" s="168">
        <f t="shared" si="32"/>
        <v>2.3023791025138751E-2</v>
      </c>
      <c r="Y35" s="168">
        <f t="shared" si="32"/>
        <v>2.0562747348576972E-2</v>
      </c>
      <c r="Z35" s="168">
        <f t="shared" si="32"/>
        <v>1.8883806164123971E-2</v>
      </c>
      <c r="AA35" s="168">
        <f t="shared" si="32"/>
        <v>1.8429888517694181E-2</v>
      </c>
      <c r="AB35" s="168">
        <f t="shared" si="32"/>
        <v>1.9102624711114811E-2</v>
      </c>
      <c r="AC35" s="168">
        <f t="shared" si="32"/>
        <v>3.7540403545616302E-2</v>
      </c>
      <c r="AD35" s="168">
        <f t="shared" si="32"/>
        <v>3.528081456526385E-2</v>
      </c>
      <c r="AE35" s="168">
        <f t="shared" si="32"/>
        <v>3.5716617780354482E-2</v>
      </c>
      <c r="AF35" s="168"/>
      <c r="AG35" s="168">
        <f t="shared" ref="AG35:AK35" si="33">AG34/AG$7</f>
        <v>-0.73036407268901438</v>
      </c>
      <c r="AH35" s="168">
        <f t="shared" si="33"/>
        <v>-0.80892078081953567</v>
      </c>
      <c r="AI35" s="168">
        <f t="shared" si="33"/>
        <v>-0.3653347441738814</v>
      </c>
      <c r="AJ35" s="168">
        <f t="shared" si="33"/>
        <v>-1.3039704504983216</v>
      </c>
      <c r="AK35" s="168">
        <f t="shared" si="33"/>
        <v>-1.2947032684912387</v>
      </c>
      <c r="AL35" s="226"/>
      <c r="AM35" s="489"/>
      <c r="AN35" s="310"/>
      <c r="AO35" s="473"/>
    </row>
    <row r="36" spans="2:41" collapsed="1">
      <c r="B36" s="171" t="str">
        <f>IF(B1="EN","SELLING &amp; ADMINISTRATIVE EXPENSES (MKT)","CHI PHÍ BÁN HÀNG")</f>
        <v>CHI PHÍ BÁN HÀNG</v>
      </c>
      <c r="C36" s="249"/>
      <c r="D36" s="172"/>
      <c r="E36" s="172"/>
      <c r="F36" s="239"/>
      <c r="G36" s="175"/>
      <c r="H36" s="175"/>
      <c r="I36" s="175"/>
      <c r="J36" s="175"/>
      <c r="K36" s="175"/>
      <c r="L36" s="175"/>
      <c r="M36" s="175"/>
      <c r="N36" s="176">
        <f>N37+N39+N41</f>
        <v>1864168000</v>
      </c>
      <c r="O36" s="176">
        <f>O37+O39+O41</f>
        <v>1630000000</v>
      </c>
      <c r="P36" s="176">
        <f>P37+P39+P41</f>
        <v>0</v>
      </c>
      <c r="Q36" s="176">
        <f>Q37+Q39+Q41</f>
        <v>0</v>
      </c>
      <c r="R36" s="176">
        <f>R37+R39+R41</f>
        <v>0</v>
      </c>
      <c r="S36" s="178"/>
      <c r="T36" s="175">
        <f t="shared" ref="T36:AE36" si="34">T37+T39+T41</f>
        <v>0</v>
      </c>
      <c r="U36" s="175">
        <f t="shared" si="34"/>
        <v>0</v>
      </c>
      <c r="V36" s="175">
        <f t="shared" si="34"/>
        <v>0</v>
      </c>
      <c r="W36" s="175">
        <f t="shared" si="34"/>
        <v>0</v>
      </c>
      <c r="X36" s="175">
        <f t="shared" si="34"/>
        <v>0</v>
      </c>
      <c r="Y36" s="175">
        <f t="shared" si="34"/>
        <v>0</v>
      </c>
      <c r="Z36" s="175">
        <f t="shared" si="34"/>
        <v>0</v>
      </c>
      <c r="AA36" s="175">
        <f t="shared" si="34"/>
        <v>0</v>
      </c>
      <c r="AB36" s="175">
        <f t="shared" si="34"/>
        <v>0</v>
      </c>
      <c r="AC36" s="175">
        <f t="shared" si="34"/>
        <v>0</v>
      </c>
      <c r="AD36" s="175">
        <f t="shared" si="34"/>
        <v>0</v>
      </c>
      <c r="AE36" s="175">
        <f t="shared" si="34"/>
        <v>0</v>
      </c>
      <c r="AF36" s="178"/>
      <c r="AG36" s="175">
        <f>AG37+AG39+AG41</f>
        <v>383824902894673</v>
      </c>
      <c r="AH36" s="175">
        <f t="shared" ref="AH36:AK36" si="35">AH37+AH39+AH41</f>
        <v>425272695485510</v>
      </c>
      <c r="AI36" s="175">
        <f t="shared" si="35"/>
        <v>463185514591688</v>
      </c>
      <c r="AJ36" s="175">
        <f t="shared" si="35"/>
        <v>504413637745073</v>
      </c>
      <c r="AK36" s="175">
        <f t="shared" si="35"/>
        <v>549667372869827</v>
      </c>
      <c r="AL36" s="162"/>
      <c r="AM36" s="483"/>
      <c r="AN36" s="480"/>
      <c r="AO36" s="473"/>
    </row>
    <row r="37" spans="2:41" s="214" customFormat="1" hidden="1" outlineLevel="1">
      <c r="B37" s="126"/>
      <c r="C37" s="128"/>
      <c r="D37" s="209" t="str">
        <f>IF(B1="EN", "Salary&amp;Welfare Expenses (MKT)", "Lương &amp; Phúc lợi (Bán hàng)")</f>
        <v>Lương &amp; Phúc lợi (Bán hàng)</v>
      </c>
      <c r="E37" s="128"/>
      <c r="F37" s="250"/>
      <c r="G37" s="182"/>
      <c r="H37" s="182"/>
      <c r="I37" s="182"/>
      <c r="J37" s="182"/>
      <c r="K37" s="178"/>
      <c r="L37" s="178"/>
      <c r="M37" s="178"/>
      <c r="N37" s="178"/>
      <c r="O37" s="178">
        <f>[1]MKT!H39+[1]MKT!H40</f>
        <v>0</v>
      </c>
      <c r="P37" s="178">
        <f>[1]MKT!I39+[1]MKT!I40</f>
        <v>0</v>
      </c>
      <c r="Q37" s="178">
        <f>[1]MKT!J39+[1]MKT!J40</f>
        <v>0</v>
      </c>
      <c r="R37" s="178">
        <f>[1]MKT!K39+[1]MKT!K40</f>
        <v>0</v>
      </c>
      <c r="S37" s="178"/>
      <c r="T37" s="178">
        <f>[1]MKT!T45-[1]MKT!T43</f>
        <v>0</v>
      </c>
      <c r="U37" s="178">
        <f>[1]MKT!U45-[1]MKT!U43</f>
        <v>0</v>
      </c>
      <c r="V37" s="178">
        <f>[1]MKT!V45-[1]MKT!V43</f>
        <v>0</v>
      </c>
      <c r="W37" s="178">
        <f>[1]MKT!W45-[1]MKT!W43</f>
        <v>0</v>
      </c>
      <c r="X37" s="178">
        <f>[1]MKT!X45-[1]MKT!X43</f>
        <v>0</v>
      </c>
      <c r="Y37" s="178">
        <f>[1]MKT!Y45-[1]MKT!Y43</f>
        <v>0</v>
      </c>
      <c r="Z37" s="178">
        <f>[1]MKT!Z45-[1]MKT!Z43</f>
        <v>0</v>
      </c>
      <c r="AA37" s="178">
        <f>[1]MKT!AA45-[1]MKT!AA43</f>
        <v>0</v>
      </c>
      <c r="AB37" s="178">
        <f>[1]MKT!AB45-[1]MKT!AB43</f>
        <v>0</v>
      </c>
      <c r="AC37" s="178">
        <f>[1]MKT!AC45-[1]MKT!AC43</f>
        <v>0</v>
      </c>
      <c r="AD37" s="178">
        <f>[1]MKT!AD45-[1]MKT!AD43</f>
        <v>0</v>
      </c>
      <c r="AE37" s="178">
        <f>[1]MKT!AE45-[1]MKT!AE43</f>
        <v>0</v>
      </c>
      <c r="AF37" s="178"/>
      <c r="AG37" s="178">
        <v>270157675766797</v>
      </c>
      <c r="AH37" s="178">
        <v>287169585310931</v>
      </c>
      <c r="AI37" s="178">
        <v>311759576586856</v>
      </c>
      <c r="AJ37" s="178">
        <v>338394519427355</v>
      </c>
      <c r="AK37" s="178">
        <v>368393985356586</v>
      </c>
      <c r="AL37" s="123"/>
      <c r="AM37" s="489"/>
      <c r="AN37" s="490"/>
      <c r="AO37" s="473"/>
    </row>
    <row r="38" spans="2:41" s="125" customFormat="1" hidden="1" outlineLevel="1">
      <c r="B38" s="142"/>
      <c r="C38" s="143"/>
      <c r="D38" s="143"/>
      <c r="E38" s="143"/>
      <c r="F38" s="129" t="str">
        <f>IF(B1="EN", "Growth (%)", "Tăng trưởng (%)")</f>
        <v>Tăng trưởng (%)</v>
      </c>
      <c r="G38" s="130"/>
      <c r="H38" s="130"/>
      <c r="I38" s="130"/>
      <c r="J38" s="130"/>
      <c r="K38" s="131"/>
      <c r="L38" s="131"/>
      <c r="M38" s="131"/>
      <c r="N38" s="131">
        <f>IFERROR(N37/M37-1,)</f>
        <v>0</v>
      </c>
      <c r="O38" s="131">
        <f t="shared" ref="O38" si="36">IFERROR(O37/N37-1,)</f>
        <v>0</v>
      </c>
      <c r="P38" s="131">
        <f>IFERROR(P37/O37-1,)</f>
        <v>0</v>
      </c>
      <c r="Q38" s="131">
        <f>IFERROR(Q37/O37-1,)</f>
        <v>0</v>
      </c>
      <c r="R38" s="131">
        <f>IFERROR(R37/Q37-1,)</f>
        <v>0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251">
        <v>882316405029.06006</v>
      </c>
      <c r="AH38" s="251">
        <v>6297029871851.3203</v>
      </c>
      <c r="AI38" s="251">
        <v>8562881493630.4502</v>
      </c>
      <c r="AJ38" s="251">
        <v>854342411293.29004</v>
      </c>
      <c r="AK38" s="251">
        <v>886523398192.06995</v>
      </c>
      <c r="AL38" s="144"/>
      <c r="AM38" s="196"/>
      <c r="AN38" s="474"/>
      <c r="AO38" s="473"/>
    </row>
    <row r="39" spans="2:41" s="214" customFormat="1" hidden="1" outlineLevel="1">
      <c r="B39" s="126"/>
      <c r="C39" s="128"/>
      <c r="D39" s="209" t="str">
        <f>IF(B1="EN", "Operating Expenses (MKT)", "Chi phí hoạt động (Bán hàng)")</f>
        <v>Chi phí hoạt động (Bán hàng)</v>
      </c>
      <c r="E39" s="128"/>
      <c r="F39" s="250"/>
      <c r="G39" s="182"/>
      <c r="H39" s="182"/>
      <c r="I39" s="182"/>
      <c r="J39" s="182"/>
      <c r="K39" s="178"/>
      <c r="L39" s="178"/>
      <c r="M39" s="178"/>
      <c r="N39" s="177">
        <f>[1]MKT!G37</f>
        <v>1864168000</v>
      </c>
      <c r="O39" s="177">
        <f>[1]MKT!H37</f>
        <v>1630000000</v>
      </c>
      <c r="P39" s="177">
        <f>[1]MKT!I37</f>
        <v>0</v>
      </c>
      <c r="Q39" s="177">
        <f>[1]MKT!J37</f>
        <v>0</v>
      </c>
      <c r="R39" s="177">
        <f>[1]MKT!K37</f>
        <v>0</v>
      </c>
      <c r="S39" s="178"/>
      <c r="T39" s="178">
        <f>[1]MKT!T37</f>
        <v>0</v>
      </c>
      <c r="U39" s="178">
        <f>[1]MKT!U37</f>
        <v>0</v>
      </c>
      <c r="V39" s="178">
        <f>[1]MKT!V37</f>
        <v>0</v>
      </c>
      <c r="W39" s="178">
        <f>[1]MKT!W37</f>
        <v>0</v>
      </c>
      <c r="X39" s="178">
        <f>[1]MKT!X37</f>
        <v>0</v>
      </c>
      <c r="Y39" s="178">
        <f>[1]MKT!Y37</f>
        <v>0</v>
      </c>
      <c r="Z39" s="178">
        <f>[1]MKT!Z37</f>
        <v>0</v>
      </c>
      <c r="AA39" s="178">
        <f>[1]MKT!AA37</f>
        <v>0</v>
      </c>
      <c r="AB39" s="178">
        <f>[1]MKT!AB37</f>
        <v>0</v>
      </c>
      <c r="AC39" s="178">
        <f>[1]MKT!AC37</f>
        <v>0</v>
      </c>
      <c r="AD39" s="178">
        <f>[1]MKT!AD37</f>
        <v>0</v>
      </c>
      <c r="AE39" s="178">
        <f>[1]MKT!AE37</f>
        <v>0</v>
      </c>
      <c r="AF39" s="178"/>
      <c r="AG39" s="178">
        <v>113644513893249</v>
      </c>
      <c r="AH39" s="178">
        <v>138084910855454</v>
      </c>
      <c r="AI39" s="178">
        <v>151410435471037</v>
      </c>
      <c r="AJ39" s="178">
        <v>166006225370271</v>
      </c>
      <c r="AK39" s="178">
        <v>181261685977154</v>
      </c>
      <c r="AL39" s="123"/>
      <c r="AM39" s="489"/>
      <c r="AN39" s="480"/>
      <c r="AO39" s="473"/>
    </row>
    <row r="40" spans="2:41" s="125" customFormat="1" hidden="1" outlineLevel="1">
      <c r="B40" s="126"/>
      <c r="C40" s="128"/>
      <c r="D40" s="128"/>
      <c r="E40" s="128"/>
      <c r="F40" s="129" t="str">
        <f>IF(B1="EN", "Growth (%)", "Tăng trưởng (%)")</f>
        <v>Tăng trưởng (%)</v>
      </c>
      <c r="G40" s="130"/>
      <c r="H40" s="130"/>
      <c r="I40" s="130"/>
      <c r="J40" s="130"/>
      <c r="K40" s="131"/>
      <c r="L40" s="131"/>
      <c r="M40" s="131"/>
      <c r="N40" s="131">
        <f>IFERROR(N39/M39-1,)</f>
        <v>0</v>
      </c>
      <c r="O40" s="131">
        <f t="shared" ref="O40" si="37">IFERROR(O39/N39-1,)</f>
        <v>-0.12561528789250753</v>
      </c>
      <c r="P40" s="131">
        <f>IFERROR(P39/O39-1,)</f>
        <v>-1</v>
      </c>
      <c r="Q40" s="131">
        <f>IFERROR(Q39/O39-1,)</f>
        <v>-1</v>
      </c>
      <c r="R40" s="131">
        <f>IFERROR(R39/Q39-1,)</f>
        <v>0</v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251" t="e">
        <f>AG39/Q39-1</f>
        <v>#DIV/0!</v>
      </c>
      <c r="AH40" s="251">
        <f t="shared" ref="AH40:AK40" si="38">AH39/AG39-1</f>
        <v>0.21506006867311589</v>
      </c>
      <c r="AI40" s="251">
        <f t="shared" si="38"/>
        <v>9.6502395033821076E-2</v>
      </c>
      <c r="AJ40" s="251">
        <f t="shared" si="38"/>
        <v>9.6398837067118714E-2</v>
      </c>
      <c r="AK40" s="251">
        <f t="shared" si="38"/>
        <v>9.1896918762270685E-2</v>
      </c>
      <c r="AL40" s="123"/>
      <c r="AM40" s="196"/>
      <c r="AN40" s="474"/>
      <c r="AO40" s="473"/>
    </row>
    <row r="41" spans="2:41" s="125" customFormat="1" hidden="1" outlineLevel="1">
      <c r="C41" s="128"/>
      <c r="D41" s="209" t="str">
        <f>IF(B1="EN", "Depreciation &amp; Amortization (MKT)", "Chi phí khấu hao (Bán hàng)")</f>
        <v>Chi phí khấu hao (Bán hàng)</v>
      </c>
      <c r="E41" s="128"/>
      <c r="F41" s="252"/>
      <c r="G41" s="253"/>
      <c r="H41" s="253"/>
      <c r="I41" s="253"/>
      <c r="J41" s="253"/>
      <c r="K41" s="254"/>
      <c r="L41" s="254"/>
      <c r="M41" s="254"/>
      <c r="N41" s="254"/>
      <c r="O41" s="178">
        <f>[1]MKT!H43+[1]MKT!H44</f>
        <v>0</v>
      </c>
      <c r="P41" s="178">
        <f>[1]MKT!I43+[1]MKT!I44</f>
        <v>0</v>
      </c>
      <c r="Q41" s="178">
        <f>[1]MKT!J43+[1]MKT!J44</f>
        <v>0</v>
      </c>
      <c r="R41" s="255">
        <f>[1]Depreciation!L38</f>
        <v>0</v>
      </c>
      <c r="S41" s="255"/>
      <c r="T41" s="256">
        <f>[1]MKT!T43</f>
        <v>0</v>
      </c>
      <c r="U41" s="256">
        <f>[1]MKT!U43</f>
        <v>0</v>
      </c>
      <c r="V41" s="256">
        <f>[1]MKT!V43</f>
        <v>0</v>
      </c>
      <c r="W41" s="256">
        <f>[1]MKT!W43</f>
        <v>0</v>
      </c>
      <c r="X41" s="256">
        <f>[1]MKT!X43</f>
        <v>0</v>
      </c>
      <c r="Y41" s="256">
        <f>[1]MKT!Y43</f>
        <v>0</v>
      </c>
      <c r="Z41" s="256">
        <f>[1]MKT!Z43</f>
        <v>0</v>
      </c>
      <c r="AA41" s="256">
        <f>[1]MKT!AA43</f>
        <v>0</v>
      </c>
      <c r="AB41" s="256">
        <f>[1]MKT!AB43</f>
        <v>0</v>
      </c>
      <c r="AC41" s="256">
        <f>[1]MKT!AC43</f>
        <v>0</v>
      </c>
      <c r="AD41" s="256">
        <f>[1]MKT!AD43</f>
        <v>0</v>
      </c>
      <c r="AE41" s="256">
        <f>[1]MKT!AE43</f>
        <v>0</v>
      </c>
      <c r="AF41" s="255"/>
      <c r="AG41" s="178">
        <v>22713234627</v>
      </c>
      <c r="AH41" s="178">
        <v>18199319125</v>
      </c>
      <c r="AI41" s="178">
        <v>15502533795</v>
      </c>
      <c r="AJ41" s="178">
        <v>12892947447</v>
      </c>
      <c r="AK41" s="178">
        <v>11701536087</v>
      </c>
      <c r="AL41" s="123"/>
      <c r="AM41" s="196"/>
      <c r="AN41" s="491"/>
      <c r="AO41" s="473"/>
    </row>
    <row r="42" spans="2:41" s="227" customFormat="1" hidden="1" outlineLevel="1">
      <c r="B42" s="223"/>
      <c r="C42" s="164" t="str">
        <f>IF(B1="EN", "MKT Expenses on Net Sales (%)", "Chi phí Bán hàng / Doanh thu (%)")</f>
        <v>Chi phí Bán hàng / Doanh thu (%)</v>
      </c>
      <c r="D42" s="224"/>
      <c r="E42" s="224"/>
      <c r="F42" s="225"/>
      <c r="G42" s="167"/>
      <c r="H42" s="167"/>
      <c r="I42" s="167"/>
      <c r="J42" s="167"/>
      <c r="K42" s="168"/>
      <c r="L42" s="168"/>
      <c r="M42" s="168"/>
      <c r="N42" s="168">
        <f>IFERROR(N36/N7,)</f>
        <v>2.7103544533992736E-2</v>
      </c>
      <c r="O42" s="168">
        <f t="shared" ref="O42:R42" si="39">IFERROR(O36/O7,)</f>
        <v>1.3071771156787974E-2</v>
      </c>
      <c r="P42" s="168">
        <f>IFERROR(P36/P7,)</f>
        <v>0</v>
      </c>
      <c r="Q42" s="168">
        <f>IFERROR(Q36/Q7,)</f>
        <v>0</v>
      </c>
      <c r="R42" s="168">
        <f t="shared" si="39"/>
        <v>0</v>
      </c>
      <c r="S42" s="168"/>
      <c r="T42" s="168">
        <f>T36/T7</f>
        <v>0</v>
      </c>
      <c r="U42" s="168">
        <f t="shared" ref="U42:AE42" si="40">U36/U7</f>
        <v>0</v>
      </c>
      <c r="V42" s="168">
        <f t="shared" si="40"/>
        <v>0</v>
      </c>
      <c r="W42" s="168">
        <f t="shared" si="40"/>
        <v>0</v>
      </c>
      <c r="X42" s="168">
        <f t="shared" si="40"/>
        <v>0</v>
      </c>
      <c r="Y42" s="168">
        <f t="shared" si="40"/>
        <v>0</v>
      </c>
      <c r="Z42" s="168">
        <f t="shared" si="40"/>
        <v>0</v>
      </c>
      <c r="AA42" s="168">
        <f t="shared" si="40"/>
        <v>0</v>
      </c>
      <c r="AB42" s="168">
        <f t="shared" si="40"/>
        <v>0</v>
      </c>
      <c r="AC42" s="168">
        <f t="shared" si="40"/>
        <v>0</v>
      </c>
      <c r="AD42" s="168">
        <f t="shared" si="40"/>
        <v>0</v>
      </c>
      <c r="AE42" s="168">
        <f t="shared" si="40"/>
        <v>0</v>
      </c>
      <c r="AF42" s="168"/>
      <c r="AG42" s="168">
        <f t="shared" ref="AG42:AK42" si="41">AG36/AG7</f>
        <v>0.61994962833345968</v>
      </c>
      <c r="AH42" s="168">
        <f t="shared" si="41"/>
        <v>0.62578820249949663</v>
      </c>
      <c r="AI42" s="168">
        <f t="shared" si="41"/>
        <v>0.61303607990494846</v>
      </c>
      <c r="AJ42" s="168">
        <f t="shared" si="41"/>
        <v>0.60136329333149141</v>
      </c>
      <c r="AK42" s="168">
        <f t="shared" si="41"/>
        <v>0.5937417033759449</v>
      </c>
      <c r="AL42" s="226"/>
      <c r="AM42" s="489"/>
      <c r="AN42" s="310"/>
      <c r="AO42" s="473"/>
    </row>
    <row r="43" spans="2:41">
      <c r="B43" s="171" t="str">
        <f>IF(B1="en","GENERAL &amp; ADMINISTRATION EXPENSES (ADM)","CHI PHÍ QUẢN LÝ")</f>
        <v>CHI PHÍ QUẢN LÝ</v>
      </c>
      <c r="C43" s="172"/>
      <c r="D43" s="172"/>
      <c r="E43" s="172"/>
      <c r="F43" s="239"/>
      <c r="G43" s="175"/>
      <c r="H43" s="175"/>
      <c r="I43" s="175"/>
      <c r="J43" s="175"/>
      <c r="K43" s="175"/>
      <c r="L43" s="175"/>
      <c r="M43" s="175"/>
      <c r="N43" s="176">
        <f t="shared" ref="N43:O43" si="42">N44+N46+N48</f>
        <v>4726260715</v>
      </c>
      <c r="O43" s="176">
        <f t="shared" si="42"/>
        <v>2854734951</v>
      </c>
      <c r="P43" s="176">
        <f>P44+P46+P48</f>
        <v>4126442350.8333335</v>
      </c>
      <c r="Q43" s="176">
        <f>Q44+Q46+Q48</f>
        <v>3920474154</v>
      </c>
      <c r="R43" s="176">
        <f>R44+R46+R48</f>
        <v>6204555456.9343004</v>
      </c>
      <c r="S43" s="177"/>
      <c r="T43" s="176">
        <f t="shared" ref="T43:AE43" si="43">T44+T46+T48</f>
        <v>551637414.9685992</v>
      </c>
      <c r="U43" s="176">
        <f t="shared" si="43"/>
        <v>485460253.63526577</v>
      </c>
      <c r="V43" s="176">
        <f t="shared" si="43"/>
        <v>514719819.30193239</v>
      </c>
      <c r="W43" s="176">
        <f t="shared" si="43"/>
        <v>519555439.74637687</v>
      </c>
      <c r="X43" s="176">
        <f t="shared" si="43"/>
        <v>501046234.24637687</v>
      </c>
      <c r="Y43" s="176">
        <f t="shared" si="43"/>
        <v>663867383.49082136</v>
      </c>
      <c r="Z43" s="176">
        <f t="shared" si="43"/>
        <v>488645507.29082125</v>
      </c>
      <c r="AA43" s="176">
        <f t="shared" si="43"/>
        <v>519020507.09082133</v>
      </c>
      <c r="AB43" s="176">
        <f t="shared" si="43"/>
        <v>497692983.79082137</v>
      </c>
      <c r="AC43" s="176">
        <f t="shared" si="43"/>
        <v>479216937.12415463</v>
      </c>
      <c r="AD43" s="176">
        <f t="shared" si="43"/>
        <v>494762426.12415463</v>
      </c>
      <c r="AE43" s="176">
        <f t="shared" si="43"/>
        <v>488930550.12415463</v>
      </c>
      <c r="AF43" s="178"/>
      <c r="AG43" s="175">
        <f>AG44+AG46+AG48</f>
        <v>317910418663708</v>
      </c>
      <c r="AH43" s="175">
        <f t="shared" ref="AH43:AK43" si="44">AH44+AH46+AH48</f>
        <v>351184385321662</v>
      </c>
      <c r="AI43" s="175">
        <f t="shared" si="44"/>
        <v>381071966254553</v>
      </c>
      <c r="AJ43" s="175">
        <f t="shared" si="44"/>
        <v>409610799944675</v>
      </c>
      <c r="AK43" s="175">
        <f t="shared" si="44"/>
        <v>443470078085952</v>
      </c>
      <c r="AL43" s="162"/>
      <c r="AM43" s="483"/>
      <c r="AN43" s="480"/>
      <c r="AO43" s="473"/>
    </row>
    <row r="44" spans="2:41" s="214" customFormat="1" outlineLevel="1">
      <c r="B44" s="126"/>
      <c r="C44" s="128"/>
      <c r="D44" s="209" t="str">
        <f>IF(B1="EN", "Salary&amp;Welfare Expenses (ADM)", "Lương &amp; Phúc lợi (Quản lý)")</f>
        <v>Lương &amp; Phúc lợi (Quản lý)</v>
      </c>
      <c r="E44" s="128"/>
      <c r="F44" s="250"/>
      <c r="G44" s="182"/>
      <c r="H44" s="182"/>
      <c r="I44" s="182"/>
      <c r="J44" s="182"/>
      <c r="K44" s="178"/>
      <c r="L44" s="178"/>
      <c r="M44" s="178"/>
      <c r="N44" s="177">
        <v>2423478070</v>
      </c>
      <c r="O44" s="177">
        <v>1683906640</v>
      </c>
      <c r="P44" s="177">
        <f>[1]ADM!I45</f>
        <v>2894287550</v>
      </c>
      <c r="Q44" s="177">
        <f>[1]ADM!J45</f>
        <v>2824889563</v>
      </c>
      <c r="R44" s="177">
        <f>SUM(T44:AE44)</f>
        <v>4743544772</v>
      </c>
      <c r="S44" s="177"/>
      <c r="T44" s="177">
        <f>[1]ADM!T45-[1]ADM!T43</f>
        <v>431982954.06666666</v>
      </c>
      <c r="U44" s="177">
        <f>[1]ADM!U45-[1]ADM!U43</f>
        <v>377389126.06666666</v>
      </c>
      <c r="V44" s="177">
        <f>[1]ADM!V45-[1]ADM!V43</f>
        <v>361244525.06666666</v>
      </c>
      <c r="W44" s="177">
        <f>[1]ADM!W45-[1]ADM!W43</f>
        <v>384144474.06666666</v>
      </c>
      <c r="X44" s="177">
        <f>[1]ADM!X45-[1]ADM!X43</f>
        <v>371322768.56666666</v>
      </c>
      <c r="Y44" s="177">
        <f>[1]ADM!Y45-[1]ADM!Y43</f>
        <v>549449473.36666667</v>
      </c>
      <c r="Z44" s="177">
        <f>[1]ADM!Z45-[1]ADM!Z43</f>
        <v>377227597.16666663</v>
      </c>
      <c r="AA44" s="177">
        <f>[1]ADM!AA45-[1]ADM!AA43</f>
        <v>377227596.9666667</v>
      </c>
      <c r="AB44" s="177">
        <f>[1]ADM!AB45-[1]ADM!AB43</f>
        <v>382531323.66666669</v>
      </c>
      <c r="AC44" s="177">
        <f>[1]ADM!AC45-[1]ADM!AC43</f>
        <v>369255277</v>
      </c>
      <c r="AD44" s="177">
        <f>[1]ADM!AD45-[1]ADM!AD43</f>
        <v>384800766</v>
      </c>
      <c r="AE44" s="177">
        <f>[1]ADM!AE45-[1]ADM!AE43</f>
        <v>376968890</v>
      </c>
      <c r="AF44" s="178"/>
      <c r="AG44" s="178">
        <v>189485423854352</v>
      </c>
      <c r="AH44" s="178">
        <v>198970731952184</v>
      </c>
      <c r="AI44" s="178">
        <v>213100080601587</v>
      </c>
      <c r="AJ44" s="178">
        <v>224382758943996</v>
      </c>
      <c r="AK44" s="178">
        <v>240199052340779</v>
      </c>
      <c r="AL44" s="123"/>
      <c r="AM44" s="492"/>
      <c r="AN44" s="480"/>
      <c r="AO44" s="473"/>
    </row>
    <row r="45" spans="2:41" s="125" customFormat="1" outlineLevel="1">
      <c r="B45" s="126"/>
      <c r="C45" s="128"/>
      <c r="D45" s="128"/>
      <c r="E45" s="128"/>
      <c r="F45" s="129" t="str">
        <f>IF(B1="EN", "Growth (%)", "Tăng trưởng (%)")</f>
        <v>Tăng trưởng (%)</v>
      </c>
      <c r="G45" s="182"/>
      <c r="H45" s="130"/>
      <c r="I45" s="130"/>
      <c r="J45" s="130"/>
      <c r="K45" s="131"/>
      <c r="L45" s="131"/>
      <c r="M45" s="131"/>
      <c r="N45" s="131">
        <f>IFERROR(N44/M44-1,)</f>
        <v>0</v>
      </c>
      <c r="O45" s="131">
        <f t="shared" ref="O45" si="45">IFERROR(O44/N44-1,)</f>
        <v>-0.30516943361488724</v>
      </c>
      <c r="P45" s="131">
        <f>IFERROR(P44/O44-1,)</f>
        <v>0.71879335899524688</v>
      </c>
      <c r="Q45" s="131">
        <f>IFERROR(Q44/O44-1,)</f>
        <v>0.67758086814124097</v>
      </c>
      <c r="R45" s="131">
        <f>IFERROR(R44/Q44-1,)</f>
        <v>0.67919653714264516</v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251">
        <v>882316405029.06006</v>
      </c>
      <c r="AH45" s="251">
        <v>6297029871851.3203</v>
      </c>
      <c r="AI45" s="251">
        <v>8562881493630.4502</v>
      </c>
      <c r="AJ45" s="251">
        <v>854342411293.29004</v>
      </c>
      <c r="AK45" s="251">
        <v>886523398192.06995</v>
      </c>
      <c r="AL45" s="123"/>
      <c r="AM45" s="196"/>
      <c r="AN45" s="474"/>
      <c r="AO45" s="473"/>
    </row>
    <row r="46" spans="2:41" s="214" customFormat="1" outlineLevel="1">
      <c r="B46" s="126"/>
      <c r="C46" s="128"/>
      <c r="D46" s="209" t="str">
        <f>IF(B1="EN", "Operating Expenses (ADM)", "Chi phí hoạt động (Quản lý)")</f>
        <v>Chi phí hoạt động (Quản lý)</v>
      </c>
      <c r="E46" s="128"/>
      <c r="F46" s="250"/>
      <c r="G46" s="182"/>
      <c r="H46" s="182"/>
      <c r="I46" s="182"/>
      <c r="J46" s="182"/>
      <c r="K46" s="178"/>
      <c r="L46" s="178"/>
      <c r="M46" s="178"/>
      <c r="N46" s="177">
        <v>2210131179</v>
      </c>
      <c r="O46" s="177">
        <v>1084726845</v>
      </c>
      <c r="P46" s="177">
        <f>[1]ADM!I37</f>
        <v>1146053334.8333335</v>
      </c>
      <c r="Q46" s="177">
        <f>[1]ADM!J37</f>
        <v>1009483127</v>
      </c>
      <c r="R46" s="177">
        <f>[1]ADM!K37</f>
        <v>1429289092.723774</v>
      </c>
      <c r="S46" s="178"/>
      <c r="T46" s="177">
        <f>[1]ADM!T37</f>
        <v>117010994.88438857</v>
      </c>
      <c r="U46" s="177">
        <f>[1]ADM!U37</f>
        <v>105427661.55105525</v>
      </c>
      <c r="V46" s="177">
        <f>[1]ADM!V37</f>
        <v>150831828.21772191</v>
      </c>
      <c r="W46" s="177">
        <f>[1]ADM!W37</f>
        <v>132767499.66216636</v>
      </c>
      <c r="X46" s="177">
        <f>[1]ADM!X37</f>
        <v>127079999.66216636</v>
      </c>
      <c r="Y46" s="177">
        <f>[1]ADM!Y37</f>
        <v>111774444.1066108</v>
      </c>
      <c r="Z46" s="177">
        <f>[1]ADM!Z37</f>
        <v>108774444.1066108</v>
      </c>
      <c r="AA46" s="177">
        <f>[1]ADM!AA37</f>
        <v>139149444.1066108</v>
      </c>
      <c r="AB46" s="177">
        <f>[1]ADM!AB37</f>
        <v>112518194.1066108</v>
      </c>
      <c r="AC46" s="177">
        <f>[1]ADM!AC37</f>
        <v>107318194.1066108</v>
      </c>
      <c r="AD46" s="177">
        <f>[1]ADM!AD37</f>
        <v>107318194.1066108</v>
      </c>
      <c r="AE46" s="177">
        <f>[1]ADM!AE37</f>
        <v>109318194.1066108</v>
      </c>
      <c r="AF46" s="178"/>
      <c r="AG46" s="178">
        <v>128416183705295</v>
      </c>
      <c r="AH46" s="178">
        <v>152205862380305</v>
      </c>
      <c r="AI46" s="178">
        <v>167965498397799</v>
      </c>
      <c r="AJ46" s="178">
        <v>185227433130991</v>
      </c>
      <c r="AK46" s="178">
        <v>203269537541841</v>
      </c>
      <c r="AL46" s="123"/>
      <c r="AM46" s="489"/>
      <c r="AN46" s="480"/>
      <c r="AO46" s="473"/>
    </row>
    <row r="47" spans="2:41" s="125" customFormat="1" outlineLevel="1">
      <c r="B47" s="126"/>
      <c r="C47" s="128"/>
      <c r="D47" s="128"/>
      <c r="E47" s="128"/>
      <c r="F47" s="129" t="str">
        <f>IF(B1="EN", "Growth (%)", "Tăng trưởng (%)")</f>
        <v>Tăng trưởng (%)</v>
      </c>
      <c r="G47" s="182"/>
      <c r="H47" s="130"/>
      <c r="I47" s="130"/>
      <c r="J47" s="130"/>
      <c r="K47" s="131"/>
      <c r="L47" s="131"/>
      <c r="M47" s="131"/>
      <c r="N47" s="131">
        <f>IFERROR(N46/M46-1,)</f>
        <v>0</v>
      </c>
      <c r="O47" s="131">
        <f t="shared" ref="O47" si="46">IFERROR(O46/N46-1,)</f>
        <v>-0.50920250557670632</v>
      </c>
      <c r="P47" s="131">
        <f>IFERROR(P46/O46-1,)</f>
        <v>5.6536343795689392E-2</v>
      </c>
      <c r="Q47" s="131">
        <f>IFERROR(Q46/O46-1,)</f>
        <v>-6.9366512266966107E-2</v>
      </c>
      <c r="R47" s="131">
        <f>IFERROR(R46/Q46-1,)</f>
        <v>0.41586229080555404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251">
        <v>6565991010430.3604</v>
      </c>
      <c r="AH47" s="251">
        <v>6525416959720.9805</v>
      </c>
      <c r="AI47" s="251">
        <v>6335335018549.9404</v>
      </c>
      <c r="AJ47" s="251">
        <v>6167189288903.6797</v>
      </c>
      <c r="AK47" s="251">
        <v>6063688714070.4805</v>
      </c>
      <c r="AL47" s="123"/>
      <c r="AM47" s="196"/>
      <c r="AN47" s="474"/>
      <c r="AO47" s="473"/>
    </row>
    <row r="48" spans="2:41" s="125" customFormat="1" outlineLevel="1">
      <c r="B48" s="126"/>
      <c r="C48" s="128"/>
      <c r="D48" s="209" t="str">
        <f>IF(B1="EN", "Depreciation &amp; Amortization (ADM)", "Chi phí khấu hao (Quản lý)")</f>
        <v>Chi phí khấu hao (Quản lý)</v>
      </c>
      <c r="E48" s="128"/>
      <c r="F48" s="129"/>
      <c r="G48" s="182"/>
      <c r="H48" s="130"/>
      <c r="I48" s="130"/>
      <c r="J48" s="130"/>
      <c r="K48" s="254"/>
      <c r="L48" s="254"/>
      <c r="M48" s="254"/>
      <c r="N48" s="177">
        <f>[1]Depreciation!H39</f>
        <v>92651466</v>
      </c>
      <c r="O48" s="177">
        <f>[1]Depreciation!I39</f>
        <v>86101466</v>
      </c>
      <c r="P48" s="177">
        <f>-[1]Depreciation!J39</f>
        <v>86101466</v>
      </c>
      <c r="Q48" s="177">
        <f>-[1]Depreciation!K39</f>
        <v>86101464</v>
      </c>
      <c r="R48" s="177">
        <f>-[1]Depreciation!L39</f>
        <v>31721592.210526317</v>
      </c>
      <c r="S48" s="254"/>
      <c r="T48" s="177">
        <f>-[1]ADM!T43</f>
        <v>2643466.0175438598</v>
      </c>
      <c r="U48" s="177">
        <f>-[1]ADM!U43</f>
        <v>2643466.0175438598</v>
      </c>
      <c r="V48" s="177">
        <f>-[1]ADM!V43</f>
        <v>2643466.0175438598</v>
      </c>
      <c r="W48" s="177">
        <f>-[1]ADM!W43</f>
        <v>2643466.0175438598</v>
      </c>
      <c r="X48" s="177">
        <f>-[1]ADM!X43</f>
        <v>2643466.0175438598</v>
      </c>
      <c r="Y48" s="177">
        <f>-[1]ADM!Y43</f>
        <v>2643466.0175438598</v>
      </c>
      <c r="Z48" s="177">
        <f>-[1]ADM!Z43</f>
        <v>2643466.0175438598</v>
      </c>
      <c r="AA48" s="177">
        <f>-[1]ADM!AA43</f>
        <v>2643466.0175438598</v>
      </c>
      <c r="AB48" s="177">
        <f>-[1]ADM!AB43</f>
        <v>2643466.0175438598</v>
      </c>
      <c r="AC48" s="177">
        <f>-[1]ADM!AC43</f>
        <v>2643466.0175438598</v>
      </c>
      <c r="AD48" s="177">
        <f>-[1]ADM!AD43</f>
        <v>2643466.0175438598</v>
      </c>
      <c r="AE48" s="177">
        <f>-[1]ADM!AE43</f>
        <v>2643466.0175438598</v>
      </c>
      <c r="AF48" s="254"/>
      <c r="AG48" s="260">
        <v>8811104061</v>
      </c>
      <c r="AH48" s="260">
        <v>7790989173</v>
      </c>
      <c r="AI48" s="260">
        <v>6387255167</v>
      </c>
      <c r="AJ48" s="260">
        <v>607869688</v>
      </c>
      <c r="AK48" s="260">
        <v>1488203332</v>
      </c>
      <c r="AL48" s="123"/>
      <c r="AM48" s="196"/>
      <c r="AN48" s="480"/>
      <c r="AO48" s="473"/>
    </row>
    <row r="49" spans="2:45" s="170" customFormat="1" outlineLevel="1">
      <c r="B49" s="163"/>
      <c r="C49" s="164" t="str">
        <f>IF(B1="EN", "ADM Expenses on Net Sales (%)", "Chi phí Quản lý / Doanh thu (%)")</f>
        <v>Chi phí Quản lý / Doanh thu (%)</v>
      </c>
      <c r="D49" s="165"/>
      <c r="E49" s="165"/>
      <c r="F49" s="166"/>
      <c r="G49" s="167"/>
      <c r="H49" s="167"/>
      <c r="I49" s="167"/>
      <c r="J49" s="167"/>
      <c r="K49" s="168"/>
      <c r="L49" s="168"/>
      <c r="M49" s="168"/>
      <c r="N49" s="168">
        <f t="shared" ref="N49:O49" si="47">IFERROR(N43/N7,)</f>
        <v>6.8716133829280865E-2</v>
      </c>
      <c r="O49" s="168">
        <f t="shared" si="47"/>
        <v>2.2893522694942534E-2</v>
      </c>
      <c r="P49" s="168">
        <f>IFERROR(P43/P7,)</f>
        <v>2.156418967903757E-2</v>
      </c>
      <c r="Q49" s="168">
        <f>IFERROR(Q43/Q7,)</f>
        <v>2.254082877867819E-2</v>
      </c>
      <c r="R49" s="168">
        <f>IFERROR(R43/R7,)</f>
        <v>3.4257499258500038E-2</v>
      </c>
      <c r="S49" s="168"/>
      <c r="T49" s="168">
        <f>T43/T7</f>
        <v>4.7905074748892565E-2</v>
      </c>
      <c r="U49" s="168">
        <f t="shared" ref="U49:AE49" si="48">U43/U7</f>
        <v>5.4203328377530099E-2</v>
      </c>
      <c r="V49" s="168">
        <f t="shared" si="48"/>
        <v>4.022918256518046E-2</v>
      </c>
      <c r="W49" s="168">
        <f t="shared" si="48"/>
        <v>3.2524431943244933E-2</v>
      </c>
      <c r="X49" s="168">
        <f t="shared" si="48"/>
        <v>3.1365746366009611E-2</v>
      </c>
      <c r="Y49" s="168">
        <f t="shared" si="48"/>
        <v>4.1558432232424489E-2</v>
      </c>
      <c r="Z49" s="168">
        <f t="shared" si="48"/>
        <v>3.0589454619146913E-2</v>
      </c>
      <c r="AA49" s="168">
        <f t="shared" si="48"/>
        <v>3.2490944889854968E-2</v>
      </c>
      <c r="AB49" s="168">
        <f t="shared" si="48"/>
        <v>3.1155831200298689E-2</v>
      </c>
      <c r="AC49" s="168">
        <f t="shared" si="48"/>
        <v>2.7645437704872575E-2</v>
      </c>
      <c r="AD49" s="168">
        <f t="shared" si="48"/>
        <v>2.8542237910475367E-2</v>
      </c>
      <c r="AE49" s="168">
        <f t="shared" si="48"/>
        <v>2.8205804132428885E-2</v>
      </c>
      <c r="AF49" s="168"/>
      <c r="AG49" s="168">
        <f t="shared" ref="AG49:AK49" si="49">AG43/AG7</f>
        <v>0.51348530125984082</v>
      </c>
      <c r="AH49" s="168">
        <f t="shared" si="49"/>
        <v>0.51676735320483658</v>
      </c>
      <c r="AI49" s="168">
        <f t="shared" si="49"/>
        <v>0.50435701677824918</v>
      </c>
      <c r="AJ49" s="168">
        <f t="shared" si="49"/>
        <v>0.48833909554873545</v>
      </c>
      <c r="AK49" s="168">
        <f t="shared" si="49"/>
        <v>0.47902912298448008</v>
      </c>
      <c r="AL49" s="169"/>
      <c r="AM49" s="196"/>
      <c r="AN49" s="310"/>
      <c r="AO49" s="473"/>
    </row>
    <row r="50" spans="2:45" s="192" customFormat="1" outlineLevel="1">
      <c r="B50" s="142"/>
      <c r="C50" s="237"/>
      <c r="E50" s="143"/>
      <c r="F50" s="188"/>
      <c r="G50" s="261"/>
      <c r="H50" s="261"/>
      <c r="I50" s="261"/>
      <c r="J50" s="261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144"/>
      <c r="AM50" s="493"/>
      <c r="AN50" s="494"/>
      <c r="AO50" s="473"/>
    </row>
    <row r="51" spans="2:45" s="141" customFormat="1">
      <c r="B51" s="243" t="s">
        <v>111</v>
      </c>
      <c r="C51" s="264"/>
      <c r="D51" s="264"/>
      <c r="E51" s="264"/>
      <c r="F51" s="265"/>
      <c r="G51" s="247"/>
      <c r="H51" s="247"/>
      <c r="I51" s="247"/>
      <c r="J51" s="247"/>
      <c r="K51" s="247"/>
      <c r="L51" s="247"/>
      <c r="M51" s="247"/>
      <c r="N51" s="248">
        <f t="shared" ref="N51" si="50">N34-N36-N43</f>
        <v>-22593147034</v>
      </c>
      <c r="O51" s="248">
        <f>O34-O36-O43</f>
        <v>-12372041824.131836</v>
      </c>
      <c r="P51" s="248">
        <f>P34-P36-P43</f>
        <v>-6824147224.8388882</v>
      </c>
      <c r="Q51" s="248">
        <f>Q34-Q36-Q43</f>
        <v>-6735815358.909729</v>
      </c>
      <c r="R51" s="248">
        <f>R34-R36-R43+R57</f>
        <v>-3078315655.7109118</v>
      </c>
      <c r="S51" s="138"/>
      <c r="T51" s="248">
        <f t="shared" ref="T51:AK51" si="51">T34-T36-T43</f>
        <v>-779575645.21043384</v>
      </c>
      <c r="U51" s="248">
        <f t="shared" si="51"/>
        <v>-934118050.57729769</v>
      </c>
      <c r="V51" s="248">
        <f t="shared" si="51"/>
        <v>-585836271.78982258</v>
      </c>
      <c r="W51" s="248">
        <f t="shared" si="51"/>
        <v>-130845894.4926194</v>
      </c>
      <c r="X51" s="248">
        <f t="shared" si="51"/>
        <v>-133257001.47611511</v>
      </c>
      <c r="Y51" s="248">
        <f t="shared" si="51"/>
        <v>-335391631.4861064</v>
      </c>
      <c r="Z51" s="248">
        <f t="shared" si="51"/>
        <v>-186989686.43567866</v>
      </c>
      <c r="AA51" s="248">
        <f t="shared" si="51"/>
        <v>-224615708.5690127</v>
      </c>
      <c r="AB51" s="248">
        <f t="shared" si="51"/>
        <v>-192541687.08525115</v>
      </c>
      <c r="AC51" s="248">
        <f t="shared" si="51"/>
        <v>171523246.39495891</v>
      </c>
      <c r="AD51" s="248">
        <f t="shared" si="51"/>
        <v>116809149.47188228</v>
      </c>
      <c r="AE51" s="248">
        <f t="shared" si="51"/>
        <v>130195410.54453319</v>
      </c>
      <c r="AF51" s="121"/>
      <c r="AG51" s="247">
        <f t="shared" si="51"/>
        <v>-1153920316057375</v>
      </c>
      <c r="AH51" s="247">
        <f t="shared" si="51"/>
        <v>-1326182881835906</v>
      </c>
      <c r="AI51" s="247">
        <f t="shared" si="51"/>
        <v>-1120289784694718</v>
      </c>
      <c r="AJ51" s="247">
        <f t="shared" si="51"/>
        <v>-2007773400657083</v>
      </c>
      <c r="AK51" s="247">
        <f t="shared" si="51"/>
        <v>-2191732968486660</v>
      </c>
      <c r="AL51" s="139"/>
      <c r="AM51" s="483"/>
      <c r="AN51" s="476"/>
      <c r="AO51" s="473"/>
    </row>
    <row r="52" spans="2:45" outlineLevel="1">
      <c r="B52" s="142"/>
      <c r="C52" s="143" t="str">
        <f>IF(B1="EN", "EBIT margin (%)", "Tỷ lệ EBIT (%)")</f>
        <v>Tỷ lệ EBIT (%)</v>
      </c>
      <c r="D52" s="143"/>
      <c r="E52" s="143"/>
      <c r="F52" s="188"/>
      <c r="G52" s="130"/>
      <c r="H52" s="130"/>
      <c r="I52" s="130"/>
      <c r="J52" s="130"/>
      <c r="K52" s="131"/>
      <c r="L52" s="131"/>
      <c r="M52" s="131"/>
      <c r="N52" s="131">
        <f t="shared" ref="N52:O52" si="52">IFERROR(N51/N$7,)</f>
        <v>-0.32848668510513263</v>
      </c>
      <c r="O52" s="131">
        <f t="shared" si="52"/>
        <v>-9.9217484335742956E-2</v>
      </c>
      <c r="P52" s="131">
        <f>IFERROR(P51/P$7,)</f>
        <v>-3.5662004371486075E-2</v>
      </c>
      <c r="Q52" s="131">
        <f>IFERROR(Q51/Q$7,)</f>
        <v>-3.8727678011871158E-2</v>
      </c>
      <c r="R52" s="131">
        <f>IFERROR(R51/R$7,)</f>
        <v>-1.6996446727716351E-2</v>
      </c>
      <c r="S52" s="131"/>
      <c r="T52" s="131">
        <f>T51/T7</f>
        <v>-6.769959495649476E-2</v>
      </c>
      <c r="U52" s="131">
        <f t="shared" ref="U52:AE52" si="53">U51/U7</f>
        <v>-0.10429753426705952</v>
      </c>
      <c r="V52" s="131">
        <f t="shared" si="53"/>
        <v>-4.5787462319015024E-2</v>
      </c>
      <c r="W52" s="131">
        <f t="shared" si="53"/>
        <v>-8.1910188305518248E-3</v>
      </c>
      <c r="X52" s="131">
        <f t="shared" si="53"/>
        <v>-8.3419553408708574E-3</v>
      </c>
      <c r="Y52" s="131">
        <f t="shared" si="53"/>
        <v>-2.0995684883847513E-2</v>
      </c>
      <c r="Z52" s="131">
        <f t="shared" si="53"/>
        <v>-1.1705648455022942E-2</v>
      </c>
      <c r="AA52" s="131">
        <f t="shared" si="53"/>
        <v>-1.4061056372160787E-2</v>
      </c>
      <c r="AB52" s="131">
        <f t="shared" si="53"/>
        <v>-1.205320648918388E-2</v>
      </c>
      <c r="AC52" s="131">
        <f t="shared" si="53"/>
        <v>9.8949658407437302E-3</v>
      </c>
      <c r="AD52" s="131">
        <f t="shared" si="53"/>
        <v>6.7385766547884878E-3</v>
      </c>
      <c r="AE52" s="131">
        <f t="shared" si="53"/>
        <v>7.510813647925595E-3</v>
      </c>
      <c r="AF52" s="131"/>
      <c r="AG52" s="131">
        <f t="shared" ref="AG52:AK52" si="54">AG51/AG$7</f>
        <v>-1.863799002282315</v>
      </c>
      <c r="AH52" s="131">
        <f t="shared" si="54"/>
        <v>-1.9514763365238688</v>
      </c>
      <c r="AI52" s="131">
        <f t="shared" si="54"/>
        <v>-1.482727840857079</v>
      </c>
      <c r="AJ52" s="131">
        <f t="shared" si="54"/>
        <v>-2.3936728393785485</v>
      </c>
      <c r="AK52" s="131">
        <f t="shared" si="54"/>
        <v>-2.3674740948516635</v>
      </c>
      <c r="AL52" s="144"/>
      <c r="AM52" s="196"/>
      <c r="AN52" s="474"/>
      <c r="AO52" s="473"/>
    </row>
    <row r="53" spans="2:45" outlineLevel="1">
      <c r="B53" s="267"/>
      <c r="C53" s="268" t="str">
        <f>IF(B1="EN", "Depreciation &amp; Amortization Total", "Tổng chi phí Khấu hao")</f>
        <v>Tổng chi phí Khấu hao</v>
      </c>
      <c r="D53" s="269"/>
      <c r="E53" s="269"/>
      <c r="F53" s="270"/>
      <c r="G53" s="183"/>
      <c r="H53" s="183"/>
      <c r="I53" s="183"/>
      <c r="J53" s="183"/>
      <c r="K53" s="184"/>
      <c r="L53" s="184"/>
      <c r="M53" s="184"/>
      <c r="N53" s="185">
        <f t="shared" ref="N53" si="55">N30+N48+N41</f>
        <v>3749488106</v>
      </c>
      <c r="O53" s="185">
        <f>O30+O48+O41</f>
        <v>6565282547</v>
      </c>
      <c r="P53" s="185">
        <f>P30+P48+P41</f>
        <v>7741389506.666667</v>
      </c>
      <c r="Q53" s="185">
        <f>Q30+Q48+Q41</f>
        <v>7235848586.666667</v>
      </c>
      <c r="R53" s="185">
        <f>R30+R48+R41</f>
        <v>4587983912.6975937</v>
      </c>
      <c r="S53" s="184"/>
      <c r="T53" s="185">
        <f>T30+T48+T41</f>
        <v>380128078.28035504</v>
      </c>
      <c r="U53" s="185">
        <f t="shared" ref="U53:AE53" si="56">U30+U48+U41</f>
        <v>380128078.28035504</v>
      </c>
      <c r="V53" s="185">
        <f t="shared" si="56"/>
        <v>377564442.28035504</v>
      </c>
      <c r="W53" s="185">
        <f t="shared" si="56"/>
        <v>377564442.28035504</v>
      </c>
      <c r="X53" s="185">
        <f t="shared" si="56"/>
        <v>377564442.28035504</v>
      </c>
      <c r="Y53" s="185">
        <f t="shared" si="56"/>
        <v>377564442.28035504</v>
      </c>
      <c r="Z53" s="185">
        <f t="shared" si="56"/>
        <v>377564442.28035504</v>
      </c>
      <c r="AA53" s="185">
        <f t="shared" si="56"/>
        <v>377564442.28035504</v>
      </c>
      <c r="AB53" s="185">
        <f t="shared" si="56"/>
        <v>377564442.28035504</v>
      </c>
      <c r="AC53" s="185">
        <f t="shared" si="56"/>
        <v>394925553.39146614</v>
      </c>
      <c r="AD53" s="185">
        <f t="shared" si="56"/>
        <v>394925553.39146614</v>
      </c>
      <c r="AE53" s="185">
        <f t="shared" si="56"/>
        <v>394925553.39146614</v>
      </c>
      <c r="AF53" s="184"/>
      <c r="AG53" s="184">
        <f>AG48+AG41+AG30</f>
        <v>16443218328732</v>
      </c>
      <c r="AH53" s="184">
        <f t="shared" ref="AH53:AK53" si="57">AH48+AH41+AH30</f>
        <v>193461209563071</v>
      </c>
      <c r="AI53" s="184">
        <f t="shared" si="57"/>
        <v>240156674109768</v>
      </c>
      <c r="AJ53" s="184">
        <f t="shared" si="57"/>
        <v>299529910205941</v>
      </c>
      <c r="AK53" s="184">
        <f t="shared" si="57"/>
        <v>352440475651258</v>
      </c>
      <c r="AL53" s="271"/>
      <c r="AM53" s="196"/>
      <c r="AN53" s="481"/>
      <c r="AO53" s="473"/>
    </row>
    <row r="54" spans="2:45" s="277" customFormat="1" outlineLevel="1">
      <c r="B54" s="272"/>
      <c r="C54" s="273" t="str">
        <f>IF(B1="EN", "Depreciation on Net Sales (%)", "Tổng Chi phí Khấu hao / Doanh thu (%)")</f>
        <v>Tổng Chi phí Khấu hao / Doanh thu (%)</v>
      </c>
      <c r="D54" s="273"/>
      <c r="E54" s="273"/>
      <c r="F54" s="274"/>
      <c r="G54" s="275"/>
      <c r="H54" s="275"/>
      <c r="I54" s="275"/>
      <c r="J54" s="275"/>
      <c r="K54" s="276"/>
      <c r="L54" s="276"/>
      <c r="M54" s="276"/>
      <c r="N54" s="276">
        <f t="shared" ref="N54:O54" si="58">IFERROR(N53/N7,)</f>
        <v>5.4514624143664668E-2</v>
      </c>
      <c r="O54" s="276">
        <f t="shared" si="58"/>
        <v>5.2650227628244228E-2</v>
      </c>
      <c r="P54" s="276">
        <f>IFERROR(P53/P7,)</f>
        <v>4.0455379600143511E-2</v>
      </c>
      <c r="Q54" s="276">
        <f>IFERROR(Q53/Q7,)</f>
        <v>4.1602627042977292E-2</v>
      </c>
      <c r="R54" s="168">
        <f>IFERROR(R53/R7,)</f>
        <v>2.5331847958839544E-2</v>
      </c>
      <c r="S54" s="168"/>
      <c r="T54" s="276">
        <f>T53/T7</f>
        <v>3.3010929842766122E-2</v>
      </c>
      <c r="U54" s="276">
        <f t="shared" ref="U54:AE54" si="59">U53/U7</f>
        <v>4.2442624083556445E-2</v>
      </c>
      <c r="V54" s="276">
        <f t="shared" si="59"/>
        <v>2.9509469635765239E-2</v>
      </c>
      <c r="W54" s="276">
        <f t="shared" si="59"/>
        <v>2.3635724058882347E-2</v>
      </c>
      <c r="X54" s="276">
        <f t="shared" si="59"/>
        <v>2.3635724058882347E-2</v>
      </c>
      <c r="Y54" s="276">
        <f t="shared" si="59"/>
        <v>2.3635724058882347E-2</v>
      </c>
      <c r="Z54" s="276">
        <f t="shared" si="59"/>
        <v>2.3635724058882347E-2</v>
      </c>
      <c r="AA54" s="276">
        <f t="shared" si="59"/>
        <v>2.3635724058882347E-2</v>
      </c>
      <c r="AB54" s="276">
        <f t="shared" si="59"/>
        <v>2.3635724058882347E-2</v>
      </c>
      <c r="AC54" s="276">
        <f t="shared" si="59"/>
        <v>2.2782771097085659E-2</v>
      </c>
      <c r="AD54" s="276">
        <f t="shared" si="59"/>
        <v>2.2782771097085659E-2</v>
      </c>
      <c r="AE54" s="276">
        <f t="shared" si="59"/>
        <v>2.2782771097085659E-2</v>
      </c>
      <c r="AF54" s="168"/>
      <c r="AG54" s="276">
        <f t="shared" ref="AG54:AK54" si="60">AG53/AG7</f>
        <v>2.6558899682183217E-2</v>
      </c>
      <c r="AH54" s="276">
        <f t="shared" si="60"/>
        <v>0.28467791106983403</v>
      </c>
      <c r="AI54" s="168">
        <f t="shared" si="60"/>
        <v>0.31785256969671299</v>
      </c>
      <c r="AJ54" s="168">
        <f t="shared" si="60"/>
        <v>0.35710036322167227</v>
      </c>
      <c r="AK54" s="168">
        <f t="shared" si="60"/>
        <v>0.38070043571853601</v>
      </c>
      <c r="AL54" s="169"/>
      <c r="AM54" s="493"/>
      <c r="AN54" s="495"/>
      <c r="AO54" s="473"/>
    </row>
    <row r="55" spans="2:45" s="141" customFormat="1" ht="17" thickBot="1">
      <c r="B55" s="132" t="s">
        <v>112</v>
      </c>
      <c r="C55" s="133"/>
      <c r="D55" s="133"/>
      <c r="E55" s="133"/>
      <c r="F55" s="134"/>
      <c r="G55" s="136"/>
      <c r="H55" s="136"/>
      <c r="I55" s="136"/>
      <c r="J55" s="136"/>
      <c r="K55" s="136"/>
      <c r="L55" s="136"/>
      <c r="M55" s="136"/>
      <c r="N55" s="137">
        <f>N65+N53+N61+N59-N64</f>
        <v>-18882450264</v>
      </c>
      <c r="O55" s="137">
        <f>O65+O53+O61+O59-O64</f>
        <v>-5990638582.1318359</v>
      </c>
      <c r="P55" s="137">
        <f t="shared" ref="P55" si="61">P65+P53+P61+P59-P64</f>
        <v>852742281.82777882</v>
      </c>
      <c r="Q55" s="137">
        <f>Q65+Q53+Q61+Q59-Q64</f>
        <v>582429620.75693798</v>
      </c>
      <c r="R55" s="137">
        <f>R65+R53+R61+R59-R64</f>
        <v>1509668256.9866819</v>
      </c>
      <c r="S55" s="138"/>
      <c r="T55" s="137">
        <f t="shared" ref="T55:AE55" si="62">T65+T53+T61+T59-T64</f>
        <v>-398437566.9300788</v>
      </c>
      <c r="U55" s="137">
        <f t="shared" si="62"/>
        <v>-552979972.29694271</v>
      </c>
      <c r="V55" s="137">
        <f t="shared" si="62"/>
        <v>-207261829.50946754</v>
      </c>
      <c r="W55" s="137">
        <f t="shared" si="62"/>
        <v>247728547.78773564</v>
      </c>
      <c r="X55" s="137">
        <f t="shared" si="62"/>
        <v>245317440.80423993</v>
      </c>
      <c r="Y55" s="137">
        <f t="shared" si="62"/>
        <v>43182810.794248641</v>
      </c>
      <c r="Z55" s="137">
        <f t="shared" si="62"/>
        <v>191584755.84467638</v>
      </c>
      <c r="AA55" s="137">
        <f t="shared" si="62"/>
        <v>153958733.71134233</v>
      </c>
      <c r="AB55" s="137">
        <f t="shared" si="62"/>
        <v>186032755.19510388</v>
      </c>
      <c r="AC55" s="137">
        <f t="shared" si="62"/>
        <v>567458799.78642511</v>
      </c>
      <c r="AD55" s="137">
        <f t="shared" si="62"/>
        <v>512744702.86334842</v>
      </c>
      <c r="AE55" s="137">
        <f t="shared" si="62"/>
        <v>526130963.93599933</v>
      </c>
      <c r="AF55" s="121"/>
      <c r="AG55" s="136">
        <f t="shared" ref="AG55:AK55" si="63">AG51+AG53+AG57+AG63</f>
        <v>-872839376410820</v>
      </c>
      <c r="AH55" s="136">
        <f t="shared" si="63"/>
        <v>-1132721672259335</v>
      </c>
      <c r="AI55" s="136">
        <f t="shared" si="63"/>
        <v>-880133110574450</v>
      </c>
      <c r="AJ55" s="136">
        <f t="shared" si="63"/>
        <v>-1708243490442142</v>
      </c>
      <c r="AK55" s="136">
        <f t="shared" si="63"/>
        <v>-1839292492815902</v>
      </c>
      <c r="AL55" s="139"/>
      <c r="AM55" s="475"/>
      <c r="AN55" s="476"/>
      <c r="AO55" s="473"/>
      <c r="AP55" s="140"/>
      <c r="AQ55" s="140"/>
      <c r="AR55" s="140"/>
      <c r="AS55" s="140"/>
    </row>
    <row r="56" spans="2:45" s="279" customFormat="1" ht="17" thickTop="1">
      <c r="B56" s="223"/>
      <c r="C56" s="165" t="str">
        <f>IF(B1="EN", "EBITDA margin (%)", "Tỷ lệ EBITDA (%)")</f>
        <v>Tỷ lệ EBITDA (%)</v>
      </c>
      <c r="D56" s="165"/>
      <c r="E56" s="165"/>
      <c r="F56" s="278"/>
      <c r="G56" s="167"/>
      <c r="H56" s="167"/>
      <c r="I56" s="167"/>
      <c r="J56" s="167"/>
      <c r="K56" s="168"/>
      <c r="L56" s="168"/>
      <c r="M56" s="168"/>
      <c r="N56" s="168">
        <f>IFERROR(N55/N7,)</f>
        <v>-0.27453605664362168</v>
      </c>
      <c r="O56" s="168">
        <f t="shared" ref="O56:R56" si="64">IFERROR(O55/O7,)</f>
        <v>-4.8041875232301925E-2</v>
      </c>
      <c r="P56" s="168">
        <f>IFERROR(P55/P7,)</f>
        <v>4.4563075766600605E-3</v>
      </c>
      <c r="Q56" s="168">
        <f>IFERROR(Q55/Q7,)</f>
        <v>3.348688408956314E-3</v>
      </c>
      <c r="R56" s="168">
        <f t="shared" si="64"/>
        <v>8.3354012311231945E-3</v>
      </c>
      <c r="S56" s="168"/>
      <c r="T56" s="168">
        <f>T55/T7</f>
        <v>-3.4600955099535459E-2</v>
      </c>
      <c r="U56" s="168">
        <f t="shared" ref="U56:AE56" si="65">U55/U7</f>
        <v>-6.1742140165254714E-2</v>
      </c>
      <c r="V56" s="168">
        <f t="shared" si="65"/>
        <v>-1.6199053670475933E-2</v>
      </c>
      <c r="W56" s="168">
        <f t="shared" si="65"/>
        <v>1.5507931736513584E-2</v>
      </c>
      <c r="X56" s="168">
        <f t="shared" si="65"/>
        <v>1.5356995226194549E-2</v>
      </c>
      <c r="Y56" s="168">
        <f t="shared" si="65"/>
        <v>2.7032656832178936E-3</v>
      </c>
      <c r="Z56" s="168">
        <f t="shared" si="65"/>
        <v>1.1993302112042466E-2</v>
      </c>
      <c r="AA56" s="168">
        <f t="shared" si="65"/>
        <v>9.6378941949046212E-3</v>
      </c>
      <c r="AB56" s="168">
        <f t="shared" si="65"/>
        <v>1.1645744077881529E-2</v>
      </c>
      <c r="AC56" s="168">
        <f t="shared" si="65"/>
        <v>3.2736002599826827E-2</v>
      </c>
      <c r="AD56" s="168">
        <f t="shared" si="65"/>
        <v>2.9579613413871577E-2</v>
      </c>
      <c r="AE56" s="168">
        <f t="shared" si="65"/>
        <v>3.0351850407008687E-2</v>
      </c>
      <c r="AF56" s="168"/>
      <c r="AG56" s="168">
        <f t="shared" ref="AG56:AK56" si="66">AG55/AG7</f>
        <v>-1.4098002576690201</v>
      </c>
      <c r="AH56" s="168">
        <f t="shared" si="66"/>
        <v>-1.6667984254341697</v>
      </c>
      <c r="AI56" s="168">
        <f t="shared" si="66"/>
        <v>-1.1648752711464689</v>
      </c>
      <c r="AJ56" s="168">
        <f t="shared" si="66"/>
        <v>-2.0365724761461466</v>
      </c>
      <c r="AK56" s="168">
        <f t="shared" si="66"/>
        <v>-1.9867736591120642</v>
      </c>
      <c r="AL56" s="226"/>
      <c r="AM56" s="477"/>
      <c r="AN56" s="310"/>
      <c r="AO56" s="473"/>
      <c r="AP56" s="145"/>
      <c r="AQ56" s="145"/>
      <c r="AR56" s="145"/>
      <c r="AS56" s="145"/>
    </row>
    <row r="57" spans="2:45" outlineLevel="1">
      <c r="B57" s="280"/>
      <c r="C57" s="281" t="str">
        <f>IF(B1="EN", "Financial Income", "Doanh thu tài chính")</f>
        <v>Doanh thu tài chính</v>
      </c>
      <c r="D57" s="281"/>
      <c r="E57" s="281"/>
      <c r="F57" s="282"/>
      <c r="G57" s="183"/>
      <c r="H57" s="183"/>
      <c r="I57" s="183"/>
      <c r="J57" s="183"/>
      <c r="K57" s="184"/>
      <c r="L57" s="184"/>
      <c r="M57" s="184"/>
      <c r="N57" s="185"/>
      <c r="O57" s="185"/>
      <c r="P57" s="185"/>
      <c r="Q57" s="185"/>
      <c r="R57" s="185"/>
      <c r="S57" s="184"/>
      <c r="T57" s="185">
        <f>[1]PGM_phasing!C25</f>
        <v>1010000</v>
      </c>
      <c r="U57" s="185">
        <f>[1]PGM_phasing!D25</f>
        <v>1010000</v>
      </c>
      <c r="V57" s="185">
        <f>[1]PGM_phasing!E25</f>
        <v>1010000</v>
      </c>
      <c r="W57" s="185">
        <f>[1]PGM_phasing!F25</f>
        <v>1010000</v>
      </c>
      <c r="X57" s="185">
        <f>[1]PGM_phasing!G25</f>
        <v>1010000</v>
      </c>
      <c r="Y57" s="185">
        <f>[1]PGM_phasing!H25</f>
        <v>1010000</v>
      </c>
      <c r="Z57" s="185">
        <f>[1]PGM_phasing!I25</f>
        <v>1010000</v>
      </c>
      <c r="AA57" s="185">
        <f>[1]PGM_phasing!J25</f>
        <v>1010000</v>
      </c>
      <c r="AB57" s="185">
        <f>[1]PGM_phasing!K25</f>
        <v>1010000</v>
      </c>
      <c r="AC57" s="185">
        <f>[1]PGM_phasing!L25</f>
        <v>1010000</v>
      </c>
      <c r="AD57" s="185">
        <f>[1]PGM_phasing!M25</f>
        <v>1010000</v>
      </c>
      <c r="AE57" s="185">
        <f>[1]PGM_phasing!N25</f>
        <v>1010000</v>
      </c>
      <c r="AF57" s="184"/>
      <c r="AG57" s="184">
        <v>18000</v>
      </c>
      <c r="AH57" s="184">
        <v>13500.000000000002</v>
      </c>
      <c r="AI57" s="184">
        <v>10500</v>
      </c>
      <c r="AJ57" s="184">
        <v>9000</v>
      </c>
      <c r="AK57" s="184">
        <v>19500</v>
      </c>
      <c r="AL57" s="271"/>
      <c r="AM57" s="483"/>
      <c r="AN57" s="481"/>
      <c r="AO57" s="473"/>
    </row>
    <row r="58" spans="2:45" outlineLevel="1">
      <c r="B58" s="283"/>
      <c r="C58" s="284" t="str">
        <f>IF(B1="EN", "(%) Financial Income on Net Sales", "(%) Doanh thu tài chính / Doanh thu")</f>
        <v>(%) Doanh thu tài chính / Doanh thu</v>
      </c>
      <c r="F58" s="149"/>
      <c r="G58" s="150"/>
      <c r="H58" s="150"/>
      <c r="I58" s="150"/>
      <c r="J58" s="150"/>
      <c r="K58" s="285"/>
      <c r="L58" s="285"/>
      <c r="M58" s="286"/>
      <c r="N58" s="285">
        <f>IFERROR(N57/N7,)</f>
        <v>0</v>
      </c>
      <c r="O58" s="285">
        <f t="shared" ref="O58:R58" si="67">IFERROR(O57/O7,)</f>
        <v>0</v>
      </c>
      <c r="P58" s="285">
        <f>IFERROR(P57/P7,)</f>
        <v>0</v>
      </c>
      <c r="Q58" s="285">
        <f>IFERROR(Q57/Q7,)</f>
        <v>0</v>
      </c>
      <c r="R58" s="285">
        <f t="shared" si="67"/>
        <v>0</v>
      </c>
      <c r="S58" s="285"/>
      <c r="T58" s="286">
        <f>T57/T7</f>
        <v>8.7710014193173708E-5</v>
      </c>
      <c r="U58" s="286">
        <f t="shared" ref="U58:AE58" si="68">U57/U7</f>
        <v>1.1277001824836619E-4</v>
      </c>
      <c r="V58" s="286">
        <f t="shared" si="68"/>
        <v>7.8939012773856338E-5</v>
      </c>
      <c r="W58" s="286">
        <f t="shared" si="68"/>
        <v>6.3226508183059524E-5</v>
      </c>
      <c r="X58" s="286">
        <f t="shared" si="68"/>
        <v>6.3226508183059524E-5</v>
      </c>
      <c r="Y58" s="286">
        <f t="shared" si="68"/>
        <v>6.3226508183059524E-5</v>
      </c>
      <c r="Z58" s="286">
        <f t="shared" si="68"/>
        <v>6.3226508183059524E-5</v>
      </c>
      <c r="AA58" s="286">
        <f t="shared" si="68"/>
        <v>6.3226508183059524E-5</v>
      </c>
      <c r="AB58" s="286">
        <f t="shared" si="68"/>
        <v>6.3226508183059524E-5</v>
      </c>
      <c r="AC58" s="286">
        <f t="shared" si="68"/>
        <v>5.8265661997433425E-5</v>
      </c>
      <c r="AD58" s="286">
        <f t="shared" si="68"/>
        <v>5.8265661997433425E-5</v>
      </c>
      <c r="AE58" s="286">
        <f t="shared" si="68"/>
        <v>5.8265661997433425E-5</v>
      </c>
      <c r="AF58" s="285"/>
      <c r="AG58" s="285"/>
      <c r="AH58" s="285"/>
      <c r="AI58" s="285"/>
      <c r="AJ58" s="285"/>
      <c r="AK58" s="285"/>
      <c r="AL58" s="153"/>
      <c r="AM58" s="196"/>
      <c r="AN58" s="496"/>
      <c r="AO58" s="473"/>
    </row>
    <row r="59" spans="2:45" s="125" customFormat="1" hidden="1">
      <c r="B59" s="283"/>
      <c r="C59" s="237"/>
      <c r="F59" s="129" t="s">
        <v>113</v>
      </c>
      <c r="G59" s="130"/>
      <c r="H59" s="130"/>
      <c r="I59" s="130"/>
      <c r="J59" s="261"/>
      <c r="K59" s="287"/>
      <c r="L59" s="287"/>
      <c r="M59" s="287"/>
      <c r="N59" s="287">
        <f>[1]FCF!AR10+[1]FCF!AR12</f>
        <v>0</v>
      </c>
      <c r="O59" s="287">
        <f>[1]FCF!AS10+[1]FCF!AS12</f>
        <v>0</v>
      </c>
      <c r="P59" s="287"/>
      <c r="Q59" s="287">
        <f>SUM([1]FCF!BN10:BN12)</f>
        <v>0</v>
      </c>
      <c r="R59" s="287">
        <f>SUM([1]FCF!CH10:CH12)</f>
        <v>0</v>
      </c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131"/>
      <c r="AH59" s="131"/>
      <c r="AI59" s="131"/>
      <c r="AJ59" s="131"/>
      <c r="AK59" s="131"/>
      <c r="AL59" s="144"/>
      <c r="AM59" s="196"/>
      <c r="AN59" s="497"/>
      <c r="AO59" s="473"/>
    </row>
    <row r="60" spans="2:45" s="214" customFormat="1">
      <c r="B60" s="200" t="str">
        <f>IF(B1="EN", "Financial expenses", "Chi phí tài chính")</f>
        <v>Chi phí tài chính</v>
      </c>
      <c r="C60" s="289"/>
      <c r="D60" s="289"/>
      <c r="E60" s="289"/>
      <c r="F60" s="290"/>
      <c r="G60" s="291"/>
      <c r="H60" s="291"/>
      <c r="I60" s="291"/>
      <c r="J60" s="291"/>
      <c r="K60" s="292"/>
      <c r="L60" s="292"/>
      <c r="M60" s="292"/>
      <c r="N60" s="204"/>
      <c r="O60" s="204"/>
      <c r="P60" s="204"/>
      <c r="Q60" s="204">
        <f>Q61</f>
        <v>0</v>
      </c>
      <c r="R60" s="204">
        <f t="shared" ref="R60:AK60" si="69">R61</f>
        <v>0</v>
      </c>
      <c r="S60" s="161"/>
      <c r="T60" s="292">
        <f t="shared" si="69"/>
        <v>0</v>
      </c>
      <c r="U60" s="292">
        <f t="shared" si="69"/>
        <v>0</v>
      </c>
      <c r="V60" s="292">
        <f t="shared" si="69"/>
        <v>0</v>
      </c>
      <c r="W60" s="292">
        <f t="shared" si="69"/>
        <v>0</v>
      </c>
      <c r="X60" s="292">
        <f t="shared" si="69"/>
        <v>0</v>
      </c>
      <c r="Y60" s="292">
        <f t="shared" si="69"/>
        <v>0</v>
      </c>
      <c r="Z60" s="292">
        <f t="shared" si="69"/>
        <v>0</v>
      </c>
      <c r="AA60" s="292">
        <f t="shared" si="69"/>
        <v>0</v>
      </c>
      <c r="AB60" s="292">
        <f t="shared" si="69"/>
        <v>0</v>
      </c>
      <c r="AC60" s="292">
        <f t="shared" si="69"/>
        <v>0</v>
      </c>
      <c r="AD60" s="292">
        <f t="shared" si="69"/>
        <v>0</v>
      </c>
      <c r="AE60" s="292">
        <f t="shared" si="69"/>
        <v>0</v>
      </c>
      <c r="AF60" s="161"/>
      <c r="AG60" s="292">
        <f t="shared" si="69"/>
        <v>409524669171388</v>
      </c>
      <c r="AH60" s="292">
        <f t="shared" si="69"/>
        <v>513743343192505</v>
      </c>
      <c r="AI60" s="204">
        <f t="shared" si="69"/>
        <v>584947505476862</v>
      </c>
      <c r="AJ60" s="204">
        <f t="shared" si="69"/>
        <v>668174703282399</v>
      </c>
      <c r="AK60" s="204">
        <f t="shared" si="69"/>
        <v>750140738150861</v>
      </c>
      <c r="AL60" s="162"/>
      <c r="AM60" s="489"/>
      <c r="AN60" s="498"/>
      <c r="AO60" s="473"/>
    </row>
    <row r="61" spans="2:45" outlineLevel="1">
      <c r="B61" s="280"/>
      <c r="C61" s="281" t="str">
        <f>IF(B1="EN", "In which: Interest expense", "Trong đó: Chi phí lãi vay")</f>
        <v>Trong đó: Chi phí lãi vay</v>
      </c>
      <c r="D61" s="281"/>
      <c r="E61" s="281"/>
      <c r="F61" s="282"/>
      <c r="G61" s="293"/>
      <c r="H61" s="293"/>
      <c r="I61" s="293"/>
      <c r="J61" s="293"/>
      <c r="K61" s="294"/>
      <c r="L61" s="294"/>
      <c r="M61" s="294"/>
      <c r="N61" s="184"/>
      <c r="O61" s="184"/>
      <c r="P61" s="184"/>
      <c r="Q61" s="294"/>
      <c r="R61" s="184">
        <f>[1]FIN!R23</f>
        <v>0</v>
      </c>
      <c r="S61" s="184"/>
      <c r="T61" s="294">
        <f>-[1]PGM_phasing!C27</f>
        <v>0</v>
      </c>
      <c r="U61" s="294">
        <f>-[1]PGM_phasing!D27</f>
        <v>0</v>
      </c>
      <c r="V61" s="294">
        <f>-[1]PGM_phasing!E27</f>
        <v>0</v>
      </c>
      <c r="W61" s="294">
        <f>-[1]PGM_phasing!F27</f>
        <v>0</v>
      </c>
      <c r="X61" s="294">
        <f>-[1]PGM_phasing!G27</f>
        <v>0</v>
      </c>
      <c r="Y61" s="294">
        <f>-[1]PGM_phasing!H27</f>
        <v>0</v>
      </c>
      <c r="Z61" s="294">
        <f>-[1]PGM_phasing!I27</f>
        <v>0</v>
      </c>
      <c r="AA61" s="294">
        <f>-[1]PGM_phasing!J27</f>
        <v>0</v>
      </c>
      <c r="AB61" s="294">
        <f>-[1]PGM_phasing!K27</f>
        <v>0</v>
      </c>
      <c r="AC61" s="294">
        <f>-[1]PGM_phasing!L27</f>
        <v>0</v>
      </c>
      <c r="AD61" s="294">
        <f>-[1]PGM_phasing!M27</f>
        <v>0</v>
      </c>
      <c r="AE61" s="294">
        <f>-[1]PGM_phasing!N27</f>
        <v>0</v>
      </c>
      <c r="AF61" s="184"/>
      <c r="AG61" s="294">
        <v>409524669171388</v>
      </c>
      <c r="AH61" s="294">
        <v>513743343192505</v>
      </c>
      <c r="AI61" s="294">
        <v>584947505476862</v>
      </c>
      <c r="AJ61" s="294">
        <v>668174703282399</v>
      </c>
      <c r="AK61" s="294">
        <v>750140738150861</v>
      </c>
      <c r="AL61" s="271"/>
      <c r="AM61" s="499"/>
      <c r="AN61" s="500"/>
      <c r="AO61" s="473"/>
    </row>
    <row r="62" spans="2:45" s="170" customFormat="1" outlineLevel="1">
      <c r="B62" s="295"/>
      <c r="C62" s="296" t="str">
        <f>IF(B1="EN", "(%) Interest Expenses on Net Sales", "(%) Chi phí lãi vay / Doanh thu")</f>
        <v>(%) Chi phí lãi vay / Doanh thu</v>
      </c>
      <c r="D62" s="296"/>
      <c r="E62" s="296"/>
      <c r="F62" s="166"/>
      <c r="G62" s="275"/>
      <c r="H62" s="275"/>
      <c r="I62" s="275"/>
      <c r="J62" s="275"/>
      <c r="K62" s="276"/>
      <c r="L62" s="276"/>
      <c r="M62" s="276"/>
      <c r="N62" s="168">
        <f>IFERROR(N61/N7,)</f>
        <v>0</v>
      </c>
      <c r="O62" s="168">
        <f t="shared" ref="O62:R62" si="70">IFERROR(O61/O7,)</f>
        <v>0</v>
      </c>
      <c r="P62" s="168">
        <f>IFERROR(P61/P7,)</f>
        <v>0</v>
      </c>
      <c r="Q62" s="168">
        <f>IFERROR(Q61/Q7,)</f>
        <v>0</v>
      </c>
      <c r="R62" s="168">
        <f t="shared" si="70"/>
        <v>0</v>
      </c>
      <c r="S62" s="168"/>
      <c r="T62" s="276">
        <f>T61/T7</f>
        <v>0</v>
      </c>
      <c r="U62" s="276">
        <f t="shared" ref="U62:AE62" si="71">U61/U7</f>
        <v>0</v>
      </c>
      <c r="V62" s="276">
        <f t="shared" si="71"/>
        <v>0</v>
      </c>
      <c r="W62" s="276">
        <f t="shared" si="71"/>
        <v>0</v>
      </c>
      <c r="X62" s="276">
        <f t="shared" si="71"/>
        <v>0</v>
      </c>
      <c r="Y62" s="276">
        <f t="shared" si="71"/>
        <v>0</v>
      </c>
      <c r="Z62" s="276">
        <f t="shared" si="71"/>
        <v>0</v>
      </c>
      <c r="AA62" s="276">
        <f t="shared" si="71"/>
        <v>0</v>
      </c>
      <c r="AB62" s="276">
        <f t="shared" si="71"/>
        <v>0</v>
      </c>
      <c r="AC62" s="276">
        <f t="shared" si="71"/>
        <v>0</v>
      </c>
      <c r="AD62" s="276">
        <f t="shared" si="71"/>
        <v>0</v>
      </c>
      <c r="AE62" s="276">
        <f t="shared" si="71"/>
        <v>0</v>
      </c>
      <c r="AF62" s="168"/>
      <c r="AG62" s="276">
        <f t="shared" ref="AG62:AK62" si="72">AG61/AG7</f>
        <v>0.66145959923776643</v>
      </c>
      <c r="AH62" s="276">
        <f t="shared" si="72"/>
        <v>0.7559726422489631</v>
      </c>
      <c r="AI62" s="276">
        <f t="shared" si="72"/>
        <v>0.7741907171337713</v>
      </c>
      <c r="AJ62" s="276">
        <f t="shared" si="72"/>
        <v>0.7965996753834208</v>
      </c>
      <c r="AK62" s="276">
        <f t="shared" si="72"/>
        <v>0.81028975272079451</v>
      </c>
      <c r="AL62" s="169"/>
      <c r="AM62" s="196"/>
      <c r="AN62" s="310"/>
      <c r="AO62" s="473"/>
    </row>
    <row r="63" spans="2:45" outlineLevel="1">
      <c r="B63" s="267"/>
      <c r="C63" s="281" t="str">
        <f>IF(B1="EN", "Other income", "Thu nhập khác")</f>
        <v>Thu nhập khác</v>
      </c>
      <c r="D63" s="269"/>
      <c r="E63" s="269"/>
      <c r="F63" s="270"/>
      <c r="G63" s="183"/>
      <c r="H63" s="183"/>
      <c r="I63" s="183"/>
      <c r="J63" s="183"/>
      <c r="K63" s="184"/>
      <c r="L63" s="184"/>
      <c r="M63" s="184"/>
      <c r="N63" s="185">
        <v>-38791336</v>
      </c>
      <c r="O63" s="185">
        <v>-183879305</v>
      </c>
      <c r="P63" s="185">
        <v>-64500000</v>
      </c>
      <c r="Q63" s="185">
        <v>82396393</v>
      </c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>
        <v>264637721299823</v>
      </c>
      <c r="AH63" s="184">
        <v>0</v>
      </c>
      <c r="AI63" s="184">
        <v>0</v>
      </c>
      <c r="AJ63" s="184">
        <v>0</v>
      </c>
      <c r="AK63" s="184">
        <v>0</v>
      </c>
      <c r="AL63" s="271"/>
      <c r="AM63" s="196"/>
      <c r="AN63" s="501"/>
      <c r="AO63" s="473"/>
    </row>
    <row r="64" spans="2:45" outlineLevel="1">
      <c r="B64" s="280"/>
      <c r="C64" s="281" t="str">
        <f>IF(B1="EN", "Other expenses (excluding EBITDA)", "Chi phí khác (Không gồm trong EBITDA)")</f>
        <v>Chi phí khác (Không gồm trong EBITDA)</v>
      </c>
      <c r="D64" s="281"/>
      <c r="E64" s="281"/>
      <c r="F64" s="282"/>
      <c r="G64" s="183"/>
      <c r="H64" s="183"/>
      <c r="I64" s="183"/>
      <c r="J64" s="183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271"/>
      <c r="AM64" s="196"/>
      <c r="AN64" s="501"/>
      <c r="AO64" s="473"/>
    </row>
    <row r="65" spans="2:45" s="141" customFormat="1">
      <c r="B65" s="243" t="str">
        <f>IF(B1="EN", "EBT", "LỢI NHUẬN TRƯỚC THUẾ")</f>
        <v>LỢI NHUẬN TRƯỚC THUẾ</v>
      </c>
      <c r="C65" s="244"/>
      <c r="D65" s="244"/>
      <c r="E65" s="244"/>
      <c r="F65" s="245"/>
      <c r="G65" s="246"/>
      <c r="H65" s="246"/>
      <c r="I65" s="246"/>
      <c r="J65" s="246"/>
      <c r="K65" s="247"/>
      <c r="L65" s="247"/>
      <c r="M65" s="247"/>
      <c r="N65" s="248">
        <f>N34-N36-N43+N57-N61+N63</f>
        <v>-22631938370</v>
      </c>
      <c r="O65" s="248">
        <f>O34-O36-O43+O57-O61+O63</f>
        <v>-12555921129.131836</v>
      </c>
      <c r="P65" s="248">
        <f>P34-P36-P43+P57-P61+P63</f>
        <v>-6888647224.8388882</v>
      </c>
      <c r="Q65" s="248">
        <f>Q34-Q36-Q43+Q57-Q61+Q63</f>
        <v>-6653418965.909729</v>
      </c>
      <c r="R65" s="248">
        <f>R34-R36-R43+R57-R61+R63</f>
        <v>-3078315655.7109118</v>
      </c>
      <c r="S65" s="138"/>
      <c r="T65" s="248">
        <f>T34-T36-T43+T57-T61+T63</f>
        <v>-778565645.21043384</v>
      </c>
      <c r="U65" s="248">
        <f t="shared" ref="U65:AE65" si="73">U34-U36-U43+U57-U61+U63</f>
        <v>-933108050.57729769</v>
      </c>
      <c r="V65" s="248">
        <f t="shared" si="73"/>
        <v>-584826271.78982258</v>
      </c>
      <c r="W65" s="248">
        <f t="shared" si="73"/>
        <v>-129835894.4926194</v>
      </c>
      <c r="X65" s="248">
        <f t="shared" si="73"/>
        <v>-132247001.47611511</v>
      </c>
      <c r="Y65" s="248">
        <f t="shared" si="73"/>
        <v>-334381631.4861064</v>
      </c>
      <c r="Z65" s="248">
        <f t="shared" si="73"/>
        <v>-185979686.43567866</v>
      </c>
      <c r="AA65" s="248">
        <f t="shared" si="73"/>
        <v>-223605708.5690127</v>
      </c>
      <c r="AB65" s="248">
        <f t="shared" si="73"/>
        <v>-191531687.08525115</v>
      </c>
      <c r="AC65" s="248">
        <f t="shared" si="73"/>
        <v>172533246.39495891</v>
      </c>
      <c r="AD65" s="248">
        <f t="shared" si="73"/>
        <v>117819149.47188228</v>
      </c>
      <c r="AE65" s="248">
        <f t="shared" si="73"/>
        <v>131205410.54453319</v>
      </c>
      <c r="AF65" s="121"/>
      <c r="AG65" s="247">
        <f t="shared" ref="AG65:AK65" si="74">AG51+AG57-AG60+AG63-AG64</f>
        <v>-1298807263910940</v>
      </c>
      <c r="AH65" s="247">
        <f t="shared" si="74"/>
        <v>-1839926225014911</v>
      </c>
      <c r="AI65" s="247">
        <f t="shared" si="74"/>
        <v>-1705237290161080</v>
      </c>
      <c r="AJ65" s="247">
        <f t="shared" si="74"/>
        <v>-2675948103930482</v>
      </c>
      <c r="AK65" s="247">
        <f t="shared" si="74"/>
        <v>-2941873706618021</v>
      </c>
      <c r="AL65" s="139"/>
      <c r="AM65" s="483"/>
      <c r="AN65" s="476"/>
      <c r="AO65" s="473"/>
    </row>
    <row r="66" spans="2:45" s="170" customFormat="1" outlineLevel="1">
      <c r="B66" s="163"/>
      <c r="C66" s="165" t="str">
        <f>IF(B1= "EN", "EBT margin (%)", "Tỷ lệ Lợi nhuận trước thuế (%)")</f>
        <v>Tỷ lệ Lợi nhuận trước thuế (%)</v>
      </c>
      <c r="D66" s="165"/>
      <c r="E66" s="165"/>
      <c r="F66" s="278"/>
      <c r="G66" s="167"/>
      <c r="H66" s="167"/>
      <c r="I66" s="167"/>
      <c r="J66" s="167"/>
      <c r="K66" s="168"/>
      <c r="L66" s="168"/>
      <c r="M66" s="168"/>
      <c r="N66" s="168">
        <f>IFERROR(N65/N$7,)</f>
        <v>-0.32905068078728633</v>
      </c>
      <c r="O66" s="168">
        <f t="shared" ref="O66:R66" si="75">IFERROR(O65/O$7,)</f>
        <v>-0.10069210286054615</v>
      </c>
      <c r="P66" s="168">
        <f>IFERROR(P65/P$7,)</f>
        <v>-3.5999072023483451E-2</v>
      </c>
      <c r="Q66" s="168">
        <f>IFERROR(Q65/Q$7,)</f>
        <v>-3.8253938634020976E-2</v>
      </c>
      <c r="R66" s="168">
        <f t="shared" si="75"/>
        <v>-1.6996446727716351E-2</v>
      </c>
      <c r="S66" s="168"/>
      <c r="T66" s="168">
        <f>T65/T7</f>
        <v>-6.7611884942301581E-2</v>
      </c>
      <c r="U66" s="168">
        <f t="shared" ref="U66:AE66" si="76">U65/U7</f>
        <v>-0.10418476424881115</v>
      </c>
      <c r="V66" s="168">
        <f t="shared" si="76"/>
        <v>-4.5708523306241172E-2</v>
      </c>
      <c r="W66" s="168">
        <f t="shared" si="76"/>
        <v>-8.1277923223687654E-3</v>
      </c>
      <c r="X66" s="168">
        <f t="shared" si="76"/>
        <v>-8.278728832687798E-3</v>
      </c>
      <c r="Y66" s="168">
        <f t="shared" si="76"/>
        <v>-2.0932458375664455E-2</v>
      </c>
      <c r="Z66" s="168">
        <f t="shared" si="76"/>
        <v>-1.1642421946839883E-2</v>
      </c>
      <c r="AA66" s="168">
        <f t="shared" si="76"/>
        <v>-1.3997829863977726E-2</v>
      </c>
      <c r="AB66" s="168">
        <f t="shared" si="76"/>
        <v>-1.198997998100082E-2</v>
      </c>
      <c r="AC66" s="168">
        <f t="shared" si="76"/>
        <v>9.9532315027411628E-3</v>
      </c>
      <c r="AD66" s="168">
        <f t="shared" si="76"/>
        <v>6.7968423167859213E-3</v>
      </c>
      <c r="AE66" s="168">
        <f t="shared" si="76"/>
        <v>7.5690793099230285E-3</v>
      </c>
      <c r="AF66" s="168"/>
      <c r="AG66" s="168">
        <f t="shared" ref="AG66:AK66" si="77">AG65/AG$7</f>
        <v>-2.0978187565889694</v>
      </c>
      <c r="AH66" s="168">
        <f t="shared" si="77"/>
        <v>-2.707448978752967</v>
      </c>
      <c r="AI66" s="168">
        <f t="shared" si="77"/>
        <v>-2.2569185579769533</v>
      </c>
      <c r="AJ66" s="168">
        <f t="shared" si="77"/>
        <v>-3.1902725147512392</v>
      </c>
      <c r="AK66" s="168">
        <f t="shared" si="77"/>
        <v>-3.1777638475513945</v>
      </c>
      <c r="AL66" s="169"/>
      <c r="AM66" s="196"/>
      <c r="AN66" s="310"/>
      <c r="AO66" s="473"/>
    </row>
    <row r="67" spans="2:45" s="125" customFormat="1" outlineLevel="1">
      <c r="B67" s="297"/>
      <c r="C67" s="298" t="str">
        <f>IF(B1="EN", "CIT", "Thuế")</f>
        <v>Thuế</v>
      </c>
      <c r="D67" s="298"/>
      <c r="E67" s="298"/>
      <c r="F67" s="299"/>
      <c r="G67" s="300"/>
      <c r="H67" s="300"/>
      <c r="I67" s="300"/>
      <c r="J67" s="300"/>
      <c r="K67" s="301"/>
      <c r="L67" s="301"/>
      <c r="M67" s="301"/>
      <c r="N67" s="301"/>
      <c r="O67" s="301"/>
      <c r="P67" s="301"/>
      <c r="Q67" s="301"/>
      <c r="R67" s="301">
        <f>R65*[1]CIT!S9+[1]CIT!S24</f>
        <v>0</v>
      </c>
      <c r="S67" s="184"/>
      <c r="T67" s="184">
        <f>-[1]PGM_phasing!C43</f>
        <v>0</v>
      </c>
      <c r="U67" s="184">
        <f>-[1]PGM_phasing!D43</f>
        <v>0</v>
      </c>
      <c r="V67" s="184">
        <f>-[1]PGM_phasing!E43</f>
        <v>0</v>
      </c>
      <c r="W67" s="184">
        <f>-[1]PGM_phasing!F43</f>
        <v>0</v>
      </c>
      <c r="X67" s="184">
        <f>-[1]PGM_phasing!G43</f>
        <v>0</v>
      </c>
      <c r="Y67" s="184">
        <f>-[1]PGM_phasing!H43</f>
        <v>0</v>
      </c>
      <c r="Z67" s="184">
        <f>-[1]PGM_phasing!I43</f>
        <v>0</v>
      </c>
      <c r="AA67" s="184">
        <f>-[1]PGM_phasing!J43</f>
        <v>0</v>
      </c>
      <c r="AB67" s="184">
        <f>-[1]PGM_phasing!K43</f>
        <v>0</v>
      </c>
      <c r="AC67" s="184">
        <f>-[1]PGM_phasing!L43</f>
        <v>0</v>
      </c>
      <c r="AD67" s="184">
        <f>-[1]PGM_phasing!M43</f>
        <v>0</v>
      </c>
      <c r="AE67" s="184">
        <f>-[1]PGM_phasing!N43</f>
        <v>0</v>
      </c>
      <c r="AF67" s="184"/>
      <c r="AG67" s="184">
        <v>180436399419352</v>
      </c>
      <c r="AH67" s="184">
        <v>195557862601297</v>
      </c>
      <c r="AI67" s="184">
        <v>226189958683654</v>
      </c>
      <c r="AJ67" s="184">
        <v>260093853610068</v>
      </c>
      <c r="AK67" s="184">
        <v>300988023733396</v>
      </c>
      <c r="AL67" s="271"/>
      <c r="AM67" s="475"/>
      <c r="AN67" s="502"/>
      <c r="AO67" s="473"/>
    </row>
    <row r="68" spans="2:45" outlineLevel="1">
      <c r="B68" s="297"/>
      <c r="C68" s="305" t="str">
        <f>IF(B1="EN", "CIT rate (%)", "Thuế suất Thuế TNDN (%)")</f>
        <v>Thuế suất Thuế TNDN (%)</v>
      </c>
      <c r="D68" s="181"/>
      <c r="E68" s="181"/>
      <c r="F68" s="180"/>
      <c r="G68" s="150"/>
      <c r="H68" s="150"/>
      <c r="I68" s="150"/>
      <c r="J68" s="150"/>
      <c r="K68" s="285"/>
      <c r="L68" s="285"/>
      <c r="M68" s="285"/>
      <c r="N68" s="285">
        <f>IFERROR(N67/N65,)</f>
        <v>0</v>
      </c>
      <c r="O68" s="285">
        <f t="shared" ref="O68:R68" si="78">IFERROR(O67/O65,)</f>
        <v>0</v>
      </c>
      <c r="P68" s="285">
        <f>IFERROR(P67/P65,)</f>
        <v>0</v>
      </c>
      <c r="Q68" s="285">
        <f>IFERROR(Q67/Q65,)</f>
        <v>0</v>
      </c>
      <c r="R68" s="285">
        <f t="shared" si="78"/>
        <v>0</v>
      </c>
      <c r="S68" s="285"/>
      <c r="T68" s="285">
        <f>T67/T65</f>
        <v>0</v>
      </c>
      <c r="U68" s="285">
        <f t="shared" ref="U68:AE68" si="79">U67/U65</f>
        <v>0</v>
      </c>
      <c r="V68" s="285">
        <f t="shared" si="79"/>
        <v>0</v>
      </c>
      <c r="W68" s="285">
        <f t="shared" si="79"/>
        <v>0</v>
      </c>
      <c r="X68" s="285">
        <f t="shared" si="79"/>
        <v>0</v>
      </c>
      <c r="Y68" s="285">
        <f t="shared" si="79"/>
        <v>0</v>
      </c>
      <c r="Z68" s="285">
        <f t="shared" si="79"/>
        <v>0</v>
      </c>
      <c r="AA68" s="285">
        <f t="shared" si="79"/>
        <v>0</v>
      </c>
      <c r="AB68" s="285">
        <f t="shared" si="79"/>
        <v>0</v>
      </c>
      <c r="AC68" s="285">
        <f t="shared" si="79"/>
        <v>0</v>
      </c>
      <c r="AD68" s="285">
        <f t="shared" si="79"/>
        <v>0</v>
      </c>
      <c r="AE68" s="285">
        <f t="shared" si="79"/>
        <v>0</v>
      </c>
      <c r="AF68" s="285"/>
      <c r="AG68" s="286">
        <f>AG67/AG65</f>
        <v>-0.13892469224111503</v>
      </c>
      <c r="AH68" s="286">
        <f t="shared" ref="AH68:AK68" si="80">AH67/AH65</f>
        <v>-0.10628570860210015</v>
      </c>
      <c r="AI68" s="286">
        <f t="shared" si="80"/>
        <v>-0.13264427184927891</v>
      </c>
      <c r="AJ68" s="286">
        <f t="shared" si="80"/>
        <v>-9.7196897513833452E-2</v>
      </c>
      <c r="AK68" s="286">
        <f t="shared" si="80"/>
        <v>-0.10231167403831619</v>
      </c>
      <c r="AL68" s="153"/>
      <c r="AM68" s="196"/>
      <c r="AN68" s="496"/>
      <c r="AO68" s="473"/>
    </row>
    <row r="69" spans="2:45" s="170" customFormat="1" ht="17" thickBot="1">
      <c r="B69" s="306" t="str">
        <f>IF(B1="en","NET PROFIT AFTER TAX","LỢI NHUẬN SAU THUẾ")</f>
        <v>LỢI NHUẬN SAU THUẾ</v>
      </c>
      <c r="C69" s="307"/>
      <c r="D69" s="307"/>
      <c r="E69" s="307"/>
      <c r="F69" s="307"/>
      <c r="G69" s="135"/>
      <c r="H69" s="135"/>
      <c r="I69" s="135"/>
      <c r="J69" s="135"/>
      <c r="K69" s="136"/>
      <c r="L69" s="136"/>
      <c r="M69" s="136"/>
      <c r="N69" s="137">
        <f>N65-N67</f>
        <v>-22631938370</v>
      </c>
      <c r="O69" s="137">
        <f>O65-O67</f>
        <v>-12555921129.131836</v>
      </c>
      <c r="P69" s="137">
        <f t="shared" ref="P69" si="81">P65-P67</f>
        <v>-6888647224.8388882</v>
      </c>
      <c r="Q69" s="137">
        <f>Q65-Q67</f>
        <v>-6653418965.909729</v>
      </c>
      <c r="R69" s="137">
        <f t="shared" ref="R69" si="82">R65-R67</f>
        <v>-3078315655.7109118</v>
      </c>
      <c r="S69" s="138"/>
      <c r="T69" s="137">
        <f>T65-T67</f>
        <v>-778565645.21043384</v>
      </c>
      <c r="U69" s="137">
        <f t="shared" ref="U69:AE69" si="83">U65-U67</f>
        <v>-933108050.57729769</v>
      </c>
      <c r="V69" s="137">
        <f t="shared" si="83"/>
        <v>-584826271.78982258</v>
      </c>
      <c r="W69" s="137">
        <f t="shared" si="83"/>
        <v>-129835894.4926194</v>
      </c>
      <c r="X69" s="137">
        <f t="shared" si="83"/>
        <v>-132247001.47611511</v>
      </c>
      <c r="Y69" s="137">
        <f t="shared" si="83"/>
        <v>-334381631.4861064</v>
      </c>
      <c r="Z69" s="137">
        <f t="shared" si="83"/>
        <v>-185979686.43567866</v>
      </c>
      <c r="AA69" s="137">
        <f t="shared" si="83"/>
        <v>-223605708.5690127</v>
      </c>
      <c r="AB69" s="137">
        <f t="shared" si="83"/>
        <v>-191531687.08525115</v>
      </c>
      <c r="AC69" s="137">
        <f t="shared" si="83"/>
        <v>172533246.39495891</v>
      </c>
      <c r="AD69" s="137">
        <f t="shared" si="83"/>
        <v>117819149.47188228</v>
      </c>
      <c r="AE69" s="137">
        <f t="shared" si="83"/>
        <v>131205410.54453319</v>
      </c>
      <c r="AF69" s="121"/>
      <c r="AG69" s="136">
        <f t="shared" ref="AG69:AK69" si="84">AG65-AG67</f>
        <v>-1479243663330292</v>
      </c>
      <c r="AH69" s="136">
        <f t="shared" si="84"/>
        <v>-2035484087616208</v>
      </c>
      <c r="AI69" s="136">
        <f t="shared" si="84"/>
        <v>-1931427248844734</v>
      </c>
      <c r="AJ69" s="136">
        <f t="shared" si="84"/>
        <v>-2936041957540550</v>
      </c>
      <c r="AK69" s="136">
        <f t="shared" si="84"/>
        <v>-3242861730351417</v>
      </c>
      <c r="AL69" s="308"/>
      <c r="AM69" s="475"/>
      <c r="AN69" s="476"/>
      <c r="AO69" s="473"/>
      <c r="AP69" s="309"/>
      <c r="AQ69" s="309"/>
      <c r="AR69" s="309"/>
      <c r="AS69" s="140"/>
    </row>
    <row r="70" spans="2:45" s="277" customFormat="1" ht="17" thickTop="1">
      <c r="B70" s="164"/>
      <c r="C70" s="165" t="str">
        <f>IF(B1="EN", "NET PROFIT margin (%)", "Tỷ lệ LỢI NHUẬN SAU THUẾ (%)")</f>
        <v>Tỷ lệ LỢI NHUẬN SAU THUẾ (%)</v>
      </c>
      <c r="D70" s="165"/>
      <c r="E70" s="165"/>
      <c r="F70" s="165"/>
      <c r="G70" s="169"/>
      <c r="H70" s="169"/>
      <c r="I70" s="169"/>
      <c r="J70" s="169"/>
      <c r="K70" s="310"/>
      <c r="L70" s="310"/>
      <c r="M70" s="310"/>
      <c r="N70" s="310">
        <f t="shared" ref="N70:O70" si="85">IFERROR(N69/N7,)</f>
        <v>-0.32905068078728633</v>
      </c>
      <c r="O70" s="310">
        <f t="shared" si="85"/>
        <v>-0.10069210286054615</v>
      </c>
      <c r="P70" s="310">
        <f>IFERROR(P69/P7,)</f>
        <v>-3.5999072023483451E-2</v>
      </c>
      <c r="Q70" s="310">
        <f>IFERROR(Q69/Q7,)</f>
        <v>-3.8253938634020976E-2</v>
      </c>
      <c r="R70" s="310">
        <f>IFERROR(R69/R7,)</f>
        <v>-1.6996446727716351E-2</v>
      </c>
      <c r="S70" s="310"/>
      <c r="T70" s="310">
        <f>T69/T7</f>
        <v>-6.7611884942301581E-2</v>
      </c>
      <c r="U70" s="310">
        <f t="shared" ref="U70:AE70" si="86">U69/U7</f>
        <v>-0.10418476424881115</v>
      </c>
      <c r="V70" s="310">
        <f t="shared" si="86"/>
        <v>-4.5708523306241172E-2</v>
      </c>
      <c r="W70" s="310">
        <f t="shared" si="86"/>
        <v>-8.1277923223687654E-3</v>
      </c>
      <c r="X70" s="310">
        <f t="shared" si="86"/>
        <v>-8.278728832687798E-3</v>
      </c>
      <c r="Y70" s="310">
        <f t="shared" si="86"/>
        <v>-2.0932458375664455E-2</v>
      </c>
      <c r="Z70" s="310">
        <f t="shared" si="86"/>
        <v>-1.1642421946839883E-2</v>
      </c>
      <c r="AA70" s="310">
        <f t="shared" si="86"/>
        <v>-1.3997829863977726E-2</v>
      </c>
      <c r="AB70" s="310">
        <f t="shared" si="86"/>
        <v>-1.198997998100082E-2</v>
      </c>
      <c r="AC70" s="310">
        <f t="shared" si="86"/>
        <v>9.9532315027411628E-3</v>
      </c>
      <c r="AD70" s="310">
        <f t="shared" si="86"/>
        <v>6.7968423167859213E-3</v>
      </c>
      <c r="AE70" s="310">
        <f t="shared" si="86"/>
        <v>7.5690793099230285E-3</v>
      </c>
      <c r="AF70" s="310"/>
      <c r="AG70" s="310">
        <f t="shared" ref="AG70:AK70" si="87">AG69/AG7</f>
        <v>-2.3892575817257309</v>
      </c>
      <c r="AH70" s="310">
        <f t="shared" si="87"/>
        <v>-2.9952121119637583</v>
      </c>
      <c r="AI70" s="310">
        <f t="shared" si="87"/>
        <v>-2.5562858767229311</v>
      </c>
      <c r="AJ70" s="310">
        <f t="shared" si="87"/>
        <v>-3.5003571054087153</v>
      </c>
      <c r="AK70" s="310">
        <f t="shared" si="87"/>
        <v>-3.5028861864928182</v>
      </c>
      <c r="AL70" s="169"/>
      <c r="AM70" s="477"/>
      <c r="AN70" s="310"/>
      <c r="AO70" s="503"/>
      <c r="AP70" s="145"/>
      <c r="AQ70" s="145"/>
      <c r="AR70" s="145"/>
      <c r="AS70" s="145"/>
    </row>
    <row r="71" spans="2:45">
      <c r="H71" s="311"/>
      <c r="I71" s="311"/>
      <c r="J71" s="311"/>
      <c r="K71" s="312"/>
      <c r="L71" s="312"/>
      <c r="M71" s="312"/>
      <c r="N71" s="312"/>
      <c r="O71" s="312"/>
      <c r="P71" s="312"/>
      <c r="Q71" s="312"/>
      <c r="R71" s="312"/>
      <c r="S71" s="313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3"/>
      <c r="AG71" s="314"/>
      <c r="AH71" s="314"/>
      <c r="AI71" s="314"/>
      <c r="AJ71" s="314"/>
      <c r="AK71" s="314"/>
      <c r="AL71" s="315"/>
      <c r="AM71" s="196"/>
    </row>
    <row r="72" spans="2:45">
      <c r="B72" s="111" t="str">
        <f>IF(B1="EN", "BALANCE SHEET", "CÂN ĐỐI KẾ TOÁN")</f>
        <v>CÂN ĐỐI KẾ TOÁN</v>
      </c>
      <c r="C72" s="112"/>
      <c r="D72" s="112"/>
      <c r="E72" s="112"/>
      <c r="F72" s="113"/>
      <c r="G72" s="114"/>
      <c r="H72" s="114"/>
      <c r="I72" s="114"/>
      <c r="J72" s="115"/>
      <c r="K72" s="101"/>
      <c r="L72" s="101"/>
      <c r="M72" s="101"/>
      <c r="N72" s="101">
        <f t="shared" ref="N72:AK72" si="88">N4</f>
        <v>2023</v>
      </c>
      <c r="O72" s="101">
        <f t="shared" si="88"/>
        <v>2024</v>
      </c>
      <c r="P72" s="102" t="str">
        <f>P4</f>
        <v>2025P</v>
      </c>
      <c r="Q72" s="103" t="str">
        <f>Q4</f>
        <v>2025E</v>
      </c>
      <c r="R72" s="104" t="str">
        <f t="shared" si="88"/>
        <v>2026P</v>
      </c>
      <c r="S72" s="105"/>
      <c r="T72" s="104">
        <f>T2</f>
        <v>1</v>
      </c>
      <c r="U72" s="104">
        <f t="shared" ref="U72:AE72" si="89">U2</f>
        <v>2</v>
      </c>
      <c r="V72" s="104">
        <f t="shared" si="89"/>
        <v>3</v>
      </c>
      <c r="W72" s="104">
        <f t="shared" si="89"/>
        <v>4</v>
      </c>
      <c r="X72" s="104">
        <f t="shared" si="89"/>
        <v>5</v>
      </c>
      <c r="Y72" s="104">
        <f t="shared" si="89"/>
        <v>6</v>
      </c>
      <c r="Z72" s="104">
        <f t="shared" si="89"/>
        <v>7</v>
      </c>
      <c r="AA72" s="104">
        <f t="shared" si="89"/>
        <v>8</v>
      </c>
      <c r="AB72" s="104">
        <f t="shared" si="89"/>
        <v>9</v>
      </c>
      <c r="AC72" s="104">
        <f t="shared" si="89"/>
        <v>10</v>
      </c>
      <c r="AD72" s="104">
        <f t="shared" si="89"/>
        <v>11</v>
      </c>
      <c r="AE72" s="104">
        <f t="shared" si="89"/>
        <v>12</v>
      </c>
      <c r="AF72" s="105"/>
      <c r="AG72" s="106" t="str">
        <f t="shared" si="88"/>
        <v>2025 MTP</v>
      </c>
      <c r="AH72" s="106" t="str">
        <f t="shared" si="88"/>
        <v>2026 MTP</v>
      </c>
      <c r="AI72" s="106" t="str">
        <f t="shared" si="88"/>
        <v>2027 MTP</v>
      </c>
      <c r="AJ72" s="106" t="str">
        <f t="shared" si="88"/>
        <v>2028 MTP</v>
      </c>
      <c r="AK72" s="106" t="str">
        <f t="shared" si="88"/>
        <v>2029 MTP</v>
      </c>
      <c r="AL72" s="316"/>
      <c r="AM72" s="196"/>
    </row>
    <row r="73" spans="2:45">
      <c r="B73" s="126" t="str">
        <f>IF(B1="EN", "SHORT-TERM ASSETS", "TÀI SẢN NGẮN HẠN")</f>
        <v>TÀI SẢN NGẮN HẠN</v>
      </c>
      <c r="C73" s="123"/>
      <c r="D73" s="123"/>
      <c r="E73" s="317"/>
      <c r="F73" s="318"/>
      <c r="G73" s="319"/>
      <c r="H73" s="319"/>
      <c r="I73" s="319"/>
      <c r="J73" s="319"/>
      <c r="K73" s="320"/>
      <c r="L73" s="320"/>
      <c r="M73" s="321">
        <f>M74+M77+M81+M83</f>
        <v>40050634848</v>
      </c>
      <c r="N73" s="321">
        <f>N74+N77+N81+N83</f>
        <v>34162200480</v>
      </c>
      <c r="O73" s="321">
        <f>O74+O77+O81+O83</f>
        <v>14234985625</v>
      </c>
      <c r="P73" s="421">
        <f t="shared" ref="P73" si="90">P74+P77+P81+P83</f>
        <v>18832110090.384464</v>
      </c>
      <c r="Q73" s="421">
        <f>Q74+Q77+Q81+Q83</f>
        <v>21570700345</v>
      </c>
      <c r="R73" s="504">
        <f>SUM(R74,R77,R81,R83)</f>
        <v>20520422183.54789</v>
      </c>
      <c r="S73" s="324"/>
      <c r="T73" s="324">
        <f>T74+T77+T81+T83</f>
        <v>15813639140.842142</v>
      </c>
      <c r="U73" s="324">
        <f t="shared" ref="U73:AE73" si="91">U74+U77+U81+U83</f>
        <v>11960673094.567337</v>
      </c>
      <c r="V73" s="324">
        <f t="shared" si="91"/>
        <v>13817053400.052052</v>
      </c>
      <c r="W73" s="324">
        <f t="shared" si="91"/>
        <v>15481784540.861465</v>
      </c>
      <c r="X73" s="324">
        <f t="shared" si="91"/>
        <v>15726777360.82247</v>
      </c>
      <c r="Y73" s="324">
        <f t="shared" si="91"/>
        <v>15780671451.742714</v>
      </c>
      <c r="Z73" s="324">
        <f t="shared" si="91"/>
        <v>15975471357.943798</v>
      </c>
      <c r="AA73" s="324">
        <f t="shared" si="91"/>
        <v>16120903896.721809</v>
      </c>
      <c r="AB73" s="324">
        <f t="shared" si="91"/>
        <v>16287611944.673323</v>
      </c>
      <c r="AC73" s="324">
        <f t="shared" si="91"/>
        <v>17433528992.927177</v>
      </c>
      <c r="AD73" s="324">
        <f t="shared" si="91"/>
        <v>17939536941.09993</v>
      </c>
      <c r="AE73" s="324">
        <f t="shared" si="91"/>
        <v>18430897354.54789</v>
      </c>
      <c r="AF73" s="325"/>
      <c r="AG73" s="320">
        <v>279343898497924</v>
      </c>
      <c r="AH73" s="320">
        <v>280077071076113</v>
      </c>
      <c r="AI73" s="320">
        <v>297619870936285</v>
      </c>
      <c r="AJ73" s="320">
        <v>321337832908607</v>
      </c>
      <c r="AK73" s="320">
        <v>386814455265761</v>
      </c>
      <c r="AL73" s="326"/>
      <c r="AM73" s="196"/>
    </row>
    <row r="74" spans="2:45">
      <c r="B74" s="327" t="str">
        <f>IF(B1="EN", "Cash &amp; cash equivalent", "Tiền mặt &amp; tương đương tiền")</f>
        <v>Tiền mặt &amp; tương đương tiền</v>
      </c>
      <c r="C74" s="123"/>
      <c r="D74" s="123"/>
      <c r="E74" s="317"/>
      <c r="F74" s="318"/>
      <c r="G74" s="319"/>
      <c r="H74" s="319"/>
      <c r="I74" s="319"/>
      <c r="J74" s="319"/>
      <c r="K74" s="320"/>
      <c r="L74" s="320"/>
      <c r="M74" s="321">
        <f t="shared" ref="M74:O74" si="92">SUM(M75:M76)</f>
        <v>5305591972</v>
      </c>
      <c r="N74" s="321">
        <f t="shared" si="92"/>
        <v>1391619434</v>
      </c>
      <c r="O74" s="321">
        <f t="shared" si="92"/>
        <v>1921447314</v>
      </c>
      <c r="P74" s="421">
        <f>SUM(P75:P76)</f>
        <v>2629015354.0279961</v>
      </c>
      <c r="Q74" s="421">
        <f>SUM(Q75:Q76)</f>
        <v>6328662129</v>
      </c>
      <c r="R74" s="324">
        <f>SUM(R75:R76)</f>
        <v>3671864723.1932793</v>
      </c>
      <c r="S74" s="324"/>
      <c r="T74" s="324">
        <f t="shared" ref="T74:AE74" si="93">SUM(T75:T76)</f>
        <v>4344788178.7292871</v>
      </c>
      <c r="U74" s="324">
        <f t="shared" si="93"/>
        <v>2009480084.6610575</v>
      </c>
      <c r="V74" s="324">
        <f t="shared" si="93"/>
        <v>1611055725.8910372</v>
      </c>
      <c r="W74" s="324">
        <f t="shared" si="93"/>
        <v>1476609832.3132195</v>
      </c>
      <c r="X74" s="324">
        <f t="shared" si="93"/>
        <v>1711839839.7819259</v>
      </c>
      <c r="Y74" s="324">
        <f t="shared" si="93"/>
        <v>1747387639.678247</v>
      </c>
      <c r="Z74" s="324">
        <f t="shared" si="93"/>
        <v>1929671578.0095325</v>
      </c>
      <c r="AA74" s="324">
        <f t="shared" si="93"/>
        <v>2071720306.36532</v>
      </c>
      <c r="AB74" s="324">
        <f t="shared" si="93"/>
        <v>2243443386.8025889</v>
      </c>
      <c r="AC74" s="324">
        <f t="shared" si="93"/>
        <v>2689249665.5694294</v>
      </c>
      <c r="AD74" s="324">
        <f t="shared" si="93"/>
        <v>3176978930.044745</v>
      </c>
      <c r="AE74" s="324">
        <f t="shared" si="93"/>
        <v>3671864723.1932793</v>
      </c>
      <c r="AF74" s="325"/>
      <c r="AG74" s="320">
        <v>67857140982378</v>
      </c>
      <c r="AH74" s="320">
        <v>489032134457158</v>
      </c>
      <c r="AI74" s="320">
        <v>416447710096797</v>
      </c>
      <c r="AJ74" s="320">
        <v>381387876065954</v>
      </c>
      <c r="AK74" s="320">
        <v>756841102793343</v>
      </c>
      <c r="AL74" s="326"/>
      <c r="AM74" s="196"/>
      <c r="AN74" s="107"/>
    </row>
    <row r="75" spans="2:45" outlineLevel="1">
      <c r="B75" s="328"/>
      <c r="C75" s="329" t="str">
        <f>IF(B1="EN", "Cash &amp; cash equivalent", "Tiền mặt &amp; tương đương tiền")</f>
        <v>Tiền mặt &amp; tương đương tiền</v>
      </c>
      <c r="D75" s="329"/>
      <c r="E75" s="330"/>
      <c r="F75" s="331"/>
      <c r="G75" s="332"/>
      <c r="H75" s="332"/>
      <c r="I75" s="332"/>
      <c r="J75" s="332"/>
      <c r="K75" s="333"/>
      <c r="L75" s="333"/>
      <c r="M75" s="340">
        <v>5103591972</v>
      </c>
      <c r="N75" s="340">
        <v>1189619434</v>
      </c>
      <c r="O75" s="340">
        <v>1719447314</v>
      </c>
      <c r="P75" s="334">
        <f>P153</f>
        <v>2427015354.0279961</v>
      </c>
      <c r="Q75" s="334">
        <v>6126662129</v>
      </c>
      <c r="R75" s="337">
        <f>AE75</f>
        <v>3469864723.1932793</v>
      </c>
      <c r="S75" s="337"/>
      <c r="T75" s="337">
        <f>T153-T76</f>
        <v>4142788178.7292871</v>
      </c>
      <c r="U75" s="337">
        <f>U153-U76</f>
        <v>1807480084.6610575</v>
      </c>
      <c r="V75" s="337">
        <f t="shared" ref="V75:AE75" si="94">V153-V76</f>
        <v>1409055725.8910372</v>
      </c>
      <c r="W75" s="337">
        <f t="shared" si="94"/>
        <v>1274609832.3132195</v>
      </c>
      <c r="X75" s="337">
        <f t="shared" si="94"/>
        <v>1509839839.7819259</v>
      </c>
      <c r="Y75" s="337">
        <f t="shared" si="94"/>
        <v>1545387639.678247</v>
      </c>
      <c r="Z75" s="337">
        <f t="shared" si="94"/>
        <v>1727671578.0095325</v>
      </c>
      <c r="AA75" s="337">
        <f t="shared" si="94"/>
        <v>1869720306.36532</v>
      </c>
      <c r="AB75" s="337">
        <f t="shared" si="94"/>
        <v>2041443386.8025889</v>
      </c>
      <c r="AC75" s="337">
        <f t="shared" si="94"/>
        <v>2487249665.5694294</v>
      </c>
      <c r="AD75" s="337">
        <f t="shared" si="94"/>
        <v>2974978930.044745</v>
      </c>
      <c r="AE75" s="337">
        <f t="shared" si="94"/>
        <v>3469864723.1932793</v>
      </c>
      <c r="AF75" s="338"/>
      <c r="AG75" s="333">
        <v>42857140982378</v>
      </c>
      <c r="AH75" s="333">
        <v>289032134457158</v>
      </c>
      <c r="AI75" s="333">
        <v>266447710096797</v>
      </c>
      <c r="AJ75" s="333">
        <v>231387876065954</v>
      </c>
      <c r="AK75" s="333">
        <v>256841102793343</v>
      </c>
      <c r="AL75" s="339"/>
      <c r="AM75" s="196"/>
    </row>
    <row r="76" spans="2:45" outlineLevel="1">
      <c r="B76" s="328"/>
      <c r="C76" s="329" t="str">
        <f>IF(B1="EN", "Short-term investment", "Đầu tư ngắn hạn")</f>
        <v>Đầu tư ngắn hạn</v>
      </c>
      <c r="D76" s="329"/>
      <c r="E76" s="330"/>
      <c r="F76" s="331"/>
      <c r="G76" s="332"/>
      <c r="H76" s="332"/>
      <c r="I76" s="332"/>
      <c r="J76" s="332"/>
      <c r="K76" s="333"/>
      <c r="L76" s="333"/>
      <c r="M76" s="340">
        <v>202000000</v>
      </c>
      <c r="N76" s="340">
        <v>202000000</v>
      </c>
      <c r="O76" s="340">
        <v>202000000</v>
      </c>
      <c r="P76" s="334">
        <v>202000000</v>
      </c>
      <c r="Q76" s="334">
        <v>202000000</v>
      </c>
      <c r="R76" s="337">
        <f t="shared" ref="R76:R121" si="95">AE76</f>
        <v>202000000</v>
      </c>
      <c r="S76" s="337"/>
      <c r="T76" s="337">
        <v>202000000</v>
      </c>
      <c r="U76" s="337">
        <v>202000000</v>
      </c>
      <c r="V76" s="337">
        <v>202000000</v>
      </c>
      <c r="W76" s="337">
        <v>202000000</v>
      </c>
      <c r="X76" s="337">
        <v>202000000</v>
      </c>
      <c r="Y76" s="337">
        <v>202000000</v>
      </c>
      <c r="Z76" s="337">
        <v>202000000</v>
      </c>
      <c r="AA76" s="337">
        <v>202000000</v>
      </c>
      <c r="AB76" s="337">
        <v>202000000</v>
      </c>
      <c r="AC76" s="337">
        <v>202000000</v>
      </c>
      <c r="AD76" s="337">
        <v>202000000</v>
      </c>
      <c r="AE76" s="337">
        <v>202000000</v>
      </c>
      <c r="AF76" s="338"/>
      <c r="AG76" s="333">
        <v>250000</v>
      </c>
      <c r="AH76" s="333">
        <v>200000</v>
      </c>
      <c r="AI76" s="333">
        <v>150000</v>
      </c>
      <c r="AJ76" s="333">
        <v>150000</v>
      </c>
      <c r="AK76" s="333">
        <v>500000</v>
      </c>
      <c r="AL76" s="339"/>
      <c r="AM76" s="196"/>
    </row>
    <row r="77" spans="2:45">
      <c r="B77" s="327" t="str">
        <f>IF(B1="EN", "Short-term receivables", "Các khoản phải thu ngắn hạn")</f>
        <v>Các khoản phải thu ngắn hạn</v>
      </c>
      <c r="C77" s="123"/>
      <c r="D77" s="123"/>
      <c r="E77" s="317"/>
      <c r="F77" s="318"/>
      <c r="G77" s="319"/>
      <c r="H77" s="319"/>
      <c r="I77" s="319"/>
      <c r="J77" s="319"/>
      <c r="K77" s="320"/>
      <c r="L77" s="320"/>
      <c r="M77" s="321">
        <f>SUM(M78:M80)</f>
        <v>21877240086</v>
      </c>
      <c r="N77" s="321">
        <f>SUM(N78:N80)</f>
        <v>9605663166</v>
      </c>
      <c r="O77" s="321">
        <f>SUM(O78:O80)</f>
        <v>5949064562</v>
      </c>
      <c r="P77" s="421">
        <f t="shared" ref="P77" si="96">SUM(P78:P80)</f>
        <v>4669773780.6301365</v>
      </c>
      <c r="Q77" s="421">
        <f>SUM(Q78:Q80)</f>
        <v>6282413208</v>
      </c>
      <c r="R77" s="324">
        <f>SUM(R78:R80)</f>
        <v>7940197519.333333</v>
      </c>
      <c r="S77" s="324"/>
      <c r="T77" s="324">
        <f>SUM(T78:T80)</f>
        <v>4880809982</v>
      </c>
      <c r="U77" s="324">
        <f t="shared" ref="U77:AE77" si="97">SUM(U78:U80)</f>
        <v>4454320398.666666</v>
      </c>
      <c r="V77" s="324">
        <f t="shared" si="97"/>
        <v>5094054773.666666</v>
      </c>
      <c r="W77" s="324">
        <f t="shared" si="97"/>
        <v>5623992273.666666</v>
      </c>
      <c r="X77" s="324">
        <f t="shared" si="97"/>
        <v>5623992273.666666</v>
      </c>
      <c r="Y77" s="324">
        <f t="shared" si="97"/>
        <v>5623992273.666666</v>
      </c>
      <c r="Z77" s="324">
        <f t="shared" si="97"/>
        <v>5623992273.666666</v>
      </c>
      <c r="AA77" s="324">
        <f t="shared" si="97"/>
        <v>5623992273.666666</v>
      </c>
      <c r="AB77" s="324">
        <f t="shared" si="97"/>
        <v>5623992273.666666</v>
      </c>
      <c r="AC77" s="324">
        <f t="shared" si="97"/>
        <v>5850672690.333333</v>
      </c>
      <c r="AD77" s="324">
        <f t="shared" si="97"/>
        <v>5850672690.333333</v>
      </c>
      <c r="AE77" s="324">
        <f t="shared" si="97"/>
        <v>5850672690.333333</v>
      </c>
      <c r="AF77" s="325"/>
      <c r="AG77" s="320">
        <v>986880012661969</v>
      </c>
      <c r="AH77" s="320">
        <v>108210138764717</v>
      </c>
      <c r="AI77" s="320">
        <v>120179678930828</v>
      </c>
      <c r="AJ77" s="320">
        <v>133292504474079</v>
      </c>
      <c r="AK77" s="320">
        <v>146977590594154</v>
      </c>
      <c r="AL77" s="326"/>
      <c r="AM77" s="196"/>
    </row>
    <row r="78" spans="2:45" outlineLevel="1">
      <c r="B78" s="328"/>
      <c r="C78" s="329" t="str">
        <f>IF(B1="EN", "Trade receivables", "Phải thu thương mại")</f>
        <v>Phải thu thương mại</v>
      </c>
      <c r="D78" s="329"/>
      <c r="E78" s="330"/>
      <c r="F78" s="331"/>
      <c r="G78" s="332"/>
      <c r="H78" s="332"/>
      <c r="I78" s="332"/>
      <c r="J78" s="332"/>
      <c r="K78" s="333"/>
      <c r="L78" s="333"/>
      <c r="M78" s="340">
        <v>818791513</v>
      </c>
      <c r="N78" s="340">
        <v>6457008060</v>
      </c>
      <c r="O78" s="340">
        <v>3050417781</v>
      </c>
      <c r="P78" s="334">
        <f>[1]NWC!L6</f>
        <v>1708166923.630137</v>
      </c>
      <c r="Q78" s="334">
        <v>1936533259</v>
      </c>
      <c r="R78" s="337">
        <f t="shared" si="95"/>
        <v>2889065833.333333</v>
      </c>
      <c r="S78" s="337"/>
      <c r="T78" s="337">
        <f>[1]NWC!O6</f>
        <v>1919203125</v>
      </c>
      <c r="U78" s="337">
        <f>[1]NWC!P6</f>
        <v>1492713541.6666665</v>
      </c>
      <c r="V78" s="337">
        <f>[1]NWC!Q6</f>
        <v>2132447916.6666665</v>
      </c>
      <c r="W78" s="337">
        <f>[1]NWC!R6</f>
        <v>2662385416.6666665</v>
      </c>
      <c r="X78" s="337">
        <f>[1]NWC!S6</f>
        <v>2662385416.6666665</v>
      </c>
      <c r="Y78" s="337">
        <f>[1]NWC!T6</f>
        <v>2662385416.6666665</v>
      </c>
      <c r="Z78" s="337">
        <f>[1]NWC!U6</f>
        <v>2662385416.6666665</v>
      </c>
      <c r="AA78" s="337">
        <f>[1]NWC!V6</f>
        <v>2662385416.6666665</v>
      </c>
      <c r="AB78" s="337">
        <f>[1]NWC!W6</f>
        <v>2662385416.6666665</v>
      </c>
      <c r="AC78" s="337">
        <f>[1]NWC!X6</f>
        <v>2889065833.333333</v>
      </c>
      <c r="AD78" s="337">
        <f>[1]NWC!Y6</f>
        <v>2889065833.333333</v>
      </c>
      <c r="AE78" s="337">
        <f>[1]NWC!Z6</f>
        <v>2889065833.333333</v>
      </c>
      <c r="AF78" s="338"/>
      <c r="AG78" s="333">
        <v>932924653230014</v>
      </c>
      <c r="AH78" s="333">
        <v>102402357115415</v>
      </c>
      <c r="AI78" s="333">
        <v>113851500472917</v>
      </c>
      <c r="AJ78" s="333">
        <v>126392041711863</v>
      </c>
      <c r="AK78" s="333">
        <v>139499364726273</v>
      </c>
      <c r="AL78" s="339"/>
      <c r="AM78" s="196"/>
    </row>
    <row r="79" spans="2:45" outlineLevel="1">
      <c r="B79" s="328"/>
      <c r="C79" s="329" t="str">
        <f>IF(B1="EN", "Prepayment to suppliers", "Trả trước cho người bán")</f>
        <v>Trả trước cho người bán</v>
      </c>
      <c r="D79" s="329"/>
      <c r="E79" s="330"/>
      <c r="F79" s="331"/>
      <c r="G79" s="332"/>
      <c r="H79" s="332"/>
      <c r="I79" s="332"/>
      <c r="J79" s="332"/>
      <c r="K79" s="333"/>
      <c r="L79" s="333"/>
      <c r="M79" s="340">
        <v>13155020004</v>
      </c>
      <c r="N79" s="340">
        <v>150830000</v>
      </c>
      <c r="O79" s="340">
        <v>133534800</v>
      </c>
      <c r="P79" s="334">
        <f>[1]NWC!L9</f>
        <v>0</v>
      </c>
      <c r="Q79" s="334">
        <v>1384273092</v>
      </c>
      <c r="R79" s="337">
        <f>2158969273-69444444</f>
        <v>2089524829</v>
      </c>
      <c r="S79" s="337"/>
      <c r="T79" s="337">
        <f>[1]NWC!O9</f>
        <v>0</v>
      </c>
      <c r="U79" s="337">
        <f>[1]NWC!P9</f>
        <v>0</v>
      </c>
      <c r="V79" s="337">
        <f>[1]NWC!Q9</f>
        <v>0</v>
      </c>
      <c r="W79" s="337">
        <f>[1]NWC!R9</f>
        <v>0</v>
      </c>
      <c r="X79" s="337">
        <f>[1]NWC!S9</f>
        <v>0</v>
      </c>
      <c r="Y79" s="337">
        <f>[1]NWC!T9</f>
        <v>0</v>
      </c>
      <c r="Z79" s="337">
        <f>[1]NWC!U9</f>
        <v>0</v>
      </c>
      <c r="AA79" s="337">
        <f>[1]NWC!V9</f>
        <v>0</v>
      </c>
      <c r="AB79" s="337">
        <f>[1]NWC!W9</f>
        <v>0</v>
      </c>
      <c r="AC79" s="337">
        <f>[1]NWC!X9</f>
        <v>0</v>
      </c>
      <c r="AD79" s="337">
        <f>[1]NWC!Y9</f>
        <v>0</v>
      </c>
      <c r="AE79" s="337">
        <f>[1]NWC!Z9</f>
        <v>0</v>
      </c>
      <c r="AF79" s="338"/>
      <c r="AG79" s="333">
        <v>448613916099549</v>
      </c>
      <c r="AH79" s="333">
        <v>489838486710225</v>
      </c>
      <c r="AI79" s="333">
        <v>541878167571173</v>
      </c>
      <c r="AJ79" s="333">
        <v>599106598001586</v>
      </c>
      <c r="AK79" s="333">
        <v>656882908568072</v>
      </c>
      <c r="AL79" s="339"/>
      <c r="AM79" s="196"/>
    </row>
    <row r="80" spans="2:45" outlineLevel="1">
      <c r="B80" s="328"/>
      <c r="C80" s="329" t="str">
        <f>IF(B1="EN", "Other receivables", "Các khoản phải thu khác")</f>
        <v>Các khoản phải thu khác</v>
      </c>
      <c r="D80" s="329"/>
      <c r="E80" s="330"/>
      <c r="F80" s="331"/>
      <c r="G80" s="332"/>
      <c r="H80" s="332"/>
      <c r="I80" s="332"/>
      <c r="J80" s="332"/>
      <c r="K80" s="333"/>
      <c r="L80" s="333"/>
      <c r="M80" s="340">
        <f>3903428569+4000000000</f>
        <v>7903428569</v>
      </c>
      <c r="N80" s="340">
        <v>2997825106</v>
      </c>
      <c r="O80" s="340">
        <v>2765111981</v>
      </c>
      <c r="P80" s="334">
        <f>Q80</f>
        <v>2961606857</v>
      </c>
      <c r="Q80" s="334">
        <v>2961606857</v>
      </c>
      <c r="R80" s="337">
        <f t="shared" si="95"/>
        <v>2961606857</v>
      </c>
      <c r="S80" s="337"/>
      <c r="T80" s="337">
        <f t="shared" ref="T80:AE80" si="98">$Q$80</f>
        <v>2961606857</v>
      </c>
      <c r="U80" s="337">
        <f t="shared" si="98"/>
        <v>2961606857</v>
      </c>
      <c r="V80" s="337">
        <f t="shared" si="98"/>
        <v>2961606857</v>
      </c>
      <c r="W80" s="337">
        <f t="shared" si="98"/>
        <v>2961606857</v>
      </c>
      <c r="X80" s="337">
        <f t="shared" si="98"/>
        <v>2961606857</v>
      </c>
      <c r="Y80" s="337">
        <f t="shared" si="98"/>
        <v>2961606857</v>
      </c>
      <c r="Z80" s="337">
        <f t="shared" si="98"/>
        <v>2961606857</v>
      </c>
      <c r="AA80" s="337">
        <f t="shared" si="98"/>
        <v>2961606857</v>
      </c>
      <c r="AB80" s="337">
        <f t="shared" si="98"/>
        <v>2961606857</v>
      </c>
      <c r="AC80" s="337">
        <f t="shared" si="98"/>
        <v>2961606857</v>
      </c>
      <c r="AD80" s="337">
        <f t="shared" si="98"/>
        <v>2961606857</v>
      </c>
      <c r="AE80" s="337">
        <f t="shared" si="98"/>
        <v>2961606857</v>
      </c>
      <c r="AF80" s="338"/>
      <c r="AG80" s="333">
        <v>9093967822</v>
      </c>
      <c r="AH80" s="333">
        <v>9093967822</v>
      </c>
      <c r="AI80" s="333">
        <v>9093967822</v>
      </c>
      <c r="AJ80" s="333">
        <v>9093967822</v>
      </c>
      <c r="AK80" s="333">
        <v>9093967822</v>
      </c>
      <c r="AL80" s="339"/>
      <c r="AM80" s="196"/>
    </row>
    <row r="81" spans="2:40">
      <c r="B81" s="327" t="str">
        <f>IF(B1="EN", "Inventory", "Hàng tồn kho")</f>
        <v>Hàng tồn kho</v>
      </c>
      <c r="C81" s="123"/>
      <c r="D81" s="123"/>
      <c r="E81" s="326"/>
      <c r="F81" s="341"/>
      <c r="G81" s="319"/>
      <c r="H81" s="319"/>
      <c r="I81" s="319"/>
      <c r="J81" s="319"/>
      <c r="K81" s="320"/>
      <c r="L81" s="320"/>
      <c r="M81" s="321">
        <f>M82</f>
        <v>11967574946</v>
      </c>
      <c r="N81" s="321">
        <f>N82</f>
        <v>22500552497</v>
      </c>
      <c r="O81" s="321">
        <f>O82</f>
        <v>5867578748</v>
      </c>
      <c r="P81" s="421">
        <f>P82</f>
        <v>10633093111.726332</v>
      </c>
      <c r="Q81" s="421">
        <f>Q82</f>
        <v>7851723952</v>
      </c>
      <c r="R81" s="324">
        <f t="shared" si="95"/>
        <v>7800458885.0212793</v>
      </c>
      <c r="S81" s="324"/>
      <c r="T81" s="324">
        <f t="shared" ref="T81:AE81" si="99">T82</f>
        <v>5480139924.1128559</v>
      </c>
      <c r="U81" s="324">
        <f t="shared" si="99"/>
        <v>4388971555.2396145</v>
      </c>
      <c r="V81" s="324">
        <f t="shared" si="99"/>
        <v>6004041844.4943485</v>
      </c>
      <c r="W81" s="324">
        <f t="shared" si="99"/>
        <v>7273281378.8815804</v>
      </c>
      <c r="X81" s="324">
        <f t="shared" si="99"/>
        <v>7283044191.3738775</v>
      </c>
      <c r="Y81" s="324">
        <f t="shared" si="99"/>
        <v>7301390482.3977995</v>
      </c>
      <c r="Z81" s="324">
        <f t="shared" si="99"/>
        <v>7313906450.2676001</v>
      </c>
      <c r="AA81" s="324">
        <f t="shared" si="99"/>
        <v>7317290260.6898232</v>
      </c>
      <c r="AB81" s="324">
        <f t="shared" si="99"/>
        <v>7312275228.2040672</v>
      </c>
      <c r="AC81" s="324">
        <f t="shared" si="99"/>
        <v>7785705581.0244141</v>
      </c>
      <c r="AD81" s="324">
        <f t="shared" si="99"/>
        <v>7803984264.7218494</v>
      </c>
      <c r="AE81" s="324">
        <f t="shared" si="99"/>
        <v>7800458885.0212793</v>
      </c>
      <c r="AF81" s="325"/>
      <c r="AG81" s="320">
        <v>110617129997149</v>
      </c>
      <c r="AH81" s="320">
        <v>12078209261348</v>
      </c>
      <c r="AI81" s="320">
        <v>133613794743577</v>
      </c>
      <c r="AJ81" s="320">
        <v>147724914575734</v>
      </c>
      <c r="AK81" s="320">
        <v>161971128140072</v>
      </c>
      <c r="AL81" s="326"/>
      <c r="AM81" s="196"/>
    </row>
    <row r="82" spans="2:40" outlineLevel="1">
      <c r="B82" s="328"/>
      <c r="C82" s="329" t="str">
        <f>IF(B1="EN", "Inventory", "Hàng tồn kho")</f>
        <v>Hàng tồn kho</v>
      </c>
      <c r="D82" s="329"/>
      <c r="E82" s="330"/>
      <c r="F82" s="331"/>
      <c r="G82" s="332"/>
      <c r="H82" s="332"/>
      <c r="I82" s="332"/>
      <c r="J82" s="332"/>
      <c r="K82" s="333"/>
      <c r="L82" s="333"/>
      <c r="M82" s="340">
        <v>11967574946</v>
      </c>
      <c r="N82" s="340">
        <v>22500552497</v>
      </c>
      <c r="O82" s="340">
        <v>5867578748</v>
      </c>
      <c r="P82" s="334">
        <f>[1]NWC!L7</f>
        <v>10633093111.726332</v>
      </c>
      <c r="Q82" s="334">
        <v>7851723952</v>
      </c>
      <c r="R82" s="337">
        <f t="shared" si="95"/>
        <v>7800458885.0212793</v>
      </c>
      <c r="S82" s="337"/>
      <c r="T82" s="337">
        <f>[1]NWC!O7</f>
        <v>5480139924.1128559</v>
      </c>
      <c r="U82" s="337">
        <f>[1]NWC!P7</f>
        <v>4388971555.2396145</v>
      </c>
      <c r="V82" s="337">
        <f>[1]NWC!Q7</f>
        <v>6004041844.4943485</v>
      </c>
      <c r="W82" s="337">
        <f>[1]NWC!R7</f>
        <v>7273281378.8815804</v>
      </c>
      <c r="X82" s="337">
        <f>[1]NWC!S7</f>
        <v>7283044191.3738775</v>
      </c>
      <c r="Y82" s="337">
        <f>[1]NWC!T7</f>
        <v>7301390482.3977995</v>
      </c>
      <c r="Z82" s="337">
        <f>[1]NWC!U7</f>
        <v>7313906450.2676001</v>
      </c>
      <c r="AA82" s="337">
        <f>[1]NWC!V7</f>
        <v>7317290260.6898232</v>
      </c>
      <c r="AB82" s="337">
        <f>[1]NWC!W7</f>
        <v>7312275228.2040672</v>
      </c>
      <c r="AC82" s="337">
        <f>[1]NWC!X7</f>
        <v>7785705581.0244141</v>
      </c>
      <c r="AD82" s="337">
        <f>[1]NWC!Y7</f>
        <v>7803984264.7218494</v>
      </c>
      <c r="AE82" s="337">
        <f>[1]NWC!Z7</f>
        <v>7800458885.0212793</v>
      </c>
      <c r="AF82" s="338"/>
      <c r="AG82" s="333">
        <v>110617129997149</v>
      </c>
      <c r="AH82" s="333">
        <v>12078209261348</v>
      </c>
      <c r="AI82" s="333">
        <v>133613794743577</v>
      </c>
      <c r="AJ82" s="333">
        <v>147724914575734</v>
      </c>
      <c r="AK82" s="333">
        <v>161971128140072</v>
      </c>
      <c r="AL82" s="339"/>
      <c r="AM82" s="196"/>
    </row>
    <row r="83" spans="2:40">
      <c r="B83" s="327" t="str">
        <f>IF(B1="EN", "Other short-term assets", "Tài sản ngắn hạn khác")</f>
        <v>Tài sản ngắn hạn khác</v>
      </c>
      <c r="C83" s="123"/>
      <c r="D83" s="123"/>
      <c r="E83" s="326"/>
      <c r="F83" s="341"/>
      <c r="G83" s="319"/>
      <c r="H83" s="319"/>
      <c r="I83" s="319"/>
      <c r="J83" s="319"/>
      <c r="K83" s="320"/>
      <c r="L83" s="320"/>
      <c r="M83" s="321">
        <v>900227844</v>
      </c>
      <c r="N83" s="321">
        <v>664365383</v>
      </c>
      <c r="O83" s="321">
        <v>496895001</v>
      </c>
      <c r="P83" s="421">
        <f>M83</f>
        <v>900227844</v>
      </c>
      <c r="Q83" s="421">
        <v>1107901056</v>
      </c>
      <c r="R83" s="324">
        <f t="shared" si="95"/>
        <v>1107901056</v>
      </c>
      <c r="S83" s="324"/>
      <c r="T83" s="324">
        <f t="shared" ref="T83:AE83" si="100">$Q$83</f>
        <v>1107901056</v>
      </c>
      <c r="U83" s="324">
        <f t="shared" si="100"/>
        <v>1107901056</v>
      </c>
      <c r="V83" s="324">
        <f t="shared" si="100"/>
        <v>1107901056</v>
      </c>
      <c r="W83" s="324">
        <f t="shared" si="100"/>
        <v>1107901056</v>
      </c>
      <c r="X83" s="324">
        <f t="shared" si="100"/>
        <v>1107901056</v>
      </c>
      <c r="Y83" s="324">
        <f t="shared" si="100"/>
        <v>1107901056</v>
      </c>
      <c r="Z83" s="324">
        <f t="shared" si="100"/>
        <v>1107901056</v>
      </c>
      <c r="AA83" s="324">
        <f t="shared" si="100"/>
        <v>1107901056</v>
      </c>
      <c r="AB83" s="324">
        <f t="shared" si="100"/>
        <v>1107901056</v>
      </c>
      <c r="AC83" s="324">
        <f t="shared" si="100"/>
        <v>1107901056</v>
      </c>
      <c r="AD83" s="324">
        <f t="shared" si="100"/>
        <v>1107901056</v>
      </c>
      <c r="AE83" s="324">
        <f t="shared" si="100"/>
        <v>1107901056</v>
      </c>
      <c r="AF83" s="325"/>
      <c r="AG83" s="320">
        <v>21816262522</v>
      </c>
      <c r="AH83" s="320">
        <v>21816262522</v>
      </c>
      <c r="AI83" s="320">
        <v>21816262522</v>
      </c>
      <c r="AJ83" s="320">
        <v>21816262522</v>
      </c>
      <c r="AK83" s="320">
        <v>21816262522</v>
      </c>
      <c r="AL83" s="326"/>
      <c r="AM83" s="196"/>
    </row>
    <row r="84" spans="2:40">
      <c r="B84" s="342"/>
      <c r="C84" s="329"/>
      <c r="D84" s="329"/>
      <c r="E84" s="330"/>
      <c r="F84" s="331"/>
      <c r="G84" s="343"/>
      <c r="H84" s="343"/>
      <c r="I84" s="343"/>
      <c r="J84" s="343"/>
      <c r="K84" s="344"/>
      <c r="L84" s="344"/>
      <c r="M84" s="345"/>
      <c r="N84" s="345"/>
      <c r="O84" s="345"/>
      <c r="P84" s="505"/>
      <c r="Q84" s="505"/>
      <c r="R84" s="348">
        <f t="shared" si="95"/>
        <v>0</v>
      </c>
      <c r="S84" s="348"/>
      <c r="T84" s="348"/>
      <c r="U84" s="348"/>
      <c r="V84" s="348"/>
      <c r="W84" s="348"/>
      <c r="X84" s="348"/>
      <c r="Y84" s="348"/>
      <c r="Z84" s="348"/>
      <c r="AA84" s="348"/>
      <c r="AB84" s="348"/>
      <c r="AC84" s="348"/>
      <c r="AD84" s="348"/>
      <c r="AE84" s="348"/>
      <c r="AF84" s="349"/>
      <c r="AG84" s="344"/>
      <c r="AH84" s="344"/>
      <c r="AI84" s="344"/>
      <c r="AJ84" s="344"/>
      <c r="AK84" s="344"/>
      <c r="AL84" s="350"/>
      <c r="AM84" s="196"/>
    </row>
    <row r="85" spans="2:40">
      <c r="B85" s="126" t="str">
        <f>IF(B1="EN", "LONG-TERM ASSETS", "TÀI SẢN DÀI HẠN")</f>
        <v>TÀI SẢN DÀI HẠN</v>
      </c>
      <c r="C85" s="123"/>
      <c r="D85" s="123"/>
      <c r="E85" s="317"/>
      <c r="F85" s="318"/>
      <c r="G85" s="319"/>
      <c r="H85" s="319"/>
      <c r="I85" s="319"/>
      <c r="J85" s="319"/>
      <c r="K85" s="320"/>
      <c r="L85" s="320"/>
      <c r="M85" s="321">
        <f>M86+M96+M98+M100+M99</f>
        <v>27067630649</v>
      </c>
      <c r="N85" s="321">
        <f>N86+N96+N98+N100+N99</f>
        <v>30563499221</v>
      </c>
      <c r="O85" s="321">
        <f>O86+O96+O98+O100+O99</f>
        <v>24673757974</v>
      </c>
      <c r="P85" s="421">
        <f t="shared" ref="P85:Q85" si="101">P86+P96+P98+P100+P99</f>
        <v>16722903938.333332</v>
      </c>
      <c r="Q85" s="421">
        <f t="shared" si="101"/>
        <v>24399717348</v>
      </c>
      <c r="R85" s="324">
        <f t="shared" si="95"/>
        <v>17355340872.828026</v>
      </c>
      <c r="S85" s="324"/>
      <c r="T85" s="324">
        <f t="shared" ref="T85:AE85" si="102">T86+T96+T98+T100+T99</f>
        <v>21563196707.245266</v>
      </c>
      <c r="U85" s="324">
        <f t="shared" si="102"/>
        <v>21183068628.964912</v>
      </c>
      <c r="V85" s="324">
        <f t="shared" si="102"/>
        <v>20805504186.684559</v>
      </c>
      <c r="W85" s="324">
        <f t="shared" si="102"/>
        <v>20427939744.404205</v>
      </c>
      <c r="X85" s="324">
        <f t="shared" si="102"/>
        <v>20050375302.123852</v>
      </c>
      <c r="Y85" s="324">
        <f t="shared" si="102"/>
        <v>19672810859.843498</v>
      </c>
      <c r="Z85" s="324">
        <f t="shared" si="102"/>
        <v>19295246417.563145</v>
      </c>
      <c r="AA85" s="324">
        <f t="shared" si="102"/>
        <v>18917681975.282787</v>
      </c>
      <c r="AB85" s="324">
        <f t="shared" si="102"/>
        <v>18540117533.00243</v>
      </c>
      <c r="AC85" s="324">
        <f t="shared" si="102"/>
        <v>18145191979.610962</v>
      </c>
      <c r="AD85" s="324">
        <f t="shared" si="102"/>
        <v>17750266426.219494</v>
      </c>
      <c r="AE85" s="324">
        <f t="shared" si="102"/>
        <v>17355340872.828026</v>
      </c>
      <c r="AF85" s="325"/>
      <c r="AG85" s="320">
        <v>229691525614212</v>
      </c>
      <c r="AH85" s="320">
        <v>292846111445683</v>
      </c>
      <c r="AI85" s="320">
        <v>338026496677403</v>
      </c>
      <c r="AJ85" s="320">
        <v>383560944662571</v>
      </c>
      <c r="AK85" s="320">
        <v>392980234439487</v>
      </c>
      <c r="AL85" s="326"/>
      <c r="AM85" s="196"/>
    </row>
    <row r="86" spans="2:40">
      <c r="B86" s="327" t="str">
        <f>IF(B1="EN", "Fixed assets", "Tài sản cố định")</f>
        <v>Tài sản cố định</v>
      </c>
      <c r="C86" s="123"/>
      <c r="D86" s="123"/>
      <c r="E86" s="317"/>
      <c r="F86" s="318"/>
      <c r="G86" s="319"/>
      <c r="H86" s="319"/>
      <c r="I86" s="319"/>
      <c r="J86" s="319"/>
      <c r="K86" s="320"/>
      <c r="L86" s="320"/>
      <c r="M86" s="321">
        <f>M87+M90+M93</f>
        <v>24882961817</v>
      </c>
      <c r="N86" s="321">
        <f>N87+N90+N93</f>
        <v>25022102089</v>
      </c>
      <c r="O86" s="321">
        <f>O87+O90+O93</f>
        <v>23029767745</v>
      </c>
      <c r="P86" s="421">
        <f t="shared" ref="P86:Q86" si="103">P87+P90+P93</f>
        <v>13511542158.333332</v>
      </c>
      <c r="Q86" s="421">
        <f t="shared" si="103"/>
        <v>21188355568</v>
      </c>
      <c r="R86" s="324">
        <f t="shared" si="95"/>
        <v>17355340872.828026</v>
      </c>
      <c r="S86" s="324"/>
      <c r="T86" s="324">
        <f t="shared" ref="T86:AE86" si="104">T87+T90+T93</f>
        <v>21563196707.245266</v>
      </c>
      <c r="U86" s="324">
        <f t="shared" si="104"/>
        <v>21183068628.964912</v>
      </c>
      <c r="V86" s="324">
        <f t="shared" si="104"/>
        <v>20805504186.684559</v>
      </c>
      <c r="W86" s="324">
        <f t="shared" si="104"/>
        <v>20427939744.404205</v>
      </c>
      <c r="X86" s="324">
        <f t="shared" si="104"/>
        <v>20050375302.123852</v>
      </c>
      <c r="Y86" s="324">
        <f t="shared" si="104"/>
        <v>19672810859.843498</v>
      </c>
      <c r="Z86" s="324">
        <f t="shared" si="104"/>
        <v>19295246417.563145</v>
      </c>
      <c r="AA86" s="324">
        <f t="shared" si="104"/>
        <v>18917681975.282787</v>
      </c>
      <c r="AB86" s="324">
        <f t="shared" si="104"/>
        <v>18540117533.00243</v>
      </c>
      <c r="AC86" s="324">
        <f t="shared" si="104"/>
        <v>18145191979.610962</v>
      </c>
      <c r="AD86" s="324">
        <f t="shared" si="104"/>
        <v>17750266426.219494</v>
      </c>
      <c r="AE86" s="324">
        <f t="shared" si="104"/>
        <v>17355340872.828026</v>
      </c>
      <c r="AF86" s="325"/>
      <c r="AG86" s="320">
        <v>207469613973412</v>
      </c>
      <c r="AH86" s="320">
        <v>270624199804883</v>
      </c>
      <c r="AI86" s="320">
        <v>315804585036603</v>
      </c>
      <c r="AJ86" s="320">
        <v>361339033021771</v>
      </c>
      <c r="AK86" s="320">
        <v>370758322798687</v>
      </c>
      <c r="AL86" s="326"/>
      <c r="AM86" s="196"/>
    </row>
    <row r="87" spans="2:40">
      <c r="B87" s="342"/>
      <c r="C87" s="351" t="str">
        <f>IF(B1="EN", "Tangible fixed assets", "Tài sản cố định hữu hình")</f>
        <v>Tài sản cố định hữu hình</v>
      </c>
      <c r="D87" s="329"/>
      <c r="E87" s="330"/>
      <c r="F87" s="331"/>
      <c r="G87" s="332"/>
      <c r="H87" s="332"/>
      <c r="I87" s="332"/>
      <c r="J87" s="332"/>
      <c r="K87" s="333"/>
      <c r="L87" s="333"/>
      <c r="M87" s="340">
        <f>SUM(M88:M89)</f>
        <v>24473979853</v>
      </c>
      <c r="N87" s="340">
        <f>SUM(N88:N89)</f>
        <v>24699221591</v>
      </c>
      <c r="O87" s="340">
        <f>SUM(O88:O89)</f>
        <v>22792988713</v>
      </c>
      <c r="P87" s="334">
        <f t="shared" ref="P87:Q87" si="105">SUM(P88:P89)</f>
        <v>13360864595.333332</v>
      </c>
      <c r="Q87" s="334">
        <f t="shared" si="105"/>
        <v>21016152636</v>
      </c>
      <c r="R87" s="337">
        <f t="shared" si="95"/>
        <v>17214859540.038551</v>
      </c>
      <c r="S87" s="337"/>
      <c r="T87" s="337">
        <f>SUM(T88:T89)</f>
        <v>21393637248.26281</v>
      </c>
      <c r="U87" s="337">
        <f t="shared" ref="U87:AD87" si="106">SUM(U88:U89)</f>
        <v>21016152636</v>
      </c>
      <c r="V87" s="337">
        <f t="shared" si="106"/>
        <v>20641231659.73719</v>
      </c>
      <c r="W87" s="337">
        <f t="shared" si="106"/>
        <v>20266310683.47438</v>
      </c>
      <c r="X87" s="337">
        <f t="shared" si="106"/>
        <v>19891389707.211571</v>
      </c>
      <c r="Y87" s="337">
        <f t="shared" si="106"/>
        <v>19516468730.948761</v>
      </c>
      <c r="Z87" s="337">
        <f t="shared" si="106"/>
        <v>19141547754.685951</v>
      </c>
      <c r="AA87" s="337">
        <f t="shared" si="106"/>
        <v>18766626778.423138</v>
      </c>
      <c r="AB87" s="337">
        <f t="shared" si="106"/>
        <v>18391705802.160324</v>
      </c>
      <c r="AC87" s="337">
        <f t="shared" si="106"/>
        <v>17999423714.7864</v>
      </c>
      <c r="AD87" s="337">
        <f t="shared" si="106"/>
        <v>17607141627.412476</v>
      </c>
      <c r="AE87" s="337">
        <f>SUM(AE88:AE89)</f>
        <v>17214859540.038551</v>
      </c>
      <c r="AF87" s="338"/>
      <c r="AG87" s="333">
        <v>184780298247012</v>
      </c>
      <c r="AH87" s="333">
        <v>249370189891483</v>
      </c>
      <c r="AI87" s="333">
        <v>295840920038903</v>
      </c>
      <c r="AJ87" s="333">
        <v>342655934192771</v>
      </c>
      <c r="AK87" s="333">
        <v>352786845093187</v>
      </c>
      <c r="AL87" s="339"/>
      <c r="AM87" s="196"/>
    </row>
    <row r="88" spans="2:40" s="125" customFormat="1" outlineLevel="1">
      <c r="B88" s="352"/>
      <c r="C88" s="353"/>
      <c r="D88" s="354"/>
      <c r="E88" s="355" t="str">
        <f>IF(B1="EN", "Cost", "Nguyên giá")</f>
        <v>Nguyên giá</v>
      </c>
      <c r="F88" s="356"/>
      <c r="G88" s="357"/>
      <c r="H88" s="357"/>
      <c r="I88" s="357"/>
      <c r="J88" s="357"/>
      <c r="K88" s="358"/>
      <c r="L88" s="358"/>
      <c r="M88" s="359">
        <v>24797693236</v>
      </c>
      <c r="N88" s="359">
        <v>28611384570</v>
      </c>
      <c r="O88" s="359">
        <v>33184332773</v>
      </c>
      <c r="P88" s="506">
        <f>[1]Depreciation!J4</f>
        <v>36032931529</v>
      </c>
      <c r="Q88" s="506">
        <v>36032931529</v>
      </c>
      <c r="R88" s="362">
        <f>AE88</f>
        <v>36032931529</v>
      </c>
      <c r="S88" s="363"/>
      <c r="T88" s="363">
        <f>[1]Depreciation!N4+[1]Depreciation!N15</f>
        <v>36032931529</v>
      </c>
      <c r="U88" s="362">
        <f>[1]Depreciation!O4+[1]Depreciation!O15</f>
        <v>36032931529</v>
      </c>
      <c r="V88" s="362">
        <f>[1]Depreciation!P4+[1]Depreciation!P15</f>
        <v>36032931529</v>
      </c>
      <c r="W88" s="362">
        <f>[1]Depreciation!Q4+[1]Depreciation!Q15</f>
        <v>36032931529</v>
      </c>
      <c r="X88" s="362">
        <f>[1]Depreciation!R4+[1]Depreciation!R15</f>
        <v>36032931529</v>
      </c>
      <c r="Y88" s="362">
        <f>[1]Depreciation!S4+[1]Depreciation!S15</f>
        <v>36032931529</v>
      </c>
      <c r="Z88" s="362">
        <f>[1]Depreciation!T4+[1]Depreciation!T15</f>
        <v>36032931529</v>
      </c>
      <c r="AA88" s="362">
        <f>[1]Depreciation!U4+[1]Depreciation!U15</f>
        <v>36032931529</v>
      </c>
      <c r="AB88" s="362">
        <f>[1]Depreciation!V4+[1]Depreciation!V15</f>
        <v>36032931529</v>
      </c>
      <c r="AC88" s="362">
        <f>[1]Depreciation!W4+[1]Depreciation!W15</f>
        <v>36032931529</v>
      </c>
      <c r="AD88" s="362">
        <f>[1]Depreciation!X4+[1]Depreciation!X15</f>
        <v>36032931529</v>
      </c>
      <c r="AE88" s="362">
        <f>[1]Depreciation!Y4+[1]Depreciation!Y15</f>
        <v>36032931529</v>
      </c>
      <c r="AF88" s="364"/>
      <c r="AG88" s="358">
        <v>4666557025949</v>
      </c>
      <c r="AH88" s="358">
        <v>551752841181649</v>
      </c>
      <c r="AI88" s="358">
        <v>623135683741649</v>
      </c>
      <c r="AJ88" s="358">
        <v>700518937098397</v>
      </c>
      <c r="AK88" s="358">
        <v>746499929408397</v>
      </c>
      <c r="AL88" s="354"/>
      <c r="AM88" s="196"/>
      <c r="AN88" s="288"/>
    </row>
    <row r="89" spans="2:40" s="125" customFormat="1" outlineLevel="1">
      <c r="B89" s="352"/>
      <c r="C89" s="353"/>
      <c r="D89" s="354"/>
      <c r="E89" s="355" t="str">
        <f>IF(B1="EN", "Accumulated depreciation", "Khấu hao lũy kế")</f>
        <v>Khấu hao lũy kế</v>
      </c>
      <c r="F89" s="356"/>
      <c r="G89" s="357"/>
      <c r="H89" s="357"/>
      <c r="I89" s="357"/>
      <c r="J89" s="357"/>
      <c r="K89" s="358"/>
      <c r="L89" s="358"/>
      <c r="M89" s="359">
        <v>-323713383</v>
      </c>
      <c r="N89" s="359">
        <v>-3912162979</v>
      </c>
      <c r="O89" s="359">
        <v>-10391344060</v>
      </c>
      <c r="P89" s="506">
        <f>[1]Depreciation!J5</f>
        <v>-22672066933.666668</v>
      </c>
      <c r="Q89" s="506">
        <v>-15016778893</v>
      </c>
      <c r="R89" s="362">
        <f>AE89</f>
        <v>-18818071988.961449</v>
      </c>
      <c r="S89" s="363"/>
      <c r="T89" s="363">
        <f>[1]Depreciation!N5</f>
        <v>-14639294280.73719</v>
      </c>
      <c r="U89" s="362">
        <f>[1]Depreciation!O5</f>
        <v>-15016778893</v>
      </c>
      <c r="V89" s="362">
        <f>[1]Depreciation!P5</f>
        <v>-15391699869.26281</v>
      </c>
      <c r="W89" s="362">
        <f>[1]Depreciation!Q5</f>
        <v>-15766620845.52562</v>
      </c>
      <c r="X89" s="362">
        <f>[1]Depreciation!R5</f>
        <v>-16141541821.788429</v>
      </c>
      <c r="Y89" s="362">
        <f>[1]Depreciation!S5</f>
        <v>-16516462798.051239</v>
      </c>
      <c r="Z89" s="362">
        <f>[1]Depreciation!T5</f>
        <v>-16891383774.314049</v>
      </c>
      <c r="AA89" s="362">
        <f>[1]Depreciation!U5</f>
        <v>-17266304750.576862</v>
      </c>
      <c r="AB89" s="362">
        <f>[1]Depreciation!V5</f>
        <v>-17641225726.839676</v>
      </c>
      <c r="AC89" s="362">
        <f>[1]Depreciation!W5</f>
        <v>-18033507814.2136</v>
      </c>
      <c r="AD89" s="362">
        <f>[1]Depreciation!X5</f>
        <v>-18425789901.587524</v>
      </c>
      <c r="AE89" s="362">
        <f>[1]Depreciation!Y5</f>
        <v>-18818071988.961449</v>
      </c>
      <c r="AF89" s="364"/>
      <c r="AG89" s="358">
        <v>-281875404347888</v>
      </c>
      <c r="AH89" s="358">
        <v>-302382651290165</v>
      </c>
      <c r="AI89" s="358">
        <v>-327294763702746</v>
      </c>
      <c r="AJ89" s="358">
        <v>-357863002905627</v>
      </c>
      <c r="AK89" s="358">
        <v>-39371308431521</v>
      </c>
      <c r="AL89" s="354"/>
      <c r="AM89" s="196"/>
    </row>
    <row r="90" spans="2:40" collapsed="1">
      <c r="B90" s="342"/>
      <c r="C90" s="351" t="str">
        <f>IF(B1="EN", "Financial leasing", "Tài sản thuê tài chính")</f>
        <v>Tài sản thuê tài chính</v>
      </c>
      <c r="D90" s="329"/>
      <c r="E90" s="330"/>
      <c r="F90" s="331"/>
      <c r="G90" s="332"/>
      <c r="H90" s="332"/>
      <c r="I90" s="332"/>
      <c r="J90" s="332"/>
      <c r="K90" s="333"/>
      <c r="L90" s="333"/>
      <c r="M90" s="340"/>
      <c r="N90" s="340">
        <f>SUM(N91:N92)</f>
        <v>0</v>
      </c>
      <c r="O90" s="340">
        <f>SUM(O91:O92)</f>
        <v>0</v>
      </c>
      <c r="P90" s="334">
        <f t="shared" ref="P90" si="107">SUM(P91:P92)</f>
        <v>0</v>
      </c>
      <c r="Q90" s="334"/>
      <c r="R90" s="337">
        <f t="shared" si="95"/>
        <v>0</v>
      </c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8"/>
      <c r="AG90" s="333">
        <v>13756525686</v>
      </c>
      <c r="AH90" s="333">
        <v>13155500716</v>
      </c>
      <c r="AI90" s="333">
        <v>12554475751</v>
      </c>
      <c r="AJ90" s="333">
        <v>11953450781</v>
      </c>
      <c r="AK90" s="333">
        <v>11352425815</v>
      </c>
      <c r="AL90" s="339"/>
      <c r="AM90" s="196"/>
    </row>
    <row r="91" spans="2:40" hidden="1" outlineLevel="1">
      <c r="B91" s="352"/>
      <c r="C91" s="366"/>
      <c r="D91" s="367"/>
      <c r="E91" s="355" t="str">
        <f>IF(B1="EN", "Cost", "Nguyên giá")</f>
        <v>Nguyên giá</v>
      </c>
      <c r="F91" s="356"/>
      <c r="G91" s="357"/>
      <c r="H91" s="357"/>
      <c r="I91" s="357"/>
      <c r="J91" s="357"/>
      <c r="K91" s="358"/>
      <c r="L91" s="358"/>
      <c r="M91" s="359"/>
      <c r="N91" s="359"/>
      <c r="O91" s="359"/>
      <c r="P91" s="506">
        <f>[1]Depreciation!J8</f>
        <v>0</v>
      </c>
      <c r="Q91" s="506"/>
      <c r="R91" s="362">
        <f t="shared" si="95"/>
        <v>0</v>
      </c>
      <c r="S91" s="363"/>
      <c r="T91" s="363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4"/>
      <c r="AG91" s="358">
        <v>38414</v>
      </c>
      <c r="AH91" s="358">
        <v>38414</v>
      </c>
      <c r="AI91" s="358">
        <v>38414</v>
      </c>
      <c r="AJ91" s="358">
        <v>38414</v>
      </c>
      <c r="AK91" s="358">
        <v>38414</v>
      </c>
      <c r="AL91" s="354"/>
      <c r="AM91" s="196"/>
      <c r="AN91" s="288"/>
    </row>
    <row r="92" spans="2:40" hidden="1" outlineLevel="1">
      <c r="B92" s="352"/>
      <c r="C92" s="366"/>
      <c r="D92" s="367"/>
      <c r="E92" s="355" t="str">
        <f>IF(B1="EN", "Accumulated depreciation", "Khấu hao lũy kế")</f>
        <v>Khấu hao lũy kế</v>
      </c>
      <c r="F92" s="356"/>
      <c r="G92" s="357"/>
      <c r="H92" s="357"/>
      <c r="I92" s="357"/>
      <c r="J92" s="357"/>
      <c r="K92" s="358"/>
      <c r="L92" s="358"/>
      <c r="M92" s="359"/>
      <c r="N92" s="359"/>
      <c r="O92" s="359"/>
      <c r="P92" s="506">
        <f>[1]Depreciation!J9</f>
        <v>0</v>
      </c>
      <c r="Q92" s="506"/>
      <c r="R92" s="362">
        <f t="shared" si="95"/>
        <v>0</v>
      </c>
      <c r="S92" s="363"/>
      <c r="T92" s="363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4"/>
      <c r="AG92" s="358">
        <v>-24657474314</v>
      </c>
      <c r="AH92" s="358">
        <v>-25258499284</v>
      </c>
      <c r="AI92" s="358">
        <v>-25859524249</v>
      </c>
      <c r="AJ92" s="358">
        <v>-26460549219</v>
      </c>
      <c r="AK92" s="358">
        <v>-27061574185</v>
      </c>
      <c r="AL92" s="354"/>
      <c r="AM92" s="196"/>
    </row>
    <row r="93" spans="2:40">
      <c r="B93" s="352"/>
      <c r="C93" s="351" t="str">
        <f>IF(B1="EN", "Intangible fixed assets", "Tài sản cố định vô hình")</f>
        <v>Tài sản cố định vô hình</v>
      </c>
      <c r="D93" s="329"/>
      <c r="E93" s="355"/>
      <c r="F93" s="356"/>
      <c r="G93" s="368"/>
      <c r="H93" s="368"/>
      <c r="I93" s="368"/>
      <c r="J93" s="368"/>
      <c r="K93" s="369"/>
      <c r="L93" s="369"/>
      <c r="M93" s="370">
        <f>SUM(M94:M95)</f>
        <v>408981964</v>
      </c>
      <c r="N93" s="370">
        <f>SUM(N94:N95)</f>
        <v>322880498</v>
      </c>
      <c r="O93" s="370">
        <f>SUM(O94:O95)</f>
        <v>236779032</v>
      </c>
      <c r="P93" s="388">
        <f t="shared" ref="P93" si="108">SUM(P94:P95)</f>
        <v>150677563</v>
      </c>
      <c r="Q93" s="388">
        <f>SUM(Q94:Q95)</f>
        <v>172202932</v>
      </c>
      <c r="R93" s="371">
        <f t="shared" si="95"/>
        <v>140481332.78947377</v>
      </c>
      <c r="S93" s="337"/>
      <c r="T93" s="337">
        <f t="shared" ref="T93:AE93" si="109">SUM(T94:T95)</f>
        <v>169559458.98245615</v>
      </c>
      <c r="U93" s="371">
        <f t="shared" si="109"/>
        <v>166915992.9649123</v>
      </c>
      <c r="V93" s="371">
        <f t="shared" si="109"/>
        <v>164272526.94736844</v>
      </c>
      <c r="W93" s="371">
        <f t="shared" si="109"/>
        <v>161629060.92982459</v>
      </c>
      <c r="X93" s="371">
        <f t="shared" si="109"/>
        <v>158985594.91228074</v>
      </c>
      <c r="Y93" s="371">
        <f t="shared" si="109"/>
        <v>156342128.89473689</v>
      </c>
      <c r="Z93" s="371">
        <f t="shared" si="109"/>
        <v>153698662.87719303</v>
      </c>
      <c r="AA93" s="371">
        <f t="shared" si="109"/>
        <v>151055196.85964918</v>
      </c>
      <c r="AB93" s="371">
        <f t="shared" si="109"/>
        <v>148411730.84210533</v>
      </c>
      <c r="AC93" s="371">
        <f t="shared" si="109"/>
        <v>145768264.82456148</v>
      </c>
      <c r="AD93" s="371">
        <f t="shared" si="109"/>
        <v>143124798.80701762</v>
      </c>
      <c r="AE93" s="371">
        <f t="shared" si="109"/>
        <v>140481332.78947377</v>
      </c>
      <c r="AF93" s="338"/>
      <c r="AG93" s="369">
        <v>213136631578</v>
      </c>
      <c r="AH93" s="369">
        <v>199384598418</v>
      </c>
      <c r="AI93" s="369">
        <v>187082174226</v>
      </c>
      <c r="AJ93" s="369">
        <v>174877537509</v>
      </c>
      <c r="AK93" s="369">
        <v>16836235124</v>
      </c>
      <c r="AL93" s="339"/>
      <c r="AM93" s="196"/>
    </row>
    <row r="94" spans="2:40" outlineLevel="1">
      <c r="B94" s="352"/>
      <c r="C94" s="367"/>
      <c r="D94" s="367"/>
      <c r="E94" s="355" t="str">
        <f>IF(B1="EN", "Cost", "Nguyên giá")</f>
        <v>Nguyên giá</v>
      </c>
      <c r="F94" s="356"/>
      <c r="G94" s="357"/>
      <c r="H94" s="357"/>
      <c r="I94" s="357"/>
      <c r="J94" s="357"/>
      <c r="K94" s="358"/>
      <c r="L94" s="358"/>
      <c r="M94" s="359">
        <v>430507331</v>
      </c>
      <c r="N94" s="359">
        <v>430507331</v>
      </c>
      <c r="O94" s="359">
        <v>430507331</v>
      </c>
      <c r="P94" s="506">
        <v>430507331</v>
      </c>
      <c r="Q94" s="506">
        <v>430507331</v>
      </c>
      <c r="R94" s="362">
        <f t="shared" si="95"/>
        <v>430507331</v>
      </c>
      <c r="S94" s="363"/>
      <c r="T94" s="363">
        <f>[1]Depreciation!N12</f>
        <v>430507331</v>
      </c>
      <c r="U94" s="362">
        <f>[1]Depreciation!O12</f>
        <v>430507331</v>
      </c>
      <c r="V94" s="362">
        <f>[1]Depreciation!P12</f>
        <v>430507331</v>
      </c>
      <c r="W94" s="362">
        <f>[1]Depreciation!Q12</f>
        <v>430507331</v>
      </c>
      <c r="X94" s="362">
        <f>[1]Depreciation!R12</f>
        <v>430507331</v>
      </c>
      <c r="Y94" s="362">
        <f>[1]Depreciation!S12</f>
        <v>430507331</v>
      </c>
      <c r="Z94" s="362">
        <f>[1]Depreciation!T12</f>
        <v>430507331</v>
      </c>
      <c r="AA94" s="362">
        <f>[1]Depreciation!U12</f>
        <v>430507331</v>
      </c>
      <c r="AB94" s="362">
        <f>[1]Depreciation!V12</f>
        <v>430507331</v>
      </c>
      <c r="AC94" s="362">
        <f>[1]Depreciation!W12</f>
        <v>430507331</v>
      </c>
      <c r="AD94" s="362">
        <f>[1]Depreciation!X12</f>
        <v>430507331</v>
      </c>
      <c r="AE94" s="362">
        <f>[1]Depreciation!Y12</f>
        <v>430507331</v>
      </c>
      <c r="AF94" s="364"/>
      <c r="AG94" s="358">
        <v>350267198546</v>
      </c>
      <c r="AH94" s="358">
        <v>350267198546</v>
      </c>
      <c r="AI94" s="358">
        <v>350267198546</v>
      </c>
      <c r="AJ94" s="358">
        <v>350267198546</v>
      </c>
      <c r="AK94" s="358">
        <v>350267198546</v>
      </c>
      <c r="AL94" s="354"/>
      <c r="AM94" s="196"/>
      <c r="AN94" s="288"/>
    </row>
    <row r="95" spans="2:40" outlineLevel="1">
      <c r="B95" s="352"/>
      <c r="C95" s="367"/>
      <c r="D95" s="367"/>
      <c r="E95" s="355" t="str">
        <f>IF(B1="EN", "Accumulated depreciation", "Khấu hao lũy kế")</f>
        <v>Khấu hao lũy kế</v>
      </c>
      <c r="F95" s="356"/>
      <c r="G95" s="357"/>
      <c r="H95" s="357"/>
      <c r="I95" s="357"/>
      <c r="J95" s="357"/>
      <c r="K95" s="358"/>
      <c r="L95" s="358"/>
      <c r="M95" s="359">
        <v>-21525367</v>
      </c>
      <c r="N95" s="359">
        <v>-107626833</v>
      </c>
      <c r="O95" s="359">
        <v>-193728299</v>
      </c>
      <c r="P95" s="506">
        <f>Q95-7175123*3</f>
        <v>-279829768</v>
      </c>
      <c r="Q95" s="506">
        <v>-258304399</v>
      </c>
      <c r="R95" s="362">
        <f t="shared" si="95"/>
        <v>-290025998.21052623</v>
      </c>
      <c r="S95" s="363"/>
      <c r="T95" s="363">
        <f>[1]Depreciation!N13</f>
        <v>-260947872.01754385</v>
      </c>
      <c r="U95" s="362">
        <f>[1]Depreciation!O13</f>
        <v>-263591338.0350877</v>
      </c>
      <c r="V95" s="362">
        <f>[1]Depreciation!P13</f>
        <v>-266234804.05263156</v>
      </c>
      <c r="W95" s="362">
        <f>[1]Depreciation!Q13</f>
        <v>-268878270.07017541</v>
      </c>
      <c r="X95" s="362">
        <f>[1]Depreciation!R13</f>
        <v>-271521736.08771926</v>
      </c>
      <c r="Y95" s="362">
        <f>[1]Depreciation!S13</f>
        <v>-274165202.10526311</v>
      </c>
      <c r="Z95" s="362">
        <f>[1]Depreciation!T13</f>
        <v>-276808668.12280697</v>
      </c>
      <c r="AA95" s="362">
        <f>[1]Depreciation!U13</f>
        <v>-279452134.14035082</v>
      </c>
      <c r="AB95" s="362">
        <f>[1]Depreciation!V13</f>
        <v>-282095600.15789467</v>
      </c>
      <c r="AC95" s="362">
        <f>[1]Depreciation!W13</f>
        <v>-284739066.17543852</v>
      </c>
      <c r="AD95" s="362">
        <f>[1]Depreciation!X13</f>
        <v>-287382532.19298238</v>
      </c>
      <c r="AE95" s="362">
        <f>[1]Depreciation!Y13</f>
        <v>-290025998.21052623</v>
      </c>
      <c r="AF95" s="364"/>
      <c r="AG95" s="358">
        <v>-137130566968</v>
      </c>
      <c r="AH95" s="358">
        <v>-150882600128</v>
      </c>
      <c r="AI95" s="358">
        <v>-16318502432</v>
      </c>
      <c r="AJ95" s="358">
        <v>-175389661037</v>
      </c>
      <c r="AK95" s="358">
        <v>-181904847306</v>
      </c>
      <c r="AL95" s="354"/>
      <c r="AM95" s="196"/>
    </row>
    <row r="96" spans="2:40">
      <c r="B96" s="327" t="str">
        <f>IF(B1="EN", "Long-term work in progress", "Chi phí dở dang dài hạn")</f>
        <v>Chi phí dở dang dài hạn</v>
      </c>
      <c r="C96" s="123"/>
      <c r="D96" s="123"/>
      <c r="E96" s="317"/>
      <c r="F96" s="318"/>
      <c r="G96" s="319"/>
      <c r="H96" s="319"/>
      <c r="I96" s="319"/>
      <c r="J96" s="319"/>
      <c r="K96" s="320"/>
      <c r="L96" s="320"/>
      <c r="M96" s="321">
        <f>M97</f>
        <v>1885024098</v>
      </c>
      <c r="N96" s="321">
        <f>N97</f>
        <v>4904362054</v>
      </c>
      <c r="O96" s="321">
        <f>O97</f>
        <v>1177211000</v>
      </c>
      <c r="P96" s="421">
        <f>P97</f>
        <v>1178581000</v>
      </c>
      <c r="Q96" s="421">
        <f>Q97</f>
        <v>1178581000</v>
      </c>
      <c r="R96" s="324">
        <f t="shared" si="95"/>
        <v>0</v>
      </c>
      <c r="S96" s="324"/>
      <c r="T96" s="324">
        <f t="shared" ref="T96:AE96" si="110">T97</f>
        <v>0</v>
      </c>
      <c r="U96" s="324">
        <f t="shared" si="110"/>
        <v>0</v>
      </c>
      <c r="V96" s="324">
        <f t="shared" si="110"/>
        <v>0</v>
      </c>
      <c r="W96" s="324">
        <f t="shared" si="110"/>
        <v>0</v>
      </c>
      <c r="X96" s="324">
        <f t="shared" si="110"/>
        <v>0</v>
      </c>
      <c r="Y96" s="324">
        <f t="shared" si="110"/>
        <v>0</v>
      </c>
      <c r="Z96" s="324">
        <f t="shared" si="110"/>
        <v>0</v>
      </c>
      <c r="AA96" s="324">
        <f t="shared" si="110"/>
        <v>0</v>
      </c>
      <c r="AB96" s="324">
        <f t="shared" si="110"/>
        <v>0</v>
      </c>
      <c r="AC96" s="324">
        <f t="shared" si="110"/>
        <v>0</v>
      </c>
      <c r="AD96" s="324">
        <f t="shared" si="110"/>
        <v>0</v>
      </c>
      <c r="AE96" s="324">
        <f t="shared" si="110"/>
        <v>0</v>
      </c>
      <c r="AF96" s="325"/>
      <c r="AG96" s="320">
        <v>198309547047</v>
      </c>
      <c r="AH96" s="320">
        <v>198309547047</v>
      </c>
      <c r="AI96" s="320">
        <v>198309547047</v>
      </c>
      <c r="AJ96" s="320">
        <v>198309547047</v>
      </c>
      <c r="AK96" s="320">
        <v>198309547047</v>
      </c>
      <c r="AL96" s="326"/>
      <c r="AM96" s="196"/>
    </row>
    <row r="97" spans="2:41" outlineLevel="1">
      <c r="B97" s="342"/>
      <c r="C97" s="351" t="str">
        <f>IF(B1="EN", "Construction in progress", "Xây dựng cơ bản dở dang")</f>
        <v>Xây dựng cơ bản dở dang</v>
      </c>
      <c r="D97" s="329"/>
      <c r="E97" s="330"/>
      <c r="F97" s="331"/>
      <c r="G97" s="368"/>
      <c r="H97" s="368"/>
      <c r="I97" s="368"/>
      <c r="J97" s="368"/>
      <c r="K97" s="369"/>
      <c r="L97" s="369"/>
      <c r="M97" s="370">
        <v>1885024098</v>
      </c>
      <c r="N97" s="370">
        <v>4904362054</v>
      </c>
      <c r="O97" s="370">
        <v>1177211000</v>
      </c>
      <c r="P97" s="388">
        <f>Q97</f>
        <v>1178581000</v>
      </c>
      <c r="Q97" s="388">
        <v>1178581000</v>
      </c>
      <c r="R97" s="371">
        <f t="shared" si="95"/>
        <v>0</v>
      </c>
      <c r="S97" s="337"/>
      <c r="T97" s="371">
        <f>[1]Depreciation!N34</f>
        <v>0</v>
      </c>
      <c r="U97" s="371">
        <f>[1]Depreciation!O34</f>
        <v>0</v>
      </c>
      <c r="V97" s="371">
        <f>[1]Depreciation!P34</f>
        <v>0</v>
      </c>
      <c r="W97" s="371">
        <f>[1]Depreciation!Q34</f>
        <v>0</v>
      </c>
      <c r="X97" s="371">
        <f>[1]Depreciation!R34</f>
        <v>0</v>
      </c>
      <c r="Y97" s="371">
        <f>[1]Depreciation!S34</f>
        <v>0</v>
      </c>
      <c r="Z97" s="371">
        <f>[1]Depreciation!T34</f>
        <v>0</v>
      </c>
      <c r="AA97" s="371">
        <f>[1]Depreciation!U34</f>
        <v>0</v>
      </c>
      <c r="AB97" s="371">
        <f>[1]Depreciation!V34</f>
        <v>0</v>
      </c>
      <c r="AC97" s="371">
        <f>[1]Depreciation!W34</f>
        <v>0</v>
      </c>
      <c r="AD97" s="371">
        <f>[1]Depreciation!X34</f>
        <v>0</v>
      </c>
      <c r="AE97" s="371">
        <f>[1]Depreciation!Y34</f>
        <v>0</v>
      </c>
      <c r="AF97" s="338"/>
      <c r="AG97" s="369">
        <v>198309547047</v>
      </c>
      <c r="AH97" s="369">
        <v>198309547047</v>
      </c>
      <c r="AI97" s="369">
        <v>198309547047</v>
      </c>
      <c r="AJ97" s="369">
        <v>198309547047</v>
      </c>
      <c r="AK97" s="369">
        <v>198309547047</v>
      </c>
      <c r="AL97" s="339"/>
      <c r="AM97" s="196"/>
      <c r="AN97" s="288"/>
    </row>
    <row r="98" spans="2:41">
      <c r="B98" s="327" t="str">
        <f>IF(B1="EN", "Other long-term assets", "Tài sản dài hạn khác")</f>
        <v>Tài sản dài hạn khác</v>
      </c>
      <c r="C98" s="123"/>
      <c r="D98" s="123"/>
      <c r="E98" s="317"/>
      <c r="F98" s="318"/>
      <c r="G98" s="319"/>
      <c r="H98" s="319"/>
      <c r="I98" s="319"/>
      <c r="J98" s="319"/>
      <c r="K98" s="320"/>
      <c r="L98" s="320"/>
      <c r="M98" s="321">
        <v>299644734</v>
      </c>
      <c r="N98" s="321">
        <v>637035078</v>
      </c>
      <c r="O98" s="321">
        <v>466779229</v>
      </c>
      <c r="P98" s="421">
        <f>Q98</f>
        <v>2032780780</v>
      </c>
      <c r="Q98" s="421">
        <v>2032780780</v>
      </c>
      <c r="R98" s="324">
        <f t="shared" si="95"/>
        <v>0</v>
      </c>
      <c r="S98" s="324"/>
      <c r="T98" s="324">
        <f>$Q$98-$Q$98</f>
        <v>0</v>
      </c>
      <c r="U98" s="324">
        <f t="shared" ref="U98:AE98" si="111">$Q$98-$Q$98</f>
        <v>0</v>
      </c>
      <c r="V98" s="324">
        <f t="shared" si="111"/>
        <v>0</v>
      </c>
      <c r="W98" s="324">
        <f t="shared" si="111"/>
        <v>0</v>
      </c>
      <c r="X98" s="324">
        <f t="shared" si="111"/>
        <v>0</v>
      </c>
      <c r="Y98" s="324">
        <f t="shared" si="111"/>
        <v>0</v>
      </c>
      <c r="Z98" s="324">
        <f t="shared" si="111"/>
        <v>0</v>
      </c>
      <c r="AA98" s="324">
        <f t="shared" si="111"/>
        <v>0</v>
      </c>
      <c r="AB98" s="324">
        <f t="shared" si="111"/>
        <v>0</v>
      </c>
      <c r="AC98" s="324">
        <f t="shared" si="111"/>
        <v>0</v>
      </c>
      <c r="AD98" s="324">
        <f t="shared" si="111"/>
        <v>0</v>
      </c>
      <c r="AE98" s="324">
        <f t="shared" si="111"/>
        <v>0</v>
      </c>
      <c r="AF98" s="325"/>
      <c r="AG98" s="320">
        <v>23909569361</v>
      </c>
      <c r="AH98" s="320">
        <v>23909569361</v>
      </c>
      <c r="AI98" s="320">
        <v>23909569361</v>
      </c>
      <c r="AJ98" s="320">
        <v>23909569361</v>
      </c>
      <c r="AK98" s="320">
        <v>23909569361</v>
      </c>
      <c r="AL98" s="326"/>
      <c r="AM98" s="196"/>
      <c r="AO98" s="107"/>
    </row>
    <row r="99" spans="2:41">
      <c r="B99" s="327" t="str">
        <f>IF(B1="EN", "Goodwill", "Lợi thế thương mại")</f>
        <v>Lợi thế thương mại</v>
      </c>
      <c r="C99" s="123"/>
      <c r="D99" s="123"/>
      <c r="E99" s="317"/>
      <c r="F99" s="318"/>
      <c r="G99" s="319"/>
      <c r="H99" s="319"/>
      <c r="I99" s="319"/>
      <c r="J99" s="319"/>
      <c r="K99" s="320"/>
      <c r="L99" s="320"/>
      <c r="M99" s="321"/>
      <c r="N99" s="321"/>
      <c r="O99" s="321"/>
      <c r="P99" s="421"/>
      <c r="Q99" s="421"/>
      <c r="R99" s="324">
        <f t="shared" si="95"/>
        <v>0</v>
      </c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  <c r="AF99" s="325"/>
      <c r="AG99" s="320"/>
      <c r="AH99" s="320"/>
      <c r="AI99" s="320"/>
      <c r="AJ99" s="320"/>
      <c r="AK99" s="320"/>
      <c r="AL99" s="326"/>
      <c r="AM99" s="196"/>
    </row>
    <row r="100" spans="2:41" collapsed="1">
      <c r="B100" s="327" t="str">
        <f>IF(B1="EN", "Long-term financial investments", "Đầu tư dài hạn")</f>
        <v>Đầu tư dài hạn</v>
      </c>
      <c r="C100" s="123"/>
      <c r="D100" s="123"/>
      <c r="E100" s="317"/>
      <c r="F100" s="318"/>
      <c r="G100" s="319"/>
      <c r="H100" s="319"/>
      <c r="I100" s="319"/>
      <c r="J100" s="319"/>
      <c r="K100" s="320"/>
      <c r="L100" s="320"/>
      <c r="M100" s="321"/>
      <c r="N100" s="321">
        <f>SUM(N101:N103)</f>
        <v>0</v>
      </c>
      <c r="O100" s="321">
        <f>SUM(O101:O103)</f>
        <v>0</v>
      </c>
      <c r="P100" s="421">
        <f t="shared" ref="P100:Q100" si="112">SUM(P101:P103)</f>
        <v>0</v>
      </c>
      <c r="Q100" s="421">
        <f t="shared" si="112"/>
        <v>0</v>
      </c>
      <c r="R100" s="324">
        <f t="shared" si="95"/>
        <v>0</v>
      </c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  <c r="AF100" s="325"/>
      <c r="AG100" s="320">
        <f t="shared" ref="AG100:AK100" si="113">SUM(AG101:AG103)</f>
        <v>0</v>
      </c>
      <c r="AH100" s="320">
        <f t="shared" si="113"/>
        <v>0</v>
      </c>
      <c r="AI100" s="320">
        <f t="shared" si="113"/>
        <v>0</v>
      </c>
      <c r="AJ100" s="320">
        <f t="shared" si="113"/>
        <v>0</v>
      </c>
      <c r="AK100" s="320">
        <f t="shared" si="113"/>
        <v>0</v>
      </c>
      <c r="AL100" s="326"/>
      <c r="AM100" s="196"/>
    </row>
    <row r="101" spans="2:41" hidden="1" outlineLevel="1">
      <c r="B101" s="342"/>
      <c r="C101" s="329" t="str">
        <f>IF(B1="EN", "Investment in subsidiaries", "Đầu tư vào công ty con")</f>
        <v>Đầu tư vào công ty con</v>
      </c>
      <c r="D101" s="329"/>
      <c r="E101" s="330"/>
      <c r="F101" s="331"/>
      <c r="G101" s="332"/>
      <c r="H101" s="332"/>
      <c r="I101" s="332"/>
      <c r="J101" s="332"/>
      <c r="K101" s="333"/>
      <c r="L101" s="333"/>
      <c r="M101" s="340"/>
      <c r="N101" s="340"/>
      <c r="O101" s="340"/>
      <c r="P101" s="334"/>
      <c r="Q101" s="334"/>
      <c r="R101" s="337">
        <f t="shared" si="95"/>
        <v>0</v>
      </c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8"/>
      <c r="AG101" s="333"/>
      <c r="AH101" s="333"/>
      <c r="AI101" s="333"/>
      <c r="AJ101" s="333"/>
      <c r="AK101" s="333"/>
      <c r="AL101" s="339"/>
      <c r="AM101" s="196"/>
    </row>
    <row r="102" spans="2:41">
      <c r="B102" s="342"/>
      <c r="C102" s="329" t="s">
        <v>114</v>
      </c>
      <c r="D102" s="329"/>
      <c r="E102" s="330"/>
      <c r="F102" s="331"/>
      <c r="G102" s="332"/>
      <c r="H102" s="332"/>
      <c r="I102" s="332"/>
      <c r="J102" s="332"/>
      <c r="K102" s="333"/>
      <c r="L102" s="333"/>
      <c r="M102" s="340"/>
      <c r="N102" s="340"/>
      <c r="O102" s="340"/>
      <c r="P102" s="334"/>
      <c r="Q102" s="334"/>
      <c r="R102" s="337">
        <f t="shared" si="95"/>
        <v>0</v>
      </c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8"/>
      <c r="AG102" s="333"/>
      <c r="AH102" s="333"/>
      <c r="AI102" s="333"/>
      <c r="AJ102" s="333"/>
      <c r="AK102" s="333"/>
      <c r="AL102" s="339"/>
      <c r="AM102" s="196"/>
    </row>
    <row r="103" spans="2:41">
      <c r="B103" s="342"/>
      <c r="C103" s="329" t="s">
        <v>115</v>
      </c>
      <c r="D103" s="329"/>
      <c r="E103" s="330"/>
      <c r="F103" s="331"/>
      <c r="G103" s="332"/>
      <c r="H103" s="332"/>
      <c r="I103" s="332"/>
      <c r="J103" s="332"/>
      <c r="K103" s="333"/>
      <c r="L103" s="333"/>
      <c r="M103" s="340"/>
      <c r="N103" s="340"/>
      <c r="O103" s="340"/>
      <c r="P103" s="334"/>
      <c r="Q103" s="334"/>
      <c r="R103" s="337">
        <f t="shared" si="95"/>
        <v>0</v>
      </c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8"/>
      <c r="AG103" s="333"/>
      <c r="AH103" s="333"/>
      <c r="AI103" s="333"/>
      <c r="AJ103" s="333"/>
      <c r="AK103" s="333"/>
      <c r="AL103" s="339"/>
      <c r="AM103" s="196"/>
    </row>
    <row r="104" spans="2:41" s="125" customFormat="1">
      <c r="B104" s="342"/>
      <c r="C104" s="329"/>
      <c r="D104" s="329"/>
      <c r="E104" s="339"/>
      <c r="F104" s="373"/>
      <c r="G104" s="332"/>
      <c r="H104" s="332"/>
      <c r="I104" s="332"/>
      <c r="J104" s="332"/>
      <c r="K104" s="333"/>
      <c r="L104" s="333"/>
      <c r="M104" s="340"/>
      <c r="N104" s="340"/>
      <c r="O104" s="340"/>
      <c r="P104" s="334"/>
      <c r="Q104" s="334"/>
      <c r="R104" s="337">
        <f t="shared" si="95"/>
        <v>0</v>
      </c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8"/>
      <c r="AG104" s="333"/>
      <c r="AH104" s="333"/>
      <c r="AI104" s="333"/>
      <c r="AJ104" s="333"/>
      <c r="AK104" s="333"/>
      <c r="AL104" s="339"/>
      <c r="AM104" s="196"/>
    </row>
    <row r="105" spans="2:41" ht="17" thickBot="1">
      <c r="B105" s="374" t="str">
        <f>IF(B1="EN", "TOTAL ASSETS", "TỔNG TÀI SẢN")</f>
        <v>TỔNG TÀI SẢN</v>
      </c>
      <c r="C105" s="375"/>
      <c r="D105" s="375"/>
      <c r="E105" s="376"/>
      <c r="F105" s="377"/>
      <c r="G105" s="378"/>
      <c r="H105" s="378"/>
      <c r="I105" s="378"/>
      <c r="J105" s="378"/>
      <c r="K105" s="378"/>
      <c r="L105" s="378"/>
      <c r="M105" s="379">
        <f>M73+M85</f>
        <v>67118265497</v>
      </c>
      <c r="N105" s="379">
        <f>N73+N85</f>
        <v>64725699701</v>
      </c>
      <c r="O105" s="379">
        <f>O73+O85</f>
        <v>38908743599</v>
      </c>
      <c r="P105" s="507">
        <f>P73+P85</f>
        <v>35555014028.717796</v>
      </c>
      <c r="Q105" s="507">
        <f t="shared" ref="Q105" si="114">Q73+Q85</f>
        <v>45970417693</v>
      </c>
      <c r="R105" s="382">
        <f>SUM(R73,R85)</f>
        <v>37875763056.375916</v>
      </c>
      <c r="S105" s="383"/>
      <c r="T105" s="382">
        <f t="shared" ref="T105:AE105" si="115">T73+T85</f>
        <v>37376835848.08741</v>
      </c>
      <c r="U105" s="382">
        <f t="shared" si="115"/>
        <v>33143741723.532249</v>
      </c>
      <c r="V105" s="382">
        <f t="shared" si="115"/>
        <v>34622557586.73661</v>
      </c>
      <c r="W105" s="382">
        <f t="shared" si="115"/>
        <v>35909724285.265671</v>
      </c>
      <c r="X105" s="382">
        <f t="shared" si="115"/>
        <v>35777152662.94632</v>
      </c>
      <c r="Y105" s="382">
        <f t="shared" si="115"/>
        <v>35453482311.586212</v>
      </c>
      <c r="Z105" s="382">
        <f t="shared" si="115"/>
        <v>35270717775.506943</v>
      </c>
      <c r="AA105" s="382">
        <f t="shared" si="115"/>
        <v>35038585872.004593</v>
      </c>
      <c r="AB105" s="382">
        <f t="shared" si="115"/>
        <v>34827729477.675751</v>
      </c>
      <c r="AC105" s="382">
        <f t="shared" si="115"/>
        <v>35578720972.538139</v>
      </c>
      <c r="AD105" s="382">
        <f t="shared" si="115"/>
        <v>35689803367.319427</v>
      </c>
      <c r="AE105" s="382">
        <f t="shared" si="115"/>
        <v>35786238227.375916</v>
      </c>
      <c r="AF105" s="384"/>
      <c r="AG105" s="378">
        <f>AG73+AG85</f>
        <v>509035424112136</v>
      </c>
      <c r="AH105" s="378">
        <f t="shared" ref="AH105:AK105" si="116">AH73+AH85</f>
        <v>572923182521796</v>
      </c>
      <c r="AI105" s="378">
        <f t="shared" si="116"/>
        <v>635646367613688</v>
      </c>
      <c r="AJ105" s="378">
        <f t="shared" si="116"/>
        <v>704898777571178</v>
      </c>
      <c r="AK105" s="378">
        <f t="shared" si="116"/>
        <v>779794689705248</v>
      </c>
      <c r="AL105" s="326"/>
      <c r="AM105" s="196"/>
    </row>
    <row r="106" spans="2:41" ht="17" thickTop="1">
      <c r="B106" s="342"/>
      <c r="C106" s="271"/>
      <c r="D106" s="271"/>
      <c r="E106" s="330"/>
      <c r="F106" s="331"/>
      <c r="G106" s="319"/>
      <c r="H106" s="319"/>
      <c r="I106" s="319"/>
      <c r="J106" s="319"/>
      <c r="K106" s="320"/>
      <c r="L106" s="385"/>
      <c r="M106" s="340"/>
      <c r="N106" s="340"/>
      <c r="O106" s="340"/>
      <c r="P106" s="334"/>
      <c r="Q106" s="334"/>
      <c r="R106" s="337">
        <f t="shared" si="95"/>
        <v>0</v>
      </c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86"/>
      <c r="AG106" s="385"/>
      <c r="AH106" s="385"/>
      <c r="AI106" s="385"/>
      <c r="AJ106" s="385"/>
      <c r="AK106" s="385"/>
      <c r="AL106" s="387"/>
      <c r="AM106" s="196"/>
    </row>
    <row r="107" spans="2:41">
      <c r="B107" s="126" t="str">
        <f>IF(B1="EN", "LIABILITIES", "NỢ PHẢI TRẢ")</f>
        <v>NỢ PHẢI TRẢ</v>
      </c>
      <c r="C107" s="123"/>
      <c r="D107" s="123"/>
      <c r="E107" s="317"/>
      <c r="F107" s="318"/>
      <c r="G107" s="319"/>
      <c r="H107" s="319"/>
      <c r="I107" s="319"/>
      <c r="J107" s="319"/>
      <c r="K107" s="320"/>
      <c r="L107" s="320"/>
      <c r="M107" s="321">
        <f t="shared" ref="M107:O107" si="117">M108+M113</f>
        <v>37153872883</v>
      </c>
      <c r="N107" s="321">
        <f t="shared" si="117"/>
        <v>57393245458</v>
      </c>
      <c r="O107" s="321">
        <f t="shared" si="117"/>
        <v>44111589494</v>
      </c>
      <c r="P107" s="421">
        <f>P108+P113</f>
        <v>68808477779.466415</v>
      </c>
      <c r="Q107" s="421">
        <f>Q108+Q113</f>
        <v>56194065653</v>
      </c>
      <c r="R107" s="324">
        <f t="shared" si="95"/>
        <v>58060582011.598785</v>
      </c>
      <c r="S107" s="324"/>
      <c r="T107" s="324">
        <f t="shared" ref="T107:AE107" si="118">T108+T113</f>
        <v>55077314776.145096</v>
      </c>
      <c r="U107" s="324">
        <f t="shared" si="118"/>
        <v>53674384016.165222</v>
      </c>
      <c r="V107" s="324">
        <f t="shared" si="118"/>
        <v>55750902959.492737</v>
      </c>
      <c r="W107" s="324">
        <f t="shared" si="118"/>
        <v>57382782360.847748</v>
      </c>
      <c r="X107" s="324">
        <f t="shared" si="118"/>
        <v>57395334548.337845</v>
      </c>
      <c r="Y107" s="324">
        <f t="shared" si="118"/>
        <v>57418922636.797173</v>
      </c>
      <c r="Z107" s="324">
        <f t="shared" si="118"/>
        <v>57435014595.486916</v>
      </c>
      <c r="AA107" s="324">
        <f t="shared" si="118"/>
        <v>57439365208.886917</v>
      </c>
      <c r="AB107" s="324">
        <f t="shared" si="118"/>
        <v>57432917309.976654</v>
      </c>
      <c r="AC107" s="324">
        <f t="shared" si="118"/>
        <v>58041613477.888535</v>
      </c>
      <c r="AD107" s="324">
        <f t="shared" si="118"/>
        <v>58065114642.64238</v>
      </c>
      <c r="AE107" s="324">
        <f t="shared" si="118"/>
        <v>58060582011.598785</v>
      </c>
      <c r="AF107" s="325"/>
      <c r="AG107" s="320">
        <v>173048992379511</v>
      </c>
      <c r="AH107" s="320">
        <v>190528060685131</v>
      </c>
      <c r="AI107" s="320">
        <v>213909267519043</v>
      </c>
      <c r="AJ107" s="320">
        <v>238329663280917</v>
      </c>
      <c r="AK107" s="320">
        <v>260832875155063</v>
      </c>
      <c r="AL107" s="326"/>
      <c r="AM107" s="196"/>
    </row>
    <row r="108" spans="2:41">
      <c r="B108" s="126" t="str">
        <f>IF(B1="EN", "Short-term liabilities", "Nợ ngắn hạn")</f>
        <v>Nợ ngắn hạn</v>
      </c>
      <c r="C108" s="123"/>
      <c r="D108" s="123"/>
      <c r="E108" s="317"/>
      <c r="F108" s="318"/>
      <c r="G108" s="319"/>
      <c r="H108" s="319"/>
      <c r="I108" s="319"/>
      <c r="J108" s="319"/>
      <c r="K108" s="320"/>
      <c r="L108" s="320"/>
      <c r="M108" s="321">
        <f t="shared" ref="M108:P108" si="119">SUM(M109:M111)</f>
        <v>37153872883</v>
      </c>
      <c r="N108" s="321">
        <f t="shared" si="119"/>
        <v>24623245458</v>
      </c>
      <c r="O108" s="321">
        <f t="shared" si="119"/>
        <v>11341589494</v>
      </c>
      <c r="P108" s="421">
        <f t="shared" si="119"/>
        <v>36038477779.466415</v>
      </c>
      <c r="Q108" s="421">
        <f>SUM(Q109:Q111)</f>
        <v>23424065653</v>
      </c>
      <c r="R108" s="324">
        <f t="shared" si="95"/>
        <v>25290582011.598785</v>
      </c>
      <c r="S108" s="324"/>
      <c r="T108" s="324">
        <f>SUM(T109:T111)</f>
        <v>22307314776.1451</v>
      </c>
      <c r="U108" s="324">
        <f t="shared" ref="U108:AE108" si="120">SUM(U109:U111)</f>
        <v>20904384016.165218</v>
      </c>
      <c r="V108" s="324">
        <f t="shared" si="120"/>
        <v>22980902959.492733</v>
      </c>
      <c r="W108" s="324">
        <f t="shared" si="120"/>
        <v>24612782360.847748</v>
      </c>
      <c r="X108" s="324">
        <f t="shared" si="120"/>
        <v>24625334548.337845</v>
      </c>
      <c r="Y108" s="324">
        <f t="shared" si="120"/>
        <v>24648922636.797173</v>
      </c>
      <c r="Z108" s="324">
        <f t="shared" si="120"/>
        <v>24665014595.486916</v>
      </c>
      <c r="AA108" s="324">
        <f t="shared" si="120"/>
        <v>24669365208.886917</v>
      </c>
      <c r="AB108" s="324">
        <f t="shared" si="120"/>
        <v>24662917309.976658</v>
      </c>
      <c r="AC108" s="324">
        <f t="shared" si="120"/>
        <v>25271613477.888531</v>
      </c>
      <c r="AD108" s="324">
        <f t="shared" si="120"/>
        <v>25295114642.64238</v>
      </c>
      <c r="AE108" s="324">
        <f t="shared" si="120"/>
        <v>25290582011.598785</v>
      </c>
      <c r="AF108" s="325"/>
      <c r="AG108" s="320">
        <v>163839041745311</v>
      </c>
      <c r="AH108" s="320">
        <v>176860565956131</v>
      </c>
      <c r="AI108" s="320">
        <v>193247774136843</v>
      </c>
      <c r="AJ108" s="320">
        <v>211218970628117</v>
      </c>
      <c r="AK108" s="320">
        <v>229806909065463</v>
      </c>
      <c r="AL108" s="326"/>
      <c r="AM108" s="196"/>
    </row>
    <row r="109" spans="2:41">
      <c r="B109" s="342"/>
      <c r="C109" s="329" t="str">
        <f>IF(B1="EN", "Short-term borrowings", "Vay ngắn hạn")</f>
        <v>Vay ngắn hạn</v>
      </c>
      <c r="D109" s="329"/>
      <c r="E109" s="330"/>
      <c r="F109" s="331"/>
      <c r="G109" s="368"/>
      <c r="H109" s="368"/>
      <c r="I109" s="368"/>
      <c r="J109" s="368"/>
      <c r="K109" s="369"/>
      <c r="L109" s="369"/>
      <c r="M109" s="370">
        <v>19000000000</v>
      </c>
      <c r="N109" s="370"/>
      <c r="O109" s="370"/>
      <c r="P109" s="388">
        <f>[1]FIN!Q28</f>
        <v>18373342323.534836</v>
      </c>
      <c r="Q109" s="388">
        <f>[1]FIN!P28</f>
        <v>0</v>
      </c>
      <c r="R109" s="371">
        <f t="shared" si="95"/>
        <v>0</v>
      </c>
      <c r="S109" s="337"/>
      <c r="T109" s="371">
        <f>[1]FIN!T28</f>
        <v>0</v>
      </c>
      <c r="U109" s="371">
        <f>[1]FIN!U28</f>
        <v>0</v>
      </c>
      <c r="V109" s="371">
        <f>[1]FIN!V28</f>
        <v>0</v>
      </c>
      <c r="W109" s="371">
        <f>[1]FIN!W28</f>
        <v>0</v>
      </c>
      <c r="X109" s="371">
        <f>[1]FIN!X28</f>
        <v>0</v>
      </c>
      <c r="Y109" s="371">
        <f>[1]FIN!Y28</f>
        <v>0</v>
      </c>
      <c r="Z109" s="371">
        <f>[1]FIN!Z28</f>
        <v>0</v>
      </c>
      <c r="AA109" s="371">
        <f>[1]FIN!AA28</f>
        <v>0</v>
      </c>
      <c r="AB109" s="371">
        <f>[1]FIN!AB28</f>
        <v>0</v>
      </c>
      <c r="AC109" s="371">
        <f>[1]FIN!AC28</f>
        <v>0</v>
      </c>
      <c r="AD109" s="371">
        <f>[1]FIN!AD28</f>
        <v>0</v>
      </c>
      <c r="AE109" s="371">
        <f>[1]FIN!AE28</f>
        <v>0</v>
      </c>
      <c r="AF109" s="338"/>
      <c r="AG109" s="369">
        <v>928684086624423</v>
      </c>
      <c r="AH109" s="369">
        <v>1019368918558</v>
      </c>
      <c r="AI109" s="369">
        <v>113333993652585</v>
      </c>
      <c r="AJ109" s="369">
        <v>125817532431354</v>
      </c>
      <c r="AK109" s="369">
        <v>13886527670479</v>
      </c>
      <c r="AL109" s="339"/>
      <c r="AM109" s="196"/>
    </row>
    <row r="110" spans="2:41">
      <c r="B110" s="342"/>
      <c r="C110" s="329" t="str">
        <f>IF(B1="EN", "Trade payables", "Phải trả thương mại")</f>
        <v>Phải trả thương mại</v>
      </c>
      <c r="D110" s="329"/>
      <c r="E110" s="330"/>
      <c r="F110" s="331"/>
      <c r="G110" s="368"/>
      <c r="H110" s="368"/>
      <c r="I110" s="368"/>
      <c r="J110" s="368"/>
      <c r="K110" s="369"/>
      <c r="L110" s="369"/>
      <c r="M110" s="370">
        <v>16689692419</v>
      </c>
      <c r="N110" s="370">
        <v>22827967224</v>
      </c>
      <c r="O110" s="370">
        <v>9348738447</v>
      </c>
      <c r="P110" s="388">
        <f>[1]NWC!L8</f>
        <v>2658273277.9315829</v>
      </c>
      <c r="Q110" s="388">
        <v>8417203475</v>
      </c>
      <c r="R110" s="371">
        <f>AE110</f>
        <v>10029161423.598787</v>
      </c>
      <c r="S110" s="337"/>
      <c r="T110" s="371">
        <f>[1]NWC!O8</f>
        <v>7045894188.1451006</v>
      </c>
      <c r="U110" s="371">
        <f>[1]NWC!P8</f>
        <v>5642963428.1652193</v>
      </c>
      <c r="V110" s="371">
        <f>[1]NWC!Q8</f>
        <v>7719482371.492734</v>
      </c>
      <c r="W110" s="371">
        <f>[1]NWC!R8</f>
        <v>9351361772.8477459</v>
      </c>
      <c r="X110" s="371">
        <f>[1]NWC!S8</f>
        <v>9363913960.3378429</v>
      </c>
      <c r="Y110" s="371">
        <f>[1]NWC!T8</f>
        <v>9387502048.7971706</v>
      </c>
      <c r="Z110" s="371">
        <f>[1]NWC!U8</f>
        <v>9403594007.4869137</v>
      </c>
      <c r="AA110" s="371">
        <f>[1]NWC!V8</f>
        <v>9407944620.8869152</v>
      </c>
      <c r="AB110" s="371">
        <f>[1]NWC!W8</f>
        <v>9401496721.9766579</v>
      </c>
      <c r="AC110" s="371">
        <f>[1]NWC!X8</f>
        <v>10010192889.888531</v>
      </c>
      <c r="AD110" s="371">
        <f>[1]NWC!Y8</f>
        <v>10033694054.642378</v>
      </c>
      <c r="AE110" s="371">
        <f>[1]NWC!Z8</f>
        <v>10029161423.598787</v>
      </c>
      <c r="AF110" s="338"/>
      <c r="AG110" s="369">
        <v>430177727766691</v>
      </c>
      <c r="AH110" s="369">
        <v>469708137941311</v>
      </c>
      <c r="AI110" s="369">
        <v>519609201780576</v>
      </c>
      <c r="AJ110" s="369">
        <v>574485778905631</v>
      </c>
      <c r="AK110" s="369">
        <v>629887720544726</v>
      </c>
      <c r="AL110" s="339"/>
      <c r="AM110" s="196"/>
    </row>
    <row r="111" spans="2:41">
      <c r="B111" s="342"/>
      <c r="C111" s="329" t="str">
        <f>IF(B1="EN", "Other short term liabilities", "Nợ ngắn hạn khác")</f>
        <v>Nợ ngắn hạn khác</v>
      </c>
      <c r="D111" s="329"/>
      <c r="E111" s="330"/>
      <c r="F111" s="331"/>
      <c r="G111" s="332"/>
      <c r="H111" s="332"/>
      <c r="I111" s="332"/>
      <c r="J111" s="332"/>
      <c r="K111" s="333"/>
      <c r="L111" s="333"/>
      <c r="M111" s="340">
        <v>1464180464</v>
      </c>
      <c r="N111" s="340">
        <v>1795278234</v>
      </c>
      <c r="O111" s="340">
        <v>1992851047</v>
      </c>
      <c r="P111" s="334">
        <f>Q111</f>
        <v>15006862178</v>
      </c>
      <c r="Q111" s="334">
        <v>15006862178</v>
      </c>
      <c r="R111" s="337">
        <f>AE111+AE88-Q88</f>
        <v>15261420588</v>
      </c>
      <c r="S111" s="337"/>
      <c r="T111" s="337">
        <f>P111+254558410</f>
        <v>15261420588</v>
      </c>
      <c r="U111" s="337">
        <f>T111</f>
        <v>15261420588</v>
      </c>
      <c r="V111" s="337">
        <f t="shared" ref="V111:AE111" si="121">U111</f>
        <v>15261420588</v>
      </c>
      <c r="W111" s="337">
        <f t="shared" si="121"/>
        <v>15261420588</v>
      </c>
      <c r="X111" s="337">
        <f t="shared" si="121"/>
        <v>15261420588</v>
      </c>
      <c r="Y111" s="337">
        <f t="shared" si="121"/>
        <v>15261420588</v>
      </c>
      <c r="Z111" s="337">
        <f t="shared" si="121"/>
        <v>15261420588</v>
      </c>
      <c r="AA111" s="337">
        <f t="shared" si="121"/>
        <v>15261420588</v>
      </c>
      <c r="AB111" s="337">
        <f t="shared" si="121"/>
        <v>15261420588</v>
      </c>
      <c r="AC111" s="337">
        <f t="shared" si="121"/>
        <v>15261420588</v>
      </c>
      <c r="AD111" s="337">
        <f t="shared" si="121"/>
        <v>15261420588</v>
      </c>
      <c r="AE111" s="337">
        <f t="shared" si="121"/>
        <v>15261420588</v>
      </c>
      <c r="AF111" s="338"/>
      <c r="AG111" s="333">
        <v>279528603062</v>
      </c>
      <c r="AH111" s="333">
        <v>279528603062</v>
      </c>
      <c r="AI111" s="333">
        <v>279528603062</v>
      </c>
      <c r="AJ111" s="333">
        <v>279528603062</v>
      </c>
      <c r="AK111" s="333">
        <v>279528603062</v>
      </c>
      <c r="AL111" s="389"/>
      <c r="AM111" s="196"/>
    </row>
    <row r="112" spans="2:41">
      <c r="B112" s="342"/>
      <c r="C112" s="329"/>
      <c r="D112" s="329"/>
      <c r="E112" s="330"/>
      <c r="F112" s="331"/>
      <c r="G112" s="390"/>
      <c r="H112" s="390"/>
      <c r="I112" s="390"/>
      <c r="J112" s="390"/>
      <c r="K112" s="391"/>
      <c r="L112" s="391"/>
      <c r="M112" s="392"/>
      <c r="N112" s="392"/>
      <c r="O112" s="392"/>
      <c r="P112" s="505"/>
      <c r="Q112" s="505"/>
      <c r="R112" s="348">
        <f t="shared" si="95"/>
        <v>0</v>
      </c>
      <c r="S112" s="348"/>
      <c r="T112" s="348"/>
      <c r="U112" s="348"/>
      <c r="V112" s="348"/>
      <c r="W112" s="348"/>
      <c r="X112" s="348"/>
      <c r="Y112" s="348"/>
      <c r="Z112" s="348"/>
      <c r="AA112" s="348"/>
      <c r="AB112" s="348"/>
      <c r="AC112" s="348"/>
      <c r="AD112" s="348"/>
      <c r="AE112" s="348"/>
      <c r="AF112" s="349"/>
      <c r="AG112" s="391"/>
      <c r="AH112" s="391"/>
      <c r="AI112" s="391"/>
      <c r="AJ112" s="391"/>
      <c r="AK112" s="391"/>
      <c r="AL112" s="393"/>
      <c r="AM112" s="196"/>
    </row>
    <row r="113" spans="1:39">
      <c r="B113" s="126" t="str">
        <f>IF(B1="EN", "Long-term liabilities", "Nợ dài hạn")</f>
        <v>Nợ dài hạn</v>
      </c>
      <c r="C113" s="123"/>
      <c r="D113" s="123"/>
      <c r="E113" s="317"/>
      <c r="F113" s="318"/>
      <c r="G113" s="319"/>
      <c r="H113" s="319"/>
      <c r="I113" s="319"/>
      <c r="J113" s="319"/>
      <c r="K113" s="320"/>
      <c r="L113" s="320"/>
      <c r="M113" s="321">
        <f t="shared" ref="M113:P113" si="122">SUM(M114:M115)</f>
        <v>0</v>
      </c>
      <c r="N113" s="321">
        <f t="shared" si="122"/>
        <v>32770000000</v>
      </c>
      <c r="O113" s="321">
        <f t="shared" si="122"/>
        <v>32770000000</v>
      </c>
      <c r="P113" s="421">
        <f t="shared" si="122"/>
        <v>32770000000</v>
      </c>
      <c r="Q113" s="421">
        <f>SUM(Q114:Q115)</f>
        <v>32770000000</v>
      </c>
      <c r="R113" s="324">
        <f t="shared" si="95"/>
        <v>32770000000</v>
      </c>
      <c r="S113" s="324"/>
      <c r="T113" s="324">
        <f t="shared" ref="T113:AE113" si="123">SUM(T114:T115)</f>
        <v>32770000000</v>
      </c>
      <c r="U113" s="324">
        <f t="shared" si="123"/>
        <v>32770000000</v>
      </c>
      <c r="V113" s="324">
        <f t="shared" si="123"/>
        <v>32770000000</v>
      </c>
      <c r="W113" s="324">
        <f t="shared" si="123"/>
        <v>32770000000</v>
      </c>
      <c r="X113" s="324">
        <f t="shared" si="123"/>
        <v>32770000000</v>
      </c>
      <c r="Y113" s="324">
        <f t="shared" si="123"/>
        <v>32770000000</v>
      </c>
      <c r="Z113" s="324">
        <f t="shared" si="123"/>
        <v>32770000000</v>
      </c>
      <c r="AA113" s="324">
        <f t="shared" si="123"/>
        <v>32770000000</v>
      </c>
      <c r="AB113" s="324">
        <f t="shared" si="123"/>
        <v>32770000000</v>
      </c>
      <c r="AC113" s="324">
        <f t="shared" si="123"/>
        <v>32770000000</v>
      </c>
      <c r="AD113" s="324">
        <f t="shared" si="123"/>
        <v>32770000000</v>
      </c>
      <c r="AE113" s="324">
        <f t="shared" si="123"/>
        <v>32770000000</v>
      </c>
      <c r="AF113" s="325"/>
      <c r="AG113" s="320">
        <v>92099506342</v>
      </c>
      <c r="AH113" s="320">
        <v>13667494729</v>
      </c>
      <c r="AI113" s="320">
        <v>206614933822</v>
      </c>
      <c r="AJ113" s="320">
        <v>271106926528</v>
      </c>
      <c r="AK113" s="320">
        <v>310259660896</v>
      </c>
      <c r="AL113" s="326"/>
      <c r="AM113" s="196"/>
    </row>
    <row r="114" spans="1:39">
      <c r="B114" s="342"/>
      <c r="C114" s="329" t="str">
        <f>IF(B1="EN", "Long-term borrowings", "Vay dài hạn")</f>
        <v>Vay dài hạn</v>
      </c>
      <c r="D114" s="329"/>
      <c r="E114" s="330"/>
      <c r="F114" s="331"/>
      <c r="G114" s="368"/>
      <c r="H114" s="368"/>
      <c r="I114" s="368"/>
      <c r="J114" s="368"/>
      <c r="K114" s="369"/>
      <c r="L114" s="369"/>
      <c r="M114" s="340"/>
      <c r="N114" s="340">
        <v>32770000000</v>
      </c>
      <c r="O114" s="340">
        <v>32770000000</v>
      </c>
      <c r="P114" s="388">
        <v>32770000000</v>
      </c>
      <c r="Q114" s="388">
        <v>32770000000</v>
      </c>
      <c r="R114" s="371">
        <f t="shared" si="95"/>
        <v>32770000000</v>
      </c>
      <c r="S114" s="337"/>
      <c r="T114" s="371">
        <v>32770000000</v>
      </c>
      <c r="U114" s="371">
        <v>32770000000</v>
      </c>
      <c r="V114" s="371">
        <v>32770000000</v>
      </c>
      <c r="W114" s="371">
        <v>32770000000</v>
      </c>
      <c r="X114" s="371">
        <v>32770000000</v>
      </c>
      <c r="Y114" s="371">
        <v>32770000000</v>
      </c>
      <c r="Z114" s="371">
        <v>32770000000</v>
      </c>
      <c r="AA114" s="371">
        <v>32770000000</v>
      </c>
      <c r="AB114" s="371">
        <v>32770000000</v>
      </c>
      <c r="AC114" s="371">
        <v>32770000000</v>
      </c>
      <c r="AD114" s="371">
        <v>32770000000</v>
      </c>
      <c r="AE114" s="371">
        <v>32770000000</v>
      </c>
      <c r="AF114" s="338"/>
      <c r="AG114" s="369">
        <v>5408397066</v>
      </c>
      <c r="AH114" s="369">
        <v>98659411608</v>
      </c>
      <c r="AI114" s="369">
        <v>16859939814</v>
      </c>
      <c r="AJ114" s="369">
        <v>233091390846</v>
      </c>
      <c r="AK114" s="369">
        <v>272244125214</v>
      </c>
      <c r="AL114" s="339"/>
      <c r="AM114" s="196"/>
    </row>
    <row r="115" spans="1:39">
      <c r="B115" s="342"/>
      <c r="C115" s="329" t="str">
        <f>IF(B1="EN", "Other long term liabilities", "Nợ dài hạn khác")</f>
        <v>Nợ dài hạn khác</v>
      </c>
      <c r="D115" s="329"/>
      <c r="E115" s="330"/>
      <c r="F115" s="331"/>
      <c r="G115" s="332"/>
      <c r="H115" s="332"/>
      <c r="I115" s="332"/>
      <c r="J115" s="332"/>
      <c r="K115" s="333"/>
      <c r="L115" s="333"/>
      <c r="M115" s="340"/>
      <c r="N115" s="340"/>
      <c r="O115" s="340"/>
      <c r="P115" s="334">
        <f>M115</f>
        <v>0</v>
      </c>
      <c r="Q115" s="334">
        <f>N115</f>
        <v>0</v>
      </c>
      <c r="R115" s="337">
        <f t="shared" si="95"/>
        <v>0</v>
      </c>
      <c r="S115" s="337"/>
      <c r="T115" s="337">
        <f t="shared" ref="T115:AE115" si="124">$Q$115</f>
        <v>0</v>
      </c>
      <c r="U115" s="337">
        <f t="shared" si="124"/>
        <v>0</v>
      </c>
      <c r="V115" s="337">
        <f t="shared" si="124"/>
        <v>0</v>
      </c>
      <c r="W115" s="337">
        <f t="shared" si="124"/>
        <v>0</v>
      </c>
      <c r="X115" s="337">
        <f t="shared" si="124"/>
        <v>0</v>
      </c>
      <c r="Y115" s="337">
        <f t="shared" si="124"/>
        <v>0</v>
      </c>
      <c r="Z115" s="337">
        <f t="shared" si="124"/>
        <v>0</v>
      </c>
      <c r="AA115" s="337">
        <f t="shared" si="124"/>
        <v>0</v>
      </c>
      <c r="AB115" s="337">
        <f t="shared" si="124"/>
        <v>0</v>
      </c>
      <c r="AC115" s="337">
        <f t="shared" si="124"/>
        <v>0</v>
      </c>
      <c r="AD115" s="337">
        <f t="shared" si="124"/>
        <v>0</v>
      </c>
      <c r="AE115" s="337">
        <f t="shared" si="124"/>
        <v>0</v>
      </c>
      <c r="AF115" s="338"/>
      <c r="AG115" s="333">
        <v>38015535682</v>
      </c>
      <c r="AH115" s="333">
        <v>38015535682</v>
      </c>
      <c r="AI115" s="333">
        <v>38015535682</v>
      </c>
      <c r="AJ115" s="333">
        <v>38015535682</v>
      </c>
      <c r="AK115" s="333">
        <v>38015535682</v>
      </c>
      <c r="AL115" s="339"/>
      <c r="AM115" s="196"/>
    </row>
    <row r="116" spans="1:39">
      <c r="B116" s="126" t="str">
        <f>IF(B1="EN", "EQUITY", "VỐN CHỦ SỞ HỮU")</f>
        <v>VỐN CHỦ SỞ HỮU</v>
      </c>
      <c r="C116" s="123"/>
      <c r="D116" s="123"/>
      <c r="E116" s="317"/>
      <c r="F116" s="318"/>
      <c r="G116" s="319"/>
      <c r="H116" s="319"/>
      <c r="I116" s="319"/>
      <c r="J116" s="319"/>
      <c r="K116" s="320"/>
      <c r="L116" s="320"/>
      <c r="M116" s="321">
        <f t="shared" ref="M116:O116" si="125">SUM(M117:M120)</f>
        <v>29964392614</v>
      </c>
      <c r="N116" s="321">
        <f t="shared" si="125"/>
        <v>7332454243</v>
      </c>
      <c r="O116" s="321">
        <f t="shared" si="125"/>
        <v>-5202845895</v>
      </c>
      <c r="P116" s="421">
        <f>SUM(P117:P120)</f>
        <v>-17112295184.83889</v>
      </c>
      <c r="Q116" s="421">
        <f>SUM(Q117:Q120)</f>
        <v>-10223647960</v>
      </c>
      <c r="R116" s="324">
        <f>AE116</f>
        <v>-20184818955.549858</v>
      </c>
      <c r="S116" s="324"/>
      <c r="T116" s="324">
        <f t="shared" ref="T116:AE116" si="126">SUM(T117:T120)</f>
        <v>-17890860830.049324</v>
      </c>
      <c r="U116" s="324">
        <f t="shared" si="126"/>
        <v>-18823968880.626625</v>
      </c>
      <c r="V116" s="324">
        <f t="shared" si="126"/>
        <v>-19408795152.416451</v>
      </c>
      <c r="W116" s="324">
        <f t="shared" si="126"/>
        <v>-19538631046.909073</v>
      </c>
      <c r="X116" s="324">
        <f t="shared" si="126"/>
        <v>-19670878048.385185</v>
      </c>
      <c r="Y116" s="324">
        <f t="shared" si="126"/>
        <v>-20005259679.871292</v>
      </c>
      <c r="Z116" s="324">
        <f t="shared" si="126"/>
        <v>-20191239366.306969</v>
      </c>
      <c r="AA116" s="324">
        <f t="shared" si="126"/>
        <v>-20414845074.875984</v>
      </c>
      <c r="AB116" s="324">
        <f t="shared" si="126"/>
        <v>-20606376761.961235</v>
      </c>
      <c r="AC116" s="324">
        <f t="shared" si="126"/>
        <v>-20433843515.566277</v>
      </c>
      <c r="AD116" s="324">
        <f t="shared" si="126"/>
        <v>-20316024366.094391</v>
      </c>
      <c r="AE116" s="324">
        <f t="shared" si="126"/>
        <v>-20184818955.549858</v>
      </c>
      <c r="AF116" s="325"/>
      <c r="AG116" s="320">
        <v>335986440595387</v>
      </c>
      <c r="AH116" s="320">
        <v>382395130699428</v>
      </c>
      <c r="AI116" s="320">
        <v>421737108957407</v>
      </c>
      <c r="AJ116" s="320">
        <v>466569123153023</v>
      </c>
      <c r="AK116" s="320">
        <v>518961823412947</v>
      </c>
      <c r="AL116" s="326"/>
      <c r="AM116" s="196"/>
    </row>
    <row r="117" spans="1:39">
      <c r="B117" s="342"/>
      <c r="C117" s="329" t="str">
        <f>IF(B1="EN", "Shareholders' capital", "Vốn cổ phần")</f>
        <v>Vốn cổ phần</v>
      </c>
      <c r="D117" s="329"/>
      <c r="E117" s="330"/>
      <c r="F117" s="331"/>
      <c r="G117" s="332"/>
      <c r="H117" s="332"/>
      <c r="I117" s="332"/>
      <c r="J117" s="332"/>
      <c r="K117" s="333"/>
      <c r="L117" s="333"/>
      <c r="M117" s="340">
        <v>40000000000</v>
      </c>
      <c r="N117" s="340">
        <v>40000000000</v>
      </c>
      <c r="O117" s="340">
        <v>40000000000</v>
      </c>
      <c r="P117" s="334">
        <f>Q117</f>
        <v>40000000000</v>
      </c>
      <c r="Q117" s="334">
        <f>N117</f>
        <v>40000000000</v>
      </c>
      <c r="R117" s="337">
        <f t="shared" si="95"/>
        <v>40000000000</v>
      </c>
      <c r="S117" s="337"/>
      <c r="T117" s="337">
        <f t="shared" ref="T117:AE117" si="127">$Q$117</f>
        <v>40000000000</v>
      </c>
      <c r="U117" s="337">
        <f t="shared" si="127"/>
        <v>40000000000</v>
      </c>
      <c r="V117" s="337">
        <f t="shared" si="127"/>
        <v>40000000000</v>
      </c>
      <c r="W117" s="337">
        <f t="shared" si="127"/>
        <v>40000000000</v>
      </c>
      <c r="X117" s="337">
        <f t="shared" si="127"/>
        <v>40000000000</v>
      </c>
      <c r="Y117" s="337">
        <f t="shared" si="127"/>
        <v>40000000000</v>
      </c>
      <c r="Z117" s="337">
        <f t="shared" si="127"/>
        <v>40000000000</v>
      </c>
      <c r="AA117" s="337">
        <f t="shared" si="127"/>
        <v>40000000000</v>
      </c>
      <c r="AB117" s="337">
        <f t="shared" si="127"/>
        <v>40000000000</v>
      </c>
      <c r="AC117" s="337">
        <f t="shared" si="127"/>
        <v>40000000000</v>
      </c>
      <c r="AD117" s="337">
        <f t="shared" si="127"/>
        <v>40000000000</v>
      </c>
      <c r="AE117" s="337">
        <f t="shared" si="127"/>
        <v>40000000000</v>
      </c>
      <c r="AF117" s="338"/>
      <c r="AG117" s="333">
        <v>1700000</v>
      </c>
      <c r="AH117" s="333">
        <v>1700000</v>
      </c>
      <c r="AI117" s="333">
        <v>1700000</v>
      </c>
      <c r="AJ117" s="333">
        <v>1700000</v>
      </c>
      <c r="AK117" s="333">
        <v>1700000</v>
      </c>
      <c r="AL117" s="339"/>
      <c r="AM117" s="196"/>
    </row>
    <row r="118" spans="1:39">
      <c r="B118" s="342"/>
      <c r="C118" s="329" t="str">
        <f>IF(B1="EN", "Investment and development fund", "Quỹ đầu tư &amp; phát triển")</f>
        <v>Quỹ đầu tư &amp; phát triển</v>
      </c>
      <c r="D118" s="329"/>
      <c r="E118" s="330"/>
      <c r="F118" s="331"/>
      <c r="G118" s="332"/>
      <c r="H118" s="332"/>
      <c r="I118" s="332"/>
      <c r="J118" s="332"/>
      <c r="K118" s="333"/>
      <c r="L118" s="333"/>
      <c r="M118" s="340"/>
      <c r="N118" s="340"/>
      <c r="O118" s="340"/>
      <c r="P118" s="334">
        <f>M118</f>
        <v>0</v>
      </c>
      <c r="Q118" s="334">
        <f>N118</f>
        <v>0</v>
      </c>
      <c r="R118" s="337">
        <f t="shared" si="95"/>
        <v>0</v>
      </c>
      <c r="S118" s="337"/>
      <c r="T118" s="337">
        <f t="shared" ref="T118:AE118" si="128">$Q$118</f>
        <v>0</v>
      </c>
      <c r="U118" s="337">
        <f t="shared" si="128"/>
        <v>0</v>
      </c>
      <c r="V118" s="337">
        <f t="shared" si="128"/>
        <v>0</v>
      </c>
      <c r="W118" s="337">
        <f t="shared" si="128"/>
        <v>0</v>
      </c>
      <c r="X118" s="337">
        <f t="shared" si="128"/>
        <v>0</v>
      </c>
      <c r="Y118" s="337">
        <f t="shared" si="128"/>
        <v>0</v>
      </c>
      <c r="Z118" s="337">
        <f t="shared" si="128"/>
        <v>0</v>
      </c>
      <c r="AA118" s="337">
        <f t="shared" si="128"/>
        <v>0</v>
      </c>
      <c r="AB118" s="337">
        <f t="shared" si="128"/>
        <v>0</v>
      </c>
      <c r="AC118" s="337">
        <f t="shared" si="128"/>
        <v>0</v>
      </c>
      <c r="AD118" s="337">
        <f t="shared" si="128"/>
        <v>0</v>
      </c>
      <c r="AE118" s="337">
        <f t="shared" si="128"/>
        <v>0</v>
      </c>
      <c r="AF118" s="338"/>
      <c r="AG118" s="333">
        <v>174758437</v>
      </c>
      <c r="AH118" s="333">
        <v>174758437</v>
      </c>
      <c r="AI118" s="333">
        <v>174758437</v>
      </c>
      <c r="AJ118" s="333">
        <v>174758437</v>
      </c>
      <c r="AK118" s="333">
        <v>174758437</v>
      </c>
      <c r="AL118" s="339"/>
      <c r="AM118" s="196"/>
    </row>
    <row r="119" spans="1:39" hidden="1">
      <c r="B119" s="342"/>
      <c r="C119" s="329" t="s">
        <v>116</v>
      </c>
      <c r="D119" s="329"/>
      <c r="E119" s="330"/>
      <c r="F119" s="331"/>
      <c r="G119" s="332"/>
      <c r="H119" s="332"/>
      <c r="I119" s="332"/>
      <c r="J119" s="332"/>
      <c r="K119" s="333"/>
      <c r="L119" s="333"/>
      <c r="M119" s="340"/>
      <c r="N119" s="340"/>
      <c r="O119" s="340"/>
      <c r="P119" s="334"/>
      <c r="Q119" s="334"/>
      <c r="R119" s="337">
        <f t="shared" si="95"/>
        <v>0</v>
      </c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8"/>
      <c r="AG119" s="333"/>
      <c r="AH119" s="333"/>
      <c r="AI119" s="333"/>
      <c r="AJ119" s="333"/>
      <c r="AK119" s="333"/>
      <c r="AL119" s="339"/>
      <c r="AM119" s="196"/>
    </row>
    <row r="120" spans="1:39">
      <c r="B120" s="342"/>
      <c r="C120" s="329" t="str">
        <f>IF(B1="EN", "Retained earnings", "Lợi nhuận để lại")</f>
        <v>Lợi nhuận để lại</v>
      </c>
      <c r="D120" s="329"/>
      <c r="E120" s="330"/>
      <c r="F120" s="331"/>
      <c r="G120" s="332"/>
      <c r="H120" s="332"/>
      <c r="I120" s="332"/>
      <c r="J120" s="332"/>
      <c r="K120" s="333"/>
      <c r="L120" s="333"/>
      <c r="M120" s="340">
        <v>-10035607386</v>
      </c>
      <c r="N120" s="340">
        <v>-32667545757</v>
      </c>
      <c r="O120" s="340">
        <v>-45202845895</v>
      </c>
      <c r="P120" s="334">
        <f>Q120+P69</f>
        <v>-57112295184.83889</v>
      </c>
      <c r="Q120" s="334">
        <v>-50223647960</v>
      </c>
      <c r="R120" s="337">
        <f>Q120+R69</f>
        <v>-53301963615.710915</v>
      </c>
      <c r="S120" s="337"/>
      <c r="T120" s="337">
        <f>P120+T69-[1]FIN!T26</f>
        <v>-57890860830.049324</v>
      </c>
      <c r="U120" s="337">
        <f>T120+U69-[1]FIN!U26</f>
        <v>-58823968880.626625</v>
      </c>
      <c r="V120" s="337">
        <f>U120+V69-[1]FIN!V26</f>
        <v>-59408795152.416451</v>
      </c>
      <c r="W120" s="337">
        <f>V120+W69-[1]FIN!W26</f>
        <v>-59538631046.909073</v>
      </c>
      <c r="X120" s="337">
        <f>W120+X69-[1]FIN!X26</f>
        <v>-59670878048.385185</v>
      </c>
      <c r="Y120" s="337">
        <f>X120+Y69-[1]FIN!Y26</f>
        <v>-60005259679.871292</v>
      </c>
      <c r="Z120" s="337">
        <f>Y120+Z69-[1]FIN!Z26</f>
        <v>-60191239366.306969</v>
      </c>
      <c r="AA120" s="337">
        <f>Z120+AA69-[1]FIN!AA26</f>
        <v>-60414845074.875984</v>
      </c>
      <c r="AB120" s="337">
        <f>AA120+AB69-[1]FIN!AB26</f>
        <v>-60606376761.961235</v>
      </c>
      <c r="AC120" s="337">
        <f>AB120+AC69-[1]FIN!AC26</f>
        <v>-60433843515.566277</v>
      </c>
      <c r="AD120" s="337">
        <f>AC120+AD69-[1]FIN!AD26</f>
        <v>-60316024366.094391</v>
      </c>
      <c r="AE120" s="337">
        <f>AD120+AE69-[1]FIN!AE26</f>
        <v>-60184818955.549858</v>
      </c>
      <c r="AF120" s="338"/>
      <c r="AG120" s="333">
        <v>165968964751687</v>
      </c>
      <c r="AH120" s="333">
        <v>212377654855728</v>
      </c>
      <c r="AI120" s="333">
        <v>251719633113707</v>
      </c>
      <c r="AJ120" s="333">
        <v>296551647309323</v>
      </c>
      <c r="AK120" s="333">
        <v>348944347569247</v>
      </c>
      <c r="AL120" s="339"/>
      <c r="AM120" s="196"/>
    </row>
    <row r="121" spans="1:39" hidden="1">
      <c r="A121" s="196"/>
      <c r="B121" s="394"/>
      <c r="C121" s="395"/>
      <c r="D121" s="395"/>
      <c r="E121" s="396"/>
      <c r="F121" s="397"/>
      <c r="G121" s="398"/>
      <c r="H121" s="398"/>
      <c r="I121" s="398"/>
      <c r="J121" s="398"/>
      <c r="K121" s="399"/>
      <c r="L121" s="399"/>
      <c r="M121" s="400"/>
      <c r="N121" s="400"/>
      <c r="O121" s="400"/>
      <c r="P121" s="334"/>
      <c r="Q121" s="334"/>
      <c r="R121" s="337">
        <f t="shared" si="95"/>
        <v>0</v>
      </c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8"/>
      <c r="AG121" s="399"/>
      <c r="AH121" s="399"/>
      <c r="AI121" s="399"/>
      <c r="AJ121" s="399"/>
      <c r="AK121" s="399"/>
      <c r="AL121" s="401"/>
      <c r="AM121" s="196"/>
    </row>
    <row r="122" spans="1:39" ht="17" thickBot="1">
      <c r="B122" s="402" t="str">
        <f>IF(B1="EN", "TOTAL LIABILITIES AND EQUITY", "TỔNG NGUỒN VỐN")</f>
        <v>TỔNG NGUỒN VỐN</v>
      </c>
      <c r="C122" s="403"/>
      <c r="D122" s="403"/>
      <c r="E122" s="404"/>
      <c r="F122" s="404"/>
      <c r="G122" s="378"/>
      <c r="H122" s="378"/>
      <c r="I122" s="378"/>
      <c r="J122" s="378"/>
      <c r="K122" s="405"/>
      <c r="L122" s="405"/>
      <c r="M122" s="406">
        <f t="shared" ref="M122:P122" si="129">M107+M116</f>
        <v>67118265497</v>
      </c>
      <c r="N122" s="406">
        <f t="shared" si="129"/>
        <v>64725699701</v>
      </c>
      <c r="O122" s="406">
        <f t="shared" si="129"/>
        <v>38908743599</v>
      </c>
      <c r="P122" s="455">
        <f t="shared" si="129"/>
        <v>51696182594.627525</v>
      </c>
      <c r="Q122" s="455">
        <f>Q107+Q116</f>
        <v>45970417693</v>
      </c>
      <c r="R122" s="409">
        <f>AE122</f>
        <v>37875763056.048927</v>
      </c>
      <c r="S122" s="324"/>
      <c r="T122" s="409">
        <f t="shared" ref="T122:AE122" si="130">T107+T116</f>
        <v>37186453946.095772</v>
      </c>
      <c r="U122" s="409">
        <f t="shared" si="130"/>
        <v>34850415135.538597</v>
      </c>
      <c r="V122" s="409">
        <f t="shared" si="130"/>
        <v>36342107807.076286</v>
      </c>
      <c r="W122" s="409">
        <f t="shared" si="130"/>
        <v>37844151313.938675</v>
      </c>
      <c r="X122" s="409">
        <f t="shared" si="130"/>
        <v>37724456499.95266</v>
      </c>
      <c r="Y122" s="409">
        <f t="shared" si="130"/>
        <v>37413662956.92588</v>
      </c>
      <c r="Z122" s="409">
        <f t="shared" si="130"/>
        <v>37243775229.179947</v>
      </c>
      <c r="AA122" s="409">
        <f t="shared" si="130"/>
        <v>37024520134.010933</v>
      </c>
      <c r="AB122" s="409">
        <f t="shared" si="130"/>
        <v>36826540548.015419</v>
      </c>
      <c r="AC122" s="409">
        <f t="shared" si="130"/>
        <v>37607769962.322258</v>
      </c>
      <c r="AD122" s="409">
        <f t="shared" si="130"/>
        <v>37749090276.547989</v>
      </c>
      <c r="AE122" s="409">
        <f t="shared" si="130"/>
        <v>37875763056.048927</v>
      </c>
      <c r="AF122" s="325"/>
      <c r="AG122" s="405">
        <f>AG107+AG116</f>
        <v>509035432974898</v>
      </c>
      <c r="AH122" s="405">
        <f>AH107+AH116</f>
        <v>572923191384559</v>
      </c>
      <c r="AI122" s="405">
        <f>AI107+AI116</f>
        <v>635646376476450</v>
      </c>
      <c r="AJ122" s="405">
        <f>AJ107+AJ116</f>
        <v>704898786433940</v>
      </c>
      <c r="AK122" s="405">
        <f>AK107+AK116</f>
        <v>779794698568010</v>
      </c>
      <c r="AL122" s="326"/>
      <c r="AM122" s="196"/>
    </row>
    <row r="123" spans="1:39" s="508" customFormat="1" ht="17" thickTop="1">
      <c r="K123" s="469"/>
      <c r="L123" s="469"/>
      <c r="M123" s="469">
        <f t="shared" ref="M123:Q123" si="131">M105-M122</f>
        <v>0</v>
      </c>
      <c r="N123" s="469">
        <f t="shared" si="131"/>
        <v>0</v>
      </c>
      <c r="O123" s="469">
        <f t="shared" si="131"/>
        <v>0</v>
      </c>
      <c r="P123" s="469"/>
      <c r="Q123" s="469">
        <f t="shared" si="131"/>
        <v>0</v>
      </c>
      <c r="R123" s="469">
        <f>R105-R122</f>
        <v>0.32698822021484375</v>
      </c>
      <c r="S123" s="469"/>
      <c r="T123" s="469"/>
      <c r="U123" s="469"/>
      <c r="V123" s="469"/>
      <c r="W123" s="469"/>
      <c r="X123" s="469"/>
      <c r="Y123" s="469"/>
      <c r="Z123" s="469"/>
      <c r="AA123" s="469"/>
      <c r="AB123" s="469"/>
      <c r="AC123" s="469"/>
      <c r="AD123" s="469"/>
      <c r="AE123" s="469"/>
      <c r="AF123" s="469"/>
      <c r="AG123" s="469">
        <f>AG105-AG122</f>
        <v>-8862762</v>
      </c>
      <c r="AH123" s="469">
        <f>AH105-AH122</f>
        <v>-8862763</v>
      </c>
      <c r="AI123" s="469">
        <f>AI105-AI122</f>
        <v>-8862762</v>
      </c>
      <c r="AJ123" s="469">
        <f>AJ105-AJ122</f>
        <v>-8862762</v>
      </c>
      <c r="AK123" s="469">
        <f>AK105-AK122</f>
        <v>-8862762</v>
      </c>
      <c r="AM123" s="471"/>
    </row>
    <row r="124" spans="1:39">
      <c r="G124" s="107"/>
      <c r="H124" s="107"/>
      <c r="I124" s="107"/>
      <c r="J124" s="107"/>
      <c r="K124" s="412"/>
      <c r="L124" s="412"/>
      <c r="M124" s="412"/>
      <c r="N124" s="411"/>
      <c r="O124" s="411"/>
      <c r="P124" s="411"/>
      <c r="Q124" s="411"/>
      <c r="R124" s="411"/>
      <c r="S124" s="411">
        <v>0.80122760000000004</v>
      </c>
      <c r="T124" s="411"/>
      <c r="U124" s="411"/>
      <c r="V124" s="411"/>
      <c r="W124" s="411"/>
      <c r="X124" s="411"/>
      <c r="Y124" s="411"/>
      <c r="Z124" s="411"/>
      <c r="AA124" s="411"/>
      <c r="AB124" s="411"/>
      <c r="AC124" s="411"/>
      <c r="AD124" s="411"/>
      <c r="AE124" s="411"/>
      <c r="AF124" s="412"/>
      <c r="AG124" s="412"/>
      <c r="AH124" s="412"/>
      <c r="AI124" s="412"/>
      <c r="AJ124" s="412"/>
      <c r="AK124" s="412"/>
      <c r="AL124" s="107"/>
      <c r="AM124" s="196"/>
    </row>
    <row r="125" spans="1:39">
      <c r="B125" s="111" t="str">
        <f>IF(B1="EN", "CASH FLOW STATEMENT", "LƯU CHUYỂN TIỀN TỆ")</f>
        <v>LƯU CHUYỂN TIỀN TỆ</v>
      </c>
      <c r="C125" s="112"/>
      <c r="D125" s="112"/>
      <c r="E125" s="112"/>
      <c r="F125" s="112"/>
      <c r="G125" s="114"/>
      <c r="H125" s="114"/>
      <c r="I125" s="413"/>
      <c r="J125" s="115"/>
      <c r="K125" s="101"/>
      <c r="L125" s="101"/>
      <c r="M125" s="101"/>
      <c r="N125" s="509">
        <v>2023</v>
      </c>
      <c r="O125" s="509">
        <v>2024</v>
      </c>
      <c r="P125" s="414" t="str">
        <f>P72</f>
        <v>2025P</v>
      </c>
      <c r="Q125" s="510" t="str">
        <f>Q72</f>
        <v>2025E</v>
      </c>
      <c r="R125" s="416" t="str">
        <f t="shared" ref="R125" si="132">R72</f>
        <v>2026P</v>
      </c>
      <c r="S125" s="417"/>
      <c r="T125" s="416">
        <f t="shared" ref="T125:AE125" si="133">T2</f>
        <v>1</v>
      </c>
      <c r="U125" s="416">
        <f t="shared" si="133"/>
        <v>2</v>
      </c>
      <c r="V125" s="416">
        <f t="shared" si="133"/>
        <v>3</v>
      </c>
      <c r="W125" s="416">
        <f t="shared" si="133"/>
        <v>4</v>
      </c>
      <c r="X125" s="416">
        <f t="shared" si="133"/>
        <v>5</v>
      </c>
      <c r="Y125" s="416">
        <f t="shared" si="133"/>
        <v>6</v>
      </c>
      <c r="Z125" s="416">
        <f t="shared" si="133"/>
        <v>7</v>
      </c>
      <c r="AA125" s="416">
        <f t="shared" si="133"/>
        <v>8</v>
      </c>
      <c r="AB125" s="416">
        <f t="shared" si="133"/>
        <v>9</v>
      </c>
      <c r="AC125" s="416">
        <f t="shared" si="133"/>
        <v>10</v>
      </c>
      <c r="AD125" s="416">
        <f t="shared" si="133"/>
        <v>11</v>
      </c>
      <c r="AE125" s="416">
        <f t="shared" si="133"/>
        <v>12</v>
      </c>
      <c r="AF125" s="105"/>
      <c r="AG125" s="106" t="str">
        <f>AG72</f>
        <v>2025 MTP</v>
      </c>
      <c r="AH125" s="106" t="str">
        <f>AH72</f>
        <v>2026 MTP</v>
      </c>
      <c r="AI125" s="106" t="str">
        <f>AI72</f>
        <v>2027 MTP</v>
      </c>
      <c r="AJ125" s="106" t="str">
        <f>AJ72</f>
        <v>2028 MTP</v>
      </c>
      <c r="AK125" s="106" t="str">
        <f>AK72</f>
        <v>2029 MTP</v>
      </c>
      <c r="AL125" s="316"/>
      <c r="AM125" s="196"/>
    </row>
    <row r="126" spans="1:39">
      <c r="B126" s="126" t="str">
        <f>IF(B1="EN", "CASH FLOW FROM OPERATING ACTIVITIES", "DÒNG TIỀN TỪ HOẠT ĐỘNG KINH DOANH")</f>
        <v>DÒNG TIỀN TỪ HOẠT ĐỘNG KINH DOANH</v>
      </c>
      <c r="C126" s="123"/>
      <c r="D126" s="123"/>
      <c r="E126" s="123"/>
      <c r="F126" s="123"/>
      <c r="G126" s="418"/>
      <c r="H126" s="418"/>
      <c r="I126" s="330"/>
      <c r="J126" s="418"/>
      <c r="K126" s="419"/>
      <c r="L126" s="419"/>
      <c r="M126" s="419"/>
      <c r="N126" s="334"/>
      <c r="O126" s="334"/>
      <c r="P126" s="334"/>
      <c r="Q126" s="336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419"/>
      <c r="AG126" s="419"/>
      <c r="AH126" s="419"/>
      <c r="AI126" s="419"/>
      <c r="AJ126" s="419"/>
      <c r="AK126" s="419"/>
      <c r="AL126" s="330"/>
      <c r="AM126" s="196"/>
    </row>
    <row r="127" spans="1:39">
      <c r="B127" s="126" t="str">
        <f>IF(B1="EN", "Net income", "Lợi nhuận sau thuế")</f>
        <v>Lợi nhuận sau thuế</v>
      </c>
      <c r="C127" s="123"/>
      <c r="D127" s="123"/>
      <c r="E127" s="123"/>
      <c r="F127" s="123"/>
      <c r="G127" s="420"/>
      <c r="H127" s="420"/>
      <c r="I127" s="420"/>
      <c r="J127" s="420"/>
      <c r="K127" s="420"/>
      <c r="L127" s="420"/>
      <c r="M127" s="420"/>
      <c r="N127" s="421">
        <f>N69</f>
        <v>-22631938370</v>
      </c>
      <c r="O127" s="421">
        <f>O69</f>
        <v>-12555921129.131836</v>
      </c>
      <c r="P127" s="421">
        <f>P69</f>
        <v>-6888647224.8388882</v>
      </c>
      <c r="Q127" s="323">
        <f>Q69</f>
        <v>-6653418965.909729</v>
      </c>
      <c r="R127" s="421">
        <f>SUM(T127:AE127)</f>
        <v>-3072523770.7109632</v>
      </c>
      <c r="S127" s="421"/>
      <c r="T127" s="421">
        <f>T69</f>
        <v>-778565645.21043384</v>
      </c>
      <c r="U127" s="421">
        <f t="shared" ref="U127:AE127" si="134">U69</f>
        <v>-933108050.57729769</v>
      </c>
      <c r="V127" s="421">
        <f t="shared" si="134"/>
        <v>-584826271.78982258</v>
      </c>
      <c r="W127" s="421">
        <f t="shared" si="134"/>
        <v>-129835894.4926194</v>
      </c>
      <c r="X127" s="421">
        <f t="shared" si="134"/>
        <v>-132247001.47611511</v>
      </c>
      <c r="Y127" s="421">
        <f t="shared" si="134"/>
        <v>-334381631.4861064</v>
      </c>
      <c r="Z127" s="421">
        <f t="shared" si="134"/>
        <v>-185979686.43567866</v>
      </c>
      <c r="AA127" s="421">
        <f t="shared" si="134"/>
        <v>-223605708.5690127</v>
      </c>
      <c r="AB127" s="421">
        <f t="shared" si="134"/>
        <v>-191531687.08525115</v>
      </c>
      <c r="AC127" s="421">
        <f t="shared" si="134"/>
        <v>172533246.39495891</v>
      </c>
      <c r="AD127" s="421">
        <f t="shared" si="134"/>
        <v>117819149.47188228</v>
      </c>
      <c r="AE127" s="421">
        <f t="shared" si="134"/>
        <v>131205410.54453319</v>
      </c>
      <c r="AF127" s="422"/>
      <c r="AG127" s="422">
        <v>794934853053127</v>
      </c>
      <c r="AH127" s="422">
        <v>861554327566976</v>
      </c>
      <c r="AI127" s="422">
        <v>996507811876672</v>
      </c>
      <c r="AJ127" s="422">
        <v>114587561026983</v>
      </c>
      <c r="AK127" s="422">
        <v>132603992978812</v>
      </c>
      <c r="AL127" s="317"/>
      <c r="AM127" s="196"/>
    </row>
    <row r="128" spans="1:39">
      <c r="B128" s="423" t="str">
        <f>IF(B1="EN", "Depreciation &amp; amortization", "Khấu hao")</f>
        <v>Khấu hao</v>
      </c>
      <c r="C128" s="424"/>
      <c r="D128" s="424"/>
      <c r="E128" s="424"/>
      <c r="F128" s="424"/>
      <c r="G128" s="425"/>
      <c r="H128" s="425"/>
      <c r="I128" s="425"/>
      <c r="J128" s="425"/>
      <c r="K128" s="425"/>
      <c r="L128" s="425"/>
      <c r="M128" s="425"/>
      <c r="N128" s="334">
        <f>N53</f>
        <v>3749488106</v>
      </c>
      <c r="O128" s="334">
        <f>O53</f>
        <v>6565282547</v>
      </c>
      <c r="P128" s="334">
        <f>P53</f>
        <v>7741389506.666667</v>
      </c>
      <c r="Q128" s="336">
        <f>Q53</f>
        <v>7235848586.666667</v>
      </c>
      <c r="R128" s="334">
        <f>SUM(T128:AE128)</f>
        <v>4587983912.6975937</v>
      </c>
      <c r="S128" s="334"/>
      <c r="T128" s="334">
        <f t="shared" ref="T128:AE128" si="135">T53</f>
        <v>380128078.28035504</v>
      </c>
      <c r="U128" s="334">
        <f t="shared" si="135"/>
        <v>380128078.28035504</v>
      </c>
      <c r="V128" s="334">
        <f t="shared" si="135"/>
        <v>377564442.28035504</v>
      </c>
      <c r="W128" s="334">
        <f t="shared" si="135"/>
        <v>377564442.28035504</v>
      </c>
      <c r="X128" s="334">
        <f t="shared" si="135"/>
        <v>377564442.28035504</v>
      </c>
      <c r="Y128" s="334">
        <f t="shared" si="135"/>
        <v>377564442.28035504</v>
      </c>
      <c r="Z128" s="334">
        <f t="shared" si="135"/>
        <v>377564442.28035504</v>
      </c>
      <c r="AA128" s="334">
        <f t="shared" si="135"/>
        <v>377564442.28035504</v>
      </c>
      <c r="AB128" s="334">
        <f t="shared" si="135"/>
        <v>377564442.28035504</v>
      </c>
      <c r="AC128" s="334">
        <f t="shared" si="135"/>
        <v>394925553.39146614</v>
      </c>
      <c r="AD128" s="334">
        <f t="shared" si="135"/>
        <v>394925553.39146614</v>
      </c>
      <c r="AE128" s="334">
        <f t="shared" si="135"/>
        <v>394925553.39146614</v>
      </c>
      <c r="AF128" s="419"/>
      <c r="AG128" s="419">
        <v>19564127858844</v>
      </c>
      <c r="AH128" s="419">
        <v>219425527552773</v>
      </c>
      <c r="AI128" s="419">
        <v>262024573282806</v>
      </c>
      <c r="AJ128" s="419">
        <v>318488053715806</v>
      </c>
      <c r="AK128" s="419">
        <v>365617025330839</v>
      </c>
      <c r="AL128" s="330"/>
      <c r="AM128" s="196"/>
    </row>
    <row r="129" spans="2:39" s="214" customFormat="1">
      <c r="B129" s="179" t="str">
        <f>IF(B1="EN", "Net working capital", "Vốn lưu động thuần")</f>
        <v>Vốn lưu động thuần</v>
      </c>
      <c r="C129" s="128"/>
      <c r="D129" s="128"/>
      <c r="E129" s="128"/>
      <c r="F129" s="128"/>
      <c r="G129" s="420"/>
      <c r="H129" s="420"/>
      <c r="I129" s="420"/>
      <c r="J129" s="420"/>
      <c r="K129" s="420"/>
      <c r="L129" s="420"/>
      <c r="M129" s="420"/>
      <c r="N129" s="421">
        <f>SUM(N130:N135)</f>
        <v>8368897360</v>
      </c>
      <c r="O129" s="421">
        <f>SUM(O130:O135)</f>
        <v>7196007762</v>
      </c>
      <c r="P129" s="421">
        <f>SUM(P130:P135)</f>
        <v>-6719986717.4248848</v>
      </c>
      <c r="Q129" s="323">
        <f>SUM(Q130:Q135)</f>
        <v>6352496465</v>
      </c>
      <c r="R129" s="421">
        <f t="shared" ref="R129:R132" si="136">SUM(T129:AE129)</f>
        <v>-1673393478.0851192</v>
      </c>
      <c r="S129" s="421"/>
      <c r="T129" s="421">
        <f>SUM(T130:T135)</f>
        <v>517699461.36759758</v>
      </c>
      <c r="U129" s="421">
        <f t="shared" ref="U129:AE129" si="137">SUM(U130:U135)</f>
        <v>-1769451313.4379535</v>
      </c>
      <c r="V129" s="421">
        <f t="shared" si="137"/>
        <v>-178285720.92721939</v>
      </c>
      <c r="W129" s="421">
        <f t="shared" si="137"/>
        <v>-167297633.03221989</v>
      </c>
      <c r="X129" s="421">
        <f t="shared" si="137"/>
        <v>2789374.9977998734</v>
      </c>
      <c r="Y129" s="421">
        <f t="shared" si="137"/>
        <v>5241797.4354057312</v>
      </c>
      <c r="Z129" s="421">
        <f t="shared" si="137"/>
        <v>3575990.8199424744</v>
      </c>
      <c r="AA129" s="421">
        <f t="shared" si="137"/>
        <v>966802.97777843475</v>
      </c>
      <c r="AB129" s="421">
        <f t="shared" si="137"/>
        <v>-1432866.4245014191</v>
      </c>
      <c r="AC129" s="421">
        <f t="shared" si="137"/>
        <v>-91414601.575140476</v>
      </c>
      <c r="AD129" s="421">
        <f t="shared" si="137"/>
        <v>5222481.0564117432</v>
      </c>
      <c r="AE129" s="421">
        <f t="shared" si="137"/>
        <v>-1007251.3430204391</v>
      </c>
      <c r="AF129" s="422"/>
      <c r="AG129" s="422">
        <v>-165411782836489</v>
      </c>
      <c r="AH129" s="422">
        <v>-157340590973895</v>
      </c>
      <c r="AI129" s="422">
        <v>-198111359122812</v>
      </c>
      <c r="AJ129" s="422">
        <v>-217362876629015</v>
      </c>
      <c r="AK129" s="422">
        <v>-223911055205048</v>
      </c>
      <c r="AL129" s="317"/>
      <c r="AM129" s="489"/>
    </row>
    <row r="130" spans="2:39">
      <c r="B130" s="426"/>
      <c r="C130" s="355" t="str">
        <f>IF(B1="EN", "Increase (Decrease) in trade receivables", "Tăng (Giảm) các khoản phải thu")</f>
        <v>Tăng (Giảm) các khoản phải thu</v>
      </c>
      <c r="D130" s="355"/>
      <c r="E130" s="355"/>
      <c r="F130" s="355"/>
      <c r="G130" s="427"/>
      <c r="H130" s="427"/>
      <c r="I130" s="427"/>
      <c r="J130" s="427"/>
      <c r="K130" s="427"/>
      <c r="L130" s="427"/>
      <c r="M130" s="427"/>
      <c r="N130" s="429">
        <f>M78-N78</f>
        <v>-5638216547</v>
      </c>
      <c r="O130" s="429">
        <f>N78-O78</f>
        <v>3406590279</v>
      </c>
      <c r="P130" s="429">
        <f>Q78-P78</f>
        <v>228366335.36986303</v>
      </c>
      <c r="Q130" s="428">
        <f>O78-Q78</f>
        <v>1113884522</v>
      </c>
      <c r="R130" s="429">
        <f>SUM(T130:AE130)</f>
        <v>-952532574.33333302</v>
      </c>
      <c r="S130" s="429"/>
      <c r="T130" s="429">
        <f>-(T78-Q78)</f>
        <v>17330134</v>
      </c>
      <c r="U130" s="429">
        <f t="shared" ref="U130:AE130" si="138">-(U78-T78)</f>
        <v>426489583.33333349</v>
      </c>
      <c r="V130" s="429">
        <f t="shared" si="138"/>
        <v>-639734375</v>
      </c>
      <c r="W130" s="429">
        <f t="shared" si="138"/>
        <v>-529937500</v>
      </c>
      <c r="X130" s="429">
        <f t="shared" si="138"/>
        <v>0</v>
      </c>
      <c r="Y130" s="429">
        <f t="shared" si="138"/>
        <v>0</v>
      </c>
      <c r="Z130" s="429">
        <f t="shared" si="138"/>
        <v>0</v>
      </c>
      <c r="AA130" s="429">
        <f t="shared" si="138"/>
        <v>0</v>
      </c>
      <c r="AB130" s="429">
        <f t="shared" si="138"/>
        <v>0</v>
      </c>
      <c r="AC130" s="429">
        <f t="shared" si="138"/>
        <v>-226680416.66666651</v>
      </c>
      <c r="AD130" s="429">
        <f t="shared" si="138"/>
        <v>0</v>
      </c>
      <c r="AE130" s="429">
        <f t="shared" si="138"/>
        <v>0</v>
      </c>
      <c r="AF130" s="430"/>
      <c r="AG130" s="430">
        <v>-896468088703752</v>
      </c>
      <c r="AH130" s="430">
        <v>-910989179241384</v>
      </c>
      <c r="AI130" s="430">
        <v>-114491433575015</v>
      </c>
      <c r="AJ130" s="430">
        <v>-12540541238946</v>
      </c>
      <c r="AK130" s="430">
        <v>-131073230144106</v>
      </c>
      <c r="AL130" s="367"/>
      <c r="AM130" s="196"/>
    </row>
    <row r="131" spans="2:39">
      <c r="B131" s="426"/>
      <c r="C131" s="355" t="str">
        <f>IF(B1="EN", "Increase (Decrease) in inventory", "Tăng (Giảm) hàng tồn kho")</f>
        <v>Tăng (Giảm) hàng tồn kho</v>
      </c>
      <c r="D131" s="355"/>
      <c r="E131" s="355"/>
      <c r="F131" s="355"/>
      <c r="G131" s="427"/>
      <c r="H131" s="427"/>
      <c r="I131" s="427"/>
      <c r="J131" s="427"/>
      <c r="K131" s="427"/>
      <c r="L131" s="427"/>
      <c r="M131" s="427"/>
      <c r="N131" s="429">
        <f>M82-N82</f>
        <v>-10532977551</v>
      </c>
      <c r="O131" s="429">
        <f>N82-O82</f>
        <v>16632973749</v>
      </c>
      <c r="P131" s="429">
        <f>Q82-P82</f>
        <v>-2781369159.7263317</v>
      </c>
      <c r="Q131" s="428">
        <f t="shared" ref="Q131" si="139">O82-Q82</f>
        <v>-1984145204</v>
      </c>
      <c r="R131" s="429">
        <f t="shared" si="136"/>
        <v>51265066.978720665</v>
      </c>
      <c r="S131" s="429"/>
      <c r="T131" s="429">
        <f>-(T81-Q81)</f>
        <v>2371584027.8871441</v>
      </c>
      <c r="U131" s="429">
        <f t="shared" ref="U131:AE131" si="140">-(U81-T81)</f>
        <v>1091168368.8732414</v>
      </c>
      <c r="V131" s="429">
        <f t="shared" si="140"/>
        <v>-1615070289.254734</v>
      </c>
      <c r="W131" s="429">
        <f t="shared" si="140"/>
        <v>-1269239534.3872318</v>
      </c>
      <c r="X131" s="429">
        <f t="shared" si="140"/>
        <v>-9762812.4922971725</v>
      </c>
      <c r="Y131" s="429">
        <f t="shared" si="140"/>
        <v>-18346291.023921967</v>
      </c>
      <c r="Z131" s="429">
        <f t="shared" si="140"/>
        <v>-12515967.869800568</v>
      </c>
      <c r="AA131" s="429">
        <f t="shared" si="140"/>
        <v>-3383810.4222230911</v>
      </c>
      <c r="AB131" s="429">
        <f t="shared" si="140"/>
        <v>5015032.4857559204</v>
      </c>
      <c r="AC131" s="429">
        <f t="shared" si="140"/>
        <v>-473430352.82034683</v>
      </c>
      <c r="AD131" s="429">
        <f t="shared" si="140"/>
        <v>-18278683.697435379</v>
      </c>
      <c r="AE131" s="429">
        <f t="shared" si="140"/>
        <v>3525379.7005701065</v>
      </c>
      <c r="AF131" s="430"/>
      <c r="AG131" s="430">
        <v>-116263387160277</v>
      </c>
      <c r="AH131" s="430">
        <v>-10164962616331</v>
      </c>
      <c r="AI131" s="430">
        <v>-128317021300967</v>
      </c>
      <c r="AJ131" s="430">
        <v>-141111198321568</v>
      </c>
      <c r="AK131" s="430">
        <v>-142462135643389</v>
      </c>
      <c r="AL131" s="367"/>
      <c r="AM131" s="196"/>
    </row>
    <row r="132" spans="2:39">
      <c r="B132" s="426"/>
      <c r="C132" s="355" t="str">
        <f>IF(B1="EN", "Increase (Decrease) in payables", "Tăng (Giảm) các khoản phải trả")</f>
        <v>Tăng (Giảm) các khoản phải trả</v>
      </c>
      <c r="D132" s="355"/>
      <c r="E132" s="355"/>
      <c r="F132" s="355"/>
      <c r="G132" s="427"/>
      <c r="H132" s="427"/>
      <c r="I132" s="427"/>
      <c r="J132" s="427"/>
      <c r="K132" s="427"/>
      <c r="L132" s="427"/>
      <c r="M132" s="427"/>
      <c r="N132" s="429">
        <f>N110-M110</f>
        <v>6138274805</v>
      </c>
      <c r="O132" s="429">
        <f>O110-N110</f>
        <v>-13479228777</v>
      </c>
      <c r="P132" s="429">
        <f>P110-Q110</f>
        <v>-5758930197.0684166</v>
      </c>
      <c r="Q132" s="428">
        <f>Q110-O110</f>
        <v>-931534972</v>
      </c>
      <c r="R132" s="429">
        <f t="shared" si="136"/>
        <v>1611957948.5987873</v>
      </c>
      <c r="S132" s="429"/>
      <c r="T132" s="429">
        <f>T110-Q110</f>
        <v>-1371309286.8548994</v>
      </c>
      <c r="U132" s="429">
        <f t="shared" ref="U132:AE132" si="141">U110-T110</f>
        <v>-1402930759.9798813</v>
      </c>
      <c r="V132" s="429">
        <f t="shared" si="141"/>
        <v>2076518943.3275146</v>
      </c>
      <c r="W132" s="429">
        <f t="shared" si="141"/>
        <v>1631879401.3550119</v>
      </c>
      <c r="X132" s="429">
        <f t="shared" si="141"/>
        <v>12552187.490097046</v>
      </c>
      <c r="Y132" s="429">
        <f t="shared" si="141"/>
        <v>23588088.459327698</v>
      </c>
      <c r="Z132" s="429">
        <f t="shared" si="141"/>
        <v>16091958.689743042</v>
      </c>
      <c r="AA132" s="429">
        <f t="shared" si="141"/>
        <v>4350613.4000015259</v>
      </c>
      <c r="AB132" s="429">
        <f t="shared" si="141"/>
        <v>-6447898.9102573395</v>
      </c>
      <c r="AC132" s="429">
        <f t="shared" si="141"/>
        <v>608696167.91187286</v>
      </c>
      <c r="AD132" s="429">
        <f t="shared" si="141"/>
        <v>23501164.753847122</v>
      </c>
      <c r="AE132" s="429">
        <f t="shared" si="141"/>
        <v>-4532631.0435905457</v>
      </c>
      <c r="AF132" s="430"/>
      <c r="AG132" s="430">
        <v>45213539451219</v>
      </c>
      <c r="AH132" s="430">
        <v>395304101746205</v>
      </c>
      <c r="AI132" s="430">
        <v>49901063839265</v>
      </c>
      <c r="AJ132" s="430">
        <v>54876577125054</v>
      </c>
      <c r="AK132" s="430">
        <v>554019416390957</v>
      </c>
      <c r="AL132" s="367"/>
      <c r="AM132" s="196"/>
    </row>
    <row r="133" spans="2:39">
      <c r="B133" s="426"/>
      <c r="C133" s="355" t="str">
        <f>IF(B1="EN", "Increase (Decrease) in prepayments", "Tăng (Giảm) trả trước người bán")</f>
        <v>Tăng (Giảm) trả trước người bán</v>
      </c>
      <c r="D133" s="355"/>
      <c r="E133" s="355"/>
      <c r="F133" s="355"/>
      <c r="G133" s="427"/>
      <c r="H133" s="427"/>
      <c r="I133" s="427"/>
      <c r="J133" s="427"/>
      <c r="K133" s="427"/>
      <c r="L133" s="427"/>
      <c r="M133" s="427"/>
      <c r="N133" s="429">
        <f>M79-N79</f>
        <v>13004190004</v>
      </c>
      <c r="O133" s="429">
        <f>N79-O79</f>
        <v>17295200</v>
      </c>
      <c r="P133" s="429">
        <f>Q79-P79</f>
        <v>1384273092</v>
      </c>
      <c r="Q133" s="428">
        <f>O79-Q79</f>
        <v>-1250738292</v>
      </c>
      <c r="R133" s="429">
        <f>SUM(T133:AE133)</f>
        <v>1384273092</v>
      </c>
      <c r="S133" s="429"/>
      <c r="T133" s="429">
        <f>-(T79-Q79)</f>
        <v>1384273092</v>
      </c>
      <c r="U133" s="428">
        <f>T79-U79</f>
        <v>0</v>
      </c>
      <c r="V133" s="428">
        <f t="shared" ref="V133:AE133" si="142">U79-V79</f>
        <v>0</v>
      </c>
      <c r="W133" s="428">
        <f t="shared" si="142"/>
        <v>0</v>
      </c>
      <c r="X133" s="428">
        <f t="shared" si="142"/>
        <v>0</v>
      </c>
      <c r="Y133" s="428">
        <f t="shared" si="142"/>
        <v>0</v>
      </c>
      <c r="Z133" s="428">
        <f t="shared" si="142"/>
        <v>0</v>
      </c>
      <c r="AA133" s="428">
        <f t="shared" si="142"/>
        <v>0</v>
      </c>
      <c r="AB133" s="428">
        <f t="shared" si="142"/>
        <v>0</v>
      </c>
      <c r="AC133" s="428">
        <f t="shared" si="142"/>
        <v>0</v>
      </c>
      <c r="AD133" s="428">
        <f t="shared" si="142"/>
        <v>0</v>
      </c>
      <c r="AE133" s="428">
        <f t="shared" si="142"/>
        <v>0</v>
      </c>
      <c r="AF133" s="430"/>
      <c r="AG133" s="430">
        <v>-471512625705569</v>
      </c>
      <c r="AH133" s="430">
        <v>-412245706106757</v>
      </c>
      <c r="AI133" s="430">
        <v>-520396808609478</v>
      </c>
      <c r="AJ133" s="430">
        <v>-572284304304135</v>
      </c>
      <c r="AK133" s="430">
        <v>-577763105664856</v>
      </c>
      <c r="AL133" s="367"/>
      <c r="AM133" s="196"/>
    </row>
    <row r="134" spans="2:39">
      <c r="B134" s="426"/>
      <c r="C134" s="355" t="str">
        <f>IF(B1="EN", "Other receivables from operating", "Các khoản phải thu khác từ hoạt động kinh doanh")</f>
        <v>Các khoản phải thu khác từ hoạt động kinh doanh</v>
      </c>
      <c r="D134" s="355"/>
      <c r="E134" s="355"/>
      <c r="F134" s="355"/>
      <c r="G134" s="427"/>
      <c r="H134" s="427"/>
      <c r="I134" s="427"/>
      <c r="J134" s="427"/>
      <c r="K134" s="427"/>
      <c r="L134" s="427"/>
      <c r="M134" s="427"/>
      <c r="N134" s="429">
        <f>M80-N80+M83-N83-74937045</f>
        <v>5066528879</v>
      </c>
      <c r="O134" s="429">
        <f>N80-O80+N83-O83</f>
        <v>400183507</v>
      </c>
      <c r="P134" s="429">
        <f>Q80-P80+Q83-P83</f>
        <v>207673212</v>
      </c>
      <c r="Q134" s="428">
        <f>O80-Q80+O83-Q83</f>
        <v>-807500931</v>
      </c>
      <c r="R134" s="429">
        <f>SUM(T134:AE134)</f>
        <v>-3768357011.3292942</v>
      </c>
      <c r="S134" s="429"/>
      <c r="T134" s="428">
        <v>-1884178505.6646471</v>
      </c>
      <c r="U134" s="428">
        <v>-1884178505.6646471</v>
      </c>
      <c r="V134" s="428">
        <f t="shared" ref="V134:AE134" si="143">U80-V80+U83-V83</f>
        <v>0</v>
      </c>
      <c r="W134" s="428">
        <f t="shared" si="143"/>
        <v>0</v>
      </c>
      <c r="X134" s="428">
        <f t="shared" si="143"/>
        <v>0</v>
      </c>
      <c r="Y134" s="428">
        <f t="shared" si="143"/>
        <v>0</v>
      </c>
      <c r="Z134" s="428">
        <f t="shared" si="143"/>
        <v>0</v>
      </c>
      <c r="AA134" s="428">
        <f t="shared" si="143"/>
        <v>0</v>
      </c>
      <c r="AB134" s="428"/>
      <c r="AC134" s="428">
        <f t="shared" si="143"/>
        <v>0</v>
      </c>
      <c r="AD134" s="428">
        <f t="shared" si="143"/>
        <v>0</v>
      </c>
      <c r="AE134" s="428">
        <f t="shared" si="143"/>
        <v>0</v>
      </c>
      <c r="AF134" s="430"/>
      <c r="AG134" s="430">
        <v>0</v>
      </c>
      <c r="AH134" s="430">
        <v>0</v>
      </c>
      <c r="AI134" s="430">
        <v>0</v>
      </c>
      <c r="AJ134" s="430">
        <v>0</v>
      </c>
      <c r="AK134" s="430">
        <v>0</v>
      </c>
      <c r="AL134" s="367"/>
    </row>
    <row r="135" spans="2:39">
      <c r="B135" s="431"/>
      <c r="C135" s="432" t="str">
        <f>IF(B1="EN", "Other payables for operating", "Các khoản phải trả khác từ hoạt động kinh doanh")</f>
        <v>Các khoản phải trả khác từ hoạt động kinh doanh</v>
      </c>
      <c r="D135" s="432"/>
      <c r="E135" s="432"/>
      <c r="F135" s="432"/>
      <c r="G135" s="433"/>
      <c r="H135" s="433"/>
      <c r="I135" s="433"/>
      <c r="J135" s="433"/>
      <c r="K135" s="433"/>
      <c r="L135" s="433"/>
      <c r="M135" s="433"/>
      <c r="N135" s="435">
        <f>N111-M111+N115-M115</f>
        <v>331097770</v>
      </c>
      <c r="O135" s="435">
        <f>O111-N111+O115-N115+20620991</f>
        <v>218193804</v>
      </c>
      <c r="P135" s="435">
        <f>P111-Q111+P115-Q115</f>
        <v>0</v>
      </c>
      <c r="Q135" s="434">
        <f>Q111-O111+Q115-O115-2801479789</f>
        <v>10212531342</v>
      </c>
      <c r="R135" s="435"/>
      <c r="S135" s="429"/>
      <c r="T135" s="435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  <c r="AE135" s="435"/>
      <c r="AF135" s="430"/>
      <c r="AG135" s="436">
        <v>0</v>
      </c>
      <c r="AH135" s="436">
        <v>0</v>
      </c>
      <c r="AI135" s="436">
        <v>0</v>
      </c>
      <c r="AJ135" s="436">
        <v>0</v>
      </c>
      <c r="AK135" s="436">
        <v>0</v>
      </c>
      <c r="AL135" s="367"/>
    </row>
    <row r="136" spans="2:39" s="141" customFormat="1" ht="17" thickBot="1">
      <c r="B136" s="437" t="str">
        <f>IF(B1="EN", "Net cash flow from operating activities", "Dòng tiền thuần từ hoạt động kinh doanh")</f>
        <v>Dòng tiền thuần từ hoạt động kinh doanh</v>
      </c>
      <c r="C136" s="438"/>
      <c r="D136" s="438"/>
      <c r="E136" s="438"/>
      <c r="F136" s="438"/>
      <c r="G136" s="439"/>
      <c r="H136" s="439"/>
      <c r="I136" s="439"/>
      <c r="J136" s="439"/>
      <c r="K136" s="439"/>
      <c r="L136" s="439"/>
      <c r="M136" s="439"/>
      <c r="N136" s="455">
        <f>N127+N128+N129</f>
        <v>-10513552904</v>
      </c>
      <c r="O136" s="455">
        <f>O127+O128+O129</f>
        <v>1205369179.8681641</v>
      </c>
      <c r="P136" s="455">
        <f>P127+P128+P129</f>
        <v>-5867244435.597106</v>
      </c>
      <c r="Q136" s="408">
        <f>Q127+Q128+Q129</f>
        <v>6934926085.756938</v>
      </c>
      <c r="R136" s="455">
        <f t="shared" ref="R136:AE136" si="144">R127+R128+R129</f>
        <v>-157933336.09848881</v>
      </c>
      <c r="S136" s="441"/>
      <c r="T136" s="440">
        <f>T127+T128+T129</f>
        <v>119261894.43751878</v>
      </c>
      <c r="U136" s="440">
        <f t="shared" si="144"/>
        <v>-2322431285.7348962</v>
      </c>
      <c r="V136" s="440">
        <f t="shared" si="144"/>
        <v>-385547550.43668693</v>
      </c>
      <c r="W136" s="440">
        <f t="shared" si="144"/>
        <v>80430914.755515754</v>
      </c>
      <c r="X136" s="440">
        <f t="shared" si="144"/>
        <v>248106815.8020398</v>
      </c>
      <c r="Y136" s="440">
        <f t="shared" si="144"/>
        <v>48424608.229654372</v>
      </c>
      <c r="Z136" s="440">
        <f t="shared" si="144"/>
        <v>195160746.66461885</v>
      </c>
      <c r="AA136" s="440">
        <f t="shared" si="144"/>
        <v>154925536.68912077</v>
      </c>
      <c r="AB136" s="440">
        <f t="shared" si="144"/>
        <v>184599888.77060246</v>
      </c>
      <c r="AC136" s="440">
        <f t="shared" si="144"/>
        <v>476044198.21128464</v>
      </c>
      <c r="AD136" s="440">
        <f t="shared" si="144"/>
        <v>517967183.91976017</v>
      </c>
      <c r="AE136" s="440">
        <f t="shared" si="144"/>
        <v>525123712.59297889</v>
      </c>
      <c r="AF136" s="442"/>
      <c r="AG136" s="443">
        <v>825164348805078</v>
      </c>
      <c r="AH136" s="443">
        <v>923639264145854</v>
      </c>
      <c r="AI136" s="443">
        <v>106042102603667</v>
      </c>
      <c r="AJ136" s="443">
        <v>124700078735662</v>
      </c>
      <c r="AK136" s="443">
        <v>146774589991391</v>
      </c>
      <c r="AL136" s="444"/>
    </row>
    <row r="137" spans="2:39" ht="9.65" customHeight="1" thickTop="1">
      <c r="B137" s="423"/>
      <c r="C137" s="424"/>
      <c r="D137" s="424"/>
      <c r="E137" s="424"/>
      <c r="F137" s="424"/>
      <c r="G137" s="445"/>
      <c r="H137" s="445"/>
      <c r="I137" s="445"/>
      <c r="J137" s="445"/>
      <c r="K137" s="445"/>
      <c r="L137" s="445"/>
      <c r="M137" s="445"/>
      <c r="N137" s="447"/>
      <c r="O137" s="447"/>
      <c r="P137" s="447"/>
      <c r="Q137" s="446"/>
      <c r="R137" s="447"/>
      <c r="S137" s="334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19"/>
      <c r="AG137" s="448"/>
      <c r="AH137" s="448"/>
      <c r="AI137" s="448"/>
      <c r="AJ137" s="448"/>
      <c r="AK137" s="448"/>
      <c r="AL137" s="330"/>
    </row>
    <row r="138" spans="2:39">
      <c r="B138" s="179" t="str">
        <f>IF(B1="EN", "CASH FLOW FROM INVESTING ACTIVITIES", "DÒNG TIỀN TỪ HOẠT ĐỘNG ĐẦU TƯ")</f>
        <v>DÒNG TIỀN TỪ HOẠT ĐỘNG ĐẦU TƯ</v>
      </c>
      <c r="C138" s="128"/>
      <c r="D138" s="128"/>
      <c r="E138" s="128"/>
      <c r="F138" s="128"/>
      <c r="G138" s="445"/>
      <c r="H138" s="445"/>
      <c r="I138" s="445"/>
      <c r="J138" s="445"/>
      <c r="K138" s="445"/>
      <c r="L138" s="445"/>
      <c r="M138" s="445"/>
      <c r="N138" s="447"/>
      <c r="O138" s="447"/>
      <c r="P138" s="447"/>
      <c r="Q138" s="446"/>
      <c r="R138" s="447"/>
      <c r="S138" s="334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19"/>
      <c r="AG138" s="448"/>
      <c r="AH138" s="448"/>
      <c r="AI138" s="448"/>
      <c r="AJ138" s="448"/>
      <c r="AK138" s="448"/>
      <c r="AL138" s="330"/>
    </row>
    <row r="139" spans="2:39">
      <c r="B139" s="423" t="str">
        <f>IF(B1="EN", "Purchases of fixed assets and constructions", "Tiền chi mua Tài sản cố định &amp; Xây dựng cơ bản")</f>
        <v>Tiền chi mua Tài sản cố định &amp; Xây dựng cơ bản</v>
      </c>
      <c r="C139" s="424"/>
      <c r="D139" s="424"/>
      <c r="E139" s="424"/>
      <c r="F139" s="424"/>
      <c r="G139" s="425"/>
      <c r="H139" s="425"/>
      <c r="I139" s="425"/>
      <c r="J139" s="425"/>
      <c r="K139" s="425"/>
      <c r="L139" s="425"/>
      <c r="M139" s="425"/>
      <c r="N139" s="334">
        <f>M88-N88+M91-N91+M94-N94+M96-N96</f>
        <v>-6833029290</v>
      </c>
      <c r="O139" s="334">
        <f t="shared" ref="O139" si="145">N88-O88+N91-O91+N94-O94+N96-O96</f>
        <v>-845797149</v>
      </c>
      <c r="P139" s="334">
        <f>Q88-P88+Q91-P91+Q94-P94+Q96-P96</f>
        <v>0</v>
      </c>
      <c r="Q139" s="336">
        <f>O88-Q88+O91-Q91+O94-Q94+O96-Q96</f>
        <v>-2849968756</v>
      </c>
      <c r="R139" s="334">
        <f>SUM(T139:AE139)</f>
        <v>-206605033.33333331</v>
      </c>
      <c r="S139" s="334"/>
      <c r="T139" s="334">
        <f>-[1]CapEx!O$75</f>
        <v>-12876808.333333334</v>
      </c>
      <c r="U139" s="334">
        <f>-[1]CapEx!P$75</f>
        <v>-12876808.333333334</v>
      </c>
      <c r="V139" s="334">
        <f>-[1]CapEx!Q$75</f>
        <v>-12876808.333333334</v>
      </c>
      <c r="W139" s="334">
        <f>-[1]CapEx!R$75</f>
        <v>-12876808.333333334</v>
      </c>
      <c r="X139" s="334">
        <f>-[1]CapEx!S$75</f>
        <v>-12876808.333333334</v>
      </c>
      <c r="Y139" s="334">
        <f>-[1]CapEx!T$75</f>
        <v>-12876808.333333334</v>
      </c>
      <c r="Z139" s="334">
        <f>-[1]CapEx!U$75</f>
        <v>-12876808.333333334</v>
      </c>
      <c r="AA139" s="334">
        <f>-[1]CapEx!V$75</f>
        <v>-12876808.333333334</v>
      </c>
      <c r="AB139" s="334">
        <f>-[1]CapEx!W$75</f>
        <v>-12876808.333333334</v>
      </c>
      <c r="AC139" s="334">
        <f>-[1]CapEx!X$75</f>
        <v>-30237919.444444448</v>
      </c>
      <c r="AD139" s="334">
        <f>-[1]CapEx!Y$75</f>
        <v>-30237919.444444448</v>
      </c>
      <c r="AE139" s="334">
        <f>-[1]CapEx!Z$75</f>
        <v>-30237919.444444448</v>
      </c>
      <c r="AF139" s="419"/>
      <c r="AG139" s="419">
        <v>-6210079022</v>
      </c>
      <c r="AH139" s="419">
        <v>-850971385867487</v>
      </c>
      <c r="AI139" s="419">
        <v>-7138284256</v>
      </c>
      <c r="AJ139" s="419">
        <v>-773832533567487</v>
      </c>
      <c r="AK139" s="419">
        <v>-4598099231</v>
      </c>
      <c r="AL139" s="330"/>
    </row>
    <row r="140" spans="2:39">
      <c r="B140" s="423" t="str">
        <f>IF(B1="EN", "Other short-term investments", "Đầu tư ngắn hạn khác")</f>
        <v>Đầu tư ngắn hạn khác</v>
      </c>
      <c r="C140" s="424"/>
      <c r="D140" s="424"/>
      <c r="E140" s="424"/>
      <c r="F140" s="424"/>
      <c r="G140" s="425"/>
      <c r="H140" s="425"/>
      <c r="I140" s="425"/>
      <c r="J140" s="425"/>
      <c r="K140" s="425"/>
      <c r="L140" s="425"/>
      <c r="M140" s="425"/>
      <c r="N140" s="334">
        <f>M76-N76</f>
        <v>0</v>
      </c>
      <c r="O140" s="334">
        <f t="shared" ref="O140" si="146">N76-O76</f>
        <v>0</v>
      </c>
      <c r="P140" s="334">
        <f>Q76-P76</f>
        <v>0</v>
      </c>
      <c r="Q140" s="336">
        <f>O76-Q76</f>
        <v>0</v>
      </c>
      <c r="R140" s="334">
        <f>SUM(T140:AE140)</f>
        <v>-202000000</v>
      </c>
      <c r="S140" s="334"/>
      <c r="T140" s="334">
        <f>Q76-T76</f>
        <v>0</v>
      </c>
      <c r="U140" s="334">
        <f>P76-U76</f>
        <v>0</v>
      </c>
      <c r="V140" s="334">
        <f t="shared" ref="V140:AE140" si="147">R76-V76</f>
        <v>0</v>
      </c>
      <c r="W140" s="334">
        <f>S76-W76</f>
        <v>-202000000</v>
      </c>
      <c r="X140" s="334">
        <f t="shared" si="147"/>
        <v>0</v>
      </c>
      <c r="Y140" s="334">
        <f t="shared" si="147"/>
        <v>0</v>
      </c>
      <c r="Z140" s="334">
        <f t="shared" si="147"/>
        <v>0</v>
      </c>
      <c r="AA140" s="334">
        <f t="shared" si="147"/>
        <v>0</v>
      </c>
      <c r="AB140" s="334">
        <f t="shared" si="147"/>
        <v>0</v>
      </c>
      <c r="AC140" s="334">
        <f t="shared" si="147"/>
        <v>0</v>
      </c>
      <c r="AD140" s="334">
        <f t="shared" si="147"/>
        <v>0</v>
      </c>
      <c r="AE140" s="334">
        <f t="shared" si="147"/>
        <v>0</v>
      </c>
      <c r="AF140" s="419"/>
      <c r="AG140" s="419">
        <v>100000</v>
      </c>
      <c r="AH140" s="419">
        <v>50000</v>
      </c>
      <c r="AI140" s="419">
        <v>50000</v>
      </c>
      <c r="AJ140" s="419">
        <v>0</v>
      </c>
      <c r="AK140" s="419">
        <v>-350000</v>
      </c>
      <c r="AL140" s="330"/>
    </row>
    <row r="141" spans="2:39">
      <c r="B141" s="449" t="str">
        <f>IF(B1="EN", "Other long-term investments", "Đầu tư dài hạn khác")</f>
        <v>Đầu tư dài hạn khác</v>
      </c>
      <c r="C141" s="450"/>
      <c r="D141" s="450"/>
      <c r="E141" s="450"/>
      <c r="F141" s="450"/>
      <c r="G141" s="451"/>
      <c r="H141" s="451"/>
      <c r="I141" s="451"/>
      <c r="J141" s="451"/>
      <c r="K141" s="451"/>
      <c r="L141" s="451"/>
      <c r="M141" s="451"/>
      <c r="N141" s="453">
        <f>M98-N98+M99-N99+M100-N100</f>
        <v>-337390344</v>
      </c>
      <c r="O141" s="453">
        <f>N98-O98+N99-O99+N100-O100</f>
        <v>170255849</v>
      </c>
      <c r="P141" s="453">
        <f>Q98-P98+Q99-P99+Q100-P100</f>
        <v>0</v>
      </c>
      <c r="Q141" s="452">
        <f>O98-Q98+O99-Q99+O100-Q100</f>
        <v>-1566001551</v>
      </c>
      <c r="R141" s="334">
        <f>SUM(T141:AE141)</f>
        <v>0</v>
      </c>
      <c r="S141" s="334"/>
      <c r="T141" s="453"/>
      <c r="U141" s="453"/>
      <c r="V141" s="453"/>
      <c r="W141" s="453"/>
      <c r="X141" s="453"/>
      <c r="Y141" s="453"/>
      <c r="Z141" s="453"/>
      <c r="AA141" s="453"/>
      <c r="AB141" s="453"/>
      <c r="AC141" s="453"/>
      <c r="AD141" s="453"/>
      <c r="AE141" s="453"/>
      <c r="AF141" s="419"/>
      <c r="AG141" s="454">
        <v>0</v>
      </c>
      <c r="AH141" s="454">
        <v>0</v>
      </c>
      <c r="AI141" s="454">
        <v>0</v>
      </c>
      <c r="AJ141" s="454">
        <v>0</v>
      </c>
      <c r="AK141" s="454">
        <v>0</v>
      </c>
      <c r="AL141" s="330"/>
    </row>
    <row r="142" spans="2:39" s="141" customFormat="1" ht="17" thickBot="1">
      <c r="B142" s="437" t="str">
        <f>IF(B1="EN", "Net cash flow from investing activities", "Dòng tiền thuần từ hoạt động đầu tư")</f>
        <v>Dòng tiền thuần từ hoạt động đầu tư</v>
      </c>
      <c r="C142" s="438"/>
      <c r="D142" s="438"/>
      <c r="E142" s="438"/>
      <c r="F142" s="438"/>
      <c r="G142" s="439"/>
      <c r="H142" s="439"/>
      <c r="I142" s="439"/>
      <c r="J142" s="439"/>
      <c r="K142" s="439"/>
      <c r="L142" s="439"/>
      <c r="M142" s="439"/>
      <c r="N142" s="455">
        <f>SUM(N139:N141)</f>
        <v>-7170419634</v>
      </c>
      <c r="O142" s="455">
        <f>SUM(O139:O141)</f>
        <v>-675541300</v>
      </c>
      <c r="P142" s="455">
        <f>SUM(P139:P141)</f>
        <v>0</v>
      </c>
      <c r="Q142" s="408">
        <f>SUM(Q139:Q141)</f>
        <v>-4415970307</v>
      </c>
      <c r="R142" s="455">
        <f t="shared" ref="R142:AE142" si="148">SUM(R139:R141)</f>
        <v>-408605033.33333331</v>
      </c>
      <c r="S142" s="441"/>
      <c r="T142" s="440">
        <f t="shared" si="148"/>
        <v>-12876808.333333334</v>
      </c>
      <c r="U142" s="440">
        <f t="shared" si="148"/>
        <v>-12876808.333333334</v>
      </c>
      <c r="V142" s="440">
        <f t="shared" si="148"/>
        <v>-12876808.333333334</v>
      </c>
      <c r="W142" s="440">
        <f t="shared" si="148"/>
        <v>-214876808.33333334</v>
      </c>
      <c r="X142" s="440">
        <f t="shared" si="148"/>
        <v>-12876808.333333334</v>
      </c>
      <c r="Y142" s="440">
        <f t="shared" si="148"/>
        <v>-12876808.333333334</v>
      </c>
      <c r="Z142" s="440">
        <f t="shared" si="148"/>
        <v>-12876808.333333334</v>
      </c>
      <c r="AA142" s="440">
        <f t="shared" si="148"/>
        <v>-12876808.333333334</v>
      </c>
      <c r="AB142" s="440">
        <f t="shared" si="148"/>
        <v>-12876808.333333334</v>
      </c>
      <c r="AC142" s="440">
        <f t="shared" si="148"/>
        <v>-30237919.444444448</v>
      </c>
      <c r="AD142" s="440">
        <f t="shared" si="148"/>
        <v>-30237919.444444448</v>
      </c>
      <c r="AE142" s="440">
        <f t="shared" si="148"/>
        <v>-30237919.444444448</v>
      </c>
      <c r="AF142" s="442"/>
      <c r="AG142" s="443">
        <v>-5210079022</v>
      </c>
      <c r="AH142" s="443">
        <v>-800971385867487</v>
      </c>
      <c r="AI142" s="443">
        <v>-6638284256</v>
      </c>
      <c r="AJ142" s="443">
        <v>-773832533567487</v>
      </c>
      <c r="AK142" s="443">
        <v>-8098099231</v>
      </c>
      <c r="AL142" s="444"/>
    </row>
    <row r="143" spans="2:39" ht="9" customHeight="1" thickTop="1">
      <c r="B143" s="179"/>
      <c r="C143" s="128"/>
      <c r="D143" s="128"/>
      <c r="E143" s="128"/>
      <c r="F143" s="128"/>
      <c r="G143" s="420"/>
      <c r="H143" s="420"/>
      <c r="I143" s="420"/>
      <c r="J143" s="420"/>
      <c r="K143" s="420"/>
      <c r="L143" s="420"/>
      <c r="M143" s="420"/>
      <c r="N143" s="421"/>
      <c r="O143" s="421"/>
      <c r="P143" s="421"/>
      <c r="Q143" s="323"/>
      <c r="R143" s="421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  <c r="AC143" s="421"/>
      <c r="AD143" s="421"/>
      <c r="AE143" s="421"/>
      <c r="AF143" s="422"/>
      <c r="AG143" s="422"/>
      <c r="AH143" s="422"/>
      <c r="AI143" s="422"/>
      <c r="AJ143" s="422"/>
      <c r="AK143" s="422"/>
      <c r="AL143" s="317"/>
    </row>
    <row r="144" spans="2:39">
      <c r="B144" s="179" t="str">
        <f>IF(B1="EN", "CASH FLOW FROM FINANCIAL ACTIVITIES", "DÒNG TIỀN TỪ HOẠT ĐỘNG TÀI CHÍNH")</f>
        <v>DÒNG TIỀN TỪ HOẠT ĐỘNG TÀI CHÍNH</v>
      </c>
      <c r="C144" s="424"/>
      <c r="D144" s="424"/>
      <c r="E144" s="424"/>
      <c r="F144" s="424"/>
      <c r="G144" s="425"/>
      <c r="H144" s="425"/>
      <c r="I144" s="425"/>
      <c r="J144" s="425"/>
      <c r="K144" s="425"/>
      <c r="L144" s="425"/>
      <c r="M144" s="425"/>
      <c r="N144" s="334"/>
      <c r="O144" s="334"/>
      <c r="P144" s="334"/>
      <c r="Q144" s="336"/>
      <c r="R144" s="334"/>
      <c r="S144" s="334"/>
      <c r="T144" s="334"/>
      <c r="U144" s="334"/>
      <c r="V144" s="334"/>
      <c r="W144" s="334"/>
      <c r="X144" s="334"/>
      <c r="Y144" s="334"/>
      <c r="Z144" s="334"/>
      <c r="AA144" s="334"/>
      <c r="AB144" s="334"/>
      <c r="AC144" s="334"/>
      <c r="AD144" s="334"/>
      <c r="AE144" s="334"/>
      <c r="AF144" s="419"/>
      <c r="AG144" s="419"/>
      <c r="AH144" s="419"/>
      <c r="AI144" s="419"/>
      <c r="AJ144" s="419"/>
      <c r="AK144" s="419"/>
      <c r="AL144" s="330"/>
    </row>
    <row r="145" spans="2:38">
      <c r="B145" s="423" t="s">
        <v>117</v>
      </c>
      <c r="C145" s="424"/>
      <c r="D145" s="424"/>
      <c r="E145" s="424"/>
      <c r="F145" s="424"/>
      <c r="G145" s="425"/>
      <c r="H145" s="425"/>
      <c r="I145" s="425"/>
      <c r="J145" s="425"/>
      <c r="K145" s="425"/>
      <c r="L145" s="425"/>
      <c r="M145" s="425"/>
      <c r="N145" s="334">
        <f>N117-M117</f>
        <v>0</v>
      </c>
      <c r="O145" s="334">
        <f t="shared" ref="O145" si="149">O117-N117</f>
        <v>0</v>
      </c>
      <c r="P145" s="334">
        <f>P117-Q117</f>
        <v>0</v>
      </c>
      <c r="Q145" s="336">
        <f>Q117-O117</f>
        <v>0</v>
      </c>
      <c r="R145" s="334">
        <f>R117-P117</f>
        <v>0</v>
      </c>
      <c r="S145" s="334"/>
      <c r="T145" s="334"/>
      <c r="U145" s="334"/>
      <c r="V145" s="334"/>
      <c r="W145" s="334"/>
      <c r="X145" s="334"/>
      <c r="Y145" s="334"/>
      <c r="Z145" s="334"/>
      <c r="AA145" s="334"/>
      <c r="AB145" s="334"/>
      <c r="AC145" s="334"/>
      <c r="AD145" s="334"/>
      <c r="AE145" s="334"/>
      <c r="AF145" s="419"/>
      <c r="AG145" s="419">
        <v>0</v>
      </c>
      <c r="AH145" s="419">
        <v>0</v>
      </c>
      <c r="AI145" s="419">
        <v>0</v>
      </c>
      <c r="AJ145" s="419">
        <v>0</v>
      </c>
      <c r="AK145" s="419">
        <v>0</v>
      </c>
      <c r="AL145" s="330"/>
    </row>
    <row r="146" spans="2:38">
      <c r="B146" s="423" t="str">
        <f>IF(B1="EN", "Change in invesment and development fund", "Tăng (Giảm) Quỹ đầu tư &amp; Phát triển")</f>
        <v>Tăng (Giảm) Quỹ đầu tư &amp; Phát triển</v>
      </c>
      <c r="C146" s="424"/>
      <c r="D146" s="424"/>
      <c r="E146" s="424"/>
      <c r="F146" s="424"/>
      <c r="G146" s="425"/>
      <c r="H146" s="425"/>
      <c r="I146" s="425"/>
      <c r="J146" s="425"/>
      <c r="K146" s="425"/>
      <c r="L146" s="425"/>
      <c r="M146" s="425"/>
      <c r="N146" s="334">
        <f>N118-M118</f>
        <v>0</v>
      </c>
      <c r="O146" s="334">
        <f t="shared" ref="O146" si="150">O118-L118</f>
        <v>0</v>
      </c>
      <c r="P146" s="334">
        <f>P118-M118</f>
        <v>0</v>
      </c>
      <c r="Q146" s="336">
        <f>Q118-N118</f>
        <v>0</v>
      </c>
      <c r="R146" s="334">
        <f>SUM(T146:AE146)</f>
        <v>0</v>
      </c>
      <c r="S146" s="334"/>
      <c r="T146" s="334"/>
      <c r="U146" s="334"/>
      <c r="V146" s="334"/>
      <c r="W146" s="334"/>
      <c r="X146" s="334"/>
      <c r="Y146" s="334"/>
      <c r="Z146" s="334"/>
      <c r="AA146" s="334"/>
      <c r="AB146" s="334"/>
      <c r="AC146" s="334"/>
      <c r="AD146" s="334"/>
      <c r="AE146" s="334"/>
      <c r="AF146" s="419"/>
      <c r="AG146" s="419">
        <v>0</v>
      </c>
      <c r="AH146" s="419">
        <v>0</v>
      </c>
      <c r="AI146" s="419">
        <v>0</v>
      </c>
      <c r="AJ146" s="419">
        <v>0</v>
      </c>
      <c r="AK146" s="419">
        <v>0</v>
      </c>
      <c r="AL146" s="330"/>
    </row>
    <row r="147" spans="2:38">
      <c r="B147" s="423" t="str">
        <f>IF(B1="EN", "Short-term and long-term borrowing", "Vay ngắn hạn &amp; dài hạn")</f>
        <v>Vay ngắn hạn &amp; dài hạn</v>
      </c>
      <c r="C147" s="424"/>
      <c r="D147" s="424"/>
      <c r="E147" s="424"/>
      <c r="F147" s="424"/>
      <c r="G147" s="425"/>
      <c r="H147" s="425"/>
      <c r="I147" s="425"/>
      <c r="J147" s="425"/>
      <c r="K147" s="425"/>
      <c r="L147" s="425"/>
      <c r="M147" s="425"/>
      <c r="N147" s="334">
        <f>[1]FIN!N6+[1]FIN!N7+[1]FIN!N15</f>
        <v>13770000000</v>
      </c>
      <c r="O147" s="334">
        <f>[1]FIN!O6+[1]FIN!O7+[1]FIN!O15</f>
        <v>0</v>
      </c>
      <c r="P147" s="334">
        <f>[1]FIN!Q6+[1]FIN!Q7+[1]FIN!Q15</f>
        <v>4055856697</v>
      </c>
      <c r="Q147" s="336">
        <f>[1]FIN!P6+[1]FIN!P7+[1]FIN!P15</f>
        <v>0</v>
      </c>
      <c r="R147" s="334"/>
      <c r="S147" s="334"/>
      <c r="T147" s="334">
        <f>[1]FIN!T6+[1]FIN!T7+[1]FIN!T15</f>
        <v>0</v>
      </c>
      <c r="U147" s="334">
        <f>[1]FIN!U6+[1]FIN!U7+[1]FIN!U15</f>
        <v>0</v>
      </c>
      <c r="V147" s="334">
        <f>[1]FIN!V6+[1]FIN!V7+[1]FIN!V15</f>
        <v>0</v>
      </c>
      <c r="W147" s="334">
        <f>[1]FIN!W6+[1]FIN!W7+[1]FIN!W15</f>
        <v>0</v>
      </c>
      <c r="X147" s="334">
        <f>[1]FIN!X6+[1]FIN!X7+[1]FIN!X15</f>
        <v>0</v>
      </c>
      <c r="Y147" s="334">
        <f>[1]FIN!Y6+[1]FIN!Y7+[1]FIN!Y15</f>
        <v>0</v>
      </c>
      <c r="Z147" s="334">
        <f>[1]FIN!Z6+[1]FIN!Z7+[1]FIN!Z15</f>
        <v>0</v>
      </c>
      <c r="AA147" s="334">
        <f>[1]FIN!AA6+[1]FIN!AA7+[1]FIN!AA15</f>
        <v>0</v>
      </c>
      <c r="AB147" s="334">
        <f>[1]FIN!AB6+[1]FIN!AB7+[1]FIN!AB15</f>
        <v>0</v>
      </c>
      <c r="AC147" s="334">
        <f>[1]FIN!AC6+[1]FIN!AC7+[1]FIN!AC15</f>
        <v>0</v>
      </c>
      <c r="AD147" s="334">
        <f>[1]FIN!AD6+[1]FIN!AD7+[1]FIN!AD15</f>
        <v>0</v>
      </c>
      <c r="AE147" s="334">
        <f>[1]FIN!AE6+[1]FIN!AE7+[1]FIN!AE15</f>
        <v>0</v>
      </c>
      <c r="AF147" s="419"/>
      <c r="AG147" s="419">
        <v>311212246685293</v>
      </c>
      <c r="AH147" s="419">
        <v>135260272881574</v>
      </c>
      <c r="AI147" s="419">
        <v>183911004499856</v>
      </c>
      <c r="AJ147" s="419">
        <v>18932738049369</v>
      </c>
      <c r="AK147" s="419">
        <v>16963017710236</v>
      </c>
      <c r="AL147" s="330"/>
    </row>
    <row r="148" spans="2:38">
      <c r="B148" s="423" t="str">
        <f>IF(B1="EN", "Dividend and interests paid to owner", "Cổ tức và lợi nhuận trả cho chủ sở hữu")</f>
        <v>Cổ tức và lợi nhuận trả cho chủ sở hữu</v>
      </c>
      <c r="C148" s="424"/>
      <c r="D148" s="424"/>
      <c r="E148" s="424"/>
      <c r="F148" s="424"/>
      <c r="G148" s="425"/>
      <c r="H148" s="425"/>
      <c r="I148" s="425"/>
      <c r="J148" s="425"/>
      <c r="K148" s="425"/>
      <c r="L148" s="425"/>
      <c r="M148" s="425"/>
      <c r="N148" s="334">
        <f>-[1]FIN!N26</f>
        <v>0</v>
      </c>
      <c r="O148" s="334">
        <f>-[1]FIN!O26</f>
        <v>0</v>
      </c>
      <c r="P148" s="334">
        <f>-[1]FIN!Q26</f>
        <v>0</v>
      </c>
      <c r="Q148" s="336">
        <f>-[1]FIN!P26</f>
        <v>0</v>
      </c>
      <c r="R148" s="334">
        <f>SUM(T148:AE148)</f>
        <v>0</v>
      </c>
      <c r="S148" s="334"/>
      <c r="T148" s="334">
        <f>-[1]FIN!T26</f>
        <v>0</v>
      </c>
      <c r="U148" s="334">
        <f>-[1]FIN!U26</f>
        <v>0</v>
      </c>
      <c r="V148" s="334">
        <f>-[1]FIN!V26</f>
        <v>0</v>
      </c>
      <c r="W148" s="334">
        <f>-[1]FIN!W26</f>
        <v>0</v>
      </c>
      <c r="X148" s="334">
        <f>-[1]FIN!X26</f>
        <v>0</v>
      </c>
      <c r="Y148" s="334">
        <f>-[1]FIN!Y26</f>
        <v>0</v>
      </c>
      <c r="Z148" s="334">
        <f>-[1]FIN!Z26</f>
        <v>0</v>
      </c>
      <c r="AA148" s="334">
        <f>-[1]FIN!AA26</f>
        <v>0</v>
      </c>
      <c r="AB148" s="334">
        <f>-[1]FIN!AB26</f>
        <v>0</v>
      </c>
      <c r="AC148" s="334">
        <f>-[1]FIN!AC26</f>
        <v>0</v>
      </c>
      <c r="AD148" s="334">
        <f>-[1]FIN!AD26</f>
        <v>0</v>
      </c>
      <c r="AE148" s="334">
        <f>-[1]FIN!AE26</f>
        <v>0</v>
      </c>
      <c r="AF148" s="419"/>
      <c r="AG148" s="419">
        <v>-390965513883741</v>
      </c>
      <c r="AH148" s="419">
        <v>-397467426526564</v>
      </c>
      <c r="AI148" s="419">
        <v>-603088029296883</v>
      </c>
      <c r="AJ148" s="419">
        <v>-69755546831367</v>
      </c>
      <c r="AK148" s="419">
        <v>-802112927188883</v>
      </c>
      <c r="AL148" s="330"/>
    </row>
    <row r="149" spans="2:38" s="141" customFormat="1" ht="17" thickBot="1">
      <c r="B149" s="437" t="str">
        <f>IF(B1="EN", "Net cash flow from financing activities", "Dòng tiền thuần từ hoạt động tài chính")</f>
        <v>Dòng tiền thuần từ hoạt động tài chính</v>
      </c>
      <c r="C149" s="438"/>
      <c r="D149" s="438"/>
      <c r="E149" s="438"/>
      <c r="F149" s="438"/>
      <c r="G149" s="439"/>
      <c r="H149" s="439"/>
      <c r="I149" s="439"/>
      <c r="J149" s="439"/>
      <c r="K149" s="439"/>
      <c r="L149" s="439"/>
      <c r="M149" s="439"/>
      <c r="N149" s="455">
        <f>SUM(N145:N148)</f>
        <v>13770000000</v>
      </c>
      <c r="O149" s="455">
        <f>SUM(O145:O148)</f>
        <v>0</v>
      </c>
      <c r="P149" s="455">
        <f>SUM(P145:P148)</f>
        <v>4055856697</v>
      </c>
      <c r="Q149" s="408">
        <f>SUM(Q145:Q148)</f>
        <v>0</v>
      </c>
      <c r="R149" s="455">
        <f t="shared" ref="R149:AE149" si="151">SUM(R145:R148)</f>
        <v>0</v>
      </c>
      <c r="S149" s="441"/>
      <c r="T149" s="440">
        <f t="shared" si="151"/>
        <v>0</v>
      </c>
      <c r="U149" s="440">
        <f t="shared" si="151"/>
        <v>0</v>
      </c>
      <c r="V149" s="440">
        <f t="shared" si="151"/>
        <v>0</v>
      </c>
      <c r="W149" s="440">
        <f t="shared" si="151"/>
        <v>0</v>
      </c>
      <c r="X149" s="440">
        <f t="shared" si="151"/>
        <v>0</v>
      </c>
      <c r="Y149" s="440">
        <f t="shared" si="151"/>
        <v>0</v>
      </c>
      <c r="Z149" s="440">
        <f t="shared" si="151"/>
        <v>0</v>
      </c>
      <c r="AA149" s="440">
        <f t="shared" si="151"/>
        <v>0</v>
      </c>
      <c r="AB149" s="440">
        <f t="shared" si="151"/>
        <v>0</v>
      </c>
      <c r="AC149" s="440">
        <f t="shared" si="151"/>
        <v>0</v>
      </c>
      <c r="AD149" s="440">
        <f t="shared" si="151"/>
        <v>0</v>
      </c>
      <c r="AE149" s="440">
        <f t="shared" si="151"/>
        <v>0</v>
      </c>
      <c r="AF149" s="442"/>
      <c r="AG149" s="443">
        <v>-797532671984486</v>
      </c>
      <c r="AH149" s="443">
        <v>-26220715364499</v>
      </c>
      <c r="AI149" s="443">
        <v>-419177024797028</v>
      </c>
      <c r="AJ149" s="443">
        <v>-508228087819981</v>
      </c>
      <c r="AK149" s="443">
        <v>-632482750086523</v>
      </c>
      <c r="AL149" s="444"/>
    </row>
    <row r="150" spans="2:38" ht="17" thickTop="1">
      <c r="B150" s="179"/>
      <c r="C150" s="128"/>
      <c r="D150" s="128"/>
      <c r="E150" s="128"/>
      <c r="F150" s="128"/>
      <c r="G150" s="425"/>
      <c r="H150" s="425"/>
      <c r="I150" s="425"/>
      <c r="J150" s="425"/>
      <c r="K150" s="425"/>
      <c r="L150" s="425"/>
      <c r="M150" s="425"/>
      <c r="N150" s="334"/>
      <c r="O150" s="334"/>
      <c r="P150" s="334"/>
      <c r="Q150" s="336"/>
      <c r="R150" s="334"/>
      <c r="S150" s="334"/>
      <c r="T150" s="334"/>
      <c r="U150" s="334"/>
      <c r="V150" s="334"/>
      <c r="W150" s="334"/>
      <c r="X150" s="334"/>
      <c r="Y150" s="334"/>
      <c r="Z150" s="334"/>
      <c r="AA150" s="334"/>
      <c r="AB150" s="334"/>
      <c r="AC150" s="334"/>
      <c r="AD150" s="334"/>
      <c r="AE150" s="334"/>
      <c r="AF150" s="419"/>
      <c r="AG150" s="419"/>
      <c r="AH150" s="419"/>
      <c r="AI150" s="419"/>
      <c r="AJ150" s="419"/>
      <c r="AK150" s="419"/>
      <c r="AL150" s="330"/>
    </row>
    <row r="151" spans="2:38" ht="17" thickBot="1">
      <c r="B151" s="456" t="str">
        <f>IF(B1="EN", "NET CASH FLOW OF THE YEAR", "DÒNG TIỀN THUẦN CẢ NĂM")</f>
        <v>DÒNG TIỀN THUẦN CẢ NĂM</v>
      </c>
      <c r="C151" s="457"/>
      <c r="D151" s="457"/>
      <c r="E151" s="457"/>
      <c r="F151" s="457"/>
      <c r="G151" s="439"/>
      <c r="H151" s="439"/>
      <c r="I151" s="439"/>
      <c r="J151" s="439"/>
      <c r="K151" s="439"/>
      <c r="L151" s="439"/>
      <c r="M151" s="439"/>
      <c r="N151" s="455">
        <f>N136+N142+N149</f>
        <v>-3913972538</v>
      </c>
      <c r="O151" s="455">
        <f>O136+O142+O149</f>
        <v>529827879.86816406</v>
      </c>
      <c r="P151" s="455">
        <f>P136+P142+P149</f>
        <v>-1811387738.597106</v>
      </c>
      <c r="Q151" s="408">
        <f>Q136+Q142+Q149</f>
        <v>2518955778.756938</v>
      </c>
      <c r="R151" s="455">
        <f>R136+R142+R149</f>
        <v>-566538369.43182206</v>
      </c>
      <c r="S151" s="421"/>
      <c r="T151" s="455">
        <f>T136+T142+T149</f>
        <v>106385086.10418545</v>
      </c>
      <c r="U151" s="455">
        <f t="shared" ref="U151:AE151" si="152">U136+U142+U149</f>
        <v>-2335308094.0682297</v>
      </c>
      <c r="V151" s="455">
        <f t="shared" si="152"/>
        <v>-398424358.77002025</v>
      </c>
      <c r="W151" s="455">
        <f t="shared" si="152"/>
        <v>-134445893.57781759</v>
      </c>
      <c r="X151" s="455">
        <f t="shared" si="152"/>
        <v>235230007.46870646</v>
      </c>
      <c r="Y151" s="455">
        <f t="shared" si="152"/>
        <v>35547799.896321036</v>
      </c>
      <c r="Z151" s="455">
        <f t="shared" si="152"/>
        <v>182283938.33128551</v>
      </c>
      <c r="AA151" s="455">
        <f t="shared" si="152"/>
        <v>142048728.35578743</v>
      </c>
      <c r="AB151" s="455">
        <f t="shared" si="152"/>
        <v>171723080.43726912</v>
      </c>
      <c r="AC151" s="455">
        <f t="shared" si="152"/>
        <v>445806278.76684022</v>
      </c>
      <c r="AD151" s="455">
        <f t="shared" si="152"/>
        <v>487729264.47531569</v>
      </c>
      <c r="AE151" s="455">
        <f t="shared" si="152"/>
        <v>494885793.14853442</v>
      </c>
      <c r="AF151" s="422"/>
      <c r="AG151" s="458">
        <v>224403179406629</v>
      </c>
      <c r="AH151" s="458">
        <v>-139539275366622</v>
      </c>
      <c r="AI151" s="458">
        <v>-225844243603607</v>
      </c>
      <c r="AJ151" s="458">
        <v>-350598340308437</v>
      </c>
      <c r="AK151" s="458">
        <v>25453226727389</v>
      </c>
      <c r="AL151" s="317"/>
    </row>
    <row r="152" spans="2:38" ht="17" thickTop="1">
      <c r="B152" s="423" t="str">
        <f>IF(B1="EN", "Cash at the beginning of the year", "Số dư tiền đầu năm")</f>
        <v>Số dư tiền đầu năm</v>
      </c>
      <c r="C152" s="424"/>
      <c r="D152" s="424"/>
      <c r="E152" s="424"/>
      <c r="F152" s="424"/>
      <c r="G152" s="425"/>
      <c r="H152" s="425"/>
      <c r="I152" s="425"/>
      <c r="J152" s="425"/>
      <c r="K152" s="425"/>
      <c r="L152" s="425"/>
      <c r="M152" s="425"/>
      <c r="N152" s="334">
        <v>5103591972</v>
      </c>
      <c r="O152" s="334">
        <f>N153</f>
        <v>1189619434</v>
      </c>
      <c r="P152" s="334">
        <f>Q153</f>
        <v>4238403092.625102</v>
      </c>
      <c r="Q152" s="336">
        <f>O153</f>
        <v>1719447313.8681641</v>
      </c>
      <c r="R152" s="334">
        <f>Q153</f>
        <v>4238403092.625102</v>
      </c>
      <c r="S152" s="334"/>
      <c r="T152" s="334">
        <f>Q153</f>
        <v>4238403092.625102</v>
      </c>
      <c r="U152" s="334">
        <f>T153</f>
        <v>4344788178.7292871</v>
      </c>
      <c r="V152" s="334">
        <f t="shared" ref="V152:AE152" si="153">U153</f>
        <v>2009480084.6610575</v>
      </c>
      <c r="W152" s="334">
        <f t="shared" si="153"/>
        <v>1611055725.8910372</v>
      </c>
      <c r="X152" s="334">
        <f t="shared" si="153"/>
        <v>1476609832.3132195</v>
      </c>
      <c r="Y152" s="334">
        <f t="shared" si="153"/>
        <v>1711839839.7819259</v>
      </c>
      <c r="Z152" s="334">
        <f t="shared" si="153"/>
        <v>1747387639.678247</v>
      </c>
      <c r="AA152" s="334">
        <f t="shared" si="153"/>
        <v>1929671578.0095325</v>
      </c>
      <c r="AB152" s="334">
        <f t="shared" si="153"/>
        <v>2071720306.36532</v>
      </c>
      <c r="AC152" s="334">
        <f t="shared" si="153"/>
        <v>2243443386.8025889</v>
      </c>
      <c r="AD152" s="334">
        <f t="shared" si="153"/>
        <v>2689249665.5694294</v>
      </c>
      <c r="AE152" s="334">
        <f t="shared" si="153"/>
        <v>3176978930.044745</v>
      </c>
      <c r="AF152" s="419"/>
      <c r="AG152" s="419">
        <v>204168230417151</v>
      </c>
      <c r="AH152" s="419">
        <v>42857140982378</v>
      </c>
      <c r="AI152" s="419">
        <v>289032134457158</v>
      </c>
      <c r="AJ152" s="419">
        <v>266447710096797</v>
      </c>
      <c r="AK152" s="419">
        <v>231387876065954</v>
      </c>
      <c r="AL152" s="330"/>
    </row>
    <row r="153" spans="2:38">
      <c r="B153" s="459" t="str">
        <f>IF(B1="EN", "Cash at the ending of the year", "Số dư tiền cuối năm")</f>
        <v>Số dư tiền cuối năm</v>
      </c>
      <c r="C153" s="460"/>
      <c r="D153" s="460"/>
      <c r="E153" s="460"/>
      <c r="F153" s="460"/>
      <c r="G153" s="461"/>
      <c r="H153" s="461"/>
      <c r="I153" s="461"/>
      <c r="J153" s="461"/>
      <c r="K153" s="461"/>
      <c r="L153" s="461"/>
      <c r="M153" s="461"/>
      <c r="N153" s="511">
        <f>N151+N152</f>
        <v>1189619434</v>
      </c>
      <c r="O153" s="511">
        <f>O151+O152</f>
        <v>1719447313.8681641</v>
      </c>
      <c r="P153" s="511">
        <f>P151+P152</f>
        <v>2427015354.0279961</v>
      </c>
      <c r="Q153" s="462">
        <f>Q151+Q152</f>
        <v>4238403092.625102</v>
      </c>
      <c r="R153" s="511">
        <f t="shared" ref="R153:AE153" si="154">R151+R152</f>
        <v>3671864723.1932802</v>
      </c>
      <c r="S153" s="321"/>
      <c r="T153" s="464">
        <f>T151+T152</f>
        <v>4344788178.7292871</v>
      </c>
      <c r="U153" s="464">
        <f t="shared" si="154"/>
        <v>2009480084.6610575</v>
      </c>
      <c r="V153" s="464">
        <f t="shared" si="154"/>
        <v>1611055725.8910372</v>
      </c>
      <c r="W153" s="464">
        <f t="shared" si="154"/>
        <v>1476609832.3132195</v>
      </c>
      <c r="X153" s="464">
        <f t="shared" si="154"/>
        <v>1711839839.7819259</v>
      </c>
      <c r="Y153" s="464">
        <f t="shared" si="154"/>
        <v>1747387639.678247</v>
      </c>
      <c r="Z153" s="464">
        <f t="shared" si="154"/>
        <v>1929671578.0095325</v>
      </c>
      <c r="AA153" s="464">
        <f t="shared" si="154"/>
        <v>2071720306.36532</v>
      </c>
      <c r="AB153" s="464">
        <f t="shared" si="154"/>
        <v>2243443386.8025889</v>
      </c>
      <c r="AC153" s="464">
        <f t="shared" si="154"/>
        <v>2689249665.5694294</v>
      </c>
      <c r="AD153" s="464">
        <f t="shared" si="154"/>
        <v>3176978930.044745</v>
      </c>
      <c r="AE153" s="464">
        <f t="shared" si="154"/>
        <v>3671864723.1932793</v>
      </c>
      <c r="AF153" s="320"/>
      <c r="AG153" s="465">
        <v>42857140982378</v>
      </c>
      <c r="AH153" s="465">
        <v>289032134457158</v>
      </c>
      <c r="AI153" s="465">
        <v>266447710096797</v>
      </c>
      <c r="AJ153" s="465">
        <v>231387876065954</v>
      </c>
      <c r="AK153" s="465">
        <v>256841102793343</v>
      </c>
      <c r="AL153" s="326"/>
    </row>
    <row r="154" spans="2:38">
      <c r="G154" s="107"/>
      <c r="H154" s="107"/>
      <c r="I154" s="107"/>
      <c r="J154" s="257"/>
      <c r="K154" s="410"/>
      <c r="L154" s="410"/>
      <c r="M154" s="410"/>
      <c r="N154" s="410">
        <f>N153-N75</f>
        <v>0</v>
      </c>
      <c r="O154" s="410">
        <f>O153-O75</f>
        <v>-0.1318359375</v>
      </c>
      <c r="P154" s="410">
        <f>P153-P75</f>
        <v>0</v>
      </c>
      <c r="Q154" s="410"/>
      <c r="R154" s="410"/>
      <c r="S154" s="410"/>
      <c r="T154" s="410"/>
      <c r="U154" s="410"/>
      <c r="V154" s="410"/>
      <c r="W154" s="410"/>
      <c r="X154" s="410"/>
      <c r="Y154" s="410"/>
      <c r="Z154" s="410"/>
      <c r="AA154" s="410"/>
      <c r="AB154" s="410"/>
      <c r="AC154" s="410"/>
      <c r="AD154" s="410"/>
      <c r="AE154" s="410"/>
      <c r="AF154" s="410"/>
      <c r="AG154" s="410">
        <f>AG153-AG75</f>
        <v>0</v>
      </c>
      <c r="AH154" s="410">
        <f t="shared" ref="AH154:AK154" si="155">AH153-AH75</f>
        <v>0</v>
      </c>
      <c r="AI154" s="410">
        <f t="shared" si="155"/>
        <v>0</v>
      </c>
      <c r="AJ154" s="410">
        <f t="shared" si="155"/>
        <v>0</v>
      </c>
      <c r="AK154" s="410">
        <f t="shared" si="155"/>
        <v>0</v>
      </c>
      <c r="AL154" s="257"/>
    </row>
    <row r="155" spans="2:38">
      <c r="G155" s="107"/>
      <c r="H155" s="107"/>
      <c r="I155" s="107"/>
      <c r="J155" s="257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  <c r="AG155" s="410"/>
      <c r="AH155" s="410"/>
      <c r="AI155" s="410"/>
      <c r="AJ155" s="410"/>
      <c r="AK155" s="410"/>
      <c r="AL155" s="257"/>
    </row>
    <row r="157" spans="2:38">
      <c r="F157" s="466"/>
    </row>
    <row r="158" spans="2:38">
      <c r="O158" s="469"/>
    </row>
    <row r="159" spans="2:38">
      <c r="O159" s="469"/>
    </row>
    <row r="160" spans="2:38">
      <c r="O160" s="469"/>
    </row>
    <row r="163" spans="6:32">
      <c r="F163" s="466"/>
      <c r="L163" s="466"/>
      <c r="R163" s="466"/>
      <c r="S163" s="466"/>
      <c r="T163" s="466"/>
      <c r="U163" s="466"/>
      <c r="V163" s="466"/>
      <c r="W163" s="466"/>
      <c r="X163" s="466"/>
      <c r="Y163" s="466"/>
      <c r="Z163" s="466"/>
      <c r="AA163" s="466"/>
      <c r="AB163" s="466"/>
      <c r="AC163" s="466"/>
      <c r="AD163" s="466"/>
      <c r="AE163" s="466"/>
      <c r="AF163" s="466"/>
    </row>
  </sheetData>
  <conditionalFormatting sqref="T153:AE153">
    <cfRule type="cellIs" dxfId="5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DF9B-FAC0-40E7-8976-F16DD95B15B2}">
  <sheetPr>
    <tabColor rgb="FFFFFF00"/>
  </sheetPr>
  <dimension ref="A1:AU163"/>
  <sheetViews>
    <sheetView workbookViewId="0">
      <selection activeCell="Q13" sqref="Q13"/>
    </sheetView>
  </sheetViews>
  <sheetFormatPr defaultColWidth="9.1796875" defaultRowHeight="16.5" outlineLevelRow="1" outlineLevelCol="1"/>
  <cols>
    <col min="1" max="1" width="1.1796875" style="84" customWidth="1"/>
    <col min="2" max="4" width="2.1796875" style="84" customWidth="1"/>
    <col min="5" max="5" width="10.26953125" style="84" customWidth="1"/>
    <col min="6" max="6" width="28.81640625" style="84" customWidth="1" collapsed="1"/>
    <col min="7" max="10" width="7.7265625" style="84" hidden="1" customWidth="1" outlineLevel="1"/>
    <col min="11" max="12" width="7.7265625" style="86" hidden="1" customWidth="1" outlineLevel="1"/>
    <col min="13" max="13" width="10.54296875" style="86" hidden="1" customWidth="1"/>
    <col min="14" max="14" width="13.26953125" style="86" customWidth="1" collapsed="1"/>
    <col min="15" max="15" width="12.1796875" style="86" hidden="1" customWidth="1" outlineLevel="1"/>
    <col min="16" max="16" width="12.453125" style="86" hidden="1" customWidth="1" outlineLevel="1"/>
    <col min="17" max="17" width="14.54296875" style="86" customWidth="1" collapsed="1"/>
    <col min="18" max="18" width="14.54296875" style="86" bestFit="1" customWidth="1"/>
    <col min="19" max="19" width="17.7265625" style="86" customWidth="1"/>
    <col min="20" max="31" width="12.1796875" style="86" customWidth="1" outlineLevel="1"/>
    <col min="32" max="32" width="1" style="86" hidden="1" customWidth="1"/>
    <col min="33" max="36" width="11.453125" style="86" hidden="1" customWidth="1"/>
    <col min="37" max="37" width="12.1796875" style="86" hidden="1" customWidth="1"/>
    <col min="38" max="38" width="1.7265625" style="84" customWidth="1"/>
    <col min="39" max="40" width="10.1796875" style="84" customWidth="1"/>
    <col min="41" max="41" width="17" style="84" customWidth="1"/>
    <col min="42" max="43" width="10.1796875" style="84" customWidth="1"/>
    <col min="44" max="45" width="9.7265625" style="84" bestFit="1" customWidth="1"/>
    <col min="46" max="16384" width="9.1796875" style="84"/>
  </cols>
  <sheetData>
    <row r="1" spans="2:47" ht="20.25" customHeight="1">
      <c r="B1" s="84" t="str">
        <f>[1]Overview!C2</f>
        <v>VN</v>
      </c>
      <c r="F1" s="85"/>
      <c r="N1" s="470"/>
      <c r="O1" s="470"/>
      <c r="P1" s="470"/>
      <c r="Q1" s="470"/>
      <c r="R1" s="89"/>
      <c r="S1" s="90"/>
      <c r="T1" s="89"/>
      <c r="U1" s="89"/>
      <c r="V1" s="91"/>
      <c r="W1" s="91"/>
      <c r="X1" s="89"/>
      <c r="Y1" s="89"/>
      <c r="Z1" s="89"/>
      <c r="AA1" s="89"/>
      <c r="AB1" s="89"/>
      <c r="AC1" s="89"/>
      <c r="AD1" s="89"/>
      <c r="AE1" s="89"/>
      <c r="AF1" s="90"/>
      <c r="AG1" s="92"/>
      <c r="AH1" s="93"/>
      <c r="AI1" s="92"/>
      <c r="AJ1" s="93"/>
      <c r="AK1" s="93"/>
      <c r="AO1" s="468">
        <f>R15+R24+R44</f>
        <v>17709578979.384613</v>
      </c>
      <c r="AU1" s="468">
        <f>R15+R24+R44</f>
        <v>17709578979.384613</v>
      </c>
    </row>
    <row r="2" spans="2:47" ht="30" customHeight="1">
      <c r="B2" s="94" t="str">
        <f>IF(B1="EN", "FINANCIAL STATEMENT", "BÁO CÁO TÀI CHÍNH")</f>
        <v>BÁO CÁO TÀI CHÍNH</v>
      </c>
      <c r="C2" s="95"/>
      <c r="D2" s="95"/>
      <c r="E2" s="96"/>
      <c r="F2" s="97"/>
      <c r="G2" s="98"/>
      <c r="H2" s="98"/>
      <c r="I2" s="98"/>
      <c r="J2" s="99"/>
      <c r="K2" s="100"/>
      <c r="L2" s="100"/>
      <c r="M2" s="100"/>
      <c r="N2" s="101">
        <v>2023</v>
      </c>
      <c r="O2" s="101">
        <v>2024</v>
      </c>
      <c r="P2" s="102" t="s">
        <v>110</v>
      </c>
      <c r="Q2" s="103" t="str">
        <f>[1]Assumption!L3</f>
        <v>2025E</v>
      </c>
      <c r="R2" s="104" t="str">
        <f>[1]Assumption!M3</f>
        <v>2026P</v>
      </c>
      <c r="S2" s="417">
        <f>R14+R16+R17</f>
        <v>7740559838.0038204</v>
      </c>
      <c r="T2" s="104">
        <v>1</v>
      </c>
      <c r="U2" s="104">
        <v>2</v>
      </c>
      <c r="V2" s="104">
        <v>3</v>
      </c>
      <c r="W2" s="104">
        <v>4</v>
      </c>
      <c r="X2" s="104">
        <v>5</v>
      </c>
      <c r="Y2" s="104">
        <v>6</v>
      </c>
      <c r="Z2" s="104">
        <v>7</v>
      </c>
      <c r="AA2" s="104">
        <v>8</v>
      </c>
      <c r="AB2" s="104">
        <v>9</v>
      </c>
      <c r="AC2" s="104">
        <v>10</v>
      </c>
      <c r="AD2" s="104">
        <v>11</v>
      </c>
      <c r="AE2" s="104">
        <v>12</v>
      </c>
      <c r="AF2" s="105"/>
      <c r="AG2" s="106" t="str">
        <f>[1]Assumption!N3</f>
        <v>2025 MTP</v>
      </c>
      <c r="AH2" s="106" t="str">
        <f>[1]Assumption!O3</f>
        <v>2026 MTP</v>
      </c>
      <c r="AI2" s="106" t="str">
        <f>[1]Assumption!P3</f>
        <v>2027 MTP</v>
      </c>
      <c r="AJ2" s="106" t="str">
        <f>[1]Assumption!Q3</f>
        <v>2028 MTP</v>
      </c>
      <c r="AK2" s="106" t="str">
        <f>[1]Assumption!R3</f>
        <v>2029 MTP</v>
      </c>
      <c r="AL2" s="107"/>
    </row>
    <row r="3" spans="2:47" s="110" customFormat="1" ht="16.399999999999999" customHeight="1">
      <c r="B3" s="108"/>
      <c r="C3" s="108"/>
      <c r="D3" s="108"/>
      <c r="E3" s="108"/>
      <c r="F3" s="108"/>
      <c r="G3" s="108"/>
      <c r="H3" s="108"/>
      <c r="I3" s="108"/>
      <c r="J3" s="108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8"/>
    </row>
    <row r="4" spans="2:47">
      <c r="B4" s="111" t="str">
        <f>IF(B1="EN", "INCOME STATEMENT", "KẾT QUẢ KINH DOANH")</f>
        <v>KẾT QUẢ KINH DOANH</v>
      </c>
      <c r="C4" s="112"/>
      <c r="D4" s="112"/>
      <c r="E4" s="112"/>
      <c r="F4" s="113"/>
      <c r="G4" s="114"/>
      <c r="H4" s="114"/>
      <c r="I4" s="114"/>
      <c r="J4" s="115"/>
      <c r="K4" s="101"/>
      <c r="L4" s="101"/>
      <c r="M4" s="101"/>
      <c r="N4" s="101">
        <f t="shared" ref="N4:AK4" si="0">N2</f>
        <v>2023</v>
      </c>
      <c r="O4" s="101">
        <f t="shared" si="0"/>
        <v>2024</v>
      </c>
      <c r="P4" s="102" t="str">
        <f>P2</f>
        <v>2025P</v>
      </c>
      <c r="Q4" s="103" t="str">
        <f>Q2</f>
        <v>2025E</v>
      </c>
      <c r="R4" s="104" t="str">
        <f>R2</f>
        <v>2026P</v>
      </c>
      <c r="S4" s="105"/>
      <c r="T4" s="104">
        <f>T2</f>
        <v>1</v>
      </c>
      <c r="U4" s="104">
        <f t="shared" ref="U4:AE4" si="1">U2</f>
        <v>2</v>
      </c>
      <c r="V4" s="104">
        <f t="shared" si="1"/>
        <v>3</v>
      </c>
      <c r="W4" s="104">
        <f t="shared" si="1"/>
        <v>4</v>
      </c>
      <c r="X4" s="104">
        <f t="shared" si="1"/>
        <v>5</v>
      </c>
      <c r="Y4" s="104">
        <f t="shared" si="1"/>
        <v>6</v>
      </c>
      <c r="Z4" s="104">
        <f t="shared" si="1"/>
        <v>7</v>
      </c>
      <c r="AA4" s="104">
        <f t="shared" si="1"/>
        <v>8</v>
      </c>
      <c r="AB4" s="104">
        <f t="shared" si="1"/>
        <v>9</v>
      </c>
      <c r="AC4" s="104">
        <f t="shared" si="1"/>
        <v>10</v>
      </c>
      <c r="AD4" s="104">
        <f t="shared" si="1"/>
        <v>11</v>
      </c>
      <c r="AE4" s="104">
        <f t="shared" si="1"/>
        <v>12</v>
      </c>
      <c r="AF4" s="105"/>
      <c r="AG4" s="106" t="str">
        <f t="shared" si="0"/>
        <v>2025 MTP</v>
      </c>
      <c r="AH4" s="106" t="str">
        <f t="shared" si="0"/>
        <v>2026 MTP</v>
      </c>
      <c r="AI4" s="106" t="str">
        <f t="shared" si="0"/>
        <v>2027 MTP</v>
      </c>
      <c r="AJ4" s="106" t="str">
        <f t="shared" si="0"/>
        <v>2028 MTP</v>
      </c>
      <c r="AK4" s="106" t="str">
        <f t="shared" si="0"/>
        <v>2029 MTP</v>
      </c>
      <c r="AL4" s="116"/>
      <c r="AM4" s="196"/>
    </row>
    <row r="5" spans="2:47" s="125" customFormat="1">
      <c r="B5" s="117" t="str">
        <f>IF(B1="EN","SALES VOLUME (Ton)","SẢN LƯỢNG BÁN")</f>
        <v>SẢN LƯỢNG BÁN</v>
      </c>
      <c r="C5" s="118"/>
      <c r="D5" s="118"/>
      <c r="E5" s="118"/>
      <c r="F5" s="119"/>
      <c r="G5" s="120"/>
      <c r="H5" s="120"/>
      <c r="I5" s="120"/>
      <c r="J5" s="120"/>
      <c r="K5" s="121"/>
      <c r="L5" s="121"/>
      <c r="M5" s="121"/>
      <c r="N5" s="122">
        <f>'[1]Net Sales'!F7</f>
        <v>4773663.5</v>
      </c>
      <c r="O5" s="122">
        <f>'[1]Net Sales'!G7</f>
        <v>6939751</v>
      </c>
      <c r="P5" s="122">
        <f>'[1]Net Sales'!H7</f>
        <v>9455737.7000000011</v>
      </c>
      <c r="Q5" s="122">
        <f>'[1]Net Sales'!I7</f>
        <v>9796523</v>
      </c>
      <c r="R5" s="122">
        <f>'[1]Net Sales'!J7</f>
        <v>11700786</v>
      </c>
      <c r="S5" s="122"/>
      <c r="T5" s="122">
        <f>'[1]Net Sales'!L7</f>
        <v>760725</v>
      </c>
      <c r="U5" s="122">
        <f>'[1]Net Sales'!M7</f>
        <v>591675</v>
      </c>
      <c r="V5" s="122">
        <f>'[1]Net Sales'!N7</f>
        <v>845250</v>
      </c>
      <c r="W5" s="122">
        <f>'[1]Net Sales'!O7</f>
        <v>1055250</v>
      </c>
      <c r="X5" s="122">
        <f>'[1]Net Sales'!P7</f>
        <v>1055250</v>
      </c>
      <c r="Y5" s="122">
        <f>'[1]Net Sales'!Q7</f>
        <v>1055250</v>
      </c>
      <c r="Z5" s="122">
        <f>'[1]Net Sales'!R7</f>
        <v>1055250</v>
      </c>
      <c r="AA5" s="122">
        <f>'[1]Net Sales'!S7</f>
        <v>1055250</v>
      </c>
      <c r="AB5" s="122">
        <f>'[1]Net Sales'!T7</f>
        <v>1055250</v>
      </c>
      <c r="AC5" s="122">
        <f>'[1]Net Sales'!U7</f>
        <v>1057212</v>
      </c>
      <c r="AD5" s="122">
        <f>'[1]Net Sales'!V7</f>
        <v>1057212</v>
      </c>
      <c r="AE5" s="122">
        <f>'[1]Net Sales'!W7</f>
        <v>1057212</v>
      </c>
      <c r="AF5" s="121"/>
      <c r="AG5" s="121">
        <v>10130120727661</v>
      </c>
      <c r="AH5" s="121">
        <v>110633901989403</v>
      </c>
      <c r="AI5" s="121">
        <v>121924262276516</v>
      </c>
      <c r="AJ5" s="121">
        <v>134115064616605</v>
      </c>
      <c r="AK5" s="121">
        <v>146577496827428</v>
      </c>
      <c r="AL5" s="123"/>
      <c r="AM5" s="471"/>
      <c r="AN5" s="472"/>
      <c r="AO5" s="473"/>
    </row>
    <row r="6" spans="2:47" s="125" customFormat="1" outlineLevel="1">
      <c r="B6" s="126"/>
      <c r="C6" s="127" t="str">
        <f>IF(B1="EN", "Sales Volume Growth (%)", "Tăng giảm Sản lượng bán (%)")</f>
        <v>Tăng giảm Sản lượng bán (%)</v>
      </c>
      <c r="D6" s="128"/>
      <c r="E6" s="128"/>
      <c r="F6" s="129"/>
      <c r="G6" s="130"/>
      <c r="H6" s="130"/>
      <c r="I6" s="130"/>
      <c r="J6" s="130"/>
      <c r="K6" s="131"/>
      <c r="L6" s="131"/>
      <c r="M6" s="131"/>
      <c r="N6" s="131">
        <f>IFERROR(N5/M5-1,)</f>
        <v>0</v>
      </c>
      <c r="O6" s="131">
        <f>IFERROR(O5/N5-1,)</f>
        <v>0.45375789474896999</v>
      </c>
      <c r="P6" s="131">
        <f>IFERROR(P5/O5-1,)</f>
        <v>0.36254711444257892</v>
      </c>
      <c r="Q6" s="131">
        <f>IFERROR(Q5/O5-1,)</f>
        <v>0.41165338641112625</v>
      </c>
      <c r="R6" s="131">
        <f>IFERROR(R5/Q5-1,)</f>
        <v>0.19438151678917093</v>
      </c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>
        <v>1080898044455.17</v>
      </c>
      <c r="AH6" s="131">
        <v>9212816869308.9297</v>
      </c>
      <c r="AI6" s="131">
        <v>1020515419242.3101</v>
      </c>
      <c r="AJ6" s="131">
        <v>9998668117787.5605</v>
      </c>
      <c r="AK6" s="131">
        <v>9292343292268.4199</v>
      </c>
      <c r="AL6" s="123"/>
      <c r="AM6" s="196"/>
      <c r="AN6" s="474"/>
      <c r="AO6" s="473"/>
    </row>
    <row r="7" spans="2:47" s="141" customFormat="1" ht="17" thickBot="1">
      <c r="B7" s="132" t="str">
        <f>IF(B1="en","NET SALES","DOANH THU THUẦN")</f>
        <v>DOANH THU THUẦN</v>
      </c>
      <c r="C7" s="133"/>
      <c r="D7" s="133"/>
      <c r="E7" s="133"/>
      <c r="F7" s="134"/>
      <c r="G7" s="135"/>
      <c r="H7" s="135"/>
      <c r="I7" s="135"/>
      <c r="J7" s="135"/>
      <c r="K7" s="136"/>
      <c r="L7" s="136"/>
      <c r="M7" s="136"/>
      <c r="N7" s="137">
        <f>'[1]Net Sales'!F22</f>
        <v>68779491098</v>
      </c>
      <c r="O7" s="137">
        <f>'[1]Net Sales'!G22</f>
        <v>124696185425</v>
      </c>
      <c r="P7" s="137">
        <f>'[1]Net Sales'!H22</f>
        <v>191356244415</v>
      </c>
      <c r="Q7" s="137">
        <f>'[1]Net Sales'!I22</f>
        <v>173927684403</v>
      </c>
      <c r="R7" s="137">
        <f>'[1]Net Sales'!J22</f>
        <v>181115247500</v>
      </c>
      <c r="S7" s="138"/>
      <c r="T7" s="137">
        <f>'[1]Net Sales'!L22</f>
        <v>11515218750</v>
      </c>
      <c r="U7" s="137">
        <f>'[1]Net Sales'!M22</f>
        <v>8956281250</v>
      </c>
      <c r="V7" s="137">
        <f>'[1]Net Sales'!N22</f>
        <v>12794687500</v>
      </c>
      <c r="W7" s="137">
        <f>'[1]Net Sales'!O22</f>
        <v>15974312500</v>
      </c>
      <c r="X7" s="137">
        <f>'[1]Net Sales'!P22</f>
        <v>15974312500</v>
      </c>
      <c r="Y7" s="137">
        <f>'[1]Net Sales'!Q22</f>
        <v>15974312500</v>
      </c>
      <c r="Z7" s="137">
        <f>'[1]Net Sales'!R22</f>
        <v>15974312500</v>
      </c>
      <c r="AA7" s="137">
        <f>'[1]Net Sales'!S22</f>
        <v>15974312500</v>
      </c>
      <c r="AB7" s="137">
        <f>'[1]Net Sales'!T22</f>
        <v>15974312500</v>
      </c>
      <c r="AC7" s="137">
        <f>'[1]Net Sales'!U22</f>
        <v>17334395000</v>
      </c>
      <c r="AD7" s="137">
        <f>'[1]Net Sales'!V22</f>
        <v>17334395000</v>
      </c>
      <c r="AE7" s="137">
        <f>'[1]Net Sales'!W22</f>
        <v>17334395000</v>
      </c>
      <c r="AF7" s="121"/>
      <c r="AG7" s="136">
        <v>619122724416282</v>
      </c>
      <c r="AH7" s="136">
        <v>679579279038665</v>
      </c>
      <c r="AI7" s="136">
        <v>755559957683902</v>
      </c>
      <c r="AJ7" s="136">
        <v>838783549542362</v>
      </c>
      <c r="AK7" s="136">
        <v>925768511365268</v>
      </c>
      <c r="AL7" s="139"/>
      <c r="AM7" s="475"/>
      <c r="AN7" s="476"/>
      <c r="AO7" s="473"/>
      <c r="AP7" s="140"/>
      <c r="AQ7" s="140"/>
      <c r="AR7" s="140"/>
      <c r="AS7" s="140"/>
    </row>
    <row r="8" spans="2:47" s="125" customFormat="1" ht="17" outlineLevel="1" thickTop="1">
      <c r="B8" s="142"/>
      <c r="C8" s="125" t="str">
        <f>IF(B1="EN", "Net Sales Growth (%)", "Tăng giảm Doanh thu (%)")</f>
        <v>Tăng giảm Doanh thu (%)</v>
      </c>
      <c r="D8" s="143"/>
      <c r="E8" s="143"/>
      <c r="F8" s="129"/>
      <c r="G8" s="130"/>
      <c r="H8" s="130"/>
      <c r="I8" s="130"/>
      <c r="J8" s="130"/>
      <c r="K8" s="131"/>
      <c r="L8" s="131"/>
      <c r="M8" s="131"/>
      <c r="N8" s="131">
        <f>IFERROR(N7/M7-1,)</f>
        <v>0</v>
      </c>
      <c r="O8" s="131">
        <f>IFERROR(O7/N7-1,)</f>
        <v>0.81298499646249889</v>
      </c>
      <c r="P8" s="131">
        <f>IFERROR(P7/O7-1,)</f>
        <v>0.53457977694188163</v>
      </c>
      <c r="Q8" s="131">
        <f>IFERROR(Q7/O7-1,)</f>
        <v>0.39481158794236637</v>
      </c>
      <c r="R8" s="131">
        <f>IFERROR(R7/Q7-1,)</f>
        <v>4.1325008848769773E-2</v>
      </c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>
        <v>1063075586178.25</v>
      </c>
      <c r="AH8" s="131">
        <v>9764874109471.9102</v>
      </c>
      <c r="AI8" s="131">
        <v>1118054669835.1299</v>
      </c>
      <c r="AJ8" s="131">
        <v>1101482298156.3799</v>
      </c>
      <c r="AK8" s="131">
        <v>1037037050504.45</v>
      </c>
      <c r="AL8" s="144"/>
      <c r="AM8" s="477"/>
      <c r="AN8" s="474"/>
      <c r="AO8" s="473"/>
      <c r="AP8" s="145"/>
      <c r="AQ8" s="145"/>
      <c r="AR8" s="145"/>
      <c r="AS8" s="145"/>
    </row>
    <row r="9" spans="2:47" s="154" customFormat="1" outlineLevel="1">
      <c r="B9" s="146"/>
      <c r="C9" s="147" t="str">
        <f>IF(B1="EN", "Selling price per Ton (m VND/Ton)", "Giá bán / Tấn (Triệu đồng/Tấn)")</f>
        <v>Giá bán / Tấn (Triệu đồng/Tấn)</v>
      </c>
      <c r="D9" s="148"/>
      <c r="E9" s="148"/>
      <c r="F9" s="149"/>
      <c r="G9" s="150"/>
      <c r="H9" s="150"/>
      <c r="I9" s="150"/>
      <c r="J9" s="150"/>
      <c r="K9" s="151"/>
      <c r="L9" s="151"/>
      <c r="M9" s="151"/>
      <c r="N9" s="151">
        <f>IFERROR(N7/N5,)</f>
        <v>14408.114668744456</v>
      </c>
      <c r="O9" s="151">
        <f t="shared" ref="O9:R9" si="2">IFERROR(O7/O5,)</f>
        <v>17968.394748601211</v>
      </c>
      <c r="P9" s="151">
        <f>IFERROR(P7/P5,)</f>
        <v>20237.050824178423</v>
      </c>
      <c r="Q9" s="151">
        <f>IFERROR(Q7/Q5,)</f>
        <v>17754.02195278876</v>
      </c>
      <c r="R9" s="152">
        <f t="shared" si="2"/>
        <v>15478.895819477426</v>
      </c>
      <c r="S9" s="151"/>
      <c r="T9" s="151">
        <f>T7/T5</f>
        <v>15137.163561076604</v>
      </c>
      <c r="U9" s="151">
        <f t="shared" ref="U9:AE9" si="3">U7/U5</f>
        <v>15137.163561076604</v>
      </c>
      <c r="V9" s="151">
        <f t="shared" si="3"/>
        <v>15137.163561076604</v>
      </c>
      <c r="W9" s="151">
        <f t="shared" si="3"/>
        <v>15137.941246150202</v>
      </c>
      <c r="X9" s="151">
        <f t="shared" si="3"/>
        <v>15137.941246150202</v>
      </c>
      <c r="Y9" s="151">
        <f t="shared" si="3"/>
        <v>15137.941246150202</v>
      </c>
      <c r="Z9" s="151">
        <f t="shared" si="3"/>
        <v>15137.941246150202</v>
      </c>
      <c r="AA9" s="151">
        <f t="shared" si="3"/>
        <v>15137.941246150202</v>
      </c>
      <c r="AB9" s="151">
        <f t="shared" si="3"/>
        <v>15137.941246150202</v>
      </c>
      <c r="AC9" s="151">
        <f t="shared" si="3"/>
        <v>16396.3282671782</v>
      </c>
      <c r="AD9" s="151">
        <f t="shared" si="3"/>
        <v>16396.3282671782</v>
      </c>
      <c r="AE9" s="151">
        <f t="shared" si="3"/>
        <v>16396.3282671782</v>
      </c>
      <c r="AF9" s="151"/>
      <c r="AG9" s="151">
        <v>611170134158151</v>
      </c>
      <c r="AH9" s="151">
        <v>614259523363606</v>
      </c>
      <c r="AI9" s="151">
        <v>619696148720872</v>
      </c>
      <c r="AJ9" s="151">
        <v>62542082944984</v>
      </c>
      <c r="AK9" s="151">
        <v>631589794752203</v>
      </c>
      <c r="AL9" s="153"/>
      <c r="AM9" s="196"/>
      <c r="AN9" s="478"/>
      <c r="AO9" s="473"/>
    </row>
    <row r="10" spans="2:47">
      <c r="B10" s="155" t="str">
        <f>IF(B1="en","Direct Selling &amp; Delivery expenses","Chi phí vận chuyển")</f>
        <v>Chi phí vận chuyển</v>
      </c>
      <c r="C10" s="156"/>
      <c r="D10" s="156"/>
      <c r="E10" s="156"/>
      <c r="F10" s="157"/>
      <c r="G10" s="158"/>
      <c r="H10" s="158"/>
      <c r="I10" s="158"/>
      <c r="J10" s="158"/>
      <c r="K10" s="159"/>
      <c r="L10" s="159"/>
      <c r="M10" s="159"/>
      <c r="N10" s="160">
        <f>'[1]Direct Selling'!G14</f>
        <v>1393501600</v>
      </c>
      <c r="O10" s="160">
        <f>'[1]Direct Selling'!H14</f>
        <v>1878089700</v>
      </c>
      <c r="P10" s="160">
        <f>'[1]Direct Selling'!I14</f>
        <v>2966087138</v>
      </c>
      <c r="Q10" s="160">
        <f>'[1]Direct Selling'!J14</f>
        <v>3127900000</v>
      </c>
      <c r="R10" s="160">
        <f>'[1]Direct Selling'!K14</f>
        <v>3893696516.666667</v>
      </c>
      <c r="S10" s="160"/>
      <c r="T10" s="160">
        <f>'[1]Direct Selling'!M14</f>
        <v>259100625</v>
      </c>
      <c r="U10" s="160">
        <f>'[1]Direct Selling'!N14</f>
        <v>201522708.33333331</v>
      </c>
      <c r="V10" s="160">
        <f>'[1]Direct Selling'!O14</f>
        <v>287889583.33333331</v>
      </c>
      <c r="W10" s="160">
        <f>'[1]Direct Selling'!P14</f>
        <v>359368750</v>
      </c>
      <c r="X10" s="160">
        <f>'[1]Direct Selling'!Q14</f>
        <v>359368750</v>
      </c>
      <c r="Y10" s="160">
        <f>'[1]Direct Selling'!R14</f>
        <v>359368750</v>
      </c>
      <c r="Z10" s="160">
        <f>'[1]Direct Selling'!S14</f>
        <v>359368750</v>
      </c>
      <c r="AA10" s="160">
        <f>'[1]Direct Selling'!T14</f>
        <v>359368750</v>
      </c>
      <c r="AB10" s="160">
        <f>'[1]Direct Selling'!U14</f>
        <v>359368750</v>
      </c>
      <c r="AC10" s="160">
        <f>'[1]Direct Selling'!V14</f>
        <v>329657033.33333337</v>
      </c>
      <c r="AD10" s="160">
        <f>'[1]Direct Selling'!W14</f>
        <v>329657033.33333337</v>
      </c>
      <c r="AE10" s="160">
        <f>'[1]Direct Selling'!X14</f>
        <v>329657033.33333337</v>
      </c>
      <c r="AF10" s="159"/>
      <c r="AG10" s="161">
        <v>23786211649968</v>
      </c>
      <c r="AH10" s="161">
        <v>265853338544703</v>
      </c>
      <c r="AI10" s="161">
        <v>303991986747201</v>
      </c>
      <c r="AJ10" s="161">
        <v>346060429852807</v>
      </c>
      <c r="AK10" s="161">
        <v>391825860160892</v>
      </c>
      <c r="AL10" s="162"/>
      <c r="AM10" s="196"/>
      <c r="AN10" s="479"/>
      <c r="AO10" s="473"/>
    </row>
    <row r="11" spans="2:47" s="170" customFormat="1" hidden="1" outlineLevel="1">
      <c r="B11" s="163"/>
      <c r="C11" s="164" t="str">
        <f>IF(B1="EN", "Direct Selling on Net Sales (%)", "Chi phí vận chuyển / Doanh thu (%)")</f>
        <v>Chi phí vận chuyển / Doanh thu (%)</v>
      </c>
      <c r="D11" s="165"/>
      <c r="E11" s="165"/>
      <c r="F11" s="166"/>
      <c r="G11" s="167"/>
      <c r="H11" s="167"/>
      <c r="I11" s="167"/>
      <c r="J11" s="167"/>
      <c r="K11" s="168"/>
      <c r="L11" s="168"/>
      <c r="M11" s="168"/>
      <c r="N11" s="168">
        <f t="shared" ref="N11:O11" si="4">IFERROR(N10/N7,)</f>
        <v>2.0260423241784075E-2</v>
      </c>
      <c r="O11" s="168">
        <f t="shared" si="4"/>
        <v>1.5061324398969681E-2</v>
      </c>
      <c r="P11" s="168">
        <f>IFERROR(P10/P7,)</f>
        <v>1.5500341507368624E-2</v>
      </c>
      <c r="Q11" s="168">
        <f>IFERROR(Q10/Q7,)</f>
        <v>1.798391101874549E-2</v>
      </c>
      <c r="R11" s="168">
        <f>IFERROR(R10/R7,)</f>
        <v>2.1498446819982215E-2</v>
      </c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>
        <v>3841921918209.9902</v>
      </c>
      <c r="AH11" s="168">
        <v>3912028320239.2598</v>
      </c>
      <c r="AI11" s="168">
        <v>4023399912285.71</v>
      </c>
      <c r="AJ11" s="168">
        <v>4125741736847.5698</v>
      </c>
      <c r="AK11" s="168">
        <v>4232438837037.6802</v>
      </c>
      <c r="AL11" s="169"/>
      <c r="AM11" s="196"/>
      <c r="AN11" s="310"/>
      <c r="AO11" s="473"/>
    </row>
    <row r="12" spans="2:47" s="125" customFormat="1" collapsed="1">
      <c r="B12" s="171" t="str">
        <f>IF(B1="EN","Variable Cost of Goods Sold","Biến phí hàng bán")</f>
        <v>Biến phí hàng bán</v>
      </c>
      <c r="C12" s="172"/>
      <c r="D12" s="173"/>
      <c r="E12" s="173"/>
      <c r="F12" s="174"/>
      <c r="G12" s="175"/>
      <c r="H12" s="175"/>
      <c r="I12" s="175"/>
      <c r="J12" s="175"/>
      <c r="K12" s="175"/>
      <c r="L12" s="175"/>
      <c r="M12" s="175"/>
      <c r="N12" s="176">
        <f>SUM(N13:N18)</f>
        <v>69905016264</v>
      </c>
      <c r="O12" s="176">
        <f t="shared" ref="O12" si="5">SUM(O13:O18)</f>
        <v>111707312340.13184</v>
      </c>
      <c r="P12" s="176">
        <f>SUM(P13:P18)</f>
        <v>168783219927.75</v>
      </c>
      <c r="Q12" s="176">
        <f>SUM(Q13:Q18)</f>
        <v>154096423513.24307</v>
      </c>
      <c r="R12" s="176">
        <f>SUM(R13:R18)</f>
        <v>157137970945.38843</v>
      </c>
      <c r="S12" s="177"/>
      <c r="T12" s="176">
        <f>SUM(T13:T18)</f>
        <v>10123301450.906801</v>
      </c>
      <c r="U12" s="176">
        <f t="shared" ref="U12:AE12" si="6">SUM(U13:U18)</f>
        <v>7855839255.6069984</v>
      </c>
      <c r="V12" s="176">
        <f t="shared" si="6"/>
        <v>11256891377.152855</v>
      </c>
      <c r="W12" s="176">
        <f t="shared" si="6"/>
        <v>13866114406.52232</v>
      </c>
      <c r="X12" s="176">
        <f t="shared" si="6"/>
        <v>13877063559.714628</v>
      </c>
      <c r="Y12" s="176">
        <f t="shared" si="6"/>
        <v>13882162739.52232</v>
      </c>
      <c r="Z12" s="176">
        <f t="shared" si="6"/>
        <v>13907072918.560781</v>
      </c>
      <c r="AA12" s="176">
        <f t="shared" si="6"/>
        <v>13907187918.560781</v>
      </c>
      <c r="AB12" s="176">
        <f t="shared" si="6"/>
        <v>13842250816.599243</v>
      </c>
      <c r="AC12" s="176">
        <f t="shared" si="6"/>
        <v>14877517346.119032</v>
      </c>
      <c r="AD12" s="176">
        <f t="shared" si="6"/>
        <v>14876150322.042109</v>
      </c>
      <c r="AE12" s="176">
        <f t="shared" si="6"/>
        <v>14866418834.08057</v>
      </c>
      <c r="AF12" s="178"/>
      <c r="AG12" s="175">
        <v>339227810146679</v>
      </c>
      <c r="AH12" s="175">
        <v>37061411990251</v>
      </c>
      <c r="AI12" s="175">
        <v>409113322448425</v>
      </c>
      <c r="AJ12" s="175">
        <v>450948163056241</v>
      </c>
      <c r="AK12" s="175">
        <v>493829450753841</v>
      </c>
      <c r="AL12" s="144"/>
      <c r="AM12" s="471"/>
      <c r="AN12" s="480"/>
      <c r="AO12" s="473"/>
    </row>
    <row r="13" spans="2:47" s="125" customFormat="1" outlineLevel="1">
      <c r="B13" s="179"/>
      <c r="C13" s="180" t="str">
        <f>IF(B1="EN", "Resin cost", "Chi phí nguyên vật liệu chính")</f>
        <v>Chi phí nguyên vật liệu chính</v>
      </c>
      <c r="D13" s="181"/>
      <c r="E13" s="181"/>
      <c r="F13" s="180"/>
      <c r="G13" s="182"/>
      <c r="H13" s="183"/>
      <c r="I13" s="183"/>
      <c r="J13" s="183"/>
      <c r="K13" s="184"/>
      <c r="L13" s="184"/>
      <c r="M13" s="184"/>
      <c r="N13" s="185">
        <v>61397416940</v>
      </c>
      <c r="O13" s="185">
        <f>103487206845+1111644049</f>
        <v>104598850894</v>
      </c>
      <c r="P13" s="185">
        <v>156874560000</v>
      </c>
      <c r="Q13" s="185">
        <v>144569179803.24307</v>
      </c>
      <c r="R13" s="185">
        <f>SUM(T13:AE13)</f>
        <v>140000000000</v>
      </c>
      <c r="S13" s="185"/>
      <c r="T13" s="185">
        <f>[1]VCOGs!D$3+[1]VCOGs!D$4</f>
        <v>9000000000</v>
      </c>
      <c r="U13" s="185">
        <f>[1]VCOGs!E$3+[1]VCOGs!E$4</f>
        <v>7000000000</v>
      </c>
      <c r="V13" s="185">
        <f>[1]VCOGs!F$3+[1]VCOGs!F$4</f>
        <v>10000000000</v>
      </c>
      <c r="W13" s="185">
        <f>[1]VCOGs!G$3+[1]VCOGs!G$4</f>
        <v>12500000000</v>
      </c>
      <c r="X13" s="185">
        <f>[1]VCOGs!H$3+[1]VCOGs!H$4</f>
        <v>12500000000</v>
      </c>
      <c r="Y13" s="185">
        <f>[1]VCOGs!I$3+[1]VCOGs!I$4</f>
        <v>12500000000</v>
      </c>
      <c r="Z13" s="185">
        <f>[1]VCOGs!J$3+[1]VCOGs!J$4</f>
        <v>12500000000</v>
      </c>
      <c r="AA13" s="185">
        <f>[1]VCOGs!K$3+[1]VCOGs!K$4</f>
        <v>12500000000</v>
      </c>
      <c r="AB13" s="185">
        <f>[1]VCOGs!L$3+[1]VCOGs!L$4</f>
        <v>12500000000</v>
      </c>
      <c r="AC13" s="185">
        <f>[1]VCOGs!M$3+[1]VCOGs!M$4</f>
        <v>13000000000</v>
      </c>
      <c r="AD13" s="185">
        <f>[1]VCOGs!N$3+[1]VCOGs!N$4</f>
        <v>13000000000</v>
      </c>
      <c r="AE13" s="185">
        <f>[1]VCOGs!O$3+[1]VCOGs!O$4</f>
        <v>13000000000</v>
      </c>
      <c r="AF13" s="184"/>
      <c r="AG13" s="184">
        <v>266353933093539</v>
      </c>
      <c r="AH13" s="184">
        <v>290247645419028</v>
      </c>
      <c r="AI13" s="184">
        <v>319661230473187</v>
      </c>
      <c r="AJ13" s="184">
        <v>351550385941357</v>
      </c>
      <c r="AK13" s="184">
        <v>384067702886992</v>
      </c>
      <c r="AL13" s="186"/>
      <c r="AM13" s="471"/>
      <c r="AN13" s="481"/>
      <c r="AO13" s="473"/>
    </row>
    <row r="14" spans="2:47" s="125" customFormat="1" outlineLevel="1">
      <c r="B14" s="179"/>
      <c r="C14" s="180" t="str">
        <f>IF(B1="EN", "Sub-material cost", "Chi phí vật liệu phục vụ sản xuất")</f>
        <v>Chi phí vật liệu phục vụ sản xuất</v>
      </c>
      <c r="D14" s="181"/>
      <c r="E14" s="181"/>
      <c r="F14" s="180"/>
      <c r="G14" s="182"/>
      <c r="H14" s="182"/>
      <c r="I14" s="182"/>
      <c r="J14" s="182"/>
      <c r="K14" s="184"/>
      <c r="L14" s="184"/>
      <c r="M14" s="184"/>
      <c r="N14" s="185"/>
      <c r="O14" s="185">
        <f>165373771+85000000+146664754</f>
        <v>397038525</v>
      </c>
      <c r="P14" s="185">
        <v>1064057277.5</v>
      </c>
      <c r="Q14" s="185">
        <v>1653967539</v>
      </c>
      <c r="R14" s="185">
        <f>SUM(T14:AE14)</f>
        <v>4772021109.7440796</v>
      </c>
      <c r="S14" s="185"/>
      <c r="T14" s="185">
        <f>[1]VCOGs!D$6</f>
        <v>264703058.41379312</v>
      </c>
      <c r="U14" s="185">
        <f>[1]VCOGs!E$6</f>
        <v>205880156.54406133</v>
      </c>
      <c r="V14" s="185">
        <f>[1]VCOGs!F$6</f>
        <v>294114509.34865898</v>
      </c>
      <c r="W14" s="185">
        <f>[1]VCOGs!G$6</f>
        <v>367664190.30103999</v>
      </c>
      <c r="X14" s="185">
        <f>[1]VCOGs!H$6</f>
        <v>367664190.30103999</v>
      </c>
      <c r="Y14" s="185">
        <f>[1]VCOGs!I$6</f>
        <v>367664190.30103999</v>
      </c>
      <c r="Z14" s="185">
        <f>[1]VCOGs!J$6</f>
        <v>367664190.30103999</v>
      </c>
      <c r="AA14" s="185">
        <f>[1]VCOGs!K$6</f>
        <v>367664190.30103999</v>
      </c>
      <c r="AB14" s="185">
        <f>[1]VCOGs!L$6</f>
        <v>367664190.30103999</v>
      </c>
      <c r="AC14" s="185">
        <f>[1]VCOGs!M$6</f>
        <v>600446081.21044207</v>
      </c>
      <c r="AD14" s="185">
        <f>[1]VCOGs!N$6</f>
        <v>600446081.21044207</v>
      </c>
      <c r="AE14" s="185">
        <f>[1]VCOGs!O$6</f>
        <v>600446081.21044207</v>
      </c>
      <c r="AF14" s="184"/>
      <c r="AG14" s="184">
        <v>396087720451544</v>
      </c>
      <c r="AH14" s="184">
        <v>432578556778565</v>
      </c>
      <c r="AI14" s="184">
        <v>476723865501176</v>
      </c>
      <c r="AJ14" s="184">
        <v>524389902650926</v>
      </c>
      <c r="AK14" s="184">
        <v>573118012595242</v>
      </c>
      <c r="AL14" s="186"/>
      <c r="AM14" s="471"/>
      <c r="AN14" s="481"/>
      <c r="AO14" s="473"/>
    </row>
    <row r="15" spans="2:47" s="125" customFormat="1" outlineLevel="1">
      <c r="B15" s="179"/>
      <c r="C15" s="180" t="str">
        <f>IF(B1="EN", "Salary and Wages - Direct", "Chi phí lương nhân công trực tiếp")</f>
        <v>Chi phí lương nhân công trực tiếp</v>
      </c>
      <c r="D15" s="181"/>
      <c r="E15" s="181"/>
      <c r="F15" s="180"/>
      <c r="G15" s="182"/>
      <c r="H15" s="182"/>
      <c r="I15" s="182"/>
      <c r="J15" s="182"/>
      <c r="K15" s="184"/>
      <c r="L15" s="184"/>
      <c r="M15" s="184"/>
      <c r="N15" s="185">
        <v>7382446484</v>
      </c>
      <c r="O15" s="185">
        <v>4522557535.1318388</v>
      </c>
      <c r="P15" s="185">
        <v>7394791429</v>
      </c>
      <c r="Q15" s="185">
        <v>6160821039</v>
      </c>
      <c r="R15" s="185">
        <f>SUM(T15:AE15)</f>
        <v>9397411107.3846149</v>
      </c>
      <c r="S15" s="185"/>
      <c r="T15" s="185">
        <f>[1]VCOGs!D$5</f>
        <v>699596097.03846157</v>
      </c>
      <c r="U15" s="185">
        <f>[1]VCOGs!E$5</f>
        <v>526971758.15384614</v>
      </c>
      <c r="V15" s="185">
        <f>[1]VCOGs!F$5</f>
        <v>790245595.07692313</v>
      </c>
      <c r="W15" s="185">
        <f>[1]VCOGs!G$5</f>
        <v>782977725.96153843</v>
      </c>
      <c r="X15" s="185">
        <f>[1]VCOGs!H$5</f>
        <v>795226879.15384614</v>
      </c>
      <c r="Y15" s="185">
        <f>[1]VCOGs!I$5</f>
        <v>800667725.96153843</v>
      </c>
      <c r="Z15" s="185">
        <f>[1]VCOGs!J$5</f>
        <v>826201238</v>
      </c>
      <c r="AA15" s="185">
        <f>[1]VCOGs!K$5</f>
        <v>826201238</v>
      </c>
      <c r="AB15" s="185">
        <f>[1]VCOGs!L$5</f>
        <v>761529136.03846157</v>
      </c>
      <c r="AC15" s="185">
        <f>[1]VCOGs!M$5</f>
        <v>865764750.03846157</v>
      </c>
      <c r="AD15" s="185">
        <f>[1]VCOGs!N$5</f>
        <v>865937725.96153843</v>
      </c>
      <c r="AE15" s="185">
        <f>[1]VCOGs!O$5</f>
        <v>856091237.99999988</v>
      </c>
      <c r="AF15" s="184"/>
      <c r="AG15" s="184">
        <v>237719532132491</v>
      </c>
      <c r="AH15" s="184">
        <v>267408803209148</v>
      </c>
      <c r="AI15" s="184">
        <v>303539232417778</v>
      </c>
      <c r="AJ15" s="184">
        <v>343905786260747</v>
      </c>
      <c r="AK15" s="184">
        <v>387138573297732</v>
      </c>
      <c r="AL15" s="186"/>
      <c r="AM15" s="471"/>
      <c r="AN15" s="481"/>
      <c r="AO15" s="473"/>
    </row>
    <row r="16" spans="2:47" s="125" customFormat="1" outlineLevel="1">
      <c r="B16" s="179"/>
      <c r="C16" s="180" t="str">
        <f>IF(B1="EN", "Electricity cost", "Chi phí điện")</f>
        <v>Chi phí điện</v>
      </c>
      <c r="D16" s="180"/>
      <c r="E16" s="181"/>
      <c r="F16" s="180"/>
      <c r="G16" s="182"/>
      <c r="H16" s="182"/>
      <c r="I16" s="182"/>
      <c r="J16" s="182"/>
      <c r="K16" s="184"/>
      <c r="L16" s="184"/>
      <c r="M16" s="184"/>
      <c r="N16" s="185">
        <v>1125152840</v>
      </c>
      <c r="O16" s="185">
        <v>1986676827</v>
      </c>
      <c r="P16" s="303">
        <v>2961969221.25</v>
      </c>
      <c r="Q16" s="303">
        <v>1409501660</v>
      </c>
      <c r="R16" s="185">
        <f t="shared" ref="R16" si="7">SUM(T16:AE16)</f>
        <v>2318747785.7142859</v>
      </c>
      <c r="S16" s="185"/>
      <c r="T16" s="185">
        <f>[1]VCOGs!D$7</f>
        <v>115678431.81818181</v>
      </c>
      <c r="U16" s="185">
        <f>[1]VCOGs!E$7</f>
        <v>89972113.63636364</v>
      </c>
      <c r="V16" s="185">
        <f>[1]VCOGs!F$7</f>
        <v>128531590.90909091</v>
      </c>
      <c r="W16" s="185">
        <f>[1]VCOGs!G$7</f>
        <v>160712922.07792208</v>
      </c>
      <c r="X16" s="185">
        <f>[1]VCOGs!H$7</f>
        <v>160712922.07792208</v>
      </c>
      <c r="Y16" s="185">
        <f>[1]VCOGs!I$7</f>
        <v>160712922.07792208</v>
      </c>
      <c r="Z16" s="185">
        <f>[1]VCOGs!J$7</f>
        <v>160712922.07792208</v>
      </c>
      <c r="AA16" s="185">
        <f>[1]VCOGs!K$7</f>
        <v>160712922.07792208</v>
      </c>
      <c r="AB16" s="185">
        <f>[1]VCOGs!L$7</f>
        <v>160712922.07792208</v>
      </c>
      <c r="AC16" s="185">
        <f>[1]VCOGs!M$7</f>
        <v>340096038.96103901</v>
      </c>
      <c r="AD16" s="185">
        <f>[1]VCOGs!N$7</f>
        <v>340096038.96103895</v>
      </c>
      <c r="AE16" s="185">
        <f>[1]VCOGs!O$7</f>
        <v>340096038.96103895</v>
      </c>
      <c r="AF16" s="184"/>
      <c r="AG16" s="184">
        <v>949315179473609</v>
      </c>
      <c r="AH16" s="184">
        <v>103677384847106</v>
      </c>
      <c r="AI16" s="184">
        <v>114257821833425</v>
      </c>
      <c r="AJ16" s="184">
        <v>125682082237163</v>
      </c>
      <c r="AK16" s="184">
        <v>137360892775511</v>
      </c>
      <c r="AL16" s="186"/>
      <c r="AM16" s="471"/>
      <c r="AN16" s="481"/>
      <c r="AO16" s="473"/>
    </row>
    <row r="17" spans="2:41" s="125" customFormat="1" outlineLevel="1">
      <c r="B17" s="179"/>
      <c r="C17" s="181" t="str">
        <f>IF(B1="EN", "Other", "Khác")</f>
        <v>Khác</v>
      </c>
      <c r="D17" s="181"/>
      <c r="E17" s="181"/>
      <c r="F17" s="180"/>
      <c r="G17" s="182"/>
      <c r="H17" s="182"/>
      <c r="I17" s="182"/>
      <c r="J17" s="182"/>
      <c r="K17" s="184"/>
      <c r="L17" s="184"/>
      <c r="M17" s="184"/>
      <c r="N17" s="185"/>
      <c r="O17" s="185">
        <v>202188559</v>
      </c>
      <c r="P17" s="303">
        <v>487842000</v>
      </c>
      <c r="Q17" s="303">
        <v>302953472</v>
      </c>
      <c r="R17" s="185">
        <f>SUM(T17:AE17)</f>
        <v>649790942.5454545</v>
      </c>
      <c r="S17" s="185"/>
      <c r="T17" s="185">
        <f>[1]VCOGs!D$8+[1]VCOGs!D$9</f>
        <v>43323863.63636364</v>
      </c>
      <c r="U17" s="185">
        <f>[1]VCOGs!E$8+[1]VCOGs!E$9</f>
        <v>33015227.272727273</v>
      </c>
      <c r="V17" s="185">
        <f>[1]VCOGs!F$8+[1]VCOGs!F$9</f>
        <v>43999681.81818182</v>
      </c>
      <c r="W17" s="185">
        <f>[1]VCOGs!G$8+[1]VCOGs!G$9</f>
        <v>54759568.181818187</v>
      </c>
      <c r="X17" s="185">
        <f>[1]VCOGs!H$8+[1]VCOGs!H$9</f>
        <v>53459568.181818187</v>
      </c>
      <c r="Y17" s="185">
        <f>[1]VCOGs!I$8+[1]VCOGs!I$9</f>
        <v>53117901.181818187</v>
      </c>
      <c r="Z17" s="185">
        <f>[1]VCOGs!J$8+[1]VCOGs!J$9</f>
        <v>52494568.181818187</v>
      </c>
      <c r="AA17" s="185">
        <f>[1]VCOGs!K$8+[1]VCOGs!K$9</f>
        <v>52609568.181818187</v>
      </c>
      <c r="AB17" s="185">
        <f>[1]VCOGs!L$8+[1]VCOGs!L$9</f>
        <v>52344568.181818187</v>
      </c>
      <c r="AC17" s="185">
        <f>[1]VCOGs!M$8+[1]VCOGs!M$9</f>
        <v>71210475.909090906</v>
      </c>
      <c r="AD17" s="185">
        <f>[1]VCOGs!N$8+[1]VCOGs!N$9</f>
        <v>69670475.909090906</v>
      </c>
      <c r="AE17" s="185">
        <f>[1]VCOGs!O$8+[1]VCOGs!O$9</f>
        <v>69785475.909090906</v>
      </c>
      <c r="AF17" s="184"/>
      <c r="AG17" s="184"/>
      <c r="AH17" s="184"/>
      <c r="AI17" s="184"/>
      <c r="AJ17" s="184"/>
      <c r="AK17" s="184"/>
      <c r="AL17" s="186"/>
      <c r="AM17" s="471"/>
      <c r="AN17" s="481"/>
      <c r="AO17" s="473"/>
    </row>
    <row r="18" spans="2:41" s="192" customFormat="1" outlineLevel="1">
      <c r="B18" s="187"/>
      <c r="C18" s="143" t="str">
        <f>IF(B1="EN", "Adjusting VCOGs by FOH for consolidating", "Điều chỉnh lãi chưa thực hiện HTK khi Hợp nhất")</f>
        <v>Điều chỉnh lãi chưa thực hiện HTK khi Hợp nhất</v>
      </c>
      <c r="D18" s="143"/>
      <c r="E18" s="143"/>
      <c r="F18" s="188"/>
      <c r="G18" s="189"/>
      <c r="H18" s="189"/>
      <c r="I18" s="189"/>
      <c r="J18" s="189"/>
      <c r="K18" s="190"/>
      <c r="L18" s="190"/>
      <c r="M18" s="190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0"/>
      <c r="AG18" s="190"/>
      <c r="AH18" s="190"/>
      <c r="AI18" s="190"/>
      <c r="AJ18" s="190"/>
      <c r="AK18" s="190"/>
      <c r="AL18" s="144"/>
      <c r="AM18" s="471"/>
      <c r="AN18" s="482"/>
      <c r="AO18" s="473"/>
    </row>
    <row r="19" spans="2:41" s="170" customFormat="1" outlineLevel="1">
      <c r="B19" s="163"/>
      <c r="C19" s="164" t="str">
        <f>IF(B1="EN", "Variable COGs on Net Sales (%)", "Biến phí hàng bán / Doanh thu (%)")</f>
        <v>Biến phí hàng bán / Doanh thu (%)</v>
      </c>
      <c r="E19" s="165"/>
      <c r="F19" s="166"/>
      <c r="G19" s="167"/>
      <c r="H19" s="167"/>
      <c r="I19" s="167"/>
      <c r="J19" s="167"/>
      <c r="K19" s="168"/>
      <c r="L19" s="168"/>
      <c r="M19" s="168"/>
      <c r="N19" s="168">
        <f t="shared" ref="N19:O19" si="8">IFERROR(N12/N7,)</f>
        <v>1.0163642555074492</v>
      </c>
      <c r="O19" s="168">
        <f t="shared" si="8"/>
        <v>0.89583584260738691</v>
      </c>
      <c r="P19" s="168">
        <f>IFERROR(P12/P7,)</f>
        <v>0.88203664554423833</v>
      </c>
      <c r="Q19" s="168">
        <f>IFERROR(Q12/Q7,)</f>
        <v>0.88597984870650726</v>
      </c>
      <c r="R19" s="168">
        <f>IFERROR(R12/R7,)</f>
        <v>0.86761315303057751</v>
      </c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>
        <v>5479169101190.8398</v>
      </c>
      <c r="AH19" s="168">
        <v>5453581816484.7803</v>
      </c>
      <c r="AI19" s="168">
        <v>5414703602114.1699</v>
      </c>
      <c r="AJ19" s="168">
        <v>5376216108461.79</v>
      </c>
      <c r="AK19" s="168">
        <v>5334264934390.25</v>
      </c>
      <c r="AL19" s="169"/>
      <c r="AM19" s="196"/>
      <c r="AN19" s="310"/>
      <c r="AO19" s="473"/>
    </row>
    <row r="20" spans="2:41" s="170" customFormat="1" ht="17" thickBot="1">
      <c r="B20" s="132" t="str">
        <f>IF(B1="EN","NET CONTRIBUTION","LÃI BIẾN PHÍ")</f>
        <v>LÃI BIẾN PHÍ</v>
      </c>
      <c r="C20" s="133"/>
      <c r="D20" s="133"/>
      <c r="E20" s="133"/>
      <c r="F20" s="134"/>
      <c r="G20" s="135"/>
      <c r="H20" s="135"/>
      <c r="I20" s="135"/>
      <c r="J20" s="135"/>
      <c r="K20" s="136"/>
      <c r="L20" s="136"/>
      <c r="M20" s="136"/>
      <c r="N20" s="137">
        <f>N7-N10-N12</f>
        <v>-2519026766</v>
      </c>
      <c r="O20" s="137">
        <f>O7-O10-O12</f>
        <v>11110783384.868164</v>
      </c>
      <c r="P20" s="137">
        <f>P7-P10-P12</f>
        <v>19606937349.25</v>
      </c>
      <c r="Q20" s="137">
        <f>Q7-Q10-Q12</f>
        <v>16703360889.756927</v>
      </c>
      <c r="R20" s="137">
        <f>R7-R10-R12</f>
        <v>20083580037.944916</v>
      </c>
      <c r="S20" s="138"/>
      <c r="T20" s="137">
        <f t="shared" ref="T20:AE20" si="9">T7-T10-T12</f>
        <v>1132816674.0931988</v>
      </c>
      <c r="U20" s="137">
        <f t="shared" si="9"/>
        <v>898919286.05966759</v>
      </c>
      <c r="V20" s="137">
        <f t="shared" si="9"/>
        <v>1249906539.5138111</v>
      </c>
      <c r="W20" s="137">
        <f t="shared" si="9"/>
        <v>1748829343.4776802</v>
      </c>
      <c r="X20" s="137">
        <f t="shared" si="9"/>
        <v>1737880190.2853718</v>
      </c>
      <c r="Y20" s="137">
        <f t="shared" si="9"/>
        <v>1732781010.4776802</v>
      </c>
      <c r="Z20" s="137">
        <f t="shared" si="9"/>
        <v>1707870831.4392185</v>
      </c>
      <c r="AA20" s="137">
        <f t="shared" si="9"/>
        <v>1707755831.4392185</v>
      </c>
      <c r="AB20" s="137">
        <f t="shared" si="9"/>
        <v>1772692933.4007568</v>
      </c>
      <c r="AC20" s="137">
        <f t="shared" si="9"/>
        <v>2127220620.5476341</v>
      </c>
      <c r="AD20" s="137">
        <f t="shared" si="9"/>
        <v>2128587644.6245575</v>
      </c>
      <c r="AE20" s="137">
        <f t="shared" si="9"/>
        <v>2138319132.5860958</v>
      </c>
      <c r="AF20" s="121"/>
      <c r="AG20" s="136">
        <f t="shared" ref="AG20:AK20" si="10">AG7-AG10-AG12</f>
        <v>256108702619635</v>
      </c>
      <c r="AH20" s="136">
        <f t="shared" si="10"/>
        <v>376664528503711</v>
      </c>
      <c r="AI20" s="136">
        <f t="shared" si="10"/>
        <v>42454648488276</v>
      </c>
      <c r="AJ20" s="136">
        <f t="shared" si="10"/>
        <v>41774956633314</v>
      </c>
      <c r="AK20" s="136">
        <f t="shared" si="10"/>
        <v>40113200450535</v>
      </c>
      <c r="AL20" s="193"/>
      <c r="AM20" s="483"/>
      <c r="AN20" s="476"/>
      <c r="AO20" s="473"/>
    </row>
    <row r="21" spans="2:41" s="170" customFormat="1" ht="17" collapsed="1" thickTop="1">
      <c r="B21" s="163"/>
      <c r="C21" s="164" t="str">
        <f>IF(B1="EN", "NET CONTRIBUTION Margin (%)", "Tỷ lệ Lãi biến phí (%)")</f>
        <v>Tỷ lệ Lãi biến phí (%)</v>
      </c>
      <c r="E21" s="165"/>
      <c r="F21" s="166"/>
      <c r="G21" s="167"/>
      <c r="H21" s="167"/>
      <c r="I21" s="167"/>
      <c r="J21" s="167"/>
      <c r="K21" s="168"/>
      <c r="L21" s="168"/>
      <c r="M21" s="168"/>
      <c r="N21" s="168">
        <f t="shared" ref="N21:O21" si="11">IFERROR(N20/N7,)</f>
        <v>-3.662467874923328E-2</v>
      </c>
      <c r="O21" s="168">
        <f t="shared" si="11"/>
        <v>8.9102832993643397E-2</v>
      </c>
      <c r="P21" s="168">
        <f>IFERROR(P20/P7,)</f>
        <v>0.102463012948393</v>
      </c>
      <c r="Q21" s="168">
        <f>IFERROR(Q20/Q7,)</f>
        <v>9.6036240274747303E-2</v>
      </c>
      <c r="R21" s="168">
        <f>IFERROR(R20/R7,)</f>
        <v>0.11088840014944029</v>
      </c>
      <c r="S21" s="168"/>
      <c r="T21" s="168">
        <f t="shared" ref="T21:AE21" si="12">IFERROR(T20/T7,)</f>
        <v>9.8375610458394352E-2</v>
      </c>
      <c r="U21" s="168">
        <f t="shared" si="12"/>
        <v>0.10036746959678913</v>
      </c>
      <c r="V21" s="168">
        <f t="shared" si="12"/>
        <v>9.7689493355254758E-2</v>
      </c>
      <c r="W21" s="168">
        <f t="shared" si="12"/>
        <v>0.10947759682788728</v>
      </c>
      <c r="X21" s="168">
        <f t="shared" si="12"/>
        <v>0.10879217432896544</v>
      </c>
      <c r="Y21" s="168">
        <f t="shared" si="12"/>
        <v>0.10847296310734375</v>
      </c>
      <c r="Z21" s="168">
        <f t="shared" si="12"/>
        <v>0.10691357336594101</v>
      </c>
      <c r="AA21" s="168">
        <f t="shared" si="12"/>
        <v>0.10690637430807857</v>
      </c>
      <c r="AB21" s="168">
        <f t="shared" si="12"/>
        <v>0.110971469564074</v>
      </c>
      <c r="AC21" s="168">
        <f t="shared" si="12"/>
        <v>0.12271675016910796</v>
      </c>
      <c r="AD21" s="168">
        <f t="shared" si="12"/>
        <v>0.12279561211248258</v>
      </c>
      <c r="AE21" s="168">
        <f t="shared" si="12"/>
        <v>0.12335700972465989</v>
      </c>
      <c r="AF21" s="168"/>
      <c r="AG21" s="168">
        <v>4136638706988.1602</v>
      </c>
      <c r="AH21" s="168">
        <v>4155215351491.29</v>
      </c>
      <c r="AI21" s="168">
        <v>4182956406657.2598</v>
      </c>
      <c r="AJ21" s="168">
        <v>4211209717853.4502</v>
      </c>
      <c r="AK21" s="168">
        <v>4242491181905.98</v>
      </c>
      <c r="AL21" s="169"/>
      <c r="AM21" s="483"/>
      <c r="AN21" s="310"/>
      <c r="AO21" s="473"/>
    </row>
    <row r="22" spans="2:41" s="196" customFormat="1" hidden="1" outlineLevel="1">
      <c r="B22" s="195"/>
      <c r="C22" s="147" t="str">
        <f>IF(B1="EN", "Net Contribution per Ton (m VND/Ton)", "Lãi biến phí / Tấn (Triệu đồng/Tấn)")</f>
        <v>Lãi biến phí / Tấn (Triệu đồng/Tấn)</v>
      </c>
      <c r="E22" s="197"/>
      <c r="F22" s="149"/>
      <c r="G22" s="198"/>
      <c r="H22" s="198"/>
      <c r="I22" s="198"/>
      <c r="J22" s="198"/>
      <c r="K22" s="151"/>
      <c r="L22" s="151"/>
      <c r="M22" s="151"/>
      <c r="N22" s="151">
        <f t="shared" ref="N22:O22" si="13">IFERROR(N20/N5,)</f>
        <v>-527.6925711248814</v>
      </c>
      <c r="O22" s="151">
        <f t="shared" si="13"/>
        <v>1601.0348764484727</v>
      </c>
      <c r="P22" s="151">
        <f>IFERROR(P20/P5,)</f>
        <v>2073.549200635081</v>
      </c>
      <c r="Q22" s="151">
        <f>IFERROR(Q20/Q5,)</f>
        <v>1705.0295181011597</v>
      </c>
      <c r="R22" s="151">
        <f>IFERROR(R20/R5,)</f>
        <v>1716.4299935017114</v>
      </c>
      <c r="S22" s="151"/>
      <c r="T22" s="151">
        <f t="shared" ref="T22:AE22" si="14">IFERROR(T20/T5,)</f>
        <v>1489.1277059294734</v>
      </c>
      <c r="U22" s="151">
        <f t="shared" si="14"/>
        <v>1519.2788034979806</v>
      </c>
      <c r="V22" s="151">
        <f t="shared" si="14"/>
        <v>1478.7418391171975</v>
      </c>
      <c r="W22" s="151">
        <f t="shared" si="14"/>
        <v>1657.2654285502774</v>
      </c>
      <c r="X22" s="151">
        <f t="shared" si="14"/>
        <v>1646.8895430328091</v>
      </c>
      <c r="Y22" s="151">
        <f t="shared" si="14"/>
        <v>1642.0573423147882</v>
      </c>
      <c r="Z22" s="151">
        <f t="shared" si="14"/>
        <v>1618.451392029584</v>
      </c>
      <c r="AA22" s="151">
        <f t="shared" si="14"/>
        <v>1618.3424131146348</v>
      </c>
      <c r="AB22" s="151">
        <f t="shared" si="14"/>
        <v>1679.8795862598975</v>
      </c>
      <c r="AC22" s="151">
        <f t="shared" si="14"/>
        <v>2012.10411965399</v>
      </c>
      <c r="AD22" s="151">
        <f t="shared" si="14"/>
        <v>2013.397165965348</v>
      </c>
      <c r="AE22" s="151">
        <f t="shared" si="14"/>
        <v>2022.6020255030171</v>
      </c>
      <c r="AF22" s="151"/>
      <c r="AG22" s="151">
        <v>252819003351375</v>
      </c>
      <c r="AH22" s="151">
        <v>255238060128018</v>
      </c>
      <c r="AI22" s="151">
        <v>25921619754728</v>
      </c>
      <c r="AJ22" s="151">
        <v>263377827472713</v>
      </c>
      <c r="AK22" s="151">
        <v>267951413481803</v>
      </c>
      <c r="AL22" s="199"/>
      <c r="AN22" s="484"/>
      <c r="AO22" s="473"/>
    </row>
    <row r="23" spans="2:41" collapsed="1">
      <c r="B23" s="200" t="str">
        <f>IF(B1="en","FACTORY OVERHEAD EXPENSES (FOH)","CHI PHÍ SẢN XUẤT")</f>
        <v>CHI PHÍ SẢN XUẤT</v>
      </c>
      <c r="C23" s="201"/>
      <c r="D23" s="202"/>
      <c r="E23" s="202"/>
      <c r="F23" s="203"/>
      <c r="G23" s="204"/>
      <c r="H23" s="204"/>
      <c r="I23" s="204"/>
      <c r="J23" s="204"/>
      <c r="K23" s="204"/>
      <c r="L23" s="204"/>
      <c r="M23" s="204"/>
      <c r="N23" s="205">
        <f>N24+N26</f>
        <v>9826854913</v>
      </c>
      <c r="O23" s="205">
        <f t="shared" ref="O23:AE23" si="15">O24+O26</f>
        <v>12518909177</v>
      </c>
      <c r="P23" s="205">
        <f>P24+P26</f>
        <v>14649354182.58889</v>
      </c>
      <c r="Q23" s="205">
        <f>Q24+Q26</f>
        <v>12368954972</v>
      </c>
      <c r="R23" s="205">
        <f>R24+R26</f>
        <v>12401077916.234482</v>
      </c>
      <c r="S23" s="206"/>
      <c r="T23" s="205">
        <f t="shared" si="15"/>
        <v>983270292.07222223</v>
      </c>
      <c r="U23" s="205">
        <f t="shared" si="15"/>
        <v>970092470.73888874</v>
      </c>
      <c r="V23" s="205">
        <f t="shared" si="15"/>
        <v>946102015.73888874</v>
      </c>
      <c r="W23" s="205">
        <f t="shared" si="15"/>
        <v>985198821.96111107</v>
      </c>
      <c r="X23" s="205">
        <f t="shared" si="15"/>
        <v>995169981.25229883</v>
      </c>
      <c r="Y23" s="205">
        <f t="shared" si="15"/>
        <v>1029384282.2101531</v>
      </c>
      <c r="Z23" s="205">
        <f t="shared" si="15"/>
        <v>1031294034.3212643</v>
      </c>
      <c r="AA23" s="205">
        <f t="shared" si="15"/>
        <v>1038430056.6545978</v>
      </c>
      <c r="AB23" s="205">
        <f t="shared" si="15"/>
        <v>1092620660.4323754</v>
      </c>
      <c r="AC23" s="205">
        <f t="shared" si="15"/>
        <v>1084198349.6545978</v>
      </c>
      <c r="AD23" s="205">
        <f t="shared" si="15"/>
        <v>1124733981.6545978</v>
      </c>
      <c r="AE23" s="205">
        <f t="shared" si="15"/>
        <v>1126911084.5434866</v>
      </c>
      <c r="AF23" s="161"/>
      <c r="AG23" s="204">
        <v>691882003128585</v>
      </c>
      <c r="AH23" s="204">
        <v>732955110277672</v>
      </c>
      <c r="AI23" s="204">
        <v>78352168015947</v>
      </c>
      <c r="AJ23" s="204">
        <v>836007510211843</v>
      </c>
      <c r="AK23" s="204">
        <v>886281432069577</v>
      </c>
      <c r="AL23" s="207"/>
      <c r="AM23" s="483"/>
      <c r="AN23" s="485"/>
      <c r="AO23" s="473"/>
    </row>
    <row r="24" spans="2:41" s="214" customFormat="1" outlineLevel="1">
      <c r="B24" s="208"/>
      <c r="C24" s="128"/>
      <c r="D24" s="209" t="str">
        <f>IF(B1="en","Salary &amp; Welfare Expenses (FOH)","Chi phí lương sản xuất")</f>
        <v>Chi phí lương sản xuất</v>
      </c>
      <c r="E24" s="210"/>
      <c r="F24" s="211"/>
      <c r="G24" s="182"/>
      <c r="H24" s="182"/>
      <c r="I24" s="182"/>
      <c r="J24" s="182"/>
      <c r="K24" s="178"/>
      <c r="L24" s="178"/>
      <c r="M24" s="178"/>
      <c r="N24" s="177">
        <v>3728381096</v>
      </c>
      <c r="O24" s="177">
        <f>[1]FOH!H38+[1]FOH!H39+[1]FOH!H40+[1]FOH!H44+[1]FOH!H45</f>
        <v>3602410139</v>
      </c>
      <c r="P24" s="177">
        <f>[1]FOH!I38+[1]FOH!I39+[1]FOH!I40+[1]FOH!I44+[1]FOH!I45</f>
        <v>4076992548</v>
      </c>
      <c r="Q24" s="177">
        <f>[1]FOH!J38+[1]FOH!J39+[1]FOH!J40+[1]FOH!J44+[1]FOH!J45</f>
        <v>4060372946</v>
      </c>
      <c r="R24" s="177">
        <f>[1]FOH!K38+[1]FOH!K39+[1]FOH!K40+[1]FOH!K44+[1]FOH!K45-AM24</f>
        <v>3568623100</v>
      </c>
      <c r="S24" s="177"/>
      <c r="T24" s="177">
        <f>[1]FOH!T46</f>
        <v>296914317.33333331</v>
      </c>
      <c r="U24" s="177">
        <f>[1]FOH!U46</f>
        <v>294603662.33333331</v>
      </c>
      <c r="V24" s="177">
        <f>[1]FOH!V46</f>
        <v>282254749.33333331</v>
      </c>
      <c r="W24" s="177">
        <f>[1]FOH!W46</f>
        <v>305060166.33333331</v>
      </c>
      <c r="X24" s="177">
        <f>[1]FOH!X46</f>
        <v>289775491.33333331</v>
      </c>
      <c r="Y24" s="177">
        <f>[1]FOH!Y46</f>
        <v>305322666.33333331</v>
      </c>
      <c r="Z24" s="177">
        <f>[1]FOH!Z46</f>
        <v>298077765.33333331</v>
      </c>
      <c r="AA24" s="177">
        <f>[1]FOH!AA46</f>
        <v>298077765.33333331</v>
      </c>
      <c r="AB24" s="177">
        <f>[1]FOH!AB46</f>
        <v>304968925.33333331</v>
      </c>
      <c r="AC24" s="177">
        <f>[1]FOH!AC46</f>
        <v>290167159.33333331</v>
      </c>
      <c r="AD24" s="177">
        <f>[1]FOH!AD46</f>
        <v>305322666.33333331</v>
      </c>
      <c r="AE24" s="177">
        <f>[1]FOH!AE46</f>
        <v>298077765.33333331</v>
      </c>
      <c r="AF24" s="178"/>
      <c r="AG24" s="178">
        <v>629714478511346</v>
      </c>
      <c r="AH24" s="178">
        <v>684173333613842</v>
      </c>
      <c r="AI24" s="178">
        <v>769503076782236</v>
      </c>
      <c r="AJ24" s="178">
        <v>820815919116905</v>
      </c>
      <c r="AK24" s="178">
        <v>917070975061887</v>
      </c>
      <c r="AL24" s="212"/>
      <c r="AM24" s="486"/>
      <c r="AN24" s="480"/>
      <c r="AO24" s="473"/>
    </row>
    <row r="25" spans="2:41" outlineLevel="1">
      <c r="B25" s="215"/>
      <c r="C25" s="216"/>
      <c r="D25" s="156"/>
      <c r="E25" s="217" t="str">
        <f>IF(B1="EN", "Growth (%)", "Tăng trưởng (%)")</f>
        <v>Tăng trưởng (%)</v>
      </c>
      <c r="F25" s="218"/>
      <c r="G25" s="219"/>
      <c r="H25" s="219"/>
      <c r="I25" s="219"/>
      <c r="J25" s="219"/>
      <c r="K25" s="220"/>
      <c r="L25" s="220"/>
      <c r="M25" s="220"/>
      <c r="N25" s="220">
        <f>IFERROR(N24/M24-1,)</f>
        <v>0</v>
      </c>
      <c r="O25" s="220">
        <f t="shared" ref="O25" si="16">IFERROR(O24/N24-1,)</f>
        <v>-3.378703886658696E-2</v>
      </c>
      <c r="P25" s="220">
        <f>IFERROR(P24/O24-1,)</f>
        <v>0.13174024907995086</v>
      </c>
      <c r="Q25" s="220">
        <f>IFERROR(Q24/O24-1,)</f>
        <v>0.12712678160713997</v>
      </c>
      <c r="R25" s="220">
        <f>IFERROR(R24/Q24-1,)</f>
        <v>-0.12110952677005649</v>
      </c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1">
        <v>1331542859044.8301</v>
      </c>
      <c r="AH25" s="221">
        <v>8648182146174.7305</v>
      </c>
      <c r="AI25" s="221">
        <v>1247194811257.51</v>
      </c>
      <c r="AJ25" s="221">
        <v>66683089233.690002</v>
      </c>
      <c r="AK25" s="221">
        <v>1172675306401.72</v>
      </c>
      <c r="AL25" s="207"/>
      <c r="AM25" s="196"/>
      <c r="AN25" s="487"/>
      <c r="AO25" s="473"/>
    </row>
    <row r="26" spans="2:41" s="214" customFormat="1" outlineLevel="1">
      <c r="B26" s="208"/>
      <c r="C26" s="128"/>
      <c r="D26" s="209" t="str">
        <f>IF(B1="EN","Operating Expenses (FOH)","Chi phí hoạt động sản xuất")</f>
        <v>Chi phí hoạt động sản xuất</v>
      </c>
      <c r="E26" s="210"/>
      <c r="F26" s="211"/>
      <c r="G26" s="182"/>
      <c r="H26" s="182"/>
      <c r="I26" s="182"/>
      <c r="J26" s="182"/>
      <c r="K26" s="178"/>
      <c r="L26" s="178"/>
      <c r="M26" s="178"/>
      <c r="N26" s="177">
        <v>6098473817</v>
      </c>
      <c r="O26" s="177">
        <f>[1]FOH!H37</f>
        <v>8916499038</v>
      </c>
      <c r="P26" s="206">
        <f>[1]FOH!I37</f>
        <v>10572361634.58889</v>
      </c>
      <c r="Q26" s="177">
        <f>[1]FOH!J37</f>
        <v>8308582026</v>
      </c>
      <c r="R26" s="177">
        <f>[1]FOH!K37-AM26</f>
        <v>8832454816.2344818</v>
      </c>
      <c r="S26" s="177"/>
      <c r="T26" s="177">
        <f>[1]FOH!T37</f>
        <v>686355974.73888886</v>
      </c>
      <c r="U26" s="177">
        <f>[1]FOH!U37</f>
        <v>675488808.40555549</v>
      </c>
      <c r="V26" s="177">
        <f>[1]FOH!V37</f>
        <v>663847266.40555549</v>
      </c>
      <c r="W26" s="177">
        <f>[1]FOH!W37</f>
        <v>680138655.62777781</v>
      </c>
      <c r="X26" s="177">
        <f>[1]FOH!X37</f>
        <v>705394489.91896558</v>
      </c>
      <c r="Y26" s="177">
        <f>[1]FOH!Y37</f>
        <v>724061615.87681985</v>
      </c>
      <c r="Z26" s="177">
        <f>[1]FOH!Z37</f>
        <v>733216268.98793101</v>
      </c>
      <c r="AA26" s="177">
        <f>[1]FOH!AA37</f>
        <v>740352291.32126439</v>
      </c>
      <c r="AB26" s="177">
        <f>[1]FOH!AB37</f>
        <v>787651735.09904218</v>
      </c>
      <c r="AC26" s="177">
        <f>[1]FOH!AC37</f>
        <v>794031190.32126439</v>
      </c>
      <c r="AD26" s="177">
        <f>[1]FOH!AD37</f>
        <v>819411315.32126451</v>
      </c>
      <c r="AE26" s="177">
        <f>[1]FOH!AE37</f>
        <v>828833319.21015334</v>
      </c>
      <c r="AF26" s="178"/>
      <c r="AG26" s="178">
        <v>974947260130163</v>
      </c>
      <c r="AH26" s="178">
        <v>10647673657783</v>
      </c>
      <c r="AI26" s="178">
        <v>117342851724658</v>
      </c>
      <c r="AJ26" s="178">
        <v>129075574028554</v>
      </c>
      <c r="AK26" s="178">
        <v>141069719473753</v>
      </c>
      <c r="AL26" s="212"/>
      <c r="AM26" s="488"/>
      <c r="AN26" s="480"/>
      <c r="AO26" s="473"/>
    </row>
    <row r="27" spans="2:41" outlineLevel="1">
      <c r="B27" s="215"/>
      <c r="C27" s="216"/>
      <c r="D27" s="156"/>
      <c r="E27" s="217" t="str">
        <f>IF(B1="EN", "Growth (%)", "Tăng trưởng (%)")</f>
        <v>Tăng trưởng (%)</v>
      </c>
      <c r="F27" s="218"/>
      <c r="G27" s="219"/>
      <c r="H27" s="219"/>
      <c r="I27" s="219"/>
      <c r="J27" s="219"/>
      <c r="K27" s="220"/>
      <c r="L27" s="220"/>
      <c r="M27" s="220"/>
      <c r="N27" s="220">
        <f>IFERROR(N26/M26-1,)</f>
        <v>0</v>
      </c>
      <c r="O27" s="220">
        <f t="shared" ref="O27" si="17">IFERROR(O26/N26-1,)</f>
        <v>0.46208695905925201</v>
      </c>
      <c r="P27" s="220">
        <f>IFERROR(P26/O26-1,)</f>
        <v>0.18570770764758637</v>
      </c>
      <c r="Q27" s="220">
        <f>IFERROR(Q26/O26-1,)</f>
        <v>-6.8178890549889792E-2</v>
      </c>
      <c r="R27" s="220">
        <f>IFERROR(R26/Q26-1,)</f>
        <v>6.3052009187022584E-2</v>
      </c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1">
        <v>1080898044455.17</v>
      </c>
      <c r="AH27" s="221">
        <v>9212816869308.9492</v>
      </c>
      <c r="AI27" s="221">
        <v>1020515419242.3101</v>
      </c>
      <c r="AJ27" s="221">
        <v>9998668117787.5605</v>
      </c>
      <c r="AK27" s="221">
        <v>929234329226.83997</v>
      </c>
      <c r="AL27" s="207"/>
      <c r="AM27" s="196"/>
      <c r="AN27" s="487"/>
      <c r="AO27" s="473"/>
    </row>
    <row r="28" spans="2:41" s="227" customFormat="1" outlineLevel="1">
      <c r="B28" s="223"/>
      <c r="C28" s="164" t="str">
        <f>IF(B1="EN", "FOH Expenses on Net Sales (%)", "Chi phí Sản xuất / Doanh thu (%)")</f>
        <v>Chi phí Sản xuất / Doanh thu (%)</v>
      </c>
      <c r="D28" s="224"/>
      <c r="E28" s="224"/>
      <c r="F28" s="225"/>
      <c r="G28" s="167"/>
      <c r="H28" s="167"/>
      <c r="I28" s="167"/>
      <c r="J28" s="167"/>
      <c r="K28" s="168"/>
      <c r="L28" s="168"/>
      <c r="M28" s="168"/>
      <c r="N28" s="168">
        <f t="shared" ref="N28:O28" si="18">IFERROR(N23/N7,)</f>
        <v>0.14287478369094461</v>
      </c>
      <c r="O28" s="168">
        <f t="shared" si="18"/>
        <v>0.10039528582475882</v>
      </c>
      <c r="P28" s="168">
        <f>IFERROR(P23/P7,)</f>
        <v>7.6555401823305017E-2</v>
      </c>
      <c r="Q28" s="168">
        <f>IFERROR(Q23/Q7,)</f>
        <v>7.1115504207716881E-2</v>
      </c>
      <c r="R28" s="168">
        <f>IFERROR(R23/R7,)</f>
        <v>6.8470645555308546E-2</v>
      </c>
      <c r="S28" s="168"/>
      <c r="T28" s="168">
        <f>T23/T7</f>
        <v>8.5388763637010562E-2</v>
      </c>
      <c r="U28" s="168">
        <f t="shared" ref="U28:AE28" si="19">U23/U7</f>
        <v>0.10831420359190805</v>
      </c>
      <c r="V28" s="168">
        <f t="shared" si="19"/>
        <v>7.3944910005726103E-2</v>
      </c>
      <c r="W28" s="168">
        <f t="shared" si="19"/>
        <v>6.1673941959074052E-2</v>
      </c>
      <c r="X28" s="168">
        <f t="shared" si="19"/>
        <v>6.2298141547706597E-2</v>
      </c>
      <c r="Y28" s="168">
        <f t="shared" si="19"/>
        <v>6.443997400264663E-2</v>
      </c>
      <c r="Z28" s="168">
        <f t="shared" si="19"/>
        <v>6.4559525445696916E-2</v>
      </c>
      <c r="AA28" s="168">
        <f t="shared" si="19"/>
        <v>6.5006244034264249E-2</v>
      </c>
      <c r="AB28" s="168">
        <f t="shared" si="19"/>
        <v>6.8398603096839095E-2</v>
      </c>
      <c r="AC28" s="168">
        <f t="shared" si="19"/>
        <v>6.2546073840742511E-2</v>
      </c>
      <c r="AD28" s="168">
        <f t="shared" si="19"/>
        <v>6.4884524764469584E-2</v>
      </c>
      <c r="AE28" s="168">
        <f t="shared" si="19"/>
        <v>6.5010119161556357E-2</v>
      </c>
      <c r="AF28" s="168"/>
      <c r="AG28" s="168">
        <f t="shared" ref="AG28:AK28" si="20">AG23/AG7</f>
        <v>1.1175199614598246</v>
      </c>
      <c r="AH28" s="168">
        <f t="shared" si="20"/>
        <v>1.0785424642648207</v>
      </c>
      <c r="AI28" s="168">
        <f t="shared" si="20"/>
        <v>0.1037007946478903</v>
      </c>
      <c r="AJ28" s="168">
        <f t="shared" si="20"/>
        <v>0.99669039845615282</v>
      </c>
      <c r="AK28" s="168">
        <f t="shared" si="20"/>
        <v>0.95734670297064028</v>
      </c>
      <c r="AL28" s="226"/>
      <c r="AM28" s="489"/>
      <c r="AN28" s="310"/>
      <c r="AO28" s="473"/>
    </row>
    <row r="29" spans="2:41" s="230" customFormat="1" outlineLevel="1">
      <c r="B29" s="228"/>
      <c r="C29" s="148" t="str">
        <f>IF(B1="EN", "FOH Expenses per Ton (m VND/Ton)", "Chi phí Sản xuất / Tấn (Triệu đồng/Tấn)")</f>
        <v>Chi phí Sản xuất / Tấn (Triệu đồng/Tấn)</v>
      </c>
      <c r="D29" s="210"/>
      <c r="E29" s="148"/>
      <c r="F29" s="149"/>
      <c r="G29" s="229"/>
      <c r="H29" s="229"/>
      <c r="I29" s="229"/>
      <c r="J29" s="229"/>
      <c r="K29" s="151"/>
      <c r="L29" s="151"/>
      <c r="M29" s="151"/>
      <c r="N29" s="151">
        <f t="shared" ref="N29:O29" si="21">IFERROR(N23/N5,)</f>
        <v>2058.5562666911901</v>
      </c>
      <c r="O29" s="151">
        <f t="shared" si="21"/>
        <v>1803.942126597914</v>
      </c>
      <c r="P29" s="151">
        <f>IFERROR(P23/P5,)</f>
        <v>1549.255557563625</v>
      </c>
      <c r="Q29" s="151">
        <f>IFERROR(Q23/Q5,)</f>
        <v>1262.5862228874469</v>
      </c>
      <c r="R29" s="151">
        <f>IFERROR(R23/R5,)</f>
        <v>1059.8499892429861</v>
      </c>
      <c r="S29" s="151"/>
      <c r="T29" s="151">
        <f>T23/T5</f>
        <v>1292.5436814515392</v>
      </c>
      <c r="U29" s="151">
        <f t="shared" ref="U29:AE29" si="22">U23/U5</f>
        <v>1639.5698157584632</v>
      </c>
      <c r="V29" s="151">
        <f t="shared" si="22"/>
        <v>1119.316197265766</v>
      </c>
      <c r="W29" s="151">
        <f t="shared" si="22"/>
        <v>933.61650979494061</v>
      </c>
      <c r="X29" s="151">
        <f t="shared" si="22"/>
        <v>943.06560649353128</v>
      </c>
      <c r="Y29" s="151">
        <f t="shared" si="22"/>
        <v>975.48854035551108</v>
      </c>
      <c r="Z29" s="151">
        <f t="shared" si="22"/>
        <v>977.29830307629879</v>
      </c>
      <c r="AA29" s="151">
        <f t="shared" si="22"/>
        <v>984.06070282359417</v>
      </c>
      <c r="AB29" s="151">
        <f t="shared" si="22"/>
        <v>1035.4140349986974</v>
      </c>
      <c r="AC29" s="151">
        <f t="shared" si="22"/>
        <v>1025.5259585159815</v>
      </c>
      <c r="AD29" s="151">
        <f t="shared" si="22"/>
        <v>1063.8679674980967</v>
      </c>
      <c r="AE29" s="151">
        <f t="shared" si="22"/>
        <v>1065.9272544612495</v>
      </c>
      <c r="AF29" s="151"/>
      <c r="AG29" s="151">
        <f t="shared" ref="AG29:AK29" si="23">AG23/AG5</f>
        <v>68.299482476981055</v>
      </c>
      <c r="AH29" s="151">
        <f t="shared" si="23"/>
        <v>6.6250498002671696</v>
      </c>
      <c r="AI29" s="151">
        <f t="shared" si="23"/>
        <v>0.64262983062591406</v>
      </c>
      <c r="AJ29" s="151">
        <f t="shared" si="23"/>
        <v>6.2335093570714024</v>
      </c>
      <c r="AK29" s="151">
        <f t="shared" si="23"/>
        <v>6.0465040763592404</v>
      </c>
      <c r="AL29" s="212"/>
      <c r="AM29" s="489"/>
      <c r="AN29" s="484"/>
      <c r="AO29" s="473"/>
    </row>
    <row r="30" spans="2:41" outlineLevel="1">
      <c r="B30" s="231"/>
      <c r="C30" s="232"/>
      <c r="D30" s="181" t="str">
        <f>IF(B1="EN", "Depreciation &amp; Amortization (FOH)", "Chi phí Khấu hao (Sản xuất)")</f>
        <v>Chi phí Khấu hao (Sản xuất)</v>
      </c>
      <c r="E30" s="156"/>
      <c r="F30" s="157"/>
      <c r="G30" s="233"/>
      <c r="H30" s="233"/>
      <c r="I30" s="233"/>
      <c r="J30" s="233"/>
      <c r="K30" s="234"/>
      <c r="L30" s="234"/>
      <c r="M30" s="234"/>
      <c r="N30" s="177">
        <f>[1]Depreciation!H37</f>
        <v>3656836640</v>
      </c>
      <c r="O30" s="177">
        <f>[1]Depreciation!I37</f>
        <v>6479181081</v>
      </c>
      <c r="P30" s="177">
        <f>-[1]Depreciation!J37</f>
        <v>7655288040.666667</v>
      </c>
      <c r="Q30" s="177">
        <f>-[1]Depreciation!K37</f>
        <v>7149747122.666667</v>
      </c>
      <c r="R30" s="177">
        <f>-[1]Depreciation!L37</f>
        <v>4556262320.4870672</v>
      </c>
      <c r="S30" s="234"/>
      <c r="T30" s="185">
        <f>-[1]Depreciation!N37</f>
        <v>377484612.26281118</v>
      </c>
      <c r="U30" s="185">
        <f>-[1]Depreciation!O37</f>
        <v>377484612.26281118</v>
      </c>
      <c r="V30" s="185">
        <f>-[1]Depreciation!P37</f>
        <v>374920976.26281118</v>
      </c>
      <c r="W30" s="185">
        <f>-[1]Depreciation!Q37</f>
        <v>374920976.26281118</v>
      </c>
      <c r="X30" s="185">
        <f>-[1]Depreciation!R37</f>
        <v>374920976.26281118</v>
      </c>
      <c r="Y30" s="185">
        <f>-[1]Depreciation!S37</f>
        <v>374920976.26281118</v>
      </c>
      <c r="Z30" s="185">
        <f>-[1]Depreciation!T37</f>
        <v>374920976.26281118</v>
      </c>
      <c r="AA30" s="185">
        <f>-[1]Depreciation!U37</f>
        <v>374920976.26281118</v>
      </c>
      <c r="AB30" s="185">
        <f>-[1]Depreciation!V37</f>
        <v>374920976.26281118</v>
      </c>
      <c r="AC30" s="185">
        <f>-[1]Depreciation!W37</f>
        <v>392282087.37392229</v>
      </c>
      <c r="AD30" s="185">
        <f>-[1]Depreciation!X37</f>
        <v>392282087.37392229</v>
      </c>
      <c r="AE30" s="185">
        <f>-[1]Depreciation!Y37</f>
        <v>392282087.37392229</v>
      </c>
      <c r="AF30" s="234"/>
      <c r="AG30" s="234">
        <v>16411693990044</v>
      </c>
      <c r="AH30" s="234">
        <v>193435219254773</v>
      </c>
      <c r="AI30" s="234">
        <v>240134784320806</v>
      </c>
      <c r="AJ30" s="234">
        <v>299516409388806</v>
      </c>
      <c r="AK30" s="234">
        <v>352427285911839</v>
      </c>
      <c r="AL30" s="207"/>
      <c r="AM30" s="483"/>
      <c r="AN30" s="480"/>
      <c r="AO30" s="473"/>
    </row>
    <row r="31" spans="2:41" s="125" customFormat="1" outlineLevel="1">
      <c r="B31" s="236"/>
      <c r="C31" s="237" t="str">
        <f>IF(B1="EN", "% Depreciation on Net Sales", "% Chi phí Khấu hao / Doanh thu")</f>
        <v>% Chi phí Khấu hao / Doanh thu</v>
      </c>
      <c r="D31" s="143"/>
      <c r="E31" s="143"/>
      <c r="F31" s="129"/>
      <c r="G31" s="130"/>
      <c r="H31" s="130"/>
      <c r="I31" s="130"/>
      <c r="J31" s="130"/>
      <c r="K31" s="131"/>
      <c r="L31" s="131"/>
      <c r="M31" s="131"/>
      <c r="N31" s="131">
        <f t="shared" ref="N31:O31" si="24">IFERROR(N30/N7,)</f>
        <v>5.3167544301681163E-2</v>
      </c>
      <c r="O31" s="131">
        <f t="shared" si="24"/>
        <v>5.1959737652897013E-2</v>
      </c>
      <c r="P31" s="131">
        <f>IFERROR(P30/P7,)</f>
        <v>4.0005425817536508E-2</v>
      </c>
      <c r="Q31" s="131">
        <f>IFERROR(Q30/Q7,)</f>
        <v>4.1107585300223452E-2</v>
      </c>
      <c r="R31" s="131">
        <f>IFERROR(R30/R7,)</f>
        <v>2.5156702063348184E-2</v>
      </c>
      <c r="S31" s="190"/>
      <c r="T31" s="131">
        <f>T30/T7</f>
        <v>3.2781367028985986E-2</v>
      </c>
      <c r="U31" s="131">
        <f t="shared" ref="U31:AE31" si="25">U30/U7</f>
        <v>4.2147471894410551E-2</v>
      </c>
      <c r="V31" s="131">
        <f t="shared" si="25"/>
        <v>2.9302863103363108E-2</v>
      </c>
      <c r="W31" s="131">
        <f t="shared" si="25"/>
        <v>2.3470241756120096E-2</v>
      </c>
      <c r="X31" s="131">
        <f t="shared" si="25"/>
        <v>2.3470241756120096E-2</v>
      </c>
      <c r="Y31" s="131">
        <f t="shared" si="25"/>
        <v>2.3470241756120096E-2</v>
      </c>
      <c r="Z31" s="131">
        <f t="shared" si="25"/>
        <v>2.3470241756120096E-2</v>
      </c>
      <c r="AA31" s="131">
        <f t="shared" si="25"/>
        <v>2.3470241756120096E-2</v>
      </c>
      <c r="AB31" s="131">
        <f t="shared" si="25"/>
        <v>2.3470241756120096E-2</v>
      </c>
      <c r="AC31" s="131">
        <f t="shared" si="25"/>
        <v>2.2630272782749112E-2</v>
      </c>
      <c r="AD31" s="131">
        <f t="shared" si="25"/>
        <v>2.2630272782749112E-2</v>
      </c>
      <c r="AE31" s="131">
        <f t="shared" si="25"/>
        <v>2.2630272782749112E-2</v>
      </c>
      <c r="AF31" s="131"/>
      <c r="AG31" s="131">
        <f>AG30/AG7</f>
        <v>2.6507981928004961E-2</v>
      </c>
      <c r="AH31" s="131">
        <f>AH30/AH7</f>
        <v>0.28463966636594201</v>
      </c>
      <c r="AI31" s="131">
        <f>AI30/AI7</f>
        <v>0.31782359808600313</v>
      </c>
      <c r="AJ31" s="131">
        <f>AJ30/AJ7</f>
        <v>0.35708426751123257</v>
      </c>
      <c r="AK31" s="131">
        <f>AK30/AK7</f>
        <v>0.38068618837780549</v>
      </c>
      <c r="AL31" s="144"/>
      <c r="AM31" s="196"/>
      <c r="AN31" s="474"/>
      <c r="AO31" s="473"/>
    </row>
    <row r="32" spans="2:41">
      <c r="B32" s="238" t="str">
        <f>IF(B1="EN", "COST OF GOODS SOLD", "GIÁ VỐN HÀNG BÁN")</f>
        <v>GIÁ VỐN HÀNG BÁN</v>
      </c>
      <c r="C32" s="172"/>
      <c r="D32" s="172"/>
      <c r="E32" s="172"/>
      <c r="F32" s="239"/>
      <c r="G32" s="240"/>
      <c r="H32" s="241"/>
      <c r="I32" s="240"/>
      <c r="J32" s="240"/>
      <c r="K32" s="175"/>
      <c r="L32" s="175"/>
      <c r="M32" s="175"/>
      <c r="N32" s="176">
        <f>N10+N12+N23+N30</f>
        <v>84782209417</v>
      </c>
      <c r="O32" s="176">
        <f>O10+O12+O23+O30</f>
        <v>132583492298.13184</v>
      </c>
      <c r="P32" s="176">
        <f>P10+P12+P23+P30</f>
        <v>194053949289.00555</v>
      </c>
      <c r="Q32" s="176">
        <f>Q10+Q12+Q23+Q30</f>
        <v>176743025607.90973</v>
      </c>
      <c r="R32" s="176">
        <f>R10+R12+R23+R30</f>
        <v>177989007698.77661</v>
      </c>
      <c r="S32" s="177"/>
      <c r="T32" s="176">
        <f t="shared" ref="T32:AK32" si="26">T10+T12+T23+T30</f>
        <v>11743156980.241835</v>
      </c>
      <c r="U32" s="176">
        <f t="shared" si="26"/>
        <v>9404939046.9420319</v>
      </c>
      <c r="V32" s="176">
        <f t="shared" si="26"/>
        <v>12865803952.48789</v>
      </c>
      <c r="W32" s="176">
        <f t="shared" si="26"/>
        <v>15585602954.746243</v>
      </c>
      <c r="X32" s="176">
        <f t="shared" si="26"/>
        <v>15606523267.229738</v>
      </c>
      <c r="Y32" s="176">
        <f t="shared" si="26"/>
        <v>15645836747.995285</v>
      </c>
      <c r="Z32" s="176">
        <f t="shared" si="26"/>
        <v>15672656679.144857</v>
      </c>
      <c r="AA32" s="176">
        <f t="shared" si="26"/>
        <v>15679907701.478191</v>
      </c>
      <c r="AB32" s="176">
        <f t="shared" si="26"/>
        <v>15669161203.29443</v>
      </c>
      <c r="AC32" s="176">
        <f t="shared" si="26"/>
        <v>16683654816.480886</v>
      </c>
      <c r="AD32" s="176">
        <f t="shared" si="26"/>
        <v>16722823424.403963</v>
      </c>
      <c r="AE32" s="176">
        <f t="shared" si="26"/>
        <v>16715269039.331312</v>
      </c>
      <c r="AF32" s="178"/>
      <c r="AG32" s="175">
        <f>AG10+AG12+AG23+AG30</f>
        <v>1071307718915276</v>
      </c>
      <c r="AH32" s="175">
        <f t="shared" si="26"/>
        <v>1229305080067399</v>
      </c>
      <c r="AI32" s="175">
        <f t="shared" si="26"/>
        <v>1031592261532379</v>
      </c>
      <c r="AJ32" s="175">
        <f t="shared" si="26"/>
        <v>1932532512509697</v>
      </c>
      <c r="AK32" s="175">
        <f t="shared" si="26"/>
        <v>2124364028896149</v>
      </c>
      <c r="AL32" s="123"/>
      <c r="AM32" s="483"/>
      <c r="AN32" s="480"/>
      <c r="AO32" s="473"/>
    </row>
    <row r="33" spans="2:41" s="170" customFormat="1" hidden="1" outlineLevel="1">
      <c r="B33" s="242"/>
      <c r="C33" s="164" t="str">
        <f>IF(B1="EN", "% COGs on Net Sales", "% Giá vốn hàng bán / Doanh thu")</f>
        <v>% Giá vốn hàng bán / Doanh thu</v>
      </c>
      <c r="D33" s="165"/>
      <c r="E33" s="165"/>
      <c r="F33" s="166"/>
      <c r="G33" s="167"/>
      <c r="H33" s="167"/>
      <c r="I33" s="167"/>
      <c r="J33" s="167"/>
      <c r="K33" s="168"/>
      <c r="L33" s="168"/>
      <c r="M33" s="168"/>
      <c r="N33" s="168">
        <f t="shared" ref="N33:O33" si="27">IFERROR(N32/N7,)</f>
        <v>1.232667006741859</v>
      </c>
      <c r="O33" s="168">
        <f t="shared" si="27"/>
        <v>1.0632521904840124</v>
      </c>
      <c r="P33" s="168">
        <f>IFERROR(P32/P7,)</f>
        <v>1.0140978146924484</v>
      </c>
      <c r="Q33" s="168">
        <f>IFERROR(Q32/Q7,)</f>
        <v>1.0161868492331929</v>
      </c>
      <c r="R33" s="168">
        <f>IFERROR(R32/R7,)</f>
        <v>0.98273894746921631</v>
      </c>
      <c r="S33" s="168"/>
      <c r="T33" s="168">
        <f>T32/T7</f>
        <v>1.0197945202076022</v>
      </c>
      <c r="U33" s="168">
        <f t="shared" ref="U33:AE33" si="28">U32/U7</f>
        <v>1.0500942058895295</v>
      </c>
      <c r="V33" s="168">
        <f t="shared" si="28"/>
        <v>1.0055582797538345</v>
      </c>
      <c r="W33" s="168">
        <f t="shared" si="28"/>
        <v>0.9756665868873069</v>
      </c>
      <c r="X33" s="168">
        <f t="shared" si="28"/>
        <v>0.97697620897486126</v>
      </c>
      <c r="Y33" s="168">
        <f t="shared" si="28"/>
        <v>0.97943725265142301</v>
      </c>
      <c r="Z33" s="168">
        <f t="shared" si="28"/>
        <v>0.981116193835876</v>
      </c>
      <c r="AA33" s="168">
        <f t="shared" si="28"/>
        <v>0.98157011148230577</v>
      </c>
      <c r="AB33" s="168">
        <f t="shared" si="28"/>
        <v>0.98089737528888521</v>
      </c>
      <c r="AC33" s="168">
        <f t="shared" si="28"/>
        <v>0.96245959645438373</v>
      </c>
      <c r="AD33" s="168">
        <f t="shared" si="28"/>
        <v>0.96471918543473612</v>
      </c>
      <c r="AE33" s="168">
        <f t="shared" si="28"/>
        <v>0.96428338221964549</v>
      </c>
      <c r="AF33" s="168"/>
      <c r="AG33" s="168">
        <f t="shared" ref="AG33:AK33" si="29">AG32/AG7</f>
        <v>1.7303640726890144</v>
      </c>
      <c r="AH33" s="168">
        <f t="shared" si="29"/>
        <v>1.8089207808195358</v>
      </c>
      <c r="AI33" s="168">
        <f t="shared" si="29"/>
        <v>1.3653347441738815</v>
      </c>
      <c r="AJ33" s="168">
        <f t="shared" si="29"/>
        <v>2.3039704504983214</v>
      </c>
      <c r="AK33" s="168">
        <f t="shared" si="29"/>
        <v>2.2947032684912387</v>
      </c>
      <c r="AL33" s="169"/>
      <c r="AM33" s="483"/>
      <c r="AN33" s="310"/>
      <c r="AO33" s="473"/>
    </row>
    <row r="34" spans="2:41" s="141" customFormat="1" collapsed="1">
      <c r="B34" s="243" t="str">
        <f>IF(B1="EN", "GROSS PROFIT", "LÃI GỘP")</f>
        <v>LÃI GỘP</v>
      </c>
      <c r="C34" s="244"/>
      <c r="D34" s="244"/>
      <c r="E34" s="244"/>
      <c r="F34" s="245"/>
      <c r="G34" s="246"/>
      <c r="H34" s="246"/>
      <c r="I34" s="246"/>
      <c r="J34" s="246"/>
      <c r="K34" s="247"/>
      <c r="L34" s="247"/>
      <c r="M34" s="247"/>
      <c r="N34" s="248">
        <f>N7-N32</f>
        <v>-16002718319</v>
      </c>
      <c r="O34" s="248">
        <f>O7-O32</f>
        <v>-7887306873.1318359</v>
      </c>
      <c r="P34" s="248">
        <f>P7-P32</f>
        <v>-2697704874.0055542</v>
      </c>
      <c r="Q34" s="248">
        <f>Q7-Q32</f>
        <v>-2815341204.909729</v>
      </c>
      <c r="R34" s="248">
        <f>R7-R32</f>
        <v>3126239801.2233887</v>
      </c>
      <c r="S34" s="138"/>
      <c r="T34" s="248">
        <f t="shared" ref="T34:AK34" si="30">T7-T32</f>
        <v>-227938230.24183464</v>
      </c>
      <c r="U34" s="248">
        <f t="shared" si="30"/>
        <v>-448657796.94203186</v>
      </c>
      <c r="V34" s="248">
        <f t="shared" si="30"/>
        <v>-71116452.487890244</v>
      </c>
      <c r="W34" s="248">
        <f t="shared" si="30"/>
        <v>388709545.25375748</v>
      </c>
      <c r="X34" s="248">
        <f t="shared" si="30"/>
        <v>367789232.77026176</v>
      </c>
      <c r="Y34" s="248">
        <f t="shared" si="30"/>
        <v>328475752.00471497</v>
      </c>
      <c r="Z34" s="248">
        <f t="shared" si="30"/>
        <v>301655820.85514259</v>
      </c>
      <c r="AA34" s="248">
        <f t="shared" si="30"/>
        <v>294404798.52180862</v>
      </c>
      <c r="AB34" s="248">
        <f t="shared" si="30"/>
        <v>305151296.70557022</v>
      </c>
      <c r="AC34" s="248">
        <f t="shared" si="30"/>
        <v>650740183.51911354</v>
      </c>
      <c r="AD34" s="248">
        <f t="shared" si="30"/>
        <v>611571575.59603691</v>
      </c>
      <c r="AE34" s="248">
        <f t="shared" si="30"/>
        <v>619125960.66868782</v>
      </c>
      <c r="AF34" s="121"/>
      <c r="AG34" s="247">
        <f t="shared" si="30"/>
        <v>-452184994498994</v>
      </c>
      <c r="AH34" s="247">
        <f t="shared" si="30"/>
        <v>-549725801028734</v>
      </c>
      <c r="AI34" s="247">
        <f t="shared" si="30"/>
        <v>-276032303848477</v>
      </c>
      <c r="AJ34" s="247">
        <f t="shared" si="30"/>
        <v>-1093748962967335</v>
      </c>
      <c r="AK34" s="247">
        <f t="shared" si="30"/>
        <v>-1198595517530881</v>
      </c>
      <c r="AL34" s="139"/>
      <c r="AM34" s="196"/>
      <c r="AN34" s="476"/>
      <c r="AO34" s="473"/>
    </row>
    <row r="35" spans="2:41" s="227" customFormat="1" hidden="1" outlineLevel="1">
      <c r="B35" s="163"/>
      <c r="C35" s="164" t="str">
        <f>IF(B1="EN", "(%) Gross profit Margin", "(%) Tỷ lệ Lãi gộp")</f>
        <v>(%) Tỷ lệ Lãi gộp</v>
      </c>
      <c r="D35" s="165"/>
      <c r="E35" s="165"/>
      <c r="F35" s="166"/>
      <c r="G35" s="167"/>
      <c r="H35" s="167"/>
      <c r="I35" s="167"/>
      <c r="J35" s="167"/>
      <c r="K35" s="168"/>
      <c r="L35" s="168"/>
      <c r="M35" s="168"/>
      <c r="N35" s="168">
        <f t="shared" ref="N35:O35" si="31">IFERROR(N34/N$7,)</f>
        <v>-0.23266700674185906</v>
      </c>
      <c r="O35" s="168">
        <f t="shared" si="31"/>
        <v>-6.3252190484012441E-2</v>
      </c>
      <c r="P35" s="168">
        <f>IFERROR(P34/P$7,)</f>
        <v>-1.4097814692448505E-2</v>
      </c>
      <c r="Q35" s="168">
        <f>IFERROR(Q34/Q$7,)</f>
        <v>-1.6186849233192968E-2</v>
      </c>
      <c r="R35" s="168">
        <f>IFERROR(R34/R$7,)</f>
        <v>1.7261052530783687E-2</v>
      </c>
      <c r="S35" s="168"/>
      <c r="T35" s="168">
        <f>T34/T7</f>
        <v>-1.9794520207602192E-2</v>
      </c>
      <c r="U35" s="168">
        <f t="shared" ref="U35:AE35" si="32">U34/U7</f>
        <v>-5.0094205889529411E-2</v>
      </c>
      <c r="V35" s="168">
        <f t="shared" si="32"/>
        <v>-5.5582797538345696E-3</v>
      </c>
      <c r="W35" s="168">
        <f t="shared" si="32"/>
        <v>2.433341311269311E-2</v>
      </c>
      <c r="X35" s="168">
        <f t="shared" si="32"/>
        <v>2.3023791025138751E-2</v>
      </c>
      <c r="Y35" s="168">
        <f t="shared" si="32"/>
        <v>2.0562747348576972E-2</v>
      </c>
      <c r="Z35" s="168">
        <f t="shared" si="32"/>
        <v>1.8883806164123971E-2</v>
      </c>
      <c r="AA35" s="168">
        <f t="shared" si="32"/>
        <v>1.8429888517694181E-2</v>
      </c>
      <c r="AB35" s="168">
        <f t="shared" si="32"/>
        <v>1.9102624711114811E-2</v>
      </c>
      <c r="AC35" s="168">
        <f t="shared" si="32"/>
        <v>3.7540403545616302E-2</v>
      </c>
      <c r="AD35" s="168">
        <f t="shared" si="32"/>
        <v>3.528081456526385E-2</v>
      </c>
      <c r="AE35" s="168">
        <f t="shared" si="32"/>
        <v>3.5716617780354482E-2</v>
      </c>
      <c r="AF35" s="168"/>
      <c r="AG35" s="168">
        <f t="shared" ref="AG35:AK35" si="33">AG34/AG$7</f>
        <v>-0.73036407268901438</v>
      </c>
      <c r="AH35" s="168">
        <f t="shared" si="33"/>
        <v>-0.80892078081953567</v>
      </c>
      <c r="AI35" s="168">
        <f t="shared" si="33"/>
        <v>-0.3653347441738814</v>
      </c>
      <c r="AJ35" s="168">
        <f t="shared" si="33"/>
        <v>-1.3039704504983216</v>
      </c>
      <c r="AK35" s="168">
        <f t="shared" si="33"/>
        <v>-1.2947032684912387</v>
      </c>
      <c r="AL35" s="226"/>
      <c r="AM35" s="489"/>
      <c r="AN35" s="310"/>
      <c r="AO35" s="473"/>
    </row>
    <row r="36" spans="2:41" collapsed="1">
      <c r="B36" s="171" t="str">
        <f>IF(B1="EN","SELLING &amp; ADMINISTRATIVE EXPENSES (MKT)","CHI PHÍ BÁN HÀNG")</f>
        <v>CHI PHÍ BÁN HÀNG</v>
      </c>
      <c r="C36" s="249"/>
      <c r="D36" s="172"/>
      <c r="E36" s="172"/>
      <c r="F36" s="239"/>
      <c r="G36" s="175"/>
      <c r="H36" s="175"/>
      <c r="I36" s="175"/>
      <c r="J36" s="175"/>
      <c r="K36" s="175"/>
      <c r="L36" s="175"/>
      <c r="M36" s="175"/>
      <c r="N36" s="176">
        <f>N37+N39+N41</f>
        <v>1864168000</v>
      </c>
      <c r="O36" s="176">
        <f>O37+O39+O41</f>
        <v>1630000000</v>
      </c>
      <c r="P36" s="176">
        <f>P37+P39+P41</f>
        <v>0</v>
      </c>
      <c r="Q36" s="176">
        <f>Q37+Q39+Q41</f>
        <v>0</v>
      </c>
      <c r="R36" s="176">
        <f>R37+R39+R41</f>
        <v>0</v>
      </c>
      <c r="S36" s="178"/>
      <c r="T36" s="175">
        <f t="shared" ref="T36:AE36" si="34">T37+T39+T41</f>
        <v>0</v>
      </c>
      <c r="U36" s="175">
        <f t="shared" si="34"/>
        <v>0</v>
      </c>
      <c r="V36" s="175">
        <f t="shared" si="34"/>
        <v>0</v>
      </c>
      <c r="W36" s="175">
        <f t="shared" si="34"/>
        <v>0</v>
      </c>
      <c r="X36" s="175">
        <f t="shared" si="34"/>
        <v>0</v>
      </c>
      <c r="Y36" s="175">
        <f t="shared" si="34"/>
        <v>0</v>
      </c>
      <c r="Z36" s="175">
        <f t="shared" si="34"/>
        <v>0</v>
      </c>
      <c r="AA36" s="175">
        <f t="shared" si="34"/>
        <v>0</v>
      </c>
      <c r="AB36" s="175">
        <f t="shared" si="34"/>
        <v>0</v>
      </c>
      <c r="AC36" s="175">
        <f t="shared" si="34"/>
        <v>0</v>
      </c>
      <c r="AD36" s="175">
        <f t="shared" si="34"/>
        <v>0</v>
      </c>
      <c r="AE36" s="175">
        <f t="shared" si="34"/>
        <v>0</v>
      </c>
      <c r="AF36" s="178"/>
      <c r="AG36" s="175">
        <f>AG37+AG39+AG41</f>
        <v>383824902894673</v>
      </c>
      <c r="AH36" s="175">
        <f t="shared" ref="AH36:AK36" si="35">AH37+AH39+AH41</f>
        <v>425272695485510</v>
      </c>
      <c r="AI36" s="175">
        <f t="shared" si="35"/>
        <v>463185514591688</v>
      </c>
      <c r="AJ36" s="175">
        <f t="shared" si="35"/>
        <v>504413637745073</v>
      </c>
      <c r="AK36" s="175">
        <f t="shared" si="35"/>
        <v>549667372869827</v>
      </c>
      <c r="AL36" s="162"/>
      <c r="AM36" s="483"/>
      <c r="AN36" s="480"/>
      <c r="AO36" s="473"/>
    </row>
    <row r="37" spans="2:41" s="214" customFormat="1" hidden="1" outlineLevel="1">
      <c r="B37" s="126"/>
      <c r="C37" s="128"/>
      <c r="D37" s="209" t="str">
        <f>IF(B1="EN", "Salary&amp;Welfare Expenses (MKT)", "Lương &amp; Phúc lợi (Bán hàng)")</f>
        <v>Lương &amp; Phúc lợi (Bán hàng)</v>
      </c>
      <c r="E37" s="128"/>
      <c r="F37" s="250"/>
      <c r="G37" s="182"/>
      <c r="H37" s="182"/>
      <c r="I37" s="182"/>
      <c r="J37" s="182"/>
      <c r="K37" s="178"/>
      <c r="L37" s="178"/>
      <c r="M37" s="178"/>
      <c r="N37" s="178"/>
      <c r="O37" s="178">
        <f>[1]MKT!H39+[1]MKT!H40</f>
        <v>0</v>
      </c>
      <c r="P37" s="178">
        <f>[1]MKT!I39+[1]MKT!I40</f>
        <v>0</v>
      </c>
      <c r="Q37" s="178">
        <f>[1]MKT!J39+[1]MKT!J40</f>
        <v>0</v>
      </c>
      <c r="R37" s="178">
        <f>[1]MKT!K39+[1]MKT!K40</f>
        <v>0</v>
      </c>
      <c r="S37" s="178"/>
      <c r="T37" s="178">
        <f>[1]MKT!T45-[1]MKT!T43</f>
        <v>0</v>
      </c>
      <c r="U37" s="178">
        <f>[1]MKT!U45-[1]MKT!U43</f>
        <v>0</v>
      </c>
      <c r="V37" s="178">
        <f>[1]MKT!V45-[1]MKT!V43</f>
        <v>0</v>
      </c>
      <c r="W37" s="178">
        <f>[1]MKT!W45-[1]MKT!W43</f>
        <v>0</v>
      </c>
      <c r="X37" s="178">
        <f>[1]MKT!X45-[1]MKT!X43</f>
        <v>0</v>
      </c>
      <c r="Y37" s="178">
        <f>[1]MKT!Y45-[1]MKT!Y43</f>
        <v>0</v>
      </c>
      <c r="Z37" s="178">
        <f>[1]MKT!Z45-[1]MKT!Z43</f>
        <v>0</v>
      </c>
      <c r="AA37" s="178">
        <f>[1]MKT!AA45-[1]MKT!AA43</f>
        <v>0</v>
      </c>
      <c r="AB37" s="178">
        <f>[1]MKT!AB45-[1]MKT!AB43</f>
        <v>0</v>
      </c>
      <c r="AC37" s="178">
        <f>[1]MKT!AC45-[1]MKT!AC43</f>
        <v>0</v>
      </c>
      <c r="AD37" s="178">
        <f>[1]MKT!AD45-[1]MKT!AD43</f>
        <v>0</v>
      </c>
      <c r="AE37" s="178">
        <f>[1]MKT!AE45-[1]MKT!AE43</f>
        <v>0</v>
      </c>
      <c r="AF37" s="178"/>
      <c r="AG37" s="178">
        <v>270157675766797</v>
      </c>
      <c r="AH37" s="178">
        <v>287169585310931</v>
      </c>
      <c r="AI37" s="178">
        <v>311759576586856</v>
      </c>
      <c r="AJ37" s="178">
        <v>338394519427355</v>
      </c>
      <c r="AK37" s="178">
        <v>368393985356586</v>
      </c>
      <c r="AL37" s="123"/>
      <c r="AM37" s="489"/>
      <c r="AN37" s="490"/>
      <c r="AO37" s="473"/>
    </row>
    <row r="38" spans="2:41" s="125" customFormat="1" hidden="1" outlineLevel="1">
      <c r="B38" s="142"/>
      <c r="C38" s="143"/>
      <c r="D38" s="143"/>
      <c r="E38" s="143"/>
      <c r="F38" s="129" t="str">
        <f>IF(B1="EN", "Growth (%)", "Tăng trưởng (%)")</f>
        <v>Tăng trưởng (%)</v>
      </c>
      <c r="G38" s="130"/>
      <c r="H38" s="130"/>
      <c r="I38" s="130"/>
      <c r="J38" s="130"/>
      <c r="K38" s="131"/>
      <c r="L38" s="131"/>
      <c r="M38" s="131"/>
      <c r="N38" s="131">
        <f>IFERROR(N37/M37-1,)</f>
        <v>0</v>
      </c>
      <c r="O38" s="131">
        <f t="shared" ref="O38" si="36">IFERROR(O37/N37-1,)</f>
        <v>0</v>
      </c>
      <c r="P38" s="131">
        <f>IFERROR(P37/O37-1,)</f>
        <v>0</v>
      </c>
      <c r="Q38" s="131">
        <f>IFERROR(Q37/O37-1,)</f>
        <v>0</v>
      </c>
      <c r="R38" s="131">
        <f>IFERROR(R37/Q37-1,)</f>
        <v>0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251">
        <v>882316405029.06006</v>
      </c>
      <c r="AH38" s="251">
        <v>6297029871851.3203</v>
      </c>
      <c r="AI38" s="251">
        <v>8562881493630.4502</v>
      </c>
      <c r="AJ38" s="251">
        <v>854342411293.29004</v>
      </c>
      <c r="AK38" s="251">
        <v>886523398192.06995</v>
      </c>
      <c r="AL38" s="144"/>
      <c r="AM38" s="196"/>
      <c r="AN38" s="474"/>
      <c r="AO38" s="473"/>
    </row>
    <row r="39" spans="2:41" s="214" customFormat="1" hidden="1" outlineLevel="1">
      <c r="B39" s="126"/>
      <c r="C39" s="128"/>
      <c r="D39" s="209" t="str">
        <f>IF(B1="EN", "Operating Expenses (MKT)", "Chi phí hoạt động (Bán hàng)")</f>
        <v>Chi phí hoạt động (Bán hàng)</v>
      </c>
      <c r="E39" s="128"/>
      <c r="F39" s="250"/>
      <c r="G39" s="182"/>
      <c r="H39" s="182"/>
      <c r="I39" s="182"/>
      <c r="J39" s="182"/>
      <c r="K39" s="178"/>
      <c r="L39" s="178"/>
      <c r="M39" s="178"/>
      <c r="N39" s="177">
        <f>[1]MKT!G37</f>
        <v>1864168000</v>
      </c>
      <c r="O39" s="177">
        <f>[1]MKT!H37</f>
        <v>1630000000</v>
      </c>
      <c r="P39" s="177">
        <f>[1]MKT!I37</f>
        <v>0</v>
      </c>
      <c r="Q39" s="177">
        <f>[1]MKT!J37</f>
        <v>0</v>
      </c>
      <c r="R39" s="177">
        <f>[1]MKT!K37</f>
        <v>0</v>
      </c>
      <c r="S39" s="178"/>
      <c r="T39" s="178">
        <f>[1]MKT!T37</f>
        <v>0</v>
      </c>
      <c r="U39" s="178">
        <f>[1]MKT!U37</f>
        <v>0</v>
      </c>
      <c r="V39" s="178">
        <f>[1]MKT!V37</f>
        <v>0</v>
      </c>
      <c r="W39" s="178">
        <f>[1]MKT!W37</f>
        <v>0</v>
      </c>
      <c r="X39" s="178">
        <f>[1]MKT!X37</f>
        <v>0</v>
      </c>
      <c r="Y39" s="178">
        <f>[1]MKT!Y37</f>
        <v>0</v>
      </c>
      <c r="Z39" s="178">
        <f>[1]MKT!Z37</f>
        <v>0</v>
      </c>
      <c r="AA39" s="178">
        <f>[1]MKT!AA37</f>
        <v>0</v>
      </c>
      <c r="AB39" s="178">
        <f>[1]MKT!AB37</f>
        <v>0</v>
      </c>
      <c r="AC39" s="178">
        <f>[1]MKT!AC37</f>
        <v>0</v>
      </c>
      <c r="AD39" s="178">
        <f>[1]MKT!AD37</f>
        <v>0</v>
      </c>
      <c r="AE39" s="178">
        <f>[1]MKT!AE37</f>
        <v>0</v>
      </c>
      <c r="AF39" s="178"/>
      <c r="AG39" s="178">
        <v>113644513893249</v>
      </c>
      <c r="AH39" s="178">
        <v>138084910855454</v>
      </c>
      <c r="AI39" s="178">
        <v>151410435471037</v>
      </c>
      <c r="AJ39" s="178">
        <v>166006225370271</v>
      </c>
      <c r="AK39" s="178">
        <v>181261685977154</v>
      </c>
      <c r="AL39" s="123"/>
      <c r="AM39" s="489"/>
      <c r="AN39" s="480"/>
      <c r="AO39" s="473"/>
    </row>
    <row r="40" spans="2:41" s="125" customFormat="1" hidden="1" outlineLevel="1">
      <c r="B40" s="126"/>
      <c r="C40" s="128"/>
      <c r="D40" s="128"/>
      <c r="E40" s="128"/>
      <c r="F40" s="129" t="str">
        <f>IF(B1="EN", "Growth (%)", "Tăng trưởng (%)")</f>
        <v>Tăng trưởng (%)</v>
      </c>
      <c r="G40" s="130"/>
      <c r="H40" s="130"/>
      <c r="I40" s="130"/>
      <c r="J40" s="130"/>
      <c r="K40" s="131"/>
      <c r="L40" s="131"/>
      <c r="M40" s="131"/>
      <c r="N40" s="131">
        <f>IFERROR(N39/M39-1,)</f>
        <v>0</v>
      </c>
      <c r="O40" s="131">
        <f t="shared" ref="O40" si="37">IFERROR(O39/N39-1,)</f>
        <v>-0.12561528789250753</v>
      </c>
      <c r="P40" s="131">
        <f>IFERROR(P39/O39-1,)</f>
        <v>-1</v>
      </c>
      <c r="Q40" s="131">
        <f>IFERROR(Q39/O39-1,)</f>
        <v>-1</v>
      </c>
      <c r="R40" s="131">
        <f>IFERROR(R39/Q39-1,)</f>
        <v>0</v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251" t="e">
        <f>AG39/Q39-1</f>
        <v>#DIV/0!</v>
      </c>
      <c r="AH40" s="251">
        <f t="shared" ref="AH40:AK40" si="38">AH39/AG39-1</f>
        <v>0.21506006867311589</v>
      </c>
      <c r="AI40" s="251">
        <f t="shared" si="38"/>
        <v>9.6502395033821076E-2</v>
      </c>
      <c r="AJ40" s="251">
        <f t="shared" si="38"/>
        <v>9.6398837067118714E-2</v>
      </c>
      <c r="AK40" s="251">
        <f t="shared" si="38"/>
        <v>9.1896918762270685E-2</v>
      </c>
      <c r="AL40" s="123"/>
      <c r="AM40" s="196"/>
      <c r="AN40" s="474"/>
      <c r="AO40" s="473"/>
    </row>
    <row r="41" spans="2:41" s="125" customFormat="1" hidden="1" outlineLevel="1">
      <c r="C41" s="128"/>
      <c r="D41" s="209" t="str">
        <f>IF(B1="EN", "Depreciation &amp; Amortization (MKT)", "Chi phí khấu hao (Bán hàng)")</f>
        <v>Chi phí khấu hao (Bán hàng)</v>
      </c>
      <c r="E41" s="128"/>
      <c r="F41" s="252"/>
      <c r="G41" s="253"/>
      <c r="H41" s="253"/>
      <c r="I41" s="253"/>
      <c r="J41" s="253"/>
      <c r="K41" s="254"/>
      <c r="L41" s="254"/>
      <c r="M41" s="254"/>
      <c r="N41" s="254"/>
      <c r="O41" s="178">
        <f>[1]MKT!H43+[1]MKT!H44</f>
        <v>0</v>
      </c>
      <c r="P41" s="178">
        <f>[1]MKT!I43+[1]MKT!I44</f>
        <v>0</v>
      </c>
      <c r="Q41" s="178">
        <f>[1]MKT!J43+[1]MKT!J44</f>
        <v>0</v>
      </c>
      <c r="R41" s="255">
        <f>[1]Depreciation!L38</f>
        <v>0</v>
      </c>
      <c r="S41" s="255"/>
      <c r="T41" s="256">
        <f>[1]MKT!T43</f>
        <v>0</v>
      </c>
      <c r="U41" s="256">
        <f>[1]MKT!U43</f>
        <v>0</v>
      </c>
      <c r="V41" s="256">
        <f>[1]MKT!V43</f>
        <v>0</v>
      </c>
      <c r="W41" s="256">
        <f>[1]MKT!W43</f>
        <v>0</v>
      </c>
      <c r="X41" s="256">
        <f>[1]MKT!X43</f>
        <v>0</v>
      </c>
      <c r="Y41" s="256">
        <f>[1]MKT!Y43</f>
        <v>0</v>
      </c>
      <c r="Z41" s="256">
        <f>[1]MKT!Z43</f>
        <v>0</v>
      </c>
      <c r="AA41" s="256">
        <f>[1]MKT!AA43</f>
        <v>0</v>
      </c>
      <c r="AB41" s="256">
        <f>[1]MKT!AB43</f>
        <v>0</v>
      </c>
      <c r="AC41" s="256">
        <f>[1]MKT!AC43</f>
        <v>0</v>
      </c>
      <c r="AD41" s="256">
        <f>[1]MKT!AD43</f>
        <v>0</v>
      </c>
      <c r="AE41" s="256">
        <f>[1]MKT!AE43</f>
        <v>0</v>
      </c>
      <c r="AF41" s="255"/>
      <c r="AG41" s="178">
        <v>22713234627</v>
      </c>
      <c r="AH41" s="178">
        <v>18199319125</v>
      </c>
      <c r="AI41" s="178">
        <v>15502533795</v>
      </c>
      <c r="AJ41" s="178">
        <v>12892947447</v>
      </c>
      <c r="AK41" s="178">
        <v>11701536087</v>
      </c>
      <c r="AL41" s="123"/>
      <c r="AM41" s="196"/>
      <c r="AN41" s="491"/>
      <c r="AO41" s="473"/>
    </row>
    <row r="42" spans="2:41" s="227" customFormat="1" hidden="1" outlineLevel="1">
      <c r="B42" s="223"/>
      <c r="C42" s="164" t="str">
        <f>IF(B1="EN", "MKT Expenses on Net Sales (%)", "Chi phí Bán hàng / Doanh thu (%)")</f>
        <v>Chi phí Bán hàng / Doanh thu (%)</v>
      </c>
      <c r="D42" s="224"/>
      <c r="E42" s="224"/>
      <c r="F42" s="225"/>
      <c r="G42" s="167"/>
      <c r="H42" s="167"/>
      <c r="I42" s="167"/>
      <c r="J42" s="167"/>
      <c r="K42" s="168"/>
      <c r="L42" s="168"/>
      <c r="M42" s="168"/>
      <c r="N42" s="168">
        <f>IFERROR(N36/N7,)</f>
        <v>2.7103544533992736E-2</v>
      </c>
      <c r="O42" s="168">
        <f t="shared" ref="O42:R42" si="39">IFERROR(O36/O7,)</f>
        <v>1.3071771156787974E-2</v>
      </c>
      <c r="P42" s="168">
        <f>IFERROR(P36/P7,)</f>
        <v>0</v>
      </c>
      <c r="Q42" s="168">
        <f>IFERROR(Q36/Q7,)</f>
        <v>0</v>
      </c>
      <c r="R42" s="168">
        <f t="shared" si="39"/>
        <v>0</v>
      </c>
      <c r="S42" s="168"/>
      <c r="T42" s="168">
        <f>T36/T7</f>
        <v>0</v>
      </c>
      <c r="U42" s="168">
        <f t="shared" ref="U42:AE42" si="40">U36/U7</f>
        <v>0</v>
      </c>
      <c r="V42" s="168">
        <f t="shared" si="40"/>
        <v>0</v>
      </c>
      <c r="W42" s="168">
        <f t="shared" si="40"/>
        <v>0</v>
      </c>
      <c r="X42" s="168">
        <f t="shared" si="40"/>
        <v>0</v>
      </c>
      <c r="Y42" s="168">
        <f t="shared" si="40"/>
        <v>0</v>
      </c>
      <c r="Z42" s="168">
        <f t="shared" si="40"/>
        <v>0</v>
      </c>
      <c r="AA42" s="168">
        <f t="shared" si="40"/>
        <v>0</v>
      </c>
      <c r="AB42" s="168">
        <f t="shared" si="40"/>
        <v>0</v>
      </c>
      <c r="AC42" s="168">
        <f t="shared" si="40"/>
        <v>0</v>
      </c>
      <c r="AD42" s="168">
        <f t="shared" si="40"/>
        <v>0</v>
      </c>
      <c r="AE42" s="168">
        <f t="shared" si="40"/>
        <v>0</v>
      </c>
      <c r="AF42" s="168"/>
      <c r="AG42" s="168">
        <f t="shared" ref="AG42:AK42" si="41">AG36/AG7</f>
        <v>0.61994962833345968</v>
      </c>
      <c r="AH42" s="168">
        <f t="shared" si="41"/>
        <v>0.62578820249949663</v>
      </c>
      <c r="AI42" s="168">
        <f t="shared" si="41"/>
        <v>0.61303607990494846</v>
      </c>
      <c r="AJ42" s="168">
        <f t="shared" si="41"/>
        <v>0.60136329333149141</v>
      </c>
      <c r="AK42" s="168">
        <f t="shared" si="41"/>
        <v>0.5937417033759449</v>
      </c>
      <c r="AL42" s="226"/>
      <c r="AM42" s="489"/>
      <c r="AN42" s="310"/>
      <c r="AO42" s="473"/>
    </row>
    <row r="43" spans="2:41" collapsed="1">
      <c r="B43" s="171" t="str">
        <f>IF(B1="en","GENERAL &amp; ADMINISTRATION EXPENSES (ADM)","CHI PHÍ QUẢN LÝ")</f>
        <v>CHI PHÍ QUẢN LÝ</v>
      </c>
      <c r="C43" s="172"/>
      <c r="D43" s="172"/>
      <c r="E43" s="172"/>
      <c r="F43" s="239"/>
      <c r="G43" s="175"/>
      <c r="H43" s="175"/>
      <c r="I43" s="175"/>
      <c r="J43" s="175"/>
      <c r="K43" s="175"/>
      <c r="L43" s="175"/>
      <c r="M43" s="175"/>
      <c r="N43" s="176">
        <f t="shared" ref="N43:O43" si="42">N44+N46+N48</f>
        <v>4726260715</v>
      </c>
      <c r="O43" s="176">
        <f t="shared" si="42"/>
        <v>2854734951</v>
      </c>
      <c r="P43" s="176">
        <f>P44+P46+P48</f>
        <v>4126442350.8333335</v>
      </c>
      <c r="Q43" s="176">
        <f>Q44+Q46+Q48</f>
        <v>3920474154</v>
      </c>
      <c r="R43" s="176">
        <f>R44+R46+R48</f>
        <v>6204555456.9343004</v>
      </c>
      <c r="S43" s="177"/>
      <c r="T43" s="176">
        <f t="shared" ref="T43:AE43" si="43">T44+T46+T48</f>
        <v>551637414.9685992</v>
      </c>
      <c r="U43" s="176">
        <f t="shared" si="43"/>
        <v>485460253.63526577</v>
      </c>
      <c r="V43" s="176">
        <f t="shared" si="43"/>
        <v>514719819.30193239</v>
      </c>
      <c r="W43" s="176">
        <f t="shared" si="43"/>
        <v>519555439.74637687</v>
      </c>
      <c r="X43" s="176">
        <f t="shared" si="43"/>
        <v>501046234.24637687</v>
      </c>
      <c r="Y43" s="176">
        <f t="shared" si="43"/>
        <v>663867383.49082136</v>
      </c>
      <c r="Z43" s="176">
        <f t="shared" si="43"/>
        <v>488645507.29082125</v>
      </c>
      <c r="AA43" s="176">
        <f t="shared" si="43"/>
        <v>519020507.09082133</v>
      </c>
      <c r="AB43" s="176">
        <f t="shared" si="43"/>
        <v>497692983.79082137</v>
      </c>
      <c r="AC43" s="176">
        <f t="shared" si="43"/>
        <v>479216937.12415463</v>
      </c>
      <c r="AD43" s="176">
        <f t="shared" si="43"/>
        <v>494762426.12415463</v>
      </c>
      <c r="AE43" s="176">
        <f t="shared" si="43"/>
        <v>488930550.12415463</v>
      </c>
      <c r="AF43" s="178"/>
      <c r="AG43" s="175">
        <f>AG44+AG46+AG48</f>
        <v>317910418663708</v>
      </c>
      <c r="AH43" s="175">
        <f t="shared" ref="AH43:AK43" si="44">AH44+AH46+AH48</f>
        <v>351184385321662</v>
      </c>
      <c r="AI43" s="175">
        <f t="shared" si="44"/>
        <v>381071966254553</v>
      </c>
      <c r="AJ43" s="175">
        <f t="shared" si="44"/>
        <v>409610799944675</v>
      </c>
      <c r="AK43" s="175">
        <f t="shared" si="44"/>
        <v>443470078085952</v>
      </c>
      <c r="AL43" s="162"/>
      <c r="AM43" s="483"/>
      <c r="AN43" s="480"/>
      <c r="AO43" s="473"/>
    </row>
    <row r="44" spans="2:41" s="214" customFormat="1" outlineLevel="1">
      <c r="B44" s="126"/>
      <c r="C44" s="128"/>
      <c r="D44" s="209" t="str">
        <f>IF(B1="EN", "Salary&amp;Welfare Expenses (ADM)", "Lương &amp; Phúc lợi (Quản lý)")</f>
        <v>Lương &amp; Phúc lợi (Quản lý)</v>
      </c>
      <c r="E44" s="128"/>
      <c r="F44" s="250"/>
      <c r="G44" s="182"/>
      <c r="H44" s="182"/>
      <c r="I44" s="182"/>
      <c r="J44" s="182"/>
      <c r="K44" s="178"/>
      <c r="L44" s="178"/>
      <c r="M44" s="178"/>
      <c r="N44" s="177">
        <v>2423478070</v>
      </c>
      <c r="O44" s="177">
        <v>1683906640</v>
      </c>
      <c r="P44" s="177">
        <f>[1]ADM!I45</f>
        <v>2894287550</v>
      </c>
      <c r="Q44" s="177">
        <f>[1]ADM!J45</f>
        <v>2824889563</v>
      </c>
      <c r="R44" s="177">
        <f>SUM(T44:AE44)</f>
        <v>4743544772</v>
      </c>
      <c r="S44" s="177"/>
      <c r="T44" s="177">
        <f>[1]ADM!T45-[1]ADM!T43</f>
        <v>431982954.06666666</v>
      </c>
      <c r="U44" s="177">
        <f>[1]ADM!U45-[1]ADM!U43</f>
        <v>377389126.06666666</v>
      </c>
      <c r="V44" s="177">
        <f>[1]ADM!V45-[1]ADM!V43</f>
        <v>361244525.06666666</v>
      </c>
      <c r="W44" s="177">
        <f>[1]ADM!W45-[1]ADM!W43</f>
        <v>384144474.06666666</v>
      </c>
      <c r="X44" s="177">
        <f>[1]ADM!X45-[1]ADM!X43</f>
        <v>371322768.56666666</v>
      </c>
      <c r="Y44" s="177">
        <f>[1]ADM!Y45-[1]ADM!Y43</f>
        <v>549449473.36666667</v>
      </c>
      <c r="Z44" s="177">
        <f>[1]ADM!Z45-[1]ADM!Z43</f>
        <v>377227597.16666663</v>
      </c>
      <c r="AA44" s="177">
        <f>[1]ADM!AA45-[1]ADM!AA43</f>
        <v>377227596.9666667</v>
      </c>
      <c r="AB44" s="177">
        <f>[1]ADM!AB45-[1]ADM!AB43</f>
        <v>382531323.66666669</v>
      </c>
      <c r="AC44" s="177">
        <f>[1]ADM!AC45-[1]ADM!AC43</f>
        <v>369255277</v>
      </c>
      <c r="AD44" s="177">
        <f>[1]ADM!AD45-[1]ADM!AD43</f>
        <v>384800766</v>
      </c>
      <c r="AE44" s="177">
        <f>[1]ADM!AE45-[1]ADM!AE43</f>
        <v>376968890</v>
      </c>
      <c r="AF44" s="178"/>
      <c r="AG44" s="178">
        <v>189485423854352</v>
      </c>
      <c r="AH44" s="178">
        <v>198970731952184</v>
      </c>
      <c r="AI44" s="178">
        <v>213100080601587</v>
      </c>
      <c r="AJ44" s="178">
        <v>224382758943996</v>
      </c>
      <c r="AK44" s="178">
        <v>240199052340779</v>
      </c>
      <c r="AL44" s="123"/>
      <c r="AM44" s="492"/>
      <c r="AN44" s="480"/>
      <c r="AO44" s="473"/>
    </row>
    <row r="45" spans="2:41" s="125" customFormat="1" outlineLevel="1">
      <c r="B45" s="126"/>
      <c r="C45" s="128"/>
      <c r="D45" s="128"/>
      <c r="E45" s="128"/>
      <c r="F45" s="129" t="str">
        <f>IF(B1="EN", "Growth (%)", "Tăng trưởng (%)")</f>
        <v>Tăng trưởng (%)</v>
      </c>
      <c r="G45" s="182"/>
      <c r="H45" s="130"/>
      <c r="I45" s="130"/>
      <c r="J45" s="130"/>
      <c r="K45" s="131"/>
      <c r="L45" s="131"/>
      <c r="M45" s="131"/>
      <c r="N45" s="131">
        <f>IFERROR(N44/M44-1,)</f>
        <v>0</v>
      </c>
      <c r="O45" s="131">
        <f t="shared" ref="O45" si="45">IFERROR(O44/N44-1,)</f>
        <v>-0.30516943361488724</v>
      </c>
      <c r="P45" s="131">
        <f>IFERROR(P44/O44-1,)</f>
        <v>0.71879335899524688</v>
      </c>
      <c r="Q45" s="131">
        <f>IFERROR(Q44/O44-1,)</f>
        <v>0.67758086814124097</v>
      </c>
      <c r="R45" s="131">
        <f>IFERROR(R44/Q44-1,)</f>
        <v>0.67919653714264516</v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251">
        <v>882316405029.06006</v>
      </c>
      <c r="AH45" s="251">
        <v>6297029871851.3203</v>
      </c>
      <c r="AI45" s="251">
        <v>8562881493630.4502</v>
      </c>
      <c r="AJ45" s="251">
        <v>854342411293.29004</v>
      </c>
      <c r="AK45" s="251">
        <v>886523398192.06995</v>
      </c>
      <c r="AL45" s="123"/>
      <c r="AM45" s="196"/>
      <c r="AN45" s="474"/>
      <c r="AO45" s="473"/>
    </row>
    <row r="46" spans="2:41" s="214" customFormat="1" outlineLevel="1">
      <c r="B46" s="126"/>
      <c r="C46" s="128"/>
      <c r="D46" s="209" t="str">
        <f>IF(B1="EN", "Operating Expenses (ADM)", "Chi phí hoạt động (Quản lý)")</f>
        <v>Chi phí hoạt động (Quản lý)</v>
      </c>
      <c r="E46" s="128"/>
      <c r="F46" s="250"/>
      <c r="G46" s="182"/>
      <c r="H46" s="182"/>
      <c r="I46" s="182"/>
      <c r="J46" s="182"/>
      <c r="K46" s="178"/>
      <c r="L46" s="178"/>
      <c r="M46" s="178"/>
      <c r="N46" s="177">
        <v>2210131179</v>
      </c>
      <c r="O46" s="177">
        <v>1084726845</v>
      </c>
      <c r="P46" s="177">
        <f>[1]ADM!I37</f>
        <v>1146053334.8333335</v>
      </c>
      <c r="Q46" s="177">
        <f>[1]ADM!J37</f>
        <v>1009483127</v>
      </c>
      <c r="R46" s="177">
        <f>[1]ADM!K37</f>
        <v>1429289092.723774</v>
      </c>
      <c r="S46" s="178"/>
      <c r="T46" s="177">
        <f>[1]ADM!T37</f>
        <v>117010994.88438857</v>
      </c>
      <c r="U46" s="177">
        <f>[1]ADM!U37</f>
        <v>105427661.55105525</v>
      </c>
      <c r="V46" s="177">
        <f>[1]ADM!V37</f>
        <v>150831828.21772191</v>
      </c>
      <c r="W46" s="177">
        <f>[1]ADM!W37</f>
        <v>132767499.66216636</v>
      </c>
      <c r="X46" s="177">
        <f>[1]ADM!X37</f>
        <v>127079999.66216636</v>
      </c>
      <c r="Y46" s="177">
        <f>[1]ADM!Y37</f>
        <v>111774444.1066108</v>
      </c>
      <c r="Z46" s="177">
        <f>[1]ADM!Z37</f>
        <v>108774444.1066108</v>
      </c>
      <c r="AA46" s="177">
        <f>[1]ADM!AA37</f>
        <v>139149444.1066108</v>
      </c>
      <c r="AB46" s="177">
        <f>[1]ADM!AB37</f>
        <v>112518194.1066108</v>
      </c>
      <c r="AC46" s="177">
        <f>[1]ADM!AC37</f>
        <v>107318194.1066108</v>
      </c>
      <c r="AD46" s="177">
        <f>[1]ADM!AD37</f>
        <v>107318194.1066108</v>
      </c>
      <c r="AE46" s="177">
        <f>[1]ADM!AE37</f>
        <v>109318194.1066108</v>
      </c>
      <c r="AF46" s="178"/>
      <c r="AG46" s="178">
        <v>128416183705295</v>
      </c>
      <c r="AH46" s="178">
        <v>152205862380305</v>
      </c>
      <c r="AI46" s="178">
        <v>167965498397799</v>
      </c>
      <c r="AJ46" s="178">
        <v>185227433130991</v>
      </c>
      <c r="AK46" s="178">
        <v>203269537541841</v>
      </c>
      <c r="AL46" s="123"/>
      <c r="AM46" s="489"/>
      <c r="AN46" s="480"/>
      <c r="AO46" s="473"/>
    </row>
    <row r="47" spans="2:41" s="125" customFormat="1" outlineLevel="1">
      <c r="B47" s="126"/>
      <c r="C47" s="128"/>
      <c r="D47" s="128"/>
      <c r="E47" s="128"/>
      <c r="F47" s="129" t="str">
        <f>IF(B1="EN", "Growth (%)", "Tăng trưởng (%)")</f>
        <v>Tăng trưởng (%)</v>
      </c>
      <c r="G47" s="182"/>
      <c r="H47" s="130"/>
      <c r="I47" s="130"/>
      <c r="J47" s="130"/>
      <c r="K47" s="131"/>
      <c r="L47" s="131"/>
      <c r="M47" s="131"/>
      <c r="N47" s="131">
        <f>IFERROR(N46/M46-1,)</f>
        <v>0</v>
      </c>
      <c r="O47" s="131">
        <f t="shared" ref="O47" si="46">IFERROR(O46/N46-1,)</f>
        <v>-0.50920250557670632</v>
      </c>
      <c r="P47" s="131">
        <f>IFERROR(P46/O46-1,)</f>
        <v>5.6536343795689392E-2</v>
      </c>
      <c r="Q47" s="131">
        <f>IFERROR(Q46/O46-1,)</f>
        <v>-6.9366512266966107E-2</v>
      </c>
      <c r="R47" s="131">
        <f>IFERROR(R46/Q46-1,)</f>
        <v>0.41586229080555404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251">
        <v>6565991010430.3604</v>
      </c>
      <c r="AH47" s="251">
        <v>6525416959720.9805</v>
      </c>
      <c r="AI47" s="251">
        <v>6335335018549.9404</v>
      </c>
      <c r="AJ47" s="251">
        <v>6167189288903.6797</v>
      </c>
      <c r="AK47" s="251">
        <v>6063688714070.4805</v>
      </c>
      <c r="AL47" s="123"/>
      <c r="AM47" s="196"/>
      <c r="AN47" s="474"/>
      <c r="AO47" s="473"/>
    </row>
    <row r="48" spans="2:41" s="125" customFormat="1" outlineLevel="1">
      <c r="B48" s="126"/>
      <c r="C48" s="128"/>
      <c r="D48" s="209" t="str">
        <f>IF(B1="EN", "Depreciation &amp; Amortization (ADM)", "Chi phí khấu hao (Quản lý)")</f>
        <v>Chi phí khấu hao (Quản lý)</v>
      </c>
      <c r="E48" s="128"/>
      <c r="F48" s="129"/>
      <c r="G48" s="182"/>
      <c r="H48" s="130"/>
      <c r="I48" s="130"/>
      <c r="J48" s="130"/>
      <c r="K48" s="254"/>
      <c r="L48" s="254"/>
      <c r="M48" s="254"/>
      <c r="N48" s="177">
        <f>[1]Depreciation!H39</f>
        <v>92651466</v>
      </c>
      <c r="O48" s="177">
        <f>[1]Depreciation!I39</f>
        <v>86101466</v>
      </c>
      <c r="P48" s="177">
        <f>-[1]Depreciation!J39</f>
        <v>86101466</v>
      </c>
      <c r="Q48" s="177">
        <f>-[1]Depreciation!K39</f>
        <v>86101464</v>
      </c>
      <c r="R48" s="177">
        <f>-[1]Depreciation!L39</f>
        <v>31721592.210526317</v>
      </c>
      <c r="S48" s="254"/>
      <c r="T48" s="177">
        <f>-[1]ADM!T43</f>
        <v>2643466.0175438598</v>
      </c>
      <c r="U48" s="177">
        <f>-[1]ADM!U43</f>
        <v>2643466.0175438598</v>
      </c>
      <c r="V48" s="177">
        <f>-[1]ADM!V43</f>
        <v>2643466.0175438598</v>
      </c>
      <c r="W48" s="177">
        <f>-[1]ADM!W43</f>
        <v>2643466.0175438598</v>
      </c>
      <c r="X48" s="177">
        <f>-[1]ADM!X43</f>
        <v>2643466.0175438598</v>
      </c>
      <c r="Y48" s="177">
        <f>-[1]ADM!Y43</f>
        <v>2643466.0175438598</v>
      </c>
      <c r="Z48" s="177">
        <f>-[1]ADM!Z43</f>
        <v>2643466.0175438598</v>
      </c>
      <c r="AA48" s="177">
        <f>-[1]ADM!AA43</f>
        <v>2643466.0175438598</v>
      </c>
      <c r="AB48" s="177">
        <f>-[1]ADM!AB43</f>
        <v>2643466.0175438598</v>
      </c>
      <c r="AC48" s="177">
        <f>-[1]ADM!AC43</f>
        <v>2643466.0175438598</v>
      </c>
      <c r="AD48" s="177">
        <f>-[1]ADM!AD43</f>
        <v>2643466.0175438598</v>
      </c>
      <c r="AE48" s="177">
        <f>-[1]ADM!AE43</f>
        <v>2643466.0175438598</v>
      </c>
      <c r="AF48" s="254"/>
      <c r="AG48" s="260">
        <v>8811104061</v>
      </c>
      <c r="AH48" s="260">
        <v>7790989173</v>
      </c>
      <c r="AI48" s="260">
        <v>6387255167</v>
      </c>
      <c r="AJ48" s="260">
        <v>607869688</v>
      </c>
      <c r="AK48" s="260">
        <v>1488203332</v>
      </c>
      <c r="AL48" s="123"/>
      <c r="AM48" s="196"/>
      <c r="AN48" s="480"/>
      <c r="AO48" s="473"/>
    </row>
    <row r="49" spans="2:45" s="170" customFormat="1" outlineLevel="1">
      <c r="B49" s="163"/>
      <c r="C49" s="164" t="str">
        <f>IF(B1="EN", "ADM Expenses on Net Sales (%)", "Chi phí Quản lý / Doanh thu (%)")</f>
        <v>Chi phí Quản lý / Doanh thu (%)</v>
      </c>
      <c r="D49" s="165"/>
      <c r="E49" s="165"/>
      <c r="F49" s="166"/>
      <c r="G49" s="167"/>
      <c r="H49" s="167"/>
      <c r="I49" s="167"/>
      <c r="J49" s="167"/>
      <c r="K49" s="168"/>
      <c r="L49" s="168"/>
      <c r="M49" s="168"/>
      <c r="N49" s="168">
        <f t="shared" ref="N49:O49" si="47">IFERROR(N43/N7,)</f>
        <v>6.8716133829280865E-2</v>
      </c>
      <c r="O49" s="168">
        <f t="shared" si="47"/>
        <v>2.2893522694942534E-2</v>
      </c>
      <c r="P49" s="168">
        <f>IFERROR(P43/P7,)</f>
        <v>2.156418967903757E-2</v>
      </c>
      <c r="Q49" s="168">
        <f>IFERROR(Q43/Q7,)</f>
        <v>2.254082877867819E-2</v>
      </c>
      <c r="R49" s="168">
        <f>IFERROR(R43/R7,)</f>
        <v>3.4257499258500038E-2</v>
      </c>
      <c r="S49" s="168"/>
      <c r="T49" s="168">
        <f>T43/T7</f>
        <v>4.7905074748892565E-2</v>
      </c>
      <c r="U49" s="168">
        <f t="shared" ref="U49:AE49" si="48">U43/U7</f>
        <v>5.4203328377530099E-2</v>
      </c>
      <c r="V49" s="168">
        <f t="shared" si="48"/>
        <v>4.022918256518046E-2</v>
      </c>
      <c r="W49" s="168">
        <f t="shared" si="48"/>
        <v>3.2524431943244933E-2</v>
      </c>
      <c r="X49" s="168">
        <f t="shared" si="48"/>
        <v>3.1365746366009611E-2</v>
      </c>
      <c r="Y49" s="168">
        <f t="shared" si="48"/>
        <v>4.1558432232424489E-2</v>
      </c>
      <c r="Z49" s="168">
        <f t="shared" si="48"/>
        <v>3.0589454619146913E-2</v>
      </c>
      <c r="AA49" s="168">
        <f t="shared" si="48"/>
        <v>3.2490944889854968E-2</v>
      </c>
      <c r="AB49" s="168">
        <f t="shared" si="48"/>
        <v>3.1155831200298689E-2</v>
      </c>
      <c r="AC49" s="168">
        <f t="shared" si="48"/>
        <v>2.7645437704872575E-2</v>
      </c>
      <c r="AD49" s="168">
        <f t="shared" si="48"/>
        <v>2.8542237910475367E-2</v>
      </c>
      <c r="AE49" s="168">
        <f t="shared" si="48"/>
        <v>2.8205804132428885E-2</v>
      </c>
      <c r="AF49" s="168"/>
      <c r="AG49" s="168">
        <f t="shared" ref="AG49:AK49" si="49">AG43/AG7</f>
        <v>0.51348530125984082</v>
      </c>
      <c r="AH49" s="168">
        <f t="shared" si="49"/>
        <v>0.51676735320483658</v>
      </c>
      <c r="AI49" s="168">
        <f t="shared" si="49"/>
        <v>0.50435701677824918</v>
      </c>
      <c r="AJ49" s="168">
        <f t="shared" si="49"/>
        <v>0.48833909554873545</v>
      </c>
      <c r="AK49" s="168">
        <f t="shared" si="49"/>
        <v>0.47902912298448008</v>
      </c>
      <c r="AL49" s="169"/>
      <c r="AM49" s="196"/>
      <c r="AN49" s="310"/>
      <c r="AO49" s="473"/>
    </row>
    <row r="50" spans="2:45" s="192" customFormat="1" outlineLevel="1">
      <c r="B50" s="142"/>
      <c r="C50" s="237"/>
      <c r="E50" s="143"/>
      <c r="F50" s="188"/>
      <c r="G50" s="261"/>
      <c r="H50" s="261"/>
      <c r="I50" s="261"/>
      <c r="J50" s="261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144"/>
      <c r="AM50" s="493"/>
      <c r="AN50" s="494"/>
      <c r="AO50" s="473"/>
    </row>
    <row r="51" spans="2:45" s="141" customFormat="1">
      <c r="B51" s="243" t="s">
        <v>111</v>
      </c>
      <c r="C51" s="264"/>
      <c r="D51" s="264"/>
      <c r="E51" s="264"/>
      <c r="F51" s="265"/>
      <c r="G51" s="247"/>
      <c r="H51" s="247"/>
      <c r="I51" s="247"/>
      <c r="J51" s="247"/>
      <c r="K51" s="247"/>
      <c r="L51" s="247"/>
      <c r="M51" s="247"/>
      <c r="N51" s="248">
        <f t="shared" ref="N51" si="50">N34-N36-N43</f>
        <v>-22593147034</v>
      </c>
      <c r="O51" s="248">
        <f>O34-O36-O43</f>
        <v>-12372041824.131836</v>
      </c>
      <c r="P51" s="248">
        <f>P34-P36-P43</f>
        <v>-6824147224.8388882</v>
      </c>
      <c r="Q51" s="248">
        <f>Q34-Q36-Q43</f>
        <v>-6735815358.909729</v>
      </c>
      <c r="R51" s="248">
        <f>R34-R36-R43+R57</f>
        <v>-3078315655.7109118</v>
      </c>
      <c r="S51" s="138"/>
      <c r="T51" s="248">
        <f t="shared" ref="T51:AK51" si="51">T34-T36-T43</f>
        <v>-779575645.21043384</v>
      </c>
      <c r="U51" s="248">
        <f t="shared" si="51"/>
        <v>-934118050.57729769</v>
      </c>
      <c r="V51" s="248">
        <f t="shared" si="51"/>
        <v>-585836271.78982258</v>
      </c>
      <c r="W51" s="248">
        <f t="shared" si="51"/>
        <v>-130845894.4926194</v>
      </c>
      <c r="X51" s="248">
        <f t="shared" si="51"/>
        <v>-133257001.47611511</v>
      </c>
      <c r="Y51" s="248">
        <f t="shared" si="51"/>
        <v>-335391631.4861064</v>
      </c>
      <c r="Z51" s="248">
        <f t="shared" si="51"/>
        <v>-186989686.43567866</v>
      </c>
      <c r="AA51" s="248">
        <f t="shared" si="51"/>
        <v>-224615708.5690127</v>
      </c>
      <c r="AB51" s="248">
        <f t="shared" si="51"/>
        <v>-192541687.08525115</v>
      </c>
      <c r="AC51" s="248">
        <f t="shared" si="51"/>
        <v>171523246.39495891</v>
      </c>
      <c r="AD51" s="248">
        <f t="shared" si="51"/>
        <v>116809149.47188228</v>
      </c>
      <c r="AE51" s="248">
        <f t="shared" si="51"/>
        <v>130195410.54453319</v>
      </c>
      <c r="AF51" s="121"/>
      <c r="AG51" s="247">
        <f t="shared" si="51"/>
        <v>-1153920316057375</v>
      </c>
      <c r="AH51" s="247">
        <f t="shared" si="51"/>
        <v>-1326182881835906</v>
      </c>
      <c r="AI51" s="247">
        <f t="shared" si="51"/>
        <v>-1120289784694718</v>
      </c>
      <c r="AJ51" s="247">
        <f t="shared" si="51"/>
        <v>-2007773400657083</v>
      </c>
      <c r="AK51" s="247">
        <f t="shared" si="51"/>
        <v>-2191732968486660</v>
      </c>
      <c r="AL51" s="139"/>
      <c r="AM51" s="483"/>
      <c r="AN51" s="476"/>
      <c r="AO51" s="473"/>
    </row>
    <row r="52" spans="2:45" outlineLevel="1">
      <c r="B52" s="142"/>
      <c r="C52" s="143" t="str">
        <f>IF(B1="EN", "EBIT margin (%)", "Tỷ lệ EBIT (%)")</f>
        <v>Tỷ lệ EBIT (%)</v>
      </c>
      <c r="D52" s="143"/>
      <c r="E52" s="143"/>
      <c r="F52" s="188"/>
      <c r="G52" s="130"/>
      <c r="H52" s="130"/>
      <c r="I52" s="130"/>
      <c r="J52" s="130"/>
      <c r="K52" s="131"/>
      <c r="L52" s="131"/>
      <c r="M52" s="131"/>
      <c r="N52" s="131">
        <f t="shared" ref="N52:O52" si="52">IFERROR(N51/N$7,)</f>
        <v>-0.32848668510513263</v>
      </c>
      <c r="O52" s="131">
        <f t="shared" si="52"/>
        <v>-9.9217484335742956E-2</v>
      </c>
      <c r="P52" s="131">
        <f>IFERROR(P51/P$7,)</f>
        <v>-3.5662004371486075E-2</v>
      </c>
      <c r="Q52" s="131">
        <f>IFERROR(Q51/Q$7,)</f>
        <v>-3.8727678011871158E-2</v>
      </c>
      <c r="R52" s="131">
        <f>IFERROR(R51/R$7,)</f>
        <v>-1.6996446727716351E-2</v>
      </c>
      <c r="S52" s="131"/>
      <c r="T52" s="131">
        <f>T51/T7</f>
        <v>-6.769959495649476E-2</v>
      </c>
      <c r="U52" s="131">
        <f t="shared" ref="U52:AE52" si="53">U51/U7</f>
        <v>-0.10429753426705952</v>
      </c>
      <c r="V52" s="131">
        <f t="shared" si="53"/>
        <v>-4.5787462319015024E-2</v>
      </c>
      <c r="W52" s="131">
        <f t="shared" si="53"/>
        <v>-8.1910188305518248E-3</v>
      </c>
      <c r="X52" s="131">
        <f t="shared" si="53"/>
        <v>-8.3419553408708574E-3</v>
      </c>
      <c r="Y52" s="131">
        <f t="shared" si="53"/>
        <v>-2.0995684883847513E-2</v>
      </c>
      <c r="Z52" s="131">
        <f t="shared" si="53"/>
        <v>-1.1705648455022942E-2</v>
      </c>
      <c r="AA52" s="131">
        <f t="shared" si="53"/>
        <v>-1.4061056372160787E-2</v>
      </c>
      <c r="AB52" s="131">
        <f t="shared" si="53"/>
        <v>-1.205320648918388E-2</v>
      </c>
      <c r="AC52" s="131">
        <f t="shared" si="53"/>
        <v>9.8949658407437302E-3</v>
      </c>
      <c r="AD52" s="131">
        <f t="shared" si="53"/>
        <v>6.7385766547884878E-3</v>
      </c>
      <c r="AE52" s="131">
        <f t="shared" si="53"/>
        <v>7.510813647925595E-3</v>
      </c>
      <c r="AF52" s="131"/>
      <c r="AG52" s="131">
        <f t="shared" ref="AG52:AK52" si="54">AG51/AG$7</f>
        <v>-1.863799002282315</v>
      </c>
      <c r="AH52" s="131">
        <f t="shared" si="54"/>
        <v>-1.9514763365238688</v>
      </c>
      <c r="AI52" s="131">
        <f t="shared" si="54"/>
        <v>-1.482727840857079</v>
      </c>
      <c r="AJ52" s="131">
        <f t="shared" si="54"/>
        <v>-2.3936728393785485</v>
      </c>
      <c r="AK52" s="131">
        <f t="shared" si="54"/>
        <v>-2.3674740948516635</v>
      </c>
      <c r="AL52" s="144"/>
      <c r="AM52" s="196"/>
      <c r="AN52" s="474"/>
      <c r="AO52" s="473"/>
    </row>
    <row r="53" spans="2:45" outlineLevel="1">
      <c r="B53" s="267"/>
      <c r="C53" s="268" t="str">
        <f>IF(B1="EN", "Depreciation &amp; Amortization Total", "Tổng chi phí Khấu hao")</f>
        <v>Tổng chi phí Khấu hao</v>
      </c>
      <c r="D53" s="269"/>
      <c r="E53" s="269"/>
      <c r="F53" s="270"/>
      <c r="G53" s="183"/>
      <c r="H53" s="183"/>
      <c r="I53" s="183"/>
      <c r="J53" s="183"/>
      <c r="K53" s="184"/>
      <c r="L53" s="184"/>
      <c r="M53" s="184"/>
      <c r="N53" s="185">
        <f t="shared" ref="N53" si="55">N30+N48+N41</f>
        <v>3749488106</v>
      </c>
      <c r="O53" s="185">
        <f>O30+O48+O41</f>
        <v>6565282547</v>
      </c>
      <c r="P53" s="185">
        <f>P30+P48+P41</f>
        <v>7741389506.666667</v>
      </c>
      <c r="Q53" s="185">
        <f>Q30+Q48+Q41</f>
        <v>7235848586.666667</v>
      </c>
      <c r="R53" s="185">
        <f>R30+R48+R41</f>
        <v>4587983912.6975937</v>
      </c>
      <c r="S53" s="184"/>
      <c r="T53" s="185">
        <f>T30+T48+T41</f>
        <v>380128078.28035504</v>
      </c>
      <c r="U53" s="185">
        <f t="shared" ref="U53:AE53" si="56">U30+U48+U41</f>
        <v>380128078.28035504</v>
      </c>
      <c r="V53" s="185">
        <f t="shared" si="56"/>
        <v>377564442.28035504</v>
      </c>
      <c r="W53" s="185">
        <f t="shared" si="56"/>
        <v>377564442.28035504</v>
      </c>
      <c r="X53" s="185">
        <f t="shared" si="56"/>
        <v>377564442.28035504</v>
      </c>
      <c r="Y53" s="185">
        <f t="shared" si="56"/>
        <v>377564442.28035504</v>
      </c>
      <c r="Z53" s="185">
        <f t="shared" si="56"/>
        <v>377564442.28035504</v>
      </c>
      <c r="AA53" s="185">
        <f t="shared" si="56"/>
        <v>377564442.28035504</v>
      </c>
      <c r="AB53" s="185">
        <f t="shared" si="56"/>
        <v>377564442.28035504</v>
      </c>
      <c r="AC53" s="185">
        <f t="shared" si="56"/>
        <v>394925553.39146614</v>
      </c>
      <c r="AD53" s="185">
        <f t="shared" si="56"/>
        <v>394925553.39146614</v>
      </c>
      <c r="AE53" s="185">
        <f t="shared" si="56"/>
        <v>394925553.39146614</v>
      </c>
      <c r="AF53" s="184"/>
      <c r="AG53" s="184">
        <f>AG48+AG41+AG30</f>
        <v>16443218328732</v>
      </c>
      <c r="AH53" s="184">
        <f t="shared" ref="AH53:AK53" si="57">AH48+AH41+AH30</f>
        <v>193461209563071</v>
      </c>
      <c r="AI53" s="184">
        <f t="shared" si="57"/>
        <v>240156674109768</v>
      </c>
      <c r="AJ53" s="184">
        <f t="shared" si="57"/>
        <v>299529910205941</v>
      </c>
      <c r="AK53" s="184">
        <f t="shared" si="57"/>
        <v>352440475651258</v>
      </c>
      <c r="AL53" s="271"/>
      <c r="AM53" s="196"/>
      <c r="AN53" s="481"/>
      <c r="AO53" s="473"/>
    </row>
    <row r="54" spans="2:45" s="277" customFormat="1" outlineLevel="1">
      <c r="B54" s="272"/>
      <c r="C54" s="273" t="str">
        <f>IF(B1="EN", "Depreciation on Net Sales (%)", "Tổng Chi phí Khấu hao / Doanh thu (%)")</f>
        <v>Tổng Chi phí Khấu hao / Doanh thu (%)</v>
      </c>
      <c r="D54" s="273"/>
      <c r="E54" s="273"/>
      <c r="F54" s="274"/>
      <c r="G54" s="275"/>
      <c r="H54" s="275"/>
      <c r="I54" s="275"/>
      <c r="J54" s="275"/>
      <c r="K54" s="276"/>
      <c r="L54" s="276"/>
      <c r="M54" s="276"/>
      <c r="N54" s="276">
        <f t="shared" ref="N54:O54" si="58">IFERROR(N53/N7,)</f>
        <v>5.4514624143664668E-2</v>
      </c>
      <c r="O54" s="276">
        <f t="shared" si="58"/>
        <v>5.2650227628244228E-2</v>
      </c>
      <c r="P54" s="276">
        <f>IFERROR(P53/P7,)</f>
        <v>4.0455379600143511E-2</v>
      </c>
      <c r="Q54" s="276">
        <f>IFERROR(Q53/Q7,)</f>
        <v>4.1602627042977292E-2</v>
      </c>
      <c r="R54" s="168">
        <f>IFERROR(R53/R7,)</f>
        <v>2.5331847958839544E-2</v>
      </c>
      <c r="S54" s="168"/>
      <c r="T54" s="276">
        <f>T53/T7</f>
        <v>3.3010929842766122E-2</v>
      </c>
      <c r="U54" s="276">
        <f t="shared" ref="U54:AE54" si="59">U53/U7</f>
        <v>4.2442624083556445E-2</v>
      </c>
      <c r="V54" s="276">
        <f t="shared" si="59"/>
        <v>2.9509469635765239E-2</v>
      </c>
      <c r="W54" s="276">
        <f t="shared" si="59"/>
        <v>2.3635724058882347E-2</v>
      </c>
      <c r="X54" s="276">
        <f t="shared" si="59"/>
        <v>2.3635724058882347E-2</v>
      </c>
      <c r="Y54" s="276">
        <f t="shared" si="59"/>
        <v>2.3635724058882347E-2</v>
      </c>
      <c r="Z54" s="276">
        <f t="shared" si="59"/>
        <v>2.3635724058882347E-2</v>
      </c>
      <c r="AA54" s="276">
        <f t="shared" si="59"/>
        <v>2.3635724058882347E-2</v>
      </c>
      <c r="AB54" s="276">
        <f t="shared" si="59"/>
        <v>2.3635724058882347E-2</v>
      </c>
      <c r="AC54" s="276">
        <f t="shared" si="59"/>
        <v>2.2782771097085659E-2</v>
      </c>
      <c r="AD54" s="276">
        <f t="shared" si="59"/>
        <v>2.2782771097085659E-2</v>
      </c>
      <c r="AE54" s="276">
        <f t="shared" si="59"/>
        <v>2.2782771097085659E-2</v>
      </c>
      <c r="AF54" s="168"/>
      <c r="AG54" s="276">
        <f t="shared" ref="AG54:AK54" si="60">AG53/AG7</f>
        <v>2.6558899682183217E-2</v>
      </c>
      <c r="AH54" s="276">
        <f t="shared" si="60"/>
        <v>0.28467791106983403</v>
      </c>
      <c r="AI54" s="168">
        <f t="shared" si="60"/>
        <v>0.31785256969671299</v>
      </c>
      <c r="AJ54" s="168">
        <f t="shared" si="60"/>
        <v>0.35710036322167227</v>
      </c>
      <c r="AK54" s="168">
        <f t="shared" si="60"/>
        <v>0.38070043571853601</v>
      </c>
      <c r="AL54" s="169"/>
      <c r="AM54" s="493"/>
      <c r="AN54" s="495"/>
      <c r="AO54" s="473"/>
    </row>
    <row r="55" spans="2:45" s="141" customFormat="1" ht="17" thickBot="1">
      <c r="B55" s="132" t="s">
        <v>112</v>
      </c>
      <c r="C55" s="133"/>
      <c r="D55" s="133"/>
      <c r="E55" s="133"/>
      <c r="F55" s="134"/>
      <c r="G55" s="136"/>
      <c r="H55" s="136"/>
      <c r="I55" s="136"/>
      <c r="J55" s="136"/>
      <c r="K55" s="136"/>
      <c r="L55" s="136"/>
      <c r="M55" s="136"/>
      <c r="N55" s="137">
        <f>N65+N53+N61+N59-N64</f>
        <v>-18882450264</v>
      </c>
      <c r="O55" s="137">
        <f>O65+O53+O61+O59-O64</f>
        <v>-5990638582.1318359</v>
      </c>
      <c r="P55" s="137">
        <f t="shared" ref="P55" si="61">P65+P53+P61+P59-P64</f>
        <v>852742281.82777882</v>
      </c>
      <c r="Q55" s="137">
        <f>Q65+Q53+Q61+Q59-Q64</f>
        <v>582429620.75693798</v>
      </c>
      <c r="R55" s="137">
        <f>R65+R53+R61+R59-R64</f>
        <v>1509668256.9866819</v>
      </c>
      <c r="S55" s="138"/>
      <c r="T55" s="137">
        <f t="shared" ref="T55:AE55" si="62">T65+T53+T61+T59-T64</f>
        <v>-398437566.9300788</v>
      </c>
      <c r="U55" s="137">
        <f t="shared" si="62"/>
        <v>-552979972.29694271</v>
      </c>
      <c r="V55" s="137">
        <f t="shared" si="62"/>
        <v>-207261829.50946754</v>
      </c>
      <c r="W55" s="137">
        <f t="shared" si="62"/>
        <v>247728547.78773564</v>
      </c>
      <c r="X55" s="137">
        <f t="shared" si="62"/>
        <v>245317440.80423993</v>
      </c>
      <c r="Y55" s="137">
        <f t="shared" si="62"/>
        <v>43182810.794248641</v>
      </c>
      <c r="Z55" s="137">
        <f t="shared" si="62"/>
        <v>191584755.84467638</v>
      </c>
      <c r="AA55" s="137">
        <f t="shared" si="62"/>
        <v>153958733.71134233</v>
      </c>
      <c r="AB55" s="137">
        <f t="shared" si="62"/>
        <v>186032755.19510388</v>
      </c>
      <c r="AC55" s="137">
        <f t="shared" si="62"/>
        <v>567458799.78642511</v>
      </c>
      <c r="AD55" s="137">
        <f t="shared" si="62"/>
        <v>512744702.86334842</v>
      </c>
      <c r="AE55" s="137">
        <f t="shared" si="62"/>
        <v>526130963.93599933</v>
      </c>
      <c r="AF55" s="121"/>
      <c r="AG55" s="136">
        <f t="shared" ref="AG55:AK55" si="63">AG51+AG53+AG57+AG63</f>
        <v>-872839376410820</v>
      </c>
      <c r="AH55" s="136">
        <f t="shared" si="63"/>
        <v>-1132721672259335</v>
      </c>
      <c r="AI55" s="136">
        <f t="shared" si="63"/>
        <v>-880133110574450</v>
      </c>
      <c r="AJ55" s="136">
        <f t="shared" si="63"/>
        <v>-1708243490442142</v>
      </c>
      <c r="AK55" s="136">
        <f t="shared" si="63"/>
        <v>-1839292492815902</v>
      </c>
      <c r="AL55" s="139"/>
      <c r="AM55" s="475"/>
      <c r="AN55" s="476"/>
      <c r="AO55" s="473"/>
      <c r="AP55" s="140"/>
      <c r="AQ55" s="140"/>
      <c r="AR55" s="140"/>
      <c r="AS55" s="140"/>
    </row>
    <row r="56" spans="2:45" s="279" customFormat="1" ht="17" thickTop="1">
      <c r="B56" s="223"/>
      <c r="C56" s="165" t="str">
        <f>IF(B1="EN", "EBITDA margin (%)", "Tỷ lệ EBITDA (%)")</f>
        <v>Tỷ lệ EBITDA (%)</v>
      </c>
      <c r="D56" s="165"/>
      <c r="E56" s="165"/>
      <c r="F56" s="278"/>
      <c r="G56" s="167"/>
      <c r="H56" s="167"/>
      <c r="I56" s="167"/>
      <c r="J56" s="167"/>
      <c r="K56" s="168"/>
      <c r="L56" s="168"/>
      <c r="M56" s="168"/>
      <c r="N56" s="168">
        <f>IFERROR(N55/N7,)</f>
        <v>-0.27453605664362168</v>
      </c>
      <c r="O56" s="168">
        <f t="shared" ref="O56:R56" si="64">IFERROR(O55/O7,)</f>
        <v>-4.8041875232301925E-2</v>
      </c>
      <c r="P56" s="168">
        <f>IFERROR(P55/P7,)</f>
        <v>4.4563075766600605E-3</v>
      </c>
      <c r="Q56" s="168">
        <f>IFERROR(Q55/Q7,)</f>
        <v>3.348688408956314E-3</v>
      </c>
      <c r="R56" s="168">
        <f t="shared" si="64"/>
        <v>8.3354012311231945E-3</v>
      </c>
      <c r="S56" s="168"/>
      <c r="T56" s="168">
        <f>T55/T7</f>
        <v>-3.4600955099535459E-2</v>
      </c>
      <c r="U56" s="168">
        <f t="shared" ref="U56:AE56" si="65">U55/U7</f>
        <v>-6.1742140165254714E-2</v>
      </c>
      <c r="V56" s="168">
        <f t="shared" si="65"/>
        <v>-1.6199053670475933E-2</v>
      </c>
      <c r="W56" s="168">
        <f t="shared" si="65"/>
        <v>1.5507931736513584E-2</v>
      </c>
      <c r="X56" s="168">
        <f t="shared" si="65"/>
        <v>1.5356995226194549E-2</v>
      </c>
      <c r="Y56" s="168">
        <f t="shared" si="65"/>
        <v>2.7032656832178936E-3</v>
      </c>
      <c r="Z56" s="168">
        <f t="shared" si="65"/>
        <v>1.1993302112042466E-2</v>
      </c>
      <c r="AA56" s="168">
        <f t="shared" si="65"/>
        <v>9.6378941949046212E-3</v>
      </c>
      <c r="AB56" s="168">
        <f t="shared" si="65"/>
        <v>1.1645744077881529E-2</v>
      </c>
      <c r="AC56" s="168">
        <f t="shared" si="65"/>
        <v>3.2736002599826827E-2</v>
      </c>
      <c r="AD56" s="168">
        <f t="shared" si="65"/>
        <v>2.9579613413871577E-2</v>
      </c>
      <c r="AE56" s="168">
        <f t="shared" si="65"/>
        <v>3.0351850407008687E-2</v>
      </c>
      <c r="AF56" s="168"/>
      <c r="AG56" s="168">
        <f t="shared" ref="AG56:AK56" si="66">AG55/AG7</f>
        <v>-1.4098002576690201</v>
      </c>
      <c r="AH56" s="168">
        <f t="shared" si="66"/>
        <v>-1.6667984254341697</v>
      </c>
      <c r="AI56" s="168">
        <f t="shared" si="66"/>
        <v>-1.1648752711464689</v>
      </c>
      <c r="AJ56" s="168">
        <f t="shared" si="66"/>
        <v>-2.0365724761461466</v>
      </c>
      <c r="AK56" s="168">
        <f t="shared" si="66"/>
        <v>-1.9867736591120642</v>
      </c>
      <c r="AL56" s="226"/>
      <c r="AM56" s="477"/>
      <c r="AN56" s="310"/>
      <c r="AO56" s="473"/>
      <c r="AP56" s="145"/>
      <c r="AQ56" s="145"/>
      <c r="AR56" s="145"/>
      <c r="AS56" s="145"/>
    </row>
    <row r="57" spans="2:45" outlineLevel="1">
      <c r="B57" s="280"/>
      <c r="C57" s="281" t="str">
        <f>IF(B1="EN", "Financial Income", "Doanh thu tài chính")</f>
        <v>Doanh thu tài chính</v>
      </c>
      <c r="D57" s="281"/>
      <c r="E57" s="281"/>
      <c r="F57" s="282"/>
      <c r="G57" s="183"/>
      <c r="H57" s="183"/>
      <c r="I57" s="183"/>
      <c r="J57" s="183"/>
      <c r="K57" s="184"/>
      <c r="L57" s="184"/>
      <c r="M57" s="184"/>
      <c r="N57" s="185"/>
      <c r="O57" s="185"/>
      <c r="P57" s="185"/>
      <c r="Q57" s="185"/>
      <c r="R57" s="185"/>
      <c r="S57" s="184"/>
      <c r="T57" s="185">
        <f>[1]PGM_phasing!C25</f>
        <v>1010000</v>
      </c>
      <c r="U57" s="185">
        <f>[1]PGM_phasing!D25</f>
        <v>1010000</v>
      </c>
      <c r="V57" s="185">
        <f>[1]PGM_phasing!E25</f>
        <v>1010000</v>
      </c>
      <c r="W57" s="185">
        <f>[1]PGM_phasing!F25</f>
        <v>1010000</v>
      </c>
      <c r="X57" s="185">
        <f>[1]PGM_phasing!G25</f>
        <v>1010000</v>
      </c>
      <c r="Y57" s="185">
        <f>[1]PGM_phasing!H25</f>
        <v>1010000</v>
      </c>
      <c r="Z57" s="185">
        <f>[1]PGM_phasing!I25</f>
        <v>1010000</v>
      </c>
      <c r="AA57" s="185">
        <f>[1]PGM_phasing!J25</f>
        <v>1010000</v>
      </c>
      <c r="AB57" s="185">
        <f>[1]PGM_phasing!K25</f>
        <v>1010000</v>
      </c>
      <c r="AC57" s="185">
        <f>[1]PGM_phasing!L25</f>
        <v>1010000</v>
      </c>
      <c r="AD57" s="185">
        <f>[1]PGM_phasing!M25</f>
        <v>1010000</v>
      </c>
      <c r="AE57" s="185">
        <f>[1]PGM_phasing!N25</f>
        <v>1010000</v>
      </c>
      <c r="AF57" s="184"/>
      <c r="AG57" s="184">
        <v>18000</v>
      </c>
      <c r="AH57" s="184">
        <v>13500.000000000002</v>
      </c>
      <c r="AI57" s="184">
        <v>10500</v>
      </c>
      <c r="AJ57" s="184">
        <v>9000</v>
      </c>
      <c r="AK57" s="184">
        <v>19500</v>
      </c>
      <c r="AL57" s="271"/>
      <c r="AM57" s="483"/>
      <c r="AN57" s="481"/>
      <c r="AO57" s="473"/>
    </row>
    <row r="58" spans="2:45" outlineLevel="1">
      <c r="B58" s="283"/>
      <c r="C58" s="284" t="str">
        <f>IF(B1="EN", "(%) Financial Income on Net Sales", "(%) Doanh thu tài chính / Doanh thu")</f>
        <v>(%) Doanh thu tài chính / Doanh thu</v>
      </c>
      <c r="F58" s="149"/>
      <c r="G58" s="150"/>
      <c r="H58" s="150"/>
      <c r="I58" s="150"/>
      <c r="J58" s="150"/>
      <c r="K58" s="285"/>
      <c r="L58" s="285"/>
      <c r="M58" s="286"/>
      <c r="N58" s="285">
        <f>IFERROR(N57/N7,)</f>
        <v>0</v>
      </c>
      <c r="O58" s="285">
        <f t="shared" ref="O58:R58" si="67">IFERROR(O57/O7,)</f>
        <v>0</v>
      </c>
      <c r="P58" s="285">
        <f>IFERROR(P57/P7,)</f>
        <v>0</v>
      </c>
      <c r="Q58" s="285">
        <f>IFERROR(Q57/Q7,)</f>
        <v>0</v>
      </c>
      <c r="R58" s="285">
        <f t="shared" si="67"/>
        <v>0</v>
      </c>
      <c r="S58" s="285"/>
      <c r="T58" s="286">
        <f>T57/T7</f>
        <v>8.7710014193173708E-5</v>
      </c>
      <c r="U58" s="286">
        <f t="shared" ref="U58:AE58" si="68">U57/U7</f>
        <v>1.1277001824836619E-4</v>
      </c>
      <c r="V58" s="286">
        <f t="shared" si="68"/>
        <v>7.8939012773856338E-5</v>
      </c>
      <c r="W58" s="286">
        <f t="shared" si="68"/>
        <v>6.3226508183059524E-5</v>
      </c>
      <c r="X58" s="286">
        <f t="shared" si="68"/>
        <v>6.3226508183059524E-5</v>
      </c>
      <c r="Y58" s="286">
        <f t="shared" si="68"/>
        <v>6.3226508183059524E-5</v>
      </c>
      <c r="Z58" s="286">
        <f t="shared" si="68"/>
        <v>6.3226508183059524E-5</v>
      </c>
      <c r="AA58" s="286">
        <f t="shared" si="68"/>
        <v>6.3226508183059524E-5</v>
      </c>
      <c r="AB58" s="286">
        <f t="shared" si="68"/>
        <v>6.3226508183059524E-5</v>
      </c>
      <c r="AC58" s="286">
        <f t="shared" si="68"/>
        <v>5.8265661997433425E-5</v>
      </c>
      <c r="AD58" s="286">
        <f t="shared" si="68"/>
        <v>5.8265661997433425E-5</v>
      </c>
      <c r="AE58" s="286">
        <f t="shared" si="68"/>
        <v>5.8265661997433425E-5</v>
      </c>
      <c r="AF58" s="285"/>
      <c r="AG58" s="285"/>
      <c r="AH58" s="285"/>
      <c r="AI58" s="285"/>
      <c r="AJ58" s="285"/>
      <c r="AK58" s="285"/>
      <c r="AL58" s="153"/>
      <c r="AM58" s="196"/>
      <c r="AN58" s="496"/>
      <c r="AO58" s="473"/>
    </row>
    <row r="59" spans="2:45" s="125" customFormat="1" hidden="1">
      <c r="B59" s="283"/>
      <c r="C59" s="237"/>
      <c r="F59" s="129" t="s">
        <v>113</v>
      </c>
      <c r="G59" s="130"/>
      <c r="H59" s="130"/>
      <c r="I59" s="130"/>
      <c r="J59" s="261"/>
      <c r="K59" s="287"/>
      <c r="L59" s="287"/>
      <c r="M59" s="287"/>
      <c r="N59" s="287">
        <f>[1]FCF!AR10+[1]FCF!AR12</f>
        <v>0</v>
      </c>
      <c r="O59" s="287">
        <f>[1]FCF!AS10+[1]FCF!AS12</f>
        <v>0</v>
      </c>
      <c r="P59" s="287"/>
      <c r="Q59" s="287">
        <f>SUM([1]FCF!BN10:BN12)</f>
        <v>0</v>
      </c>
      <c r="R59" s="287">
        <f>SUM([1]FCF!CH10:CH12)</f>
        <v>0</v>
      </c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131"/>
      <c r="AH59" s="131"/>
      <c r="AI59" s="131"/>
      <c r="AJ59" s="131"/>
      <c r="AK59" s="131"/>
      <c r="AL59" s="144"/>
      <c r="AM59" s="196"/>
      <c r="AN59" s="497"/>
      <c r="AO59" s="473"/>
    </row>
    <row r="60" spans="2:45" s="214" customFormat="1">
      <c r="B60" s="200" t="str">
        <f>IF(B1="EN", "Financial expenses", "Chi phí tài chính")</f>
        <v>Chi phí tài chính</v>
      </c>
      <c r="C60" s="289"/>
      <c r="D60" s="289"/>
      <c r="E60" s="289"/>
      <c r="F60" s="290"/>
      <c r="G60" s="291"/>
      <c r="H60" s="291"/>
      <c r="I60" s="291"/>
      <c r="J60" s="291"/>
      <c r="K60" s="292"/>
      <c r="L60" s="292"/>
      <c r="M60" s="292"/>
      <c r="N60" s="204"/>
      <c r="O60" s="204"/>
      <c r="P60" s="204"/>
      <c r="Q60" s="204">
        <f>Q61</f>
        <v>0</v>
      </c>
      <c r="R60" s="204">
        <f t="shared" ref="R60:AK60" si="69">R61</f>
        <v>0</v>
      </c>
      <c r="S60" s="161"/>
      <c r="T60" s="292">
        <f t="shared" si="69"/>
        <v>0</v>
      </c>
      <c r="U60" s="292">
        <f t="shared" si="69"/>
        <v>0</v>
      </c>
      <c r="V60" s="292">
        <f t="shared" si="69"/>
        <v>0</v>
      </c>
      <c r="W60" s="292">
        <f t="shared" si="69"/>
        <v>0</v>
      </c>
      <c r="X60" s="292">
        <f t="shared" si="69"/>
        <v>0</v>
      </c>
      <c r="Y60" s="292">
        <f t="shared" si="69"/>
        <v>0</v>
      </c>
      <c r="Z60" s="292">
        <f t="shared" si="69"/>
        <v>0</v>
      </c>
      <c r="AA60" s="292">
        <f t="shared" si="69"/>
        <v>0</v>
      </c>
      <c r="AB60" s="292">
        <f t="shared" si="69"/>
        <v>0</v>
      </c>
      <c r="AC60" s="292">
        <f t="shared" si="69"/>
        <v>0</v>
      </c>
      <c r="AD60" s="292">
        <f t="shared" si="69"/>
        <v>0</v>
      </c>
      <c r="AE60" s="292">
        <f t="shared" si="69"/>
        <v>0</v>
      </c>
      <c r="AF60" s="161"/>
      <c r="AG60" s="292">
        <f t="shared" si="69"/>
        <v>409524669171388</v>
      </c>
      <c r="AH60" s="292">
        <f t="shared" si="69"/>
        <v>513743343192505</v>
      </c>
      <c r="AI60" s="204">
        <f t="shared" si="69"/>
        <v>584947505476862</v>
      </c>
      <c r="AJ60" s="204">
        <f t="shared" si="69"/>
        <v>668174703282399</v>
      </c>
      <c r="AK60" s="204">
        <f t="shared" si="69"/>
        <v>750140738150861</v>
      </c>
      <c r="AL60" s="162"/>
      <c r="AM60" s="489"/>
      <c r="AN60" s="498"/>
      <c r="AO60" s="473"/>
    </row>
    <row r="61" spans="2:45" outlineLevel="1">
      <c r="B61" s="280"/>
      <c r="C61" s="281" t="str">
        <f>IF(B1="EN", "In which: Interest expense", "Trong đó: Chi phí lãi vay")</f>
        <v>Trong đó: Chi phí lãi vay</v>
      </c>
      <c r="D61" s="281"/>
      <c r="E61" s="281"/>
      <c r="F61" s="282"/>
      <c r="G61" s="293"/>
      <c r="H61" s="293"/>
      <c r="I61" s="293"/>
      <c r="J61" s="293"/>
      <c r="K61" s="294"/>
      <c r="L61" s="294"/>
      <c r="M61" s="294"/>
      <c r="N61" s="184"/>
      <c r="O61" s="184"/>
      <c r="P61" s="184"/>
      <c r="Q61" s="294"/>
      <c r="R61" s="184">
        <f>[1]FIN!R23</f>
        <v>0</v>
      </c>
      <c r="S61" s="184"/>
      <c r="T61" s="294">
        <f>-[1]PGM_phasing!C27</f>
        <v>0</v>
      </c>
      <c r="U61" s="294">
        <f>-[1]PGM_phasing!D27</f>
        <v>0</v>
      </c>
      <c r="V61" s="294">
        <f>-[1]PGM_phasing!E27</f>
        <v>0</v>
      </c>
      <c r="W61" s="294">
        <f>-[1]PGM_phasing!F27</f>
        <v>0</v>
      </c>
      <c r="X61" s="294">
        <f>-[1]PGM_phasing!G27</f>
        <v>0</v>
      </c>
      <c r="Y61" s="294">
        <f>-[1]PGM_phasing!H27</f>
        <v>0</v>
      </c>
      <c r="Z61" s="294">
        <f>-[1]PGM_phasing!I27</f>
        <v>0</v>
      </c>
      <c r="AA61" s="294">
        <f>-[1]PGM_phasing!J27</f>
        <v>0</v>
      </c>
      <c r="AB61" s="294">
        <f>-[1]PGM_phasing!K27</f>
        <v>0</v>
      </c>
      <c r="AC61" s="294">
        <f>-[1]PGM_phasing!L27</f>
        <v>0</v>
      </c>
      <c r="AD61" s="294">
        <f>-[1]PGM_phasing!M27</f>
        <v>0</v>
      </c>
      <c r="AE61" s="294">
        <f>-[1]PGM_phasing!N27</f>
        <v>0</v>
      </c>
      <c r="AF61" s="184"/>
      <c r="AG61" s="294">
        <v>409524669171388</v>
      </c>
      <c r="AH61" s="294">
        <v>513743343192505</v>
      </c>
      <c r="AI61" s="294">
        <v>584947505476862</v>
      </c>
      <c r="AJ61" s="294">
        <v>668174703282399</v>
      </c>
      <c r="AK61" s="294">
        <v>750140738150861</v>
      </c>
      <c r="AL61" s="271"/>
      <c r="AM61" s="499"/>
      <c r="AN61" s="500"/>
      <c r="AO61" s="473"/>
    </row>
    <row r="62" spans="2:45" s="170" customFormat="1" outlineLevel="1">
      <c r="B62" s="295"/>
      <c r="C62" s="296" t="str">
        <f>IF(B1="EN", "(%) Interest Expenses on Net Sales", "(%) Chi phí lãi vay / Doanh thu")</f>
        <v>(%) Chi phí lãi vay / Doanh thu</v>
      </c>
      <c r="D62" s="296"/>
      <c r="E62" s="296"/>
      <c r="F62" s="166"/>
      <c r="G62" s="275"/>
      <c r="H62" s="275"/>
      <c r="I62" s="275"/>
      <c r="J62" s="275"/>
      <c r="K62" s="276"/>
      <c r="L62" s="276"/>
      <c r="M62" s="276"/>
      <c r="N62" s="168">
        <f>IFERROR(N61/N7,)</f>
        <v>0</v>
      </c>
      <c r="O62" s="168">
        <f t="shared" ref="O62:R62" si="70">IFERROR(O61/O7,)</f>
        <v>0</v>
      </c>
      <c r="P62" s="168">
        <f>IFERROR(P61/P7,)</f>
        <v>0</v>
      </c>
      <c r="Q62" s="168">
        <f>IFERROR(Q61/Q7,)</f>
        <v>0</v>
      </c>
      <c r="R62" s="168">
        <f t="shared" si="70"/>
        <v>0</v>
      </c>
      <c r="S62" s="168"/>
      <c r="T62" s="276">
        <f>T61/T7</f>
        <v>0</v>
      </c>
      <c r="U62" s="276">
        <f t="shared" ref="U62:AE62" si="71">U61/U7</f>
        <v>0</v>
      </c>
      <c r="V62" s="276">
        <f t="shared" si="71"/>
        <v>0</v>
      </c>
      <c r="W62" s="276">
        <f t="shared" si="71"/>
        <v>0</v>
      </c>
      <c r="X62" s="276">
        <f t="shared" si="71"/>
        <v>0</v>
      </c>
      <c r="Y62" s="276">
        <f t="shared" si="71"/>
        <v>0</v>
      </c>
      <c r="Z62" s="276">
        <f t="shared" si="71"/>
        <v>0</v>
      </c>
      <c r="AA62" s="276">
        <f t="shared" si="71"/>
        <v>0</v>
      </c>
      <c r="AB62" s="276">
        <f t="shared" si="71"/>
        <v>0</v>
      </c>
      <c r="AC62" s="276">
        <f t="shared" si="71"/>
        <v>0</v>
      </c>
      <c r="AD62" s="276">
        <f t="shared" si="71"/>
        <v>0</v>
      </c>
      <c r="AE62" s="276">
        <f t="shared" si="71"/>
        <v>0</v>
      </c>
      <c r="AF62" s="168"/>
      <c r="AG62" s="276">
        <f t="shared" ref="AG62:AK62" si="72">AG61/AG7</f>
        <v>0.66145959923776643</v>
      </c>
      <c r="AH62" s="276">
        <f t="shared" si="72"/>
        <v>0.7559726422489631</v>
      </c>
      <c r="AI62" s="276">
        <f t="shared" si="72"/>
        <v>0.7741907171337713</v>
      </c>
      <c r="AJ62" s="276">
        <f t="shared" si="72"/>
        <v>0.7965996753834208</v>
      </c>
      <c r="AK62" s="276">
        <f t="shared" si="72"/>
        <v>0.81028975272079451</v>
      </c>
      <c r="AL62" s="169"/>
      <c r="AM62" s="196"/>
      <c r="AN62" s="310"/>
      <c r="AO62" s="473"/>
    </row>
    <row r="63" spans="2:45" outlineLevel="1">
      <c r="B63" s="267"/>
      <c r="C63" s="281" t="str">
        <f>IF(B1="EN", "Other income", "Thu nhập khác")</f>
        <v>Thu nhập khác</v>
      </c>
      <c r="D63" s="269"/>
      <c r="E63" s="269"/>
      <c r="F63" s="270"/>
      <c r="G63" s="183"/>
      <c r="H63" s="183"/>
      <c r="I63" s="183"/>
      <c r="J63" s="183"/>
      <c r="K63" s="184"/>
      <c r="L63" s="184"/>
      <c r="M63" s="184"/>
      <c r="N63" s="185">
        <v>-38791336</v>
      </c>
      <c r="O63" s="185">
        <v>-183879305</v>
      </c>
      <c r="P63" s="185">
        <v>-64500000</v>
      </c>
      <c r="Q63" s="185">
        <v>82396393</v>
      </c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>
        <v>264637721299823</v>
      </c>
      <c r="AH63" s="184">
        <v>0</v>
      </c>
      <c r="AI63" s="184">
        <v>0</v>
      </c>
      <c r="AJ63" s="184">
        <v>0</v>
      </c>
      <c r="AK63" s="184">
        <v>0</v>
      </c>
      <c r="AL63" s="271"/>
      <c r="AM63" s="196"/>
      <c r="AN63" s="501"/>
      <c r="AO63" s="473"/>
    </row>
    <row r="64" spans="2:45" outlineLevel="1">
      <c r="B64" s="280"/>
      <c r="C64" s="281" t="str">
        <f>IF(B1="EN", "Other expenses (excluding EBITDA)", "Chi phí khác (Không gồm trong EBITDA)")</f>
        <v>Chi phí khác (Không gồm trong EBITDA)</v>
      </c>
      <c r="D64" s="281"/>
      <c r="E64" s="281"/>
      <c r="F64" s="282"/>
      <c r="G64" s="183"/>
      <c r="H64" s="183"/>
      <c r="I64" s="183"/>
      <c r="J64" s="183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271"/>
      <c r="AM64" s="196"/>
      <c r="AN64" s="501"/>
      <c r="AO64" s="473"/>
    </row>
    <row r="65" spans="2:45" s="141" customFormat="1">
      <c r="B65" s="243" t="str">
        <f>IF(B1="EN", "EBT", "LỢI NHUẬN TRƯỚC THUẾ")</f>
        <v>LỢI NHUẬN TRƯỚC THUẾ</v>
      </c>
      <c r="C65" s="244"/>
      <c r="D65" s="244"/>
      <c r="E65" s="244"/>
      <c r="F65" s="245"/>
      <c r="G65" s="246"/>
      <c r="H65" s="246"/>
      <c r="I65" s="246"/>
      <c r="J65" s="246"/>
      <c r="K65" s="247"/>
      <c r="L65" s="247"/>
      <c r="M65" s="247"/>
      <c r="N65" s="248">
        <f>N34-N36-N43+N57-N61+N63</f>
        <v>-22631938370</v>
      </c>
      <c r="O65" s="248">
        <f>O34-O36-O43+O57-O61+O63</f>
        <v>-12555921129.131836</v>
      </c>
      <c r="P65" s="248">
        <f>P34-P36-P43+P57-P61+P63</f>
        <v>-6888647224.8388882</v>
      </c>
      <c r="Q65" s="248">
        <f>Q34-Q36-Q43+Q57-Q61+Q63</f>
        <v>-6653418965.909729</v>
      </c>
      <c r="R65" s="248">
        <f>R34-R36-R43+R57-R61+R63</f>
        <v>-3078315655.7109118</v>
      </c>
      <c r="S65" s="138"/>
      <c r="T65" s="248">
        <f>T34-T36-T43+T57-T61+T63</f>
        <v>-778565645.21043384</v>
      </c>
      <c r="U65" s="248">
        <f t="shared" ref="U65:AE65" si="73">U34-U36-U43+U57-U61+U63</f>
        <v>-933108050.57729769</v>
      </c>
      <c r="V65" s="248">
        <f t="shared" si="73"/>
        <v>-584826271.78982258</v>
      </c>
      <c r="W65" s="248">
        <f t="shared" si="73"/>
        <v>-129835894.4926194</v>
      </c>
      <c r="X65" s="248">
        <f t="shared" si="73"/>
        <v>-132247001.47611511</v>
      </c>
      <c r="Y65" s="248">
        <f t="shared" si="73"/>
        <v>-334381631.4861064</v>
      </c>
      <c r="Z65" s="248">
        <f t="shared" si="73"/>
        <v>-185979686.43567866</v>
      </c>
      <c r="AA65" s="248">
        <f t="shared" si="73"/>
        <v>-223605708.5690127</v>
      </c>
      <c r="AB65" s="248">
        <f t="shared" si="73"/>
        <v>-191531687.08525115</v>
      </c>
      <c r="AC65" s="248">
        <f t="shared" si="73"/>
        <v>172533246.39495891</v>
      </c>
      <c r="AD65" s="248">
        <f t="shared" si="73"/>
        <v>117819149.47188228</v>
      </c>
      <c r="AE65" s="248">
        <f t="shared" si="73"/>
        <v>131205410.54453319</v>
      </c>
      <c r="AF65" s="121"/>
      <c r="AG65" s="247">
        <f t="shared" ref="AG65:AK65" si="74">AG51+AG57-AG60+AG63-AG64</f>
        <v>-1298807263910940</v>
      </c>
      <c r="AH65" s="247">
        <f t="shared" si="74"/>
        <v>-1839926225014911</v>
      </c>
      <c r="AI65" s="247">
        <f t="shared" si="74"/>
        <v>-1705237290161080</v>
      </c>
      <c r="AJ65" s="247">
        <f t="shared" si="74"/>
        <v>-2675948103930482</v>
      </c>
      <c r="AK65" s="247">
        <f t="shared" si="74"/>
        <v>-2941873706618021</v>
      </c>
      <c r="AL65" s="139"/>
      <c r="AM65" s="483"/>
      <c r="AN65" s="476"/>
      <c r="AO65" s="473"/>
    </row>
    <row r="66" spans="2:45" s="170" customFormat="1" outlineLevel="1">
      <c r="B66" s="163"/>
      <c r="C66" s="165" t="str">
        <f>IF(B1= "EN", "EBT margin (%)", "Tỷ lệ Lợi nhuận trước thuế (%)")</f>
        <v>Tỷ lệ Lợi nhuận trước thuế (%)</v>
      </c>
      <c r="D66" s="165"/>
      <c r="E66" s="165"/>
      <c r="F66" s="278"/>
      <c r="G66" s="167"/>
      <c r="H66" s="167"/>
      <c r="I66" s="167"/>
      <c r="J66" s="167"/>
      <c r="K66" s="168"/>
      <c r="L66" s="168"/>
      <c r="M66" s="168"/>
      <c r="N66" s="168">
        <f>IFERROR(N65/N$7,)</f>
        <v>-0.32905068078728633</v>
      </c>
      <c r="O66" s="168">
        <f t="shared" ref="O66:R66" si="75">IFERROR(O65/O$7,)</f>
        <v>-0.10069210286054615</v>
      </c>
      <c r="P66" s="168">
        <f>IFERROR(P65/P$7,)</f>
        <v>-3.5999072023483451E-2</v>
      </c>
      <c r="Q66" s="168">
        <f>IFERROR(Q65/Q$7,)</f>
        <v>-3.8253938634020976E-2</v>
      </c>
      <c r="R66" s="168">
        <f t="shared" si="75"/>
        <v>-1.6996446727716351E-2</v>
      </c>
      <c r="S66" s="168"/>
      <c r="T66" s="168">
        <f>T65/T7</f>
        <v>-6.7611884942301581E-2</v>
      </c>
      <c r="U66" s="168">
        <f t="shared" ref="U66:AE66" si="76">U65/U7</f>
        <v>-0.10418476424881115</v>
      </c>
      <c r="V66" s="168">
        <f t="shared" si="76"/>
        <v>-4.5708523306241172E-2</v>
      </c>
      <c r="W66" s="168">
        <f t="shared" si="76"/>
        <v>-8.1277923223687654E-3</v>
      </c>
      <c r="X66" s="168">
        <f t="shared" si="76"/>
        <v>-8.278728832687798E-3</v>
      </c>
      <c r="Y66" s="168">
        <f t="shared" si="76"/>
        <v>-2.0932458375664455E-2</v>
      </c>
      <c r="Z66" s="168">
        <f t="shared" si="76"/>
        <v>-1.1642421946839883E-2</v>
      </c>
      <c r="AA66" s="168">
        <f t="shared" si="76"/>
        <v>-1.3997829863977726E-2</v>
      </c>
      <c r="AB66" s="168">
        <f t="shared" si="76"/>
        <v>-1.198997998100082E-2</v>
      </c>
      <c r="AC66" s="168">
        <f t="shared" si="76"/>
        <v>9.9532315027411628E-3</v>
      </c>
      <c r="AD66" s="168">
        <f t="shared" si="76"/>
        <v>6.7968423167859213E-3</v>
      </c>
      <c r="AE66" s="168">
        <f t="shared" si="76"/>
        <v>7.5690793099230285E-3</v>
      </c>
      <c r="AF66" s="168"/>
      <c r="AG66" s="168">
        <f t="shared" ref="AG66:AK66" si="77">AG65/AG$7</f>
        <v>-2.0978187565889694</v>
      </c>
      <c r="AH66" s="168">
        <f t="shared" si="77"/>
        <v>-2.707448978752967</v>
      </c>
      <c r="AI66" s="168">
        <f t="shared" si="77"/>
        <v>-2.2569185579769533</v>
      </c>
      <c r="AJ66" s="168">
        <f t="shared" si="77"/>
        <v>-3.1902725147512392</v>
      </c>
      <c r="AK66" s="168">
        <f t="shared" si="77"/>
        <v>-3.1777638475513945</v>
      </c>
      <c r="AL66" s="169"/>
      <c r="AM66" s="196"/>
      <c r="AN66" s="310"/>
      <c r="AO66" s="473"/>
    </row>
    <row r="67" spans="2:45" s="125" customFormat="1" outlineLevel="1">
      <c r="B67" s="297"/>
      <c r="C67" s="298" t="str">
        <f>IF(B1="EN", "CIT", "Thuế")</f>
        <v>Thuế</v>
      </c>
      <c r="D67" s="298"/>
      <c r="E67" s="298"/>
      <c r="F67" s="299"/>
      <c r="G67" s="300"/>
      <c r="H67" s="300"/>
      <c r="I67" s="300"/>
      <c r="J67" s="300"/>
      <c r="K67" s="301"/>
      <c r="L67" s="301"/>
      <c r="M67" s="301"/>
      <c r="N67" s="301"/>
      <c r="O67" s="301"/>
      <c r="P67" s="301"/>
      <c r="Q67" s="301"/>
      <c r="R67" s="301">
        <f>R65*[1]CIT!S9+[1]CIT!S24</f>
        <v>0</v>
      </c>
      <c r="S67" s="184"/>
      <c r="T67" s="184">
        <f>-[1]PGM_phasing!C43</f>
        <v>0</v>
      </c>
      <c r="U67" s="184">
        <f>-[1]PGM_phasing!D43</f>
        <v>0</v>
      </c>
      <c r="V67" s="184">
        <f>-[1]PGM_phasing!E43</f>
        <v>0</v>
      </c>
      <c r="W67" s="184">
        <f>-[1]PGM_phasing!F43</f>
        <v>0</v>
      </c>
      <c r="X67" s="184">
        <f>-[1]PGM_phasing!G43</f>
        <v>0</v>
      </c>
      <c r="Y67" s="184">
        <f>-[1]PGM_phasing!H43</f>
        <v>0</v>
      </c>
      <c r="Z67" s="184">
        <f>-[1]PGM_phasing!I43</f>
        <v>0</v>
      </c>
      <c r="AA67" s="184">
        <f>-[1]PGM_phasing!J43</f>
        <v>0</v>
      </c>
      <c r="AB67" s="184">
        <f>-[1]PGM_phasing!K43</f>
        <v>0</v>
      </c>
      <c r="AC67" s="184">
        <f>-[1]PGM_phasing!L43</f>
        <v>0</v>
      </c>
      <c r="AD67" s="184">
        <f>-[1]PGM_phasing!M43</f>
        <v>0</v>
      </c>
      <c r="AE67" s="184">
        <f>-[1]PGM_phasing!N43</f>
        <v>0</v>
      </c>
      <c r="AF67" s="184"/>
      <c r="AG67" s="184">
        <v>180436399419352</v>
      </c>
      <c r="AH67" s="184">
        <v>195557862601297</v>
      </c>
      <c r="AI67" s="184">
        <v>226189958683654</v>
      </c>
      <c r="AJ67" s="184">
        <v>260093853610068</v>
      </c>
      <c r="AK67" s="184">
        <v>300988023733396</v>
      </c>
      <c r="AL67" s="271"/>
      <c r="AM67" s="475"/>
      <c r="AN67" s="502"/>
      <c r="AO67" s="473"/>
    </row>
    <row r="68" spans="2:45" outlineLevel="1">
      <c r="B68" s="297"/>
      <c r="C68" s="305" t="str">
        <f>IF(B1="EN", "CIT rate (%)", "Thuế suất Thuế TNDN (%)")</f>
        <v>Thuế suất Thuế TNDN (%)</v>
      </c>
      <c r="D68" s="181"/>
      <c r="E68" s="181"/>
      <c r="F68" s="180"/>
      <c r="G68" s="150"/>
      <c r="H68" s="150"/>
      <c r="I68" s="150"/>
      <c r="J68" s="150"/>
      <c r="K68" s="285"/>
      <c r="L68" s="285"/>
      <c r="M68" s="285"/>
      <c r="N68" s="285">
        <f>IFERROR(N67/N65,)</f>
        <v>0</v>
      </c>
      <c r="O68" s="285">
        <f t="shared" ref="O68:R68" si="78">IFERROR(O67/O65,)</f>
        <v>0</v>
      </c>
      <c r="P68" s="285">
        <f>IFERROR(P67/P65,)</f>
        <v>0</v>
      </c>
      <c r="Q68" s="285">
        <f>IFERROR(Q67/Q65,)</f>
        <v>0</v>
      </c>
      <c r="R68" s="285">
        <f t="shared" si="78"/>
        <v>0</v>
      </c>
      <c r="S68" s="285"/>
      <c r="T68" s="285">
        <f>T67/T65</f>
        <v>0</v>
      </c>
      <c r="U68" s="285">
        <f t="shared" ref="U68:AE68" si="79">U67/U65</f>
        <v>0</v>
      </c>
      <c r="V68" s="285">
        <f t="shared" si="79"/>
        <v>0</v>
      </c>
      <c r="W68" s="285">
        <f t="shared" si="79"/>
        <v>0</v>
      </c>
      <c r="X68" s="285">
        <f t="shared" si="79"/>
        <v>0</v>
      </c>
      <c r="Y68" s="285">
        <f t="shared" si="79"/>
        <v>0</v>
      </c>
      <c r="Z68" s="285">
        <f t="shared" si="79"/>
        <v>0</v>
      </c>
      <c r="AA68" s="285">
        <f t="shared" si="79"/>
        <v>0</v>
      </c>
      <c r="AB68" s="285">
        <f t="shared" si="79"/>
        <v>0</v>
      </c>
      <c r="AC68" s="285">
        <f t="shared" si="79"/>
        <v>0</v>
      </c>
      <c r="AD68" s="285">
        <f t="shared" si="79"/>
        <v>0</v>
      </c>
      <c r="AE68" s="285">
        <f t="shared" si="79"/>
        <v>0</v>
      </c>
      <c r="AF68" s="285"/>
      <c r="AG68" s="286">
        <f>AG67/AG65</f>
        <v>-0.13892469224111503</v>
      </c>
      <c r="AH68" s="286">
        <f t="shared" ref="AH68:AK68" si="80">AH67/AH65</f>
        <v>-0.10628570860210015</v>
      </c>
      <c r="AI68" s="286">
        <f t="shared" si="80"/>
        <v>-0.13264427184927891</v>
      </c>
      <c r="AJ68" s="286">
        <f t="shared" si="80"/>
        <v>-9.7196897513833452E-2</v>
      </c>
      <c r="AK68" s="286">
        <f t="shared" si="80"/>
        <v>-0.10231167403831619</v>
      </c>
      <c r="AL68" s="153"/>
      <c r="AM68" s="196"/>
      <c r="AN68" s="496"/>
      <c r="AO68" s="473"/>
    </row>
    <row r="69" spans="2:45" s="170" customFormat="1" ht="17" thickBot="1">
      <c r="B69" s="306" t="str">
        <f>IF(B1="en","NET PROFIT AFTER TAX","LỢI NHUẬN SAU THUẾ")</f>
        <v>LỢI NHUẬN SAU THUẾ</v>
      </c>
      <c r="C69" s="307"/>
      <c r="D69" s="307"/>
      <c r="E69" s="307"/>
      <c r="F69" s="307"/>
      <c r="G69" s="135"/>
      <c r="H69" s="135"/>
      <c r="I69" s="135"/>
      <c r="J69" s="135"/>
      <c r="K69" s="136"/>
      <c r="L69" s="136"/>
      <c r="M69" s="136"/>
      <c r="N69" s="137">
        <f>N65-N67</f>
        <v>-22631938370</v>
      </c>
      <c r="O69" s="137">
        <f>O65-O67</f>
        <v>-12555921129.131836</v>
      </c>
      <c r="P69" s="137">
        <f t="shared" ref="P69" si="81">P65-P67</f>
        <v>-6888647224.8388882</v>
      </c>
      <c r="Q69" s="137">
        <f>Q65-Q67</f>
        <v>-6653418965.909729</v>
      </c>
      <c r="R69" s="137">
        <f t="shared" ref="R69" si="82">R65-R67</f>
        <v>-3078315655.7109118</v>
      </c>
      <c r="S69" s="138"/>
      <c r="T69" s="137">
        <f>T65-T67</f>
        <v>-778565645.21043384</v>
      </c>
      <c r="U69" s="137">
        <f t="shared" ref="U69:AE69" si="83">U65-U67</f>
        <v>-933108050.57729769</v>
      </c>
      <c r="V69" s="137">
        <f t="shared" si="83"/>
        <v>-584826271.78982258</v>
      </c>
      <c r="W69" s="137">
        <f t="shared" si="83"/>
        <v>-129835894.4926194</v>
      </c>
      <c r="X69" s="137">
        <f t="shared" si="83"/>
        <v>-132247001.47611511</v>
      </c>
      <c r="Y69" s="137">
        <f t="shared" si="83"/>
        <v>-334381631.4861064</v>
      </c>
      <c r="Z69" s="137">
        <f t="shared" si="83"/>
        <v>-185979686.43567866</v>
      </c>
      <c r="AA69" s="137">
        <f t="shared" si="83"/>
        <v>-223605708.5690127</v>
      </c>
      <c r="AB69" s="137">
        <f t="shared" si="83"/>
        <v>-191531687.08525115</v>
      </c>
      <c r="AC69" s="137">
        <f t="shared" si="83"/>
        <v>172533246.39495891</v>
      </c>
      <c r="AD69" s="137">
        <f t="shared" si="83"/>
        <v>117819149.47188228</v>
      </c>
      <c r="AE69" s="137">
        <f t="shared" si="83"/>
        <v>131205410.54453319</v>
      </c>
      <c r="AF69" s="121"/>
      <c r="AG69" s="136">
        <f t="shared" ref="AG69:AK69" si="84">AG65-AG67</f>
        <v>-1479243663330292</v>
      </c>
      <c r="AH69" s="136">
        <f t="shared" si="84"/>
        <v>-2035484087616208</v>
      </c>
      <c r="AI69" s="136">
        <f t="shared" si="84"/>
        <v>-1931427248844734</v>
      </c>
      <c r="AJ69" s="136">
        <f t="shared" si="84"/>
        <v>-2936041957540550</v>
      </c>
      <c r="AK69" s="136">
        <f t="shared" si="84"/>
        <v>-3242861730351417</v>
      </c>
      <c r="AL69" s="308"/>
      <c r="AM69" s="475"/>
      <c r="AN69" s="476"/>
      <c r="AO69" s="473"/>
      <c r="AP69" s="309"/>
      <c r="AQ69" s="309"/>
      <c r="AR69" s="309"/>
      <c r="AS69" s="140"/>
    </row>
    <row r="70" spans="2:45" s="277" customFormat="1" ht="17" thickTop="1">
      <c r="B70" s="164"/>
      <c r="C70" s="165" t="str">
        <f>IF(B1="EN", "NET PROFIT margin (%)", "Tỷ lệ LỢI NHUẬN SAU THUẾ (%)")</f>
        <v>Tỷ lệ LỢI NHUẬN SAU THUẾ (%)</v>
      </c>
      <c r="D70" s="165"/>
      <c r="E70" s="165"/>
      <c r="F70" s="165"/>
      <c r="G70" s="169"/>
      <c r="H70" s="169"/>
      <c r="I70" s="169"/>
      <c r="J70" s="169"/>
      <c r="K70" s="310"/>
      <c r="L70" s="310"/>
      <c r="M70" s="310"/>
      <c r="N70" s="310">
        <f t="shared" ref="N70:O70" si="85">IFERROR(N69/N7,)</f>
        <v>-0.32905068078728633</v>
      </c>
      <c r="O70" s="310">
        <f t="shared" si="85"/>
        <v>-0.10069210286054615</v>
      </c>
      <c r="P70" s="310">
        <f>IFERROR(P69/P7,)</f>
        <v>-3.5999072023483451E-2</v>
      </c>
      <c r="Q70" s="310">
        <f>IFERROR(Q69/Q7,)</f>
        <v>-3.8253938634020976E-2</v>
      </c>
      <c r="R70" s="310">
        <f>IFERROR(R69/R7,)</f>
        <v>-1.6996446727716351E-2</v>
      </c>
      <c r="S70" s="310"/>
      <c r="T70" s="310">
        <f>T69/T7</f>
        <v>-6.7611884942301581E-2</v>
      </c>
      <c r="U70" s="310">
        <f t="shared" ref="U70:AE70" si="86">U69/U7</f>
        <v>-0.10418476424881115</v>
      </c>
      <c r="V70" s="310">
        <f t="shared" si="86"/>
        <v>-4.5708523306241172E-2</v>
      </c>
      <c r="W70" s="310">
        <f t="shared" si="86"/>
        <v>-8.1277923223687654E-3</v>
      </c>
      <c r="X70" s="310">
        <f t="shared" si="86"/>
        <v>-8.278728832687798E-3</v>
      </c>
      <c r="Y70" s="310">
        <f t="shared" si="86"/>
        <v>-2.0932458375664455E-2</v>
      </c>
      <c r="Z70" s="310">
        <f t="shared" si="86"/>
        <v>-1.1642421946839883E-2</v>
      </c>
      <c r="AA70" s="310">
        <f t="shared" si="86"/>
        <v>-1.3997829863977726E-2</v>
      </c>
      <c r="AB70" s="310">
        <f t="shared" si="86"/>
        <v>-1.198997998100082E-2</v>
      </c>
      <c r="AC70" s="310">
        <f t="shared" si="86"/>
        <v>9.9532315027411628E-3</v>
      </c>
      <c r="AD70" s="310">
        <f t="shared" si="86"/>
        <v>6.7968423167859213E-3</v>
      </c>
      <c r="AE70" s="310">
        <f t="shared" si="86"/>
        <v>7.5690793099230285E-3</v>
      </c>
      <c r="AF70" s="310"/>
      <c r="AG70" s="310">
        <f t="shared" ref="AG70:AK70" si="87">AG69/AG7</f>
        <v>-2.3892575817257309</v>
      </c>
      <c r="AH70" s="310">
        <f t="shared" si="87"/>
        <v>-2.9952121119637583</v>
      </c>
      <c r="AI70" s="310">
        <f t="shared" si="87"/>
        <v>-2.5562858767229311</v>
      </c>
      <c r="AJ70" s="310">
        <f t="shared" si="87"/>
        <v>-3.5003571054087153</v>
      </c>
      <c r="AK70" s="310">
        <f t="shared" si="87"/>
        <v>-3.5028861864928182</v>
      </c>
      <c r="AL70" s="169"/>
      <c r="AM70" s="477"/>
      <c r="AN70" s="310"/>
      <c r="AO70" s="503"/>
      <c r="AP70" s="145"/>
      <c r="AQ70" s="145"/>
      <c r="AR70" s="145"/>
      <c r="AS70" s="145"/>
    </row>
    <row r="71" spans="2:45">
      <c r="H71" s="311"/>
      <c r="I71" s="311"/>
      <c r="J71" s="311"/>
      <c r="K71" s="312"/>
      <c r="L71" s="312"/>
      <c r="M71" s="312"/>
      <c r="N71" s="312"/>
      <c r="O71" s="312"/>
      <c r="P71" s="312"/>
      <c r="Q71" s="312"/>
      <c r="R71" s="312"/>
      <c r="S71" s="313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3"/>
      <c r="AG71" s="314"/>
      <c r="AH71" s="314"/>
      <c r="AI71" s="314"/>
      <c r="AJ71" s="314"/>
      <c r="AK71" s="314"/>
      <c r="AL71" s="315"/>
      <c r="AM71" s="196"/>
    </row>
    <row r="72" spans="2:45">
      <c r="B72" s="111" t="str">
        <f>IF(B1="EN", "BALANCE SHEET", "CÂN ĐỐI KẾ TOÁN")</f>
        <v>CÂN ĐỐI KẾ TOÁN</v>
      </c>
      <c r="C72" s="112"/>
      <c r="D72" s="112"/>
      <c r="E72" s="112"/>
      <c r="F72" s="113"/>
      <c r="G72" s="114"/>
      <c r="H72" s="114"/>
      <c r="I72" s="114"/>
      <c r="J72" s="115"/>
      <c r="K72" s="101"/>
      <c r="L72" s="101"/>
      <c r="M72" s="101"/>
      <c r="N72" s="101">
        <f t="shared" ref="N72:AK72" si="88">N4</f>
        <v>2023</v>
      </c>
      <c r="O72" s="101">
        <f t="shared" si="88"/>
        <v>2024</v>
      </c>
      <c r="P72" s="102" t="str">
        <f>P4</f>
        <v>2025P</v>
      </c>
      <c r="Q72" s="103" t="str">
        <f>Q4</f>
        <v>2025E</v>
      </c>
      <c r="R72" s="104" t="str">
        <f t="shared" si="88"/>
        <v>2026P</v>
      </c>
      <c r="S72" s="105"/>
      <c r="T72" s="104">
        <f>T2</f>
        <v>1</v>
      </c>
      <c r="U72" s="104">
        <f t="shared" ref="U72:AE72" si="89">U2</f>
        <v>2</v>
      </c>
      <c r="V72" s="104">
        <f t="shared" si="89"/>
        <v>3</v>
      </c>
      <c r="W72" s="104">
        <f t="shared" si="89"/>
        <v>4</v>
      </c>
      <c r="X72" s="104">
        <f t="shared" si="89"/>
        <v>5</v>
      </c>
      <c r="Y72" s="104">
        <f t="shared" si="89"/>
        <v>6</v>
      </c>
      <c r="Z72" s="104">
        <f t="shared" si="89"/>
        <v>7</v>
      </c>
      <c r="AA72" s="104">
        <f t="shared" si="89"/>
        <v>8</v>
      </c>
      <c r="AB72" s="104">
        <f t="shared" si="89"/>
        <v>9</v>
      </c>
      <c r="AC72" s="104">
        <f t="shared" si="89"/>
        <v>10</v>
      </c>
      <c r="AD72" s="104">
        <f t="shared" si="89"/>
        <v>11</v>
      </c>
      <c r="AE72" s="104">
        <f t="shared" si="89"/>
        <v>12</v>
      </c>
      <c r="AF72" s="105"/>
      <c r="AG72" s="106" t="str">
        <f t="shared" si="88"/>
        <v>2025 MTP</v>
      </c>
      <c r="AH72" s="106" t="str">
        <f t="shared" si="88"/>
        <v>2026 MTP</v>
      </c>
      <c r="AI72" s="106" t="str">
        <f t="shared" si="88"/>
        <v>2027 MTP</v>
      </c>
      <c r="AJ72" s="106" t="str">
        <f t="shared" si="88"/>
        <v>2028 MTP</v>
      </c>
      <c r="AK72" s="106" t="str">
        <f t="shared" si="88"/>
        <v>2029 MTP</v>
      </c>
      <c r="AL72" s="316"/>
      <c r="AM72" s="196"/>
    </row>
    <row r="73" spans="2:45">
      <c r="B73" s="126" t="str">
        <f>IF(B1="EN", "SHORT-TERM ASSETS", "TÀI SẢN NGẮN HẠN")</f>
        <v>TÀI SẢN NGẮN HẠN</v>
      </c>
      <c r="C73" s="123"/>
      <c r="D73" s="123"/>
      <c r="E73" s="317"/>
      <c r="F73" s="318"/>
      <c r="G73" s="319"/>
      <c r="H73" s="319"/>
      <c r="I73" s="319"/>
      <c r="J73" s="319"/>
      <c r="K73" s="320"/>
      <c r="L73" s="320"/>
      <c r="M73" s="321">
        <f>M74+M77+M81+M83</f>
        <v>40050634848</v>
      </c>
      <c r="N73" s="321">
        <f>N74+N77+N81+N83</f>
        <v>34162200480</v>
      </c>
      <c r="O73" s="321">
        <f>O74+O77+O81+O83</f>
        <v>14234985625</v>
      </c>
      <c r="P73" s="421">
        <f t="shared" ref="P73" si="90">P74+P77+P81+P83</f>
        <v>18832110090.384464</v>
      </c>
      <c r="Q73" s="421">
        <f>Q74+Q77+Q81+Q83</f>
        <v>21570700345</v>
      </c>
      <c r="R73" s="504">
        <f>SUM(R74,R77,R81,R83)</f>
        <v>20520422183.54789</v>
      </c>
      <c r="S73" s="324"/>
      <c r="T73" s="324">
        <f>T74+T77+T81+T83</f>
        <v>15813639140.842142</v>
      </c>
      <c r="U73" s="324">
        <f t="shared" ref="U73:AE73" si="91">U74+U77+U81+U83</f>
        <v>11960673094.567337</v>
      </c>
      <c r="V73" s="324">
        <f t="shared" si="91"/>
        <v>13817053400.052052</v>
      </c>
      <c r="W73" s="324">
        <f t="shared" si="91"/>
        <v>15481784540.861465</v>
      </c>
      <c r="X73" s="324">
        <f t="shared" si="91"/>
        <v>15726777360.82247</v>
      </c>
      <c r="Y73" s="324">
        <f t="shared" si="91"/>
        <v>15780671451.742714</v>
      </c>
      <c r="Z73" s="324">
        <f t="shared" si="91"/>
        <v>15975471357.943798</v>
      </c>
      <c r="AA73" s="324">
        <f t="shared" si="91"/>
        <v>16120903896.721809</v>
      </c>
      <c r="AB73" s="324">
        <f t="shared" si="91"/>
        <v>16287611944.673323</v>
      </c>
      <c r="AC73" s="324">
        <f t="shared" si="91"/>
        <v>17433528992.927177</v>
      </c>
      <c r="AD73" s="324">
        <f t="shared" si="91"/>
        <v>17939536941.09993</v>
      </c>
      <c r="AE73" s="324">
        <f t="shared" si="91"/>
        <v>18430897354.54789</v>
      </c>
      <c r="AF73" s="325"/>
      <c r="AG73" s="320">
        <v>279343898497924</v>
      </c>
      <c r="AH73" s="320">
        <v>280077071076113</v>
      </c>
      <c r="AI73" s="320">
        <v>297619870936285</v>
      </c>
      <c r="AJ73" s="320">
        <v>321337832908607</v>
      </c>
      <c r="AK73" s="320">
        <v>386814455265761</v>
      </c>
      <c r="AL73" s="326"/>
      <c r="AM73" s="196"/>
    </row>
    <row r="74" spans="2:45">
      <c r="B74" s="327" t="str">
        <f>IF(B1="EN", "Cash &amp; cash equivalent", "Tiền mặt &amp; tương đương tiền")</f>
        <v>Tiền mặt &amp; tương đương tiền</v>
      </c>
      <c r="C74" s="123"/>
      <c r="D74" s="123"/>
      <c r="E74" s="317"/>
      <c r="F74" s="318"/>
      <c r="G74" s="319"/>
      <c r="H74" s="319"/>
      <c r="I74" s="319"/>
      <c r="J74" s="319"/>
      <c r="K74" s="320"/>
      <c r="L74" s="320"/>
      <c r="M74" s="321">
        <f t="shared" ref="M74:O74" si="92">SUM(M75:M76)</f>
        <v>5305591972</v>
      </c>
      <c r="N74" s="321">
        <f t="shared" si="92"/>
        <v>1391619434</v>
      </c>
      <c r="O74" s="321">
        <f t="shared" si="92"/>
        <v>1921447314</v>
      </c>
      <c r="P74" s="421">
        <f>SUM(P75:P76)</f>
        <v>2629015354.0279961</v>
      </c>
      <c r="Q74" s="421">
        <f>SUM(Q75:Q76)</f>
        <v>6328662129</v>
      </c>
      <c r="R74" s="324">
        <f>SUM(R75:R76)</f>
        <v>3671864723.1932793</v>
      </c>
      <c r="S74" s="324"/>
      <c r="T74" s="324">
        <f t="shared" ref="T74:AE74" si="93">SUM(T75:T76)</f>
        <v>4344788178.7292871</v>
      </c>
      <c r="U74" s="324">
        <f t="shared" si="93"/>
        <v>2009480084.6610575</v>
      </c>
      <c r="V74" s="324">
        <f t="shared" si="93"/>
        <v>1611055725.8910372</v>
      </c>
      <c r="W74" s="324">
        <f t="shared" si="93"/>
        <v>1476609832.3132195</v>
      </c>
      <c r="X74" s="324">
        <f t="shared" si="93"/>
        <v>1711839839.7819259</v>
      </c>
      <c r="Y74" s="324">
        <f t="shared" si="93"/>
        <v>1747387639.678247</v>
      </c>
      <c r="Z74" s="324">
        <f t="shared" si="93"/>
        <v>1929671578.0095325</v>
      </c>
      <c r="AA74" s="324">
        <f t="shared" si="93"/>
        <v>2071720306.36532</v>
      </c>
      <c r="AB74" s="324">
        <f t="shared" si="93"/>
        <v>2243443386.8025889</v>
      </c>
      <c r="AC74" s="324">
        <f t="shared" si="93"/>
        <v>2689249665.5694294</v>
      </c>
      <c r="AD74" s="324">
        <f t="shared" si="93"/>
        <v>3176978930.044745</v>
      </c>
      <c r="AE74" s="324">
        <f t="shared" si="93"/>
        <v>3671864723.1932793</v>
      </c>
      <c r="AF74" s="325"/>
      <c r="AG74" s="320">
        <v>67857140982378</v>
      </c>
      <c r="AH74" s="320">
        <v>489032134457158</v>
      </c>
      <c r="AI74" s="320">
        <v>416447710096797</v>
      </c>
      <c r="AJ74" s="320">
        <v>381387876065954</v>
      </c>
      <c r="AK74" s="320">
        <v>756841102793343</v>
      </c>
      <c r="AL74" s="326"/>
      <c r="AM74" s="196"/>
      <c r="AN74" s="107"/>
    </row>
    <row r="75" spans="2:45" outlineLevel="1">
      <c r="B75" s="328"/>
      <c r="C75" s="329" t="str">
        <f>IF(B1="EN", "Cash &amp; cash equivalent", "Tiền mặt &amp; tương đương tiền")</f>
        <v>Tiền mặt &amp; tương đương tiền</v>
      </c>
      <c r="D75" s="329"/>
      <c r="E75" s="330"/>
      <c r="F75" s="331"/>
      <c r="G75" s="332"/>
      <c r="H75" s="332"/>
      <c r="I75" s="332"/>
      <c r="J75" s="332"/>
      <c r="K75" s="333"/>
      <c r="L75" s="333"/>
      <c r="M75" s="340">
        <v>5103591972</v>
      </c>
      <c r="N75" s="340">
        <v>1189619434</v>
      </c>
      <c r="O75" s="340">
        <v>1719447314</v>
      </c>
      <c r="P75" s="334">
        <f>P153</f>
        <v>2427015354.0279961</v>
      </c>
      <c r="Q75" s="334">
        <v>6126662129</v>
      </c>
      <c r="R75" s="337">
        <f>AE75</f>
        <v>3469864723.1932793</v>
      </c>
      <c r="S75" s="337"/>
      <c r="T75" s="337">
        <f>T153-T76</f>
        <v>4142788178.7292871</v>
      </c>
      <c r="U75" s="337">
        <f>U153-U76</f>
        <v>1807480084.6610575</v>
      </c>
      <c r="V75" s="337">
        <f t="shared" ref="V75:AE75" si="94">V153-V76</f>
        <v>1409055725.8910372</v>
      </c>
      <c r="W75" s="337">
        <f t="shared" si="94"/>
        <v>1274609832.3132195</v>
      </c>
      <c r="X75" s="337">
        <f t="shared" si="94"/>
        <v>1509839839.7819259</v>
      </c>
      <c r="Y75" s="337">
        <f t="shared" si="94"/>
        <v>1545387639.678247</v>
      </c>
      <c r="Z75" s="337">
        <f t="shared" si="94"/>
        <v>1727671578.0095325</v>
      </c>
      <c r="AA75" s="337">
        <f t="shared" si="94"/>
        <v>1869720306.36532</v>
      </c>
      <c r="AB75" s="337">
        <f t="shared" si="94"/>
        <v>2041443386.8025889</v>
      </c>
      <c r="AC75" s="337">
        <f t="shared" si="94"/>
        <v>2487249665.5694294</v>
      </c>
      <c r="AD75" s="337">
        <f t="shared" si="94"/>
        <v>2974978930.044745</v>
      </c>
      <c r="AE75" s="337">
        <f t="shared" si="94"/>
        <v>3469864723.1932793</v>
      </c>
      <c r="AF75" s="338"/>
      <c r="AG75" s="333">
        <v>42857140982378</v>
      </c>
      <c r="AH75" s="333">
        <v>289032134457158</v>
      </c>
      <c r="AI75" s="333">
        <v>266447710096797</v>
      </c>
      <c r="AJ75" s="333">
        <v>231387876065954</v>
      </c>
      <c r="AK75" s="333">
        <v>256841102793343</v>
      </c>
      <c r="AL75" s="339"/>
      <c r="AM75" s="196"/>
    </row>
    <row r="76" spans="2:45" outlineLevel="1">
      <c r="B76" s="328"/>
      <c r="C76" s="329" t="str">
        <f>IF(B1="EN", "Short-term investment", "Đầu tư ngắn hạn")</f>
        <v>Đầu tư ngắn hạn</v>
      </c>
      <c r="D76" s="329"/>
      <c r="E76" s="330"/>
      <c r="F76" s="331"/>
      <c r="G76" s="332"/>
      <c r="H76" s="332"/>
      <c r="I76" s="332"/>
      <c r="J76" s="332"/>
      <c r="K76" s="333"/>
      <c r="L76" s="333"/>
      <c r="M76" s="340">
        <v>202000000</v>
      </c>
      <c r="N76" s="340">
        <v>202000000</v>
      </c>
      <c r="O76" s="340">
        <v>202000000</v>
      </c>
      <c r="P76" s="334">
        <v>202000000</v>
      </c>
      <c r="Q76" s="334">
        <v>202000000</v>
      </c>
      <c r="R76" s="337">
        <f t="shared" ref="R76:R121" si="95">AE76</f>
        <v>202000000</v>
      </c>
      <c r="S76" s="337"/>
      <c r="T76" s="337">
        <v>202000000</v>
      </c>
      <c r="U76" s="337">
        <v>202000000</v>
      </c>
      <c r="V76" s="337">
        <v>202000000</v>
      </c>
      <c r="W76" s="337">
        <v>202000000</v>
      </c>
      <c r="X76" s="337">
        <v>202000000</v>
      </c>
      <c r="Y76" s="337">
        <v>202000000</v>
      </c>
      <c r="Z76" s="337">
        <v>202000000</v>
      </c>
      <c r="AA76" s="337">
        <v>202000000</v>
      </c>
      <c r="AB76" s="337">
        <v>202000000</v>
      </c>
      <c r="AC76" s="337">
        <v>202000000</v>
      </c>
      <c r="AD76" s="337">
        <v>202000000</v>
      </c>
      <c r="AE76" s="337">
        <v>202000000</v>
      </c>
      <c r="AF76" s="338"/>
      <c r="AG76" s="333">
        <v>250000</v>
      </c>
      <c r="AH76" s="333">
        <v>200000</v>
      </c>
      <c r="AI76" s="333">
        <v>150000</v>
      </c>
      <c r="AJ76" s="333">
        <v>150000</v>
      </c>
      <c r="AK76" s="333">
        <v>500000</v>
      </c>
      <c r="AL76" s="339"/>
      <c r="AM76" s="196"/>
    </row>
    <row r="77" spans="2:45">
      <c r="B77" s="327" t="str">
        <f>IF(B1="EN", "Short-term receivables", "Các khoản phải thu ngắn hạn")</f>
        <v>Các khoản phải thu ngắn hạn</v>
      </c>
      <c r="C77" s="123"/>
      <c r="D77" s="123"/>
      <c r="E77" s="317"/>
      <c r="F77" s="318"/>
      <c r="G77" s="319"/>
      <c r="H77" s="319"/>
      <c r="I77" s="319"/>
      <c r="J77" s="319"/>
      <c r="K77" s="320"/>
      <c r="L77" s="320"/>
      <c r="M77" s="321">
        <f>SUM(M78:M80)</f>
        <v>21877240086</v>
      </c>
      <c r="N77" s="321">
        <f>SUM(N78:N80)</f>
        <v>9605663166</v>
      </c>
      <c r="O77" s="321">
        <f>SUM(O78:O80)</f>
        <v>5949064562</v>
      </c>
      <c r="P77" s="421">
        <f t="shared" ref="P77" si="96">SUM(P78:P80)</f>
        <v>4669773780.6301365</v>
      </c>
      <c r="Q77" s="421">
        <f>SUM(Q78:Q80)</f>
        <v>6282413208</v>
      </c>
      <c r="R77" s="324">
        <f>SUM(R78:R80)</f>
        <v>7940197519.333333</v>
      </c>
      <c r="S77" s="324"/>
      <c r="T77" s="324">
        <f>SUM(T78:T80)</f>
        <v>4880809982</v>
      </c>
      <c r="U77" s="324">
        <f t="shared" ref="U77:AE77" si="97">SUM(U78:U80)</f>
        <v>4454320398.666666</v>
      </c>
      <c r="V77" s="324">
        <f t="shared" si="97"/>
        <v>5094054773.666666</v>
      </c>
      <c r="W77" s="324">
        <f t="shared" si="97"/>
        <v>5623992273.666666</v>
      </c>
      <c r="X77" s="324">
        <f t="shared" si="97"/>
        <v>5623992273.666666</v>
      </c>
      <c r="Y77" s="324">
        <f t="shared" si="97"/>
        <v>5623992273.666666</v>
      </c>
      <c r="Z77" s="324">
        <f t="shared" si="97"/>
        <v>5623992273.666666</v>
      </c>
      <c r="AA77" s="324">
        <f t="shared" si="97"/>
        <v>5623992273.666666</v>
      </c>
      <c r="AB77" s="324">
        <f t="shared" si="97"/>
        <v>5623992273.666666</v>
      </c>
      <c r="AC77" s="324">
        <f t="shared" si="97"/>
        <v>5850672690.333333</v>
      </c>
      <c r="AD77" s="324">
        <f t="shared" si="97"/>
        <v>5850672690.333333</v>
      </c>
      <c r="AE77" s="324">
        <f t="shared" si="97"/>
        <v>5850672690.333333</v>
      </c>
      <c r="AF77" s="325"/>
      <c r="AG77" s="320">
        <v>986880012661969</v>
      </c>
      <c r="AH77" s="320">
        <v>108210138764717</v>
      </c>
      <c r="AI77" s="320">
        <v>120179678930828</v>
      </c>
      <c r="AJ77" s="320">
        <v>133292504474079</v>
      </c>
      <c r="AK77" s="320">
        <v>146977590594154</v>
      </c>
      <c r="AL77" s="326"/>
      <c r="AM77" s="196"/>
    </row>
    <row r="78" spans="2:45" outlineLevel="1">
      <c r="B78" s="328"/>
      <c r="C78" s="329" t="str">
        <f>IF(B1="EN", "Trade receivables", "Phải thu thương mại")</f>
        <v>Phải thu thương mại</v>
      </c>
      <c r="D78" s="329"/>
      <c r="E78" s="330"/>
      <c r="F78" s="331"/>
      <c r="G78" s="332"/>
      <c r="H78" s="332"/>
      <c r="I78" s="332"/>
      <c r="J78" s="332"/>
      <c r="K78" s="333"/>
      <c r="L78" s="333"/>
      <c r="M78" s="340">
        <v>818791513</v>
      </c>
      <c r="N78" s="340">
        <v>6457008060</v>
      </c>
      <c r="O78" s="340">
        <v>3050417781</v>
      </c>
      <c r="P78" s="334">
        <f>[1]NWC!L6</f>
        <v>1708166923.630137</v>
      </c>
      <c r="Q78" s="334">
        <v>1936533259</v>
      </c>
      <c r="R78" s="337">
        <f t="shared" si="95"/>
        <v>2889065833.333333</v>
      </c>
      <c r="S78" s="337"/>
      <c r="T78" s="337">
        <f>[1]NWC!O6</f>
        <v>1919203125</v>
      </c>
      <c r="U78" s="337">
        <f>[1]NWC!P6</f>
        <v>1492713541.6666665</v>
      </c>
      <c r="V78" s="337">
        <f>[1]NWC!Q6</f>
        <v>2132447916.6666665</v>
      </c>
      <c r="W78" s="337">
        <f>[1]NWC!R6</f>
        <v>2662385416.6666665</v>
      </c>
      <c r="X78" s="337">
        <f>[1]NWC!S6</f>
        <v>2662385416.6666665</v>
      </c>
      <c r="Y78" s="337">
        <f>[1]NWC!T6</f>
        <v>2662385416.6666665</v>
      </c>
      <c r="Z78" s="337">
        <f>[1]NWC!U6</f>
        <v>2662385416.6666665</v>
      </c>
      <c r="AA78" s="337">
        <f>[1]NWC!V6</f>
        <v>2662385416.6666665</v>
      </c>
      <c r="AB78" s="337">
        <f>[1]NWC!W6</f>
        <v>2662385416.6666665</v>
      </c>
      <c r="AC78" s="337">
        <f>[1]NWC!X6</f>
        <v>2889065833.333333</v>
      </c>
      <c r="AD78" s="337">
        <f>[1]NWC!Y6</f>
        <v>2889065833.333333</v>
      </c>
      <c r="AE78" s="337">
        <f>[1]NWC!Z6</f>
        <v>2889065833.333333</v>
      </c>
      <c r="AF78" s="338"/>
      <c r="AG78" s="333">
        <v>932924653230014</v>
      </c>
      <c r="AH78" s="333">
        <v>102402357115415</v>
      </c>
      <c r="AI78" s="333">
        <v>113851500472917</v>
      </c>
      <c r="AJ78" s="333">
        <v>126392041711863</v>
      </c>
      <c r="AK78" s="333">
        <v>139499364726273</v>
      </c>
      <c r="AL78" s="339"/>
      <c r="AM78" s="196"/>
    </row>
    <row r="79" spans="2:45" outlineLevel="1">
      <c r="B79" s="328"/>
      <c r="C79" s="329" t="str">
        <f>IF(B1="EN", "Prepayment to suppliers", "Trả trước cho người bán")</f>
        <v>Trả trước cho người bán</v>
      </c>
      <c r="D79" s="329"/>
      <c r="E79" s="330"/>
      <c r="F79" s="331"/>
      <c r="G79" s="332"/>
      <c r="H79" s="332"/>
      <c r="I79" s="332"/>
      <c r="J79" s="332"/>
      <c r="K79" s="333"/>
      <c r="L79" s="333"/>
      <c r="M79" s="340">
        <v>13155020004</v>
      </c>
      <c r="N79" s="340">
        <v>150830000</v>
      </c>
      <c r="O79" s="340">
        <v>133534800</v>
      </c>
      <c r="P79" s="334">
        <f>[1]NWC!L9</f>
        <v>0</v>
      </c>
      <c r="Q79" s="334">
        <v>1384273092</v>
      </c>
      <c r="R79" s="337">
        <f>2158969273-69444444</f>
        <v>2089524829</v>
      </c>
      <c r="S79" s="337"/>
      <c r="T79" s="337">
        <f>[1]NWC!O9</f>
        <v>0</v>
      </c>
      <c r="U79" s="337">
        <f>[1]NWC!P9</f>
        <v>0</v>
      </c>
      <c r="V79" s="337">
        <f>[1]NWC!Q9</f>
        <v>0</v>
      </c>
      <c r="W79" s="337">
        <f>[1]NWC!R9</f>
        <v>0</v>
      </c>
      <c r="X79" s="337">
        <f>[1]NWC!S9</f>
        <v>0</v>
      </c>
      <c r="Y79" s="337">
        <f>[1]NWC!T9</f>
        <v>0</v>
      </c>
      <c r="Z79" s="337">
        <f>[1]NWC!U9</f>
        <v>0</v>
      </c>
      <c r="AA79" s="337">
        <f>[1]NWC!V9</f>
        <v>0</v>
      </c>
      <c r="AB79" s="337">
        <f>[1]NWC!W9</f>
        <v>0</v>
      </c>
      <c r="AC79" s="337">
        <f>[1]NWC!X9</f>
        <v>0</v>
      </c>
      <c r="AD79" s="337">
        <f>[1]NWC!Y9</f>
        <v>0</v>
      </c>
      <c r="AE79" s="337">
        <f>[1]NWC!Z9</f>
        <v>0</v>
      </c>
      <c r="AF79" s="338"/>
      <c r="AG79" s="333">
        <v>448613916099549</v>
      </c>
      <c r="AH79" s="333">
        <v>489838486710225</v>
      </c>
      <c r="AI79" s="333">
        <v>541878167571173</v>
      </c>
      <c r="AJ79" s="333">
        <v>599106598001586</v>
      </c>
      <c r="AK79" s="333">
        <v>656882908568072</v>
      </c>
      <c r="AL79" s="339"/>
      <c r="AM79" s="196"/>
    </row>
    <row r="80" spans="2:45" outlineLevel="1">
      <c r="B80" s="328"/>
      <c r="C80" s="329" t="str">
        <f>IF(B1="EN", "Other receivables", "Các khoản phải thu khác")</f>
        <v>Các khoản phải thu khác</v>
      </c>
      <c r="D80" s="329"/>
      <c r="E80" s="330"/>
      <c r="F80" s="331"/>
      <c r="G80" s="332"/>
      <c r="H80" s="332"/>
      <c r="I80" s="332"/>
      <c r="J80" s="332"/>
      <c r="K80" s="333"/>
      <c r="L80" s="333"/>
      <c r="M80" s="340">
        <f>3903428569+4000000000</f>
        <v>7903428569</v>
      </c>
      <c r="N80" s="340">
        <v>2997825106</v>
      </c>
      <c r="O80" s="340">
        <v>2765111981</v>
      </c>
      <c r="P80" s="334">
        <f>Q80</f>
        <v>2961606857</v>
      </c>
      <c r="Q80" s="334">
        <v>2961606857</v>
      </c>
      <c r="R80" s="337">
        <f t="shared" si="95"/>
        <v>2961606857</v>
      </c>
      <c r="S80" s="337"/>
      <c r="T80" s="337">
        <f t="shared" ref="T80:AE80" si="98">$Q$80</f>
        <v>2961606857</v>
      </c>
      <c r="U80" s="337">
        <f t="shared" si="98"/>
        <v>2961606857</v>
      </c>
      <c r="V80" s="337">
        <f t="shared" si="98"/>
        <v>2961606857</v>
      </c>
      <c r="W80" s="337">
        <f t="shared" si="98"/>
        <v>2961606857</v>
      </c>
      <c r="X80" s="337">
        <f t="shared" si="98"/>
        <v>2961606857</v>
      </c>
      <c r="Y80" s="337">
        <f t="shared" si="98"/>
        <v>2961606857</v>
      </c>
      <c r="Z80" s="337">
        <f t="shared" si="98"/>
        <v>2961606857</v>
      </c>
      <c r="AA80" s="337">
        <f t="shared" si="98"/>
        <v>2961606857</v>
      </c>
      <c r="AB80" s="337">
        <f t="shared" si="98"/>
        <v>2961606857</v>
      </c>
      <c r="AC80" s="337">
        <f t="shared" si="98"/>
        <v>2961606857</v>
      </c>
      <c r="AD80" s="337">
        <f t="shared" si="98"/>
        <v>2961606857</v>
      </c>
      <c r="AE80" s="337">
        <f t="shared" si="98"/>
        <v>2961606857</v>
      </c>
      <c r="AF80" s="338"/>
      <c r="AG80" s="333">
        <v>9093967822</v>
      </c>
      <c r="AH80" s="333">
        <v>9093967822</v>
      </c>
      <c r="AI80" s="333">
        <v>9093967822</v>
      </c>
      <c r="AJ80" s="333">
        <v>9093967822</v>
      </c>
      <c r="AK80" s="333">
        <v>9093967822</v>
      </c>
      <c r="AL80" s="339"/>
      <c r="AM80" s="196"/>
    </row>
    <row r="81" spans="2:40">
      <c r="B81" s="327" t="str">
        <f>IF(B1="EN", "Inventory", "Hàng tồn kho")</f>
        <v>Hàng tồn kho</v>
      </c>
      <c r="C81" s="123"/>
      <c r="D81" s="123"/>
      <c r="E81" s="326"/>
      <c r="F81" s="341"/>
      <c r="G81" s="319"/>
      <c r="H81" s="319"/>
      <c r="I81" s="319"/>
      <c r="J81" s="319"/>
      <c r="K81" s="320"/>
      <c r="L81" s="320"/>
      <c r="M81" s="321">
        <f>M82</f>
        <v>11967574946</v>
      </c>
      <c r="N81" s="321">
        <f>N82</f>
        <v>22500552497</v>
      </c>
      <c r="O81" s="321">
        <f>O82</f>
        <v>5867578748</v>
      </c>
      <c r="P81" s="421">
        <f>P82</f>
        <v>10633093111.726332</v>
      </c>
      <c r="Q81" s="421">
        <f>Q82</f>
        <v>7851723952</v>
      </c>
      <c r="R81" s="324">
        <f t="shared" si="95"/>
        <v>7800458885.0212793</v>
      </c>
      <c r="S81" s="324"/>
      <c r="T81" s="324">
        <f t="shared" ref="T81:AE81" si="99">T82</f>
        <v>5480139924.1128559</v>
      </c>
      <c r="U81" s="324">
        <f t="shared" si="99"/>
        <v>4388971555.2396145</v>
      </c>
      <c r="V81" s="324">
        <f t="shared" si="99"/>
        <v>6004041844.4943485</v>
      </c>
      <c r="W81" s="324">
        <f t="shared" si="99"/>
        <v>7273281378.8815804</v>
      </c>
      <c r="X81" s="324">
        <f t="shared" si="99"/>
        <v>7283044191.3738775</v>
      </c>
      <c r="Y81" s="324">
        <f t="shared" si="99"/>
        <v>7301390482.3977995</v>
      </c>
      <c r="Z81" s="324">
        <f t="shared" si="99"/>
        <v>7313906450.2676001</v>
      </c>
      <c r="AA81" s="324">
        <f t="shared" si="99"/>
        <v>7317290260.6898232</v>
      </c>
      <c r="AB81" s="324">
        <f t="shared" si="99"/>
        <v>7312275228.2040672</v>
      </c>
      <c r="AC81" s="324">
        <f t="shared" si="99"/>
        <v>7785705581.0244141</v>
      </c>
      <c r="AD81" s="324">
        <f t="shared" si="99"/>
        <v>7803984264.7218494</v>
      </c>
      <c r="AE81" s="324">
        <f t="shared" si="99"/>
        <v>7800458885.0212793</v>
      </c>
      <c r="AF81" s="325"/>
      <c r="AG81" s="320">
        <v>110617129997149</v>
      </c>
      <c r="AH81" s="320">
        <v>12078209261348</v>
      </c>
      <c r="AI81" s="320">
        <v>133613794743577</v>
      </c>
      <c r="AJ81" s="320">
        <v>147724914575734</v>
      </c>
      <c r="AK81" s="320">
        <v>161971128140072</v>
      </c>
      <c r="AL81" s="326"/>
      <c r="AM81" s="196"/>
    </row>
    <row r="82" spans="2:40" outlineLevel="1">
      <c r="B82" s="328"/>
      <c r="C82" s="329" t="str">
        <f>IF(B1="EN", "Inventory", "Hàng tồn kho")</f>
        <v>Hàng tồn kho</v>
      </c>
      <c r="D82" s="329"/>
      <c r="E82" s="330"/>
      <c r="F82" s="331"/>
      <c r="G82" s="332"/>
      <c r="H82" s="332"/>
      <c r="I82" s="332"/>
      <c r="J82" s="332"/>
      <c r="K82" s="333"/>
      <c r="L82" s="333"/>
      <c r="M82" s="340">
        <v>11967574946</v>
      </c>
      <c r="N82" s="340">
        <v>22500552497</v>
      </c>
      <c r="O82" s="340">
        <v>5867578748</v>
      </c>
      <c r="P82" s="334">
        <f>[1]NWC!L7</f>
        <v>10633093111.726332</v>
      </c>
      <c r="Q82" s="334">
        <v>7851723952</v>
      </c>
      <c r="R82" s="337">
        <f t="shared" si="95"/>
        <v>7800458885.0212793</v>
      </c>
      <c r="S82" s="337"/>
      <c r="T82" s="337">
        <f>[1]NWC!O7</f>
        <v>5480139924.1128559</v>
      </c>
      <c r="U82" s="337">
        <f>[1]NWC!P7</f>
        <v>4388971555.2396145</v>
      </c>
      <c r="V82" s="337">
        <f>[1]NWC!Q7</f>
        <v>6004041844.4943485</v>
      </c>
      <c r="W82" s="337">
        <f>[1]NWC!R7</f>
        <v>7273281378.8815804</v>
      </c>
      <c r="X82" s="337">
        <f>[1]NWC!S7</f>
        <v>7283044191.3738775</v>
      </c>
      <c r="Y82" s="337">
        <f>[1]NWC!T7</f>
        <v>7301390482.3977995</v>
      </c>
      <c r="Z82" s="337">
        <f>[1]NWC!U7</f>
        <v>7313906450.2676001</v>
      </c>
      <c r="AA82" s="337">
        <f>[1]NWC!V7</f>
        <v>7317290260.6898232</v>
      </c>
      <c r="AB82" s="337">
        <f>[1]NWC!W7</f>
        <v>7312275228.2040672</v>
      </c>
      <c r="AC82" s="337">
        <f>[1]NWC!X7</f>
        <v>7785705581.0244141</v>
      </c>
      <c r="AD82" s="337">
        <f>[1]NWC!Y7</f>
        <v>7803984264.7218494</v>
      </c>
      <c r="AE82" s="337">
        <f>[1]NWC!Z7</f>
        <v>7800458885.0212793</v>
      </c>
      <c r="AF82" s="338"/>
      <c r="AG82" s="333">
        <v>110617129997149</v>
      </c>
      <c r="AH82" s="333">
        <v>12078209261348</v>
      </c>
      <c r="AI82" s="333">
        <v>133613794743577</v>
      </c>
      <c r="AJ82" s="333">
        <v>147724914575734</v>
      </c>
      <c r="AK82" s="333">
        <v>161971128140072</v>
      </c>
      <c r="AL82" s="339"/>
      <c r="AM82" s="196"/>
    </row>
    <row r="83" spans="2:40">
      <c r="B83" s="327" t="str">
        <f>IF(B1="EN", "Other short-term assets", "Tài sản ngắn hạn khác")</f>
        <v>Tài sản ngắn hạn khác</v>
      </c>
      <c r="C83" s="123"/>
      <c r="D83" s="123"/>
      <c r="E83" s="326"/>
      <c r="F83" s="341"/>
      <c r="G83" s="319"/>
      <c r="H83" s="319"/>
      <c r="I83" s="319"/>
      <c r="J83" s="319"/>
      <c r="K83" s="320"/>
      <c r="L83" s="320"/>
      <c r="M83" s="321">
        <v>900227844</v>
      </c>
      <c r="N83" s="321">
        <v>664365383</v>
      </c>
      <c r="O83" s="321">
        <v>496895001</v>
      </c>
      <c r="P83" s="421">
        <f>M83</f>
        <v>900227844</v>
      </c>
      <c r="Q83" s="421">
        <v>1107901056</v>
      </c>
      <c r="R83" s="324">
        <f t="shared" si="95"/>
        <v>1107901056</v>
      </c>
      <c r="S83" s="324"/>
      <c r="T83" s="324">
        <f t="shared" ref="T83:AE83" si="100">$Q$83</f>
        <v>1107901056</v>
      </c>
      <c r="U83" s="324">
        <f t="shared" si="100"/>
        <v>1107901056</v>
      </c>
      <c r="V83" s="324">
        <f t="shared" si="100"/>
        <v>1107901056</v>
      </c>
      <c r="W83" s="324">
        <f t="shared" si="100"/>
        <v>1107901056</v>
      </c>
      <c r="X83" s="324">
        <f t="shared" si="100"/>
        <v>1107901056</v>
      </c>
      <c r="Y83" s="324">
        <f t="shared" si="100"/>
        <v>1107901056</v>
      </c>
      <c r="Z83" s="324">
        <f t="shared" si="100"/>
        <v>1107901056</v>
      </c>
      <c r="AA83" s="324">
        <f t="shared" si="100"/>
        <v>1107901056</v>
      </c>
      <c r="AB83" s="324">
        <f t="shared" si="100"/>
        <v>1107901056</v>
      </c>
      <c r="AC83" s="324">
        <f t="shared" si="100"/>
        <v>1107901056</v>
      </c>
      <c r="AD83" s="324">
        <f t="shared" si="100"/>
        <v>1107901056</v>
      </c>
      <c r="AE83" s="324">
        <f t="shared" si="100"/>
        <v>1107901056</v>
      </c>
      <c r="AF83" s="325"/>
      <c r="AG83" s="320">
        <v>21816262522</v>
      </c>
      <c r="AH83" s="320">
        <v>21816262522</v>
      </c>
      <c r="AI83" s="320">
        <v>21816262522</v>
      </c>
      <c r="AJ83" s="320">
        <v>21816262522</v>
      </c>
      <c r="AK83" s="320">
        <v>21816262522</v>
      </c>
      <c r="AL83" s="326"/>
      <c r="AM83" s="196"/>
    </row>
    <row r="84" spans="2:40">
      <c r="B84" s="342"/>
      <c r="C84" s="329"/>
      <c r="D84" s="329"/>
      <c r="E84" s="330"/>
      <c r="F84" s="331"/>
      <c r="G84" s="343"/>
      <c r="H84" s="343"/>
      <c r="I84" s="343"/>
      <c r="J84" s="343"/>
      <c r="K84" s="344"/>
      <c r="L84" s="344"/>
      <c r="M84" s="345"/>
      <c r="N84" s="345"/>
      <c r="O84" s="345"/>
      <c r="P84" s="505"/>
      <c r="Q84" s="505"/>
      <c r="R84" s="348">
        <f t="shared" si="95"/>
        <v>0</v>
      </c>
      <c r="S84" s="348"/>
      <c r="T84" s="348"/>
      <c r="U84" s="348"/>
      <c r="V84" s="348"/>
      <c r="W84" s="348"/>
      <c r="X84" s="348"/>
      <c r="Y84" s="348"/>
      <c r="Z84" s="348"/>
      <c r="AA84" s="348"/>
      <c r="AB84" s="348"/>
      <c r="AC84" s="348"/>
      <c r="AD84" s="348"/>
      <c r="AE84" s="348"/>
      <c r="AF84" s="349"/>
      <c r="AG84" s="344"/>
      <c r="AH84" s="344"/>
      <c r="AI84" s="344"/>
      <c r="AJ84" s="344"/>
      <c r="AK84" s="344"/>
      <c r="AL84" s="350"/>
      <c r="AM84" s="196"/>
    </row>
    <row r="85" spans="2:40">
      <c r="B85" s="126" t="str">
        <f>IF(B1="EN", "LONG-TERM ASSETS", "TÀI SẢN DÀI HẠN")</f>
        <v>TÀI SẢN DÀI HẠN</v>
      </c>
      <c r="C85" s="123"/>
      <c r="D85" s="123"/>
      <c r="E85" s="317"/>
      <c r="F85" s="318"/>
      <c r="G85" s="319"/>
      <c r="H85" s="319"/>
      <c r="I85" s="319"/>
      <c r="J85" s="319"/>
      <c r="K85" s="320"/>
      <c r="L85" s="320"/>
      <c r="M85" s="321">
        <f>M86+M96+M98+M100+M99</f>
        <v>27067630649</v>
      </c>
      <c r="N85" s="321">
        <f>N86+N96+N98+N100+N99</f>
        <v>30563499221</v>
      </c>
      <c r="O85" s="321">
        <f>O86+O96+O98+O100+O99</f>
        <v>24673757974</v>
      </c>
      <c r="P85" s="421">
        <f t="shared" ref="P85:Q85" si="101">P86+P96+P98+P100+P99</f>
        <v>16722903938.333332</v>
      </c>
      <c r="Q85" s="421">
        <f t="shared" si="101"/>
        <v>24399717348</v>
      </c>
      <c r="R85" s="324">
        <f t="shared" si="95"/>
        <v>17355340872.828026</v>
      </c>
      <c r="S85" s="324"/>
      <c r="T85" s="324">
        <f t="shared" ref="T85:AE85" si="102">T86+T96+T98+T100+T99</f>
        <v>21563196707.245266</v>
      </c>
      <c r="U85" s="324">
        <f t="shared" si="102"/>
        <v>21183068628.964912</v>
      </c>
      <c r="V85" s="324">
        <f t="shared" si="102"/>
        <v>20805504186.684559</v>
      </c>
      <c r="W85" s="324">
        <f t="shared" si="102"/>
        <v>20427939744.404205</v>
      </c>
      <c r="X85" s="324">
        <f t="shared" si="102"/>
        <v>20050375302.123852</v>
      </c>
      <c r="Y85" s="324">
        <f t="shared" si="102"/>
        <v>19672810859.843498</v>
      </c>
      <c r="Z85" s="324">
        <f t="shared" si="102"/>
        <v>19295246417.563145</v>
      </c>
      <c r="AA85" s="324">
        <f t="shared" si="102"/>
        <v>18917681975.282787</v>
      </c>
      <c r="AB85" s="324">
        <f t="shared" si="102"/>
        <v>18540117533.00243</v>
      </c>
      <c r="AC85" s="324">
        <f t="shared" si="102"/>
        <v>18145191979.610962</v>
      </c>
      <c r="AD85" s="324">
        <f t="shared" si="102"/>
        <v>17750266426.219494</v>
      </c>
      <c r="AE85" s="324">
        <f t="shared" si="102"/>
        <v>17355340872.828026</v>
      </c>
      <c r="AF85" s="325"/>
      <c r="AG85" s="320">
        <v>229691525614212</v>
      </c>
      <c r="AH85" s="320">
        <v>292846111445683</v>
      </c>
      <c r="AI85" s="320">
        <v>338026496677403</v>
      </c>
      <c r="AJ85" s="320">
        <v>383560944662571</v>
      </c>
      <c r="AK85" s="320">
        <v>392980234439487</v>
      </c>
      <c r="AL85" s="326"/>
      <c r="AM85" s="196"/>
    </row>
    <row r="86" spans="2:40">
      <c r="B86" s="327" t="str">
        <f>IF(B1="EN", "Fixed assets", "Tài sản cố định")</f>
        <v>Tài sản cố định</v>
      </c>
      <c r="C86" s="123"/>
      <c r="D86" s="123"/>
      <c r="E86" s="317"/>
      <c r="F86" s="318"/>
      <c r="G86" s="319"/>
      <c r="H86" s="319"/>
      <c r="I86" s="319"/>
      <c r="J86" s="319"/>
      <c r="K86" s="320"/>
      <c r="L86" s="320"/>
      <c r="M86" s="321">
        <f>M87+M90+M93</f>
        <v>24882961817</v>
      </c>
      <c r="N86" s="321">
        <f>N87+N90+N93</f>
        <v>25022102089</v>
      </c>
      <c r="O86" s="321">
        <f>O87+O90+O93</f>
        <v>23029767745</v>
      </c>
      <c r="P86" s="421">
        <f t="shared" ref="P86:Q86" si="103">P87+P90+P93</f>
        <v>13511542158.333332</v>
      </c>
      <c r="Q86" s="421">
        <f t="shared" si="103"/>
        <v>21188355568</v>
      </c>
      <c r="R86" s="324">
        <f t="shared" si="95"/>
        <v>17355340872.828026</v>
      </c>
      <c r="S86" s="324"/>
      <c r="T86" s="324">
        <f t="shared" ref="T86:AE86" si="104">T87+T90+T93</f>
        <v>21563196707.245266</v>
      </c>
      <c r="U86" s="324">
        <f t="shared" si="104"/>
        <v>21183068628.964912</v>
      </c>
      <c r="V86" s="324">
        <f t="shared" si="104"/>
        <v>20805504186.684559</v>
      </c>
      <c r="W86" s="324">
        <f t="shared" si="104"/>
        <v>20427939744.404205</v>
      </c>
      <c r="X86" s="324">
        <f t="shared" si="104"/>
        <v>20050375302.123852</v>
      </c>
      <c r="Y86" s="324">
        <f t="shared" si="104"/>
        <v>19672810859.843498</v>
      </c>
      <c r="Z86" s="324">
        <f t="shared" si="104"/>
        <v>19295246417.563145</v>
      </c>
      <c r="AA86" s="324">
        <f t="shared" si="104"/>
        <v>18917681975.282787</v>
      </c>
      <c r="AB86" s="324">
        <f t="shared" si="104"/>
        <v>18540117533.00243</v>
      </c>
      <c r="AC86" s="324">
        <f t="shared" si="104"/>
        <v>18145191979.610962</v>
      </c>
      <c r="AD86" s="324">
        <f t="shared" si="104"/>
        <v>17750266426.219494</v>
      </c>
      <c r="AE86" s="324">
        <f t="shared" si="104"/>
        <v>17355340872.828026</v>
      </c>
      <c r="AF86" s="325"/>
      <c r="AG86" s="320">
        <v>207469613973412</v>
      </c>
      <c r="AH86" s="320">
        <v>270624199804883</v>
      </c>
      <c r="AI86" s="320">
        <v>315804585036603</v>
      </c>
      <c r="AJ86" s="320">
        <v>361339033021771</v>
      </c>
      <c r="AK86" s="320">
        <v>370758322798687</v>
      </c>
      <c r="AL86" s="326"/>
      <c r="AM86" s="196"/>
    </row>
    <row r="87" spans="2:40">
      <c r="B87" s="342"/>
      <c r="C87" s="351" t="str">
        <f>IF(B1="EN", "Tangible fixed assets", "Tài sản cố định hữu hình")</f>
        <v>Tài sản cố định hữu hình</v>
      </c>
      <c r="D87" s="329"/>
      <c r="E87" s="330"/>
      <c r="F87" s="331"/>
      <c r="G87" s="332"/>
      <c r="H87" s="332"/>
      <c r="I87" s="332"/>
      <c r="J87" s="332"/>
      <c r="K87" s="333"/>
      <c r="L87" s="333"/>
      <c r="M87" s="340">
        <f>SUM(M88:M89)</f>
        <v>24473979853</v>
      </c>
      <c r="N87" s="340">
        <f>SUM(N88:N89)</f>
        <v>24699221591</v>
      </c>
      <c r="O87" s="340">
        <f>SUM(O88:O89)</f>
        <v>22792988713</v>
      </c>
      <c r="P87" s="334">
        <f t="shared" ref="P87:Q87" si="105">SUM(P88:P89)</f>
        <v>13360864595.333332</v>
      </c>
      <c r="Q87" s="334">
        <f t="shared" si="105"/>
        <v>21016152636</v>
      </c>
      <c r="R87" s="337">
        <f t="shared" si="95"/>
        <v>17214859540.038551</v>
      </c>
      <c r="S87" s="337"/>
      <c r="T87" s="337">
        <f>SUM(T88:T89)</f>
        <v>21393637248.26281</v>
      </c>
      <c r="U87" s="337">
        <f t="shared" ref="U87:AD87" si="106">SUM(U88:U89)</f>
        <v>21016152636</v>
      </c>
      <c r="V87" s="337">
        <f t="shared" si="106"/>
        <v>20641231659.73719</v>
      </c>
      <c r="W87" s="337">
        <f t="shared" si="106"/>
        <v>20266310683.47438</v>
      </c>
      <c r="X87" s="337">
        <f t="shared" si="106"/>
        <v>19891389707.211571</v>
      </c>
      <c r="Y87" s="337">
        <f t="shared" si="106"/>
        <v>19516468730.948761</v>
      </c>
      <c r="Z87" s="337">
        <f t="shared" si="106"/>
        <v>19141547754.685951</v>
      </c>
      <c r="AA87" s="337">
        <f t="shared" si="106"/>
        <v>18766626778.423138</v>
      </c>
      <c r="AB87" s="337">
        <f t="shared" si="106"/>
        <v>18391705802.160324</v>
      </c>
      <c r="AC87" s="337">
        <f t="shared" si="106"/>
        <v>17999423714.7864</v>
      </c>
      <c r="AD87" s="337">
        <f t="shared" si="106"/>
        <v>17607141627.412476</v>
      </c>
      <c r="AE87" s="337">
        <f>SUM(AE88:AE89)</f>
        <v>17214859540.038551</v>
      </c>
      <c r="AF87" s="338"/>
      <c r="AG87" s="333">
        <v>184780298247012</v>
      </c>
      <c r="AH87" s="333">
        <v>249370189891483</v>
      </c>
      <c r="AI87" s="333">
        <v>295840920038903</v>
      </c>
      <c r="AJ87" s="333">
        <v>342655934192771</v>
      </c>
      <c r="AK87" s="333">
        <v>352786845093187</v>
      </c>
      <c r="AL87" s="339"/>
      <c r="AM87" s="196"/>
    </row>
    <row r="88" spans="2:40" s="125" customFormat="1" outlineLevel="1">
      <c r="B88" s="352"/>
      <c r="C88" s="353"/>
      <c r="D88" s="354"/>
      <c r="E88" s="355" t="str">
        <f>IF(B1="EN", "Cost", "Nguyên giá")</f>
        <v>Nguyên giá</v>
      </c>
      <c r="F88" s="356"/>
      <c r="G88" s="357"/>
      <c r="H88" s="357"/>
      <c r="I88" s="357"/>
      <c r="J88" s="357"/>
      <c r="K88" s="358"/>
      <c r="L88" s="358"/>
      <c r="M88" s="359">
        <v>24797693236</v>
      </c>
      <c r="N88" s="359">
        <v>28611384570</v>
      </c>
      <c r="O88" s="359">
        <v>33184332773</v>
      </c>
      <c r="P88" s="506">
        <f>[1]Depreciation!J4</f>
        <v>36032931529</v>
      </c>
      <c r="Q88" s="506">
        <v>36032931529</v>
      </c>
      <c r="R88" s="362">
        <f>AE88</f>
        <v>36032931529</v>
      </c>
      <c r="S88" s="363"/>
      <c r="T88" s="363">
        <f>[1]Depreciation!N4+[1]Depreciation!N15</f>
        <v>36032931529</v>
      </c>
      <c r="U88" s="362">
        <f>[1]Depreciation!O4+[1]Depreciation!O15</f>
        <v>36032931529</v>
      </c>
      <c r="V88" s="362">
        <f>[1]Depreciation!P4+[1]Depreciation!P15</f>
        <v>36032931529</v>
      </c>
      <c r="W88" s="362">
        <f>[1]Depreciation!Q4+[1]Depreciation!Q15</f>
        <v>36032931529</v>
      </c>
      <c r="X88" s="362">
        <f>[1]Depreciation!R4+[1]Depreciation!R15</f>
        <v>36032931529</v>
      </c>
      <c r="Y88" s="362">
        <f>[1]Depreciation!S4+[1]Depreciation!S15</f>
        <v>36032931529</v>
      </c>
      <c r="Z88" s="362">
        <f>[1]Depreciation!T4+[1]Depreciation!T15</f>
        <v>36032931529</v>
      </c>
      <c r="AA88" s="362">
        <f>[1]Depreciation!U4+[1]Depreciation!U15</f>
        <v>36032931529</v>
      </c>
      <c r="AB88" s="362">
        <f>[1]Depreciation!V4+[1]Depreciation!V15</f>
        <v>36032931529</v>
      </c>
      <c r="AC88" s="362">
        <f>[1]Depreciation!W4+[1]Depreciation!W15</f>
        <v>36032931529</v>
      </c>
      <c r="AD88" s="362">
        <f>[1]Depreciation!X4+[1]Depreciation!X15</f>
        <v>36032931529</v>
      </c>
      <c r="AE88" s="362">
        <f>[1]Depreciation!Y4+[1]Depreciation!Y15</f>
        <v>36032931529</v>
      </c>
      <c r="AF88" s="364"/>
      <c r="AG88" s="358">
        <v>4666557025949</v>
      </c>
      <c r="AH88" s="358">
        <v>551752841181649</v>
      </c>
      <c r="AI88" s="358">
        <v>623135683741649</v>
      </c>
      <c r="AJ88" s="358">
        <v>700518937098397</v>
      </c>
      <c r="AK88" s="358">
        <v>746499929408397</v>
      </c>
      <c r="AL88" s="354"/>
      <c r="AM88" s="196"/>
      <c r="AN88" s="288"/>
    </row>
    <row r="89" spans="2:40" s="125" customFormat="1" outlineLevel="1">
      <c r="B89" s="352"/>
      <c r="C89" s="353"/>
      <c r="D89" s="354"/>
      <c r="E89" s="355" t="str">
        <f>IF(B1="EN", "Accumulated depreciation", "Khấu hao lũy kế")</f>
        <v>Khấu hao lũy kế</v>
      </c>
      <c r="F89" s="356"/>
      <c r="G89" s="357"/>
      <c r="H89" s="357"/>
      <c r="I89" s="357"/>
      <c r="J89" s="357"/>
      <c r="K89" s="358"/>
      <c r="L89" s="358"/>
      <c r="M89" s="359">
        <v>-323713383</v>
      </c>
      <c r="N89" s="359">
        <v>-3912162979</v>
      </c>
      <c r="O89" s="359">
        <v>-10391344060</v>
      </c>
      <c r="P89" s="506">
        <f>[1]Depreciation!J5</f>
        <v>-22672066933.666668</v>
      </c>
      <c r="Q89" s="506">
        <v>-15016778893</v>
      </c>
      <c r="R89" s="362">
        <f>AE89</f>
        <v>-18818071988.961449</v>
      </c>
      <c r="S89" s="363"/>
      <c r="T89" s="363">
        <f>[1]Depreciation!N5</f>
        <v>-14639294280.73719</v>
      </c>
      <c r="U89" s="362">
        <f>[1]Depreciation!O5</f>
        <v>-15016778893</v>
      </c>
      <c r="V89" s="362">
        <f>[1]Depreciation!P5</f>
        <v>-15391699869.26281</v>
      </c>
      <c r="W89" s="362">
        <f>[1]Depreciation!Q5</f>
        <v>-15766620845.52562</v>
      </c>
      <c r="X89" s="362">
        <f>[1]Depreciation!R5</f>
        <v>-16141541821.788429</v>
      </c>
      <c r="Y89" s="362">
        <f>[1]Depreciation!S5</f>
        <v>-16516462798.051239</v>
      </c>
      <c r="Z89" s="362">
        <f>[1]Depreciation!T5</f>
        <v>-16891383774.314049</v>
      </c>
      <c r="AA89" s="362">
        <f>[1]Depreciation!U5</f>
        <v>-17266304750.576862</v>
      </c>
      <c r="AB89" s="362">
        <f>[1]Depreciation!V5</f>
        <v>-17641225726.839676</v>
      </c>
      <c r="AC89" s="362">
        <f>[1]Depreciation!W5</f>
        <v>-18033507814.2136</v>
      </c>
      <c r="AD89" s="362">
        <f>[1]Depreciation!X5</f>
        <v>-18425789901.587524</v>
      </c>
      <c r="AE89" s="362">
        <f>[1]Depreciation!Y5</f>
        <v>-18818071988.961449</v>
      </c>
      <c r="AF89" s="364"/>
      <c r="AG89" s="358">
        <v>-281875404347888</v>
      </c>
      <c r="AH89" s="358">
        <v>-302382651290165</v>
      </c>
      <c r="AI89" s="358">
        <v>-327294763702746</v>
      </c>
      <c r="AJ89" s="358">
        <v>-357863002905627</v>
      </c>
      <c r="AK89" s="358">
        <v>-39371308431521</v>
      </c>
      <c r="AL89" s="354"/>
      <c r="AM89" s="196"/>
    </row>
    <row r="90" spans="2:40" collapsed="1">
      <c r="B90" s="342"/>
      <c r="C90" s="351" t="str">
        <f>IF(B1="EN", "Financial leasing", "Tài sản thuê tài chính")</f>
        <v>Tài sản thuê tài chính</v>
      </c>
      <c r="D90" s="329"/>
      <c r="E90" s="330"/>
      <c r="F90" s="331"/>
      <c r="G90" s="332"/>
      <c r="H90" s="332"/>
      <c r="I90" s="332"/>
      <c r="J90" s="332"/>
      <c r="K90" s="333"/>
      <c r="L90" s="333"/>
      <c r="M90" s="340"/>
      <c r="N90" s="340">
        <f>SUM(N91:N92)</f>
        <v>0</v>
      </c>
      <c r="O90" s="340">
        <f>SUM(O91:O92)</f>
        <v>0</v>
      </c>
      <c r="P90" s="334">
        <f t="shared" ref="P90" si="107">SUM(P91:P92)</f>
        <v>0</v>
      </c>
      <c r="Q90" s="334"/>
      <c r="R90" s="337">
        <f t="shared" si="95"/>
        <v>0</v>
      </c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8"/>
      <c r="AG90" s="333">
        <v>13756525686</v>
      </c>
      <c r="AH90" s="333">
        <v>13155500716</v>
      </c>
      <c r="AI90" s="333">
        <v>12554475751</v>
      </c>
      <c r="AJ90" s="333">
        <v>11953450781</v>
      </c>
      <c r="AK90" s="333">
        <v>11352425815</v>
      </c>
      <c r="AL90" s="339"/>
      <c r="AM90" s="196"/>
    </row>
    <row r="91" spans="2:40" hidden="1" outlineLevel="1">
      <c r="B91" s="352"/>
      <c r="C91" s="366"/>
      <c r="D91" s="367"/>
      <c r="E91" s="355" t="str">
        <f>IF(B1="EN", "Cost", "Nguyên giá")</f>
        <v>Nguyên giá</v>
      </c>
      <c r="F91" s="356"/>
      <c r="G91" s="357"/>
      <c r="H91" s="357"/>
      <c r="I91" s="357"/>
      <c r="J91" s="357"/>
      <c r="K91" s="358"/>
      <c r="L91" s="358"/>
      <c r="M91" s="359"/>
      <c r="N91" s="359"/>
      <c r="O91" s="359"/>
      <c r="P91" s="506">
        <f>[1]Depreciation!J8</f>
        <v>0</v>
      </c>
      <c r="Q91" s="506"/>
      <c r="R91" s="362">
        <f t="shared" si="95"/>
        <v>0</v>
      </c>
      <c r="S91" s="363"/>
      <c r="T91" s="363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4"/>
      <c r="AG91" s="358">
        <v>38414</v>
      </c>
      <c r="AH91" s="358">
        <v>38414</v>
      </c>
      <c r="AI91" s="358">
        <v>38414</v>
      </c>
      <c r="AJ91" s="358">
        <v>38414</v>
      </c>
      <c r="AK91" s="358">
        <v>38414</v>
      </c>
      <c r="AL91" s="354"/>
      <c r="AM91" s="196"/>
      <c r="AN91" s="288"/>
    </row>
    <row r="92" spans="2:40" hidden="1" outlineLevel="1">
      <c r="B92" s="352"/>
      <c r="C92" s="366"/>
      <c r="D92" s="367"/>
      <c r="E92" s="355" t="str">
        <f>IF(B1="EN", "Accumulated depreciation", "Khấu hao lũy kế")</f>
        <v>Khấu hao lũy kế</v>
      </c>
      <c r="F92" s="356"/>
      <c r="G92" s="357"/>
      <c r="H92" s="357"/>
      <c r="I92" s="357"/>
      <c r="J92" s="357"/>
      <c r="K92" s="358"/>
      <c r="L92" s="358"/>
      <c r="M92" s="359"/>
      <c r="N92" s="359"/>
      <c r="O92" s="359"/>
      <c r="P92" s="506">
        <f>[1]Depreciation!J9</f>
        <v>0</v>
      </c>
      <c r="Q92" s="506"/>
      <c r="R92" s="362">
        <f t="shared" si="95"/>
        <v>0</v>
      </c>
      <c r="S92" s="363"/>
      <c r="T92" s="363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4"/>
      <c r="AG92" s="358">
        <v>-24657474314</v>
      </c>
      <c r="AH92" s="358">
        <v>-25258499284</v>
      </c>
      <c r="AI92" s="358">
        <v>-25859524249</v>
      </c>
      <c r="AJ92" s="358">
        <v>-26460549219</v>
      </c>
      <c r="AK92" s="358">
        <v>-27061574185</v>
      </c>
      <c r="AL92" s="354"/>
      <c r="AM92" s="196"/>
    </row>
    <row r="93" spans="2:40">
      <c r="B93" s="352"/>
      <c r="C93" s="351" t="str">
        <f>IF(B1="EN", "Intangible fixed assets", "Tài sản cố định vô hình")</f>
        <v>Tài sản cố định vô hình</v>
      </c>
      <c r="D93" s="329"/>
      <c r="E93" s="355"/>
      <c r="F93" s="356"/>
      <c r="G93" s="368"/>
      <c r="H93" s="368"/>
      <c r="I93" s="368"/>
      <c r="J93" s="368"/>
      <c r="K93" s="369"/>
      <c r="L93" s="369"/>
      <c r="M93" s="370">
        <f>SUM(M94:M95)</f>
        <v>408981964</v>
      </c>
      <c r="N93" s="370">
        <f>SUM(N94:N95)</f>
        <v>322880498</v>
      </c>
      <c r="O93" s="370">
        <f>SUM(O94:O95)</f>
        <v>236779032</v>
      </c>
      <c r="P93" s="388">
        <f t="shared" ref="P93" si="108">SUM(P94:P95)</f>
        <v>150677563</v>
      </c>
      <c r="Q93" s="388">
        <f>SUM(Q94:Q95)</f>
        <v>172202932</v>
      </c>
      <c r="R93" s="371">
        <f t="shared" si="95"/>
        <v>140481332.78947377</v>
      </c>
      <c r="S93" s="337"/>
      <c r="T93" s="337">
        <f t="shared" ref="T93:AE93" si="109">SUM(T94:T95)</f>
        <v>169559458.98245615</v>
      </c>
      <c r="U93" s="371">
        <f t="shared" si="109"/>
        <v>166915992.9649123</v>
      </c>
      <c r="V93" s="371">
        <f t="shared" si="109"/>
        <v>164272526.94736844</v>
      </c>
      <c r="W93" s="371">
        <f t="shared" si="109"/>
        <v>161629060.92982459</v>
      </c>
      <c r="X93" s="371">
        <f t="shared" si="109"/>
        <v>158985594.91228074</v>
      </c>
      <c r="Y93" s="371">
        <f t="shared" si="109"/>
        <v>156342128.89473689</v>
      </c>
      <c r="Z93" s="371">
        <f t="shared" si="109"/>
        <v>153698662.87719303</v>
      </c>
      <c r="AA93" s="371">
        <f t="shared" si="109"/>
        <v>151055196.85964918</v>
      </c>
      <c r="AB93" s="371">
        <f t="shared" si="109"/>
        <v>148411730.84210533</v>
      </c>
      <c r="AC93" s="371">
        <f t="shared" si="109"/>
        <v>145768264.82456148</v>
      </c>
      <c r="AD93" s="371">
        <f t="shared" si="109"/>
        <v>143124798.80701762</v>
      </c>
      <c r="AE93" s="371">
        <f t="shared" si="109"/>
        <v>140481332.78947377</v>
      </c>
      <c r="AF93" s="338"/>
      <c r="AG93" s="369">
        <v>213136631578</v>
      </c>
      <c r="AH93" s="369">
        <v>199384598418</v>
      </c>
      <c r="AI93" s="369">
        <v>187082174226</v>
      </c>
      <c r="AJ93" s="369">
        <v>174877537509</v>
      </c>
      <c r="AK93" s="369">
        <v>16836235124</v>
      </c>
      <c r="AL93" s="339"/>
      <c r="AM93" s="196"/>
    </row>
    <row r="94" spans="2:40" outlineLevel="1">
      <c r="B94" s="352"/>
      <c r="C94" s="367"/>
      <c r="D94" s="367"/>
      <c r="E94" s="355" t="str">
        <f>IF(B1="EN", "Cost", "Nguyên giá")</f>
        <v>Nguyên giá</v>
      </c>
      <c r="F94" s="356"/>
      <c r="G94" s="357"/>
      <c r="H94" s="357"/>
      <c r="I94" s="357"/>
      <c r="J94" s="357"/>
      <c r="K94" s="358"/>
      <c r="L94" s="358"/>
      <c r="M94" s="359">
        <v>430507331</v>
      </c>
      <c r="N94" s="359">
        <v>430507331</v>
      </c>
      <c r="O94" s="359">
        <v>430507331</v>
      </c>
      <c r="P94" s="506">
        <v>430507331</v>
      </c>
      <c r="Q94" s="506">
        <v>430507331</v>
      </c>
      <c r="R94" s="362">
        <f t="shared" si="95"/>
        <v>430507331</v>
      </c>
      <c r="S94" s="363"/>
      <c r="T94" s="363">
        <f>[1]Depreciation!N12</f>
        <v>430507331</v>
      </c>
      <c r="U94" s="362">
        <f>[1]Depreciation!O12</f>
        <v>430507331</v>
      </c>
      <c r="V94" s="362">
        <f>[1]Depreciation!P12</f>
        <v>430507331</v>
      </c>
      <c r="W94" s="362">
        <f>[1]Depreciation!Q12</f>
        <v>430507331</v>
      </c>
      <c r="X94" s="362">
        <f>[1]Depreciation!R12</f>
        <v>430507331</v>
      </c>
      <c r="Y94" s="362">
        <f>[1]Depreciation!S12</f>
        <v>430507331</v>
      </c>
      <c r="Z94" s="362">
        <f>[1]Depreciation!T12</f>
        <v>430507331</v>
      </c>
      <c r="AA94" s="362">
        <f>[1]Depreciation!U12</f>
        <v>430507331</v>
      </c>
      <c r="AB94" s="362">
        <f>[1]Depreciation!V12</f>
        <v>430507331</v>
      </c>
      <c r="AC94" s="362">
        <f>[1]Depreciation!W12</f>
        <v>430507331</v>
      </c>
      <c r="AD94" s="362">
        <f>[1]Depreciation!X12</f>
        <v>430507331</v>
      </c>
      <c r="AE94" s="362">
        <f>[1]Depreciation!Y12</f>
        <v>430507331</v>
      </c>
      <c r="AF94" s="364"/>
      <c r="AG94" s="358">
        <v>350267198546</v>
      </c>
      <c r="AH94" s="358">
        <v>350267198546</v>
      </c>
      <c r="AI94" s="358">
        <v>350267198546</v>
      </c>
      <c r="AJ94" s="358">
        <v>350267198546</v>
      </c>
      <c r="AK94" s="358">
        <v>350267198546</v>
      </c>
      <c r="AL94" s="354"/>
      <c r="AM94" s="196"/>
      <c r="AN94" s="288"/>
    </row>
    <row r="95" spans="2:40" outlineLevel="1">
      <c r="B95" s="352"/>
      <c r="C95" s="367"/>
      <c r="D95" s="367"/>
      <c r="E95" s="355" t="str">
        <f>IF(B1="EN", "Accumulated depreciation", "Khấu hao lũy kế")</f>
        <v>Khấu hao lũy kế</v>
      </c>
      <c r="F95" s="356"/>
      <c r="G95" s="357"/>
      <c r="H95" s="357"/>
      <c r="I95" s="357"/>
      <c r="J95" s="357"/>
      <c r="K95" s="358"/>
      <c r="L95" s="358"/>
      <c r="M95" s="359">
        <v>-21525367</v>
      </c>
      <c r="N95" s="359">
        <v>-107626833</v>
      </c>
      <c r="O95" s="359">
        <v>-193728299</v>
      </c>
      <c r="P95" s="506">
        <f>Q95-7175123*3</f>
        <v>-279829768</v>
      </c>
      <c r="Q95" s="506">
        <v>-258304399</v>
      </c>
      <c r="R95" s="362">
        <f t="shared" si="95"/>
        <v>-290025998.21052623</v>
      </c>
      <c r="S95" s="363"/>
      <c r="T95" s="363">
        <f>[1]Depreciation!N13</f>
        <v>-260947872.01754385</v>
      </c>
      <c r="U95" s="362">
        <f>[1]Depreciation!O13</f>
        <v>-263591338.0350877</v>
      </c>
      <c r="V95" s="362">
        <f>[1]Depreciation!P13</f>
        <v>-266234804.05263156</v>
      </c>
      <c r="W95" s="362">
        <f>[1]Depreciation!Q13</f>
        <v>-268878270.07017541</v>
      </c>
      <c r="X95" s="362">
        <f>[1]Depreciation!R13</f>
        <v>-271521736.08771926</v>
      </c>
      <c r="Y95" s="362">
        <f>[1]Depreciation!S13</f>
        <v>-274165202.10526311</v>
      </c>
      <c r="Z95" s="362">
        <f>[1]Depreciation!T13</f>
        <v>-276808668.12280697</v>
      </c>
      <c r="AA95" s="362">
        <f>[1]Depreciation!U13</f>
        <v>-279452134.14035082</v>
      </c>
      <c r="AB95" s="362">
        <f>[1]Depreciation!V13</f>
        <v>-282095600.15789467</v>
      </c>
      <c r="AC95" s="362">
        <f>[1]Depreciation!W13</f>
        <v>-284739066.17543852</v>
      </c>
      <c r="AD95" s="362">
        <f>[1]Depreciation!X13</f>
        <v>-287382532.19298238</v>
      </c>
      <c r="AE95" s="362">
        <f>[1]Depreciation!Y13</f>
        <v>-290025998.21052623</v>
      </c>
      <c r="AF95" s="364"/>
      <c r="AG95" s="358">
        <v>-137130566968</v>
      </c>
      <c r="AH95" s="358">
        <v>-150882600128</v>
      </c>
      <c r="AI95" s="358">
        <v>-16318502432</v>
      </c>
      <c r="AJ95" s="358">
        <v>-175389661037</v>
      </c>
      <c r="AK95" s="358">
        <v>-181904847306</v>
      </c>
      <c r="AL95" s="354"/>
      <c r="AM95" s="196"/>
    </row>
    <row r="96" spans="2:40">
      <c r="B96" s="327" t="str">
        <f>IF(B1="EN", "Long-term work in progress", "Chi phí dở dang dài hạn")</f>
        <v>Chi phí dở dang dài hạn</v>
      </c>
      <c r="C96" s="123"/>
      <c r="D96" s="123"/>
      <c r="E96" s="317"/>
      <c r="F96" s="318"/>
      <c r="G96" s="319"/>
      <c r="H96" s="319"/>
      <c r="I96" s="319"/>
      <c r="J96" s="319"/>
      <c r="K96" s="320"/>
      <c r="L96" s="320"/>
      <c r="M96" s="321">
        <f>M97</f>
        <v>1885024098</v>
      </c>
      <c r="N96" s="321">
        <f>N97</f>
        <v>4904362054</v>
      </c>
      <c r="O96" s="321">
        <f>O97</f>
        <v>1177211000</v>
      </c>
      <c r="P96" s="421">
        <f>P97</f>
        <v>1178581000</v>
      </c>
      <c r="Q96" s="421">
        <f>Q97</f>
        <v>1178581000</v>
      </c>
      <c r="R96" s="324">
        <f t="shared" si="95"/>
        <v>0</v>
      </c>
      <c r="S96" s="324"/>
      <c r="T96" s="324">
        <f t="shared" ref="T96:AE96" si="110">T97</f>
        <v>0</v>
      </c>
      <c r="U96" s="324">
        <f t="shared" si="110"/>
        <v>0</v>
      </c>
      <c r="V96" s="324">
        <f t="shared" si="110"/>
        <v>0</v>
      </c>
      <c r="W96" s="324">
        <f t="shared" si="110"/>
        <v>0</v>
      </c>
      <c r="X96" s="324">
        <f t="shared" si="110"/>
        <v>0</v>
      </c>
      <c r="Y96" s="324">
        <f t="shared" si="110"/>
        <v>0</v>
      </c>
      <c r="Z96" s="324">
        <f t="shared" si="110"/>
        <v>0</v>
      </c>
      <c r="AA96" s="324">
        <f t="shared" si="110"/>
        <v>0</v>
      </c>
      <c r="AB96" s="324">
        <f t="shared" si="110"/>
        <v>0</v>
      </c>
      <c r="AC96" s="324">
        <f t="shared" si="110"/>
        <v>0</v>
      </c>
      <c r="AD96" s="324">
        <f t="shared" si="110"/>
        <v>0</v>
      </c>
      <c r="AE96" s="324">
        <f t="shared" si="110"/>
        <v>0</v>
      </c>
      <c r="AF96" s="325"/>
      <c r="AG96" s="320">
        <v>198309547047</v>
      </c>
      <c r="AH96" s="320">
        <v>198309547047</v>
      </c>
      <c r="AI96" s="320">
        <v>198309547047</v>
      </c>
      <c r="AJ96" s="320">
        <v>198309547047</v>
      </c>
      <c r="AK96" s="320">
        <v>198309547047</v>
      </c>
      <c r="AL96" s="326"/>
      <c r="AM96" s="196"/>
    </row>
    <row r="97" spans="2:41" outlineLevel="1">
      <c r="B97" s="342"/>
      <c r="C97" s="351" t="str">
        <f>IF(B1="EN", "Construction in progress", "Xây dựng cơ bản dở dang")</f>
        <v>Xây dựng cơ bản dở dang</v>
      </c>
      <c r="D97" s="329"/>
      <c r="E97" s="330"/>
      <c r="F97" s="331"/>
      <c r="G97" s="368"/>
      <c r="H97" s="368"/>
      <c r="I97" s="368"/>
      <c r="J97" s="368"/>
      <c r="K97" s="369"/>
      <c r="L97" s="369"/>
      <c r="M97" s="370">
        <v>1885024098</v>
      </c>
      <c r="N97" s="370">
        <v>4904362054</v>
      </c>
      <c r="O97" s="370">
        <v>1177211000</v>
      </c>
      <c r="P97" s="388">
        <f>Q97</f>
        <v>1178581000</v>
      </c>
      <c r="Q97" s="388">
        <v>1178581000</v>
      </c>
      <c r="R97" s="371">
        <f t="shared" si="95"/>
        <v>0</v>
      </c>
      <c r="S97" s="337"/>
      <c r="T97" s="371">
        <f>[1]Depreciation!N34</f>
        <v>0</v>
      </c>
      <c r="U97" s="371">
        <f>[1]Depreciation!O34</f>
        <v>0</v>
      </c>
      <c r="V97" s="371">
        <f>[1]Depreciation!P34</f>
        <v>0</v>
      </c>
      <c r="W97" s="371">
        <f>[1]Depreciation!Q34</f>
        <v>0</v>
      </c>
      <c r="X97" s="371">
        <f>[1]Depreciation!R34</f>
        <v>0</v>
      </c>
      <c r="Y97" s="371">
        <f>[1]Depreciation!S34</f>
        <v>0</v>
      </c>
      <c r="Z97" s="371">
        <f>[1]Depreciation!T34</f>
        <v>0</v>
      </c>
      <c r="AA97" s="371">
        <f>[1]Depreciation!U34</f>
        <v>0</v>
      </c>
      <c r="AB97" s="371">
        <f>[1]Depreciation!V34</f>
        <v>0</v>
      </c>
      <c r="AC97" s="371">
        <f>[1]Depreciation!W34</f>
        <v>0</v>
      </c>
      <c r="AD97" s="371">
        <f>[1]Depreciation!X34</f>
        <v>0</v>
      </c>
      <c r="AE97" s="371">
        <f>[1]Depreciation!Y34</f>
        <v>0</v>
      </c>
      <c r="AF97" s="338"/>
      <c r="AG97" s="369">
        <v>198309547047</v>
      </c>
      <c r="AH97" s="369">
        <v>198309547047</v>
      </c>
      <c r="AI97" s="369">
        <v>198309547047</v>
      </c>
      <c r="AJ97" s="369">
        <v>198309547047</v>
      </c>
      <c r="AK97" s="369">
        <v>198309547047</v>
      </c>
      <c r="AL97" s="339"/>
      <c r="AM97" s="196"/>
      <c r="AN97" s="288"/>
    </row>
    <row r="98" spans="2:41">
      <c r="B98" s="327" t="str">
        <f>IF(B1="EN", "Other long-term assets", "Tài sản dài hạn khác")</f>
        <v>Tài sản dài hạn khác</v>
      </c>
      <c r="C98" s="123"/>
      <c r="D98" s="123"/>
      <c r="E98" s="317"/>
      <c r="F98" s="318"/>
      <c r="G98" s="319"/>
      <c r="H98" s="319"/>
      <c r="I98" s="319"/>
      <c r="J98" s="319"/>
      <c r="K98" s="320"/>
      <c r="L98" s="320"/>
      <c r="M98" s="321">
        <v>299644734</v>
      </c>
      <c r="N98" s="321">
        <v>637035078</v>
      </c>
      <c r="O98" s="321">
        <v>466779229</v>
      </c>
      <c r="P98" s="421">
        <f>Q98</f>
        <v>2032780780</v>
      </c>
      <c r="Q98" s="421">
        <v>2032780780</v>
      </c>
      <c r="R98" s="324">
        <f t="shared" si="95"/>
        <v>0</v>
      </c>
      <c r="S98" s="324"/>
      <c r="T98" s="324">
        <f>$Q$98-$Q$98</f>
        <v>0</v>
      </c>
      <c r="U98" s="324">
        <f t="shared" ref="U98:AE98" si="111">$Q$98-$Q$98</f>
        <v>0</v>
      </c>
      <c r="V98" s="324">
        <f t="shared" si="111"/>
        <v>0</v>
      </c>
      <c r="W98" s="324">
        <f t="shared" si="111"/>
        <v>0</v>
      </c>
      <c r="X98" s="324">
        <f t="shared" si="111"/>
        <v>0</v>
      </c>
      <c r="Y98" s="324">
        <f t="shared" si="111"/>
        <v>0</v>
      </c>
      <c r="Z98" s="324">
        <f t="shared" si="111"/>
        <v>0</v>
      </c>
      <c r="AA98" s="324">
        <f t="shared" si="111"/>
        <v>0</v>
      </c>
      <c r="AB98" s="324">
        <f t="shared" si="111"/>
        <v>0</v>
      </c>
      <c r="AC98" s="324">
        <f t="shared" si="111"/>
        <v>0</v>
      </c>
      <c r="AD98" s="324">
        <f t="shared" si="111"/>
        <v>0</v>
      </c>
      <c r="AE98" s="324">
        <f t="shared" si="111"/>
        <v>0</v>
      </c>
      <c r="AF98" s="325"/>
      <c r="AG98" s="320">
        <v>23909569361</v>
      </c>
      <c r="AH98" s="320">
        <v>23909569361</v>
      </c>
      <c r="AI98" s="320">
        <v>23909569361</v>
      </c>
      <c r="AJ98" s="320">
        <v>23909569361</v>
      </c>
      <c r="AK98" s="320">
        <v>23909569361</v>
      </c>
      <c r="AL98" s="326"/>
      <c r="AM98" s="196"/>
      <c r="AO98" s="107"/>
    </row>
    <row r="99" spans="2:41">
      <c r="B99" s="327" t="str">
        <f>IF(B1="EN", "Goodwill", "Lợi thế thương mại")</f>
        <v>Lợi thế thương mại</v>
      </c>
      <c r="C99" s="123"/>
      <c r="D99" s="123"/>
      <c r="E99" s="317"/>
      <c r="F99" s="318"/>
      <c r="G99" s="319"/>
      <c r="H99" s="319"/>
      <c r="I99" s="319"/>
      <c r="J99" s="319"/>
      <c r="K99" s="320"/>
      <c r="L99" s="320"/>
      <c r="M99" s="321"/>
      <c r="N99" s="321"/>
      <c r="O99" s="321"/>
      <c r="P99" s="421"/>
      <c r="Q99" s="421"/>
      <c r="R99" s="324">
        <f t="shared" si="95"/>
        <v>0</v>
      </c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  <c r="AF99" s="325"/>
      <c r="AG99" s="320"/>
      <c r="AH99" s="320"/>
      <c r="AI99" s="320"/>
      <c r="AJ99" s="320"/>
      <c r="AK99" s="320"/>
      <c r="AL99" s="326"/>
      <c r="AM99" s="196"/>
    </row>
    <row r="100" spans="2:41" collapsed="1">
      <c r="B100" s="327" t="str">
        <f>IF(B1="EN", "Long-term financial investments", "Đầu tư dài hạn")</f>
        <v>Đầu tư dài hạn</v>
      </c>
      <c r="C100" s="123"/>
      <c r="D100" s="123"/>
      <c r="E100" s="317"/>
      <c r="F100" s="318"/>
      <c r="G100" s="319"/>
      <c r="H100" s="319"/>
      <c r="I100" s="319"/>
      <c r="J100" s="319"/>
      <c r="K100" s="320"/>
      <c r="L100" s="320"/>
      <c r="M100" s="321"/>
      <c r="N100" s="321">
        <f>SUM(N101:N103)</f>
        <v>0</v>
      </c>
      <c r="O100" s="321">
        <f>SUM(O101:O103)</f>
        <v>0</v>
      </c>
      <c r="P100" s="421">
        <f t="shared" ref="P100:Q100" si="112">SUM(P101:P103)</f>
        <v>0</v>
      </c>
      <c r="Q100" s="421">
        <f t="shared" si="112"/>
        <v>0</v>
      </c>
      <c r="R100" s="324">
        <f t="shared" si="95"/>
        <v>0</v>
      </c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  <c r="AF100" s="325"/>
      <c r="AG100" s="320">
        <f t="shared" ref="AG100:AK100" si="113">SUM(AG101:AG103)</f>
        <v>0</v>
      </c>
      <c r="AH100" s="320">
        <f t="shared" si="113"/>
        <v>0</v>
      </c>
      <c r="AI100" s="320">
        <f t="shared" si="113"/>
        <v>0</v>
      </c>
      <c r="AJ100" s="320">
        <f t="shared" si="113"/>
        <v>0</v>
      </c>
      <c r="AK100" s="320">
        <f t="shared" si="113"/>
        <v>0</v>
      </c>
      <c r="AL100" s="326"/>
      <c r="AM100" s="196"/>
    </row>
    <row r="101" spans="2:41" hidden="1" outlineLevel="1">
      <c r="B101" s="342"/>
      <c r="C101" s="329" t="str">
        <f>IF(B1="EN", "Investment in subsidiaries", "Đầu tư vào công ty con")</f>
        <v>Đầu tư vào công ty con</v>
      </c>
      <c r="D101" s="329"/>
      <c r="E101" s="330"/>
      <c r="F101" s="331"/>
      <c r="G101" s="332"/>
      <c r="H101" s="332"/>
      <c r="I101" s="332"/>
      <c r="J101" s="332"/>
      <c r="K101" s="333"/>
      <c r="L101" s="333"/>
      <c r="M101" s="340"/>
      <c r="N101" s="340"/>
      <c r="O101" s="340"/>
      <c r="P101" s="334"/>
      <c r="Q101" s="334"/>
      <c r="R101" s="337">
        <f t="shared" si="95"/>
        <v>0</v>
      </c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8"/>
      <c r="AG101" s="333"/>
      <c r="AH101" s="333"/>
      <c r="AI101" s="333"/>
      <c r="AJ101" s="333"/>
      <c r="AK101" s="333"/>
      <c r="AL101" s="339"/>
      <c r="AM101" s="196"/>
    </row>
    <row r="102" spans="2:41">
      <c r="B102" s="342"/>
      <c r="C102" s="329" t="s">
        <v>114</v>
      </c>
      <c r="D102" s="329"/>
      <c r="E102" s="330"/>
      <c r="F102" s="331"/>
      <c r="G102" s="332"/>
      <c r="H102" s="332"/>
      <c r="I102" s="332"/>
      <c r="J102" s="332"/>
      <c r="K102" s="333"/>
      <c r="L102" s="333"/>
      <c r="M102" s="340"/>
      <c r="N102" s="340"/>
      <c r="O102" s="340"/>
      <c r="P102" s="334"/>
      <c r="Q102" s="334"/>
      <c r="R102" s="337">
        <f t="shared" si="95"/>
        <v>0</v>
      </c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8"/>
      <c r="AG102" s="333"/>
      <c r="AH102" s="333"/>
      <c r="AI102" s="333"/>
      <c r="AJ102" s="333"/>
      <c r="AK102" s="333"/>
      <c r="AL102" s="339"/>
      <c r="AM102" s="196"/>
    </row>
    <row r="103" spans="2:41">
      <c r="B103" s="342"/>
      <c r="C103" s="329" t="s">
        <v>115</v>
      </c>
      <c r="D103" s="329"/>
      <c r="E103" s="330"/>
      <c r="F103" s="331"/>
      <c r="G103" s="332"/>
      <c r="H103" s="332"/>
      <c r="I103" s="332"/>
      <c r="J103" s="332"/>
      <c r="K103" s="333"/>
      <c r="L103" s="333"/>
      <c r="M103" s="340"/>
      <c r="N103" s="340"/>
      <c r="O103" s="340"/>
      <c r="P103" s="334"/>
      <c r="Q103" s="334"/>
      <c r="R103" s="337">
        <f t="shared" si="95"/>
        <v>0</v>
      </c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8"/>
      <c r="AG103" s="333"/>
      <c r="AH103" s="333"/>
      <c r="AI103" s="333"/>
      <c r="AJ103" s="333"/>
      <c r="AK103" s="333"/>
      <c r="AL103" s="339"/>
      <c r="AM103" s="196"/>
    </row>
    <row r="104" spans="2:41" s="125" customFormat="1">
      <c r="B104" s="342"/>
      <c r="C104" s="329"/>
      <c r="D104" s="329"/>
      <c r="E104" s="339"/>
      <c r="F104" s="373"/>
      <c r="G104" s="332"/>
      <c r="H104" s="332"/>
      <c r="I104" s="332"/>
      <c r="J104" s="332"/>
      <c r="K104" s="333"/>
      <c r="L104" s="333"/>
      <c r="M104" s="340"/>
      <c r="N104" s="340"/>
      <c r="O104" s="340"/>
      <c r="P104" s="334"/>
      <c r="Q104" s="334"/>
      <c r="R104" s="337">
        <f t="shared" si="95"/>
        <v>0</v>
      </c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8"/>
      <c r="AG104" s="333"/>
      <c r="AH104" s="333"/>
      <c r="AI104" s="333"/>
      <c r="AJ104" s="333"/>
      <c r="AK104" s="333"/>
      <c r="AL104" s="339"/>
      <c r="AM104" s="196"/>
    </row>
    <row r="105" spans="2:41" ht="17" thickBot="1">
      <c r="B105" s="374" t="str">
        <f>IF(B1="EN", "TOTAL ASSETS", "TỔNG TÀI SẢN")</f>
        <v>TỔNG TÀI SẢN</v>
      </c>
      <c r="C105" s="375"/>
      <c r="D105" s="375"/>
      <c r="E105" s="376"/>
      <c r="F105" s="377"/>
      <c r="G105" s="378"/>
      <c r="H105" s="378"/>
      <c r="I105" s="378"/>
      <c r="J105" s="378"/>
      <c r="K105" s="378"/>
      <c r="L105" s="378"/>
      <c r="M105" s="379">
        <f>M73+M85</f>
        <v>67118265497</v>
      </c>
      <c r="N105" s="379">
        <f>N73+N85</f>
        <v>64725699701</v>
      </c>
      <c r="O105" s="379">
        <f>O73+O85</f>
        <v>38908743599</v>
      </c>
      <c r="P105" s="507">
        <f>P73+P85</f>
        <v>35555014028.717796</v>
      </c>
      <c r="Q105" s="507">
        <f t="shared" ref="Q105" si="114">Q73+Q85</f>
        <v>45970417693</v>
      </c>
      <c r="R105" s="382">
        <f>SUM(R73,R85)</f>
        <v>37875763056.375916</v>
      </c>
      <c r="S105" s="383"/>
      <c r="T105" s="382">
        <f t="shared" ref="T105:AE105" si="115">T73+T85</f>
        <v>37376835848.08741</v>
      </c>
      <c r="U105" s="382">
        <f t="shared" si="115"/>
        <v>33143741723.532249</v>
      </c>
      <c r="V105" s="382">
        <f t="shared" si="115"/>
        <v>34622557586.73661</v>
      </c>
      <c r="W105" s="382">
        <f t="shared" si="115"/>
        <v>35909724285.265671</v>
      </c>
      <c r="X105" s="382">
        <f t="shared" si="115"/>
        <v>35777152662.94632</v>
      </c>
      <c r="Y105" s="382">
        <f t="shared" si="115"/>
        <v>35453482311.586212</v>
      </c>
      <c r="Z105" s="382">
        <f t="shared" si="115"/>
        <v>35270717775.506943</v>
      </c>
      <c r="AA105" s="382">
        <f t="shared" si="115"/>
        <v>35038585872.004593</v>
      </c>
      <c r="AB105" s="382">
        <f t="shared" si="115"/>
        <v>34827729477.675751</v>
      </c>
      <c r="AC105" s="382">
        <f t="shared" si="115"/>
        <v>35578720972.538139</v>
      </c>
      <c r="AD105" s="382">
        <f t="shared" si="115"/>
        <v>35689803367.319427</v>
      </c>
      <c r="AE105" s="382">
        <f t="shared" si="115"/>
        <v>35786238227.375916</v>
      </c>
      <c r="AF105" s="384"/>
      <c r="AG105" s="378">
        <f>AG73+AG85</f>
        <v>509035424112136</v>
      </c>
      <c r="AH105" s="378">
        <f t="shared" ref="AH105:AK105" si="116">AH73+AH85</f>
        <v>572923182521796</v>
      </c>
      <c r="AI105" s="378">
        <f t="shared" si="116"/>
        <v>635646367613688</v>
      </c>
      <c r="AJ105" s="378">
        <f t="shared" si="116"/>
        <v>704898777571178</v>
      </c>
      <c r="AK105" s="378">
        <f t="shared" si="116"/>
        <v>779794689705248</v>
      </c>
      <c r="AL105" s="326"/>
      <c r="AM105" s="196"/>
    </row>
    <row r="106" spans="2:41" ht="17" thickTop="1">
      <c r="B106" s="342"/>
      <c r="C106" s="271"/>
      <c r="D106" s="271"/>
      <c r="E106" s="330"/>
      <c r="F106" s="331"/>
      <c r="G106" s="319"/>
      <c r="H106" s="319"/>
      <c r="I106" s="319"/>
      <c r="J106" s="319"/>
      <c r="K106" s="320"/>
      <c r="L106" s="385"/>
      <c r="M106" s="340"/>
      <c r="N106" s="340"/>
      <c r="O106" s="340"/>
      <c r="P106" s="334"/>
      <c r="Q106" s="334"/>
      <c r="R106" s="337">
        <f t="shared" si="95"/>
        <v>0</v>
      </c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86"/>
      <c r="AG106" s="385"/>
      <c r="AH106" s="385"/>
      <c r="AI106" s="385"/>
      <c r="AJ106" s="385"/>
      <c r="AK106" s="385"/>
      <c r="AL106" s="387"/>
      <c r="AM106" s="196"/>
    </row>
    <row r="107" spans="2:41">
      <c r="B107" s="126" t="str">
        <f>IF(B1="EN", "LIABILITIES", "NỢ PHẢI TRẢ")</f>
        <v>NỢ PHẢI TRẢ</v>
      </c>
      <c r="C107" s="123"/>
      <c r="D107" s="123"/>
      <c r="E107" s="317"/>
      <c r="F107" s="318"/>
      <c r="G107" s="319"/>
      <c r="H107" s="319"/>
      <c r="I107" s="319"/>
      <c r="J107" s="319"/>
      <c r="K107" s="320"/>
      <c r="L107" s="320"/>
      <c r="M107" s="321">
        <f t="shared" ref="M107:O107" si="117">M108+M113</f>
        <v>37153872883</v>
      </c>
      <c r="N107" s="321">
        <f t="shared" si="117"/>
        <v>57393245458</v>
      </c>
      <c r="O107" s="321">
        <f t="shared" si="117"/>
        <v>44111589494</v>
      </c>
      <c r="P107" s="421">
        <f>P108+P113</f>
        <v>68808477779.466415</v>
      </c>
      <c r="Q107" s="421">
        <f>Q108+Q113</f>
        <v>56194065653</v>
      </c>
      <c r="R107" s="324">
        <f t="shared" si="95"/>
        <v>58060582011.598785</v>
      </c>
      <c r="S107" s="324"/>
      <c r="T107" s="324">
        <f t="shared" ref="T107:AE107" si="118">T108+T113</f>
        <v>55077314776.145096</v>
      </c>
      <c r="U107" s="324">
        <f t="shared" si="118"/>
        <v>53674384016.165222</v>
      </c>
      <c r="V107" s="324">
        <f t="shared" si="118"/>
        <v>55750902959.492737</v>
      </c>
      <c r="W107" s="324">
        <f t="shared" si="118"/>
        <v>57382782360.847748</v>
      </c>
      <c r="X107" s="324">
        <f t="shared" si="118"/>
        <v>57395334548.337845</v>
      </c>
      <c r="Y107" s="324">
        <f t="shared" si="118"/>
        <v>57418922636.797173</v>
      </c>
      <c r="Z107" s="324">
        <f t="shared" si="118"/>
        <v>57435014595.486916</v>
      </c>
      <c r="AA107" s="324">
        <f t="shared" si="118"/>
        <v>57439365208.886917</v>
      </c>
      <c r="AB107" s="324">
        <f t="shared" si="118"/>
        <v>57432917309.976654</v>
      </c>
      <c r="AC107" s="324">
        <f t="shared" si="118"/>
        <v>58041613477.888535</v>
      </c>
      <c r="AD107" s="324">
        <f t="shared" si="118"/>
        <v>58065114642.64238</v>
      </c>
      <c r="AE107" s="324">
        <f t="shared" si="118"/>
        <v>58060582011.598785</v>
      </c>
      <c r="AF107" s="325"/>
      <c r="AG107" s="320">
        <v>173048992379511</v>
      </c>
      <c r="AH107" s="320">
        <v>190528060685131</v>
      </c>
      <c r="AI107" s="320">
        <v>213909267519043</v>
      </c>
      <c r="AJ107" s="320">
        <v>238329663280917</v>
      </c>
      <c r="AK107" s="320">
        <v>260832875155063</v>
      </c>
      <c r="AL107" s="326"/>
      <c r="AM107" s="196"/>
    </row>
    <row r="108" spans="2:41">
      <c r="B108" s="126" t="str">
        <f>IF(B1="EN", "Short-term liabilities", "Nợ ngắn hạn")</f>
        <v>Nợ ngắn hạn</v>
      </c>
      <c r="C108" s="123"/>
      <c r="D108" s="123"/>
      <c r="E108" s="317"/>
      <c r="F108" s="318"/>
      <c r="G108" s="319"/>
      <c r="H108" s="319"/>
      <c r="I108" s="319"/>
      <c r="J108" s="319"/>
      <c r="K108" s="320"/>
      <c r="L108" s="320"/>
      <c r="M108" s="321">
        <f t="shared" ref="M108:P108" si="119">SUM(M109:M111)</f>
        <v>37153872883</v>
      </c>
      <c r="N108" s="321">
        <f t="shared" si="119"/>
        <v>24623245458</v>
      </c>
      <c r="O108" s="321">
        <f t="shared" si="119"/>
        <v>11341589494</v>
      </c>
      <c r="P108" s="421">
        <f t="shared" si="119"/>
        <v>36038477779.466415</v>
      </c>
      <c r="Q108" s="421">
        <f>SUM(Q109:Q111)</f>
        <v>23424065653</v>
      </c>
      <c r="R108" s="324">
        <f t="shared" si="95"/>
        <v>25290582011.598785</v>
      </c>
      <c r="S108" s="324"/>
      <c r="T108" s="324">
        <f>SUM(T109:T111)</f>
        <v>22307314776.1451</v>
      </c>
      <c r="U108" s="324">
        <f t="shared" ref="U108:AE108" si="120">SUM(U109:U111)</f>
        <v>20904384016.165218</v>
      </c>
      <c r="V108" s="324">
        <f t="shared" si="120"/>
        <v>22980902959.492733</v>
      </c>
      <c r="W108" s="324">
        <f t="shared" si="120"/>
        <v>24612782360.847748</v>
      </c>
      <c r="X108" s="324">
        <f t="shared" si="120"/>
        <v>24625334548.337845</v>
      </c>
      <c r="Y108" s="324">
        <f t="shared" si="120"/>
        <v>24648922636.797173</v>
      </c>
      <c r="Z108" s="324">
        <f t="shared" si="120"/>
        <v>24665014595.486916</v>
      </c>
      <c r="AA108" s="324">
        <f t="shared" si="120"/>
        <v>24669365208.886917</v>
      </c>
      <c r="AB108" s="324">
        <f t="shared" si="120"/>
        <v>24662917309.976658</v>
      </c>
      <c r="AC108" s="324">
        <f t="shared" si="120"/>
        <v>25271613477.888531</v>
      </c>
      <c r="AD108" s="324">
        <f t="shared" si="120"/>
        <v>25295114642.64238</v>
      </c>
      <c r="AE108" s="324">
        <f t="shared" si="120"/>
        <v>25290582011.598785</v>
      </c>
      <c r="AF108" s="325"/>
      <c r="AG108" s="320">
        <v>163839041745311</v>
      </c>
      <c r="AH108" s="320">
        <v>176860565956131</v>
      </c>
      <c r="AI108" s="320">
        <v>193247774136843</v>
      </c>
      <c r="AJ108" s="320">
        <v>211218970628117</v>
      </c>
      <c r="AK108" s="320">
        <v>229806909065463</v>
      </c>
      <c r="AL108" s="326"/>
      <c r="AM108" s="196"/>
    </row>
    <row r="109" spans="2:41">
      <c r="B109" s="342"/>
      <c r="C109" s="329" t="str">
        <f>IF(B1="EN", "Short-term borrowings", "Vay ngắn hạn")</f>
        <v>Vay ngắn hạn</v>
      </c>
      <c r="D109" s="329"/>
      <c r="E109" s="330"/>
      <c r="F109" s="331"/>
      <c r="G109" s="368"/>
      <c r="H109" s="368"/>
      <c r="I109" s="368"/>
      <c r="J109" s="368"/>
      <c r="K109" s="369"/>
      <c r="L109" s="369"/>
      <c r="M109" s="370">
        <v>19000000000</v>
      </c>
      <c r="N109" s="370"/>
      <c r="O109" s="370"/>
      <c r="P109" s="388">
        <f>[1]FIN!Q28</f>
        <v>18373342323.534836</v>
      </c>
      <c r="Q109" s="388">
        <f>[1]FIN!P28</f>
        <v>0</v>
      </c>
      <c r="R109" s="371">
        <f t="shared" si="95"/>
        <v>0</v>
      </c>
      <c r="S109" s="337"/>
      <c r="T109" s="371">
        <f>[1]FIN!T28</f>
        <v>0</v>
      </c>
      <c r="U109" s="371">
        <f>[1]FIN!U28</f>
        <v>0</v>
      </c>
      <c r="V109" s="371">
        <f>[1]FIN!V28</f>
        <v>0</v>
      </c>
      <c r="W109" s="371">
        <f>[1]FIN!W28</f>
        <v>0</v>
      </c>
      <c r="X109" s="371">
        <f>[1]FIN!X28</f>
        <v>0</v>
      </c>
      <c r="Y109" s="371">
        <f>[1]FIN!Y28</f>
        <v>0</v>
      </c>
      <c r="Z109" s="371">
        <f>[1]FIN!Z28</f>
        <v>0</v>
      </c>
      <c r="AA109" s="371">
        <f>[1]FIN!AA28</f>
        <v>0</v>
      </c>
      <c r="AB109" s="371">
        <f>[1]FIN!AB28</f>
        <v>0</v>
      </c>
      <c r="AC109" s="371">
        <f>[1]FIN!AC28</f>
        <v>0</v>
      </c>
      <c r="AD109" s="371">
        <f>[1]FIN!AD28</f>
        <v>0</v>
      </c>
      <c r="AE109" s="371">
        <f>[1]FIN!AE28</f>
        <v>0</v>
      </c>
      <c r="AF109" s="338"/>
      <c r="AG109" s="369">
        <v>928684086624423</v>
      </c>
      <c r="AH109" s="369">
        <v>1019368918558</v>
      </c>
      <c r="AI109" s="369">
        <v>113333993652585</v>
      </c>
      <c r="AJ109" s="369">
        <v>125817532431354</v>
      </c>
      <c r="AK109" s="369">
        <v>13886527670479</v>
      </c>
      <c r="AL109" s="339"/>
      <c r="AM109" s="196"/>
    </row>
    <row r="110" spans="2:41">
      <c r="B110" s="342"/>
      <c r="C110" s="329" t="str">
        <f>IF(B1="EN", "Trade payables", "Phải trả thương mại")</f>
        <v>Phải trả thương mại</v>
      </c>
      <c r="D110" s="329"/>
      <c r="E110" s="330"/>
      <c r="F110" s="331"/>
      <c r="G110" s="368"/>
      <c r="H110" s="368"/>
      <c r="I110" s="368"/>
      <c r="J110" s="368"/>
      <c r="K110" s="369"/>
      <c r="L110" s="369"/>
      <c r="M110" s="370">
        <v>16689692419</v>
      </c>
      <c r="N110" s="370">
        <v>22827967224</v>
      </c>
      <c r="O110" s="370">
        <v>9348738447</v>
      </c>
      <c r="P110" s="388">
        <f>[1]NWC!L8</f>
        <v>2658273277.9315829</v>
      </c>
      <c r="Q110" s="388">
        <v>8417203475</v>
      </c>
      <c r="R110" s="371">
        <f>AE110</f>
        <v>10029161423.598787</v>
      </c>
      <c r="S110" s="337"/>
      <c r="T110" s="371">
        <f>[1]NWC!O8</f>
        <v>7045894188.1451006</v>
      </c>
      <c r="U110" s="371">
        <f>[1]NWC!P8</f>
        <v>5642963428.1652193</v>
      </c>
      <c r="V110" s="371">
        <f>[1]NWC!Q8</f>
        <v>7719482371.492734</v>
      </c>
      <c r="W110" s="371">
        <f>[1]NWC!R8</f>
        <v>9351361772.8477459</v>
      </c>
      <c r="X110" s="371">
        <f>[1]NWC!S8</f>
        <v>9363913960.3378429</v>
      </c>
      <c r="Y110" s="371">
        <f>[1]NWC!T8</f>
        <v>9387502048.7971706</v>
      </c>
      <c r="Z110" s="371">
        <f>[1]NWC!U8</f>
        <v>9403594007.4869137</v>
      </c>
      <c r="AA110" s="371">
        <f>[1]NWC!V8</f>
        <v>9407944620.8869152</v>
      </c>
      <c r="AB110" s="371">
        <f>[1]NWC!W8</f>
        <v>9401496721.9766579</v>
      </c>
      <c r="AC110" s="371">
        <f>[1]NWC!X8</f>
        <v>10010192889.888531</v>
      </c>
      <c r="AD110" s="371">
        <f>[1]NWC!Y8</f>
        <v>10033694054.642378</v>
      </c>
      <c r="AE110" s="371">
        <f>[1]NWC!Z8</f>
        <v>10029161423.598787</v>
      </c>
      <c r="AF110" s="338"/>
      <c r="AG110" s="369">
        <v>430177727766691</v>
      </c>
      <c r="AH110" s="369">
        <v>469708137941311</v>
      </c>
      <c r="AI110" s="369">
        <v>519609201780576</v>
      </c>
      <c r="AJ110" s="369">
        <v>574485778905631</v>
      </c>
      <c r="AK110" s="369">
        <v>629887720544726</v>
      </c>
      <c r="AL110" s="339"/>
      <c r="AM110" s="196"/>
    </row>
    <row r="111" spans="2:41">
      <c r="B111" s="342"/>
      <c r="C111" s="329" t="str">
        <f>IF(B1="EN", "Other short term liabilities", "Nợ ngắn hạn khác")</f>
        <v>Nợ ngắn hạn khác</v>
      </c>
      <c r="D111" s="329"/>
      <c r="E111" s="330"/>
      <c r="F111" s="331"/>
      <c r="G111" s="332"/>
      <c r="H111" s="332"/>
      <c r="I111" s="332"/>
      <c r="J111" s="332"/>
      <c r="K111" s="333"/>
      <c r="L111" s="333"/>
      <c r="M111" s="340">
        <v>1464180464</v>
      </c>
      <c r="N111" s="340">
        <v>1795278234</v>
      </c>
      <c r="O111" s="340">
        <v>1992851047</v>
      </c>
      <c r="P111" s="334">
        <f>Q111</f>
        <v>15006862178</v>
      </c>
      <c r="Q111" s="334">
        <v>15006862178</v>
      </c>
      <c r="R111" s="337">
        <f>AE111+AE88-Q88</f>
        <v>15261420588</v>
      </c>
      <c r="S111" s="337"/>
      <c r="T111" s="337">
        <f>P111+254558410</f>
        <v>15261420588</v>
      </c>
      <c r="U111" s="337">
        <f>T111</f>
        <v>15261420588</v>
      </c>
      <c r="V111" s="337">
        <f t="shared" ref="V111:AE111" si="121">U111</f>
        <v>15261420588</v>
      </c>
      <c r="W111" s="337">
        <f t="shared" si="121"/>
        <v>15261420588</v>
      </c>
      <c r="X111" s="337">
        <f t="shared" si="121"/>
        <v>15261420588</v>
      </c>
      <c r="Y111" s="337">
        <f t="shared" si="121"/>
        <v>15261420588</v>
      </c>
      <c r="Z111" s="337">
        <f t="shared" si="121"/>
        <v>15261420588</v>
      </c>
      <c r="AA111" s="337">
        <f t="shared" si="121"/>
        <v>15261420588</v>
      </c>
      <c r="AB111" s="337">
        <f t="shared" si="121"/>
        <v>15261420588</v>
      </c>
      <c r="AC111" s="337">
        <f t="shared" si="121"/>
        <v>15261420588</v>
      </c>
      <c r="AD111" s="337">
        <f t="shared" si="121"/>
        <v>15261420588</v>
      </c>
      <c r="AE111" s="337">
        <f t="shared" si="121"/>
        <v>15261420588</v>
      </c>
      <c r="AF111" s="338"/>
      <c r="AG111" s="333">
        <v>279528603062</v>
      </c>
      <c r="AH111" s="333">
        <v>279528603062</v>
      </c>
      <c r="AI111" s="333">
        <v>279528603062</v>
      </c>
      <c r="AJ111" s="333">
        <v>279528603062</v>
      </c>
      <c r="AK111" s="333">
        <v>279528603062</v>
      </c>
      <c r="AL111" s="389"/>
      <c r="AM111" s="196"/>
    </row>
    <row r="112" spans="2:41">
      <c r="B112" s="342"/>
      <c r="C112" s="329"/>
      <c r="D112" s="329"/>
      <c r="E112" s="330"/>
      <c r="F112" s="331"/>
      <c r="G112" s="390"/>
      <c r="H112" s="390"/>
      <c r="I112" s="390"/>
      <c r="J112" s="390"/>
      <c r="K112" s="391"/>
      <c r="L112" s="391"/>
      <c r="M112" s="392"/>
      <c r="N112" s="392"/>
      <c r="O112" s="392"/>
      <c r="P112" s="505"/>
      <c r="Q112" s="505"/>
      <c r="R112" s="348">
        <f t="shared" si="95"/>
        <v>0</v>
      </c>
      <c r="S112" s="348"/>
      <c r="T112" s="348"/>
      <c r="U112" s="348"/>
      <c r="V112" s="348"/>
      <c r="W112" s="348"/>
      <c r="X112" s="348"/>
      <c r="Y112" s="348"/>
      <c r="Z112" s="348"/>
      <c r="AA112" s="348"/>
      <c r="AB112" s="348"/>
      <c r="AC112" s="348"/>
      <c r="AD112" s="348"/>
      <c r="AE112" s="348"/>
      <c r="AF112" s="349"/>
      <c r="AG112" s="391"/>
      <c r="AH112" s="391"/>
      <c r="AI112" s="391"/>
      <c r="AJ112" s="391"/>
      <c r="AK112" s="391"/>
      <c r="AL112" s="393"/>
      <c r="AM112" s="196"/>
    </row>
    <row r="113" spans="1:39">
      <c r="B113" s="126" t="str">
        <f>IF(B1="EN", "Long-term liabilities", "Nợ dài hạn")</f>
        <v>Nợ dài hạn</v>
      </c>
      <c r="C113" s="123"/>
      <c r="D113" s="123"/>
      <c r="E113" s="317"/>
      <c r="F113" s="318"/>
      <c r="G113" s="319"/>
      <c r="H113" s="319"/>
      <c r="I113" s="319"/>
      <c r="J113" s="319"/>
      <c r="K113" s="320"/>
      <c r="L113" s="320"/>
      <c r="M113" s="321">
        <f t="shared" ref="M113:P113" si="122">SUM(M114:M115)</f>
        <v>0</v>
      </c>
      <c r="N113" s="321">
        <f t="shared" si="122"/>
        <v>32770000000</v>
      </c>
      <c r="O113" s="321">
        <f t="shared" si="122"/>
        <v>32770000000</v>
      </c>
      <c r="P113" s="421">
        <f t="shared" si="122"/>
        <v>32770000000</v>
      </c>
      <c r="Q113" s="421">
        <f>SUM(Q114:Q115)</f>
        <v>32770000000</v>
      </c>
      <c r="R113" s="324">
        <f t="shared" si="95"/>
        <v>32770000000</v>
      </c>
      <c r="S113" s="324"/>
      <c r="T113" s="324">
        <f t="shared" ref="T113:AE113" si="123">SUM(T114:T115)</f>
        <v>32770000000</v>
      </c>
      <c r="U113" s="324">
        <f t="shared" si="123"/>
        <v>32770000000</v>
      </c>
      <c r="V113" s="324">
        <f t="shared" si="123"/>
        <v>32770000000</v>
      </c>
      <c r="W113" s="324">
        <f t="shared" si="123"/>
        <v>32770000000</v>
      </c>
      <c r="X113" s="324">
        <f t="shared" si="123"/>
        <v>32770000000</v>
      </c>
      <c r="Y113" s="324">
        <f t="shared" si="123"/>
        <v>32770000000</v>
      </c>
      <c r="Z113" s="324">
        <f t="shared" si="123"/>
        <v>32770000000</v>
      </c>
      <c r="AA113" s="324">
        <f t="shared" si="123"/>
        <v>32770000000</v>
      </c>
      <c r="AB113" s="324">
        <f t="shared" si="123"/>
        <v>32770000000</v>
      </c>
      <c r="AC113" s="324">
        <f t="shared" si="123"/>
        <v>32770000000</v>
      </c>
      <c r="AD113" s="324">
        <f t="shared" si="123"/>
        <v>32770000000</v>
      </c>
      <c r="AE113" s="324">
        <f t="shared" si="123"/>
        <v>32770000000</v>
      </c>
      <c r="AF113" s="325"/>
      <c r="AG113" s="320">
        <v>92099506342</v>
      </c>
      <c r="AH113" s="320">
        <v>13667494729</v>
      </c>
      <c r="AI113" s="320">
        <v>206614933822</v>
      </c>
      <c r="AJ113" s="320">
        <v>271106926528</v>
      </c>
      <c r="AK113" s="320">
        <v>310259660896</v>
      </c>
      <c r="AL113" s="326"/>
      <c r="AM113" s="196"/>
    </row>
    <row r="114" spans="1:39">
      <c r="B114" s="342"/>
      <c r="C114" s="329" t="str">
        <f>IF(B1="EN", "Long-term borrowings", "Vay dài hạn")</f>
        <v>Vay dài hạn</v>
      </c>
      <c r="D114" s="329"/>
      <c r="E114" s="330"/>
      <c r="F114" s="331"/>
      <c r="G114" s="368"/>
      <c r="H114" s="368"/>
      <c r="I114" s="368"/>
      <c r="J114" s="368"/>
      <c r="K114" s="369"/>
      <c r="L114" s="369"/>
      <c r="M114" s="340"/>
      <c r="N114" s="340">
        <v>32770000000</v>
      </c>
      <c r="O114" s="340">
        <v>32770000000</v>
      </c>
      <c r="P114" s="388">
        <v>32770000000</v>
      </c>
      <c r="Q114" s="388">
        <v>32770000000</v>
      </c>
      <c r="R114" s="371">
        <f t="shared" si="95"/>
        <v>32770000000</v>
      </c>
      <c r="S114" s="337"/>
      <c r="T114" s="371">
        <v>32770000000</v>
      </c>
      <c r="U114" s="371">
        <v>32770000000</v>
      </c>
      <c r="V114" s="371">
        <v>32770000000</v>
      </c>
      <c r="W114" s="371">
        <v>32770000000</v>
      </c>
      <c r="X114" s="371">
        <v>32770000000</v>
      </c>
      <c r="Y114" s="371">
        <v>32770000000</v>
      </c>
      <c r="Z114" s="371">
        <v>32770000000</v>
      </c>
      <c r="AA114" s="371">
        <v>32770000000</v>
      </c>
      <c r="AB114" s="371">
        <v>32770000000</v>
      </c>
      <c r="AC114" s="371">
        <v>32770000000</v>
      </c>
      <c r="AD114" s="371">
        <v>32770000000</v>
      </c>
      <c r="AE114" s="371">
        <v>32770000000</v>
      </c>
      <c r="AF114" s="338"/>
      <c r="AG114" s="369">
        <v>5408397066</v>
      </c>
      <c r="AH114" s="369">
        <v>98659411608</v>
      </c>
      <c r="AI114" s="369">
        <v>16859939814</v>
      </c>
      <c r="AJ114" s="369">
        <v>233091390846</v>
      </c>
      <c r="AK114" s="369">
        <v>272244125214</v>
      </c>
      <c r="AL114" s="339"/>
      <c r="AM114" s="196"/>
    </row>
    <row r="115" spans="1:39">
      <c r="B115" s="342"/>
      <c r="C115" s="329" t="str">
        <f>IF(B1="EN", "Other long term liabilities", "Nợ dài hạn khác")</f>
        <v>Nợ dài hạn khác</v>
      </c>
      <c r="D115" s="329"/>
      <c r="E115" s="330"/>
      <c r="F115" s="331"/>
      <c r="G115" s="332"/>
      <c r="H115" s="332"/>
      <c r="I115" s="332"/>
      <c r="J115" s="332"/>
      <c r="K115" s="333"/>
      <c r="L115" s="333"/>
      <c r="M115" s="340"/>
      <c r="N115" s="340"/>
      <c r="O115" s="340"/>
      <c r="P115" s="334">
        <f>M115</f>
        <v>0</v>
      </c>
      <c r="Q115" s="334">
        <f>N115</f>
        <v>0</v>
      </c>
      <c r="R115" s="337">
        <f t="shared" si="95"/>
        <v>0</v>
      </c>
      <c r="S115" s="337"/>
      <c r="T115" s="337">
        <f t="shared" ref="T115:AE115" si="124">$Q$115</f>
        <v>0</v>
      </c>
      <c r="U115" s="337">
        <f t="shared" si="124"/>
        <v>0</v>
      </c>
      <c r="V115" s="337">
        <f t="shared" si="124"/>
        <v>0</v>
      </c>
      <c r="W115" s="337">
        <f t="shared" si="124"/>
        <v>0</v>
      </c>
      <c r="X115" s="337">
        <f t="shared" si="124"/>
        <v>0</v>
      </c>
      <c r="Y115" s="337">
        <f t="shared" si="124"/>
        <v>0</v>
      </c>
      <c r="Z115" s="337">
        <f t="shared" si="124"/>
        <v>0</v>
      </c>
      <c r="AA115" s="337">
        <f t="shared" si="124"/>
        <v>0</v>
      </c>
      <c r="AB115" s="337">
        <f t="shared" si="124"/>
        <v>0</v>
      </c>
      <c r="AC115" s="337">
        <f t="shared" si="124"/>
        <v>0</v>
      </c>
      <c r="AD115" s="337">
        <f t="shared" si="124"/>
        <v>0</v>
      </c>
      <c r="AE115" s="337">
        <f t="shared" si="124"/>
        <v>0</v>
      </c>
      <c r="AF115" s="338"/>
      <c r="AG115" s="333">
        <v>38015535682</v>
      </c>
      <c r="AH115" s="333">
        <v>38015535682</v>
      </c>
      <c r="AI115" s="333">
        <v>38015535682</v>
      </c>
      <c r="AJ115" s="333">
        <v>38015535682</v>
      </c>
      <c r="AK115" s="333">
        <v>38015535682</v>
      </c>
      <c r="AL115" s="339"/>
      <c r="AM115" s="196"/>
    </row>
    <row r="116" spans="1:39">
      <c r="B116" s="126" t="str">
        <f>IF(B1="EN", "EQUITY", "VỐN CHỦ SỞ HỮU")</f>
        <v>VỐN CHỦ SỞ HỮU</v>
      </c>
      <c r="C116" s="123"/>
      <c r="D116" s="123"/>
      <c r="E116" s="317"/>
      <c r="F116" s="318"/>
      <c r="G116" s="319"/>
      <c r="H116" s="319"/>
      <c r="I116" s="319"/>
      <c r="J116" s="319"/>
      <c r="K116" s="320"/>
      <c r="L116" s="320"/>
      <c r="M116" s="321">
        <f t="shared" ref="M116:O116" si="125">SUM(M117:M120)</f>
        <v>29964392614</v>
      </c>
      <c r="N116" s="321">
        <f t="shared" si="125"/>
        <v>7332454243</v>
      </c>
      <c r="O116" s="321">
        <f t="shared" si="125"/>
        <v>-5202845895</v>
      </c>
      <c r="P116" s="421">
        <f>SUM(P117:P120)</f>
        <v>-17112295184.83889</v>
      </c>
      <c r="Q116" s="421">
        <f>SUM(Q117:Q120)</f>
        <v>-10223647960</v>
      </c>
      <c r="R116" s="324">
        <f>AE116</f>
        <v>-20184818955.549858</v>
      </c>
      <c r="S116" s="324"/>
      <c r="T116" s="324">
        <f t="shared" ref="T116:AE116" si="126">SUM(T117:T120)</f>
        <v>-17890860830.049324</v>
      </c>
      <c r="U116" s="324">
        <f t="shared" si="126"/>
        <v>-18823968880.626625</v>
      </c>
      <c r="V116" s="324">
        <f t="shared" si="126"/>
        <v>-19408795152.416451</v>
      </c>
      <c r="W116" s="324">
        <f t="shared" si="126"/>
        <v>-19538631046.909073</v>
      </c>
      <c r="X116" s="324">
        <f t="shared" si="126"/>
        <v>-19670878048.385185</v>
      </c>
      <c r="Y116" s="324">
        <f t="shared" si="126"/>
        <v>-20005259679.871292</v>
      </c>
      <c r="Z116" s="324">
        <f t="shared" si="126"/>
        <v>-20191239366.306969</v>
      </c>
      <c r="AA116" s="324">
        <f t="shared" si="126"/>
        <v>-20414845074.875984</v>
      </c>
      <c r="AB116" s="324">
        <f t="shared" si="126"/>
        <v>-20606376761.961235</v>
      </c>
      <c r="AC116" s="324">
        <f t="shared" si="126"/>
        <v>-20433843515.566277</v>
      </c>
      <c r="AD116" s="324">
        <f t="shared" si="126"/>
        <v>-20316024366.094391</v>
      </c>
      <c r="AE116" s="324">
        <f t="shared" si="126"/>
        <v>-20184818955.549858</v>
      </c>
      <c r="AF116" s="325"/>
      <c r="AG116" s="320">
        <v>335986440595387</v>
      </c>
      <c r="AH116" s="320">
        <v>382395130699428</v>
      </c>
      <c r="AI116" s="320">
        <v>421737108957407</v>
      </c>
      <c r="AJ116" s="320">
        <v>466569123153023</v>
      </c>
      <c r="AK116" s="320">
        <v>518961823412947</v>
      </c>
      <c r="AL116" s="326"/>
      <c r="AM116" s="196"/>
    </row>
    <row r="117" spans="1:39">
      <c r="B117" s="342"/>
      <c r="C117" s="329" t="str">
        <f>IF(B1="EN", "Shareholders' capital", "Vốn cổ phần")</f>
        <v>Vốn cổ phần</v>
      </c>
      <c r="D117" s="329"/>
      <c r="E117" s="330"/>
      <c r="F117" s="331"/>
      <c r="G117" s="332"/>
      <c r="H117" s="332"/>
      <c r="I117" s="332"/>
      <c r="J117" s="332"/>
      <c r="K117" s="333"/>
      <c r="L117" s="333"/>
      <c r="M117" s="340">
        <v>40000000000</v>
      </c>
      <c r="N117" s="340">
        <v>40000000000</v>
      </c>
      <c r="O117" s="340">
        <v>40000000000</v>
      </c>
      <c r="P117" s="334">
        <f>Q117</f>
        <v>40000000000</v>
      </c>
      <c r="Q117" s="334">
        <f>N117</f>
        <v>40000000000</v>
      </c>
      <c r="R117" s="337">
        <f t="shared" si="95"/>
        <v>40000000000</v>
      </c>
      <c r="S117" s="337"/>
      <c r="T117" s="337">
        <f t="shared" ref="T117:AE117" si="127">$Q$117</f>
        <v>40000000000</v>
      </c>
      <c r="U117" s="337">
        <f t="shared" si="127"/>
        <v>40000000000</v>
      </c>
      <c r="V117" s="337">
        <f t="shared" si="127"/>
        <v>40000000000</v>
      </c>
      <c r="W117" s="337">
        <f t="shared" si="127"/>
        <v>40000000000</v>
      </c>
      <c r="X117" s="337">
        <f t="shared" si="127"/>
        <v>40000000000</v>
      </c>
      <c r="Y117" s="337">
        <f t="shared" si="127"/>
        <v>40000000000</v>
      </c>
      <c r="Z117" s="337">
        <f t="shared" si="127"/>
        <v>40000000000</v>
      </c>
      <c r="AA117" s="337">
        <f t="shared" si="127"/>
        <v>40000000000</v>
      </c>
      <c r="AB117" s="337">
        <f t="shared" si="127"/>
        <v>40000000000</v>
      </c>
      <c r="AC117" s="337">
        <f t="shared" si="127"/>
        <v>40000000000</v>
      </c>
      <c r="AD117" s="337">
        <f t="shared" si="127"/>
        <v>40000000000</v>
      </c>
      <c r="AE117" s="337">
        <f t="shared" si="127"/>
        <v>40000000000</v>
      </c>
      <c r="AF117" s="338"/>
      <c r="AG117" s="333">
        <v>1700000</v>
      </c>
      <c r="AH117" s="333">
        <v>1700000</v>
      </c>
      <c r="AI117" s="333">
        <v>1700000</v>
      </c>
      <c r="AJ117" s="333">
        <v>1700000</v>
      </c>
      <c r="AK117" s="333">
        <v>1700000</v>
      </c>
      <c r="AL117" s="339"/>
      <c r="AM117" s="196"/>
    </row>
    <row r="118" spans="1:39">
      <c r="B118" s="342"/>
      <c r="C118" s="329" t="str">
        <f>IF(B1="EN", "Investment and development fund", "Quỹ đầu tư &amp; phát triển")</f>
        <v>Quỹ đầu tư &amp; phát triển</v>
      </c>
      <c r="D118" s="329"/>
      <c r="E118" s="330"/>
      <c r="F118" s="331"/>
      <c r="G118" s="332"/>
      <c r="H118" s="332"/>
      <c r="I118" s="332"/>
      <c r="J118" s="332"/>
      <c r="K118" s="333"/>
      <c r="L118" s="333"/>
      <c r="M118" s="340"/>
      <c r="N118" s="340"/>
      <c r="O118" s="340"/>
      <c r="P118" s="334">
        <f>M118</f>
        <v>0</v>
      </c>
      <c r="Q118" s="334">
        <f>N118</f>
        <v>0</v>
      </c>
      <c r="R118" s="337">
        <f t="shared" si="95"/>
        <v>0</v>
      </c>
      <c r="S118" s="337"/>
      <c r="T118" s="337">
        <f t="shared" ref="T118:AE118" si="128">$Q$118</f>
        <v>0</v>
      </c>
      <c r="U118" s="337">
        <f t="shared" si="128"/>
        <v>0</v>
      </c>
      <c r="V118" s="337">
        <f t="shared" si="128"/>
        <v>0</v>
      </c>
      <c r="W118" s="337">
        <f t="shared" si="128"/>
        <v>0</v>
      </c>
      <c r="X118" s="337">
        <f t="shared" si="128"/>
        <v>0</v>
      </c>
      <c r="Y118" s="337">
        <f t="shared" si="128"/>
        <v>0</v>
      </c>
      <c r="Z118" s="337">
        <f t="shared" si="128"/>
        <v>0</v>
      </c>
      <c r="AA118" s="337">
        <f t="shared" si="128"/>
        <v>0</v>
      </c>
      <c r="AB118" s="337">
        <f t="shared" si="128"/>
        <v>0</v>
      </c>
      <c r="AC118" s="337">
        <f t="shared" si="128"/>
        <v>0</v>
      </c>
      <c r="AD118" s="337">
        <f t="shared" si="128"/>
        <v>0</v>
      </c>
      <c r="AE118" s="337">
        <f t="shared" si="128"/>
        <v>0</v>
      </c>
      <c r="AF118" s="338"/>
      <c r="AG118" s="333">
        <v>174758437</v>
      </c>
      <c r="AH118" s="333">
        <v>174758437</v>
      </c>
      <c r="AI118" s="333">
        <v>174758437</v>
      </c>
      <c r="AJ118" s="333">
        <v>174758437</v>
      </c>
      <c r="AK118" s="333">
        <v>174758437</v>
      </c>
      <c r="AL118" s="339"/>
      <c r="AM118" s="196"/>
    </row>
    <row r="119" spans="1:39" hidden="1">
      <c r="B119" s="342"/>
      <c r="C119" s="329" t="s">
        <v>116</v>
      </c>
      <c r="D119" s="329"/>
      <c r="E119" s="330"/>
      <c r="F119" s="331"/>
      <c r="G119" s="332"/>
      <c r="H119" s="332"/>
      <c r="I119" s="332"/>
      <c r="J119" s="332"/>
      <c r="K119" s="333"/>
      <c r="L119" s="333"/>
      <c r="M119" s="340"/>
      <c r="N119" s="340"/>
      <c r="O119" s="340"/>
      <c r="P119" s="334"/>
      <c r="Q119" s="334"/>
      <c r="R119" s="337">
        <f t="shared" si="95"/>
        <v>0</v>
      </c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8"/>
      <c r="AG119" s="333"/>
      <c r="AH119" s="333"/>
      <c r="AI119" s="333"/>
      <c r="AJ119" s="333"/>
      <c r="AK119" s="333"/>
      <c r="AL119" s="339"/>
      <c r="AM119" s="196"/>
    </row>
    <row r="120" spans="1:39">
      <c r="B120" s="342"/>
      <c r="C120" s="329" t="str">
        <f>IF(B1="EN", "Retained earnings", "Lợi nhuận để lại")</f>
        <v>Lợi nhuận để lại</v>
      </c>
      <c r="D120" s="329"/>
      <c r="E120" s="330"/>
      <c r="F120" s="331"/>
      <c r="G120" s="332"/>
      <c r="H120" s="332"/>
      <c r="I120" s="332"/>
      <c r="J120" s="332"/>
      <c r="K120" s="333"/>
      <c r="L120" s="333"/>
      <c r="M120" s="340">
        <v>-10035607386</v>
      </c>
      <c r="N120" s="340">
        <v>-32667545757</v>
      </c>
      <c r="O120" s="340">
        <v>-45202845895</v>
      </c>
      <c r="P120" s="334">
        <f>Q120+P69</f>
        <v>-57112295184.83889</v>
      </c>
      <c r="Q120" s="334">
        <v>-50223647960</v>
      </c>
      <c r="R120" s="337">
        <f>Q120+R69</f>
        <v>-53301963615.710915</v>
      </c>
      <c r="S120" s="337"/>
      <c r="T120" s="337">
        <f>P120+T69-[1]FIN!T26</f>
        <v>-57890860830.049324</v>
      </c>
      <c r="U120" s="337">
        <f>T120+U69-[1]FIN!U26</f>
        <v>-58823968880.626625</v>
      </c>
      <c r="V120" s="337">
        <f>U120+V69-[1]FIN!V26</f>
        <v>-59408795152.416451</v>
      </c>
      <c r="W120" s="337">
        <f>V120+W69-[1]FIN!W26</f>
        <v>-59538631046.909073</v>
      </c>
      <c r="X120" s="337">
        <f>W120+X69-[1]FIN!X26</f>
        <v>-59670878048.385185</v>
      </c>
      <c r="Y120" s="337">
        <f>X120+Y69-[1]FIN!Y26</f>
        <v>-60005259679.871292</v>
      </c>
      <c r="Z120" s="337">
        <f>Y120+Z69-[1]FIN!Z26</f>
        <v>-60191239366.306969</v>
      </c>
      <c r="AA120" s="337">
        <f>Z120+AA69-[1]FIN!AA26</f>
        <v>-60414845074.875984</v>
      </c>
      <c r="AB120" s="337">
        <f>AA120+AB69-[1]FIN!AB26</f>
        <v>-60606376761.961235</v>
      </c>
      <c r="AC120" s="337">
        <f>AB120+AC69-[1]FIN!AC26</f>
        <v>-60433843515.566277</v>
      </c>
      <c r="AD120" s="337">
        <f>AC120+AD69-[1]FIN!AD26</f>
        <v>-60316024366.094391</v>
      </c>
      <c r="AE120" s="337">
        <f>AD120+AE69-[1]FIN!AE26</f>
        <v>-60184818955.549858</v>
      </c>
      <c r="AF120" s="338"/>
      <c r="AG120" s="333">
        <v>165968964751687</v>
      </c>
      <c r="AH120" s="333">
        <v>212377654855728</v>
      </c>
      <c r="AI120" s="333">
        <v>251719633113707</v>
      </c>
      <c r="AJ120" s="333">
        <v>296551647309323</v>
      </c>
      <c r="AK120" s="333">
        <v>348944347569247</v>
      </c>
      <c r="AL120" s="339"/>
      <c r="AM120" s="196"/>
    </row>
    <row r="121" spans="1:39" hidden="1">
      <c r="A121" s="196"/>
      <c r="B121" s="394"/>
      <c r="C121" s="395"/>
      <c r="D121" s="395"/>
      <c r="E121" s="396"/>
      <c r="F121" s="397"/>
      <c r="G121" s="398"/>
      <c r="H121" s="398"/>
      <c r="I121" s="398"/>
      <c r="J121" s="398"/>
      <c r="K121" s="399"/>
      <c r="L121" s="399"/>
      <c r="M121" s="400"/>
      <c r="N121" s="400"/>
      <c r="O121" s="400"/>
      <c r="P121" s="334"/>
      <c r="Q121" s="334"/>
      <c r="R121" s="337">
        <f t="shared" si="95"/>
        <v>0</v>
      </c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8"/>
      <c r="AG121" s="399"/>
      <c r="AH121" s="399"/>
      <c r="AI121" s="399"/>
      <c r="AJ121" s="399"/>
      <c r="AK121" s="399"/>
      <c r="AL121" s="401"/>
      <c r="AM121" s="196"/>
    </row>
    <row r="122" spans="1:39" ht="17" thickBot="1">
      <c r="B122" s="402" t="str">
        <f>IF(B1="EN", "TOTAL LIABILITIES AND EQUITY", "TỔNG NGUỒN VỐN")</f>
        <v>TỔNG NGUỒN VỐN</v>
      </c>
      <c r="C122" s="403"/>
      <c r="D122" s="403"/>
      <c r="E122" s="404"/>
      <c r="F122" s="404"/>
      <c r="G122" s="378"/>
      <c r="H122" s="378"/>
      <c r="I122" s="378"/>
      <c r="J122" s="378"/>
      <c r="K122" s="405"/>
      <c r="L122" s="405"/>
      <c r="M122" s="406">
        <f t="shared" ref="M122:P122" si="129">M107+M116</f>
        <v>67118265497</v>
      </c>
      <c r="N122" s="406">
        <f t="shared" si="129"/>
        <v>64725699701</v>
      </c>
      <c r="O122" s="406">
        <f t="shared" si="129"/>
        <v>38908743599</v>
      </c>
      <c r="P122" s="455">
        <f t="shared" si="129"/>
        <v>51696182594.627525</v>
      </c>
      <c r="Q122" s="455">
        <f>Q107+Q116</f>
        <v>45970417693</v>
      </c>
      <c r="R122" s="409">
        <f>AE122</f>
        <v>37875763056.048927</v>
      </c>
      <c r="S122" s="324"/>
      <c r="T122" s="409">
        <f t="shared" ref="T122:AE122" si="130">T107+T116</f>
        <v>37186453946.095772</v>
      </c>
      <c r="U122" s="409">
        <f t="shared" si="130"/>
        <v>34850415135.538597</v>
      </c>
      <c r="V122" s="409">
        <f t="shared" si="130"/>
        <v>36342107807.076286</v>
      </c>
      <c r="W122" s="409">
        <f t="shared" si="130"/>
        <v>37844151313.938675</v>
      </c>
      <c r="X122" s="409">
        <f t="shared" si="130"/>
        <v>37724456499.95266</v>
      </c>
      <c r="Y122" s="409">
        <f t="shared" si="130"/>
        <v>37413662956.92588</v>
      </c>
      <c r="Z122" s="409">
        <f t="shared" si="130"/>
        <v>37243775229.179947</v>
      </c>
      <c r="AA122" s="409">
        <f t="shared" si="130"/>
        <v>37024520134.010933</v>
      </c>
      <c r="AB122" s="409">
        <f t="shared" si="130"/>
        <v>36826540548.015419</v>
      </c>
      <c r="AC122" s="409">
        <f t="shared" si="130"/>
        <v>37607769962.322258</v>
      </c>
      <c r="AD122" s="409">
        <f t="shared" si="130"/>
        <v>37749090276.547989</v>
      </c>
      <c r="AE122" s="409">
        <f t="shared" si="130"/>
        <v>37875763056.048927</v>
      </c>
      <c r="AF122" s="325"/>
      <c r="AG122" s="405">
        <f>AG107+AG116</f>
        <v>509035432974898</v>
      </c>
      <c r="AH122" s="405">
        <f>AH107+AH116</f>
        <v>572923191384559</v>
      </c>
      <c r="AI122" s="405">
        <f>AI107+AI116</f>
        <v>635646376476450</v>
      </c>
      <c r="AJ122" s="405">
        <f>AJ107+AJ116</f>
        <v>704898786433940</v>
      </c>
      <c r="AK122" s="405">
        <f>AK107+AK116</f>
        <v>779794698568010</v>
      </c>
      <c r="AL122" s="326"/>
      <c r="AM122" s="196"/>
    </row>
    <row r="123" spans="1:39" s="508" customFormat="1" ht="17" thickTop="1">
      <c r="K123" s="469"/>
      <c r="L123" s="469"/>
      <c r="M123" s="469">
        <f t="shared" ref="M123:Q123" si="131">M105-M122</f>
        <v>0</v>
      </c>
      <c r="N123" s="469">
        <f t="shared" si="131"/>
        <v>0</v>
      </c>
      <c r="O123" s="469">
        <f t="shared" si="131"/>
        <v>0</v>
      </c>
      <c r="P123" s="469"/>
      <c r="Q123" s="469">
        <f t="shared" si="131"/>
        <v>0</v>
      </c>
      <c r="R123" s="469">
        <f>R105-R122</f>
        <v>0.32698822021484375</v>
      </c>
      <c r="S123" s="469"/>
      <c r="T123" s="469"/>
      <c r="U123" s="469"/>
      <c r="V123" s="469"/>
      <c r="W123" s="469"/>
      <c r="X123" s="469"/>
      <c r="Y123" s="469"/>
      <c r="Z123" s="469"/>
      <c r="AA123" s="469"/>
      <c r="AB123" s="469"/>
      <c r="AC123" s="469"/>
      <c r="AD123" s="469"/>
      <c r="AE123" s="469"/>
      <c r="AF123" s="469"/>
      <c r="AG123" s="469">
        <f>AG105-AG122</f>
        <v>-8862762</v>
      </c>
      <c r="AH123" s="469">
        <f>AH105-AH122</f>
        <v>-8862763</v>
      </c>
      <c r="AI123" s="469">
        <f>AI105-AI122</f>
        <v>-8862762</v>
      </c>
      <c r="AJ123" s="469">
        <f>AJ105-AJ122</f>
        <v>-8862762</v>
      </c>
      <c r="AK123" s="469">
        <f>AK105-AK122</f>
        <v>-8862762</v>
      </c>
      <c r="AM123" s="471"/>
    </row>
    <row r="124" spans="1:39">
      <c r="G124" s="107"/>
      <c r="H124" s="107"/>
      <c r="I124" s="107"/>
      <c r="J124" s="107"/>
      <c r="K124" s="412"/>
      <c r="L124" s="412"/>
      <c r="M124" s="412"/>
      <c r="N124" s="411"/>
      <c r="O124" s="411"/>
      <c r="P124" s="411"/>
      <c r="Q124" s="411"/>
      <c r="R124" s="411"/>
      <c r="S124" s="411">
        <v>0.80122760000000004</v>
      </c>
      <c r="T124" s="411"/>
      <c r="U124" s="411"/>
      <c r="V124" s="411"/>
      <c r="W124" s="411"/>
      <c r="X124" s="411"/>
      <c r="Y124" s="411"/>
      <c r="Z124" s="411"/>
      <c r="AA124" s="411"/>
      <c r="AB124" s="411"/>
      <c r="AC124" s="411"/>
      <c r="AD124" s="411"/>
      <c r="AE124" s="411"/>
      <c r="AF124" s="412"/>
      <c r="AG124" s="412"/>
      <c r="AH124" s="412"/>
      <c r="AI124" s="412"/>
      <c r="AJ124" s="412"/>
      <c r="AK124" s="412"/>
      <c r="AL124" s="107"/>
      <c r="AM124" s="196"/>
    </row>
    <row r="125" spans="1:39">
      <c r="B125" s="111" t="str">
        <f>IF(B1="EN", "CASH FLOW STATEMENT", "LƯU CHUYỂN TIỀN TỆ")</f>
        <v>LƯU CHUYỂN TIỀN TỆ</v>
      </c>
      <c r="C125" s="112"/>
      <c r="D125" s="112"/>
      <c r="E125" s="112"/>
      <c r="F125" s="112"/>
      <c r="G125" s="114"/>
      <c r="H125" s="114"/>
      <c r="I125" s="413"/>
      <c r="J125" s="115"/>
      <c r="K125" s="101"/>
      <c r="L125" s="101"/>
      <c r="M125" s="101"/>
      <c r="N125" s="509">
        <v>2023</v>
      </c>
      <c r="O125" s="509">
        <v>2024</v>
      </c>
      <c r="P125" s="414" t="str">
        <f>P72</f>
        <v>2025P</v>
      </c>
      <c r="Q125" s="510" t="str">
        <f>Q72</f>
        <v>2025E</v>
      </c>
      <c r="R125" s="416" t="str">
        <f t="shared" ref="R125" si="132">R72</f>
        <v>2026P</v>
      </c>
      <c r="S125" s="417"/>
      <c r="T125" s="416">
        <f t="shared" ref="T125:AE125" si="133">T2</f>
        <v>1</v>
      </c>
      <c r="U125" s="416">
        <f t="shared" si="133"/>
        <v>2</v>
      </c>
      <c r="V125" s="416">
        <f t="shared" si="133"/>
        <v>3</v>
      </c>
      <c r="W125" s="416">
        <f t="shared" si="133"/>
        <v>4</v>
      </c>
      <c r="X125" s="416">
        <f t="shared" si="133"/>
        <v>5</v>
      </c>
      <c r="Y125" s="416">
        <f t="shared" si="133"/>
        <v>6</v>
      </c>
      <c r="Z125" s="416">
        <f t="shared" si="133"/>
        <v>7</v>
      </c>
      <c r="AA125" s="416">
        <f t="shared" si="133"/>
        <v>8</v>
      </c>
      <c r="AB125" s="416">
        <f t="shared" si="133"/>
        <v>9</v>
      </c>
      <c r="AC125" s="416">
        <f t="shared" si="133"/>
        <v>10</v>
      </c>
      <c r="AD125" s="416">
        <f t="shared" si="133"/>
        <v>11</v>
      </c>
      <c r="AE125" s="416">
        <f t="shared" si="133"/>
        <v>12</v>
      </c>
      <c r="AF125" s="105"/>
      <c r="AG125" s="106" t="str">
        <f>AG72</f>
        <v>2025 MTP</v>
      </c>
      <c r="AH125" s="106" t="str">
        <f>AH72</f>
        <v>2026 MTP</v>
      </c>
      <c r="AI125" s="106" t="str">
        <f>AI72</f>
        <v>2027 MTP</v>
      </c>
      <c r="AJ125" s="106" t="str">
        <f>AJ72</f>
        <v>2028 MTP</v>
      </c>
      <c r="AK125" s="106" t="str">
        <f>AK72</f>
        <v>2029 MTP</v>
      </c>
      <c r="AL125" s="316"/>
      <c r="AM125" s="196"/>
    </row>
    <row r="126" spans="1:39">
      <c r="B126" s="126" t="str">
        <f>IF(B1="EN", "CASH FLOW FROM OPERATING ACTIVITIES", "DÒNG TIỀN TỪ HOẠT ĐỘNG KINH DOANH")</f>
        <v>DÒNG TIỀN TỪ HOẠT ĐỘNG KINH DOANH</v>
      </c>
      <c r="C126" s="123"/>
      <c r="D126" s="123"/>
      <c r="E126" s="123"/>
      <c r="F126" s="123"/>
      <c r="G126" s="418"/>
      <c r="H126" s="418"/>
      <c r="I126" s="330"/>
      <c r="J126" s="418"/>
      <c r="K126" s="419"/>
      <c r="L126" s="419"/>
      <c r="M126" s="419"/>
      <c r="N126" s="334"/>
      <c r="O126" s="334"/>
      <c r="P126" s="334"/>
      <c r="Q126" s="336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419"/>
      <c r="AG126" s="419"/>
      <c r="AH126" s="419"/>
      <c r="AI126" s="419"/>
      <c r="AJ126" s="419"/>
      <c r="AK126" s="419"/>
      <c r="AL126" s="330"/>
      <c r="AM126" s="196"/>
    </row>
    <row r="127" spans="1:39">
      <c r="B127" s="126" t="str">
        <f>IF(B1="EN", "Net income", "Lợi nhuận sau thuế")</f>
        <v>Lợi nhuận sau thuế</v>
      </c>
      <c r="C127" s="123"/>
      <c r="D127" s="123"/>
      <c r="E127" s="123"/>
      <c r="F127" s="123"/>
      <c r="G127" s="420"/>
      <c r="H127" s="420"/>
      <c r="I127" s="420"/>
      <c r="J127" s="420"/>
      <c r="K127" s="420"/>
      <c r="L127" s="420"/>
      <c r="M127" s="420"/>
      <c r="N127" s="421">
        <f>N69</f>
        <v>-22631938370</v>
      </c>
      <c r="O127" s="421">
        <f>O69</f>
        <v>-12555921129.131836</v>
      </c>
      <c r="P127" s="421">
        <f>P69</f>
        <v>-6888647224.8388882</v>
      </c>
      <c r="Q127" s="323">
        <f>Q69</f>
        <v>-6653418965.909729</v>
      </c>
      <c r="R127" s="421">
        <f>SUM(T127:AE127)</f>
        <v>-3072523770.7109632</v>
      </c>
      <c r="S127" s="421"/>
      <c r="T127" s="421">
        <f>T69</f>
        <v>-778565645.21043384</v>
      </c>
      <c r="U127" s="421">
        <f t="shared" ref="U127:AE127" si="134">U69</f>
        <v>-933108050.57729769</v>
      </c>
      <c r="V127" s="421">
        <f t="shared" si="134"/>
        <v>-584826271.78982258</v>
      </c>
      <c r="W127" s="421">
        <f t="shared" si="134"/>
        <v>-129835894.4926194</v>
      </c>
      <c r="X127" s="421">
        <f t="shared" si="134"/>
        <v>-132247001.47611511</v>
      </c>
      <c r="Y127" s="421">
        <f t="shared" si="134"/>
        <v>-334381631.4861064</v>
      </c>
      <c r="Z127" s="421">
        <f t="shared" si="134"/>
        <v>-185979686.43567866</v>
      </c>
      <c r="AA127" s="421">
        <f t="shared" si="134"/>
        <v>-223605708.5690127</v>
      </c>
      <c r="AB127" s="421">
        <f t="shared" si="134"/>
        <v>-191531687.08525115</v>
      </c>
      <c r="AC127" s="421">
        <f t="shared" si="134"/>
        <v>172533246.39495891</v>
      </c>
      <c r="AD127" s="421">
        <f t="shared" si="134"/>
        <v>117819149.47188228</v>
      </c>
      <c r="AE127" s="421">
        <f t="shared" si="134"/>
        <v>131205410.54453319</v>
      </c>
      <c r="AF127" s="422"/>
      <c r="AG127" s="422">
        <v>794934853053127</v>
      </c>
      <c r="AH127" s="422">
        <v>861554327566976</v>
      </c>
      <c r="AI127" s="422">
        <v>996507811876672</v>
      </c>
      <c r="AJ127" s="422">
        <v>114587561026983</v>
      </c>
      <c r="AK127" s="422">
        <v>132603992978812</v>
      </c>
      <c r="AL127" s="317"/>
      <c r="AM127" s="196"/>
    </row>
    <row r="128" spans="1:39">
      <c r="B128" s="423" t="str">
        <f>IF(B1="EN", "Depreciation &amp; amortization", "Khấu hao")</f>
        <v>Khấu hao</v>
      </c>
      <c r="C128" s="424"/>
      <c r="D128" s="424"/>
      <c r="E128" s="424"/>
      <c r="F128" s="424"/>
      <c r="G128" s="425"/>
      <c r="H128" s="425"/>
      <c r="I128" s="425"/>
      <c r="J128" s="425"/>
      <c r="K128" s="425"/>
      <c r="L128" s="425"/>
      <c r="M128" s="425"/>
      <c r="N128" s="334">
        <f>N53</f>
        <v>3749488106</v>
      </c>
      <c r="O128" s="334">
        <f>O53</f>
        <v>6565282547</v>
      </c>
      <c r="P128" s="334">
        <f>P53</f>
        <v>7741389506.666667</v>
      </c>
      <c r="Q128" s="336">
        <f>Q53</f>
        <v>7235848586.666667</v>
      </c>
      <c r="R128" s="334">
        <f>SUM(T128:AE128)</f>
        <v>4587983912.6975937</v>
      </c>
      <c r="S128" s="334"/>
      <c r="T128" s="334">
        <f t="shared" ref="T128:AE128" si="135">T53</f>
        <v>380128078.28035504</v>
      </c>
      <c r="U128" s="334">
        <f t="shared" si="135"/>
        <v>380128078.28035504</v>
      </c>
      <c r="V128" s="334">
        <f t="shared" si="135"/>
        <v>377564442.28035504</v>
      </c>
      <c r="W128" s="334">
        <f t="shared" si="135"/>
        <v>377564442.28035504</v>
      </c>
      <c r="X128" s="334">
        <f t="shared" si="135"/>
        <v>377564442.28035504</v>
      </c>
      <c r="Y128" s="334">
        <f t="shared" si="135"/>
        <v>377564442.28035504</v>
      </c>
      <c r="Z128" s="334">
        <f t="shared" si="135"/>
        <v>377564442.28035504</v>
      </c>
      <c r="AA128" s="334">
        <f t="shared" si="135"/>
        <v>377564442.28035504</v>
      </c>
      <c r="AB128" s="334">
        <f t="shared" si="135"/>
        <v>377564442.28035504</v>
      </c>
      <c r="AC128" s="334">
        <f t="shared" si="135"/>
        <v>394925553.39146614</v>
      </c>
      <c r="AD128" s="334">
        <f t="shared" si="135"/>
        <v>394925553.39146614</v>
      </c>
      <c r="AE128" s="334">
        <f t="shared" si="135"/>
        <v>394925553.39146614</v>
      </c>
      <c r="AF128" s="419"/>
      <c r="AG128" s="419">
        <v>19564127858844</v>
      </c>
      <c r="AH128" s="419">
        <v>219425527552773</v>
      </c>
      <c r="AI128" s="419">
        <v>262024573282806</v>
      </c>
      <c r="AJ128" s="419">
        <v>318488053715806</v>
      </c>
      <c r="AK128" s="419">
        <v>365617025330839</v>
      </c>
      <c r="AL128" s="330"/>
      <c r="AM128" s="196"/>
    </row>
    <row r="129" spans="2:39" s="214" customFormat="1">
      <c r="B129" s="179" t="str">
        <f>IF(B1="EN", "Net working capital", "Vốn lưu động thuần")</f>
        <v>Vốn lưu động thuần</v>
      </c>
      <c r="C129" s="128"/>
      <c r="D129" s="128"/>
      <c r="E129" s="128"/>
      <c r="F129" s="128"/>
      <c r="G129" s="420"/>
      <c r="H129" s="420"/>
      <c r="I129" s="420"/>
      <c r="J129" s="420"/>
      <c r="K129" s="420"/>
      <c r="L129" s="420"/>
      <c r="M129" s="420"/>
      <c r="N129" s="421">
        <f>SUM(N130:N135)</f>
        <v>8368897360</v>
      </c>
      <c r="O129" s="421">
        <f>SUM(O130:O135)</f>
        <v>7196007762</v>
      </c>
      <c r="P129" s="421">
        <f>SUM(P130:P135)</f>
        <v>-6719986717.4248848</v>
      </c>
      <c r="Q129" s="323">
        <f>SUM(Q130:Q135)</f>
        <v>6352496465</v>
      </c>
      <c r="R129" s="421">
        <f t="shared" ref="R129:R132" si="136">SUM(T129:AE129)</f>
        <v>-1673393478.0851192</v>
      </c>
      <c r="S129" s="421"/>
      <c r="T129" s="421">
        <f>SUM(T130:T135)</f>
        <v>517699461.36759758</v>
      </c>
      <c r="U129" s="421">
        <f t="shared" ref="U129:AE129" si="137">SUM(U130:U135)</f>
        <v>-1769451313.4379535</v>
      </c>
      <c r="V129" s="421">
        <f t="shared" si="137"/>
        <v>-178285720.92721939</v>
      </c>
      <c r="W129" s="421">
        <f t="shared" si="137"/>
        <v>-167297633.03221989</v>
      </c>
      <c r="X129" s="421">
        <f t="shared" si="137"/>
        <v>2789374.9977998734</v>
      </c>
      <c r="Y129" s="421">
        <f t="shared" si="137"/>
        <v>5241797.4354057312</v>
      </c>
      <c r="Z129" s="421">
        <f t="shared" si="137"/>
        <v>3575990.8199424744</v>
      </c>
      <c r="AA129" s="421">
        <f t="shared" si="137"/>
        <v>966802.97777843475</v>
      </c>
      <c r="AB129" s="421">
        <f t="shared" si="137"/>
        <v>-1432866.4245014191</v>
      </c>
      <c r="AC129" s="421">
        <f t="shared" si="137"/>
        <v>-91414601.575140476</v>
      </c>
      <c r="AD129" s="421">
        <f t="shared" si="137"/>
        <v>5222481.0564117432</v>
      </c>
      <c r="AE129" s="421">
        <f t="shared" si="137"/>
        <v>-1007251.3430204391</v>
      </c>
      <c r="AF129" s="422"/>
      <c r="AG129" s="422">
        <v>-165411782836489</v>
      </c>
      <c r="AH129" s="422">
        <v>-157340590973895</v>
      </c>
      <c r="AI129" s="422">
        <v>-198111359122812</v>
      </c>
      <c r="AJ129" s="422">
        <v>-217362876629015</v>
      </c>
      <c r="AK129" s="422">
        <v>-223911055205048</v>
      </c>
      <c r="AL129" s="317"/>
      <c r="AM129" s="489"/>
    </row>
    <row r="130" spans="2:39">
      <c r="B130" s="426"/>
      <c r="C130" s="355" t="str">
        <f>IF(B1="EN", "Increase (Decrease) in trade receivables", "Tăng (Giảm) các khoản phải thu")</f>
        <v>Tăng (Giảm) các khoản phải thu</v>
      </c>
      <c r="D130" s="355"/>
      <c r="E130" s="355"/>
      <c r="F130" s="355"/>
      <c r="G130" s="427"/>
      <c r="H130" s="427"/>
      <c r="I130" s="427"/>
      <c r="J130" s="427"/>
      <c r="K130" s="427"/>
      <c r="L130" s="427"/>
      <c r="M130" s="427"/>
      <c r="N130" s="429">
        <f>M78-N78</f>
        <v>-5638216547</v>
      </c>
      <c r="O130" s="429">
        <f>N78-O78</f>
        <v>3406590279</v>
      </c>
      <c r="P130" s="429">
        <f>Q78-P78</f>
        <v>228366335.36986303</v>
      </c>
      <c r="Q130" s="428">
        <f>O78-Q78</f>
        <v>1113884522</v>
      </c>
      <c r="R130" s="429">
        <f>SUM(T130:AE130)</f>
        <v>-952532574.33333302</v>
      </c>
      <c r="S130" s="429"/>
      <c r="T130" s="429">
        <f>-(T78-Q78)</f>
        <v>17330134</v>
      </c>
      <c r="U130" s="429">
        <f t="shared" ref="U130:AE130" si="138">-(U78-T78)</f>
        <v>426489583.33333349</v>
      </c>
      <c r="V130" s="429">
        <f t="shared" si="138"/>
        <v>-639734375</v>
      </c>
      <c r="W130" s="429">
        <f t="shared" si="138"/>
        <v>-529937500</v>
      </c>
      <c r="X130" s="429">
        <f t="shared" si="138"/>
        <v>0</v>
      </c>
      <c r="Y130" s="429">
        <f t="shared" si="138"/>
        <v>0</v>
      </c>
      <c r="Z130" s="429">
        <f t="shared" si="138"/>
        <v>0</v>
      </c>
      <c r="AA130" s="429">
        <f t="shared" si="138"/>
        <v>0</v>
      </c>
      <c r="AB130" s="429">
        <f t="shared" si="138"/>
        <v>0</v>
      </c>
      <c r="AC130" s="429">
        <f t="shared" si="138"/>
        <v>-226680416.66666651</v>
      </c>
      <c r="AD130" s="429">
        <f t="shared" si="138"/>
        <v>0</v>
      </c>
      <c r="AE130" s="429">
        <f t="shared" si="138"/>
        <v>0</v>
      </c>
      <c r="AF130" s="430"/>
      <c r="AG130" s="430">
        <v>-896468088703752</v>
      </c>
      <c r="AH130" s="430">
        <v>-910989179241384</v>
      </c>
      <c r="AI130" s="430">
        <v>-114491433575015</v>
      </c>
      <c r="AJ130" s="430">
        <v>-12540541238946</v>
      </c>
      <c r="AK130" s="430">
        <v>-131073230144106</v>
      </c>
      <c r="AL130" s="367"/>
      <c r="AM130" s="196"/>
    </row>
    <row r="131" spans="2:39">
      <c r="B131" s="426"/>
      <c r="C131" s="355" t="str">
        <f>IF(B1="EN", "Increase (Decrease) in inventory", "Tăng (Giảm) hàng tồn kho")</f>
        <v>Tăng (Giảm) hàng tồn kho</v>
      </c>
      <c r="D131" s="355"/>
      <c r="E131" s="355"/>
      <c r="F131" s="355"/>
      <c r="G131" s="427"/>
      <c r="H131" s="427"/>
      <c r="I131" s="427"/>
      <c r="J131" s="427"/>
      <c r="K131" s="427"/>
      <c r="L131" s="427"/>
      <c r="M131" s="427"/>
      <c r="N131" s="429">
        <f>M82-N82</f>
        <v>-10532977551</v>
      </c>
      <c r="O131" s="429">
        <f>N82-O82</f>
        <v>16632973749</v>
      </c>
      <c r="P131" s="429">
        <f>Q82-P82</f>
        <v>-2781369159.7263317</v>
      </c>
      <c r="Q131" s="428">
        <f t="shared" ref="Q131" si="139">O82-Q82</f>
        <v>-1984145204</v>
      </c>
      <c r="R131" s="429">
        <f t="shared" si="136"/>
        <v>51265066.978720665</v>
      </c>
      <c r="S131" s="429"/>
      <c r="T131" s="429">
        <f>-(T81-Q81)</f>
        <v>2371584027.8871441</v>
      </c>
      <c r="U131" s="429">
        <f t="shared" ref="U131:AE131" si="140">-(U81-T81)</f>
        <v>1091168368.8732414</v>
      </c>
      <c r="V131" s="429">
        <f t="shared" si="140"/>
        <v>-1615070289.254734</v>
      </c>
      <c r="W131" s="429">
        <f t="shared" si="140"/>
        <v>-1269239534.3872318</v>
      </c>
      <c r="X131" s="429">
        <f t="shared" si="140"/>
        <v>-9762812.4922971725</v>
      </c>
      <c r="Y131" s="429">
        <f t="shared" si="140"/>
        <v>-18346291.023921967</v>
      </c>
      <c r="Z131" s="429">
        <f t="shared" si="140"/>
        <v>-12515967.869800568</v>
      </c>
      <c r="AA131" s="429">
        <f t="shared" si="140"/>
        <v>-3383810.4222230911</v>
      </c>
      <c r="AB131" s="429">
        <f t="shared" si="140"/>
        <v>5015032.4857559204</v>
      </c>
      <c r="AC131" s="429">
        <f t="shared" si="140"/>
        <v>-473430352.82034683</v>
      </c>
      <c r="AD131" s="429">
        <f t="shared" si="140"/>
        <v>-18278683.697435379</v>
      </c>
      <c r="AE131" s="429">
        <f t="shared" si="140"/>
        <v>3525379.7005701065</v>
      </c>
      <c r="AF131" s="430"/>
      <c r="AG131" s="430">
        <v>-116263387160277</v>
      </c>
      <c r="AH131" s="430">
        <v>-10164962616331</v>
      </c>
      <c r="AI131" s="430">
        <v>-128317021300967</v>
      </c>
      <c r="AJ131" s="430">
        <v>-141111198321568</v>
      </c>
      <c r="AK131" s="430">
        <v>-142462135643389</v>
      </c>
      <c r="AL131" s="367"/>
      <c r="AM131" s="196"/>
    </row>
    <row r="132" spans="2:39">
      <c r="B132" s="426"/>
      <c r="C132" s="355" t="str">
        <f>IF(B1="EN", "Increase (Decrease) in payables", "Tăng (Giảm) các khoản phải trả")</f>
        <v>Tăng (Giảm) các khoản phải trả</v>
      </c>
      <c r="D132" s="355"/>
      <c r="E132" s="355"/>
      <c r="F132" s="355"/>
      <c r="G132" s="427"/>
      <c r="H132" s="427"/>
      <c r="I132" s="427"/>
      <c r="J132" s="427"/>
      <c r="K132" s="427"/>
      <c r="L132" s="427"/>
      <c r="M132" s="427"/>
      <c r="N132" s="429">
        <f>N110-M110</f>
        <v>6138274805</v>
      </c>
      <c r="O132" s="429">
        <f>O110-N110</f>
        <v>-13479228777</v>
      </c>
      <c r="P132" s="429">
        <f>P110-Q110</f>
        <v>-5758930197.0684166</v>
      </c>
      <c r="Q132" s="428">
        <f>Q110-O110</f>
        <v>-931534972</v>
      </c>
      <c r="R132" s="429">
        <f t="shared" si="136"/>
        <v>1611957948.5987873</v>
      </c>
      <c r="S132" s="429"/>
      <c r="T132" s="429">
        <f>T110-Q110</f>
        <v>-1371309286.8548994</v>
      </c>
      <c r="U132" s="429">
        <f t="shared" ref="U132:AE132" si="141">U110-T110</f>
        <v>-1402930759.9798813</v>
      </c>
      <c r="V132" s="429">
        <f t="shared" si="141"/>
        <v>2076518943.3275146</v>
      </c>
      <c r="W132" s="429">
        <f t="shared" si="141"/>
        <v>1631879401.3550119</v>
      </c>
      <c r="X132" s="429">
        <f t="shared" si="141"/>
        <v>12552187.490097046</v>
      </c>
      <c r="Y132" s="429">
        <f t="shared" si="141"/>
        <v>23588088.459327698</v>
      </c>
      <c r="Z132" s="429">
        <f t="shared" si="141"/>
        <v>16091958.689743042</v>
      </c>
      <c r="AA132" s="429">
        <f t="shared" si="141"/>
        <v>4350613.4000015259</v>
      </c>
      <c r="AB132" s="429">
        <f t="shared" si="141"/>
        <v>-6447898.9102573395</v>
      </c>
      <c r="AC132" s="429">
        <f t="shared" si="141"/>
        <v>608696167.91187286</v>
      </c>
      <c r="AD132" s="429">
        <f t="shared" si="141"/>
        <v>23501164.753847122</v>
      </c>
      <c r="AE132" s="429">
        <f t="shared" si="141"/>
        <v>-4532631.0435905457</v>
      </c>
      <c r="AF132" s="430"/>
      <c r="AG132" s="430">
        <v>45213539451219</v>
      </c>
      <c r="AH132" s="430">
        <v>395304101746205</v>
      </c>
      <c r="AI132" s="430">
        <v>49901063839265</v>
      </c>
      <c r="AJ132" s="430">
        <v>54876577125054</v>
      </c>
      <c r="AK132" s="430">
        <v>554019416390957</v>
      </c>
      <c r="AL132" s="367"/>
      <c r="AM132" s="196"/>
    </row>
    <row r="133" spans="2:39">
      <c r="B133" s="426"/>
      <c r="C133" s="355" t="str">
        <f>IF(B1="EN", "Increase (Decrease) in prepayments", "Tăng (Giảm) trả trước người bán")</f>
        <v>Tăng (Giảm) trả trước người bán</v>
      </c>
      <c r="D133" s="355"/>
      <c r="E133" s="355"/>
      <c r="F133" s="355"/>
      <c r="G133" s="427"/>
      <c r="H133" s="427"/>
      <c r="I133" s="427"/>
      <c r="J133" s="427"/>
      <c r="K133" s="427"/>
      <c r="L133" s="427"/>
      <c r="M133" s="427"/>
      <c r="N133" s="429">
        <f>M79-N79</f>
        <v>13004190004</v>
      </c>
      <c r="O133" s="429">
        <f>N79-O79</f>
        <v>17295200</v>
      </c>
      <c r="P133" s="429">
        <f>Q79-P79</f>
        <v>1384273092</v>
      </c>
      <c r="Q133" s="428">
        <f>O79-Q79</f>
        <v>-1250738292</v>
      </c>
      <c r="R133" s="429">
        <f>SUM(T133:AE133)</f>
        <v>1384273092</v>
      </c>
      <c r="S133" s="429"/>
      <c r="T133" s="429">
        <f>-(T79-Q79)</f>
        <v>1384273092</v>
      </c>
      <c r="U133" s="428">
        <f>T79-U79</f>
        <v>0</v>
      </c>
      <c r="V133" s="428">
        <f t="shared" ref="V133:AE133" si="142">U79-V79</f>
        <v>0</v>
      </c>
      <c r="W133" s="428">
        <f t="shared" si="142"/>
        <v>0</v>
      </c>
      <c r="X133" s="428">
        <f t="shared" si="142"/>
        <v>0</v>
      </c>
      <c r="Y133" s="428">
        <f t="shared" si="142"/>
        <v>0</v>
      </c>
      <c r="Z133" s="428">
        <f t="shared" si="142"/>
        <v>0</v>
      </c>
      <c r="AA133" s="428">
        <f t="shared" si="142"/>
        <v>0</v>
      </c>
      <c r="AB133" s="428">
        <f t="shared" si="142"/>
        <v>0</v>
      </c>
      <c r="AC133" s="428">
        <f t="shared" si="142"/>
        <v>0</v>
      </c>
      <c r="AD133" s="428">
        <f t="shared" si="142"/>
        <v>0</v>
      </c>
      <c r="AE133" s="428">
        <f t="shared" si="142"/>
        <v>0</v>
      </c>
      <c r="AF133" s="430"/>
      <c r="AG133" s="430">
        <v>-471512625705569</v>
      </c>
      <c r="AH133" s="430">
        <v>-412245706106757</v>
      </c>
      <c r="AI133" s="430">
        <v>-520396808609478</v>
      </c>
      <c r="AJ133" s="430">
        <v>-572284304304135</v>
      </c>
      <c r="AK133" s="430">
        <v>-577763105664856</v>
      </c>
      <c r="AL133" s="367"/>
      <c r="AM133" s="196"/>
    </row>
    <row r="134" spans="2:39">
      <c r="B134" s="426"/>
      <c r="C134" s="355" t="str">
        <f>IF(B1="EN", "Other receivables from operating", "Các khoản phải thu khác từ hoạt động kinh doanh")</f>
        <v>Các khoản phải thu khác từ hoạt động kinh doanh</v>
      </c>
      <c r="D134" s="355"/>
      <c r="E134" s="355"/>
      <c r="F134" s="355"/>
      <c r="G134" s="427"/>
      <c r="H134" s="427"/>
      <c r="I134" s="427"/>
      <c r="J134" s="427"/>
      <c r="K134" s="427"/>
      <c r="L134" s="427"/>
      <c r="M134" s="427"/>
      <c r="N134" s="429">
        <f>M80-N80+M83-N83-74937045</f>
        <v>5066528879</v>
      </c>
      <c r="O134" s="429">
        <f>N80-O80+N83-O83</f>
        <v>400183507</v>
      </c>
      <c r="P134" s="429">
        <f>Q80-P80+Q83-P83</f>
        <v>207673212</v>
      </c>
      <c r="Q134" s="428">
        <f>O80-Q80+O83-Q83</f>
        <v>-807500931</v>
      </c>
      <c r="R134" s="429">
        <f>SUM(T134:AE134)</f>
        <v>-3768357011.3292942</v>
      </c>
      <c r="S134" s="429"/>
      <c r="T134" s="428">
        <v>-1884178505.6646471</v>
      </c>
      <c r="U134" s="428">
        <v>-1884178505.6646471</v>
      </c>
      <c r="V134" s="428">
        <f t="shared" ref="V134:AE134" si="143">U80-V80+U83-V83</f>
        <v>0</v>
      </c>
      <c r="W134" s="428">
        <f t="shared" si="143"/>
        <v>0</v>
      </c>
      <c r="X134" s="428">
        <f t="shared" si="143"/>
        <v>0</v>
      </c>
      <c r="Y134" s="428">
        <f t="shared" si="143"/>
        <v>0</v>
      </c>
      <c r="Z134" s="428">
        <f t="shared" si="143"/>
        <v>0</v>
      </c>
      <c r="AA134" s="428">
        <f t="shared" si="143"/>
        <v>0</v>
      </c>
      <c r="AB134" s="428"/>
      <c r="AC134" s="428">
        <f t="shared" si="143"/>
        <v>0</v>
      </c>
      <c r="AD134" s="428">
        <f t="shared" si="143"/>
        <v>0</v>
      </c>
      <c r="AE134" s="428">
        <f t="shared" si="143"/>
        <v>0</v>
      </c>
      <c r="AF134" s="430"/>
      <c r="AG134" s="430">
        <v>0</v>
      </c>
      <c r="AH134" s="430">
        <v>0</v>
      </c>
      <c r="AI134" s="430">
        <v>0</v>
      </c>
      <c r="AJ134" s="430">
        <v>0</v>
      </c>
      <c r="AK134" s="430">
        <v>0</v>
      </c>
      <c r="AL134" s="367"/>
    </row>
    <row r="135" spans="2:39">
      <c r="B135" s="431"/>
      <c r="C135" s="432" t="str">
        <f>IF(B1="EN", "Other payables for operating", "Các khoản phải trả khác từ hoạt động kinh doanh")</f>
        <v>Các khoản phải trả khác từ hoạt động kinh doanh</v>
      </c>
      <c r="D135" s="432"/>
      <c r="E135" s="432"/>
      <c r="F135" s="432"/>
      <c r="G135" s="433"/>
      <c r="H135" s="433"/>
      <c r="I135" s="433"/>
      <c r="J135" s="433"/>
      <c r="K135" s="433"/>
      <c r="L135" s="433"/>
      <c r="M135" s="433"/>
      <c r="N135" s="435">
        <f>N111-M111+N115-M115</f>
        <v>331097770</v>
      </c>
      <c r="O135" s="435">
        <f>O111-N111+O115-N115+20620991</f>
        <v>218193804</v>
      </c>
      <c r="P135" s="435">
        <f>P111-Q111+P115-Q115</f>
        <v>0</v>
      </c>
      <c r="Q135" s="434">
        <f>Q111-O111+Q115-O115-2801479789</f>
        <v>10212531342</v>
      </c>
      <c r="R135" s="435"/>
      <c r="S135" s="429"/>
      <c r="T135" s="435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  <c r="AE135" s="435"/>
      <c r="AF135" s="430"/>
      <c r="AG135" s="436">
        <v>0</v>
      </c>
      <c r="AH135" s="436">
        <v>0</v>
      </c>
      <c r="AI135" s="436">
        <v>0</v>
      </c>
      <c r="AJ135" s="436">
        <v>0</v>
      </c>
      <c r="AK135" s="436">
        <v>0</v>
      </c>
      <c r="AL135" s="367"/>
    </row>
    <row r="136" spans="2:39" s="141" customFormat="1" ht="17" thickBot="1">
      <c r="B136" s="437" t="str">
        <f>IF(B1="EN", "Net cash flow from operating activities", "Dòng tiền thuần từ hoạt động kinh doanh")</f>
        <v>Dòng tiền thuần từ hoạt động kinh doanh</v>
      </c>
      <c r="C136" s="438"/>
      <c r="D136" s="438"/>
      <c r="E136" s="438"/>
      <c r="F136" s="438"/>
      <c r="G136" s="439"/>
      <c r="H136" s="439"/>
      <c r="I136" s="439"/>
      <c r="J136" s="439"/>
      <c r="K136" s="439"/>
      <c r="L136" s="439"/>
      <c r="M136" s="439"/>
      <c r="N136" s="455">
        <f>N127+N128+N129</f>
        <v>-10513552904</v>
      </c>
      <c r="O136" s="455">
        <f>O127+O128+O129</f>
        <v>1205369179.8681641</v>
      </c>
      <c r="P136" s="455">
        <f>P127+P128+P129</f>
        <v>-5867244435.597106</v>
      </c>
      <c r="Q136" s="408">
        <f>Q127+Q128+Q129</f>
        <v>6934926085.756938</v>
      </c>
      <c r="R136" s="455">
        <f t="shared" ref="R136:AE136" si="144">R127+R128+R129</f>
        <v>-157933336.09848881</v>
      </c>
      <c r="S136" s="441"/>
      <c r="T136" s="440">
        <f>T127+T128+T129</f>
        <v>119261894.43751878</v>
      </c>
      <c r="U136" s="440">
        <f t="shared" si="144"/>
        <v>-2322431285.7348962</v>
      </c>
      <c r="V136" s="440">
        <f t="shared" si="144"/>
        <v>-385547550.43668693</v>
      </c>
      <c r="W136" s="440">
        <f t="shared" si="144"/>
        <v>80430914.755515754</v>
      </c>
      <c r="X136" s="440">
        <f t="shared" si="144"/>
        <v>248106815.8020398</v>
      </c>
      <c r="Y136" s="440">
        <f t="shared" si="144"/>
        <v>48424608.229654372</v>
      </c>
      <c r="Z136" s="440">
        <f t="shared" si="144"/>
        <v>195160746.66461885</v>
      </c>
      <c r="AA136" s="440">
        <f t="shared" si="144"/>
        <v>154925536.68912077</v>
      </c>
      <c r="AB136" s="440">
        <f t="shared" si="144"/>
        <v>184599888.77060246</v>
      </c>
      <c r="AC136" s="440">
        <f t="shared" si="144"/>
        <v>476044198.21128464</v>
      </c>
      <c r="AD136" s="440">
        <f t="shared" si="144"/>
        <v>517967183.91976017</v>
      </c>
      <c r="AE136" s="440">
        <f t="shared" si="144"/>
        <v>525123712.59297889</v>
      </c>
      <c r="AF136" s="442"/>
      <c r="AG136" s="443">
        <v>825164348805078</v>
      </c>
      <c r="AH136" s="443">
        <v>923639264145854</v>
      </c>
      <c r="AI136" s="443">
        <v>106042102603667</v>
      </c>
      <c r="AJ136" s="443">
        <v>124700078735662</v>
      </c>
      <c r="AK136" s="443">
        <v>146774589991391</v>
      </c>
      <c r="AL136" s="444"/>
    </row>
    <row r="137" spans="2:39" ht="9.65" customHeight="1" thickTop="1">
      <c r="B137" s="423"/>
      <c r="C137" s="424"/>
      <c r="D137" s="424"/>
      <c r="E137" s="424"/>
      <c r="F137" s="424"/>
      <c r="G137" s="445"/>
      <c r="H137" s="445"/>
      <c r="I137" s="445"/>
      <c r="J137" s="445"/>
      <c r="K137" s="445"/>
      <c r="L137" s="445"/>
      <c r="M137" s="445"/>
      <c r="N137" s="447"/>
      <c r="O137" s="447"/>
      <c r="P137" s="447"/>
      <c r="Q137" s="446"/>
      <c r="R137" s="447"/>
      <c r="S137" s="334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19"/>
      <c r="AG137" s="448"/>
      <c r="AH137" s="448"/>
      <c r="AI137" s="448"/>
      <c r="AJ137" s="448"/>
      <c r="AK137" s="448"/>
      <c r="AL137" s="330"/>
    </row>
    <row r="138" spans="2:39">
      <c r="B138" s="179" t="str">
        <f>IF(B1="EN", "CASH FLOW FROM INVESTING ACTIVITIES", "DÒNG TIỀN TỪ HOẠT ĐỘNG ĐẦU TƯ")</f>
        <v>DÒNG TIỀN TỪ HOẠT ĐỘNG ĐẦU TƯ</v>
      </c>
      <c r="C138" s="128"/>
      <c r="D138" s="128"/>
      <c r="E138" s="128"/>
      <c r="F138" s="128"/>
      <c r="G138" s="445"/>
      <c r="H138" s="445"/>
      <c r="I138" s="445"/>
      <c r="J138" s="445"/>
      <c r="K138" s="445"/>
      <c r="L138" s="445"/>
      <c r="M138" s="445"/>
      <c r="N138" s="447"/>
      <c r="O138" s="447"/>
      <c r="P138" s="447"/>
      <c r="Q138" s="446"/>
      <c r="R138" s="447"/>
      <c r="S138" s="334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19"/>
      <c r="AG138" s="448"/>
      <c r="AH138" s="448"/>
      <c r="AI138" s="448"/>
      <c r="AJ138" s="448"/>
      <c r="AK138" s="448"/>
      <c r="AL138" s="330"/>
    </row>
    <row r="139" spans="2:39">
      <c r="B139" s="423" t="str">
        <f>IF(B1="EN", "Purchases of fixed assets and constructions", "Tiền chi mua Tài sản cố định &amp; Xây dựng cơ bản")</f>
        <v>Tiền chi mua Tài sản cố định &amp; Xây dựng cơ bản</v>
      </c>
      <c r="C139" s="424"/>
      <c r="D139" s="424"/>
      <c r="E139" s="424"/>
      <c r="F139" s="424"/>
      <c r="G139" s="425"/>
      <c r="H139" s="425"/>
      <c r="I139" s="425"/>
      <c r="J139" s="425"/>
      <c r="K139" s="425"/>
      <c r="L139" s="425"/>
      <c r="M139" s="425"/>
      <c r="N139" s="334">
        <f>M88-N88+M91-N91+M94-N94+M96-N96</f>
        <v>-6833029290</v>
      </c>
      <c r="O139" s="334">
        <f t="shared" ref="O139" si="145">N88-O88+N91-O91+N94-O94+N96-O96</f>
        <v>-845797149</v>
      </c>
      <c r="P139" s="334">
        <f>Q88-P88+Q91-P91+Q94-P94+Q96-P96</f>
        <v>0</v>
      </c>
      <c r="Q139" s="336">
        <f>O88-Q88+O91-Q91+O94-Q94+O96-Q96</f>
        <v>-2849968756</v>
      </c>
      <c r="R139" s="334">
        <f>SUM(T139:AE139)</f>
        <v>-206605033.33333331</v>
      </c>
      <c r="S139" s="334"/>
      <c r="T139" s="334">
        <f>-[1]CapEx!O$75</f>
        <v>-12876808.333333334</v>
      </c>
      <c r="U139" s="334">
        <f>-[1]CapEx!P$75</f>
        <v>-12876808.333333334</v>
      </c>
      <c r="V139" s="334">
        <f>-[1]CapEx!Q$75</f>
        <v>-12876808.333333334</v>
      </c>
      <c r="W139" s="334">
        <f>-[1]CapEx!R$75</f>
        <v>-12876808.333333334</v>
      </c>
      <c r="X139" s="334">
        <f>-[1]CapEx!S$75</f>
        <v>-12876808.333333334</v>
      </c>
      <c r="Y139" s="334">
        <f>-[1]CapEx!T$75</f>
        <v>-12876808.333333334</v>
      </c>
      <c r="Z139" s="334">
        <f>-[1]CapEx!U$75</f>
        <v>-12876808.333333334</v>
      </c>
      <c r="AA139" s="334">
        <f>-[1]CapEx!V$75</f>
        <v>-12876808.333333334</v>
      </c>
      <c r="AB139" s="334">
        <f>-[1]CapEx!W$75</f>
        <v>-12876808.333333334</v>
      </c>
      <c r="AC139" s="334">
        <f>-[1]CapEx!X$75</f>
        <v>-30237919.444444448</v>
      </c>
      <c r="AD139" s="334">
        <f>-[1]CapEx!Y$75</f>
        <v>-30237919.444444448</v>
      </c>
      <c r="AE139" s="334">
        <f>-[1]CapEx!Z$75</f>
        <v>-30237919.444444448</v>
      </c>
      <c r="AF139" s="419"/>
      <c r="AG139" s="419">
        <v>-6210079022</v>
      </c>
      <c r="AH139" s="419">
        <v>-850971385867487</v>
      </c>
      <c r="AI139" s="419">
        <v>-7138284256</v>
      </c>
      <c r="AJ139" s="419">
        <v>-773832533567487</v>
      </c>
      <c r="AK139" s="419">
        <v>-4598099231</v>
      </c>
      <c r="AL139" s="330"/>
    </row>
    <row r="140" spans="2:39">
      <c r="B140" s="423" t="str">
        <f>IF(B1="EN", "Other short-term investments", "Đầu tư ngắn hạn khác")</f>
        <v>Đầu tư ngắn hạn khác</v>
      </c>
      <c r="C140" s="424"/>
      <c r="D140" s="424"/>
      <c r="E140" s="424"/>
      <c r="F140" s="424"/>
      <c r="G140" s="425"/>
      <c r="H140" s="425"/>
      <c r="I140" s="425"/>
      <c r="J140" s="425"/>
      <c r="K140" s="425"/>
      <c r="L140" s="425"/>
      <c r="M140" s="425"/>
      <c r="N140" s="334">
        <f>M76-N76</f>
        <v>0</v>
      </c>
      <c r="O140" s="334">
        <f t="shared" ref="O140" si="146">N76-O76</f>
        <v>0</v>
      </c>
      <c r="P140" s="334">
        <f>Q76-P76</f>
        <v>0</v>
      </c>
      <c r="Q140" s="336">
        <f>O76-Q76</f>
        <v>0</v>
      </c>
      <c r="R140" s="334">
        <f>SUM(T140:AE140)</f>
        <v>-202000000</v>
      </c>
      <c r="S140" s="334"/>
      <c r="T140" s="334">
        <f>Q76-T76</f>
        <v>0</v>
      </c>
      <c r="U140" s="334">
        <f>P76-U76</f>
        <v>0</v>
      </c>
      <c r="V140" s="334">
        <f t="shared" ref="V140:AE140" si="147">R76-V76</f>
        <v>0</v>
      </c>
      <c r="W140" s="334">
        <f>S76-W76</f>
        <v>-202000000</v>
      </c>
      <c r="X140" s="334">
        <f t="shared" si="147"/>
        <v>0</v>
      </c>
      <c r="Y140" s="334">
        <f t="shared" si="147"/>
        <v>0</v>
      </c>
      <c r="Z140" s="334">
        <f t="shared" si="147"/>
        <v>0</v>
      </c>
      <c r="AA140" s="334">
        <f t="shared" si="147"/>
        <v>0</v>
      </c>
      <c r="AB140" s="334">
        <f t="shared" si="147"/>
        <v>0</v>
      </c>
      <c r="AC140" s="334">
        <f t="shared" si="147"/>
        <v>0</v>
      </c>
      <c r="AD140" s="334">
        <f t="shared" si="147"/>
        <v>0</v>
      </c>
      <c r="AE140" s="334">
        <f t="shared" si="147"/>
        <v>0</v>
      </c>
      <c r="AF140" s="419"/>
      <c r="AG140" s="419">
        <v>100000</v>
      </c>
      <c r="AH140" s="419">
        <v>50000</v>
      </c>
      <c r="AI140" s="419">
        <v>50000</v>
      </c>
      <c r="AJ140" s="419">
        <v>0</v>
      </c>
      <c r="AK140" s="419">
        <v>-350000</v>
      </c>
      <c r="AL140" s="330"/>
    </row>
    <row r="141" spans="2:39">
      <c r="B141" s="449" t="str">
        <f>IF(B1="EN", "Other long-term investments", "Đầu tư dài hạn khác")</f>
        <v>Đầu tư dài hạn khác</v>
      </c>
      <c r="C141" s="450"/>
      <c r="D141" s="450"/>
      <c r="E141" s="450"/>
      <c r="F141" s="450"/>
      <c r="G141" s="451"/>
      <c r="H141" s="451"/>
      <c r="I141" s="451"/>
      <c r="J141" s="451"/>
      <c r="K141" s="451"/>
      <c r="L141" s="451"/>
      <c r="M141" s="451"/>
      <c r="N141" s="453">
        <f>M98-N98+M99-N99+M100-N100</f>
        <v>-337390344</v>
      </c>
      <c r="O141" s="453">
        <f>N98-O98+N99-O99+N100-O100</f>
        <v>170255849</v>
      </c>
      <c r="P141" s="453">
        <f>Q98-P98+Q99-P99+Q100-P100</f>
        <v>0</v>
      </c>
      <c r="Q141" s="452">
        <f>O98-Q98+O99-Q99+O100-Q100</f>
        <v>-1566001551</v>
      </c>
      <c r="R141" s="334">
        <f>SUM(T141:AE141)</f>
        <v>0</v>
      </c>
      <c r="S141" s="334"/>
      <c r="T141" s="453"/>
      <c r="U141" s="453"/>
      <c r="V141" s="453"/>
      <c r="W141" s="453"/>
      <c r="X141" s="453"/>
      <c r="Y141" s="453"/>
      <c r="Z141" s="453"/>
      <c r="AA141" s="453"/>
      <c r="AB141" s="453"/>
      <c r="AC141" s="453"/>
      <c r="AD141" s="453"/>
      <c r="AE141" s="453"/>
      <c r="AF141" s="419"/>
      <c r="AG141" s="454">
        <v>0</v>
      </c>
      <c r="AH141" s="454">
        <v>0</v>
      </c>
      <c r="AI141" s="454">
        <v>0</v>
      </c>
      <c r="AJ141" s="454">
        <v>0</v>
      </c>
      <c r="AK141" s="454">
        <v>0</v>
      </c>
      <c r="AL141" s="330"/>
    </row>
    <row r="142" spans="2:39" s="141" customFormat="1" ht="17" thickBot="1">
      <c r="B142" s="437" t="str">
        <f>IF(B1="EN", "Net cash flow from investing activities", "Dòng tiền thuần từ hoạt động đầu tư")</f>
        <v>Dòng tiền thuần từ hoạt động đầu tư</v>
      </c>
      <c r="C142" s="438"/>
      <c r="D142" s="438"/>
      <c r="E142" s="438"/>
      <c r="F142" s="438"/>
      <c r="G142" s="439"/>
      <c r="H142" s="439"/>
      <c r="I142" s="439"/>
      <c r="J142" s="439"/>
      <c r="K142" s="439"/>
      <c r="L142" s="439"/>
      <c r="M142" s="439"/>
      <c r="N142" s="455">
        <f>SUM(N139:N141)</f>
        <v>-7170419634</v>
      </c>
      <c r="O142" s="455">
        <f>SUM(O139:O141)</f>
        <v>-675541300</v>
      </c>
      <c r="P142" s="455">
        <f>SUM(P139:P141)</f>
        <v>0</v>
      </c>
      <c r="Q142" s="408">
        <f>SUM(Q139:Q141)</f>
        <v>-4415970307</v>
      </c>
      <c r="R142" s="455">
        <f t="shared" ref="R142:AE142" si="148">SUM(R139:R141)</f>
        <v>-408605033.33333331</v>
      </c>
      <c r="S142" s="441"/>
      <c r="T142" s="440">
        <f t="shared" si="148"/>
        <v>-12876808.333333334</v>
      </c>
      <c r="U142" s="440">
        <f t="shared" si="148"/>
        <v>-12876808.333333334</v>
      </c>
      <c r="V142" s="440">
        <f t="shared" si="148"/>
        <v>-12876808.333333334</v>
      </c>
      <c r="W142" s="440">
        <f t="shared" si="148"/>
        <v>-214876808.33333334</v>
      </c>
      <c r="X142" s="440">
        <f t="shared" si="148"/>
        <v>-12876808.333333334</v>
      </c>
      <c r="Y142" s="440">
        <f t="shared" si="148"/>
        <v>-12876808.333333334</v>
      </c>
      <c r="Z142" s="440">
        <f t="shared" si="148"/>
        <v>-12876808.333333334</v>
      </c>
      <c r="AA142" s="440">
        <f t="shared" si="148"/>
        <v>-12876808.333333334</v>
      </c>
      <c r="AB142" s="440">
        <f t="shared" si="148"/>
        <v>-12876808.333333334</v>
      </c>
      <c r="AC142" s="440">
        <f t="shared" si="148"/>
        <v>-30237919.444444448</v>
      </c>
      <c r="AD142" s="440">
        <f t="shared" si="148"/>
        <v>-30237919.444444448</v>
      </c>
      <c r="AE142" s="440">
        <f t="shared" si="148"/>
        <v>-30237919.444444448</v>
      </c>
      <c r="AF142" s="442"/>
      <c r="AG142" s="443">
        <v>-5210079022</v>
      </c>
      <c r="AH142" s="443">
        <v>-800971385867487</v>
      </c>
      <c r="AI142" s="443">
        <v>-6638284256</v>
      </c>
      <c r="AJ142" s="443">
        <v>-773832533567487</v>
      </c>
      <c r="AK142" s="443">
        <v>-8098099231</v>
      </c>
      <c r="AL142" s="444"/>
    </row>
    <row r="143" spans="2:39" ht="9" customHeight="1" thickTop="1">
      <c r="B143" s="179"/>
      <c r="C143" s="128"/>
      <c r="D143" s="128"/>
      <c r="E143" s="128"/>
      <c r="F143" s="128"/>
      <c r="G143" s="420"/>
      <c r="H143" s="420"/>
      <c r="I143" s="420"/>
      <c r="J143" s="420"/>
      <c r="K143" s="420"/>
      <c r="L143" s="420"/>
      <c r="M143" s="420"/>
      <c r="N143" s="421"/>
      <c r="O143" s="421"/>
      <c r="P143" s="421"/>
      <c r="Q143" s="323"/>
      <c r="R143" s="421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  <c r="AC143" s="421"/>
      <c r="AD143" s="421"/>
      <c r="AE143" s="421"/>
      <c r="AF143" s="422"/>
      <c r="AG143" s="422"/>
      <c r="AH143" s="422"/>
      <c r="AI143" s="422"/>
      <c r="AJ143" s="422"/>
      <c r="AK143" s="422"/>
      <c r="AL143" s="317"/>
    </row>
    <row r="144" spans="2:39">
      <c r="B144" s="179" t="str">
        <f>IF(B1="EN", "CASH FLOW FROM FINANCIAL ACTIVITIES", "DÒNG TIỀN TỪ HOẠT ĐỘNG TÀI CHÍNH")</f>
        <v>DÒNG TIỀN TỪ HOẠT ĐỘNG TÀI CHÍNH</v>
      </c>
      <c r="C144" s="424"/>
      <c r="D144" s="424"/>
      <c r="E144" s="424"/>
      <c r="F144" s="424"/>
      <c r="G144" s="425"/>
      <c r="H144" s="425"/>
      <c r="I144" s="425"/>
      <c r="J144" s="425"/>
      <c r="K144" s="425"/>
      <c r="L144" s="425"/>
      <c r="M144" s="425"/>
      <c r="N144" s="334"/>
      <c r="O144" s="334"/>
      <c r="P144" s="334"/>
      <c r="Q144" s="336"/>
      <c r="R144" s="334"/>
      <c r="S144" s="334"/>
      <c r="T144" s="334"/>
      <c r="U144" s="334"/>
      <c r="V144" s="334"/>
      <c r="W144" s="334"/>
      <c r="X144" s="334"/>
      <c r="Y144" s="334"/>
      <c r="Z144" s="334"/>
      <c r="AA144" s="334"/>
      <c r="AB144" s="334"/>
      <c r="AC144" s="334"/>
      <c r="AD144" s="334"/>
      <c r="AE144" s="334"/>
      <c r="AF144" s="419"/>
      <c r="AG144" s="419"/>
      <c r="AH144" s="419"/>
      <c r="AI144" s="419"/>
      <c r="AJ144" s="419"/>
      <c r="AK144" s="419"/>
      <c r="AL144" s="330"/>
    </row>
    <row r="145" spans="2:38">
      <c r="B145" s="423" t="s">
        <v>117</v>
      </c>
      <c r="C145" s="424"/>
      <c r="D145" s="424"/>
      <c r="E145" s="424"/>
      <c r="F145" s="424"/>
      <c r="G145" s="425"/>
      <c r="H145" s="425"/>
      <c r="I145" s="425"/>
      <c r="J145" s="425"/>
      <c r="K145" s="425"/>
      <c r="L145" s="425"/>
      <c r="M145" s="425"/>
      <c r="N145" s="334">
        <f>N117-M117</f>
        <v>0</v>
      </c>
      <c r="O145" s="334">
        <f t="shared" ref="O145" si="149">O117-N117</f>
        <v>0</v>
      </c>
      <c r="P145" s="334">
        <f>P117-Q117</f>
        <v>0</v>
      </c>
      <c r="Q145" s="336">
        <f>Q117-O117</f>
        <v>0</v>
      </c>
      <c r="R145" s="334">
        <f>R117-P117</f>
        <v>0</v>
      </c>
      <c r="S145" s="334"/>
      <c r="T145" s="334"/>
      <c r="U145" s="334"/>
      <c r="V145" s="334"/>
      <c r="W145" s="334"/>
      <c r="X145" s="334"/>
      <c r="Y145" s="334"/>
      <c r="Z145" s="334"/>
      <c r="AA145" s="334"/>
      <c r="AB145" s="334"/>
      <c r="AC145" s="334"/>
      <c r="AD145" s="334"/>
      <c r="AE145" s="334"/>
      <c r="AF145" s="419"/>
      <c r="AG145" s="419">
        <v>0</v>
      </c>
      <c r="AH145" s="419">
        <v>0</v>
      </c>
      <c r="AI145" s="419">
        <v>0</v>
      </c>
      <c r="AJ145" s="419">
        <v>0</v>
      </c>
      <c r="AK145" s="419">
        <v>0</v>
      </c>
      <c r="AL145" s="330"/>
    </row>
    <row r="146" spans="2:38">
      <c r="B146" s="423" t="str">
        <f>IF(B1="EN", "Change in invesment and development fund", "Tăng (Giảm) Quỹ đầu tư &amp; Phát triển")</f>
        <v>Tăng (Giảm) Quỹ đầu tư &amp; Phát triển</v>
      </c>
      <c r="C146" s="424"/>
      <c r="D146" s="424"/>
      <c r="E146" s="424"/>
      <c r="F146" s="424"/>
      <c r="G146" s="425"/>
      <c r="H146" s="425"/>
      <c r="I146" s="425"/>
      <c r="J146" s="425"/>
      <c r="K146" s="425"/>
      <c r="L146" s="425"/>
      <c r="M146" s="425"/>
      <c r="N146" s="334">
        <f>N118-M118</f>
        <v>0</v>
      </c>
      <c r="O146" s="334">
        <f t="shared" ref="O146" si="150">O118-L118</f>
        <v>0</v>
      </c>
      <c r="P146" s="334">
        <f>P118-M118</f>
        <v>0</v>
      </c>
      <c r="Q146" s="336">
        <f>Q118-N118</f>
        <v>0</v>
      </c>
      <c r="R146" s="334">
        <f>SUM(T146:AE146)</f>
        <v>0</v>
      </c>
      <c r="S146" s="334"/>
      <c r="T146" s="334"/>
      <c r="U146" s="334"/>
      <c r="V146" s="334"/>
      <c r="W146" s="334"/>
      <c r="X146" s="334"/>
      <c r="Y146" s="334"/>
      <c r="Z146" s="334"/>
      <c r="AA146" s="334"/>
      <c r="AB146" s="334"/>
      <c r="AC146" s="334"/>
      <c r="AD146" s="334"/>
      <c r="AE146" s="334"/>
      <c r="AF146" s="419"/>
      <c r="AG146" s="419">
        <v>0</v>
      </c>
      <c r="AH146" s="419">
        <v>0</v>
      </c>
      <c r="AI146" s="419">
        <v>0</v>
      </c>
      <c r="AJ146" s="419">
        <v>0</v>
      </c>
      <c r="AK146" s="419">
        <v>0</v>
      </c>
      <c r="AL146" s="330"/>
    </row>
    <row r="147" spans="2:38">
      <c r="B147" s="423" t="str">
        <f>IF(B1="EN", "Short-term and long-term borrowing", "Vay ngắn hạn &amp; dài hạn")</f>
        <v>Vay ngắn hạn &amp; dài hạn</v>
      </c>
      <c r="C147" s="424"/>
      <c r="D147" s="424"/>
      <c r="E147" s="424"/>
      <c r="F147" s="424"/>
      <c r="G147" s="425"/>
      <c r="H147" s="425"/>
      <c r="I147" s="425"/>
      <c r="J147" s="425"/>
      <c r="K147" s="425"/>
      <c r="L147" s="425"/>
      <c r="M147" s="425"/>
      <c r="N147" s="334">
        <f>[1]FIN!N6+[1]FIN!N7+[1]FIN!N15</f>
        <v>13770000000</v>
      </c>
      <c r="O147" s="334">
        <f>[1]FIN!O6+[1]FIN!O7+[1]FIN!O15</f>
        <v>0</v>
      </c>
      <c r="P147" s="334">
        <f>[1]FIN!Q6+[1]FIN!Q7+[1]FIN!Q15</f>
        <v>4055856697</v>
      </c>
      <c r="Q147" s="336">
        <f>[1]FIN!P6+[1]FIN!P7+[1]FIN!P15</f>
        <v>0</v>
      </c>
      <c r="R147" s="334"/>
      <c r="S147" s="334"/>
      <c r="T147" s="334">
        <f>[1]FIN!T6+[1]FIN!T7+[1]FIN!T15</f>
        <v>0</v>
      </c>
      <c r="U147" s="334">
        <f>[1]FIN!U6+[1]FIN!U7+[1]FIN!U15</f>
        <v>0</v>
      </c>
      <c r="V147" s="334">
        <f>[1]FIN!V6+[1]FIN!V7+[1]FIN!V15</f>
        <v>0</v>
      </c>
      <c r="W147" s="334">
        <f>[1]FIN!W6+[1]FIN!W7+[1]FIN!W15</f>
        <v>0</v>
      </c>
      <c r="X147" s="334">
        <f>[1]FIN!X6+[1]FIN!X7+[1]FIN!X15</f>
        <v>0</v>
      </c>
      <c r="Y147" s="334">
        <f>[1]FIN!Y6+[1]FIN!Y7+[1]FIN!Y15</f>
        <v>0</v>
      </c>
      <c r="Z147" s="334">
        <f>[1]FIN!Z6+[1]FIN!Z7+[1]FIN!Z15</f>
        <v>0</v>
      </c>
      <c r="AA147" s="334">
        <f>[1]FIN!AA6+[1]FIN!AA7+[1]FIN!AA15</f>
        <v>0</v>
      </c>
      <c r="AB147" s="334">
        <f>[1]FIN!AB6+[1]FIN!AB7+[1]FIN!AB15</f>
        <v>0</v>
      </c>
      <c r="AC147" s="334">
        <f>[1]FIN!AC6+[1]FIN!AC7+[1]FIN!AC15</f>
        <v>0</v>
      </c>
      <c r="AD147" s="334">
        <f>[1]FIN!AD6+[1]FIN!AD7+[1]FIN!AD15</f>
        <v>0</v>
      </c>
      <c r="AE147" s="334">
        <f>[1]FIN!AE6+[1]FIN!AE7+[1]FIN!AE15</f>
        <v>0</v>
      </c>
      <c r="AF147" s="419"/>
      <c r="AG147" s="419">
        <v>311212246685293</v>
      </c>
      <c r="AH147" s="419">
        <v>135260272881574</v>
      </c>
      <c r="AI147" s="419">
        <v>183911004499856</v>
      </c>
      <c r="AJ147" s="419">
        <v>18932738049369</v>
      </c>
      <c r="AK147" s="419">
        <v>16963017710236</v>
      </c>
      <c r="AL147" s="330"/>
    </row>
    <row r="148" spans="2:38">
      <c r="B148" s="423" t="str">
        <f>IF(B1="EN", "Dividend and interests paid to owner", "Cổ tức và lợi nhuận trả cho chủ sở hữu")</f>
        <v>Cổ tức và lợi nhuận trả cho chủ sở hữu</v>
      </c>
      <c r="C148" s="424"/>
      <c r="D148" s="424"/>
      <c r="E148" s="424"/>
      <c r="F148" s="424"/>
      <c r="G148" s="425"/>
      <c r="H148" s="425"/>
      <c r="I148" s="425"/>
      <c r="J148" s="425"/>
      <c r="K148" s="425"/>
      <c r="L148" s="425"/>
      <c r="M148" s="425"/>
      <c r="N148" s="334">
        <f>-[1]FIN!N26</f>
        <v>0</v>
      </c>
      <c r="O148" s="334">
        <f>-[1]FIN!O26</f>
        <v>0</v>
      </c>
      <c r="P148" s="334">
        <f>-[1]FIN!Q26</f>
        <v>0</v>
      </c>
      <c r="Q148" s="336">
        <f>-[1]FIN!P26</f>
        <v>0</v>
      </c>
      <c r="R148" s="334">
        <f>SUM(T148:AE148)</f>
        <v>0</v>
      </c>
      <c r="S148" s="334"/>
      <c r="T148" s="334">
        <f>-[1]FIN!T26</f>
        <v>0</v>
      </c>
      <c r="U148" s="334">
        <f>-[1]FIN!U26</f>
        <v>0</v>
      </c>
      <c r="V148" s="334">
        <f>-[1]FIN!V26</f>
        <v>0</v>
      </c>
      <c r="W148" s="334">
        <f>-[1]FIN!W26</f>
        <v>0</v>
      </c>
      <c r="X148" s="334">
        <f>-[1]FIN!X26</f>
        <v>0</v>
      </c>
      <c r="Y148" s="334">
        <f>-[1]FIN!Y26</f>
        <v>0</v>
      </c>
      <c r="Z148" s="334">
        <f>-[1]FIN!Z26</f>
        <v>0</v>
      </c>
      <c r="AA148" s="334">
        <f>-[1]FIN!AA26</f>
        <v>0</v>
      </c>
      <c r="AB148" s="334">
        <f>-[1]FIN!AB26</f>
        <v>0</v>
      </c>
      <c r="AC148" s="334">
        <f>-[1]FIN!AC26</f>
        <v>0</v>
      </c>
      <c r="AD148" s="334">
        <f>-[1]FIN!AD26</f>
        <v>0</v>
      </c>
      <c r="AE148" s="334">
        <f>-[1]FIN!AE26</f>
        <v>0</v>
      </c>
      <c r="AF148" s="419"/>
      <c r="AG148" s="419">
        <v>-390965513883741</v>
      </c>
      <c r="AH148" s="419">
        <v>-397467426526564</v>
      </c>
      <c r="AI148" s="419">
        <v>-603088029296883</v>
      </c>
      <c r="AJ148" s="419">
        <v>-69755546831367</v>
      </c>
      <c r="AK148" s="419">
        <v>-802112927188883</v>
      </c>
      <c r="AL148" s="330"/>
    </row>
    <row r="149" spans="2:38" s="141" customFormat="1" ht="17" thickBot="1">
      <c r="B149" s="437" t="str">
        <f>IF(B1="EN", "Net cash flow from financing activities", "Dòng tiền thuần từ hoạt động tài chính")</f>
        <v>Dòng tiền thuần từ hoạt động tài chính</v>
      </c>
      <c r="C149" s="438"/>
      <c r="D149" s="438"/>
      <c r="E149" s="438"/>
      <c r="F149" s="438"/>
      <c r="G149" s="439"/>
      <c r="H149" s="439"/>
      <c r="I149" s="439"/>
      <c r="J149" s="439"/>
      <c r="K149" s="439"/>
      <c r="L149" s="439"/>
      <c r="M149" s="439"/>
      <c r="N149" s="455">
        <f>SUM(N145:N148)</f>
        <v>13770000000</v>
      </c>
      <c r="O149" s="455">
        <f>SUM(O145:O148)</f>
        <v>0</v>
      </c>
      <c r="P149" s="455">
        <f>SUM(P145:P148)</f>
        <v>4055856697</v>
      </c>
      <c r="Q149" s="408">
        <f>SUM(Q145:Q148)</f>
        <v>0</v>
      </c>
      <c r="R149" s="455">
        <f t="shared" ref="R149:AE149" si="151">SUM(R145:R148)</f>
        <v>0</v>
      </c>
      <c r="S149" s="441"/>
      <c r="T149" s="440">
        <f t="shared" si="151"/>
        <v>0</v>
      </c>
      <c r="U149" s="440">
        <f t="shared" si="151"/>
        <v>0</v>
      </c>
      <c r="V149" s="440">
        <f t="shared" si="151"/>
        <v>0</v>
      </c>
      <c r="W149" s="440">
        <f t="shared" si="151"/>
        <v>0</v>
      </c>
      <c r="X149" s="440">
        <f t="shared" si="151"/>
        <v>0</v>
      </c>
      <c r="Y149" s="440">
        <f t="shared" si="151"/>
        <v>0</v>
      </c>
      <c r="Z149" s="440">
        <f t="shared" si="151"/>
        <v>0</v>
      </c>
      <c r="AA149" s="440">
        <f t="shared" si="151"/>
        <v>0</v>
      </c>
      <c r="AB149" s="440">
        <f t="shared" si="151"/>
        <v>0</v>
      </c>
      <c r="AC149" s="440">
        <f t="shared" si="151"/>
        <v>0</v>
      </c>
      <c r="AD149" s="440">
        <f t="shared" si="151"/>
        <v>0</v>
      </c>
      <c r="AE149" s="440">
        <f t="shared" si="151"/>
        <v>0</v>
      </c>
      <c r="AF149" s="442"/>
      <c r="AG149" s="443">
        <v>-797532671984486</v>
      </c>
      <c r="AH149" s="443">
        <v>-26220715364499</v>
      </c>
      <c r="AI149" s="443">
        <v>-419177024797028</v>
      </c>
      <c r="AJ149" s="443">
        <v>-508228087819981</v>
      </c>
      <c r="AK149" s="443">
        <v>-632482750086523</v>
      </c>
      <c r="AL149" s="444"/>
    </row>
    <row r="150" spans="2:38" ht="17" thickTop="1">
      <c r="B150" s="179"/>
      <c r="C150" s="128"/>
      <c r="D150" s="128"/>
      <c r="E150" s="128"/>
      <c r="F150" s="128"/>
      <c r="G150" s="425"/>
      <c r="H150" s="425"/>
      <c r="I150" s="425"/>
      <c r="J150" s="425"/>
      <c r="K150" s="425"/>
      <c r="L150" s="425"/>
      <c r="M150" s="425"/>
      <c r="N150" s="334"/>
      <c r="O150" s="334"/>
      <c r="P150" s="334"/>
      <c r="Q150" s="336"/>
      <c r="R150" s="334"/>
      <c r="S150" s="334"/>
      <c r="T150" s="334"/>
      <c r="U150" s="334"/>
      <c r="V150" s="334"/>
      <c r="W150" s="334"/>
      <c r="X150" s="334"/>
      <c r="Y150" s="334"/>
      <c r="Z150" s="334"/>
      <c r="AA150" s="334"/>
      <c r="AB150" s="334"/>
      <c r="AC150" s="334"/>
      <c r="AD150" s="334"/>
      <c r="AE150" s="334"/>
      <c r="AF150" s="419"/>
      <c r="AG150" s="419"/>
      <c r="AH150" s="419"/>
      <c r="AI150" s="419"/>
      <c r="AJ150" s="419"/>
      <c r="AK150" s="419"/>
      <c r="AL150" s="330"/>
    </row>
    <row r="151" spans="2:38" ht="17" thickBot="1">
      <c r="B151" s="456" t="str">
        <f>IF(B1="EN", "NET CASH FLOW OF THE YEAR", "DÒNG TIỀN THUẦN CẢ NĂM")</f>
        <v>DÒNG TIỀN THUẦN CẢ NĂM</v>
      </c>
      <c r="C151" s="457"/>
      <c r="D151" s="457"/>
      <c r="E151" s="457"/>
      <c r="F151" s="457"/>
      <c r="G151" s="439"/>
      <c r="H151" s="439"/>
      <c r="I151" s="439"/>
      <c r="J151" s="439"/>
      <c r="K151" s="439"/>
      <c r="L151" s="439"/>
      <c r="M151" s="439"/>
      <c r="N151" s="455">
        <f>N136+N142+N149</f>
        <v>-3913972538</v>
      </c>
      <c r="O151" s="455">
        <f>O136+O142+O149</f>
        <v>529827879.86816406</v>
      </c>
      <c r="P151" s="455">
        <f>P136+P142+P149</f>
        <v>-1811387738.597106</v>
      </c>
      <c r="Q151" s="408">
        <f>Q136+Q142+Q149</f>
        <v>2518955778.756938</v>
      </c>
      <c r="R151" s="455">
        <f>R136+R142+R149</f>
        <v>-566538369.43182206</v>
      </c>
      <c r="S151" s="421"/>
      <c r="T151" s="455">
        <f>T136+T142+T149</f>
        <v>106385086.10418545</v>
      </c>
      <c r="U151" s="455">
        <f t="shared" ref="U151:AE151" si="152">U136+U142+U149</f>
        <v>-2335308094.0682297</v>
      </c>
      <c r="V151" s="455">
        <f t="shared" si="152"/>
        <v>-398424358.77002025</v>
      </c>
      <c r="W151" s="455">
        <f t="shared" si="152"/>
        <v>-134445893.57781759</v>
      </c>
      <c r="X151" s="455">
        <f t="shared" si="152"/>
        <v>235230007.46870646</v>
      </c>
      <c r="Y151" s="455">
        <f t="shared" si="152"/>
        <v>35547799.896321036</v>
      </c>
      <c r="Z151" s="455">
        <f t="shared" si="152"/>
        <v>182283938.33128551</v>
      </c>
      <c r="AA151" s="455">
        <f t="shared" si="152"/>
        <v>142048728.35578743</v>
      </c>
      <c r="AB151" s="455">
        <f t="shared" si="152"/>
        <v>171723080.43726912</v>
      </c>
      <c r="AC151" s="455">
        <f t="shared" si="152"/>
        <v>445806278.76684022</v>
      </c>
      <c r="AD151" s="455">
        <f t="shared" si="152"/>
        <v>487729264.47531569</v>
      </c>
      <c r="AE151" s="455">
        <f t="shared" si="152"/>
        <v>494885793.14853442</v>
      </c>
      <c r="AF151" s="422"/>
      <c r="AG151" s="458">
        <v>224403179406629</v>
      </c>
      <c r="AH151" s="458">
        <v>-139539275366622</v>
      </c>
      <c r="AI151" s="458">
        <v>-225844243603607</v>
      </c>
      <c r="AJ151" s="458">
        <v>-350598340308437</v>
      </c>
      <c r="AK151" s="458">
        <v>25453226727389</v>
      </c>
      <c r="AL151" s="317"/>
    </row>
    <row r="152" spans="2:38" ht="17" thickTop="1">
      <c r="B152" s="423" t="str">
        <f>IF(B1="EN", "Cash at the beginning of the year", "Số dư tiền đầu năm")</f>
        <v>Số dư tiền đầu năm</v>
      </c>
      <c r="C152" s="424"/>
      <c r="D152" s="424"/>
      <c r="E152" s="424"/>
      <c r="F152" s="424"/>
      <c r="G152" s="425"/>
      <c r="H152" s="425"/>
      <c r="I152" s="425"/>
      <c r="J152" s="425"/>
      <c r="K152" s="425"/>
      <c r="L152" s="425"/>
      <c r="M152" s="425"/>
      <c r="N152" s="334">
        <v>5103591972</v>
      </c>
      <c r="O152" s="334">
        <f>N153</f>
        <v>1189619434</v>
      </c>
      <c r="P152" s="334">
        <f>Q153</f>
        <v>4238403092.625102</v>
      </c>
      <c r="Q152" s="336">
        <f>O153</f>
        <v>1719447313.8681641</v>
      </c>
      <c r="R152" s="334">
        <f>Q153</f>
        <v>4238403092.625102</v>
      </c>
      <c r="S152" s="334"/>
      <c r="T152" s="334">
        <f>Q153</f>
        <v>4238403092.625102</v>
      </c>
      <c r="U152" s="334">
        <f>T153</f>
        <v>4344788178.7292871</v>
      </c>
      <c r="V152" s="334">
        <f t="shared" ref="V152:AE152" si="153">U153</f>
        <v>2009480084.6610575</v>
      </c>
      <c r="W152" s="334">
        <f t="shared" si="153"/>
        <v>1611055725.8910372</v>
      </c>
      <c r="X152" s="334">
        <f t="shared" si="153"/>
        <v>1476609832.3132195</v>
      </c>
      <c r="Y152" s="334">
        <f t="shared" si="153"/>
        <v>1711839839.7819259</v>
      </c>
      <c r="Z152" s="334">
        <f t="shared" si="153"/>
        <v>1747387639.678247</v>
      </c>
      <c r="AA152" s="334">
        <f t="shared" si="153"/>
        <v>1929671578.0095325</v>
      </c>
      <c r="AB152" s="334">
        <f t="shared" si="153"/>
        <v>2071720306.36532</v>
      </c>
      <c r="AC152" s="334">
        <f t="shared" si="153"/>
        <v>2243443386.8025889</v>
      </c>
      <c r="AD152" s="334">
        <f t="shared" si="153"/>
        <v>2689249665.5694294</v>
      </c>
      <c r="AE152" s="334">
        <f t="shared" si="153"/>
        <v>3176978930.044745</v>
      </c>
      <c r="AF152" s="419"/>
      <c r="AG152" s="419">
        <v>204168230417151</v>
      </c>
      <c r="AH152" s="419">
        <v>42857140982378</v>
      </c>
      <c r="AI152" s="419">
        <v>289032134457158</v>
      </c>
      <c r="AJ152" s="419">
        <v>266447710096797</v>
      </c>
      <c r="AK152" s="419">
        <v>231387876065954</v>
      </c>
      <c r="AL152" s="330"/>
    </row>
    <row r="153" spans="2:38">
      <c r="B153" s="459" t="str">
        <f>IF(B1="EN", "Cash at the ending of the year", "Số dư tiền cuối năm")</f>
        <v>Số dư tiền cuối năm</v>
      </c>
      <c r="C153" s="460"/>
      <c r="D153" s="460"/>
      <c r="E153" s="460"/>
      <c r="F153" s="460"/>
      <c r="G153" s="461"/>
      <c r="H153" s="461"/>
      <c r="I153" s="461"/>
      <c r="J153" s="461"/>
      <c r="K153" s="461"/>
      <c r="L153" s="461"/>
      <c r="M153" s="461"/>
      <c r="N153" s="511">
        <f>N151+N152</f>
        <v>1189619434</v>
      </c>
      <c r="O153" s="511">
        <f>O151+O152</f>
        <v>1719447313.8681641</v>
      </c>
      <c r="P153" s="511">
        <f>P151+P152</f>
        <v>2427015354.0279961</v>
      </c>
      <c r="Q153" s="462">
        <f>Q151+Q152</f>
        <v>4238403092.625102</v>
      </c>
      <c r="R153" s="511">
        <f t="shared" ref="R153:AE153" si="154">R151+R152</f>
        <v>3671864723.1932802</v>
      </c>
      <c r="S153" s="321"/>
      <c r="T153" s="464">
        <f>T151+T152</f>
        <v>4344788178.7292871</v>
      </c>
      <c r="U153" s="464">
        <f t="shared" si="154"/>
        <v>2009480084.6610575</v>
      </c>
      <c r="V153" s="464">
        <f t="shared" si="154"/>
        <v>1611055725.8910372</v>
      </c>
      <c r="W153" s="464">
        <f t="shared" si="154"/>
        <v>1476609832.3132195</v>
      </c>
      <c r="X153" s="464">
        <f t="shared" si="154"/>
        <v>1711839839.7819259</v>
      </c>
      <c r="Y153" s="464">
        <f t="shared" si="154"/>
        <v>1747387639.678247</v>
      </c>
      <c r="Z153" s="464">
        <f t="shared" si="154"/>
        <v>1929671578.0095325</v>
      </c>
      <c r="AA153" s="464">
        <f t="shared" si="154"/>
        <v>2071720306.36532</v>
      </c>
      <c r="AB153" s="464">
        <f t="shared" si="154"/>
        <v>2243443386.8025889</v>
      </c>
      <c r="AC153" s="464">
        <f t="shared" si="154"/>
        <v>2689249665.5694294</v>
      </c>
      <c r="AD153" s="464">
        <f t="shared" si="154"/>
        <v>3176978930.044745</v>
      </c>
      <c r="AE153" s="464">
        <f t="shared" si="154"/>
        <v>3671864723.1932793</v>
      </c>
      <c r="AF153" s="320"/>
      <c r="AG153" s="465">
        <v>42857140982378</v>
      </c>
      <c r="AH153" s="465">
        <v>289032134457158</v>
      </c>
      <c r="AI153" s="465">
        <v>266447710096797</v>
      </c>
      <c r="AJ153" s="465">
        <v>231387876065954</v>
      </c>
      <c r="AK153" s="465">
        <v>256841102793343</v>
      </c>
      <c r="AL153" s="326"/>
    </row>
    <row r="154" spans="2:38">
      <c r="G154" s="107"/>
      <c r="H154" s="107"/>
      <c r="I154" s="107"/>
      <c r="J154" s="257"/>
      <c r="K154" s="410"/>
      <c r="L154" s="410"/>
      <c r="M154" s="410"/>
      <c r="N154" s="410">
        <f>N153-N75</f>
        <v>0</v>
      </c>
      <c r="O154" s="410">
        <f>O153-O75</f>
        <v>-0.1318359375</v>
      </c>
      <c r="P154" s="410">
        <f>P153-P75</f>
        <v>0</v>
      </c>
      <c r="Q154" s="410"/>
      <c r="R154" s="410"/>
      <c r="S154" s="410"/>
      <c r="T154" s="410"/>
      <c r="U154" s="410"/>
      <c r="V154" s="410"/>
      <c r="W154" s="410"/>
      <c r="X154" s="410"/>
      <c r="Y154" s="410"/>
      <c r="Z154" s="410"/>
      <c r="AA154" s="410"/>
      <c r="AB154" s="410"/>
      <c r="AC154" s="410"/>
      <c r="AD154" s="410"/>
      <c r="AE154" s="410"/>
      <c r="AF154" s="410"/>
      <c r="AG154" s="410">
        <f>AG153-AG75</f>
        <v>0</v>
      </c>
      <c r="AH154" s="410">
        <f t="shared" ref="AH154:AK154" si="155">AH153-AH75</f>
        <v>0</v>
      </c>
      <c r="AI154" s="410">
        <f t="shared" si="155"/>
        <v>0</v>
      </c>
      <c r="AJ154" s="410">
        <f t="shared" si="155"/>
        <v>0</v>
      </c>
      <c r="AK154" s="410">
        <f t="shared" si="155"/>
        <v>0</v>
      </c>
      <c r="AL154" s="257"/>
    </row>
    <row r="155" spans="2:38">
      <c r="G155" s="107"/>
      <c r="H155" s="107"/>
      <c r="I155" s="107"/>
      <c r="J155" s="257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  <c r="AG155" s="410"/>
      <c r="AH155" s="410"/>
      <c r="AI155" s="410"/>
      <c r="AJ155" s="410"/>
      <c r="AK155" s="410"/>
      <c r="AL155" s="257"/>
    </row>
    <row r="157" spans="2:38">
      <c r="F157" s="466"/>
    </row>
    <row r="158" spans="2:38">
      <c r="O158" s="469"/>
    </row>
    <row r="159" spans="2:38">
      <c r="O159" s="469"/>
    </row>
    <row r="160" spans="2:38">
      <c r="O160" s="469"/>
    </row>
    <row r="163" spans="6:32">
      <c r="F163" s="466"/>
      <c r="L163" s="466"/>
      <c r="R163" s="466"/>
      <c r="S163" s="466"/>
      <c r="T163" s="466"/>
      <c r="U163" s="466"/>
      <c r="V163" s="466"/>
      <c r="W163" s="466"/>
      <c r="X163" s="466"/>
      <c r="Y163" s="466"/>
      <c r="Z163" s="466"/>
      <c r="AA163" s="466"/>
      <c r="AB163" s="466"/>
      <c r="AC163" s="466"/>
      <c r="AD163" s="466"/>
      <c r="AE163" s="466"/>
      <c r="AF163" s="466"/>
    </row>
  </sheetData>
  <conditionalFormatting sqref="T153:AE153">
    <cfRule type="cellIs" dxfId="4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23D6-7886-4893-8CA0-00D196CC13E3}">
  <sheetPr>
    <tabColor theme="4" tint="0.39997558519241921"/>
  </sheetPr>
  <dimension ref="A1:AU163"/>
  <sheetViews>
    <sheetView tabSelected="1" topLeftCell="A2" zoomScale="85" zoomScaleNormal="85" workbookViewId="0">
      <pane xSplit="6" ySplit="3" topLeftCell="P65" activePane="bottomRight" state="frozen"/>
      <selection activeCell="A2" sqref="A2"/>
      <selection pane="topRight" activeCell="G2" sqref="G2"/>
      <selection pane="bottomLeft" activeCell="A5" sqref="A5"/>
      <selection pane="bottomRight" activeCell="T75" sqref="T75"/>
    </sheetView>
  </sheetViews>
  <sheetFormatPr defaultColWidth="9.1796875" defaultRowHeight="16.5" outlineLevelRow="1" outlineLevelCol="1"/>
  <cols>
    <col min="1" max="1" width="1.1796875" style="84" customWidth="1"/>
    <col min="2" max="4" width="2.1796875" style="84" customWidth="1"/>
    <col min="5" max="5" width="10.26953125" style="84" customWidth="1"/>
    <col min="6" max="6" width="28.81640625" style="84" customWidth="1" collapsed="1"/>
    <col min="7" max="10" width="7.7265625" style="84" customWidth="1" outlineLevel="1"/>
    <col min="11" max="12" width="7.7265625" style="86" customWidth="1" outlineLevel="1"/>
    <col min="13" max="13" width="10.54296875" style="86" hidden="1" customWidth="1"/>
    <col min="14" max="14" width="13.26953125" style="86" customWidth="1" collapsed="1"/>
    <col min="15" max="15" width="12.1796875" style="86" customWidth="1" outlineLevel="1"/>
    <col min="16" max="16" width="12.453125" style="86" customWidth="1" outlineLevel="1"/>
    <col min="17" max="17" width="14.54296875" style="86" customWidth="1"/>
    <col min="18" max="18" width="14.54296875" style="86" bestFit="1" customWidth="1"/>
    <col min="19" max="19" width="17.7265625" style="86" customWidth="1"/>
    <col min="20" max="31" width="12.1796875" style="86" customWidth="1" outlineLevel="1"/>
    <col min="32" max="32" width="1" style="86" hidden="1" customWidth="1"/>
    <col min="33" max="36" width="11.453125" style="86" hidden="1" customWidth="1"/>
    <col min="37" max="37" width="12.1796875" style="86" hidden="1" customWidth="1"/>
    <col min="38" max="38" width="1.7265625" style="84" customWidth="1"/>
    <col min="39" max="40" width="10.1796875" style="84" customWidth="1"/>
    <col min="41" max="41" width="17" style="84" customWidth="1"/>
    <col min="42" max="43" width="10.1796875" style="84" customWidth="1"/>
    <col min="44" max="45" width="9.7265625" style="84" bestFit="1" customWidth="1"/>
    <col min="46" max="16384" width="9.1796875" style="84"/>
  </cols>
  <sheetData>
    <row r="1" spans="2:47" ht="20.25" customHeight="1">
      <c r="B1" s="84" t="str">
        <f>[1]Overview!C2</f>
        <v>VN</v>
      </c>
      <c r="F1" s="85"/>
      <c r="N1" s="470"/>
      <c r="O1" s="470"/>
      <c r="P1" s="470"/>
      <c r="Q1" s="470"/>
      <c r="R1" s="89"/>
      <c r="S1" s="90"/>
      <c r="T1" s="89"/>
      <c r="U1" s="89"/>
      <c r="V1" s="91"/>
      <c r="W1" s="91"/>
      <c r="X1" s="89"/>
      <c r="Y1" s="89"/>
      <c r="Z1" s="89"/>
      <c r="AA1" s="89"/>
      <c r="AB1" s="89"/>
      <c r="AC1" s="89"/>
      <c r="AD1" s="89"/>
      <c r="AE1" s="89"/>
      <c r="AF1" s="90"/>
      <c r="AG1" s="92"/>
      <c r="AH1" s="93"/>
      <c r="AI1" s="92"/>
      <c r="AJ1" s="93"/>
      <c r="AK1" s="93"/>
      <c r="AO1" s="468">
        <f>R15+R24+R44</f>
        <v>43406209534.686707</v>
      </c>
      <c r="AU1" s="468">
        <f>R15+R24+R44</f>
        <v>43406209534.686707</v>
      </c>
    </row>
    <row r="2" spans="2:47" ht="30" customHeight="1">
      <c r="B2" s="94" t="str">
        <f>IF(B1="EN", "FINANCIAL STATEMENT", "BÁO CÁO TÀI CHÍNH")</f>
        <v>BÁO CÁO TÀI CHÍNH</v>
      </c>
      <c r="C2" s="95"/>
      <c r="D2" s="95"/>
      <c r="E2" s="96"/>
      <c r="F2" s="97"/>
      <c r="G2" s="98"/>
      <c r="H2" s="98"/>
      <c r="I2" s="98"/>
      <c r="J2" s="99"/>
      <c r="K2" s="100"/>
      <c r="L2" s="100"/>
      <c r="M2" s="100"/>
      <c r="N2" s="101">
        <v>2023</v>
      </c>
      <c r="O2" s="101">
        <v>2024</v>
      </c>
      <c r="P2" s="102" t="s">
        <v>110</v>
      </c>
      <c r="Q2" s="103" t="str">
        <f>[1]Assumption!L3</f>
        <v>2025E</v>
      </c>
      <c r="R2" s="104" t="str">
        <f>[1]Assumption!M3</f>
        <v>2026P</v>
      </c>
      <c r="S2" s="417">
        <f>R14+R16+R17</f>
        <v>21306399215.567608</v>
      </c>
      <c r="T2" s="104">
        <v>1</v>
      </c>
      <c r="U2" s="104">
        <v>2</v>
      </c>
      <c r="V2" s="104">
        <v>3</v>
      </c>
      <c r="W2" s="104">
        <v>4</v>
      </c>
      <c r="X2" s="104">
        <v>5</v>
      </c>
      <c r="Y2" s="104">
        <v>6</v>
      </c>
      <c r="Z2" s="104">
        <v>7</v>
      </c>
      <c r="AA2" s="104">
        <v>8</v>
      </c>
      <c r="AB2" s="104">
        <v>9</v>
      </c>
      <c r="AC2" s="104">
        <v>10</v>
      </c>
      <c r="AD2" s="104">
        <v>11</v>
      </c>
      <c r="AE2" s="104">
        <v>12</v>
      </c>
      <c r="AF2" s="105"/>
      <c r="AG2" s="106" t="str">
        <f>[1]Assumption!N3</f>
        <v>2025 MTP</v>
      </c>
      <c r="AH2" s="106" t="str">
        <f>[1]Assumption!O3</f>
        <v>2026 MTP</v>
      </c>
      <c r="AI2" s="106" t="str">
        <f>[1]Assumption!P3</f>
        <v>2027 MTP</v>
      </c>
      <c r="AJ2" s="106" t="str">
        <f>[1]Assumption!Q3</f>
        <v>2028 MTP</v>
      </c>
      <c r="AK2" s="106" t="str">
        <f>[1]Assumption!R3</f>
        <v>2029 MTP</v>
      </c>
      <c r="AL2" s="107"/>
    </row>
    <row r="3" spans="2:47" s="110" customFormat="1" ht="16.399999999999999" customHeight="1">
      <c r="B3" s="108"/>
      <c r="C3" s="108"/>
      <c r="D3" s="108"/>
      <c r="E3" s="108"/>
      <c r="F3" s="108"/>
      <c r="G3" s="108"/>
      <c r="H3" s="108"/>
      <c r="I3" s="108"/>
      <c r="J3" s="108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8"/>
    </row>
    <row r="4" spans="2:47">
      <c r="B4" s="111" t="str">
        <f>IF(B1="EN", "INCOME STATEMENT", "KẾT QUẢ KINH DOANH")</f>
        <v>KẾT QUẢ KINH DOANH</v>
      </c>
      <c r="C4" s="112"/>
      <c r="D4" s="112"/>
      <c r="E4" s="112"/>
      <c r="F4" s="113"/>
      <c r="G4" s="114"/>
      <c r="H4" s="114"/>
      <c r="I4" s="114"/>
      <c r="J4" s="115"/>
      <c r="K4" s="101"/>
      <c r="L4" s="101"/>
      <c r="M4" s="101"/>
      <c r="N4" s="101">
        <f t="shared" ref="N4:AK4" si="0">N2</f>
        <v>2023</v>
      </c>
      <c r="O4" s="101">
        <f t="shared" si="0"/>
        <v>2024</v>
      </c>
      <c r="P4" s="102" t="str">
        <f>P2</f>
        <v>2025P</v>
      </c>
      <c r="Q4" s="103" t="str">
        <f>Q2</f>
        <v>2025E</v>
      </c>
      <c r="R4" s="104" t="str">
        <f>R2</f>
        <v>2026P</v>
      </c>
      <c r="S4" s="105"/>
      <c r="T4" s="104">
        <f>T2</f>
        <v>1</v>
      </c>
      <c r="U4" s="104">
        <f t="shared" ref="U4:AE4" si="1">U2</f>
        <v>2</v>
      </c>
      <c r="V4" s="104">
        <f t="shared" si="1"/>
        <v>3</v>
      </c>
      <c r="W4" s="104">
        <f t="shared" si="1"/>
        <v>4</v>
      </c>
      <c r="X4" s="104">
        <f t="shared" si="1"/>
        <v>5</v>
      </c>
      <c r="Y4" s="104">
        <f t="shared" si="1"/>
        <v>6</v>
      </c>
      <c r="Z4" s="104">
        <f t="shared" si="1"/>
        <v>7</v>
      </c>
      <c r="AA4" s="104">
        <f t="shared" si="1"/>
        <v>8</v>
      </c>
      <c r="AB4" s="104">
        <f t="shared" si="1"/>
        <v>9</v>
      </c>
      <c r="AC4" s="104">
        <f t="shared" si="1"/>
        <v>10</v>
      </c>
      <c r="AD4" s="104">
        <f t="shared" si="1"/>
        <v>11</v>
      </c>
      <c r="AE4" s="104">
        <f t="shared" si="1"/>
        <v>12</v>
      </c>
      <c r="AF4" s="105"/>
      <c r="AG4" s="106" t="str">
        <f t="shared" si="0"/>
        <v>2025 MTP</v>
      </c>
      <c r="AH4" s="106" t="str">
        <f t="shared" si="0"/>
        <v>2026 MTP</v>
      </c>
      <c r="AI4" s="106" t="str">
        <f t="shared" si="0"/>
        <v>2027 MTP</v>
      </c>
      <c r="AJ4" s="106" t="str">
        <f t="shared" si="0"/>
        <v>2028 MTP</v>
      </c>
      <c r="AK4" s="106" t="str">
        <f t="shared" si="0"/>
        <v>2029 MTP</v>
      </c>
      <c r="AL4" s="116"/>
      <c r="AM4" s="196"/>
    </row>
    <row r="5" spans="2:47" s="125" customFormat="1">
      <c r="B5" s="117" t="str">
        <f>IF(B1="EN","SALES VOLUME (Ton)","SẢN LƯỢNG BÁN")</f>
        <v>SẢN LƯỢNG BÁN</v>
      </c>
      <c r="C5" s="118"/>
      <c r="D5" s="118"/>
      <c r="E5" s="118"/>
      <c r="F5" s="119"/>
      <c r="G5" s="120"/>
      <c r="H5" s="120"/>
      <c r="I5" s="120"/>
      <c r="J5" s="120"/>
      <c r="K5" s="121"/>
      <c r="L5" s="121"/>
      <c r="M5" s="121"/>
      <c r="N5" s="122">
        <f>SUM(DaiLoc:DongLam!N5)</f>
        <v>13552044.5</v>
      </c>
      <c r="O5" s="122">
        <f>SUM(DaiLoc:DongLam!O5)</f>
        <v>16102235.4</v>
      </c>
      <c r="P5" s="122">
        <f>SUM(DaiLoc:DongLam!P5)</f>
        <v>19803786.044444446</v>
      </c>
      <c r="Q5" s="122">
        <f>SUM(DaiLoc:DongLam!Q5)</f>
        <v>21658893</v>
      </c>
      <c r="R5" s="122">
        <f>SUM(DaiLoc:DongLam!R5)</f>
        <v>30121928</v>
      </c>
      <c r="S5" s="122"/>
      <c r="T5" s="122">
        <f>SUM(DaiLoc:DongLam!T5)</f>
        <v>1961925</v>
      </c>
      <c r="U5" s="122">
        <f>SUM(DaiLoc:DongLam!U5)</f>
        <v>1392450</v>
      </c>
      <c r="V5" s="122">
        <f>SUM(DaiLoc:DongLam!V5)</f>
        <v>2307425</v>
      </c>
      <c r="W5" s="122">
        <f>SUM(DaiLoc:DongLam!W5)</f>
        <v>2662248</v>
      </c>
      <c r="X5" s="122">
        <f>SUM(DaiLoc:DongLam!X5)</f>
        <v>2703262.5</v>
      </c>
      <c r="Y5" s="122">
        <f>SUM(DaiLoc:DongLam!Y5)</f>
        <v>2703262.5</v>
      </c>
      <c r="Z5" s="122">
        <f>SUM(DaiLoc:DongLam!Z5)</f>
        <v>2744277</v>
      </c>
      <c r="AA5" s="122">
        <f>SUM(DaiLoc:DongLam!AA5)</f>
        <v>2745044</v>
      </c>
      <c r="AB5" s="122">
        <f>SUM(DaiLoc:DongLam!AB5)</f>
        <v>2704000</v>
      </c>
      <c r="AC5" s="122">
        <f>SUM(DaiLoc:DongLam!AC5)</f>
        <v>2746408</v>
      </c>
      <c r="AD5" s="122">
        <f>SUM(DaiLoc:DongLam!AD5)</f>
        <v>2705387</v>
      </c>
      <c r="AE5" s="122">
        <f>SUM(DaiLoc:DongLam!AE5)</f>
        <v>2746239</v>
      </c>
      <c r="AF5" s="121"/>
      <c r="AG5" s="121">
        <v>10130120727661</v>
      </c>
      <c r="AH5" s="121">
        <v>110633901989403</v>
      </c>
      <c r="AI5" s="121">
        <v>121924262276516</v>
      </c>
      <c r="AJ5" s="121">
        <v>134115064616605</v>
      </c>
      <c r="AK5" s="121">
        <v>146577496827428</v>
      </c>
      <c r="AL5" s="123"/>
      <c r="AM5" s="471"/>
      <c r="AN5" s="472"/>
      <c r="AO5" s="473"/>
    </row>
    <row r="6" spans="2:47" s="125" customFormat="1" outlineLevel="1">
      <c r="B6" s="126"/>
      <c r="C6" s="127" t="str">
        <f>IF(B1="EN", "Sales Volume Growth (%)", "Tăng giảm Sản lượng bán (%)")</f>
        <v>Tăng giảm Sản lượng bán (%)</v>
      </c>
      <c r="D6" s="128"/>
      <c r="E6" s="128"/>
      <c r="F6" s="129"/>
      <c r="G6" s="130"/>
      <c r="H6" s="130"/>
      <c r="I6" s="130"/>
      <c r="J6" s="130"/>
      <c r="K6" s="131"/>
      <c r="L6" s="131"/>
      <c r="M6" s="131"/>
      <c r="N6" s="131">
        <f>IFERROR(N5/M5-1,)</f>
        <v>0</v>
      </c>
      <c r="O6" s="131">
        <f>IFERROR(O5/N5-1,)</f>
        <v>0.18817757719139716</v>
      </c>
      <c r="P6" s="131">
        <f>IFERROR(P5/O5-1,)</f>
        <v>0.22987806056073712</v>
      </c>
      <c r="Q6" s="131">
        <f>IFERROR(Q5/O5-1,)</f>
        <v>0.3450860990393918</v>
      </c>
      <c r="R6" s="131">
        <f>IFERROR(R5/Q5-1,)</f>
        <v>0.3907418075337461</v>
      </c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>
        <v>1080898044455.17</v>
      </c>
      <c r="AH6" s="131">
        <v>9212816869308.9297</v>
      </c>
      <c r="AI6" s="131">
        <v>1020515419242.3101</v>
      </c>
      <c r="AJ6" s="131">
        <v>9998668117787.5605</v>
      </c>
      <c r="AK6" s="131">
        <v>9292343292268.4199</v>
      </c>
      <c r="AL6" s="123"/>
      <c r="AM6" s="196"/>
      <c r="AN6" s="474"/>
      <c r="AO6" s="473"/>
    </row>
    <row r="7" spans="2:47" s="141" customFormat="1" ht="17" thickBot="1">
      <c r="B7" s="132" t="str">
        <f>IF(B1="en","NET SALES","DOANH THU THUẦN")</f>
        <v>DOANH THU THUẦN</v>
      </c>
      <c r="C7" s="133"/>
      <c r="D7" s="133"/>
      <c r="E7" s="133"/>
      <c r="F7" s="134"/>
      <c r="G7" s="135"/>
      <c r="H7" s="135"/>
      <c r="I7" s="135"/>
      <c r="J7" s="135"/>
      <c r="K7" s="136"/>
      <c r="L7" s="136"/>
      <c r="M7" s="136"/>
      <c r="N7" s="137">
        <f>SUM(DaiLoc:DongLam!N7)</f>
        <v>192177169976</v>
      </c>
      <c r="O7" s="137">
        <f>SUM(DaiLoc:DongLam!O7)</f>
        <v>263169735060</v>
      </c>
      <c r="P7" s="137">
        <f>SUM(DaiLoc:DongLam!P7)</f>
        <v>372780121733.72803</v>
      </c>
      <c r="Q7" s="137">
        <f>SUM(DaiLoc:DongLam!Q7)</f>
        <v>372375406442</v>
      </c>
      <c r="R7" s="137">
        <f>SUM(DaiLoc:DongLam!R7)</f>
        <v>458198101250</v>
      </c>
      <c r="S7" s="138"/>
      <c r="T7" s="137">
        <f>SUM(DaiLoc:DongLam!T7)</f>
        <v>28404956250</v>
      </c>
      <c r="U7" s="137">
        <f>SUM(DaiLoc:DongLam!U7)</f>
        <v>20210556250</v>
      </c>
      <c r="V7" s="137">
        <f>SUM(DaiLoc:DongLam!V7)</f>
        <v>33329800000</v>
      </c>
      <c r="W7" s="137">
        <f>SUM(DaiLoc:DongLam!W7)</f>
        <v>40468427500</v>
      </c>
      <c r="X7" s="137">
        <f>SUM(DaiLoc:DongLam!X7)</f>
        <v>41125912500</v>
      </c>
      <c r="Y7" s="137">
        <f>SUM(DaiLoc:DongLam!Y7)</f>
        <v>41125912500</v>
      </c>
      <c r="Z7" s="137">
        <f>SUM(DaiLoc:DongLam!Z7)</f>
        <v>41783397500</v>
      </c>
      <c r="AA7" s="137">
        <f>SUM(DaiLoc:DongLam!AA7)</f>
        <v>41806927500</v>
      </c>
      <c r="AB7" s="137">
        <f>SUM(DaiLoc:DongLam!AB7)</f>
        <v>41148537500</v>
      </c>
      <c r="AC7" s="137">
        <f>SUM(DaiLoc:DongLam!AC7)</f>
        <v>43154042500</v>
      </c>
      <c r="AD7" s="137">
        <f>SUM(DaiLoc:DongLam!AD7)</f>
        <v>42496151250</v>
      </c>
      <c r="AE7" s="137">
        <f>SUM(DaiLoc:DongLam!AE7)</f>
        <v>43143480000</v>
      </c>
      <c r="AF7" s="121"/>
      <c r="AG7" s="136">
        <v>619122724416282</v>
      </c>
      <c r="AH7" s="136">
        <v>679579279038665</v>
      </c>
      <c r="AI7" s="136">
        <v>755559957683902</v>
      </c>
      <c r="AJ7" s="136">
        <v>838783549542362</v>
      </c>
      <c r="AK7" s="136">
        <v>925768511365268</v>
      </c>
      <c r="AL7" s="139"/>
      <c r="AM7" s="475"/>
      <c r="AN7" s="476"/>
      <c r="AO7" s="473"/>
      <c r="AP7" s="140"/>
      <c r="AQ7" s="140"/>
      <c r="AR7" s="140"/>
      <c r="AS7" s="140"/>
    </row>
    <row r="8" spans="2:47" s="125" customFormat="1" ht="17" outlineLevel="1" thickTop="1">
      <c r="B8" s="142"/>
      <c r="C8" s="125" t="str">
        <f>IF(B1="EN", "Net Sales Growth (%)", "Tăng giảm Doanh thu (%)")</f>
        <v>Tăng giảm Doanh thu (%)</v>
      </c>
      <c r="D8" s="143"/>
      <c r="E8" s="143"/>
      <c r="F8" s="129"/>
      <c r="G8" s="130"/>
      <c r="H8" s="130"/>
      <c r="I8" s="130"/>
      <c r="J8" s="130"/>
      <c r="K8" s="131"/>
      <c r="L8" s="131"/>
      <c r="M8" s="131"/>
      <c r="N8" s="131">
        <f>IFERROR(N7/M7-1,)</f>
        <v>0</v>
      </c>
      <c r="O8" s="131">
        <f>IFERROR(O7/N7-1,)</f>
        <v>0.36941206436157792</v>
      </c>
      <c r="P8" s="131">
        <f>IFERROR(P7/O7-1,)</f>
        <v>0.41650072964787532</v>
      </c>
      <c r="Q8" s="131">
        <f>IFERROR(Q7/O7-1,)</f>
        <v>0.41496288073209575</v>
      </c>
      <c r="R8" s="131">
        <f>IFERROR(R7/Q7-1,)</f>
        <v>0.23047358478376712</v>
      </c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>
        <v>1063075586178.25</v>
      </c>
      <c r="AH8" s="131">
        <v>9764874109471.9102</v>
      </c>
      <c r="AI8" s="131">
        <v>1118054669835.1299</v>
      </c>
      <c r="AJ8" s="131">
        <v>1101482298156.3799</v>
      </c>
      <c r="AK8" s="131">
        <v>1037037050504.45</v>
      </c>
      <c r="AL8" s="144"/>
      <c r="AM8" s="477"/>
      <c r="AN8" s="474"/>
      <c r="AO8" s="473"/>
      <c r="AP8" s="145"/>
      <c r="AQ8" s="145"/>
      <c r="AR8" s="145"/>
      <c r="AS8" s="145"/>
    </row>
    <row r="9" spans="2:47" s="154" customFormat="1" outlineLevel="1">
      <c r="B9" s="146"/>
      <c r="C9" s="147" t="str">
        <f>IF(B1="EN", "Selling price per Ton (m VND/Ton)", "Giá bán / Tấn (Triệu đồng/Tấn)")</f>
        <v>Giá bán / Tấn (Triệu đồng/Tấn)</v>
      </c>
      <c r="D9" s="148"/>
      <c r="E9" s="148"/>
      <c r="F9" s="149"/>
      <c r="G9" s="150"/>
      <c r="H9" s="150"/>
      <c r="I9" s="150"/>
      <c r="J9" s="150"/>
      <c r="K9" s="151"/>
      <c r="L9" s="151"/>
      <c r="M9" s="151"/>
      <c r="N9" s="151">
        <f>IFERROR(N7/N5,)</f>
        <v>14180.67731226827</v>
      </c>
      <c r="O9" s="151">
        <f t="shared" ref="O9:R9" si="2">IFERROR(O7/O5,)</f>
        <v>16343.677043747603</v>
      </c>
      <c r="P9" s="151">
        <f>IFERROR(P7/P5,)</f>
        <v>18823.679517498324</v>
      </c>
      <c r="Q9" s="151">
        <f>IFERROR(Q7/Q5,)</f>
        <v>17192.725705879799</v>
      </c>
      <c r="R9" s="152">
        <f t="shared" si="2"/>
        <v>15211.446666030142</v>
      </c>
      <c r="S9" s="151"/>
      <c r="T9" s="151">
        <f>T7/T5</f>
        <v>14478.105049887228</v>
      </c>
      <c r="U9" s="151">
        <f t="shared" ref="U9:AE9" si="3">U7/U5</f>
        <v>14514.385615282416</v>
      </c>
      <c r="V9" s="151">
        <f t="shared" si="3"/>
        <v>14444.58649793601</v>
      </c>
      <c r="W9" s="151">
        <f t="shared" si="3"/>
        <v>15200.848117831247</v>
      </c>
      <c r="X9" s="151">
        <f t="shared" si="3"/>
        <v>15213.436541956247</v>
      </c>
      <c r="Y9" s="151">
        <f t="shared" si="3"/>
        <v>15213.436541956247</v>
      </c>
      <c r="Z9" s="151">
        <f t="shared" si="3"/>
        <v>15225.648686338878</v>
      </c>
      <c r="AA9" s="151">
        <f t="shared" si="3"/>
        <v>15229.966259192932</v>
      </c>
      <c r="AB9" s="151">
        <f t="shared" si="3"/>
        <v>15217.654400887574</v>
      </c>
      <c r="AC9" s="151">
        <f t="shared" si="3"/>
        <v>15712.902999117392</v>
      </c>
      <c r="AD9" s="151">
        <f t="shared" si="3"/>
        <v>15707.974958850618</v>
      </c>
      <c r="AE9" s="151">
        <f t="shared" si="3"/>
        <v>15710.023781615511</v>
      </c>
      <c r="AF9" s="151"/>
      <c r="AG9" s="151">
        <v>611170134158151</v>
      </c>
      <c r="AH9" s="151">
        <v>614259523363606</v>
      </c>
      <c r="AI9" s="151">
        <v>619696148720872</v>
      </c>
      <c r="AJ9" s="151">
        <v>62542082944984</v>
      </c>
      <c r="AK9" s="151">
        <v>631589794752203</v>
      </c>
      <c r="AL9" s="153"/>
      <c r="AM9" s="196"/>
      <c r="AN9" s="478"/>
      <c r="AO9" s="473"/>
    </row>
    <row r="10" spans="2:47">
      <c r="B10" s="155" t="str">
        <f>IF(B1="en","Direct Selling &amp; Delivery expenses","Chi phí vận chuyển")</f>
        <v>Chi phí vận chuyển</v>
      </c>
      <c r="C10" s="156"/>
      <c r="D10" s="156"/>
      <c r="E10" s="156"/>
      <c r="F10" s="157"/>
      <c r="G10" s="158"/>
      <c r="H10" s="158"/>
      <c r="I10" s="158"/>
      <c r="J10" s="158"/>
      <c r="K10" s="159"/>
      <c r="L10" s="159"/>
      <c r="M10" s="159"/>
      <c r="N10" s="160">
        <f>SUM(DaiLoc:DongLam!N10)</f>
        <v>4237250634</v>
      </c>
      <c r="O10" s="160">
        <f>SUM(DaiLoc:DongLam!O10)</f>
        <v>4212827928</v>
      </c>
      <c r="P10" s="160">
        <f>SUM(DaiLoc:DongLam!P10)</f>
        <v>6827606304.1111107</v>
      </c>
      <c r="Q10" s="160">
        <f>SUM(DaiLoc:DongLam!Q10)</f>
        <v>6639500000</v>
      </c>
      <c r="R10" s="160">
        <f>SUM(DaiLoc:DongLam!R10)</f>
        <v>9079448722.9004326</v>
      </c>
      <c r="S10" s="160"/>
      <c r="T10" s="160">
        <f>SUM(DaiLoc:DongLam!T10)</f>
        <v>630068157.4675324</v>
      </c>
      <c r="U10" s="160">
        <f>SUM(DaiLoc:DongLam!U10)</f>
        <v>439698357.68398267</v>
      </c>
      <c r="V10" s="160">
        <f>SUM(DaiLoc:DongLam!V10)</f>
        <v>754121076.83982682</v>
      </c>
      <c r="W10" s="160">
        <f>SUM(DaiLoc:DongLam!W10)</f>
        <v>798367564.5454545</v>
      </c>
      <c r="X10" s="160">
        <f>SUM(DaiLoc:DongLam!X10)</f>
        <v>811605204.5454545</v>
      </c>
      <c r="Y10" s="160">
        <f>SUM(DaiLoc:DongLam!Y10)</f>
        <v>811605204.5454545</v>
      </c>
      <c r="Z10" s="160">
        <f>SUM(DaiLoc:DongLam!Z10)</f>
        <v>824842844.5454545</v>
      </c>
      <c r="AA10" s="160">
        <f>SUM(DaiLoc:DongLam!AA10)</f>
        <v>825062284.5454545</v>
      </c>
      <c r="AB10" s="160">
        <f>SUM(DaiLoc:DongLam!AB10)</f>
        <v>811816204.5454545</v>
      </c>
      <c r="AC10" s="160">
        <f>SUM(DaiLoc:DongLam!AC10)</f>
        <v>795185207.87878799</v>
      </c>
      <c r="AD10" s="160">
        <f>SUM(DaiLoc:DongLam!AD10)</f>
        <v>781945487.87878799</v>
      </c>
      <c r="AE10" s="160">
        <f>SUM(DaiLoc:DongLam!AE10)</f>
        <v>795131127.87878799</v>
      </c>
      <c r="AF10" s="159"/>
      <c r="AG10" s="161">
        <v>23786211649968</v>
      </c>
      <c r="AH10" s="161">
        <v>265853338544703</v>
      </c>
      <c r="AI10" s="161">
        <v>303991986747201</v>
      </c>
      <c r="AJ10" s="161">
        <v>346060429852807</v>
      </c>
      <c r="AK10" s="161">
        <v>391825860160892</v>
      </c>
      <c r="AL10" s="162"/>
      <c r="AM10" s="196"/>
      <c r="AN10" s="479"/>
      <c r="AO10" s="473"/>
    </row>
    <row r="11" spans="2:47" s="170" customFormat="1" outlineLevel="1">
      <c r="B11" s="163"/>
      <c r="C11" s="164" t="str">
        <f>IF(B1="EN", "Direct Selling on Net Sales (%)", "Chi phí vận chuyển / Doanh thu (%)")</f>
        <v>Chi phí vận chuyển / Doanh thu (%)</v>
      </c>
      <c r="D11" s="165"/>
      <c r="E11" s="165"/>
      <c r="F11" s="166"/>
      <c r="G11" s="167"/>
      <c r="H11" s="167"/>
      <c r="I11" s="167"/>
      <c r="J11" s="167"/>
      <c r="K11" s="168"/>
      <c r="L11" s="168"/>
      <c r="M11" s="168"/>
      <c r="N11" s="168">
        <f t="shared" ref="N11:O11" si="4">IFERROR(N10/N7,)</f>
        <v>2.2048668083358539E-2</v>
      </c>
      <c r="O11" s="168">
        <f t="shared" si="4"/>
        <v>1.6008025873642036E-2</v>
      </c>
      <c r="P11" s="168">
        <f>IFERROR(P10/P7,)</f>
        <v>1.8315371196181915E-2</v>
      </c>
      <c r="Q11" s="168">
        <f>IFERROR(Q10/Q7,)</f>
        <v>1.7830124882412576E-2</v>
      </c>
      <c r="R11" s="168">
        <f>IFERROR(R10/R7,)</f>
        <v>1.9815552919427191E-2</v>
      </c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>
        <v>3841921918209.9902</v>
      </c>
      <c r="AH11" s="168">
        <v>3912028320239.2598</v>
      </c>
      <c r="AI11" s="168">
        <v>4023399912285.71</v>
      </c>
      <c r="AJ11" s="168">
        <v>4125741736847.5698</v>
      </c>
      <c r="AK11" s="168">
        <v>4232438837037.6802</v>
      </c>
      <c r="AL11" s="169"/>
      <c r="AM11" s="196"/>
      <c r="AN11" s="310"/>
      <c r="AO11" s="473"/>
    </row>
    <row r="12" spans="2:47" s="125" customFormat="1">
      <c r="B12" s="171" t="str">
        <f>IF(B1="EN","Variable Cost of Goods Sold","Biến phí hàng bán")</f>
        <v>Biến phí hàng bán</v>
      </c>
      <c r="C12" s="172"/>
      <c r="D12" s="173"/>
      <c r="E12" s="173"/>
      <c r="F12" s="174"/>
      <c r="G12" s="175"/>
      <c r="H12" s="175"/>
      <c r="I12" s="175"/>
      <c r="J12" s="175"/>
      <c r="K12" s="175"/>
      <c r="L12" s="175"/>
      <c r="M12" s="175"/>
      <c r="N12" s="176">
        <f>SUM(N13:N18)</f>
        <v>185444178281.5</v>
      </c>
      <c r="O12" s="176">
        <f t="shared" ref="O12" si="5">SUM(O13:O18)</f>
        <v>240681646026.13184</v>
      </c>
      <c r="P12" s="176">
        <f>SUM(P13:P18)</f>
        <v>329431727892.41663</v>
      </c>
      <c r="Q12" s="176">
        <f>SUM(Q13:Q18)</f>
        <v>323735158773.24304</v>
      </c>
      <c r="R12" s="176">
        <f>SUM(R13:R18)</f>
        <v>399184150019.40906</v>
      </c>
      <c r="S12" s="177"/>
      <c r="T12" s="176">
        <f>SUM(T13:T18)</f>
        <v>24585546472.497295</v>
      </c>
      <c r="U12" s="176">
        <f t="shared" ref="U12:AE12" si="6">SUM(U13:U18)</f>
        <v>17631607787.121353</v>
      </c>
      <c r="V12" s="176">
        <f t="shared" si="6"/>
        <v>29143208163.036285</v>
      </c>
      <c r="W12" s="176">
        <f t="shared" si="6"/>
        <v>35254810666.424263</v>
      </c>
      <c r="X12" s="176">
        <f t="shared" si="6"/>
        <v>35886143500.098358</v>
      </c>
      <c r="Y12" s="176">
        <f t="shared" si="6"/>
        <v>35924545759.906052</v>
      </c>
      <c r="Z12" s="176">
        <f t="shared" si="6"/>
        <v>36529752871.245049</v>
      </c>
      <c r="AA12" s="176">
        <f t="shared" si="6"/>
        <v>36500319625.204948</v>
      </c>
      <c r="AB12" s="176">
        <f t="shared" si="6"/>
        <v>35923860424.175179</v>
      </c>
      <c r="AC12" s="176">
        <f t="shared" si="6"/>
        <v>37440751853.673187</v>
      </c>
      <c r="AD12" s="176">
        <f t="shared" si="6"/>
        <v>36917259043.262276</v>
      </c>
      <c r="AE12" s="176">
        <f t="shared" si="6"/>
        <v>37446343852.764839</v>
      </c>
      <c r="AF12" s="178"/>
      <c r="AG12" s="175">
        <v>339227810146679</v>
      </c>
      <c r="AH12" s="175">
        <v>37061411990251</v>
      </c>
      <c r="AI12" s="175">
        <v>409113322448425</v>
      </c>
      <c r="AJ12" s="175">
        <v>450948163056241</v>
      </c>
      <c r="AK12" s="175">
        <v>493829450753841</v>
      </c>
      <c r="AL12" s="144"/>
      <c r="AM12" s="471"/>
      <c r="AN12" s="480"/>
      <c r="AO12" s="473"/>
    </row>
    <row r="13" spans="2:47" s="125" customFormat="1" outlineLevel="1">
      <c r="B13" s="179"/>
      <c r="C13" s="180" t="str">
        <f>IF(B1="EN", "Resin cost", "Chi phí nguyên vật liệu chính")</f>
        <v>Chi phí nguyên vật liệu chính</v>
      </c>
      <c r="D13" s="181"/>
      <c r="E13" s="181"/>
      <c r="F13" s="180"/>
      <c r="G13" s="182"/>
      <c r="H13" s="183"/>
      <c r="I13" s="183"/>
      <c r="J13" s="183"/>
      <c r="K13" s="184"/>
      <c r="L13" s="184"/>
      <c r="M13" s="184"/>
      <c r="N13" s="185">
        <f>SUM(DaiLoc:DongLam!N13)</f>
        <v>166804095167</v>
      </c>
      <c r="O13" s="185">
        <f>SUM(DaiLoc:DongLam!O13)</f>
        <v>224652717613</v>
      </c>
      <c r="P13" s="185">
        <f>SUM(DaiLoc:DongLam!P13)</f>
        <v>304454775555.55554</v>
      </c>
      <c r="Q13" s="185">
        <f>SUM(DaiLoc:DongLam!Q13)</f>
        <v>303485162570.24304</v>
      </c>
      <c r="R13" s="185">
        <f>SUM(DaiLoc:DongLam!R13)</f>
        <v>355550000000</v>
      </c>
      <c r="S13" s="185"/>
      <c r="T13" s="185">
        <f>SUM(DaiLoc:DongLam!T13)</f>
        <v>22275000000</v>
      </c>
      <c r="U13" s="185">
        <f>SUM(DaiLoc:DongLam!U13)</f>
        <v>15775000000</v>
      </c>
      <c r="V13" s="185">
        <f>SUM(DaiLoc:DongLam!V13)</f>
        <v>26500000000</v>
      </c>
      <c r="W13" s="185">
        <f>SUM(DaiLoc:DongLam!W13)</f>
        <v>31500000000</v>
      </c>
      <c r="X13" s="185">
        <f>SUM(DaiLoc:DongLam!X13)</f>
        <v>32000000000</v>
      </c>
      <c r="Y13" s="185">
        <f>SUM(DaiLoc:DongLam!Y13)</f>
        <v>32000000000</v>
      </c>
      <c r="Z13" s="185">
        <f>SUM(DaiLoc:DongLam!Z13)</f>
        <v>32500000000</v>
      </c>
      <c r="AA13" s="185">
        <f>SUM(DaiLoc:DongLam!AA13)</f>
        <v>32500000000</v>
      </c>
      <c r="AB13" s="185">
        <f>SUM(DaiLoc:DongLam!AB13)</f>
        <v>32000000000</v>
      </c>
      <c r="AC13" s="185">
        <f>SUM(DaiLoc:DongLam!AC13)</f>
        <v>33000000000</v>
      </c>
      <c r="AD13" s="185">
        <f>SUM(DaiLoc:DongLam!AD13)</f>
        <v>32500000000</v>
      </c>
      <c r="AE13" s="185">
        <f>SUM(DaiLoc:DongLam!AE13)</f>
        <v>33000000000</v>
      </c>
      <c r="AF13" s="184"/>
      <c r="AG13" s="184">
        <v>266353933093539</v>
      </c>
      <c r="AH13" s="184">
        <v>290247645419028</v>
      </c>
      <c r="AI13" s="184">
        <v>319661230473187</v>
      </c>
      <c r="AJ13" s="184">
        <v>351550385941357</v>
      </c>
      <c r="AK13" s="184">
        <v>384067702886992</v>
      </c>
      <c r="AL13" s="186"/>
      <c r="AM13" s="471"/>
      <c r="AN13" s="481"/>
      <c r="AO13" s="473"/>
    </row>
    <row r="14" spans="2:47" s="125" customFormat="1" outlineLevel="1">
      <c r="B14" s="179"/>
      <c r="C14" s="180" t="str">
        <f>IF(B1="EN", "Sub-material cost", "Chi phí vật liệu phục vụ sản xuất")</f>
        <v>Chi phí vật liệu phục vụ sản xuất</v>
      </c>
      <c r="D14" s="181"/>
      <c r="E14" s="181"/>
      <c r="F14" s="180"/>
      <c r="G14" s="182"/>
      <c r="H14" s="182"/>
      <c r="I14" s="182"/>
      <c r="J14" s="182"/>
      <c r="K14" s="184"/>
      <c r="L14" s="184"/>
      <c r="M14" s="184"/>
      <c r="N14" s="185">
        <f>SUM(DaiLoc:DongLam!N14)</f>
        <v>923690189</v>
      </c>
      <c r="O14" s="185">
        <f>SUM(DaiLoc:DongLam!O14)</f>
        <v>1183345258</v>
      </c>
      <c r="P14" s="185">
        <f>SUM(DaiLoc:DongLam!P14)</f>
        <v>2689124360.6111112</v>
      </c>
      <c r="Q14" s="185">
        <f>SUM(DaiLoc:DongLam!Q14)</f>
        <v>2514598348</v>
      </c>
      <c r="R14" s="185">
        <f>SUM(DaiLoc:DongLam!R14)</f>
        <v>12589902779.685211</v>
      </c>
      <c r="S14" s="185"/>
      <c r="T14" s="185">
        <f>SUM(DaiLoc:DongLam!T14)</f>
        <v>385846324.96008259</v>
      </c>
      <c r="U14" s="185">
        <f>SUM(DaiLoc:DongLam!U14)</f>
        <v>308843016.17835677</v>
      </c>
      <c r="V14" s="185">
        <f>SUM(DaiLoc:DongLam!V14)</f>
        <v>490343269.35023248</v>
      </c>
      <c r="W14" s="185">
        <f>SUM(DaiLoc:DongLam!W14)</f>
        <v>1058370181.5172035</v>
      </c>
      <c r="X14" s="185">
        <f>SUM(DaiLoc:DongLam!X14)</f>
        <v>1189893236.1226273</v>
      </c>
      <c r="Y14" s="185">
        <f>SUM(DaiLoc:DongLam!Y14)</f>
        <v>1189893236.1226273</v>
      </c>
      <c r="Z14" s="185">
        <f>SUM(DaiLoc:DongLam!Z14)</f>
        <v>1222161480.5467954</v>
      </c>
      <c r="AA14" s="185">
        <f>SUM(DaiLoc:DongLam!AA14)</f>
        <v>1222486806.0883846</v>
      </c>
      <c r="AB14" s="185">
        <f>SUM(DaiLoc:DongLam!AB14)</f>
        <v>1190206049.1433864</v>
      </c>
      <c r="AC14" s="185">
        <f>SUM(DaiLoc:DongLam!AC14)</f>
        <v>1454585137.1912634</v>
      </c>
      <c r="AD14" s="185">
        <f>SUM(DaiLoc:DongLam!AD14)</f>
        <v>1422330671.0080547</v>
      </c>
      <c r="AE14" s="185">
        <f>SUM(DaiLoc:DongLam!AE14)</f>
        <v>1454943371.4561973</v>
      </c>
      <c r="AF14" s="184"/>
      <c r="AG14" s="184">
        <v>396087720451544</v>
      </c>
      <c r="AH14" s="184">
        <v>432578556778565</v>
      </c>
      <c r="AI14" s="184">
        <v>476723865501176</v>
      </c>
      <c r="AJ14" s="184">
        <v>524389902650926</v>
      </c>
      <c r="AK14" s="184">
        <v>573118012595242</v>
      </c>
      <c r="AL14" s="186"/>
      <c r="AM14" s="471"/>
      <c r="AN14" s="481"/>
      <c r="AO14" s="473"/>
    </row>
    <row r="15" spans="2:47" s="125" customFormat="1" outlineLevel="1">
      <c r="B15" s="179"/>
      <c r="C15" s="180" t="str">
        <f>IF(B1="EN", "Salary and Wages - Direct", "Chi phí lương nhân công trực tiếp")</f>
        <v>Chi phí lương nhân công trực tiếp</v>
      </c>
      <c r="D15" s="181"/>
      <c r="E15" s="181"/>
      <c r="F15" s="180"/>
      <c r="G15" s="182"/>
      <c r="H15" s="182"/>
      <c r="I15" s="182"/>
      <c r="J15" s="182"/>
      <c r="K15" s="184"/>
      <c r="L15" s="184"/>
      <c r="M15" s="184"/>
      <c r="N15" s="185">
        <f>SUM(DaiLoc:DongLam!N15)</f>
        <v>15759260872.5</v>
      </c>
      <c r="O15" s="185">
        <f>SUM(DaiLoc:DongLam!O15)</f>
        <v>11708149259.13184</v>
      </c>
      <c r="P15" s="185">
        <f>SUM(DaiLoc:DongLam!P15)</f>
        <v>16057968508</v>
      </c>
      <c r="Q15" s="185">
        <f>SUM(DaiLoc:DongLam!Q15)</f>
        <v>14565143951</v>
      </c>
      <c r="R15" s="185">
        <f>SUM(DaiLoc:DongLam!R15)</f>
        <v>22327750803.841476</v>
      </c>
      <c r="S15" s="185"/>
      <c r="T15" s="185">
        <f>SUM(DaiLoc:DongLam!T15)</f>
        <v>1584254099.0737555</v>
      </c>
      <c r="U15" s="185">
        <f>SUM(DaiLoc:DongLam!U15)</f>
        <v>1307840102.8891401</v>
      </c>
      <c r="V15" s="185">
        <f>SUM(DaiLoc:DongLam!V15)</f>
        <v>1730650197.6455507</v>
      </c>
      <c r="W15" s="185">
        <f>SUM(DaiLoc:DongLam!W15)</f>
        <v>1930476188.5301661</v>
      </c>
      <c r="X15" s="185">
        <f>SUM(DaiLoc:DongLam!X15)</f>
        <v>1911208879.7224736</v>
      </c>
      <c r="Y15" s="185">
        <f>SUM(DaiLoc:DongLam!Y15)</f>
        <v>1949952806.5301661</v>
      </c>
      <c r="Z15" s="185">
        <f>SUM(DaiLoc:DongLam!Z15)</f>
        <v>2003137918.5686274</v>
      </c>
      <c r="AA15" s="185">
        <f>SUM(DaiLoc:DongLam!AA15)</f>
        <v>1972829100.5686274</v>
      </c>
      <c r="AB15" s="185">
        <f>SUM(DaiLoc:DongLam!AB15)</f>
        <v>1949309484.607089</v>
      </c>
      <c r="AC15" s="185">
        <f>SUM(DaiLoc:DongLam!AC15)</f>
        <v>1983569284.607089</v>
      </c>
      <c r="AD15" s="185">
        <f>SUM(DaiLoc:DongLam!AD15)</f>
        <v>2014249756.5301661</v>
      </c>
      <c r="AE15" s="185">
        <f>SUM(DaiLoc:DongLam!AE15)</f>
        <v>1990272984.5686274</v>
      </c>
      <c r="AF15" s="184"/>
      <c r="AG15" s="184">
        <v>237719532132491</v>
      </c>
      <c r="AH15" s="184">
        <v>267408803209148</v>
      </c>
      <c r="AI15" s="184">
        <v>303539232417778</v>
      </c>
      <c r="AJ15" s="184">
        <v>343905786260747</v>
      </c>
      <c r="AK15" s="184">
        <v>387138573297732</v>
      </c>
      <c r="AL15" s="186"/>
      <c r="AM15" s="471"/>
      <c r="AN15" s="481"/>
      <c r="AO15" s="473"/>
    </row>
    <row r="16" spans="2:47" s="125" customFormat="1" outlineLevel="1">
      <c r="B16" s="179"/>
      <c r="C16" s="180" t="str">
        <f>IF(B1="EN", "Electricity cost", "Chi phí điện")</f>
        <v>Chi phí điện</v>
      </c>
      <c r="D16" s="180"/>
      <c r="E16" s="181"/>
      <c r="F16" s="180"/>
      <c r="G16" s="182"/>
      <c r="H16" s="182"/>
      <c r="I16" s="182"/>
      <c r="J16" s="182"/>
      <c r="K16" s="184"/>
      <c r="L16" s="184"/>
      <c r="M16" s="184"/>
      <c r="N16" s="185">
        <f>SUM(DaiLoc:DongLam!N16)</f>
        <v>1611728840</v>
      </c>
      <c r="O16" s="185">
        <f>SUM(DaiLoc:DongLam!O16)</f>
        <v>2589627982</v>
      </c>
      <c r="P16" s="303">
        <f>SUM(DaiLoc:DongLam!P16)</f>
        <v>5176312225.25</v>
      </c>
      <c r="Q16" s="303">
        <f>SUM(DaiLoc:DongLam!Q16)</f>
        <v>2286236870</v>
      </c>
      <c r="R16" s="185">
        <f>SUM(DaiLoc:DongLam!R16)</f>
        <v>7405775479.9150381</v>
      </c>
      <c r="S16" s="185"/>
      <c r="T16" s="185">
        <f>SUM(DaiLoc:DongLam!T16)</f>
        <v>266561418.9294576</v>
      </c>
      <c r="U16" s="185">
        <f>SUM(DaiLoc:DongLam!U16)</f>
        <v>185972018.74254775</v>
      </c>
      <c r="V16" s="185">
        <f>SUM(DaiLoc:DongLam!V16)</f>
        <v>340966048.27137363</v>
      </c>
      <c r="W16" s="185">
        <f>SUM(DaiLoc:DongLam!W16)</f>
        <v>649987736.38408065</v>
      </c>
      <c r="X16" s="185">
        <f>SUM(DaiLoc:DongLam!X16)</f>
        <v>668601465.22665524</v>
      </c>
      <c r="Y16" s="185">
        <f>SUM(DaiLoc:DongLam!Y16)</f>
        <v>668601465.22665524</v>
      </c>
      <c r="Z16" s="185">
        <f>SUM(DaiLoc:DongLam!Z16)</f>
        <v>687215194.06922996</v>
      </c>
      <c r="AA16" s="185">
        <f>SUM(DaiLoc:DongLam!AA16)</f>
        <v>687617324.56985164</v>
      </c>
      <c r="AB16" s="185">
        <f>SUM(DaiLoc:DongLam!AB16)</f>
        <v>668988129.16956091</v>
      </c>
      <c r="AC16" s="185">
        <f>SUM(DaiLoc:DongLam!AC16)</f>
        <v>866640866.99332964</v>
      </c>
      <c r="AD16" s="185">
        <f>SUM(DaiLoc:DongLam!AD16)</f>
        <v>848025501.3799479</v>
      </c>
      <c r="AE16" s="185">
        <f>SUM(DaiLoc:DongLam!AE16)</f>
        <v>866598310.9523468</v>
      </c>
      <c r="AF16" s="184"/>
      <c r="AG16" s="184">
        <v>949315179473609</v>
      </c>
      <c r="AH16" s="184">
        <v>103677384847106</v>
      </c>
      <c r="AI16" s="184">
        <v>114257821833425</v>
      </c>
      <c r="AJ16" s="184">
        <v>125682082237163</v>
      </c>
      <c r="AK16" s="184">
        <v>137360892775511</v>
      </c>
      <c r="AL16" s="186"/>
      <c r="AM16" s="471"/>
      <c r="AN16" s="481"/>
      <c r="AO16" s="473"/>
    </row>
    <row r="17" spans="2:41" s="125" customFormat="1" outlineLevel="1">
      <c r="B17" s="179"/>
      <c r="C17" s="181" t="str">
        <f>IF(B1="EN", "Other", "Khác")</f>
        <v>Khác</v>
      </c>
      <c r="D17" s="181"/>
      <c r="E17" s="181"/>
      <c r="F17" s="180"/>
      <c r="G17" s="182"/>
      <c r="H17" s="182"/>
      <c r="I17" s="182"/>
      <c r="J17" s="182"/>
      <c r="K17" s="184"/>
      <c r="L17" s="184"/>
      <c r="M17" s="184"/>
      <c r="N17" s="185">
        <f>SUM(DaiLoc:DongLam!N17)</f>
        <v>345403213</v>
      </c>
      <c r="O17" s="185">
        <f>SUM(DaiLoc:DongLam!O17)</f>
        <v>547805914</v>
      </c>
      <c r="P17" s="303">
        <f>SUM(DaiLoc:DongLam!P17)</f>
        <v>1053547243</v>
      </c>
      <c r="Q17" s="303">
        <f>SUM(DaiLoc:DongLam!Q17)</f>
        <v>884017034</v>
      </c>
      <c r="R17" s="185">
        <f>SUM(DaiLoc:DongLam!R17)</f>
        <v>1310720955.9673564</v>
      </c>
      <c r="S17" s="185"/>
      <c r="T17" s="185">
        <f>SUM(DaiLoc:DongLam!T17)</f>
        <v>73884629.533998385</v>
      </c>
      <c r="U17" s="185">
        <f>SUM(DaiLoc:DongLam!U17)</f>
        <v>53952649.311308116</v>
      </c>
      <c r="V17" s="185">
        <f>SUM(DaiLoc:DongLam!V17)</f>
        <v>81248647.769131809</v>
      </c>
      <c r="W17" s="185">
        <f>SUM(DaiLoc:DongLam!W17)</f>
        <v>115976559.99281298</v>
      </c>
      <c r="X17" s="185">
        <f>SUM(DaiLoc:DongLam!X17)</f>
        <v>116439919.02660441</v>
      </c>
      <c r="Y17" s="185">
        <f>SUM(DaiLoc:DongLam!Y17)</f>
        <v>116098252.02660441</v>
      </c>
      <c r="Z17" s="185">
        <f>SUM(DaiLoc:DongLam!Z17)</f>
        <v>117238278.06039587</v>
      </c>
      <c r="AA17" s="185">
        <f>SUM(DaiLoc:DongLam!AA17)</f>
        <v>117386393.97807866</v>
      </c>
      <c r="AB17" s="185">
        <f>SUM(DaiLoc:DongLam!AB17)</f>
        <v>115356761.25514555</v>
      </c>
      <c r="AC17" s="185">
        <f>SUM(DaiLoc:DongLam!AC17)</f>
        <v>135956564.88150412</v>
      </c>
      <c r="AD17" s="185">
        <f>SUM(DaiLoc:DongLam!AD17)</f>
        <v>132653114.3441036</v>
      </c>
      <c r="AE17" s="185">
        <f>SUM(DaiLoc:DongLam!AE17)</f>
        <v>134529185.78766859</v>
      </c>
      <c r="AF17" s="184"/>
      <c r="AG17" s="184"/>
      <c r="AH17" s="184"/>
      <c r="AI17" s="184"/>
      <c r="AJ17" s="184"/>
      <c r="AK17" s="184"/>
      <c r="AL17" s="186"/>
      <c r="AM17" s="471"/>
      <c r="AN17" s="481"/>
      <c r="AO17" s="473"/>
    </row>
    <row r="18" spans="2:41" s="192" customFormat="1" outlineLevel="1">
      <c r="B18" s="187"/>
      <c r="C18" s="143" t="str">
        <f>IF(B1="EN", "Adjusting VCOGs by FOH for consolidating", "Điều chỉnh lãi chưa thực hiện HTK khi Hợp nhất")</f>
        <v>Điều chỉnh lãi chưa thực hiện HTK khi Hợp nhất</v>
      </c>
      <c r="D18" s="143"/>
      <c r="E18" s="143"/>
      <c r="F18" s="188"/>
      <c r="G18" s="189"/>
      <c r="H18" s="189"/>
      <c r="I18" s="189"/>
      <c r="J18" s="189"/>
      <c r="K18" s="190"/>
      <c r="L18" s="190"/>
      <c r="M18" s="190"/>
      <c r="N18" s="191">
        <f>SUM(DaiLoc:DongLam!N18)</f>
        <v>0</v>
      </c>
      <c r="O18" s="191">
        <f>SUM(DaiLoc:DongLam!O18)</f>
        <v>0</v>
      </c>
      <c r="P18" s="191">
        <f>SUM(DaiLoc:DongLam!P18)</f>
        <v>0</v>
      </c>
      <c r="Q18" s="191">
        <f>SUM(DaiLoc:DongLam!Q18)</f>
        <v>0</v>
      </c>
      <c r="R18" s="191">
        <f>SUM(DaiLoc:DongLam!R18)</f>
        <v>0</v>
      </c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0"/>
      <c r="AG18" s="190"/>
      <c r="AH18" s="190"/>
      <c r="AI18" s="190"/>
      <c r="AJ18" s="190"/>
      <c r="AK18" s="190"/>
      <c r="AL18" s="144"/>
      <c r="AM18" s="471"/>
      <c r="AN18" s="482"/>
      <c r="AO18" s="473"/>
    </row>
    <row r="19" spans="2:41" s="170" customFormat="1" outlineLevel="1">
      <c r="B19" s="163"/>
      <c r="C19" s="164" t="str">
        <f>IF(B1="EN", "Variable COGs on Net Sales (%)", "Biến phí hàng bán / Doanh thu (%)")</f>
        <v>Biến phí hàng bán / Doanh thu (%)</v>
      </c>
      <c r="E19" s="165"/>
      <c r="F19" s="166"/>
      <c r="G19" s="167"/>
      <c r="H19" s="167"/>
      <c r="I19" s="167"/>
      <c r="J19" s="167"/>
      <c r="K19" s="168"/>
      <c r="L19" s="168"/>
      <c r="M19" s="168"/>
      <c r="N19" s="168">
        <f t="shared" ref="N19:O19" si="7">IFERROR(N12/N7,)</f>
        <v>0.96496466414121485</v>
      </c>
      <c r="O19" s="168">
        <f t="shared" si="7"/>
        <v>0.91454910638284026</v>
      </c>
      <c r="P19" s="168">
        <f>IFERROR(P12/P7,)</f>
        <v>0.88371591907930491</v>
      </c>
      <c r="Q19" s="168">
        <f>IFERROR(Q12/Q7,)</f>
        <v>0.86937846370277672</v>
      </c>
      <c r="R19" s="168">
        <f>IFERROR(R12/R7,)</f>
        <v>0.87120428681481588</v>
      </c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>
        <v>5479169101190.8398</v>
      </c>
      <c r="AH19" s="168">
        <v>5453581816484.7803</v>
      </c>
      <c r="AI19" s="168">
        <v>5414703602114.1699</v>
      </c>
      <c r="AJ19" s="168">
        <v>5376216108461.79</v>
      </c>
      <c r="AK19" s="168">
        <v>5334264934390.25</v>
      </c>
      <c r="AL19" s="169"/>
      <c r="AM19" s="196"/>
      <c r="AN19" s="310"/>
      <c r="AO19" s="473"/>
    </row>
    <row r="20" spans="2:41" s="170" customFormat="1" ht="17" thickBot="1">
      <c r="B20" s="132" t="str">
        <f>IF(B1="EN","NET CONTRIBUTION","LÃI BIẾN PHÍ")</f>
        <v>LÃI BIẾN PHÍ</v>
      </c>
      <c r="C20" s="133"/>
      <c r="D20" s="133"/>
      <c r="E20" s="133"/>
      <c r="F20" s="134"/>
      <c r="G20" s="135"/>
      <c r="H20" s="135"/>
      <c r="I20" s="135"/>
      <c r="J20" s="135"/>
      <c r="K20" s="136"/>
      <c r="L20" s="136"/>
      <c r="M20" s="136"/>
      <c r="N20" s="137">
        <f>N7-N10-N12</f>
        <v>2495741060.5</v>
      </c>
      <c r="O20" s="137">
        <f>O7-O10-O12</f>
        <v>18275261105.868164</v>
      </c>
      <c r="P20" s="137">
        <f>P7-P10-P12</f>
        <v>36520787537.200317</v>
      </c>
      <c r="Q20" s="137">
        <f>Q7-Q10-Q12</f>
        <v>42000747668.756958</v>
      </c>
      <c r="R20" s="137">
        <f>R7-R10-R12</f>
        <v>49934502507.690491</v>
      </c>
      <c r="S20" s="138"/>
      <c r="T20" s="137">
        <f t="shared" ref="T20:AE20" si="8">T7-T10-T12</f>
        <v>3189341620.0351715</v>
      </c>
      <c r="U20" s="137">
        <f t="shared" si="8"/>
        <v>2139250105.194664</v>
      </c>
      <c r="V20" s="137">
        <f t="shared" si="8"/>
        <v>3432470760.1238861</v>
      </c>
      <c r="W20" s="137">
        <f t="shared" si="8"/>
        <v>4415249269.0302811</v>
      </c>
      <c r="X20" s="137">
        <f t="shared" si="8"/>
        <v>4428163795.3561859</v>
      </c>
      <c r="Y20" s="137">
        <f t="shared" si="8"/>
        <v>4389761535.5484924</v>
      </c>
      <c r="Z20" s="137">
        <f t="shared" si="8"/>
        <v>4428801784.2094955</v>
      </c>
      <c r="AA20" s="137">
        <f t="shared" si="8"/>
        <v>4481545590.2495956</v>
      </c>
      <c r="AB20" s="137">
        <f t="shared" si="8"/>
        <v>4412860871.2793655</v>
      </c>
      <c r="AC20" s="137">
        <f t="shared" si="8"/>
        <v>4918105438.4480286</v>
      </c>
      <c r="AD20" s="137">
        <f t="shared" si="8"/>
        <v>4796946718.8589401</v>
      </c>
      <c r="AE20" s="137">
        <f t="shared" si="8"/>
        <v>4902005019.3563766</v>
      </c>
      <c r="AF20" s="121"/>
      <c r="AG20" s="136">
        <f t="shared" ref="AG20:AK20" si="9">AG7-AG10-AG12</f>
        <v>256108702619635</v>
      </c>
      <c r="AH20" s="136">
        <f t="shared" si="9"/>
        <v>376664528503711</v>
      </c>
      <c r="AI20" s="136">
        <f t="shared" si="9"/>
        <v>42454648488276</v>
      </c>
      <c r="AJ20" s="136">
        <f t="shared" si="9"/>
        <v>41774956633314</v>
      </c>
      <c r="AK20" s="136">
        <f t="shared" si="9"/>
        <v>40113200450535</v>
      </c>
      <c r="AL20" s="193"/>
      <c r="AM20" s="483"/>
      <c r="AN20" s="476"/>
      <c r="AO20" s="473"/>
    </row>
    <row r="21" spans="2:41" s="170" customFormat="1" ht="17" collapsed="1" thickTop="1">
      <c r="B21" s="163"/>
      <c r="C21" s="164" t="str">
        <f>IF(B1="EN", "NET CONTRIBUTION Margin (%)", "Tỷ lệ Lãi biến phí (%)")</f>
        <v>Tỷ lệ Lãi biến phí (%)</v>
      </c>
      <c r="E21" s="165"/>
      <c r="F21" s="166"/>
      <c r="G21" s="167"/>
      <c r="H21" s="167"/>
      <c r="I21" s="167"/>
      <c r="J21" s="167"/>
      <c r="K21" s="168"/>
      <c r="L21" s="168"/>
      <c r="M21" s="168"/>
      <c r="N21" s="168">
        <f t="shared" ref="N21:O21" si="10">IFERROR(N20/N7,)</f>
        <v>1.2986667775426602E-2</v>
      </c>
      <c r="O21" s="168">
        <f t="shared" si="10"/>
        <v>6.9442867743517669E-2</v>
      </c>
      <c r="P21" s="168">
        <f>IFERROR(P20/P7,)</f>
        <v>9.7968709724513256E-2</v>
      </c>
      <c r="Q21" s="168">
        <f>IFERROR(Q20/Q7,)</f>
        <v>0.11279141141481067</v>
      </c>
      <c r="R21" s="168">
        <f>IFERROR(R20/R7,)</f>
        <v>0.10898016026575687</v>
      </c>
      <c r="S21" s="168"/>
      <c r="T21" s="168">
        <f t="shared" ref="T21:AE21" si="11">IFERROR(T20/T7,)</f>
        <v>0.1122811664261997</v>
      </c>
      <c r="U21" s="168">
        <f t="shared" si="11"/>
        <v>0.10584815572281263</v>
      </c>
      <c r="V21" s="168">
        <f t="shared" si="11"/>
        <v>0.10298503921787368</v>
      </c>
      <c r="W21" s="168">
        <f t="shared" si="11"/>
        <v>0.10910355409856934</v>
      </c>
      <c r="X21" s="168">
        <f t="shared" si="11"/>
        <v>0.10767332628440003</v>
      </c>
      <c r="Y21" s="168">
        <f t="shared" si="11"/>
        <v>0.10673955345181685</v>
      </c>
      <c r="Z21" s="168">
        <f t="shared" si="11"/>
        <v>0.10599429556223847</v>
      </c>
      <c r="AA21" s="168">
        <f t="shared" si="11"/>
        <v>0.10719624373854299</v>
      </c>
      <c r="AB21" s="168">
        <f t="shared" si="11"/>
        <v>0.10724222874942677</v>
      </c>
      <c r="AC21" s="168">
        <f t="shared" si="11"/>
        <v>0.11396627415491906</v>
      </c>
      <c r="AD21" s="168">
        <f t="shared" si="11"/>
        <v>0.11287955680125127</v>
      </c>
      <c r="AE21" s="168">
        <f t="shared" si="11"/>
        <v>0.11362099254293757</v>
      </c>
      <c r="AF21" s="168"/>
      <c r="AG21" s="168">
        <v>4136638706988.1602</v>
      </c>
      <c r="AH21" s="168">
        <v>4155215351491.29</v>
      </c>
      <c r="AI21" s="168">
        <v>4182956406657.2598</v>
      </c>
      <c r="AJ21" s="168">
        <v>4211209717853.4502</v>
      </c>
      <c r="AK21" s="168">
        <v>4242491181905.98</v>
      </c>
      <c r="AL21" s="169"/>
      <c r="AM21" s="483"/>
      <c r="AN21" s="310"/>
      <c r="AO21" s="473"/>
    </row>
    <row r="22" spans="2:41" s="196" customFormat="1" outlineLevel="1">
      <c r="B22" s="195"/>
      <c r="C22" s="147" t="str">
        <f>IF(B1="EN", "Net Contribution per Ton (m VND/Ton)", "Lãi biến phí / Tấn (Triệu đồng/Tấn)")</f>
        <v>Lãi biến phí / Tấn (Triệu đồng/Tấn)</v>
      </c>
      <c r="E22" s="197"/>
      <c r="F22" s="149"/>
      <c r="G22" s="198"/>
      <c r="H22" s="198"/>
      <c r="I22" s="198"/>
      <c r="J22" s="198"/>
      <c r="K22" s="151"/>
      <c r="L22" s="151"/>
      <c r="M22" s="151"/>
      <c r="N22" s="151">
        <f t="shared" ref="N22:O22" si="12">IFERROR(N20/N5,)</f>
        <v>184.15974508495748</v>
      </c>
      <c r="O22" s="151">
        <f t="shared" si="12"/>
        <v>1134.9518033917304</v>
      </c>
      <c r="P22" s="151">
        <f>IFERROR(P20/P5,)</f>
        <v>1844.1315945970589</v>
      </c>
      <c r="Q22" s="151">
        <f>IFERROR(Q20/Q5,)</f>
        <v>1939.1917984338793</v>
      </c>
      <c r="R22" s="151">
        <f>IFERROR(R20/R5,)</f>
        <v>1657.745895537978</v>
      </c>
      <c r="S22" s="151"/>
      <c r="T22" s="151">
        <f t="shared" ref="T22:AE22" si="13">IFERROR(T20/T5,)</f>
        <v>1625.6185226423902</v>
      </c>
      <c r="U22" s="151">
        <f t="shared" si="13"/>
        <v>1536.3209488273646</v>
      </c>
      <c r="V22" s="151">
        <f t="shared" si="13"/>
        <v>1487.5763069759087</v>
      </c>
      <c r="W22" s="151">
        <f t="shared" si="13"/>
        <v>1658.4665549679373</v>
      </c>
      <c r="X22" s="151">
        <f t="shared" si="13"/>
        <v>1638.0813166890696</v>
      </c>
      <c r="Y22" s="151">
        <f t="shared" si="13"/>
        <v>1623.8754229559624</v>
      </c>
      <c r="Z22" s="151">
        <f t="shared" si="13"/>
        <v>1613.8319069866109</v>
      </c>
      <c r="AA22" s="151">
        <f t="shared" si="13"/>
        <v>1632.5951752502313</v>
      </c>
      <c r="AB22" s="151">
        <f t="shared" si="13"/>
        <v>1631.9751742897063</v>
      </c>
      <c r="AC22" s="151">
        <f t="shared" si="13"/>
        <v>1790.7410109670627</v>
      </c>
      <c r="AD22" s="151">
        <f t="shared" si="13"/>
        <v>1773.1092516002111</v>
      </c>
      <c r="AE22" s="151">
        <f t="shared" si="13"/>
        <v>1784.9884949403081</v>
      </c>
      <c r="AF22" s="151"/>
      <c r="AG22" s="151">
        <v>252819003351375</v>
      </c>
      <c r="AH22" s="151">
        <v>255238060128018</v>
      </c>
      <c r="AI22" s="151">
        <v>25921619754728</v>
      </c>
      <c r="AJ22" s="151">
        <v>263377827472713</v>
      </c>
      <c r="AK22" s="151">
        <v>267951413481803</v>
      </c>
      <c r="AL22" s="199"/>
      <c r="AN22" s="484"/>
      <c r="AO22" s="473"/>
    </row>
    <row r="23" spans="2:41">
      <c r="B23" s="200" t="str">
        <f>IF(B1="en","FACTORY OVERHEAD EXPENSES (FOH)","CHI PHÍ SẢN XUẤT")</f>
        <v>CHI PHÍ SẢN XUẤT</v>
      </c>
      <c r="C23" s="201"/>
      <c r="D23" s="202"/>
      <c r="E23" s="202"/>
      <c r="F23" s="203"/>
      <c r="G23" s="204"/>
      <c r="H23" s="204"/>
      <c r="I23" s="204"/>
      <c r="J23" s="204"/>
      <c r="K23" s="204"/>
      <c r="L23" s="204"/>
      <c r="M23" s="204"/>
      <c r="N23" s="205">
        <f>N24+N26</f>
        <v>12464564635.976923</v>
      </c>
      <c r="O23" s="205">
        <f t="shared" ref="O23:AE23" si="14">O24+O26</f>
        <v>16075204086</v>
      </c>
      <c r="P23" s="205">
        <f>P24+P26</f>
        <v>21262640650.005714</v>
      </c>
      <c r="Q23" s="205">
        <f>Q24+Q26</f>
        <v>18538646909</v>
      </c>
      <c r="R23" s="205">
        <f>R24+R26</f>
        <v>26417170985.278633</v>
      </c>
      <c r="S23" s="206"/>
      <c r="T23" s="205">
        <f t="shared" si="14"/>
        <v>1704606803.4251237</v>
      </c>
      <c r="U23" s="205">
        <f t="shared" si="14"/>
        <v>1636867252.8511236</v>
      </c>
      <c r="V23" s="205">
        <f t="shared" si="14"/>
        <v>1751769317.9251237</v>
      </c>
      <c r="W23" s="205">
        <f t="shared" si="14"/>
        <v>2235878665.7695684</v>
      </c>
      <c r="X23" s="205">
        <f t="shared" si="14"/>
        <v>2271881948.9274225</v>
      </c>
      <c r="Y23" s="205">
        <f t="shared" si="14"/>
        <v>2352096046.4852772</v>
      </c>
      <c r="Z23" s="205">
        <f t="shared" si="14"/>
        <v>2355958228.685277</v>
      </c>
      <c r="AA23" s="205">
        <f t="shared" si="14"/>
        <v>2370491235.601944</v>
      </c>
      <c r="AB23" s="205">
        <f t="shared" si="14"/>
        <v>2434681825.1630549</v>
      </c>
      <c r="AC23" s="205">
        <f t="shared" si="14"/>
        <v>2397242540.7186103</v>
      </c>
      <c r="AD23" s="205">
        <f t="shared" si="14"/>
        <v>2459097223.0186105</v>
      </c>
      <c r="AE23" s="205">
        <f t="shared" si="14"/>
        <v>2452928011.7074995</v>
      </c>
      <c r="AF23" s="161"/>
      <c r="AG23" s="204">
        <v>691882003128585</v>
      </c>
      <c r="AH23" s="204">
        <v>732955110277672</v>
      </c>
      <c r="AI23" s="204">
        <v>78352168015947</v>
      </c>
      <c r="AJ23" s="204">
        <v>836007510211843</v>
      </c>
      <c r="AK23" s="204">
        <v>886281432069577</v>
      </c>
      <c r="AL23" s="207"/>
      <c r="AM23" s="483"/>
      <c r="AN23" s="485"/>
      <c r="AO23" s="473"/>
    </row>
    <row r="24" spans="2:41" s="214" customFormat="1" outlineLevel="1">
      <c r="B24" s="208"/>
      <c r="C24" s="128"/>
      <c r="D24" s="209" t="str">
        <f>IF(B1="en","Salary &amp; Welfare Expenses (FOH)","Chi phí lương sản xuất")</f>
        <v>Chi phí lương sản xuất</v>
      </c>
      <c r="E24" s="210"/>
      <c r="F24" s="211"/>
      <c r="G24" s="182"/>
      <c r="H24" s="182"/>
      <c r="I24" s="182"/>
      <c r="J24" s="182"/>
      <c r="K24" s="178"/>
      <c r="L24" s="178"/>
      <c r="M24" s="178"/>
      <c r="N24" s="177">
        <f>SUM(DaiLoc:DongLam!N24)</f>
        <v>4447040668.976923</v>
      </c>
      <c r="O24" s="177">
        <f>SUM(DaiLoc:DongLam!O24)</f>
        <v>4355299423</v>
      </c>
      <c r="P24" s="177">
        <f>SUM(DaiLoc:DongLam!P24)</f>
        <v>7250611156</v>
      </c>
      <c r="Q24" s="177">
        <f>SUM(DaiLoc:DongLam!Q24)</f>
        <v>6267414340</v>
      </c>
      <c r="R24" s="177">
        <f>SUM(DaiLoc:DongLam!R24)</f>
        <v>9529519586.0191364</v>
      </c>
      <c r="S24" s="177"/>
      <c r="T24" s="177">
        <f>SUM(DaiLoc:DongLam!T24)</f>
        <v>664248453.8272059</v>
      </c>
      <c r="U24" s="177">
        <f>SUM(DaiLoc:DongLam!U24)</f>
        <v>604081975.15320587</v>
      </c>
      <c r="V24" s="177">
        <f>SUM(DaiLoc:DongLam!V24)</f>
        <v>656944718.59387255</v>
      </c>
      <c r="W24" s="177">
        <f>SUM(DaiLoc:DongLam!W24)</f>
        <v>859389109.66053915</v>
      </c>
      <c r="X24" s="177">
        <f>SUM(DaiLoc:DongLam!X24)</f>
        <v>824073375.16053915</v>
      </c>
      <c r="Y24" s="177">
        <f>SUM(DaiLoc:DongLam!Y24)</f>
        <v>857975911.3272059</v>
      </c>
      <c r="Z24" s="177">
        <f>SUM(DaiLoc:DongLam!Z24)</f>
        <v>842275773.99387252</v>
      </c>
      <c r="AA24" s="177">
        <f>SUM(DaiLoc:DongLam!AA24)</f>
        <v>843077571.3272059</v>
      </c>
      <c r="AB24" s="177">
        <f>SUM(DaiLoc:DongLam!AB24)</f>
        <v>864949792.99387252</v>
      </c>
      <c r="AC24" s="177">
        <f>SUM(DaiLoc:DongLam!AC24)</f>
        <v>816489759.3272059</v>
      </c>
      <c r="AD24" s="177">
        <f>SUM(DaiLoc:DongLam!AD24)</f>
        <v>858485911.3272059</v>
      </c>
      <c r="AE24" s="177">
        <f>SUM(DaiLoc:DongLam!AE24)</f>
        <v>837527233.3272059</v>
      </c>
      <c r="AF24" s="178"/>
      <c r="AG24" s="178">
        <v>629714478511346</v>
      </c>
      <c r="AH24" s="178">
        <v>684173333613842</v>
      </c>
      <c r="AI24" s="178">
        <v>769503076782236</v>
      </c>
      <c r="AJ24" s="178">
        <v>820815919116905</v>
      </c>
      <c r="AK24" s="178">
        <v>917070975061887</v>
      </c>
      <c r="AL24" s="212"/>
      <c r="AM24" s="486"/>
      <c r="AN24" s="480"/>
      <c r="AO24" s="473"/>
    </row>
    <row r="25" spans="2:41" outlineLevel="1">
      <c r="B25" s="215"/>
      <c r="C25" s="216"/>
      <c r="D25" s="156"/>
      <c r="E25" s="217" t="str">
        <f>IF(B1="EN", "Growth (%)", "Tăng trưởng (%)")</f>
        <v>Tăng trưởng (%)</v>
      </c>
      <c r="F25" s="218"/>
      <c r="G25" s="219"/>
      <c r="H25" s="219"/>
      <c r="I25" s="219"/>
      <c r="J25" s="219"/>
      <c r="K25" s="220"/>
      <c r="L25" s="220"/>
      <c r="M25" s="220"/>
      <c r="N25" s="220">
        <f>IFERROR(N24/M24-1,)</f>
        <v>0</v>
      </c>
      <c r="O25" s="220">
        <f t="shared" ref="O25" si="15">IFERROR(O24/N24-1,)</f>
        <v>-2.0629729477609882E-2</v>
      </c>
      <c r="P25" s="220">
        <f>IFERROR(P24/O24-1,)</f>
        <v>0.66477903165740626</v>
      </c>
      <c r="Q25" s="220">
        <f>IFERROR(Q24/O24-1,)</f>
        <v>0.43903179352084698</v>
      </c>
      <c r="R25" s="220">
        <f>IFERROR(R24/Q24-1,)</f>
        <v>0.52048661043513134</v>
      </c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1">
        <v>1331542859044.8301</v>
      </c>
      <c r="AH25" s="221">
        <v>8648182146174.7305</v>
      </c>
      <c r="AI25" s="221">
        <v>1247194811257.51</v>
      </c>
      <c r="AJ25" s="221">
        <v>66683089233.690002</v>
      </c>
      <c r="AK25" s="221">
        <v>1172675306401.72</v>
      </c>
      <c r="AL25" s="207"/>
      <c r="AM25" s="196"/>
      <c r="AN25" s="487"/>
      <c r="AO25" s="473"/>
    </row>
    <row r="26" spans="2:41" s="214" customFormat="1" outlineLevel="1">
      <c r="B26" s="208"/>
      <c r="C26" s="128"/>
      <c r="D26" s="209" t="str">
        <f>IF(B1="EN","Operating Expenses (FOH)","Chi phí hoạt động sản xuất")</f>
        <v>Chi phí hoạt động sản xuất</v>
      </c>
      <c r="E26" s="210"/>
      <c r="F26" s="211"/>
      <c r="G26" s="182"/>
      <c r="H26" s="182"/>
      <c r="I26" s="182"/>
      <c r="J26" s="182"/>
      <c r="K26" s="178"/>
      <c r="L26" s="178"/>
      <c r="M26" s="178"/>
      <c r="N26" s="177">
        <f>SUM(DaiLoc:DongLam!N26)</f>
        <v>8017523967</v>
      </c>
      <c r="O26" s="177">
        <f>SUM(DaiLoc:DongLam!O26)</f>
        <v>11719904663</v>
      </c>
      <c r="P26" s="206">
        <f>SUM(DaiLoc:DongLam!P26)</f>
        <v>14012029494.005714</v>
      </c>
      <c r="Q26" s="177">
        <f>SUM(DaiLoc:DongLam!Q26)</f>
        <v>12271232569</v>
      </c>
      <c r="R26" s="177">
        <f>SUM(DaiLoc:DongLam!R26)</f>
        <v>16887651399.259495</v>
      </c>
      <c r="S26" s="177"/>
      <c r="T26" s="177">
        <f>SUM(DaiLoc:DongLam!T26)</f>
        <v>1040358349.5979177</v>
      </c>
      <c r="U26" s="177">
        <f>SUM(DaiLoc:DongLam!U26)</f>
        <v>1032785277.6979177</v>
      </c>
      <c r="V26" s="177">
        <f>SUM(DaiLoc:DongLam!V26)</f>
        <v>1094824599.3312511</v>
      </c>
      <c r="W26" s="177">
        <f>SUM(DaiLoc:DongLam!W26)</f>
        <v>1376489556.1090291</v>
      </c>
      <c r="X26" s="177">
        <f>SUM(DaiLoc:DongLam!X26)</f>
        <v>1447808573.7668834</v>
      </c>
      <c r="Y26" s="177">
        <f>SUM(DaiLoc:DongLam!Y26)</f>
        <v>1494120135.158071</v>
      </c>
      <c r="Z26" s="177">
        <f>SUM(DaiLoc:DongLam!Z26)</f>
        <v>1513682454.6914043</v>
      </c>
      <c r="AA26" s="177">
        <f>SUM(DaiLoc:DongLam!AA26)</f>
        <v>1527413664.2747378</v>
      </c>
      <c r="AB26" s="177">
        <f>SUM(DaiLoc:DongLam!AB26)</f>
        <v>1569732032.1691823</v>
      </c>
      <c r="AC26" s="177">
        <f>SUM(DaiLoc:DongLam!AC26)</f>
        <v>1580752781.3914044</v>
      </c>
      <c r="AD26" s="177">
        <f>SUM(DaiLoc:DongLam!AD26)</f>
        <v>1600611311.6914046</v>
      </c>
      <c r="AE26" s="177">
        <f>SUM(DaiLoc:DongLam!AE26)</f>
        <v>1615400778.3802934</v>
      </c>
      <c r="AF26" s="178"/>
      <c r="AG26" s="178">
        <v>974947260130163</v>
      </c>
      <c r="AH26" s="178">
        <v>10647673657783</v>
      </c>
      <c r="AI26" s="178">
        <v>117342851724658</v>
      </c>
      <c r="AJ26" s="178">
        <v>129075574028554</v>
      </c>
      <c r="AK26" s="178">
        <v>141069719473753</v>
      </c>
      <c r="AL26" s="212"/>
      <c r="AM26" s="488"/>
      <c r="AN26" s="480"/>
      <c r="AO26" s="473"/>
    </row>
    <row r="27" spans="2:41" outlineLevel="1">
      <c r="B27" s="215"/>
      <c r="C27" s="216"/>
      <c r="D27" s="156"/>
      <c r="E27" s="217" t="str">
        <f>IF(B1="EN", "Growth (%)", "Tăng trưởng (%)")</f>
        <v>Tăng trưởng (%)</v>
      </c>
      <c r="F27" s="218"/>
      <c r="G27" s="219"/>
      <c r="H27" s="219"/>
      <c r="I27" s="219"/>
      <c r="J27" s="219"/>
      <c r="K27" s="220"/>
      <c r="L27" s="220"/>
      <c r="M27" s="220"/>
      <c r="N27" s="220">
        <f>IFERROR(N26/M26-1,)</f>
        <v>0</v>
      </c>
      <c r="O27" s="220">
        <f t="shared" ref="O27" si="16">IFERROR(O26/N26-1,)</f>
        <v>0.46178604656985622</v>
      </c>
      <c r="P27" s="220">
        <f>IFERROR(P26/O26-1,)</f>
        <v>0.19557538196040136</v>
      </c>
      <c r="Q27" s="220">
        <f>IFERROR(Q26/O26-1,)</f>
        <v>4.7042012870680994E-2</v>
      </c>
      <c r="R27" s="220">
        <f>IFERROR(R26/Q26-1,)</f>
        <v>0.37619846289293268</v>
      </c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1">
        <v>1080898044455.17</v>
      </c>
      <c r="AH27" s="221">
        <v>9212816869308.9492</v>
      </c>
      <c r="AI27" s="221">
        <v>1020515419242.3101</v>
      </c>
      <c r="AJ27" s="221">
        <v>9998668117787.5605</v>
      </c>
      <c r="AK27" s="221">
        <v>929234329226.83997</v>
      </c>
      <c r="AL27" s="207"/>
      <c r="AM27" s="196"/>
      <c r="AN27" s="487"/>
      <c r="AO27" s="473"/>
    </row>
    <row r="28" spans="2:41" s="227" customFormat="1" outlineLevel="1">
      <c r="B28" s="223"/>
      <c r="C28" s="164" t="str">
        <f>IF(B1="EN", "FOH Expenses on Net Sales (%)", "Chi phí Sản xuất / Doanh thu (%)")</f>
        <v>Chi phí Sản xuất / Doanh thu (%)</v>
      </c>
      <c r="D28" s="224"/>
      <c r="E28" s="224"/>
      <c r="F28" s="225"/>
      <c r="G28" s="167"/>
      <c r="H28" s="167"/>
      <c r="I28" s="167"/>
      <c r="J28" s="167"/>
      <c r="K28" s="168"/>
      <c r="L28" s="168"/>
      <c r="M28" s="168"/>
      <c r="N28" s="168">
        <f t="shared" ref="N28:O28" si="17">IFERROR(N23/N7,)</f>
        <v>6.4859757470325727E-2</v>
      </c>
      <c r="O28" s="168">
        <f t="shared" si="17"/>
        <v>6.1083027204230068E-2</v>
      </c>
      <c r="P28" s="168">
        <f>IFERROR(P23/P7,)</f>
        <v>5.7038021638914915E-2</v>
      </c>
      <c r="Q28" s="168">
        <f>IFERROR(Q23/Q7,)</f>
        <v>4.9784831619613203E-2</v>
      </c>
      <c r="R28" s="168">
        <f>IFERROR(R23/R7,)</f>
        <v>5.7654475025563263E-2</v>
      </c>
      <c r="S28" s="168"/>
      <c r="T28" s="168">
        <f>T23/T7</f>
        <v>6.0010893465999395E-2</v>
      </c>
      <c r="U28" s="168">
        <f t="shared" ref="U28:AE28" si="18">U23/U7</f>
        <v>8.0990707658089495E-2</v>
      </c>
      <c r="V28" s="168">
        <f t="shared" si="18"/>
        <v>5.2558650754733711E-2</v>
      </c>
      <c r="W28" s="168">
        <f t="shared" si="18"/>
        <v>5.5249951725195361E-2</v>
      </c>
      <c r="X28" s="168">
        <f t="shared" si="18"/>
        <v>5.5242104328443106E-2</v>
      </c>
      <c r="Y28" s="168">
        <f t="shared" si="18"/>
        <v>5.7192555824391186E-2</v>
      </c>
      <c r="Z28" s="168">
        <f t="shared" si="18"/>
        <v>5.6385032564316415E-2</v>
      </c>
      <c r="AA28" s="168">
        <f t="shared" si="18"/>
        <v>5.6700919616777479E-2</v>
      </c>
      <c r="AB28" s="168">
        <f t="shared" si="18"/>
        <v>5.9168125359572131E-2</v>
      </c>
      <c r="AC28" s="168">
        <f t="shared" si="18"/>
        <v>5.5550822167323266E-2</v>
      </c>
      <c r="AD28" s="168">
        <f t="shared" si="18"/>
        <v>5.7866351438557874E-2</v>
      </c>
      <c r="AE28" s="168">
        <f t="shared" si="18"/>
        <v>5.685512646887779E-2</v>
      </c>
      <c r="AF28" s="168"/>
      <c r="AG28" s="168">
        <f t="shared" ref="AG28:AK28" si="19">AG23/AG7</f>
        <v>1.1175199614598246</v>
      </c>
      <c r="AH28" s="168">
        <f t="shared" si="19"/>
        <v>1.0785424642648207</v>
      </c>
      <c r="AI28" s="168">
        <f t="shared" si="19"/>
        <v>0.1037007946478903</v>
      </c>
      <c r="AJ28" s="168">
        <f t="shared" si="19"/>
        <v>0.99669039845615282</v>
      </c>
      <c r="AK28" s="168">
        <f t="shared" si="19"/>
        <v>0.95734670297064028</v>
      </c>
      <c r="AL28" s="226"/>
      <c r="AM28" s="489"/>
      <c r="AN28" s="310"/>
      <c r="AO28" s="473"/>
    </row>
    <row r="29" spans="2:41" s="230" customFormat="1" outlineLevel="1">
      <c r="B29" s="228"/>
      <c r="C29" s="148" t="str">
        <f>IF(B1="EN", "FOH Expenses per Ton (m VND/Ton)", "Chi phí Sản xuất / Tấn (Triệu đồng/Tấn)")</f>
        <v>Chi phí Sản xuất / Tấn (Triệu đồng/Tấn)</v>
      </c>
      <c r="D29" s="210"/>
      <c r="E29" s="148"/>
      <c r="F29" s="149"/>
      <c r="G29" s="229"/>
      <c r="H29" s="229"/>
      <c r="I29" s="229"/>
      <c r="J29" s="229"/>
      <c r="K29" s="151"/>
      <c r="L29" s="151"/>
      <c r="M29" s="151"/>
      <c r="N29" s="151">
        <f t="shared" ref="N29:O29" si="20">IFERROR(N23/N5,)</f>
        <v>919.75529123867057</v>
      </c>
      <c r="O29" s="151">
        <f t="shared" si="20"/>
        <v>998.32126948038524</v>
      </c>
      <c r="P29" s="151">
        <f>IFERROR(P23/P5,)</f>
        <v>1073.6654396430688</v>
      </c>
      <c r="Q29" s="151">
        <f>IFERROR(Q23/Q5,)</f>
        <v>855.93695434942128</v>
      </c>
      <c r="R29" s="151">
        <f>IFERROR(R23/R5,)</f>
        <v>877.00797190932246</v>
      </c>
      <c r="S29" s="151"/>
      <c r="T29" s="151">
        <f>T23/T5</f>
        <v>868.8440197383303</v>
      </c>
      <c r="U29" s="151">
        <f t="shared" ref="U29:AE29" si="21">U23/U5</f>
        <v>1175.5303622041176</v>
      </c>
      <c r="V29" s="151">
        <f t="shared" si="21"/>
        <v>759.18797704156088</v>
      </c>
      <c r="W29" s="151">
        <f t="shared" si="21"/>
        <v>839.84612469220315</v>
      </c>
      <c r="X29" s="151">
        <f t="shared" si="21"/>
        <v>840.42224864489572</v>
      </c>
      <c r="Y29" s="151">
        <f t="shared" si="21"/>
        <v>870.09531870666547</v>
      </c>
      <c r="Z29" s="151">
        <f t="shared" si="21"/>
        <v>858.49869699205908</v>
      </c>
      <c r="AA29" s="151">
        <f t="shared" si="21"/>
        <v>863.55309262873163</v>
      </c>
      <c r="AB29" s="151">
        <f t="shared" si="21"/>
        <v>900.4000832703606</v>
      </c>
      <c r="AC29" s="151">
        <f t="shared" si="21"/>
        <v>872.86468023637065</v>
      </c>
      <c r="AD29" s="151">
        <f t="shared" si="21"/>
        <v>908.96319935691656</v>
      </c>
      <c r="AE29" s="151">
        <f t="shared" si="21"/>
        <v>893.19538893282754</v>
      </c>
      <c r="AF29" s="151"/>
      <c r="AG29" s="151">
        <f t="shared" ref="AG29:AK29" si="22">AG23/AG5</f>
        <v>68.299482476981055</v>
      </c>
      <c r="AH29" s="151">
        <f t="shared" si="22"/>
        <v>6.6250498002671696</v>
      </c>
      <c r="AI29" s="151">
        <f t="shared" si="22"/>
        <v>0.64262983062591406</v>
      </c>
      <c r="AJ29" s="151">
        <f t="shared" si="22"/>
        <v>6.2335093570714024</v>
      </c>
      <c r="AK29" s="151">
        <f t="shared" si="22"/>
        <v>6.0465040763592404</v>
      </c>
      <c r="AL29" s="212"/>
      <c r="AM29" s="489"/>
      <c r="AN29" s="484"/>
      <c r="AO29" s="473"/>
    </row>
    <row r="30" spans="2:41" outlineLevel="1">
      <c r="B30" s="231"/>
      <c r="C30" s="232"/>
      <c r="D30" s="181" t="str">
        <f>IF(B1="EN", "Depreciation &amp; Amortization (FOH)", "Chi phí Khấu hao (Sản xuất)")</f>
        <v>Chi phí Khấu hao (Sản xuất)</v>
      </c>
      <c r="E30" s="156"/>
      <c r="F30" s="157"/>
      <c r="G30" s="233"/>
      <c r="H30" s="233"/>
      <c r="I30" s="233"/>
      <c r="J30" s="233"/>
      <c r="K30" s="234"/>
      <c r="L30" s="234"/>
      <c r="M30" s="234"/>
      <c r="N30" s="177">
        <f>SUM(DaiLoc:DongLam!N30)</f>
        <v>7474890133</v>
      </c>
      <c r="O30" s="177">
        <f>SUM(DaiLoc:DongLam!O30)</f>
        <v>11824702952</v>
      </c>
      <c r="P30" s="177">
        <f>SUM(DaiLoc:DongLam!P30)</f>
        <v>14930250388.666668</v>
      </c>
      <c r="Q30" s="177">
        <f>SUM(DaiLoc:DongLam!Q30)</f>
        <v>13040687699.666668</v>
      </c>
      <c r="R30" s="177">
        <f>SUM(DaiLoc:DongLam!R30)</f>
        <v>8597665364.4114418</v>
      </c>
      <c r="S30" s="234"/>
      <c r="T30" s="185">
        <f>SUM(DaiLoc:DongLam!T30)</f>
        <v>672598236.88852799</v>
      </c>
      <c r="U30" s="185">
        <f>SUM(DaiLoc:DongLam!U30)</f>
        <v>666933702.50501549</v>
      </c>
      <c r="V30" s="185">
        <f>SUM(DaiLoc:DongLam!V30)</f>
        <v>686570926.72006929</v>
      </c>
      <c r="W30" s="185">
        <f>SUM(DaiLoc:DongLam!W30)</f>
        <v>725065586.21827722</v>
      </c>
      <c r="X30" s="185">
        <f>SUM(DaiLoc:DongLam!X30)</f>
        <v>725065586.21827722</v>
      </c>
      <c r="Y30" s="185">
        <f>SUM(DaiLoc:DongLam!Y30)</f>
        <v>725065586.21827722</v>
      </c>
      <c r="Z30" s="185">
        <f>SUM(DaiLoc:DongLam!Z30)</f>
        <v>725065586.21827722</v>
      </c>
      <c r="AA30" s="185">
        <f>SUM(DaiLoc:DongLam!AA30)</f>
        <v>725065586.21827722</v>
      </c>
      <c r="AB30" s="185">
        <f>SUM(DaiLoc:DongLam!AB30)</f>
        <v>725065586.21827722</v>
      </c>
      <c r="AC30" s="185">
        <f>SUM(DaiLoc:DongLam!AC30)</f>
        <v>742426697.32938826</v>
      </c>
      <c r="AD30" s="185">
        <f>SUM(DaiLoc:DongLam!AD30)</f>
        <v>742426697.32938826</v>
      </c>
      <c r="AE30" s="185">
        <f>SUM(DaiLoc:DongLam!AE30)</f>
        <v>736315586.32938826</v>
      </c>
      <c r="AF30" s="234"/>
      <c r="AG30" s="234">
        <v>16411693990044</v>
      </c>
      <c r="AH30" s="234">
        <v>193435219254773</v>
      </c>
      <c r="AI30" s="234">
        <v>240134784320806</v>
      </c>
      <c r="AJ30" s="234">
        <v>299516409388806</v>
      </c>
      <c r="AK30" s="234">
        <v>352427285911839</v>
      </c>
      <c r="AL30" s="207"/>
      <c r="AM30" s="483"/>
      <c r="AN30" s="480"/>
      <c r="AO30" s="473"/>
    </row>
    <row r="31" spans="2:41" s="125" customFormat="1" outlineLevel="1">
      <c r="B31" s="236"/>
      <c r="C31" s="237" t="str">
        <f>IF(B1="EN", "% Depreciation on Net Sales", "% Chi phí Khấu hao / Doanh thu")</f>
        <v>% Chi phí Khấu hao / Doanh thu</v>
      </c>
      <c r="D31" s="143"/>
      <c r="E31" s="143"/>
      <c r="F31" s="129"/>
      <c r="G31" s="130"/>
      <c r="H31" s="130"/>
      <c r="I31" s="130"/>
      <c r="J31" s="130"/>
      <c r="K31" s="131"/>
      <c r="L31" s="131"/>
      <c r="M31" s="131"/>
      <c r="N31" s="131">
        <f t="shared" ref="N31:O31" si="23">IFERROR(N30/N7,)</f>
        <v>3.8895827917194849E-2</v>
      </c>
      <c r="O31" s="131">
        <f t="shared" si="23"/>
        <v>4.4931849588646995E-2</v>
      </c>
      <c r="P31" s="131">
        <f>IFERROR(P30/P7,)</f>
        <v>4.0051090490632844E-2</v>
      </c>
      <c r="Q31" s="131">
        <f>IFERROR(Q30/Q7,)</f>
        <v>3.5020271140537428E-2</v>
      </c>
      <c r="R31" s="131">
        <f>IFERROR(R30/R7,)</f>
        <v>1.8764078988883506E-2</v>
      </c>
      <c r="S31" s="190"/>
      <c r="T31" s="131">
        <f>T30/T7</f>
        <v>2.3678904166188532E-2</v>
      </c>
      <c r="U31" s="131">
        <f t="shared" ref="U31:AE31" si="24">U30/U7</f>
        <v>3.2999274945983516E-2</v>
      </c>
      <c r="V31" s="131">
        <f t="shared" si="24"/>
        <v>2.0599311328602911E-2</v>
      </c>
      <c r="W31" s="131">
        <f t="shared" si="24"/>
        <v>1.7916821359522241E-2</v>
      </c>
      <c r="X31" s="131">
        <f t="shared" si="24"/>
        <v>1.7630382942099516E-2</v>
      </c>
      <c r="Y31" s="131">
        <f t="shared" si="24"/>
        <v>1.7630382942099516E-2</v>
      </c>
      <c r="Z31" s="131">
        <f t="shared" si="24"/>
        <v>1.7352959060312825E-2</v>
      </c>
      <c r="AA31" s="131">
        <f t="shared" si="24"/>
        <v>1.7343192374476148E-2</v>
      </c>
      <c r="AB31" s="131">
        <f t="shared" si="24"/>
        <v>1.7620689100269413E-2</v>
      </c>
      <c r="AC31" s="131">
        <f t="shared" si="24"/>
        <v>1.7204105439933889E-2</v>
      </c>
      <c r="AD31" s="131">
        <f t="shared" si="24"/>
        <v>1.7470445569571155E-2</v>
      </c>
      <c r="AE31" s="131">
        <f t="shared" si="24"/>
        <v>1.7066671170925207E-2</v>
      </c>
      <c r="AF31" s="131"/>
      <c r="AG31" s="131">
        <f>AG30/AG7</f>
        <v>2.6507981928004961E-2</v>
      </c>
      <c r="AH31" s="131">
        <f>AH30/AH7</f>
        <v>0.28463966636594201</v>
      </c>
      <c r="AI31" s="131">
        <f>AI30/AI7</f>
        <v>0.31782359808600313</v>
      </c>
      <c r="AJ31" s="131">
        <f>AJ30/AJ7</f>
        <v>0.35708426751123257</v>
      </c>
      <c r="AK31" s="131">
        <f>AK30/AK7</f>
        <v>0.38068618837780549</v>
      </c>
      <c r="AL31" s="144"/>
      <c r="AM31" s="196"/>
      <c r="AN31" s="474"/>
      <c r="AO31" s="473"/>
    </row>
    <row r="32" spans="2:41">
      <c r="B32" s="238" t="str">
        <f>IF(B1="EN", "COST OF GOODS SOLD", "GIÁ VỐN HÀNG BÁN")</f>
        <v>GIÁ VỐN HÀNG BÁN</v>
      </c>
      <c r="C32" s="172"/>
      <c r="D32" s="172"/>
      <c r="E32" s="172"/>
      <c r="F32" s="239"/>
      <c r="G32" s="240"/>
      <c r="H32" s="241"/>
      <c r="I32" s="240"/>
      <c r="J32" s="240"/>
      <c r="K32" s="175"/>
      <c r="L32" s="175"/>
      <c r="M32" s="175"/>
      <c r="N32" s="176">
        <f>N10+N12+N23+N30</f>
        <v>209620883684.47693</v>
      </c>
      <c r="O32" s="176">
        <f>O10+O12+O23+O30</f>
        <v>272794380992.13184</v>
      </c>
      <c r="P32" s="176">
        <f>P10+P12+P23+P30</f>
        <v>372452225235.20013</v>
      </c>
      <c r="Q32" s="176">
        <f>Q10+Q12+Q23+Q30</f>
        <v>361953993381.90973</v>
      </c>
      <c r="R32" s="176">
        <f>R10+R12+R23+R30</f>
        <v>443278435091.99957</v>
      </c>
      <c r="S32" s="177"/>
      <c r="T32" s="176">
        <f t="shared" ref="T32:AK32" si="25">T10+T12+T23+T30</f>
        <v>27592819670.278481</v>
      </c>
      <c r="U32" s="176">
        <f t="shared" si="25"/>
        <v>20375107100.161476</v>
      </c>
      <c r="V32" s="176">
        <f t="shared" si="25"/>
        <v>32335669484.521309</v>
      </c>
      <c r="W32" s="176">
        <f t="shared" si="25"/>
        <v>39014122482.957565</v>
      </c>
      <c r="X32" s="176">
        <f t="shared" si="25"/>
        <v>39694696239.789513</v>
      </c>
      <c r="Y32" s="176">
        <f t="shared" si="25"/>
        <v>39813312597.15506</v>
      </c>
      <c r="Z32" s="176">
        <f t="shared" si="25"/>
        <v>40435619530.694061</v>
      </c>
      <c r="AA32" s="176">
        <f t="shared" si="25"/>
        <v>40420938731.570625</v>
      </c>
      <c r="AB32" s="176">
        <f t="shared" si="25"/>
        <v>39895424040.101967</v>
      </c>
      <c r="AC32" s="176">
        <f t="shared" si="25"/>
        <v>41375606299.599976</v>
      </c>
      <c r="AD32" s="176">
        <f t="shared" si="25"/>
        <v>40900728451.489067</v>
      </c>
      <c r="AE32" s="176">
        <f t="shared" si="25"/>
        <v>41430718578.680519</v>
      </c>
      <c r="AF32" s="178"/>
      <c r="AG32" s="175">
        <f>AG10+AG12+AG23+AG30</f>
        <v>1071307718915276</v>
      </c>
      <c r="AH32" s="175">
        <f t="shared" si="25"/>
        <v>1229305080067399</v>
      </c>
      <c r="AI32" s="175">
        <f t="shared" si="25"/>
        <v>1031592261532379</v>
      </c>
      <c r="AJ32" s="175">
        <f t="shared" si="25"/>
        <v>1932532512509697</v>
      </c>
      <c r="AK32" s="175">
        <f t="shared" si="25"/>
        <v>2124364028896149</v>
      </c>
      <c r="AL32" s="123"/>
      <c r="AM32" s="483"/>
      <c r="AN32" s="480"/>
      <c r="AO32" s="473"/>
    </row>
    <row r="33" spans="2:41" s="170" customFormat="1" outlineLevel="1">
      <c r="B33" s="242"/>
      <c r="C33" s="164" t="str">
        <f>IF(B1="EN", "% COGs on Net Sales", "% Giá vốn hàng bán / Doanh thu")</f>
        <v>% Giá vốn hàng bán / Doanh thu</v>
      </c>
      <c r="D33" s="165"/>
      <c r="E33" s="165"/>
      <c r="F33" s="166"/>
      <c r="G33" s="167"/>
      <c r="H33" s="167"/>
      <c r="I33" s="167"/>
      <c r="J33" s="167"/>
      <c r="K33" s="168"/>
      <c r="L33" s="168"/>
      <c r="M33" s="168"/>
      <c r="N33" s="168">
        <f t="shared" ref="N33:O33" si="26">IFERROR(N32/N7,)</f>
        <v>1.090768917612094</v>
      </c>
      <c r="O33" s="168">
        <f t="shared" si="26"/>
        <v>1.0365720090493593</v>
      </c>
      <c r="P33" s="168">
        <f>IFERROR(P32/P7,)</f>
        <v>0.99912040240503464</v>
      </c>
      <c r="Q33" s="168">
        <f>IFERROR(Q32/Q7,)</f>
        <v>0.97201369134533999</v>
      </c>
      <c r="R33" s="168">
        <f>IFERROR(R32/R7,)</f>
        <v>0.9674383937486899</v>
      </c>
      <c r="S33" s="168"/>
      <c r="T33" s="168">
        <f>T32/T7</f>
        <v>0.97140863120598819</v>
      </c>
      <c r="U33" s="168">
        <f t="shared" ref="U33:AE33" si="27">U32/U7</f>
        <v>1.0081418268812605</v>
      </c>
      <c r="V33" s="168">
        <f t="shared" si="27"/>
        <v>0.97017292286546297</v>
      </c>
      <c r="W33" s="168">
        <f t="shared" si="27"/>
        <v>0.96406321898614833</v>
      </c>
      <c r="X33" s="168">
        <f t="shared" si="27"/>
        <v>0.96519916098614256</v>
      </c>
      <c r="Y33" s="168">
        <f t="shared" si="27"/>
        <v>0.96808338531467375</v>
      </c>
      <c r="Z33" s="168">
        <f t="shared" si="27"/>
        <v>0.96774369606239086</v>
      </c>
      <c r="AA33" s="168">
        <f t="shared" si="27"/>
        <v>0.96684786825271063</v>
      </c>
      <c r="AB33" s="168">
        <f t="shared" si="27"/>
        <v>0.96954658571041474</v>
      </c>
      <c r="AC33" s="168">
        <f t="shared" si="27"/>
        <v>0.95878865345233821</v>
      </c>
      <c r="AD33" s="168">
        <f t="shared" si="27"/>
        <v>0.96245724020687795</v>
      </c>
      <c r="AE33" s="168">
        <f t="shared" si="27"/>
        <v>0.96030080509686555</v>
      </c>
      <c r="AF33" s="168"/>
      <c r="AG33" s="168">
        <f t="shared" ref="AG33:AK33" si="28">AG32/AG7</f>
        <v>1.7303640726890144</v>
      </c>
      <c r="AH33" s="168">
        <f t="shared" si="28"/>
        <v>1.8089207808195358</v>
      </c>
      <c r="AI33" s="168">
        <f t="shared" si="28"/>
        <v>1.3653347441738815</v>
      </c>
      <c r="AJ33" s="168">
        <f t="shared" si="28"/>
        <v>2.3039704504983214</v>
      </c>
      <c r="AK33" s="168">
        <f t="shared" si="28"/>
        <v>2.2947032684912387</v>
      </c>
      <c r="AL33" s="169"/>
      <c r="AM33" s="483"/>
      <c r="AN33" s="310"/>
      <c r="AO33" s="473"/>
    </row>
    <row r="34" spans="2:41" s="141" customFormat="1">
      <c r="B34" s="243" t="str">
        <f>IF(B1="EN", "GROSS PROFIT", "LÃI GỘP")</f>
        <v>LÃI GỘP</v>
      </c>
      <c r="C34" s="244"/>
      <c r="D34" s="244"/>
      <c r="E34" s="244"/>
      <c r="F34" s="245"/>
      <c r="G34" s="246"/>
      <c r="H34" s="246"/>
      <c r="I34" s="246"/>
      <c r="J34" s="246"/>
      <c r="K34" s="247"/>
      <c r="L34" s="247"/>
      <c r="M34" s="247"/>
      <c r="N34" s="248">
        <f>N7-N32</f>
        <v>-17443713708.476929</v>
      </c>
      <c r="O34" s="248">
        <f>O7-O32</f>
        <v>-9624645932.1318359</v>
      </c>
      <c r="P34" s="248">
        <f>P7-P32</f>
        <v>327896498.52789307</v>
      </c>
      <c r="Q34" s="248">
        <f>Q7-Q32</f>
        <v>10421413060.090271</v>
      </c>
      <c r="R34" s="248">
        <f>R7-R32</f>
        <v>14919666158.000427</v>
      </c>
      <c r="S34" s="138"/>
      <c r="T34" s="248">
        <f t="shared" ref="T34:AK34" si="29">T7-T32</f>
        <v>812136579.72151947</v>
      </c>
      <c r="U34" s="248">
        <f t="shared" si="29"/>
        <v>-164550850.16147614</v>
      </c>
      <c r="V34" s="248">
        <f t="shared" si="29"/>
        <v>994130515.4786911</v>
      </c>
      <c r="W34" s="248">
        <f t="shared" si="29"/>
        <v>1454305017.0424347</v>
      </c>
      <c r="X34" s="248">
        <f t="shared" si="29"/>
        <v>1431216260.2104874</v>
      </c>
      <c r="Y34" s="248">
        <f t="shared" si="29"/>
        <v>1312599902.8449402</v>
      </c>
      <c r="Z34" s="248">
        <f t="shared" si="29"/>
        <v>1347777969.3059387</v>
      </c>
      <c r="AA34" s="248">
        <f t="shared" si="29"/>
        <v>1385988768.4293747</v>
      </c>
      <c r="AB34" s="248">
        <f t="shared" si="29"/>
        <v>1253113459.8980331</v>
      </c>
      <c r="AC34" s="248">
        <f t="shared" si="29"/>
        <v>1778436200.4000244</v>
      </c>
      <c r="AD34" s="248">
        <f t="shared" si="29"/>
        <v>1595422798.5109329</v>
      </c>
      <c r="AE34" s="248">
        <f t="shared" si="29"/>
        <v>1712761421.3194809</v>
      </c>
      <c r="AF34" s="121"/>
      <c r="AG34" s="247">
        <f t="shared" si="29"/>
        <v>-452184994498994</v>
      </c>
      <c r="AH34" s="247">
        <f t="shared" si="29"/>
        <v>-549725801028734</v>
      </c>
      <c r="AI34" s="247">
        <f t="shared" si="29"/>
        <v>-276032303848477</v>
      </c>
      <c r="AJ34" s="247">
        <f t="shared" si="29"/>
        <v>-1093748962967335</v>
      </c>
      <c r="AK34" s="247">
        <f t="shared" si="29"/>
        <v>-1198595517530881</v>
      </c>
      <c r="AL34" s="139"/>
      <c r="AM34" s="196"/>
      <c r="AN34" s="476"/>
      <c r="AO34" s="473"/>
    </row>
    <row r="35" spans="2:41" s="227" customFormat="1" outlineLevel="1">
      <c r="B35" s="163"/>
      <c r="C35" s="164" t="str">
        <f>IF(B1="EN", "(%) Gross profit Margin", "(%) Tỷ lệ Lãi gộp")</f>
        <v>(%) Tỷ lệ Lãi gộp</v>
      </c>
      <c r="D35" s="165"/>
      <c r="E35" s="165"/>
      <c r="F35" s="166"/>
      <c r="G35" s="167"/>
      <c r="H35" s="167"/>
      <c r="I35" s="167"/>
      <c r="J35" s="167"/>
      <c r="K35" s="168"/>
      <c r="L35" s="168"/>
      <c r="M35" s="168"/>
      <c r="N35" s="168">
        <f t="shared" ref="N35:O35" si="30">IFERROR(N34/N$7,)</f>
        <v>-9.0768917612094005E-2</v>
      </c>
      <c r="O35" s="168">
        <f t="shared" si="30"/>
        <v>-3.6572009049359401E-2</v>
      </c>
      <c r="P35" s="168">
        <f>IFERROR(P34/P$7,)</f>
        <v>8.795975949653916E-4</v>
      </c>
      <c r="Q35" s="168">
        <f>IFERROR(Q34/Q$7,)</f>
        <v>2.7986308654659977E-2</v>
      </c>
      <c r="R35" s="168">
        <f>IFERROR(R34/R$7,)</f>
        <v>3.2561606251310118E-2</v>
      </c>
      <c r="S35" s="168"/>
      <c r="T35" s="168">
        <f>T34/T7</f>
        <v>2.8591368794011765E-2</v>
      </c>
      <c r="U35" s="168">
        <f t="shared" ref="U35:AE35" si="31">U34/U7</f>
        <v>-8.1418268812604375E-3</v>
      </c>
      <c r="V35" s="168">
        <f t="shared" si="31"/>
        <v>2.9827077134536993E-2</v>
      </c>
      <c r="W35" s="168">
        <f t="shared" si="31"/>
        <v>3.5936781013851719E-2</v>
      </c>
      <c r="X35" s="168">
        <f t="shared" si="31"/>
        <v>3.4800839013857443E-2</v>
      </c>
      <c r="Y35" s="168">
        <f t="shared" si="31"/>
        <v>3.1916614685326195E-2</v>
      </c>
      <c r="Z35" s="168">
        <f t="shared" si="31"/>
        <v>3.2256303937609157E-2</v>
      </c>
      <c r="AA35" s="168">
        <f t="shared" si="31"/>
        <v>3.3152131747289364E-2</v>
      </c>
      <c r="AB35" s="168">
        <f t="shared" si="31"/>
        <v>3.0453414289585215E-2</v>
      </c>
      <c r="AC35" s="168">
        <f t="shared" si="31"/>
        <v>4.1211346547661773E-2</v>
      </c>
      <c r="AD35" s="168">
        <f t="shared" si="31"/>
        <v>3.7542759793122042E-2</v>
      </c>
      <c r="AE35" s="168">
        <f t="shared" si="31"/>
        <v>3.9699194903134401E-2</v>
      </c>
      <c r="AF35" s="168"/>
      <c r="AG35" s="168">
        <f t="shared" ref="AG35:AK35" si="32">AG34/AG$7</f>
        <v>-0.73036407268901438</v>
      </c>
      <c r="AH35" s="168">
        <f t="shared" si="32"/>
        <v>-0.80892078081953567</v>
      </c>
      <c r="AI35" s="168">
        <f t="shared" si="32"/>
        <v>-0.3653347441738814</v>
      </c>
      <c r="AJ35" s="168">
        <f t="shared" si="32"/>
        <v>-1.3039704504983216</v>
      </c>
      <c r="AK35" s="168">
        <f t="shared" si="32"/>
        <v>-1.2947032684912387</v>
      </c>
      <c r="AL35" s="226"/>
      <c r="AM35" s="489"/>
      <c r="AN35" s="310"/>
      <c r="AO35" s="473"/>
    </row>
    <row r="36" spans="2:41">
      <c r="B36" s="171" t="str">
        <f>IF(B1="EN","SELLING &amp; ADMINISTRATIVE EXPENSES (MKT)","CHI PHÍ BÁN HÀNG")</f>
        <v>CHI PHÍ BÁN HÀNG</v>
      </c>
      <c r="C36" s="249"/>
      <c r="D36" s="172"/>
      <c r="E36" s="172"/>
      <c r="F36" s="239"/>
      <c r="G36" s="175"/>
      <c r="H36" s="175"/>
      <c r="I36" s="175"/>
      <c r="J36" s="175"/>
      <c r="K36" s="175"/>
      <c r="L36" s="175"/>
      <c r="M36" s="175"/>
      <c r="N36" s="176">
        <f>N37+N39+N41</f>
        <v>1864168000</v>
      </c>
      <c r="O36" s="176">
        <f>O37+O39+O41</f>
        <v>1630000000</v>
      </c>
      <c r="P36" s="176">
        <f>P37+P39+P41</f>
        <v>0</v>
      </c>
      <c r="Q36" s="176">
        <f>Q37+Q39+Q41</f>
        <v>0</v>
      </c>
      <c r="R36" s="176">
        <f>R37+R39+R41</f>
        <v>0</v>
      </c>
      <c r="S36" s="178"/>
      <c r="T36" s="175">
        <f t="shared" ref="T36:AE36" si="33">T37+T39+T41</f>
        <v>0</v>
      </c>
      <c r="U36" s="175">
        <f t="shared" si="33"/>
        <v>0</v>
      </c>
      <c r="V36" s="175">
        <f t="shared" si="33"/>
        <v>0</v>
      </c>
      <c r="W36" s="175">
        <f t="shared" si="33"/>
        <v>0</v>
      </c>
      <c r="X36" s="175">
        <f t="shared" si="33"/>
        <v>0</v>
      </c>
      <c r="Y36" s="175">
        <f t="shared" si="33"/>
        <v>0</v>
      </c>
      <c r="Z36" s="175">
        <f t="shared" si="33"/>
        <v>0</v>
      </c>
      <c r="AA36" s="175">
        <f t="shared" si="33"/>
        <v>0</v>
      </c>
      <c r="AB36" s="175">
        <f t="shared" si="33"/>
        <v>0</v>
      </c>
      <c r="AC36" s="175">
        <f t="shared" si="33"/>
        <v>0</v>
      </c>
      <c r="AD36" s="175">
        <f t="shared" si="33"/>
        <v>0</v>
      </c>
      <c r="AE36" s="175">
        <f t="shared" si="33"/>
        <v>0</v>
      </c>
      <c r="AF36" s="178"/>
      <c r="AG36" s="175">
        <f>AG37+AG39+AG41</f>
        <v>383824902894673</v>
      </c>
      <c r="AH36" s="175">
        <f t="shared" ref="AH36:AK36" si="34">AH37+AH39+AH41</f>
        <v>425272695485510</v>
      </c>
      <c r="AI36" s="175">
        <f t="shared" si="34"/>
        <v>463185514591688</v>
      </c>
      <c r="AJ36" s="175">
        <f t="shared" si="34"/>
        <v>504413637745073</v>
      </c>
      <c r="AK36" s="175">
        <f t="shared" si="34"/>
        <v>549667372869827</v>
      </c>
      <c r="AL36" s="162"/>
      <c r="AM36" s="483"/>
      <c r="AN36" s="480"/>
      <c r="AO36" s="473"/>
    </row>
    <row r="37" spans="2:41" s="214" customFormat="1" outlineLevel="1">
      <c r="B37" s="126"/>
      <c r="C37" s="128"/>
      <c r="D37" s="209" t="str">
        <f>IF(B1="EN", "Salary&amp;Welfare Expenses (MKT)", "Lương &amp; Phúc lợi (Bán hàng)")</f>
        <v>Lương &amp; Phúc lợi (Bán hàng)</v>
      </c>
      <c r="E37" s="128"/>
      <c r="F37" s="250"/>
      <c r="G37" s="182"/>
      <c r="H37" s="182"/>
      <c r="I37" s="182"/>
      <c r="J37" s="182"/>
      <c r="K37" s="178"/>
      <c r="L37" s="178"/>
      <c r="M37" s="178"/>
      <c r="N37" s="178">
        <f>SUM(DaiLoc:DongLam!N37)</f>
        <v>0</v>
      </c>
      <c r="O37" s="178">
        <f>SUM(DaiLoc:DongLam!O37)</f>
        <v>0</v>
      </c>
      <c r="P37" s="178">
        <f>SUM(DaiLoc:DongLam!P37)</f>
        <v>0</v>
      </c>
      <c r="Q37" s="178">
        <f>SUM(DaiLoc:DongLam!Q37)</f>
        <v>0</v>
      </c>
      <c r="R37" s="178">
        <f>SUM(DaiLoc:DongLam!R37)</f>
        <v>0</v>
      </c>
      <c r="S37" s="178"/>
      <c r="T37" s="178">
        <f>SUM(DaiLoc:DongLam!T37)</f>
        <v>0</v>
      </c>
      <c r="U37" s="178">
        <f>SUM(DaiLoc:DongLam!U37)</f>
        <v>0</v>
      </c>
      <c r="V37" s="178">
        <f>SUM(DaiLoc:DongLam!V37)</f>
        <v>0</v>
      </c>
      <c r="W37" s="178">
        <f>SUM(DaiLoc:DongLam!W37)</f>
        <v>0</v>
      </c>
      <c r="X37" s="178">
        <f>SUM(DaiLoc:DongLam!X37)</f>
        <v>0</v>
      </c>
      <c r="Y37" s="178">
        <f>SUM(DaiLoc:DongLam!Y37)</f>
        <v>0</v>
      </c>
      <c r="Z37" s="178">
        <f>SUM(DaiLoc:DongLam!Z37)</f>
        <v>0</v>
      </c>
      <c r="AA37" s="178">
        <f>SUM(DaiLoc:DongLam!AA37)</f>
        <v>0</v>
      </c>
      <c r="AB37" s="178">
        <f>SUM(DaiLoc:DongLam!AB37)</f>
        <v>0</v>
      </c>
      <c r="AC37" s="178">
        <f>SUM(DaiLoc:DongLam!AC37)</f>
        <v>0</v>
      </c>
      <c r="AD37" s="178">
        <f>SUM(DaiLoc:DongLam!AD37)</f>
        <v>0</v>
      </c>
      <c r="AE37" s="178">
        <f>SUM(DaiLoc:DongLam!AE37)</f>
        <v>0</v>
      </c>
      <c r="AF37" s="178"/>
      <c r="AG37" s="178">
        <v>270157675766797</v>
      </c>
      <c r="AH37" s="178">
        <v>287169585310931</v>
      </c>
      <c r="AI37" s="178">
        <v>311759576586856</v>
      </c>
      <c r="AJ37" s="178">
        <v>338394519427355</v>
      </c>
      <c r="AK37" s="178">
        <v>368393985356586</v>
      </c>
      <c r="AL37" s="123"/>
      <c r="AM37" s="489"/>
      <c r="AN37" s="490"/>
      <c r="AO37" s="473"/>
    </row>
    <row r="38" spans="2:41" s="125" customFormat="1" outlineLevel="1">
      <c r="B38" s="142"/>
      <c r="C38" s="143"/>
      <c r="D38" s="143"/>
      <c r="E38" s="143"/>
      <c r="F38" s="129" t="str">
        <f>IF(B1="EN", "Growth (%)", "Tăng trưởng (%)")</f>
        <v>Tăng trưởng (%)</v>
      </c>
      <c r="G38" s="130"/>
      <c r="H38" s="130"/>
      <c r="I38" s="130"/>
      <c r="J38" s="130"/>
      <c r="K38" s="131"/>
      <c r="L38" s="131"/>
      <c r="M38" s="131"/>
      <c r="N38" s="131">
        <f>IFERROR(N37/M37-1,)</f>
        <v>0</v>
      </c>
      <c r="O38" s="131">
        <f t="shared" ref="O38" si="35">IFERROR(O37/N37-1,)</f>
        <v>0</v>
      </c>
      <c r="P38" s="131">
        <f>IFERROR(P37/O37-1,)</f>
        <v>0</v>
      </c>
      <c r="Q38" s="131">
        <f>IFERROR(Q37/O37-1,)</f>
        <v>0</v>
      </c>
      <c r="R38" s="131">
        <f>IFERROR(R37/Q37-1,)</f>
        <v>0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251">
        <v>882316405029.06006</v>
      </c>
      <c r="AH38" s="251">
        <v>6297029871851.3203</v>
      </c>
      <c r="AI38" s="251">
        <v>8562881493630.4502</v>
      </c>
      <c r="AJ38" s="251">
        <v>854342411293.29004</v>
      </c>
      <c r="AK38" s="251">
        <v>886523398192.06995</v>
      </c>
      <c r="AL38" s="144"/>
      <c r="AM38" s="196"/>
      <c r="AN38" s="474"/>
      <c r="AO38" s="473"/>
    </row>
    <row r="39" spans="2:41" s="214" customFormat="1" outlineLevel="1">
      <c r="B39" s="126"/>
      <c r="C39" s="128"/>
      <c r="D39" s="209" t="str">
        <f>IF(B1="EN", "Operating Expenses (MKT)", "Chi phí hoạt động (Bán hàng)")</f>
        <v>Chi phí hoạt động (Bán hàng)</v>
      </c>
      <c r="E39" s="128"/>
      <c r="F39" s="250"/>
      <c r="G39" s="182"/>
      <c r="H39" s="182"/>
      <c r="I39" s="182"/>
      <c r="J39" s="182"/>
      <c r="K39" s="178"/>
      <c r="L39" s="178"/>
      <c r="M39" s="178"/>
      <c r="N39" s="177">
        <f>SUM(DaiLoc:DongLam!N39)</f>
        <v>1864168000</v>
      </c>
      <c r="O39" s="177">
        <f>SUM(DaiLoc:DongLam!O39)</f>
        <v>1630000000</v>
      </c>
      <c r="P39" s="177">
        <f>SUM(DaiLoc:DongLam!P39)</f>
        <v>0</v>
      </c>
      <c r="Q39" s="177">
        <f>SUM(DaiLoc:DongLam!Q39)</f>
        <v>0</v>
      </c>
      <c r="R39" s="177">
        <f>SUM(DaiLoc:DongLam!R39)</f>
        <v>0</v>
      </c>
      <c r="S39" s="178"/>
      <c r="T39" s="178">
        <f>SUM(DaiLoc:DongLam!T39)</f>
        <v>0</v>
      </c>
      <c r="U39" s="178">
        <f>SUM(DaiLoc:DongLam!U39)</f>
        <v>0</v>
      </c>
      <c r="V39" s="178">
        <f>SUM(DaiLoc:DongLam!V39)</f>
        <v>0</v>
      </c>
      <c r="W39" s="178">
        <f>SUM(DaiLoc:DongLam!W39)</f>
        <v>0</v>
      </c>
      <c r="X39" s="178">
        <f>SUM(DaiLoc:DongLam!X39)</f>
        <v>0</v>
      </c>
      <c r="Y39" s="178">
        <f>SUM(DaiLoc:DongLam!Y39)</f>
        <v>0</v>
      </c>
      <c r="Z39" s="178">
        <f>SUM(DaiLoc:DongLam!Z39)</f>
        <v>0</v>
      </c>
      <c r="AA39" s="178">
        <f>SUM(DaiLoc:DongLam!AA39)</f>
        <v>0</v>
      </c>
      <c r="AB39" s="178">
        <f>SUM(DaiLoc:DongLam!AB39)</f>
        <v>0</v>
      </c>
      <c r="AC39" s="178">
        <f>SUM(DaiLoc:DongLam!AC39)</f>
        <v>0</v>
      </c>
      <c r="AD39" s="178">
        <f>SUM(DaiLoc:DongLam!AD39)</f>
        <v>0</v>
      </c>
      <c r="AE39" s="178">
        <f>SUM(DaiLoc:DongLam!AE39)</f>
        <v>0</v>
      </c>
      <c r="AF39" s="178"/>
      <c r="AG39" s="178">
        <v>113644513893249</v>
      </c>
      <c r="AH39" s="178">
        <v>138084910855454</v>
      </c>
      <c r="AI39" s="178">
        <v>151410435471037</v>
      </c>
      <c r="AJ39" s="178">
        <v>166006225370271</v>
      </c>
      <c r="AK39" s="178">
        <v>181261685977154</v>
      </c>
      <c r="AL39" s="123"/>
      <c r="AM39" s="489"/>
      <c r="AN39" s="480"/>
      <c r="AO39" s="473"/>
    </row>
    <row r="40" spans="2:41" s="125" customFormat="1" outlineLevel="1">
      <c r="B40" s="126"/>
      <c r="C40" s="128"/>
      <c r="D40" s="128"/>
      <c r="E40" s="128"/>
      <c r="F40" s="129" t="str">
        <f>IF(B1="EN", "Growth (%)", "Tăng trưởng (%)")</f>
        <v>Tăng trưởng (%)</v>
      </c>
      <c r="G40" s="130"/>
      <c r="H40" s="130"/>
      <c r="I40" s="130"/>
      <c r="J40" s="130"/>
      <c r="K40" s="131"/>
      <c r="L40" s="131"/>
      <c r="M40" s="131"/>
      <c r="N40" s="131">
        <f>IFERROR(N39/M39-1,)</f>
        <v>0</v>
      </c>
      <c r="O40" s="131">
        <f t="shared" ref="O40" si="36">IFERROR(O39/N39-1,)</f>
        <v>-0.12561528789250753</v>
      </c>
      <c r="P40" s="131">
        <f>IFERROR(P39/O39-1,)</f>
        <v>-1</v>
      </c>
      <c r="Q40" s="131">
        <f>IFERROR(Q39/O39-1,)</f>
        <v>-1</v>
      </c>
      <c r="R40" s="131">
        <f>IFERROR(R39/Q39-1,)</f>
        <v>0</v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251" t="e">
        <f>AG39/Q39-1</f>
        <v>#DIV/0!</v>
      </c>
      <c r="AH40" s="251">
        <f t="shared" ref="AH40:AK40" si="37">AH39/AG39-1</f>
        <v>0.21506006867311589</v>
      </c>
      <c r="AI40" s="251">
        <f t="shared" si="37"/>
        <v>9.6502395033821076E-2</v>
      </c>
      <c r="AJ40" s="251">
        <f t="shared" si="37"/>
        <v>9.6398837067118714E-2</v>
      </c>
      <c r="AK40" s="251">
        <f t="shared" si="37"/>
        <v>9.1896918762270685E-2</v>
      </c>
      <c r="AL40" s="123"/>
      <c r="AM40" s="196"/>
      <c r="AN40" s="474"/>
      <c r="AO40" s="473"/>
    </row>
    <row r="41" spans="2:41" s="125" customFormat="1" outlineLevel="1">
      <c r="C41" s="128"/>
      <c r="D41" s="209" t="str">
        <f>IF(B1="EN", "Depreciation &amp; Amortization (MKT)", "Chi phí khấu hao (Bán hàng)")</f>
        <v>Chi phí khấu hao (Bán hàng)</v>
      </c>
      <c r="E41" s="128"/>
      <c r="F41" s="252"/>
      <c r="G41" s="253"/>
      <c r="H41" s="253"/>
      <c r="I41" s="253"/>
      <c r="J41" s="253"/>
      <c r="K41" s="254"/>
      <c r="L41" s="254"/>
      <c r="M41" s="254"/>
      <c r="N41" s="254">
        <f>SUM(DaiLoc:DongLam!N41)</f>
        <v>0</v>
      </c>
      <c r="O41" s="178">
        <f>SUM(DaiLoc:DongLam!O41)</f>
        <v>0</v>
      </c>
      <c r="P41" s="178">
        <f>SUM(DaiLoc:DongLam!P41)</f>
        <v>0</v>
      </c>
      <c r="Q41" s="178">
        <f>SUM(DaiLoc:DongLam!Q41)</f>
        <v>0</v>
      </c>
      <c r="R41" s="255">
        <f>SUM(DaiLoc:DongLam!R41)</f>
        <v>0</v>
      </c>
      <c r="S41" s="255"/>
      <c r="T41" s="256">
        <f>SUM(DaiLoc:DongLam!T41)</f>
        <v>0</v>
      </c>
      <c r="U41" s="256">
        <f>SUM(DaiLoc:DongLam!U41)</f>
        <v>0</v>
      </c>
      <c r="V41" s="256">
        <f>SUM(DaiLoc:DongLam!V41)</f>
        <v>0</v>
      </c>
      <c r="W41" s="256">
        <f>SUM(DaiLoc:DongLam!W41)</f>
        <v>0</v>
      </c>
      <c r="X41" s="256">
        <f>SUM(DaiLoc:DongLam!X41)</f>
        <v>0</v>
      </c>
      <c r="Y41" s="256">
        <f>SUM(DaiLoc:DongLam!Y41)</f>
        <v>0</v>
      </c>
      <c r="Z41" s="256">
        <f>SUM(DaiLoc:DongLam!Z41)</f>
        <v>0</v>
      </c>
      <c r="AA41" s="256">
        <f>SUM(DaiLoc:DongLam!AA41)</f>
        <v>0</v>
      </c>
      <c r="AB41" s="256">
        <f>SUM(DaiLoc:DongLam!AB41)</f>
        <v>0</v>
      </c>
      <c r="AC41" s="256">
        <f>SUM(DaiLoc:DongLam!AC41)</f>
        <v>0</v>
      </c>
      <c r="AD41" s="256">
        <f>SUM(DaiLoc:DongLam!AD41)</f>
        <v>0</v>
      </c>
      <c r="AE41" s="256">
        <f>SUM(DaiLoc:DongLam!AE41)</f>
        <v>0</v>
      </c>
      <c r="AF41" s="255"/>
      <c r="AG41" s="178">
        <v>22713234627</v>
      </c>
      <c r="AH41" s="178">
        <v>18199319125</v>
      </c>
      <c r="AI41" s="178">
        <v>15502533795</v>
      </c>
      <c r="AJ41" s="178">
        <v>12892947447</v>
      </c>
      <c r="AK41" s="178">
        <v>11701536087</v>
      </c>
      <c r="AL41" s="123"/>
      <c r="AM41" s="196"/>
      <c r="AN41" s="491"/>
      <c r="AO41" s="473"/>
    </row>
    <row r="42" spans="2:41" s="227" customFormat="1" outlineLevel="1">
      <c r="B42" s="223"/>
      <c r="C42" s="164" t="str">
        <f>IF(B1="EN", "MKT Expenses on Net Sales (%)", "Chi phí Bán hàng / Doanh thu (%)")</f>
        <v>Chi phí Bán hàng / Doanh thu (%)</v>
      </c>
      <c r="D42" s="224"/>
      <c r="E42" s="224"/>
      <c r="F42" s="225"/>
      <c r="G42" s="167"/>
      <c r="H42" s="167"/>
      <c r="I42" s="167"/>
      <c r="J42" s="167"/>
      <c r="K42" s="168"/>
      <c r="L42" s="168"/>
      <c r="M42" s="168"/>
      <c r="N42" s="168">
        <f>IFERROR(N36/N7,)</f>
        <v>9.7002573210585117E-3</v>
      </c>
      <c r="O42" s="168">
        <f t="shared" ref="O42:R42" si="38">IFERROR(O36/O7,)</f>
        <v>6.193721324484279E-3</v>
      </c>
      <c r="P42" s="168">
        <f>IFERROR(P36/P7,)</f>
        <v>0</v>
      </c>
      <c r="Q42" s="168">
        <f>IFERROR(Q36/Q7,)</f>
        <v>0</v>
      </c>
      <c r="R42" s="168">
        <f t="shared" si="38"/>
        <v>0</v>
      </c>
      <c r="S42" s="168"/>
      <c r="T42" s="168">
        <f>T36/T7</f>
        <v>0</v>
      </c>
      <c r="U42" s="168">
        <f t="shared" ref="U42:AE42" si="39">U36/U7</f>
        <v>0</v>
      </c>
      <c r="V42" s="168">
        <f t="shared" si="39"/>
        <v>0</v>
      </c>
      <c r="W42" s="168">
        <f t="shared" si="39"/>
        <v>0</v>
      </c>
      <c r="X42" s="168">
        <f t="shared" si="39"/>
        <v>0</v>
      </c>
      <c r="Y42" s="168">
        <f t="shared" si="39"/>
        <v>0</v>
      </c>
      <c r="Z42" s="168">
        <f t="shared" si="39"/>
        <v>0</v>
      </c>
      <c r="AA42" s="168">
        <f t="shared" si="39"/>
        <v>0</v>
      </c>
      <c r="AB42" s="168">
        <f t="shared" si="39"/>
        <v>0</v>
      </c>
      <c r="AC42" s="168">
        <f t="shared" si="39"/>
        <v>0</v>
      </c>
      <c r="AD42" s="168">
        <f t="shared" si="39"/>
        <v>0</v>
      </c>
      <c r="AE42" s="168">
        <f t="shared" si="39"/>
        <v>0</v>
      </c>
      <c r="AF42" s="168"/>
      <c r="AG42" s="168">
        <f t="shared" ref="AG42:AK42" si="40">AG36/AG7</f>
        <v>0.61994962833345968</v>
      </c>
      <c r="AH42" s="168">
        <f t="shared" si="40"/>
        <v>0.62578820249949663</v>
      </c>
      <c r="AI42" s="168">
        <f t="shared" si="40"/>
        <v>0.61303607990494846</v>
      </c>
      <c r="AJ42" s="168">
        <f t="shared" si="40"/>
        <v>0.60136329333149141</v>
      </c>
      <c r="AK42" s="168">
        <f t="shared" si="40"/>
        <v>0.5937417033759449</v>
      </c>
      <c r="AL42" s="226"/>
      <c r="AM42" s="489"/>
      <c r="AN42" s="310"/>
      <c r="AO42" s="473"/>
    </row>
    <row r="43" spans="2:41">
      <c r="B43" s="171" t="str">
        <f>IF(B1="en","GENERAL &amp; ADMINISTRATION EXPENSES (ADM)","CHI PHÍ QUẢN LÝ")</f>
        <v>CHI PHÍ QUẢN LÝ</v>
      </c>
      <c r="C43" s="172"/>
      <c r="D43" s="172"/>
      <c r="E43" s="172"/>
      <c r="F43" s="239"/>
      <c r="G43" s="175"/>
      <c r="H43" s="175"/>
      <c r="I43" s="175"/>
      <c r="J43" s="175"/>
      <c r="K43" s="175"/>
      <c r="L43" s="175"/>
      <c r="M43" s="175"/>
      <c r="N43" s="176">
        <f t="shared" ref="N43:O43" si="41">N44+N46+N48</f>
        <v>8061207567</v>
      </c>
      <c r="O43" s="176">
        <f t="shared" si="41"/>
        <v>6548520221</v>
      </c>
      <c r="P43" s="176">
        <f>P44+P46+P48</f>
        <v>9935405756.9999847</v>
      </c>
      <c r="Q43" s="176">
        <f>Q44+Q46+Q48</f>
        <v>10349844978</v>
      </c>
      <c r="R43" s="176">
        <f>R44+R46+R48</f>
        <v>14847055790.312706</v>
      </c>
      <c r="S43" s="177"/>
      <c r="T43" s="176">
        <f t="shared" ref="T43:AE43" si="42">T44+T46+T48</f>
        <v>1199611075.761167</v>
      </c>
      <c r="U43" s="176">
        <f t="shared" si="42"/>
        <v>1196364693.2306116</v>
      </c>
      <c r="V43" s="176">
        <f t="shared" si="42"/>
        <v>1157210695.8972783</v>
      </c>
      <c r="W43" s="176">
        <f t="shared" si="42"/>
        <v>1225135773.3417227</v>
      </c>
      <c r="X43" s="176">
        <f t="shared" si="42"/>
        <v>1204154131.8417227</v>
      </c>
      <c r="Y43" s="176">
        <f t="shared" si="42"/>
        <v>1376448171.2343152</v>
      </c>
      <c r="Z43" s="176">
        <f t="shared" si="42"/>
        <v>1219854908.0343153</v>
      </c>
      <c r="AA43" s="176">
        <f t="shared" si="42"/>
        <v>1420275395.8343153</v>
      </c>
      <c r="AB43" s="176">
        <f t="shared" si="42"/>
        <v>1229765080.5343153</v>
      </c>
      <c r="AC43" s="176">
        <f t="shared" si="42"/>
        <v>1190050662.8676486</v>
      </c>
      <c r="AD43" s="176">
        <f t="shared" si="42"/>
        <v>1204104719.8676486</v>
      </c>
      <c r="AE43" s="176">
        <f t="shared" si="42"/>
        <v>1224080481.8676486</v>
      </c>
      <c r="AF43" s="178"/>
      <c r="AG43" s="175">
        <f>AG44+AG46+AG48</f>
        <v>317910418663708</v>
      </c>
      <c r="AH43" s="175">
        <f t="shared" ref="AH43:AK43" si="43">AH44+AH46+AH48</f>
        <v>351184385321662</v>
      </c>
      <c r="AI43" s="175">
        <f t="shared" si="43"/>
        <v>381071966254553</v>
      </c>
      <c r="AJ43" s="175">
        <f t="shared" si="43"/>
        <v>409610799944675</v>
      </c>
      <c r="AK43" s="175">
        <f t="shared" si="43"/>
        <v>443470078085952</v>
      </c>
      <c r="AL43" s="162"/>
      <c r="AM43" s="483"/>
      <c r="AN43" s="480"/>
      <c r="AO43" s="473"/>
    </row>
    <row r="44" spans="2:41" s="214" customFormat="1" outlineLevel="1">
      <c r="B44" s="126"/>
      <c r="C44" s="128"/>
      <c r="D44" s="209" t="str">
        <f>IF(B1="EN", "Salary&amp;Welfare Expenses (ADM)", "Lương &amp; Phúc lợi (Quản lý)")</f>
        <v>Lương &amp; Phúc lợi (Quản lý)</v>
      </c>
      <c r="E44" s="128"/>
      <c r="F44" s="250"/>
      <c r="G44" s="182"/>
      <c r="H44" s="182"/>
      <c r="I44" s="182"/>
      <c r="J44" s="182"/>
      <c r="K44" s="178"/>
      <c r="L44" s="178"/>
      <c r="M44" s="178"/>
      <c r="N44" s="177">
        <f>SUM(DaiLoc:DongLam!N44)</f>
        <v>4213459436</v>
      </c>
      <c r="O44" s="177">
        <f>SUM(DaiLoc:DongLam!O44)</f>
        <v>3664626618</v>
      </c>
      <c r="P44" s="177">
        <f>SUM(DaiLoc:DongLam!P44)</f>
        <v>7418104307.9999847</v>
      </c>
      <c r="Q44" s="177">
        <f>SUM(DaiLoc:DongLam!Q44)</f>
        <v>7538258763</v>
      </c>
      <c r="R44" s="177">
        <f>SUM(DaiLoc:DongLam!R44)</f>
        <v>11548939144.826099</v>
      </c>
      <c r="S44" s="177"/>
      <c r="T44" s="177">
        <f>SUM(DaiLoc:DongLam!T44)</f>
        <v>938821078.74661946</v>
      </c>
      <c r="U44" s="177">
        <f>SUM(DaiLoc:DongLam!U44)</f>
        <v>942573477.74661946</v>
      </c>
      <c r="V44" s="177">
        <f>SUM(DaiLoc:DongLam!V44)</f>
        <v>857118922.41328609</v>
      </c>
      <c r="W44" s="177">
        <f>SUM(DaiLoc:DongLam!W44)</f>
        <v>945210017.74661946</v>
      </c>
      <c r="X44" s="177">
        <f>SUM(DaiLoc:DongLam!X44)</f>
        <v>923052700.24661946</v>
      </c>
      <c r="Y44" s="177">
        <f>SUM(DaiLoc:DongLam!Y44)</f>
        <v>1110515017.0466194</v>
      </c>
      <c r="Z44" s="177">
        <f>SUM(DaiLoc:DongLam!Z44)</f>
        <v>951363934.84661949</v>
      </c>
      <c r="AA44" s="177">
        <f>SUM(DaiLoc:DongLam!AA44)</f>
        <v>1128140647.6466196</v>
      </c>
      <c r="AB44" s="177">
        <f>SUM(DaiLoc:DongLam!AB44)</f>
        <v>943941332.34661961</v>
      </c>
      <c r="AC44" s="177">
        <f>SUM(DaiLoc:DongLam!AC44)</f>
        <v>914944206.67995286</v>
      </c>
      <c r="AD44" s="177">
        <f>SUM(DaiLoc:DongLam!AD44)</f>
        <v>943998245.67995286</v>
      </c>
      <c r="AE44" s="177">
        <f>SUM(DaiLoc:DongLam!AE44)</f>
        <v>949259563.67995286</v>
      </c>
      <c r="AF44" s="178"/>
      <c r="AG44" s="178">
        <v>189485423854352</v>
      </c>
      <c r="AH44" s="178">
        <v>198970731952184</v>
      </c>
      <c r="AI44" s="178">
        <v>213100080601587</v>
      </c>
      <c r="AJ44" s="178">
        <v>224382758943996</v>
      </c>
      <c r="AK44" s="178">
        <v>240199052340779</v>
      </c>
      <c r="AL44" s="123"/>
      <c r="AM44" s="492"/>
      <c r="AN44" s="480"/>
      <c r="AO44" s="473"/>
    </row>
    <row r="45" spans="2:41" s="125" customFormat="1" outlineLevel="1">
      <c r="B45" s="126"/>
      <c r="C45" s="128"/>
      <c r="D45" s="128"/>
      <c r="E45" s="128"/>
      <c r="F45" s="129" t="str">
        <f>IF(B1="EN", "Growth (%)", "Tăng trưởng (%)")</f>
        <v>Tăng trưởng (%)</v>
      </c>
      <c r="G45" s="182"/>
      <c r="H45" s="130"/>
      <c r="I45" s="130"/>
      <c r="J45" s="130"/>
      <c r="K45" s="131"/>
      <c r="L45" s="131"/>
      <c r="M45" s="131"/>
      <c r="N45" s="131">
        <f>IFERROR(N44/M44-1,)</f>
        <v>0</v>
      </c>
      <c r="O45" s="131">
        <f t="shared" ref="O45" si="44">IFERROR(O44/N44-1,)</f>
        <v>-0.13025705511977781</v>
      </c>
      <c r="P45" s="131">
        <f>IFERROR(P44/O44-1,)</f>
        <v>1.0242456002375695</v>
      </c>
      <c r="Q45" s="131">
        <f>IFERROR(Q44/O44-1,)</f>
        <v>1.0570332393410564</v>
      </c>
      <c r="R45" s="131">
        <f>IFERROR(R44/Q44-1,)</f>
        <v>0.53204334156207311</v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251">
        <v>882316405029.06006</v>
      </c>
      <c r="AH45" s="251">
        <v>6297029871851.3203</v>
      </c>
      <c r="AI45" s="251">
        <v>8562881493630.4502</v>
      </c>
      <c r="AJ45" s="251">
        <v>854342411293.29004</v>
      </c>
      <c r="AK45" s="251">
        <v>886523398192.06995</v>
      </c>
      <c r="AL45" s="123"/>
      <c r="AM45" s="196"/>
      <c r="AN45" s="474"/>
      <c r="AO45" s="473"/>
    </row>
    <row r="46" spans="2:41" s="214" customFormat="1" outlineLevel="1">
      <c r="B46" s="126"/>
      <c r="C46" s="128"/>
      <c r="D46" s="209" t="str">
        <f>IF(B1="EN", "Operating Expenses (ADM)", "Chi phí hoạt động (Quản lý)")</f>
        <v>Chi phí hoạt động (Quản lý)</v>
      </c>
      <c r="E46" s="128"/>
      <c r="F46" s="250"/>
      <c r="G46" s="182"/>
      <c r="H46" s="182"/>
      <c r="I46" s="182"/>
      <c r="J46" s="182"/>
      <c r="K46" s="178"/>
      <c r="L46" s="178"/>
      <c r="M46" s="178"/>
      <c r="N46" s="177">
        <f>SUM(DaiLoc:DongLam!N46)</f>
        <v>3632514290</v>
      </c>
      <c r="O46" s="177">
        <f>SUM(DaiLoc:DongLam!O46)</f>
        <v>2769696371</v>
      </c>
      <c r="P46" s="177">
        <f>SUM(DaiLoc:DongLam!P46)</f>
        <v>2313693872.0000005</v>
      </c>
      <c r="Q46" s="177">
        <f>SUM(DaiLoc:DongLam!Q46)</f>
        <v>2447202200</v>
      </c>
      <c r="R46" s="177">
        <f>SUM(DaiLoc:DongLam!R46)</f>
        <v>3077805206.2760811</v>
      </c>
      <c r="S46" s="178"/>
      <c r="T46" s="177">
        <f>SUM(DaiLoc:DongLam!T46)</f>
        <v>244305710.41367033</v>
      </c>
      <c r="U46" s="177">
        <f>SUM(DaiLoc:DongLam!U46)</f>
        <v>237306928.88311478</v>
      </c>
      <c r="V46" s="177">
        <f>SUM(DaiLoc:DongLam!V46)</f>
        <v>283607486.88311481</v>
      </c>
      <c r="W46" s="177">
        <f>SUM(DaiLoc:DongLam!W46)</f>
        <v>260941468.99422589</v>
      </c>
      <c r="X46" s="177">
        <f>SUM(DaiLoc:DongLam!X46)</f>
        <v>262117144.99422589</v>
      </c>
      <c r="Y46" s="177">
        <f>SUM(DaiLoc:DongLam!Y46)</f>
        <v>246948867.58681849</v>
      </c>
      <c r="Z46" s="177">
        <f>SUM(DaiLoc:DongLam!Z46)</f>
        <v>249506686.58681849</v>
      </c>
      <c r="AA46" s="177">
        <f>SUM(DaiLoc:DongLam!AA46)</f>
        <v>273150461.58681846</v>
      </c>
      <c r="AB46" s="177">
        <f>SUM(DaiLoc:DongLam!AB46)</f>
        <v>266839461.58681849</v>
      </c>
      <c r="AC46" s="177">
        <f>SUM(DaiLoc:DongLam!AC46)</f>
        <v>256122169.58681849</v>
      </c>
      <c r="AD46" s="177">
        <f>SUM(DaiLoc:DongLam!AD46)</f>
        <v>241122187.58681849</v>
      </c>
      <c r="AE46" s="177">
        <f>SUM(DaiLoc:DongLam!AE46)</f>
        <v>255836631.58681849</v>
      </c>
      <c r="AF46" s="178"/>
      <c r="AG46" s="178">
        <v>128416183705295</v>
      </c>
      <c r="AH46" s="178">
        <v>152205862380305</v>
      </c>
      <c r="AI46" s="178">
        <v>167965498397799</v>
      </c>
      <c r="AJ46" s="178">
        <v>185227433130991</v>
      </c>
      <c r="AK46" s="178">
        <v>203269537541841</v>
      </c>
      <c r="AL46" s="123"/>
      <c r="AM46" s="489"/>
      <c r="AN46" s="480"/>
      <c r="AO46" s="473"/>
    </row>
    <row r="47" spans="2:41" s="125" customFormat="1" outlineLevel="1">
      <c r="B47" s="126"/>
      <c r="C47" s="128"/>
      <c r="D47" s="128"/>
      <c r="E47" s="128"/>
      <c r="F47" s="129" t="str">
        <f>IF(B1="EN", "Growth (%)", "Tăng trưởng (%)")</f>
        <v>Tăng trưởng (%)</v>
      </c>
      <c r="G47" s="182"/>
      <c r="H47" s="130"/>
      <c r="I47" s="130"/>
      <c r="J47" s="130"/>
      <c r="K47" s="131"/>
      <c r="L47" s="131"/>
      <c r="M47" s="131"/>
      <c r="N47" s="131">
        <f>IFERROR(N46/M46-1,)</f>
        <v>0</v>
      </c>
      <c r="O47" s="131">
        <f t="shared" ref="O47" si="45">IFERROR(O46/N46-1,)</f>
        <v>-0.237526366069712</v>
      </c>
      <c r="P47" s="131">
        <f>IFERROR(P46/O46-1,)</f>
        <v>-0.16463988752505732</v>
      </c>
      <c r="Q47" s="131">
        <f>IFERROR(Q46/O46-1,)</f>
        <v>-0.11643665145994442</v>
      </c>
      <c r="R47" s="131">
        <f>IFERROR(R46/Q46-1,)</f>
        <v>0.25768324590263969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251">
        <v>6565991010430.3604</v>
      </c>
      <c r="AH47" s="251">
        <v>6525416959720.9805</v>
      </c>
      <c r="AI47" s="251">
        <v>6335335018549.9404</v>
      </c>
      <c r="AJ47" s="251">
        <v>6167189288903.6797</v>
      </c>
      <c r="AK47" s="251">
        <v>6063688714070.4805</v>
      </c>
      <c r="AL47" s="123"/>
      <c r="AM47" s="196"/>
      <c r="AN47" s="474"/>
      <c r="AO47" s="473"/>
    </row>
    <row r="48" spans="2:41" s="125" customFormat="1" outlineLevel="1">
      <c r="B48" s="126"/>
      <c r="C48" s="128"/>
      <c r="D48" s="209" t="str">
        <f>IF(B1="EN", "Depreciation &amp; Amortization (ADM)", "Chi phí khấu hao (Quản lý)")</f>
        <v>Chi phí khấu hao (Quản lý)</v>
      </c>
      <c r="E48" s="128"/>
      <c r="F48" s="129"/>
      <c r="G48" s="182"/>
      <c r="H48" s="130"/>
      <c r="I48" s="130"/>
      <c r="J48" s="130"/>
      <c r="K48" s="254"/>
      <c r="L48" s="254"/>
      <c r="M48" s="254"/>
      <c r="N48" s="177">
        <f>SUM(DaiLoc:DongLam!N48)</f>
        <v>215233841</v>
      </c>
      <c r="O48" s="177">
        <f>SUM(DaiLoc:DongLam!O48)</f>
        <v>114197232</v>
      </c>
      <c r="P48" s="177">
        <f>SUM(DaiLoc:DongLam!P48)</f>
        <v>203607577.00000036</v>
      </c>
      <c r="Q48" s="177">
        <f>SUM(DaiLoc:DongLam!Q48)</f>
        <v>364384015</v>
      </c>
      <c r="R48" s="177">
        <f>SUM(DaiLoc:DongLam!R48)</f>
        <v>220311439.21052635</v>
      </c>
      <c r="S48" s="254"/>
      <c r="T48" s="177">
        <f>SUM(DaiLoc:DongLam!T48)</f>
        <v>16484286.600877196</v>
      </c>
      <c r="U48" s="177">
        <f>SUM(DaiLoc:DongLam!U48)</f>
        <v>16484286.600877196</v>
      </c>
      <c r="V48" s="177">
        <f>SUM(DaiLoc:DongLam!V48)</f>
        <v>16484286.600877196</v>
      </c>
      <c r="W48" s="177">
        <f>SUM(DaiLoc:DongLam!W48)</f>
        <v>18984286.600877196</v>
      </c>
      <c r="X48" s="177">
        <f>SUM(DaiLoc:DongLam!X48)</f>
        <v>18984286.600877196</v>
      </c>
      <c r="Y48" s="177">
        <f>SUM(DaiLoc:DongLam!Y48)</f>
        <v>18984286.600877196</v>
      </c>
      <c r="Z48" s="177">
        <f>SUM(DaiLoc:DongLam!Z48)</f>
        <v>18984286.600877196</v>
      </c>
      <c r="AA48" s="177">
        <f>SUM(DaiLoc:DongLam!AA48)</f>
        <v>18984286.600877196</v>
      </c>
      <c r="AB48" s="177">
        <f>SUM(DaiLoc:DongLam!AB48)</f>
        <v>18984286.600877196</v>
      </c>
      <c r="AC48" s="177">
        <f>SUM(DaiLoc:DongLam!AC48)</f>
        <v>18984286.600877196</v>
      </c>
      <c r="AD48" s="177">
        <f>SUM(DaiLoc:DongLam!AD48)</f>
        <v>18984286.600877196</v>
      </c>
      <c r="AE48" s="177">
        <f>SUM(DaiLoc:DongLam!AE48)</f>
        <v>18984286.600877196</v>
      </c>
      <c r="AF48" s="254"/>
      <c r="AG48" s="260">
        <v>8811104061</v>
      </c>
      <c r="AH48" s="260">
        <v>7790989173</v>
      </c>
      <c r="AI48" s="260">
        <v>6387255167</v>
      </c>
      <c r="AJ48" s="260">
        <v>607869688</v>
      </c>
      <c r="AK48" s="260">
        <v>1488203332</v>
      </c>
      <c r="AL48" s="123"/>
      <c r="AM48" s="196"/>
      <c r="AN48" s="480"/>
      <c r="AO48" s="473"/>
    </row>
    <row r="49" spans="2:45" s="170" customFormat="1" outlineLevel="1">
      <c r="B49" s="163"/>
      <c r="C49" s="164" t="str">
        <f>IF(B1="EN", "ADM Expenses on Net Sales (%)", "Chi phí Quản lý / Doanh thu (%)")</f>
        <v>Chi phí Quản lý / Doanh thu (%)</v>
      </c>
      <c r="D49" s="165"/>
      <c r="E49" s="165"/>
      <c r="F49" s="166"/>
      <c r="G49" s="167"/>
      <c r="H49" s="167"/>
      <c r="I49" s="167"/>
      <c r="J49" s="167"/>
      <c r="K49" s="168"/>
      <c r="L49" s="168"/>
      <c r="M49" s="168"/>
      <c r="N49" s="168">
        <f t="shared" ref="N49:O49" si="46">IFERROR(N43/N7,)</f>
        <v>4.194674928352167E-2</v>
      </c>
      <c r="O49" s="168">
        <f t="shared" si="46"/>
        <v>2.4883257261732641E-2</v>
      </c>
      <c r="P49" s="168">
        <f>IFERROR(P43/P7,)</f>
        <v>2.6652187650973286E-2</v>
      </c>
      <c r="Q49" s="168">
        <f>IFERROR(Q43/Q7,)</f>
        <v>2.7794115290511429E-2</v>
      </c>
      <c r="R49" s="168">
        <f>IFERROR(R43/R7,)</f>
        <v>3.2403136874222707E-2</v>
      </c>
      <c r="S49" s="168"/>
      <c r="T49" s="168">
        <f>T43/T7</f>
        <v>4.2232456378494404E-2</v>
      </c>
      <c r="U49" s="168">
        <f t="shared" ref="U49:AE49" si="47">U43/U7</f>
        <v>5.91950403755271E-2</v>
      </c>
      <c r="V49" s="168">
        <f t="shared" si="47"/>
        <v>3.4720001197045235E-2</v>
      </c>
      <c r="W49" s="168">
        <f t="shared" si="47"/>
        <v>3.027386654304081E-2</v>
      </c>
      <c r="X49" s="168">
        <f t="shared" si="47"/>
        <v>2.9279693960388667E-2</v>
      </c>
      <c r="Y49" s="168">
        <f t="shared" si="47"/>
        <v>3.3469121718194467E-2</v>
      </c>
      <c r="Z49" s="168">
        <f t="shared" si="47"/>
        <v>2.9194727595675179E-2</v>
      </c>
      <c r="AA49" s="168">
        <f t="shared" si="47"/>
        <v>3.3972250073491174E-2</v>
      </c>
      <c r="AB49" s="168">
        <f t="shared" si="47"/>
        <v>2.9885997297821713E-2</v>
      </c>
      <c r="AC49" s="168">
        <f t="shared" si="47"/>
        <v>2.7576806109593292E-2</v>
      </c>
      <c r="AD49" s="168">
        <f t="shared" si="47"/>
        <v>2.833444169529702E-2</v>
      </c>
      <c r="AE49" s="168">
        <f t="shared" si="47"/>
        <v>2.8372316787325654E-2</v>
      </c>
      <c r="AF49" s="168"/>
      <c r="AG49" s="168">
        <f t="shared" ref="AG49:AK49" si="48">AG43/AG7</f>
        <v>0.51348530125984082</v>
      </c>
      <c r="AH49" s="168">
        <f t="shared" si="48"/>
        <v>0.51676735320483658</v>
      </c>
      <c r="AI49" s="168">
        <f t="shared" si="48"/>
        <v>0.50435701677824918</v>
      </c>
      <c r="AJ49" s="168">
        <f t="shared" si="48"/>
        <v>0.48833909554873545</v>
      </c>
      <c r="AK49" s="168">
        <f t="shared" si="48"/>
        <v>0.47902912298448008</v>
      </c>
      <c r="AL49" s="169"/>
      <c r="AM49" s="196"/>
      <c r="AN49" s="310"/>
      <c r="AO49" s="473"/>
    </row>
    <row r="50" spans="2:45" s="192" customFormat="1" outlineLevel="1">
      <c r="B50" s="142"/>
      <c r="C50" s="237"/>
      <c r="E50" s="143"/>
      <c r="F50" s="188"/>
      <c r="G50" s="261"/>
      <c r="H50" s="261"/>
      <c r="I50" s="261"/>
      <c r="J50" s="261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144"/>
      <c r="AM50" s="493"/>
      <c r="AN50" s="494"/>
      <c r="AO50" s="473"/>
    </row>
    <row r="51" spans="2:45" s="141" customFormat="1">
      <c r="B51" s="243" t="s">
        <v>111</v>
      </c>
      <c r="C51" s="264"/>
      <c r="D51" s="264"/>
      <c r="E51" s="264"/>
      <c r="F51" s="265"/>
      <c r="G51" s="247"/>
      <c r="H51" s="247"/>
      <c r="I51" s="247"/>
      <c r="J51" s="247"/>
      <c r="K51" s="247"/>
      <c r="L51" s="247"/>
      <c r="M51" s="247"/>
      <c r="N51" s="248">
        <f t="shared" ref="N51" si="49">N34-N36-N43</f>
        <v>-27369089275.476929</v>
      </c>
      <c r="O51" s="248">
        <f>O34-O36-O43</f>
        <v>-17803166153.131836</v>
      </c>
      <c r="P51" s="248">
        <f>P34-P36-P43</f>
        <v>-9607509258.4720917</v>
      </c>
      <c r="Q51" s="248">
        <f>Q34-Q36-Q43</f>
        <v>71568082.090270996</v>
      </c>
      <c r="R51" s="248">
        <f>R34-R36-R43+R57</f>
        <v>223330367.68772125</v>
      </c>
      <c r="S51" s="138"/>
      <c r="T51" s="248">
        <f t="shared" ref="T51:AK51" si="50">T34-T36-T43</f>
        <v>-387474496.03964758</v>
      </c>
      <c r="U51" s="248">
        <f t="shared" si="50"/>
        <v>-1360915543.3920877</v>
      </c>
      <c r="V51" s="248">
        <f t="shared" si="50"/>
        <v>-163080180.41858721</v>
      </c>
      <c r="W51" s="248">
        <f t="shared" si="50"/>
        <v>229169243.70071197</v>
      </c>
      <c r="X51" s="248">
        <f t="shared" si="50"/>
        <v>227062128.36876464</v>
      </c>
      <c r="Y51" s="248">
        <f t="shared" si="50"/>
        <v>-63848268.389374971</v>
      </c>
      <c r="Z51" s="248">
        <f t="shared" si="50"/>
        <v>127923061.27162337</v>
      </c>
      <c r="AA51" s="248">
        <f t="shared" si="50"/>
        <v>-34286627.404940605</v>
      </c>
      <c r="AB51" s="248">
        <f t="shared" si="50"/>
        <v>23348379.363717794</v>
      </c>
      <c r="AC51" s="248">
        <f t="shared" si="50"/>
        <v>588385537.53237581</v>
      </c>
      <c r="AD51" s="248">
        <f t="shared" si="50"/>
        <v>391318078.64328432</v>
      </c>
      <c r="AE51" s="248">
        <f t="shared" si="50"/>
        <v>488680939.45183229</v>
      </c>
      <c r="AF51" s="121"/>
      <c r="AG51" s="247">
        <f t="shared" si="50"/>
        <v>-1153920316057375</v>
      </c>
      <c r="AH51" s="247">
        <f t="shared" si="50"/>
        <v>-1326182881835906</v>
      </c>
      <c r="AI51" s="247">
        <f t="shared" si="50"/>
        <v>-1120289784694718</v>
      </c>
      <c r="AJ51" s="247">
        <f t="shared" si="50"/>
        <v>-2007773400657083</v>
      </c>
      <c r="AK51" s="247">
        <f t="shared" si="50"/>
        <v>-2191732968486660</v>
      </c>
      <c r="AL51" s="139"/>
      <c r="AM51" s="483"/>
      <c r="AN51" s="476"/>
      <c r="AO51" s="473"/>
    </row>
    <row r="52" spans="2:45" outlineLevel="1">
      <c r="B52" s="142"/>
      <c r="C52" s="143" t="str">
        <f>IF(B1="EN", "EBIT margin (%)", "Tỷ lệ EBIT (%)")</f>
        <v>Tỷ lệ EBIT (%)</v>
      </c>
      <c r="D52" s="143"/>
      <c r="E52" s="143"/>
      <c r="F52" s="188"/>
      <c r="G52" s="130"/>
      <c r="H52" s="130"/>
      <c r="I52" s="130"/>
      <c r="J52" s="130"/>
      <c r="K52" s="131"/>
      <c r="L52" s="131"/>
      <c r="M52" s="131"/>
      <c r="N52" s="131">
        <f t="shared" ref="N52:O52" si="51">IFERROR(N51/N$7,)</f>
        <v>-0.14241592421667418</v>
      </c>
      <c r="O52" s="131">
        <f t="shared" si="51"/>
        <v>-6.7648987635576321E-2</v>
      </c>
      <c r="P52" s="131">
        <f>IFERROR(P51/P$7,)</f>
        <v>-2.5772590056007894E-2</v>
      </c>
      <c r="Q52" s="131">
        <f>IFERROR(Q51/Q$7,)</f>
        <v>1.9219336414854832E-4</v>
      </c>
      <c r="R52" s="131">
        <f>IFERROR(R51/R$7,)</f>
        <v>4.8741006799997351E-4</v>
      </c>
      <c r="S52" s="131"/>
      <c r="T52" s="131">
        <f>T51/T7</f>
        <v>-1.3641087584482641E-2</v>
      </c>
      <c r="U52" s="131">
        <f t="shared" ref="U52:AE52" si="52">U51/U7</f>
        <v>-6.733686725678753E-2</v>
      </c>
      <c r="V52" s="131">
        <f t="shared" si="52"/>
        <v>-4.8929240625082424E-3</v>
      </c>
      <c r="W52" s="131">
        <f t="shared" si="52"/>
        <v>5.6629144708109048E-3</v>
      </c>
      <c r="X52" s="131">
        <f t="shared" si="52"/>
        <v>5.5211450534687744E-3</v>
      </c>
      <c r="Y52" s="131">
        <f t="shared" si="52"/>
        <v>-1.552507032868267E-3</v>
      </c>
      <c r="Z52" s="131">
        <f t="shared" si="52"/>
        <v>3.0615763419339793E-3</v>
      </c>
      <c r="AA52" s="131">
        <f t="shared" si="52"/>
        <v>-8.2011832620181436E-4</v>
      </c>
      <c r="AB52" s="131">
        <f t="shared" si="52"/>
        <v>5.6741699176350547E-4</v>
      </c>
      <c r="AC52" s="131">
        <f t="shared" si="52"/>
        <v>1.363454043806848E-2</v>
      </c>
      <c r="AD52" s="131">
        <f t="shared" si="52"/>
        <v>9.208318097825019E-3</v>
      </c>
      <c r="AE52" s="131">
        <f t="shared" si="52"/>
        <v>1.1326878115808745E-2</v>
      </c>
      <c r="AF52" s="131"/>
      <c r="AG52" s="131">
        <f t="shared" ref="AG52:AK52" si="53">AG51/AG$7</f>
        <v>-1.863799002282315</v>
      </c>
      <c r="AH52" s="131">
        <f t="shared" si="53"/>
        <v>-1.9514763365238688</v>
      </c>
      <c r="AI52" s="131">
        <f t="shared" si="53"/>
        <v>-1.482727840857079</v>
      </c>
      <c r="AJ52" s="131">
        <f t="shared" si="53"/>
        <v>-2.3936728393785485</v>
      </c>
      <c r="AK52" s="131">
        <f t="shared" si="53"/>
        <v>-2.3674740948516635</v>
      </c>
      <c r="AL52" s="144"/>
      <c r="AM52" s="196"/>
      <c r="AN52" s="474"/>
      <c r="AO52" s="473"/>
    </row>
    <row r="53" spans="2:45" outlineLevel="1">
      <c r="B53" s="267"/>
      <c r="C53" s="268" t="str">
        <f>IF(B1="EN", "Depreciation &amp; Amortization Total", "Tổng chi phí Khấu hao")</f>
        <v>Tổng chi phí Khấu hao</v>
      </c>
      <c r="D53" s="269"/>
      <c r="E53" s="269"/>
      <c r="F53" s="270"/>
      <c r="G53" s="183"/>
      <c r="H53" s="183"/>
      <c r="I53" s="183"/>
      <c r="J53" s="183"/>
      <c r="K53" s="184"/>
      <c r="L53" s="184"/>
      <c r="M53" s="184"/>
      <c r="N53" s="185">
        <f t="shared" ref="N53" si="54">N30+N48+N41</f>
        <v>7690123974</v>
      </c>
      <c r="O53" s="185">
        <f>O30+O48+O41</f>
        <v>11938900184</v>
      </c>
      <c r="P53" s="185">
        <f>P30+P48+P41</f>
        <v>15133857965.666668</v>
      </c>
      <c r="Q53" s="185">
        <f>Q30+Q48+Q41</f>
        <v>13405071714.666668</v>
      </c>
      <c r="R53" s="185">
        <f>R30+R48+R41</f>
        <v>8817976803.6219673</v>
      </c>
      <c r="S53" s="184"/>
      <c r="T53" s="185">
        <f>T30+T48+T41</f>
        <v>689082523.48940516</v>
      </c>
      <c r="U53" s="185">
        <f t="shared" ref="U53:AE53" si="55">U30+U48+U41</f>
        <v>683417989.10589266</v>
      </c>
      <c r="V53" s="185">
        <f t="shared" si="55"/>
        <v>703055213.32094646</v>
      </c>
      <c r="W53" s="185">
        <f t="shared" si="55"/>
        <v>744049872.81915438</v>
      </c>
      <c r="X53" s="185">
        <f t="shared" si="55"/>
        <v>744049872.81915438</v>
      </c>
      <c r="Y53" s="185">
        <f t="shared" si="55"/>
        <v>744049872.81915438</v>
      </c>
      <c r="Z53" s="185">
        <f t="shared" si="55"/>
        <v>744049872.81915438</v>
      </c>
      <c r="AA53" s="185">
        <f t="shared" si="55"/>
        <v>744049872.81915438</v>
      </c>
      <c r="AB53" s="185">
        <f t="shared" si="55"/>
        <v>744049872.81915438</v>
      </c>
      <c r="AC53" s="185">
        <f t="shared" si="55"/>
        <v>761410983.93026543</v>
      </c>
      <c r="AD53" s="185">
        <f t="shared" si="55"/>
        <v>761410983.93026543</v>
      </c>
      <c r="AE53" s="185">
        <f t="shared" si="55"/>
        <v>755299872.93026543</v>
      </c>
      <c r="AF53" s="184"/>
      <c r="AG53" s="184">
        <f>AG48+AG41+AG30</f>
        <v>16443218328732</v>
      </c>
      <c r="AH53" s="184">
        <f t="shared" ref="AH53:AK53" si="56">AH48+AH41+AH30</f>
        <v>193461209563071</v>
      </c>
      <c r="AI53" s="184">
        <f t="shared" si="56"/>
        <v>240156674109768</v>
      </c>
      <c r="AJ53" s="184">
        <f t="shared" si="56"/>
        <v>299529910205941</v>
      </c>
      <c r="AK53" s="184">
        <f t="shared" si="56"/>
        <v>352440475651258</v>
      </c>
      <c r="AL53" s="271"/>
      <c r="AM53" s="196"/>
      <c r="AN53" s="481"/>
      <c r="AO53" s="473"/>
    </row>
    <row r="54" spans="2:45" s="277" customFormat="1" outlineLevel="1">
      <c r="B54" s="272"/>
      <c r="C54" s="273" t="str">
        <f>IF(B1="EN", "Depreciation on Net Sales (%)", "Tổng Chi phí Khấu hao / Doanh thu (%)")</f>
        <v>Tổng Chi phí Khấu hao / Doanh thu (%)</v>
      </c>
      <c r="D54" s="273"/>
      <c r="E54" s="273"/>
      <c r="F54" s="274"/>
      <c r="G54" s="275"/>
      <c r="H54" s="275"/>
      <c r="I54" s="275"/>
      <c r="J54" s="275"/>
      <c r="K54" s="276"/>
      <c r="L54" s="276"/>
      <c r="M54" s="276"/>
      <c r="N54" s="276">
        <f t="shared" ref="N54:O54" si="57">IFERROR(N53/N7,)</f>
        <v>4.0015804036246237E-2</v>
      </c>
      <c r="O54" s="276">
        <f t="shared" si="57"/>
        <v>4.5365779546337477E-2</v>
      </c>
      <c r="P54" s="276">
        <f>IFERROR(P53/P7,)</f>
        <v>4.0597277277774443E-2</v>
      </c>
      <c r="Q54" s="276">
        <f>IFERROR(Q53/Q7,)</f>
        <v>3.599881056257296E-2</v>
      </c>
      <c r="R54" s="168">
        <f>IFERROR(R53/R7,)</f>
        <v>1.9244900359835282E-2</v>
      </c>
      <c r="S54" s="168"/>
      <c r="T54" s="276">
        <f>T53/T7</f>
        <v>2.4259235515964053E-2</v>
      </c>
      <c r="U54" s="276">
        <f t="shared" ref="U54:AE54" si="58">U53/U7</f>
        <v>3.38149025020473E-2</v>
      </c>
      <c r="V54" s="276">
        <f t="shared" si="58"/>
        <v>2.109389235221773E-2</v>
      </c>
      <c r="W54" s="276">
        <f t="shared" si="58"/>
        <v>1.8385934882672532E-2</v>
      </c>
      <c r="X54" s="276">
        <f t="shared" si="58"/>
        <v>1.809199668990091E-2</v>
      </c>
      <c r="Y54" s="276">
        <f t="shared" si="58"/>
        <v>1.809199668990091E-2</v>
      </c>
      <c r="Z54" s="276">
        <f t="shared" si="58"/>
        <v>1.7807309059038448E-2</v>
      </c>
      <c r="AA54" s="276">
        <f t="shared" si="58"/>
        <v>1.7797286653489529E-2</v>
      </c>
      <c r="AB54" s="276">
        <f t="shared" si="58"/>
        <v>1.8082049035622577E-2</v>
      </c>
      <c r="AC54" s="276">
        <f t="shared" si="58"/>
        <v>1.7644024518219014E-2</v>
      </c>
      <c r="AD54" s="276">
        <f t="shared" si="58"/>
        <v>1.791717512136503E-2</v>
      </c>
      <c r="AE54" s="276">
        <f t="shared" si="58"/>
        <v>1.7506697951353609E-2</v>
      </c>
      <c r="AF54" s="168"/>
      <c r="AG54" s="276">
        <f t="shared" ref="AG54:AK54" si="59">AG53/AG7</f>
        <v>2.6558899682183217E-2</v>
      </c>
      <c r="AH54" s="276">
        <f t="shared" si="59"/>
        <v>0.28467791106983403</v>
      </c>
      <c r="AI54" s="168">
        <f t="shared" si="59"/>
        <v>0.31785256969671299</v>
      </c>
      <c r="AJ54" s="168">
        <f t="shared" si="59"/>
        <v>0.35710036322167227</v>
      </c>
      <c r="AK54" s="168">
        <f t="shared" si="59"/>
        <v>0.38070043571853601</v>
      </c>
      <c r="AL54" s="169"/>
      <c r="AM54" s="493"/>
      <c r="AN54" s="495"/>
      <c r="AO54" s="473"/>
    </row>
    <row r="55" spans="2:45" s="141" customFormat="1" ht="17" thickBot="1">
      <c r="B55" s="132" t="s">
        <v>112</v>
      </c>
      <c r="C55" s="133"/>
      <c r="D55" s="133"/>
      <c r="E55" s="133"/>
      <c r="F55" s="134"/>
      <c r="G55" s="136"/>
      <c r="H55" s="136"/>
      <c r="I55" s="136"/>
      <c r="J55" s="136"/>
      <c r="K55" s="136"/>
      <c r="L55" s="136"/>
      <c r="M55" s="136"/>
      <c r="N55" s="137">
        <f>N65+N53+N61+N59-N64</f>
        <v>-19570977368.476929</v>
      </c>
      <c r="O55" s="137">
        <f>O65+O53+O61+O59-O64</f>
        <v>-6055179349.1318359</v>
      </c>
      <c r="P55" s="137">
        <f t="shared" ref="P55" si="60">P65+P53+P61+P59-P64</f>
        <v>5536348707.1945763</v>
      </c>
      <c r="Q55" s="137">
        <f>Q65+Q53+Q61+Q59-Q64</f>
        <v>14330217307.756939</v>
      </c>
      <c r="R55" s="137">
        <f>R65+R53+R61+R59-R64</f>
        <v>9041307171.3096886</v>
      </c>
      <c r="S55" s="138"/>
      <c r="T55" s="137">
        <f t="shared" ref="T55:AE55" si="61">T65+T53+T61+T59-T64</f>
        <v>322678027.44975758</v>
      </c>
      <c r="U55" s="137">
        <f t="shared" si="61"/>
        <v>-656427554.28619504</v>
      </c>
      <c r="V55" s="137">
        <f t="shared" si="61"/>
        <v>561045032.90235925</v>
      </c>
      <c r="W55" s="137">
        <f t="shared" si="61"/>
        <v>984289116.51986635</v>
      </c>
      <c r="X55" s="137">
        <f t="shared" si="61"/>
        <v>982182001.18791902</v>
      </c>
      <c r="Y55" s="137">
        <f t="shared" si="61"/>
        <v>691271604.42977941</v>
      </c>
      <c r="Z55" s="137">
        <f t="shared" si="61"/>
        <v>883042934.09077775</v>
      </c>
      <c r="AA55" s="137">
        <f t="shared" si="61"/>
        <v>720833245.41421378</v>
      </c>
      <c r="AB55" s="137">
        <f t="shared" si="61"/>
        <v>778468252.18287218</v>
      </c>
      <c r="AC55" s="137">
        <f t="shared" si="61"/>
        <v>1360866521.4626412</v>
      </c>
      <c r="AD55" s="137">
        <f t="shared" si="61"/>
        <v>1163799062.5735497</v>
      </c>
      <c r="AE55" s="137">
        <f t="shared" si="61"/>
        <v>1255050812.3820977</v>
      </c>
      <c r="AF55" s="121"/>
      <c r="AG55" s="136">
        <f t="shared" ref="AG55:AK55" si="62">AG51+AG53+AG57+AG63</f>
        <v>-872839376410820</v>
      </c>
      <c r="AH55" s="136">
        <f t="shared" si="62"/>
        <v>-1132721672259335</v>
      </c>
      <c r="AI55" s="136">
        <f t="shared" si="62"/>
        <v>-880133110574450</v>
      </c>
      <c r="AJ55" s="136">
        <f t="shared" si="62"/>
        <v>-1708243490442142</v>
      </c>
      <c r="AK55" s="136">
        <f t="shared" si="62"/>
        <v>-1839292492815902</v>
      </c>
      <c r="AL55" s="139"/>
      <c r="AM55" s="475"/>
      <c r="AN55" s="476"/>
      <c r="AO55" s="473"/>
      <c r="AP55" s="140"/>
      <c r="AQ55" s="140"/>
      <c r="AR55" s="140"/>
      <c r="AS55" s="140"/>
    </row>
    <row r="56" spans="2:45" s="279" customFormat="1" ht="17" thickTop="1">
      <c r="B56" s="223"/>
      <c r="C56" s="165" t="str">
        <f>IF(B1="EN", "EBITDA margin (%)", "Tỷ lệ EBITDA (%)")</f>
        <v>Tỷ lệ EBITDA (%)</v>
      </c>
      <c r="D56" s="165"/>
      <c r="E56" s="165"/>
      <c r="F56" s="278"/>
      <c r="G56" s="167"/>
      <c r="H56" s="167"/>
      <c r="I56" s="167"/>
      <c r="J56" s="167"/>
      <c r="K56" s="168"/>
      <c r="L56" s="168"/>
      <c r="M56" s="168"/>
      <c r="N56" s="168">
        <f>IFERROR(N55/N7,)</f>
        <v>-0.10183820154558966</v>
      </c>
      <c r="O56" s="168">
        <f t="shared" ref="O56:R56" si="63">IFERROR(O55/O7,)</f>
        <v>-2.3008646293432324E-2</v>
      </c>
      <c r="P56" s="168">
        <f>IFERROR(P55/P7,)</f>
        <v>1.4851512686476125E-2</v>
      </c>
      <c r="Q56" s="168">
        <f>IFERROR(Q55/Q7,)</f>
        <v>3.8483253888006073E-2</v>
      </c>
      <c r="R56" s="168">
        <f t="shared" si="63"/>
        <v>1.9732310427835253E-2</v>
      </c>
      <c r="S56" s="168"/>
      <c r="T56" s="168">
        <f>T55/T7</f>
        <v>1.1359919888972107E-2</v>
      </c>
      <c r="U56" s="168">
        <f t="shared" ref="U56:AE56" si="64">U55/U7</f>
        <v>-3.2479440257177236E-2</v>
      </c>
      <c r="V56" s="168">
        <f t="shared" si="64"/>
        <v>1.6833135299412515E-2</v>
      </c>
      <c r="W56" s="168">
        <f t="shared" si="64"/>
        <v>2.4322395934951176E-2</v>
      </c>
      <c r="X56" s="168">
        <f t="shared" si="64"/>
        <v>2.3882315102137102E-2</v>
      </c>
      <c r="Y56" s="168">
        <f t="shared" si="64"/>
        <v>1.6808663015800061E-2</v>
      </c>
      <c r="Z56" s="168">
        <f t="shared" si="64"/>
        <v>2.1133823167222766E-2</v>
      </c>
      <c r="AA56" s="168">
        <f t="shared" si="64"/>
        <v>1.7241956979838182E-2</v>
      </c>
      <c r="AB56" s="168">
        <f t="shared" si="64"/>
        <v>1.8918491384605642E-2</v>
      </c>
      <c r="AC56" s="168">
        <f t="shared" si="64"/>
        <v>3.15350878533023E-2</v>
      </c>
      <c r="AD56" s="168">
        <f t="shared" si="64"/>
        <v>2.7385987397471664E-2</v>
      </c>
      <c r="AE56" s="168">
        <f t="shared" si="64"/>
        <v>2.909016176678603E-2</v>
      </c>
      <c r="AF56" s="168"/>
      <c r="AG56" s="168">
        <f t="shared" ref="AG56:AK56" si="65">AG55/AG7</f>
        <v>-1.4098002576690201</v>
      </c>
      <c r="AH56" s="168">
        <f t="shared" si="65"/>
        <v>-1.6667984254341697</v>
      </c>
      <c r="AI56" s="168">
        <f t="shared" si="65"/>
        <v>-1.1648752711464689</v>
      </c>
      <c r="AJ56" s="168">
        <f t="shared" si="65"/>
        <v>-2.0365724761461466</v>
      </c>
      <c r="AK56" s="168">
        <f t="shared" si="65"/>
        <v>-1.9867736591120642</v>
      </c>
      <c r="AL56" s="226"/>
      <c r="AM56" s="477"/>
      <c r="AN56" s="310"/>
      <c r="AO56" s="473"/>
      <c r="AP56" s="145"/>
      <c r="AQ56" s="145"/>
      <c r="AR56" s="145"/>
      <c r="AS56" s="145"/>
    </row>
    <row r="57" spans="2:45" outlineLevel="1">
      <c r="B57" s="280"/>
      <c r="C57" s="281" t="str">
        <f>IF(B1="EN", "Financial Income", "Doanh thu tài chính")</f>
        <v>Doanh thu tài chính</v>
      </c>
      <c r="D57" s="281"/>
      <c r="E57" s="281"/>
      <c r="F57" s="282"/>
      <c r="G57" s="183"/>
      <c r="H57" s="183"/>
      <c r="I57" s="183"/>
      <c r="J57" s="183"/>
      <c r="K57" s="184"/>
      <c r="L57" s="184"/>
      <c r="M57" s="184"/>
      <c r="N57" s="185">
        <f>SUM(DaiLoc:DongLam!N57)</f>
        <v>31965176</v>
      </c>
      <c r="O57" s="185">
        <f>SUM(DaiLoc:DongLam!O57)</f>
        <v>52455019</v>
      </c>
      <c r="P57" s="185">
        <f>SUM(DaiLoc:DongLam!P57)</f>
        <v>74500000</v>
      </c>
      <c r="Q57" s="185">
        <f>SUM(DaiLoc:DongLam!Q57)</f>
        <v>318990785</v>
      </c>
      <c r="R57" s="185">
        <f>SUM(DaiLoc:DongLam!R57)</f>
        <v>150720000</v>
      </c>
      <c r="S57" s="184"/>
      <c r="T57" s="185">
        <f>SUM(DaiLoc:DongLam!T57)</f>
        <v>21070000</v>
      </c>
      <c r="U57" s="185">
        <f>SUM(DaiLoc:DongLam!U57)</f>
        <v>21070000</v>
      </c>
      <c r="V57" s="185">
        <f>SUM(DaiLoc:DongLam!V57)</f>
        <v>21070000</v>
      </c>
      <c r="W57" s="185">
        <f>SUM(DaiLoc:DongLam!W57)</f>
        <v>11070000</v>
      </c>
      <c r="X57" s="185">
        <f>SUM(DaiLoc:DongLam!X57)</f>
        <v>11070000</v>
      </c>
      <c r="Y57" s="185">
        <f>SUM(DaiLoc:DongLam!Y57)</f>
        <v>11070000</v>
      </c>
      <c r="Z57" s="185">
        <f>SUM(DaiLoc:DongLam!Z57)</f>
        <v>11070000</v>
      </c>
      <c r="AA57" s="185">
        <f>SUM(DaiLoc:DongLam!AA57)</f>
        <v>11070000</v>
      </c>
      <c r="AB57" s="185">
        <f>SUM(DaiLoc:DongLam!AB57)</f>
        <v>11070000</v>
      </c>
      <c r="AC57" s="185">
        <f>SUM(DaiLoc:DongLam!AC57)</f>
        <v>11070000</v>
      </c>
      <c r="AD57" s="185">
        <f>SUM(DaiLoc:DongLam!AD57)</f>
        <v>11070000</v>
      </c>
      <c r="AE57" s="185">
        <f>SUM(DaiLoc:DongLam!AE57)</f>
        <v>11070000</v>
      </c>
      <c r="AF57" s="184"/>
      <c r="AG57" s="184">
        <v>18000</v>
      </c>
      <c r="AH57" s="184">
        <v>13500.000000000002</v>
      </c>
      <c r="AI57" s="184">
        <v>10500</v>
      </c>
      <c r="AJ57" s="184">
        <v>9000</v>
      </c>
      <c r="AK57" s="184">
        <v>19500</v>
      </c>
      <c r="AL57" s="271"/>
      <c r="AM57" s="483"/>
      <c r="AN57" s="481"/>
      <c r="AO57" s="473"/>
    </row>
    <row r="58" spans="2:45" outlineLevel="1">
      <c r="B58" s="283"/>
      <c r="C58" s="284" t="str">
        <f>IF(B1="EN", "(%) Financial Income on Net Sales", "(%) Doanh thu tài chính / Doanh thu")</f>
        <v>(%) Doanh thu tài chính / Doanh thu</v>
      </c>
      <c r="F58" s="149"/>
      <c r="G58" s="150"/>
      <c r="H58" s="150"/>
      <c r="I58" s="150"/>
      <c r="J58" s="150"/>
      <c r="K58" s="285"/>
      <c r="L58" s="285"/>
      <c r="M58" s="286"/>
      <c r="N58" s="285">
        <f>IFERROR(N57/N7,)</f>
        <v>1.6633180727966784E-4</v>
      </c>
      <c r="O58" s="285">
        <f t="shared" ref="O58:R58" si="66">IFERROR(O57/O7,)</f>
        <v>1.9932010414510921E-4</v>
      </c>
      <c r="P58" s="285">
        <f>IFERROR(P57/P7,)</f>
        <v>1.9984971208634986E-4</v>
      </c>
      <c r="Q58" s="285">
        <f>IFERROR(Q57/Q7,)</f>
        <v>8.5663762826851723E-4</v>
      </c>
      <c r="R58" s="285">
        <f t="shared" si="66"/>
        <v>3.2894069091256409E-4</v>
      </c>
      <c r="S58" s="285"/>
      <c r="T58" s="286">
        <f>T57/T7</f>
        <v>7.4177195749069319E-4</v>
      </c>
      <c r="U58" s="286">
        <f t="shared" ref="U58:AE58" si="67">U57/U7</f>
        <v>1.0425244975630001E-3</v>
      </c>
      <c r="V58" s="286">
        <f t="shared" si="67"/>
        <v>6.3216700970302852E-4</v>
      </c>
      <c r="W58" s="286">
        <f t="shared" si="67"/>
        <v>2.7354658146773805E-4</v>
      </c>
      <c r="X58" s="286">
        <f t="shared" si="67"/>
        <v>2.6917335876741947E-4</v>
      </c>
      <c r="Y58" s="286">
        <f t="shared" si="67"/>
        <v>2.6917335876741947E-4</v>
      </c>
      <c r="Z58" s="286">
        <f t="shared" si="67"/>
        <v>2.6493776625033903E-4</v>
      </c>
      <c r="AA58" s="286">
        <f t="shared" si="67"/>
        <v>2.6478865255046545E-4</v>
      </c>
      <c r="AB58" s="286">
        <f t="shared" si="67"/>
        <v>2.6902535721956095E-4</v>
      </c>
      <c r="AC58" s="286">
        <f t="shared" si="67"/>
        <v>2.5652289701480458E-4</v>
      </c>
      <c r="AD58" s="286">
        <f t="shared" si="67"/>
        <v>2.6049417828161555E-4</v>
      </c>
      <c r="AE58" s="286">
        <f t="shared" si="67"/>
        <v>2.565856996236743E-4</v>
      </c>
      <c r="AF58" s="285"/>
      <c r="AG58" s="285"/>
      <c r="AH58" s="285"/>
      <c r="AI58" s="285"/>
      <c r="AJ58" s="285"/>
      <c r="AK58" s="285"/>
      <c r="AL58" s="153"/>
      <c r="AM58" s="196"/>
      <c r="AN58" s="496"/>
      <c r="AO58" s="473"/>
    </row>
    <row r="59" spans="2:45" s="125" customFormat="1" hidden="1">
      <c r="B59" s="283"/>
      <c r="C59" s="237"/>
      <c r="F59" s="129" t="s">
        <v>113</v>
      </c>
      <c r="G59" s="130"/>
      <c r="H59" s="130"/>
      <c r="I59" s="130"/>
      <c r="J59" s="261"/>
      <c r="K59" s="287"/>
      <c r="L59" s="287"/>
      <c r="M59" s="287"/>
      <c r="N59" s="287">
        <f>[1]FCF!AR10+[1]FCF!AR12</f>
        <v>0</v>
      </c>
      <c r="O59" s="287">
        <f>[1]FCF!AS10+[1]FCF!AS12</f>
        <v>0</v>
      </c>
      <c r="P59" s="287"/>
      <c r="Q59" s="287">
        <f>SUM([1]FCF!BN10:BN12)</f>
        <v>0</v>
      </c>
      <c r="R59" s="287">
        <f>SUM([1]FCF!CH10:CH12)</f>
        <v>0</v>
      </c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131"/>
      <c r="AH59" s="131"/>
      <c r="AI59" s="131"/>
      <c r="AJ59" s="131"/>
      <c r="AK59" s="131"/>
      <c r="AL59" s="144"/>
      <c r="AM59" s="196"/>
      <c r="AN59" s="497"/>
      <c r="AO59" s="473"/>
    </row>
    <row r="60" spans="2:45" s="214" customFormat="1">
      <c r="B60" s="200" t="str">
        <f>IF(B1="EN", "Financial expenses", "Chi phí tài chính")</f>
        <v>Chi phí tài chính</v>
      </c>
      <c r="C60" s="289"/>
      <c r="D60" s="289"/>
      <c r="E60" s="289"/>
      <c r="F60" s="290"/>
      <c r="G60" s="291"/>
      <c r="H60" s="291"/>
      <c r="I60" s="291"/>
      <c r="J60" s="291"/>
      <c r="K60" s="292"/>
      <c r="L60" s="292"/>
      <c r="M60" s="292"/>
      <c r="N60" s="204">
        <f>SUM(DaiLoc:DongLam!N60)</f>
        <v>0</v>
      </c>
      <c r="O60" s="204">
        <f>SUM(DaiLoc:DongLam!O60)</f>
        <v>0</v>
      </c>
      <c r="P60" s="204">
        <f>SUM(DaiLoc:DongLam!P60)</f>
        <v>0</v>
      </c>
      <c r="Q60" s="204">
        <f>SUM(DaiLoc:DongLam!Q60)</f>
        <v>3187200</v>
      </c>
      <c r="R60" s="204">
        <f>SUM(DaiLoc:DongLam!R60)</f>
        <v>0</v>
      </c>
      <c r="S60" s="161"/>
      <c r="T60" s="292">
        <f t="shared" ref="T60:AK60" si="68">T61</f>
        <v>0</v>
      </c>
      <c r="U60" s="292">
        <f t="shared" si="68"/>
        <v>0</v>
      </c>
      <c r="V60" s="292">
        <f t="shared" si="68"/>
        <v>0</v>
      </c>
      <c r="W60" s="292">
        <f t="shared" si="68"/>
        <v>0</v>
      </c>
      <c r="X60" s="292">
        <f t="shared" si="68"/>
        <v>0</v>
      </c>
      <c r="Y60" s="292">
        <f t="shared" si="68"/>
        <v>0</v>
      </c>
      <c r="Z60" s="292">
        <f t="shared" si="68"/>
        <v>0</v>
      </c>
      <c r="AA60" s="292">
        <f t="shared" si="68"/>
        <v>0</v>
      </c>
      <c r="AB60" s="292">
        <f t="shared" si="68"/>
        <v>0</v>
      </c>
      <c r="AC60" s="292">
        <f t="shared" si="68"/>
        <v>0</v>
      </c>
      <c r="AD60" s="292">
        <f t="shared" si="68"/>
        <v>0</v>
      </c>
      <c r="AE60" s="292">
        <f t="shared" si="68"/>
        <v>0</v>
      </c>
      <c r="AF60" s="161"/>
      <c r="AG60" s="292">
        <f t="shared" si="68"/>
        <v>409524669171388</v>
      </c>
      <c r="AH60" s="292">
        <f t="shared" si="68"/>
        <v>513743343192505</v>
      </c>
      <c r="AI60" s="204">
        <f t="shared" si="68"/>
        <v>584947505476862</v>
      </c>
      <c r="AJ60" s="204">
        <f t="shared" si="68"/>
        <v>668174703282399</v>
      </c>
      <c r="AK60" s="204">
        <f t="shared" si="68"/>
        <v>750140738150861</v>
      </c>
      <c r="AL60" s="162"/>
      <c r="AM60" s="489"/>
      <c r="AN60" s="498"/>
      <c r="AO60" s="473"/>
    </row>
    <row r="61" spans="2:45" outlineLevel="1">
      <c r="B61" s="280"/>
      <c r="C61" s="281" t="str">
        <f>IF(B1="EN", "In which: Interest expense", "Trong đó: Chi phí lãi vay")</f>
        <v>Trong đó: Chi phí lãi vay</v>
      </c>
      <c r="D61" s="281"/>
      <c r="E61" s="281"/>
      <c r="F61" s="282"/>
      <c r="G61" s="293"/>
      <c r="H61" s="293"/>
      <c r="I61" s="293"/>
      <c r="J61" s="293"/>
      <c r="K61" s="294"/>
      <c r="L61" s="294"/>
      <c r="M61" s="294"/>
      <c r="N61" s="184">
        <f>SUM(DaiLoc:DongLam!N61)</f>
        <v>0</v>
      </c>
      <c r="O61" s="184">
        <f>SUM(DaiLoc:DongLam!O61)</f>
        <v>0</v>
      </c>
      <c r="P61" s="184">
        <f>SUM(DaiLoc:DongLam!P61)</f>
        <v>0</v>
      </c>
      <c r="Q61" s="294">
        <f>SUM(DaiLoc:DongLam!Q61)</f>
        <v>3187200</v>
      </c>
      <c r="R61" s="184">
        <f>SUM(DaiLoc:DongLam!R61)</f>
        <v>0</v>
      </c>
      <c r="S61" s="184"/>
      <c r="T61" s="294">
        <f>SUM(DaiLoc:DongLam!T61)</f>
        <v>0</v>
      </c>
      <c r="U61" s="294">
        <f>SUM(DaiLoc:DongLam!U61)</f>
        <v>0</v>
      </c>
      <c r="V61" s="294">
        <f>SUM(DaiLoc:DongLam!V61)</f>
        <v>0</v>
      </c>
      <c r="W61" s="294">
        <f>SUM(DaiLoc:DongLam!W61)</f>
        <v>0</v>
      </c>
      <c r="X61" s="294">
        <f>SUM(DaiLoc:DongLam!X61)</f>
        <v>0</v>
      </c>
      <c r="Y61" s="294">
        <f>SUM(DaiLoc:DongLam!Y61)</f>
        <v>0</v>
      </c>
      <c r="Z61" s="294">
        <f>SUM(DaiLoc:DongLam!Z61)</f>
        <v>0</v>
      </c>
      <c r="AA61" s="294">
        <f>SUM(DaiLoc:DongLam!AA61)</f>
        <v>0</v>
      </c>
      <c r="AB61" s="294">
        <f>SUM(DaiLoc:DongLam!AB61)</f>
        <v>0</v>
      </c>
      <c r="AC61" s="294">
        <f>SUM(DaiLoc:DongLam!AC61)</f>
        <v>0</v>
      </c>
      <c r="AD61" s="294">
        <f>SUM(DaiLoc:DongLam!AD61)</f>
        <v>0</v>
      </c>
      <c r="AE61" s="294">
        <f>SUM(DaiLoc:DongLam!AE61)</f>
        <v>0</v>
      </c>
      <c r="AF61" s="184"/>
      <c r="AG61" s="294">
        <v>409524669171388</v>
      </c>
      <c r="AH61" s="294">
        <v>513743343192505</v>
      </c>
      <c r="AI61" s="294">
        <v>584947505476862</v>
      </c>
      <c r="AJ61" s="294">
        <v>668174703282399</v>
      </c>
      <c r="AK61" s="294">
        <v>750140738150861</v>
      </c>
      <c r="AL61" s="271"/>
      <c r="AM61" s="499"/>
      <c r="AN61" s="500"/>
      <c r="AO61" s="473"/>
    </row>
    <row r="62" spans="2:45" s="170" customFormat="1" outlineLevel="1">
      <c r="B62" s="295"/>
      <c r="C62" s="296" t="str">
        <f>IF(B1="EN", "(%) Interest Expenses on Net Sales", "(%) Chi phí lãi vay / Doanh thu")</f>
        <v>(%) Chi phí lãi vay / Doanh thu</v>
      </c>
      <c r="D62" s="296"/>
      <c r="E62" s="296"/>
      <c r="F62" s="166"/>
      <c r="G62" s="275"/>
      <c r="H62" s="275"/>
      <c r="I62" s="275"/>
      <c r="J62" s="275"/>
      <c r="K62" s="276"/>
      <c r="L62" s="276"/>
      <c r="M62" s="276"/>
      <c r="N62" s="168">
        <f>IFERROR(N61/N7,)</f>
        <v>0</v>
      </c>
      <c r="O62" s="168">
        <f t="shared" ref="O62:R62" si="69">IFERROR(O61/O7,)</f>
        <v>0</v>
      </c>
      <c r="P62" s="168">
        <f>IFERROR(P61/P7,)</f>
        <v>0</v>
      </c>
      <c r="Q62" s="168">
        <f>IFERROR(Q61/Q7,)</f>
        <v>8.5591044544356292E-6</v>
      </c>
      <c r="R62" s="168">
        <f t="shared" si="69"/>
        <v>0</v>
      </c>
      <c r="S62" s="168"/>
      <c r="T62" s="276">
        <f>T61/T7</f>
        <v>0</v>
      </c>
      <c r="U62" s="276">
        <f t="shared" ref="U62:AE62" si="70">U61/U7</f>
        <v>0</v>
      </c>
      <c r="V62" s="276">
        <f t="shared" si="70"/>
        <v>0</v>
      </c>
      <c r="W62" s="276">
        <f t="shared" si="70"/>
        <v>0</v>
      </c>
      <c r="X62" s="276">
        <f t="shared" si="70"/>
        <v>0</v>
      </c>
      <c r="Y62" s="276">
        <f t="shared" si="70"/>
        <v>0</v>
      </c>
      <c r="Z62" s="276">
        <f t="shared" si="70"/>
        <v>0</v>
      </c>
      <c r="AA62" s="276">
        <f t="shared" si="70"/>
        <v>0</v>
      </c>
      <c r="AB62" s="276">
        <f t="shared" si="70"/>
        <v>0</v>
      </c>
      <c r="AC62" s="276">
        <f t="shared" si="70"/>
        <v>0</v>
      </c>
      <c r="AD62" s="276">
        <f t="shared" si="70"/>
        <v>0</v>
      </c>
      <c r="AE62" s="276">
        <f t="shared" si="70"/>
        <v>0</v>
      </c>
      <c r="AF62" s="168"/>
      <c r="AG62" s="276">
        <f t="shared" ref="AG62:AK62" si="71">AG61/AG7</f>
        <v>0.66145959923776643</v>
      </c>
      <c r="AH62" s="276">
        <f t="shared" si="71"/>
        <v>0.7559726422489631</v>
      </c>
      <c r="AI62" s="276">
        <f t="shared" si="71"/>
        <v>0.7741907171337713</v>
      </c>
      <c r="AJ62" s="276">
        <f t="shared" si="71"/>
        <v>0.7965996753834208</v>
      </c>
      <c r="AK62" s="276">
        <f t="shared" si="71"/>
        <v>0.81028975272079451</v>
      </c>
      <c r="AL62" s="169"/>
      <c r="AM62" s="196"/>
      <c r="AN62" s="310"/>
      <c r="AO62" s="473"/>
    </row>
    <row r="63" spans="2:45" outlineLevel="1">
      <c r="B63" s="267"/>
      <c r="C63" s="281" t="str">
        <f>IF(B1="EN", "Other income", "Thu nhập khác")</f>
        <v>Thu nhập khác</v>
      </c>
      <c r="D63" s="269"/>
      <c r="E63" s="269"/>
      <c r="F63" s="270"/>
      <c r="G63" s="183"/>
      <c r="H63" s="183"/>
      <c r="I63" s="183"/>
      <c r="J63" s="183"/>
      <c r="K63" s="184"/>
      <c r="L63" s="184"/>
      <c r="M63" s="184"/>
      <c r="N63" s="185">
        <f>SUM(DaiLoc:DongLam!N63)</f>
        <v>76022757</v>
      </c>
      <c r="O63" s="185">
        <f>SUM(DaiLoc:DongLam!O63)</f>
        <v>-243368399</v>
      </c>
      <c r="P63" s="185">
        <f>SUM(DaiLoc:DongLam!P63)</f>
        <v>-64500000</v>
      </c>
      <c r="Q63" s="185">
        <f>SUM(DaiLoc:DongLam!Q63)</f>
        <v>534586726</v>
      </c>
      <c r="R63" s="184">
        <f>SUM(DaiLoc:DongLam!R63)</f>
        <v>0</v>
      </c>
      <c r="S63" s="184"/>
      <c r="T63" s="184">
        <f>SUM(DaiLoc:DongLam!T63)</f>
        <v>0</v>
      </c>
      <c r="U63" s="184">
        <f>SUM(DaiLoc:DongLam!U63)</f>
        <v>0</v>
      </c>
      <c r="V63" s="184">
        <f>SUM(DaiLoc:DongLam!V63)</f>
        <v>0</v>
      </c>
      <c r="W63" s="184">
        <f>SUM(DaiLoc:DongLam!W63)</f>
        <v>0</v>
      </c>
      <c r="X63" s="184">
        <f>SUM(DaiLoc:DongLam!X63)</f>
        <v>0</v>
      </c>
      <c r="Y63" s="184">
        <f>SUM(DaiLoc:DongLam!Y63)</f>
        <v>0</v>
      </c>
      <c r="Z63" s="184">
        <f>SUM(DaiLoc:DongLam!Z63)</f>
        <v>0</v>
      </c>
      <c r="AA63" s="184">
        <f>SUM(DaiLoc:DongLam!AA63)</f>
        <v>0</v>
      </c>
      <c r="AB63" s="184">
        <f>SUM(DaiLoc:DongLam!AB63)</f>
        <v>0</v>
      </c>
      <c r="AC63" s="184">
        <f>SUM(DaiLoc:DongLam!AC63)</f>
        <v>0</v>
      </c>
      <c r="AD63" s="184">
        <f>SUM(DaiLoc:DongLam!AD63)</f>
        <v>0</v>
      </c>
      <c r="AE63" s="184">
        <f>SUM(DaiLoc:DongLam!AE63)</f>
        <v>0</v>
      </c>
      <c r="AF63" s="184"/>
      <c r="AG63" s="184">
        <v>264637721299823</v>
      </c>
      <c r="AH63" s="184">
        <v>0</v>
      </c>
      <c r="AI63" s="184">
        <v>0</v>
      </c>
      <c r="AJ63" s="184">
        <v>0</v>
      </c>
      <c r="AK63" s="184">
        <v>0</v>
      </c>
      <c r="AL63" s="271"/>
      <c r="AM63" s="196"/>
      <c r="AN63" s="501"/>
      <c r="AO63" s="473"/>
    </row>
    <row r="64" spans="2:45" outlineLevel="1">
      <c r="B64" s="280"/>
      <c r="C64" s="281" t="str">
        <f>IF(B1="EN", "Other expenses (excluding EBITDA)", "Chi phí khác (Không gồm trong EBITDA)")</f>
        <v>Chi phí khác (Không gồm trong EBITDA)</v>
      </c>
      <c r="D64" s="281"/>
      <c r="E64" s="281"/>
      <c r="F64" s="282"/>
      <c r="G64" s="183"/>
      <c r="H64" s="183"/>
      <c r="I64" s="183"/>
      <c r="J64" s="183"/>
      <c r="K64" s="184"/>
      <c r="L64" s="184"/>
      <c r="M64" s="184"/>
      <c r="N64" s="184">
        <f>SUM(DaiLoc:DongLam!N64)</f>
        <v>0</v>
      </c>
      <c r="O64" s="184">
        <f>SUM(DaiLoc:DongLam!O64)</f>
        <v>0</v>
      </c>
      <c r="P64" s="184">
        <f>SUM(DaiLoc:DongLam!P64)</f>
        <v>0</v>
      </c>
      <c r="Q64" s="184">
        <f>SUM(DaiLoc:DongLam!Q64)</f>
        <v>0</v>
      </c>
      <c r="R64" s="184">
        <f>SUM(DaiLoc:DongLam!R64)</f>
        <v>0</v>
      </c>
      <c r="S64" s="184"/>
      <c r="T64" s="184">
        <f>SUM(DaiLoc:DongLam!T64)</f>
        <v>0</v>
      </c>
      <c r="U64" s="184">
        <f>SUM(DaiLoc:DongLam!U64)</f>
        <v>0</v>
      </c>
      <c r="V64" s="184">
        <f>SUM(DaiLoc:DongLam!V64)</f>
        <v>0</v>
      </c>
      <c r="W64" s="184">
        <f>SUM(DaiLoc:DongLam!W64)</f>
        <v>0</v>
      </c>
      <c r="X64" s="184">
        <f>SUM(DaiLoc:DongLam!X64)</f>
        <v>0</v>
      </c>
      <c r="Y64" s="184">
        <f>SUM(DaiLoc:DongLam!Y64)</f>
        <v>0</v>
      </c>
      <c r="Z64" s="184">
        <f>SUM(DaiLoc:DongLam!Z64)</f>
        <v>0</v>
      </c>
      <c r="AA64" s="184">
        <f>SUM(DaiLoc:DongLam!AA64)</f>
        <v>0</v>
      </c>
      <c r="AB64" s="184">
        <f>SUM(DaiLoc:DongLam!AB64)</f>
        <v>0</v>
      </c>
      <c r="AC64" s="184">
        <f>SUM(DaiLoc:DongLam!AC64)</f>
        <v>0</v>
      </c>
      <c r="AD64" s="184">
        <f>SUM(DaiLoc:DongLam!AD64)</f>
        <v>0</v>
      </c>
      <c r="AE64" s="184">
        <f>SUM(DaiLoc:DongLam!AE64)</f>
        <v>0</v>
      </c>
      <c r="AF64" s="184"/>
      <c r="AG64" s="184"/>
      <c r="AH64" s="184"/>
      <c r="AI64" s="184"/>
      <c r="AJ64" s="184"/>
      <c r="AK64" s="184"/>
      <c r="AL64" s="271"/>
      <c r="AM64" s="196"/>
      <c r="AN64" s="501"/>
      <c r="AO64" s="473"/>
    </row>
    <row r="65" spans="2:45" s="141" customFormat="1">
      <c r="B65" s="243" t="str">
        <f>IF(B1="EN", "EBT", "LỢI NHUẬN TRƯỚC THUẾ")</f>
        <v>LỢI NHUẬN TRƯỚC THUẾ</v>
      </c>
      <c r="C65" s="244"/>
      <c r="D65" s="244"/>
      <c r="E65" s="244"/>
      <c r="F65" s="245"/>
      <c r="G65" s="246"/>
      <c r="H65" s="246"/>
      <c r="I65" s="246"/>
      <c r="J65" s="246"/>
      <c r="K65" s="247"/>
      <c r="L65" s="247"/>
      <c r="M65" s="247"/>
      <c r="N65" s="248">
        <f>N34-N36-N43+N57-N61+N63</f>
        <v>-27261101342.476929</v>
      </c>
      <c r="O65" s="248">
        <f>O34-O36-O43+O57-O61+O63</f>
        <v>-17994079533.131836</v>
      </c>
      <c r="P65" s="248">
        <f>P34-P36-P43+P57-P61+P63</f>
        <v>-9597509258.4720917</v>
      </c>
      <c r="Q65" s="248">
        <f>Q34-Q36-Q43+Q57-Q61+Q63</f>
        <v>921958393.090271</v>
      </c>
      <c r="R65" s="248">
        <f>R34-R36-R43+R57-R61+R63</f>
        <v>223330367.68772125</v>
      </c>
      <c r="S65" s="138"/>
      <c r="T65" s="248">
        <f>T34-T36-T43+T57-T61+T63</f>
        <v>-366404496.03964758</v>
      </c>
      <c r="U65" s="248">
        <f t="shared" ref="U65:AE65" si="72">U34-U36-U43+U57-U61+U63</f>
        <v>-1339845543.3920877</v>
      </c>
      <c r="V65" s="248">
        <f t="shared" si="72"/>
        <v>-142010180.41858721</v>
      </c>
      <c r="W65" s="248">
        <f t="shared" si="72"/>
        <v>240239243.70071197</v>
      </c>
      <c r="X65" s="248">
        <f t="shared" si="72"/>
        <v>238132128.36876464</v>
      </c>
      <c r="Y65" s="248">
        <f t="shared" si="72"/>
        <v>-52778268.389374971</v>
      </c>
      <c r="Z65" s="248">
        <f t="shared" si="72"/>
        <v>138993061.27162337</v>
      </c>
      <c r="AA65" s="248">
        <f t="shared" si="72"/>
        <v>-23216627.404940605</v>
      </c>
      <c r="AB65" s="248">
        <f t="shared" si="72"/>
        <v>34418379.363717794</v>
      </c>
      <c r="AC65" s="248">
        <f t="shared" si="72"/>
        <v>599455537.53237581</v>
      </c>
      <c r="AD65" s="248">
        <f t="shared" si="72"/>
        <v>402388078.64328432</v>
      </c>
      <c r="AE65" s="248">
        <f t="shared" si="72"/>
        <v>499750939.45183229</v>
      </c>
      <c r="AF65" s="121"/>
      <c r="AG65" s="247">
        <f t="shared" ref="AG65:AK65" si="73">AG51+AG57-AG60+AG63-AG64</f>
        <v>-1298807263910940</v>
      </c>
      <c r="AH65" s="247">
        <f t="shared" si="73"/>
        <v>-1839926225014911</v>
      </c>
      <c r="AI65" s="247">
        <f t="shared" si="73"/>
        <v>-1705237290161080</v>
      </c>
      <c r="AJ65" s="247">
        <f t="shared" si="73"/>
        <v>-2675948103930482</v>
      </c>
      <c r="AK65" s="247">
        <f t="shared" si="73"/>
        <v>-2941873706618021</v>
      </c>
      <c r="AL65" s="139"/>
      <c r="AM65" s="483"/>
      <c r="AN65" s="476"/>
      <c r="AO65" s="473"/>
    </row>
    <row r="66" spans="2:45" s="170" customFormat="1" outlineLevel="1">
      <c r="B66" s="163"/>
      <c r="C66" s="165" t="str">
        <f>IF(B1= "EN", "EBT margin (%)", "Tỷ lệ Lợi nhuận trước thuế (%)")</f>
        <v>Tỷ lệ Lợi nhuận trước thuế (%)</v>
      </c>
      <c r="D66" s="165"/>
      <c r="E66" s="165"/>
      <c r="F66" s="278"/>
      <c r="G66" s="167"/>
      <c r="H66" s="167"/>
      <c r="I66" s="167"/>
      <c r="J66" s="167"/>
      <c r="K66" s="168"/>
      <c r="L66" s="168"/>
      <c r="M66" s="168"/>
      <c r="N66" s="168">
        <f>IFERROR(N65/N$7,)</f>
        <v>-0.14185400558183589</v>
      </c>
      <c r="O66" s="168">
        <f t="shared" ref="O66:R66" si="74">IFERROR(O65/O$7,)</f>
        <v>-6.8374425839769798E-2</v>
      </c>
      <c r="P66" s="168">
        <f>IFERROR(P65/P$7,)</f>
        <v>-2.5745764591298317E-2</v>
      </c>
      <c r="Q66" s="168">
        <f>IFERROR(Q65/Q$7,)</f>
        <v>2.4758842209786813E-3</v>
      </c>
      <c r="R66" s="168">
        <f t="shared" si="74"/>
        <v>4.8741006799997351E-4</v>
      </c>
      <c r="S66" s="168"/>
      <c r="T66" s="168">
        <f>T65/T7</f>
        <v>-1.2899315626991948E-2</v>
      </c>
      <c r="U66" s="168">
        <f t="shared" ref="U66:AE66" si="75">U65/U7</f>
        <v>-6.6294342759224537E-2</v>
      </c>
      <c r="V66" s="168">
        <f t="shared" si="75"/>
        <v>-4.2607570528052138E-3</v>
      </c>
      <c r="W66" s="168">
        <f t="shared" si="75"/>
        <v>5.9364610522786429E-3</v>
      </c>
      <c r="X66" s="168">
        <f t="shared" si="75"/>
        <v>5.790318412236194E-3</v>
      </c>
      <c r="Y66" s="168">
        <f t="shared" si="75"/>
        <v>-1.2833336741008476E-3</v>
      </c>
      <c r="Z66" s="168">
        <f t="shared" si="75"/>
        <v>3.3265141081843183E-3</v>
      </c>
      <c r="AA66" s="168">
        <f t="shared" si="75"/>
        <v>-5.5532967365134892E-4</v>
      </c>
      <c r="AB66" s="168">
        <f t="shared" si="75"/>
        <v>8.3644234898306636E-4</v>
      </c>
      <c r="AC66" s="168">
        <f t="shared" si="75"/>
        <v>1.3891063335083284E-2</v>
      </c>
      <c r="AD66" s="168">
        <f t="shared" si="75"/>
        <v>9.4688122761066341E-3</v>
      </c>
      <c r="AE66" s="168">
        <f t="shared" si="75"/>
        <v>1.158346381543242E-2</v>
      </c>
      <c r="AF66" s="168"/>
      <c r="AG66" s="168">
        <f t="shared" ref="AG66:AK66" si="76">AG65/AG$7</f>
        <v>-2.0978187565889694</v>
      </c>
      <c r="AH66" s="168">
        <f t="shared" si="76"/>
        <v>-2.707448978752967</v>
      </c>
      <c r="AI66" s="168">
        <f t="shared" si="76"/>
        <v>-2.2569185579769533</v>
      </c>
      <c r="AJ66" s="168">
        <f t="shared" si="76"/>
        <v>-3.1902725147512392</v>
      </c>
      <c r="AK66" s="168">
        <f t="shared" si="76"/>
        <v>-3.1777638475513945</v>
      </c>
      <c r="AL66" s="169"/>
      <c r="AM66" s="196"/>
      <c r="AN66" s="310"/>
      <c r="AO66" s="473"/>
    </row>
    <row r="67" spans="2:45" s="125" customFormat="1" outlineLevel="1">
      <c r="B67" s="297"/>
      <c r="C67" s="298" t="str">
        <f>IF(B1="EN", "CIT", "Thuế")</f>
        <v>Thuế</v>
      </c>
      <c r="D67" s="298"/>
      <c r="E67" s="298"/>
      <c r="F67" s="299"/>
      <c r="G67" s="300"/>
      <c r="H67" s="300"/>
      <c r="I67" s="300"/>
      <c r="J67" s="300"/>
      <c r="K67" s="301"/>
      <c r="L67" s="301"/>
      <c r="M67" s="301"/>
      <c r="N67" s="302">
        <f>SUM(DaiLoc:DongLam!N67)</f>
        <v>0</v>
      </c>
      <c r="O67" s="302">
        <f>SUM(DaiLoc:DongLam!O67)</f>
        <v>0</v>
      </c>
      <c r="P67" s="302">
        <f>SUM(DaiLoc:DongLam!P67)</f>
        <v>0</v>
      </c>
      <c r="Q67" s="302">
        <f>SUM(DaiLoc:DongLam!Q67)</f>
        <v>0</v>
      </c>
      <c r="R67" s="302">
        <f>SUM(DaiLoc:DongLam!R67)</f>
        <v>360387868.64837945</v>
      </c>
      <c r="S67" s="184"/>
      <c r="T67" s="185">
        <f>SUM(DaiLoc:DongLam!T67)</f>
        <v>0</v>
      </c>
      <c r="U67" s="185">
        <f>SUM(DaiLoc:DongLam!U67)</f>
        <v>0</v>
      </c>
      <c r="V67" s="185">
        <f>SUM(DaiLoc:DongLam!V67)</f>
        <v>0</v>
      </c>
      <c r="W67" s="185">
        <f>SUM(DaiLoc:DongLam!W67)</f>
        <v>1824883.5874411704</v>
      </c>
      <c r="X67" s="185">
        <f>SUM(DaiLoc:DongLam!X67)</f>
        <v>51096047.453867108</v>
      </c>
      <c r="Y67" s="185">
        <f>SUM(DaiLoc:DongLam!Y67)</f>
        <v>43089951.000533633</v>
      </c>
      <c r="Z67" s="185">
        <f>SUM(DaiLoc:DongLam!Z67)</f>
        <v>40508503.827200465</v>
      </c>
      <c r="AA67" s="185">
        <f>SUM(DaiLoc:DongLam!AA67)</f>
        <v>37330871.710533671</v>
      </c>
      <c r="AB67" s="185">
        <f>SUM(DaiLoc:DongLam!AB67)</f>
        <v>39578939.287200309</v>
      </c>
      <c r="AC67" s="185">
        <f>SUM(DaiLoc:DongLam!AC67)</f>
        <v>51886691.820533708</v>
      </c>
      <c r="AD67" s="185">
        <f>SUM(DaiLoc:DongLam!AD67)</f>
        <v>48090567.960533671</v>
      </c>
      <c r="AE67" s="185">
        <f>SUM(DaiLoc:DongLam!AE67)</f>
        <v>46981412.000533633</v>
      </c>
      <c r="AF67" s="184"/>
      <c r="AG67" s="184">
        <v>180436399419352</v>
      </c>
      <c r="AH67" s="184">
        <v>195557862601297</v>
      </c>
      <c r="AI67" s="184">
        <v>226189958683654</v>
      </c>
      <c r="AJ67" s="184">
        <v>260093853610068</v>
      </c>
      <c r="AK67" s="184">
        <v>300988023733396</v>
      </c>
      <c r="AL67" s="271"/>
      <c r="AM67" s="475"/>
      <c r="AN67" s="502"/>
      <c r="AO67" s="473"/>
    </row>
    <row r="68" spans="2:45" outlineLevel="1">
      <c r="B68" s="297"/>
      <c r="C68" s="305" t="str">
        <f>IF(B1="EN", "CIT rate (%)", "Thuế suất Thuế TNDN (%)")</f>
        <v>Thuế suất Thuế TNDN (%)</v>
      </c>
      <c r="D68" s="181"/>
      <c r="E68" s="181"/>
      <c r="F68" s="180"/>
      <c r="G68" s="150"/>
      <c r="H68" s="150"/>
      <c r="I68" s="150"/>
      <c r="J68" s="150"/>
      <c r="K68" s="285"/>
      <c r="L68" s="285"/>
      <c r="M68" s="285"/>
      <c r="N68" s="285">
        <f>IFERROR(N67/N65,)</f>
        <v>0</v>
      </c>
      <c r="O68" s="285">
        <f t="shared" ref="O68:R68" si="77">IFERROR(O67/O65,)</f>
        <v>0</v>
      </c>
      <c r="P68" s="285">
        <f>IFERROR(P67/P65,)</f>
        <v>0</v>
      </c>
      <c r="Q68" s="285">
        <f>IFERROR(Q67/Q65,)</f>
        <v>0</v>
      </c>
      <c r="R68" s="285">
        <f t="shared" si="77"/>
        <v>1.6136984521169246</v>
      </c>
      <c r="S68" s="285"/>
      <c r="T68" s="285">
        <f>T67/T65</f>
        <v>0</v>
      </c>
      <c r="U68" s="285">
        <f t="shared" ref="U68:AE68" si="78">U67/U65</f>
        <v>0</v>
      </c>
      <c r="V68" s="285">
        <f t="shared" si="78"/>
        <v>0</v>
      </c>
      <c r="W68" s="285">
        <f t="shared" si="78"/>
        <v>7.5961094421134415E-3</v>
      </c>
      <c r="X68" s="285">
        <f t="shared" si="78"/>
        <v>0.21457015398922241</v>
      </c>
      <c r="Y68" s="285">
        <f t="shared" si="78"/>
        <v>-0.81643358744994865</v>
      </c>
      <c r="Z68" s="285">
        <f t="shared" si="78"/>
        <v>0.29144263358613159</v>
      </c>
      <c r="AA68" s="285">
        <f t="shared" si="78"/>
        <v>-1.6079368919272699</v>
      </c>
      <c r="AB68" s="285">
        <f t="shared" si="78"/>
        <v>1.149936168375276</v>
      </c>
      <c r="AC68" s="285">
        <f t="shared" si="78"/>
        <v>8.6556364186945844E-2</v>
      </c>
      <c r="AD68" s="285">
        <f t="shared" si="78"/>
        <v>0.1195129043650565</v>
      </c>
      <c r="AE68" s="285">
        <f t="shared" si="78"/>
        <v>9.4009652192083293E-2</v>
      </c>
      <c r="AF68" s="285"/>
      <c r="AG68" s="286">
        <f>AG67/AG65</f>
        <v>-0.13892469224111503</v>
      </c>
      <c r="AH68" s="286">
        <f t="shared" ref="AH68:AK68" si="79">AH67/AH65</f>
        <v>-0.10628570860210015</v>
      </c>
      <c r="AI68" s="286">
        <f t="shared" si="79"/>
        <v>-0.13264427184927891</v>
      </c>
      <c r="AJ68" s="286">
        <f t="shared" si="79"/>
        <v>-9.7196897513833452E-2</v>
      </c>
      <c r="AK68" s="286">
        <f t="shared" si="79"/>
        <v>-0.10231167403831619</v>
      </c>
      <c r="AL68" s="153"/>
      <c r="AM68" s="196"/>
      <c r="AN68" s="496"/>
      <c r="AO68" s="473"/>
    </row>
    <row r="69" spans="2:45" s="170" customFormat="1" ht="17" thickBot="1">
      <c r="B69" s="306" t="str">
        <f>IF(B1="en","NET PROFIT AFTER TAX","LỢI NHUẬN SAU THUẾ")</f>
        <v>LỢI NHUẬN SAU THUẾ</v>
      </c>
      <c r="C69" s="307"/>
      <c r="D69" s="307"/>
      <c r="E69" s="307"/>
      <c r="F69" s="307"/>
      <c r="G69" s="135"/>
      <c r="H69" s="135"/>
      <c r="I69" s="135"/>
      <c r="J69" s="135"/>
      <c r="K69" s="136"/>
      <c r="L69" s="136"/>
      <c r="M69" s="136"/>
      <c r="N69" s="137">
        <f>N65-N67</f>
        <v>-27261101342.476929</v>
      </c>
      <c r="O69" s="137">
        <f>O65-O67</f>
        <v>-17994079533.131836</v>
      </c>
      <c r="P69" s="137">
        <f t="shared" ref="P69" si="80">P65-P67</f>
        <v>-9597509258.4720917</v>
      </c>
      <c r="Q69" s="137">
        <f>Q65-Q67</f>
        <v>921958393.090271</v>
      </c>
      <c r="R69" s="137">
        <f t="shared" ref="R69" si="81">R65-R67</f>
        <v>-137057500.96065819</v>
      </c>
      <c r="S69" s="138"/>
      <c r="T69" s="137">
        <f>T65-T67</f>
        <v>-366404496.03964758</v>
      </c>
      <c r="U69" s="137">
        <f t="shared" ref="U69:AE69" si="82">U65-U67</f>
        <v>-1339845543.3920877</v>
      </c>
      <c r="V69" s="137">
        <f t="shared" si="82"/>
        <v>-142010180.41858721</v>
      </c>
      <c r="W69" s="137">
        <f t="shared" si="82"/>
        <v>238414360.11327079</v>
      </c>
      <c r="X69" s="137">
        <f t="shared" si="82"/>
        <v>187036080.91489753</v>
      </c>
      <c r="Y69" s="137">
        <f t="shared" si="82"/>
        <v>-95868219.389908612</v>
      </c>
      <c r="Z69" s="137">
        <f t="shared" si="82"/>
        <v>98484557.444422901</v>
      </c>
      <c r="AA69" s="137">
        <f t="shared" si="82"/>
        <v>-60547499.115474276</v>
      </c>
      <c r="AB69" s="137">
        <f t="shared" si="82"/>
        <v>-5160559.9234825149</v>
      </c>
      <c r="AC69" s="137">
        <f t="shared" si="82"/>
        <v>547568845.71184206</v>
      </c>
      <c r="AD69" s="137">
        <f t="shared" si="82"/>
        <v>354297510.68275064</v>
      </c>
      <c r="AE69" s="137">
        <f t="shared" si="82"/>
        <v>452769527.45129865</v>
      </c>
      <c r="AF69" s="121"/>
      <c r="AG69" s="136">
        <f t="shared" ref="AG69:AK69" si="83">AG65-AG67</f>
        <v>-1479243663330292</v>
      </c>
      <c r="AH69" s="136">
        <f t="shared" si="83"/>
        <v>-2035484087616208</v>
      </c>
      <c r="AI69" s="136">
        <f t="shared" si="83"/>
        <v>-1931427248844734</v>
      </c>
      <c r="AJ69" s="136">
        <f t="shared" si="83"/>
        <v>-2936041957540550</v>
      </c>
      <c r="AK69" s="136">
        <f t="shared" si="83"/>
        <v>-3242861730351417</v>
      </c>
      <c r="AL69" s="308"/>
      <c r="AM69" s="475"/>
      <c r="AN69" s="476"/>
      <c r="AO69" s="473"/>
      <c r="AP69" s="309"/>
      <c r="AQ69" s="309"/>
      <c r="AR69" s="309"/>
      <c r="AS69" s="140"/>
    </row>
    <row r="70" spans="2:45" s="277" customFormat="1" ht="17" thickTop="1">
      <c r="B70" s="164"/>
      <c r="C70" s="165" t="str">
        <f>IF(B1="EN", "NET PROFIT margin (%)", "Tỷ lệ LỢI NHUẬN SAU THUẾ (%)")</f>
        <v>Tỷ lệ LỢI NHUẬN SAU THUẾ (%)</v>
      </c>
      <c r="D70" s="165"/>
      <c r="E70" s="165"/>
      <c r="F70" s="165"/>
      <c r="G70" s="169"/>
      <c r="H70" s="169"/>
      <c r="I70" s="169"/>
      <c r="J70" s="169"/>
      <c r="K70" s="310"/>
      <c r="L70" s="310"/>
      <c r="M70" s="310"/>
      <c r="N70" s="310">
        <f t="shared" ref="N70:O70" si="84">IFERROR(N69/N7,)</f>
        <v>-0.14185400558183589</v>
      </c>
      <c r="O70" s="310">
        <f t="shared" si="84"/>
        <v>-6.8374425839769798E-2</v>
      </c>
      <c r="P70" s="310">
        <f>IFERROR(P69/P7,)</f>
        <v>-2.5745764591298317E-2</v>
      </c>
      <c r="Q70" s="310">
        <f>IFERROR(Q69/Q7,)</f>
        <v>2.4758842209786813E-3</v>
      </c>
      <c r="R70" s="310">
        <f>IFERROR(R69/R7,)</f>
        <v>-2.9912280427778876E-4</v>
      </c>
      <c r="S70" s="310"/>
      <c r="T70" s="310">
        <f>T69/T7</f>
        <v>-1.2899315626991948E-2</v>
      </c>
      <c r="U70" s="310">
        <f t="shared" ref="U70:AE70" si="85">U69/U7</f>
        <v>-6.6294342759224537E-2</v>
      </c>
      <c r="V70" s="310">
        <f t="shared" si="85"/>
        <v>-4.2607570528052138E-3</v>
      </c>
      <c r="W70" s="310">
        <f t="shared" si="85"/>
        <v>5.8913670444266904E-3</v>
      </c>
      <c r="X70" s="310">
        <f t="shared" si="85"/>
        <v>4.5478888988760438E-3</v>
      </c>
      <c r="Y70" s="310">
        <f t="shared" si="85"/>
        <v>-2.331090389542326E-3</v>
      </c>
      <c r="Z70" s="310">
        <f t="shared" si="85"/>
        <v>2.3570260758336587E-3</v>
      </c>
      <c r="AA70" s="310">
        <f t="shared" si="85"/>
        <v>-1.4482647430972839E-3</v>
      </c>
      <c r="AB70" s="310">
        <f t="shared" si="85"/>
        <v>-1.2541296087333639E-4</v>
      </c>
      <c r="AC70" s="310">
        <f t="shared" si="85"/>
        <v>1.2688703398107884E-2</v>
      </c>
      <c r="AD70" s="310">
        <f t="shared" si="85"/>
        <v>8.3371670201016299E-3</v>
      </c>
      <c r="AE70" s="310">
        <f t="shared" si="85"/>
        <v>1.0494506410964036E-2</v>
      </c>
      <c r="AF70" s="310"/>
      <c r="AG70" s="310">
        <f t="shared" ref="AG70:AK70" si="86">AG69/AG7</f>
        <v>-2.3892575817257309</v>
      </c>
      <c r="AH70" s="310">
        <f t="shared" si="86"/>
        <v>-2.9952121119637583</v>
      </c>
      <c r="AI70" s="310">
        <f t="shared" si="86"/>
        <v>-2.5562858767229311</v>
      </c>
      <c r="AJ70" s="310">
        <f t="shared" si="86"/>
        <v>-3.5003571054087153</v>
      </c>
      <c r="AK70" s="310">
        <f t="shared" si="86"/>
        <v>-3.5028861864928182</v>
      </c>
      <c r="AL70" s="169"/>
      <c r="AM70" s="477"/>
      <c r="AN70" s="310"/>
      <c r="AO70" s="503"/>
      <c r="AP70" s="145"/>
      <c r="AQ70" s="145"/>
      <c r="AR70" s="145"/>
      <c r="AS70" s="145"/>
    </row>
    <row r="71" spans="2:45">
      <c r="H71" s="311"/>
      <c r="I71" s="311"/>
      <c r="J71" s="311"/>
      <c r="K71" s="312"/>
      <c r="L71" s="312"/>
      <c r="M71" s="312"/>
      <c r="N71" s="476">
        <f>DaiLoc!N69+KNGA!N69+DongLam!N69-N69</f>
        <v>0</v>
      </c>
      <c r="O71" s="476">
        <f>DaiLoc!O69+KNGA!O69+DongLam!O69-O69</f>
        <v>0</v>
      </c>
      <c r="P71" s="476">
        <f>DaiLoc!P69+KNGA!P69+DongLam!P69-P69</f>
        <v>-6.29425048828125E-5</v>
      </c>
      <c r="Q71" s="476">
        <f>DaiLoc!Q69+KNGA!Q69+DongLam!Q69-Q69</f>
        <v>0</v>
      </c>
      <c r="R71" s="476">
        <f>DaiLoc!R69+KNGA!R69+DongLam!R69-R69</f>
        <v>4.4465065002441406E-5</v>
      </c>
      <c r="S71" s="313"/>
      <c r="T71" s="476">
        <f>DaiLoc!T69+KNGA!T69+DongLam!T69-T69</f>
        <v>9.5367431640625E-7</v>
      </c>
      <c r="U71" s="476">
        <f>DaiLoc!U69+KNGA!U69+DongLam!U69-U69</f>
        <v>0</v>
      </c>
      <c r="V71" s="476">
        <f>DaiLoc!V69+KNGA!V69+DongLam!V69-V69</f>
        <v>-2.6226043701171875E-6</v>
      </c>
      <c r="W71" s="476">
        <f>DaiLoc!W69+KNGA!W69+DongLam!W69-W69</f>
        <v>-8.3446502685546875E-7</v>
      </c>
      <c r="X71" s="476">
        <f>DaiLoc!X69+KNGA!X69+DongLam!X69-X69</f>
        <v>-3.6954879760742188E-6</v>
      </c>
      <c r="Y71" s="476">
        <f>DaiLoc!Y69+KNGA!Y69+DongLam!Y69-Y69</f>
        <v>-4.8875808715820313E-6</v>
      </c>
      <c r="Z71" s="476">
        <f>DaiLoc!Z69+KNGA!Z69+DongLam!Z69-Z69</f>
        <v>2.0861625671386719E-6</v>
      </c>
      <c r="AA71" s="476">
        <f>DaiLoc!AA69+KNGA!AA69+DongLam!AA69-AA69</f>
        <v>3.8668513298034668E-6</v>
      </c>
      <c r="AB71" s="476">
        <f>DaiLoc!AB69+KNGA!AB69+DongLam!AB69-AB69</f>
        <v>-3.7476420402526855E-6</v>
      </c>
      <c r="AC71" s="476">
        <f>DaiLoc!AC69+KNGA!AC69+DongLam!AC69-AC69</f>
        <v>1.0728836059570313E-6</v>
      </c>
      <c r="AD71" s="476">
        <f>DaiLoc!AD69+KNGA!AD69+DongLam!AD69-AD69</f>
        <v>7.6889991760253906E-6</v>
      </c>
      <c r="AE71" s="476">
        <f>DaiLoc!AE69+KNGA!AE69+DongLam!AE69-AE69</f>
        <v>2.9206275939941406E-6</v>
      </c>
      <c r="AF71" s="313"/>
      <c r="AG71" s="314"/>
      <c r="AH71" s="314"/>
      <c r="AI71" s="314"/>
      <c r="AJ71" s="314"/>
      <c r="AK71" s="314"/>
      <c r="AL71" s="315"/>
      <c r="AM71" s="196"/>
    </row>
    <row r="72" spans="2:45">
      <c r="B72" s="111" t="str">
        <f>IF(B1="EN", "BALANCE SHEET", "CÂN ĐỐI KẾ TOÁN")</f>
        <v>CÂN ĐỐI KẾ TOÁN</v>
      </c>
      <c r="C72" s="112"/>
      <c r="D72" s="112"/>
      <c r="E72" s="112"/>
      <c r="F72" s="113"/>
      <c r="G72" s="114"/>
      <c r="H72" s="114"/>
      <c r="I72" s="114"/>
      <c r="J72" s="115"/>
      <c r="K72" s="101"/>
      <c r="L72" s="101"/>
      <c r="M72" s="101"/>
      <c r="N72" s="101">
        <f t="shared" ref="N72:AK72" si="87">N4</f>
        <v>2023</v>
      </c>
      <c r="O72" s="101">
        <f t="shared" si="87"/>
        <v>2024</v>
      </c>
      <c r="P72" s="102" t="str">
        <f>P4</f>
        <v>2025P</v>
      </c>
      <c r="Q72" s="103" t="str">
        <f>Q4</f>
        <v>2025E</v>
      </c>
      <c r="R72" s="104" t="str">
        <f t="shared" si="87"/>
        <v>2026P</v>
      </c>
      <c r="S72" s="105"/>
      <c r="T72" s="104">
        <f>T2</f>
        <v>1</v>
      </c>
      <c r="U72" s="104">
        <f t="shared" ref="U72:AE72" si="88">U2</f>
        <v>2</v>
      </c>
      <c r="V72" s="104">
        <f t="shared" si="88"/>
        <v>3</v>
      </c>
      <c r="W72" s="104">
        <f t="shared" si="88"/>
        <v>4</v>
      </c>
      <c r="X72" s="104">
        <f t="shared" si="88"/>
        <v>5</v>
      </c>
      <c r="Y72" s="104">
        <f t="shared" si="88"/>
        <v>6</v>
      </c>
      <c r="Z72" s="104">
        <f t="shared" si="88"/>
        <v>7</v>
      </c>
      <c r="AA72" s="104">
        <f t="shared" si="88"/>
        <v>8</v>
      </c>
      <c r="AB72" s="104">
        <f t="shared" si="88"/>
        <v>9</v>
      </c>
      <c r="AC72" s="104">
        <f t="shared" si="88"/>
        <v>10</v>
      </c>
      <c r="AD72" s="104">
        <f t="shared" si="88"/>
        <v>11</v>
      </c>
      <c r="AE72" s="104">
        <f t="shared" si="88"/>
        <v>12</v>
      </c>
      <c r="AF72" s="105"/>
      <c r="AG72" s="106" t="str">
        <f t="shared" si="87"/>
        <v>2025 MTP</v>
      </c>
      <c r="AH72" s="106" t="str">
        <f t="shared" si="87"/>
        <v>2026 MTP</v>
      </c>
      <c r="AI72" s="106" t="str">
        <f t="shared" si="87"/>
        <v>2027 MTP</v>
      </c>
      <c r="AJ72" s="106" t="str">
        <f t="shared" si="87"/>
        <v>2028 MTP</v>
      </c>
      <c r="AK72" s="106" t="str">
        <f t="shared" si="87"/>
        <v>2029 MTP</v>
      </c>
      <c r="AL72" s="316"/>
      <c r="AM72" s="196"/>
    </row>
    <row r="73" spans="2:45">
      <c r="B73" s="126" t="str">
        <f>IF(B1="EN", "SHORT-TERM ASSETS", "TÀI SẢN NGẮN HẠN")</f>
        <v>TÀI SẢN NGẮN HẠN</v>
      </c>
      <c r="C73" s="123"/>
      <c r="D73" s="123"/>
      <c r="E73" s="317"/>
      <c r="F73" s="318"/>
      <c r="G73" s="319"/>
      <c r="H73" s="319"/>
      <c r="I73" s="319"/>
      <c r="J73" s="319"/>
      <c r="K73" s="320"/>
      <c r="L73" s="320"/>
      <c r="M73" s="321">
        <f>M74+M77+M81+M83</f>
        <v>40050634848</v>
      </c>
      <c r="N73" s="321">
        <f>N74+N77+N81+N83</f>
        <v>64769091632.860001</v>
      </c>
      <c r="O73" s="321">
        <f>O74+O77+O81+O83</f>
        <v>40675467379.482002</v>
      </c>
      <c r="P73" s="421">
        <f t="shared" ref="P73" si="89">P74+P77+P81+P83</f>
        <v>45577073883.023827</v>
      </c>
      <c r="Q73" s="421">
        <f>Q74+Q77+Q81+Q83</f>
        <v>52668522175.482002</v>
      </c>
      <c r="R73" s="504">
        <f>SUM(R74,R77,R81,R83)</f>
        <v>52619736069.661133</v>
      </c>
      <c r="S73" s="324"/>
      <c r="T73" s="324">
        <f>T74+T77+T81+T83</f>
        <v>46424460142.557755</v>
      </c>
      <c r="U73" s="324">
        <f t="shared" ref="U73:AE73" si="90">U74+U77+U81+U83</f>
        <v>40847746871.839218</v>
      </c>
      <c r="V73" s="324">
        <f t="shared" si="90"/>
        <v>43739080538.323357</v>
      </c>
      <c r="W73" s="324">
        <f t="shared" si="90"/>
        <v>43968457630.689316</v>
      </c>
      <c r="X73" s="324">
        <f t="shared" si="90"/>
        <v>44943195859.870033</v>
      </c>
      <c r="Y73" s="324">
        <f t="shared" si="90"/>
        <v>45607375651.865273</v>
      </c>
      <c r="Z73" s="324">
        <f t="shared" si="90"/>
        <v>46492824365.97789</v>
      </c>
      <c r="AA73" s="324">
        <f t="shared" si="90"/>
        <v>47166338423.317787</v>
      </c>
      <c r="AB73" s="324">
        <f t="shared" si="90"/>
        <v>47851585149.417542</v>
      </c>
      <c r="AC73" s="324">
        <f t="shared" si="90"/>
        <v>49770069137.281181</v>
      </c>
      <c r="AD73" s="324">
        <f t="shared" si="90"/>
        <v>50844771113.467995</v>
      </c>
      <c r="AE73" s="324">
        <f t="shared" si="90"/>
        <v>52053906264.179138</v>
      </c>
      <c r="AF73" s="325"/>
      <c r="AG73" s="320">
        <v>279343898497924</v>
      </c>
      <c r="AH73" s="320">
        <v>280077071076113</v>
      </c>
      <c r="AI73" s="320">
        <v>297619870936285</v>
      </c>
      <c r="AJ73" s="320">
        <v>321337832908607</v>
      </c>
      <c r="AK73" s="320">
        <v>386814455265761</v>
      </c>
      <c r="AL73" s="326"/>
      <c r="AM73" s="196"/>
    </row>
    <row r="74" spans="2:45">
      <c r="B74" s="327" t="str">
        <f>IF(B1="EN", "Cash &amp; cash equivalent", "Tiền mặt &amp; tương đương tiền")</f>
        <v>Tiền mặt &amp; tương đương tiền</v>
      </c>
      <c r="C74" s="123"/>
      <c r="D74" s="123"/>
      <c r="E74" s="317"/>
      <c r="F74" s="318"/>
      <c r="G74" s="319"/>
      <c r="H74" s="319"/>
      <c r="I74" s="319"/>
      <c r="J74" s="319"/>
      <c r="K74" s="320"/>
      <c r="L74" s="320"/>
      <c r="M74" s="321">
        <f t="shared" ref="M74:O74" si="91">SUM(M75:M76)</f>
        <v>5305591972</v>
      </c>
      <c r="N74" s="321">
        <f t="shared" si="91"/>
        <v>10961637584</v>
      </c>
      <c r="O74" s="321">
        <f t="shared" si="91"/>
        <v>18997553764</v>
      </c>
      <c r="P74" s="421">
        <f>SUM(P75:P76)</f>
        <v>19064609573.014889</v>
      </c>
      <c r="Q74" s="421">
        <f>SUM(Q75:Q76)</f>
        <v>27755967158</v>
      </c>
      <c r="R74" s="324">
        <f>SUM(R75:R76)</f>
        <v>20608574932.836975</v>
      </c>
      <c r="S74" s="324"/>
      <c r="T74" s="324">
        <f t="shared" ref="T74:AE74" si="92">SUM(T75:T76)</f>
        <v>24212655850.35112</v>
      </c>
      <c r="U74" s="324">
        <f t="shared" si="92"/>
        <v>22974197923.190708</v>
      </c>
      <c r="V74" s="324">
        <f t="shared" si="92"/>
        <v>18859185290.695126</v>
      </c>
      <c r="W74" s="324">
        <f t="shared" si="92"/>
        <v>15504659749.693489</v>
      </c>
      <c r="X74" s="324">
        <f t="shared" si="92"/>
        <v>16154633885.061296</v>
      </c>
      <c r="Y74" s="324">
        <f t="shared" si="92"/>
        <v>16776899449.320803</v>
      </c>
      <c r="Z74" s="324">
        <f t="shared" si="92"/>
        <v>17316439709.410358</v>
      </c>
      <c r="AA74" s="324">
        <f t="shared" si="92"/>
        <v>17966273920.549072</v>
      </c>
      <c r="AB74" s="324">
        <f t="shared" si="92"/>
        <v>18971882400.130157</v>
      </c>
      <c r="AC74" s="324">
        <f t="shared" si="92"/>
        <v>19883643658.055477</v>
      </c>
      <c r="AD74" s="324">
        <f t="shared" si="92"/>
        <v>21245759584.562477</v>
      </c>
      <c r="AE74" s="324">
        <f t="shared" si="92"/>
        <v>22132269956.354973</v>
      </c>
      <c r="AF74" s="325"/>
      <c r="AG74" s="320">
        <v>67857140982378</v>
      </c>
      <c r="AH74" s="320">
        <v>489032134457158</v>
      </c>
      <c r="AI74" s="320">
        <v>416447710096797</v>
      </c>
      <c r="AJ74" s="320">
        <v>381387876065954</v>
      </c>
      <c r="AK74" s="320">
        <v>756841102793343</v>
      </c>
      <c r="AL74" s="326"/>
      <c r="AM74" s="196"/>
      <c r="AN74" s="107"/>
    </row>
    <row r="75" spans="2:45" outlineLevel="1">
      <c r="B75" s="328"/>
      <c r="C75" s="329" t="str">
        <f>IF(B1="EN", "Cash &amp; cash equivalent", "Tiền mặt &amp; tương đương tiền")</f>
        <v>Tiền mặt &amp; tương đương tiền</v>
      </c>
      <c r="D75" s="329"/>
      <c r="E75" s="330"/>
      <c r="F75" s="331"/>
      <c r="G75" s="332"/>
      <c r="H75" s="332"/>
      <c r="I75" s="332"/>
      <c r="J75" s="332"/>
      <c r="K75" s="333"/>
      <c r="L75" s="333"/>
      <c r="M75" s="340">
        <v>5103591972</v>
      </c>
      <c r="N75" s="340">
        <f>SUM(DaiLoc:DongLam!N75)</f>
        <v>10759637584</v>
      </c>
      <c r="O75" s="340">
        <f>SUM(DaiLoc:DongLam!O75)</f>
        <v>18795553764</v>
      </c>
      <c r="P75" s="334">
        <f>SUM(DaiLoc:DongLam!P75)</f>
        <v>18862609573.014889</v>
      </c>
      <c r="Q75" s="334">
        <f>SUM(DaiLoc:DongLam!Q75)</f>
        <v>21553967158</v>
      </c>
      <c r="R75" s="337">
        <f>SUM(DaiLoc:DongLam!R75)</f>
        <v>20406574932.836975</v>
      </c>
      <c r="S75" s="337"/>
      <c r="T75" s="337">
        <f>T153-T76</f>
        <v>24010655850.35112</v>
      </c>
      <c r="U75" s="337">
        <f>U153-U76</f>
        <v>22772197923.190708</v>
      </c>
      <c r="V75" s="337">
        <f t="shared" ref="V75:AE75" si="93">V153-V76</f>
        <v>18657185290.695126</v>
      </c>
      <c r="W75" s="337">
        <f t="shared" si="93"/>
        <v>15302659749.693489</v>
      </c>
      <c r="X75" s="337">
        <f t="shared" si="93"/>
        <v>15952633885.061296</v>
      </c>
      <c r="Y75" s="337">
        <f t="shared" si="93"/>
        <v>16574899449.320803</v>
      </c>
      <c r="Z75" s="337">
        <f t="shared" si="93"/>
        <v>17114439709.410358</v>
      </c>
      <c r="AA75" s="337">
        <f t="shared" si="93"/>
        <v>17764273920.549072</v>
      </c>
      <c r="AB75" s="337">
        <f t="shared" si="93"/>
        <v>18769882400.130157</v>
      </c>
      <c r="AC75" s="337">
        <f t="shared" si="93"/>
        <v>19681643658.055477</v>
      </c>
      <c r="AD75" s="337">
        <f t="shared" si="93"/>
        <v>21043759584.562477</v>
      </c>
      <c r="AE75" s="337">
        <f t="shared" si="93"/>
        <v>21930269956.354973</v>
      </c>
      <c r="AF75" s="338"/>
      <c r="AG75" s="333">
        <v>42857140982378</v>
      </c>
      <c r="AH75" s="333">
        <v>289032134457158</v>
      </c>
      <c r="AI75" s="333">
        <v>266447710096797</v>
      </c>
      <c r="AJ75" s="333">
        <v>231387876065954</v>
      </c>
      <c r="AK75" s="333">
        <v>256841102793343</v>
      </c>
      <c r="AL75" s="339"/>
      <c r="AM75" s="196"/>
    </row>
    <row r="76" spans="2:45" outlineLevel="1">
      <c r="B76" s="328"/>
      <c r="C76" s="329" t="str">
        <f>IF(B1="EN", "Short-term investment", "Đầu tư ngắn hạn")</f>
        <v>Đầu tư ngắn hạn</v>
      </c>
      <c r="D76" s="329"/>
      <c r="E76" s="330"/>
      <c r="F76" s="331"/>
      <c r="G76" s="332"/>
      <c r="H76" s="332"/>
      <c r="I76" s="332"/>
      <c r="J76" s="332"/>
      <c r="K76" s="333"/>
      <c r="L76" s="333"/>
      <c r="M76" s="340">
        <v>202000000</v>
      </c>
      <c r="N76" s="340">
        <f>SUM(DaiLoc:DongLam!N76)</f>
        <v>202000000</v>
      </c>
      <c r="O76" s="340">
        <f>SUM(DaiLoc:DongLam!O76)</f>
        <v>202000000</v>
      </c>
      <c r="P76" s="334">
        <f>SUM(DaiLoc:DongLam!P76)</f>
        <v>202000000</v>
      </c>
      <c r="Q76" s="334">
        <f>SUM(DaiLoc:DongLam!Q76)</f>
        <v>6202000000</v>
      </c>
      <c r="R76" s="337">
        <f>SUM(DaiLoc:DongLam!R76)</f>
        <v>202000000</v>
      </c>
      <c r="S76" s="337"/>
      <c r="T76" s="337">
        <f>SUM(DaiLoc:DongLam!T76)</f>
        <v>202000000</v>
      </c>
      <c r="U76" s="337">
        <f>SUM(DaiLoc:DongLam!U76)</f>
        <v>202000000</v>
      </c>
      <c r="V76" s="337">
        <f>SUM(DaiLoc:DongLam!V76)</f>
        <v>202000000</v>
      </c>
      <c r="W76" s="337">
        <f>SUM(DaiLoc:DongLam!W76)</f>
        <v>202000000</v>
      </c>
      <c r="X76" s="337">
        <f>SUM(DaiLoc:DongLam!X76)</f>
        <v>202000000</v>
      </c>
      <c r="Y76" s="337">
        <f>SUM(DaiLoc:DongLam!Y76)</f>
        <v>202000000</v>
      </c>
      <c r="Z76" s="337">
        <f>SUM(DaiLoc:DongLam!Z76)</f>
        <v>202000000</v>
      </c>
      <c r="AA76" s="337">
        <f>SUM(DaiLoc:DongLam!AA76)</f>
        <v>202000000</v>
      </c>
      <c r="AB76" s="337">
        <f>SUM(DaiLoc:DongLam!AB76)</f>
        <v>202000000</v>
      </c>
      <c r="AC76" s="337">
        <f>SUM(DaiLoc:DongLam!AC76)</f>
        <v>202000000</v>
      </c>
      <c r="AD76" s="337">
        <f>SUM(DaiLoc:DongLam!AD76)</f>
        <v>202000000</v>
      </c>
      <c r="AE76" s="337">
        <f>SUM(DaiLoc:DongLam!AE76)</f>
        <v>202000000</v>
      </c>
      <c r="AF76" s="338"/>
      <c r="AG76" s="333">
        <v>250000</v>
      </c>
      <c r="AH76" s="333">
        <v>200000</v>
      </c>
      <c r="AI76" s="333">
        <v>150000</v>
      </c>
      <c r="AJ76" s="333">
        <v>150000</v>
      </c>
      <c r="AK76" s="333">
        <v>500000</v>
      </c>
      <c r="AL76" s="339"/>
      <c r="AM76" s="196"/>
    </row>
    <row r="77" spans="2:45">
      <c r="B77" s="327" t="str">
        <f>IF(B1="EN", "Short-term receivables", "Các khoản phải thu ngắn hạn")</f>
        <v>Các khoản phải thu ngắn hạn</v>
      </c>
      <c r="C77" s="123"/>
      <c r="D77" s="123"/>
      <c r="E77" s="317"/>
      <c r="F77" s="318"/>
      <c r="G77" s="319"/>
      <c r="H77" s="319"/>
      <c r="I77" s="319"/>
      <c r="J77" s="319"/>
      <c r="K77" s="320"/>
      <c r="L77" s="320"/>
      <c r="M77" s="321">
        <f>SUM(M78:M80)</f>
        <v>21877240086</v>
      </c>
      <c r="N77" s="321">
        <f>SUM(N78:N80)</f>
        <v>16670676824</v>
      </c>
      <c r="O77" s="321">
        <f>SUM(O78:O80)</f>
        <v>10003267318</v>
      </c>
      <c r="P77" s="421">
        <f t="shared" ref="P77" si="94">SUM(P78:P80)</f>
        <v>8501660369.516633</v>
      </c>
      <c r="Q77" s="421">
        <f>SUM(Q78:Q80)</f>
        <v>10020072464</v>
      </c>
      <c r="R77" s="324">
        <f>SUM(R78:R80)</f>
        <v>14363193294.25222</v>
      </c>
      <c r="S77" s="324"/>
      <c r="T77" s="324">
        <f>SUM(T78:T80)</f>
        <v>9131332413.0034313</v>
      </c>
      <c r="U77" s="324">
        <f t="shared" ref="U77:AE77" si="95">SUM(U78:U80)</f>
        <v>7394338115.5423498</v>
      </c>
      <c r="V77" s="324">
        <f t="shared" si="95"/>
        <v>10206926963.324492</v>
      </c>
      <c r="W77" s="324">
        <f t="shared" si="95"/>
        <v>11669212894.719143</v>
      </c>
      <c r="X77" s="324">
        <f t="shared" si="95"/>
        <v>11831384531.639751</v>
      </c>
      <c r="Y77" s="324">
        <f t="shared" si="95"/>
        <v>11840176031.59601</v>
      </c>
      <c r="Z77" s="324">
        <f t="shared" si="95"/>
        <v>12002552743.127047</v>
      </c>
      <c r="AA77" s="324">
        <f t="shared" si="95"/>
        <v>12017004564.044897</v>
      </c>
      <c r="AB77" s="324">
        <f t="shared" si="95"/>
        <v>11872192916.677099</v>
      </c>
      <c r="AC77" s="324">
        <f t="shared" si="95"/>
        <v>12258402766.017296</v>
      </c>
      <c r="AD77" s="324">
        <f t="shared" si="95"/>
        <v>12113683874.233011</v>
      </c>
      <c r="AE77" s="324">
        <f t="shared" si="95"/>
        <v>12273668465.25222</v>
      </c>
      <c r="AF77" s="325"/>
      <c r="AG77" s="320">
        <v>986880012661969</v>
      </c>
      <c r="AH77" s="320">
        <v>108210138764717</v>
      </c>
      <c r="AI77" s="320">
        <v>120179678930828</v>
      </c>
      <c r="AJ77" s="320">
        <v>133292504474079</v>
      </c>
      <c r="AK77" s="320">
        <v>146977590594154</v>
      </c>
      <c r="AL77" s="326"/>
      <c r="AM77" s="196"/>
    </row>
    <row r="78" spans="2:45" outlineLevel="1">
      <c r="B78" s="328"/>
      <c r="C78" s="329" t="str">
        <f>IF(B1="EN", "Trade receivables", "Phải thu thương mại")</f>
        <v>Phải thu thương mại</v>
      </c>
      <c r="D78" s="329"/>
      <c r="E78" s="330"/>
      <c r="F78" s="331"/>
      <c r="G78" s="332"/>
      <c r="H78" s="332"/>
      <c r="I78" s="332"/>
      <c r="J78" s="332"/>
      <c r="K78" s="333"/>
      <c r="L78" s="333"/>
      <c r="M78" s="340">
        <v>818791513</v>
      </c>
      <c r="N78" s="340">
        <f>SUM(DaiLoc:DongLam!N78)</f>
        <v>13500905969</v>
      </c>
      <c r="O78" s="340">
        <f>SUM(DaiLoc:DongLam!O78)</f>
        <v>6719924367</v>
      </c>
      <c r="P78" s="334">
        <f>SUM(DaiLoc:DongLam!P78)</f>
        <v>5355821621.8874855</v>
      </c>
      <c r="Q78" s="334">
        <f>SUM(DaiLoc:DongLam!Q78)</f>
        <v>5255934319</v>
      </c>
      <c r="R78" s="337">
        <f>SUM(DaiLoc:DongLam!R78)</f>
        <v>8911185666.666666</v>
      </c>
      <c r="S78" s="337"/>
      <c r="T78" s="337">
        <f>SUM(DaiLoc:DongLam!T78)</f>
        <v>5860141875</v>
      </c>
      <c r="U78" s="337">
        <f>SUM(DaiLoc:DongLam!U78)</f>
        <v>4118711041.6666665</v>
      </c>
      <c r="V78" s="337">
        <f>SUM(DaiLoc:DongLam!V78)</f>
        <v>6923974166.666666</v>
      </c>
      <c r="W78" s="337">
        <f>SUM(DaiLoc:DongLam!W78)</f>
        <v>8377678916.666666</v>
      </c>
      <c r="X78" s="337">
        <f>SUM(DaiLoc:DongLam!X78)</f>
        <v>8531092083.3333321</v>
      </c>
      <c r="Y78" s="337">
        <f>SUM(DaiLoc:DongLam!Y78)</f>
        <v>8531092083.3333321</v>
      </c>
      <c r="Z78" s="337">
        <f>SUM(DaiLoc:DongLam!Z78)</f>
        <v>8684505250</v>
      </c>
      <c r="AA78" s="337">
        <f>SUM(DaiLoc:DongLam!AA78)</f>
        <v>8689995583.3333321</v>
      </c>
      <c r="AB78" s="337">
        <f>SUM(DaiLoc:DongLam!AB78)</f>
        <v>8536371250</v>
      </c>
      <c r="AC78" s="337">
        <f>SUM(DaiLoc:DongLam!AC78)</f>
        <v>8913650250</v>
      </c>
      <c r="AD78" s="337">
        <f>SUM(DaiLoc:DongLam!AD78)</f>
        <v>8760142291.666666</v>
      </c>
      <c r="AE78" s="337">
        <f>SUM(DaiLoc:DongLam!AE78)</f>
        <v>8911185666.666666</v>
      </c>
      <c r="AF78" s="338"/>
      <c r="AG78" s="333">
        <v>932924653230014</v>
      </c>
      <c r="AH78" s="333">
        <v>102402357115415</v>
      </c>
      <c r="AI78" s="333">
        <v>113851500472917</v>
      </c>
      <c r="AJ78" s="333">
        <v>126392041711863</v>
      </c>
      <c r="AK78" s="333">
        <v>139499364726273</v>
      </c>
      <c r="AL78" s="339"/>
      <c r="AM78" s="196"/>
    </row>
    <row r="79" spans="2:45" outlineLevel="1">
      <c r="B79" s="328"/>
      <c r="C79" s="329" t="str">
        <f>IF(B1="EN", "Prepayment to suppliers", "Trả trước cho người bán")</f>
        <v>Trả trước cho người bán</v>
      </c>
      <c r="D79" s="329"/>
      <c r="E79" s="330"/>
      <c r="F79" s="331"/>
      <c r="G79" s="332"/>
      <c r="H79" s="332"/>
      <c r="I79" s="332"/>
      <c r="J79" s="332"/>
      <c r="K79" s="333"/>
      <c r="L79" s="333"/>
      <c r="M79" s="340">
        <v>13155020004</v>
      </c>
      <c r="N79" s="340">
        <f>SUM(DaiLoc:DongLam!N79)</f>
        <v>262804753</v>
      </c>
      <c r="O79" s="340">
        <f>SUM(DaiLoc:DongLam!O79)</f>
        <v>403564110</v>
      </c>
      <c r="P79" s="334">
        <f>SUM(DaiLoc:DongLam!P79)</f>
        <v>69565030.629147932</v>
      </c>
      <c r="Q79" s="334">
        <f>SUM(DaiLoc:DongLam!Q79)</f>
        <v>1499132030</v>
      </c>
      <c r="R79" s="337">
        <f>SUM(DaiLoc:DongLam!R79)</f>
        <v>2187001512.5855541</v>
      </c>
      <c r="S79" s="337"/>
      <c r="T79" s="337">
        <f>SUM(DaiLoc:DongLam!T79)</f>
        <v>6184423.0034312587</v>
      </c>
      <c r="U79" s="337">
        <f>SUM(DaiLoc:DongLam!U79)</f>
        <v>10620958.875683106</v>
      </c>
      <c r="V79" s="337">
        <f>SUM(DaiLoc:DongLam!V79)</f>
        <v>17946681.657825071</v>
      </c>
      <c r="W79" s="337">
        <f>SUM(DaiLoc:DongLam!W79)</f>
        <v>26527863.052477501</v>
      </c>
      <c r="X79" s="337">
        <f>SUM(DaiLoc:DongLam!X79)</f>
        <v>35286333.306419767</v>
      </c>
      <c r="Y79" s="337">
        <f>SUM(DaiLoc:DongLam!Y79)</f>
        <v>44077833.262677908</v>
      </c>
      <c r="Z79" s="337">
        <f>SUM(DaiLoc:DongLam!Z79)</f>
        <v>53041378.127046242</v>
      </c>
      <c r="AA79" s="337">
        <f>SUM(DaiLoc:DongLam!AA79)</f>
        <v>62002865.711565033</v>
      </c>
      <c r="AB79" s="337">
        <f>SUM(DaiLoc:DongLam!AB79)</f>
        <v>70815551.677099168</v>
      </c>
      <c r="AC79" s="337">
        <f>SUM(DaiLoc:DongLam!AC79)</f>
        <v>79746401.017295122</v>
      </c>
      <c r="AD79" s="337">
        <f>SUM(DaiLoc:DongLam!AD79)</f>
        <v>88535467.566345185</v>
      </c>
      <c r="AE79" s="337">
        <f>SUM(DaiLoc:DongLam!AE79)</f>
        <v>97476683.585554004</v>
      </c>
      <c r="AF79" s="338"/>
      <c r="AG79" s="333">
        <v>448613916099549</v>
      </c>
      <c r="AH79" s="333">
        <v>489838486710225</v>
      </c>
      <c r="AI79" s="333">
        <v>541878167571173</v>
      </c>
      <c r="AJ79" s="333">
        <v>599106598001586</v>
      </c>
      <c r="AK79" s="333">
        <v>656882908568072</v>
      </c>
      <c r="AL79" s="339"/>
      <c r="AM79" s="196"/>
    </row>
    <row r="80" spans="2:45" outlineLevel="1">
      <c r="B80" s="328"/>
      <c r="C80" s="329" t="str">
        <f>IF(B1="EN", "Other receivables", "Các khoản phải thu khác")</f>
        <v>Các khoản phải thu khác</v>
      </c>
      <c r="D80" s="329"/>
      <c r="E80" s="330"/>
      <c r="F80" s="331"/>
      <c r="G80" s="332"/>
      <c r="H80" s="332"/>
      <c r="I80" s="332"/>
      <c r="J80" s="332"/>
      <c r="K80" s="333"/>
      <c r="L80" s="333"/>
      <c r="M80" s="340">
        <f>3903428569+4000000000</f>
        <v>7903428569</v>
      </c>
      <c r="N80" s="340">
        <f>SUM(DaiLoc:DongLam!N80)</f>
        <v>2906966102</v>
      </c>
      <c r="O80" s="340">
        <f>SUM(DaiLoc:DongLam!O80)</f>
        <v>2879778841</v>
      </c>
      <c r="P80" s="334">
        <f>SUM(DaiLoc:DongLam!P80)</f>
        <v>3076273717</v>
      </c>
      <c r="Q80" s="334">
        <f>SUM(DaiLoc:DongLam!Q80)</f>
        <v>3265006115</v>
      </c>
      <c r="R80" s="337">
        <f>SUM(DaiLoc:DongLam!R80)</f>
        <v>3265006115</v>
      </c>
      <c r="S80" s="337"/>
      <c r="T80" s="337">
        <f>SUM(DaiLoc:DongLam!T80)</f>
        <v>3265006115</v>
      </c>
      <c r="U80" s="337">
        <f>SUM(DaiLoc:DongLam!U80)</f>
        <v>3265006115</v>
      </c>
      <c r="V80" s="337">
        <f>SUM(DaiLoc:DongLam!V80)</f>
        <v>3265006115</v>
      </c>
      <c r="W80" s="337">
        <f>SUM(DaiLoc:DongLam!W80)</f>
        <v>3265006115</v>
      </c>
      <c r="X80" s="337">
        <f>SUM(DaiLoc:DongLam!X80)</f>
        <v>3265006115</v>
      </c>
      <c r="Y80" s="337">
        <f>SUM(DaiLoc:DongLam!Y80)</f>
        <v>3265006115</v>
      </c>
      <c r="Z80" s="337">
        <f>SUM(DaiLoc:DongLam!Z80)</f>
        <v>3265006115</v>
      </c>
      <c r="AA80" s="337">
        <f>SUM(DaiLoc:DongLam!AA80)</f>
        <v>3265006115</v>
      </c>
      <c r="AB80" s="337">
        <f>SUM(DaiLoc:DongLam!AB80)</f>
        <v>3265006115</v>
      </c>
      <c r="AC80" s="337">
        <f>SUM(DaiLoc:DongLam!AC80)</f>
        <v>3265006115</v>
      </c>
      <c r="AD80" s="337">
        <f>SUM(DaiLoc:DongLam!AD80)</f>
        <v>3265006115</v>
      </c>
      <c r="AE80" s="337">
        <f>SUM(DaiLoc:DongLam!AE80)</f>
        <v>3265006115</v>
      </c>
      <c r="AF80" s="338"/>
      <c r="AG80" s="333">
        <v>9093967822</v>
      </c>
      <c r="AH80" s="333">
        <v>9093967822</v>
      </c>
      <c r="AI80" s="333">
        <v>9093967822</v>
      </c>
      <c r="AJ80" s="333">
        <v>9093967822</v>
      </c>
      <c r="AK80" s="333">
        <v>9093967822</v>
      </c>
      <c r="AL80" s="339"/>
      <c r="AM80" s="196"/>
    </row>
    <row r="81" spans="2:40">
      <c r="B81" s="327" t="str">
        <f>IF(B1="EN", "Inventory", "Hàng tồn kho")</f>
        <v>Hàng tồn kho</v>
      </c>
      <c r="C81" s="123"/>
      <c r="D81" s="123"/>
      <c r="E81" s="326"/>
      <c r="F81" s="341"/>
      <c r="G81" s="319"/>
      <c r="H81" s="319"/>
      <c r="I81" s="319"/>
      <c r="J81" s="319"/>
      <c r="K81" s="320"/>
      <c r="L81" s="320"/>
      <c r="M81" s="321">
        <f>M82</f>
        <v>11967574946</v>
      </c>
      <c r="N81" s="321">
        <f>N82</f>
        <v>35774925523.860001</v>
      </c>
      <c r="O81" s="321">
        <f>O82</f>
        <v>8479043867.4820004</v>
      </c>
      <c r="P81" s="421">
        <f>P82</f>
        <v>14411868667.492308</v>
      </c>
      <c r="Q81" s="421">
        <f>Q82</f>
        <v>12085319004.482</v>
      </c>
      <c r="R81" s="324">
        <f t="shared" ref="R81:R121" si="96">AE81</f>
        <v>14840804293.571941</v>
      </c>
      <c r="S81" s="324"/>
      <c r="T81" s="324">
        <f t="shared" ref="T81:AE81" si="97">T82</f>
        <v>10273308330.203205</v>
      </c>
      <c r="U81" s="324">
        <f t="shared" si="97"/>
        <v>7672047284.1061611</v>
      </c>
      <c r="V81" s="324">
        <f t="shared" si="97"/>
        <v>11865804735.303741</v>
      </c>
      <c r="W81" s="324">
        <f t="shared" si="97"/>
        <v>13987421437.276688</v>
      </c>
      <c r="X81" s="324">
        <f t="shared" si="97"/>
        <v>14150013894.168983</v>
      </c>
      <c r="Y81" s="324">
        <f t="shared" si="97"/>
        <v>14183136621.948462</v>
      </c>
      <c r="Z81" s="324">
        <f t="shared" si="97"/>
        <v>14366668364.440483</v>
      </c>
      <c r="AA81" s="324">
        <f t="shared" si="97"/>
        <v>14375896389.723816</v>
      </c>
      <c r="AB81" s="324">
        <f t="shared" si="97"/>
        <v>14200346283.610285</v>
      </c>
      <c r="AC81" s="324">
        <f t="shared" si="97"/>
        <v>14820859164.208408</v>
      </c>
      <c r="AD81" s="324">
        <f t="shared" si="97"/>
        <v>14678164105.67251</v>
      </c>
      <c r="AE81" s="324">
        <f t="shared" si="97"/>
        <v>14840804293.571941</v>
      </c>
      <c r="AF81" s="325"/>
      <c r="AG81" s="320">
        <v>110617129997149</v>
      </c>
      <c r="AH81" s="320">
        <v>12078209261348</v>
      </c>
      <c r="AI81" s="320">
        <v>133613794743577</v>
      </c>
      <c r="AJ81" s="320">
        <v>147724914575734</v>
      </c>
      <c r="AK81" s="320">
        <v>161971128140072</v>
      </c>
      <c r="AL81" s="326"/>
      <c r="AM81" s="196"/>
    </row>
    <row r="82" spans="2:40" outlineLevel="1">
      <c r="B82" s="328"/>
      <c r="C82" s="329" t="str">
        <f>IF(B1="EN", "Inventory", "Hàng tồn kho")</f>
        <v>Hàng tồn kho</v>
      </c>
      <c r="D82" s="329"/>
      <c r="E82" s="330"/>
      <c r="F82" s="331"/>
      <c r="G82" s="332"/>
      <c r="H82" s="332"/>
      <c r="I82" s="332"/>
      <c r="J82" s="332"/>
      <c r="K82" s="333"/>
      <c r="L82" s="333"/>
      <c r="M82" s="340">
        <v>11967574946</v>
      </c>
      <c r="N82" s="340">
        <f>SUM(DaiLoc:DongLam!N82)</f>
        <v>35774925523.860001</v>
      </c>
      <c r="O82" s="340">
        <f>SUM(DaiLoc:DongLam!O82)</f>
        <v>8479043867.4820004</v>
      </c>
      <c r="P82" s="334">
        <f>SUM(DaiLoc:DongLam!P82)</f>
        <v>14411868667.492308</v>
      </c>
      <c r="Q82" s="334">
        <f>SUM(DaiLoc:DongLam!Q82)</f>
        <v>12085319004.482</v>
      </c>
      <c r="R82" s="337">
        <f>SUM(DaiLoc:DongLam!R82)</f>
        <v>14840804293.571941</v>
      </c>
      <c r="S82" s="337"/>
      <c r="T82" s="337">
        <f>SUM(DaiLoc:DongLam!T82)</f>
        <v>10273308330.203205</v>
      </c>
      <c r="U82" s="337">
        <f>SUM(DaiLoc:DongLam!U82)</f>
        <v>7672047284.1061611</v>
      </c>
      <c r="V82" s="337">
        <f>SUM(DaiLoc:DongLam!V82)</f>
        <v>11865804735.303741</v>
      </c>
      <c r="W82" s="337">
        <f>SUM(DaiLoc:DongLam!W82)</f>
        <v>13987421437.276688</v>
      </c>
      <c r="X82" s="337">
        <f>SUM(DaiLoc:DongLam!X82)</f>
        <v>14150013894.168983</v>
      </c>
      <c r="Y82" s="337">
        <f>SUM(DaiLoc:DongLam!Y82)</f>
        <v>14183136621.948462</v>
      </c>
      <c r="Z82" s="337">
        <f>SUM(DaiLoc:DongLam!Z82)</f>
        <v>14366668364.440483</v>
      </c>
      <c r="AA82" s="337">
        <f>SUM(DaiLoc:DongLam!AA82)</f>
        <v>14375896389.723816</v>
      </c>
      <c r="AB82" s="337">
        <f>SUM(DaiLoc:DongLam!AB82)</f>
        <v>14200346283.610285</v>
      </c>
      <c r="AC82" s="337">
        <f>SUM(DaiLoc:DongLam!AC82)</f>
        <v>14820859164.208408</v>
      </c>
      <c r="AD82" s="337">
        <f>SUM(DaiLoc:DongLam!AD82)</f>
        <v>14678164105.67251</v>
      </c>
      <c r="AE82" s="337">
        <f>SUM(DaiLoc:DongLam!AE82)</f>
        <v>14840804293.571941</v>
      </c>
      <c r="AF82" s="338"/>
      <c r="AG82" s="333">
        <v>110617129997149</v>
      </c>
      <c r="AH82" s="333">
        <v>12078209261348</v>
      </c>
      <c r="AI82" s="333">
        <v>133613794743577</v>
      </c>
      <c r="AJ82" s="333">
        <v>147724914575734</v>
      </c>
      <c r="AK82" s="333">
        <v>161971128140072</v>
      </c>
      <c r="AL82" s="339"/>
      <c r="AM82" s="196"/>
    </row>
    <row r="83" spans="2:40">
      <c r="B83" s="327" t="str">
        <f>IF(B1="EN", "Other short-term assets", "Tài sản ngắn hạn khác")</f>
        <v>Tài sản ngắn hạn khác</v>
      </c>
      <c r="C83" s="123"/>
      <c r="D83" s="123"/>
      <c r="E83" s="326"/>
      <c r="F83" s="341"/>
      <c r="G83" s="319"/>
      <c r="H83" s="319"/>
      <c r="I83" s="319"/>
      <c r="J83" s="319"/>
      <c r="K83" s="320"/>
      <c r="L83" s="320"/>
      <c r="M83" s="321">
        <v>900227844</v>
      </c>
      <c r="N83" s="321">
        <f>SUM(DaiLoc:DongLam!N83)</f>
        <v>1361851701</v>
      </c>
      <c r="O83" s="321">
        <f>SUM(DaiLoc:DongLam!O83)</f>
        <v>3195602430</v>
      </c>
      <c r="P83" s="421">
        <f>SUM(DaiLoc:DongLam!P83)</f>
        <v>3598935273</v>
      </c>
      <c r="Q83" s="421">
        <f>SUM(DaiLoc:DongLam!Q83)</f>
        <v>2807163549</v>
      </c>
      <c r="R83" s="324">
        <f>SUM(DaiLoc:DongLam!R83)</f>
        <v>2807163549</v>
      </c>
      <c r="S83" s="324"/>
      <c r="T83" s="324">
        <f t="shared" ref="T83:AE83" si="98">$Q$83</f>
        <v>2807163549</v>
      </c>
      <c r="U83" s="324">
        <f t="shared" si="98"/>
        <v>2807163549</v>
      </c>
      <c r="V83" s="324">
        <f t="shared" si="98"/>
        <v>2807163549</v>
      </c>
      <c r="W83" s="324">
        <f t="shared" si="98"/>
        <v>2807163549</v>
      </c>
      <c r="X83" s="324">
        <f t="shared" si="98"/>
        <v>2807163549</v>
      </c>
      <c r="Y83" s="324">
        <f t="shared" si="98"/>
        <v>2807163549</v>
      </c>
      <c r="Z83" s="324">
        <f t="shared" si="98"/>
        <v>2807163549</v>
      </c>
      <c r="AA83" s="324">
        <f t="shared" si="98"/>
        <v>2807163549</v>
      </c>
      <c r="AB83" s="324">
        <f t="shared" si="98"/>
        <v>2807163549</v>
      </c>
      <c r="AC83" s="324">
        <f t="shared" si="98"/>
        <v>2807163549</v>
      </c>
      <c r="AD83" s="324">
        <f t="shared" si="98"/>
        <v>2807163549</v>
      </c>
      <c r="AE83" s="324">
        <f t="shared" si="98"/>
        <v>2807163549</v>
      </c>
      <c r="AF83" s="325"/>
      <c r="AG83" s="320">
        <v>21816262522</v>
      </c>
      <c r="AH83" s="320">
        <v>21816262522</v>
      </c>
      <c r="AI83" s="320">
        <v>21816262522</v>
      </c>
      <c r="AJ83" s="320">
        <v>21816262522</v>
      </c>
      <c r="AK83" s="320">
        <v>21816262522</v>
      </c>
      <c r="AL83" s="326"/>
      <c r="AM83" s="196"/>
    </row>
    <row r="84" spans="2:40">
      <c r="B84" s="342"/>
      <c r="C84" s="329"/>
      <c r="D84" s="329"/>
      <c r="E84" s="330"/>
      <c r="F84" s="331"/>
      <c r="G84" s="343"/>
      <c r="H84" s="343"/>
      <c r="I84" s="343"/>
      <c r="J84" s="343"/>
      <c r="K84" s="344"/>
      <c r="L84" s="344"/>
      <c r="M84" s="345"/>
      <c r="N84" s="345"/>
      <c r="O84" s="345"/>
      <c r="P84" s="505"/>
      <c r="Q84" s="505"/>
      <c r="R84" s="348">
        <f t="shared" si="96"/>
        <v>0</v>
      </c>
      <c r="S84" s="348"/>
      <c r="T84" s="348"/>
      <c r="U84" s="348"/>
      <c r="V84" s="348"/>
      <c r="W84" s="348"/>
      <c r="X84" s="348"/>
      <c r="Y84" s="348"/>
      <c r="Z84" s="348"/>
      <c r="AA84" s="348"/>
      <c r="AB84" s="348"/>
      <c r="AC84" s="348"/>
      <c r="AD84" s="348"/>
      <c r="AE84" s="348"/>
      <c r="AF84" s="349"/>
      <c r="AG84" s="344"/>
      <c r="AH84" s="344"/>
      <c r="AI84" s="344"/>
      <c r="AJ84" s="344"/>
      <c r="AK84" s="344"/>
      <c r="AL84" s="350"/>
      <c r="AM84" s="196"/>
    </row>
    <row r="85" spans="2:40">
      <c r="B85" s="126" t="str">
        <f>IF(B1="EN", "LONG-TERM ASSETS", "TÀI SẢN DÀI HẠN")</f>
        <v>TÀI SẢN DÀI HẠN</v>
      </c>
      <c r="C85" s="123"/>
      <c r="D85" s="123"/>
      <c r="E85" s="317"/>
      <c r="F85" s="318"/>
      <c r="G85" s="319"/>
      <c r="H85" s="319"/>
      <c r="I85" s="319"/>
      <c r="J85" s="319"/>
      <c r="K85" s="320"/>
      <c r="L85" s="320"/>
      <c r="M85" s="321">
        <f>M86+M96+M98+M100+M99</f>
        <v>27067630649</v>
      </c>
      <c r="N85" s="321">
        <f>N86+N96+N98+N100+N99</f>
        <v>58093118126</v>
      </c>
      <c r="O85" s="321">
        <f>O86+O96+O98+O100+O99</f>
        <v>49584690680</v>
      </c>
      <c r="P85" s="421">
        <f t="shared" ref="P85:Q85" si="99">P86+P96+P98+P100+P99</f>
        <v>39682523541.42704</v>
      </c>
      <c r="Q85" s="421">
        <f t="shared" si="99"/>
        <v>52693831619</v>
      </c>
      <c r="R85" s="324">
        <f>SUM(R86,R96,R98,R99,R100)</f>
        <v>48443452005.997353</v>
      </c>
      <c r="S85" s="324"/>
      <c r="T85" s="324">
        <f t="shared" ref="T85:AE85" si="100">T86+T96+T98+T100+T99</f>
        <v>54033616754.879921</v>
      </c>
      <c r="U85" s="324">
        <f t="shared" si="100"/>
        <v>54381992359.524033</v>
      </c>
      <c r="V85" s="324">
        <f t="shared" si="100"/>
        <v>53972730739.953079</v>
      </c>
      <c r="W85" s="324">
        <f t="shared" si="100"/>
        <v>54546474460.883926</v>
      </c>
      <c r="X85" s="324">
        <f t="shared" si="100"/>
        <v>53796218181.814774</v>
      </c>
      <c r="Y85" s="324">
        <f t="shared" si="100"/>
        <v>53045961902.745621</v>
      </c>
      <c r="Z85" s="324">
        <f t="shared" si="100"/>
        <v>52295705623.676468</v>
      </c>
      <c r="AA85" s="324">
        <f t="shared" si="100"/>
        <v>51545449344.607315</v>
      </c>
      <c r="AB85" s="324">
        <f t="shared" si="100"/>
        <v>50795193065.538147</v>
      </c>
      <c r="AC85" s="324">
        <f t="shared" si="100"/>
        <v>50027575675.357887</v>
      </c>
      <c r="AD85" s="324">
        <f t="shared" si="100"/>
        <v>49259958285.17762</v>
      </c>
      <c r="AE85" s="324">
        <f t="shared" si="100"/>
        <v>48498452005.997353</v>
      </c>
      <c r="AF85" s="325"/>
      <c r="AG85" s="320">
        <v>229691525614212</v>
      </c>
      <c r="AH85" s="320">
        <v>292846111445683</v>
      </c>
      <c r="AI85" s="320">
        <v>338026496677403</v>
      </c>
      <c r="AJ85" s="320">
        <v>383560944662571</v>
      </c>
      <c r="AK85" s="320">
        <v>392980234439487</v>
      </c>
      <c r="AL85" s="326"/>
      <c r="AM85" s="196"/>
    </row>
    <row r="86" spans="2:40">
      <c r="B86" s="327" t="str">
        <f>IF(B1="EN", "Fixed assets", "Tài sản cố định")</f>
        <v>Tài sản cố định</v>
      </c>
      <c r="C86" s="123"/>
      <c r="D86" s="123"/>
      <c r="E86" s="317"/>
      <c r="F86" s="318"/>
      <c r="G86" s="319"/>
      <c r="H86" s="319"/>
      <c r="I86" s="319"/>
      <c r="J86" s="319"/>
      <c r="K86" s="320"/>
      <c r="L86" s="320"/>
      <c r="M86" s="321">
        <f>M87+M90+M93</f>
        <v>24882961817</v>
      </c>
      <c r="N86" s="321">
        <f>N87+N90+N93</f>
        <v>51886068157</v>
      </c>
      <c r="O86" s="321">
        <f>O87+O90+O93</f>
        <v>47325241186</v>
      </c>
      <c r="P86" s="421">
        <f t="shared" ref="P86:R86" si="101">P87+P90+P93</f>
        <v>36200619653.42704</v>
      </c>
      <c r="Q86" s="421">
        <f t="shared" si="101"/>
        <v>47435257477</v>
      </c>
      <c r="R86" s="324">
        <f t="shared" si="101"/>
        <v>46396239643.997353</v>
      </c>
      <c r="S86" s="324"/>
      <c r="T86" s="324">
        <f t="shared" ref="T86:AE86" si="102">T87+T90+T93</f>
        <v>51986404392.879921</v>
      </c>
      <c r="U86" s="324">
        <f t="shared" si="102"/>
        <v>52334779997.524033</v>
      </c>
      <c r="V86" s="324">
        <f t="shared" si="102"/>
        <v>51925518377.953079</v>
      </c>
      <c r="W86" s="324">
        <f t="shared" si="102"/>
        <v>52499262098.883926</v>
      </c>
      <c r="X86" s="324">
        <f t="shared" si="102"/>
        <v>51749005819.814774</v>
      </c>
      <c r="Y86" s="324">
        <f t="shared" si="102"/>
        <v>50998749540.745621</v>
      </c>
      <c r="Z86" s="324">
        <f t="shared" si="102"/>
        <v>50248493261.676468</v>
      </c>
      <c r="AA86" s="324">
        <f t="shared" si="102"/>
        <v>49498236982.607315</v>
      </c>
      <c r="AB86" s="324">
        <f t="shared" si="102"/>
        <v>48747980703.538147</v>
      </c>
      <c r="AC86" s="324">
        <f t="shared" si="102"/>
        <v>47980363313.357887</v>
      </c>
      <c r="AD86" s="324">
        <f t="shared" si="102"/>
        <v>47212745923.17762</v>
      </c>
      <c r="AE86" s="324">
        <f t="shared" si="102"/>
        <v>46451239643.997353</v>
      </c>
      <c r="AF86" s="325"/>
      <c r="AG86" s="320">
        <v>207469613973412</v>
      </c>
      <c r="AH86" s="320">
        <v>270624199804883</v>
      </c>
      <c r="AI86" s="320">
        <v>315804585036603</v>
      </c>
      <c r="AJ86" s="320">
        <v>361339033021771</v>
      </c>
      <c r="AK86" s="320">
        <v>370758322798687</v>
      </c>
      <c r="AL86" s="326"/>
      <c r="AM86" s="196"/>
    </row>
    <row r="87" spans="2:40">
      <c r="B87" s="342"/>
      <c r="C87" s="351" t="str">
        <f>IF(B1="EN", "Tangible fixed assets", "Tài sản cố định hữu hình")</f>
        <v>Tài sản cố định hữu hình</v>
      </c>
      <c r="D87" s="329"/>
      <c r="E87" s="330"/>
      <c r="F87" s="331"/>
      <c r="G87" s="332"/>
      <c r="H87" s="332"/>
      <c r="I87" s="332"/>
      <c r="J87" s="332"/>
      <c r="K87" s="333"/>
      <c r="L87" s="333"/>
      <c r="M87" s="340">
        <f>SUM(M88:M89)</f>
        <v>24473979853</v>
      </c>
      <c r="N87" s="340">
        <f>SUM(N88:N89)</f>
        <v>51540448423</v>
      </c>
      <c r="O87" s="340">
        <f>SUM(O88:O89)</f>
        <v>47080070742</v>
      </c>
      <c r="P87" s="334">
        <f t="shared" ref="P87:Q87" si="103">SUM(P88:P89)</f>
        <v>36049942090.42704</v>
      </c>
      <c r="Q87" s="334">
        <f t="shared" si="103"/>
        <v>47263054545</v>
      </c>
      <c r="R87" s="337">
        <f t="shared" si="96"/>
        <v>45437082061.207878</v>
      </c>
      <c r="S87" s="337"/>
      <c r="T87" s="337">
        <f>SUM(T88:T89)</f>
        <v>50832661079.730797</v>
      </c>
      <c r="U87" s="337">
        <f t="shared" ref="U87:AD87" si="104">SUM(U88:U89)</f>
        <v>51193726296.225784</v>
      </c>
      <c r="V87" s="337">
        <f t="shared" si="104"/>
        <v>50797154288.505714</v>
      </c>
      <c r="W87" s="337">
        <f t="shared" si="104"/>
        <v>51383587621.287437</v>
      </c>
      <c r="X87" s="337">
        <f t="shared" si="104"/>
        <v>50646020954.06916</v>
      </c>
      <c r="Y87" s="337">
        <f t="shared" si="104"/>
        <v>49908454286.850883</v>
      </c>
      <c r="Z87" s="337">
        <f t="shared" si="104"/>
        <v>49170887619.632607</v>
      </c>
      <c r="AA87" s="337">
        <f t="shared" si="104"/>
        <v>48433320952.41433</v>
      </c>
      <c r="AB87" s="337">
        <f t="shared" si="104"/>
        <v>47695754285.196045</v>
      </c>
      <c r="AC87" s="337">
        <f t="shared" si="104"/>
        <v>46940826506.866661</v>
      </c>
      <c r="AD87" s="337">
        <f t="shared" si="104"/>
        <v>46185898728.53727</v>
      </c>
      <c r="AE87" s="337">
        <f>SUM(AE88:AE89)</f>
        <v>45437082061.207878</v>
      </c>
      <c r="AF87" s="338"/>
      <c r="AG87" s="333">
        <v>184780298247012</v>
      </c>
      <c r="AH87" s="333">
        <v>249370189891483</v>
      </c>
      <c r="AI87" s="333">
        <v>295840920038903</v>
      </c>
      <c r="AJ87" s="333">
        <v>342655934192771</v>
      </c>
      <c r="AK87" s="333">
        <v>352786845093187</v>
      </c>
      <c r="AL87" s="339"/>
      <c r="AM87" s="196"/>
    </row>
    <row r="88" spans="2:40" s="125" customFormat="1" outlineLevel="1">
      <c r="B88" s="352"/>
      <c r="C88" s="353"/>
      <c r="D88" s="354"/>
      <c r="E88" s="355" t="str">
        <f>IF(B1="EN", "Cost", "Nguyên giá")</f>
        <v>Nguyên giá</v>
      </c>
      <c r="F88" s="356"/>
      <c r="G88" s="357"/>
      <c r="H88" s="357"/>
      <c r="I88" s="357"/>
      <c r="J88" s="357"/>
      <c r="K88" s="358"/>
      <c r="L88" s="358"/>
      <c r="M88" s="359">
        <v>24797693236</v>
      </c>
      <c r="N88" s="359">
        <f>SUM(DaiLoc:DongLam!N88)</f>
        <v>62395316391</v>
      </c>
      <c r="O88" s="359">
        <f>SUM(DaiLoc:DongLam!O88)</f>
        <v>69402733460</v>
      </c>
      <c r="P88" s="506">
        <f>SUM(DaiLoc:DongLam!P88)</f>
        <v>91360331030</v>
      </c>
      <c r="Q88" s="506">
        <f>SUM(DaiLoc:DongLam!Q88)</f>
        <v>80265879659</v>
      </c>
      <c r="R88" s="362">
        <f>SUM(DaiLoc:DongLam!R88)</f>
        <v>86398653886</v>
      </c>
      <c r="S88" s="363"/>
      <c r="T88" s="363">
        <f>SUM(DaiLoc:DongLam!T88)</f>
        <v>83736653886</v>
      </c>
      <c r="U88" s="362">
        <f>SUM(DaiLoc:DongLam!U88)</f>
        <v>84774653886</v>
      </c>
      <c r="V88" s="362">
        <f>SUM(DaiLoc:DongLam!V88)</f>
        <v>85074653886</v>
      </c>
      <c r="W88" s="362">
        <f>SUM(DaiLoc:DongLam!W88)</f>
        <v>86398653886</v>
      </c>
      <c r="X88" s="362">
        <f>SUM(DaiLoc:DongLam!X88)</f>
        <v>86398653886</v>
      </c>
      <c r="Y88" s="362">
        <f>SUM(DaiLoc:DongLam!Y88)</f>
        <v>86398653886</v>
      </c>
      <c r="Z88" s="362">
        <f>SUM(DaiLoc:DongLam!Z88)</f>
        <v>86398653886</v>
      </c>
      <c r="AA88" s="362">
        <f>SUM(DaiLoc:DongLam!AA88)</f>
        <v>86398653886</v>
      </c>
      <c r="AB88" s="362">
        <f>SUM(DaiLoc:DongLam!AB88)</f>
        <v>86398653886</v>
      </c>
      <c r="AC88" s="362">
        <f>SUM(DaiLoc:DongLam!AC88)</f>
        <v>86398653886</v>
      </c>
      <c r="AD88" s="362">
        <f>SUM(DaiLoc:DongLam!AD88)</f>
        <v>86398653886</v>
      </c>
      <c r="AE88" s="362">
        <f>SUM(DaiLoc:DongLam!AE88)</f>
        <v>86398653886</v>
      </c>
      <c r="AF88" s="364"/>
      <c r="AG88" s="358">
        <v>4666557025949</v>
      </c>
      <c r="AH88" s="358">
        <v>551752841181649</v>
      </c>
      <c r="AI88" s="358">
        <v>623135683741649</v>
      </c>
      <c r="AJ88" s="358">
        <v>700518937098397</v>
      </c>
      <c r="AK88" s="358">
        <v>746499929408397</v>
      </c>
      <c r="AL88" s="354"/>
      <c r="AM88" s="196"/>
      <c r="AN88" s="288"/>
    </row>
    <row r="89" spans="2:40" s="125" customFormat="1" outlineLevel="1">
      <c r="B89" s="352"/>
      <c r="C89" s="353"/>
      <c r="D89" s="354"/>
      <c r="E89" s="355" t="str">
        <f>IF(B1="EN", "Accumulated depreciation", "Khấu hao lũy kế")</f>
        <v>Khấu hao lũy kế</v>
      </c>
      <c r="F89" s="356"/>
      <c r="G89" s="357"/>
      <c r="H89" s="357"/>
      <c r="I89" s="357"/>
      <c r="J89" s="357"/>
      <c r="K89" s="358"/>
      <c r="L89" s="358"/>
      <c r="M89" s="359">
        <v>-323713383</v>
      </c>
      <c r="N89" s="359">
        <f>SUM(DaiLoc:DongLam!N89)</f>
        <v>-10854867968</v>
      </c>
      <c r="O89" s="359">
        <f>SUM(DaiLoc:DongLam!O89)</f>
        <v>-22322662718</v>
      </c>
      <c r="P89" s="506">
        <f>SUM(DaiLoc:DongLam!P89)</f>
        <v>-55310388939.57296</v>
      </c>
      <c r="Q89" s="506">
        <f>SUM(DaiLoc:DongLam!Q89)</f>
        <v>-33002825114</v>
      </c>
      <c r="R89" s="362">
        <f>SUM(DaiLoc:DongLam!R89)</f>
        <v>-40961571824.792122</v>
      </c>
      <c r="S89" s="363"/>
      <c r="T89" s="363">
        <f>SUM(DaiLoc:DongLam!T89)</f>
        <v>-32903992806.269203</v>
      </c>
      <c r="U89" s="362">
        <f>SUM(DaiLoc:DongLam!U89)</f>
        <v>-33580927589.774216</v>
      </c>
      <c r="V89" s="362">
        <f>SUM(DaiLoc:DongLam!V89)</f>
        <v>-34277499597.494286</v>
      </c>
      <c r="W89" s="362">
        <f>SUM(DaiLoc:DongLam!W89)</f>
        <v>-35015066264.712563</v>
      </c>
      <c r="X89" s="362">
        <f>SUM(DaiLoc:DongLam!X89)</f>
        <v>-35752632931.93084</v>
      </c>
      <c r="Y89" s="362">
        <f>SUM(DaiLoc:DongLam!Y89)</f>
        <v>-36490199599.149117</v>
      </c>
      <c r="Z89" s="362">
        <f>SUM(DaiLoc:DongLam!Z89)</f>
        <v>-37227766266.367393</v>
      </c>
      <c r="AA89" s="362">
        <f>SUM(DaiLoc:DongLam!AA89)</f>
        <v>-37965332933.58567</v>
      </c>
      <c r="AB89" s="362">
        <f>SUM(DaiLoc:DongLam!AB89)</f>
        <v>-38702899600.803955</v>
      </c>
      <c r="AC89" s="362">
        <f>SUM(DaiLoc:DongLam!AC89)</f>
        <v>-39457827379.133339</v>
      </c>
      <c r="AD89" s="362">
        <f>SUM(DaiLoc:DongLam!AD89)</f>
        <v>-40212755157.46273</v>
      </c>
      <c r="AE89" s="362">
        <f>SUM(DaiLoc:DongLam!AE89)</f>
        <v>-40961571824.792122</v>
      </c>
      <c r="AF89" s="364"/>
      <c r="AG89" s="358">
        <v>-281875404347888</v>
      </c>
      <c r="AH89" s="358">
        <v>-302382651290165</v>
      </c>
      <c r="AI89" s="358">
        <v>-327294763702746</v>
      </c>
      <c r="AJ89" s="358">
        <v>-357863002905627</v>
      </c>
      <c r="AK89" s="358">
        <v>-39371308431521</v>
      </c>
      <c r="AL89" s="354"/>
      <c r="AM89" s="196"/>
    </row>
    <row r="90" spans="2:40">
      <c r="B90" s="342"/>
      <c r="C90" s="351" t="str">
        <f>IF(B1="EN", "Financial leasing", "Tài sản thuê tài chính")</f>
        <v>Tài sản thuê tài chính</v>
      </c>
      <c r="D90" s="329"/>
      <c r="E90" s="330"/>
      <c r="F90" s="331"/>
      <c r="G90" s="332"/>
      <c r="H90" s="332"/>
      <c r="I90" s="332"/>
      <c r="J90" s="332"/>
      <c r="K90" s="333"/>
      <c r="L90" s="333"/>
      <c r="M90" s="340"/>
      <c r="N90" s="340">
        <f>SUM(N91:N92)</f>
        <v>0</v>
      </c>
      <c r="O90" s="340">
        <f>SUM(O91:O92)</f>
        <v>0</v>
      </c>
      <c r="P90" s="334">
        <f t="shared" ref="P90" si="105">SUM(P91:P92)</f>
        <v>0</v>
      </c>
      <c r="Q90" s="334"/>
      <c r="R90" s="337">
        <f t="shared" si="96"/>
        <v>0</v>
      </c>
      <c r="S90" s="337"/>
      <c r="T90" s="337">
        <f>SUM(DaiLoc:DongLam!T90)</f>
        <v>0</v>
      </c>
      <c r="U90" s="337">
        <f>SUM(DaiLoc:DongLam!U90)</f>
        <v>0</v>
      </c>
      <c r="V90" s="337">
        <f>SUM(DaiLoc:DongLam!V90)</f>
        <v>0</v>
      </c>
      <c r="W90" s="337">
        <f>SUM(DaiLoc:DongLam!W90)</f>
        <v>0</v>
      </c>
      <c r="X90" s="337">
        <f>SUM(DaiLoc:DongLam!X90)</f>
        <v>0</v>
      </c>
      <c r="Y90" s="337">
        <f>SUM(DaiLoc:DongLam!Y90)</f>
        <v>0</v>
      </c>
      <c r="Z90" s="337">
        <f>SUM(DaiLoc:DongLam!Z90)</f>
        <v>0</v>
      </c>
      <c r="AA90" s="337">
        <f>SUM(DaiLoc:DongLam!AA90)</f>
        <v>0</v>
      </c>
      <c r="AB90" s="337">
        <f>SUM(DaiLoc:DongLam!AB90)</f>
        <v>0</v>
      </c>
      <c r="AC90" s="337">
        <f>SUM(DaiLoc:DongLam!AC90)</f>
        <v>0</v>
      </c>
      <c r="AD90" s="337">
        <f>SUM(DaiLoc:DongLam!AD90)</f>
        <v>0</v>
      </c>
      <c r="AE90" s="337">
        <f>SUM(DaiLoc:DongLam!AE90)</f>
        <v>0</v>
      </c>
      <c r="AF90" s="338"/>
      <c r="AG90" s="333">
        <v>13756525686</v>
      </c>
      <c r="AH90" s="333">
        <v>13155500716</v>
      </c>
      <c r="AI90" s="333">
        <v>12554475751</v>
      </c>
      <c r="AJ90" s="333">
        <v>11953450781</v>
      </c>
      <c r="AK90" s="333">
        <v>11352425815</v>
      </c>
      <c r="AL90" s="339"/>
      <c r="AM90" s="196"/>
    </row>
    <row r="91" spans="2:40" outlineLevel="1">
      <c r="B91" s="352"/>
      <c r="C91" s="366"/>
      <c r="D91" s="367"/>
      <c r="E91" s="355" t="str">
        <f>IF(B1="EN", "Cost", "Nguyên giá")</f>
        <v>Nguyên giá</v>
      </c>
      <c r="F91" s="356"/>
      <c r="G91" s="357"/>
      <c r="H91" s="357"/>
      <c r="I91" s="357"/>
      <c r="J91" s="357"/>
      <c r="K91" s="358"/>
      <c r="L91" s="358"/>
      <c r="M91" s="359"/>
      <c r="N91" s="359">
        <f>SUM(DaiLoc:DongLam!N91)</f>
        <v>0</v>
      </c>
      <c r="O91" s="359">
        <f>SUM(DaiLoc:DongLam!O91)</f>
        <v>0</v>
      </c>
      <c r="P91" s="506">
        <f>SUM(DaiLoc:DongLam!P91)</f>
        <v>0</v>
      </c>
      <c r="Q91" s="506">
        <f>SUM(DaiLoc:DongLam!Q91)</f>
        <v>0</v>
      </c>
      <c r="R91" s="362">
        <f>SUM(DaiLoc:DongLam!R91)</f>
        <v>0</v>
      </c>
      <c r="S91" s="363"/>
      <c r="T91" s="363">
        <f>SUM(DaiLoc:DongLam!T91)</f>
        <v>0</v>
      </c>
      <c r="U91" s="362">
        <f>SUM(DaiLoc:DongLam!U91)</f>
        <v>0</v>
      </c>
      <c r="V91" s="362">
        <f>SUM(DaiLoc:DongLam!V91)</f>
        <v>0</v>
      </c>
      <c r="W91" s="362">
        <f>SUM(DaiLoc:DongLam!W91)</f>
        <v>0</v>
      </c>
      <c r="X91" s="362">
        <f>SUM(DaiLoc:DongLam!X91)</f>
        <v>0</v>
      </c>
      <c r="Y91" s="362">
        <f>SUM(DaiLoc:DongLam!Y91)</f>
        <v>0</v>
      </c>
      <c r="Z91" s="362">
        <f>SUM(DaiLoc:DongLam!Z91)</f>
        <v>0</v>
      </c>
      <c r="AA91" s="362">
        <f>SUM(DaiLoc:DongLam!AA91)</f>
        <v>0</v>
      </c>
      <c r="AB91" s="362">
        <f>SUM(DaiLoc:DongLam!AB91)</f>
        <v>0</v>
      </c>
      <c r="AC91" s="362">
        <f>SUM(DaiLoc:DongLam!AC91)</f>
        <v>0</v>
      </c>
      <c r="AD91" s="362">
        <f>SUM(DaiLoc:DongLam!AD91)</f>
        <v>0</v>
      </c>
      <c r="AE91" s="362">
        <f>SUM(DaiLoc:DongLam!AE91)</f>
        <v>0</v>
      </c>
      <c r="AF91" s="364"/>
      <c r="AG91" s="358">
        <v>38414</v>
      </c>
      <c r="AH91" s="358">
        <v>38414</v>
      </c>
      <c r="AI91" s="358">
        <v>38414</v>
      </c>
      <c r="AJ91" s="358">
        <v>38414</v>
      </c>
      <c r="AK91" s="358">
        <v>38414</v>
      </c>
      <c r="AL91" s="354"/>
      <c r="AM91" s="196"/>
      <c r="AN91" s="288"/>
    </row>
    <row r="92" spans="2:40" outlineLevel="1">
      <c r="B92" s="352"/>
      <c r="C92" s="366"/>
      <c r="D92" s="367"/>
      <c r="E92" s="355" t="str">
        <f>IF(B1="EN", "Accumulated depreciation", "Khấu hao lũy kế")</f>
        <v>Khấu hao lũy kế</v>
      </c>
      <c r="F92" s="356"/>
      <c r="G92" s="357"/>
      <c r="H92" s="357"/>
      <c r="I92" s="357"/>
      <c r="J92" s="357"/>
      <c r="K92" s="358"/>
      <c r="L92" s="358"/>
      <c r="M92" s="359"/>
      <c r="N92" s="359">
        <f>SUM(DaiLoc:DongLam!N92)</f>
        <v>0</v>
      </c>
      <c r="O92" s="359">
        <f>SUM(DaiLoc:DongLam!O92)</f>
        <v>0</v>
      </c>
      <c r="P92" s="506">
        <f>SUM(DaiLoc:DongLam!P92)</f>
        <v>0</v>
      </c>
      <c r="Q92" s="506">
        <f>SUM(DaiLoc:DongLam!Q92)</f>
        <v>0</v>
      </c>
      <c r="R92" s="362">
        <f>SUM(DaiLoc:DongLam!R92)</f>
        <v>0</v>
      </c>
      <c r="S92" s="363"/>
      <c r="T92" s="363">
        <f>SUM(DaiLoc:DongLam!T92)</f>
        <v>0</v>
      </c>
      <c r="U92" s="362">
        <f>SUM(DaiLoc:DongLam!U92)</f>
        <v>0</v>
      </c>
      <c r="V92" s="362">
        <f>SUM(DaiLoc:DongLam!V92)</f>
        <v>0</v>
      </c>
      <c r="W92" s="362">
        <f>SUM(DaiLoc:DongLam!W92)</f>
        <v>0</v>
      </c>
      <c r="X92" s="362">
        <f>SUM(DaiLoc:DongLam!X92)</f>
        <v>0</v>
      </c>
      <c r="Y92" s="362">
        <f>SUM(DaiLoc:DongLam!Y92)</f>
        <v>0</v>
      </c>
      <c r="Z92" s="362">
        <f>SUM(DaiLoc:DongLam!Z92)</f>
        <v>0</v>
      </c>
      <c r="AA92" s="362">
        <f>SUM(DaiLoc:DongLam!AA92)</f>
        <v>0</v>
      </c>
      <c r="AB92" s="362">
        <f>SUM(DaiLoc:DongLam!AB92)</f>
        <v>0</v>
      </c>
      <c r="AC92" s="362">
        <f>SUM(DaiLoc:DongLam!AC92)</f>
        <v>0</v>
      </c>
      <c r="AD92" s="362">
        <f>SUM(DaiLoc:DongLam!AD92)</f>
        <v>0</v>
      </c>
      <c r="AE92" s="362">
        <f>SUM(DaiLoc:DongLam!AE92)</f>
        <v>0</v>
      </c>
      <c r="AF92" s="364"/>
      <c r="AG92" s="358">
        <v>-24657474314</v>
      </c>
      <c r="AH92" s="358">
        <v>-25258499284</v>
      </c>
      <c r="AI92" s="358">
        <v>-25859524249</v>
      </c>
      <c r="AJ92" s="358">
        <v>-26460549219</v>
      </c>
      <c r="AK92" s="358">
        <v>-27061574185</v>
      </c>
      <c r="AL92" s="354"/>
      <c r="AM92" s="196"/>
    </row>
    <row r="93" spans="2:40">
      <c r="B93" s="352"/>
      <c r="C93" s="351" t="str">
        <f>IF(B1="EN", "Intangible fixed assets", "Tài sản cố định vô hình")</f>
        <v>Tài sản cố định vô hình</v>
      </c>
      <c r="D93" s="329"/>
      <c r="E93" s="355"/>
      <c r="F93" s="356"/>
      <c r="G93" s="368"/>
      <c r="H93" s="368"/>
      <c r="I93" s="368"/>
      <c r="J93" s="368"/>
      <c r="K93" s="369"/>
      <c r="L93" s="369"/>
      <c r="M93" s="370">
        <f>SUM(M94:M95)</f>
        <v>408981964</v>
      </c>
      <c r="N93" s="370">
        <f>SUM(N94:N95)</f>
        <v>345619734</v>
      </c>
      <c r="O93" s="370">
        <f>SUM(O94:O95)</f>
        <v>245170444</v>
      </c>
      <c r="P93" s="388">
        <f t="shared" ref="P93" si="106">SUM(P94:P95)</f>
        <v>150677563</v>
      </c>
      <c r="Q93" s="388">
        <f>SUM(Q94:Q95)</f>
        <v>172202932</v>
      </c>
      <c r="R93" s="371">
        <f>SUM(DaiLoc:DongLam!R93)</f>
        <v>959157582.78947377</v>
      </c>
      <c r="S93" s="337"/>
      <c r="T93" s="337">
        <f t="shared" ref="T93:AE93" si="107">SUM(T94:T95)</f>
        <v>1153743313.1491227</v>
      </c>
      <c r="U93" s="371">
        <f t="shared" si="107"/>
        <v>1141053701.2982457</v>
      </c>
      <c r="V93" s="371">
        <f t="shared" si="107"/>
        <v>1128364089.4473684</v>
      </c>
      <c r="W93" s="371">
        <f t="shared" si="107"/>
        <v>1115674477.5964913</v>
      </c>
      <c r="X93" s="371">
        <f t="shared" si="107"/>
        <v>1102984865.7456141</v>
      </c>
      <c r="Y93" s="371">
        <f t="shared" si="107"/>
        <v>1090295253.8947368</v>
      </c>
      <c r="Z93" s="371">
        <f t="shared" si="107"/>
        <v>1077605642.0438597</v>
      </c>
      <c r="AA93" s="371">
        <f t="shared" si="107"/>
        <v>1064916030.1929824</v>
      </c>
      <c r="AB93" s="371">
        <f t="shared" si="107"/>
        <v>1052226418.3421054</v>
      </c>
      <c r="AC93" s="371">
        <f t="shared" si="107"/>
        <v>1039536806.4912281</v>
      </c>
      <c r="AD93" s="371">
        <f t="shared" si="107"/>
        <v>1026847194.6403509</v>
      </c>
      <c r="AE93" s="371">
        <f t="shared" si="107"/>
        <v>1014157582.7894738</v>
      </c>
      <c r="AF93" s="338"/>
      <c r="AG93" s="369">
        <v>213136631578</v>
      </c>
      <c r="AH93" s="369">
        <v>199384598418</v>
      </c>
      <c r="AI93" s="369">
        <v>187082174226</v>
      </c>
      <c r="AJ93" s="369">
        <v>174877537509</v>
      </c>
      <c r="AK93" s="369">
        <v>16836235124</v>
      </c>
      <c r="AL93" s="339"/>
      <c r="AM93" s="196"/>
    </row>
    <row r="94" spans="2:40" outlineLevel="1">
      <c r="B94" s="352"/>
      <c r="C94" s="367"/>
      <c r="D94" s="367"/>
      <c r="E94" s="355" t="str">
        <f>IF(B1="EN", "Cost", "Nguyên giá")</f>
        <v>Nguyên giá</v>
      </c>
      <c r="F94" s="356"/>
      <c r="G94" s="357"/>
      <c r="H94" s="357"/>
      <c r="I94" s="357"/>
      <c r="J94" s="357"/>
      <c r="K94" s="358"/>
      <c r="L94" s="358"/>
      <c r="M94" s="359">
        <v>430507331</v>
      </c>
      <c r="N94" s="359">
        <f>SUM(DaiLoc:DongLam!N94)</f>
        <v>485507331</v>
      </c>
      <c r="O94" s="359">
        <f>SUM(DaiLoc:DongLam!O94)</f>
        <v>485507331</v>
      </c>
      <c r="P94" s="506">
        <f>SUM(DaiLoc:DongLam!P94)</f>
        <v>485507331</v>
      </c>
      <c r="Q94" s="506">
        <f>SUM(DaiLoc:DongLam!Q94)</f>
        <v>485507331</v>
      </c>
      <c r="R94" s="362">
        <f>SUM(DaiLoc:DongLam!R94)</f>
        <v>1479737331</v>
      </c>
      <c r="S94" s="363"/>
      <c r="T94" s="363">
        <f>SUM(DaiLoc:DongLam!T94)</f>
        <v>1479737331</v>
      </c>
      <c r="U94" s="362">
        <f>SUM(DaiLoc:DongLam!U94)</f>
        <v>1479737331</v>
      </c>
      <c r="V94" s="362">
        <f>SUM(DaiLoc:DongLam!V94)</f>
        <v>1479737331</v>
      </c>
      <c r="W94" s="362">
        <f>SUM(DaiLoc:DongLam!W94)</f>
        <v>1479737331</v>
      </c>
      <c r="X94" s="362">
        <f>SUM(DaiLoc:DongLam!X94)</f>
        <v>1479737331</v>
      </c>
      <c r="Y94" s="362">
        <f>SUM(DaiLoc:DongLam!Y94)</f>
        <v>1479737331</v>
      </c>
      <c r="Z94" s="362">
        <f>SUM(DaiLoc:DongLam!Z94)</f>
        <v>1479737331</v>
      </c>
      <c r="AA94" s="362">
        <f>SUM(DaiLoc:DongLam!AA94)</f>
        <v>1479737331</v>
      </c>
      <c r="AB94" s="362">
        <f>SUM(DaiLoc:DongLam!AB94)</f>
        <v>1479737331</v>
      </c>
      <c r="AC94" s="362">
        <f>SUM(DaiLoc:DongLam!AC94)</f>
        <v>1479737331</v>
      </c>
      <c r="AD94" s="362">
        <f>SUM(DaiLoc:DongLam!AD94)</f>
        <v>1479737331</v>
      </c>
      <c r="AE94" s="362">
        <f>SUM(DaiLoc:DongLam!AE94)</f>
        <v>1479737331</v>
      </c>
      <c r="AF94" s="364"/>
      <c r="AG94" s="358">
        <v>350267198546</v>
      </c>
      <c r="AH94" s="358">
        <v>350267198546</v>
      </c>
      <c r="AI94" s="358">
        <v>350267198546</v>
      </c>
      <c r="AJ94" s="358">
        <v>350267198546</v>
      </c>
      <c r="AK94" s="358">
        <v>350267198546</v>
      </c>
      <c r="AL94" s="354"/>
      <c r="AM94" s="196"/>
      <c r="AN94" s="288"/>
    </row>
    <row r="95" spans="2:40" outlineLevel="1">
      <c r="B95" s="352"/>
      <c r="C95" s="367"/>
      <c r="D95" s="367"/>
      <c r="E95" s="355" t="str">
        <f>IF(B1="EN", "Accumulated depreciation", "Khấu hao lũy kế")</f>
        <v>Khấu hao lũy kế</v>
      </c>
      <c r="F95" s="356"/>
      <c r="G95" s="357"/>
      <c r="H95" s="357"/>
      <c r="I95" s="357"/>
      <c r="J95" s="357"/>
      <c r="K95" s="358"/>
      <c r="L95" s="358"/>
      <c r="M95" s="359">
        <v>-21525367</v>
      </c>
      <c r="N95" s="359">
        <f>SUM(DaiLoc:DongLam!N95)</f>
        <v>-139887597</v>
      </c>
      <c r="O95" s="359">
        <f>SUM(DaiLoc:DongLam!O95)</f>
        <v>-240336887</v>
      </c>
      <c r="P95" s="506">
        <f>SUM(DaiLoc:DongLam!P95)</f>
        <v>-334829768</v>
      </c>
      <c r="Q95" s="506">
        <f>SUM(DaiLoc:DongLam!Q95)</f>
        <v>-313304399</v>
      </c>
      <c r="R95" s="362">
        <f>SUM(DaiLoc:DongLam!R95)</f>
        <v>-520579748.21052623</v>
      </c>
      <c r="S95" s="363"/>
      <c r="T95" s="363">
        <f>SUM(DaiLoc:DongLam!T95)</f>
        <v>-325994017.85087717</v>
      </c>
      <c r="U95" s="362">
        <f>SUM(DaiLoc:DongLam!U95)</f>
        <v>-338683629.70175439</v>
      </c>
      <c r="V95" s="362">
        <f>SUM(DaiLoc:DongLam!V95)</f>
        <v>-351373241.55263156</v>
      </c>
      <c r="W95" s="362">
        <f>SUM(DaiLoc:DongLam!W95)</f>
        <v>-364062853.40350872</v>
      </c>
      <c r="X95" s="362">
        <f>SUM(DaiLoc:DongLam!X95)</f>
        <v>-376752465.25438595</v>
      </c>
      <c r="Y95" s="362">
        <f>SUM(DaiLoc:DongLam!Y95)</f>
        <v>-389442077.10526311</v>
      </c>
      <c r="Z95" s="362">
        <f>SUM(DaiLoc:DongLam!Z95)</f>
        <v>-402131688.95614034</v>
      </c>
      <c r="AA95" s="362">
        <f>SUM(DaiLoc:DongLam!AA95)</f>
        <v>-414821300.80701751</v>
      </c>
      <c r="AB95" s="362">
        <f>SUM(DaiLoc:DongLam!AB95)</f>
        <v>-427510912.65789467</v>
      </c>
      <c r="AC95" s="362">
        <f>SUM(DaiLoc:DongLam!AC95)</f>
        <v>-440200524.5087719</v>
      </c>
      <c r="AD95" s="362">
        <f>SUM(DaiLoc:DongLam!AD95)</f>
        <v>-452890136.35964906</v>
      </c>
      <c r="AE95" s="362">
        <f>SUM(DaiLoc:DongLam!AE95)</f>
        <v>-465579748.21052623</v>
      </c>
      <c r="AF95" s="364"/>
      <c r="AG95" s="358">
        <v>-137130566968</v>
      </c>
      <c r="AH95" s="358">
        <v>-150882600128</v>
      </c>
      <c r="AI95" s="358">
        <v>-16318502432</v>
      </c>
      <c r="AJ95" s="358">
        <v>-175389661037</v>
      </c>
      <c r="AK95" s="358">
        <v>-181904847306</v>
      </c>
      <c r="AL95" s="354"/>
      <c r="AM95" s="196"/>
    </row>
    <row r="96" spans="2:40">
      <c r="B96" s="327" t="str">
        <f>IF(B1="EN", "Long-term work in progress", "Chi phí dở dang dài hạn")</f>
        <v>Chi phí dở dang dài hạn</v>
      </c>
      <c r="C96" s="123"/>
      <c r="D96" s="123"/>
      <c r="E96" s="317"/>
      <c r="F96" s="318"/>
      <c r="G96" s="319"/>
      <c r="H96" s="319"/>
      <c r="I96" s="319"/>
      <c r="J96" s="319"/>
      <c r="K96" s="320"/>
      <c r="L96" s="320"/>
      <c r="M96" s="321">
        <f>M97</f>
        <v>1885024098</v>
      </c>
      <c r="N96" s="321">
        <f>N97</f>
        <v>4904362054</v>
      </c>
      <c r="O96" s="321">
        <f>O97</f>
        <v>1177211000</v>
      </c>
      <c r="P96" s="421">
        <f>P97</f>
        <v>1178581000</v>
      </c>
      <c r="Q96" s="421">
        <f>Q97</f>
        <v>1178581000</v>
      </c>
      <c r="R96" s="324">
        <f t="shared" si="96"/>
        <v>0</v>
      </c>
      <c r="S96" s="324"/>
      <c r="T96" s="324">
        <f t="shared" ref="T96:AE96" si="108">T97</f>
        <v>0</v>
      </c>
      <c r="U96" s="324">
        <f t="shared" si="108"/>
        <v>0</v>
      </c>
      <c r="V96" s="324">
        <f t="shared" si="108"/>
        <v>0</v>
      </c>
      <c r="W96" s="324">
        <f t="shared" si="108"/>
        <v>0</v>
      </c>
      <c r="X96" s="324">
        <f t="shared" si="108"/>
        <v>0</v>
      </c>
      <c r="Y96" s="324">
        <f t="shared" si="108"/>
        <v>0</v>
      </c>
      <c r="Z96" s="324">
        <f t="shared" si="108"/>
        <v>0</v>
      </c>
      <c r="AA96" s="324">
        <f t="shared" si="108"/>
        <v>0</v>
      </c>
      <c r="AB96" s="324">
        <f t="shared" si="108"/>
        <v>0</v>
      </c>
      <c r="AC96" s="324">
        <f t="shared" si="108"/>
        <v>0</v>
      </c>
      <c r="AD96" s="324">
        <f t="shared" si="108"/>
        <v>0</v>
      </c>
      <c r="AE96" s="324">
        <f t="shared" si="108"/>
        <v>0</v>
      </c>
      <c r="AF96" s="325"/>
      <c r="AG96" s="320">
        <v>198309547047</v>
      </c>
      <c r="AH96" s="320">
        <v>198309547047</v>
      </c>
      <c r="AI96" s="320">
        <v>198309547047</v>
      </c>
      <c r="AJ96" s="320">
        <v>198309547047</v>
      </c>
      <c r="AK96" s="320">
        <v>198309547047</v>
      </c>
      <c r="AL96" s="326"/>
      <c r="AM96" s="196"/>
    </row>
    <row r="97" spans="2:41" outlineLevel="1">
      <c r="B97" s="342"/>
      <c r="C97" s="351" t="str">
        <f>IF(B1="EN", "Construction in progress", "Xây dựng cơ bản dở dang")</f>
        <v>Xây dựng cơ bản dở dang</v>
      </c>
      <c r="D97" s="329"/>
      <c r="E97" s="330"/>
      <c r="F97" s="331"/>
      <c r="G97" s="368"/>
      <c r="H97" s="368"/>
      <c r="I97" s="368"/>
      <c r="J97" s="368"/>
      <c r="K97" s="369"/>
      <c r="L97" s="369"/>
      <c r="M97" s="370">
        <v>1885024098</v>
      </c>
      <c r="N97" s="370">
        <f>SUM(DaiLoc:DongLam!N97)</f>
        <v>4904362054</v>
      </c>
      <c r="O97" s="370">
        <f>SUM(DaiLoc:DongLam!O97)</f>
        <v>1177211000</v>
      </c>
      <c r="P97" s="388">
        <f>SUM(DaiLoc:DongLam!P97)</f>
        <v>1178581000</v>
      </c>
      <c r="Q97" s="388">
        <f>SUM(DaiLoc:DongLam!Q97)</f>
        <v>1178581000</v>
      </c>
      <c r="R97" s="371">
        <f>SUM(DaiLoc:DongLam!R97)</f>
        <v>0</v>
      </c>
      <c r="S97" s="337"/>
      <c r="T97" s="371">
        <f>SUM(DaiLoc:DongLam!T97)</f>
        <v>0</v>
      </c>
      <c r="U97" s="371">
        <f>SUM(DaiLoc:DongLam!U97)</f>
        <v>0</v>
      </c>
      <c r="V97" s="371">
        <f>SUM(DaiLoc:DongLam!V97)</f>
        <v>0</v>
      </c>
      <c r="W97" s="371">
        <f>SUM(DaiLoc:DongLam!W97)</f>
        <v>0</v>
      </c>
      <c r="X97" s="371">
        <f>SUM(DaiLoc:DongLam!X97)</f>
        <v>0</v>
      </c>
      <c r="Y97" s="371">
        <f>SUM(DaiLoc:DongLam!Y97)</f>
        <v>0</v>
      </c>
      <c r="Z97" s="371">
        <f>SUM(DaiLoc:DongLam!Z97)</f>
        <v>0</v>
      </c>
      <c r="AA97" s="371">
        <f>SUM(DaiLoc:DongLam!AA97)</f>
        <v>0</v>
      </c>
      <c r="AB97" s="371">
        <f>SUM(DaiLoc:DongLam!AB97)</f>
        <v>0</v>
      </c>
      <c r="AC97" s="371">
        <f>SUM(DaiLoc:DongLam!AC97)</f>
        <v>0</v>
      </c>
      <c r="AD97" s="371">
        <f>SUM(DaiLoc:DongLam!AD97)</f>
        <v>0</v>
      </c>
      <c r="AE97" s="371">
        <f>SUM(DaiLoc:DongLam!AE97)</f>
        <v>0</v>
      </c>
      <c r="AF97" s="338"/>
      <c r="AG97" s="369">
        <v>198309547047</v>
      </c>
      <c r="AH97" s="369">
        <v>198309547047</v>
      </c>
      <c r="AI97" s="369">
        <v>198309547047</v>
      </c>
      <c r="AJ97" s="369">
        <v>198309547047</v>
      </c>
      <c r="AK97" s="369">
        <v>198309547047</v>
      </c>
      <c r="AL97" s="339"/>
      <c r="AM97" s="196"/>
      <c r="AN97" s="288"/>
    </row>
    <row r="98" spans="2:41">
      <c r="B98" s="327" t="str">
        <f>IF(B1="EN", "Other long-term assets", "Tài sản dài hạn khác")</f>
        <v>Tài sản dài hạn khác</v>
      </c>
      <c r="C98" s="123"/>
      <c r="D98" s="123"/>
      <c r="E98" s="317"/>
      <c r="F98" s="318"/>
      <c r="G98" s="319"/>
      <c r="H98" s="319"/>
      <c r="I98" s="319"/>
      <c r="J98" s="319"/>
      <c r="K98" s="320"/>
      <c r="L98" s="320"/>
      <c r="M98" s="321">
        <v>299644734</v>
      </c>
      <c r="N98" s="321">
        <f>SUM(DaiLoc:DongLam!N98)</f>
        <v>1302687915</v>
      </c>
      <c r="O98" s="321">
        <f>SUM(DaiLoc:DongLam!O98)</f>
        <v>1082238494</v>
      </c>
      <c r="P98" s="421">
        <f>SUM(DaiLoc:DongLam!P98)</f>
        <v>2303322888</v>
      </c>
      <c r="Q98" s="421">
        <f>SUM(DaiLoc:DongLam!Q98)</f>
        <v>3149170050</v>
      </c>
      <c r="R98" s="324">
        <f>SUM(DaiLoc:DongLam!R98)</f>
        <v>1116389270</v>
      </c>
      <c r="S98" s="324"/>
      <c r="T98" s="324">
        <f>SUM(DaiLoc:DongLam!T98)</f>
        <v>1116389270</v>
      </c>
      <c r="U98" s="324">
        <f>SUM(DaiLoc:DongLam!U98)</f>
        <v>1116389270</v>
      </c>
      <c r="V98" s="324">
        <f>SUM(DaiLoc:DongLam!V98)</f>
        <v>1116389270</v>
      </c>
      <c r="W98" s="324">
        <f>SUM(DaiLoc:DongLam!W98)</f>
        <v>1116389270</v>
      </c>
      <c r="X98" s="324">
        <f>SUM(DaiLoc:DongLam!X98)</f>
        <v>1116389270</v>
      </c>
      <c r="Y98" s="324">
        <f>SUM(DaiLoc:DongLam!Y98)</f>
        <v>1116389270</v>
      </c>
      <c r="Z98" s="324">
        <f>SUM(DaiLoc:DongLam!Z98)</f>
        <v>1116389270</v>
      </c>
      <c r="AA98" s="324">
        <f>SUM(DaiLoc:DongLam!AA98)</f>
        <v>1116389270</v>
      </c>
      <c r="AB98" s="324">
        <f>SUM(DaiLoc:DongLam!AB98)</f>
        <v>1116389270</v>
      </c>
      <c r="AC98" s="324">
        <f>SUM(DaiLoc:DongLam!AC98)</f>
        <v>1116389270</v>
      </c>
      <c r="AD98" s="324">
        <f>SUM(DaiLoc:DongLam!AD98)</f>
        <v>1116389270</v>
      </c>
      <c r="AE98" s="324">
        <f>SUM(DaiLoc:DongLam!AE98)</f>
        <v>1116389270</v>
      </c>
      <c r="AF98" s="325"/>
      <c r="AG98" s="320">
        <v>23909569361</v>
      </c>
      <c r="AH98" s="320">
        <v>23909569361</v>
      </c>
      <c r="AI98" s="320">
        <v>23909569361</v>
      </c>
      <c r="AJ98" s="320">
        <v>23909569361</v>
      </c>
      <c r="AK98" s="320">
        <v>23909569361</v>
      </c>
      <c r="AL98" s="326"/>
      <c r="AM98" s="196"/>
      <c r="AO98" s="107"/>
    </row>
    <row r="99" spans="2:41">
      <c r="B99" s="327" t="str">
        <f>IF(B1="EN", "Goodwill", "Lợi thế thương mại")</f>
        <v>Lợi thế thương mại</v>
      </c>
      <c r="C99" s="123"/>
      <c r="D99" s="123"/>
      <c r="E99" s="317"/>
      <c r="F99" s="318"/>
      <c r="G99" s="319"/>
      <c r="H99" s="319"/>
      <c r="I99" s="319"/>
      <c r="J99" s="319"/>
      <c r="K99" s="320"/>
      <c r="L99" s="320"/>
      <c r="M99" s="321"/>
      <c r="N99" s="321">
        <f>SUM(DaiLoc:DongLam!N99)</f>
        <v>0</v>
      </c>
      <c r="O99" s="321">
        <f>SUM(DaiLoc:DongLam!O99)</f>
        <v>0</v>
      </c>
      <c r="P99" s="421">
        <f>SUM(DaiLoc:DongLam!P99)</f>
        <v>0</v>
      </c>
      <c r="Q99" s="421">
        <f>SUM(DaiLoc:DongLam!Q99)</f>
        <v>0</v>
      </c>
      <c r="R99" s="324">
        <f>SUM(DaiLoc:DongLam!R99)</f>
        <v>0</v>
      </c>
      <c r="S99" s="324"/>
      <c r="T99" s="324">
        <f>SUM(DaiLoc:DongLam!T99)</f>
        <v>0</v>
      </c>
      <c r="U99" s="324">
        <f>SUM(DaiLoc:DongLam!U99)</f>
        <v>0</v>
      </c>
      <c r="V99" s="324">
        <f>SUM(DaiLoc:DongLam!V99)</f>
        <v>0</v>
      </c>
      <c r="W99" s="324">
        <f>SUM(DaiLoc:DongLam!W99)</f>
        <v>0</v>
      </c>
      <c r="X99" s="324">
        <f>SUM(DaiLoc:DongLam!X99)</f>
        <v>0</v>
      </c>
      <c r="Y99" s="324">
        <f>SUM(DaiLoc:DongLam!Y99)</f>
        <v>0</v>
      </c>
      <c r="Z99" s="324">
        <f>SUM(DaiLoc:DongLam!Z99)</f>
        <v>0</v>
      </c>
      <c r="AA99" s="324">
        <f>SUM(DaiLoc:DongLam!AA99)</f>
        <v>0</v>
      </c>
      <c r="AB99" s="324">
        <f>SUM(DaiLoc:DongLam!AB99)</f>
        <v>0</v>
      </c>
      <c r="AC99" s="324">
        <f>SUM(DaiLoc:DongLam!AC99)</f>
        <v>0</v>
      </c>
      <c r="AD99" s="324">
        <f>SUM(DaiLoc:DongLam!AD99)</f>
        <v>0</v>
      </c>
      <c r="AE99" s="324">
        <f>SUM(DaiLoc:DongLam!AE99)</f>
        <v>0</v>
      </c>
      <c r="AF99" s="325"/>
      <c r="AG99" s="320"/>
      <c r="AH99" s="320"/>
      <c r="AI99" s="320"/>
      <c r="AJ99" s="320"/>
      <c r="AK99" s="320"/>
      <c r="AL99" s="326"/>
      <c r="AM99" s="196"/>
    </row>
    <row r="100" spans="2:41" collapsed="1">
      <c r="B100" s="327" t="str">
        <f>IF(B1="EN", "Long-term financial investments", "Đầu tư dài hạn")</f>
        <v>Đầu tư dài hạn</v>
      </c>
      <c r="C100" s="123"/>
      <c r="D100" s="123"/>
      <c r="E100" s="317"/>
      <c r="F100" s="318"/>
      <c r="G100" s="319"/>
      <c r="H100" s="319"/>
      <c r="I100" s="319"/>
      <c r="J100" s="319"/>
      <c r="K100" s="320"/>
      <c r="L100" s="320"/>
      <c r="M100" s="321"/>
      <c r="N100" s="321">
        <f>SUM(DaiLoc:DongLam!N100)</f>
        <v>0</v>
      </c>
      <c r="O100" s="321">
        <f>SUM(DaiLoc:DongLam!O100)</f>
        <v>0</v>
      </c>
      <c r="P100" s="421">
        <f>SUM(DaiLoc:DongLam!P100)</f>
        <v>0</v>
      </c>
      <c r="Q100" s="421">
        <f>SUM(DaiLoc:DongLam!Q100)</f>
        <v>930823092</v>
      </c>
      <c r="R100" s="324">
        <f>SUM(DaiLoc:DongLam!R100)</f>
        <v>930823092</v>
      </c>
      <c r="S100" s="324"/>
      <c r="T100" s="324">
        <f>SUM(DaiLoc:DongLam!T100)</f>
        <v>930823092</v>
      </c>
      <c r="U100" s="324">
        <f>SUM(DaiLoc:DongLam!U100)</f>
        <v>930823092</v>
      </c>
      <c r="V100" s="324">
        <f>SUM(DaiLoc:DongLam!V100)</f>
        <v>930823092</v>
      </c>
      <c r="W100" s="324">
        <f>SUM(DaiLoc:DongLam!W100)</f>
        <v>930823092</v>
      </c>
      <c r="X100" s="324">
        <f>SUM(DaiLoc:DongLam!X100)</f>
        <v>930823092</v>
      </c>
      <c r="Y100" s="324">
        <f>SUM(DaiLoc:DongLam!Y100)</f>
        <v>930823092</v>
      </c>
      <c r="Z100" s="324">
        <f>SUM(DaiLoc:DongLam!Z100)</f>
        <v>930823092</v>
      </c>
      <c r="AA100" s="324">
        <f>SUM(DaiLoc:DongLam!AA100)</f>
        <v>930823092</v>
      </c>
      <c r="AB100" s="324">
        <f>SUM(DaiLoc:DongLam!AB100)</f>
        <v>930823092</v>
      </c>
      <c r="AC100" s="324">
        <f>SUM(DaiLoc:DongLam!AC100)</f>
        <v>930823092</v>
      </c>
      <c r="AD100" s="324">
        <f>SUM(DaiLoc:DongLam!AD100)</f>
        <v>930823092</v>
      </c>
      <c r="AE100" s="324">
        <f>SUM(DaiLoc:DongLam!AE100)</f>
        <v>930823092</v>
      </c>
      <c r="AF100" s="325"/>
      <c r="AG100" s="320">
        <f t="shared" ref="AG100:AK100" si="109">SUM(AG101:AG103)</f>
        <v>0</v>
      </c>
      <c r="AH100" s="320">
        <f t="shared" si="109"/>
        <v>0</v>
      </c>
      <c r="AI100" s="320">
        <f t="shared" si="109"/>
        <v>0</v>
      </c>
      <c r="AJ100" s="320">
        <f t="shared" si="109"/>
        <v>0</v>
      </c>
      <c r="AK100" s="320">
        <f t="shared" si="109"/>
        <v>0</v>
      </c>
      <c r="AL100" s="326"/>
      <c r="AM100" s="196"/>
    </row>
    <row r="101" spans="2:41" outlineLevel="1">
      <c r="B101" s="342"/>
      <c r="C101" s="329" t="str">
        <f>IF(B1="EN", "Investment in subsidiaries", "Đầu tư vào công ty con")</f>
        <v>Đầu tư vào công ty con</v>
      </c>
      <c r="D101" s="329"/>
      <c r="E101" s="330"/>
      <c r="F101" s="331"/>
      <c r="G101" s="332"/>
      <c r="H101" s="332"/>
      <c r="I101" s="332"/>
      <c r="J101" s="332"/>
      <c r="K101" s="333"/>
      <c r="L101" s="333"/>
      <c r="M101" s="340"/>
      <c r="N101" s="340">
        <f>SUM(DaiLoc:DongLam!N101)</f>
        <v>0</v>
      </c>
      <c r="O101" s="340">
        <f>SUM(DaiLoc:DongLam!O101)</f>
        <v>0</v>
      </c>
      <c r="P101" s="334">
        <f>SUM(DaiLoc:DongLam!P101)</f>
        <v>0</v>
      </c>
      <c r="Q101" s="334">
        <f>SUM(DaiLoc:DongLam!Q101)</f>
        <v>0</v>
      </c>
      <c r="R101" s="337">
        <f>SUM(DaiLoc:DongLam!R101)</f>
        <v>0</v>
      </c>
      <c r="S101" s="337"/>
      <c r="T101" s="337">
        <f>SUM(DaiLoc:DongLam!T101)</f>
        <v>0</v>
      </c>
      <c r="U101" s="337">
        <f>SUM(DaiLoc:DongLam!U101)</f>
        <v>0</v>
      </c>
      <c r="V101" s="337">
        <f>SUM(DaiLoc:DongLam!V101)</f>
        <v>0</v>
      </c>
      <c r="W101" s="337">
        <f>SUM(DaiLoc:DongLam!W101)</f>
        <v>0</v>
      </c>
      <c r="X101" s="337">
        <f>SUM(DaiLoc:DongLam!X101)</f>
        <v>0</v>
      </c>
      <c r="Y101" s="337">
        <f>SUM(DaiLoc:DongLam!Y101)</f>
        <v>0</v>
      </c>
      <c r="Z101" s="337">
        <f>SUM(DaiLoc:DongLam!Z101)</f>
        <v>0</v>
      </c>
      <c r="AA101" s="337">
        <f>SUM(DaiLoc:DongLam!AA101)</f>
        <v>0</v>
      </c>
      <c r="AB101" s="337">
        <f>SUM(DaiLoc:DongLam!AB101)</f>
        <v>0</v>
      </c>
      <c r="AC101" s="337">
        <f>SUM(DaiLoc:DongLam!AC101)</f>
        <v>0</v>
      </c>
      <c r="AD101" s="337">
        <f>SUM(DaiLoc:DongLam!AD101)</f>
        <v>0</v>
      </c>
      <c r="AE101" s="337">
        <f>SUM(DaiLoc:DongLam!AE101)</f>
        <v>0</v>
      </c>
      <c r="AF101" s="338"/>
      <c r="AG101" s="333"/>
      <c r="AH101" s="333"/>
      <c r="AI101" s="333"/>
      <c r="AJ101" s="333"/>
      <c r="AK101" s="333"/>
      <c r="AL101" s="339"/>
      <c r="AM101" s="196"/>
    </row>
    <row r="102" spans="2:41">
      <c r="B102" s="342"/>
      <c r="C102" s="329" t="s">
        <v>114</v>
      </c>
      <c r="D102" s="329"/>
      <c r="E102" s="330"/>
      <c r="F102" s="331"/>
      <c r="G102" s="332"/>
      <c r="H102" s="332"/>
      <c r="I102" s="332"/>
      <c r="J102" s="332"/>
      <c r="K102" s="333"/>
      <c r="L102" s="333"/>
      <c r="M102" s="340"/>
      <c r="N102" s="340">
        <f>SUM(DaiLoc:DongLam!N102)</f>
        <v>0</v>
      </c>
      <c r="O102" s="340">
        <f>SUM(DaiLoc:DongLam!O102)</f>
        <v>0</v>
      </c>
      <c r="P102" s="334">
        <f>SUM(DaiLoc:DongLam!P102)</f>
        <v>0</v>
      </c>
      <c r="Q102" s="334">
        <f>SUM(DaiLoc:DongLam!Q102)</f>
        <v>0</v>
      </c>
      <c r="R102" s="337">
        <f>SUM(DaiLoc:DongLam!R102)</f>
        <v>0</v>
      </c>
      <c r="S102" s="337"/>
      <c r="T102" s="337">
        <f>SUM(DaiLoc:DongLam!T102)</f>
        <v>0</v>
      </c>
      <c r="U102" s="337">
        <f>SUM(DaiLoc:DongLam!U102)</f>
        <v>0</v>
      </c>
      <c r="V102" s="337">
        <f>SUM(DaiLoc:DongLam!V102)</f>
        <v>0</v>
      </c>
      <c r="W102" s="337">
        <f>SUM(DaiLoc:DongLam!W102)</f>
        <v>0</v>
      </c>
      <c r="X102" s="337">
        <f>SUM(DaiLoc:DongLam!X102)</f>
        <v>0</v>
      </c>
      <c r="Y102" s="337">
        <f>SUM(DaiLoc:DongLam!Y102)</f>
        <v>0</v>
      </c>
      <c r="Z102" s="337">
        <f>SUM(DaiLoc:DongLam!Z102)</f>
        <v>0</v>
      </c>
      <c r="AA102" s="337">
        <f>SUM(DaiLoc:DongLam!AA102)</f>
        <v>0</v>
      </c>
      <c r="AB102" s="337">
        <f>SUM(DaiLoc:DongLam!AB102)</f>
        <v>0</v>
      </c>
      <c r="AC102" s="337">
        <f>SUM(DaiLoc:DongLam!AC102)</f>
        <v>0</v>
      </c>
      <c r="AD102" s="337">
        <f>SUM(DaiLoc:DongLam!AD102)</f>
        <v>0</v>
      </c>
      <c r="AE102" s="337">
        <f>SUM(DaiLoc:DongLam!AE102)</f>
        <v>0</v>
      </c>
      <c r="AF102" s="338"/>
      <c r="AG102" s="333"/>
      <c r="AH102" s="333"/>
      <c r="AI102" s="333"/>
      <c r="AJ102" s="333"/>
      <c r="AK102" s="333"/>
      <c r="AL102" s="339"/>
      <c r="AM102" s="196"/>
    </row>
    <row r="103" spans="2:41">
      <c r="B103" s="342"/>
      <c r="C103" s="329" t="s">
        <v>115</v>
      </c>
      <c r="D103" s="329"/>
      <c r="E103" s="330"/>
      <c r="F103" s="331"/>
      <c r="G103" s="332"/>
      <c r="H103" s="332"/>
      <c r="I103" s="332"/>
      <c r="J103" s="332"/>
      <c r="K103" s="333"/>
      <c r="L103" s="333"/>
      <c r="M103" s="340"/>
      <c r="N103" s="340">
        <f>SUM(DaiLoc:DongLam!N103)</f>
        <v>0</v>
      </c>
      <c r="O103" s="340">
        <f>SUM(DaiLoc:DongLam!O103)</f>
        <v>0</v>
      </c>
      <c r="P103" s="334">
        <f>SUM(DaiLoc:DongLam!P103)</f>
        <v>0</v>
      </c>
      <c r="Q103" s="334">
        <f>SUM(DaiLoc:DongLam!Q103)</f>
        <v>0</v>
      </c>
      <c r="R103" s="337">
        <f>SUM(DaiLoc:DongLam!R103)</f>
        <v>0</v>
      </c>
      <c r="S103" s="337"/>
      <c r="T103" s="337">
        <f>SUM(DaiLoc:DongLam!T103)</f>
        <v>0</v>
      </c>
      <c r="U103" s="337">
        <f>SUM(DaiLoc:DongLam!U103)</f>
        <v>0</v>
      </c>
      <c r="V103" s="337">
        <f>SUM(DaiLoc:DongLam!V103)</f>
        <v>0</v>
      </c>
      <c r="W103" s="337">
        <f>SUM(DaiLoc:DongLam!W103)</f>
        <v>0</v>
      </c>
      <c r="X103" s="337">
        <f>SUM(DaiLoc:DongLam!X103)</f>
        <v>0</v>
      </c>
      <c r="Y103" s="337">
        <f>SUM(DaiLoc:DongLam!Y103)</f>
        <v>0</v>
      </c>
      <c r="Z103" s="337">
        <f>SUM(DaiLoc:DongLam!Z103)</f>
        <v>0</v>
      </c>
      <c r="AA103" s="337">
        <f>SUM(DaiLoc:DongLam!AA103)</f>
        <v>0</v>
      </c>
      <c r="AB103" s="337">
        <f>SUM(DaiLoc:DongLam!AB103)</f>
        <v>0</v>
      </c>
      <c r="AC103" s="337">
        <f>SUM(DaiLoc:DongLam!AC103)</f>
        <v>0</v>
      </c>
      <c r="AD103" s="337">
        <f>SUM(DaiLoc:DongLam!AD103)</f>
        <v>0</v>
      </c>
      <c r="AE103" s="337">
        <f>SUM(DaiLoc:DongLam!AE103)</f>
        <v>0</v>
      </c>
      <c r="AF103" s="338"/>
      <c r="AG103" s="333"/>
      <c r="AH103" s="333"/>
      <c r="AI103" s="333"/>
      <c r="AJ103" s="333"/>
      <c r="AK103" s="333"/>
      <c r="AL103" s="339"/>
      <c r="AM103" s="196"/>
    </row>
    <row r="104" spans="2:41" s="125" customFormat="1">
      <c r="B104" s="342"/>
      <c r="C104" s="329"/>
      <c r="D104" s="329"/>
      <c r="E104" s="339"/>
      <c r="F104" s="373"/>
      <c r="G104" s="332"/>
      <c r="H104" s="332"/>
      <c r="I104" s="332"/>
      <c r="J104" s="332"/>
      <c r="K104" s="333"/>
      <c r="L104" s="333"/>
      <c r="M104" s="340"/>
      <c r="N104" s="340"/>
      <c r="O104" s="340"/>
      <c r="P104" s="334"/>
      <c r="Q104" s="334"/>
      <c r="R104" s="337">
        <f t="shared" si="96"/>
        <v>0</v>
      </c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8"/>
      <c r="AG104" s="333"/>
      <c r="AH104" s="333"/>
      <c r="AI104" s="333"/>
      <c r="AJ104" s="333"/>
      <c r="AK104" s="333"/>
      <c r="AL104" s="339"/>
      <c r="AM104" s="196"/>
    </row>
    <row r="105" spans="2:41" ht="17" thickBot="1">
      <c r="B105" s="374" t="str">
        <f>IF(B1="EN", "TOTAL ASSETS", "TỔNG TÀI SẢN")</f>
        <v>TỔNG TÀI SẢN</v>
      </c>
      <c r="C105" s="375"/>
      <c r="D105" s="375"/>
      <c r="E105" s="376"/>
      <c r="F105" s="377"/>
      <c r="G105" s="378"/>
      <c r="H105" s="378"/>
      <c r="I105" s="378"/>
      <c r="J105" s="378"/>
      <c r="K105" s="378"/>
      <c r="L105" s="378"/>
      <c r="M105" s="379">
        <f>M73+M85</f>
        <v>67118265497</v>
      </c>
      <c r="N105" s="379">
        <f>N73+N85</f>
        <v>122862209758.86</v>
      </c>
      <c r="O105" s="379">
        <f>O73+O85</f>
        <v>90260158059.481995</v>
      </c>
      <c r="P105" s="507">
        <f>P73+P85</f>
        <v>85259597424.450867</v>
      </c>
      <c r="Q105" s="507">
        <f t="shared" ref="Q105" si="110">Q73+Q85</f>
        <v>105362353794.48199</v>
      </c>
      <c r="R105" s="382">
        <f>SUM(R73,R85)</f>
        <v>101063188075.65848</v>
      </c>
      <c r="S105" s="383"/>
      <c r="T105" s="382">
        <f t="shared" ref="T105:AE105" si="111">T73+T85</f>
        <v>100458076897.43768</v>
      </c>
      <c r="U105" s="382">
        <f t="shared" si="111"/>
        <v>95229739231.363251</v>
      </c>
      <c r="V105" s="382">
        <f t="shared" si="111"/>
        <v>97711811278.276428</v>
      </c>
      <c r="W105" s="382">
        <f t="shared" si="111"/>
        <v>98514932091.573242</v>
      </c>
      <c r="X105" s="382">
        <f t="shared" si="111"/>
        <v>98739414041.684814</v>
      </c>
      <c r="Y105" s="382">
        <f t="shared" si="111"/>
        <v>98653337554.610901</v>
      </c>
      <c r="Z105" s="382">
        <f t="shared" si="111"/>
        <v>98788529989.654358</v>
      </c>
      <c r="AA105" s="382">
        <f t="shared" si="111"/>
        <v>98711787767.92511</v>
      </c>
      <c r="AB105" s="382">
        <f t="shared" si="111"/>
        <v>98646778214.955688</v>
      </c>
      <c r="AC105" s="382">
        <f t="shared" si="111"/>
        <v>99797644812.639069</v>
      </c>
      <c r="AD105" s="382">
        <f t="shared" si="111"/>
        <v>100104729398.64561</v>
      </c>
      <c r="AE105" s="382">
        <f t="shared" si="111"/>
        <v>100552358270.17648</v>
      </c>
      <c r="AF105" s="384"/>
      <c r="AG105" s="378">
        <f>AG73+AG85</f>
        <v>509035424112136</v>
      </c>
      <c r="AH105" s="378">
        <f t="shared" ref="AH105:AK105" si="112">AH73+AH85</f>
        <v>572923182521796</v>
      </c>
      <c r="AI105" s="378">
        <f t="shared" si="112"/>
        <v>635646367613688</v>
      </c>
      <c r="AJ105" s="378">
        <f t="shared" si="112"/>
        <v>704898777571178</v>
      </c>
      <c r="AK105" s="378">
        <f t="shared" si="112"/>
        <v>779794689705248</v>
      </c>
      <c r="AL105" s="326"/>
      <c r="AM105" s="196"/>
    </row>
    <row r="106" spans="2:41" ht="17" thickTop="1">
      <c r="B106" s="342"/>
      <c r="C106" s="271"/>
      <c r="D106" s="271"/>
      <c r="E106" s="330"/>
      <c r="F106" s="331"/>
      <c r="G106" s="319"/>
      <c r="H106" s="319"/>
      <c r="I106" s="319"/>
      <c r="J106" s="319"/>
      <c r="K106" s="320"/>
      <c r="L106" s="385"/>
      <c r="M106" s="340"/>
      <c r="N106" s="340"/>
      <c r="O106" s="340"/>
      <c r="P106" s="334"/>
      <c r="Q106" s="334"/>
      <c r="R106" s="337">
        <f>DaiLoc!R105+KNGA!R105+DongLam!R105-R105</f>
        <v>0</v>
      </c>
      <c r="S106" s="337"/>
      <c r="T106" s="337">
        <f>DaiLoc!T105+KNGA!T105+DongLam!T105-T105</f>
        <v>-106104152.51800537</v>
      </c>
      <c r="U106" s="337">
        <f>DaiLoc!U105+KNGA!U105+DongLam!U105-U105</f>
        <v>-106104152.51800537</v>
      </c>
      <c r="V106" s="337">
        <f>DaiLoc!V105+KNGA!V105+DongLam!V105-V105</f>
        <v>-106104152.51799011</v>
      </c>
      <c r="W106" s="337">
        <f>DaiLoc!W105+KNGA!W105+DongLam!W105-W105</f>
        <v>-106104152.51800537</v>
      </c>
      <c r="X106" s="337">
        <f>DaiLoc!X105+KNGA!X105+DongLam!X105-X105</f>
        <v>-106104152.51800537</v>
      </c>
      <c r="Y106" s="337">
        <f>DaiLoc!Y105+KNGA!Y105+DongLam!Y105-Y105</f>
        <v>-106104152.51800537</v>
      </c>
      <c r="Z106" s="337">
        <f>DaiLoc!Z105+KNGA!Z105+DongLam!Z105-Z105</f>
        <v>-106104152.51800537</v>
      </c>
      <c r="AA106" s="337">
        <f>DaiLoc!AA105+KNGA!AA105+DongLam!AA105-AA105</f>
        <v>-106104152.51802063</v>
      </c>
      <c r="AB106" s="337">
        <f>DaiLoc!AB105+KNGA!AB105+DongLam!AB105-AB105</f>
        <v>-106104152.51800537</v>
      </c>
      <c r="AC106" s="337">
        <f>DaiLoc!AC105+KNGA!AC105+DongLam!AC105-AC105</f>
        <v>-106104152.51800537</v>
      </c>
      <c r="AD106" s="337">
        <f>DaiLoc!AD105+KNGA!AD105+DongLam!AD105-AD105</f>
        <v>-106104152.51799011</v>
      </c>
      <c r="AE106" s="337">
        <f>DaiLoc!AE105+KNGA!AE105+DongLam!AE105-AE105</f>
        <v>-1523695023.5180054</v>
      </c>
      <c r="AF106" s="386"/>
      <c r="AG106" s="385"/>
      <c r="AH106" s="385"/>
      <c r="AI106" s="385"/>
      <c r="AJ106" s="385"/>
      <c r="AK106" s="385"/>
      <c r="AL106" s="387"/>
      <c r="AM106" s="196"/>
    </row>
    <row r="107" spans="2:41">
      <c r="B107" s="126" t="str">
        <f>IF(B1="EN", "LIABILITIES", "NỢ PHẢI TRẢ")</f>
        <v>NỢ PHẢI TRẢ</v>
      </c>
      <c r="C107" s="123"/>
      <c r="D107" s="123"/>
      <c r="E107" s="317"/>
      <c r="F107" s="318"/>
      <c r="G107" s="319"/>
      <c r="H107" s="319"/>
      <c r="I107" s="319"/>
      <c r="J107" s="319"/>
      <c r="K107" s="320"/>
      <c r="L107" s="320"/>
      <c r="M107" s="321">
        <f t="shared" ref="M107:O107" si="113">M108+M113</f>
        <v>37153872883</v>
      </c>
      <c r="N107" s="321">
        <f t="shared" si="113"/>
        <v>67530053288.860001</v>
      </c>
      <c r="O107" s="321">
        <f t="shared" si="113"/>
        <v>52926504831.482002</v>
      </c>
      <c r="P107" s="421">
        <f>P108+P113</f>
        <v>77002217546.739059</v>
      </c>
      <c r="Q107" s="421">
        <f>Q108+Q113</f>
        <v>65474125272</v>
      </c>
      <c r="R107" s="324">
        <f t="shared" si="96"/>
        <v>68194872393.131096</v>
      </c>
      <c r="S107" s="324"/>
      <c r="T107" s="324">
        <f t="shared" ref="T107:AE107" si="114">T108+T113</f>
        <v>64620552701.05658</v>
      </c>
      <c r="U107" s="324">
        <f t="shared" si="114"/>
        <v>62892322298.622223</v>
      </c>
      <c r="V107" s="324">
        <f t="shared" si="114"/>
        <v>65535487740.537338</v>
      </c>
      <c r="W107" s="324">
        <f t="shared" si="114"/>
        <v>67431277408.304199</v>
      </c>
      <c r="X107" s="324">
        <f t="shared" si="114"/>
        <v>67487806492.084198</v>
      </c>
      <c r="Y107" s="324">
        <f t="shared" si="114"/>
        <v>67516681438.983528</v>
      </c>
      <c r="Z107" s="324">
        <f t="shared" si="114"/>
        <v>67572472531.165894</v>
      </c>
      <c r="AA107" s="324">
        <f t="shared" si="114"/>
        <v>67575361023.135452</v>
      </c>
      <c r="AB107" s="324">
        <f t="shared" si="114"/>
        <v>67534595244.672867</v>
      </c>
      <c r="AC107" s="324">
        <f t="shared" si="114"/>
        <v>68174337322.338837</v>
      </c>
      <c r="AD107" s="324">
        <f t="shared" si="114"/>
        <v>68163568723.357086</v>
      </c>
      <c r="AE107" s="324">
        <f t="shared" si="114"/>
        <v>68194872393.131096</v>
      </c>
      <c r="AF107" s="325"/>
      <c r="AG107" s="320">
        <v>173048992379511</v>
      </c>
      <c r="AH107" s="320">
        <v>190528060685131</v>
      </c>
      <c r="AI107" s="320">
        <v>213909267519043</v>
      </c>
      <c r="AJ107" s="320">
        <v>238329663280917</v>
      </c>
      <c r="AK107" s="320">
        <v>260832875155063</v>
      </c>
      <c r="AL107" s="326"/>
      <c r="AM107" s="196"/>
    </row>
    <row r="108" spans="2:41">
      <c r="B108" s="126" t="str">
        <f>IF(B1="EN", "Short-term liabilities", "Nợ ngắn hạn")</f>
        <v>Nợ ngắn hạn</v>
      </c>
      <c r="C108" s="123"/>
      <c r="D108" s="123"/>
      <c r="E108" s="317"/>
      <c r="F108" s="318"/>
      <c r="G108" s="319"/>
      <c r="H108" s="319"/>
      <c r="I108" s="319"/>
      <c r="J108" s="319"/>
      <c r="K108" s="320"/>
      <c r="L108" s="320"/>
      <c r="M108" s="321">
        <f t="shared" ref="M108:P108" si="115">SUM(M109:M111)</f>
        <v>37153872883</v>
      </c>
      <c r="N108" s="321">
        <f t="shared" si="115"/>
        <v>34760053288.860001</v>
      </c>
      <c r="O108" s="321">
        <f t="shared" si="115"/>
        <v>20156504831.482002</v>
      </c>
      <c r="P108" s="421">
        <f t="shared" si="115"/>
        <v>44232217546.739059</v>
      </c>
      <c r="Q108" s="421">
        <f>SUM(Q109:Q111)</f>
        <v>32704125272</v>
      </c>
      <c r="R108" s="324">
        <f t="shared" si="96"/>
        <v>35424872393.131096</v>
      </c>
      <c r="S108" s="324"/>
      <c r="T108" s="324">
        <f>SUM(T109:T111)</f>
        <v>31850552701.056576</v>
      </c>
      <c r="U108" s="324">
        <f t="shared" ref="U108:AE108" si="116">SUM(U109:U111)</f>
        <v>30122322298.622219</v>
      </c>
      <c r="V108" s="324">
        <f t="shared" si="116"/>
        <v>32765487740.537338</v>
      </c>
      <c r="W108" s="324">
        <f t="shared" si="116"/>
        <v>34661277408.304199</v>
      </c>
      <c r="X108" s="324">
        <f t="shared" si="116"/>
        <v>34717806492.084198</v>
      </c>
      <c r="Y108" s="324">
        <f t="shared" si="116"/>
        <v>34746681438.983528</v>
      </c>
      <c r="Z108" s="324">
        <f t="shared" si="116"/>
        <v>34802472531.165894</v>
      </c>
      <c r="AA108" s="324">
        <f t="shared" si="116"/>
        <v>34805361023.135452</v>
      </c>
      <c r="AB108" s="324">
        <f t="shared" si="116"/>
        <v>34764595244.672867</v>
      </c>
      <c r="AC108" s="324">
        <f t="shared" si="116"/>
        <v>35404337322.338837</v>
      </c>
      <c r="AD108" s="324">
        <f t="shared" si="116"/>
        <v>35393568723.357086</v>
      </c>
      <c r="AE108" s="324">
        <f t="shared" si="116"/>
        <v>35424872393.131096</v>
      </c>
      <c r="AF108" s="325"/>
      <c r="AG108" s="320">
        <v>163839041745311</v>
      </c>
      <c r="AH108" s="320">
        <v>176860565956131</v>
      </c>
      <c r="AI108" s="320">
        <v>193247774136843</v>
      </c>
      <c r="AJ108" s="320">
        <v>211218970628117</v>
      </c>
      <c r="AK108" s="320">
        <v>229806909065463</v>
      </c>
      <c r="AL108" s="326"/>
      <c r="AM108" s="196"/>
    </row>
    <row r="109" spans="2:41">
      <c r="B109" s="342"/>
      <c r="C109" s="329" t="str">
        <f>IF(B1="EN", "Short-term borrowings", "Vay ngắn hạn")</f>
        <v>Vay ngắn hạn</v>
      </c>
      <c r="D109" s="329"/>
      <c r="E109" s="330"/>
      <c r="F109" s="331"/>
      <c r="G109" s="368"/>
      <c r="H109" s="368"/>
      <c r="I109" s="368"/>
      <c r="J109" s="368"/>
      <c r="K109" s="369"/>
      <c r="L109" s="369"/>
      <c r="M109" s="370">
        <v>19000000000</v>
      </c>
      <c r="N109" s="370">
        <f>SUM(DaiLoc:DongLam!N109)</f>
        <v>0</v>
      </c>
      <c r="O109" s="370">
        <f>SUM(DaiLoc:DongLam!O109)</f>
        <v>0</v>
      </c>
      <c r="P109" s="388">
        <f>SUM(DaiLoc:DongLam!P109)</f>
        <v>18373342323.534836</v>
      </c>
      <c r="Q109" s="388">
        <f>SUM(DaiLoc:DongLam!Q109)</f>
        <v>0</v>
      </c>
      <c r="R109" s="371">
        <f>SUM(DaiLoc:DongLam!R109)</f>
        <v>0</v>
      </c>
      <c r="S109" s="337"/>
      <c r="T109" s="371">
        <f>SUM(DaiLoc:DongLam!T109)</f>
        <v>0</v>
      </c>
      <c r="U109" s="371">
        <f>SUM(DaiLoc:DongLam!U109)</f>
        <v>0</v>
      </c>
      <c r="V109" s="371">
        <f>SUM(DaiLoc:DongLam!V109)</f>
        <v>0</v>
      </c>
      <c r="W109" s="371">
        <f>SUM(DaiLoc:DongLam!W109)</f>
        <v>0</v>
      </c>
      <c r="X109" s="371">
        <f>SUM(DaiLoc:DongLam!X109)</f>
        <v>0</v>
      </c>
      <c r="Y109" s="371">
        <f>SUM(DaiLoc:DongLam!Y109)</f>
        <v>0</v>
      </c>
      <c r="Z109" s="371">
        <f>SUM(DaiLoc:DongLam!Z109)</f>
        <v>0</v>
      </c>
      <c r="AA109" s="371">
        <f>SUM(DaiLoc:DongLam!AA109)</f>
        <v>0</v>
      </c>
      <c r="AB109" s="371">
        <f>SUM(DaiLoc:DongLam!AB109)</f>
        <v>0</v>
      </c>
      <c r="AC109" s="371">
        <f>SUM(DaiLoc:DongLam!AC109)</f>
        <v>0</v>
      </c>
      <c r="AD109" s="371">
        <f>SUM(DaiLoc:DongLam!AD109)</f>
        <v>0</v>
      </c>
      <c r="AE109" s="371">
        <f>SUM(DaiLoc:DongLam!AE109)</f>
        <v>0</v>
      </c>
      <c r="AF109" s="338"/>
      <c r="AG109" s="369">
        <v>928684086624423</v>
      </c>
      <c r="AH109" s="369">
        <v>1019368918558</v>
      </c>
      <c r="AI109" s="369">
        <v>113333993652585</v>
      </c>
      <c r="AJ109" s="369">
        <v>125817532431354</v>
      </c>
      <c r="AK109" s="369">
        <v>13886527670479</v>
      </c>
      <c r="AL109" s="339"/>
      <c r="AM109" s="196"/>
    </row>
    <row r="110" spans="2:41">
      <c r="B110" s="342"/>
      <c r="C110" s="329" t="str">
        <f>IF(B1="EN", "Trade payables", "Phải trả thương mại")</f>
        <v>Phải trả thương mại</v>
      </c>
      <c r="D110" s="329"/>
      <c r="E110" s="330"/>
      <c r="F110" s="331"/>
      <c r="G110" s="368"/>
      <c r="H110" s="368"/>
      <c r="I110" s="368"/>
      <c r="J110" s="368"/>
      <c r="K110" s="369"/>
      <c r="L110" s="369"/>
      <c r="M110" s="370">
        <v>16689692419</v>
      </c>
      <c r="N110" s="370">
        <f>SUM(DaiLoc:DongLam!N110)</f>
        <v>30200519262</v>
      </c>
      <c r="O110" s="370">
        <f>SUM(DaiLoc:DongLam!O110)</f>
        <v>11801635699</v>
      </c>
      <c r="P110" s="388">
        <f>SUM(DaiLoc:DongLam!P110)</f>
        <v>4496127799.7222185</v>
      </c>
      <c r="Q110" s="388">
        <f>SUM(DaiLoc:DongLam!Q110)</f>
        <v>10788068230</v>
      </c>
      <c r="R110" s="371">
        <f>SUM(DaiLoc:DongLam!R110)</f>
        <v>11676858059.555401</v>
      </c>
      <c r="S110" s="337"/>
      <c r="T110" s="371">
        <f>SUM(DaiLoc:DongLam!T110)</f>
        <v>8102538367.4808769</v>
      </c>
      <c r="U110" s="371">
        <f>SUM(DaiLoc:DongLam!U110)</f>
        <v>6374307965.0465155</v>
      </c>
      <c r="V110" s="371">
        <f>SUM(DaiLoc:DongLam!V110)</f>
        <v>9017473406.9616299</v>
      </c>
      <c r="W110" s="371">
        <f>SUM(DaiLoc:DongLam!W110)</f>
        <v>10913263074.7285</v>
      </c>
      <c r="X110" s="371">
        <f>SUM(DaiLoc:DongLam!X110)</f>
        <v>10969792158.508493</v>
      </c>
      <c r="Y110" s="371">
        <f>SUM(DaiLoc:DongLam!Y110)</f>
        <v>10998667105.407824</v>
      </c>
      <c r="Z110" s="371">
        <f>SUM(DaiLoc:DongLam!Z110)</f>
        <v>11054458197.590193</v>
      </c>
      <c r="AA110" s="371">
        <f>SUM(DaiLoc:DongLam!AA110)</f>
        <v>11057346689.559744</v>
      </c>
      <c r="AB110" s="371">
        <f>SUM(DaiLoc:DongLam!AB110)</f>
        <v>11016580911.09716</v>
      </c>
      <c r="AC110" s="371">
        <f>SUM(DaiLoc:DongLam!AC110)</f>
        <v>11656322988.763138</v>
      </c>
      <c r="AD110" s="371">
        <f>SUM(DaiLoc:DongLam!AD110)</f>
        <v>11645554389.781384</v>
      </c>
      <c r="AE110" s="371">
        <f>SUM(DaiLoc:DongLam!AE110)</f>
        <v>11676858059.555401</v>
      </c>
      <c r="AF110" s="338"/>
      <c r="AG110" s="369">
        <v>430177727766691</v>
      </c>
      <c r="AH110" s="369">
        <v>469708137941311</v>
      </c>
      <c r="AI110" s="369">
        <v>519609201780576</v>
      </c>
      <c r="AJ110" s="369">
        <v>574485778905631</v>
      </c>
      <c r="AK110" s="369">
        <v>629887720544726</v>
      </c>
      <c r="AL110" s="339"/>
      <c r="AM110" s="196"/>
    </row>
    <row r="111" spans="2:41">
      <c r="B111" s="342"/>
      <c r="C111" s="329" t="str">
        <f>IF(B1="EN", "Other short term liabilities", "Nợ ngắn hạn khác")</f>
        <v>Nợ ngắn hạn khác</v>
      </c>
      <c r="D111" s="329"/>
      <c r="E111" s="330"/>
      <c r="F111" s="331"/>
      <c r="G111" s="332"/>
      <c r="H111" s="332"/>
      <c r="I111" s="332"/>
      <c r="J111" s="332"/>
      <c r="K111" s="333"/>
      <c r="L111" s="333"/>
      <c r="M111" s="340">
        <v>1464180464</v>
      </c>
      <c r="N111" s="340">
        <f>SUM(DaiLoc:DongLam!N111)</f>
        <v>4559534026.8600006</v>
      </c>
      <c r="O111" s="340">
        <f>SUM(DaiLoc:DongLam!O111)</f>
        <v>8354869132.4820004</v>
      </c>
      <c r="P111" s="334">
        <f>SUM(DaiLoc:DongLam!P111)</f>
        <v>21362747423.482002</v>
      </c>
      <c r="Q111" s="334">
        <f>SUM(DaiLoc:DongLam!Q111)</f>
        <v>21916057042</v>
      </c>
      <c r="R111" s="337">
        <f>SUM(DaiLoc:DongLam!R111)</f>
        <v>23748014333.575695</v>
      </c>
      <c r="S111" s="337"/>
      <c r="T111" s="337">
        <f>SUM(DaiLoc:DongLam!T111)</f>
        <v>23748014333.575699</v>
      </c>
      <c r="U111" s="337">
        <f>SUM(DaiLoc:DongLam!U111)</f>
        <v>23748014333.575703</v>
      </c>
      <c r="V111" s="337">
        <f>SUM(DaiLoc:DongLam!V111)</f>
        <v>23748014333.575706</v>
      </c>
      <c r="W111" s="337">
        <f>SUM(DaiLoc:DongLam!W111)</f>
        <v>23748014333.575703</v>
      </c>
      <c r="X111" s="337">
        <f>SUM(DaiLoc:DongLam!X111)</f>
        <v>23748014333.575706</v>
      </c>
      <c r="Y111" s="337">
        <f>SUM(DaiLoc:DongLam!Y111)</f>
        <v>23748014333.575703</v>
      </c>
      <c r="Z111" s="337">
        <f>SUM(DaiLoc:DongLam!Z111)</f>
        <v>23748014333.575699</v>
      </c>
      <c r="AA111" s="337">
        <f>SUM(DaiLoc:DongLam!AA111)</f>
        <v>23748014333.575706</v>
      </c>
      <c r="AB111" s="337">
        <f>SUM(DaiLoc:DongLam!AB111)</f>
        <v>23748014333.575703</v>
      </c>
      <c r="AC111" s="337">
        <f>SUM(DaiLoc:DongLam!AC111)</f>
        <v>23748014333.575699</v>
      </c>
      <c r="AD111" s="337">
        <f>SUM(DaiLoc:DongLam!AD111)</f>
        <v>23748014333.575703</v>
      </c>
      <c r="AE111" s="337">
        <f>SUM(DaiLoc:DongLam!AE111)</f>
        <v>23748014333.575695</v>
      </c>
      <c r="AF111" s="338"/>
      <c r="AG111" s="333">
        <v>279528603062</v>
      </c>
      <c r="AH111" s="333">
        <v>279528603062</v>
      </c>
      <c r="AI111" s="333">
        <v>279528603062</v>
      </c>
      <c r="AJ111" s="333">
        <v>279528603062</v>
      </c>
      <c r="AK111" s="333">
        <v>279528603062</v>
      </c>
      <c r="AL111" s="389"/>
      <c r="AM111" s="196"/>
    </row>
    <row r="112" spans="2:41">
      <c r="B112" s="342"/>
      <c r="C112" s="329"/>
      <c r="D112" s="329"/>
      <c r="E112" s="330"/>
      <c r="F112" s="331"/>
      <c r="G112" s="390"/>
      <c r="H112" s="390"/>
      <c r="I112" s="390"/>
      <c r="J112" s="390"/>
      <c r="K112" s="391"/>
      <c r="L112" s="391"/>
      <c r="M112" s="392"/>
      <c r="N112" s="392"/>
      <c r="O112" s="392"/>
      <c r="P112" s="505"/>
      <c r="Q112" s="505"/>
      <c r="R112" s="348">
        <f t="shared" si="96"/>
        <v>0</v>
      </c>
      <c r="S112" s="348"/>
      <c r="T112" s="348"/>
      <c r="U112" s="348"/>
      <c r="V112" s="348"/>
      <c r="W112" s="348"/>
      <c r="X112" s="348"/>
      <c r="Y112" s="348"/>
      <c r="Z112" s="348"/>
      <c r="AA112" s="348"/>
      <c r="AB112" s="348"/>
      <c r="AC112" s="348"/>
      <c r="AD112" s="348"/>
      <c r="AE112" s="348"/>
      <c r="AF112" s="349"/>
      <c r="AG112" s="391"/>
      <c r="AH112" s="391"/>
      <c r="AI112" s="391"/>
      <c r="AJ112" s="391"/>
      <c r="AK112" s="391"/>
      <c r="AL112" s="393"/>
      <c r="AM112" s="196"/>
    </row>
    <row r="113" spans="1:39">
      <c r="B113" s="126" t="str">
        <f>IF(B1="EN", "Long-term liabilities", "Nợ dài hạn")</f>
        <v>Nợ dài hạn</v>
      </c>
      <c r="C113" s="123"/>
      <c r="D113" s="123"/>
      <c r="E113" s="317"/>
      <c r="F113" s="318"/>
      <c r="G113" s="319"/>
      <c r="H113" s="319"/>
      <c r="I113" s="319"/>
      <c r="J113" s="319"/>
      <c r="K113" s="320"/>
      <c r="L113" s="320"/>
      <c r="M113" s="321">
        <f t="shared" ref="M113:P113" si="117">SUM(M114:M115)</f>
        <v>0</v>
      </c>
      <c r="N113" s="321">
        <f t="shared" si="117"/>
        <v>32770000000</v>
      </c>
      <c r="O113" s="321">
        <f t="shared" si="117"/>
        <v>32770000000</v>
      </c>
      <c r="P113" s="421">
        <f t="shared" si="117"/>
        <v>32770000000</v>
      </c>
      <c r="Q113" s="421">
        <f>SUM(Q114:Q115)</f>
        <v>32770000000</v>
      </c>
      <c r="R113" s="324">
        <f t="shared" si="96"/>
        <v>32770000000</v>
      </c>
      <c r="S113" s="324"/>
      <c r="T113" s="324">
        <f t="shared" ref="T113:AE113" si="118">SUM(T114:T115)</f>
        <v>32770000000</v>
      </c>
      <c r="U113" s="324">
        <f t="shared" si="118"/>
        <v>32770000000</v>
      </c>
      <c r="V113" s="324">
        <f t="shared" si="118"/>
        <v>32770000000</v>
      </c>
      <c r="W113" s="324">
        <f t="shared" si="118"/>
        <v>32770000000</v>
      </c>
      <c r="X113" s="324">
        <f t="shared" si="118"/>
        <v>32770000000</v>
      </c>
      <c r="Y113" s="324">
        <f t="shared" si="118"/>
        <v>32770000000</v>
      </c>
      <c r="Z113" s="324">
        <f t="shared" si="118"/>
        <v>32770000000</v>
      </c>
      <c r="AA113" s="324">
        <f t="shared" si="118"/>
        <v>32770000000</v>
      </c>
      <c r="AB113" s="324">
        <f t="shared" si="118"/>
        <v>32770000000</v>
      </c>
      <c r="AC113" s="324">
        <f t="shared" si="118"/>
        <v>32770000000</v>
      </c>
      <c r="AD113" s="324">
        <f t="shared" si="118"/>
        <v>32770000000</v>
      </c>
      <c r="AE113" s="324">
        <f t="shared" si="118"/>
        <v>32770000000</v>
      </c>
      <c r="AF113" s="325"/>
      <c r="AG113" s="320">
        <v>92099506342</v>
      </c>
      <c r="AH113" s="320">
        <v>13667494729</v>
      </c>
      <c r="AI113" s="320">
        <v>206614933822</v>
      </c>
      <c r="AJ113" s="320">
        <v>271106926528</v>
      </c>
      <c r="AK113" s="320">
        <v>310259660896</v>
      </c>
      <c r="AL113" s="326"/>
      <c r="AM113" s="196"/>
    </row>
    <row r="114" spans="1:39">
      <c r="B114" s="342"/>
      <c r="C114" s="329" t="str">
        <f>IF(B1="EN", "Long-term borrowings", "Vay dài hạn")</f>
        <v>Vay dài hạn</v>
      </c>
      <c r="D114" s="329"/>
      <c r="E114" s="330"/>
      <c r="F114" s="331"/>
      <c r="G114" s="368"/>
      <c r="H114" s="368"/>
      <c r="I114" s="368"/>
      <c r="J114" s="368"/>
      <c r="K114" s="369"/>
      <c r="L114" s="369"/>
      <c r="M114" s="340"/>
      <c r="N114" s="340">
        <f>SUM(DaiLoc:DongLam!N114)</f>
        <v>32770000000</v>
      </c>
      <c r="O114" s="340">
        <f>SUM(DaiLoc:DongLam!O114)</f>
        <v>32770000000</v>
      </c>
      <c r="P114" s="388">
        <f>SUM(DaiLoc:DongLam!P114)</f>
        <v>32770000000</v>
      </c>
      <c r="Q114" s="388">
        <f>SUM(DaiLoc:DongLam!Q114)</f>
        <v>32770000000</v>
      </c>
      <c r="R114" s="371">
        <f>SUM(DaiLoc:DongLam!R114)</f>
        <v>32770000000</v>
      </c>
      <c r="S114" s="337"/>
      <c r="T114" s="371">
        <f>SUM(DaiLoc:DongLam!T114)</f>
        <v>32770000000</v>
      </c>
      <c r="U114" s="371">
        <f>SUM(DaiLoc:DongLam!U114)</f>
        <v>32770000000</v>
      </c>
      <c r="V114" s="371">
        <f>SUM(DaiLoc:DongLam!V114)</f>
        <v>32770000000</v>
      </c>
      <c r="W114" s="371">
        <f>SUM(DaiLoc:DongLam!W114)</f>
        <v>32770000000</v>
      </c>
      <c r="X114" s="371">
        <f>SUM(DaiLoc:DongLam!X114)</f>
        <v>32770000000</v>
      </c>
      <c r="Y114" s="371">
        <f>SUM(DaiLoc:DongLam!Y114)</f>
        <v>32770000000</v>
      </c>
      <c r="Z114" s="371">
        <f>SUM(DaiLoc:DongLam!Z114)</f>
        <v>32770000000</v>
      </c>
      <c r="AA114" s="371">
        <f>SUM(DaiLoc:DongLam!AA114)</f>
        <v>32770000000</v>
      </c>
      <c r="AB114" s="371">
        <f>SUM(DaiLoc:DongLam!AB114)</f>
        <v>32770000000</v>
      </c>
      <c r="AC114" s="371">
        <f>SUM(DaiLoc:DongLam!AC114)</f>
        <v>32770000000</v>
      </c>
      <c r="AD114" s="371">
        <f>SUM(DaiLoc:DongLam!AD114)</f>
        <v>32770000000</v>
      </c>
      <c r="AE114" s="371">
        <f>SUM(DaiLoc:DongLam!AE114)</f>
        <v>32770000000</v>
      </c>
      <c r="AF114" s="338"/>
      <c r="AG114" s="369">
        <v>5408397066</v>
      </c>
      <c r="AH114" s="369">
        <v>98659411608</v>
      </c>
      <c r="AI114" s="369">
        <v>16859939814</v>
      </c>
      <c r="AJ114" s="369">
        <v>233091390846</v>
      </c>
      <c r="AK114" s="369">
        <v>272244125214</v>
      </c>
      <c r="AL114" s="339"/>
      <c r="AM114" s="196"/>
    </row>
    <row r="115" spans="1:39">
      <c r="B115" s="342"/>
      <c r="C115" s="329" t="str">
        <f>IF(B1="EN", "Other long term liabilities", "Nợ dài hạn khác")</f>
        <v>Nợ dài hạn khác</v>
      </c>
      <c r="D115" s="329"/>
      <c r="E115" s="330"/>
      <c r="F115" s="331"/>
      <c r="G115" s="332"/>
      <c r="H115" s="332"/>
      <c r="I115" s="332"/>
      <c r="J115" s="332"/>
      <c r="K115" s="333"/>
      <c r="L115" s="333"/>
      <c r="M115" s="340"/>
      <c r="N115" s="340">
        <f>SUM(DaiLoc:DongLam!N115)</f>
        <v>0</v>
      </c>
      <c r="O115" s="340">
        <f>SUM(DaiLoc:DongLam!O115)</f>
        <v>0</v>
      </c>
      <c r="P115" s="334">
        <f>SUM(DaiLoc:DongLam!P115)</f>
        <v>0</v>
      </c>
      <c r="Q115" s="334">
        <f>SUM(DaiLoc:DongLam!Q115)</f>
        <v>0</v>
      </c>
      <c r="R115" s="337">
        <f>SUM(DaiLoc:DongLam!R115)</f>
        <v>0</v>
      </c>
      <c r="S115" s="337"/>
      <c r="T115" s="337">
        <f>SUM(DaiLoc:DongLam!T115)</f>
        <v>0</v>
      </c>
      <c r="U115" s="337">
        <f>SUM(DaiLoc:DongLam!U115)</f>
        <v>0</v>
      </c>
      <c r="V115" s="337">
        <f>SUM(DaiLoc:DongLam!V115)</f>
        <v>0</v>
      </c>
      <c r="W115" s="337">
        <f>SUM(DaiLoc:DongLam!W115)</f>
        <v>0</v>
      </c>
      <c r="X115" s="337">
        <f>SUM(DaiLoc:DongLam!X115)</f>
        <v>0</v>
      </c>
      <c r="Y115" s="337">
        <f>SUM(DaiLoc:DongLam!Y115)</f>
        <v>0</v>
      </c>
      <c r="Z115" s="337">
        <f>SUM(DaiLoc:DongLam!Z115)</f>
        <v>0</v>
      </c>
      <c r="AA115" s="337">
        <f>SUM(DaiLoc:DongLam!AA115)</f>
        <v>0</v>
      </c>
      <c r="AB115" s="337">
        <f>SUM(DaiLoc:DongLam!AB115)</f>
        <v>0</v>
      </c>
      <c r="AC115" s="337">
        <f>SUM(DaiLoc:DongLam!AC115)</f>
        <v>0</v>
      </c>
      <c r="AD115" s="337">
        <f>SUM(DaiLoc:DongLam!AD115)</f>
        <v>0</v>
      </c>
      <c r="AE115" s="337">
        <f>SUM(DaiLoc:DongLam!AE115)</f>
        <v>0</v>
      </c>
      <c r="AF115" s="338"/>
      <c r="AG115" s="333">
        <v>38015535682</v>
      </c>
      <c r="AH115" s="333">
        <v>38015535682</v>
      </c>
      <c r="AI115" s="333">
        <v>38015535682</v>
      </c>
      <c r="AJ115" s="333">
        <v>38015535682</v>
      </c>
      <c r="AK115" s="333">
        <v>38015535682</v>
      </c>
      <c r="AL115" s="339"/>
      <c r="AM115" s="196"/>
    </row>
    <row r="116" spans="1:39">
      <c r="B116" s="126" t="str">
        <f>IF(B1="EN", "EQUITY", "VỐN CHỦ SỞ HỮU")</f>
        <v>VỐN CHỦ SỞ HỮU</v>
      </c>
      <c r="C116" s="123"/>
      <c r="D116" s="123"/>
      <c r="E116" s="317"/>
      <c r="F116" s="318"/>
      <c r="G116" s="319"/>
      <c r="H116" s="319"/>
      <c r="I116" s="319"/>
      <c r="J116" s="319"/>
      <c r="K116" s="320"/>
      <c r="L116" s="320"/>
      <c r="M116" s="321">
        <f t="shared" ref="M116:O116" si="119">SUM(M117:M120)</f>
        <v>29964392614</v>
      </c>
      <c r="N116" s="321">
        <f t="shared" si="119"/>
        <v>55332156470</v>
      </c>
      <c r="O116" s="321">
        <f t="shared" si="119"/>
        <v>37333653228</v>
      </c>
      <c r="P116" s="421">
        <f>SUM(P117:P120)</f>
        <v>22715341904.527847</v>
      </c>
      <c r="Q116" s="421">
        <f>SUM(Q117:Q120)</f>
        <v>39888228522</v>
      </c>
      <c r="R116" s="324">
        <f>AE116</f>
        <v>32868315681.200409</v>
      </c>
      <c r="S116" s="324"/>
      <c r="T116" s="324">
        <f t="shared" ref="T116:AE116" si="120">SUM(T117:T120)</f>
        <v>32633176801.12146</v>
      </c>
      <c r="U116" s="324">
        <f t="shared" si="120"/>
        <v>31293331257.72937</v>
      </c>
      <c r="V116" s="324">
        <f t="shared" si="120"/>
        <v>31151321077.310776</v>
      </c>
      <c r="W116" s="324">
        <f t="shared" si="120"/>
        <v>31389735437.424042</v>
      </c>
      <c r="X116" s="324">
        <f t="shared" si="120"/>
        <v>31576771518.338943</v>
      </c>
      <c r="Y116" s="324">
        <f t="shared" si="120"/>
        <v>31480903298.949036</v>
      </c>
      <c r="Z116" s="324">
        <f t="shared" si="120"/>
        <v>31579387856.393448</v>
      </c>
      <c r="AA116" s="324">
        <f t="shared" si="120"/>
        <v>31518840357.277985</v>
      </c>
      <c r="AB116" s="324">
        <f t="shared" si="120"/>
        <v>31513679797.354492</v>
      </c>
      <c r="AC116" s="324">
        <f t="shared" si="120"/>
        <v>32061248643.066345</v>
      </c>
      <c r="AD116" s="324">
        <f t="shared" si="120"/>
        <v>32415546153.749115</v>
      </c>
      <c r="AE116" s="324">
        <f t="shared" si="120"/>
        <v>32868315681.200409</v>
      </c>
      <c r="AF116" s="325"/>
      <c r="AG116" s="320">
        <v>335986440595387</v>
      </c>
      <c r="AH116" s="320">
        <v>382395130699428</v>
      </c>
      <c r="AI116" s="320">
        <v>421737108957407</v>
      </c>
      <c r="AJ116" s="320">
        <v>466569123153023</v>
      </c>
      <c r="AK116" s="320">
        <v>518961823412947</v>
      </c>
      <c r="AL116" s="326"/>
      <c r="AM116" s="196"/>
    </row>
    <row r="117" spans="1:39">
      <c r="B117" s="342"/>
      <c r="C117" s="329" t="str">
        <f>IF(B1="EN", "Shareholders' capital", "Vốn cổ phần")</f>
        <v>Vốn cổ phần</v>
      </c>
      <c r="D117" s="329"/>
      <c r="E117" s="330"/>
      <c r="F117" s="331"/>
      <c r="G117" s="332"/>
      <c r="H117" s="332"/>
      <c r="I117" s="332"/>
      <c r="J117" s="332"/>
      <c r="K117" s="333"/>
      <c r="L117" s="333"/>
      <c r="M117" s="340">
        <v>40000000000</v>
      </c>
      <c r="N117" s="340">
        <f>SUM(DaiLoc:DongLam!N117)</f>
        <v>102000000000</v>
      </c>
      <c r="O117" s="340">
        <f>SUM(DaiLoc:DongLam!O117)</f>
        <v>102000000000</v>
      </c>
      <c r="P117" s="334">
        <f>SUM(DaiLoc:DongLam!P117)</f>
        <v>102000000000</v>
      </c>
      <c r="Q117" s="334">
        <f>SUM(DaiLoc:DongLam!Q117)</f>
        <v>102000000000</v>
      </c>
      <c r="R117" s="337">
        <f>SUM(DaiLoc:DongLam!R117)</f>
        <v>102000000000</v>
      </c>
      <c r="S117" s="337"/>
      <c r="T117" s="337">
        <f>SUM(DaiLoc:DongLam!T117)</f>
        <v>102000000000</v>
      </c>
      <c r="U117" s="337">
        <f>SUM(DaiLoc:DongLam!U117)</f>
        <v>102000000000</v>
      </c>
      <c r="V117" s="337">
        <f>SUM(DaiLoc:DongLam!V117)</f>
        <v>102000000000</v>
      </c>
      <c r="W117" s="337">
        <f>SUM(DaiLoc:DongLam!W117)</f>
        <v>102000000000</v>
      </c>
      <c r="X117" s="337">
        <f>SUM(DaiLoc:DongLam!X117)</f>
        <v>102000000000</v>
      </c>
      <c r="Y117" s="337">
        <f>SUM(DaiLoc:DongLam!Y117)</f>
        <v>102000000000</v>
      </c>
      <c r="Z117" s="337">
        <f>SUM(DaiLoc:DongLam!Z117)</f>
        <v>102000000000</v>
      </c>
      <c r="AA117" s="337">
        <f>SUM(DaiLoc:DongLam!AA117)</f>
        <v>102000000000</v>
      </c>
      <c r="AB117" s="337">
        <f>SUM(DaiLoc:DongLam!AB117)</f>
        <v>102000000000</v>
      </c>
      <c r="AC117" s="337">
        <f>SUM(DaiLoc:DongLam!AC117)</f>
        <v>102000000000</v>
      </c>
      <c r="AD117" s="337">
        <f>SUM(DaiLoc:DongLam!AD117)</f>
        <v>102000000000</v>
      </c>
      <c r="AE117" s="337">
        <f>SUM(DaiLoc:DongLam!AE117)</f>
        <v>102000000000</v>
      </c>
      <c r="AF117" s="338"/>
      <c r="AG117" s="333">
        <v>1700000</v>
      </c>
      <c r="AH117" s="333">
        <v>1700000</v>
      </c>
      <c r="AI117" s="333">
        <v>1700000</v>
      </c>
      <c r="AJ117" s="333">
        <v>1700000</v>
      </c>
      <c r="AK117" s="333">
        <v>1700000</v>
      </c>
      <c r="AL117" s="339"/>
      <c r="AM117" s="196"/>
    </row>
    <row r="118" spans="1:39">
      <c r="B118" s="342"/>
      <c r="C118" s="329" t="str">
        <f>IF(B1="EN", "Investment and development fund", "Quỹ đầu tư &amp; phát triển")</f>
        <v>Quỹ đầu tư &amp; phát triển</v>
      </c>
      <c r="D118" s="329"/>
      <c r="E118" s="330"/>
      <c r="F118" s="331"/>
      <c r="G118" s="332"/>
      <c r="H118" s="332"/>
      <c r="I118" s="332"/>
      <c r="J118" s="332"/>
      <c r="K118" s="333"/>
      <c r="L118" s="333"/>
      <c r="M118" s="340"/>
      <c r="N118" s="340">
        <f>SUM(DaiLoc:DongLam!N118)</f>
        <v>0</v>
      </c>
      <c r="O118" s="340">
        <f>SUM(DaiLoc:DongLam!O118)</f>
        <v>0</v>
      </c>
      <c r="P118" s="334">
        <f>SUM(DaiLoc:DongLam!P118)</f>
        <v>0</v>
      </c>
      <c r="Q118" s="334">
        <f>SUM(DaiLoc:DongLam!Q118)</f>
        <v>0</v>
      </c>
      <c r="R118" s="337">
        <f>SUM(DaiLoc:DongLam!R118)</f>
        <v>0</v>
      </c>
      <c r="S118" s="337"/>
      <c r="T118" s="337">
        <f>SUM(DaiLoc:DongLam!T118)</f>
        <v>0</v>
      </c>
      <c r="U118" s="337">
        <f>SUM(DaiLoc:DongLam!U118)</f>
        <v>0</v>
      </c>
      <c r="V118" s="337">
        <f>SUM(DaiLoc:DongLam!V118)</f>
        <v>0</v>
      </c>
      <c r="W118" s="337">
        <f>SUM(DaiLoc:DongLam!W118)</f>
        <v>0</v>
      </c>
      <c r="X118" s="337">
        <f>SUM(DaiLoc:DongLam!X118)</f>
        <v>0</v>
      </c>
      <c r="Y118" s="337">
        <f>SUM(DaiLoc:DongLam!Y118)</f>
        <v>0</v>
      </c>
      <c r="Z118" s="337">
        <f>SUM(DaiLoc:DongLam!Z118)</f>
        <v>0</v>
      </c>
      <c r="AA118" s="337">
        <f>SUM(DaiLoc:DongLam!AA118)</f>
        <v>0</v>
      </c>
      <c r="AB118" s="337">
        <f>SUM(DaiLoc:DongLam!AB118)</f>
        <v>0</v>
      </c>
      <c r="AC118" s="337">
        <f>SUM(DaiLoc:DongLam!AC118)</f>
        <v>0</v>
      </c>
      <c r="AD118" s="337">
        <f>SUM(DaiLoc:DongLam!AD118)</f>
        <v>0</v>
      </c>
      <c r="AE118" s="337">
        <f>SUM(DaiLoc:DongLam!AE118)</f>
        <v>0</v>
      </c>
      <c r="AF118" s="338"/>
      <c r="AG118" s="333">
        <v>174758437</v>
      </c>
      <c r="AH118" s="333">
        <v>174758437</v>
      </c>
      <c r="AI118" s="333">
        <v>174758437</v>
      </c>
      <c r="AJ118" s="333">
        <v>174758437</v>
      </c>
      <c r="AK118" s="333">
        <v>174758437</v>
      </c>
      <c r="AL118" s="339"/>
      <c r="AM118" s="196"/>
    </row>
    <row r="119" spans="1:39" hidden="1">
      <c r="B119" s="342"/>
      <c r="C119" s="329" t="s">
        <v>116</v>
      </c>
      <c r="D119" s="329"/>
      <c r="E119" s="330"/>
      <c r="F119" s="331"/>
      <c r="G119" s="332"/>
      <c r="H119" s="332"/>
      <c r="I119" s="332"/>
      <c r="J119" s="332"/>
      <c r="K119" s="333"/>
      <c r="L119" s="333"/>
      <c r="M119" s="340"/>
      <c r="N119" s="340">
        <f>SUM(DaiLoc:DongLam!N119)</f>
        <v>0</v>
      </c>
      <c r="O119" s="340">
        <f>SUM(DaiLoc:DongLam!O119)</f>
        <v>0</v>
      </c>
      <c r="P119" s="334">
        <f>SUM(DaiLoc:DongLam!P119)</f>
        <v>0</v>
      </c>
      <c r="Q119" s="334">
        <f>SUM(DaiLoc:DongLam!Q119)</f>
        <v>0</v>
      </c>
      <c r="R119" s="337">
        <f>SUM(DaiLoc:DongLam!R119)</f>
        <v>0</v>
      </c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8"/>
      <c r="AG119" s="333"/>
      <c r="AH119" s="333"/>
      <c r="AI119" s="333"/>
      <c r="AJ119" s="333"/>
      <c r="AK119" s="333"/>
      <c r="AL119" s="339"/>
      <c r="AM119" s="196"/>
    </row>
    <row r="120" spans="1:39">
      <c r="B120" s="342"/>
      <c r="C120" s="329" t="str">
        <f>IF(B1="EN", "Retained earnings", "Lợi nhuận để lại")</f>
        <v>Lợi nhuận để lại</v>
      </c>
      <c r="D120" s="329"/>
      <c r="E120" s="330"/>
      <c r="F120" s="331"/>
      <c r="G120" s="332"/>
      <c r="H120" s="332"/>
      <c r="I120" s="332"/>
      <c r="J120" s="332"/>
      <c r="K120" s="333"/>
      <c r="L120" s="333"/>
      <c r="M120" s="340">
        <v>-10035607386</v>
      </c>
      <c r="N120" s="340">
        <f>SUM(DaiLoc:DongLam!N120)</f>
        <v>-46667843530</v>
      </c>
      <c r="O120" s="340">
        <f>SUM(DaiLoc:DongLam!O120)</f>
        <v>-64666346772</v>
      </c>
      <c r="P120" s="334">
        <f>SUM(DaiLoc:DongLam!P120)</f>
        <v>-79284658095.472153</v>
      </c>
      <c r="Q120" s="334">
        <f>SUM(DaiLoc:DongLam!Q120)</f>
        <v>-62111771478</v>
      </c>
      <c r="R120" s="337">
        <f>SUM(DaiLoc:DongLam!R120)</f>
        <v>-62248828978.960655</v>
      </c>
      <c r="S120" s="337"/>
      <c r="T120" s="337">
        <f>SUM(DaiLoc:DongLam!T120)</f>
        <v>-69366823198.87854</v>
      </c>
      <c r="U120" s="337">
        <f>SUM(DaiLoc:DongLam!U120)</f>
        <v>-70706668742.27063</v>
      </c>
      <c r="V120" s="337">
        <f>SUM(DaiLoc:DongLam!V120)</f>
        <v>-70848678922.689224</v>
      </c>
      <c r="W120" s="337">
        <f>SUM(DaiLoc:DongLam!W120)</f>
        <v>-70610264562.575958</v>
      </c>
      <c r="X120" s="337">
        <f>SUM(DaiLoc:DongLam!X120)</f>
        <v>-70423228481.661057</v>
      </c>
      <c r="Y120" s="337">
        <f>SUM(DaiLoc:DongLam!Y120)</f>
        <v>-70519096701.050964</v>
      </c>
      <c r="Z120" s="337">
        <f>SUM(DaiLoc:DongLam!Z120)</f>
        <v>-70420612143.606552</v>
      </c>
      <c r="AA120" s="337">
        <f>SUM(DaiLoc:DongLam!AA120)</f>
        <v>-70481159642.722015</v>
      </c>
      <c r="AB120" s="337">
        <f>SUM(DaiLoc:DongLam!AB120)</f>
        <v>-70486320202.645508</v>
      </c>
      <c r="AC120" s="337">
        <f>SUM(DaiLoc:DongLam!AC120)</f>
        <v>-69938751356.933655</v>
      </c>
      <c r="AD120" s="337">
        <f>SUM(DaiLoc:DongLam!AD120)</f>
        <v>-69584453846.250885</v>
      </c>
      <c r="AE120" s="337">
        <f>SUM(DaiLoc:DongLam!AE120)</f>
        <v>-69131684318.799591</v>
      </c>
      <c r="AF120" s="338"/>
      <c r="AG120" s="333">
        <v>165968964751687</v>
      </c>
      <c r="AH120" s="333">
        <v>212377654855728</v>
      </c>
      <c r="AI120" s="333">
        <v>251719633113707</v>
      </c>
      <c r="AJ120" s="333">
        <v>296551647309323</v>
      </c>
      <c r="AK120" s="333">
        <v>348944347569247</v>
      </c>
      <c r="AL120" s="339"/>
      <c r="AM120" s="196"/>
    </row>
    <row r="121" spans="1:39" hidden="1">
      <c r="A121" s="196"/>
      <c r="B121" s="394"/>
      <c r="C121" s="395"/>
      <c r="D121" s="395"/>
      <c r="E121" s="396"/>
      <c r="F121" s="397"/>
      <c r="G121" s="398"/>
      <c r="H121" s="398"/>
      <c r="I121" s="398"/>
      <c r="J121" s="398"/>
      <c r="K121" s="399"/>
      <c r="L121" s="399"/>
      <c r="M121" s="400"/>
      <c r="N121" s="400"/>
      <c r="O121" s="400"/>
      <c r="P121" s="334"/>
      <c r="Q121" s="334"/>
      <c r="R121" s="337">
        <f t="shared" si="96"/>
        <v>0</v>
      </c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8"/>
      <c r="AG121" s="399"/>
      <c r="AH121" s="399"/>
      <c r="AI121" s="399"/>
      <c r="AJ121" s="399"/>
      <c r="AK121" s="399"/>
      <c r="AL121" s="401"/>
      <c r="AM121" s="196"/>
    </row>
    <row r="122" spans="1:39" ht="17" thickBot="1">
      <c r="B122" s="402" t="str">
        <f>IF(B1="EN", "TOTAL LIABILITIES AND EQUITY", "TỔNG NGUỒN VỐN")</f>
        <v>TỔNG NGUỒN VỐN</v>
      </c>
      <c r="C122" s="403"/>
      <c r="D122" s="403"/>
      <c r="E122" s="404"/>
      <c r="F122" s="404"/>
      <c r="G122" s="378"/>
      <c r="H122" s="378"/>
      <c r="I122" s="378"/>
      <c r="J122" s="378"/>
      <c r="K122" s="405"/>
      <c r="L122" s="405"/>
      <c r="M122" s="406">
        <f t="shared" ref="M122:P122" si="121">M107+M116</f>
        <v>67118265497</v>
      </c>
      <c r="N122" s="406">
        <f t="shared" si="121"/>
        <v>122862209758.86</v>
      </c>
      <c r="O122" s="406">
        <f t="shared" si="121"/>
        <v>90260158059.481995</v>
      </c>
      <c r="P122" s="455">
        <f t="shared" si="121"/>
        <v>99717559451.266907</v>
      </c>
      <c r="Q122" s="455">
        <f>Q107+Q116</f>
        <v>105362353794</v>
      </c>
      <c r="R122" s="409">
        <f>AE122</f>
        <v>101063188074.33151</v>
      </c>
      <c r="S122" s="324"/>
      <c r="T122" s="409">
        <f t="shared" ref="T122:AE122" si="122">T107+T116</f>
        <v>97253729502.17804</v>
      </c>
      <c r="U122" s="409">
        <f t="shared" si="122"/>
        <v>94185653556.351593</v>
      </c>
      <c r="V122" s="409">
        <f t="shared" si="122"/>
        <v>96686808817.848114</v>
      </c>
      <c r="W122" s="409">
        <f t="shared" si="122"/>
        <v>98821012845.728241</v>
      </c>
      <c r="X122" s="409">
        <f t="shared" si="122"/>
        <v>99064578010.423141</v>
      </c>
      <c r="Y122" s="409">
        <f t="shared" si="122"/>
        <v>98997584737.932556</v>
      </c>
      <c r="Z122" s="409">
        <f t="shared" si="122"/>
        <v>99151860387.559341</v>
      </c>
      <c r="AA122" s="409">
        <f t="shared" si="122"/>
        <v>99094201380.413437</v>
      </c>
      <c r="AB122" s="409">
        <f t="shared" si="122"/>
        <v>99048275042.027359</v>
      </c>
      <c r="AC122" s="409">
        <f t="shared" si="122"/>
        <v>100235585965.40518</v>
      </c>
      <c r="AD122" s="409">
        <f t="shared" si="122"/>
        <v>100579114877.1062</v>
      </c>
      <c r="AE122" s="409">
        <f t="shared" si="122"/>
        <v>101063188074.33151</v>
      </c>
      <c r="AF122" s="325"/>
      <c r="AG122" s="405">
        <f>AG107+AG116</f>
        <v>509035432974898</v>
      </c>
      <c r="AH122" s="405">
        <f>AH107+AH116</f>
        <v>572923191384559</v>
      </c>
      <c r="AI122" s="405">
        <f>AI107+AI116</f>
        <v>635646376476450</v>
      </c>
      <c r="AJ122" s="405">
        <f>AJ107+AJ116</f>
        <v>704898786433940</v>
      </c>
      <c r="AK122" s="405">
        <f>AK107+AK116</f>
        <v>779794698568010</v>
      </c>
      <c r="AL122" s="326"/>
      <c r="AM122" s="196"/>
    </row>
    <row r="123" spans="1:39" s="508" customFormat="1" ht="17" thickTop="1">
      <c r="K123" s="469"/>
      <c r="L123" s="469"/>
      <c r="M123" s="469">
        <f t="shared" ref="M123:Q123" si="123">M105-M122</f>
        <v>0</v>
      </c>
      <c r="N123" s="469">
        <f t="shared" si="123"/>
        <v>0</v>
      </c>
      <c r="O123" s="469">
        <f t="shared" si="123"/>
        <v>0</v>
      </c>
      <c r="P123" s="469"/>
      <c r="Q123" s="469">
        <f t="shared" si="123"/>
        <v>0.48199462890625</v>
      </c>
      <c r="R123" s="512">
        <f>R105-R122</f>
        <v>1.32696533203125</v>
      </c>
      <c r="S123" s="469"/>
      <c r="T123" s="512">
        <f>T105-T122</f>
        <v>3204347395.2596436</v>
      </c>
      <c r="U123" s="512">
        <f t="shared" ref="U123:AE123" si="124">U105-U122</f>
        <v>1044085675.0116577</v>
      </c>
      <c r="V123" s="512">
        <f t="shared" si="124"/>
        <v>1025002460.4283142</v>
      </c>
      <c r="W123" s="512">
        <f t="shared" si="124"/>
        <v>-306080754.15499878</v>
      </c>
      <c r="X123" s="512">
        <f t="shared" si="124"/>
        <v>-325163968.73832703</v>
      </c>
      <c r="Y123" s="512">
        <f t="shared" si="124"/>
        <v>-344247183.32165527</v>
      </c>
      <c r="Z123" s="512">
        <f t="shared" si="124"/>
        <v>-363330397.90498352</v>
      </c>
      <c r="AA123" s="512">
        <f t="shared" si="124"/>
        <v>-382413612.48832703</v>
      </c>
      <c r="AB123" s="512">
        <f t="shared" si="124"/>
        <v>-401496827.07167053</v>
      </c>
      <c r="AC123" s="512">
        <f t="shared" si="124"/>
        <v>-437941152.76611328</v>
      </c>
      <c r="AD123" s="512">
        <f t="shared" si="124"/>
        <v>-474385478.46058655</v>
      </c>
      <c r="AE123" s="512">
        <f t="shared" si="124"/>
        <v>-510829804.1550293</v>
      </c>
      <c r="AF123" s="469"/>
      <c r="AG123" s="469">
        <f>AG105-AG122</f>
        <v>-8862762</v>
      </c>
      <c r="AH123" s="469">
        <f>AH105-AH122</f>
        <v>-8862763</v>
      </c>
      <c r="AI123" s="469">
        <f>AI105-AI122</f>
        <v>-8862762</v>
      </c>
      <c r="AJ123" s="469">
        <f>AJ105-AJ122</f>
        <v>-8862762</v>
      </c>
      <c r="AK123" s="469">
        <f>AK105-AK122</f>
        <v>-8862762</v>
      </c>
      <c r="AM123" s="471"/>
    </row>
    <row r="124" spans="1:39">
      <c r="G124" s="107"/>
      <c r="H124" s="107"/>
      <c r="I124" s="107"/>
      <c r="J124" s="107"/>
      <c r="K124" s="412"/>
      <c r="L124" s="412"/>
      <c r="M124" s="412"/>
      <c r="N124" s="411"/>
      <c r="O124" s="411"/>
      <c r="P124" s="411"/>
      <c r="Q124" s="411"/>
      <c r="R124" s="411"/>
      <c r="S124" s="411">
        <v>0.80122760000000004</v>
      </c>
      <c r="T124" s="411"/>
      <c r="U124" s="411"/>
      <c r="V124" s="411"/>
      <c r="W124" s="411"/>
      <c r="X124" s="411"/>
      <c r="Y124" s="411"/>
      <c r="Z124" s="411"/>
      <c r="AA124" s="411"/>
      <c r="AB124" s="411"/>
      <c r="AC124" s="411"/>
      <c r="AD124" s="411"/>
      <c r="AE124" s="411"/>
      <c r="AF124" s="412"/>
      <c r="AG124" s="412"/>
      <c r="AH124" s="412"/>
      <c r="AI124" s="412"/>
      <c r="AJ124" s="412"/>
      <c r="AK124" s="412"/>
      <c r="AL124" s="107"/>
      <c r="AM124" s="196"/>
    </row>
    <row r="125" spans="1:39">
      <c r="B125" s="111" t="str">
        <f>IF(B1="EN", "CASH FLOW STATEMENT", "LƯU CHUYỂN TIỀN TỆ")</f>
        <v>LƯU CHUYỂN TIỀN TỆ</v>
      </c>
      <c r="C125" s="112"/>
      <c r="D125" s="112"/>
      <c r="E125" s="112"/>
      <c r="F125" s="112"/>
      <c r="G125" s="114"/>
      <c r="H125" s="114"/>
      <c r="I125" s="413"/>
      <c r="J125" s="115"/>
      <c r="K125" s="101"/>
      <c r="L125" s="101"/>
      <c r="M125" s="101"/>
      <c r="N125" s="509">
        <v>2023</v>
      </c>
      <c r="O125" s="509">
        <v>2024</v>
      </c>
      <c r="P125" s="414" t="str">
        <f>P72</f>
        <v>2025P</v>
      </c>
      <c r="Q125" s="510" t="str">
        <f>Q72</f>
        <v>2025E</v>
      </c>
      <c r="R125" s="416" t="str">
        <f t="shared" ref="R125" si="125">R72</f>
        <v>2026P</v>
      </c>
      <c r="S125" s="417"/>
      <c r="T125" s="416">
        <f t="shared" ref="T125:AE125" si="126">T2</f>
        <v>1</v>
      </c>
      <c r="U125" s="416">
        <f t="shared" si="126"/>
        <v>2</v>
      </c>
      <c r="V125" s="416">
        <f t="shared" si="126"/>
        <v>3</v>
      </c>
      <c r="W125" s="416">
        <f t="shared" si="126"/>
        <v>4</v>
      </c>
      <c r="X125" s="416">
        <f t="shared" si="126"/>
        <v>5</v>
      </c>
      <c r="Y125" s="416">
        <f t="shared" si="126"/>
        <v>6</v>
      </c>
      <c r="Z125" s="416">
        <f t="shared" si="126"/>
        <v>7</v>
      </c>
      <c r="AA125" s="416">
        <f t="shared" si="126"/>
        <v>8</v>
      </c>
      <c r="AB125" s="416">
        <f t="shared" si="126"/>
        <v>9</v>
      </c>
      <c r="AC125" s="416">
        <f t="shared" si="126"/>
        <v>10</v>
      </c>
      <c r="AD125" s="416">
        <f t="shared" si="126"/>
        <v>11</v>
      </c>
      <c r="AE125" s="416">
        <f t="shared" si="126"/>
        <v>12</v>
      </c>
      <c r="AF125" s="105"/>
      <c r="AG125" s="106" t="str">
        <f>AG72</f>
        <v>2025 MTP</v>
      </c>
      <c r="AH125" s="106" t="str">
        <f>AH72</f>
        <v>2026 MTP</v>
      </c>
      <c r="AI125" s="106" t="str">
        <f>AI72</f>
        <v>2027 MTP</v>
      </c>
      <c r="AJ125" s="106" t="str">
        <f>AJ72</f>
        <v>2028 MTP</v>
      </c>
      <c r="AK125" s="106" t="str">
        <f>AK72</f>
        <v>2029 MTP</v>
      </c>
      <c r="AL125" s="316"/>
      <c r="AM125" s="196"/>
    </row>
    <row r="126" spans="1:39">
      <c r="B126" s="126" t="str">
        <f>IF(B1="EN", "CASH FLOW FROM OPERATING ACTIVITIES", "DÒNG TIỀN TỪ HOẠT ĐỘNG KINH DOANH")</f>
        <v>DÒNG TIỀN TỪ HOẠT ĐỘNG KINH DOANH</v>
      </c>
      <c r="C126" s="123"/>
      <c r="D126" s="123"/>
      <c r="E126" s="123"/>
      <c r="F126" s="123"/>
      <c r="G126" s="418"/>
      <c r="H126" s="418"/>
      <c r="I126" s="330"/>
      <c r="J126" s="418"/>
      <c r="K126" s="419"/>
      <c r="L126" s="419"/>
      <c r="M126" s="419"/>
      <c r="N126" s="334"/>
      <c r="O126" s="334"/>
      <c r="P126" s="334"/>
      <c r="Q126" s="336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419"/>
      <c r="AG126" s="419"/>
      <c r="AH126" s="419"/>
      <c r="AI126" s="419"/>
      <c r="AJ126" s="419"/>
      <c r="AK126" s="419"/>
      <c r="AL126" s="330"/>
      <c r="AM126" s="196"/>
    </row>
    <row r="127" spans="1:39">
      <c r="B127" s="126" t="str">
        <f>IF(B1="EN", "Net income", "Lợi nhuận sau thuế")</f>
        <v>Lợi nhuận sau thuế</v>
      </c>
      <c r="C127" s="123"/>
      <c r="D127" s="123"/>
      <c r="E127" s="123"/>
      <c r="F127" s="123"/>
      <c r="G127" s="420"/>
      <c r="H127" s="420"/>
      <c r="I127" s="420"/>
      <c r="J127" s="420"/>
      <c r="K127" s="420"/>
      <c r="L127" s="420"/>
      <c r="M127" s="420"/>
      <c r="N127" s="421">
        <f>N69</f>
        <v>-27261101342.476929</v>
      </c>
      <c r="O127" s="421">
        <f>O69</f>
        <v>-17994079533.131836</v>
      </c>
      <c r="P127" s="421">
        <f>P69</f>
        <v>-9597509258.4720917</v>
      </c>
      <c r="Q127" s="323">
        <f>Q69</f>
        <v>921958393.090271</v>
      </c>
      <c r="R127" s="421">
        <f>SUM(T127:AE127)</f>
        <v>-131265615.9607051</v>
      </c>
      <c r="S127" s="421"/>
      <c r="T127" s="421">
        <f>T69</f>
        <v>-366404496.03964758</v>
      </c>
      <c r="U127" s="421">
        <f t="shared" ref="U127:AE127" si="127">U69</f>
        <v>-1339845543.3920877</v>
      </c>
      <c r="V127" s="421">
        <f t="shared" si="127"/>
        <v>-142010180.41858721</v>
      </c>
      <c r="W127" s="421">
        <f t="shared" si="127"/>
        <v>238414360.11327079</v>
      </c>
      <c r="X127" s="421">
        <f t="shared" si="127"/>
        <v>187036080.91489753</v>
      </c>
      <c r="Y127" s="421">
        <f t="shared" si="127"/>
        <v>-95868219.389908612</v>
      </c>
      <c r="Z127" s="421">
        <f t="shared" si="127"/>
        <v>98484557.444422901</v>
      </c>
      <c r="AA127" s="421">
        <f t="shared" si="127"/>
        <v>-60547499.115474276</v>
      </c>
      <c r="AB127" s="421">
        <f t="shared" si="127"/>
        <v>-5160559.9234825149</v>
      </c>
      <c r="AC127" s="421">
        <f t="shared" si="127"/>
        <v>547568845.71184206</v>
      </c>
      <c r="AD127" s="421">
        <f t="shared" si="127"/>
        <v>354297510.68275064</v>
      </c>
      <c r="AE127" s="421">
        <f t="shared" si="127"/>
        <v>452769527.45129865</v>
      </c>
      <c r="AF127" s="422"/>
      <c r="AG127" s="422">
        <v>794934853053127</v>
      </c>
      <c r="AH127" s="422">
        <v>861554327566976</v>
      </c>
      <c r="AI127" s="422">
        <v>996507811876672</v>
      </c>
      <c r="AJ127" s="422">
        <v>114587561026983</v>
      </c>
      <c r="AK127" s="422">
        <v>132603992978812</v>
      </c>
      <c r="AL127" s="317"/>
      <c r="AM127" s="196"/>
    </row>
    <row r="128" spans="1:39">
      <c r="B128" s="423" t="str">
        <f>IF(B1="EN", "Depreciation &amp; amortization", "Khấu hao")</f>
        <v>Khấu hao</v>
      </c>
      <c r="C128" s="424"/>
      <c r="D128" s="424"/>
      <c r="E128" s="424"/>
      <c r="F128" s="424"/>
      <c r="G128" s="425"/>
      <c r="H128" s="425"/>
      <c r="I128" s="425"/>
      <c r="J128" s="425"/>
      <c r="K128" s="425"/>
      <c r="L128" s="425"/>
      <c r="M128" s="425"/>
      <c r="N128" s="334">
        <f>N53</f>
        <v>7690123974</v>
      </c>
      <c r="O128" s="334">
        <f>O53</f>
        <v>11938900184</v>
      </c>
      <c r="P128" s="334">
        <f>P53</f>
        <v>15133857965.666668</v>
      </c>
      <c r="Q128" s="336">
        <f>Q53</f>
        <v>13405071714.666668</v>
      </c>
      <c r="R128" s="334">
        <f>SUM(T128:AE128)</f>
        <v>8817976803.6219673</v>
      </c>
      <c r="S128" s="334"/>
      <c r="T128" s="334">
        <f t="shared" ref="T128:AE128" si="128">T53</f>
        <v>689082523.48940516</v>
      </c>
      <c r="U128" s="334">
        <f t="shared" si="128"/>
        <v>683417989.10589266</v>
      </c>
      <c r="V128" s="334">
        <f t="shared" si="128"/>
        <v>703055213.32094646</v>
      </c>
      <c r="W128" s="334">
        <f t="shared" si="128"/>
        <v>744049872.81915438</v>
      </c>
      <c r="X128" s="334">
        <f t="shared" si="128"/>
        <v>744049872.81915438</v>
      </c>
      <c r="Y128" s="334">
        <f t="shared" si="128"/>
        <v>744049872.81915438</v>
      </c>
      <c r="Z128" s="334">
        <f t="shared" si="128"/>
        <v>744049872.81915438</v>
      </c>
      <c r="AA128" s="334">
        <f t="shared" si="128"/>
        <v>744049872.81915438</v>
      </c>
      <c r="AB128" s="334">
        <f t="shared" si="128"/>
        <v>744049872.81915438</v>
      </c>
      <c r="AC128" s="334">
        <f t="shared" si="128"/>
        <v>761410983.93026543</v>
      </c>
      <c r="AD128" s="334">
        <f t="shared" si="128"/>
        <v>761410983.93026543</v>
      </c>
      <c r="AE128" s="334">
        <f t="shared" si="128"/>
        <v>755299872.93026543</v>
      </c>
      <c r="AF128" s="419"/>
      <c r="AG128" s="419">
        <v>19564127858844</v>
      </c>
      <c r="AH128" s="419">
        <v>219425527552773</v>
      </c>
      <c r="AI128" s="419">
        <v>262024573282806</v>
      </c>
      <c r="AJ128" s="419">
        <v>318488053715806</v>
      </c>
      <c r="AK128" s="419">
        <v>365617025330839</v>
      </c>
      <c r="AL128" s="330"/>
      <c r="AM128" s="196"/>
    </row>
    <row r="129" spans="2:39" s="214" customFormat="1">
      <c r="B129" s="179" t="str">
        <f>IF(B1="EN", "Net working capital", "Vốn lưu động thuần")</f>
        <v>Vốn lưu động thuần</v>
      </c>
      <c r="C129" s="128"/>
      <c r="D129" s="128"/>
      <c r="E129" s="128"/>
      <c r="F129" s="128"/>
      <c r="G129" s="420"/>
      <c r="H129" s="420"/>
      <c r="I129" s="420"/>
      <c r="J129" s="420"/>
      <c r="K129" s="420"/>
      <c r="L129" s="420"/>
      <c r="M129" s="420"/>
      <c r="N129" s="421">
        <f>SUM(N130:N135)</f>
        <v>-2531167812</v>
      </c>
      <c r="O129" s="421">
        <f>SUM(O130:O135)</f>
        <v>17546612967</v>
      </c>
      <c r="P129" s="421">
        <f>SUM(P130:P135)</f>
        <v>-8445159341.3227215</v>
      </c>
      <c r="Q129" s="323">
        <f>SUM(Q130:Q135)</f>
        <v>6511499249.5179996</v>
      </c>
      <c r="R129" s="421">
        <f t="shared" ref="R129:R132" si="129">SUM(T129:AE129)</f>
        <v>-7888648472.1160545</v>
      </c>
      <c r="S129" s="421"/>
      <c r="T129" s="421">
        <f>SUM(T130:T135)</f>
        <v>-1868957642.9084063</v>
      </c>
      <c r="U129" s="421">
        <f t="shared" ref="U129:AE129" si="130">SUM(U130:U135)</f>
        <v>725846435.45911741</v>
      </c>
      <c r="V129" s="421">
        <f t="shared" si="130"/>
        <v>-4363180857.0646076</v>
      </c>
      <c r="W129" s="421">
        <f t="shared" si="130"/>
        <v>-1688112965.600728</v>
      </c>
      <c r="X129" s="421">
        <f t="shared" si="130"/>
        <v>-268235010.03291106</v>
      </c>
      <c r="Y129" s="421">
        <f t="shared" si="130"/>
        <v>-13039280.836406074</v>
      </c>
      <c r="Z129" s="421">
        <f t="shared" si="130"/>
        <v>-290117361.84068859</v>
      </c>
      <c r="AA129" s="421">
        <f t="shared" si="130"/>
        <v>-20791354.23163259</v>
      </c>
      <c r="AB129" s="421">
        <f t="shared" si="130"/>
        <v>279595975.01874548</v>
      </c>
      <c r="AC129" s="421">
        <f t="shared" si="130"/>
        <v>-366980652.27234203</v>
      </c>
      <c r="AD129" s="421">
        <f t="shared" si="130"/>
        <v>276645351.33842778</v>
      </c>
      <c r="AE129" s="421">
        <f t="shared" si="130"/>
        <v>-291321109.14462268</v>
      </c>
      <c r="AF129" s="422"/>
      <c r="AG129" s="422">
        <v>-165411782836489</v>
      </c>
      <c r="AH129" s="422">
        <v>-157340590973895</v>
      </c>
      <c r="AI129" s="422">
        <v>-198111359122812</v>
      </c>
      <c r="AJ129" s="422">
        <v>-217362876629015</v>
      </c>
      <c r="AK129" s="422">
        <v>-223911055205048</v>
      </c>
      <c r="AL129" s="317"/>
      <c r="AM129" s="489"/>
    </row>
    <row r="130" spans="2:39">
      <c r="B130" s="426"/>
      <c r="C130" s="355" t="str">
        <f>IF(B1="EN", "Increase (Decrease) in trade receivables", "Tăng (Giảm) các khoản phải thu")</f>
        <v>Tăng (Giảm) các khoản phải thu</v>
      </c>
      <c r="D130" s="355"/>
      <c r="E130" s="355"/>
      <c r="F130" s="355"/>
      <c r="G130" s="427"/>
      <c r="H130" s="427"/>
      <c r="I130" s="427"/>
      <c r="J130" s="427"/>
      <c r="K130" s="427"/>
      <c r="L130" s="427"/>
      <c r="M130" s="427"/>
      <c r="N130" s="429">
        <f>M78-N78</f>
        <v>-12682114456</v>
      </c>
      <c r="O130" s="429">
        <f>N78-O78</f>
        <v>6780981602</v>
      </c>
      <c r="P130" s="429">
        <f>Q78-P78</f>
        <v>-99887302.887485504</v>
      </c>
      <c r="Q130" s="428">
        <f>O78-Q78</f>
        <v>1463990048</v>
      </c>
      <c r="R130" s="429">
        <f>SUM(T130:AE130)</f>
        <v>-3655251347.666666</v>
      </c>
      <c r="S130" s="429"/>
      <c r="T130" s="429">
        <f>-(T78-Q78)</f>
        <v>-604207556</v>
      </c>
      <c r="U130" s="429">
        <f t="shared" ref="U130:AE130" si="131">-(U78-T78)</f>
        <v>1741430833.3333335</v>
      </c>
      <c r="V130" s="429">
        <f t="shared" si="131"/>
        <v>-2805263124.9999995</v>
      </c>
      <c r="W130" s="429">
        <f t="shared" si="131"/>
        <v>-1453704750</v>
      </c>
      <c r="X130" s="429">
        <f t="shared" si="131"/>
        <v>-153413166.66666603</v>
      </c>
      <c r="Y130" s="429">
        <f t="shared" si="131"/>
        <v>0</v>
      </c>
      <c r="Z130" s="429">
        <f t="shared" si="131"/>
        <v>-153413166.66666794</v>
      </c>
      <c r="AA130" s="429">
        <f t="shared" si="131"/>
        <v>-5490333.3333320618</v>
      </c>
      <c r="AB130" s="429">
        <f t="shared" si="131"/>
        <v>153624333.33333206</v>
      </c>
      <c r="AC130" s="429">
        <f t="shared" si="131"/>
        <v>-377279000</v>
      </c>
      <c r="AD130" s="429">
        <f t="shared" si="131"/>
        <v>153507958.33333397</v>
      </c>
      <c r="AE130" s="429">
        <f t="shared" si="131"/>
        <v>-151043375</v>
      </c>
      <c r="AF130" s="430"/>
      <c r="AG130" s="430">
        <v>-896468088703752</v>
      </c>
      <c r="AH130" s="430">
        <v>-910989179241384</v>
      </c>
      <c r="AI130" s="430">
        <v>-114491433575015</v>
      </c>
      <c r="AJ130" s="430">
        <v>-12540541238946</v>
      </c>
      <c r="AK130" s="430">
        <v>-131073230144106</v>
      </c>
      <c r="AL130" s="367"/>
      <c r="AM130" s="196"/>
    </row>
    <row r="131" spans="2:39">
      <c r="B131" s="426"/>
      <c r="C131" s="355" t="str">
        <f>IF(B1="EN", "Increase (Decrease) in inventory", "Tăng (Giảm) hàng tồn kho")</f>
        <v>Tăng (Giảm) hàng tồn kho</v>
      </c>
      <c r="D131" s="355"/>
      <c r="E131" s="355"/>
      <c r="F131" s="355"/>
      <c r="G131" s="427"/>
      <c r="H131" s="427"/>
      <c r="I131" s="427"/>
      <c r="J131" s="427"/>
      <c r="K131" s="427"/>
      <c r="L131" s="427"/>
      <c r="M131" s="427"/>
      <c r="N131" s="429">
        <f>M82-N82</f>
        <v>-23807350577.860001</v>
      </c>
      <c r="O131" s="429">
        <f>N82-O82</f>
        <v>27295881656.377998</v>
      </c>
      <c r="P131" s="429">
        <f>Q82-P82</f>
        <v>-2326549663.0103073</v>
      </c>
      <c r="Q131" s="428">
        <f t="shared" ref="Q131" si="132">O82-Q82</f>
        <v>-3606275137</v>
      </c>
      <c r="R131" s="429">
        <f t="shared" si="129"/>
        <v>-2755485289.089941</v>
      </c>
      <c r="S131" s="429"/>
      <c r="T131" s="429">
        <f>-(T81-Q81)</f>
        <v>1812010674.2787952</v>
      </c>
      <c r="U131" s="429">
        <f t="shared" ref="U131:AE131" si="133">-(U81-T81)</f>
        <v>2601261046.097044</v>
      </c>
      <c r="V131" s="429">
        <f t="shared" si="133"/>
        <v>-4193757451.1975803</v>
      </c>
      <c r="W131" s="429">
        <f t="shared" si="133"/>
        <v>-2121616701.9729462</v>
      </c>
      <c r="X131" s="429">
        <f t="shared" si="133"/>
        <v>-162592456.89229584</v>
      </c>
      <c r="Y131" s="429">
        <f t="shared" si="133"/>
        <v>-33122727.779478073</v>
      </c>
      <c r="Z131" s="429">
        <f t="shared" si="133"/>
        <v>-183531742.49202156</v>
      </c>
      <c r="AA131" s="429">
        <f t="shared" si="133"/>
        <v>-9228025.2833328247</v>
      </c>
      <c r="AB131" s="429">
        <f t="shared" si="133"/>
        <v>175550106.11353111</v>
      </c>
      <c r="AC131" s="429">
        <f t="shared" si="133"/>
        <v>-620512880.59812355</v>
      </c>
      <c r="AD131" s="429">
        <f t="shared" si="133"/>
        <v>142695058.53589821</v>
      </c>
      <c r="AE131" s="429">
        <f t="shared" si="133"/>
        <v>-162640187.89943123</v>
      </c>
      <c r="AF131" s="430"/>
      <c r="AG131" s="430">
        <v>-116263387160277</v>
      </c>
      <c r="AH131" s="430">
        <v>-10164962616331</v>
      </c>
      <c r="AI131" s="430">
        <v>-128317021300967</v>
      </c>
      <c r="AJ131" s="430">
        <v>-141111198321568</v>
      </c>
      <c r="AK131" s="430">
        <v>-142462135643389</v>
      </c>
      <c r="AL131" s="367"/>
      <c r="AM131" s="196"/>
    </row>
    <row r="132" spans="2:39">
      <c r="B132" s="426"/>
      <c r="C132" s="355" t="str">
        <f>IF(B1="EN", "Increase (Decrease) in payables", "Tăng (Giảm) các khoản phải trả")</f>
        <v>Tăng (Giảm) các khoản phải trả</v>
      </c>
      <c r="D132" s="355"/>
      <c r="E132" s="355"/>
      <c r="F132" s="355"/>
      <c r="G132" s="427"/>
      <c r="H132" s="427"/>
      <c r="I132" s="427"/>
      <c r="J132" s="427"/>
      <c r="K132" s="427"/>
      <c r="L132" s="427"/>
      <c r="M132" s="427"/>
      <c r="N132" s="429">
        <f>N110-M110</f>
        <v>13510826843</v>
      </c>
      <c r="O132" s="429">
        <f>O110-N110</f>
        <v>-18398883563</v>
      </c>
      <c r="P132" s="429">
        <f>P110-Q110</f>
        <v>-6291940430.2777815</v>
      </c>
      <c r="Q132" s="428">
        <f>Q110-O110</f>
        <v>-1013567469</v>
      </c>
      <c r="R132" s="429">
        <f t="shared" si="129"/>
        <v>888789829.55540085</v>
      </c>
      <c r="S132" s="429"/>
      <c r="T132" s="429">
        <f>T110-Q110</f>
        <v>-2685529862.5191231</v>
      </c>
      <c r="U132" s="429">
        <f t="shared" ref="U132:AE132" si="134">U110-T110</f>
        <v>-1728230402.4343615</v>
      </c>
      <c r="V132" s="429">
        <f t="shared" si="134"/>
        <v>2643165441.9151144</v>
      </c>
      <c r="W132" s="429">
        <f t="shared" si="134"/>
        <v>1895789667.7668705</v>
      </c>
      <c r="X132" s="429">
        <f t="shared" si="134"/>
        <v>56529083.779993057</v>
      </c>
      <c r="Y132" s="429">
        <f t="shared" si="134"/>
        <v>28874946.899330139</v>
      </c>
      <c r="Z132" s="429">
        <f t="shared" si="134"/>
        <v>55791092.182369232</v>
      </c>
      <c r="AA132" s="429">
        <f t="shared" si="134"/>
        <v>2888491.9695510864</v>
      </c>
      <c r="AB132" s="429">
        <f t="shared" si="134"/>
        <v>-40765778.462583542</v>
      </c>
      <c r="AC132" s="429">
        <f t="shared" si="134"/>
        <v>639742077.66597748</v>
      </c>
      <c r="AD132" s="429">
        <f t="shared" si="134"/>
        <v>-10768598.981754303</v>
      </c>
      <c r="AE132" s="429">
        <f t="shared" si="134"/>
        <v>31303669.774017334</v>
      </c>
      <c r="AF132" s="430"/>
      <c r="AG132" s="430">
        <v>45213539451219</v>
      </c>
      <c r="AH132" s="430">
        <v>395304101746205</v>
      </c>
      <c r="AI132" s="430">
        <v>49901063839265</v>
      </c>
      <c r="AJ132" s="430">
        <v>54876577125054</v>
      </c>
      <c r="AK132" s="430">
        <v>554019416390957</v>
      </c>
      <c r="AL132" s="367"/>
      <c r="AM132" s="196"/>
    </row>
    <row r="133" spans="2:39">
      <c r="B133" s="426"/>
      <c r="C133" s="355" t="str">
        <f>IF(B1="EN", "Increase (Decrease) in prepayments", "Tăng (Giảm) trả trước người bán")</f>
        <v>Tăng (Giảm) trả trước người bán</v>
      </c>
      <c r="D133" s="355"/>
      <c r="E133" s="355"/>
      <c r="F133" s="355"/>
      <c r="G133" s="427"/>
      <c r="H133" s="427"/>
      <c r="I133" s="427"/>
      <c r="J133" s="427"/>
      <c r="K133" s="427"/>
      <c r="L133" s="427"/>
      <c r="M133" s="427"/>
      <c r="N133" s="429">
        <f>M79-N79</f>
        <v>12892215251</v>
      </c>
      <c r="O133" s="429">
        <f>N79-O79</f>
        <v>-140759357</v>
      </c>
      <c r="P133" s="429">
        <f>Q79-P79</f>
        <v>1429566999.370852</v>
      </c>
      <c r="Q133" s="428">
        <f>O79-Q79</f>
        <v>-1095567920</v>
      </c>
      <c r="R133" s="429">
        <f>SUM(T133:AE133)</f>
        <v>1401655346.4144459</v>
      </c>
      <c r="S133" s="429"/>
      <c r="T133" s="429">
        <f>-(T79-Q79)</f>
        <v>1492947606.9965687</v>
      </c>
      <c r="U133" s="428">
        <f>T79-U79</f>
        <v>-4436535.8722518478</v>
      </c>
      <c r="V133" s="428">
        <f t="shared" ref="V133:AE133" si="135">U79-V79</f>
        <v>-7325722.7821419649</v>
      </c>
      <c r="W133" s="428">
        <f t="shared" si="135"/>
        <v>-8581181.39465243</v>
      </c>
      <c r="X133" s="428">
        <f t="shared" si="135"/>
        <v>-8758470.2539422661</v>
      </c>
      <c r="Y133" s="428">
        <f t="shared" si="135"/>
        <v>-8791499.9562581405</v>
      </c>
      <c r="Z133" s="428">
        <f t="shared" si="135"/>
        <v>-8963544.8643683344</v>
      </c>
      <c r="AA133" s="428">
        <f t="shared" si="135"/>
        <v>-8961487.5845187902</v>
      </c>
      <c r="AB133" s="428">
        <f t="shared" si="135"/>
        <v>-8812685.9655341357</v>
      </c>
      <c r="AC133" s="428">
        <f t="shared" si="135"/>
        <v>-8930849.3401959538</v>
      </c>
      <c r="AD133" s="428">
        <f t="shared" si="135"/>
        <v>-8789066.5490500629</v>
      </c>
      <c r="AE133" s="428">
        <f t="shared" si="135"/>
        <v>-8941216.0192088187</v>
      </c>
      <c r="AF133" s="430"/>
      <c r="AG133" s="430">
        <v>-471512625705569</v>
      </c>
      <c r="AH133" s="430">
        <v>-412245706106757</v>
      </c>
      <c r="AI133" s="430">
        <v>-520396808609478</v>
      </c>
      <c r="AJ133" s="430">
        <v>-572284304304135</v>
      </c>
      <c r="AK133" s="430">
        <v>-577763105664856</v>
      </c>
      <c r="AL133" s="367"/>
      <c r="AM133" s="196"/>
    </row>
    <row r="134" spans="2:39">
      <c r="B134" s="426"/>
      <c r="C134" s="355" t="str">
        <f>IF(B1="EN", "Other receivables from operating", "Các khoản phải thu khác từ hoạt động kinh doanh")</f>
        <v>Các khoản phải thu khác từ hoạt động kinh doanh</v>
      </c>
      <c r="D134" s="355"/>
      <c r="E134" s="355"/>
      <c r="F134" s="355"/>
      <c r="G134" s="427"/>
      <c r="H134" s="427"/>
      <c r="I134" s="427"/>
      <c r="J134" s="427"/>
      <c r="K134" s="427"/>
      <c r="L134" s="427"/>
      <c r="M134" s="427"/>
      <c r="N134" s="429">
        <f>M80-N80+M83-N83-74937045</f>
        <v>4459901565</v>
      </c>
      <c r="O134" s="429">
        <f>N80-O80+N83-O83</f>
        <v>-1806563468</v>
      </c>
      <c r="P134" s="429">
        <f>Q80-P80+Q83-P83</f>
        <v>-603039326</v>
      </c>
      <c r="Q134" s="428">
        <f>O80-Q80+O83-Q83</f>
        <v>3211607</v>
      </c>
      <c r="R134" s="429">
        <f>SUM(T134:AE134)</f>
        <v>-3768357011.3292942</v>
      </c>
      <c r="S134" s="429"/>
      <c r="T134" s="428">
        <v>-1884178505.6646471</v>
      </c>
      <c r="U134" s="428">
        <v>-1884178505.6646471</v>
      </c>
      <c r="V134" s="428">
        <f t="shared" ref="V134:AE134" si="136">U80-V80+U83-V83</f>
        <v>0</v>
      </c>
      <c r="W134" s="428">
        <f t="shared" si="136"/>
        <v>0</v>
      </c>
      <c r="X134" s="428">
        <f t="shared" si="136"/>
        <v>0</v>
      </c>
      <c r="Y134" s="428">
        <f t="shared" si="136"/>
        <v>0</v>
      </c>
      <c r="Z134" s="428">
        <f t="shared" si="136"/>
        <v>0</v>
      </c>
      <c r="AA134" s="428">
        <f t="shared" si="136"/>
        <v>0</v>
      </c>
      <c r="AB134" s="428"/>
      <c r="AC134" s="428">
        <f t="shared" si="136"/>
        <v>0</v>
      </c>
      <c r="AD134" s="428">
        <f t="shared" si="136"/>
        <v>0</v>
      </c>
      <c r="AE134" s="428">
        <f t="shared" si="136"/>
        <v>0</v>
      </c>
      <c r="AF134" s="430"/>
      <c r="AG134" s="430">
        <v>0</v>
      </c>
      <c r="AH134" s="430">
        <v>0</v>
      </c>
      <c r="AI134" s="430">
        <v>0</v>
      </c>
      <c r="AJ134" s="430">
        <v>0</v>
      </c>
      <c r="AK134" s="430">
        <v>0</v>
      </c>
      <c r="AL134" s="367"/>
    </row>
    <row r="135" spans="2:39">
      <c r="B135" s="431"/>
      <c r="C135" s="432" t="str">
        <f>IF(B1="EN", "Other payables for operating", "Các khoản phải trả khác từ hoạt động kinh doanh")</f>
        <v>Các khoản phải trả khác từ hoạt động kinh doanh</v>
      </c>
      <c r="D135" s="432"/>
      <c r="E135" s="432"/>
      <c r="F135" s="432"/>
      <c r="G135" s="433"/>
      <c r="H135" s="433"/>
      <c r="I135" s="433"/>
      <c r="J135" s="433"/>
      <c r="K135" s="433"/>
      <c r="L135" s="433"/>
      <c r="M135" s="433"/>
      <c r="N135" s="435">
        <f>N111-M111+N115-M115</f>
        <v>3095353562.8600006</v>
      </c>
      <c r="O135" s="435">
        <f>O111-N111+O115-N115+20620991</f>
        <v>3815956096.6219997</v>
      </c>
      <c r="P135" s="435">
        <f>P111-Q111+P115-Q115</f>
        <v>-553309618.51799774</v>
      </c>
      <c r="Q135" s="434">
        <f>Q111-O111+Q115-O115-2801479789</f>
        <v>10759708120.518</v>
      </c>
      <c r="R135" s="435"/>
      <c r="S135" s="429"/>
      <c r="T135" s="435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  <c r="AE135" s="435"/>
      <c r="AF135" s="430"/>
      <c r="AG135" s="436">
        <v>0</v>
      </c>
      <c r="AH135" s="436">
        <v>0</v>
      </c>
      <c r="AI135" s="436">
        <v>0</v>
      </c>
      <c r="AJ135" s="436">
        <v>0</v>
      </c>
      <c r="AK135" s="436">
        <v>0</v>
      </c>
      <c r="AL135" s="367"/>
    </row>
    <row r="136" spans="2:39" s="141" customFormat="1" ht="17" thickBot="1">
      <c r="B136" s="437" t="str">
        <f>IF(B1="EN", "Net cash flow from operating activities", "Dòng tiền thuần từ hoạt động kinh doanh")</f>
        <v>Dòng tiền thuần từ hoạt động kinh doanh</v>
      </c>
      <c r="C136" s="438"/>
      <c r="D136" s="438"/>
      <c r="E136" s="438"/>
      <c r="F136" s="438"/>
      <c r="G136" s="439"/>
      <c r="H136" s="439"/>
      <c r="I136" s="439"/>
      <c r="J136" s="439"/>
      <c r="K136" s="439"/>
      <c r="L136" s="439"/>
      <c r="M136" s="439"/>
      <c r="N136" s="455">
        <f>N127+N128+N129</f>
        <v>-22102145180.476929</v>
      </c>
      <c r="O136" s="455">
        <f>O127+O128+O129</f>
        <v>11491433617.868164</v>
      </c>
      <c r="P136" s="455">
        <f>P127+P128+P129</f>
        <v>-2908810634.1281452</v>
      </c>
      <c r="Q136" s="408">
        <f>Q127+Q128+Q129</f>
        <v>20838529357.27494</v>
      </c>
      <c r="R136" s="455">
        <f t="shared" ref="R136:AE136" si="137">R127+R128+R129</f>
        <v>798062715.54520798</v>
      </c>
      <c r="S136" s="441"/>
      <c r="T136" s="440">
        <f>T127+T128+T129</f>
        <v>-1546279615.4586487</v>
      </c>
      <c r="U136" s="440">
        <f t="shared" si="137"/>
        <v>69418881.172922373</v>
      </c>
      <c r="V136" s="440">
        <f t="shared" si="137"/>
        <v>-3802135824.1622486</v>
      </c>
      <c r="W136" s="440">
        <f t="shared" si="137"/>
        <v>-705648732.66830289</v>
      </c>
      <c r="X136" s="440">
        <f t="shared" si="137"/>
        <v>662850943.70114088</v>
      </c>
      <c r="Y136" s="440">
        <f t="shared" si="137"/>
        <v>635142372.5928396</v>
      </c>
      <c r="Z136" s="440">
        <f t="shared" si="137"/>
        <v>552417068.42288864</v>
      </c>
      <c r="AA136" s="440">
        <f t="shared" si="137"/>
        <v>662711019.47204757</v>
      </c>
      <c r="AB136" s="440">
        <f t="shared" si="137"/>
        <v>1018485287.9144173</v>
      </c>
      <c r="AC136" s="440">
        <f t="shared" si="137"/>
        <v>941999177.36976552</v>
      </c>
      <c r="AD136" s="440">
        <f t="shared" si="137"/>
        <v>1392353845.9514439</v>
      </c>
      <c r="AE136" s="440">
        <f t="shared" si="137"/>
        <v>916748291.23694146</v>
      </c>
      <c r="AF136" s="442"/>
      <c r="AG136" s="443">
        <v>825164348805078</v>
      </c>
      <c r="AH136" s="443">
        <v>923639264145854</v>
      </c>
      <c r="AI136" s="443">
        <v>106042102603667</v>
      </c>
      <c r="AJ136" s="443">
        <v>124700078735662</v>
      </c>
      <c r="AK136" s="443">
        <v>146774589991391</v>
      </c>
      <c r="AL136" s="444"/>
    </row>
    <row r="137" spans="2:39" ht="9.65" customHeight="1" thickTop="1">
      <c r="B137" s="423"/>
      <c r="C137" s="424"/>
      <c r="D137" s="424"/>
      <c r="E137" s="424"/>
      <c r="F137" s="424"/>
      <c r="G137" s="445"/>
      <c r="H137" s="445"/>
      <c r="I137" s="445"/>
      <c r="J137" s="445"/>
      <c r="K137" s="445"/>
      <c r="L137" s="445"/>
      <c r="M137" s="445"/>
      <c r="N137" s="447"/>
      <c r="O137" s="447"/>
      <c r="P137" s="447"/>
      <c r="Q137" s="446"/>
      <c r="R137" s="447"/>
      <c r="S137" s="334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19"/>
      <c r="AG137" s="448"/>
      <c r="AH137" s="448"/>
      <c r="AI137" s="448"/>
      <c r="AJ137" s="448"/>
      <c r="AK137" s="448"/>
      <c r="AL137" s="330"/>
    </row>
    <row r="138" spans="2:39">
      <c r="B138" s="179" t="str">
        <f>IF(B1="EN", "CASH FLOW FROM INVESTING ACTIVITIES", "DÒNG TIỀN TỪ HOẠT ĐỘNG ĐẦU TƯ")</f>
        <v>DÒNG TIỀN TỪ HOẠT ĐỘNG ĐẦU TƯ</v>
      </c>
      <c r="C138" s="128"/>
      <c r="D138" s="128"/>
      <c r="E138" s="128"/>
      <c r="F138" s="128"/>
      <c r="G138" s="445"/>
      <c r="H138" s="445"/>
      <c r="I138" s="445"/>
      <c r="J138" s="445"/>
      <c r="K138" s="445"/>
      <c r="L138" s="445"/>
      <c r="M138" s="445"/>
      <c r="N138" s="447"/>
      <c r="O138" s="447"/>
      <c r="P138" s="447"/>
      <c r="Q138" s="446"/>
      <c r="R138" s="447"/>
      <c r="S138" s="334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19"/>
      <c r="AG138" s="448"/>
      <c r="AH138" s="448"/>
      <c r="AI138" s="448"/>
      <c r="AJ138" s="448"/>
      <c r="AK138" s="448"/>
      <c r="AL138" s="330"/>
    </row>
    <row r="139" spans="2:39">
      <c r="B139" s="423" t="str">
        <f>IF(B1="EN", "Purchases of fixed assets and constructions", "Tiền chi mua Tài sản cố định &amp; Xây dựng cơ bản")</f>
        <v>Tiền chi mua Tài sản cố định &amp; Xây dựng cơ bản</v>
      </c>
      <c r="C139" s="424"/>
      <c r="D139" s="424"/>
      <c r="E139" s="424"/>
      <c r="F139" s="424"/>
      <c r="G139" s="425"/>
      <c r="H139" s="425"/>
      <c r="I139" s="425"/>
      <c r="J139" s="425"/>
      <c r="K139" s="425"/>
      <c r="L139" s="425"/>
      <c r="M139" s="425"/>
      <c r="N139" s="334">
        <f>M88-N88+M91-N91+M94-N94+M96-N96</f>
        <v>-40671961111</v>
      </c>
      <c r="O139" s="334">
        <f t="shared" ref="O139" si="138">N88-O88+N91-O91+N94-O94+N96-O96</f>
        <v>-3280266015</v>
      </c>
      <c r="P139" s="334">
        <f>Q88-P88+Q91-P91+Q94-P94+Q96-P96</f>
        <v>-11094451371</v>
      </c>
      <c r="Q139" s="336">
        <f>O88-Q88+O91-Q91+O94-Q94+O96-Q96</f>
        <v>-10864516199</v>
      </c>
      <c r="R139" s="334">
        <f>SUM(T139:AE139)</f>
        <v>-4235605033.3333344</v>
      </c>
      <c r="S139" s="334"/>
      <c r="T139" s="334">
        <f>SUM(DaiLoc:DongLam!T139)</f>
        <v>-12876808.333333334</v>
      </c>
      <c r="U139" s="334">
        <f>SUM(DaiLoc:DongLam!U139)</f>
        <v>-1307876808.3333333</v>
      </c>
      <c r="V139" s="334">
        <f>SUM(DaiLoc:DongLam!V139)</f>
        <v>-312876808.33333331</v>
      </c>
      <c r="W139" s="334">
        <f>SUM(DaiLoc:DongLam!W139)</f>
        <v>-2446876808.3333335</v>
      </c>
      <c r="X139" s="334">
        <f>SUM(DaiLoc:DongLam!X139)</f>
        <v>-12876808.333333334</v>
      </c>
      <c r="Y139" s="334">
        <f>SUM(DaiLoc:DongLam!Y139)</f>
        <v>-12876808.333333334</v>
      </c>
      <c r="Z139" s="334">
        <f>SUM(DaiLoc:DongLam!Z139)</f>
        <v>-12876808.333333334</v>
      </c>
      <c r="AA139" s="334">
        <f>SUM(DaiLoc:DongLam!AA139)</f>
        <v>-12876808.333333334</v>
      </c>
      <c r="AB139" s="334">
        <f>SUM(DaiLoc:DongLam!AB139)</f>
        <v>-12876808.333333334</v>
      </c>
      <c r="AC139" s="334">
        <f>SUM(DaiLoc:DongLam!AC139)</f>
        <v>-30237919.444444448</v>
      </c>
      <c r="AD139" s="334">
        <f>SUM(DaiLoc:DongLam!AD139)</f>
        <v>-30237919.444444448</v>
      </c>
      <c r="AE139" s="334">
        <f>SUM(DaiLoc:DongLam!AE139)</f>
        <v>-30237919.444444448</v>
      </c>
      <c r="AF139" s="419"/>
      <c r="AG139" s="419">
        <v>-6210079022</v>
      </c>
      <c r="AH139" s="419">
        <v>-850971385867487</v>
      </c>
      <c r="AI139" s="419">
        <v>-7138284256</v>
      </c>
      <c r="AJ139" s="419">
        <v>-773832533567487</v>
      </c>
      <c r="AK139" s="419">
        <v>-4598099231</v>
      </c>
      <c r="AL139" s="330"/>
    </row>
    <row r="140" spans="2:39">
      <c r="B140" s="423" t="str">
        <f>IF(B1="EN", "Other short-term investments", "Đầu tư ngắn hạn khác")</f>
        <v>Đầu tư ngắn hạn khác</v>
      </c>
      <c r="C140" s="424"/>
      <c r="D140" s="424"/>
      <c r="E140" s="424"/>
      <c r="F140" s="424"/>
      <c r="G140" s="425"/>
      <c r="H140" s="425"/>
      <c r="I140" s="425"/>
      <c r="J140" s="425"/>
      <c r="K140" s="425"/>
      <c r="L140" s="425"/>
      <c r="M140" s="425"/>
      <c r="N140" s="334">
        <f>M76-N76</f>
        <v>0</v>
      </c>
      <c r="O140" s="334">
        <f t="shared" ref="O140" si="139">N76-O76</f>
        <v>0</v>
      </c>
      <c r="P140" s="334">
        <f>Q76-P76</f>
        <v>6000000000</v>
      </c>
      <c r="Q140" s="336">
        <f>O76-Q76</f>
        <v>-6000000000</v>
      </c>
      <c r="R140" s="334">
        <f>SUM(T140:AE140)</f>
        <v>5798000000</v>
      </c>
      <c r="S140" s="334"/>
      <c r="T140" s="334">
        <f>SUM(DaiLoc:DongLam!T140)</f>
        <v>6000000000</v>
      </c>
      <c r="U140" s="334">
        <f>SUM(DaiLoc:DongLam!U140)</f>
        <v>0</v>
      </c>
      <c r="V140" s="334">
        <f>SUM(DaiLoc:DongLam!V140)</f>
        <v>0</v>
      </c>
      <c r="W140" s="334">
        <f>SUM(DaiLoc:DongLam!W140)</f>
        <v>-202000000</v>
      </c>
      <c r="X140" s="334">
        <f>SUM(DaiLoc:DongLam!X140)</f>
        <v>0</v>
      </c>
      <c r="Y140" s="334">
        <f>SUM(DaiLoc:DongLam!Y140)</f>
        <v>0</v>
      </c>
      <c r="Z140" s="334">
        <f>SUM(DaiLoc:DongLam!Z140)</f>
        <v>0</v>
      </c>
      <c r="AA140" s="334">
        <f>SUM(DaiLoc:DongLam!AA140)</f>
        <v>0</v>
      </c>
      <c r="AB140" s="334">
        <f>SUM(DaiLoc:DongLam!AB140)</f>
        <v>0</v>
      </c>
      <c r="AC140" s="334">
        <f>SUM(DaiLoc:DongLam!AC140)</f>
        <v>0</v>
      </c>
      <c r="AD140" s="334">
        <f>SUM(DaiLoc:DongLam!AD140)</f>
        <v>0</v>
      </c>
      <c r="AE140" s="334">
        <f>SUM(DaiLoc:DongLam!AE140)</f>
        <v>0</v>
      </c>
      <c r="AF140" s="419"/>
      <c r="AG140" s="419">
        <v>100000</v>
      </c>
      <c r="AH140" s="419">
        <v>50000</v>
      </c>
      <c r="AI140" s="419">
        <v>50000</v>
      </c>
      <c r="AJ140" s="419">
        <v>0</v>
      </c>
      <c r="AK140" s="419">
        <v>-350000</v>
      </c>
      <c r="AL140" s="330"/>
    </row>
    <row r="141" spans="2:39">
      <c r="B141" s="449" t="str">
        <f>IF(B1="EN", "Other long-term investments", "Đầu tư dài hạn khác")</f>
        <v>Đầu tư dài hạn khác</v>
      </c>
      <c r="C141" s="450"/>
      <c r="D141" s="450"/>
      <c r="E141" s="450"/>
      <c r="F141" s="450"/>
      <c r="G141" s="451"/>
      <c r="H141" s="451"/>
      <c r="I141" s="451"/>
      <c r="J141" s="451"/>
      <c r="K141" s="451"/>
      <c r="L141" s="451"/>
      <c r="M141" s="451"/>
      <c r="N141" s="453">
        <f>M98-N98+M99-N99+M100-N100</f>
        <v>-1003043181</v>
      </c>
      <c r="O141" s="453">
        <f>N98-O98+N99-O99+N100-O100</f>
        <v>220449421</v>
      </c>
      <c r="P141" s="453">
        <f>Q98-P98+Q99-P99+Q100-P100</f>
        <v>1776670254</v>
      </c>
      <c r="Q141" s="452">
        <f>O98-Q98+O99-Q99+O100-Q100</f>
        <v>-2997754648</v>
      </c>
      <c r="R141" s="334">
        <f>SUM(T141:AE141)</f>
        <v>0</v>
      </c>
      <c r="S141" s="334"/>
      <c r="T141" s="453">
        <f>SUM(DaiLoc:DongLam!T141)</f>
        <v>0</v>
      </c>
      <c r="U141" s="453">
        <f>SUM(DaiLoc:DongLam!U141)</f>
        <v>0</v>
      </c>
      <c r="V141" s="453">
        <f>SUM(DaiLoc:DongLam!V141)</f>
        <v>0</v>
      </c>
      <c r="W141" s="453">
        <f>SUM(DaiLoc:DongLam!W141)</f>
        <v>0</v>
      </c>
      <c r="X141" s="453">
        <f>SUM(DaiLoc:DongLam!X141)</f>
        <v>0</v>
      </c>
      <c r="Y141" s="453">
        <f>SUM(DaiLoc:DongLam!Y141)</f>
        <v>0</v>
      </c>
      <c r="Z141" s="453">
        <f>SUM(DaiLoc:DongLam!Z141)</f>
        <v>0</v>
      </c>
      <c r="AA141" s="453">
        <f>SUM(DaiLoc:DongLam!AA141)</f>
        <v>0</v>
      </c>
      <c r="AB141" s="453">
        <f>SUM(DaiLoc:DongLam!AB141)</f>
        <v>0</v>
      </c>
      <c r="AC141" s="453">
        <f>SUM(DaiLoc:DongLam!AC141)</f>
        <v>0</v>
      </c>
      <c r="AD141" s="453">
        <f>SUM(DaiLoc:DongLam!AD141)</f>
        <v>0</v>
      </c>
      <c r="AE141" s="453">
        <f>SUM(DaiLoc:DongLam!AE141)</f>
        <v>0</v>
      </c>
      <c r="AF141" s="419"/>
      <c r="AG141" s="454">
        <v>0</v>
      </c>
      <c r="AH141" s="454">
        <v>0</v>
      </c>
      <c r="AI141" s="454">
        <v>0</v>
      </c>
      <c r="AJ141" s="454">
        <v>0</v>
      </c>
      <c r="AK141" s="454">
        <v>0</v>
      </c>
      <c r="AL141" s="330"/>
    </row>
    <row r="142" spans="2:39" s="141" customFormat="1" ht="17" thickBot="1">
      <c r="B142" s="437" t="str">
        <f>IF(B1="EN", "Net cash flow from investing activities", "Dòng tiền thuần từ hoạt động đầu tư")</f>
        <v>Dòng tiền thuần từ hoạt động đầu tư</v>
      </c>
      <c r="C142" s="438"/>
      <c r="D142" s="438"/>
      <c r="E142" s="438"/>
      <c r="F142" s="438"/>
      <c r="G142" s="439"/>
      <c r="H142" s="439"/>
      <c r="I142" s="439"/>
      <c r="J142" s="439"/>
      <c r="K142" s="439"/>
      <c r="L142" s="439"/>
      <c r="M142" s="439"/>
      <c r="N142" s="455">
        <f>SUM(N139:N141)</f>
        <v>-41675004292</v>
      </c>
      <c r="O142" s="455">
        <f>SUM(O139:O141)</f>
        <v>-3059816594</v>
      </c>
      <c r="P142" s="455">
        <f>SUM(P139:P141)</f>
        <v>-3317781117</v>
      </c>
      <c r="Q142" s="408">
        <f>SUM(Q139:Q141)</f>
        <v>-19862270847</v>
      </c>
      <c r="R142" s="455">
        <f t="shared" ref="R142:AE142" si="140">SUM(R139:R141)</f>
        <v>1562394966.6666656</v>
      </c>
      <c r="S142" s="441"/>
      <c r="T142" s="440">
        <f t="shared" si="140"/>
        <v>5987123191.666667</v>
      </c>
      <c r="U142" s="440">
        <f t="shared" si="140"/>
        <v>-1307876808.3333333</v>
      </c>
      <c r="V142" s="440">
        <f t="shared" si="140"/>
        <v>-312876808.33333331</v>
      </c>
      <c r="W142" s="440">
        <f t="shared" si="140"/>
        <v>-2648876808.3333335</v>
      </c>
      <c r="X142" s="440">
        <f t="shared" si="140"/>
        <v>-12876808.333333334</v>
      </c>
      <c r="Y142" s="440">
        <f t="shared" si="140"/>
        <v>-12876808.333333334</v>
      </c>
      <c r="Z142" s="440">
        <f t="shared" si="140"/>
        <v>-12876808.333333334</v>
      </c>
      <c r="AA142" s="440">
        <f t="shared" si="140"/>
        <v>-12876808.333333334</v>
      </c>
      <c r="AB142" s="440">
        <f t="shared" si="140"/>
        <v>-12876808.333333334</v>
      </c>
      <c r="AC142" s="440">
        <f t="shared" si="140"/>
        <v>-30237919.444444448</v>
      </c>
      <c r="AD142" s="440">
        <f t="shared" si="140"/>
        <v>-30237919.444444448</v>
      </c>
      <c r="AE142" s="440">
        <f t="shared" si="140"/>
        <v>-30237919.444444448</v>
      </c>
      <c r="AF142" s="442"/>
      <c r="AG142" s="443">
        <v>-5210079022</v>
      </c>
      <c r="AH142" s="443">
        <v>-800971385867487</v>
      </c>
      <c r="AI142" s="443">
        <v>-6638284256</v>
      </c>
      <c r="AJ142" s="443">
        <v>-773832533567487</v>
      </c>
      <c r="AK142" s="443">
        <v>-8098099231</v>
      </c>
      <c r="AL142" s="444"/>
    </row>
    <row r="143" spans="2:39" ht="9" customHeight="1" thickTop="1">
      <c r="B143" s="179"/>
      <c r="C143" s="128"/>
      <c r="D143" s="128"/>
      <c r="E143" s="128"/>
      <c r="F143" s="128"/>
      <c r="G143" s="420"/>
      <c r="H143" s="420"/>
      <c r="I143" s="420"/>
      <c r="J143" s="420"/>
      <c r="K143" s="420"/>
      <c r="L143" s="420"/>
      <c r="M143" s="420"/>
      <c r="N143" s="421"/>
      <c r="O143" s="421"/>
      <c r="P143" s="421"/>
      <c r="Q143" s="323"/>
      <c r="R143" s="421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  <c r="AC143" s="421"/>
      <c r="AD143" s="421"/>
      <c r="AE143" s="421"/>
      <c r="AF143" s="422"/>
      <c r="AG143" s="422"/>
      <c r="AH143" s="422"/>
      <c r="AI143" s="422"/>
      <c r="AJ143" s="422"/>
      <c r="AK143" s="422"/>
      <c r="AL143" s="317"/>
    </row>
    <row r="144" spans="2:39">
      <c r="B144" s="179" t="str">
        <f>IF(B1="EN", "CASH FLOW FROM FINANCIAL ACTIVITIES", "DÒNG TIỀN TỪ HOẠT ĐỘNG TÀI CHÍNH")</f>
        <v>DÒNG TIỀN TỪ HOẠT ĐỘNG TÀI CHÍNH</v>
      </c>
      <c r="C144" s="424"/>
      <c r="D144" s="424"/>
      <c r="E144" s="424"/>
      <c r="F144" s="424"/>
      <c r="G144" s="425"/>
      <c r="H144" s="425"/>
      <c r="I144" s="425"/>
      <c r="J144" s="425"/>
      <c r="K144" s="425"/>
      <c r="L144" s="425"/>
      <c r="M144" s="425"/>
      <c r="N144" s="334"/>
      <c r="O144" s="334"/>
      <c r="P144" s="334"/>
      <c r="Q144" s="336"/>
      <c r="R144" s="334"/>
      <c r="S144" s="334"/>
      <c r="T144" s="334"/>
      <c r="U144" s="334"/>
      <c r="V144" s="334"/>
      <c r="W144" s="334"/>
      <c r="X144" s="334"/>
      <c r="Y144" s="334"/>
      <c r="Z144" s="334"/>
      <c r="AA144" s="334"/>
      <c r="AB144" s="334"/>
      <c r="AC144" s="334"/>
      <c r="AD144" s="334"/>
      <c r="AE144" s="334"/>
      <c r="AF144" s="419"/>
      <c r="AG144" s="419"/>
      <c r="AH144" s="419"/>
      <c r="AI144" s="419"/>
      <c r="AJ144" s="419"/>
      <c r="AK144" s="419"/>
      <c r="AL144" s="330"/>
    </row>
    <row r="145" spans="2:38">
      <c r="B145" s="423" t="s">
        <v>117</v>
      </c>
      <c r="C145" s="424"/>
      <c r="D145" s="424"/>
      <c r="E145" s="424"/>
      <c r="F145" s="424"/>
      <c r="G145" s="425"/>
      <c r="H145" s="425"/>
      <c r="I145" s="425"/>
      <c r="J145" s="425"/>
      <c r="K145" s="425"/>
      <c r="L145" s="425"/>
      <c r="M145" s="425"/>
      <c r="N145" s="334">
        <f>N117-M117</f>
        <v>62000000000</v>
      </c>
      <c r="O145" s="334">
        <f t="shared" ref="O145" si="141">O117-N117</f>
        <v>0</v>
      </c>
      <c r="P145" s="334">
        <f>P117-Q117</f>
        <v>0</v>
      </c>
      <c r="Q145" s="336">
        <f>Q117-O117</f>
        <v>0</v>
      </c>
      <c r="R145" s="334">
        <f>R117-P117</f>
        <v>0</v>
      </c>
      <c r="S145" s="334"/>
      <c r="T145" s="334">
        <f>SUM(DaiLoc:DongLam!T145)</f>
        <v>0</v>
      </c>
      <c r="U145" s="334">
        <f>SUM(DaiLoc:DongLam!U145)</f>
        <v>0</v>
      </c>
      <c r="V145" s="334">
        <f>SUM(DaiLoc:DongLam!V145)</f>
        <v>0</v>
      </c>
      <c r="W145" s="334">
        <f>SUM(DaiLoc:DongLam!W145)</f>
        <v>0</v>
      </c>
      <c r="X145" s="334">
        <f>SUM(DaiLoc:DongLam!X145)</f>
        <v>0</v>
      </c>
      <c r="Y145" s="334">
        <f>SUM(DaiLoc:DongLam!Y145)</f>
        <v>0</v>
      </c>
      <c r="Z145" s="334">
        <f>SUM(DaiLoc:DongLam!Z145)</f>
        <v>0</v>
      </c>
      <c r="AA145" s="334">
        <f>SUM(DaiLoc:DongLam!AA145)</f>
        <v>0</v>
      </c>
      <c r="AB145" s="334">
        <f>SUM(DaiLoc:DongLam!AB145)</f>
        <v>0</v>
      </c>
      <c r="AC145" s="334">
        <f>SUM(DaiLoc:DongLam!AC145)</f>
        <v>0</v>
      </c>
      <c r="AD145" s="334">
        <f>SUM(DaiLoc:DongLam!AD145)</f>
        <v>0</v>
      </c>
      <c r="AE145" s="334">
        <f>SUM(DaiLoc:DongLam!AE145)</f>
        <v>0</v>
      </c>
      <c r="AF145" s="419"/>
      <c r="AG145" s="419">
        <v>0</v>
      </c>
      <c r="AH145" s="419">
        <v>0</v>
      </c>
      <c r="AI145" s="419">
        <v>0</v>
      </c>
      <c r="AJ145" s="419">
        <v>0</v>
      </c>
      <c r="AK145" s="419">
        <v>0</v>
      </c>
      <c r="AL145" s="330"/>
    </row>
    <row r="146" spans="2:38">
      <c r="B146" s="423" t="str">
        <f>IF(B1="EN", "Change in invesment and development fund", "Tăng (Giảm) Quỹ đầu tư &amp; Phát triển")</f>
        <v>Tăng (Giảm) Quỹ đầu tư &amp; Phát triển</v>
      </c>
      <c r="C146" s="424"/>
      <c r="D146" s="424"/>
      <c r="E146" s="424"/>
      <c r="F146" s="424"/>
      <c r="G146" s="425"/>
      <c r="H146" s="425"/>
      <c r="I146" s="425"/>
      <c r="J146" s="425"/>
      <c r="K146" s="425"/>
      <c r="L146" s="425"/>
      <c r="M146" s="425"/>
      <c r="N146" s="334">
        <f>N118-M118</f>
        <v>0</v>
      </c>
      <c r="O146" s="334">
        <f t="shared" ref="O146" si="142">O118-L118</f>
        <v>0</v>
      </c>
      <c r="P146" s="334">
        <f>P118-M118</f>
        <v>0</v>
      </c>
      <c r="Q146" s="336">
        <f>Q118-N118</f>
        <v>0</v>
      </c>
      <c r="R146" s="334">
        <f>SUM(T146:AE146)</f>
        <v>0</v>
      </c>
      <c r="S146" s="334"/>
      <c r="T146" s="334">
        <f>SUM(DaiLoc:DongLam!T146)</f>
        <v>0</v>
      </c>
      <c r="U146" s="334">
        <f>SUM(DaiLoc:DongLam!U146)</f>
        <v>0</v>
      </c>
      <c r="V146" s="334">
        <f>SUM(DaiLoc:DongLam!V146)</f>
        <v>0</v>
      </c>
      <c r="W146" s="334">
        <f>SUM(DaiLoc:DongLam!W146)</f>
        <v>0</v>
      </c>
      <c r="X146" s="334">
        <f>SUM(DaiLoc:DongLam!X146)</f>
        <v>0</v>
      </c>
      <c r="Y146" s="334">
        <f>SUM(DaiLoc:DongLam!Y146)</f>
        <v>0</v>
      </c>
      <c r="Z146" s="334">
        <f>SUM(DaiLoc:DongLam!Z146)</f>
        <v>0</v>
      </c>
      <c r="AA146" s="334">
        <f>SUM(DaiLoc:DongLam!AA146)</f>
        <v>0</v>
      </c>
      <c r="AB146" s="334">
        <f>SUM(DaiLoc:DongLam!AB146)</f>
        <v>0</v>
      </c>
      <c r="AC146" s="334">
        <f>SUM(DaiLoc:DongLam!AC146)</f>
        <v>0</v>
      </c>
      <c r="AD146" s="334">
        <f>SUM(DaiLoc:DongLam!AD146)</f>
        <v>0</v>
      </c>
      <c r="AE146" s="334">
        <f>SUM(DaiLoc:DongLam!AE146)</f>
        <v>0</v>
      </c>
      <c r="AF146" s="419"/>
      <c r="AG146" s="419">
        <v>0</v>
      </c>
      <c r="AH146" s="419">
        <v>0</v>
      </c>
      <c r="AI146" s="419">
        <v>0</v>
      </c>
      <c r="AJ146" s="419">
        <v>0</v>
      </c>
      <c r="AK146" s="419">
        <v>0</v>
      </c>
      <c r="AL146" s="330"/>
    </row>
    <row r="147" spans="2:38">
      <c r="B147" s="423" t="str">
        <f>IF(B1="EN", "Short-term and long-term borrowing", "Vay ngắn hạn &amp; dài hạn")</f>
        <v>Vay ngắn hạn &amp; dài hạn</v>
      </c>
      <c r="C147" s="424"/>
      <c r="D147" s="424"/>
      <c r="E147" s="424"/>
      <c r="F147" s="424"/>
      <c r="G147" s="425"/>
      <c r="H147" s="425"/>
      <c r="I147" s="425"/>
      <c r="J147" s="425"/>
      <c r="K147" s="425"/>
      <c r="L147" s="425"/>
      <c r="M147" s="425"/>
      <c r="N147" s="334">
        <f>SUM(DaiLoc:DongLam!N147)</f>
        <v>11770000000</v>
      </c>
      <c r="O147" s="334">
        <f>SUM(DaiLoc:DongLam!O147)</f>
        <v>0</v>
      </c>
      <c r="P147" s="334">
        <f>SUM(DaiLoc:DongLam!P147)</f>
        <v>4055856697</v>
      </c>
      <c r="Q147" s="336">
        <f>SUM(DaiLoc:DongLam!Q147)</f>
        <v>0</v>
      </c>
      <c r="R147" s="334">
        <f>SUM(DaiLoc:DongLam!R147)</f>
        <v>0</v>
      </c>
      <c r="S147" s="334"/>
      <c r="T147" s="334">
        <f>SUM(DaiLoc:DongLam!T147)</f>
        <v>0</v>
      </c>
      <c r="U147" s="334">
        <f>SUM(DaiLoc:DongLam!U147)</f>
        <v>0</v>
      </c>
      <c r="V147" s="334">
        <f>SUM(DaiLoc:DongLam!V147)</f>
        <v>0</v>
      </c>
      <c r="W147" s="334">
        <f>SUM(DaiLoc:DongLam!W147)</f>
        <v>0</v>
      </c>
      <c r="X147" s="334">
        <f>SUM(DaiLoc:DongLam!X147)</f>
        <v>0</v>
      </c>
      <c r="Y147" s="334">
        <f>SUM(DaiLoc:DongLam!Y147)</f>
        <v>0</v>
      </c>
      <c r="Z147" s="334">
        <f>SUM(DaiLoc:DongLam!Z147)</f>
        <v>0</v>
      </c>
      <c r="AA147" s="334">
        <f>SUM(DaiLoc:DongLam!AA147)</f>
        <v>0</v>
      </c>
      <c r="AB147" s="334">
        <f>SUM(DaiLoc:DongLam!AB147)</f>
        <v>0</v>
      </c>
      <c r="AC147" s="334">
        <f>SUM(DaiLoc:DongLam!AC147)</f>
        <v>0</v>
      </c>
      <c r="AD147" s="334">
        <f>SUM(DaiLoc:DongLam!AD147)</f>
        <v>0</v>
      </c>
      <c r="AE147" s="334">
        <f>SUM(DaiLoc:DongLam!AE147)</f>
        <v>0</v>
      </c>
      <c r="AF147" s="419"/>
      <c r="AG147" s="419">
        <v>311212246685293</v>
      </c>
      <c r="AH147" s="419">
        <v>135260272881574</v>
      </c>
      <c r="AI147" s="419">
        <v>183911004499856</v>
      </c>
      <c r="AJ147" s="419">
        <v>18932738049369</v>
      </c>
      <c r="AK147" s="419">
        <v>16963017710236</v>
      </c>
      <c r="AL147" s="330"/>
    </row>
    <row r="148" spans="2:38">
      <c r="B148" s="423" t="str">
        <f>IF(B1="EN", "Dividend and interests paid to owner", "Cổ tức và lợi nhuận trả cho chủ sở hữu")</f>
        <v>Cổ tức và lợi nhuận trả cho chủ sở hữu</v>
      </c>
      <c r="C148" s="424"/>
      <c r="D148" s="424"/>
      <c r="E148" s="424"/>
      <c r="F148" s="424"/>
      <c r="G148" s="425"/>
      <c r="H148" s="425"/>
      <c r="I148" s="425"/>
      <c r="J148" s="425"/>
      <c r="K148" s="425"/>
      <c r="L148" s="425"/>
      <c r="M148" s="425"/>
      <c r="N148" s="334">
        <f>SUM(DaiLoc:DongLam!N148)</f>
        <v>0</v>
      </c>
      <c r="O148" s="334">
        <f>SUM(DaiLoc:DongLam!O148)</f>
        <v>0</v>
      </c>
      <c r="P148" s="334">
        <f>SUM(DaiLoc:DongLam!P148)</f>
        <v>0</v>
      </c>
      <c r="Q148" s="336">
        <f>SUM(DaiLoc:DongLam!Q148)</f>
        <v>0</v>
      </c>
      <c r="R148" s="334">
        <f>SUM(DaiLoc:DongLam!R148)</f>
        <v>0</v>
      </c>
      <c r="S148" s="334"/>
      <c r="T148" s="334">
        <f>SUM(DaiLoc:DongLam!T148)</f>
        <v>0</v>
      </c>
      <c r="U148" s="334">
        <f>SUM(DaiLoc:DongLam!U148)</f>
        <v>0</v>
      </c>
      <c r="V148" s="334">
        <f>SUM(DaiLoc:DongLam!V148)</f>
        <v>0</v>
      </c>
      <c r="W148" s="334">
        <f>SUM(DaiLoc:DongLam!W148)</f>
        <v>0</v>
      </c>
      <c r="X148" s="334">
        <f>SUM(DaiLoc:DongLam!X148)</f>
        <v>0</v>
      </c>
      <c r="Y148" s="334">
        <f>SUM(DaiLoc:DongLam!Y148)</f>
        <v>0</v>
      </c>
      <c r="Z148" s="334">
        <f>SUM(DaiLoc:DongLam!Z148)</f>
        <v>0</v>
      </c>
      <c r="AA148" s="334">
        <f>SUM(DaiLoc:DongLam!AA148)</f>
        <v>0</v>
      </c>
      <c r="AB148" s="334">
        <f>SUM(DaiLoc:DongLam!AB148)</f>
        <v>0</v>
      </c>
      <c r="AC148" s="334">
        <f>SUM(DaiLoc:DongLam!AC148)</f>
        <v>0</v>
      </c>
      <c r="AD148" s="334">
        <f>SUM(DaiLoc:DongLam!AD148)</f>
        <v>0</v>
      </c>
      <c r="AE148" s="334">
        <f>SUM(DaiLoc:DongLam!AE148)</f>
        <v>0</v>
      </c>
      <c r="AF148" s="419"/>
      <c r="AG148" s="419">
        <v>-390965513883741</v>
      </c>
      <c r="AH148" s="419">
        <v>-397467426526564</v>
      </c>
      <c r="AI148" s="419">
        <v>-603088029296883</v>
      </c>
      <c r="AJ148" s="419">
        <v>-69755546831367</v>
      </c>
      <c r="AK148" s="419">
        <v>-802112927188883</v>
      </c>
      <c r="AL148" s="330"/>
    </row>
    <row r="149" spans="2:38" s="141" customFormat="1" ht="17" thickBot="1">
      <c r="B149" s="437" t="str">
        <f>IF(B1="EN", "Net cash flow from financing activities", "Dòng tiền thuần từ hoạt động tài chính")</f>
        <v>Dòng tiền thuần từ hoạt động tài chính</v>
      </c>
      <c r="C149" s="438"/>
      <c r="D149" s="438"/>
      <c r="E149" s="438"/>
      <c r="F149" s="438"/>
      <c r="G149" s="439"/>
      <c r="H149" s="439"/>
      <c r="I149" s="439"/>
      <c r="J149" s="439"/>
      <c r="K149" s="439"/>
      <c r="L149" s="439"/>
      <c r="M149" s="439"/>
      <c r="N149" s="455">
        <f>SUM(N145:N148)</f>
        <v>73770000000</v>
      </c>
      <c r="O149" s="455">
        <f>SUM(O145:O148)</f>
        <v>0</v>
      </c>
      <c r="P149" s="455">
        <f>SUM(P145:P148)</f>
        <v>4055856697</v>
      </c>
      <c r="Q149" s="408">
        <f>SUM(Q145:Q148)</f>
        <v>0</v>
      </c>
      <c r="R149" s="455">
        <f t="shared" ref="R149:AE149" si="143">SUM(R145:R148)</f>
        <v>0</v>
      </c>
      <c r="S149" s="441"/>
      <c r="T149" s="440">
        <f t="shared" si="143"/>
        <v>0</v>
      </c>
      <c r="U149" s="440">
        <f t="shared" si="143"/>
        <v>0</v>
      </c>
      <c r="V149" s="440">
        <f t="shared" si="143"/>
        <v>0</v>
      </c>
      <c r="W149" s="440">
        <f t="shared" si="143"/>
        <v>0</v>
      </c>
      <c r="X149" s="440">
        <f t="shared" si="143"/>
        <v>0</v>
      </c>
      <c r="Y149" s="440">
        <f t="shared" si="143"/>
        <v>0</v>
      </c>
      <c r="Z149" s="440">
        <f t="shared" si="143"/>
        <v>0</v>
      </c>
      <c r="AA149" s="440">
        <f t="shared" si="143"/>
        <v>0</v>
      </c>
      <c r="AB149" s="440">
        <f t="shared" si="143"/>
        <v>0</v>
      </c>
      <c r="AC149" s="440">
        <f t="shared" si="143"/>
        <v>0</v>
      </c>
      <c r="AD149" s="440">
        <f t="shared" si="143"/>
        <v>0</v>
      </c>
      <c r="AE149" s="440">
        <f t="shared" si="143"/>
        <v>0</v>
      </c>
      <c r="AF149" s="442"/>
      <c r="AG149" s="443">
        <v>-797532671984486</v>
      </c>
      <c r="AH149" s="443">
        <v>-26220715364499</v>
      </c>
      <c r="AI149" s="443">
        <v>-419177024797028</v>
      </c>
      <c r="AJ149" s="443">
        <v>-508228087819981</v>
      </c>
      <c r="AK149" s="443">
        <v>-632482750086523</v>
      </c>
      <c r="AL149" s="444"/>
    </row>
    <row r="150" spans="2:38" ht="17" thickTop="1">
      <c r="B150" s="179"/>
      <c r="C150" s="128"/>
      <c r="D150" s="128"/>
      <c r="E150" s="128"/>
      <c r="F150" s="128"/>
      <c r="G150" s="425"/>
      <c r="H150" s="425"/>
      <c r="I150" s="425"/>
      <c r="J150" s="425"/>
      <c r="K150" s="425"/>
      <c r="L150" s="425"/>
      <c r="M150" s="425"/>
      <c r="N150" s="334"/>
      <c r="O150" s="334"/>
      <c r="P150" s="334"/>
      <c r="Q150" s="336"/>
      <c r="R150" s="334"/>
      <c r="S150" s="334"/>
      <c r="T150" s="334"/>
      <c r="U150" s="334"/>
      <c r="V150" s="334"/>
      <c r="W150" s="334"/>
      <c r="X150" s="334"/>
      <c r="Y150" s="334"/>
      <c r="Z150" s="334"/>
      <c r="AA150" s="334"/>
      <c r="AB150" s="334"/>
      <c r="AC150" s="334"/>
      <c r="AD150" s="334"/>
      <c r="AE150" s="334"/>
      <c r="AF150" s="419"/>
      <c r="AG150" s="419"/>
      <c r="AH150" s="419"/>
      <c r="AI150" s="419"/>
      <c r="AJ150" s="419"/>
      <c r="AK150" s="419"/>
      <c r="AL150" s="330"/>
    </row>
    <row r="151" spans="2:38" ht="17" thickBot="1">
      <c r="B151" s="456" t="str">
        <f>IF(B1="EN", "NET CASH FLOW OF THE YEAR", "DÒNG TIỀN THUẦN CẢ NĂM")</f>
        <v>DÒNG TIỀN THUẦN CẢ NĂM</v>
      </c>
      <c r="C151" s="457"/>
      <c r="D151" s="457"/>
      <c r="E151" s="457"/>
      <c r="F151" s="457"/>
      <c r="G151" s="439"/>
      <c r="H151" s="439"/>
      <c r="I151" s="439"/>
      <c r="J151" s="439"/>
      <c r="K151" s="439"/>
      <c r="L151" s="439"/>
      <c r="M151" s="439"/>
      <c r="N151" s="455">
        <f>N136+N142+N149</f>
        <v>9992850527.5230713</v>
      </c>
      <c r="O151" s="455">
        <f>O136+O142+O149</f>
        <v>8431617023.8681641</v>
      </c>
      <c r="P151" s="455">
        <f>P136+P142+P149</f>
        <v>-2170735054.1281452</v>
      </c>
      <c r="Q151" s="408">
        <f>Q136+Q142+Q149</f>
        <v>976258510.27494049</v>
      </c>
      <c r="R151" s="455">
        <f>R136+R142+R149</f>
        <v>2360457682.2118735</v>
      </c>
      <c r="S151" s="421"/>
      <c r="T151" s="455">
        <f>T136+T142+T149</f>
        <v>4440843576.2080183</v>
      </c>
      <c r="U151" s="455">
        <f t="shared" ref="U151:AE151" si="144">U136+U142+U149</f>
        <v>-1238457927.1604109</v>
      </c>
      <c r="V151" s="455">
        <f t="shared" si="144"/>
        <v>-4115012632.4955821</v>
      </c>
      <c r="W151" s="455">
        <f t="shared" si="144"/>
        <v>-3354525541.0016365</v>
      </c>
      <c r="X151" s="455">
        <f t="shared" si="144"/>
        <v>649974135.36780751</v>
      </c>
      <c r="Y151" s="455">
        <f t="shared" si="144"/>
        <v>622265564.25950623</v>
      </c>
      <c r="Z151" s="455">
        <f t="shared" si="144"/>
        <v>539540260.08955526</v>
      </c>
      <c r="AA151" s="455">
        <f t="shared" si="144"/>
        <v>649834211.13871419</v>
      </c>
      <c r="AB151" s="455">
        <f t="shared" si="144"/>
        <v>1005608479.5810839</v>
      </c>
      <c r="AC151" s="455">
        <f t="shared" si="144"/>
        <v>911761257.9253211</v>
      </c>
      <c r="AD151" s="455">
        <f t="shared" si="144"/>
        <v>1362115926.5069995</v>
      </c>
      <c r="AE151" s="455">
        <f t="shared" si="144"/>
        <v>886510371.79249704</v>
      </c>
      <c r="AF151" s="422"/>
      <c r="AG151" s="458">
        <v>224403179406629</v>
      </c>
      <c r="AH151" s="458">
        <v>-139539275366622</v>
      </c>
      <c r="AI151" s="458">
        <v>-225844243603607</v>
      </c>
      <c r="AJ151" s="458">
        <v>-350598340308437</v>
      </c>
      <c r="AK151" s="458">
        <v>25453226727389</v>
      </c>
      <c r="AL151" s="317"/>
    </row>
    <row r="152" spans="2:38" ht="17" thickTop="1">
      <c r="B152" s="423" t="str">
        <f>IF(B1="EN", "Cash at the beginning of the year", "Số dư tiền đầu năm")</f>
        <v>Số dư tiền đầu năm</v>
      </c>
      <c r="C152" s="424"/>
      <c r="D152" s="424"/>
      <c r="E152" s="424"/>
      <c r="F152" s="424"/>
      <c r="G152" s="425"/>
      <c r="H152" s="425"/>
      <c r="I152" s="425"/>
      <c r="J152" s="425"/>
      <c r="K152" s="425"/>
      <c r="L152" s="425"/>
      <c r="M152" s="425"/>
      <c r="N152" s="334">
        <f>SUM(DaiLoc:DongLam!N152)</f>
        <v>18210085301</v>
      </c>
      <c r="O152" s="334">
        <f>SUM(DaiLoc:DongLam!O152)</f>
        <v>10759637583.999998</v>
      </c>
      <c r="P152" s="334">
        <f>SUM(DaiLoc:DongLam!P152)</f>
        <v>21314509542.625099</v>
      </c>
      <c r="Q152" s="336">
        <f>SUM(DaiLoc:DongLam!Q152)</f>
        <v>18795553763.86816</v>
      </c>
      <c r="R152" s="334">
        <f>SUM(DaiLoc:DongLam!R152)</f>
        <v>19665708121.625099</v>
      </c>
      <c r="S152" s="334"/>
      <c r="T152" s="334">
        <f>Q153</f>
        <v>19771812274.143101</v>
      </c>
      <c r="U152" s="334">
        <f>T153</f>
        <v>24212655850.35112</v>
      </c>
      <c r="V152" s="334">
        <f t="shared" ref="V152:AE152" si="145">U153</f>
        <v>22974197923.190708</v>
      </c>
      <c r="W152" s="334">
        <f t="shared" si="145"/>
        <v>18859185290.695126</v>
      </c>
      <c r="X152" s="334">
        <f t="shared" si="145"/>
        <v>15504659749.693489</v>
      </c>
      <c r="Y152" s="334">
        <f t="shared" si="145"/>
        <v>16154633885.061296</v>
      </c>
      <c r="Z152" s="334">
        <f t="shared" si="145"/>
        <v>16776899449.320803</v>
      </c>
      <c r="AA152" s="334">
        <f t="shared" si="145"/>
        <v>17316439709.410358</v>
      </c>
      <c r="AB152" s="334">
        <f t="shared" si="145"/>
        <v>17966273920.549072</v>
      </c>
      <c r="AC152" s="334">
        <f t="shared" si="145"/>
        <v>18971882400.130157</v>
      </c>
      <c r="AD152" s="334">
        <f t="shared" si="145"/>
        <v>19883643658.055477</v>
      </c>
      <c r="AE152" s="334">
        <f t="shared" si="145"/>
        <v>21245759584.562477</v>
      </c>
      <c r="AF152" s="419"/>
      <c r="AG152" s="419">
        <v>204168230417151</v>
      </c>
      <c r="AH152" s="419">
        <v>42857140982378</v>
      </c>
      <c r="AI152" s="419">
        <v>289032134457158</v>
      </c>
      <c r="AJ152" s="419">
        <v>266447710096797</v>
      </c>
      <c r="AK152" s="419">
        <v>231387876065954</v>
      </c>
      <c r="AL152" s="330"/>
    </row>
    <row r="153" spans="2:38">
      <c r="B153" s="459" t="str">
        <f>IF(B1="EN", "Cash at the ending of the year", "Số dư tiền cuối năm")</f>
        <v>Số dư tiền cuối năm</v>
      </c>
      <c r="C153" s="460"/>
      <c r="D153" s="460"/>
      <c r="E153" s="460"/>
      <c r="F153" s="460"/>
      <c r="G153" s="461"/>
      <c r="H153" s="461"/>
      <c r="I153" s="461"/>
      <c r="J153" s="461"/>
      <c r="K153" s="461"/>
      <c r="L153" s="461"/>
      <c r="M153" s="461"/>
      <c r="N153" s="511">
        <f>N151+N152</f>
        <v>28202935828.523071</v>
      </c>
      <c r="O153" s="511">
        <f>O151+O152</f>
        <v>19191254607.868164</v>
      </c>
      <c r="P153" s="511">
        <f>P151+P152</f>
        <v>19143774488.496956</v>
      </c>
      <c r="Q153" s="462">
        <f>Q151+Q152</f>
        <v>19771812274.143101</v>
      </c>
      <c r="R153" s="511">
        <f t="shared" ref="R153:AE153" si="146">R151+R152</f>
        <v>22026165803.836971</v>
      </c>
      <c r="S153" s="321"/>
      <c r="T153" s="464">
        <f>T151+T152</f>
        <v>24212655850.35112</v>
      </c>
      <c r="U153" s="464">
        <f t="shared" si="146"/>
        <v>22974197923.190708</v>
      </c>
      <c r="V153" s="464">
        <f t="shared" si="146"/>
        <v>18859185290.695126</v>
      </c>
      <c r="W153" s="464">
        <f t="shared" si="146"/>
        <v>15504659749.693489</v>
      </c>
      <c r="X153" s="464">
        <f t="shared" si="146"/>
        <v>16154633885.061296</v>
      </c>
      <c r="Y153" s="464">
        <f t="shared" si="146"/>
        <v>16776899449.320803</v>
      </c>
      <c r="Z153" s="464">
        <f t="shared" si="146"/>
        <v>17316439709.410358</v>
      </c>
      <c r="AA153" s="464">
        <f t="shared" si="146"/>
        <v>17966273920.549072</v>
      </c>
      <c r="AB153" s="464">
        <f t="shared" si="146"/>
        <v>18971882400.130157</v>
      </c>
      <c r="AC153" s="464">
        <f t="shared" si="146"/>
        <v>19883643658.055477</v>
      </c>
      <c r="AD153" s="464">
        <f t="shared" si="146"/>
        <v>21245759584.562477</v>
      </c>
      <c r="AE153" s="464">
        <f t="shared" si="146"/>
        <v>22132269956.354973</v>
      </c>
      <c r="AF153" s="320"/>
      <c r="AG153" s="465">
        <v>42857140982378</v>
      </c>
      <c r="AH153" s="465">
        <v>289032134457158</v>
      </c>
      <c r="AI153" s="465">
        <v>266447710096797</v>
      </c>
      <c r="AJ153" s="465">
        <v>231387876065954</v>
      </c>
      <c r="AK153" s="465">
        <v>256841102793343</v>
      </c>
      <c r="AL153" s="326"/>
    </row>
    <row r="154" spans="2:38">
      <c r="G154" s="107"/>
      <c r="H154" s="107"/>
      <c r="I154" s="107"/>
      <c r="J154" s="257"/>
      <c r="K154" s="410"/>
      <c r="L154" s="410"/>
      <c r="M154" s="410"/>
      <c r="N154" s="410">
        <f>N153-N75</f>
        <v>17443298244.523071</v>
      </c>
      <c r="O154" s="410">
        <f>O153-O75</f>
        <v>395700843.86816406</v>
      </c>
      <c r="P154" s="410">
        <f>P153-P75</f>
        <v>281164915.48206711</v>
      </c>
      <c r="Q154" s="410"/>
      <c r="R154" s="410"/>
      <c r="S154" s="410"/>
      <c r="T154" s="410"/>
      <c r="U154" s="410"/>
      <c r="V154" s="410"/>
      <c r="W154" s="410"/>
      <c r="X154" s="410"/>
      <c r="Y154" s="410"/>
      <c r="Z154" s="410"/>
      <c r="AA154" s="410"/>
      <c r="AB154" s="410"/>
      <c r="AC154" s="410"/>
      <c r="AD154" s="410"/>
      <c r="AE154" s="410"/>
      <c r="AF154" s="410"/>
      <c r="AG154" s="410">
        <f>AG153-AG75</f>
        <v>0</v>
      </c>
      <c r="AH154" s="410">
        <f t="shared" ref="AH154:AK154" si="147">AH153-AH75</f>
        <v>0</v>
      </c>
      <c r="AI154" s="410">
        <f t="shared" si="147"/>
        <v>0</v>
      </c>
      <c r="AJ154" s="410">
        <f t="shared" si="147"/>
        <v>0</v>
      </c>
      <c r="AK154" s="410">
        <f t="shared" si="147"/>
        <v>0</v>
      </c>
      <c r="AL154" s="257"/>
    </row>
    <row r="155" spans="2:38">
      <c r="G155" s="107"/>
      <c r="H155" s="107"/>
      <c r="I155" s="107"/>
      <c r="J155" s="257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  <c r="AG155" s="410"/>
      <c r="AH155" s="410"/>
      <c r="AI155" s="410"/>
      <c r="AJ155" s="410"/>
      <c r="AK155" s="410"/>
      <c r="AL155" s="257"/>
    </row>
    <row r="157" spans="2:38">
      <c r="F157" s="466"/>
    </row>
    <row r="158" spans="2:38">
      <c r="O158" s="469"/>
    </row>
    <row r="159" spans="2:38">
      <c r="O159" s="469"/>
    </row>
    <row r="160" spans="2:38">
      <c r="O160" s="469"/>
    </row>
    <row r="163" spans="6:32">
      <c r="F163" s="466"/>
      <c r="L163" s="466"/>
      <c r="R163" s="466"/>
      <c r="S163" s="466"/>
      <c r="T163" s="466"/>
      <c r="U163" s="466"/>
      <c r="V163" s="466"/>
      <c r="W163" s="466"/>
      <c r="X163" s="466"/>
      <c r="Y163" s="466"/>
      <c r="Z163" s="466"/>
      <c r="AA163" s="466"/>
      <c r="AB163" s="466"/>
      <c r="AC163" s="466"/>
      <c r="AD163" s="466"/>
      <c r="AE163" s="466"/>
      <c r="AF163" s="466"/>
    </row>
  </sheetData>
  <conditionalFormatting sqref="T153:AE153">
    <cfRule type="cellIs" dxfId="3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3C51-72F9-4DA6-B145-939853C5C0FB}">
  <dimension ref="A1:AU163"/>
  <sheetViews>
    <sheetView workbookViewId="0">
      <pane xSplit="6" ySplit="4" topLeftCell="G124" activePane="bottomRight" state="frozen"/>
      <selection pane="topRight" activeCell="G1" sqref="G1"/>
      <selection pane="bottomLeft" activeCell="A5" sqref="A5"/>
      <selection pane="bottomRight" activeCell="N142" sqref="N142"/>
    </sheetView>
  </sheetViews>
  <sheetFormatPr defaultColWidth="9.1796875" defaultRowHeight="16.5" outlineLevelRow="1" outlineLevelCol="1"/>
  <cols>
    <col min="1" max="1" width="1.1796875" style="84" customWidth="1"/>
    <col min="2" max="4" width="2.1796875" style="84" customWidth="1"/>
    <col min="5" max="5" width="10.26953125" style="84" customWidth="1"/>
    <col min="6" max="6" width="28.81640625" style="84" customWidth="1" collapsed="1"/>
    <col min="7" max="10" width="7.7265625" style="84" customWidth="1" outlineLevel="1"/>
    <col min="11" max="12" width="7.7265625" style="86" customWidth="1" outlineLevel="1"/>
    <col min="13" max="13" width="10.54296875" style="86" hidden="1" customWidth="1"/>
    <col min="14" max="14" width="13.26953125" style="86" customWidth="1" collapsed="1"/>
    <col min="15" max="15" width="12.1796875" style="86" customWidth="1" outlineLevel="1"/>
    <col min="16" max="16" width="12.453125" style="86" customWidth="1" outlineLevel="1"/>
    <col min="17" max="17" width="14.54296875" style="86" customWidth="1"/>
    <col min="18" max="18" width="14.54296875" style="86" bestFit="1" customWidth="1"/>
    <col min="19" max="19" width="17.7265625" style="86" customWidth="1"/>
    <col min="20" max="31" width="12.1796875" style="86" customWidth="1" outlineLevel="1"/>
    <col min="32" max="32" width="1" style="86" hidden="1" customWidth="1"/>
    <col min="33" max="36" width="11.453125" style="86" hidden="1" customWidth="1"/>
    <col min="37" max="37" width="12.1796875" style="86" hidden="1" customWidth="1"/>
    <col min="38" max="38" width="1.7265625" style="84" customWidth="1"/>
    <col min="39" max="40" width="10.1796875" style="84" customWidth="1"/>
    <col min="41" max="41" width="17" style="84" customWidth="1"/>
    <col min="42" max="43" width="10.1796875" style="84" customWidth="1"/>
    <col min="44" max="45" width="9.7265625" style="84" bestFit="1" customWidth="1"/>
    <col min="46" max="16384" width="9.1796875" style="84"/>
  </cols>
  <sheetData>
    <row r="1" spans="2:47" ht="20.25" customHeight="1">
      <c r="B1" s="84" t="str">
        <f>[1]Overview!C2</f>
        <v>VN</v>
      </c>
      <c r="F1" s="85"/>
      <c r="N1" s="470"/>
      <c r="O1" s="470"/>
      <c r="P1" s="470"/>
      <c r="Q1" s="470"/>
      <c r="R1" s="89"/>
      <c r="S1" s="90"/>
      <c r="T1" s="89"/>
      <c r="U1" s="89"/>
      <c r="V1" s="91"/>
      <c r="W1" s="91"/>
      <c r="X1" s="89"/>
      <c r="Y1" s="89"/>
      <c r="Z1" s="89"/>
      <c r="AA1" s="89"/>
      <c r="AB1" s="89"/>
      <c r="AC1" s="89"/>
      <c r="AD1" s="89"/>
      <c r="AE1" s="89"/>
      <c r="AF1" s="90"/>
      <c r="AG1" s="92"/>
      <c r="AH1" s="93"/>
      <c r="AI1" s="92"/>
      <c r="AJ1" s="93"/>
      <c r="AK1" s="93"/>
      <c r="AO1" s="468">
        <f>R15+R24+R44</f>
        <v>17709578979.384613</v>
      </c>
      <c r="AU1" s="468">
        <f>R15+R24+R44</f>
        <v>17709578979.384613</v>
      </c>
    </row>
    <row r="2" spans="2:47" ht="30" customHeight="1">
      <c r="B2" s="94" t="str">
        <f>IF(B1="EN", "FINANCIAL STATEMENT", "BÁO CÁO TÀI CHÍNH")</f>
        <v>BÁO CÁO TÀI CHÍNH</v>
      </c>
      <c r="C2" s="95"/>
      <c r="D2" s="95"/>
      <c r="E2" s="96"/>
      <c r="F2" s="97"/>
      <c r="G2" s="98"/>
      <c r="H2" s="98"/>
      <c r="I2" s="98"/>
      <c r="J2" s="99"/>
      <c r="K2" s="100"/>
      <c r="L2" s="100"/>
      <c r="M2" s="100"/>
      <c r="N2" s="101">
        <v>2023</v>
      </c>
      <c r="O2" s="101">
        <v>2024</v>
      </c>
      <c r="P2" s="102" t="s">
        <v>110</v>
      </c>
      <c r="Q2" s="103" t="str">
        <f>[1]Assumption!L3</f>
        <v>2025E</v>
      </c>
      <c r="R2" s="104" t="str">
        <f>[1]Assumption!M3</f>
        <v>2026P</v>
      </c>
      <c r="S2" s="417">
        <f>R14+R16+R17</f>
        <v>7740559838.0038204</v>
      </c>
      <c r="T2" s="104">
        <v>1</v>
      </c>
      <c r="U2" s="104">
        <v>2</v>
      </c>
      <c r="V2" s="104">
        <v>3</v>
      </c>
      <c r="W2" s="104">
        <v>4</v>
      </c>
      <c r="X2" s="104">
        <v>5</v>
      </c>
      <c r="Y2" s="104">
        <v>6</v>
      </c>
      <c r="Z2" s="104">
        <v>7</v>
      </c>
      <c r="AA2" s="104">
        <v>8</v>
      </c>
      <c r="AB2" s="104">
        <v>9</v>
      </c>
      <c r="AC2" s="104">
        <v>10</v>
      </c>
      <c r="AD2" s="104">
        <v>11</v>
      </c>
      <c r="AE2" s="104">
        <v>12</v>
      </c>
      <c r="AF2" s="105"/>
      <c r="AG2" s="106" t="str">
        <f>[1]Assumption!N3</f>
        <v>2025 MTP</v>
      </c>
      <c r="AH2" s="106" t="str">
        <f>[1]Assumption!O3</f>
        <v>2026 MTP</v>
      </c>
      <c r="AI2" s="106" t="str">
        <f>[1]Assumption!P3</f>
        <v>2027 MTP</v>
      </c>
      <c r="AJ2" s="106" t="str">
        <f>[1]Assumption!Q3</f>
        <v>2028 MTP</v>
      </c>
      <c r="AK2" s="106" t="str">
        <f>[1]Assumption!R3</f>
        <v>2029 MTP</v>
      </c>
      <c r="AL2" s="107"/>
    </row>
    <row r="3" spans="2:47" s="110" customFormat="1" ht="16.399999999999999" customHeight="1">
      <c r="B3" s="108"/>
      <c r="C3" s="108"/>
      <c r="D3" s="108"/>
      <c r="E3" s="108"/>
      <c r="F3" s="108"/>
      <c r="G3" s="108"/>
      <c r="H3" s="108"/>
      <c r="I3" s="108"/>
      <c r="J3" s="108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8"/>
    </row>
    <row r="4" spans="2:47">
      <c r="B4" s="111" t="str">
        <f>IF(B1="EN", "INCOME STATEMENT", "KẾT QUẢ KINH DOANH")</f>
        <v>KẾT QUẢ KINH DOANH</v>
      </c>
      <c r="C4" s="112"/>
      <c r="D4" s="112"/>
      <c r="E4" s="112"/>
      <c r="F4" s="113"/>
      <c r="G4" s="114"/>
      <c r="H4" s="114"/>
      <c r="I4" s="114"/>
      <c r="J4" s="115"/>
      <c r="K4" s="101"/>
      <c r="L4" s="101"/>
      <c r="M4" s="101"/>
      <c r="N4" s="101">
        <f t="shared" ref="N4:AK4" si="0">N2</f>
        <v>2023</v>
      </c>
      <c r="O4" s="101">
        <f t="shared" si="0"/>
        <v>2024</v>
      </c>
      <c r="P4" s="102" t="str">
        <f>P2</f>
        <v>2025P</v>
      </c>
      <c r="Q4" s="103" t="str">
        <f>Q2</f>
        <v>2025E</v>
      </c>
      <c r="R4" s="104" t="str">
        <f>R2</f>
        <v>2026P</v>
      </c>
      <c r="S4" s="105"/>
      <c r="T4" s="104">
        <f>T2</f>
        <v>1</v>
      </c>
      <c r="U4" s="104">
        <f t="shared" ref="U4:AE4" si="1">U2</f>
        <v>2</v>
      </c>
      <c r="V4" s="104">
        <f t="shared" si="1"/>
        <v>3</v>
      </c>
      <c r="W4" s="104">
        <f t="shared" si="1"/>
        <v>4</v>
      </c>
      <c r="X4" s="104">
        <f t="shared" si="1"/>
        <v>5</v>
      </c>
      <c r="Y4" s="104">
        <f t="shared" si="1"/>
        <v>6</v>
      </c>
      <c r="Z4" s="104">
        <f t="shared" si="1"/>
        <v>7</v>
      </c>
      <c r="AA4" s="104">
        <f t="shared" si="1"/>
        <v>8</v>
      </c>
      <c r="AB4" s="104">
        <f t="shared" si="1"/>
        <v>9</v>
      </c>
      <c r="AC4" s="104">
        <f t="shared" si="1"/>
        <v>10</v>
      </c>
      <c r="AD4" s="104">
        <f t="shared" si="1"/>
        <v>11</v>
      </c>
      <c r="AE4" s="104">
        <f t="shared" si="1"/>
        <v>12</v>
      </c>
      <c r="AF4" s="105"/>
      <c r="AG4" s="106" t="str">
        <f t="shared" si="0"/>
        <v>2025 MTP</v>
      </c>
      <c r="AH4" s="106" t="str">
        <f t="shared" si="0"/>
        <v>2026 MTP</v>
      </c>
      <c r="AI4" s="106" t="str">
        <f t="shared" si="0"/>
        <v>2027 MTP</v>
      </c>
      <c r="AJ4" s="106" t="str">
        <f t="shared" si="0"/>
        <v>2028 MTP</v>
      </c>
      <c r="AK4" s="106" t="str">
        <f t="shared" si="0"/>
        <v>2029 MTP</v>
      </c>
      <c r="AL4" s="116"/>
      <c r="AM4" s="196"/>
    </row>
    <row r="5" spans="2:47" s="125" customFormat="1">
      <c r="B5" s="117" t="str">
        <f>IF(B1="EN","SALES VOLUME (Ton)","SẢN LƯỢNG BÁN")</f>
        <v>SẢN LƯỢNG BÁN</v>
      </c>
      <c r="C5" s="118"/>
      <c r="D5" s="118"/>
      <c r="E5" s="118"/>
      <c r="F5" s="119"/>
      <c r="G5" s="120"/>
      <c r="H5" s="120"/>
      <c r="I5" s="120"/>
      <c r="J5" s="120"/>
      <c r="K5" s="121"/>
      <c r="L5" s="121"/>
      <c r="M5" s="121"/>
      <c r="N5" s="122">
        <f>'[1]Net Sales'!F7</f>
        <v>4773663.5</v>
      </c>
      <c r="O5" s="122">
        <f>'[1]Net Sales'!G7</f>
        <v>6939751</v>
      </c>
      <c r="P5" s="122">
        <f>'[1]Net Sales'!H7</f>
        <v>9455737.7000000011</v>
      </c>
      <c r="Q5" s="122">
        <f>'[1]Net Sales'!I7</f>
        <v>9796523</v>
      </c>
      <c r="R5" s="122">
        <f>'[1]Net Sales'!J7</f>
        <v>11700786</v>
      </c>
      <c r="S5" s="122"/>
      <c r="T5" s="122">
        <f>'[1]Net Sales'!L7</f>
        <v>760725</v>
      </c>
      <c r="U5" s="122">
        <f>'[1]Net Sales'!M7</f>
        <v>591675</v>
      </c>
      <c r="V5" s="122">
        <f>'[1]Net Sales'!N7</f>
        <v>845250</v>
      </c>
      <c r="W5" s="122">
        <f>'[1]Net Sales'!O7</f>
        <v>1055250</v>
      </c>
      <c r="X5" s="122">
        <f>'[1]Net Sales'!P7</f>
        <v>1055250</v>
      </c>
      <c r="Y5" s="122">
        <f>'[1]Net Sales'!Q7</f>
        <v>1055250</v>
      </c>
      <c r="Z5" s="122">
        <f>'[1]Net Sales'!R7</f>
        <v>1055250</v>
      </c>
      <c r="AA5" s="122">
        <f>'[1]Net Sales'!S7</f>
        <v>1055250</v>
      </c>
      <c r="AB5" s="122">
        <f>'[1]Net Sales'!T7</f>
        <v>1055250</v>
      </c>
      <c r="AC5" s="122">
        <f>'[1]Net Sales'!U7</f>
        <v>1057212</v>
      </c>
      <c r="AD5" s="122">
        <f>'[1]Net Sales'!V7</f>
        <v>1057212</v>
      </c>
      <c r="AE5" s="122">
        <f>'[1]Net Sales'!W7</f>
        <v>1057212</v>
      </c>
      <c r="AF5" s="121"/>
      <c r="AG5" s="121">
        <v>10130120727661</v>
      </c>
      <c r="AH5" s="121">
        <v>110633901989403</v>
      </c>
      <c r="AI5" s="121">
        <v>121924262276516</v>
      </c>
      <c r="AJ5" s="121">
        <v>134115064616605</v>
      </c>
      <c r="AK5" s="121">
        <v>146577496827428</v>
      </c>
      <c r="AL5" s="123"/>
      <c r="AM5" s="471"/>
      <c r="AN5" s="472"/>
      <c r="AO5" s="473"/>
    </row>
    <row r="6" spans="2:47" s="125" customFormat="1" outlineLevel="1">
      <c r="B6" s="126"/>
      <c r="C6" s="127" t="str">
        <f>IF(B1="EN", "Sales Volume Growth (%)", "Tăng giảm Sản lượng bán (%)")</f>
        <v>Tăng giảm Sản lượng bán (%)</v>
      </c>
      <c r="D6" s="128"/>
      <c r="E6" s="128"/>
      <c r="F6" s="129"/>
      <c r="G6" s="130"/>
      <c r="H6" s="130"/>
      <c r="I6" s="130"/>
      <c r="J6" s="130"/>
      <c r="K6" s="131"/>
      <c r="L6" s="131"/>
      <c r="M6" s="131"/>
      <c r="N6" s="131">
        <f>IFERROR(N5/M5-1,)</f>
        <v>0</v>
      </c>
      <c r="O6" s="131">
        <f>IFERROR(O5/N5-1,)</f>
        <v>0.45375789474896999</v>
      </c>
      <c r="P6" s="131">
        <f>IFERROR(P5/O5-1,)</f>
        <v>0.36254711444257892</v>
      </c>
      <c r="Q6" s="131">
        <f>IFERROR(Q5/O5-1,)</f>
        <v>0.41165338641112625</v>
      </c>
      <c r="R6" s="131">
        <f>IFERROR(R5/Q5-1,)</f>
        <v>0.19438151678917093</v>
      </c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>
        <v>1080898044455.17</v>
      </c>
      <c r="AH6" s="131">
        <v>9212816869308.9297</v>
      </c>
      <c r="AI6" s="131">
        <v>1020515419242.3101</v>
      </c>
      <c r="AJ6" s="131">
        <v>9998668117787.5605</v>
      </c>
      <c r="AK6" s="131">
        <v>9292343292268.4199</v>
      </c>
      <c r="AL6" s="123"/>
      <c r="AM6" s="196"/>
      <c r="AN6" s="474"/>
      <c r="AO6" s="473"/>
    </row>
    <row r="7" spans="2:47" s="141" customFormat="1" ht="17" thickBot="1">
      <c r="B7" s="132" t="str">
        <f>IF(B1="en","NET SALES","DOANH THU THUẦN")</f>
        <v>DOANH THU THUẦN</v>
      </c>
      <c r="C7" s="133"/>
      <c r="D7" s="133"/>
      <c r="E7" s="133"/>
      <c r="F7" s="134"/>
      <c r="G7" s="135"/>
      <c r="H7" s="135"/>
      <c r="I7" s="135"/>
      <c r="J7" s="135"/>
      <c r="K7" s="136"/>
      <c r="L7" s="136"/>
      <c r="M7" s="136"/>
      <c r="N7" s="137">
        <f>'[1]Net Sales'!F22</f>
        <v>68779491098</v>
      </c>
      <c r="O7" s="137">
        <f>'[1]Net Sales'!G22</f>
        <v>124696185425</v>
      </c>
      <c r="P7" s="137">
        <f>'[1]Net Sales'!H22</f>
        <v>191356244415</v>
      </c>
      <c r="Q7" s="137">
        <f>'[1]Net Sales'!I22</f>
        <v>173927684403</v>
      </c>
      <c r="R7" s="137">
        <f>'[1]Net Sales'!J22</f>
        <v>181115247500</v>
      </c>
      <c r="S7" s="138"/>
      <c r="T7" s="137">
        <f>'[1]Net Sales'!L22</f>
        <v>11515218750</v>
      </c>
      <c r="U7" s="137">
        <f>'[1]Net Sales'!M22</f>
        <v>8956281250</v>
      </c>
      <c r="V7" s="137">
        <f>'[1]Net Sales'!N22</f>
        <v>12794687500</v>
      </c>
      <c r="W7" s="137">
        <f>'[1]Net Sales'!O22</f>
        <v>15974312500</v>
      </c>
      <c r="X7" s="137">
        <f>'[1]Net Sales'!P22</f>
        <v>15974312500</v>
      </c>
      <c r="Y7" s="137">
        <f>'[1]Net Sales'!Q22</f>
        <v>15974312500</v>
      </c>
      <c r="Z7" s="137">
        <f>'[1]Net Sales'!R22</f>
        <v>15974312500</v>
      </c>
      <c r="AA7" s="137">
        <f>'[1]Net Sales'!S22</f>
        <v>15974312500</v>
      </c>
      <c r="AB7" s="137">
        <f>'[1]Net Sales'!T22</f>
        <v>15974312500</v>
      </c>
      <c r="AC7" s="137">
        <f>'[1]Net Sales'!U22</f>
        <v>17334395000</v>
      </c>
      <c r="AD7" s="137">
        <f>'[1]Net Sales'!V22</f>
        <v>17334395000</v>
      </c>
      <c r="AE7" s="137">
        <f>'[1]Net Sales'!W22</f>
        <v>17334395000</v>
      </c>
      <c r="AF7" s="121"/>
      <c r="AG7" s="136">
        <v>619122724416282</v>
      </c>
      <c r="AH7" s="136">
        <v>679579279038665</v>
      </c>
      <c r="AI7" s="136">
        <v>755559957683902</v>
      </c>
      <c r="AJ7" s="136">
        <v>838783549542362</v>
      </c>
      <c r="AK7" s="136">
        <v>925768511365268</v>
      </c>
      <c r="AL7" s="139"/>
      <c r="AM7" s="475"/>
      <c r="AN7" s="476"/>
      <c r="AO7" s="473"/>
      <c r="AP7" s="140"/>
      <c r="AQ7" s="140"/>
      <c r="AR7" s="140"/>
      <c r="AS7" s="140"/>
    </row>
    <row r="8" spans="2:47" s="125" customFormat="1" ht="17" outlineLevel="1" thickTop="1">
      <c r="B8" s="142"/>
      <c r="C8" s="125" t="str">
        <f>IF(B1="EN", "Net Sales Growth (%)", "Tăng giảm Doanh thu (%)")</f>
        <v>Tăng giảm Doanh thu (%)</v>
      </c>
      <c r="D8" s="143"/>
      <c r="E8" s="143"/>
      <c r="F8" s="129"/>
      <c r="G8" s="130"/>
      <c r="H8" s="130"/>
      <c r="I8" s="130"/>
      <c r="J8" s="130"/>
      <c r="K8" s="131"/>
      <c r="L8" s="131"/>
      <c r="M8" s="131"/>
      <c r="N8" s="131">
        <f>IFERROR(N7/M7-1,)</f>
        <v>0</v>
      </c>
      <c r="O8" s="131">
        <f>IFERROR(O7/N7-1,)</f>
        <v>0.81298499646249889</v>
      </c>
      <c r="P8" s="131">
        <f>IFERROR(P7/O7-1,)</f>
        <v>0.53457977694188163</v>
      </c>
      <c r="Q8" s="131">
        <f>IFERROR(Q7/O7-1,)</f>
        <v>0.39481158794236637</v>
      </c>
      <c r="R8" s="131">
        <f>IFERROR(R7/Q7-1,)</f>
        <v>4.1325008848769773E-2</v>
      </c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>
        <v>1063075586178.25</v>
      </c>
      <c r="AH8" s="131">
        <v>9764874109471.9102</v>
      </c>
      <c r="AI8" s="131">
        <v>1118054669835.1299</v>
      </c>
      <c r="AJ8" s="131">
        <v>1101482298156.3799</v>
      </c>
      <c r="AK8" s="131">
        <v>1037037050504.45</v>
      </c>
      <c r="AL8" s="144"/>
      <c r="AM8" s="477"/>
      <c r="AN8" s="474"/>
      <c r="AO8" s="473"/>
      <c r="AP8" s="145"/>
      <c r="AQ8" s="145"/>
      <c r="AR8" s="145"/>
      <c r="AS8" s="145"/>
    </row>
    <row r="9" spans="2:47" s="154" customFormat="1" outlineLevel="1">
      <c r="B9" s="146"/>
      <c r="C9" s="147" t="str">
        <f>IF(B1="EN", "Selling price per Ton (m VND/Ton)", "Giá bán / Tấn (Triệu đồng/Tấn)")</f>
        <v>Giá bán / Tấn (Triệu đồng/Tấn)</v>
      </c>
      <c r="D9" s="148"/>
      <c r="E9" s="148"/>
      <c r="F9" s="149"/>
      <c r="G9" s="150"/>
      <c r="H9" s="150"/>
      <c r="I9" s="150"/>
      <c r="J9" s="150"/>
      <c r="K9" s="151"/>
      <c r="L9" s="151"/>
      <c r="M9" s="151"/>
      <c r="N9" s="151">
        <f>IFERROR(N7/N5,)</f>
        <v>14408.114668744456</v>
      </c>
      <c r="O9" s="151">
        <f t="shared" ref="O9:R9" si="2">IFERROR(O7/O5,)</f>
        <v>17968.394748601211</v>
      </c>
      <c r="P9" s="151">
        <f>IFERROR(P7/P5,)</f>
        <v>20237.050824178423</v>
      </c>
      <c r="Q9" s="151">
        <f>IFERROR(Q7/Q5,)</f>
        <v>17754.02195278876</v>
      </c>
      <c r="R9" s="152">
        <f t="shared" si="2"/>
        <v>15478.895819477426</v>
      </c>
      <c r="S9" s="151"/>
      <c r="T9" s="151">
        <f>T7/T5</f>
        <v>15137.163561076604</v>
      </c>
      <c r="U9" s="151">
        <f t="shared" ref="U9:AE9" si="3">U7/U5</f>
        <v>15137.163561076604</v>
      </c>
      <c r="V9" s="151">
        <f t="shared" si="3"/>
        <v>15137.163561076604</v>
      </c>
      <c r="W9" s="151">
        <f t="shared" si="3"/>
        <v>15137.941246150202</v>
      </c>
      <c r="X9" s="151">
        <f t="shared" si="3"/>
        <v>15137.941246150202</v>
      </c>
      <c r="Y9" s="151">
        <f t="shared" si="3"/>
        <v>15137.941246150202</v>
      </c>
      <c r="Z9" s="151">
        <f t="shared" si="3"/>
        <v>15137.941246150202</v>
      </c>
      <c r="AA9" s="151">
        <f t="shared" si="3"/>
        <v>15137.941246150202</v>
      </c>
      <c r="AB9" s="151">
        <f t="shared" si="3"/>
        <v>15137.941246150202</v>
      </c>
      <c r="AC9" s="151">
        <f t="shared" si="3"/>
        <v>16396.3282671782</v>
      </c>
      <c r="AD9" s="151">
        <f t="shared" si="3"/>
        <v>16396.3282671782</v>
      </c>
      <c r="AE9" s="151">
        <f t="shared" si="3"/>
        <v>16396.3282671782</v>
      </c>
      <c r="AF9" s="151"/>
      <c r="AG9" s="151">
        <v>611170134158151</v>
      </c>
      <c r="AH9" s="151">
        <v>614259523363606</v>
      </c>
      <c r="AI9" s="151">
        <v>619696148720872</v>
      </c>
      <c r="AJ9" s="151">
        <v>62542082944984</v>
      </c>
      <c r="AK9" s="151">
        <v>631589794752203</v>
      </c>
      <c r="AL9" s="153"/>
      <c r="AM9" s="196"/>
      <c r="AN9" s="478"/>
      <c r="AO9" s="473"/>
    </row>
    <row r="10" spans="2:47">
      <c r="B10" s="155" t="str">
        <f>IF(B1="en","Direct Selling &amp; Delivery expenses","Chi phí vận chuyển")</f>
        <v>Chi phí vận chuyển</v>
      </c>
      <c r="C10" s="156"/>
      <c r="D10" s="156"/>
      <c r="E10" s="156"/>
      <c r="F10" s="157"/>
      <c r="G10" s="158"/>
      <c r="H10" s="158"/>
      <c r="I10" s="158"/>
      <c r="J10" s="158"/>
      <c r="K10" s="159"/>
      <c r="L10" s="159"/>
      <c r="M10" s="159"/>
      <c r="N10" s="160">
        <f>'[1]Direct Selling'!G14</f>
        <v>1393501600</v>
      </c>
      <c r="O10" s="160">
        <f>'[1]Direct Selling'!H14</f>
        <v>1878089700</v>
      </c>
      <c r="P10" s="160">
        <f>'[1]Direct Selling'!I14</f>
        <v>2966087138</v>
      </c>
      <c r="Q10" s="160">
        <f>'[1]Direct Selling'!J14</f>
        <v>3127900000</v>
      </c>
      <c r="R10" s="160">
        <f>'[1]Direct Selling'!K14</f>
        <v>3893696516.666667</v>
      </c>
      <c r="S10" s="160"/>
      <c r="T10" s="160">
        <f>'[1]Direct Selling'!M14</f>
        <v>259100625</v>
      </c>
      <c r="U10" s="160">
        <f>'[1]Direct Selling'!N14</f>
        <v>201522708.33333331</v>
      </c>
      <c r="V10" s="160">
        <f>'[1]Direct Selling'!O14</f>
        <v>287889583.33333331</v>
      </c>
      <c r="W10" s="160">
        <f>'[1]Direct Selling'!P14</f>
        <v>359368750</v>
      </c>
      <c r="X10" s="160">
        <f>'[1]Direct Selling'!Q14</f>
        <v>359368750</v>
      </c>
      <c r="Y10" s="160">
        <f>'[1]Direct Selling'!R14</f>
        <v>359368750</v>
      </c>
      <c r="Z10" s="160">
        <f>'[1]Direct Selling'!S14</f>
        <v>359368750</v>
      </c>
      <c r="AA10" s="160">
        <f>'[1]Direct Selling'!T14</f>
        <v>359368750</v>
      </c>
      <c r="AB10" s="160">
        <f>'[1]Direct Selling'!U14</f>
        <v>359368750</v>
      </c>
      <c r="AC10" s="160">
        <f>'[1]Direct Selling'!V14</f>
        <v>329657033.33333337</v>
      </c>
      <c r="AD10" s="160">
        <f>'[1]Direct Selling'!W14</f>
        <v>329657033.33333337</v>
      </c>
      <c r="AE10" s="160">
        <f>'[1]Direct Selling'!X14</f>
        <v>329657033.33333337</v>
      </c>
      <c r="AF10" s="159"/>
      <c r="AG10" s="161">
        <v>23786211649968</v>
      </c>
      <c r="AH10" s="161">
        <v>265853338544703</v>
      </c>
      <c r="AI10" s="161">
        <v>303991986747201</v>
      </c>
      <c r="AJ10" s="161">
        <v>346060429852807</v>
      </c>
      <c r="AK10" s="161">
        <v>391825860160892</v>
      </c>
      <c r="AL10" s="162"/>
      <c r="AM10" s="196"/>
      <c r="AN10" s="479"/>
      <c r="AO10" s="473"/>
    </row>
    <row r="11" spans="2:47" s="170" customFormat="1" outlineLevel="1">
      <c r="B11" s="163"/>
      <c r="C11" s="164" t="str">
        <f>IF(B1="EN", "Direct Selling on Net Sales (%)", "Chi phí vận chuyển / Doanh thu (%)")</f>
        <v>Chi phí vận chuyển / Doanh thu (%)</v>
      </c>
      <c r="D11" s="165"/>
      <c r="E11" s="165"/>
      <c r="F11" s="166"/>
      <c r="G11" s="167"/>
      <c r="H11" s="167"/>
      <c r="I11" s="167"/>
      <c r="J11" s="167"/>
      <c r="K11" s="168"/>
      <c r="L11" s="168"/>
      <c r="M11" s="168"/>
      <c r="N11" s="168">
        <f t="shared" ref="N11:O11" si="4">IFERROR(N10/N7,)</f>
        <v>2.0260423241784075E-2</v>
      </c>
      <c r="O11" s="168">
        <f t="shared" si="4"/>
        <v>1.5061324398969681E-2</v>
      </c>
      <c r="P11" s="168">
        <f>IFERROR(P10/P7,)</f>
        <v>1.5500341507368624E-2</v>
      </c>
      <c r="Q11" s="168">
        <f>IFERROR(Q10/Q7,)</f>
        <v>1.798391101874549E-2</v>
      </c>
      <c r="R11" s="168">
        <f>IFERROR(R10/R7,)</f>
        <v>2.1498446819982215E-2</v>
      </c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>
        <v>3841921918209.9902</v>
      </c>
      <c r="AH11" s="168">
        <v>3912028320239.2598</v>
      </c>
      <c r="AI11" s="168">
        <v>4023399912285.71</v>
      </c>
      <c r="AJ11" s="168">
        <v>4125741736847.5698</v>
      </c>
      <c r="AK11" s="168">
        <v>4232438837037.6802</v>
      </c>
      <c r="AL11" s="169"/>
      <c r="AM11" s="196"/>
      <c r="AN11" s="310"/>
      <c r="AO11" s="473"/>
    </row>
    <row r="12" spans="2:47" s="125" customFormat="1">
      <c r="B12" s="171" t="str">
        <f>IF(B1="EN","Variable Cost of Goods Sold","Biến phí hàng bán")</f>
        <v>Biến phí hàng bán</v>
      </c>
      <c r="C12" s="172"/>
      <c r="D12" s="173"/>
      <c r="E12" s="173"/>
      <c r="F12" s="174"/>
      <c r="G12" s="175"/>
      <c r="H12" s="175"/>
      <c r="I12" s="175"/>
      <c r="J12" s="175"/>
      <c r="K12" s="175"/>
      <c r="L12" s="175"/>
      <c r="M12" s="175"/>
      <c r="N12" s="176">
        <f>SUM(N13:N18)</f>
        <v>69905016264</v>
      </c>
      <c r="O12" s="176">
        <f t="shared" ref="O12" si="5">SUM(O13:O18)</f>
        <v>111707312340.13184</v>
      </c>
      <c r="P12" s="176">
        <f>SUM(P13:P18)</f>
        <v>168783219927.75</v>
      </c>
      <c r="Q12" s="176">
        <f>SUM(Q13:Q18)</f>
        <v>154096423513.24307</v>
      </c>
      <c r="R12" s="176">
        <f>SUM(R13:R18)</f>
        <v>157137970945.38843</v>
      </c>
      <c r="S12" s="177"/>
      <c r="T12" s="176">
        <f>SUM(T13:T18)</f>
        <v>10123301450.906801</v>
      </c>
      <c r="U12" s="176">
        <f t="shared" ref="U12:AE12" si="6">SUM(U13:U18)</f>
        <v>7855839255.6069984</v>
      </c>
      <c r="V12" s="176">
        <f t="shared" si="6"/>
        <v>11256891377.152855</v>
      </c>
      <c r="W12" s="176">
        <f t="shared" si="6"/>
        <v>13866114406.52232</v>
      </c>
      <c r="X12" s="176">
        <f t="shared" si="6"/>
        <v>13877063559.714628</v>
      </c>
      <c r="Y12" s="176">
        <f t="shared" si="6"/>
        <v>13882162739.52232</v>
      </c>
      <c r="Z12" s="176">
        <f t="shared" si="6"/>
        <v>13907072918.560781</v>
      </c>
      <c r="AA12" s="176">
        <f t="shared" si="6"/>
        <v>13907187918.560781</v>
      </c>
      <c r="AB12" s="176">
        <f t="shared" si="6"/>
        <v>13842250816.599243</v>
      </c>
      <c r="AC12" s="176">
        <f t="shared" si="6"/>
        <v>14877517346.119032</v>
      </c>
      <c r="AD12" s="176">
        <f t="shared" si="6"/>
        <v>14876150322.042109</v>
      </c>
      <c r="AE12" s="176">
        <f t="shared" si="6"/>
        <v>14866418834.08057</v>
      </c>
      <c r="AF12" s="178"/>
      <c r="AG12" s="175">
        <v>339227810146679</v>
      </c>
      <c r="AH12" s="175">
        <v>37061411990251</v>
      </c>
      <c r="AI12" s="175">
        <v>409113322448425</v>
      </c>
      <c r="AJ12" s="175">
        <v>450948163056241</v>
      </c>
      <c r="AK12" s="175">
        <v>493829450753841</v>
      </c>
      <c r="AL12" s="144"/>
      <c r="AM12" s="471"/>
      <c r="AN12" s="480"/>
      <c r="AO12" s="473"/>
    </row>
    <row r="13" spans="2:47" s="125" customFormat="1" outlineLevel="1">
      <c r="B13" s="179"/>
      <c r="C13" s="180" t="str">
        <f>IF(B1="EN", "Resin cost", "Chi phí nguyên vật liệu chính")</f>
        <v>Chi phí nguyên vật liệu chính</v>
      </c>
      <c r="D13" s="181"/>
      <c r="E13" s="181"/>
      <c r="F13" s="180"/>
      <c r="G13" s="182"/>
      <c r="H13" s="183"/>
      <c r="I13" s="183"/>
      <c r="J13" s="183"/>
      <c r="K13" s="184"/>
      <c r="L13" s="184"/>
      <c r="M13" s="184"/>
      <c r="N13" s="185">
        <v>61397416940</v>
      </c>
      <c r="O13" s="185">
        <f>103487206845+1111644049</f>
        <v>104598850894</v>
      </c>
      <c r="P13" s="185">
        <v>156874560000</v>
      </c>
      <c r="Q13" s="185">
        <v>144569179803.24307</v>
      </c>
      <c r="R13" s="185">
        <f>SUM(T13:AE13)</f>
        <v>140000000000</v>
      </c>
      <c r="S13" s="185"/>
      <c r="T13" s="185">
        <f>[1]VCOGs!D$3+[1]VCOGs!D$4</f>
        <v>9000000000</v>
      </c>
      <c r="U13" s="185">
        <f>[1]VCOGs!E$3+[1]VCOGs!E$4</f>
        <v>7000000000</v>
      </c>
      <c r="V13" s="185">
        <f>[1]VCOGs!F$3+[1]VCOGs!F$4</f>
        <v>10000000000</v>
      </c>
      <c r="W13" s="185">
        <f>[1]VCOGs!G$3+[1]VCOGs!G$4</f>
        <v>12500000000</v>
      </c>
      <c r="X13" s="185">
        <f>[1]VCOGs!H$3+[1]VCOGs!H$4</f>
        <v>12500000000</v>
      </c>
      <c r="Y13" s="185">
        <f>[1]VCOGs!I$3+[1]VCOGs!I$4</f>
        <v>12500000000</v>
      </c>
      <c r="Z13" s="185">
        <f>[1]VCOGs!J$3+[1]VCOGs!J$4</f>
        <v>12500000000</v>
      </c>
      <c r="AA13" s="185">
        <f>[1]VCOGs!K$3+[1]VCOGs!K$4</f>
        <v>12500000000</v>
      </c>
      <c r="AB13" s="185">
        <f>[1]VCOGs!L$3+[1]VCOGs!L$4</f>
        <v>12500000000</v>
      </c>
      <c r="AC13" s="185">
        <f>[1]VCOGs!M$3+[1]VCOGs!M$4</f>
        <v>13000000000</v>
      </c>
      <c r="AD13" s="185">
        <f>[1]VCOGs!N$3+[1]VCOGs!N$4</f>
        <v>13000000000</v>
      </c>
      <c r="AE13" s="185">
        <f>[1]VCOGs!O$3+[1]VCOGs!O$4</f>
        <v>13000000000</v>
      </c>
      <c r="AF13" s="184"/>
      <c r="AG13" s="184">
        <v>266353933093539</v>
      </c>
      <c r="AH13" s="184">
        <v>290247645419028</v>
      </c>
      <c r="AI13" s="184">
        <v>319661230473187</v>
      </c>
      <c r="AJ13" s="184">
        <v>351550385941357</v>
      </c>
      <c r="AK13" s="184">
        <v>384067702886992</v>
      </c>
      <c r="AL13" s="186"/>
      <c r="AM13" s="471"/>
      <c r="AN13" s="481"/>
      <c r="AO13" s="473"/>
    </row>
    <row r="14" spans="2:47" s="125" customFormat="1" outlineLevel="1">
      <c r="B14" s="179"/>
      <c r="C14" s="180" t="str">
        <f>IF(B1="EN", "Sub-material cost", "Chi phí vật liệu phục vụ sản xuất")</f>
        <v>Chi phí vật liệu phục vụ sản xuất</v>
      </c>
      <c r="D14" s="181"/>
      <c r="E14" s="181"/>
      <c r="F14" s="180"/>
      <c r="G14" s="182"/>
      <c r="H14" s="182"/>
      <c r="I14" s="182"/>
      <c r="J14" s="182"/>
      <c r="K14" s="184"/>
      <c r="L14" s="184"/>
      <c r="M14" s="184"/>
      <c r="N14" s="185"/>
      <c r="O14" s="185">
        <f>165373771+85000000+146664754</f>
        <v>397038525</v>
      </c>
      <c r="P14" s="185">
        <v>1064057277.5</v>
      </c>
      <c r="Q14" s="185">
        <v>1653967539</v>
      </c>
      <c r="R14" s="185">
        <f>SUM(T14:AE14)</f>
        <v>4772021109.7440796</v>
      </c>
      <c r="S14" s="185"/>
      <c r="T14" s="185">
        <f>[1]VCOGs!D$6</f>
        <v>264703058.41379312</v>
      </c>
      <c r="U14" s="185">
        <f>[1]VCOGs!E$6</f>
        <v>205880156.54406133</v>
      </c>
      <c r="V14" s="185">
        <f>[1]VCOGs!F$6</f>
        <v>294114509.34865898</v>
      </c>
      <c r="W14" s="185">
        <f>[1]VCOGs!G$6</f>
        <v>367664190.30103999</v>
      </c>
      <c r="X14" s="185">
        <f>[1]VCOGs!H$6</f>
        <v>367664190.30103999</v>
      </c>
      <c r="Y14" s="185">
        <f>[1]VCOGs!I$6</f>
        <v>367664190.30103999</v>
      </c>
      <c r="Z14" s="185">
        <f>[1]VCOGs!J$6</f>
        <v>367664190.30103999</v>
      </c>
      <c r="AA14" s="185">
        <f>[1]VCOGs!K$6</f>
        <v>367664190.30103999</v>
      </c>
      <c r="AB14" s="185">
        <f>[1]VCOGs!L$6</f>
        <v>367664190.30103999</v>
      </c>
      <c r="AC14" s="185">
        <f>[1]VCOGs!M$6</f>
        <v>600446081.21044207</v>
      </c>
      <c r="AD14" s="185">
        <f>[1]VCOGs!N$6</f>
        <v>600446081.21044207</v>
      </c>
      <c r="AE14" s="185">
        <f>[1]VCOGs!O$6</f>
        <v>600446081.21044207</v>
      </c>
      <c r="AF14" s="184"/>
      <c r="AG14" s="184">
        <v>396087720451544</v>
      </c>
      <c r="AH14" s="184">
        <v>432578556778565</v>
      </c>
      <c r="AI14" s="184">
        <v>476723865501176</v>
      </c>
      <c r="AJ14" s="184">
        <v>524389902650926</v>
      </c>
      <c r="AK14" s="184">
        <v>573118012595242</v>
      </c>
      <c r="AL14" s="186"/>
      <c r="AM14" s="471"/>
      <c r="AN14" s="481"/>
      <c r="AO14" s="473"/>
    </row>
    <row r="15" spans="2:47" s="125" customFormat="1" outlineLevel="1">
      <c r="B15" s="179"/>
      <c r="C15" s="180" t="str">
        <f>IF(B1="EN", "Salary and Wages - Direct", "Chi phí lương nhân công trực tiếp")</f>
        <v>Chi phí lương nhân công trực tiếp</v>
      </c>
      <c r="D15" s="181"/>
      <c r="E15" s="181"/>
      <c r="F15" s="180"/>
      <c r="G15" s="182"/>
      <c r="H15" s="182"/>
      <c r="I15" s="182"/>
      <c r="J15" s="182"/>
      <c r="K15" s="184"/>
      <c r="L15" s="184"/>
      <c r="M15" s="184"/>
      <c r="N15" s="185">
        <v>7382446484</v>
      </c>
      <c r="O15" s="185">
        <v>4522557535.1318388</v>
      </c>
      <c r="P15" s="185">
        <v>7394791429</v>
      </c>
      <c r="Q15" s="185">
        <v>6160821039</v>
      </c>
      <c r="R15" s="185">
        <f>SUM(T15:AE15)</f>
        <v>9397411107.3846149</v>
      </c>
      <c r="S15" s="185"/>
      <c r="T15" s="185">
        <f>[1]VCOGs!D$5</f>
        <v>699596097.03846157</v>
      </c>
      <c r="U15" s="185">
        <f>[1]VCOGs!E$5</f>
        <v>526971758.15384614</v>
      </c>
      <c r="V15" s="185">
        <f>[1]VCOGs!F$5</f>
        <v>790245595.07692313</v>
      </c>
      <c r="W15" s="185">
        <f>[1]VCOGs!G$5</f>
        <v>782977725.96153843</v>
      </c>
      <c r="X15" s="185">
        <f>[1]VCOGs!H$5</f>
        <v>795226879.15384614</v>
      </c>
      <c r="Y15" s="185">
        <f>[1]VCOGs!I$5</f>
        <v>800667725.96153843</v>
      </c>
      <c r="Z15" s="185">
        <f>[1]VCOGs!J$5</f>
        <v>826201238</v>
      </c>
      <c r="AA15" s="185">
        <f>[1]VCOGs!K$5</f>
        <v>826201238</v>
      </c>
      <c r="AB15" s="185">
        <f>[1]VCOGs!L$5</f>
        <v>761529136.03846157</v>
      </c>
      <c r="AC15" s="185">
        <f>[1]VCOGs!M$5</f>
        <v>865764750.03846157</v>
      </c>
      <c r="AD15" s="185">
        <f>[1]VCOGs!N$5</f>
        <v>865937725.96153843</v>
      </c>
      <c r="AE15" s="185">
        <f>[1]VCOGs!O$5</f>
        <v>856091237.99999988</v>
      </c>
      <c r="AF15" s="184"/>
      <c r="AG15" s="184">
        <v>237719532132491</v>
      </c>
      <c r="AH15" s="184">
        <v>267408803209148</v>
      </c>
      <c r="AI15" s="184">
        <v>303539232417778</v>
      </c>
      <c r="AJ15" s="184">
        <v>343905786260747</v>
      </c>
      <c r="AK15" s="184">
        <v>387138573297732</v>
      </c>
      <c r="AL15" s="186"/>
      <c r="AM15" s="471"/>
      <c r="AN15" s="481"/>
      <c r="AO15" s="473"/>
    </row>
    <row r="16" spans="2:47" s="125" customFormat="1" outlineLevel="1">
      <c r="B16" s="179"/>
      <c r="C16" s="180" t="str">
        <f>IF(B1="EN", "Electricity cost", "Chi phí điện")</f>
        <v>Chi phí điện</v>
      </c>
      <c r="D16" s="180"/>
      <c r="E16" s="181"/>
      <c r="F16" s="180"/>
      <c r="G16" s="182"/>
      <c r="H16" s="182"/>
      <c r="I16" s="182"/>
      <c r="J16" s="182"/>
      <c r="K16" s="184"/>
      <c r="L16" s="184"/>
      <c r="M16" s="184"/>
      <c r="N16" s="185">
        <v>1125152840</v>
      </c>
      <c r="O16" s="185">
        <v>1986676827</v>
      </c>
      <c r="P16" s="303">
        <v>2961969221.25</v>
      </c>
      <c r="Q16" s="303">
        <v>1409501660</v>
      </c>
      <c r="R16" s="185">
        <f t="shared" ref="R16" si="7">SUM(T16:AE16)</f>
        <v>2318747785.7142859</v>
      </c>
      <c r="S16" s="185"/>
      <c r="T16" s="185">
        <f>[1]VCOGs!D$7</f>
        <v>115678431.81818181</v>
      </c>
      <c r="U16" s="185">
        <f>[1]VCOGs!E$7</f>
        <v>89972113.63636364</v>
      </c>
      <c r="V16" s="185">
        <f>[1]VCOGs!F$7</f>
        <v>128531590.90909091</v>
      </c>
      <c r="W16" s="185">
        <f>[1]VCOGs!G$7</f>
        <v>160712922.07792208</v>
      </c>
      <c r="X16" s="185">
        <f>[1]VCOGs!H$7</f>
        <v>160712922.07792208</v>
      </c>
      <c r="Y16" s="185">
        <f>[1]VCOGs!I$7</f>
        <v>160712922.07792208</v>
      </c>
      <c r="Z16" s="185">
        <f>[1]VCOGs!J$7</f>
        <v>160712922.07792208</v>
      </c>
      <c r="AA16" s="185">
        <f>[1]VCOGs!K$7</f>
        <v>160712922.07792208</v>
      </c>
      <c r="AB16" s="185">
        <f>[1]VCOGs!L$7</f>
        <v>160712922.07792208</v>
      </c>
      <c r="AC16" s="185">
        <f>[1]VCOGs!M$7</f>
        <v>340096038.96103901</v>
      </c>
      <c r="AD16" s="185">
        <f>[1]VCOGs!N$7</f>
        <v>340096038.96103895</v>
      </c>
      <c r="AE16" s="185">
        <f>[1]VCOGs!O$7</f>
        <v>340096038.96103895</v>
      </c>
      <c r="AF16" s="184"/>
      <c r="AG16" s="184">
        <v>949315179473609</v>
      </c>
      <c r="AH16" s="184">
        <v>103677384847106</v>
      </c>
      <c r="AI16" s="184">
        <v>114257821833425</v>
      </c>
      <c r="AJ16" s="184">
        <v>125682082237163</v>
      </c>
      <c r="AK16" s="184">
        <v>137360892775511</v>
      </c>
      <c r="AL16" s="186"/>
      <c r="AM16" s="471"/>
      <c r="AN16" s="481"/>
      <c r="AO16" s="473"/>
    </row>
    <row r="17" spans="2:41" s="125" customFormat="1" outlineLevel="1">
      <c r="B17" s="179"/>
      <c r="C17" s="181" t="str">
        <f>IF(B1="EN", "Other", "Khác")</f>
        <v>Khác</v>
      </c>
      <c r="D17" s="181"/>
      <c r="E17" s="181"/>
      <c r="F17" s="180"/>
      <c r="G17" s="182"/>
      <c r="H17" s="182"/>
      <c r="I17" s="182"/>
      <c r="J17" s="182"/>
      <c r="K17" s="184"/>
      <c r="L17" s="184"/>
      <c r="M17" s="184"/>
      <c r="N17" s="185"/>
      <c r="O17" s="185">
        <v>202188559</v>
      </c>
      <c r="P17" s="303">
        <v>487842000</v>
      </c>
      <c r="Q17" s="303">
        <v>302953472</v>
      </c>
      <c r="R17" s="185">
        <f>SUM(T17:AE17)</f>
        <v>649790942.5454545</v>
      </c>
      <c r="S17" s="185"/>
      <c r="T17" s="185">
        <f>[1]VCOGs!D$8+[1]VCOGs!D$9</f>
        <v>43323863.63636364</v>
      </c>
      <c r="U17" s="185">
        <f>[1]VCOGs!E$8+[1]VCOGs!E$9</f>
        <v>33015227.272727273</v>
      </c>
      <c r="V17" s="185">
        <f>[1]VCOGs!F$8+[1]VCOGs!F$9</f>
        <v>43999681.81818182</v>
      </c>
      <c r="W17" s="185">
        <f>[1]VCOGs!G$8+[1]VCOGs!G$9</f>
        <v>54759568.181818187</v>
      </c>
      <c r="X17" s="185">
        <f>[1]VCOGs!H$8+[1]VCOGs!H$9</f>
        <v>53459568.181818187</v>
      </c>
      <c r="Y17" s="185">
        <f>[1]VCOGs!I$8+[1]VCOGs!I$9</f>
        <v>53117901.181818187</v>
      </c>
      <c r="Z17" s="185">
        <f>[1]VCOGs!J$8+[1]VCOGs!J$9</f>
        <v>52494568.181818187</v>
      </c>
      <c r="AA17" s="185">
        <f>[1]VCOGs!K$8+[1]VCOGs!K$9</f>
        <v>52609568.181818187</v>
      </c>
      <c r="AB17" s="185">
        <f>[1]VCOGs!L$8+[1]VCOGs!L$9</f>
        <v>52344568.181818187</v>
      </c>
      <c r="AC17" s="185">
        <f>[1]VCOGs!M$8+[1]VCOGs!M$9</f>
        <v>71210475.909090906</v>
      </c>
      <c r="AD17" s="185">
        <f>[1]VCOGs!N$8+[1]VCOGs!N$9</f>
        <v>69670475.909090906</v>
      </c>
      <c r="AE17" s="185">
        <f>[1]VCOGs!O$8+[1]VCOGs!O$9</f>
        <v>69785475.909090906</v>
      </c>
      <c r="AF17" s="184"/>
      <c r="AG17" s="184"/>
      <c r="AH17" s="184"/>
      <c r="AI17" s="184"/>
      <c r="AJ17" s="184"/>
      <c r="AK17" s="184"/>
      <c r="AL17" s="186"/>
      <c r="AM17" s="471"/>
      <c r="AN17" s="481"/>
      <c r="AO17" s="473"/>
    </row>
    <row r="18" spans="2:41" s="192" customFormat="1" outlineLevel="1">
      <c r="B18" s="187"/>
      <c r="C18" s="143" t="str">
        <f>IF(B1="EN", "Adjusting VCOGs by FOH for consolidating", "Điều chỉnh lãi chưa thực hiện HTK khi Hợp nhất")</f>
        <v>Điều chỉnh lãi chưa thực hiện HTK khi Hợp nhất</v>
      </c>
      <c r="D18" s="143"/>
      <c r="E18" s="143"/>
      <c r="F18" s="188"/>
      <c r="G18" s="189"/>
      <c r="H18" s="189"/>
      <c r="I18" s="189"/>
      <c r="J18" s="189"/>
      <c r="K18" s="190"/>
      <c r="L18" s="190"/>
      <c r="M18" s="190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0"/>
      <c r="AG18" s="190"/>
      <c r="AH18" s="190"/>
      <c r="AI18" s="190"/>
      <c r="AJ18" s="190"/>
      <c r="AK18" s="190"/>
      <c r="AL18" s="144"/>
      <c r="AM18" s="471"/>
      <c r="AN18" s="482"/>
      <c r="AO18" s="473"/>
    </row>
    <row r="19" spans="2:41" s="170" customFormat="1" outlineLevel="1">
      <c r="B19" s="163"/>
      <c r="C19" s="164" t="str">
        <f>IF(B1="EN", "Variable COGs on Net Sales (%)", "Biến phí hàng bán / Doanh thu (%)")</f>
        <v>Biến phí hàng bán / Doanh thu (%)</v>
      </c>
      <c r="E19" s="165"/>
      <c r="F19" s="166"/>
      <c r="G19" s="167"/>
      <c r="H19" s="167"/>
      <c r="I19" s="167"/>
      <c r="J19" s="167"/>
      <c r="K19" s="168"/>
      <c r="L19" s="168"/>
      <c r="M19" s="168"/>
      <c r="N19" s="168">
        <f t="shared" ref="N19:O19" si="8">IFERROR(N12/N7,)</f>
        <v>1.0163642555074492</v>
      </c>
      <c r="O19" s="168">
        <f t="shared" si="8"/>
        <v>0.89583584260738691</v>
      </c>
      <c r="P19" s="168">
        <f>IFERROR(P12/P7,)</f>
        <v>0.88203664554423833</v>
      </c>
      <c r="Q19" s="168">
        <f>IFERROR(Q12/Q7,)</f>
        <v>0.88597984870650726</v>
      </c>
      <c r="R19" s="168">
        <f>IFERROR(R12/R7,)</f>
        <v>0.86761315303057751</v>
      </c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>
        <v>5479169101190.8398</v>
      </c>
      <c r="AH19" s="168">
        <v>5453581816484.7803</v>
      </c>
      <c r="AI19" s="168">
        <v>5414703602114.1699</v>
      </c>
      <c r="AJ19" s="168">
        <v>5376216108461.79</v>
      </c>
      <c r="AK19" s="168">
        <v>5334264934390.25</v>
      </c>
      <c r="AL19" s="169"/>
      <c r="AM19" s="196"/>
      <c r="AN19" s="310"/>
      <c r="AO19" s="473"/>
    </row>
    <row r="20" spans="2:41" s="170" customFormat="1" ht="17" thickBot="1">
      <c r="B20" s="132" t="str">
        <f>IF(B1="EN","NET CONTRIBUTION","LÃI BIẾN PHÍ")</f>
        <v>LÃI BIẾN PHÍ</v>
      </c>
      <c r="C20" s="133"/>
      <c r="D20" s="133"/>
      <c r="E20" s="133"/>
      <c r="F20" s="134"/>
      <c r="G20" s="135"/>
      <c r="H20" s="135"/>
      <c r="I20" s="135"/>
      <c r="J20" s="135"/>
      <c r="K20" s="136"/>
      <c r="L20" s="136"/>
      <c r="M20" s="136"/>
      <c r="N20" s="137">
        <f>N7-N10-N12</f>
        <v>-2519026766</v>
      </c>
      <c r="O20" s="137">
        <f>O7-O10-O12</f>
        <v>11110783384.868164</v>
      </c>
      <c r="P20" s="137">
        <f>P7-P10-P12</f>
        <v>19606937349.25</v>
      </c>
      <c r="Q20" s="137">
        <f>Q7-Q10-Q12</f>
        <v>16703360889.756927</v>
      </c>
      <c r="R20" s="137">
        <f>R7-R10-R12</f>
        <v>20083580037.944916</v>
      </c>
      <c r="S20" s="138"/>
      <c r="T20" s="137">
        <f t="shared" ref="T20:AE20" si="9">T7-T10-T12</f>
        <v>1132816674.0931988</v>
      </c>
      <c r="U20" s="137">
        <f t="shared" si="9"/>
        <v>898919286.05966759</v>
      </c>
      <c r="V20" s="137">
        <f t="shared" si="9"/>
        <v>1249906539.5138111</v>
      </c>
      <c r="W20" s="137">
        <f t="shared" si="9"/>
        <v>1748829343.4776802</v>
      </c>
      <c r="X20" s="137">
        <f t="shared" si="9"/>
        <v>1737880190.2853718</v>
      </c>
      <c r="Y20" s="137">
        <f t="shared" si="9"/>
        <v>1732781010.4776802</v>
      </c>
      <c r="Z20" s="137">
        <f t="shared" si="9"/>
        <v>1707870831.4392185</v>
      </c>
      <c r="AA20" s="137">
        <f t="shared" si="9"/>
        <v>1707755831.4392185</v>
      </c>
      <c r="AB20" s="137">
        <f t="shared" si="9"/>
        <v>1772692933.4007568</v>
      </c>
      <c r="AC20" s="137">
        <f t="shared" si="9"/>
        <v>2127220620.5476341</v>
      </c>
      <c r="AD20" s="137">
        <f t="shared" si="9"/>
        <v>2128587644.6245575</v>
      </c>
      <c r="AE20" s="137">
        <f t="shared" si="9"/>
        <v>2138319132.5860958</v>
      </c>
      <c r="AF20" s="121"/>
      <c r="AG20" s="136">
        <f t="shared" ref="AG20:AK20" si="10">AG7-AG10-AG12</f>
        <v>256108702619635</v>
      </c>
      <c r="AH20" s="136">
        <f t="shared" si="10"/>
        <v>376664528503711</v>
      </c>
      <c r="AI20" s="136">
        <f t="shared" si="10"/>
        <v>42454648488276</v>
      </c>
      <c r="AJ20" s="136">
        <f t="shared" si="10"/>
        <v>41774956633314</v>
      </c>
      <c r="AK20" s="136">
        <f t="shared" si="10"/>
        <v>40113200450535</v>
      </c>
      <c r="AL20" s="193"/>
      <c r="AM20" s="483"/>
      <c r="AN20" s="476"/>
      <c r="AO20" s="473"/>
    </row>
    <row r="21" spans="2:41" s="170" customFormat="1" ht="17" collapsed="1" thickTop="1">
      <c r="B21" s="163"/>
      <c r="C21" s="164" t="str">
        <f>IF(B1="EN", "NET CONTRIBUTION Margin (%)", "Tỷ lệ Lãi biến phí (%)")</f>
        <v>Tỷ lệ Lãi biến phí (%)</v>
      </c>
      <c r="E21" s="165"/>
      <c r="F21" s="166"/>
      <c r="G21" s="167"/>
      <c r="H21" s="167"/>
      <c r="I21" s="167"/>
      <c r="J21" s="167"/>
      <c r="K21" s="168"/>
      <c r="L21" s="168"/>
      <c r="M21" s="168"/>
      <c r="N21" s="168">
        <f t="shared" ref="N21:O21" si="11">IFERROR(N20/N7,)</f>
        <v>-3.662467874923328E-2</v>
      </c>
      <c r="O21" s="168">
        <f t="shared" si="11"/>
        <v>8.9102832993643397E-2</v>
      </c>
      <c r="P21" s="168">
        <f>IFERROR(P20/P7,)</f>
        <v>0.102463012948393</v>
      </c>
      <c r="Q21" s="168">
        <f>IFERROR(Q20/Q7,)</f>
        <v>9.6036240274747303E-2</v>
      </c>
      <c r="R21" s="168">
        <f>IFERROR(R20/R7,)</f>
        <v>0.11088840014944029</v>
      </c>
      <c r="S21" s="168"/>
      <c r="T21" s="168">
        <f t="shared" ref="T21:AE21" si="12">IFERROR(T20/T7,)</f>
        <v>9.8375610458394352E-2</v>
      </c>
      <c r="U21" s="168">
        <f t="shared" si="12"/>
        <v>0.10036746959678913</v>
      </c>
      <c r="V21" s="168">
        <f t="shared" si="12"/>
        <v>9.7689493355254758E-2</v>
      </c>
      <c r="W21" s="168">
        <f t="shared" si="12"/>
        <v>0.10947759682788728</v>
      </c>
      <c r="X21" s="168">
        <f t="shared" si="12"/>
        <v>0.10879217432896544</v>
      </c>
      <c r="Y21" s="168">
        <f t="shared" si="12"/>
        <v>0.10847296310734375</v>
      </c>
      <c r="Z21" s="168">
        <f t="shared" si="12"/>
        <v>0.10691357336594101</v>
      </c>
      <c r="AA21" s="168">
        <f t="shared" si="12"/>
        <v>0.10690637430807857</v>
      </c>
      <c r="AB21" s="168">
        <f t="shared" si="12"/>
        <v>0.110971469564074</v>
      </c>
      <c r="AC21" s="168">
        <f t="shared" si="12"/>
        <v>0.12271675016910796</v>
      </c>
      <c r="AD21" s="168">
        <f t="shared" si="12"/>
        <v>0.12279561211248258</v>
      </c>
      <c r="AE21" s="168">
        <f t="shared" si="12"/>
        <v>0.12335700972465989</v>
      </c>
      <c r="AF21" s="168"/>
      <c r="AG21" s="168">
        <v>4136638706988.1602</v>
      </c>
      <c r="AH21" s="168">
        <v>4155215351491.29</v>
      </c>
      <c r="AI21" s="168">
        <v>4182956406657.2598</v>
      </c>
      <c r="AJ21" s="168">
        <v>4211209717853.4502</v>
      </c>
      <c r="AK21" s="168">
        <v>4242491181905.98</v>
      </c>
      <c r="AL21" s="169"/>
      <c r="AM21" s="483"/>
      <c r="AN21" s="310"/>
      <c r="AO21" s="473"/>
    </row>
    <row r="22" spans="2:41" s="196" customFormat="1" outlineLevel="1">
      <c r="B22" s="195"/>
      <c r="C22" s="147" t="str">
        <f>IF(B1="EN", "Net Contribution per Ton (m VND/Ton)", "Lãi biến phí / Tấn (Triệu đồng/Tấn)")</f>
        <v>Lãi biến phí / Tấn (Triệu đồng/Tấn)</v>
      </c>
      <c r="E22" s="197"/>
      <c r="F22" s="149"/>
      <c r="G22" s="198"/>
      <c r="H22" s="198"/>
      <c r="I22" s="198"/>
      <c r="J22" s="198"/>
      <c r="K22" s="151"/>
      <c r="L22" s="151"/>
      <c r="M22" s="151"/>
      <c r="N22" s="151">
        <f t="shared" ref="N22:O22" si="13">IFERROR(N20/N5,)</f>
        <v>-527.6925711248814</v>
      </c>
      <c r="O22" s="151">
        <f t="shared" si="13"/>
        <v>1601.0348764484727</v>
      </c>
      <c r="P22" s="151">
        <f>IFERROR(P20/P5,)</f>
        <v>2073.549200635081</v>
      </c>
      <c r="Q22" s="151">
        <f>IFERROR(Q20/Q5,)</f>
        <v>1705.0295181011597</v>
      </c>
      <c r="R22" s="151">
        <f>IFERROR(R20/R5,)</f>
        <v>1716.4299935017114</v>
      </c>
      <c r="S22" s="151"/>
      <c r="T22" s="151">
        <f t="shared" ref="T22:AE22" si="14">IFERROR(T20/T5,)</f>
        <v>1489.1277059294734</v>
      </c>
      <c r="U22" s="151">
        <f t="shared" si="14"/>
        <v>1519.2788034979806</v>
      </c>
      <c r="V22" s="151">
        <f t="shared" si="14"/>
        <v>1478.7418391171975</v>
      </c>
      <c r="W22" s="151">
        <f t="shared" si="14"/>
        <v>1657.2654285502774</v>
      </c>
      <c r="X22" s="151">
        <f t="shared" si="14"/>
        <v>1646.8895430328091</v>
      </c>
      <c r="Y22" s="151">
        <f t="shared" si="14"/>
        <v>1642.0573423147882</v>
      </c>
      <c r="Z22" s="151">
        <f t="shared" si="14"/>
        <v>1618.451392029584</v>
      </c>
      <c r="AA22" s="151">
        <f t="shared" si="14"/>
        <v>1618.3424131146348</v>
      </c>
      <c r="AB22" s="151">
        <f t="shared" si="14"/>
        <v>1679.8795862598975</v>
      </c>
      <c r="AC22" s="151">
        <f t="shared" si="14"/>
        <v>2012.10411965399</v>
      </c>
      <c r="AD22" s="151">
        <f t="shared" si="14"/>
        <v>2013.397165965348</v>
      </c>
      <c r="AE22" s="151">
        <f t="shared" si="14"/>
        <v>2022.6020255030171</v>
      </c>
      <c r="AF22" s="151"/>
      <c r="AG22" s="151">
        <v>252819003351375</v>
      </c>
      <c r="AH22" s="151">
        <v>255238060128018</v>
      </c>
      <c r="AI22" s="151">
        <v>25921619754728</v>
      </c>
      <c r="AJ22" s="151">
        <v>263377827472713</v>
      </c>
      <c r="AK22" s="151">
        <v>267951413481803</v>
      </c>
      <c r="AL22" s="199"/>
      <c r="AN22" s="484"/>
      <c r="AO22" s="473"/>
    </row>
    <row r="23" spans="2:41">
      <c r="B23" s="200" t="str">
        <f>IF(B1="en","FACTORY OVERHEAD EXPENSES (FOH)","CHI PHÍ SẢN XUẤT")</f>
        <v>CHI PHÍ SẢN XUẤT</v>
      </c>
      <c r="C23" s="201"/>
      <c r="D23" s="202"/>
      <c r="E23" s="202"/>
      <c r="F23" s="203"/>
      <c r="G23" s="204"/>
      <c r="H23" s="204"/>
      <c r="I23" s="204"/>
      <c r="J23" s="204"/>
      <c r="K23" s="204"/>
      <c r="L23" s="204"/>
      <c r="M23" s="204"/>
      <c r="N23" s="205">
        <f>N24+N26</f>
        <v>9826854913</v>
      </c>
      <c r="O23" s="205">
        <f t="shared" ref="O23:AE23" si="15">O24+O26</f>
        <v>12518909177</v>
      </c>
      <c r="P23" s="205">
        <f>P24+P26</f>
        <v>14649354182.58889</v>
      </c>
      <c r="Q23" s="205">
        <f>Q24+Q26</f>
        <v>12368954972</v>
      </c>
      <c r="R23" s="205">
        <f>R24+R26</f>
        <v>12401077916.234482</v>
      </c>
      <c r="S23" s="206"/>
      <c r="T23" s="205">
        <f t="shared" si="15"/>
        <v>983270292.07222223</v>
      </c>
      <c r="U23" s="205">
        <f t="shared" si="15"/>
        <v>970092470.73888874</v>
      </c>
      <c r="V23" s="205">
        <f t="shared" si="15"/>
        <v>946102015.73888874</v>
      </c>
      <c r="W23" s="205">
        <f t="shared" si="15"/>
        <v>985198821.96111107</v>
      </c>
      <c r="X23" s="205">
        <f t="shared" si="15"/>
        <v>995169981.25229883</v>
      </c>
      <c r="Y23" s="205">
        <f t="shared" si="15"/>
        <v>1029384282.2101531</v>
      </c>
      <c r="Z23" s="205">
        <f t="shared" si="15"/>
        <v>1031294034.3212643</v>
      </c>
      <c r="AA23" s="205">
        <f t="shared" si="15"/>
        <v>1038430056.6545978</v>
      </c>
      <c r="AB23" s="205">
        <f t="shared" si="15"/>
        <v>1092620660.4323754</v>
      </c>
      <c r="AC23" s="205">
        <f t="shared" si="15"/>
        <v>1084198349.6545978</v>
      </c>
      <c r="AD23" s="205">
        <f t="shared" si="15"/>
        <v>1124733981.6545978</v>
      </c>
      <c r="AE23" s="205">
        <f t="shared" si="15"/>
        <v>1126911084.5434866</v>
      </c>
      <c r="AF23" s="161"/>
      <c r="AG23" s="204">
        <v>691882003128585</v>
      </c>
      <c r="AH23" s="204">
        <v>732955110277672</v>
      </c>
      <c r="AI23" s="204">
        <v>78352168015947</v>
      </c>
      <c r="AJ23" s="204">
        <v>836007510211843</v>
      </c>
      <c r="AK23" s="204">
        <v>886281432069577</v>
      </c>
      <c r="AL23" s="207"/>
      <c r="AM23" s="483"/>
      <c r="AN23" s="485"/>
      <c r="AO23" s="473"/>
    </row>
    <row r="24" spans="2:41" s="214" customFormat="1" outlineLevel="1">
      <c r="B24" s="208"/>
      <c r="C24" s="128"/>
      <c r="D24" s="209" t="str">
        <f>IF(B1="en","Salary &amp; Welfare Expenses (FOH)","Chi phí lương sản xuất")</f>
        <v>Chi phí lương sản xuất</v>
      </c>
      <c r="E24" s="210"/>
      <c r="F24" s="211"/>
      <c r="G24" s="182"/>
      <c r="H24" s="182"/>
      <c r="I24" s="182"/>
      <c r="J24" s="182"/>
      <c r="K24" s="178"/>
      <c r="L24" s="178"/>
      <c r="M24" s="178"/>
      <c r="N24" s="177">
        <v>3728381096</v>
      </c>
      <c r="O24" s="177">
        <f>[1]FOH!H38+[1]FOH!H39+[1]FOH!H40+[1]FOH!H44+[1]FOH!H45</f>
        <v>3602410139</v>
      </c>
      <c r="P24" s="177">
        <f>[1]FOH!I38+[1]FOH!I39+[1]FOH!I40+[1]FOH!I44+[1]FOH!I45</f>
        <v>4076992548</v>
      </c>
      <c r="Q24" s="177">
        <f>[1]FOH!J38+[1]FOH!J39+[1]FOH!J40+[1]FOH!J44+[1]FOH!J45</f>
        <v>4060372946</v>
      </c>
      <c r="R24" s="177">
        <f>[1]FOH!K38+[1]FOH!K39+[1]FOH!K40+[1]FOH!K44+[1]FOH!K45-AM24</f>
        <v>3568623100</v>
      </c>
      <c r="S24" s="177"/>
      <c r="T24" s="177">
        <f>[1]FOH!T46</f>
        <v>296914317.33333331</v>
      </c>
      <c r="U24" s="177">
        <f>[1]FOH!U46</f>
        <v>294603662.33333331</v>
      </c>
      <c r="V24" s="177">
        <f>[1]FOH!V46</f>
        <v>282254749.33333331</v>
      </c>
      <c r="W24" s="177">
        <f>[1]FOH!W46</f>
        <v>305060166.33333331</v>
      </c>
      <c r="X24" s="177">
        <f>[1]FOH!X46</f>
        <v>289775491.33333331</v>
      </c>
      <c r="Y24" s="177">
        <f>[1]FOH!Y46</f>
        <v>305322666.33333331</v>
      </c>
      <c r="Z24" s="177">
        <f>[1]FOH!Z46</f>
        <v>298077765.33333331</v>
      </c>
      <c r="AA24" s="177">
        <f>[1]FOH!AA46</f>
        <v>298077765.33333331</v>
      </c>
      <c r="AB24" s="177">
        <f>[1]FOH!AB46</f>
        <v>304968925.33333331</v>
      </c>
      <c r="AC24" s="177">
        <f>[1]FOH!AC46</f>
        <v>290167159.33333331</v>
      </c>
      <c r="AD24" s="177">
        <f>[1]FOH!AD46</f>
        <v>305322666.33333331</v>
      </c>
      <c r="AE24" s="177">
        <f>[1]FOH!AE46</f>
        <v>298077765.33333331</v>
      </c>
      <c r="AF24" s="178"/>
      <c r="AG24" s="178">
        <v>629714478511346</v>
      </c>
      <c r="AH24" s="178">
        <v>684173333613842</v>
      </c>
      <c r="AI24" s="178">
        <v>769503076782236</v>
      </c>
      <c r="AJ24" s="178">
        <v>820815919116905</v>
      </c>
      <c r="AK24" s="178">
        <v>917070975061887</v>
      </c>
      <c r="AL24" s="212"/>
      <c r="AM24" s="486"/>
      <c r="AN24" s="480"/>
      <c r="AO24" s="473"/>
    </row>
    <row r="25" spans="2:41" outlineLevel="1">
      <c r="B25" s="215"/>
      <c r="C25" s="216"/>
      <c r="D25" s="156"/>
      <c r="E25" s="217" t="str">
        <f>IF(B1="EN", "Growth (%)", "Tăng trưởng (%)")</f>
        <v>Tăng trưởng (%)</v>
      </c>
      <c r="F25" s="218"/>
      <c r="G25" s="219"/>
      <c r="H25" s="219"/>
      <c r="I25" s="219"/>
      <c r="J25" s="219"/>
      <c r="K25" s="220"/>
      <c r="L25" s="220"/>
      <c r="M25" s="220"/>
      <c r="N25" s="220">
        <f>IFERROR(N24/M24-1,)</f>
        <v>0</v>
      </c>
      <c r="O25" s="220">
        <f t="shared" ref="O25" si="16">IFERROR(O24/N24-1,)</f>
        <v>-3.378703886658696E-2</v>
      </c>
      <c r="P25" s="220">
        <f>IFERROR(P24/O24-1,)</f>
        <v>0.13174024907995086</v>
      </c>
      <c r="Q25" s="220">
        <f>IFERROR(Q24/O24-1,)</f>
        <v>0.12712678160713997</v>
      </c>
      <c r="R25" s="220">
        <f>IFERROR(R24/Q24-1,)</f>
        <v>-0.12110952677005649</v>
      </c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1">
        <v>1331542859044.8301</v>
      </c>
      <c r="AH25" s="221">
        <v>8648182146174.7305</v>
      </c>
      <c r="AI25" s="221">
        <v>1247194811257.51</v>
      </c>
      <c r="AJ25" s="221">
        <v>66683089233.690002</v>
      </c>
      <c r="AK25" s="221">
        <v>1172675306401.72</v>
      </c>
      <c r="AL25" s="207"/>
      <c r="AM25" s="196"/>
      <c r="AN25" s="487"/>
      <c r="AO25" s="473"/>
    </row>
    <row r="26" spans="2:41" s="214" customFormat="1" outlineLevel="1">
      <c r="B26" s="208"/>
      <c r="C26" s="128"/>
      <c r="D26" s="209" t="str">
        <f>IF(B1="EN","Operating Expenses (FOH)","Chi phí hoạt động sản xuất")</f>
        <v>Chi phí hoạt động sản xuất</v>
      </c>
      <c r="E26" s="210"/>
      <c r="F26" s="211"/>
      <c r="G26" s="182"/>
      <c r="H26" s="182"/>
      <c r="I26" s="182"/>
      <c r="J26" s="182"/>
      <c r="K26" s="178"/>
      <c r="L26" s="178"/>
      <c r="M26" s="178"/>
      <c r="N26" s="177">
        <v>6098473817</v>
      </c>
      <c r="O26" s="177">
        <f>[1]FOH!H37</f>
        <v>8916499038</v>
      </c>
      <c r="P26" s="206">
        <f>[1]FOH!I37</f>
        <v>10572361634.58889</v>
      </c>
      <c r="Q26" s="177">
        <f>[1]FOH!J37</f>
        <v>8308582026</v>
      </c>
      <c r="R26" s="177">
        <f>[1]FOH!K37-AM26</f>
        <v>8832454816.2344818</v>
      </c>
      <c r="S26" s="177"/>
      <c r="T26" s="177">
        <f>[1]FOH!T37</f>
        <v>686355974.73888886</v>
      </c>
      <c r="U26" s="177">
        <f>[1]FOH!U37</f>
        <v>675488808.40555549</v>
      </c>
      <c r="V26" s="177">
        <f>[1]FOH!V37</f>
        <v>663847266.40555549</v>
      </c>
      <c r="W26" s="177">
        <f>[1]FOH!W37</f>
        <v>680138655.62777781</v>
      </c>
      <c r="X26" s="177">
        <f>[1]FOH!X37</f>
        <v>705394489.91896558</v>
      </c>
      <c r="Y26" s="177">
        <f>[1]FOH!Y37</f>
        <v>724061615.87681985</v>
      </c>
      <c r="Z26" s="177">
        <f>[1]FOH!Z37</f>
        <v>733216268.98793101</v>
      </c>
      <c r="AA26" s="177">
        <f>[1]FOH!AA37</f>
        <v>740352291.32126439</v>
      </c>
      <c r="AB26" s="177">
        <f>[1]FOH!AB37</f>
        <v>787651735.09904218</v>
      </c>
      <c r="AC26" s="177">
        <f>[1]FOH!AC37</f>
        <v>794031190.32126439</v>
      </c>
      <c r="AD26" s="177">
        <f>[1]FOH!AD37</f>
        <v>819411315.32126451</v>
      </c>
      <c r="AE26" s="177">
        <f>[1]FOH!AE37</f>
        <v>828833319.21015334</v>
      </c>
      <c r="AF26" s="178"/>
      <c r="AG26" s="178">
        <v>974947260130163</v>
      </c>
      <c r="AH26" s="178">
        <v>10647673657783</v>
      </c>
      <c r="AI26" s="178">
        <v>117342851724658</v>
      </c>
      <c r="AJ26" s="178">
        <v>129075574028554</v>
      </c>
      <c r="AK26" s="178">
        <v>141069719473753</v>
      </c>
      <c r="AL26" s="212"/>
      <c r="AM26" s="488"/>
      <c r="AN26" s="480"/>
      <c r="AO26" s="473"/>
    </row>
    <row r="27" spans="2:41" outlineLevel="1">
      <c r="B27" s="215"/>
      <c r="C27" s="216"/>
      <c r="D27" s="156"/>
      <c r="E27" s="217" t="str">
        <f>IF(B1="EN", "Growth (%)", "Tăng trưởng (%)")</f>
        <v>Tăng trưởng (%)</v>
      </c>
      <c r="F27" s="218"/>
      <c r="G27" s="219"/>
      <c r="H27" s="219"/>
      <c r="I27" s="219"/>
      <c r="J27" s="219"/>
      <c r="K27" s="220"/>
      <c r="L27" s="220"/>
      <c r="M27" s="220"/>
      <c r="N27" s="220">
        <f>IFERROR(N26/M26-1,)</f>
        <v>0</v>
      </c>
      <c r="O27" s="220">
        <f t="shared" ref="O27" si="17">IFERROR(O26/N26-1,)</f>
        <v>0.46208695905925201</v>
      </c>
      <c r="P27" s="220">
        <f>IFERROR(P26/O26-1,)</f>
        <v>0.18570770764758637</v>
      </c>
      <c r="Q27" s="220">
        <f>IFERROR(Q26/O26-1,)</f>
        <v>-6.8178890549889792E-2</v>
      </c>
      <c r="R27" s="220">
        <f>IFERROR(R26/Q26-1,)</f>
        <v>6.3052009187022584E-2</v>
      </c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1">
        <v>1080898044455.17</v>
      </c>
      <c r="AH27" s="221">
        <v>9212816869308.9492</v>
      </c>
      <c r="AI27" s="221">
        <v>1020515419242.3101</v>
      </c>
      <c r="AJ27" s="221">
        <v>9998668117787.5605</v>
      </c>
      <c r="AK27" s="221">
        <v>929234329226.83997</v>
      </c>
      <c r="AL27" s="207"/>
      <c r="AM27" s="196"/>
      <c r="AN27" s="487"/>
      <c r="AO27" s="473"/>
    </row>
    <row r="28" spans="2:41" s="227" customFormat="1" outlineLevel="1">
      <c r="B28" s="223"/>
      <c r="C28" s="164" t="str">
        <f>IF(B1="EN", "FOH Expenses on Net Sales (%)", "Chi phí Sản xuất / Doanh thu (%)")</f>
        <v>Chi phí Sản xuất / Doanh thu (%)</v>
      </c>
      <c r="D28" s="224"/>
      <c r="E28" s="224"/>
      <c r="F28" s="225"/>
      <c r="G28" s="167"/>
      <c r="H28" s="167"/>
      <c r="I28" s="167"/>
      <c r="J28" s="167"/>
      <c r="K28" s="168"/>
      <c r="L28" s="168"/>
      <c r="M28" s="168"/>
      <c r="N28" s="168">
        <f t="shared" ref="N28:O28" si="18">IFERROR(N23/N7,)</f>
        <v>0.14287478369094461</v>
      </c>
      <c r="O28" s="168">
        <f t="shared" si="18"/>
        <v>0.10039528582475882</v>
      </c>
      <c r="P28" s="168">
        <f>IFERROR(P23/P7,)</f>
        <v>7.6555401823305017E-2</v>
      </c>
      <c r="Q28" s="168">
        <f>IFERROR(Q23/Q7,)</f>
        <v>7.1115504207716881E-2</v>
      </c>
      <c r="R28" s="168">
        <f>IFERROR(R23/R7,)</f>
        <v>6.8470645555308546E-2</v>
      </c>
      <c r="S28" s="168"/>
      <c r="T28" s="168">
        <f>T23/T7</f>
        <v>8.5388763637010562E-2</v>
      </c>
      <c r="U28" s="168">
        <f t="shared" ref="U28:AE28" si="19">U23/U7</f>
        <v>0.10831420359190805</v>
      </c>
      <c r="V28" s="168">
        <f t="shared" si="19"/>
        <v>7.3944910005726103E-2</v>
      </c>
      <c r="W28" s="168">
        <f t="shared" si="19"/>
        <v>6.1673941959074052E-2</v>
      </c>
      <c r="X28" s="168">
        <f t="shared" si="19"/>
        <v>6.2298141547706597E-2</v>
      </c>
      <c r="Y28" s="168">
        <f t="shared" si="19"/>
        <v>6.443997400264663E-2</v>
      </c>
      <c r="Z28" s="168">
        <f t="shared" si="19"/>
        <v>6.4559525445696916E-2</v>
      </c>
      <c r="AA28" s="168">
        <f t="shared" si="19"/>
        <v>6.5006244034264249E-2</v>
      </c>
      <c r="AB28" s="168">
        <f t="shared" si="19"/>
        <v>6.8398603096839095E-2</v>
      </c>
      <c r="AC28" s="168">
        <f t="shared" si="19"/>
        <v>6.2546073840742511E-2</v>
      </c>
      <c r="AD28" s="168">
        <f t="shared" si="19"/>
        <v>6.4884524764469584E-2</v>
      </c>
      <c r="AE28" s="168">
        <f t="shared" si="19"/>
        <v>6.5010119161556357E-2</v>
      </c>
      <c r="AF28" s="168"/>
      <c r="AG28" s="168">
        <f t="shared" ref="AG28:AK28" si="20">AG23/AG7</f>
        <v>1.1175199614598246</v>
      </c>
      <c r="AH28" s="168">
        <f t="shared" si="20"/>
        <v>1.0785424642648207</v>
      </c>
      <c r="AI28" s="168">
        <f t="shared" si="20"/>
        <v>0.1037007946478903</v>
      </c>
      <c r="AJ28" s="168">
        <f t="shared" si="20"/>
        <v>0.99669039845615282</v>
      </c>
      <c r="AK28" s="168">
        <f t="shared" si="20"/>
        <v>0.95734670297064028</v>
      </c>
      <c r="AL28" s="226"/>
      <c r="AM28" s="489"/>
      <c r="AN28" s="310"/>
      <c r="AO28" s="473"/>
    </row>
    <row r="29" spans="2:41" s="230" customFormat="1" outlineLevel="1">
      <c r="B29" s="228"/>
      <c r="C29" s="148" t="str">
        <f>IF(B1="EN", "FOH Expenses per Ton (m VND/Ton)", "Chi phí Sản xuất / Tấn (Triệu đồng/Tấn)")</f>
        <v>Chi phí Sản xuất / Tấn (Triệu đồng/Tấn)</v>
      </c>
      <c r="D29" s="210"/>
      <c r="E29" s="148"/>
      <c r="F29" s="149"/>
      <c r="G29" s="229"/>
      <c r="H29" s="229"/>
      <c r="I29" s="229"/>
      <c r="J29" s="229"/>
      <c r="K29" s="151"/>
      <c r="L29" s="151"/>
      <c r="M29" s="151"/>
      <c r="N29" s="151">
        <f t="shared" ref="N29:O29" si="21">IFERROR(N23/N5,)</f>
        <v>2058.5562666911901</v>
      </c>
      <c r="O29" s="151">
        <f t="shared" si="21"/>
        <v>1803.942126597914</v>
      </c>
      <c r="P29" s="151">
        <f>IFERROR(P23/P5,)</f>
        <v>1549.255557563625</v>
      </c>
      <c r="Q29" s="151">
        <f>IFERROR(Q23/Q5,)</f>
        <v>1262.5862228874469</v>
      </c>
      <c r="R29" s="151">
        <f>IFERROR(R23/R5,)</f>
        <v>1059.8499892429861</v>
      </c>
      <c r="S29" s="151"/>
      <c r="T29" s="151">
        <f>T23/T5</f>
        <v>1292.5436814515392</v>
      </c>
      <c r="U29" s="151">
        <f t="shared" ref="U29:AE29" si="22">U23/U5</f>
        <v>1639.5698157584632</v>
      </c>
      <c r="V29" s="151">
        <f t="shared" si="22"/>
        <v>1119.316197265766</v>
      </c>
      <c r="W29" s="151">
        <f t="shared" si="22"/>
        <v>933.61650979494061</v>
      </c>
      <c r="X29" s="151">
        <f t="shared" si="22"/>
        <v>943.06560649353128</v>
      </c>
      <c r="Y29" s="151">
        <f t="shared" si="22"/>
        <v>975.48854035551108</v>
      </c>
      <c r="Z29" s="151">
        <f t="shared" si="22"/>
        <v>977.29830307629879</v>
      </c>
      <c r="AA29" s="151">
        <f t="shared" si="22"/>
        <v>984.06070282359417</v>
      </c>
      <c r="AB29" s="151">
        <f t="shared" si="22"/>
        <v>1035.4140349986974</v>
      </c>
      <c r="AC29" s="151">
        <f t="shared" si="22"/>
        <v>1025.5259585159815</v>
      </c>
      <c r="AD29" s="151">
        <f t="shared" si="22"/>
        <v>1063.8679674980967</v>
      </c>
      <c r="AE29" s="151">
        <f t="shared" si="22"/>
        <v>1065.9272544612495</v>
      </c>
      <c r="AF29" s="151"/>
      <c r="AG29" s="151">
        <f t="shared" ref="AG29:AK29" si="23">AG23/AG5</f>
        <v>68.299482476981055</v>
      </c>
      <c r="AH29" s="151">
        <f t="shared" si="23"/>
        <v>6.6250498002671696</v>
      </c>
      <c r="AI29" s="151">
        <f t="shared" si="23"/>
        <v>0.64262983062591406</v>
      </c>
      <c r="AJ29" s="151">
        <f t="shared" si="23"/>
        <v>6.2335093570714024</v>
      </c>
      <c r="AK29" s="151">
        <f t="shared" si="23"/>
        <v>6.0465040763592404</v>
      </c>
      <c r="AL29" s="212"/>
      <c r="AM29" s="489"/>
      <c r="AN29" s="484"/>
      <c r="AO29" s="473"/>
    </row>
    <row r="30" spans="2:41" outlineLevel="1">
      <c r="B30" s="231"/>
      <c r="C30" s="232"/>
      <c r="D30" s="181" t="str">
        <f>IF(B1="EN", "Depreciation &amp; Amortization (FOH)", "Chi phí Khấu hao (Sản xuất)")</f>
        <v>Chi phí Khấu hao (Sản xuất)</v>
      </c>
      <c r="E30" s="156"/>
      <c r="F30" s="157"/>
      <c r="G30" s="233"/>
      <c r="H30" s="233"/>
      <c r="I30" s="233"/>
      <c r="J30" s="233"/>
      <c r="K30" s="234"/>
      <c r="L30" s="234"/>
      <c r="M30" s="234"/>
      <c r="N30" s="177">
        <f>[1]Depreciation!H37</f>
        <v>3656836640</v>
      </c>
      <c r="O30" s="177">
        <f>[1]Depreciation!I37</f>
        <v>6479181081</v>
      </c>
      <c r="P30" s="177">
        <f>-[1]Depreciation!J37</f>
        <v>7655288040.666667</v>
      </c>
      <c r="Q30" s="177">
        <f>-[1]Depreciation!K37</f>
        <v>7149747122.666667</v>
      </c>
      <c r="R30" s="177">
        <f>-[1]Depreciation!L37</f>
        <v>4556262320.4870672</v>
      </c>
      <c r="S30" s="234"/>
      <c r="T30" s="185">
        <f>-[1]Depreciation!N37</f>
        <v>377484612.26281118</v>
      </c>
      <c r="U30" s="185">
        <f>-[1]Depreciation!O37</f>
        <v>377484612.26281118</v>
      </c>
      <c r="V30" s="185">
        <f>-[1]Depreciation!P37</f>
        <v>374920976.26281118</v>
      </c>
      <c r="W30" s="185">
        <f>-[1]Depreciation!Q37</f>
        <v>374920976.26281118</v>
      </c>
      <c r="X30" s="185">
        <f>-[1]Depreciation!R37</f>
        <v>374920976.26281118</v>
      </c>
      <c r="Y30" s="185">
        <f>-[1]Depreciation!S37</f>
        <v>374920976.26281118</v>
      </c>
      <c r="Z30" s="185">
        <f>-[1]Depreciation!T37</f>
        <v>374920976.26281118</v>
      </c>
      <c r="AA30" s="185">
        <f>-[1]Depreciation!U37</f>
        <v>374920976.26281118</v>
      </c>
      <c r="AB30" s="185">
        <f>-[1]Depreciation!V37</f>
        <v>374920976.26281118</v>
      </c>
      <c r="AC30" s="185">
        <f>-[1]Depreciation!W37</f>
        <v>392282087.37392229</v>
      </c>
      <c r="AD30" s="185">
        <f>-[1]Depreciation!X37</f>
        <v>392282087.37392229</v>
      </c>
      <c r="AE30" s="185">
        <f>-[1]Depreciation!Y37</f>
        <v>392282087.37392229</v>
      </c>
      <c r="AF30" s="234"/>
      <c r="AG30" s="234">
        <v>16411693990044</v>
      </c>
      <c r="AH30" s="234">
        <v>193435219254773</v>
      </c>
      <c r="AI30" s="234">
        <v>240134784320806</v>
      </c>
      <c r="AJ30" s="234">
        <v>299516409388806</v>
      </c>
      <c r="AK30" s="234">
        <v>352427285911839</v>
      </c>
      <c r="AL30" s="207"/>
      <c r="AM30" s="483"/>
      <c r="AN30" s="480"/>
      <c r="AO30" s="473"/>
    </row>
    <row r="31" spans="2:41" s="125" customFormat="1" outlineLevel="1">
      <c r="B31" s="236"/>
      <c r="C31" s="237" t="str">
        <f>IF(B1="EN", "% Depreciation on Net Sales", "% Chi phí Khấu hao / Doanh thu")</f>
        <v>% Chi phí Khấu hao / Doanh thu</v>
      </c>
      <c r="D31" s="143"/>
      <c r="E31" s="143"/>
      <c r="F31" s="129"/>
      <c r="G31" s="130"/>
      <c r="H31" s="130"/>
      <c r="I31" s="130"/>
      <c r="J31" s="130"/>
      <c r="K31" s="131"/>
      <c r="L31" s="131"/>
      <c r="M31" s="131"/>
      <c r="N31" s="131">
        <f t="shared" ref="N31:O31" si="24">IFERROR(N30/N7,)</f>
        <v>5.3167544301681163E-2</v>
      </c>
      <c r="O31" s="131">
        <f t="shared" si="24"/>
        <v>5.1959737652897013E-2</v>
      </c>
      <c r="P31" s="131">
        <f>IFERROR(P30/P7,)</f>
        <v>4.0005425817536508E-2</v>
      </c>
      <c r="Q31" s="131">
        <f>IFERROR(Q30/Q7,)</f>
        <v>4.1107585300223452E-2</v>
      </c>
      <c r="R31" s="131">
        <f>IFERROR(R30/R7,)</f>
        <v>2.5156702063348184E-2</v>
      </c>
      <c r="S31" s="190"/>
      <c r="T31" s="131">
        <f>T30/T7</f>
        <v>3.2781367028985986E-2</v>
      </c>
      <c r="U31" s="131">
        <f t="shared" ref="U31:AE31" si="25">U30/U7</f>
        <v>4.2147471894410551E-2</v>
      </c>
      <c r="V31" s="131">
        <f t="shared" si="25"/>
        <v>2.9302863103363108E-2</v>
      </c>
      <c r="W31" s="131">
        <f t="shared" si="25"/>
        <v>2.3470241756120096E-2</v>
      </c>
      <c r="X31" s="131">
        <f t="shared" si="25"/>
        <v>2.3470241756120096E-2</v>
      </c>
      <c r="Y31" s="131">
        <f t="shared" si="25"/>
        <v>2.3470241756120096E-2</v>
      </c>
      <c r="Z31" s="131">
        <f t="shared" si="25"/>
        <v>2.3470241756120096E-2</v>
      </c>
      <c r="AA31" s="131">
        <f t="shared" si="25"/>
        <v>2.3470241756120096E-2</v>
      </c>
      <c r="AB31" s="131">
        <f t="shared" si="25"/>
        <v>2.3470241756120096E-2</v>
      </c>
      <c r="AC31" s="131">
        <f t="shared" si="25"/>
        <v>2.2630272782749112E-2</v>
      </c>
      <c r="AD31" s="131">
        <f t="shared" si="25"/>
        <v>2.2630272782749112E-2</v>
      </c>
      <c r="AE31" s="131">
        <f t="shared" si="25"/>
        <v>2.2630272782749112E-2</v>
      </c>
      <c r="AF31" s="131"/>
      <c r="AG31" s="131">
        <f>AG30/AG7</f>
        <v>2.6507981928004961E-2</v>
      </c>
      <c r="AH31" s="131">
        <f>AH30/AH7</f>
        <v>0.28463966636594201</v>
      </c>
      <c r="AI31" s="131">
        <f>AI30/AI7</f>
        <v>0.31782359808600313</v>
      </c>
      <c r="AJ31" s="131">
        <f>AJ30/AJ7</f>
        <v>0.35708426751123257</v>
      </c>
      <c r="AK31" s="131">
        <f>AK30/AK7</f>
        <v>0.38068618837780549</v>
      </c>
      <c r="AL31" s="144"/>
      <c r="AM31" s="196"/>
      <c r="AN31" s="474"/>
      <c r="AO31" s="473"/>
    </row>
    <row r="32" spans="2:41">
      <c r="B32" s="238" t="str">
        <f>IF(B1="EN", "COST OF GOODS SOLD", "GIÁ VỐN HÀNG BÁN")</f>
        <v>GIÁ VỐN HÀNG BÁN</v>
      </c>
      <c r="C32" s="172"/>
      <c r="D32" s="172"/>
      <c r="E32" s="172"/>
      <c r="F32" s="239"/>
      <c r="G32" s="240"/>
      <c r="H32" s="241"/>
      <c r="I32" s="240"/>
      <c r="J32" s="240"/>
      <c r="K32" s="175"/>
      <c r="L32" s="175"/>
      <c r="M32" s="175"/>
      <c r="N32" s="176">
        <f>N10+N12+N23+N30</f>
        <v>84782209417</v>
      </c>
      <c r="O32" s="176">
        <f>O10+O12+O23+O30</f>
        <v>132583492298.13184</v>
      </c>
      <c r="P32" s="176">
        <f>P10+P12+P23+P30</f>
        <v>194053949289.00555</v>
      </c>
      <c r="Q32" s="176">
        <f>Q10+Q12+Q23+Q30</f>
        <v>176743025607.90973</v>
      </c>
      <c r="R32" s="176">
        <f>R10+R12+R23+R30</f>
        <v>177989007698.77661</v>
      </c>
      <c r="S32" s="177"/>
      <c r="T32" s="176">
        <f t="shared" ref="T32:AK32" si="26">T10+T12+T23+T30</f>
        <v>11743156980.241835</v>
      </c>
      <c r="U32" s="176">
        <f t="shared" si="26"/>
        <v>9404939046.9420319</v>
      </c>
      <c r="V32" s="176">
        <f t="shared" si="26"/>
        <v>12865803952.48789</v>
      </c>
      <c r="W32" s="176">
        <f t="shared" si="26"/>
        <v>15585602954.746243</v>
      </c>
      <c r="X32" s="176">
        <f t="shared" si="26"/>
        <v>15606523267.229738</v>
      </c>
      <c r="Y32" s="176">
        <f t="shared" si="26"/>
        <v>15645836747.995285</v>
      </c>
      <c r="Z32" s="176">
        <f t="shared" si="26"/>
        <v>15672656679.144857</v>
      </c>
      <c r="AA32" s="176">
        <f t="shared" si="26"/>
        <v>15679907701.478191</v>
      </c>
      <c r="AB32" s="176">
        <f t="shared" si="26"/>
        <v>15669161203.29443</v>
      </c>
      <c r="AC32" s="176">
        <f t="shared" si="26"/>
        <v>16683654816.480886</v>
      </c>
      <c r="AD32" s="176">
        <f t="shared" si="26"/>
        <v>16722823424.403963</v>
      </c>
      <c r="AE32" s="176">
        <f t="shared" si="26"/>
        <v>16715269039.331312</v>
      </c>
      <c r="AF32" s="178"/>
      <c r="AG32" s="175">
        <f>AG10+AG12+AG23+AG30</f>
        <v>1071307718915276</v>
      </c>
      <c r="AH32" s="175">
        <f t="shared" si="26"/>
        <v>1229305080067399</v>
      </c>
      <c r="AI32" s="175">
        <f t="shared" si="26"/>
        <v>1031592261532379</v>
      </c>
      <c r="AJ32" s="175">
        <f t="shared" si="26"/>
        <v>1932532512509697</v>
      </c>
      <c r="AK32" s="175">
        <f t="shared" si="26"/>
        <v>2124364028896149</v>
      </c>
      <c r="AL32" s="123"/>
      <c r="AM32" s="483"/>
      <c r="AN32" s="480"/>
      <c r="AO32" s="473"/>
    </row>
    <row r="33" spans="2:41" s="170" customFormat="1" outlineLevel="1">
      <c r="B33" s="242"/>
      <c r="C33" s="164" t="str">
        <f>IF(B1="EN", "% COGs on Net Sales", "% Giá vốn hàng bán / Doanh thu")</f>
        <v>% Giá vốn hàng bán / Doanh thu</v>
      </c>
      <c r="D33" s="165"/>
      <c r="E33" s="165"/>
      <c r="F33" s="166"/>
      <c r="G33" s="167"/>
      <c r="H33" s="167"/>
      <c r="I33" s="167"/>
      <c r="J33" s="167"/>
      <c r="K33" s="168"/>
      <c r="L33" s="168"/>
      <c r="M33" s="168"/>
      <c r="N33" s="168">
        <f t="shared" ref="N33:O33" si="27">IFERROR(N32/N7,)</f>
        <v>1.232667006741859</v>
      </c>
      <c r="O33" s="168">
        <f t="shared" si="27"/>
        <v>1.0632521904840124</v>
      </c>
      <c r="P33" s="168">
        <f>IFERROR(P32/P7,)</f>
        <v>1.0140978146924484</v>
      </c>
      <c r="Q33" s="168">
        <f>IFERROR(Q32/Q7,)</f>
        <v>1.0161868492331929</v>
      </c>
      <c r="R33" s="168">
        <f>IFERROR(R32/R7,)</f>
        <v>0.98273894746921631</v>
      </c>
      <c r="S33" s="168"/>
      <c r="T33" s="168">
        <f>T32/T7</f>
        <v>1.0197945202076022</v>
      </c>
      <c r="U33" s="168">
        <f t="shared" ref="U33:AE33" si="28">U32/U7</f>
        <v>1.0500942058895295</v>
      </c>
      <c r="V33" s="168">
        <f t="shared" si="28"/>
        <v>1.0055582797538345</v>
      </c>
      <c r="W33" s="168">
        <f t="shared" si="28"/>
        <v>0.9756665868873069</v>
      </c>
      <c r="X33" s="168">
        <f t="shared" si="28"/>
        <v>0.97697620897486126</v>
      </c>
      <c r="Y33" s="168">
        <f t="shared" si="28"/>
        <v>0.97943725265142301</v>
      </c>
      <c r="Z33" s="168">
        <f t="shared" si="28"/>
        <v>0.981116193835876</v>
      </c>
      <c r="AA33" s="168">
        <f t="shared" si="28"/>
        <v>0.98157011148230577</v>
      </c>
      <c r="AB33" s="168">
        <f t="shared" si="28"/>
        <v>0.98089737528888521</v>
      </c>
      <c r="AC33" s="168">
        <f t="shared" si="28"/>
        <v>0.96245959645438373</v>
      </c>
      <c r="AD33" s="168">
        <f t="shared" si="28"/>
        <v>0.96471918543473612</v>
      </c>
      <c r="AE33" s="168">
        <f t="shared" si="28"/>
        <v>0.96428338221964549</v>
      </c>
      <c r="AF33" s="168"/>
      <c r="AG33" s="168">
        <f t="shared" ref="AG33:AK33" si="29">AG32/AG7</f>
        <v>1.7303640726890144</v>
      </c>
      <c r="AH33" s="168">
        <f t="shared" si="29"/>
        <v>1.8089207808195358</v>
      </c>
      <c r="AI33" s="168">
        <f t="shared" si="29"/>
        <v>1.3653347441738815</v>
      </c>
      <c r="AJ33" s="168">
        <f t="shared" si="29"/>
        <v>2.3039704504983214</v>
      </c>
      <c r="AK33" s="168">
        <f t="shared" si="29"/>
        <v>2.2947032684912387</v>
      </c>
      <c r="AL33" s="169"/>
      <c r="AM33" s="483"/>
      <c r="AN33" s="310"/>
      <c r="AO33" s="473"/>
    </row>
    <row r="34" spans="2:41" s="141" customFormat="1">
      <c r="B34" s="243" t="str">
        <f>IF(B1="EN", "GROSS PROFIT", "LÃI GỘP")</f>
        <v>LÃI GỘP</v>
      </c>
      <c r="C34" s="244"/>
      <c r="D34" s="244"/>
      <c r="E34" s="244"/>
      <c r="F34" s="245"/>
      <c r="G34" s="246"/>
      <c r="H34" s="246"/>
      <c r="I34" s="246"/>
      <c r="J34" s="246"/>
      <c r="K34" s="247"/>
      <c r="L34" s="247"/>
      <c r="M34" s="247"/>
      <c r="N34" s="248">
        <f>N7-N32</f>
        <v>-16002718319</v>
      </c>
      <c r="O34" s="248">
        <f>O7-O32</f>
        <v>-7887306873.1318359</v>
      </c>
      <c r="P34" s="248">
        <f>P7-P32</f>
        <v>-2697704874.0055542</v>
      </c>
      <c r="Q34" s="248">
        <f>Q7-Q32</f>
        <v>-2815341204.909729</v>
      </c>
      <c r="R34" s="248">
        <f>R7-R32</f>
        <v>3126239801.2233887</v>
      </c>
      <c r="S34" s="138"/>
      <c r="T34" s="248">
        <f t="shared" ref="T34:AK34" si="30">T7-T32</f>
        <v>-227938230.24183464</v>
      </c>
      <c r="U34" s="248">
        <f t="shared" si="30"/>
        <v>-448657796.94203186</v>
      </c>
      <c r="V34" s="248">
        <f t="shared" si="30"/>
        <v>-71116452.487890244</v>
      </c>
      <c r="W34" s="248">
        <f t="shared" si="30"/>
        <v>388709545.25375748</v>
      </c>
      <c r="X34" s="248">
        <f t="shared" si="30"/>
        <v>367789232.77026176</v>
      </c>
      <c r="Y34" s="248">
        <f t="shared" si="30"/>
        <v>328475752.00471497</v>
      </c>
      <c r="Z34" s="248">
        <f t="shared" si="30"/>
        <v>301655820.85514259</v>
      </c>
      <c r="AA34" s="248">
        <f t="shared" si="30"/>
        <v>294404798.52180862</v>
      </c>
      <c r="AB34" s="248">
        <f t="shared" si="30"/>
        <v>305151296.70557022</v>
      </c>
      <c r="AC34" s="248">
        <f t="shared" si="30"/>
        <v>650740183.51911354</v>
      </c>
      <c r="AD34" s="248">
        <f t="shared" si="30"/>
        <v>611571575.59603691</v>
      </c>
      <c r="AE34" s="248">
        <f t="shared" si="30"/>
        <v>619125960.66868782</v>
      </c>
      <c r="AF34" s="121"/>
      <c r="AG34" s="247">
        <f t="shared" si="30"/>
        <v>-452184994498994</v>
      </c>
      <c r="AH34" s="247">
        <f t="shared" si="30"/>
        <v>-549725801028734</v>
      </c>
      <c r="AI34" s="247">
        <f t="shared" si="30"/>
        <v>-276032303848477</v>
      </c>
      <c r="AJ34" s="247">
        <f t="shared" si="30"/>
        <v>-1093748962967335</v>
      </c>
      <c r="AK34" s="247">
        <f t="shared" si="30"/>
        <v>-1198595517530881</v>
      </c>
      <c r="AL34" s="139"/>
      <c r="AM34" s="196"/>
      <c r="AN34" s="476"/>
      <c r="AO34" s="473"/>
    </row>
    <row r="35" spans="2:41" s="227" customFormat="1" outlineLevel="1">
      <c r="B35" s="163"/>
      <c r="C35" s="164" t="str">
        <f>IF(B1="EN", "(%) Gross profit Margin", "(%) Tỷ lệ Lãi gộp")</f>
        <v>(%) Tỷ lệ Lãi gộp</v>
      </c>
      <c r="D35" s="165"/>
      <c r="E35" s="165"/>
      <c r="F35" s="166"/>
      <c r="G35" s="167"/>
      <c r="H35" s="167"/>
      <c r="I35" s="167"/>
      <c r="J35" s="167"/>
      <c r="K35" s="168"/>
      <c r="L35" s="168"/>
      <c r="M35" s="168"/>
      <c r="N35" s="168">
        <f t="shared" ref="N35:O35" si="31">IFERROR(N34/N$7,)</f>
        <v>-0.23266700674185906</v>
      </c>
      <c r="O35" s="168">
        <f t="shared" si="31"/>
        <v>-6.3252190484012441E-2</v>
      </c>
      <c r="P35" s="168">
        <f>IFERROR(P34/P$7,)</f>
        <v>-1.4097814692448505E-2</v>
      </c>
      <c r="Q35" s="168">
        <f>IFERROR(Q34/Q$7,)</f>
        <v>-1.6186849233192968E-2</v>
      </c>
      <c r="R35" s="168">
        <f>IFERROR(R34/R$7,)</f>
        <v>1.7261052530783687E-2</v>
      </c>
      <c r="S35" s="168"/>
      <c r="T35" s="168">
        <f>T34/T7</f>
        <v>-1.9794520207602192E-2</v>
      </c>
      <c r="U35" s="168">
        <f t="shared" ref="U35:AE35" si="32">U34/U7</f>
        <v>-5.0094205889529411E-2</v>
      </c>
      <c r="V35" s="168">
        <f t="shared" si="32"/>
        <v>-5.5582797538345696E-3</v>
      </c>
      <c r="W35" s="168">
        <f t="shared" si="32"/>
        <v>2.433341311269311E-2</v>
      </c>
      <c r="X35" s="168">
        <f t="shared" si="32"/>
        <v>2.3023791025138751E-2</v>
      </c>
      <c r="Y35" s="168">
        <f t="shared" si="32"/>
        <v>2.0562747348576972E-2</v>
      </c>
      <c r="Z35" s="168">
        <f t="shared" si="32"/>
        <v>1.8883806164123971E-2</v>
      </c>
      <c r="AA35" s="168">
        <f t="shared" si="32"/>
        <v>1.8429888517694181E-2</v>
      </c>
      <c r="AB35" s="168">
        <f t="shared" si="32"/>
        <v>1.9102624711114811E-2</v>
      </c>
      <c r="AC35" s="168">
        <f t="shared" si="32"/>
        <v>3.7540403545616302E-2</v>
      </c>
      <c r="AD35" s="168">
        <f t="shared" si="32"/>
        <v>3.528081456526385E-2</v>
      </c>
      <c r="AE35" s="168">
        <f t="shared" si="32"/>
        <v>3.5716617780354482E-2</v>
      </c>
      <c r="AF35" s="168"/>
      <c r="AG35" s="168">
        <f t="shared" ref="AG35:AK35" si="33">AG34/AG$7</f>
        <v>-0.73036407268901438</v>
      </c>
      <c r="AH35" s="168">
        <f t="shared" si="33"/>
        <v>-0.80892078081953567</v>
      </c>
      <c r="AI35" s="168">
        <f t="shared" si="33"/>
        <v>-0.3653347441738814</v>
      </c>
      <c r="AJ35" s="168">
        <f t="shared" si="33"/>
        <v>-1.3039704504983216</v>
      </c>
      <c r="AK35" s="168">
        <f t="shared" si="33"/>
        <v>-1.2947032684912387</v>
      </c>
      <c r="AL35" s="226"/>
      <c r="AM35" s="489"/>
      <c r="AN35" s="310"/>
      <c r="AO35" s="473"/>
    </row>
    <row r="36" spans="2:41">
      <c r="B36" s="171" t="str">
        <f>IF(B1="EN","SELLING &amp; ADMINISTRATIVE EXPENSES (MKT)","CHI PHÍ BÁN HÀNG")</f>
        <v>CHI PHÍ BÁN HÀNG</v>
      </c>
      <c r="C36" s="249"/>
      <c r="D36" s="172"/>
      <c r="E36" s="172"/>
      <c r="F36" s="239"/>
      <c r="G36" s="175"/>
      <c r="H36" s="175"/>
      <c r="I36" s="175"/>
      <c r="J36" s="175"/>
      <c r="K36" s="175"/>
      <c r="L36" s="175"/>
      <c r="M36" s="175"/>
      <c r="N36" s="176">
        <f>N37+N39+N41</f>
        <v>1864168000</v>
      </c>
      <c r="O36" s="176">
        <f>O37+O39+O41</f>
        <v>1630000000</v>
      </c>
      <c r="P36" s="176">
        <f>P37+P39+P41</f>
        <v>0</v>
      </c>
      <c r="Q36" s="176">
        <f>Q37+Q39+Q41</f>
        <v>0</v>
      </c>
      <c r="R36" s="176">
        <f>R37+R39+R41</f>
        <v>0</v>
      </c>
      <c r="S36" s="178"/>
      <c r="T36" s="175">
        <f t="shared" ref="T36:AE36" si="34">T37+T39+T41</f>
        <v>0</v>
      </c>
      <c r="U36" s="175">
        <f t="shared" si="34"/>
        <v>0</v>
      </c>
      <c r="V36" s="175">
        <f t="shared" si="34"/>
        <v>0</v>
      </c>
      <c r="W36" s="175">
        <f t="shared" si="34"/>
        <v>0</v>
      </c>
      <c r="X36" s="175">
        <f t="shared" si="34"/>
        <v>0</v>
      </c>
      <c r="Y36" s="175">
        <f t="shared" si="34"/>
        <v>0</v>
      </c>
      <c r="Z36" s="175">
        <f t="shared" si="34"/>
        <v>0</v>
      </c>
      <c r="AA36" s="175">
        <f t="shared" si="34"/>
        <v>0</v>
      </c>
      <c r="AB36" s="175">
        <f t="shared" si="34"/>
        <v>0</v>
      </c>
      <c r="AC36" s="175">
        <f t="shared" si="34"/>
        <v>0</v>
      </c>
      <c r="AD36" s="175">
        <f t="shared" si="34"/>
        <v>0</v>
      </c>
      <c r="AE36" s="175">
        <f t="shared" si="34"/>
        <v>0</v>
      </c>
      <c r="AF36" s="178"/>
      <c r="AG36" s="175">
        <f>AG37+AG39+AG41</f>
        <v>383824902894673</v>
      </c>
      <c r="AH36" s="175">
        <f t="shared" ref="AH36:AK36" si="35">AH37+AH39+AH41</f>
        <v>425272695485510</v>
      </c>
      <c r="AI36" s="175">
        <f t="shared" si="35"/>
        <v>463185514591688</v>
      </c>
      <c r="AJ36" s="175">
        <f t="shared" si="35"/>
        <v>504413637745073</v>
      </c>
      <c r="AK36" s="175">
        <f t="shared" si="35"/>
        <v>549667372869827</v>
      </c>
      <c r="AL36" s="162"/>
      <c r="AM36" s="483"/>
      <c r="AN36" s="480"/>
      <c r="AO36" s="473"/>
    </row>
    <row r="37" spans="2:41" s="214" customFormat="1" outlineLevel="1">
      <c r="B37" s="126"/>
      <c r="C37" s="128"/>
      <c r="D37" s="209" t="str">
        <f>IF(B1="EN", "Salary&amp;Welfare Expenses (MKT)", "Lương &amp; Phúc lợi (Bán hàng)")</f>
        <v>Lương &amp; Phúc lợi (Bán hàng)</v>
      </c>
      <c r="E37" s="128"/>
      <c r="F37" s="250"/>
      <c r="G37" s="182"/>
      <c r="H37" s="182"/>
      <c r="I37" s="182"/>
      <c r="J37" s="182"/>
      <c r="K37" s="178"/>
      <c r="L37" s="178"/>
      <c r="M37" s="178"/>
      <c r="N37" s="178"/>
      <c r="O37" s="178">
        <f>[1]MKT!H39+[1]MKT!H40</f>
        <v>0</v>
      </c>
      <c r="P37" s="178">
        <f>[1]MKT!I39+[1]MKT!I40</f>
        <v>0</v>
      </c>
      <c r="Q37" s="178">
        <f>[1]MKT!J39+[1]MKT!J40</f>
        <v>0</v>
      </c>
      <c r="R37" s="178">
        <f>[1]MKT!K39+[1]MKT!K40</f>
        <v>0</v>
      </c>
      <c r="S37" s="178"/>
      <c r="T37" s="178">
        <f>[1]MKT!T45-[1]MKT!T43</f>
        <v>0</v>
      </c>
      <c r="U37" s="178">
        <f>[1]MKT!U45-[1]MKT!U43</f>
        <v>0</v>
      </c>
      <c r="V37" s="178">
        <f>[1]MKT!V45-[1]MKT!V43</f>
        <v>0</v>
      </c>
      <c r="W37" s="178">
        <f>[1]MKT!W45-[1]MKT!W43</f>
        <v>0</v>
      </c>
      <c r="X37" s="178">
        <f>[1]MKT!X45-[1]MKT!X43</f>
        <v>0</v>
      </c>
      <c r="Y37" s="178">
        <f>[1]MKT!Y45-[1]MKT!Y43</f>
        <v>0</v>
      </c>
      <c r="Z37" s="178">
        <f>[1]MKT!Z45-[1]MKT!Z43</f>
        <v>0</v>
      </c>
      <c r="AA37" s="178">
        <f>[1]MKT!AA45-[1]MKT!AA43</f>
        <v>0</v>
      </c>
      <c r="AB37" s="178">
        <f>[1]MKT!AB45-[1]MKT!AB43</f>
        <v>0</v>
      </c>
      <c r="AC37" s="178">
        <f>[1]MKT!AC45-[1]MKT!AC43</f>
        <v>0</v>
      </c>
      <c r="AD37" s="178">
        <f>[1]MKT!AD45-[1]MKT!AD43</f>
        <v>0</v>
      </c>
      <c r="AE37" s="178">
        <f>[1]MKT!AE45-[1]MKT!AE43</f>
        <v>0</v>
      </c>
      <c r="AF37" s="178"/>
      <c r="AG37" s="178">
        <v>270157675766797</v>
      </c>
      <c r="AH37" s="178">
        <v>287169585310931</v>
      </c>
      <c r="AI37" s="178">
        <v>311759576586856</v>
      </c>
      <c r="AJ37" s="178">
        <v>338394519427355</v>
      </c>
      <c r="AK37" s="178">
        <v>368393985356586</v>
      </c>
      <c r="AL37" s="123"/>
      <c r="AM37" s="489"/>
      <c r="AN37" s="490"/>
      <c r="AO37" s="473"/>
    </row>
    <row r="38" spans="2:41" s="125" customFormat="1" outlineLevel="1">
      <c r="B38" s="142"/>
      <c r="C38" s="143"/>
      <c r="D38" s="143"/>
      <c r="E38" s="143"/>
      <c r="F38" s="129" t="str">
        <f>IF(B1="EN", "Growth (%)", "Tăng trưởng (%)")</f>
        <v>Tăng trưởng (%)</v>
      </c>
      <c r="G38" s="130"/>
      <c r="H38" s="130"/>
      <c r="I38" s="130"/>
      <c r="J38" s="130"/>
      <c r="K38" s="131"/>
      <c r="L38" s="131"/>
      <c r="M38" s="131"/>
      <c r="N38" s="131">
        <f>IFERROR(N37/M37-1,)</f>
        <v>0</v>
      </c>
      <c r="O38" s="131">
        <f t="shared" ref="O38" si="36">IFERROR(O37/N37-1,)</f>
        <v>0</v>
      </c>
      <c r="P38" s="131">
        <f>IFERROR(P37/O37-1,)</f>
        <v>0</v>
      </c>
      <c r="Q38" s="131">
        <f>IFERROR(Q37/O37-1,)</f>
        <v>0</v>
      </c>
      <c r="R38" s="131">
        <f>IFERROR(R37/Q37-1,)</f>
        <v>0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251">
        <v>882316405029.06006</v>
      </c>
      <c r="AH38" s="251">
        <v>6297029871851.3203</v>
      </c>
      <c r="AI38" s="251">
        <v>8562881493630.4502</v>
      </c>
      <c r="AJ38" s="251">
        <v>854342411293.29004</v>
      </c>
      <c r="AK38" s="251">
        <v>886523398192.06995</v>
      </c>
      <c r="AL38" s="144"/>
      <c r="AM38" s="196"/>
      <c r="AN38" s="474"/>
      <c r="AO38" s="473"/>
    </row>
    <row r="39" spans="2:41" s="214" customFormat="1" outlineLevel="1">
      <c r="B39" s="126"/>
      <c r="C39" s="128"/>
      <c r="D39" s="209" t="str">
        <f>IF(B1="EN", "Operating Expenses (MKT)", "Chi phí hoạt động (Bán hàng)")</f>
        <v>Chi phí hoạt động (Bán hàng)</v>
      </c>
      <c r="E39" s="128"/>
      <c r="F39" s="250"/>
      <c r="G39" s="182"/>
      <c r="H39" s="182"/>
      <c r="I39" s="182"/>
      <c r="J39" s="182"/>
      <c r="K39" s="178"/>
      <c r="L39" s="178"/>
      <c r="M39" s="178"/>
      <c r="N39" s="177">
        <f>[1]MKT!G37</f>
        <v>1864168000</v>
      </c>
      <c r="O39" s="177">
        <f>[1]MKT!H37</f>
        <v>1630000000</v>
      </c>
      <c r="P39" s="177">
        <f>[1]MKT!I37</f>
        <v>0</v>
      </c>
      <c r="Q39" s="177">
        <f>[1]MKT!J37</f>
        <v>0</v>
      </c>
      <c r="R39" s="177">
        <f>[1]MKT!K37</f>
        <v>0</v>
      </c>
      <c r="S39" s="178"/>
      <c r="T39" s="178">
        <f>[1]MKT!T37</f>
        <v>0</v>
      </c>
      <c r="U39" s="178">
        <f>[1]MKT!U37</f>
        <v>0</v>
      </c>
      <c r="V39" s="178">
        <f>[1]MKT!V37</f>
        <v>0</v>
      </c>
      <c r="W39" s="178">
        <f>[1]MKT!W37</f>
        <v>0</v>
      </c>
      <c r="X39" s="178">
        <f>[1]MKT!X37</f>
        <v>0</v>
      </c>
      <c r="Y39" s="178">
        <f>[1]MKT!Y37</f>
        <v>0</v>
      </c>
      <c r="Z39" s="178">
        <f>[1]MKT!Z37</f>
        <v>0</v>
      </c>
      <c r="AA39" s="178">
        <f>[1]MKT!AA37</f>
        <v>0</v>
      </c>
      <c r="AB39" s="178">
        <f>[1]MKT!AB37</f>
        <v>0</v>
      </c>
      <c r="AC39" s="178">
        <f>[1]MKT!AC37</f>
        <v>0</v>
      </c>
      <c r="AD39" s="178">
        <f>[1]MKT!AD37</f>
        <v>0</v>
      </c>
      <c r="AE39" s="178">
        <f>[1]MKT!AE37</f>
        <v>0</v>
      </c>
      <c r="AF39" s="178"/>
      <c r="AG39" s="178">
        <v>113644513893249</v>
      </c>
      <c r="AH39" s="178">
        <v>138084910855454</v>
      </c>
      <c r="AI39" s="178">
        <v>151410435471037</v>
      </c>
      <c r="AJ39" s="178">
        <v>166006225370271</v>
      </c>
      <c r="AK39" s="178">
        <v>181261685977154</v>
      </c>
      <c r="AL39" s="123"/>
      <c r="AM39" s="489"/>
      <c r="AN39" s="480"/>
      <c r="AO39" s="473"/>
    </row>
    <row r="40" spans="2:41" s="125" customFormat="1" outlineLevel="1">
      <c r="B40" s="126"/>
      <c r="C40" s="128"/>
      <c r="D40" s="128"/>
      <c r="E40" s="128"/>
      <c r="F40" s="129" t="str">
        <f>IF(B1="EN", "Growth (%)", "Tăng trưởng (%)")</f>
        <v>Tăng trưởng (%)</v>
      </c>
      <c r="G40" s="130"/>
      <c r="H40" s="130"/>
      <c r="I40" s="130"/>
      <c r="J40" s="130"/>
      <c r="K40" s="131"/>
      <c r="L40" s="131"/>
      <c r="M40" s="131"/>
      <c r="N40" s="131">
        <f>IFERROR(N39/M39-1,)</f>
        <v>0</v>
      </c>
      <c r="O40" s="131">
        <f t="shared" ref="O40" si="37">IFERROR(O39/N39-1,)</f>
        <v>-0.12561528789250753</v>
      </c>
      <c r="P40" s="131">
        <f>IFERROR(P39/O39-1,)</f>
        <v>-1</v>
      </c>
      <c r="Q40" s="131">
        <f>IFERROR(Q39/O39-1,)</f>
        <v>-1</v>
      </c>
      <c r="R40" s="131">
        <f>IFERROR(R39/Q39-1,)</f>
        <v>0</v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251" t="e">
        <f>AG39/Q39-1</f>
        <v>#DIV/0!</v>
      </c>
      <c r="AH40" s="251">
        <f t="shared" ref="AH40:AK40" si="38">AH39/AG39-1</f>
        <v>0.21506006867311589</v>
      </c>
      <c r="AI40" s="251">
        <f t="shared" si="38"/>
        <v>9.6502395033821076E-2</v>
      </c>
      <c r="AJ40" s="251">
        <f t="shared" si="38"/>
        <v>9.6398837067118714E-2</v>
      </c>
      <c r="AK40" s="251">
        <f t="shared" si="38"/>
        <v>9.1896918762270685E-2</v>
      </c>
      <c r="AL40" s="123"/>
      <c r="AM40" s="196"/>
      <c r="AN40" s="474"/>
      <c r="AO40" s="473"/>
    </row>
    <row r="41" spans="2:41" s="125" customFormat="1" outlineLevel="1">
      <c r="C41" s="128"/>
      <c r="D41" s="209" t="str">
        <f>IF(B1="EN", "Depreciation &amp; Amortization (MKT)", "Chi phí khấu hao (Bán hàng)")</f>
        <v>Chi phí khấu hao (Bán hàng)</v>
      </c>
      <c r="E41" s="128"/>
      <c r="F41" s="252"/>
      <c r="G41" s="253"/>
      <c r="H41" s="253"/>
      <c r="I41" s="253"/>
      <c r="J41" s="253"/>
      <c r="K41" s="254"/>
      <c r="L41" s="254"/>
      <c r="M41" s="254"/>
      <c r="N41" s="254"/>
      <c r="O41" s="178">
        <f>[1]MKT!H43+[1]MKT!H44</f>
        <v>0</v>
      </c>
      <c r="P41" s="178">
        <f>[1]MKT!I43+[1]MKT!I44</f>
        <v>0</v>
      </c>
      <c r="Q41" s="178">
        <f>[1]MKT!J43+[1]MKT!J44</f>
        <v>0</v>
      </c>
      <c r="R41" s="255">
        <f>[1]Depreciation!L38</f>
        <v>0</v>
      </c>
      <c r="S41" s="255"/>
      <c r="T41" s="256">
        <f>[1]MKT!T43</f>
        <v>0</v>
      </c>
      <c r="U41" s="256">
        <f>[1]MKT!U43</f>
        <v>0</v>
      </c>
      <c r="V41" s="256">
        <f>[1]MKT!V43</f>
        <v>0</v>
      </c>
      <c r="W41" s="256">
        <f>[1]MKT!W43</f>
        <v>0</v>
      </c>
      <c r="X41" s="256">
        <f>[1]MKT!X43</f>
        <v>0</v>
      </c>
      <c r="Y41" s="256">
        <f>[1]MKT!Y43</f>
        <v>0</v>
      </c>
      <c r="Z41" s="256">
        <f>[1]MKT!Z43</f>
        <v>0</v>
      </c>
      <c r="AA41" s="256">
        <f>[1]MKT!AA43</f>
        <v>0</v>
      </c>
      <c r="AB41" s="256">
        <f>[1]MKT!AB43</f>
        <v>0</v>
      </c>
      <c r="AC41" s="256">
        <f>[1]MKT!AC43</f>
        <v>0</v>
      </c>
      <c r="AD41" s="256">
        <f>[1]MKT!AD43</f>
        <v>0</v>
      </c>
      <c r="AE41" s="256">
        <f>[1]MKT!AE43</f>
        <v>0</v>
      </c>
      <c r="AF41" s="255"/>
      <c r="AG41" s="178">
        <v>22713234627</v>
      </c>
      <c r="AH41" s="178">
        <v>18199319125</v>
      </c>
      <c r="AI41" s="178">
        <v>15502533795</v>
      </c>
      <c r="AJ41" s="178">
        <v>12892947447</v>
      </c>
      <c r="AK41" s="178">
        <v>11701536087</v>
      </c>
      <c r="AL41" s="123"/>
      <c r="AM41" s="196"/>
      <c r="AN41" s="491"/>
      <c r="AO41" s="473"/>
    </row>
    <row r="42" spans="2:41" s="227" customFormat="1" outlineLevel="1">
      <c r="B42" s="223"/>
      <c r="C42" s="164" t="str">
        <f>IF(B1="EN", "MKT Expenses on Net Sales (%)", "Chi phí Bán hàng / Doanh thu (%)")</f>
        <v>Chi phí Bán hàng / Doanh thu (%)</v>
      </c>
      <c r="D42" s="224"/>
      <c r="E42" s="224"/>
      <c r="F42" s="225"/>
      <c r="G42" s="167"/>
      <c r="H42" s="167"/>
      <c r="I42" s="167"/>
      <c r="J42" s="167"/>
      <c r="K42" s="168"/>
      <c r="L42" s="168"/>
      <c r="M42" s="168"/>
      <c r="N42" s="168">
        <f>IFERROR(N36/N7,)</f>
        <v>2.7103544533992736E-2</v>
      </c>
      <c r="O42" s="168">
        <f t="shared" ref="O42:R42" si="39">IFERROR(O36/O7,)</f>
        <v>1.3071771156787974E-2</v>
      </c>
      <c r="P42" s="168">
        <f>IFERROR(P36/P7,)</f>
        <v>0</v>
      </c>
      <c r="Q42" s="168">
        <f>IFERROR(Q36/Q7,)</f>
        <v>0</v>
      </c>
      <c r="R42" s="168">
        <f t="shared" si="39"/>
        <v>0</v>
      </c>
      <c r="S42" s="168"/>
      <c r="T42" s="168">
        <f>T36/T7</f>
        <v>0</v>
      </c>
      <c r="U42" s="168">
        <f t="shared" ref="U42:AE42" si="40">U36/U7</f>
        <v>0</v>
      </c>
      <c r="V42" s="168">
        <f t="shared" si="40"/>
        <v>0</v>
      </c>
      <c r="W42" s="168">
        <f t="shared" si="40"/>
        <v>0</v>
      </c>
      <c r="X42" s="168">
        <f t="shared" si="40"/>
        <v>0</v>
      </c>
      <c r="Y42" s="168">
        <f t="shared" si="40"/>
        <v>0</v>
      </c>
      <c r="Z42" s="168">
        <f t="shared" si="40"/>
        <v>0</v>
      </c>
      <c r="AA42" s="168">
        <f t="shared" si="40"/>
        <v>0</v>
      </c>
      <c r="AB42" s="168">
        <f t="shared" si="40"/>
        <v>0</v>
      </c>
      <c r="AC42" s="168">
        <f t="shared" si="40"/>
        <v>0</v>
      </c>
      <c r="AD42" s="168">
        <f t="shared" si="40"/>
        <v>0</v>
      </c>
      <c r="AE42" s="168">
        <f t="shared" si="40"/>
        <v>0</v>
      </c>
      <c r="AF42" s="168"/>
      <c r="AG42" s="168">
        <f t="shared" ref="AG42:AK42" si="41">AG36/AG7</f>
        <v>0.61994962833345968</v>
      </c>
      <c r="AH42" s="168">
        <f t="shared" si="41"/>
        <v>0.62578820249949663</v>
      </c>
      <c r="AI42" s="168">
        <f t="shared" si="41"/>
        <v>0.61303607990494846</v>
      </c>
      <c r="AJ42" s="168">
        <f t="shared" si="41"/>
        <v>0.60136329333149141</v>
      </c>
      <c r="AK42" s="168">
        <f t="shared" si="41"/>
        <v>0.5937417033759449</v>
      </c>
      <c r="AL42" s="226"/>
      <c r="AM42" s="489"/>
      <c r="AN42" s="310"/>
      <c r="AO42" s="473"/>
    </row>
    <row r="43" spans="2:41">
      <c r="B43" s="171" t="str">
        <f>IF(B1="en","GENERAL &amp; ADMINISTRATION EXPENSES (ADM)","CHI PHÍ QUẢN LÝ")</f>
        <v>CHI PHÍ QUẢN LÝ</v>
      </c>
      <c r="C43" s="172"/>
      <c r="D43" s="172"/>
      <c r="E43" s="172"/>
      <c r="F43" s="239"/>
      <c r="G43" s="175"/>
      <c r="H43" s="175"/>
      <c r="I43" s="175"/>
      <c r="J43" s="175"/>
      <c r="K43" s="175"/>
      <c r="L43" s="175"/>
      <c r="M43" s="175"/>
      <c r="N43" s="176">
        <f t="shared" ref="N43:O43" si="42">N44+N46+N48</f>
        <v>4726260715</v>
      </c>
      <c r="O43" s="176">
        <f t="shared" si="42"/>
        <v>2854734951</v>
      </c>
      <c r="P43" s="176">
        <f>P44+P46+P48</f>
        <v>4126442350.8333335</v>
      </c>
      <c r="Q43" s="176">
        <f>Q44+Q46+Q48</f>
        <v>3920474154</v>
      </c>
      <c r="R43" s="176">
        <f>R44+R46+R48</f>
        <v>6204555456.9343004</v>
      </c>
      <c r="S43" s="177"/>
      <c r="T43" s="176">
        <f t="shared" ref="T43:AE43" si="43">T44+T46+T48</f>
        <v>551637414.9685992</v>
      </c>
      <c r="U43" s="176">
        <f t="shared" si="43"/>
        <v>485460253.63526577</v>
      </c>
      <c r="V43" s="176">
        <f t="shared" si="43"/>
        <v>514719819.30193239</v>
      </c>
      <c r="W43" s="176">
        <f t="shared" si="43"/>
        <v>519555439.74637687</v>
      </c>
      <c r="X43" s="176">
        <f t="shared" si="43"/>
        <v>501046234.24637687</v>
      </c>
      <c r="Y43" s="176">
        <f t="shared" si="43"/>
        <v>663867383.49082136</v>
      </c>
      <c r="Z43" s="176">
        <f t="shared" si="43"/>
        <v>488645507.29082125</v>
      </c>
      <c r="AA43" s="176">
        <f t="shared" si="43"/>
        <v>519020507.09082133</v>
      </c>
      <c r="AB43" s="176">
        <f t="shared" si="43"/>
        <v>497692983.79082137</v>
      </c>
      <c r="AC43" s="176">
        <f t="shared" si="43"/>
        <v>479216937.12415463</v>
      </c>
      <c r="AD43" s="176">
        <f t="shared" si="43"/>
        <v>494762426.12415463</v>
      </c>
      <c r="AE43" s="176">
        <f t="shared" si="43"/>
        <v>488930550.12415463</v>
      </c>
      <c r="AF43" s="178"/>
      <c r="AG43" s="175">
        <f>AG44+AG46+AG48</f>
        <v>317910418663708</v>
      </c>
      <c r="AH43" s="175">
        <f t="shared" ref="AH43:AK43" si="44">AH44+AH46+AH48</f>
        <v>351184385321662</v>
      </c>
      <c r="AI43" s="175">
        <f t="shared" si="44"/>
        <v>381071966254553</v>
      </c>
      <c r="AJ43" s="175">
        <f t="shared" si="44"/>
        <v>409610799944675</v>
      </c>
      <c r="AK43" s="175">
        <f t="shared" si="44"/>
        <v>443470078085952</v>
      </c>
      <c r="AL43" s="162"/>
      <c r="AM43" s="483"/>
      <c r="AN43" s="480"/>
      <c r="AO43" s="473"/>
    </row>
    <row r="44" spans="2:41" s="214" customFormat="1" outlineLevel="1">
      <c r="B44" s="126"/>
      <c r="C44" s="128"/>
      <c r="D44" s="209" t="str">
        <f>IF(B1="EN", "Salary&amp;Welfare Expenses (ADM)", "Lương &amp; Phúc lợi (Quản lý)")</f>
        <v>Lương &amp; Phúc lợi (Quản lý)</v>
      </c>
      <c r="E44" s="128"/>
      <c r="F44" s="250"/>
      <c r="G44" s="182"/>
      <c r="H44" s="182"/>
      <c r="I44" s="182"/>
      <c r="J44" s="182"/>
      <c r="K44" s="178"/>
      <c r="L44" s="178"/>
      <c r="M44" s="178"/>
      <c r="N44" s="177">
        <v>2423478070</v>
      </c>
      <c r="O44" s="177">
        <v>1683906640</v>
      </c>
      <c r="P44" s="177">
        <f>[1]ADM!I45</f>
        <v>2894287550</v>
      </c>
      <c r="Q44" s="177">
        <f>[1]ADM!J45</f>
        <v>2824889563</v>
      </c>
      <c r="R44" s="177">
        <f>SUM(T44:AE44)</f>
        <v>4743544772</v>
      </c>
      <c r="S44" s="177"/>
      <c r="T44" s="177">
        <f>[1]ADM!T45-[1]ADM!T43</f>
        <v>431982954.06666666</v>
      </c>
      <c r="U44" s="177">
        <f>[1]ADM!U45-[1]ADM!U43</f>
        <v>377389126.06666666</v>
      </c>
      <c r="V44" s="177">
        <f>[1]ADM!V45-[1]ADM!V43</f>
        <v>361244525.06666666</v>
      </c>
      <c r="W44" s="177">
        <f>[1]ADM!W45-[1]ADM!W43</f>
        <v>384144474.06666666</v>
      </c>
      <c r="X44" s="177">
        <f>[1]ADM!X45-[1]ADM!X43</f>
        <v>371322768.56666666</v>
      </c>
      <c r="Y44" s="177">
        <f>[1]ADM!Y45-[1]ADM!Y43</f>
        <v>549449473.36666667</v>
      </c>
      <c r="Z44" s="177">
        <f>[1]ADM!Z45-[1]ADM!Z43</f>
        <v>377227597.16666663</v>
      </c>
      <c r="AA44" s="177">
        <f>[1]ADM!AA45-[1]ADM!AA43</f>
        <v>377227596.9666667</v>
      </c>
      <c r="AB44" s="177">
        <f>[1]ADM!AB45-[1]ADM!AB43</f>
        <v>382531323.66666669</v>
      </c>
      <c r="AC44" s="177">
        <f>[1]ADM!AC45-[1]ADM!AC43</f>
        <v>369255277</v>
      </c>
      <c r="AD44" s="177">
        <f>[1]ADM!AD45-[1]ADM!AD43</f>
        <v>384800766</v>
      </c>
      <c r="AE44" s="177">
        <f>[1]ADM!AE45-[1]ADM!AE43</f>
        <v>376968890</v>
      </c>
      <c r="AF44" s="178"/>
      <c r="AG44" s="178">
        <v>189485423854352</v>
      </c>
      <c r="AH44" s="178">
        <v>198970731952184</v>
      </c>
      <c r="AI44" s="178">
        <v>213100080601587</v>
      </c>
      <c r="AJ44" s="178">
        <v>224382758943996</v>
      </c>
      <c r="AK44" s="178">
        <v>240199052340779</v>
      </c>
      <c r="AL44" s="123"/>
      <c r="AM44" s="492"/>
      <c r="AN44" s="480"/>
      <c r="AO44" s="473"/>
    </row>
    <row r="45" spans="2:41" s="125" customFormat="1" outlineLevel="1">
      <c r="B45" s="126"/>
      <c r="C45" s="128"/>
      <c r="D45" s="128"/>
      <c r="E45" s="128"/>
      <c r="F45" s="129" t="str">
        <f>IF(B1="EN", "Growth (%)", "Tăng trưởng (%)")</f>
        <v>Tăng trưởng (%)</v>
      </c>
      <c r="G45" s="182"/>
      <c r="H45" s="130"/>
      <c r="I45" s="130"/>
      <c r="J45" s="130"/>
      <c r="K45" s="131"/>
      <c r="L45" s="131"/>
      <c r="M45" s="131"/>
      <c r="N45" s="131">
        <f>IFERROR(N44/M44-1,)</f>
        <v>0</v>
      </c>
      <c r="O45" s="131">
        <f t="shared" ref="O45" si="45">IFERROR(O44/N44-1,)</f>
        <v>-0.30516943361488724</v>
      </c>
      <c r="P45" s="131">
        <f>IFERROR(P44/O44-1,)</f>
        <v>0.71879335899524688</v>
      </c>
      <c r="Q45" s="131">
        <f>IFERROR(Q44/O44-1,)</f>
        <v>0.67758086814124097</v>
      </c>
      <c r="R45" s="131">
        <f>IFERROR(R44/Q44-1,)</f>
        <v>0.67919653714264516</v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251">
        <v>882316405029.06006</v>
      </c>
      <c r="AH45" s="251">
        <v>6297029871851.3203</v>
      </c>
      <c r="AI45" s="251">
        <v>8562881493630.4502</v>
      </c>
      <c r="AJ45" s="251">
        <v>854342411293.29004</v>
      </c>
      <c r="AK45" s="251">
        <v>886523398192.06995</v>
      </c>
      <c r="AL45" s="123"/>
      <c r="AM45" s="196"/>
      <c r="AN45" s="474"/>
      <c r="AO45" s="473"/>
    </row>
    <row r="46" spans="2:41" s="214" customFormat="1" outlineLevel="1">
      <c r="B46" s="126"/>
      <c r="C46" s="128"/>
      <c r="D46" s="209" t="str">
        <f>IF(B1="EN", "Operating Expenses (ADM)", "Chi phí hoạt động (Quản lý)")</f>
        <v>Chi phí hoạt động (Quản lý)</v>
      </c>
      <c r="E46" s="128"/>
      <c r="F46" s="250"/>
      <c r="G46" s="182"/>
      <c r="H46" s="182"/>
      <c r="I46" s="182"/>
      <c r="J46" s="182"/>
      <c r="K46" s="178"/>
      <c r="L46" s="178"/>
      <c r="M46" s="178"/>
      <c r="N46" s="177">
        <v>2210131179</v>
      </c>
      <c r="O46" s="177">
        <v>1084726845</v>
      </c>
      <c r="P46" s="177">
        <f>[1]ADM!I37</f>
        <v>1146053334.8333335</v>
      </c>
      <c r="Q46" s="177">
        <f>[1]ADM!J37</f>
        <v>1009483127</v>
      </c>
      <c r="R46" s="177">
        <f>[1]ADM!K37</f>
        <v>1429289092.723774</v>
      </c>
      <c r="S46" s="178"/>
      <c r="T46" s="177">
        <f>[1]ADM!T37</f>
        <v>117010994.88438857</v>
      </c>
      <c r="U46" s="177">
        <f>[1]ADM!U37</f>
        <v>105427661.55105525</v>
      </c>
      <c r="V46" s="177">
        <f>[1]ADM!V37</f>
        <v>150831828.21772191</v>
      </c>
      <c r="W46" s="177">
        <f>[1]ADM!W37</f>
        <v>132767499.66216636</v>
      </c>
      <c r="X46" s="177">
        <f>[1]ADM!X37</f>
        <v>127079999.66216636</v>
      </c>
      <c r="Y46" s="177">
        <f>[1]ADM!Y37</f>
        <v>111774444.1066108</v>
      </c>
      <c r="Z46" s="177">
        <f>[1]ADM!Z37</f>
        <v>108774444.1066108</v>
      </c>
      <c r="AA46" s="177">
        <f>[1]ADM!AA37</f>
        <v>139149444.1066108</v>
      </c>
      <c r="AB46" s="177">
        <f>[1]ADM!AB37</f>
        <v>112518194.1066108</v>
      </c>
      <c r="AC46" s="177">
        <f>[1]ADM!AC37</f>
        <v>107318194.1066108</v>
      </c>
      <c r="AD46" s="177">
        <f>[1]ADM!AD37</f>
        <v>107318194.1066108</v>
      </c>
      <c r="AE46" s="177">
        <f>[1]ADM!AE37</f>
        <v>109318194.1066108</v>
      </c>
      <c r="AF46" s="178"/>
      <c r="AG46" s="178">
        <v>128416183705295</v>
      </c>
      <c r="AH46" s="178">
        <v>152205862380305</v>
      </c>
      <c r="AI46" s="178">
        <v>167965498397799</v>
      </c>
      <c r="AJ46" s="178">
        <v>185227433130991</v>
      </c>
      <c r="AK46" s="178">
        <v>203269537541841</v>
      </c>
      <c r="AL46" s="123"/>
      <c r="AM46" s="489"/>
      <c r="AN46" s="480"/>
      <c r="AO46" s="473"/>
    </row>
    <row r="47" spans="2:41" s="125" customFormat="1" outlineLevel="1">
      <c r="B47" s="126"/>
      <c r="C47" s="128"/>
      <c r="D47" s="128"/>
      <c r="E47" s="128"/>
      <c r="F47" s="129" t="str">
        <f>IF(B1="EN", "Growth (%)", "Tăng trưởng (%)")</f>
        <v>Tăng trưởng (%)</v>
      </c>
      <c r="G47" s="182"/>
      <c r="H47" s="130"/>
      <c r="I47" s="130"/>
      <c r="J47" s="130"/>
      <c r="K47" s="131"/>
      <c r="L47" s="131"/>
      <c r="M47" s="131"/>
      <c r="N47" s="131">
        <f>IFERROR(N46/M46-1,)</f>
        <v>0</v>
      </c>
      <c r="O47" s="131">
        <f t="shared" ref="O47" si="46">IFERROR(O46/N46-1,)</f>
        <v>-0.50920250557670632</v>
      </c>
      <c r="P47" s="131">
        <f>IFERROR(P46/O46-1,)</f>
        <v>5.6536343795689392E-2</v>
      </c>
      <c r="Q47" s="131">
        <f>IFERROR(Q46/O46-1,)</f>
        <v>-6.9366512266966107E-2</v>
      </c>
      <c r="R47" s="131">
        <f>IFERROR(R46/Q46-1,)</f>
        <v>0.41586229080555404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251">
        <v>6565991010430.3604</v>
      </c>
      <c r="AH47" s="251">
        <v>6525416959720.9805</v>
      </c>
      <c r="AI47" s="251">
        <v>6335335018549.9404</v>
      </c>
      <c r="AJ47" s="251">
        <v>6167189288903.6797</v>
      </c>
      <c r="AK47" s="251">
        <v>6063688714070.4805</v>
      </c>
      <c r="AL47" s="123"/>
      <c r="AM47" s="196"/>
      <c r="AN47" s="474"/>
      <c r="AO47" s="473"/>
    </row>
    <row r="48" spans="2:41" s="125" customFormat="1" outlineLevel="1">
      <c r="B48" s="126"/>
      <c r="C48" s="128"/>
      <c r="D48" s="209" t="str">
        <f>IF(B1="EN", "Depreciation &amp; Amortization (ADM)", "Chi phí khấu hao (Quản lý)")</f>
        <v>Chi phí khấu hao (Quản lý)</v>
      </c>
      <c r="E48" s="128"/>
      <c r="F48" s="129"/>
      <c r="G48" s="182"/>
      <c r="H48" s="130"/>
      <c r="I48" s="130"/>
      <c r="J48" s="130"/>
      <c r="K48" s="254"/>
      <c r="L48" s="254"/>
      <c r="M48" s="254"/>
      <c r="N48" s="177">
        <f>[1]Depreciation!H39</f>
        <v>92651466</v>
      </c>
      <c r="O48" s="177">
        <f>[1]Depreciation!I39</f>
        <v>86101466</v>
      </c>
      <c r="P48" s="177">
        <f>-[1]Depreciation!J39</f>
        <v>86101466</v>
      </c>
      <c r="Q48" s="177">
        <f>-[1]Depreciation!K39</f>
        <v>86101464</v>
      </c>
      <c r="R48" s="177">
        <f>-[1]Depreciation!L39</f>
        <v>31721592.210526317</v>
      </c>
      <c r="S48" s="254"/>
      <c r="T48" s="177">
        <f>-[1]ADM!T43</f>
        <v>2643466.0175438598</v>
      </c>
      <c r="U48" s="177">
        <f>-[1]ADM!U43</f>
        <v>2643466.0175438598</v>
      </c>
      <c r="V48" s="177">
        <f>-[1]ADM!V43</f>
        <v>2643466.0175438598</v>
      </c>
      <c r="W48" s="177">
        <f>-[1]ADM!W43</f>
        <v>2643466.0175438598</v>
      </c>
      <c r="X48" s="177">
        <f>-[1]ADM!X43</f>
        <v>2643466.0175438598</v>
      </c>
      <c r="Y48" s="177">
        <f>-[1]ADM!Y43</f>
        <v>2643466.0175438598</v>
      </c>
      <c r="Z48" s="177">
        <f>-[1]ADM!Z43</f>
        <v>2643466.0175438598</v>
      </c>
      <c r="AA48" s="177">
        <f>-[1]ADM!AA43</f>
        <v>2643466.0175438598</v>
      </c>
      <c r="AB48" s="177">
        <f>-[1]ADM!AB43</f>
        <v>2643466.0175438598</v>
      </c>
      <c r="AC48" s="177">
        <f>-[1]ADM!AC43</f>
        <v>2643466.0175438598</v>
      </c>
      <c r="AD48" s="177">
        <f>-[1]ADM!AD43</f>
        <v>2643466.0175438598</v>
      </c>
      <c r="AE48" s="177">
        <f>-[1]ADM!AE43</f>
        <v>2643466.0175438598</v>
      </c>
      <c r="AF48" s="254"/>
      <c r="AG48" s="260">
        <v>8811104061</v>
      </c>
      <c r="AH48" s="260">
        <v>7790989173</v>
      </c>
      <c r="AI48" s="260">
        <v>6387255167</v>
      </c>
      <c r="AJ48" s="260">
        <v>607869688</v>
      </c>
      <c r="AK48" s="260">
        <v>1488203332</v>
      </c>
      <c r="AL48" s="123"/>
      <c r="AM48" s="196"/>
      <c r="AN48" s="480"/>
      <c r="AO48" s="473"/>
    </row>
    <row r="49" spans="2:45" s="170" customFormat="1" outlineLevel="1">
      <c r="B49" s="163"/>
      <c r="C49" s="164" t="str">
        <f>IF(B1="EN", "ADM Expenses on Net Sales (%)", "Chi phí Quản lý / Doanh thu (%)")</f>
        <v>Chi phí Quản lý / Doanh thu (%)</v>
      </c>
      <c r="D49" s="165"/>
      <c r="E49" s="165"/>
      <c r="F49" s="166"/>
      <c r="G49" s="167"/>
      <c r="H49" s="167"/>
      <c r="I49" s="167"/>
      <c r="J49" s="167"/>
      <c r="K49" s="168"/>
      <c r="L49" s="168"/>
      <c r="M49" s="168"/>
      <c r="N49" s="168">
        <f t="shared" ref="N49:O49" si="47">IFERROR(N43/N7,)</f>
        <v>6.8716133829280865E-2</v>
      </c>
      <c r="O49" s="168">
        <f t="shared" si="47"/>
        <v>2.2893522694942534E-2</v>
      </c>
      <c r="P49" s="168">
        <f>IFERROR(P43/P7,)</f>
        <v>2.156418967903757E-2</v>
      </c>
      <c r="Q49" s="168">
        <f>IFERROR(Q43/Q7,)</f>
        <v>2.254082877867819E-2</v>
      </c>
      <c r="R49" s="168">
        <f>IFERROR(R43/R7,)</f>
        <v>3.4257499258500038E-2</v>
      </c>
      <c r="S49" s="168"/>
      <c r="T49" s="168">
        <f>T43/T7</f>
        <v>4.7905074748892565E-2</v>
      </c>
      <c r="U49" s="168">
        <f t="shared" ref="U49:AE49" si="48">U43/U7</f>
        <v>5.4203328377530099E-2</v>
      </c>
      <c r="V49" s="168">
        <f t="shared" si="48"/>
        <v>4.022918256518046E-2</v>
      </c>
      <c r="W49" s="168">
        <f t="shared" si="48"/>
        <v>3.2524431943244933E-2</v>
      </c>
      <c r="X49" s="168">
        <f t="shared" si="48"/>
        <v>3.1365746366009611E-2</v>
      </c>
      <c r="Y49" s="168">
        <f t="shared" si="48"/>
        <v>4.1558432232424489E-2</v>
      </c>
      <c r="Z49" s="168">
        <f t="shared" si="48"/>
        <v>3.0589454619146913E-2</v>
      </c>
      <c r="AA49" s="168">
        <f t="shared" si="48"/>
        <v>3.2490944889854968E-2</v>
      </c>
      <c r="AB49" s="168">
        <f t="shared" si="48"/>
        <v>3.1155831200298689E-2</v>
      </c>
      <c r="AC49" s="168">
        <f t="shared" si="48"/>
        <v>2.7645437704872575E-2</v>
      </c>
      <c r="AD49" s="168">
        <f t="shared" si="48"/>
        <v>2.8542237910475367E-2</v>
      </c>
      <c r="AE49" s="168">
        <f t="shared" si="48"/>
        <v>2.8205804132428885E-2</v>
      </c>
      <c r="AF49" s="168"/>
      <c r="AG49" s="168">
        <f t="shared" ref="AG49:AK49" si="49">AG43/AG7</f>
        <v>0.51348530125984082</v>
      </c>
      <c r="AH49" s="168">
        <f t="shared" si="49"/>
        <v>0.51676735320483658</v>
      </c>
      <c r="AI49" s="168">
        <f t="shared" si="49"/>
        <v>0.50435701677824918</v>
      </c>
      <c r="AJ49" s="168">
        <f t="shared" si="49"/>
        <v>0.48833909554873545</v>
      </c>
      <c r="AK49" s="168">
        <f t="shared" si="49"/>
        <v>0.47902912298448008</v>
      </c>
      <c r="AL49" s="169"/>
      <c r="AM49" s="196"/>
      <c r="AN49" s="310"/>
      <c r="AO49" s="473"/>
    </row>
    <row r="50" spans="2:45" s="192" customFormat="1" outlineLevel="1">
      <c r="B50" s="142"/>
      <c r="C50" s="237"/>
      <c r="E50" s="143"/>
      <c r="F50" s="188"/>
      <c r="G50" s="261"/>
      <c r="H50" s="261"/>
      <c r="I50" s="261"/>
      <c r="J50" s="261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144"/>
      <c r="AM50" s="493"/>
      <c r="AN50" s="494"/>
      <c r="AO50" s="473"/>
    </row>
    <row r="51" spans="2:45" s="141" customFormat="1">
      <c r="B51" s="243" t="s">
        <v>111</v>
      </c>
      <c r="C51" s="264"/>
      <c r="D51" s="264"/>
      <c r="E51" s="264"/>
      <c r="F51" s="265"/>
      <c r="G51" s="247"/>
      <c r="H51" s="247"/>
      <c r="I51" s="247"/>
      <c r="J51" s="247"/>
      <c r="K51" s="247"/>
      <c r="L51" s="247"/>
      <c r="M51" s="247"/>
      <c r="N51" s="248">
        <f t="shared" ref="N51" si="50">N34-N36-N43</f>
        <v>-22593147034</v>
      </c>
      <c r="O51" s="248">
        <f>O34-O36-O43</f>
        <v>-12372041824.131836</v>
      </c>
      <c r="P51" s="248">
        <f>P34-P36-P43</f>
        <v>-6824147224.8388882</v>
      </c>
      <c r="Q51" s="248">
        <f>Q34-Q36-Q43</f>
        <v>-6735815358.909729</v>
      </c>
      <c r="R51" s="248">
        <f>R34-R36-R43+R57</f>
        <v>-3078315655.7109118</v>
      </c>
      <c r="S51" s="138"/>
      <c r="T51" s="248">
        <f t="shared" ref="T51:AK51" si="51">T34-T36-T43</f>
        <v>-779575645.21043384</v>
      </c>
      <c r="U51" s="248">
        <f t="shared" si="51"/>
        <v>-934118050.57729769</v>
      </c>
      <c r="V51" s="248">
        <f t="shared" si="51"/>
        <v>-585836271.78982258</v>
      </c>
      <c r="W51" s="248">
        <f t="shared" si="51"/>
        <v>-130845894.4926194</v>
      </c>
      <c r="X51" s="248">
        <f t="shared" si="51"/>
        <v>-133257001.47611511</v>
      </c>
      <c r="Y51" s="248">
        <f t="shared" si="51"/>
        <v>-335391631.4861064</v>
      </c>
      <c r="Z51" s="248">
        <f t="shared" si="51"/>
        <v>-186989686.43567866</v>
      </c>
      <c r="AA51" s="248">
        <f t="shared" si="51"/>
        <v>-224615708.5690127</v>
      </c>
      <c r="AB51" s="248">
        <f t="shared" si="51"/>
        <v>-192541687.08525115</v>
      </c>
      <c r="AC51" s="248">
        <f t="shared" si="51"/>
        <v>171523246.39495891</v>
      </c>
      <c r="AD51" s="248">
        <f t="shared" si="51"/>
        <v>116809149.47188228</v>
      </c>
      <c r="AE51" s="248">
        <f t="shared" si="51"/>
        <v>130195410.54453319</v>
      </c>
      <c r="AF51" s="121"/>
      <c r="AG51" s="247">
        <f t="shared" si="51"/>
        <v>-1153920316057375</v>
      </c>
      <c r="AH51" s="247">
        <f t="shared" si="51"/>
        <v>-1326182881835906</v>
      </c>
      <c r="AI51" s="247">
        <f t="shared" si="51"/>
        <v>-1120289784694718</v>
      </c>
      <c r="AJ51" s="247">
        <f t="shared" si="51"/>
        <v>-2007773400657083</v>
      </c>
      <c r="AK51" s="247">
        <f t="shared" si="51"/>
        <v>-2191732968486660</v>
      </c>
      <c r="AL51" s="139"/>
      <c r="AM51" s="483"/>
      <c r="AN51" s="476"/>
      <c r="AO51" s="473"/>
    </row>
    <row r="52" spans="2:45" outlineLevel="1">
      <c r="B52" s="142"/>
      <c r="C52" s="143" t="str">
        <f>IF(B1="EN", "EBIT margin (%)", "Tỷ lệ EBIT (%)")</f>
        <v>Tỷ lệ EBIT (%)</v>
      </c>
      <c r="D52" s="143"/>
      <c r="E52" s="143"/>
      <c r="F52" s="188"/>
      <c r="G52" s="130"/>
      <c r="H52" s="130"/>
      <c r="I52" s="130"/>
      <c r="J52" s="130"/>
      <c r="K52" s="131"/>
      <c r="L52" s="131"/>
      <c r="M52" s="131"/>
      <c r="N52" s="131">
        <f t="shared" ref="N52:O52" si="52">IFERROR(N51/N$7,)</f>
        <v>-0.32848668510513263</v>
      </c>
      <c r="O52" s="131">
        <f t="shared" si="52"/>
        <v>-9.9217484335742956E-2</v>
      </c>
      <c r="P52" s="131">
        <f>IFERROR(P51/P$7,)</f>
        <v>-3.5662004371486075E-2</v>
      </c>
      <c r="Q52" s="131">
        <f>IFERROR(Q51/Q$7,)</f>
        <v>-3.8727678011871158E-2</v>
      </c>
      <c r="R52" s="131">
        <f>IFERROR(R51/R$7,)</f>
        <v>-1.6996446727716351E-2</v>
      </c>
      <c r="S52" s="131"/>
      <c r="T52" s="131">
        <f>T51/T7</f>
        <v>-6.769959495649476E-2</v>
      </c>
      <c r="U52" s="131">
        <f t="shared" ref="U52:AE52" si="53">U51/U7</f>
        <v>-0.10429753426705952</v>
      </c>
      <c r="V52" s="131">
        <f t="shared" si="53"/>
        <v>-4.5787462319015024E-2</v>
      </c>
      <c r="W52" s="131">
        <f t="shared" si="53"/>
        <v>-8.1910188305518248E-3</v>
      </c>
      <c r="X52" s="131">
        <f t="shared" si="53"/>
        <v>-8.3419553408708574E-3</v>
      </c>
      <c r="Y52" s="131">
        <f t="shared" si="53"/>
        <v>-2.0995684883847513E-2</v>
      </c>
      <c r="Z52" s="131">
        <f t="shared" si="53"/>
        <v>-1.1705648455022942E-2</v>
      </c>
      <c r="AA52" s="131">
        <f t="shared" si="53"/>
        <v>-1.4061056372160787E-2</v>
      </c>
      <c r="AB52" s="131">
        <f t="shared" si="53"/>
        <v>-1.205320648918388E-2</v>
      </c>
      <c r="AC52" s="131">
        <f t="shared" si="53"/>
        <v>9.8949658407437302E-3</v>
      </c>
      <c r="AD52" s="131">
        <f t="shared" si="53"/>
        <v>6.7385766547884878E-3</v>
      </c>
      <c r="AE52" s="131">
        <f t="shared" si="53"/>
        <v>7.510813647925595E-3</v>
      </c>
      <c r="AF52" s="131"/>
      <c r="AG52" s="131">
        <f t="shared" ref="AG52:AK52" si="54">AG51/AG$7</f>
        <v>-1.863799002282315</v>
      </c>
      <c r="AH52" s="131">
        <f t="shared" si="54"/>
        <v>-1.9514763365238688</v>
      </c>
      <c r="AI52" s="131">
        <f t="shared" si="54"/>
        <v>-1.482727840857079</v>
      </c>
      <c r="AJ52" s="131">
        <f t="shared" si="54"/>
        <v>-2.3936728393785485</v>
      </c>
      <c r="AK52" s="131">
        <f t="shared" si="54"/>
        <v>-2.3674740948516635</v>
      </c>
      <c r="AL52" s="144"/>
      <c r="AM52" s="196"/>
      <c r="AN52" s="474"/>
      <c r="AO52" s="473"/>
    </row>
    <row r="53" spans="2:45" outlineLevel="1">
      <c r="B53" s="267"/>
      <c r="C53" s="268" t="str">
        <f>IF(B1="EN", "Depreciation &amp; Amortization Total", "Tổng chi phí Khấu hao")</f>
        <v>Tổng chi phí Khấu hao</v>
      </c>
      <c r="D53" s="269"/>
      <c r="E53" s="269"/>
      <c r="F53" s="270"/>
      <c r="G53" s="183"/>
      <c r="H53" s="183"/>
      <c r="I53" s="183"/>
      <c r="J53" s="183"/>
      <c r="K53" s="184"/>
      <c r="L53" s="184"/>
      <c r="M53" s="184"/>
      <c r="N53" s="185">
        <f t="shared" ref="N53" si="55">N30+N48+N41</f>
        <v>3749488106</v>
      </c>
      <c r="O53" s="185">
        <f>O30+O48+O41</f>
        <v>6565282547</v>
      </c>
      <c r="P53" s="185">
        <f>P30+P48+P41</f>
        <v>7741389506.666667</v>
      </c>
      <c r="Q53" s="185">
        <f>Q30+Q48+Q41</f>
        <v>7235848586.666667</v>
      </c>
      <c r="R53" s="185">
        <f>R30+R48+R41</f>
        <v>4587983912.6975937</v>
      </c>
      <c r="S53" s="184"/>
      <c r="T53" s="185">
        <f>T30+T48+T41</f>
        <v>380128078.28035504</v>
      </c>
      <c r="U53" s="185">
        <f t="shared" ref="U53:AE53" si="56">U30+U48+U41</f>
        <v>380128078.28035504</v>
      </c>
      <c r="V53" s="185">
        <f t="shared" si="56"/>
        <v>377564442.28035504</v>
      </c>
      <c r="W53" s="185">
        <f t="shared" si="56"/>
        <v>377564442.28035504</v>
      </c>
      <c r="X53" s="185">
        <f t="shared" si="56"/>
        <v>377564442.28035504</v>
      </c>
      <c r="Y53" s="185">
        <f t="shared" si="56"/>
        <v>377564442.28035504</v>
      </c>
      <c r="Z53" s="185">
        <f t="shared" si="56"/>
        <v>377564442.28035504</v>
      </c>
      <c r="AA53" s="185">
        <f t="shared" si="56"/>
        <v>377564442.28035504</v>
      </c>
      <c r="AB53" s="185">
        <f t="shared" si="56"/>
        <v>377564442.28035504</v>
      </c>
      <c r="AC53" s="185">
        <f t="shared" si="56"/>
        <v>394925553.39146614</v>
      </c>
      <c r="AD53" s="185">
        <f t="shared" si="56"/>
        <v>394925553.39146614</v>
      </c>
      <c r="AE53" s="185">
        <f t="shared" si="56"/>
        <v>394925553.39146614</v>
      </c>
      <c r="AF53" s="184"/>
      <c r="AG53" s="184">
        <f>AG48+AG41+AG30</f>
        <v>16443218328732</v>
      </c>
      <c r="AH53" s="184">
        <f t="shared" ref="AH53:AK53" si="57">AH48+AH41+AH30</f>
        <v>193461209563071</v>
      </c>
      <c r="AI53" s="184">
        <f t="shared" si="57"/>
        <v>240156674109768</v>
      </c>
      <c r="AJ53" s="184">
        <f t="shared" si="57"/>
        <v>299529910205941</v>
      </c>
      <c r="AK53" s="184">
        <f t="shared" si="57"/>
        <v>352440475651258</v>
      </c>
      <c r="AL53" s="271"/>
      <c r="AM53" s="196"/>
      <c r="AN53" s="481"/>
      <c r="AO53" s="473"/>
    </row>
    <row r="54" spans="2:45" s="277" customFormat="1" outlineLevel="1">
      <c r="B54" s="272"/>
      <c r="C54" s="273" t="str">
        <f>IF(B1="EN", "Depreciation on Net Sales (%)", "Tổng Chi phí Khấu hao / Doanh thu (%)")</f>
        <v>Tổng Chi phí Khấu hao / Doanh thu (%)</v>
      </c>
      <c r="D54" s="273"/>
      <c r="E54" s="273"/>
      <c r="F54" s="274"/>
      <c r="G54" s="275"/>
      <c r="H54" s="275"/>
      <c r="I54" s="275"/>
      <c r="J54" s="275"/>
      <c r="K54" s="276"/>
      <c r="L54" s="276"/>
      <c r="M54" s="276"/>
      <c r="N54" s="276">
        <f t="shared" ref="N54:O54" si="58">IFERROR(N53/N7,)</f>
        <v>5.4514624143664668E-2</v>
      </c>
      <c r="O54" s="276">
        <f t="shared" si="58"/>
        <v>5.2650227628244228E-2</v>
      </c>
      <c r="P54" s="276">
        <f>IFERROR(P53/P7,)</f>
        <v>4.0455379600143511E-2</v>
      </c>
      <c r="Q54" s="276">
        <f>IFERROR(Q53/Q7,)</f>
        <v>4.1602627042977292E-2</v>
      </c>
      <c r="R54" s="168">
        <f>IFERROR(R53/R7,)</f>
        <v>2.5331847958839544E-2</v>
      </c>
      <c r="S54" s="168"/>
      <c r="T54" s="276">
        <f>T53/T7</f>
        <v>3.3010929842766122E-2</v>
      </c>
      <c r="U54" s="276">
        <f t="shared" ref="U54:AE54" si="59">U53/U7</f>
        <v>4.2442624083556445E-2</v>
      </c>
      <c r="V54" s="276">
        <f t="shared" si="59"/>
        <v>2.9509469635765239E-2</v>
      </c>
      <c r="W54" s="276">
        <f t="shared" si="59"/>
        <v>2.3635724058882347E-2</v>
      </c>
      <c r="X54" s="276">
        <f t="shared" si="59"/>
        <v>2.3635724058882347E-2</v>
      </c>
      <c r="Y54" s="276">
        <f t="shared" si="59"/>
        <v>2.3635724058882347E-2</v>
      </c>
      <c r="Z54" s="276">
        <f t="shared" si="59"/>
        <v>2.3635724058882347E-2</v>
      </c>
      <c r="AA54" s="276">
        <f t="shared" si="59"/>
        <v>2.3635724058882347E-2</v>
      </c>
      <c r="AB54" s="276">
        <f t="shared" si="59"/>
        <v>2.3635724058882347E-2</v>
      </c>
      <c r="AC54" s="276">
        <f t="shared" si="59"/>
        <v>2.2782771097085659E-2</v>
      </c>
      <c r="AD54" s="276">
        <f t="shared" si="59"/>
        <v>2.2782771097085659E-2</v>
      </c>
      <c r="AE54" s="276">
        <f t="shared" si="59"/>
        <v>2.2782771097085659E-2</v>
      </c>
      <c r="AF54" s="168"/>
      <c r="AG54" s="276">
        <f t="shared" ref="AG54:AK54" si="60">AG53/AG7</f>
        <v>2.6558899682183217E-2</v>
      </c>
      <c r="AH54" s="276">
        <f t="shared" si="60"/>
        <v>0.28467791106983403</v>
      </c>
      <c r="AI54" s="168">
        <f t="shared" si="60"/>
        <v>0.31785256969671299</v>
      </c>
      <c r="AJ54" s="168">
        <f t="shared" si="60"/>
        <v>0.35710036322167227</v>
      </c>
      <c r="AK54" s="168">
        <f t="shared" si="60"/>
        <v>0.38070043571853601</v>
      </c>
      <c r="AL54" s="169"/>
      <c r="AM54" s="493"/>
      <c r="AN54" s="495"/>
      <c r="AO54" s="473"/>
    </row>
    <row r="55" spans="2:45" s="141" customFormat="1" ht="17" thickBot="1">
      <c r="B55" s="132" t="s">
        <v>112</v>
      </c>
      <c r="C55" s="133"/>
      <c r="D55" s="133"/>
      <c r="E55" s="133"/>
      <c r="F55" s="134"/>
      <c r="G55" s="136"/>
      <c r="H55" s="136"/>
      <c r="I55" s="136"/>
      <c r="J55" s="136"/>
      <c r="K55" s="136"/>
      <c r="L55" s="136"/>
      <c r="M55" s="136"/>
      <c r="N55" s="137">
        <f>N65+N53+N61+N59-N64</f>
        <v>-18882450264</v>
      </c>
      <c r="O55" s="137">
        <f>O65+O53+O61+O59-O64</f>
        <v>-5990638582.1318359</v>
      </c>
      <c r="P55" s="137">
        <f t="shared" ref="P55" si="61">P65+P53+P61+P59-P64</f>
        <v>852742281.82777882</v>
      </c>
      <c r="Q55" s="137">
        <f>Q65+Q53+Q61+Q59-Q64</f>
        <v>582429620.75693798</v>
      </c>
      <c r="R55" s="137">
        <f>R65+R53+R61+R59-R64</f>
        <v>1509668256.9866819</v>
      </c>
      <c r="S55" s="138"/>
      <c r="T55" s="137">
        <f t="shared" ref="T55:AE55" si="62">T65+T53+T61+T59-T64</f>
        <v>-398437566.9300788</v>
      </c>
      <c r="U55" s="137">
        <f t="shared" si="62"/>
        <v>-552979972.29694271</v>
      </c>
      <c r="V55" s="137">
        <f t="shared" si="62"/>
        <v>-207261829.50946754</v>
      </c>
      <c r="W55" s="137">
        <f t="shared" si="62"/>
        <v>247728547.78773564</v>
      </c>
      <c r="X55" s="137">
        <f t="shared" si="62"/>
        <v>245317440.80423993</v>
      </c>
      <c r="Y55" s="137">
        <f t="shared" si="62"/>
        <v>43182810.794248641</v>
      </c>
      <c r="Z55" s="137">
        <f t="shared" si="62"/>
        <v>191584755.84467638</v>
      </c>
      <c r="AA55" s="137">
        <f t="shared" si="62"/>
        <v>153958733.71134233</v>
      </c>
      <c r="AB55" s="137">
        <f t="shared" si="62"/>
        <v>186032755.19510388</v>
      </c>
      <c r="AC55" s="137">
        <f t="shared" si="62"/>
        <v>567458799.78642511</v>
      </c>
      <c r="AD55" s="137">
        <f t="shared" si="62"/>
        <v>512744702.86334842</v>
      </c>
      <c r="AE55" s="137">
        <f t="shared" si="62"/>
        <v>526130963.93599933</v>
      </c>
      <c r="AF55" s="121"/>
      <c r="AG55" s="136">
        <f t="shared" ref="AG55:AK55" si="63">AG51+AG53+AG57+AG63</f>
        <v>-872839376410820</v>
      </c>
      <c r="AH55" s="136">
        <f t="shared" si="63"/>
        <v>-1132721672259335</v>
      </c>
      <c r="AI55" s="136">
        <f t="shared" si="63"/>
        <v>-880133110574450</v>
      </c>
      <c r="AJ55" s="136">
        <f t="shared" si="63"/>
        <v>-1708243490442142</v>
      </c>
      <c r="AK55" s="136">
        <f t="shared" si="63"/>
        <v>-1839292492815902</v>
      </c>
      <c r="AL55" s="139"/>
      <c r="AM55" s="475"/>
      <c r="AN55" s="476"/>
      <c r="AO55" s="473"/>
      <c r="AP55" s="140"/>
      <c r="AQ55" s="140"/>
      <c r="AR55" s="140"/>
      <c r="AS55" s="140"/>
    </row>
    <row r="56" spans="2:45" s="279" customFormat="1" ht="17" thickTop="1">
      <c r="B56" s="223"/>
      <c r="C56" s="165" t="str">
        <f>IF(B1="EN", "EBITDA margin (%)", "Tỷ lệ EBITDA (%)")</f>
        <v>Tỷ lệ EBITDA (%)</v>
      </c>
      <c r="D56" s="165"/>
      <c r="E56" s="165"/>
      <c r="F56" s="278"/>
      <c r="G56" s="167"/>
      <c r="H56" s="167"/>
      <c r="I56" s="167"/>
      <c r="J56" s="167"/>
      <c r="K56" s="168"/>
      <c r="L56" s="168"/>
      <c r="M56" s="168"/>
      <c r="N56" s="168">
        <f>IFERROR(N55/N7,)</f>
        <v>-0.27453605664362168</v>
      </c>
      <c r="O56" s="168">
        <f t="shared" ref="O56:R56" si="64">IFERROR(O55/O7,)</f>
        <v>-4.8041875232301925E-2</v>
      </c>
      <c r="P56" s="168">
        <f>IFERROR(P55/P7,)</f>
        <v>4.4563075766600605E-3</v>
      </c>
      <c r="Q56" s="168">
        <f>IFERROR(Q55/Q7,)</f>
        <v>3.348688408956314E-3</v>
      </c>
      <c r="R56" s="168">
        <f t="shared" si="64"/>
        <v>8.3354012311231945E-3</v>
      </c>
      <c r="S56" s="168"/>
      <c r="T56" s="168">
        <f>T55/T7</f>
        <v>-3.4600955099535459E-2</v>
      </c>
      <c r="U56" s="168">
        <f t="shared" ref="U56:AE56" si="65">U55/U7</f>
        <v>-6.1742140165254714E-2</v>
      </c>
      <c r="V56" s="168">
        <f t="shared" si="65"/>
        <v>-1.6199053670475933E-2</v>
      </c>
      <c r="W56" s="168">
        <f t="shared" si="65"/>
        <v>1.5507931736513584E-2</v>
      </c>
      <c r="X56" s="168">
        <f t="shared" si="65"/>
        <v>1.5356995226194549E-2</v>
      </c>
      <c r="Y56" s="168">
        <f t="shared" si="65"/>
        <v>2.7032656832178936E-3</v>
      </c>
      <c r="Z56" s="168">
        <f t="shared" si="65"/>
        <v>1.1993302112042466E-2</v>
      </c>
      <c r="AA56" s="168">
        <f t="shared" si="65"/>
        <v>9.6378941949046212E-3</v>
      </c>
      <c r="AB56" s="168">
        <f t="shared" si="65"/>
        <v>1.1645744077881529E-2</v>
      </c>
      <c r="AC56" s="168">
        <f t="shared" si="65"/>
        <v>3.2736002599826827E-2</v>
      </c>
      <c r="AD56" s="168">
        <f t="shared" si="65"/>
        <v>2.9579613413871577E-2</v>
      </c>
      <c r="AE56" s="168">
        <f t="shared" si="65"/>
        <v>3.0351850407008687E-2</v>
      </c>
      <c r="AF56" s="168"/>
      <c r="AG56" s="168">
        <f t="shared" ref="AG56:AK56" si="66">AG55/AG7</f>
        <v>-1.4098002576690201</v>
      </c>
      <c r="AH56" s="168">
        <f t="shared" si="66"/>
        <v>-1.6667984254341697</v>
      </c>
      <c r="AI56" s="168">
        <f t="shared" si="66"/>
        <v>-1.1648752711464689</v>
      </c>
      <c r="AJ56" s="168">
        <f t="shared" si="66"/>
        <v>-2.0365724761461466</v>
      </c>
      <c r="AK56" s="168">
        <f t="shared" si="66"/>
        <v>-1.9867736591120642</v>
      </c>
      <c r="AL56" s="226"/>
      <c r="AM56" s="477"/>
      <c r="AN56" s="310"/>
      <c r="AO56" s="473"/>
      <c r="AP56" s="145"/>
      <c r="AQ56" s="145"/>
      <c r="AR56" s="145"/>
      <c r="AS56" s="145"/>
    </row>
    <row r="57" spans="2:45" outlineLevel="1">
      <c r="B57" s="280"/>
      <c r="C57" s="281" t="str">
        <f>IF(B1="EN", "Financial Income", "Doanh thu tài chính")</f>
        <v>Doanh thu tài chính</v>
      </c>
      <c r="D57" s="281"/>
      <c r="E57" s="281"/>
      <c r="F57" s="282"/>
      <c r="G57" s="183"/>
      <c r="H57" s="183"/>
      <c r="I57" s="183"/>
      <c r="J57" s="183"/>
      <c r="K57" s="184"/>
      <c r="L57" s="184"/>
      <c r="M57" s="184"/>
      <c r="N57" s="185"/>
      <c r="O57" s="185"/>
      <c r="P57" s="185"/>
      <c r="Q57" s="185"/>
      <c r="R57" s="185"/>
      <c r="S57" s="184"/>
      <c r="T57" s="185">
        <f>[1]PGM_phasing!C25</f>
        <v>1010000</v>
      </c>
      <c r="U57" s="185">
        <f>[1]PGM_phasing!D25</f>
        <v>1010000</v>
      </c>
      <c r="V57" s="185">
        <f>[1]PGM_phasing!E25</f>
        <v>1010000</v>
      </c>
      <c r="W57" s="185">
        <f>[1]PGM_phasing!F25</f>
        <v>1010000</v>
      </c>
      <c r="X57" s="185">
        <f>[1]PGM_phasing!G25</f>
        <v>1010000</v>
      </c>
      <c r="Y57" s="185">
        <f>[1]PGM_phasing!H25</f>
        <v>1010000</v>
      </c>
      <c r="Z57" s="185">
        <f>[1]PGM_phasing!I25</f>
        <v>1010000</v>
      </c>
      <c r="AA57" s="185">
        <f>[1]PGM_phasing!J25</f>
        <v>1010000</v>
      </c>
      <c r="AB57" s="185">
        <f>[1]PGM_phasing!K25</f>
        <v>1010000</v>
      </c>
      <c r="AC57" s="185">
        <f>[1]PGM_phasing!L25</f>
        <v>1010000</v>
      </c>
      <c r="AD57" s="185">
        <f>[1]PGM_phasing!M25</f>
        <v>1010000</v>
      </c>
      <c r="AE57" s="185">
        <f>[1]PGM_phasing!N25</f>
        <v>1010000</v>
      </c>
      <c r="AF57" s="184"/>
      <c r="AG57" s="184">
        <v>18000</v>
      </c>
      <c r="AH57" s="184">
        <v>13500.000000000002</v>
      </c>
      <c r="AI57" s="184">
        <v>10500</v>
      </c>
      <c r="AJ57" s="184">
        <v>9000</v>
      </c>
      <c r="AK57" s="184">
        <v>19500</v>
      </c>
      <c r="AL57" s="271"/>
      <c r="AM57" s="483"/>
      <c r="AN57" s="481"/>
      <c r="AO57" s="473"/>
    </row>
    <row r="58" spans="2:45" outlineLevel="1">
      <c r="B58" s="283"/>
      <c r="C58" s="284" t="str">
        <f>IF(B1="EN", "(%) Financial Income on Net Sales", "(%) Doanh thu tài chính / Doanh thu")</f>
        <v>(%) Doanh thu tài chính / Doanh thu</v>
      </c>
      <c r="F58" s="149"/>
      <c r="G58" s="150"/>
      <c r="H58" s="150"/>
      <c r="I58" s="150"/>
      <c r="J58" s="150"/>
      <c r="K58" s="285"/>
      <c r="L58" s="285"/>
      <c r="M58" s="286"/>
      <c r="N58" s="285">
        <f>IFERROR(N57/N7,)</f>
        <v>0</v>
      </c>
      <c r="O58" s="285">
        <f t="shared" ref="O58:R58" si="67">IFERROR(O57/O7,)</f>
        <v>0</v>
      </c>
      <c r="P58" s="285">
        <f>IFERROR(P57/P7,)</f>
        <v>0</v>
      </c>
      <c r="Q58" s="285">
        <f>IFERROR(Q57/Q7,)</f>
        <v>0</v>
      </c>
      <c r="R58" s="285">
        <f t="shared" si="67"/>
        <v>0</v>
      </c>
      <c r="S58" s="285"/>
      <c r="T58" s="286">
        <f>T57/T7</f>
        <v>8.7710014193173708E-5</v>
      </c>
      <c r="U58" s="286">
        <f t="shared" ref="U58:AE58" si="68">U57/U7</f>
        <v>1.1277001824836619E-4</v>
      </c>
      <c r="V58" s="286">
        <f t="shared" si="68"/>
        <v>7.8939012773856338E-5</v>
      </c>
      <c r="W58" s="286">
        <f t="shared" si="68"/>
        <v>6.3226508183059524E-5</v>
      </c>
      <c r="X58" s="286">
        <f t="shared" si="68"/>
        <v>6.3226508183059524E-5</v>
      </c>
      <c r="Y58" s="286">
        <f t="shared" si="68"/>
        <v>6.3226508183059524E-5</v>
      </c>
      <c r="Z58" s="286">
        <f t="shared" si="68"/>
        <v>6.3226508183059524E-5</v>
      </c>
      <c r="AA58" s="286">
        <f t="shared" si="68"/>
        <v>6.3226508183059524E-5</v>
      </c>
      <c r="AB58" s="286">
        <f t="shared" si="68"/>
        <v>6.3226508183059524E-5</v>
      </c>
      <c r="AC58" s="286">
        <f t="shared" si="68"/>
        <v>5.8265661997433425E-5</v>
      </c>
      <c r="AD58" s="286">
        <f t="shared" si="68"/>
        <v>5.8265661997433425E-5</v>
      </c>
      <c r="AE58" s="286">
        <f t="shared" si="68"/>
        <v>5.8265661997433425E-5</v>
      </c>
      <c r="AF58" s="285"/>
      <c r="AG58" s="285"/>
      <c r="AH58" s="285"/>
      <c r="AI58" s="285"/>
      <c r="AJ58" s="285"/>
      <c r="AK58" s="285"/>
      <c r="AL58" s="153"/>
      <c r="AM58" s="196"/>
      <c r="AN58" s="496"/>
      <c r="AO58" s="473"/>
    </row>
    <row r="59" spans="2:45" s="125" customFormat="1" hidden="1">
      <c r="B59" s="283"/>
      <c r="C59" s="237"/>
      <c r="F59" s="129" t="s">
        <v>113</v>
      </c>
      <c r="G59" s="130"/>
      <c r="H59" s="130"/>
      <c r="I59" s="130"/>
      <c r="J59" s="261"/>
      <c r="K59" s="287"/>
      <c r="L59" s="287"/>
      <c r="M59" s="287"/>
      <c r="N59" s="287">
        <f>[1]FCF!AR10+[1]FCF!AR12</f>
        <v>0</v>
      </c>
      <c r="O59" s="287">
        <f>[1]FCF!AS10+[1]FCF!AS12</f>
        <v>0</v>
      </c>
      <c r="P59" s="287"/>
      <c r="Q59" s="287">
        <f>SUM([1]FCF!BN10:BN12)</f>
        <v>0</v>
      </c>
      <c r="R59" s="287">
        <f>SUM([1]FCF!CH10:CH12)</f>
        <v>0</v>
      </c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131"/>
      <c r="AH59" s="131"/>
      <c r="AI59" s="131"/>
      <c r="AJ59" s="131"/>
      <c r="AK59" s="131"/>
      <c r="AL59" s="144"/>
      <c r="AM59" s="196"/>
      <c r="AN59" s="497"/>
      <c r="AO59" s="473"/>
    </row>
    <row r="60" spans="2:45" s="214" customFormat="1">
      <c r="B60" s="200" t="str">
        <f>IF(B1="EN", "Financial expenses", "Chi phí tài chính")</f>
        <v>Chi phí tài chính</v>
      </c>
      <c r="C60" s="289"/>
      <c r="D60" s="289"/>
      <c r="E60" s="289"/>
      <c r="F60" s="290"/>
      <c r="G60" s="291"/>
      <c r="H60" s="291"/>
      <c r="I60" s="291"/>
      <c r="J60" s="291"/>
      <c r="K60" s="292"/>
      <c r="L60" s="292"/>
      <c r="M60" s="292"/>
      <c r="N60" s="204"/>
      <c r="O60" s="204"/>
      <c r="P60" s="204"/>
      <c r="Q60" s="204">
        <f>Q61</f>
        <v>0</v>
      </c>
      <c r="R60" s="204">
        <f t="shared" ref="R60:AK60" si="69">R61</f>
        <v>0</v>
      </c>
      <c r="S60" s="161"/>
      <c r="T60" s="292">
        <f t="shared" si="69"/>
        <v>0</v>
      </c>
      <c r="U60" s="292">
        <f t="shared" si="69"/>
        <v>0</v>
      </c>
      <c r="V60" s="292">
        <f t="shared" si="69"/>
        <v>0</v>
      </c>
      <c r="W60" s="292">
        <f t="shared" si="69"/>
        <v>0</v>
      </c>
      <c r="X60" s="292">
        <f t="shared" si="69"/>
        <v>0</v>
      </c>
      <c r="Y60" s="292">
        <f t="shared" si="69"/>
        <v>0</v>
      </c>
      <c r="Z60" s="292">
        <f t="shared" si="69"/>
        <v>0</v>
      </c>
      <c r="AA60" s="292">
        <f t="shared" si="69"/>
        <v>0</v>
      </c>
      <c r="AB60" s="292">
        <f t="shared" si="69"/>
        <v>0</v>
      </c>
      <c r="AC60" s="292">
        <f t="shared" si="69"/>
        <v>0</v>
      </c>
      <c r="AD60" s="292">
        <f t="shared" si="69"/>
        <v>0</v>
      </c>
      <c r="AE60" s="292">
        <f t="shared" si="69"/>
        <v>0</v>
      </c>
      <c r="AF60" s="161"/>
      <c r="AG60" s="292">
        <f t="shared" si="69"/>
        <v>409524669171388</v>
      </c>
      <c r="AH60" s="292">
        <f t="shared" si="69"/>
        <v>513743343192505</v>
      </c>
      <c r="AI60" s="204">
        <f t="shared" si="69"/>
        <v>584947505476862</v>
      </c>
      <c r="AJ60" s="204">
        <f t="shared" si="69"/>
        <v>668174703282399</v>
      </c>
      <c r="AK60" s="204">
        <f t="shared" si="69"/>
        <v>750140738150861</v>
      </c>
      <c r="AL60" s="162"/>
      <c r="AM60" s="489"/>
      <c r="AN60" s="498"/>
      <c r="AO60" s="473"/>
    </row>
    <row r="61" spans="2:45" outlineLevel="1">
      <c r="B61" s="280"/>
      <c r="C61" s="281" t="str">
        <f>IF(B1="EN", "In which: Interest expense", "Trong đó: Chi phí lãi vay")</f>
        <v>Trong đó: Chi phí lãi vay</v>
      </c>
      <c r="D61" s="281"/>
      <c r="E61" s="281"/>
      <c r="F61" s="282"/>
      <c r="G61" s="293"/>
      <c r="H61" s="293"/>
      <c r="I61" s="293"/>
      <c r="J61" s="293"/>
      <c r="K61" s="294"/>
      <c r="L61" s="294"/>
      <c r="M61" s="294"/>
      <c r="N61" s="184"/>
      <c r="O61" s="184"/>
      <c r="P61" s="184"/>
      <c r="Q61" s="294"/>
      <c r="R61" s="184">
        <f>[1]FIN!R23</f>
        <v>0</v>
      </c>
      <c r="S61" s="184"/>
      <c r="T61" s="294">
        <f>-[1]PGM_phasing!C27</f>
        <v>0</v>
      </c>
      <c r="U61" s="294">
        <f>-[1]PGM_phasing!D27</f>
        <v>0</v>
      </c>
      <c r="V61" s="294">
        <f>-[1]PGM_phasing!E27</f>
        <v>0</v>
      </c>
      <c r="W61" s="294">
        <f>-[1]PGM_phasing!F27</f>
        <v>0</v>
      </c>
      <c r="X61" s="294">
        <f>-[1]PGM_phasing!G27</f>
        <v>0</v>
      </c>
      <c r="Y61" s="294">
        <f>-[1]PGM_phasing!H27</f>
        <v>0</v>
      </c>
      <c r="Z61" s="294">
        <f>-[1]PGM_phasing!I27</f>
        <v>0</v>
      </c>
      <c r="AA61" s="294">
        <f>-[1]PGM_phasing!J27</f>
        <v>0</v>
      </c>
      <c r="AB61" s="294">
        <f>-[1]PGM_phasing!K27</f>
        <v>0</v>
      </c>
      <c r="AC61" s="294">
        <f>-[1]PGM_phasing!L27</f>
        <v>0</v>
      </c>
      <c r="AD61" s="294">
        <f>-[1]PGM_phasing!M27</f>
        <v>0</v>
      </c>
      <c r="AE61" s="294">
        <f>-[1]PGM_phasing!N27</f>
        <v>0</v>
      </c>
      <c r="AF61" s="184"/>
      <c r="AG61" s="294">
        <v>409524669171388</v>
      </c>
      <c r="AH61" s="294">
        <v>513743343192505</v>
      </c>
      <c r="AI61" s="294">
        <v>584947505476862</v>
      </c>
      <c r="AJ61" s="294">
        <v>668174703282399</v>
      </c>
      <c r="AK61" s="294">
        <v>750140738150861</v>
      </c>
      <c r="AL61" s="271"/>
      <c r="AM61" s="499"/>
      <c r="AN61" s="500"/>
      <c r="AO61" s="473"/>
    </row>
    <row r="62" spans="2:45" s="170" customFormat="1" outlineLevel="1">
      <c r="B62" s="295"/>
      <c r="C62" s="296" t="str">
        <f>IF(B1="EN", "(%) Interest Expenses on Net Sales", "(%) Chi phí lãi vay / Doanh thu")</f>
        <v>(%) Chi phí lãi vay / Doanh thu</v>
      </c>
      <c r="D62" s="296"/>
      <c r="E62" s="296"/>
      <c r="F62" s="166"/>
      <c r="G62" s="275"/>
      <c r="H62" s="275"/>
      <c r="I62" s="275"/>
      <c r="J62" s="275"/>
      <c r="K62" s="276"/>
      <c r="L62" s="276"/>
      <c r="M62" s="276"/>
      <c r="N62" s="168">
        <f>IFERROR(N61/N7,)</f>
        <v>0</v>
      </c>
      <c r="O62" s="168">
        <f t="shared" ref="O62:R62" si="70">IFERROR(O61/O7,)</f>
        <v>0</v>
      </c>
      <c r="P62" s="168">
        <f>IFERROR(P61/P7,)</f>
        <v>0</v>
      </c>
      <c r="Q62" s="168">
        <f>IFERROR(Q61/Q7,)</f>
        <v>0</v>
      </c>
      <c r="R62" s="168">
        <f t="shared" si="70"/>
        <v>0</v>
      </c>
      <c r="S62" s="168"/>
      <c r="T62" s="276">
        <f>T61/T7</f>
        <v>0</v>
      </c>
      <c r="U62" s="276">
        <f t="shared" ref="U62:AE62" si="71">U61/U7</f>
        <v>0</v>
      </c>
      <c r="V62" s="276">
        <f t="shared" si="71"/>
        <v>0</v>
      </c>
      <c r="W62" s="276">
        <f t="shared" si="71"/>
        <v>0</v>
      </c>
      <c r="X62" s="276">
        <f t="shared" si="71"/>
        <v>0</v>
      </c>
      <c r="Y62" s="276">
        <f t="shared" si="71"/>
        <v>0</v>
      </c>
      <c r="Z62" s="276">
        <f t="shared" si="71"/>
        <v>0</v>
      </c>
      <c r="AA62" s="276">
        <f t="shared" si="71"/>
        <v>0</v>
      </c>
      <c r="AB62" s="276">
        <f t="shared" si="71"/>
        <v>0</v>
      </c>
      <c r="AC62" s="276">
        <f t="shared" si="71"/>
        <v>0</v>
      </c>
      <c r="AD62" s="276">
        <f t="shared" si="71"/>
        <v>0</v>
      </c>
      <c r="AE62" s="276">
        <f t="shared" si="71"/>
        <v>0</v>
      </c>
      <c r="AF62" s="168"/>
      <c r="AG62" s="276">
        <f t="shared" ref="AG62:AK62" si="72">AG61/AG7</f>
        <v>0.66145959923776643</v>
      </c>
      <c r="AH62" s="276">
        <f t="shared" si="72"/>
        <v>0.7559726422489631</v>
      </c>
      <c r="AI62" s="276">
        <f t="shared" si="72"/>
        <v>0.7741907171337713</v>
      </c>
      <c r="AJ62" s="276">
        <f t="shared" si="72"/>
        <v>0.7965996753834208</v>
      </c>
      <c r="AK62" s="276">
        <f t="shared" si="72"/>
        <v>0.81028975272079451</v>
      </c>
      <c r="AL62" s="169"/>
      <c r="AM62" s="196"/>
      <c r="AN62" s="310"/>
      <c r="AO62" s="473"/>
    </row>
    <row r="63" spans="2:45" outlineLevel="1">
      <c r="B63" s="267"/>
      <c r="C63" s="281" t="str">
        <f>IF(B1="EN", "Other income", "Thu nhập khác")</f>
        <v>Thu nhập khác</v>
      </c>
      <c r="D63" s="269"/>
      <c r="E63" s="269"/>
      <c r="F63" s="270"/>
      <c r="G63" s="183"/>
      <c r="H63" s="183"/>
      <c r="I63" s="183"/>
      <c r="J63" s="183"/>
      <c r="K63" s="184"/>
      <c r="L63" s="184"/>
      <c r="M63" s="184"/>
      <c r="N63" s="185">
        <v>-38791336</v>
      </c>
      <c r="O63" s="185">
        <v>-183879305</v>
      </c>
      <c r="P63" s="185">
        <v>-64500000</v>
      </c>
      <c r="Q63" s="185">
        <v>82396393</v>
      </c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>
        <v>264637721299823</v>
      </c>
      <c r="AH63" s="184">
        <v>0</v>
      </c>
      <c r="AI63" s="184">
        <v>0</v>
      </c>
      <c r="AJ63" s="184">
        <v>0</v>
      </c>
      <c r="AK63" s="184">
        <v>0</v>
      </c>
      <c r="AL63" s="271"/>
      <c r="AM63" s="196"/>
      <c r="AN63" s="501"/>
      <c r="AO63" s="473"/>
    </row>
    <row r="64" spans="2:45" outlineLevel="1">
      <c r="B64" s="280"/>
      <c r="C64" s="281" t="str">
        <f>IF(B1="EN", "Other expenses (excluding EBITDA)", "Chi phí khác (Không gồm trong EBITDA)")</f>
        <v>Chi phí khác (Không gồm trong EBITDA)</v>
      </c>
      <c r="D64" s="281"/>
      <c r="E64" s="281"/>
      <c r="F64" s="282"/>
      <c r="G64" s="183"/>
      <c r="H64" s="183"/>
      <c r="I64" s="183"/>
      <c r="J64" s="183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271"/>
      <c r="AM64" s="196"/>
      <c r="AN64" s="501"/>
      <c r="AO64" s="473"/>
    </row>
    <row r="65" spans="2:45" s="141" customFormat="1">
      <c r="B65" s="243" t="str">
        <f>IF(B1="EN", "EBT", "LỢI NHUẬN TRƯỚC THUẾ")</f>
        <v>LỢI NHUẬN TRƯỚC THUẾ</v>
      </c>
      <c r="C65" s="244"/>
      <c r="D65" s="244"/>
      <c r="E65" s="244"/>
      <c r="F65" s="245"/>
      <c r="G65" s="246"/>
      <c r="H65" s="246"/>
      <c r="I65" s="246"/>
      <c r="J65" s="246"/>
      <c r="K65" s="247"/>
      <c r="L65" s="247"/>
      <c r="M65" s="247"/>
      <c r="N65" s="248">
        <f>N34-N36-N43+N57-N61+N63</f>
        <v>-22631938370</v>
      </c>
      <c r="O65" s="248">
        <f>O34-O36-O43+O57-O61+O63</f>
        <v>-12555921129.131836</v>
      </c>
      <c r="P65" s="248">
        <f>P34-P36-P43+P57-P61+P63</f>
        <v>-6888647224.8388882</v>
      </c>
      <c r="Q65" s="248">
        <f>Q34-Q36-Q43+Q57-Q61+Q63</f>
        <v>-6653418965.909729</v>
      </c>
      <c r="R65" s="248">
        <f>R34-R36-R43+R57-R61+R63</f>
        <v>-3078315655.7109118</v>
      </c>
      <c r="S65" s="138"/>
      <c r="T65" s="248">
        <f>T34-T36-T43+T57-T61+T63</f>
        <v>-778565645.21043384</v>
      </c>
      <c r="U65" s="248">
        <f t="shared" ref="U65:AE65" si="73">U34-U36-U43+U57-U61+U63</f>
        <v>-933108050.57729769</v>
      </c>
      <c r="V65" s="248">
        <f t="shared" si="73"/>
        <v>-584826271.78982258</v>
      </c>
      <c r="W65" s="248">
        <f t="shared" si="73"/>
        <v>-129835894.4926194</v>
      </c>
      <c r="X65" s="248">
        <f t="shared" si="73"/>
        <v>-132247001.47611511</v>
      </c>
      <c r="Y65" s="248">
        <f t="shared" si="73"/>
        <v>-334381631.4861064</v>
      </c>
      <c r="Z65" s="248">
        <f t="shared" si="73"/>
        <v>-185979686.43567866</v>
      </c>
      <c r="AA65" s="248">
        <f t="shared" si="73"/>
        <v>-223605708.5690127</v>
      </c>
      <c r="AB65" s="248">
        <f t="shared" si="73"/>
        <v>-191531687.08525115</v>
      </c>
      <c r="AC65" s="248">
        <f t="shared" si="73"/>
        <v>172533246.39495891</v>
      </c>
      <c r="AD65" s="248">
        <f t="shared" si="73"/>
        <v>117819149.47188228</v>
      </c>
      <c r="AE65" s="248">
        <f t="shared" si="73"/>
        <v>131205410.54453319</v>
      </c>
      <c r="AF65" s="121"/>
      <c r="AG65" s="247">
        <f t="shared" ref="AG65:AK65" si="74">AG51+AG57-AG60+AG63-AG64</f>
        <v>-1298807263910940</v>
      </c>
      <c r="AH65" s="247">
        <f t="shared" si="74"/>
        <v>-1839926225014911</v>
      </c>
      <c r="AI65" s="247">
        <f t="shared" si="74"/>
        <v>-1705237290161080</v>
      </c>
      <c r="AJ65" s="247">
        <f t="shared" si="74"/>
        <v>-2675948103930482</v>
      </c>
      <c r="AK65" s="247">
        <f t="shared" si="74"/>
        <v>-2941873706618021</v>
      </c>
      <c r="AL65" s="139"/>
      <c r="AM65" s="483"/>
      <c r="AN65" s="476"/>
      <c r="AO65" s="473"/>
    </row>
    <row r="66" spans="2:45" s="170" customFormat="1" outlineLevel="1">
      <c r="B66" s="163"/>
      <c r="C66" s="165" t="str">
        <f>IF(B1= "EN", "EBT margin (%)", "Tỷ lệ Lợi nhuận trước thuế (%)")</f>
        <v>Tỷ lệ Lợi nhuận trước thuế (%)</v>
      </c>
      <c r="D66" s="165"/>
      <c r="E66" s="165"/>
      <c r="F66" s="278"/>
      <c r="G66" s="167"/>
      <c r="H66" s="167"/>
      <c r="I66" s="167"/>
      <c r="J66" s="167"/>
      <c r="K66" s="168"/>
      <c r="L66" s="168"/>
      <c r="M66" s="168"/>
      <c r="N66" s="168">
        <f>IFERROR(N65/N$7,)</f>
        <v>-0.32905068078728633</v>
      </c>
      <c r="O66" s="168">
        <f t="shared" ref="O66:R66" si="75">IFERROR(O65/O$7,)</f>
        <v>-0.10069210286054615</v>
      </c>
      <c r="P66" s="168">
        <f>IFERROR(P65/P$7,)</f>
        <v>-3.5999072023483451E-2</v>
      </c>
      <c r="Q66" s="168">
        <f>IFERROR(Q65/Q$7,)</f>
        <v>-3.8253938634020976E-2</v>
      </c>
      <c r="R66" s="168">
        <f t="shared" si="75"/>
        <v>-1.6996446727716351E-2</v>
      </c>
      <c r="S66" s="168"/>
      <c r="T66" s="168">
        <f>T65/T7</f>
        <v>-6.7611884942301581E-2</v>
      </c>
      <c r="U66" s="168">
        <f t="shared" ref="U66:AE66" si="76">U65/U7</f>
        <v>-0.10418476424881115</v>
      </c>
      <c r="V66" s="168">
        <f t="shared" si="76"/>
        <v>-4.5708523306241172E-2</v>
      </c>
      <c r="W66" s="168">
        <f t="shared" si="76"/>
        <v>-8.1277923223687654E-3</v>
      </c>
      <c r="X66" s="168">
        <f t="shared" si="76"/>
        <v>-8.278728832687798E-3</v>
      </c>
      <c r="Y66" s="168">
        <f t="shared" si="76"/>
        <v>-2.0932458375664455E-2</v>
      </c>
      <c r="Z66" s="168">
        <f t="shared" si="76"/>
        <v>-1.1642421946839883E-2</v>
      </c>
      <c r="AA66" s="168">
        <f t="shared" si="76"/>
        <v>-1.3997829863977726E-2</v>
      </c>
      <c r="AB66" s="168">
        <f t="shared" si="76"/>
        <v>-1.198997998100082E-2</v>
      </c>
      <c r="AC66" s="168">
        <f t="shared" si="76"/>
        <v>9.9532315027411628E-3</v>
      </c>
      <c r="AD66" s="168">
        <f t="shared" si="76"/>
        <v>6.7968423167859213E-3</v>
      </c>
      <c r="AE66" s="168">
        <f t="shared" si="76"/>
        <v>7.5690793099230285E-3</v>
      </c>
      <c r="AF66" s="168"/>
      <c r="AG66" s="168">
        <f t="shared" ref="AG66:AK66" si="77">AG65/AG$7</f>
        <v>-2.0978187565889694</v>
      </c>
      <c r="AH66" s="168">
        <f t="shared" si="77"/>
        <v>-2.707448978752967</v>
      </c>
      <c r="AI66" s="168">
        <f t="shared" si="77"/>
        <v>-2.2569185579769533</v>
      </c>
      <c r="AJ66" s="168">
        <f t="shared" si="77"/>
        <v>-3.1902725147512392</v>
      </c>
      <c r="AK66" s="168">
        <f t="shared" si="77"/>
        <v>-3.1777638475513945</v>
      </c>
      <c r="AL66" s="169"/>
      <c r="AM66" s="196"/>
      <c r="AN66" s="310"/>
      <c r="AO66" s="473"/>
    </row>
    <row r="67" spans="2:45" s="125" customFormat="1" outlineLevel="1">
      <c r="B67" s="297"/>
      <c r="C67" s="298" t="str">
        <f>IF(B1="EN", "CIT", "Thuế")</f>
        <v>Thuế</v>
      </c>
      <c r="D67" s="298"/>
      <c r="E67" s="298"/>
      <c r="F67" s="299"/>
      <c r="G67" s="300"/>
      <c r="H67" s="300"/>
      <c r="I67" s="300"/>
      <c r="J67" s="300"/>
      <c r="K67" s="301"/>
      <c r="L67" s="301"/>
      <c r="M67" s="301"/>
      <c r="N67" s="301"/>
      <c r="O67" s="301"/>
      <c r="P67" s="301"/>
      <c r="Q67" s="301"/>
      <c r="R67" s="301">
        <f>R65*[1]CIT!S9+[1]CIT!S24</f>
        <v>0</v>
      </c>
      <c r="S67" s="184"/>
      <c r="T67" s="184">
        <f>-[1]PGM_phasing!C43</f>
        <v>0</v>
      </c>
      <c r="U67" s="184">
        <f>-[1]PGM_phasing!D43</f>
        <v>0</v>
      </c>
      <c r="V67" s="184">
        <f>-[1]PGM_phasing!E43</f>
        <v>0</v>
      </c>
      <c r="W67" s="184">
        <f>-[1]PGM_phasing!F43</f>
        <v>0</v>
      </c>
      <c r="X67" s="184">
        <f>-[1]PGM_phasing!G43</f>
        <v>0</v>
      </c>
      <c r="Y67" s="184">
        <f>-[1]PGM_phasing!H43</f>
        <v>0</v>
      </c>
      <c r="Z67" s="184">
        <f>-[1]PGM_phasing!I43</f>
        <v>0</v>
      </c>
      <c r="AA67" s="184">
        <f>-[1]PGM_phasing!J43</f>
        <v>0</v>
      </c>
      <c r="AB67" s="184">
        <f>-[1]PGM_phasing!K43</f>
        <v>0</v>
      </c>
      <c r="AC67" s="184">
        <f>-[1]PGM_phasing!L43</f>
        <v>0</v>
      </c>
      <c r="AD67" s="184">
        <f>-[1]PGM_phasing!M43</f>
        <v>0</v>
      </c>
      <c r="AE67" s="184">
        <f>-[1]PGM_phasing!N43</f>
        <v>0</v>
      </c>
      <c r="AF67" s="184"/>
      <c r="AG67" s="184">
        <v>180436399419352</v>
      </c>
      <c r="AH67" s="184">
        <v>195557862601297</v>
      </c>
      <c r="AI67" s="184">
        <v>226189958683654</v>
      </c>
      <c r="AJ67" s="184">
        <v>260093853610068</v>
      </c>
      <c r="AK67" s="184">
        <v>300988023733396</v>
      </c>
      <c r="AL67" s="271"/>
      <c r="AM67" s="475"/>
      <c r="AN67" s="502"/>
      <c r="AO67" s="473"/>
    </row>
    <row r="68" spans="2:45" outlineLevel="1">
      <c r="B68" s="297"/>
      <c r="C68" s="305" t="str">
        <f>IF(B1="EN", "CIT rate (%)", "Thuế suất Thuế TNDN (%)")</f>
        <v>Thuế suất Thuế TNDN (%)</v>
      </c>
      <c r="D68" s="181"/>
      <c r="E68" s="181"/>
      <c r="F68" s="180"/>
      <c r="G68" s="150"/>
      <c r="H68" s="150"/>
      <c r="I68" s="150"/>
      <c r="J68" s="150"/>
      <c r="K68" s="285"/>
      <c r="L68" s="285"/>
      <c r="M68" s="285"/>
      <c r="N68" s="285">
        <f>IFERROR(N67/N65,)</f>
        <v>0</v>
      </c>
      <c r="O68" s="285">
        <f t="shared" ref="O68:R68" si="78">IFERROR(O67/O65,)</f>
        <v>0</v>
      </c>
      <c r="P68" s="285">
        <f>IFERROR(P67/P65,)</f>
        <v>0</v>
      </c>
      <c r="Q68" s="285">
        <f>IFERROR(Q67/Q65,)</f>
        <v>0</v>
      </c>
      <c r="R68" s="285">
        <f t="shared" si="78"/>
        <v>0</v>
      </c>
      <c r="S68" s="285"/>
      <c r="T68" s="285">
        <f>T67/T65</f>
        <v>0</v>
      </c>
      <c r="U68" s="285">
        <f t="shared" ref="U68:AE68" si="79">U67/U65</f>
        <v>0</v>
      </c>
      <c r="V68" s="285">
        <f t="shared" si="79"/>
        <v>0</v>
      </c>
      <c r="W68" s="285">
        <f t="shared" si="79"/>
        <v>0</v>
      </c>
      <c r="X68" s="285">
        <f t="shared" si="79"/>
        <v>0</v>
      </c>
      <c r="Y68" s="285">
        <f t="shared" si="79"/>
        <v>0</v>
      </c>
      <c r="Z68" s="285">
        <f t="shared" si="79"/>
        <v>0</v>
      </c>
      <c r="AA68" s="285">
        <f t="shared" si="79"/>
        <v>0</v>
      </c>
      <c r="AB68" s="285">
        <f t="shared" si="79"/>
        <v>0</v>
      </c>
      <c r="AC68" s="285">
        <f t="shared" si="79"/>
        <v>0</v>
      </c>
      <c r="AD68" s="285">
        <f t="shared" si="79"/>
        <v>0</v>
      </c>
      <c r="AE68" s="285">
        <f t="shared" si="79"/>
        <v>0</v>
      </c>
      <c r="AF68" s="285"/>
      <c r="AG68" s="286">
        <f>AG67/AG65</f>
        <v>-0.13892469224111503</v>
      </c>
      <c r="AH68" s="286">
        <f t="shared" ref="AH68:AK68" si="80">AH67/AH65</f>
        <v>-0.10628570860210015</v>
      </c>
      <c r="AI68" s="286">
        <f t="shared" si="80"/>
        <v>-0.13264427184927891</v>
      </c>
      <c r="AJ68" s="286">
        <f t="shared" si="80"/>
        <v>-9.7196897513833452E-2</v>
      </c>
      <c r="AK68" s="286">
        <f t="shared" si="80"/>
        <v>-0.10231167403831619</v>
      </c>
      <c r="AL68" s="153"/>
      <c r="AM68" s="196"/>
      <c r="AN68" s="496"/>
      <c r="AO68" s="473"/>
    </row>
    <row r="69" spans="2:45" s="170" customFormat="1" ht="17" thickBot="1">
      <c r="B69" s="306" t="str">
        <f>IF(B1="en","NET PROFIT AFTER TAX","LỢI NHUẬN SAU THUẾ")</f>
        <v>LỢI NHUẬN SAU THUẾ</v>
      </c>
      <c r="C69" s="307"/>
      <c r="D69" s="307"/>
      <c r="E69" s="307"/>
      <c r="F69" s="307"/>
      <c r="G69" s="135"/>
      <c r="H69" s="135"/>
      <c r="I69" s="135"/>
      <c r="J69" s="135"/>
      <c r="K69" s="136"/>
      <c r="L69" s="136"/>
      <c r="M69" s="136"/>
      <c r="N69" s="137">
        <f>N65-N67</f>
        <v>-22631938370</v>
      </c>
      <c r="O69" s="137">
        <f>O65-O67</f>
        <v>-12555921129.131836</v>
      </c>
      <c r="P69" s="137">
        <f t="shared" ref="P69" si="81">P65-P67</f>
        <v>-6888647224.8388882</v>
      </c>
      <c r="Q69" s="137">
        <f>Q65-Q67</f>
        <v>-6653418965.909729</v>
      </c>
      <c r="R69" s="137">
        <f t="shared" ref="R69" si="82">R65-R67</f>
        <v>-3078315655.7109118</v>
      </c>
      <c r="S69" s="138"/>
      <c r="T69" s="137">
        <f>T65-T67</f>
        <v>-778565645.21043384</v>
      </c>
      <c r="U69" s="137">
        <f t="shared" ref="U69:AE69" si="83">U65-U67</f>
        <v>-933108050.57729769</v>
      </c>
      <c r="V69" s="137">
        <f t="shared" si="83"/>
        <v>-584826271.78982258</v>
      </c>
      <c r="W69" s="137">
        <f t="shared" si="83"/>
        <v>-129835894.4926194</v>
      </c>
      <c r="X69" s="137">
        <f t="shared" si="83"/>
        <v>-132247001.47611511</v>
      </c>
      <c r="Y69" s="137">
        <f t="shared" si="83"/>
        <v>-334381631.4861064</v>
      </c>
      <c r="Z69" s="137">
        <f t="shared" si="83"/>
        <v>-185979686.43567866</v>
      </c>
      <c r="AA69" s="137">
        <f t="shared" si="83"/>
        <v>-223605708.5690127</v>
      </c>
      <c r="AB69" s="137">
        <f t="shared" si="83"/>
        <v>-191531687.08525115</v>
      </c>
      <c r="AC69" s="137">
        <f t="shared" si="83"/>
        <v>172533246.39495891</v>
      </c>
      <c r="AD69" s="137">
        <f t="shared" si="83"/>
        <v>117819149.47188228</v>
      </c>
      <c r="AE69" s="137">
        <f t="shared" si="83"/>
        <v>131205410.54453319</v>
      </c>
      <c r="AF69" s="121"/>
      <c r="AG69" s="136">
        <f t="shared" ref="AG69:AK69" si="84">AG65-AG67</f>
        <v>-1479243663330292</v>
      </c>
      <c r="AH69" s="136">
        <f t="shared" si="84"/>
        <v>-2035484087616208</v>
      </c>
      <c r="AI69" s="136">
        <f t="shared" si="84"/>
        <v>-1931427248844734</v>
      </c>
      <c r="AJ69" s="136">
        <f t="shared" si="84"/>
        <v>-2936041957540550</v>
      </c>
      <c r="AK69" s="136">
        <f t="shared" si="84"/>
        <v>-3242861730351417</v>
      </c>
      <c r="AL69" s="308"/>
      <c r="AM69" s="475"/>
      <c r="AN69" s="476"/>
      <c r="AO69" s="473"/>
      <c r="AP69" s="309"/>
      <c r="AQ69" s="309"/>
      <c r="AR69" s="309"/>
      <c r="AS69" s="140"/>
    </row>
    <row r="70" spans="2:45" s="277" customFormat="1" ht="17" thickTop="1">
      <c r="B70" s="164"/>
      <c r="C70" s="165" t="str">
        <f>IF(B1="EN", "NET PROFIT margin (%)", "Tỷ lệ LỢI NHUẬN SAU THUẾ (%)")</f>
        <v>Tỷ lệ LỢI NHUẬN SAU THUẾ (%)</v>
      </c>
      <c r="D70" s="165"/>
      <c r="E70" s="165"/>
      <c r="F70" s="165"/>
      <c r="G70" s="169"/>
      <c r="H70" s="169"/>
      <c r="I70" s="169"/>
      <c r="J70" s="169"/>
      <c r="K70" s="310"/>
      <c r="L70" s="310"/>
      <c r="M70" s="310"/>
      <c r="N70" s="310">
        <f t="shared" ref="N70:O70" si="85">IFERROR(N69/N7,)</f>
        <v>-0.32905068078728633</v>
      </c>
      <c r="O70" s="310">
        <f t="shared" si="85"/>
        <v>-0.10069210286054615</v>
      </c>
      <c r="P70" s="310">
        <f>IFERROR(P69/P7,)</f>
        <v>-3.5999072023483451E-2</v>
      </c>
      <c r="Q70" s="310">
        <f>IFERROR(Q69/Q7,)</f>
        <v>-3.8253938634020976E-2</v>
      </c>
      <c r="R70" s="310">
        <f>IFERROR(R69/R7,)</f>
        <v>-1.6996446727716351E-2</v>
      </c>
      <c r="S70" s="310"/>
      <c r="T70" s="310">
        <f>T69/T7</f>
        <v>-6.7611884942301581E-2</v>
      </c>
      <c r="U70" s="310">
        <f t="shared" ref="U70:AE70" si="86">U69/U7</f>
        <v>-0.10418476424881115</v>
      </c>
      <c r="V70" s="310">
        <f t="shared" si="86"/>
        <v>-4.5708523306241172E-2</v>
      </c>
      <c r="W70" s="310">
        <f t="shared" si="86"/>
        <v>-8.1277923223687654E-3</v>
      </c>
      <c r="X70" s="310">
        <f t="shared" si="86"/>
        <v>-8.278728832687798E-3</v>
      </c>
      <c r="Y70" s="310">
        <f t="shared" si="86"/>
        <v>-2.0932458375664455E-2</v>
      </c>
      <c r="Z70" s="310">
        <f t="shared" si="86"/>
        <v>-1.1642421946839883E-2</v>
      </c>
      <c r="AA70" s="310">
        <f t="shared" si="86"/>
        <v>-1.3997829863977726E-2</v>
      </c>
      <c r="AB70" s="310">
        <f t="shared" si="86"/>
        <v>-1.198997998100082E-2</v>
      </c>
      <c r="AC70" s="310">
        <f t="shared" si="86"/>
        <v>9.9532315027411628E-3</v>
      </c>
      <c r="AD70" s="310">
        <f t="shared" si="86"/>
        <v>6.7968423167859213E-3</v>
      </c>
      <c r="AE70" s="310">
        <f t="shared" si="86"/>
        <v>7.5690793099230285E-3</v>
      </c>
      <c r="AF70" s="310"/>
      <c r="AG70" s="310">
        <f t="shared" ref="AG70:AK70" si="87">AG69/AG7</f>
        <v>-2.3892575817257309</v>
      </c>
      <c r="AH70" s="310">
        <f t="shared" si="87"/>
        <v>-2.9952121119637583</v>
      </c>
      <c r="AI70" s="310">
        <f t="shared" si="87"/>
        <v>-2.5562858767229311</v>
      </c>
      <c r="AJ70" s="310">
        <f t="shared" si="87"/>
        <v>-3.5003571054087153</v>
      </c>
      <c r="AK70" s="310">
        <f t="shared" si="87"/>
        <v>-3.5028861864928182</v>
      </c>
      <c r="AL70" s="169"/>
      <c r="AM70" s="477"/>
      <c r="AN70" s="310"/>
      <c r="AO70" s="503"/>
      <c r="AP70" s="145"/>
      <c r="AQ70" s="145"/>
      <c r="AR70" s="145"/>
      <c r="AS70" s="145"/>
    </row>
    <row r="71" spans="2:45">
      <c r="H71" s="311"/>
      <c r="I71" s="311"/>
      <c r="J71" s="311"/>
      <c r="K71" s="312"/>
      <c r="L71" s="312"/>
      <c r="M71" s="312"/>
      <c r="N71" s="312"/>
      <c r="O71" s="312"/>
      <c r="P71" s="312"/>
      <c r="Q71" s="312"/>
      <c r="R71" s="312"/>
      <c r="S71" s="313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3"/>
      <c r="AG71" s="314"/>
      <c r="AH71" s="314"/>
      <c r="AI71" s="314"/>
      <c r="AJ71" s="314"/>
      <c r="AK71" s="314"/>
      <c r="AL71" s="315"/>
      <c r="AM71" s="196"/>
    </row>
    <row r="72" spans="2:45">
      <c r="B72" s="111" t="str">
        <f>IF(B1="EN", "BALANCE SHEET", "CÂN ĐỐI KẾ TOÁN")</f>
        <v>CÂN ĐỐI KẾ TOÁN</v>
      </c>
      <c r="C72" s="112"/>
      <c r="D72" s="112"/>
      <c r="E72" s="112"/>
      <c r="F72" s="113"/>
      <c r="G72" s="114"/>
      <c r="H72" s="114"/>
      <c r="I72" s="114"/>
      <c r="J72" s="115"/>
      <c r="K72" s="101"/>
      <c r="L72" s="101"/>
      <c r="M72" s="101"/>
      <c r="N72" s="101">
        <f t="shared" ref="N72:AK72" si="88">N4</f>
        <v>2023</v>
      </c>
      <c r="O72" s="101">
        <f t="shared" si="88"/>
        <v>2024</v>
      </c>
      <c r="P72" s="102" t="str">
        <f>P4</f>
        <v>2025P</v>
      </c>
      <c r="Q72" s="103" t="str">
        <f>Q4</f>
        <v>2025E</v>
      </c>
      <c r="R72" s="104" t="str">
        <f t="shared" si="88"/>
        <v>2026P</v>
      </c>
      <c r="S72" s="105"/>
      <c r="T72" s="104">
        <f>T2</f>
        <v>1</v>
      </c>
      <c r="U72" s="104">
        <f t="shared" ref="U72:AE72" si="89">U2</f>
        <v>2</v>
      </c>
      <c r="V72" s="104">
        <f t="shared" si="89"/>
        <v>3</v>
      </c>
      <c r="W72" s="104">
        <f t="shared" si="89"/>
        <v>4</v>
      </c>
      <c r="X72" s="104">
        <f t="shared" si="89"/>
        <v>5</v>
      </c>
      <c r="Y72" s="104">
        <f t="shared" si="89"/>
        <v>6</v>
      </c>
      <c r="Z72" s="104">
        <f t="shared" si="89"/>
        <v>7</v>
      </c>
      <c r="AA72" s="104">
        <f t="shared" si="89"/>
        <v>8</v>
      </c>
      <c r="AB72" s="104">
        <f t="shared" si="89"/>
        <v>9</v>
      </c>
      <c r="AC72" s="104">
        <f t="shared" si="89"/>
        <v>10</v>
      </c>
      <c r="AD72" s="104">
        <f t="shared" si="89"/>
        <v>11</v>
      </c>
      <c r="AE72" s="104">
        <f t="shared" si="89"/>
        <v>12</v>
      </c>
      <c r="AF72" s="105"/>
      <c r="AG72" s="106" t="str">
        <f t="shared" si="88"/>
        <v>2025 MTP</v>
      </c>
      <c r="AH72" s="106" t="str">
        <f t="shared" si="88"/>
        <v>2026 MTP</v>
      </c>
      <c r="AI72" s="106" t="str">
        <f t="shared" si="88"/>
        <v>2027 MTP</v>
      </c>
      <c r="AJ72" s="106" t="str">
        <f t="shared" si="88"/>
        <v>2028 MTP</v>
      </c>
      <c r="AK72" s="106" t="str">
        <f t="shared" si="88"/>
        <v>2029 MTP</v>
      </c>
      <c r="AL72" s="316"/>
      <c r="AM72" s="196"/>
    </row>
    <row r="73" spans="2:45">
      <c r="B73" s="126" t="str">
        <f>IF(B1="EN", "SHORT-TERM ASSETS", "TÀI SẢN NGẮN HẠN")</f>
        <v>TÀI SẢN NGẮN HẠN</v>
      </c>
      <c r="C73" s="123"/>
      <c r="D73" s="123"/>
      <c r="E73" s="317"/>
      <c r="F73" s="318"/>
      <c r="G73" s="319"/>
      <c r="H73" s="319"/>
      <c r="I73" s="319"/>
      <c r="J73" s="319"/>
      <c r="K73" s="320"/>
      <c r="L73" s="320"/>
      <c r="M73" s="321">
        <f>M74+M77+M81+M83</f>
        <v>40050634848</v>
      </c>
      <c r="N73" s="321">
        <f>N74+N77+N81+N83</f>
        <v>34162200480</v>
      </c>
      <c r="O73" s="321">
        <f>O74+O77+O81+O83</f>
        <v>14234985625</v>
      </c>
      <c r="P73" s="421">
        <f t="shared" ref="P73" si="90">P74+P77+P81+P83</f>
        <v>18832110090.384464</v>
      </c>
      <c r="Q73" s="421">
        <f>Q74+Q77+Q81+Q83</f>
        <v>21570700345</v>
      </c>
      <c r="R73" s="504">
        <f>SUM(R74,R77,R81,R83)</f>
        <v>20520422183.54789</v>
      </c>
      <c r="S73" s="324"/>
      <c r="T73" s="324">
        <f>T74+T77+T81+T83</f>
        <v>15813639140.842142</v>
      </c>
      <c r="U73" s="324">
        <f t="shared" ref="U73:AE73" si="91">U74+U77+U81+U83</f>
        <v>11960673094.567337</v>
      </c>
      <c r="V73" s="324">
        <f t="shared" si="91"/>
        <v>13817053400.052052</v>
      </c>
      <c r="W73" s="324">
        <f t="shared" si="91"/>
        <v>15481784540.861465</v>
      </c>
      <c r="X73" s="324">
        <f t="shared" si="91"/>
        <v>15726777360.82247</v>
      </c>
      <c r="Y73" s="324">
        <f t="shared" si="91"/>
        <v>15780671451.742714</v>
      </c>
      <c r="Z73" s="324">
        <f t="shared" si="91"/>
        <v>15975471357.943798</v>
      </c>
      <c r="AA73" s="324">
        <f t="shared" si="91"/>
        <v>16120903896.721809</v>
      </c>
      <c r="AB73" s="324">
        <f t="shared" si="91"/>
        <v>16287611944.673323</v>
      </c>
      <c r="AC73" s="324">
        <f t="shared" si="91"/>
        <v>17433528992.927177</v>
      </c>
      <c r="AD73" s="324">
        <f t="shared" si="91"/>
        <v>17939536941.09993</v>
      </c>
      <c r="AE73" s="324">
        <f t="shared" si="91"/>
        <v>18430897354.54789</v>
      </c>
      <c r="AF73" s="325"/>
      <c r="AG73" s="320">
        <v>279343898497924</v>
      </c>
      <c r="AH73" s="320">
        <v>280077071076113</v>
      </c>
      <c r="AI73" s="320">
        <v>297619870936285</v>
      </c>
      <c r="AJ73" s="320">
        <v>321337832908607</v>
      </c>
      <c r="AK73" s="320">
        <v>386814455265761</v>
      </c>
      <c r="AL73" s="326"/>
      <c r="AM73" s="196"/>
    </row>
    <row r="74" spans="2:45">
      <c r="B74" s="327" t="str">
        <f>IF(B1="EN", "Cash &amp; cash equivalent", "Tiền mặt &amp; tương đương tiền")</f>
        <v>Tiền mặt &amp; tương đương tiền</v>
      </c>
      <c r="C74" s="123"/>
      <c r="D74" s="123"/>
      <c r="E74" s="317"/>
      <c r="F74" s="318"/>
      <c r="G74" s="319"/>
      <c r="H74" s="319"/>
      <c r="I74" s="319"/>
      <c r="J74" s="319"/>
      <c r="K74" s="320"/>
      <c r="L74" s="320"/>
      <c r="M74" s="321">
        <f t="shared" ref="M74:O74" si="92">SUM(M75:M76)</f>
        <v>5305591972</v>
      </c>
      <c r="N74" s="321">
        <f t="shared" si="92"/>
        <v>1391619434</v>
      </c>
      <c r="O74" s="321">
        <f t="shared" si="92"/>
        <v>1921447314</v>
      </c>
      <c r="P74" s="421">
        <f>SUM(P75:P76)</f>
        <v>2629015354.0279961</v>
      </c>
      <c r="Q74" s="421">
        <f>SUM(Q75:Q76)</f>
        <v>6328662129</v>
      </c>
      <c r="R74" s="324">
        <f>SUM(R75:R76)</f>
        <v>3671864723.1932793</v>
      </c>
      <c r="S74" s="324"/>
      <c r="T74" s="324">
        <f t="shared" ref="T74:AE74" si="93">SUM(T75:T76)</f>
        <v>4344788178.7292871</v>
      </c>
      <c r="U74" s="324">
        <f t="shared" si="93"/>
        <v>2009480084.6610575</v>
      </c>
      <c r="V74" s="324">
        <f t="shared" si="93"/>
        <v>1611055725.8910372</v>
      </c>
      <c r="W74" s="324">
        <f t="shared" si="93"/>
        <v>1476609832.3132195</v>
      </c>
      <c r="X74" s="324">
        <f t="shared" si="93"/>
        <v>1711839839.7819259</v>
      </c>
      <c r="Y74" s="324">
        <f t="shared" si="93"/>
        <v>1747387639.678247</v>
      </c>
      <c r="Z74" s="324">
        <f t="shared" si="93"/>
        <v>1929671578.0095325</v>
      </c>
      <c r="AA74" s="324">
        <f t="shared" si="93"/>
        <v>2071720306.36532</v>
      </c>
      <c r="AB74" s="324">
        <f t="shared" si="93"/>
        <v>2243443386.8025889</v>
      </c>
      <c r="AC74" s="324">
        <f t="shared" si="93"/>
        <v>2689249665.5694294</v>
      </c>
      <c r="AD74" s="324">
        <f t="shared" si="93"/>
        <v>3176978930.044745</v>
      </c>
      <c r="AE74" s="324">
        <f t="shared" si="93"/>
        <v>3671864723.1932793</v>
      </c>
      <c r="AF74" s="325"/>
      <c r="AG74" s="320">
        <v>67857140982378</v>
      </c>
      <c r="AH74" s="320">
        <v>489032134457158</v>
      </c>
      <c r="AI74" s="320">
        <v>416447710096797</v>
      </c>
      <c r="AJ74" s="320">
        <v>381387876065954</v>
      </c>
      <c r="AK74" s="320">
        <v>756841102793343</v>
      </c>
      <c r="AL74" s="326"/>
      <c r="AM74" s="196"/>
      <c r="AN74" s="107"/>
    </row>
    <row r="75" spans="2:45" outlineLevel="1">
      <c r="B75" s="328"/>
      <c r="C75" s="329" t="str">
        <f>IF(B1="EN", "Cash &amp; cash equivalent", "Tiền mặt &amp; tương đương tiền")</f>
        <v>Tiền mặt &amp; tương đương tiền</v>
      </c>
      <c r="D75" s="329"/>
      <c r="E75" s="330"/>
      <c r="F75" s="331"/>
      <c r="G75" s="332"/>
      <c r="H75" s="332"/>
      <c r="I75" s="332"/>
      <c r="J75" s="332"/>
      <c r="K75" s="333"/>
      <c r="L75" s="333"/>
      <c r="M75" s="340">
        <v>5103591972</v>
      </c>
      <c r="N75" s="340">
        <v>1189619434</v>
      </c>
      <c r="O75" s="340">
        <v>1719447314</v>
      </c>
      <c r="P75" s="334">
        <f>P153</f>
        <v>2427015354.0279961</v>
      </c>
      <c r="Q75" s="334">
        <v>6126662129</v>
      </c>
      <c r="R75" s="337">
        <f>AE75</f>
        <v>3469864723.1932793</v>
      </c>
      <c r="S75" s="337"/>
      <c r="T75" s="337">
        <f>T153-T76</f>
        <v>4142788178.7292871</v>
      </c>
      <c r="U75" s="337">
        <f>U153-U76</f>
        <v>1807480084.6610575</v>
      </c>
      <c r="V75" s="337">
        <f t="shared" ref="V75:AE75" si="94">V153-V76</f>
        <v>1409055725.8910372</v>
      </c>
      <c r="W75" s="337">
        <f t="shared" si="94"/>
        <v>1274609832.3132195</v>
      </c>
      <c r="X75" s="337">
        <f t="shared" si="94"/>
        <v>1509839839.7819259</v>
      </c>
      <c r="Y75" s="337">
        <f t="shared" si="94"/>
        <v>1545387639.678247</v>
      </c>
      <c r="Z75" s="337">
        <f t="shared" si="94"/>
        <v>1727671578.0095325</v>
      </c>
      <c r="AA75" s="337">
        <f t="shared" si="94"/>
        <v>1869720306.36532</v>
      </c>
      <c r="AB75" s="337">
        <f t="shared" si="94"/>
        <v>2041443386.8025889</v>
      </c>
      <c r="AC75" s="337">
        <f t="shared" si="94"/>
        <v>2487249665.5694294</v>
      </c>
      <c r="AD75" s="337">
        <f t="shared" si="94"/>
        <v>2974978930.044745</v>
      </c>
      <c r="AE75" s="337">
        <f t="shared" si="94"/>
        <v>3469864723.1932793</v>
      </c>
      <c r="AF75" s="338"/>
      <c r="AG75" s="333">
        <v>42857140982378</v>
      </c>
      <c r="AH75" s="333">
        <v>289032134457158</v>
      </c>
      <c r="AI75" s="333">
        <v>266447710096797</v>
      </c>
      <c r="AJ75" s="333">
        <v>231387876065954</v>
      </c>
      <c r="AK75" s="333">
        <v>256841102793343</v>
      </c>
      <c r="AL75" s="339"/>
      <c r="AM75" s="196"/>
    </row>
    <row r="76" spans="2:45" outlineLevel="1">
      <c r="B76" s="328"/>
      <c r="C76" s="329" t="str">
        <f>IF(B1="EN", "Short-term investment", "Đầu tư ngắn hạn")</f>
        <v>Đầu tư ngắn hạn</v>
      </c>
      <c r="D76" s="329"/>
      <c r="E76" s="330"/>
      <c r="F76" s="331"/>
      <c r="G76" s="332"/>
      <c r="H76" s="332"/>
      <c r="I76" s="332"/>
      <c r="J76" s="332"/>
      <c r="K76" s="333"/>
      <c r="L76" s="333"/>
      <c r="M76" s="340">
        <v>202000000</v>
      </c>
      <c r="N76" s="340">
        <v>202000000</v>
      </c>
      <c r="O76" s="340">
        <v>202000000</v>
      </c>
      <c r="P76" s="334">
        <v>202000000</v>
      </c>
      <c r="Q76" s="334">
        <v>202000000</v>
      </c>
      <c r="R76" s="337">
        <f t="shared" ref="R76:R121" si="95">AE76</f>
        <v>202000000</v>
      </c>
      <c r="S76" s="337"/>
      <c r="T76" s="337">
        <v>202000000</v>
      </c>
      <c r="U76" s="337">
        <v>202000000</v>
      </c>
      <c r="V76" s="337">
        <v>202000000</v>
      </c>
      <c r="W76" s="337">
        <v>202000000</v>
      </c>
      <c r="X76" s="337">
        <v>202000000</v>
      </c>
      <c r="Y76" s="337">
        <v>202000000</v>
      </c>
      <c r="Z76" s="337">
        <v>202000000</v>
      </c>
      <c r="AA76" s="337">
        <v>202000000</v>
      </c>
      <c r="AB76" s="337">
        <v>202000000</v>
      </c>
      <c r="AC76" s="337">
        <v>202000000</v>
      </c>
      <c r="AD76" s="337">
        <v>202000000</v>
      </c>
      <c r="AE76" s="337">
        <v>202000000</v>
      </c>
      <c r="AF76" s="338"/>
      <c r="AG76" s="333">
        <v>250000</v>
      </c>
      <c r="AH76" s="333">
        <v>200000</v>
      </c>
      <c r="AI76" s="333">
        <v>150000</v>
      </c>
      <c r="AJ76" s="333">
        <v>150000</v>
      </c>
      <c r="AK76" s="333">
        <v>500000</v>
      </c>
      <c r="AL76" s="339"/>
      <c r="AM76" s="196"/>
    </row>
    <row r="77" spans="2:45">
      <c r="B77" s="327" t="str">
        <f>IF(B1="EN", "Short-term receivables", "Các khoản phải thu ngắn hạn")</f>
        <v>Các khoản phải thu ngắn hạn</v>
      </c>
      <c r="C77" s="123"/>
      <c r="D77" s="123"/>
      <c r="E77" s="317"/>
      <c r="F77" s="318"/>
      <c r="G77" s="319"/>
      <c r="H77" s="319"/>
      <c r="I77" s="319"/>
      <c r="J77" s="319"/>
      <c r="K77" s="320"/>
      <c r="L77" s="320"/>
      <c r="M77" s="321">
        <f>SUM(M78:M80)</f>
        <v>21877240086</v>
      </c>
      <c r="N77" s="321">
        <f>SUM(N78:N80)</f>
        <v>9605663166</v>
      </c>
      <c r="O77" s="321">
        <f>SUM(O78:O80)</f>
        <v>5949064562</v>
      </c>
      <c r="P77" s="421">
        <f t="shared" ref="P77" si="96">SUM(P78:P80)</f>
        <v>4669773780.6301365</v>
      </c>
      <c r="Q77" s="421">
        <f>SUM(Q78:Q80)</f>
        <v>6282413208</v>
      </c>
      <c r="R77" s="324">
        <f>SUM(R78:R80)</f>
        <v>7940197519.333333</v>
      </c>
      <c r="S77" s="324"/>
      <c r="T77" s="324">
        <f>SUM(T78:T80)</f>
        <v>4880809982</v>
      </c>
      <c r="U77" s="324">
        <f t="shared" ref="U77:AE77" si="97">SUM(U78:U80)</f>
        <v>4454320398.666666</v>
      </c>
      <c r="V77" s="324">
        <f t="shared" si="97"/>
        <v>5094054773.666666</v>
      </c>
      <c r="W77" s="324">
        <f t="shared" si="97"/>
        <v>5623992273.666666</v>
      </c>
      <c r="X77" s="324">
        <f t="shared" si="97"/>
        <v>5623992273.666666</v>
      </c>
      <c r="Y77" s="324">
        <f t="shared" si="97"/>
        <v>5623992273.666666</v>
      </c>
      <c r="Z77" s="324">
        <f t="shared" si="97"/>
        <v>5623992273.666666</v>
      </c>
      <c r="AA77" s="324">
        <f t="shared" si="97"/>
        <v>5623992273.666666</v>
      </c>
      <c r="AB77" s="324">
        <f t="shared" si="97"/>
        <v>5623992273.666666</v>
      </c>
      <c r="AC77" s="324">
        <f t="shared" si="97"/>
        <v>5850672690.333333</v>
      </c>
      <c r="AD77" s="324">
        <f t="shared" si="97"/>
        <v>5850672690.333333</v>
      </c>
      <c r="AE77" s="324">
        <f t="shared" si="97"/>
        <v>5850672690.333333</v>
      </c>
      <c r="AF77" s="325"/>
      <c r="AG77" s="320">
        <v>986880012661969</v>
      </c>
      <c r="AH77" s="320">
        <v>108210138764717</v>
      </c>
      <c r="AI77" s="320">
        <v>120179678930828</v>
      </c>
      <c r="AJ77" s="320">
        <v>133292504474079</v>
      </c>
      <c r="AK77" s="320">
        <v>146977590594154</v>
      </c>
      <c r="AL77" s="326"/>
      <c r="AM77" s="196"/>
    </row>
    <row r="78" spans="2:45" outlineLevel="1">
      <c r="B78" s="328"/>
      <c r="C78" s="329" t="str">
        <f>IF(B1="EN", "Trade receivables", "Phải thu thương mại")</f>
        <v>Phải thu thương mại</v>
      </c>
      <c r="D78" s="329"/>
      <c r="E78" s="330"/>
      <c r="F78" s="331"/>
      <c r="G78" s="332"/>
      <c r="H78" s="332"/>
      <c r="I78" s="332"/>
      <c r="J78" s="332"/>
      <c r="K78" s="333"/>
      <c r="L78" s="333"/>
      <c r="M78" s="340">
        <v>818791513</v>
      </c>
      <c r="N78" s="340">
        <v>6457008060</v>
      </c>
      <c r="O78" s="340">
        <v>3050417781</v>
      </c>
      <c r="P78" s="334">
        <f>[1]NWC!L6</f>
        <v>1708166923.630137</v>
      </c>
      <c r="Q78" s="334">
        <v>1936533259</v>
      </c>
      <c r="R78" s="337">
        <f t="shared" si="95"/>
        <v>2889065833.333333</v>
      </c>
      <c r="S78" s="337"/>
      <c r="T78" s="337">
        <f>[1]NWC!O6</f>
        <v>1919203125</v>
      </c>
      <c r="U78" s="337">
        <f>[1]NWC!P6</f>
        <v>1492713541.6666665</v>
      </c>
      <c r="V78" s="337">
        <f>[1]NWC!Q6</f>
        <v>2132447916.6666665</v>
      </c>
      <c r="W78" s="337">
        <f>[1]NWC!R6</f>
        <v>2662385416.6666665</v>
      </c>
      <c r="X78" s="337">
        <f>[1]NWC!S6</f>
        <v>2662385416.6666665</v>
      </c>
      <c r="Y78" s="337">
        <f>[1]NWC!T6</f>
        <v>2662385416.6666665</v>
      </c>
      <c r="Z78" s="337">
        <f>[1]NWC!U6</f>
        <v>2662385416.6666665</v>
      </c>
      <c r="AA78" s="337">
        <f>[1]NWC!V6</f>
        <v>2662385416.6666665</v>
      </c>
      <c r="AB78" s="337">
        <f>[1]NWC!W6</f>
        <v>2662385416.6666665</v>
      </c>
      <c r="AC78" s="337">
        <f>[1]NWC!X6</f>
        <v>2889065833.333333</v>
      </c>
      <c r="AD78" s="337">
        <f>[1]NWC!Y6</f>
        <v>2889065833.333333</v>
      </c>
      <c r="AE78" s="337">
        <f>[1]NWC!Z6</f>
        <v>2889065833.333333</v>
      </c>
      <c r="AF78" s="338"/>
      <c r="AG78" s="333">
        <v>932924653230014</v>
      </c>
      <c r="AH78" s="333">
        <v>102402357115415</v>
      </c>
      <c r="AI78" s="333">
        <v>113851500472917</v>
      </c>
      <c r="AJ78" s="333">
        <v>126392041711863</v>
      </c>
      <c r="AK78" s="333">
        <v>139499364726273</v>
      </c>
      <c r="AL78" s="339"/>
      <c r="AM78" s="196"/>
    </row>
    <row r="79" spans="2:45" outlineLevel="1">
      <c r="B79" s="328"/>
      <c r="C79" s="329" t="str">
        <f>IF(B1="EN", "Prepayment to suppliers", "Trả trước cho người bán")</f>
        <v>Trả trước cho người bán</v>
      </c>
      <c r="D79" s="329"/>
      <c r="E79" s="330"/>
      <c r="F79" s="331"/>
      <c r="G79" s="332"/>
      <c r="H79" s="332"/>
      <c r="I79" s="332"/>
      <c r="J79" s="332"/>
      <c r="K79" s="333"/>
      <c r="L79" s="333"/>
      <c r="M79" s="340">
        <v>13155020004</v>
      </c>
      <c r="N79" s="340">
        <v>150830000</v>
      </c>
      <c r="O79" s="340">
        <v>133534800</v>
      </c>
      <c r="P79" s="334">
        <f>[1]NWC!L9</f>
        <v>0</v>
      </c>
      <c r="Q79" s="334">
        <v>1384273092</v>
      </c>
      <c r="R79" s="337">
        <f>2158969273-69444444</f>
        <v>2089524829</v>
      </c>
      <c r="S79" s="337"/>
      <c r="T79" s="337">
        <f>[1]NWC!O9</f>
        <v>0</v>
      </c>
      <c r="U79" s="337">
        <f>[1]NWC!P9</f>
        <v>0</v>
      </c>
      <c r="V79" s="337">
        <f>[1]NWC!Q9</f>
        <v>0</v>
      </c>
      <c r="W79" s="337">
        <f>[1]NWC!R9</f>
        <v>0</v>
      </c>
      <c r="X79" s="337">
        <f>[1]NWC!S9</f>
        <v>0</v>
      </c>
      <c r="Y79" s="337">
        <f>[1]NWC!T9</f>
        <v>0</v>
      </c>
      <c r="Z79" s="337">
        <f>[1]NWC!U9</f>
        <v>0</v>
      </c>
      <c r="AA79" s="337">
        <f>[1]NWC!V9</f>
        <v>0</v>
      </c>
      <c r="AB79" s="337">
        <f>[1]NWC!W9</f>
        <v>0</v>
      </c>
      <c r="AC79" s="337">
        <f>[1]NWC!X9</f>
        <v>0</v>
      </c>
      <c r="AD79" s="337">
        <f>[1]NWC!Y9</f>
        <v>0</v>
      </c>
      <c r="AE79" s="337">
        <f>[1]NWC!Z9</f>
        <v>0</v>
      </c>
      <c r="AF79" s="338"/>
      <c r="AG79" s="333">
        <v>448613916099549</v>
      </c>
      <c r="AH79" s="333">
        <v>489838486710225</v>
      </c>
      <c r="AI79" s="333">
        <v>541878167571173</v>
      </c>
      <c r="AJ79" s="333">
        <v>599106598001586</v>
      </c>
      <c r="AK79" s="333">
        <v>656882908568072</v>
      </c>
      <c r="AL79" s="339"/>
      <c r="AM79" s="196"/>
    </row>
    <row r="80" spans="2:45" outlineLevel="1">
      <c r="B80" s="328"/>
      <c r="C80" s="329" t="str">
        <f>IF(B1="EN", "Other receivables", "Các khoản phải thu khác")</f>
        <v>Các khoản phải thu khác</v>
      </c>
      <c r="D80" s="329"/>
      <c r="E80" s="330"/>
      <c r="F80" s="331"/>
      <c r="G80" s="332"/>
      <c r="H80" s="332"/>
      <c r="I80" s="332"/>
      <c r="J80" s="332"/>
      <c r="K80" s="333"/>
      <c r="L80" s="333"/>
      <c r="M80" s="340">
        <f>3903428569+4000000000</f>
        <v>7903428569</v>
      </c>
      <c r="N80" s="340">
        <v>2997825106</v>
      </c>
      <c r="O80" s="340">
        <v>2765111981</v>
      </c>
      <c r="P80" s="334">
        <f>Q80</f>
        <v>2961606857</v>
      </c>
      <c r="Q80" s="334">
        <v>2961606857</v>
      </c>
      <c r="R80" s="337">
        <f t="shared" si="95"/>
        <v>2961606857</v>
      </c>
      <c r="S80" s="337"/>
      <c r="T80" s="337">
        <f t="shared" ref="T80:AE80" si="98">$Q$80</f>
        <v>2961606857</v>
      </c>
      <c r="U80" s="337">
        <f t="shared" si="98"/>
        <v>2961606857</v>
      </c>
      <c r="V80" s="337">
        <f t="shared" si="98"/>
        <v>2961606857</v>
      </c>
      <c r="W80" s="337">
        <f t="shared" si="98"/>
        <v>2961606857</v>
      </c>
      <c r="X80" s="337">
        <f t="shared" si="98"/>
        <v>2961606857</v>
      </c>
      <c r="Y80" s="337">
        <f t="shared" si="98"/>
        <v>2961606857</v>
      </c>
      <c r="Z80" s="337">
        <f t="shared" si="98"/>
        <v>2961606857</v>
      </c>
      <c r="AA80" s="337">
        <f t="shared" si="98"/>
        <v>2961606857</v>
      </c>
      <c r="AB80" s="337">
        <f t="shared" si="98"/>
        <v>2961606857</v>
      </c>
      <c r="AC80" s="337">
        <f t="shared" si="98"/>
        <v>2961606857</v>
      </c>
      <c r="AD80" s="337">
        <f t="shared" si="98"/>
        <v>2961606857</v>
      </c>
      <c r="AE80" s="337">
        <f t="shared" si="98"/>
        <v>2961606857</v>
      </c>
      <c r="AF80" s="338"/>
      <c r="AG80" s="333">
        <v>9093967822</v>
      </c>
      <c r="AH80" s="333">
        <v>9093967822</v>
      </c>
      <c r="AI80" s="333">
        <v>9093967822</v>
      </c>
      <c r="AJ80" s="333">
        <v>9093967822</v>
      </c>
      <c r="AK80" s="333">
        <v>9093967822</v>
      </c>
      <c r="AL80" s="339"/>
      <c r="AM80" s="196"/>
    </row>
    <row r="81" spans="2:40">
      <c r="B81" s="327" t="str">
        <f>IF(B1="EN", "Inventory", "Hàng tồn kho")</f>
        <v>Hàng tồn kho</v>
      </c>
      <c r="C81" s="123"/>
      <c r="D81" s="123"/>
      <c r="E81" s="326"/>
      <c r="F81" s="341"/>
      <c r="G81" s="319"/>
      <c r="H81" s="319"/>
      <c r="I81" s="319"/>
      <c r="J81" s="319"/>
      <c r="K81" s="320"/>
      <c r="L81" s="320"/>
      <c r="M81" s="321">
        <f>M82</f>
        <v>11967574946</v>
      </c>
      <c r="N81" s="321">
        <f>N82</f>
        <v>22500552497</v>
      </c>
      <c r="O81" s="321">
        <f>O82</f>
        <v>5867578748</v>
      </c>
      <c r="P81" s="421">
        <f>P82</f>
        <v>10633093111.726332</v>
      </c>
      <c r="Q81" s="421">
        <f>Q82</f>
        <v>7851723952</v>
      </c>
      <c r="R81" s="324">
        <f t="shared" si="95"/>
        <v>7800458885.0212793</v>
      </c>
      <c r="S81" s="324"/>
      <c r="T81" s="324">
        <f t="shared" ref="T81:AE81" si="99">T82</f>
        <v>5480139924.1128559</v>
      </c>
      <c r="U81" s="324">
        <f t="shared" si="99"/>
        <v>4388971555.2396145</v>
      </c>
      <c r="V81" s="324">
        <f t="shared" si="99"/>
        <v>6004041844.4943485</v>
      </c>
      <c r="W81" s="324">
        <f t="shared" si="99"/>
        <v>7273281378.8815804</v>
      </c>
      <c r="X81" s="324">
        <f t="shared" si="99"/>
        <v>7283044191.3738775</v>
      </c>
      <c r="Y81" s="324">
        <f t="shared" si="99"/>
        <v>7301390482.3977995</v>
      </c>
      <c r="Z81" s="324">
        <f t="shared" si="99"/>
        <v>7313906450.2676001</v>
      </c>
      <c r="AA81" s="324">
        <f t="shared" si="99"/>
        <v>7317290260.6898232</v>
      </c>
      <c r="AB81" s="324">
        <f t="shared" si="99"/>
        <v>7312275228.2040672</v>
      </c>
      <c r="AC81" s="324">
        <f t="shared" si="99"/>
        <v>7785705581.0244141</v>
      </c>
      <c r="AD81" s="324">
        <f t="shared" si="99"/>
        <v>7803984264.7218494</v>
      </c>
      <c r="AE81" s="324">
        <f t="shared" si="99"/>
        <v>7800458885.0212793</v>
      </c>
      <c r="AF81" s="325"/>
      <c r="AG81" s="320">
        <v>110617129997149</v>
      </c>
      <c r="AH81" s="320">
        <v>12078209261348</v>
      </c>
      <c r="AI81" s="320">
        <v>133613794743577</v>
      </c>
      <c r="AJ81" s="320">
        <v>147724914575734</v>
      </c>
      <c r="AK81" s="320">
        <v>161971128140072</v>
      </c>
      <c r="AL81" s="326"/>
      <c r="AM81" s="196"/>
    </row>
    <row r="82" spans="2:40" outlineLevel="1">
      <c r="B82" s="328"/>
      <c r="C82" s="329" t="str">
        <f>IF(B1="EN", "Inventory", "Hàng tồn kho")</f>
        <v>Hàng tồn kho</v>
      </c>
      <c r="D82" s="329"/>
      <c r="E82" s="330"/>
      <c r="F82" s="331"/>
      <c r="G82" s="332"/>
      <c r="H82" s="332"/>
      <c r="I82" s="332"/>
      <c r="J82" s="332"/>
      <c r="K82" s="333"/>
      <c r="L82" s="333"/>
      <c r="M82" s="340">
        <v>11967574946</v>
      </c>
      <c r="N82" s="340">
        <v>22500552497</v>
      </c>
      <c r="O82" s="340">
        <v>5867578748</v>
      </c>
      <c r="P82" s="334">
        <f>[1]NWC!L7</f>
        <v>10633093111.726332</v>
      </c>
      <c r="Q82" s="334">
        <v>7851723952</v>
      </c>
      <c r="R82" s="337">
        <f t="shared" si="95"/>
        <v>7800458885.0212793</v>
      </c>
      <c r="S82" s="337"/>
      <c r="T82" s="337">
        <f>[1]NWC!O7</f>
        <v>5480139924.1128559</v>
      </c>
      <c r="U82" s="337">
        <f>[1]NWC!P7</f>
        <v>4388971555.2396145</v>
      </c>
      <c r="V82" s="337">
        <f>[1]NWC!Q7</f>
        <v>6004041844.4943485</v>
      </c>
      <c r="W82" s="337">
        <f>[1]NWC!R7</f>
        <v>7273281378.8815804</v>
      </c>
      <c r="X82" s="337">
        <f>[1]NWC!S7</f>
        <v>7283044191.3738775</v>
      </c>
      <c r="Y82" s="337">
        <f>[1]NWC!T7</f>
        <v>7301390482.3977995</v>
      </c>
      <c r="Z82" s="337">
        <f>[1]NWC!U7</f>
        <v>7313906450.2676001</v>
      </c>
      <c r="AA82" s="337">
        <f>[1]NWC!V7</f>
        <v>7317290260.6898232</v>
      </c>
      <c r="AB82" s="337">
        <f>[1]NWC!W7</f>
        <v>7312275228.2040672</v>
      </c>
      <c r="AC82" s="337">
        <f>[1]NWC!X7</f>
        <v>7785705581.0244141</v>
      </c>
      <c r="AD82" s="337">
        <f>[1]NWC!Y7</f>
        <v>7803984264.7218494</v>
      </c>
      <c r="AE82" s="337">
        <f>[1]NWC!Z7</f>
        <v>7800458885.0212793</v>
      </c>
      <c r="AF82" s="338"/>
      <c r="AG82" s="333">
        <v>110617129997149</v>
      </c>
      <c r="AH82" s="333">
        <v>12078209261348</v>
      </c>
      <c r="AI82" s="333">
        <v>133613794743577</v>
      </c>
      <c r="AJ82" s="333">
        <v>147724914575734</v>
      </c>
      <c r="AK82" s="333">
        <v>161971128140072</v>
      </c>
      <c r="AL82" s="339"/>
      <c r="AM82" s="196"/>
    </row>
    <row r="83" spans="2:40">
      <c r="B83" s="327" t="str">
        <f>IF(B1="EN", "Other short-term assets", "Tài sản ngắn hạn khác")</f>
        <v>Tài sản ngắn hạn khác</v>
      </c>
      <c r="C83" s="123"/>
      <c r="D83" s="123"/>
      <c r="E83" s="326"/>
      <c r="F83" s="341"/>
      <c r="G83" s="319"/>
      <c r="H83" s="319"/>
      <c r="I83" s="319"/>
      <c r="J83" s="319"/>
      <c r="K83" s="320"/>
      <c r="L83" s="320"/>
      <c r="M83" s="321">
        <v>900227844</v>
      </c>
      <c r="N83" s="321">
        <v>664365383</v>
      </c>
      <c r="O83" s="321">
        <v>496895001</v>
      </c>
      <c r="P83" s="421">
        <f>M83</f>
        <v>900227844</v>
      </c>
      <c r="Q83" s="421">
        <v>1107901056</v>
      </c>
      <c r="R83" s="324">
        <f t="shared" si="95"/>
        <v>1107901056</v>
      </c>
      <c r="S83" s="324"/>
      <c r="T83" s="324">
        <f t="shared" ref="T83:AE83" si="100">$Q$83</f>
        <v>1107901056</v>
      </c>
      <c r="U83" s="324">
        <f t="shared" si="100"/>
        <v>1107901056</v>
      </c>
      <c r="V83" s="324">
        <f t="shared" si="100"/>
        <v>1107901056</v>
      </c>
      <c r="W83" s="324">
        <f t="shared" si="100"/>
        <v>1107901056</v>
      </c>
      <c r="X83" s="324">
        <f t="shared" si="100"/>
        <v>1107901056</v>
      </c>
      <c r="Y83" s="324">
        <f t="shared" si="100"/>
        <v>1107901056</v>
      </c>
      <c r="Z83" s="324">
        <f t="shared" si="100"/>
        <v>1107901056</v>
      </c>
      <c r="AA83" s="324">
        <f t="shared" si="100"/>
        <v>1107901056</v>
      </c>
      <c r="AB83" s="324">
        <f t="shared" si="100"/>
        <v>1107901056</v>
      </c>
      <c r="AC83" s="324">
        <f t="shared" si="100"/>
        <v>1107901056</v>
      </c>
      <c r="AD83" s="324">
        <f t="shared" si="100"/>
        <v>1107901056</v>
      </c>
      <c r="AE83" s="324">
        <f t="shared" si="100"/>
        <v>1107901056</v>
      </c>
      <c r="AF83" s="325"/>
      <c r="AG83" s="320">
        <v>21816262522</v>
      </c>
      <c r="AH83" s="320">
        <v>21816262522</v>
      </c>
      <c r="AI83" s="320">
        <v>21816262522</v>
      </c>
      <c r="AJ83" s="320">
        <v>21816262522</v>
      </c>
      <c r="AK83" s="320">
        <v>21816262522</v>
      </c>
      <c r="AL83" s="326"/>
      <c r="AM83" s="196"/>
    </row>
    <row r="84" spans="2:40">
      <c r="B84" s="342"/>
      <c r="C84" s="329"/>
      <c r="D84" s="329"/>
      <c r="E84" s="330"/>
      <c r="F84" s="331"/>
      <c r="G84" s="343"/>
      <c r="H84" s="343"/>
      <c r="I84" s="343"/>
      <c r="J84" s="343"/>
      <c r="K84" s="344"/>
      <c r="L84" s="344"/>
      <c r="M84" s="345"/>
      <c r="N84" s="345"/>
      <c r="O84" s="345"/>
      <c r="P84" s="505"/>
      <c r="Q84" s="505"/>
      <c r="R84" s="348">
        <f t="shared" si="95"/>
        <v>0</v>
      </c>
      <c r="S84" s="348"/>
      <c r="T84" s="348"/>
      <c r="U84" s="348"/>
      <c r="V84" s="348"/>
      <c r="W84" s="348"/>
      <c r="X84" s="348"/>
      <c r="Y84" s="348"/>
      <c r="Z84" s="348"/>
      <c r="AA84" s="348"/>
      <c r="AB84" s="348"/>
      <c r="AC84" s="348"/>
      <c r="AD84" s="348"/>
      <c r="AE84" s="348"/>
      <c r="AF84" s="349"/>
      <c r="AG84" s="344"/>
      <c r="AH84" s="344"/>
      <c r="AI84" s="344"/>
      <c r="AJ84" s="344"/>
      <c r="AK84" s="344"/>
      <c r="AL84" s="350"/>
      <c r="AM84" s="196"/>
    </row>
    <row r="85" spans="2:40">
      <c r="B85" s="126" t="str">
        <f>IF(B1="EN", "LONG-TERM ASSETS", "TÀI SẢN DÀI HẠN")</f>
        <v>TÀI SẢN DÀI HẠN</v>
      </c>
      <c r="C85" s="123"/>
      <c r="D85" s="123"/>
      <c r="E85" s="317"/>
      <c r="F85" s="318"/>
      <c r="G85" s="319"/>
      <c r="H85" s="319"/>
      <c r="I85" s="319"/>
      <c r="J85" s="319"/>
      <c r="K85" s="320"/>
      <c r="L85" s="320"/>
      <c r="M85" s="321">
        <f>M86+M96+M98+M100+M99</f>
        <v>27067630649</v>
      </c>
      <c r="N85" s="321">
        <f>N86+N96+N98+N100+N99</f>
        <v>30563499221</v>
      </c>
      <c r="O85" s="321">
        <f>O86+O96+O98+O100+O99</f>
        <v>24673757974</v>
      </c>
      <c r="P85" s="421">
        <f t="shared" ref="P85:Q85" si="101">P86+P96+P98+P100+P99</f>
        <v>16722903938.333332</v>
      </c>
      <c r="Q85" s="421">
        <f t="shared" si="101"/>
        <v>24399717348</v>
      </c>
      <c r="R85" s="324">
        <f t="shared" si="95"/>
        <v>17355340872.828026</v>
      </c>
      <c r="S85" s="324"/>
      <c r="T85" s="324">
        <f t="shared" ref="T85:AE85" si="102">T86+T96+T98+T100+T99</f>
        <v>21563196707.245266</v>
      </c>
      <c r="U85" s="324">
        <f t="shared" si="102"/>
        <v>21183068628.964912</v>
      </c>
      <c r="V85" s="324">
        <f t="shared" si="102"/>
        <v>20805504186.684559</v>
      </c>
      <c r="W85" s="324">
        <f t="shared" si="102"/>
        <v>20427939744.404205</v>
      </c>
      <c r="X85" s="324">
        <f t="shared" si="102"/>
        <v>20050375302.123852</v>
      </c>
      <c r="Y85" s="324">
        <f t="shared" si="102"/>
        <v>19672810859.843498</v>
      </c>
      <c r="Z85" s="324">
        <f t="shared" si="102"/>
        <v>19295246417.563145</v>
      </c>
      <c r="AA85" s="324">
        <f t="shared" si="102"/>
        <v>18917681975.282787</v>
      </c>
      <c r="AB85" s="324">
        <f t="shared" si="102"/>
        <v>18540117533.00243</v>
      </c>
      <c r="AC85" s="324">
        <f t="shared" si="102"/>
        <v>18145191979.610962</v>
      </c>
      <c r="AD85" s="324">
        <f t="shared" si="102"/>
        <v>17750266426.219494</v>
      </c>
      <c r="AE85" s="324">
        <f t="shared" si="102"/>
        <v>17355340872.828026</v>
      </c>
      <c r="AF85" s="325"/>
      <c r="AG85" s="320">
        <v>229691525614212</v>
      </c>
      <c r="AH85" s="320">
        <v>292846111445683</v>
      </c>
      <c r="AI85" s="320">
        <v>338026496677403</v>
      </c>
      <c r="AJ85" s="320">
        <v>383560944662571</v>
      </c>
      <c r="AK85" s="320">
        <v>392980234439487</v>
      </c>
      <c r="AL85" s="326"/>
      <c r="AM85" s="196"/>
    </row>
    <row r="86" spans="2:40">
      <c r="B86" s="327" t="str">
        <f>IF(B1="EN", "Fixed assets", "Tài sản cố định")</f>
        <v>Tài sản cố định</v>
      </c>
      <c r="C86" s="123"/>
      <c r="D86" s="123"/>
      <c r="E86" s="317"/>
      <c r="F86" s="318"/>
      <c r="G86" s="319"/>
      <c r="H86" s="319"/>
      <c r="I86" s="319"/>
      <c r="J86" s="319"/>
      <c r="K86" s="320"/>
      <c r="L86" s="320"/>
      <c r="M86" s="321">
        <f>M87+M90+M93</f>
        <v>24882961817</v>
      </c>
      <c r="N86" s="321">
        <f>N87+N90+N93</f>
        <v>25022102089</v>
      </c>
      <c r="O86" s="321">
        <f>O87+O90+O93</f>
        <v>23029767745</v>
      </c>
      <c r="P86" s="421">
        <f t="shared" ref="P86:Q86" si="103">P87+P90+P93</f>
        <v>13511542158.333332</v>
      </c>
      <c r="Q86" s="421">
        <f t="shared" si="103"/>
        <v>21188355568</v>
      </c>
      <c r="R86" s="324">
        <f t="shared" si="95"/>
        <v>17355340872.828026</v>
      </c>
      <c r="S86" s="324"/>
      <c r="T86" s="324">
        <f t="shared" ref="T86:AE86" si="104">T87+T90+T93</f>
        <v>21563196707.245266</v>
      </c>
      <c r="U86" s="324">
        <f t="shared" si="104"/>
        <v>21183068628.964912</v>
      </c>
      <c r="V86" s="324">
        <f t="shared" si="104"/>
        <v>20805504186.684559</v>
      </c>
      <c r="W86" s="324">
        <f t="shared" si="104"/>
        <v>20427939744.404205</v>
      </c>
      <c r="X86" s="324">
        <f t="shared" si="104"/>
        <v>20050375302.123852</v>
      </c>
      <c r="Y86" s="324">
        <f t="shared" si="104"/>
        <v>19672810859.843498</v>
      </c>
      <c r="Z86" s="324">
        <f t="shared" si="104"/>
        <v>19295246417.563145</v>
      </c>
      <c r="AA86" s="324">
        <f t="shared" si="104"/>
        <v>18917681975.282787</v>
      </c>
      <c r="AB86" s="324">
        <f t="shared" si="104"/>
        <v>18540117533.00243</v>
      </c>
      <c r="AC86" s="324">
        <f t="shared" si="104"/>
        <v>18145191979.610962</v>
      </c>
      <c r="AD86" s="324">
        <f t="shared" si="104"/>
        <v>17750266426.219494</v>
      </c>
      <c r="AE86" s="324">
        <f t="shared" si="104"/>
        <v>17355340872.828026</v>
      </c>
      <c r="AF86" s="325"/>
      <c r="AG86" s="320">
        <v>207469613973412</v>
      </c>
      <c r="AH86" s="320">
        <v>270624199804883</v>
      </c>
      <c r="AI86" s="320">
        <v>315804585036603</v>
      </c>
      <c r="AJ86" s="320">
        <v>361339033021771</v>
      </c>
      <c r="AK86" s="320">
        <v>370758322798687</v>
      </c>
      <c r="AL86" s="326"/>
      <c r="AM86" s="196"/>
    </row>
    <row r="87" spans="2:40">
      <c r="B87" s="342"/>
      <c r="C87" s="351" t="str">
        <f>IF(B1="EN", "Tangible fixed assets", "Tài sản cố định hữu hình")</f>
        <v>Tài sản cố định hữu hình</v>
      </c>
      <c r="D87" s="329"/>
      <c r="E87" s="330"/>
      <c r="F87" s="331"/>
      <c r="G87" s="332"/>
      <c r="H87" s="332"/>
      <c r="I87" s="332"/>
      <c r="J87" s="332"/>
      <c r="K87" s="333"/>
      <c r="L87" s="333"/>
      <c r="M87" s="340">
        <f>SUM(M88:M89)</f>
        <v>24473979853</v>
      </c>
      <c r="N87" s="340">
        <f>SUM(N88:N89)</f>
        <v>24699221591</v>
      </c>
      <c r="O87" s="340">
        <f>SUM(O88:O89)</f>
        <v>22792988713</v>
      </c>
      <c r="P87" s="334">
        <f t="shared" ref="P87:Q87" si="105">SUM(P88:P89)</f>
        <v>13360864595.333332</v>
      </c>
      <c r="Q87" s="334">
        <f t="shared" si="105"/>
        <v>21016152636</v>
      </c>
      <c r="R87" s="337">
        <f t="shared" si="95"/>
        <v>17214859540.038551</v>
      </c>
      <c r="S87" s="337"/>
      <c r="T87" s="337">
        <f>SUM(T88:T89)</f>
        <v>21393637248.26281</v>
      </c>
      <c r="U87" s="337">
        <f t="shared" ref="U87:AD87" si="106">SUM(U88:U89)</f>
        <v>21016152636</v>
      </c>
      <c r="V87" s="337">
        <f t="shared" si="106"/>
        <v>20641231659.73719</v>
      </c>
      <c r="W87" s="337">
        <f t="shared" si="106"/>
        <v>20266310683.47438</v>
      </c>
      <c r="X87" s="337">
        <f t="shared" si="106"/>
        <v>19891389707.211571</v>
      </c>
      <c r="Y87" s="337">
        <f t="shared" si="106"/>
        <v>19516468730.948761</v>
      </c>
      <c r="Z87" s="337">
        <f t="shared" si="106"/>
        <v>19141547754.685951</v>
      </c>
      <c r="AA87" s="337">
        <f t="shared" si="106"/>
        <v>18766626778.423138</v>
      </c>
      <c r="AB87" s="337">
        <f t="shared" si="106"/>
        <v>18391705802.160324</v>
      </c>
      <c r="AC87" s="337">
        <f t="shared" si="106"/>
        <v>17999423714.7864</v>
      </c>
      <c r="AD87" s="337">
        <f t="shared" si="106"/>
        <v>17607141627.412476</v>
      </c>
      <c r="AE87" s="337">
        <f>SUM(AE88:AE89)</f>
        <v>17214859540.038551</v>
      </c>
      <c r="AF87" s="338"/>
      <c r="AG87" s="333">
        <v>184780298247012</v>
      </c>
      <c r="AH87" s="333">
        <v>249370189891483</v>
      </c>
      <c r="AI87" s="333">
        <v>295840920038903</v>
      </c>
      <c r="AJ87" s="333">
        <v>342655934192771</v>
      </c>
      <c r="AK87" s="333">
        <v>352786845093187</v>
      </c>
      <c r="AL87" s="339"/>
      <c r="AM87" s="196"/>
    </row>
    <row r="88" spans="2:40" s="125" customFormat="1" outlineLevel="1">
      <c r="B88" s="352"/>
      <c r="C88" s="353"/>
      <c r="D88" s="354"/>
      <c r="E88" s="355" t="str">
        <f>IF(B1="EN", "Cost", "Nguyên giá")</f>
        <v>Nguyên giá</v>
      </c>
      <c r="F88" s="356"/>
      <c r="G88" s="357"/>
      <c r="H88" s="357"/>
      <c r="I88" s="357"/>
      <c r="J88" s="357"/>
      <c r="K88" s="358"/>
      <c r="L88" s="358"/>
      <c r="M88" s="359">
        <v>24797693236</v>
      </c>
      <c r="N88" s="359">
        <v>28611384570</v>
      </c>
      <c r="O88" s="359">
        <v>33184332773</v>
      </c>
      <c r="P88" s="506">
        <f>[1]Depreciation!J4</f>
        <v>36032931529</v>
      </c>
      <c r="Q88" s="506">
        <v>36032931529</v>
      </c>
      <c r="R88" s="362">
        <f>AE88</f>
        <v>36032931529</v>
      </c>
      <c r="S88" s="363"/>
      <c r="T88" s="363">
        <f>[1]Depreciation!N4+[1]Depreciation!N15</f>
        <v>36032931529</v>
      </c>
      <c r="U88" s="362">
        <f>[1]Depreciation!O4+[1]Depreciation!O15</f>
        <v>36032931529</v>
      </c>
      <c r="V88" s="362">
        <f>[1]Depreciation!P4+[1]Depreciation!P15</f>
        <v>36032931529</v>
      </c>
      <c r="W88" s="362">
        <f>[1]Depreciation!Q4+[1]Depreciation!Q15</f>
        <v>36032931529</v>
      </c>
      <c r="X88" s="362">
        <f>[1]Depreciation!R4+[1]Depreciation!R15</f>
        <v>36032931529</v>
      </c>
      <c r="Y88" s="362">
        <f>[1]Depreciation!S4+[1]Depreciation!S15</f>
        <v>36032931529</v>
      </c>
      <c r="Z88" s="362">
        <f>[1]Depreciation!T4+[1]Depreciation!T15</f>
        <v>36032931529</v>
      </c>
      <c r="AA88" s="362">
        <f>[1]Depreciation!U4+[1]Depreciation!U15</f>
        <v>36032931529</v>
      </c>
      <c r="AB88" s="362">
        <f>[1]Depreciation!V4+[1]Depreciation!V15</f>
        <v>36032931529</v>
      </c>
      <c r="AC88" s="362">
        <f>[1]Depreciation!W4+[1]Depreciation!W15</f>
        <v>36032931529</v>
      </c>
      <c r="AD88" s="362">
        <f>[1]Depreciation!X4+[1]Depreciation!X15</f>
        <v>36032931529</v>
      </c>
      <c r="AE88" s="362">
        <f>[1]Depreciation!Y4+[1]Depreciation!Y15</f>
        <v>36032931529</v>
      </c>
      <c r="AF88" s="364"/>
      <c r="AG88" s="358">
        <v>4666557025949</v>
      </c>
      <c r="AH88" s="358">
        <v>551752841181649</v>
      </c>
      <c r="AI88" s="358">
        <v>623135683741649</v>
      </c>
      <c r="AJ88" s="358">
        <v>700518937098397</v>
      </c>
      <c r="AK88" s="358">
        <v>746499929408397</v>
      </c>
      <c r="AL88" s="354"/>
      <c r="AM88" s="196"/>
      <c r="AN88" s="288"/>
    </row>
    <row r="89" spans="2:40" s="125" customFormat="1" outlineLevel="1">
      <c r="B89" s="352"/>
      <c r="C89" s="353"/>
      <c r="D89" s="354"/>
      <c r="E89" s="355" t="str">
        <f>IF(B1="EN", "Accumulated depreciation", "Khấu hao lũy kế")</f>
        <v>Khấu hao lũy kế</v>
      </c>
      <c r="F89" s="356"/>
      <c r="G89" s="357"/>
      <c r="H89" s="357"/>
      <c r="I89" s="357"/>
      <c r="J89" s="357"/>
      <c r="K89" s="358"/>
      <c r="L89" s="358"/>
      <c r="M89" s="359">
        <v>-323713383</v>
      </c>
      <c r="N89" s="359">
        <v>-3912162979</v>
      </c>
      <c r="O89" s="359">
        <v>-10391344060</v>
      </c>
      <c r="P89" s="506">
        <f>[1]Depreciation!J5</f>
        <v>-22672066933.666668</v>
      </c>
      <c r="Q89" s="506">
        <v>-15016778893</v>
      </c>
      <c r="R89" s="362">
        <f>AE89</f>
        <v>-18818071988.961449</v>
      </c>
      <c r="S89" s="363"/>
      <c r="T89" s="363">
        <f>[1]Depreciation!N5</f>
        <v>-14639294280.73719</v>
      </c>
      <c r="U89" s="362">
        <f>[1]Depreciation!O5</f>
        <v>-15016778893</v>
      </c>
      <c r="V89" s="362">
        <f>[1]Depreciation!P5</f>
        <v>-15391699869.26281</v>
      </c>
      <c r="W89" s="362">
        <f>[1]Depreciation!Q5</f>
        <v>-15766620845.52562</v>
      </c>
      <c r="X89" s="362">
        <f>[1]Depreciation!R5</f>
        <v>-16141541821.788429</v>
      </c>
      <c r="Y89" s="362">
        <f>[1]Depreciation!S5</f>
        <v>-16516462798.051239</v>
      </c>
      <c r="Z89" s="362">
        <f>[1]Depreciation!T5</f>
        <v>-16891383774.314049</v>
      </c>
      <c r="AA89" s="362">
        <f>[1]Depreciation!U5</f>
        <v>-17266304750.576862</v>
      </c>
      <c r="AB89" s="362">
        <f>[1]Depreciation!V5</f>
        <v>-17641225726.839676</v>
      </c>
      <c r="AC89" s="362">
        <f>[1]Depreciation!W5</f>
        <v>-18033507814.2136</v>
      </c>
      <c r="AD89" s="362">
        <f>[1]Depreciation!X5</f>
        <v>-18425789901.587524</v>
      </c>
      <c r="AE89" s="362">
        <f>[1]Depreciation!Y5</f>
        <v>-18818071988.961449</v>
      </c>
      <c r="AF89" s="364"/>
      <c r="AG89" s="358">
        <v>-281875404347888</v>
      </c>
      <c r="AH89" s="358">
        <v>-302382651290165</v>
      </c>
      <c r="AI89" s="358">
        <v>-327294763702746</v>
      </c>
      <c r="AJ89" s="358">
        <v>-357863002905627</v>
      </c>
      <c r="AK89" s="358">
        <v>-39371308431521</v>
      </c>
      <c r="AL89" s="354"/>
      <c r="AM89" s="196"/>
    </row>
    <row r="90" spans="2:40">
      <c r="B90" s="342"/>
      <c r="C90" s="351" t="str">
        <f>IF(B1="EN", "Financial leasing", "Tài sản thuê tài chính")</f>
        <v>Tài sản thuê tài chính</v>
      </c>
      <c r="D90" s="329"/>
      <c r="E90" s="330"/>
      <c r="F90" s="331"/>
      <c r="G90" s="332"/>
      <c r="H90" s="332"/>
      <c r="I90" s="332"/>
      <c r="J90" s="332"/>
      <c r="K90" s="333"/>
      <c r="L90" s="333"/>
      <c r="M90" s="340"/>
      <c r="N90" s="340">
        <f>SUM(N91:N92)</f>
        <v>0</v>
      </c>
      <c r="O90" s="340">
        <f>SUM(O91:O92)</f>
        <v>0</v>
      </c>
      <c r="P90" s="334">
        <f t="shared" ref="P90" si="107">SUM(P91:P92)</f>
        <v>0</v>
      </c>
      <c r="Q90" s="334"/>
      <c r="R90" s="337">
        <f t="shared" si="95"/>
        <v>0</v>
      </c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8"/>
      <c r="AG90" s="333">
        <v>13756525686</v>
      </c>
      <c r="AH90" s="333">
        <v>13155500716</v>
      </c>
      <c r="AI90" s="333">
        <v>12554475751</v>
      </c>
      <c r="AJ90" s="333">
        <v>11953450781</v>
      </c>
      <c r="AK90" s="333">
        <v>11352425815</v>
      </c>
      <c r="AL90" s="339"/>
      <c r="AM90" s="196"/>
    </row>
    <row r="91" spans="2:40" outlineLevel="1">
      <c r="B91" s="352"/>
      <c r="C91" s="366"/>
      <c r="D91" s="367"/>
      <c r="E91" s="355" t="str">
        <f>IF(B1="EN", "Cost", "Nguyên giá")</f>
        <v>Nguyên giá</v>
      </c>
      <c r="F91" s="356"/>
      <c r="G91" s="357"/>
      <c r="H91" s="357"/>
      <c r="I91" s="357"/>
      <c r="J91" s="357"/>
      <c r="K91" s="358"/>
      <c r="L91" s="358"/>
      <c r="M91" s="359"/>
      <c r="N91" s="359"/>
      <c r="O91" s="359"/>
      <c r="P91" s="506">
        <f>[1]Depreciation!J8</f>
        <v>0</v>
      </c>
      <c r="Q91" s="506"/>
      <c r="R91" s="362">
        <f t="shared" si="95"/>
        <v>0</v>
      </c>
      <c r="S91" s="363"/>
      <c r="T91" s="363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4"/>
      <c r="AG91" s="358">
        <v>38414</v>
      </c>
      <c r="AH91" s="358">
        <v>38414</v>
      </c>
      <c r="AI91" s="358">
        <v>38414</v>
      </c>
      <c r="AJ91" s="358">
        <v>38414</v>
      </c>
      <c r="AK91" s="358">
        <v>38414</v>
      </c>
      <c r="AL91" s="354"/>
      <c r="AM91" s="196"/>
      <c r="AN91" s="288"/>
    </row>
    <row r="92" spans="2:40" outlineLevel="1">
      <c r="B92" s="352"/>
      <c r="C92" s="366"/>
      <c r="D92" s="367"/>
      <c r="E92" s="355" t="str">
        <f>IF(B1="EN", "Accumulated depreciation", "Khấu hao lũy kế")</f>
        <v>Khấu hao lũy kế</v>
      </c>
      <c r="F92" s="356"/>
      <c r="G92" s="357"/>
      <c r="H92" s="357"/>
      <c r="I92" s="357"/>
      <c r="J92" s="357"/>
      <c r="K92" s="358"/>
      <c r="L92" s="358"/>
      <c r="M92" s="359"/>
      <c r="N92" s="359"/>
      <c r="O92" s="359"/>
      <c r="P92" s="506">
        <f>[1]Depreciation!J9</f>
        <v>0</v>
      </c>
      <c r="Q92" s="506"/>
      <c r="R92" s="362">
        <f t="shared" si="95"/>
        <v>0</v>
      </c>
      <c r="S92" s="363"/>
      <c r="T92" s="363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4"/>
      <c r="AG92" s="358">
        <v>-24657474314</v>
      </c>
      <c r="AH92" s="358">
        <v>-25258499284</v>
      </c>
      <c r="AI92" s="358">
        <v>-25859524249</v>
      </c>
      <c r="AJ92" s="358">
        <v>-26460549219</v>
      </c>
      <c r="AK92" s="358">
        <v>-27061574185</v>
      </c>
      <c r="AL92" s="354"/>
      <c r="AM92" s="196"/>
    </row>
    <row r="93" spans="2:40">
      <c r="B93" s="352"/>
      <c r="C93" s="351" t="str">
        <f>IF(B1="EN", "Intangible fixed assets", "Tài sản cố định vô hình")</f>
        <v>Tài sản cố định vô hình</v>
      </c>
      <c r="D93" s="329"/>
      <c r="E93" s="355"/>
      <c r="F93" s="356"/>
      <c r="G93" s="368"/>
      <c r="H93" s="368"/>
      <c r="I93" s="368"/>
      <c r="J93" s="368"/>
      <c r="K93" s="369"/>
      <c r="L93" s="369"/>
      <c r="M93" s="370">
        <f>SUM(M94:M95)</f>
        <v>408981964</v>
      </c>
      <c r="N93" s="370">
        <f>SUM(N94:N95)</f>
        <v>322880498</v>
      </c>
      <c r="O93" s="370">
        <f>SUM(O94:O95)</f>
        <v>236779032</v>
      </c>
      <c r="P93" s="388">
        <f t="shared" ref="P93" si="108">SUM(P94:P95)</f>
        <v>150677563</v>
      </c>
      <c r="Q93" s="388">
        <f>SUM(Q94:Q95)</f>
        <v>172202932</v>
      </c>
      <c r="R93" s="371">
        <f t="shared" si="95"/>
        <v>140481332.78947377</v>
      </c>
      <c r="S93" s="337"/>
      <c r="T93" s="337">
        <f t="shared" ref="T93:AE93" si="109">SUM(T94:T95)</f>
        <v>169559458.98245615</v>
      </c>
      <c r="U93" s="371">
        <f t="shared" si="109"/>
        <v>166915992.9649123</v>
      </c>
      <c r="V93" s="371">
        <f t="shared" si="109"/>
        <v>164272526.94736844</v>
      </c>
      <c r="W93" s="371">
        <f t="shared" si="109"/>
        <v>161629060.92982459</v>
      </c>
      <c r="X93" s="371">
        <f t="shared" si="109"/>
        <v>158985594.91228074</v>
      </c>
      <c r="Y93" s="371">
        <f t="shared" si="109"/>
        <v>156342128.89473689</v>
      </c>
      <c r="Z93" s="371">
        <f t="shared" si="109"/>
        <v>153698662.87719303</v>
      </c>
      <c r="AA93" s="371">
        <f t="shared" si="109"/>
        <v>151055196.85964918</v>
      </c>
      <c r="AB93" s="371">
        <f t="shared" si="109"/>
        <v>148411730.84210533</v>
      </c>
      <c r="AC93" s="371">
        <f t="shared" si="109"/>
        <v>145768264.82456148</v>
      </c>
      <c r="AD93" s="371">
        <f t="shared" si="109"/>
        <v>143124798.80701762</v>
      </c>
      <c r="AE93" s="371">
        <f t="shared" si="109"/>
        <v>140481332.78947377</v>
      </c>
      <c r="AF93" s="338"/>
      <c r="AG93" s="369">
        <v>213136631578</v>
      </c>
      <c r="AH93" s="369">
        <v>199384598418</v>
      </c>
      <c r="AI93" s="369">
        <v>187082174226</v>
      </c>
      <c r="AJ93" s="369">
        <v>174877537509</v>
      </c>
      <c r="AK93" s="369">
        <v>16836235124</v>
      </c>
      <c r="AL93" s="339"/>
      <c r="AM93" s="196"/>
    </row>
    <row r="94" spans="2:40" outlineLevel="1">
      <c r="B94" s="352"/>
      <c r="C94" s="367"/>
      <c r="D94" s="367"/>
      <c r="E94" s="355" t="str">
        <f>IF(B1="EN", "Cost", "Nguyên giá")</f>
        <v>Nguyên giá</v>
      </c>
      <c r="F94" s="356"/>
      <c r="G94" s="357"/>
      <c r="H94" s="357"/>
      <c r="I94" s="357"/>
      <c r="J94" s="357"/>
      <c r="K94" s="358"/>
      <c r="L94" s="358"/>
      <c r="M94" s="359">
        <v>430507331</v>
      </c>
      <c r="N94" s="359">
        <v>430507331</v>
      </c>
      <c r="O94" s="359">
        <v>430507331</v>
      </c>
      <c r="P94" s="506">
        <v>430507331</v>
      </c>
      <c r="Q94" s="506">
        <v>430507331</v>
      </c>
      <c r="R94" s="362">
        <f t="shared" si="95"/>
        <v>430507331</v>
      </c>
      <c r="S94" s="363"/>
      <c r="T94" s="363">
        <f>[1]Depreciation!N12</f>
        <v>430507331</v>
      </c>
      <c r="U94" s="362">
        <f>[1]Depreciation!O12</f>
        <v>430507331</v>
      </c>
      <c r="V94" s="362">
        <f>[1]Depreciation!P12</f>
        <v>430507331</v>
      </c>
      <c r="W94" s="362">
        <f>[1]Depreciation!Q12</f>
        <v>430507331</v>
      </c>
      <c r="X94" s="362">
        <f>[1]Depreciation!R12</f>
        <v>430507331</v>
      </c>
      <c r="Y94" s="362">
        <f>[1]Depreciation!S12</f>
        <v>430507331</v>
      </c>
      <c r="Z94" s="362">
        <f>[1]Depreciation!T12</f>
        <v>430507331</v>
      </c>
      <c r="AA94" s="362">
        <f>[1]Depreciation!U12</f>
        <v>430507331</v>
      </c>
      <c r="AB94" s="362">
        <f>[1]Depreciation!V12</f>
        <v>430507331</v>
      </c>
      <c r="AC94" s="362">
        <f>[1]Depreciation!W12</f>
        <v>430507331</v>
      </c>
      <c r="AD94" s="362">
        <f>[1]Depreciation!X12</f>
        <v>430507331</v>
      </c>
      <c r="AE94" s="362">
        <f>[1]Depreciation!Y12</f>
        <v>430507331</v>
      </c>
      <c r="AF94" s="364"/>
      <c r="AG94" s="358">
        <v>350267198546</v>
      </c>
      <c r="AH94" s="358">
        <v>350267198546</v>
      </c>
      <c r="AI94" s="358">
        <v>350267198546</v>
      </c>
      <c r="AJ94" s="358">
        <v>350267198546</v>
      </c>
      <c r="AK94" s="358">
        <v>350267198546</v>
      </c>
      <c r="AL94" s="354"/>
      <c r="AM94" s="196"/>
      <c r="AN94" s="288"/>
    </row>
    <row r="95" spans="2:40" outlineLevel="1">
      <c r="B95" s="352"/>
      <c r="C95" s="367"/>
      <c r="D95" s="367"/>
      <c r="E95" s="355" t="str">
        <f>IF(B1="EN", "Accumulated depreciation", "Khấu hao lũy kế")</f>
        <v>Khấu hao lũy kế</v>
      </c>
      <c r="F95" s="356"/>
      <c r="G95" s="357"/>
      <c r="H95" s="357"/>
      <c r="I95" s="357"/>
      <c r="J95" s="357"/>
      <c r="K95" s="358"/>
      <c r="L95" s="358"/>
      <c r="M95" s="359">
        <v>-21525367</v>
      </c>
      <c r="N95" s="359">
        <v>-107626833</v>
      </c>
      <c r="O95" s="359">
        <v>-193728299</v>
      </c>
      <c r="P95" s="506">
        <f>Q95-7175123*3</f>
        <v>-279829768</v>
      </c>
      <c r="Q95" s="506">
        <v>-258304399</v>
      </c>
      <c r="R95" s="362">
        <f t="shared" si="95"/>
        <v>-290025998.21052623</v>
      </c>
      <c r="S95" s="363"/>
      <c r="T95" s="363">
        <f>[1]Depreciation!N13</f>
        <v>-260947872.01754385</v>
      </c>
      <c r="U95" s="362">
        <f>[1]Depreciation!O13</f>
        <v>-263591338.0350877</v>
      </c>
      <c r="V95" s="362">
        <f>[1]Depreciation!P13</f>
        <v>-266234804.05263156</v>
      </c>
      <c r="W95" s="362">
        <f>[1]Depreciation!Q13</f>
        <v>-268878270.07017541</v>
      </c>
      <c r="X95" s="362">
        <f>[1]Depreciation!R13</f>
        <v>-271521736.08771926</v>
      </c>
      <c r="Y95" s="362">
        <f>[1]Depreciation!S13</f>
        <v>-274165202.10526311</v>
      </c>
      <c r="Z95" s="362">
        <f>[1]Depreciation!T13</f>
        <v>-276808668.12280697</v>
      </c>
      <c r="AA95" s="362">
        <f>[1]Depreciation!U13</f>
        <v>-279452134.14035082</v>
      </c>
      <c r="AB95" s="362">
        <f>[1]Depreciation!V13</f>
        <v>-282095600.15789467</v>
      </c>
      <c r="AC95" s="362">
        <f>[1]Depreciation!W13</f>
        <v>-284739066.17543852</v>
      </c>
      <c r="AD95" s="362">
        <f>[1]Depreciation!X13</f>
        <v>-287382532.19298238</v>
      </c>
      <c r="AE95" s="362">
        <f>[1]Depreciation!Y13</f>
        <v>-290025998.21052623</v>
      </c>
      <c r="AF95" s="364"/>
      <c r="AG95" s="358">
        <v>-137130566968</v>
      </c>
      <c r="AH95" s="358">
        <v>-150882600128</v>
      </c>
      <c r="AI95" s="358">
        <v>-16318502432</v>
      </c>
      <c r="AJ95" s="358">
        <v>-175389661037</v>
      </c>
      <c r="AK95" s="358">
        <v>-181904847306</v>
      </c>
      <c r="AL95" s="354"/>
      <c r="AM95" s="196"/>
    </row>
    <row r="96" spans="2:40">
      <c r="B96" s="327" t="str">
        <f>IF(B1="EN", "Long-term work in progress", "Chi phí dở dang dài hạn")</f>
        <v>Chi phí dở dang dài hạn</v>
      </c>
      <c r="C96" s="123"/>
      <c r="D96" s="123"/>
      <c r="E96" s="317"/>
      <c r="F96" s="318"/>
      <c r="G96" s="319"/>
      <c r="H96" s="319"/>
      <c r="I96" s="319"/>
      <c r="J96" s="319"/>
      <c r="K96" s="320"/>
      <c r="L96" s="320"/>
      <c r="M96" s="321">
        <f>M97</f>
        <v>1885024098</v>
      </c>
      <c r="N96" s="321">
        <f>N97</f>
        <v>4904362054</v>
      </c>
      <c r="O96" s="321">
        <f>O97</f>
        <v>1177211000</v>
      </c>
      <c r="P96" s="421">
        <f>P97</f>
        <v>1178581000</v>
      </c>
      <c r="Q96" s="421">
        <f>Q97</f>
        <v>1178581000</v>
      </c>
      <c r="R96" s="324">
        <f t="shared" si="95"/>
        <v>0</v>
      </c>
      <c r="S96" s="324"/>
      <c r="T96" s="324">
        <f t="shared" ref="T96:AE96" si="110">T97</f>
        <v>0</v>
      </c>
      <c r="U96" s="324">
        <f t="shared" si="110"/>
        <v>0</v>
      </c>
      <c r="V96" s="324">
        <f t="shared" si="110"/>
        <v>0</v>
      </c>
      <c r="W96" s="324">
        <f t="shared" si="110"/>
        <v>0</v>
      </c>
      <c r="X96" s="324">
        <f t="shared" si="110"/>
        <v>0</v>
      </c>
      <c r="Y96" s="324">
        <f t="shared" si="110"/>
        <v>0</v>
      </c>
      <c r="Z96" s="324">
        <f t="shared" si="110"/>
        <v>0</v>
      </c>
      <c r="AA96" s="324">
        <f t="shared" si="110"/>
        <v>0</v>
      </c>
      <c r="AB96" s="324">
        <f t="shared" si="110"/>
        <v>0</v>
      </c>
      <c r="AC96" s="324">
        <f t="shared" si="110"/>
        <v>0</v>
      </c>
      <c r="AD96" s="324">
        <f t="shared" si="110"/>
        <v>0</v>
      </c>
      <c r="AE96" s="324">
        <f t="shared" si="110"/>
        <v>0</v>
      </c>
      <c r="AF96" s="325"/>
      <c r="AG96" s="320">
        <v>198309547047</v>
      </c>
      <c r="AH96" s="320">
        <v>198309547047</v>
      </c>
      <c r="AI96" s="320">
        <v>198309547047</v>
      </c>
      <c r="AJ96" s="320">
        <v>198309547047</v>
      </c>
      <c r="AK96" s="320">
        <v>198309547047</v>
      </c>
      <c r="AL96" s="326"/>
      <c r="AM96" s="196"/>
    </row>
    <row r="97" spans="2:41" outlineLevel="1">
      <c r="B97" s="342"/>
      <c r="C97" s="351" t="str">
        <f>IF(B1="EN", "Construction in progress", "Xây dựng cơ bản dở dang")</f>
        <v>Xây dựng cơ bản dở dang</v>
      </c>
      <c r="D97" s="329"/>
      <c r="E97" s="330"/>
      <c r="F97" s="331"/>
      <c r="G97" s="368"/>
      <c r="H97" s="368"/>
      <c r="I97" s="368"/>
      <c r="J97" s="368"/>
      <c r="K97" s="369"/>
      <c r="L97" s="369"/>
      <c r="M97" s="370">
        <v>1885024098</v>
      </c>
      <c r="N97" s="370">
        <v>4904362054</v>
      </c>
      <c r="O97" s="370">
        <v>1177211000</v>
      </c>
      <c r="P97" s="388">
        <f>Q97</f>
        <v>1178581000</v>
      </c>
      <c r="Q97" s="388">
        <v>1178581000</v>
      </c>
      <c r="R97" s="371">
        <f t="shared" si="95"/>
        <v>0</v>
      </c>
      <c r="S97" s="337"/>
      <c r="T97" s="371">
        <f>[1]Depreciation!N34</f>
        <v>0</v>
      </c>
      <c r="U97" s="371">
        <f>[1]Depreciation!O34</f>
        <v>0</v>
      </c>
      <c r="V97" s="371">
        <f>[1]Depreciation!P34</f>
        <v>0</v>
      </c>
      <c r="W97" s="371">
        <f>[1]Depreciation!Q34</f>
        <v>0</v>
      </c>
      <c r="X97" s="371">
        <f>[1]Depreciation!R34</f>
        <v>0</v>
      </c>
      <c r="Y97" s="371">
        <f>[1]Depreciation!S34</f>
        <v>0</v>
      </c>
      <c r="Z97" s="371">
        <f>[1]Depreciation!T34</f>
        <v>0</v>
      </c>
      <c r="AA97" s="371">
        <f>[1]Depreciation!U34</f>
        <v>0</v>
      </c>
      <c r="AB97" s="371">
        <f>[1]Depreciation!V34</f>
        <v>0</v>
      </c>
      <c r="AC97" s="371">
        <f>[1]Depreciation!W34</f>
        <v>0</v>
      </c>
      <c r="AD97" s="371">
        <f>[1]Depreciation!X34</f>
        <v>0</v>
      </c>
      <c r="AE97" s="371">
        <f>[1]Depreciation!Y34</f>
        <v>0</v>
      </c>
      <c r="AF97" s="338"/>
      <c r="AG97" s="369">
        <v>198309547047</v>
      </c>
      <c r="AH97" s="369">
        <v>198309547047</v>
      </c>
      <c r="AI97" s="369">
        <v>198309547047</v>
      </c>
      <c r="AJ97" s="369">
        <v>198309547047</v>
      </c>
      <c r="AK97" s="369">
        <v>198309547047</v>
      </c>
      <c r="AL97" s="339"/>
      <c r="AM97" s="196"/>
      <c r="AN97" s="288"/>
    </row>
    <row r="98" spans="2:41">
      <c r="B98" s="327" t="str">
        <f>IF(B1="EN", "Other long-term assets", "Tài sản dài hạn khác")</f>
        <v>Tài sản dài hạn khác</v>
      </c>
      <c r="C98" s="123"/>
      <c r="D98" s="123"/>
      <c r="E98" s="317"/>
      <c r="F98" s="318"/>
      <c r="G98" s="319"/>
      <c r="H98" s="319"/>
      <c r="I98" s="319"/>
      <c r="J98" s="319"/>
      <c r="K98" s="320"/>
      <c r="L98" s="320"/>
      <c r="M98" s="321">
        <v>299644734</v>
      </c>
      <c r="N98" s="321">
        <v>637035078</v>
      </c>
      <c r="O98" s="321">
        <v>466779229</v>
      </c>
      <c r="P98" s="421">
        <f>Q98</f>
        <v>2032780780</v>
      </c>
      <c r="Q98" s="421">
        <v>2032780780</v>
      </c>
      <c r="R98" s="324">
        <f t="shared" si="95"/>
        <v>0</v>
      </c>
      <c r="S98" s="324"/>
      <c r="T98" s="324">
        <f>$Q$98-$Q$98</f>
        <v>0</v>
      </c>
      <c r="U98" s="324">
        <f t="shared" ref="U98:AE98" si="111">$Q$98-$Q$98</f>
        <v>0</v>
      </c>
      <c r="V98" s="324">
        <f t="shared" si="111"/>
        <v>0</v>
      </c>
      <c r="W98" s="324">
        <f t="shared" si="111"/>
        <v>0</v>
      </c>
      <c r="X98" s="324">
        <f t="shared" si="111"/>
        <v>0</v>
      </c>
      <c r="Y98" s="324">
        <f t="shared" si="111"/>
        <v>0</v>
      </c>
      <c r="Z98" s="324">
        <f t="shared" si="111"/>
        <v>0</v>
      </c>
      <c r="AA98" s="324">
        <f t="shared" si="111"/>
        <v>0</v>
      </c>
      <c r="AB98" s="324">
        <f t="shared" si="111"/>
        <v>0</v>
      </c>
      <c r="AC98" s="324">
        <f t="shared" si="111"/>
        <v>0</v>
      </c>
      <c r="AD98" s="324">
        <f t="shared" si="111"/>
        <v>0</v>
      </c>
      <c r="AE98" s="324">
        <f t="shared" si="111"/>
        <v>0</v>
      </c>
      <c r="AF98" s="325"/>
      <c r="AG98" s="320">
        <v>23909569361</v>
      </c>
      <c r="AH98" s="320">
        <v>23909569361</v>
      </c>
      <c r="AI98" s="320">
        <v>23909569361</v>
      </c>
      <c r="AJ98" s="320">
        <v>23909569361</v>
      </c>
      <c r="AK98" s="320">
        <v>23909569361</v>
      </c>
      <c r="AL98" s="326"/>
      <c r="AM98" s="196"/>
      <c r="AO98" s="107"/>
    </row>
    <row r="99" spans="2:41">
      <c r="B99" s="327" t="str">
        <f>IF(B1="EN", "Goodwill", "Lợi thế thương mại")</f>
        <v>Lợi thế thương mại</v>
      </c>
      <c r="C99" s="123"/>
      <c r="D99" s="123"/>
      <c r="E99" s="317"/>
      <c r="F99" s="318"/>
      <c r="G99" s="319"/>
      <c r="H99" s="319"/>
      <c r="I99" s="319"/>
      <c r="J99" s="319"/>
      <c r="K99" s="320"/>
      <c r="L99" s="320"/>
      <c r="M99" s="321"/>
      <c r="N99" s="321"/>
      <c r="O99" s="321"/>
      <c r="P99" s="421"/>
      <c r="Q99" s="421"/>
      <c r="R99" s="324">
        <f t="shared" si="95"/>
        <v>0</v>
      </c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  <c r="AF99" s="325"/>
      <c r="AG99" s="320"/>
      <c r="AH99" s="320"/>
      <c r="AI99" s="320"/>
      <c r="AJ99" s="320"/>
      <c r="AK99" s="320"/>
      <c r="AL99" s="326"/>
      <c r="AM99" s="196"/>
    </row>
    <row r="100" spans="2:41" collapsed="1">
      <c r="B100" s="327" t="str">
        <f>IF(B1="EN", "Long-term financial investments", "Đầu tư dài hạn")</f>
        <v>Đầu tư dài hạn</v>
      </c>
      <c r="C100" s="123"/>
      <c r="D100" s="123"/>
      <c r="E100" s="317"/>
      <c r="F100" s="318"/>
      <c r="G100" s="319"/>
      <c r="H100" s="319"/>
      <c r="I100" s="319"/>
      <c r="J100" s="319"/>
      <c r="K100" s="320"/>
      <c r="L100" s="320"/>
      <c r="M100" s="321"/>
      <c r="N100" s="321">
        <f>SUM(N101:N103)</f>
        <v>0</v>
      </c>
      <c r="O100" s="321">
        <f>SUM(O101:O103)</f>
        <v>0</v>
      </c>
      <c r="P100" s="421">
        <f t="shared" ref="P100:Q100" si="112">SUM(P101:P103)</f>
        <v>0</v>
      </c>
      <c r="Q100" s="421">
        <f t="shared" si="112"/>
        <v>0</v>
      </c>
      <c r="R100" s="324">
        <f t="shared" si="95"/>
        <v>0</v>
      </c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  <c r="AF100" s="325"/>
      <c r="AG100" s="320">
        <f t="shared" ref="AG100:AK100" si="113">SUM(AG101:AG103)</f>
        <v>0</v>
      </c>
      <c r="AH100" s="320">
        <f t="shared" si="113"/>
        <v>0</v>
      </c>
      <c r="AI100" s="320">
        <f t="shared" si="113"/>
        <v>0</v>
      </c>
      <c r="AJ100" s="320">
        <f t="shared" si="113"/>
        <v>0</v>
      </c>
      <c r="AK100" s="320">
        <f t="shared" si="113"/>
        <v>0</v>
      </c>
      <c r="AL100" s="326"/>
      <c r="AM100" s="196"/>
    </row>
    <row r="101" spans="2:41" outlineLevel="1">
      <c r="B101" s="342"/>
      <c r="C101" s="329" t="str">
        <f>IF(B1="EN", "Investment in subsidiaries", "Đầu tư vào công ty con")</f>
        <v>Đầu tư vào công ty con</v>
      </c>
      <c r="D101" s="329"/>
      <c r="E101" s="330"/>
      <c r="F101" s="331"/>
      <c r="G101" s="332"/>
      <c r="H101" s="332"/>
      <c r="I101" s="332"/>
      <c r="J101" s="332"/>
      <c r="K101" s="333"/>
      <c r="L101" s="333"/>
      <c r="M101" s="340"/>
      <c r="N101" s="340"/>
      <c r="O101" s="340"/>
      <c r="P101" s="334"/>
      <c r="Q101" s="334"/>
      <c r="R101" s="337">
        <f t="shared" si="95"/>
        <v>0</v>
      </c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8"/>
      <c r="AG101" s="333"/>
      <c r="AH101" s="333"/>
      <c r="AI101" s="333"/>
      <c r="AJ101" s="333"/>
      <c r="AK101" s="333"/>
      <c r="AL101" s="339"/>
      <c r="AM101" s="196"/>
    </row>
    <row r="102" spans="2:41">
      <c r="B102" s="342"/>
      <c r="C102" s="329" t="s">
        <v>114</v>
      </c>
      <c r="D102" s="329"/>
      <c r="E102" s="330"/>
      <c r="F102" s="331"/>
      <c r="G102" s="332"/>
      <c r="H102" s="332"/>
      <c r="I102" s="332"/>
      <c r="J102" s="332"/>
      <c r="K102" s="333"/>
      <c r="L102" s="333"/>
      <c r="M102" s="340"/>
      <c r="N102" s="340"/>
      <c r="O102" s="340"/>
      <c r="P102" s="334"/>
      <c r="Q102" s="334"/>
      <c r="R102" s="337">
        <f t="shared" si="95"/>
        <v>0</v>
      </c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8"/>
      <c r="AG102" s="333"/>
      <c r="AH102" s="333"/>
      <c r="AI102" s="333"/>
      <c r="AJ102" s="333"/>
      <c r="AK102" s="333"/>
      <c r="AL102" s="339"/>
      <c r="AM102" s="196"/>
    </row>
    <row r="103" spans="2:41">
      <c r="B103" s="342"/>
      <c r="C103" s="329" t="s">
        <v>115</v>
      </c>
      <c r="D103" s="329"/>
      <c r="E103" s="330"/>
      <c r="F103" s="331"/>
      <c r="G103" s="332"/>
      <c r="H103" s="332"/>
      <c r="I103" s="332"/>
      <c r="J103" s="332"/>
      <c r="K103" s="333"/>
      <c r="L103" s="333"/>
      <c r="M103" s="340"/>
      <c r="N103" s="340"/>
      <c r="O103" s="340"/>
      <c r="P103" s="334"/>
      <c r="Q103" s="334"/>
      <c r="R103" s="337">
        <f t="shared" si="95"/>
        <v>0</v>
      </c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8"/>
      <c r="AG103" s="333"/>
      <c r="AH103" s="333"/>
      <c r="AI103" s="333"/>
      <c r="AJ103" s="333"/>
      <c r="AK103" s="333"/>
      <c r="AL103" s="339"/>
      <c r="AM103" s="196"/>
    </row>
    <row r="104" spans="2:41" s="125" customFormat="1">
      <c r="B104" s="342"/>
      <c r="C104" s="329"/>
      <c r="D104" s="329"/>
      <c r="E104" s="339"/>
      <c r="F104" s="373"/>
      <c r="G104" s="332"/>
      <c r="H104" s="332"/>
      <c r="I104" s="332"/>
      <c r="J104" s="332"/>
      <c r="K104" s="333"/>
      <c r="L104" s="333"/>
      <c r="M104" s="340"/>
      <c r="N104" s="340"/>
      <c r="O104" s="340"/>
      <c r="P104" s="334"/>
      <c r="Q104" s="334"/>
      <c r="R104" s="337">
        <f t="shared" si="95"/>
        <v>0</v>
      </c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8"/>
      <c r="AG104" s="333"/>
      <c r="AH104" s="333"/>
      <c r="AI104" s="333"/>
      <c r="AJ104" s="333"/>
      <c r="AK104" s="333"/>
      <c r="AL104" s="339"/>
      <c r="AM104" s="196"/>
    </row>
    <row r="105" spans="2:41" ht="17" thickBot="1">
      <c r="B105" s="374" t="str">
        <f>IF(B1="EN", "TOTAL ASSETS", "TỔNG TÀI SẢN")</f>
        <v>TỔNG TÀI SẢN</v>
      </c>
      <c r="C105" s="375"/>
      <c r="D105" s="375"/>
      <c r="E105" s="376"/>
      <c r="F105" s="377"/>
      <c r="G105" s="378"/>
      <c r="H105" s="378"/>
      <c r="I105" s="378"/>
      <c r="J105" s="378"/>
      <c r="K105" s="378"/>
      <c r="L105" s="378"/>
      <c r="M105" s="379">
        <f>M73+M85</f>
        <v>67118265497</v>
      </c>
      <c r="N105" s="379">
        <f>N73+N85</f>
        <v>64725699701</v>
      </c>
      <c r="O105" s="379">
        <f>O73+O85</f>
        <v>38908743599</v>
      </c>
      <c r="P105" s="507">
        <f>P73+P85</f>
        <v>35555014028.717796</v>
      </c>
      <c r="Q105" s="507">
        <f t="shared" ref="Q105" si="114">Q73+Q85</f>
        <v>45970417693</v>
      </c>
      <c r="R105" s="382">
        <f>SUM(R73,R85)</f>
        <v>37875763056.375916</v>
      </c>
      <c r="S105" s="383"/>
      <c r="T105" s="382">
        <f t="shared" ref="T105:AE105" si="115">T73+T85</f>
        <v>37376835848.08741</v>
      </c>
      <c r="U105" s="382">
        <f t="shared" si="115"/>
        <v>33143741723.532249</v>
      </c>
      <c r="V105" s="382">
        <f t="shared" si="115"/>
        <v>34622557586.73661</v>
      </c>
      <c r="W105" s="382">
        <f t="shared" si="115"/>
        <v>35909724285.265671</v>
      </c>
      <c r="X105" s="382">
        <f t="shared" si="115"/>
        <v>35777152662.94632</v>
      </c>
      <c r="Y105" s="382">
        <f t="shared" si="115"/>
        <v>35453482311.586212</v>
      </c>
      <c r="Z105" s="382">
        <f t="shared" si="115"/>
        <v>35270717775.506943</v>
      </c>
      <c r="AA105" s="382">
        <f t="shared" si="115"/>
        <v>35038585872.004593</v>
      </c>
      <c r="AB105" s="382">
        <f t="shared" si="115"/>
        <v>34827729477.675751</v>
      </c>
      <c r="AC105" s="382">
        <f t="shared" si="115"/>
        <v>35578720972.538139</v>
      </c>
      <c r="AD105" s="382">
        <f t="shared" si="115"/>
        <v>35689803367.319427</v>
      </c>
      <c r="AE105" s="382">
        <f t="shared" si="115"/>
        <v>35786238227.375916</v>
      </c>
      <c r="AF105" s="384"/>
      <c r="AG105" s="378">
        <f>AG73+AG85</f>
        <v>509035424112136</v>
      </c>
      <c r="AH105" s="378">
        <f t="shared" ref="AH105:AK105" si="116">AH73+AH85</f>
        <v>572923182521796</v>
      </c>
      <c r="AI105" s="378">
        <f t="shared" si="116"/>
        <v>635646367613688</v>
      </c>
      <c r="AJ105" s="378">
        <f t="shared" si="116"/>
        <v>704898777571178</v>
      </c>
      <c r="AK105" s="378">
        <f t="shared" si="116"/>
        <v>779794689705248</v>
      </c>
      <c r="AL105" s="326"/>
      <c r="AM105" s="196"/>
    </row>
    <row r="106" spans="2:41" ht="17" thickTop="1">
      <c r="B106" s="342"/>
      <c r="C106" s="271"/>
      <c r="D106" s="271"/>
      <c r="E106" s="330"/>
      <c r="F106" s="331"/>
      <c r="G106" s="319"/>
      <c r="H106" s="319"/>
      <c r="I106" s="319"/>
      <c r="J106" s="319"/>
      <c r="K106" s="320"/>
      <c r="L106" s="385"/>
      <c r="M106" s="340"/>
      <c r="N106" s="340"/>
      <c r="O106" s="340"/>
      <c r="P106" s="334"/>
      <c r="Q106" s="334"/>
      <c r="R106" s="337">
        <f t="shared" si="95"/>
        <v>0</v>
      </c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86"/>
      <c r="AG106" s="385"/>
      <c r="AH106" s="385"/>
      <c r="AI106" s="385"/>
      <c r="AJ106" s="385"/>
      <c r="AK106" s="385"/>
      <c r="AL106" s="387"/>
      <c r="AM106" s="196"/>
    </row>
    <row r="107" spans="2:41">
      <c r="B107" s="126" t="str">
        <f>IF(B1="EN", "LIABILITIES", "NỢ PHẢI TRẢ")</f>
        <v>NỢ PHẢI TRẢ</v>
      </c>
      <c r="C107" s="123"/>
      <c r="D107" s="123"/>
      <c r="E107" s="317"/>
      <c r="F107" s="318"/>
      <c r="G107" s="319"/>
      <c r="H107" s="319"/>
      <c r="I107" s="319"/>
      <c r="J107" s="319"/>
      <c r="K107" s="320"/>
      <c r="L107" s="320"/>
      <c r="M107" s="321">
        <f t="shared" ref="M107:O107" si="117">M108+M113</f>
        <v>37153872883</v>
      </c>
      <c r="N107" s="321">
        <f t="shared" si="117"/>
        <v>57393245458</v>
      </c>
      <c r="O107" s="321">
        <f t="shared" si="117"/>
        <v>44111589494</v>
      </c>
      <c r="P107" s="421">
        <f>P108+P113</f>
        <v>68808477779.466415</v>
      </c>
      <c r="Q107" s="421">
        <f>Q108+Q113</f>
        <v>56194065653</v>
      </c>
      <c r="R107" s="324">
        <f t="shared" si="95"/>
        <v>58060582011.598785</v>
      </c>
      <c r="S107" s="324"/>
      <c r="T107" s="324">
        <f t="shared" ref="T107:AE107" si="118">T108+T113</f>
        <v>55077314776.145096</v>
      </c>
      <c r="U107" s="324">
        <f t="shared" si="118"/>
        <v>53674384016.165222</v>
      </c>
      <c r="V107" s="324">
        <f t="shared" si="118"/>
        <v>55750902959.492737</v>
      </c>
      <c r="W107" s="324">
        <f t="shared" si="118"/>
        <v>57382782360.847748</v>
      </c>
      <c r="X107" s="324">
        <f t="shared" si="118"/>
        <v>57395334548.337845</v>
      </c>
      <c r="Y107" s="324">
        <f t="shared" si="118"/>
        <v>57418922636.797173</v>
      </c>
      <c r="Z107" s="324">
        <f t="shared" si="118"/>
        <v>57435014595.486916</v>
      </c>
      <c r="AA107" s="324">
        <f t="shared" si="118"/>
        <v>57439365208.886917</v>
      </c>
      <c r="AB107" s="324">
        <f t="shared" si="118"/>
        <v>57432917309.976654</v>
      </c>
      <c r="AC107" s="324">
        <f t="shared" si="118"/>
        <v>58041613477.888535</v>
      </c>
      <c r="AD107" s="324">
        <f t="shared" si="118"/>
        <v>58065114642.64238</v>
      </c>
      <c r="AE107" s="324">
        <f t="shared" si="118"/>
        <v>58060582011.598785</v>
      </c>
      <c r="AF107" s="325"/>
      <c r="AG107" s="320">
        <v>173048992379511</v>
      </c>
      <c r="AH107" s="320">
        <v>190528060685131</v>
      </c>
      <c r="AI107" s="320">
        <v>213909267519043</v>
      </c>
      <c r="AJ107" s="320">
        <v>238329663280917</v>
      </c>
      <c r="AK107" s="320">
        <v>260832875155063</v>
      </c>
      <c r="AL107" s="326"/>
      <c r="AM107" s="196"/>
    </row>
    <row r="108" spans="2:41">
      <c r="B108" s="126" t="str">
        <f>IF(B1="EN", "Short-term liabilities", "Nợ ngắn hạn")</f>
        <v>Nợ ngắn hạn</v>
      </c>
      <c r="C108" s="123"/>
      <c r="D108" s="123"/>
      <c r="E108" s="317"/>
      <c r="F108" s="318"/>
      <c r="G108" s="319"/>
      <c r="H108" s="319"/>
      <c r="I108" s="319"/>
      <c r="J108" s="319"/>
      <c r="K108" s="320"/>
      <c r="L108" s="320"/>
      <c r="M108" s="321">
        <f t="shared" ref="M108:P108" si="119">SUM(M109:M111)</f>
        <v>37153872883</v>
      </c>
      <c r="N108" s="321">
        <f t="shared" si="119"/>
        <v>24623245458</v>
      </c>
      <c r="O108" s="321">
        <f t="shared" si="119"/>
        <v>11341589494</v>
      </c>
      <c r="P108" s="421">
        <f t="shared" si="119"/>
        <v>36038477779.466415</v>
      </c>
      <c r="Q108" s="421">
        <f>SUM(Q109:Q111)</f>
        <v>23424065653</v>
      </c>
      <c r="R108" s="324">
        <f t="shared" si="95"/>
        <v>25290582011.598785</v>
      </c>
      <c r="S108" s="324"/>
      <c r="T108" s="324">
        <f>SUM(T109:T111)</f>
        <v>22307314776.1451</v>
      </c>
      <c r="U108" s="324">
        <f t="shared" ref="U108:AE108" si="120">SUM(U109:U111)</f>
        <v>20904384016.165218</v>
      </c>
      <c r="V108" s="324">
        <f t="shared" si="120"/>
        <v>22980902959.492733</v>
      </c>
      <c r="W108" s="324">
        <f t="shared" si="120"/>
        <v>24612782360.847748</v>
      </c>
      <c r="X108" s="324">
        <f t="shared" si="120"/>
        <v>24625334548.337845</v>
      </c>
      <c r="Y108" s="324">
        <f t="shared" si="120"/>
        <v>24648922636.797173</v>
      </c>
      <c r="Z108" s="324">
        <f t="shared" si="120"/>
        <v>24665014595.486916</v>
      </c>
      <c r="AA108" s="324">
        <f t="shared" si="120"/>
        <v>24669365208.886917</v>
      </c>
      <c r="AB108" s="324">
        <f t="shared" si="120"/>
        <v>24662917309.976658</v>
      </c>
      <c r="AC108" s="324">
        <f t="shared" si="120"/>
        <v>25271613477.888531</v>
      </c>
      <c r="AD108" s="324">
        <f t="shared" si="120"/>
        <v>25295114642.64238</v>
      </c>
      <c r="AE108" s="324">
        <f t="shared" si="120"/>
        <v>25290582011.598785</v>
      </c>
      <c r="AF108" s="325"/>
      <c r="AG108" s="320">
        <v>163839041745311</v>
      </c>
      <c r="AH108" s="320">
        <v>176860565956131</v>
      </c>
      <c r="AI108" s="320">
        <v>193247774136843</v>
      </c>
      <c r="AJ108" s="320">
        <v>211218970628117</v>
      </c>
      <c r="AK108" s="320">
        <v>229806909065463</v>
      </c>
      <c r="AL108" s="326"/>
      <c r="AM108" s="196"/>
    </row>
    <row r="109" spans="2:41">
      <c r="B109" s="342"/>
      <c r="C109" s="329" t="str">
        <f>IF(B1="EN", "Short-term borrowings", "Vay ngắn hạn")</f>
        <v>Vay ngắn hạn</v>
      </c>
      <c r="D109" s="329"/>
      <c r="E109" s="330"/>
      <c r="F109" s="331"/>
      <c r="G109" s="368"/>
      <c r="H109" s="368"/>
      <c r="I109" s="368"/>
      <c r="J109" s="368"/>
      <c r="K109" s="369"/>
      <c r="L109" s="369"/>
      <c r="M109" s="370">
        <v>19000000000</v>
      </c>
      <c r="N109" s="370"/>
      <c r="O109" s="370"/>
      <c r="P109" s="388">
        <f>[1]FIN!Q28</f>
        <v>18373342323.534836</v>
      </c>
      <c r="Q109" s="388">
        <f>[1]FIN!P28</f>
        <v>0</v>
      </c>
      <c r="R109" s="371">
        <f t="shared" si="95"/>
        <v>0</v>
      </c>
      <c r="S109" s="337"/>
      <c r="T109" s="371">
        <f>[1]FIN!T28</f>
        <v>0</v>
      </c>
      <c r="U109" s="371">
        <f>[1]FIN!U28</f>
        <v>0</v>
      </c>
      <c r="V109" s="371">
        <f>[1]FIN!V28</f>
        <v>0</v>
      </c>
      <c r="W109" s="371">
        <f>[1]FIN!W28</f>
        <v>0</v>
      </c>
      <c r="X109" s="371">
        <f>[1]FIN!X28</f>
        <v>0</v>
      </c>
      <c r="Y109" s="371">
        <f>[1]FIN!Y28</f>
        <v>0</v>
      </c>
      <c r="Z109" s="371">
        <f>[1]FIN!Z28</f>
        <v>0</v>
      </c>
      <c r="AA109" s="371">
        <f>[1]FIN!AA28</f>
        <v>0</v>
      </c>
      <c r="AB109" s="371">
        <f>[1]FIN!AB28</f>
        <v>0</v>
      </c>
      <c r="AC109" s="371">
        <f>[1]FIN!AC28</f>
        <v>0</v>
      </c>
      <c r="AD109" s="371">
        <f>[1]FIN!AD28</f>
        <v>0</v>
      </c>
      <c r="AE109" s="371">
        <f>[1]FIN!AE28</f>
        <v>0</v>
      </c>
      <c r="AF109" s="338"/>
      <c r="AG109" s="369">
        <v>928684086624423</v>
      </c>
      <c r="AH109" s="369">
        <v>1019368918558</v>
      </c>
      <c r="AI109" s="369">
        <v>113333993652585</v>
      </c>
      <c r="AJ109" s="369">
        <v>125817532431354</v>
      </c>
      <c r="AK109" s="369">
        <v>13886527670479</v>
      </c>
      <c r="AL109" s="339"/>
      <c r="AM109" s="196"/>
    </row>
    <row r="110" spans="2:41">
      <c r="B110" s="342"/>
      <c r="C110" s="329" t="str">
        <f>IF(B1="EN", "Trade payables", "Phải trả thương mại")</f>
        <v>Phải trả thương mại</v>
      </c>
      <c r="D110" s="329"/>
      <c r="E110" s="330"/>
      <c r="F110" s="331"/>
      <c r="G110" s="368"/>
      <c r="H110" s="368"/>
      <c r="I110" s="368"/>
      <c r="J110" s="368"/>
      <c r="K110" s="369"/>
      <c r="L110" s="369"/>
      <c r="M110" s="370">
        <v>16689692419</v>
      </c>
      <c r="N110" s="370">
        <v>22827967224</v>
      </c>
      <c r="O110" s="370">
        <v>9348738447</v>
      </c>
      <c r="P110" s="388">
        <f>[1]NWC!L8</f>
        <v>2658273277.9315829</v>
      </c>
      <c r="Q110" s="388">
        <v>8417203475</v>
      </c>
      <c r="R110" s="371">
        <f>AE110</f>
        <v>10029161423.598787</v>
      </c>
      <c r="S110" s="337"/>
      <c r="T110" s="371">
        <f>[1]NWC!O8</f>
        <v>7045894188.1451006</v>
      </c>
      <c r="U110" s="371">
        <f>[1]NWC!P8</f>
        <v>5642963428.1652193</v>
      </c>
      <c r="V110" s="371">
        <f>[1]NWC!Q8</f>
        <v>7719482371.492734</v>
      </c>
      <c r="W110" s="371">
        <f>[1]NWC!R8</f>
        <v>9351361772.8477459</v>
      </c>
      <c r="X110" s="371">
        <f>[1]NWC!S8</f>
        <v>9363913960.3378429</v>
      </c>
      <c r="Y110" s="371">
        <f>[1]NWC!T8</f>
        <v>9387502048.7971706</v>
      </c>
      <c r="Z110" s="371">
        <f>[1]NWC!U8</f>
        <v>9403594007.4869137</v>
      </c>
      <c r="AA110" s="371">
        <f>[1]NWC!V8</f>
        <v>9407944620.8869152</v>
      </c>
      <c r="AB110" s="371">
        <f>[1]NWC!W8</f>
        <v>9401496721.9766579</v>
      </c>
      <c r="AC110" s="371">
        <f>[1]NWC!X8</f>
        <v>10010192889.888531</v>
      </c>
      <c r="AD110" s="371">
        <f>[1]NWC!Y8</f>
        <v>10033694054.642378</v>
      </c>
      <c r="AE110" s="371">
        <f>[1]NWC!Z8</f>
        <v>10029161423.598787</v>
      </c>
      <c r="AF110" s="338"/>
      <c r="AG110" s="369">
        <v>430177727766691</v>
      </c>
      <c r="AH110" s="369">
        <v>469708137941311</v>
      </c>
      <c r="AI110" s="369">
        <v>519609201780576</v>
      </c>
      <c r="AJ110" s="369">
        <v>574485778905631</v>
      </c>
      <c r="AK110" s="369">
        <v>629887720544726</v>
      </c>
      <c r="AL110" s="339"/>
      <c r="AM110" s="196"/>
    </row>
    <row r="111" spans="2:41">
      <c r="B111" s="342"/>
      <c r="C111" s="329" t="str">
        <f>IF(B1="EN", "Other short term liabilities", "Nợ ngắn hạn khác")</f>
        <v>Nợ ngắn hạn khác</v>
      </c>
      <c r="D111" s="329"/>
      <c r="E111" s="330"/>
      <c r="F111" s="331"/>
      <c r="G111" s="332"/>
      <c r="H111" s="332"/>
      <c r="I111" s="332"/>
      <c r="J111" s="332"/>
      <c r="K111" s="333"/>
      <c r="L111" s="333"/>
      <c r="M111" s="340">
        <v>1464180464</v>
      </c>
      <c r="N111" s="340">
        <v>1795278234</v>
      </c>
      <c r="O111" s="340">
        <v>1992851047</v>
      </c>
      <c r="P111" s="334">
        <f>Q111</f>
        <v>15006862178</v>
      </c>
      <c r="Q111" s="334">
        <v>15006862178</v>
      </c>
      <c r="R111" s="337">
        <f>AE111+AE88-Q88</f>
        <v>15261420588</v>
      </c>
      <c r="S111" s="337"/>
      <c r="T111" s="337">
        <f>P111+254558410</f>
        <v>15261420588</v>
      </c>
      <c r="U111" s="337">
        <f>T111</f>
        <v>15261420588</v>
      </c>
      <c r="V111" s="337">
        <f t="shared" ref="V111:AE111" si="121">U111</f>
        <v>15261420588</v>
      </c>
      <c r="W111" s="337">
        <f t="shared" si="121"/>
        <v>15261420588</v>
      </c>
      <c r="X111" s="337">
        <f t="shared" si="121"/>
        <v>15261420588</v>
      </c>
      <c r="Y111" s="337">
        <f t="shared" si="121"/>
        <v>15261420588</v>
      </c>
      <c r="Z111" s="337">
        <f t="shared" si="121"/>
        <v>15261420588</v>
      </c>
      <c r="AA111" s="337">
        <f t="shared" si="121"/>
        <v>15261420588</v>
      </c>
      <c r="AB111" s="337">
        <f t="shared" si="121"/>
        <v>15261420588</v>
      </c>
      <c r="AC111" s="337">
        <f t="shared" si="121"/>
        <v>15261420588</v>
      </c>
      <c r="AD111" s="337">
        <f t="shared" si="121"/>
        <v>15261420588</v>
      </c>
      <c r="AE111" s="337">
        <f t="shared" si="121"/>
        <v>15261420588</v>
      </c>
      <c r="AF111" s="338"/>
      <c r="AG111" s="333">
        <v>279528603062</v>
      </c>
      <c r="AH111" s="333">
        <v>279528603062</v>
      </c>
      <c r="AI111" s="333">
        <v>279528603062</v>
      </c>
      <c r="AJ111" s="333">
        <v>279528603062</v>
      </c>
      <c r="AK111" s="333">
        <v>279528603062</v>
      </c>
      <c r="AL111" s="389"/>
      <c r="AM111" s="196"/>
    </row>
    <row r="112" spans="2:41">
      <c r="B112" s="342"/>
      <c r="C112" s="329"/>
      <c r="D112" s="329"/>
      <c r="E112" s="330"/>
      <c r="F112" s="331"/>
      <c r="G112" s="390"/>
      <c r="H112" s="390"/>
      <c r="I112" s="390"/>
      <c r="J112" s="390"/>
      <c r="K112" s="391"/>
      <c r="L112" s="391"/>
      <c r="M112" s="392"/>
      <c r="N112" s="392"/>
      <c r="O112" s="392"/>
      <c r="P112" s="505"/>
      <c r="Q112" s="505"/>
      <c r="R112" s="348">
        <f t="shared" si="95"/>
        <v>0</v>
      </c>
      <c r="S112" s="348"/>
      <c r="T112" s="348"/>
      <c r="U112" s="348"/>
      <c r="V112" s="348"/>
      <c r="W112" s="348"/>
      <c r="X112" s="348"/>
      <c r="Y112" s="348"/>
      <c r="Z112" s="348"/>
      <c r="AA112" s="348"/>
      <c r="AB112" s="348"/>
      <c r="AC112" s="348"/>
      <c r="AD112" s="348"/>
      <c r="AE112" s="348"/>
      <c r="AF112" s="349"/>
      <c r="AG112" s="391"/>
      <c r="AH112" s="391"/>
      <c r="AI112" s="391"/>
      <c r="AJ112" s="391"/>
      <c r="AK112" s="391"/>
      <c r="AL112" s="393"/>
      <c r="AM112" s="196"/>
    </row>
    <row r="113" spans="1:39">
      <c r="B113" s="126" t="str">
        <f>IF(B1="EN", "Long-term liabilities", "Nợ dài hạn")</f>
        <v>Nợ dài hạn</v>
      </c>
      <c r="C113" s="123"/>
      <c r="D113" s="123"/>
      <c r="E113" s="317"/>
      <c r="F113" s="318"/>
      <c r="G113" s="319"/>
      <c r="H113" s="319"/>
      <c r="I113" s="319"/>
      <c r="J113" s="319"/>
      <c r="K113" s="320"/>
      <c r="L113" s="320"/>
      <c r="M113" s="321">
        <f t="shared" ref="M113:P113" si="122">SUM(M114:M115)</f>
        <v>0</v>
      </c>
      <c r="N113" s="321">
        <f t="shared" si="122"/>
        <v>32770000000</v>
      </c>
      <c r="O113" s="321">
        <f t="shared" si="122"/>
        <v>32770000000</v>
      </c>
      <c r="P113" s="421">
        <f t="shared" si="122"/>
        <v>32770000000</v>
      </c>
      <c r="Q113" s="421">
        <f>SUM(Q114:Q115)</f>
        <v>32770000000</v>
      </c>
      <c r="R113" s="324">
        <f t="shared" si="95"/>
        <v>32770000000</v>
      </c>
      <c r="S113" s="324"/>
      <c r="T113" s="324">
        <f t="shared" ref="T113:AE113" si="123">SUM(T114:T115)</f>
        <v>32770000000</v>
      </c>
      <c r="U113" s="324">
        <f t="shared" si="123"/>
        <v>32770000000</v>
      </c>
      <c r="V113" s="324">
        <f t="shared" si="123"/>
        <v>32770000000</v>
      </c>
      <c r="W113" s="324">
        <f t="shared" si="123"/>
        <v>32770000000</v>
      </c>
      <c r="X113" s="324">
        <f t="shared" si="123"/>
        <v>32770000000</v>
      </c>
      <c r="Y113" s="324">
        <f t="shared" si="123"/>
        <v>32770000000</v>
      </c>
      <c r="Z113" s="324">
        <f t="shared" si="123"/>
        <v>32770000000</v>
      </c>
      <c r="AA113" s="324">
        <f t="shared" si="123"/>
        <v>32770000000</v>
      </c>
      <c r="AB113" s="324">
        <f t="shared" si="123"/>
        <v>32770000000</v>
      </c>
      <c r="AC113" s="324">
        <f t="shared" si="123"/>
        <v>32770000000</v>
      </c>
      <c r="AD113" s="324">
        <f t="shared" si="123"/>
        <v>32770000000</v>
      </c>
      <c r="AE113" s="324">
        <f t="shared" si="123"/>
        <v>32770000000</v>
      </c>
      <c r="AF113" s="325"/>
      <c r="AG113" s="320">
        <v>92099506342</v>
      </c>
      <c r="AH113" s="320">
        <v>13667494729</v>
      </c>
      <c r="AI113" s="320">
        <v>206614933822</v>
      </c>
      <c r="AJ113" s="320">
        <v>271106926528</v>
      </c>
      <c r="AK113" s="320">
        <v>310259660896</v>
      </c>
      <c r="AL113" s="326"/>
      <c r="AM113" s="196"/>
    </row>
    <row r="114" spans="1:39">
      <c r="B114" s="342"/>
      <c r="C114" s="329" t="str">
        <f>IF(B1="EN", "Long-term borrowings", "Vay dài hạn")</f>
        <v>Vay dài hạn</v>
      </c>
      <c r="D114" s="329"/>
      <c r="E114" s="330"/>
      <c r="F114" s="331"/>
      <c r="G114" s="368"/>
      <c r="H114" s="368"/>
      <c r="I114" s="368"/>
      <c r="J114" s="368"/>
      <c r="K114" s="369"/>
      <c r="L114" s="369"/>
      <c r="M114" s="340"/>
      <c r="N114" s="340">
        <v>32770000000</v>
      </c>
      <c r="O114" s="340">
        <v>32770000000</v>
      </c>
      <c r="P114" s="388">
        <v>32770000000</v>
      </c>
      <c r="Q114" s="388">
        <v>32770000000</v>
      </c>
      <c r="R114" s="371">
        <f t="shared" si="95"/>
        <v>32770000000</v>
      </c>
      <c r="S114" s="337"/>
      <c r="T114" s="371">
        <v>32770000000</v>
      </c>
      <c r="U114" s="371">
        <v>32770000000</v>
      </c>
      <c r="V114" s="371">
        <v>32770000000</v>
      </c>
      <c r="W114" s="371">
        <v>32770000000</v>
      </c>
      <c r="X114" s="371">
        <v>32770000000</v>
      </c>
      <c r="Y114" s="371">
        <v>32770000000</v>
      </c>
      <c r="Z114" s="371">
        <v>32770000000</v>
      </c>
      <c r="AA114" s="371">
        <v>32770000000</v>
      </c>
      <c r="AB114" s="371">
        <v>32770000000</v>
      </c>
      <c r="AC114" s="371">
        <v>32770000000</v>
      </c>
      <c r="AD114" s="371">
        <v>32770000000</v>
      </c>
      <c r="AE114" s="371">
        <v>32770000000</v>
      </c>
      <c r="AF114" s="338"/>
      <c r="AG114" s="369">
        <v>5408397066</v>
      </c>
      <c r="AH114" s="369">
        <v>98659411608</v>
      </c>
      <c r="AI114" s="369">
        <v>16859939814</v>
      </c>
      <c r="AJ114" s="369">
        <v>233091390846</v>
      </c>
      <c r="AK114" s="369">
        <v>272244125214</v>
      </c>
      <c r="AL114" s="339"/>
      <c r="AM114" s="196"/>
    </row>
    <row r="115" spans="1:39">
      <c r="B115" s="342"/>
      <c r="C115" s="329" t="str">
        <f>IF(B1="EN", "Other long term liabilities", "Nợ dài hạn khác")</f>
        <v>Nợ dài hạn khác</v>
      </c>
      <c r="D115" s="329"/>
      <c r="E115" s="330"/>
      <c r="F115" s="331"/>
      <c r="G115" s="332"/>
      <c r="H115" s="332"/>
      <c r="I115" s="332"/>
      <c r="J115" s="332"/>
      <c r="K115" s="333"/>
      <c r="L115" s="333"/>
      <c r="M115" s="340"/>
      <c r="N115" s="340"/>
      <c r="O115" s="340"/>
      <c r="P115" s="334">
        <f>M115</f>
        <v>0</v>
      </c>
      <c r="Q115" s="334">
        <f>N115</f>
        <v>0</v>
      </c>
      <c r="R115" s="337">
        <f t="shared" si="95"/>
        <v>0</v>
      </c>
      <c r="S115" s="337"/>
      <c r="T115" s="337">
        <f t="shared" ref="T115:AE115" si="124">$Q$115</f>
        <v>0</v>
      </c>
      <c r="U115" s="337">
        <f t="shared" si="124"/>
        <v>0</v>
      </c>
      <c r="V115" s="337">
        <f t="shared" si="124"/>
        <v>0</v>
      </c>
      <c r="W115" s="337">
        <f t="shared" si="124"/>
        <v>0</v>
      </c>
      <c r="X115" s="337">
        <f t="shared" si="124"/>
        <v>0</v>
      </c>
      <c r="Y115" s="337">
        <f t="shared" si="124"/>
        <v>0</v>
      </c>
      <c r="Z115" s="337">
        <f t="shared" si="124"/>
        <v>0</v>
      </c>
      <c r="AA115" s="337">
        <f t="shared" si="124"/>
        <v>0</v>
      </c>
      <c r="AB115" s="337">
        <f t="shared" si="124"/>
        <v>0</v>
      </c>
      <c r="AC115" s="337">
        <f t="shared" si="124"/>
        <v>0</v>
      </c>
      <c r="AD115" s="337">
        <f t="shared" si="124"/>
        <v>0</v>
      </c>
      <c r="AE115" s="337">
        <f t="shared" si="124"/>
        <v>0</v>
      </c>
      <c r="AF115" s="338"/>
      <c r="AG115" s="333">
        <v>38015535682</v>
      </c>
      <c r="AH115" s="333">
        <v>38015535682</v>
      </c>
      <c r="AI115" s="333">
        <v>38015535682</v>
      </c>
      <c r="AJ115" s="333">
        <v>38015535682</v>
      </c>
      <c r="AK115" s="333">
        <v>38015535682</v>
      </c>
      <c r="AL115" s="339"/>
      <c r="AM115" s="196"/>
    </row>
    <row r="116" spans="1:39">
      <c r="B116" s="126" t="str">
        <f>IF(B1="EN", "EQUITY", "VỐN CHỦ SỞ HỮU")</f>
        <v>VỐN CHỦ SỞ HỮU</v>
      </c>
      <c r="C116" s="123"/>
      <c r="D116" s="123"/>
      <c r="E116" s="317"/>
      <c r="F116" s="318"/>
      <c r="G116" s="319"/>
      <c r="H116" s="319"/>
      <c r="I116" s="319"/>
      <c r="J116" s="319"/>
      <c r="K116" s="320"/>
      <c r="L116" s="320"/>
      <c r="M116" s="321">
        <f t="shared" ref="M116:O116" si="125">SUM(M117:M120)</f>
        <v>29964392614</v>
      </c>
      <c r="N116" s="321">
        <f t="shared" si="125"/>
        <v>7332454243</v>
      </c>
      <c r="O116" s="321">
        <f t="shared" si="125"/>
        <v>-5202845895</v>
      </c>
      <c r="P116" s="421">
        <f>SUM(P117:P120)</f>
        <v>-17112295184.83889</v>
      </c>
      <c r="Q116" s="421">
        <f>SUM(Q117:Q120)</f>
        <v>-10223647960</v>
      </c>
      <c r="R116" s="324">
        <f>AE116</f>
        <v>-20184818955.549858</v>
      </c>
      <c r="S116" s="324"/>
      <c r="T116" s="324">
        <f t="shared" ref="T116:AE116" si="126">SUM(T117:T120)</f>
        <v>-17890860830.049324</v>
      </c>
      <c r="U116" s="324">
        <f t="shared" si="126"/>
        <v>-18823968880.626625</v>
      </c>
      <c r="V116" s="324">
        <f t="shared" si="126"/>
        <v>-19408795152.416451</v>
      </c>
      <c r="W116" s="324">
        <f t="shared" si="126"/>
        <v>-19538631046.909073</v>
      </c>
      <c r="X116" s="324">
        <f t="shared" si="126"/>
        <v>-19670878048.385185</v>
      </c>
      <c r="Y116" s="324">
        <f t="shared" si="126"/>
        <v>-20005259679.871292</v>
      </c>
      <c r="Z116" s="324">
        <f t="shared" si="126"/>
        <v>-20191239366.306969</v>
      </c>
      <c r="AA116" s="324">
        <f t="shared" si="126"/>
        <v>-20414845074.875984</v>
      </c>
      <c r="AB116" s="324">
        <f t="shared" si="126"/>
        <v>-20606376761.961235</v>
      </c>
      <c r="AC116" s="324">
        <f t="shared" si="126"/>
        <v>-20433843515.566277</v>
      </c>
      <c r="AD116" s="324">
        <f t="shared" si="126"/>
        <v>-20316024366.094391</v>
      </c>
      <c r="AE116" s="324">
        <f t="shared" si="126"/>
        <v>-20184818955.549858</v>
      </c>
      <c r="AF116" s="325"/>
      <c r="AG116" s="320">
        <v>335986440595387</v>
      </c>
      <c r="AH116" s="320">
        <v>382395130699428</v>
      </c>
      <c r="AI116" s="320">
        <v>421737108957407</v>
      </c>
      <c r="AJ116" s="320">
        <v>466569123153023</v>
      </c>
      <c r="AK116" s="320">
        <v>518961823412947</v>
      </c>
      <c r="AL116" s="326"/>
      <c r="AM116" s="196"/>
    </row>
    <row r="117" spans="1:39">
      <c r="B117" s="342"/>
      <c r="C117" s="329" t="str">
        <f>IF(B1="EN", "Shareholders' capital", "Vốn cổ phần")</f>
        <v>Vốn cổ phần</v>
      </c>
      <c r="D117" s="329"/>
      <c r="E117" s="330"/>
      <c r="F117" s="331"/>
      <c r="G117" s="332"/>
      <c r="H117" s="332"/>
      <c r="I117" s="332"/>
      <c r="J117" s="332"/>
      <c r="K117" s="333"/>
      <c r="L117" s="333"/>
      <c r="M117" s="340">
        <v>40000000000</v>
      </c>
      <c r="N117" s="340">
        <v>40000000000</v>
      </c>
      <c r="O117" s="340">
        <v>40000000000</v>
      </c>
      <c r="P117" s="334">
        <f>Q117</f>
        <v>40000000000</v>
      </c>
      <c r="Q117" s="334">
        <f>N117</f>
        <v>40000000000</v>
      </c>
      <c r="R117" s="337">
        <f t="shared" si="95"/>
        <v>40000000000</v>
      </c>
      <c r="S117" s="337"/>
      <c r="T117" s="337">
        <f t="shared" ref="T117:AE117" si="127">$Q$117</f>
        <v>40000000000</v>
      </c>
      <c r="U117" s="337">
        <f t="shared" si="127"/>
        <v>40000000000</v>
      </c>
      <c r="V117" s="337">
        <f t="shared" si="127"/>
        <v>40000000000</v>
      </c>
      <c r="W117" s="337">
        <f t="shared" si="127"/>
        <v>40000000000</v>
      </c>
      <c r="X117" s="337">
        <f t="shared" si="127"/>
        <v>40000000000</v>
      </c>
      <c r="Y117" s="337">
        <f t="shared" si="127"/>
        <v>40000000000</v>
      </c>
      <c r="Z117" s="337">
        <f t="shared" si="127"/>
        <v>40000000000</v>
      </c>
      <c r="AA117" s="337">
        <f t="shared" si="127"/>
        <v>40000000000</v>
      </c>
      <c r="AB117" s="337">
        <f t="shared" si="127"/>
        <v>40000000000</v>
      </c>
      <c r="AC117" s="337">
        <f t="shared" si="127"/>
        <v>40000000000</v>
      </c>
      <c r="AD117" s="337">
        <f t="shared" si="127"/>
        <v>40000000000</v>
      </c>
      <c r="AE117" s="337">
        <f t="shared" si="127"/>
        <v>40000000000</v>
      </c>
      <c r="AF117" s="338"/>
      <c r="AG117" s="333">
        <v>1700000</v>
      </c>
      <c r="AH117" s="333">
        <v>1700000</v>
      </c>
      <c r="AI117" s="333">
        <v>1700000</v>
      </c>
      <c r="AJ117" s="333">
        <v>1700000</v>
      </c>
      <c r="AK117" s="333">
        <v>1700000</v>
      </c>
      <c r="AL117" s="339"/>
      <c r="AM117" s="196"/>
    </row>
    <row r="118" spans="1:39">
      <c r="B118" s="342"/>
      <c r="C118" s="329" t="str">
        <f>IF(B1="EN", "Investment and development fund", "Quỹ đầu tư &amp; phát triển")</f>
        <v>Quỹ đầu tư &amp; phát triển</v>
      </c>
      <c r="D118" s="329"/>
      <c r="E118" s="330"/>
      <c r="F118" s="331"/>
      <c r="G118" s="332"/>
      <c r="H118" s="332"/>
      <c r="I118" s="332"/>
      <c r="J118" s="332"/>
      <c r="K118" s="333"/>
      <c r="L118" s="333"/>
      <c r="M118" s="340"/>
      <c r="N118" s="340"/>
      <c r="O118" s="340"/>
      <c r="P118" s="334">
        <f>M118</f>
        <v>0</v>
      </c>
      <c r="Q118" s="334">
        <f>N118</f>
        <v>0</v>
      </c>
      <c r="R118" s="337">
        <f t="shared" si="95"/>
        <v>0</v>
      </c>
      <c r="S118" s="337"/>
      <c r="T118" s="337">
        <f t="shared" ref="T118:AE118" si="128">$Q$118</f>
        <v>0</v>
      </c>
      <c r="U118" s="337">
        <f t="shared" si="128"/>
        <v>0</v>
      </c>
      <c r="V118" s="337">
        <f t="shared" si="128"/>
        <v>0</v>
      </c>
      <c r="W118" s="337">
        <f t="shared" si="128"/>
        <v>0</v>
      </c>
      <c r="X118" s="337">
        <f t="shared" si="128"/>
        <v>0</v>
      </c>
      <c r="Y118" s="337">
        <f t="shared" si="128"/>
        <v>0</v>
      </c>
      <c r="Z118" s="337">
        <f t="shared" si="128"/>
        <v>0</v>
      </c>
      <c r="AA118" s="337">
        <f t="shared" si="128"/>
        <v>0</v>
      </c>
      <c r="AB118" s="337">
        <f t="shared" si="128"/>
        <v>0</v>
      </c>
      <c r="AC118" s="337">
        <f t="shared" si="128"/>
        <v>0</v>
      </c>
      <c r="AD118" s="337">
        <f t="shared" si="128"/>
        <v>0</v>
      </c>
      <c r="AE118" s="337">
        <f t="shared" si="128"/>
        <v>0</v>
      </c>
      <c r="AF118" s="338"/>
      <c r="AG118" s="333">
        <v>174758437</v>
      </c>
      <c r="AH118" s="333">
        <v>174758437</v>
      </c>
      <c r="AI118" s="333">
        <v>174758437</v>
      </c>
      <c r="AJ118" s="333">
        <v>174758437</v>
      </c>
      <c r="AK118" s="333">
        <v>174758437</v>
      </c>
      <c r="AL118" s="339"/>
      <c r="AM118" s="196"/>
    </row>
    <row r="119" spans="1:39" hidden="1">
      <c r="B119" s="342"/>
      <c r="C119" s="329" t="s">
        <v>116</v>
      </c>
      <c r="D119" s="329"/>
      <c r="E119" s="330"/>
      <c r="F119" s="331"/>
      <c r="G119" s="332"/>
      <c r="H119" s="332"/>
      <c r="I119" s="332"/>
      <c r="J119" s="332"/>
      <c r="K119" s="333"/>
      <c r="L119" s="333"/>
      <c r="M119" s="340"/>
      <c r="N119" s="340"/>
      <c r="O119" s="340"/>
      <c r="P119" s="334"/>
      <c r="Q119" s="334"/>
      <c r="R119" s="337">
        <f t="shared" si="95"/>
        <v>0</v>
      </c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8"/>
      <c r="AG119" s="333"/>
      <c r="AH119" s="333"/>
      <c r="AI119" s="333"/>
      <c r="AJ119" s="333"/>
      <c r="AK119" s="333"/>
      <c r="AL119" s="339"/>
      <c r="AM119" s="196"/>
    </row>
    <row r="120" spans="1:39">
      <c r="B120" s="342"/>
      <c r="C120" s="329" t="str">
        <f>IF(B1="EN", "Retained earnings", "Lợi nhuận để lại")</f>
        <v>Lợi nhuận để lại</v>
      </c>
      <c r="D120" s="329"/>
      <c r="E120" s="330"/>
      <c r="F120" s="331"/>
      <c r="G120" s="332"/>
      <c r="H120" s="332"/>
      <c r="I120" s="332"/>
      <c r="J120" s="332"/>
      <c r="K120" s="333"/>
      <c r="L120" s="333"/>
      <c r="M120" s="340">
        <v>-10035607386</v>
      </c>
      <c r="N120" s="340">
        <v>-32667545757</v>
      </c>
      <c r="O120" s="340">
        <v>-45202845895</v>
      </c>
      <c r="P120" s="334">
        <f>Q120+P69</f>
        <v>-57112295184.83889</v>
      </c>
      <c r="Q120" s="334">
        <v>-50223647960</v>
      </c>
      <c r="R120" s="337">
        <f>Q120+R69</f>
        <v>-53301963615.710915</v>
      </c>
      <c r="S120" s="337"/>
      <c r="T120" s="337">
        <f>P120+T69-[1]FIN!T26</f>
        <v>-57890860830.049324</v>
      </c>
      <c r="U120" s="337">
        <f>T120+U69-[1]FIN!U26</f>
        <v>-58823968880.626625</v>
      </c>
      <c r="V120" s="337">
        <f>U120+V69-[1]FIN!V26</f>
        <v>-59408795152.416451</v>
      </c>
      <c r="W120" s="337">
        <f>V120+W69-[1]FIN!W26</f>
        <v>-59538631046.909073</v>
      </c>
      <c r="X120" s="337">
        <f>W120+X69-[1]FIN!X26</f>
        <v>-59670878048.385185</v>
      </c>
      <c r="Y120" s="337">
        <f>X120+Y69-[1]FIN!Y26</f>
        <v>-60005259679.871292</v>
      </c>
      <c r="Z120" s="337">
        <f>Y120+Z69-[1]FIN!Z26</f>
        <v>-60191239366.306969</v>
      </c>
      <c r="AA120" s="337">
        <f>Z120+AA69-[1]FIN!AA26</f>
        <v>-60414845074.875984</v>
      </c>
      <c r="AB120" s="337">
        <f>AA120+AB69-[1]FIN!AB26</f>
        <v>-60606376761.961235</v>
      </c>
      <c r="AC120" s="337">
        <f>AB120+AC69-[1]FIN!AC26</f>
        <v>-60433843515.566277</v>
      </c>
      <c r="AD120" s="337">
        <f>AC120+AD69-[1]FIN!AD26</f>
        <v>-60316024366.094391</v>
      </c>
      <c r="AE120" s="337">
        <f>AD120+AE69-[1]FIN!AE26</f>
        <v>-60184818955.549858</v>
      </c>
      <c r="AF120" s="338"/>
      <c r="AG120" s="333">
        <v>165968964751687</v>
      </c>
      <c r="AH120" s="333">
        <v>212377654855728</v>
      </c>
      <c r="AI120" s="333">
        <v>251719633113707</v>
      </c>
      <c r="AJ120" s="333">
        <v>296551647309323</v>
      </c>
      <c r="AK120" s="333">
        <v>348944347569247</v>
      </c>
      <c r="AL120" s="339"/>
      <c r="AM120" s="196"/>
    </row>
    <row r="121" spans="1:39" hidden="1">
      <c r="A121" s="196"/>
      <c r="B121" s="394"/>
      <c r="C121" s="395"/>
      <c r="D121" s="395"/>
      <c r="E121" s="396"/>
      <c r="F121" s="397"/>
      <c r="G121" s="398"/>
      <c r="H121" s="398"/>
      <c r="I121" s="398"/>
      <c r="J121" s="398"/>
      <c r="K121" s="399"/>
      <c r="L121" s="399"/>
      <c r="M121" s="400"/>
      <c r="N121" s="400"/>
      <c r="O121" s="400"/>
      <c r="P121" s="334"/>
      <c r="Q121" s="334"/>
      <c r="R121" s="337">
        <f t="shared" si="95"/>
        <v>0</v>
      </c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8"/>
      <c r="AG121" s="399"/>
      <c r="AH121" s="399"/>
      <c r="AI121" s="399"/>
      <c r="AJ121" s="399"/>
      <c r="AK121" s="399"/>
      <c r="AL121" s="401"/>
      <c r="AM121" s="196"/>
    </row>
    <row r="122" spans="1:39" ht="17" thickBot="1">
      <c r="B122" s="402" t="str">
        <f>IF(B1="EN", "TOTAL LIABILITIES AND EQUITY", "TỔNG NGUỒN VỐN")</f>
        <v>TỔNG NGUỒN VỐN</v>
      </c>
      <c r="C122" s="403"/>
      <c r="D122" s="403"/>
      <c r="E122" s="404"/>
      <c r="F122" s="404"/>
      <c r="G122" s="378"/>
      <c r="H122" s="378"/>
      <c r="I122" s="378"/>
      <c r="J122" s="378"/>
      <c r="K122" s="405"/>
      <c r="L122" s="405"/>
      <c r="M122" s="406">
        <f t="shared" ref="M122:P122" si="129">M107+M116</f>
        <v>67118265497</v>
      </c>
      <c r="N122" s="406">
        <f t="shared" si="129"/>
        <v>64725699701</v>
      </c>
      <c r="O122" s="406">
        <f t="shared" si="129"/>
        <v>38908743599</v>
      </c>
      <c r="P122" s="455">
        <f t="shared" si="129"/>
        <v>51696182594.627525</v>
      </c>
      <c r="Q122" s="455">
        <f>Q107+Q116</f>
        <v>45970417693</v>
      </c>
      <c r="R122" s="409">
        <f>AE122</f>
        <v>37875763056.048927</v>
      </c>
      <c r="S122" s="324"/>
      <c r="T122" s="409">
        <f t="shared" ref="T122:AE122" si="130">T107+T116</f>
        <v>37186453946.095772</v>
      </c>
      <c r="U122" s="409">
        <f t="shared" si="130"/>
        <v>34850415135.538597</v>
      </c>
      <c r="V122" s="409">
        <f t="shared" si="130"/>
        <v>36342107807.076286</v>
      </c>
      <c r="W122" s="409">
        <f t="shared" si="130"/>
        <v>37844151313.938675</v>
      </c>
      <c r="X122" s="409">
        <f t="shared" si="130"/>
        <v>37724456499.95266</v>
      </c>
      <c r="Y122" s="409">
        <f t="shared" si="130"/>
        <v>37413662956.92588</v>
      </c>
      <c r="Z122" s="409">
        <f t="shared" si="130"/>
        <v>37243775229.179947</v>
      </c>
      <c r="AA122" s="409">
        <f t="shared" si="130"/>
        <v>37024520134.010933</v>
      </c>
      <c r="AB122" s="409">
        <f t="shared" si="130"/>
        <v>36826540548.015419</v>
      </c>
      <c r="AC122" s="409">
        <f t="shared" si="130"/>
        <v>37607769962.322258</v>
      </c>
      <c r="AD122" s="409">
        <f t="shared" si="130"/>
        <v>37749090276.547989</v>
      </c>
      <c r="AE122" s="409">
        <f t="shared" si="130"/>
        <v>37875763056.048927</v>
      </c>
      <c r="AF122" s="325"/>
      <c r="AG122" s="405">
        <f>AG107+AG116</f>
        <v>509035432974898</v>
      </c>
      <c r="AH122" s="405">
        <f>AH107+AH116</f>
        <v>572923191384559</v>
      </c>
      <c r="AI122" s="405">
        <f>AI107+AI116</f>
        <v>635646376476450</v>
      </c>
      <c r="AJ122" s="405">
        <f>AJ107+AJ116</f>
        <v>704898786433940</v>
      </c>
      <c r="AK122" s="405">
        <f>AK107+AK116</f>
        <v>779794698568010</v>
      </c>
      <c r="AL122" s="326"/>
      <c r="AM122" s="196"/>
    </row>
    <row r="123" spans="1:39" s="508" customFormat="1" ht="17" thickTop="1">
      <c r="K123" s="469"/>
      <c r="L123" s="469"/>
      <c r="M123" s="469">
        <f t="shared" ref="M123:Q123" si="131">M105-M122</f>
        <v>0</v>
      </c>
      <c r="N123" s="469">
        <f t="shared" si="131"/>
        <v>0</v>
      </c>
      <c r="O123" s="469">
        <f t="shared" si="131"/>
        <v>0</v>
      </c>
      <c r="P123" s="469"/>
      <c r="Q123" s="469">
        <f t="shared" si="131"/>
        <v>0</v>
      </c>
      <c r="R123" s="469">
        <f>R105-R122</f>
        <v>0.32698822021484375</v>
      </c>
      <c r="S123" s="469"/>
      <c r="T123" s="469"/>
      <c r="U123" s="469"/>
      <c r="V123" s="469"/>
      <c r="W123" s="469"/>
      <c r="X123" s="469"/>
      <c r="Y123" s="469"/>
      <c r="Z123" s="469"/>
      <c r="AA123" s="469"/>
      <c r="AB123" s="469"/>
      <c r="AC123" s="469"/>
      <c r="AD123" s="469"/>
      <c r="AE123" s="469"/>
      <c r="AF123" s="469"/>
      <c r="AG123" s="469">
        <f>AG105-AG122</f>
        <v>-8862762</v>
      </c>
      <c r="AH123" s="469">
        <f>AH105-AH122</f>
        <v>-8862763</v>
      </c>
      <c r="AI123" s="469">
        <f>AI105-AI122</f>
        <v>-8862762</v>
      </c>
      <c r="AJ123" s="469">
        <f>AJ105-AJ122</f>
        <v>-8862762</v>
      </c>
      <c r="AK123" s="469">
        <f>AK105-AK122</f>
        <v>-8862762</v>
      </c>
      <c r="AM123" s="471"/>
    </row>
    <row r="124" spans="1:39">
      <c r="G124" s="107"/>
      <c r="H124" s="107"/>
      <c r="I124" s="107"/>
      <c r="J124" s="107"/>
      <c r="K124" s="412"/>
      <c r="L124" s="412"/>
      <c r="M124" s="412"/>
      <c r="N124" s="411"/>
      <c r="O124" s="411"/>
      <c r="P124" s="411"/>
      <c r="Q124" s="411"/>
      <c r="R124" s="411"/>
      <c r="S124" s="411">
        <v>0.80122760000000004</v>
      </c>
      <c r="T124" s="411"/>
      <c r="U124" s="411"/>
      <c r="V124" s="411"/>
      <c r="W124" s="411"/>
      <c r="X124" s="411"/>
      <c r="Y124" s="411"/>
      <c r="Z124" s="411"/>
      <c r="AA124" s="411"/>
      <c r="AB124" s="411"/>
      <c r="AC124" s="411"/>
      <c r="AD124" s="411"/>
      <c r="AE124" s="411"/>
      <c r="AF124" s="412"/>
      <c r="AG124" s="412"/>
      <c r="AH124" s="412"/>
      <c r="AI124" s="412"/>
      <c r="AJ124" s="412"/>
      <c r="AK124" s="412"/>
      <c r="AL124" s="107"/>
      <c r="AM124" s="196"/>
    </row>
    <row r="125" spans="1:39">
      <c r="B125" s="111" t="str">
        <f>IF(B1="EN", "CASH FLOW STATEMENT", "LƯU CHUYỂN TIỀN TỆ")</f>
        <v>LƯU CHUYỂN TIỀN TỆ</v>
      </c>
      <c r="C125" s="112"/>
      <c r="D125" s="112"/>
      <c r="E125" s="112"/>
      <c r="F125" s="112"/>
      <c r="G125" s="114"/>
      <c r="H125" s="114"/>
      <c r="I125" s="413"/>
      <c r="J125" s="115"/>
      <c r="K125" s="101"/>
      <c r="L125" s="101"/>
      <c r="M125" s="101"/>
      <c r="N125" s="509">
        <v>2023</v>
      </c>
      <c r="O125" s="509">
        <v>2024</v>
      </c>
      <c r="P125" s="414" t="str">
        <f>P72</f>
        <v>2025P</v>
      </c>
      <c r="Q125" s="510" t="str">
        <f>Q72</f>
        <v>2025E</v>
      </c>
      <c r="R125" s="416" t="str">
        <f t="shared" ref="R125" si="132">R72</f>
        <v>2026P</v>
      </c>
      <c r="S125" s="417"/>
      <c r="T125" s="416">
        <f t="shared" ref="T125:AE125" si="133">T2</f>
        <v>1</v>
      </c>
      <c r="U125" s="416">
        <f t="shared" si="133"/>
        <v>2</v>
      </c>
      <c r="V125" s="416">
        <f t="shared" si="133"/>
        <v>3</v>
      </c>
      <c r="W125" s="416">
        <f t="shared" si="133"/>
        <v>4</v>
      </c>
      <c r="X125" s="416">
        <f t="shared" si="133"/>
        <v>5</v>
      </c>
      <c r="Y125" s="416">
        <f t="shared" si="133"/>
        <v>6</v>
      </c>
      <c r="Z125" s="416">
        <f t="shared" si="133"/>
        <v>7</v>
      </c>
      <c r="AA125" s="416">
        <f t="shared" si="133"/>
        <v>8</v>
      </c>
      <c r="AB125" s="416">
        <f t="shared" si="133"/>
        <v>9</v>
      </c>
      <c r="AC125" s="416">
        <f t="shared" si="133"/>
        <v>10</v>
      </c>
      <c r="AD125" s="416">
        <f t="shared" si="133"/>
        <v>11</v>
      </c>
      <c r="AE125" s="416">
        <f t="shared" si="133"/>
        <v>12</v>
      </c>
      <c r="AF125" s="105"/>
      <c r="AG125" s="106" t="str">
        <f>AG72</f>
        <v>2025 MTP</v>
      </c>
      <c r="AH125" s="106" t="str">
        <f>AH72</f>
        <v>2026 MTP</v>
      </c>
      <c r="AI125" s="106" t="str">
        <f>AI72</f>
        <v>2027 MTP</v>
      </c>
      <c r="AJ125" s="106" t="str">
        <f>AJ72</f>
        <v>2028 MTP</v>
      </c>
      <c r="AK125" s="106" t="str">
        <f>AK72</f>
        <v>2029 MTP</v>
      </c>
      <c r="AL125" s="316"/>
      <c r="AM125" s="196"/>
    </row>
    <row r="126" spans="1:39">
      <c r="B126" s="126" t="str">
        <f>IF(B1="EN", "CASH FLOW FROM OPERATING ACTIVITIES", "DÒNG TIỀN TỪ HOẠT ĐỘNG KINH DOANH")</f>
        <v>DÒNG TIỀN TỪ HOẠT ĐỘNG KINH DOANH</v>
      </c>
      <c r="C126" s="123"/>
      <c r="D126" s="123"/>
      <c r="E126" s="123"/>
      <c r="F126" s="123"/>
      <c r="G126" s="418"/>
      <c r="H126" s="418"/>
      <c r="I126" s="330"/>
      <c r="J126" s="418"/>
      <c r="K126" s="419"/>
      <c r="L126" s="419"/>
      <c r="M126" s="419"/>
      <c r="N126" s="334"/>
      <c r="O126" s="334"/>
      <c r="P126" s="334"/>
      <c r="Q126" s="336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419"/>
      <c r="AG126" s="419"/>
      <c r="AH126" s="419"/>
      <c r="AI126" s="419"/>
      <c r="AJ126" s="419"/>
      <c r="AK126" s="419"/>
      <c r="AL126" s="330"/>
      <c r="AM126" s="196"/>
    </row>
    <row r="127" spans="1:39">
      <c r="B127" s="126" t="str">
        <f>IF(B1="EN", "Net income", "Lợi nhuận sau thuế")</f>
        <v>Lợi nhuận sau thuế</v>
      </c>
      <c r="C127" s="123"/>
      <c r="D127" s="123"/>
      <c r="E127" s="123"/>
      <c r="F127" s="123"/>
      <c r="G127" s="420"/>
      <c r="H127" s="420"/>
      <c r="I127" s="420"/>
      <c r="J127" s="420"/>
      <c r="K127" s="420"/>
      <c r="L127" s="420"/>
      <c r="M127" s="420"/>
      <c r="N127" s="421">
        <f>N69</f>
        <v>-22631938370</v>
      </c>
      <c r="O127" s="421">
        <f>O69</f>
        <v>-12555921129.131836</v>
      </c>
      <c r="P127" s="421">
        <f>P69</f>
        <v>-6888647224.8388882</v>
      </c>
      <c r="Q127" s="323">
        <f>Q69</f>
        <v>-6653418965.909729</v>
      </c>
      <c r="R127" s="421">
        <f>SUM(T127:AE127)</f>
        <v>-3072523770.7109632</v>
      </c>
      <c r="S127" s="421"/>
      <c r="T127" s="421">
        <f>T69</f>
        <v>-778565645.21043384</v>
      </c>
      <c r="U127" s="421">
        <f t="shared" ref="U127:AE127" si="134">U69</f>
        <v>-933108050.57729769</v>
      </c>
      <c r="V127" s="421">
        <f t="shared" si="134"/>
        <v>-584826271.78982258</v>
      </c>
      <c r="W127" s="421">
        <f t="shared" si="134"/>
        <v>-129835894.4926194</v>
      </c>
      <c r="X127" s="421">
        <f t="shared" si="134"/>
        <v>-132247001.47611511</v>
      </c>
      <c r="Y127" s="421">
        <f t="shared" si="134"/>
        <v>-334381631.4861064</v>
      </c>
      <c r="Z127" s="421">
        <f t="shared" si="134"/>
        <v>-185979686.43567866</v>
      </c>
      <c r="AA127" s="421">
        <f t="shared" si="134"/>
        <v>-223605708.5690127</v>
      </c>
      <c r="AB127" s="421">
        <f t="shared" si="134"/>
        <v>-191531687.08525115</v>
      </c>
      <c r="AC127" s="421">
        <f t="shared" si="134"/>
        <v>172533246.39495891</v>
      </c>
      <c r="AD127" s="421">
        <f t="shared" si="134"/>
        <v>117819149.47188228</v>
      </c>
      <c r="AE127" s="421">
        <f t="shared" si="134"/>
        <v>131205410.54453319</v>
      </c>
      <c r="AF127" s="422"/>
      <c r="AG127" s="422">
        <v>794934853053127</v>
      </c>
      <c r="AH127" s="422">
        <v>861554327566976</v>
      </c>
      <c r="AI127" s="422">
        <v>996507811876672</v>
      </c>
      <c r="AJ127" s="422">
        <v>114587561026983</v>
      </c>
      <c r="AK127" s="422">
        <v>132603992978812</v>
      </c>
      <c r="AL127" s="317"/>
      <c r="AM127" s="196"/>
    </row>
    <row r="128" spans="1:39">
      <c r="B128" s="423" t="str">
        <f>IF(B1="EN", "Depreciation &amp; amortization", "Khấu hao")</f>
        <v>Khấu hao</v>
      </c>
      <c r="C128" s="424"/>
      <c r="D128" s="424"/>
      <c r="E128" s="424"/>
      <c r="F128" s="424"/>
      <c r="G128" s="425"/>
      <c r="H128" s="425"/>
      <c r="I128" s="425"/>
      <c r="J128" s="425"/>
      <c r="K128" s="425"/>
      <c r="L128" s="425"/>
      <c r="M128" s="425"/>
      <c r="N128" s="334">
        <f>N53</f>
        <v>3749488106</v>
      </c>
      <c r="O128" s="334">
        <f>O53</f>
        <v>6565282547</v>
      </c>
      <c r="P128" s="334">
        <f>P53</f>
        <v>7741389506.666667</v>
      </c>
      <c r="Q128" s="336">
        <f>Q53</f>
        <v>7235848586.666667</v>
      </c>
      <c r="R128" s="334">
        <f>SUM(T128:AE128)</f>
        <v>4587983912.6975937</v>
      </c>
      <c r="S128" s="334"/>
      <c r="T128" s="334">
        <f t="shared" ref="T128:AE128" si="135">T53</f>
        <v>380128078.28035504</v>
      </c>
      <c r="U128" s="334">
        <f t="shared" si="135"/>
        <v>380128078.28035504</v>
      </c>
      <c r="V128" s="334">
        <f t="shared" si="135"/>
        <v>377564442.28035504</v>
      </c>
      <c r="W128" s="334">
        <f t="shared" si="135"/>
        <v>377564442.28035504</v>
      </c>
      <c r="X128" s="334">
        <f t="shared" si="135"/>
        <v>377564442.28035504</v>
      </c>
      <c r="Y128" s="334">
        <f t="shared" si="135"/>
        <v>377564442.28035504</v>
      </c>
      <c r="Z128" s="334">
        <f t="shared" si="135"/>
        <v>377564442.28035504</v>
      </c>
      <c r="AA128" s="334">
        <f t="shared" si="135"/>
        <v>377564442.28035504</v>
      </c>
      <c r="AB128" s="334">
        <f t="shared" si="135"/>
        <v>377564442.28035504</v>
      </c>
      <c r="AC128" s="334">
        <f t="shared" si="135"/>
        <v>394925553.39146614</v>
      </c>
      <c r="AD128" s="334">
        <f t="shared" si="135"/>
        <v>394925553.39146614</v>
      </c>
      <c r="AE128" s="334">
        <f t="shared" si="135"/>
        <v>394925553.39146614</v>
      </c>
      <c r="AF128" s="419"/>
      <c r="AG128" s="419">
        <v>19564127858844</v>
      </c>
      <c r="AH128" s="419">
        <v>219425527552773</v>
      </c>
      <c r="AI128" s="419">
        <v>262024573282806</v>
      </c>
      <c r="AJ128" s="419">
        <v>318488053715806</v>
      </c>
      <c r="AK128" s="419">
        <v>365617025330839</v>
      </c>
      <c r="AL128" s="330"/>
      <c r="AM128" s="196"/>
    </row>
    <row r="129" spans="2:39" s="214" customFormat="1">
      <c r="B129" s="179" t="str">
        <f>IF(B1="EN", "Net working capital", "Vốn lưu động thuần")</f>
        <v>Vốn lưu động thuần</v>
      </c>
      <c r="C129" s="128"/>
      <c r="D129" s="128"/>
      <c r="E129" s="128"/>
      <c r="F129" s="128"/>
      <c r="G129" s="420"/>
      <c r="H129" s="420"/>
      <c r="I129" s="420"/>
      <c r="J129" s="420"/>
      <c r="K129" s="420"/>
      <c r="L129" s="420"/>
      <c r="M129" s="420"/>
      <c r="N129" s="421">
        <f>SUM(N130:N135)</f>
        <v>8368897360</v>
      </c>
      <c r="O129" s="421">
        <f>SUM(O130:O135)</f>
        <v>7196007762</v>
      </c>
      <c r="P129" s="421">
        <f>SUM(P130:P135)</f>
        <v>-6719986717.4248848</v>
      </c>
      <c r="Q129" s="323">
        <f>SUM(Q130:Q135)</f>
        <v>6352496465</v>
      </c>
      <c r="R129" s="421">
        <f t="shared" ref="R129:R132" si="136">SUM(T129:AE129)</f>
        <v>-1673393478.0851192</v>
      </c>
      <c r="S129" s="421"/>
      <c r="T129" s="421">
        <f>SUM(T130:T135)</f>
        <v>517699461.36759758</v>
      </c>
      <c r="U129" s="421">
        <f t="shared" ref="U129:AE129" si="137">SUM(U130:U135)</f>
        <v>-1769451313.4379535</v>
      </c>
      <c r="V129" s="421">
        <f t="shared" si="137"/>
        <v>-178285720.92721939</v>
      </c>
      <c r="W129" s="421">
        <f t="shared" si="137"/>
        <v>-167297633.03221989</v>
      </c>
      <c r="X129" s="421">
        <f t="shared" si="137"/>
        <v>2789374.9977998734</v>
      </c>
      <c r="Y129" s="421">
        <f t="shared" si="137"/>
        <v>5241797.4354057312</v>
      </c>
      <c r="Z129" s="421">
        <f t="shared" si="137"/>
        <v>3575990.8199424744</v>
      </c>
      <c r="AA129" s="421">
        <f t="shared" si="137"/>
        <v>966802.97777843475</v>
      </c>
      <c r="AB129" s="421">
        <f t="shared" si="137"/>
        <v>-1432866.4245014191</v>
      </c>
      <c r="AC129" s="421">
        <f t="shared" si="137"/>
        <v>-91414601.575140476</v>
      </c>
      <c r="AD129" s="421">
        <f t="shared" si="137"/>
        <v>5222481.0564117432</v>
      </c>
      <c r="AE129" s="421">
        <f t="shared" si="137"/>
        <v>-1007251.3430204391</v>
      </c>
      <c r="AF129" s="422"/>
      <c r="AG129" s="422">
        <v>-165411782836489</v>
      </c>
      <c r="AH129" s="422">
        <v>-157340590973895</v>
      </c>
      <c r="AI129" s="422">
        <v>-198111359122812</v>
      </c>
      <c r="AJ129" s="422">
        <v>-217362876629015</v>
      </c>
      <c r="AK129" s="422">
        <v>-223911055205048</v>
      </c>
      <c r="AL129" s="317"/>
      <c r="AM129" s="489"/>
    </row>
    <row r="130" spans="2:39">
      <c r="B130" s="426"/>
      <c r="C130" s="355" t="str">
        <f>IF(B1="EN", "Increase (Decrease) in trade receivables", "Tăng (Giảm) các khoản phải thu")</f>
        <v>Tăng (Giảm) các khoản phải thu</v>
      </c>
      <c r="D130" s="355"/>
      <c r="E130" s="355"/>
      <c r="F130" s="355"/>
      <c r="G130" s="427"/>
      <c r="H130" s="427"/>
      <c r="I130" s="427"/>
      <c r="J130" s="427"/>
      <c r="K130" s="427"/>
      <c r="L130" s="427"/>
      <c r="M130" s="427"/>
      <c r="N130" s="429">
        <f>M78-N78</f>
        <v>-5638216547</v>
      </c>
      <c r="O130" s="429">
        <f>N78-O78</f>
        <v>3406590279</v>
      </c>
      <c r="P130" s="429">
        <f>Q78-P78</f>
        <v>228366335.36986303</v>
      </c>
      <c r="Q130" s="428">
        <f>O78-Q78</f>
        <v>1113884522</v>
      </c>
      <c r="R130" s="429">
        <f>SUM(T130:AE130)</f>
        <v>-952532574.33333302</v>
      </c>
      <c r="S130" s="429"/>
      <c r="T130" s="429">
        <f>-(T78-Q78)</f>
        <v>17330134</v>
      </c>
      <c r="U130" s="429">
        <f t="shared" ref="U130:AE130" si="138">-(U78-T78)</f>
        <v>426489583.33333349</v>
      </c>
      <c r="V130" s="429">
        <f t="shared" si="138"/>
        <v>-639734375</v>
      </c>
      <c r="W130" s="429">
        <f t="shared" si="138"/>
        <v>-529937500</v>
      </c>
      <c r="X130" s="429">
        <f t="shared" si="138"/>
        <v>0</v>
      </c>
      <c r="Y130" s="429">
        <f t="shared" si="138"/>
        <v>0</v>
      </c>
      <c r="Z130" s="429">
        <f t="shared" si="138"/>
        <v>0</v>
      </c>
      <c r="AA130" s="429">
        <f t="shared" si="138"/>
        <v>0</v>
      </c>
      <c r="AB130" s="429">
        <f t="shared" si="138"/>
        <v>0</v>
      </c>
      <c r="AC130" s="429">
        <f t="shared" si="138"/>
        <v>-226680416.66666651</v>
      </c>
      <c r="AD130" s="429">
        <f t="shared" si="138"/>
        <v>0</v>
      </c>
      <c r="AE130" s="429">
        <f t="shared" si="138"/>
        <v>0</v>
      </c>
      <c r="AF130" s="430"/>
      <c r="AG130" s="430">
        <v>-896468088703752</v>
      </c>
      <c r="AH130" s="430">
        <v>-910989179241384</v>
      </c>
      <c r="AI130" s="430">
        <v>-114491433575015</v>
      </c>
      <c r="AJ130" s="430">
        <v>-12540541238946</v>
      </c>
      <c r="AK130" s="430">
        <v>-131073230144106</v>
      </c>
      <c r="AL130" s="367"/>
      <c r="AM130" s="196"/>
    </row>
    <row r="131" spans="2:39">
      <c r="B131" s="426"/>
      <c r="C131" s="355" t="str">
        <f>IF(B1="EN", "Increase (Decrease) in inventory", "Tăng (Giảm) hàng tồn kho")</f>
        <v>Tăng (Giảm) hàng tồn kho</v>
      </c>
      <c r="D131" s="355"/>
      <c r="E131" s="355"/>
      <c r="F131" s="355"/>
      <c r="G131" s="427"/>
      <c r="H131" s="427"/>
      <c r="I131" s="427"/>
      <c r="J131" s="427"/>
      <c r="K131" s="427"/>
      <c r="L131" s="427"/>
      <c r="M131" s="427"/>
      <c r="N131" s="429">
        <f>M82-N82</f>
        <v>-10532977551</v>
      </c>
      <c r="O131" s="429">
        <f>N82-O82</f>
        <v>16632973749</v>
      </c>
      <c r="P131" s="429">
        <f>Q82-P82</f>
        <v>-2781369159.7263317</v>
      </c>
      <c r="Q131" s="428">
        <f t="shared" ref="Q131" si="139">O82-Q82</f>
        <v>-1984145204</v>
      </c>
      <c r="R131" s="429">
        <f t="shared" si="136"/>
        <v>51265066.978720665</v>
      </c>
      <c r="S131" s="429"/>
      <c r="T131" s="429">
        <f>-(T81-Q81)</f>
        <v>2371584027.8871441</v>
      </c>
      <c r="U131" s="429">
        <f t="shared" ref="U131:AE131" si="140">-(U81-T81)</f>
        <v>1091168368.8732414</v>
      </c>
      <c r="V131" s="429">
        <f t="shared" si="140"/>
        <v>-1615070289.254734</v>
      </c>
      <c r="W131" s="429">
        <f t="shared" si="140"/>
        <v>-1269239534.3872318</v>
      </c>
      <c r="X131" s="429">
        <f t="shared" si="140"/>
        <v>-9762812.4922971725</v>
      </c>
      <c r="Y131" s="429">
        <f t="shared" si="140"/>
        <v>-18346291.023921967</v>
      </c>
      <c r="Z131" s="429">
        <f t="shared" si="140"/>
        <v>-12515967.869800568</v>
      </c>
      <c r="AA131" s="429">
        <f t="shared" si="140"/>
        <v>-3383810.4222230911</v>
      </c>
      <c r="AB131" s="429">
        <f t="shared" si="140"/>
        <v>5015032.4857559204</v>
      </c>
      <c r="AC131" s="429">
        <f t="shared" si="140"/>
        <v>-473430352.82034683</v>
      </c>
      <c r="AD131" s="429">
        <f t="shared" si="140"/>
        <v>-18278683.697435379</v>
      </c>
      <c r="AE131" s="429">
        <f t="shared" si="140"/>
        <v>3525379.7005701065</v>
      </c>
      <c r="AF131" s="430"/>
      <c r="AG131" s="430">
        <v>-116263387160277</v>
      </c>
      <c r="AH131" s="430">
        <v>-10164962616331</v>
      </c>
      <c r="AI131" s="430">
        <v>-128317021300967</v>
      </c>
      <c r="AJ131" s="430">
        <v>-141111198321568</v>
      </c>
      <c r="AK131" s="430">
        <v>-142462135643389</v>
      </c>
      <c r="AL131" s="367"/>
      <c r="AM131" s="196"/>
    </row>
    <row r="132" spans="2:39">
      <c r="B132" s="426"/>
      <c r="C132" s="355" t="str">
        <f>IF(B1="EN", "Increase (Decrease) in payables", "Tăng (Giảm) các khoản phải trả")</f>
        <v>Tăng (Giảm) các khoản phải trả</v>
      </c>
      <c r="D132" s="355"/>
      <c r="E132" s="355"/>
      <c r="F132" s="355"/>
      <c r="G132" s="427"/>
      <c r="H132" s="427"/>
      <c r="I132" s="427"/>
      <c r="J132" s="427"/>
      <c r="K132" s="427"/>
      <c r="L132" s="427"/>
      <c r="M132" s="427"/>
      <c r="N132" s="429">
        <f>N110-M110</f>
        <v>6138274805</v>
      </c>
      <c r="O132" s="429">
        <f>O110-N110</f>
        <v>-13479228777</v>
      </c>
      <c r="P132" s="429">
        <f>P110-Q110</f>
        <v>-5758930197.0684166</v>
      </c>
      <c r="Q132" s="428">
        <f>Q110-O110</f>
        <v>-931534972</v>
      </c>
      <c r="R132" s="429">
        <f t="shared" si="136"/>
        <v>1611957948.5987873</v>
      </c>
      <c r="S132" s="429"/>
      <c r="T132" s="429">
        <f>T110-Q110</f>
        <v>-1371309286.8548994</v>
      </c>
      <c r="U132" s="429">
        <f t="shared" ref="U132:AE132" si="141">U110-T110</f>
        <v>-1402930759.9798813</v>
      </c>
      <c r="V132" s="429">
        <f t="shared" si="141"/>
        <v>2076518943.3275146</v>
      </c>
      <c r="W132" s="429">
        <f t="shared" si="141"/>
        <v>1631879401.3550119</v>
      </c>
      <c r="X132" s="429">
        <f t="shared" si="141"/>
        <v>12552187.490097046</v>
      </c>
      <c r="Y132" s="429">
        <f t="shared" si="141"/>
        <v>23588088.459327698</v>
      </c>
      <c r="Z132" s="429">
        <f t="shared" si="141"/>
        <v>16091958.689743042</v>
      </c>
      <c r="AA132" s="429">
        <f t="shared" si="141"/>
        <v>4350613.4000015259</v>
      </c>
      <c r="AB132" s="429">
        <f t="shared" si="141"/>
        <v>-6447898.9102573395</v>
      </c>
      <c r="AC132" s="429">
        <f t="shared" si="141"/>
        <v>608696167.91187286</v>
      </c>
      <c r="AD132" s="429">
        <f t="shared" si="141"/>
        <v>23501164.753847122</v>
      </c>
      <c r="AE132" s="429">
        <f t="shared" si="141"/>
        <v>-4532631.0435905457</v>
      </c>
      <c r="AF132" s="430"/>
      <c r="AG132" s="430">
        <v>45213539451219</v>
      </c>
      <c r="AH132" s="430">
        <v>395304101746205</v>
      </c>
      <c r="AI132" s="430">
        <v>49901063839265</v>
      </c>
      <c r="AJ132" s="430">
        <v>54876577125054</v>
      </c>
      <c r="AK132" s="430">
        <v>554019416390957</v>
      </c>
      <c r="AL132" s="367"/>
      <c r="AM132" s="196"/>
    </row>
    <row r="133" spans="2:39">
      <c r="B133" s="426"/>
      <c r="C133" s="355" t="str">
        <f>IF(B1="EN", "Increase (Decrease) in prepayments", "Tăng (Giảm) trả trước người bán")</f>
        <v>Tăng (Giảm) trả trước người bán</v>
      </c>
      <c r="D133" s="355"/>
      <c r="E133" s="355"/>
      <c r="F133" s="355"/>
      <c r="G133" s="427"/>
      <c r="H133" s="427"/>
      <c r="I133" s="427"/>
      <c r="J133" s="427"/>
      <c r="K133" s="427"/>
      <c r="L133" s="427"/>
      <c r="M133" s="427"/>
      <c r="N133" s="429">
        <f>M79-N79</f>
        <v>13004190004</v>
      </c>
      <c r="O133" s="429">
        <f>N79-O79</f>
        <v>17295200</v>
      </c>
      <c r="P133" s="429">
        <f>Q79-P79</f>
        <v>1384273092</v>
      </c>
      <c r="Q133" s="428">
        <f>O79-Q79</f>
        <v>-1250738292</v>
      </c>
      <c r="R133" s="429">
        <f>SUM(T133:AE133)</f>
        <v>1384273092</v>
      </c>
      <c r="S133" s="429"/>
      <c r="T133" s="429">
        <f>-(T79-Q79)</f>
        <v>1384273092</v>
      </c>
      <c r="U133" s="428">
        <f>T79-U79</f>
        <v>0</v>
      </c>
      <c r="V133" s="428">
        <f t="shared" ref="V133:AE133" si="142">U79-V79</f>
        <v>0</v>
      </c>
      <c r="W133" s="428">
        <f t="shared" si="142"/>
        <v>0</v>
      </c>
      <c r="X133" s="428">
        <f t="shared" si="142"/>
        <v>0</v>
      </c>
      <c r="Y133" s="428">
        <f t="shared" si="142"/>
        <v>0</v>
      </c>
      <c r="Z133" s="428">
        <f t="shared" si="142"/>
        <v>0</v>
      </c>
      <c r="AA133" s="428">
        <f t="shared" si="142"/>
        <v>0</v>
      </c>
      <c r="AB133" s="428">
        <f t="shared" si="142"/>
        <v>0</v>
      </c>
      <c r="AC133" s="428">
        <f t="shared" si="142"/>
        <v>0</v>
      </c>
      <c r="AD133" s="428">
        <f t="shared" si="142"/>
        <v>0</v>
      </c>
      <c r="AE133" s="428">
        <f t="shared" si="142"/>
        <v>0</v>
      </c>
      <c r="AF133" s="430"/>
      <c r="AG133" s="430">
        <v>-471512625705569</v>
      </c>
      <c r="AH133" s="430">
        <v>-412245706106757</v>
      </c>
      <c r="AI133" s="430">
        <v>-520396808609478</v>
      </c>
      <c r="AJ133" s="430">
        <v>-572284304304135</v>
      </c>
      <c r="AK133" s="430">
        <v>-577763105664856</v>
      </c>
      <c r="AL133" s="367"/>
      <c r="AM133" s="196"/>
    </row>
    <row r="134" spans="2:39">
      <c r="B134" s="426"/>
      <c r="C134" s="355" t="str">
        <f>IF(B1="EN", "Other receivables from operating", "Các khoản phải thu khác từ hoạt động kinh doanh")</f>
        <v>Các khoản phải thu khác từ hoạt động kinh doanh</v>
      </c>
      <c r="D134" s="355"/>
      <c r="E134" s="355"/>
      <c r="F134" s="355"/>
      <c r="G134" s="427"/>
      <c r="H134" s="427"/>
      <c r="I134" s="427"/>
      <c r="J134" s="427"/>
      <c r="K134" s="427"/>
      <c r="L134" s="427"/>
      <c r="M134" s="427"/>
      <c r="N134" s="429">
        <f>M80-N80+M83-N83-74937045</f>
        <v>5066528879</v>
      </c>
      <c r="O134" s="429">
        <f>N80-O80+N83-O83</f>
        <v>400183507</v>
      </c>
      <c r="P134" s="429">
        <f>Q80-P80+Q83-P83</f>
        <v>207673212</v>
      </c>
      <c r="Q134" s="428">
        <f>O80-Q80+O83-Q83</f>
        <v>-807500931</v>
      </c>
      <c r="R134" s="429">
        <f>SUM(T134:AE134)</f>
        <v>-3768357011.3292942</v>
      </c>
      <c r="S134" s="429"/>
      <c r="T134" s="428">
        <v>-1884178505.6646471</v>
      </c>
      <c r="U134" s="428">
        <v>-1884178505.6646471</v>
      </c>
      <c r="V134" s="428">
        <f t="shared" ref="V134:AE134" si="143">U80-V80+U83-V83</f>
        <v>0</v>
      </c>
      <c r="W134" s="428">
        <f t="shared" si="143"/>
        <v>0</v>
      </c>
      <c r="X134" s="428">
        <f t="shared" si="143"/>
        <v>0</v>
      </c>
      <c r="Y134" s="428">
        <f t="shared" si="143"/>
        <v>0</v>
      </c>
      <c r="Z134" s="428">
        <f t="shared" si="143"/>
        <v>0</v>
      </c>
      <c r="AA134" s="428">
        <f t="shared" si="143"/>
        <v>0</v>
      </c>
      <c r="AB134" s="428"/>
      <c r="AC134" s="428">
        <f t="shared" si="143"/>
        <v>0</v>
      </c>
      <c r="AD134" s="428">
        <f t="shared" si="143"/>
        <v>0</v>
      </c>
      <c r="AE134" s="428">
        <f t="shared" si="143"/>
        <v>0</v>
      </c>
      <c r="AF134" s="430"/>
      <c r="AG134" s="430">
        <v>0</v>
      </c>
      <c r="AH134" s="430">
        <v>0</v>
      </c>
      <c r="AI134" s="430">
        <v>0</v>
      </c>
      <c r="AJ134" s="430">
        <v>0</v>
      </c>
      <c r="AK134" s="430">
        <v>0</v>
      </c>
      <c r="AL134" s="367"/>
    </row>
    <row r="135" spans="2:39">
      <c r="B135" s="431"/>
      <c r="C135" s="432" t="str">
        <f>IF(B1="EN", "Other payables for operating", "Các khoản phải trả khác từ hoạt động kinh doanh")</f>
        <v>Các khoản phải trả khác từ hoạt động kinh doanh</v>
      </c>
      <c r="D135" s="432"/>
      <c r="E135" s="432"/>
      <c r="F135" s="432"/>
      <c r="G135" s="433"/>
      <c r="H135" s="433"/>
      <c r="I135" s="433"/>
      <c r="J135" s="433"/>
      <c r="K135" s="433"/>
      <c r="L135" s="433"/>
      <c r="M135" s="433"/>
      <c r="N135" s="435">
        <f>N111-M111+N115-M115</f>
        <v>331097770</v>
      </c>
      <c r="O135" s="435">
        <f>O111-N111+O115-N115+20620991</f>
        <v>218193804</v>
      </c>
      <c r="P135" s="435">
        <f>P111-Q111+P115-Q115</f>
        <v>0</v>
      </c>
      <c r="Q135" s="434">
        <f>Q111-O111+Q115-O115-2801479789</f>
        <v>10212531342</v>
      </c>
      <c r="R135" s="435"/>
      <c r="S135" s="429"/>
      <c r="T135" s="435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  <c r="AE135" s="435"/>
      <c r="AF135" s="430"/>
      <c r="AG135" s="436">
        <v>0</v>
      </c>
      <c r="AH135" s="436">
        <v>0</v>
      </c>
      <c r="AI135" s="436">
        <v>0</v>
      </c>
      <c r="AJ135" s="436">
        <v>0</v>
      </c>
      <c r="AK135" s="436">
        <v>0</v>
      </c>
      <c r="AL135" s="367"/>
    </row>
    <row r="136" spans="2:39" s="141" customFormat="1" ht="17" thickBot="1">
      <c r="B136" s="437" t="str">
        <f>IF(B1="EN", "Net cash flow from operating activities", "Dòng tiền thuần từ hoạt động kinh doanh")</f>
        <v>Dòng tiền thuần từ hoạt động kinh doanh</v>
      </c>
      <c r="C136" s="438"/>
      <c r="D136" s="438"/>
      <c r="E136" s="438"/>
      <c r="F136" s="438"/>
      <c r="G136" s="439"/>
      <c r="H136" s="439"/>
      <c r="I136" s="439"/>
      <c r="J136" s="439"/>
      <c r="K136" s="439"/>
      <c r="L136" s="439"/>
      <c r="M136" s="439"/>
      <c r="N136" s="455">
        <f>N127+N128+N129</f>
        <v>-10513552904</v>
      </c>
      <c r="O136" s="455">
        <f>O127+O128+O129</f>
        <v>1205369179.8681641</v>
      </c>
      <c r="P136" s="455">
        <f>P127+P128+P129</f>
        <v>-5867244435.597106</v>
      </c>
      <c r="Q136" s="408">
        <f>Q127+Q128+Q129</f>
        <v>6934926085.756938</v>
      </c>
      <c r="R136" s="455">
        <f t="shared" ref="R136:AE136" si="144">R127+R128+R129</f>
        <v>-157933336.09848881</v>
      </c>
      <c r="S136" s="441"/>
      <c r="T136" s="440">
        <f>T127+T128+T129</f>
        <v>119261894.43751878</v>
      </c>
      <c r="U136" s="440">
        <f t="shared" si="144"/>
        <v>-2322431285.7348962</v>
      </c>
      <c r="V136" s="440">
        <f t="shared" si="144"/>
        <v>-385547550.43668693</v>
      </c>
      <c r="W136" s="440">
        <f t="shared" si="144"/>
        <v>80430914.755515754</v>
      </c>
      <c r="X136" s="440">
        <f t="shared" si="144"/>
        <v>248106815.8020398</v>
      </c>
      <c r="Y136" s="440">
        <f t="shared" si="144"/>
        <v>48424608.229654372</v>
      </c>
      <c r="Z136" s="440">
        <f t="shared" si="144"/>
        <v>195160746.66461885</v>
      </c>
      <c r="AA136" s="440">
        <f t="shared" si="144"/>
        <v>154925536.68912077</v>
      </c>
      <c r="AB136" s="440">
        <f t="shared" si="144"/>
        <v>184599888.77060246</v>
      </c>
      <c r="AC136" s="440">
        <f t="shared" si="144"/>
        <v>476044198.21128464</v>
      </c>
      <c r="AD136" s="440">
        <f t="shared" si="144"/>
        <v>517967183.91976017</v>
      </c>
      <c r="AE136" s="440">
        <f t="shared" si="144"/>
        <v>525123712.59297889</v>
      </c>
      <c r="AF136" s="442"/>
      <c r="AG136" s="443">
        <v>825164348805078</v>
      </c>
      <c r="AH136" s="443">
        <v>923639264145854</v>
      </c>
      <c r="AI136" s="443">
        <v>106042102603667</v>
      </c>
      <c r="AJ136" s="443">
        <v>124700078735662</v>
      </c>
      <c r="AK136" s="443">
        <v>146774589991391</v>
      </c>
      <c r="AL136" s="444"/>
    </row>
    <row r="137" spans="2:39" ht="9.65" customHeight="1" thickTop="1">
      <c r="B137" s="423"/>
      <c r="C137" s="424"/>
      <c r="D137" s="424"/>
      <c r="E137" s="424"/>
      <c r="F137" s="424"/>
      <c r="G137" s="445"/>
      <c r="H137" s="445"/>
      <c r="I137" s="445"/>
      <c r="J137" s="445"/>
      <c r="K137" s="445"/>
      <c r="L137" s="445"/>
      <c r="M137" s="445"/>
      <c r="N137" s="447"/>
      <c r="O137" s="447"/>
      <c r="P137" s="447"/>
      <c r="Q137" s="446"/>
      <c r="R137" s="447"/>
      <c r="S137" s="334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19"/>
      <c r="AG137" s="448"/>
      <c r="AH137" s="448"/>
      <c r="AI137" s="448"/>
      <c r="AJ137" s="448"/>
      <c r="AK137" s="448"/>
      <c r="AL137" s="330"/>
    </row>
    <row r="138" spans="2:39">
      <c r="B138" s="179" t="str">
        <f>IF(B1="EN", "CASH FLOW FROM INVESTING ACTIVITIES", "DÒNG TIỀN TỪ HOẠT ĐỘNG ĐẦU TƯ")</f>
        <v>DÒNG TIỀN TỪ HOẠT ĐỘNG ĐẦU TƯ</v>
      </c>
      <c r="C138" s="128"/>
      <c r="D138" s="128"/>
      <c r="E138" s="128"/>
      <c r="F138" s="128"/>
      <c r="G138" s="445"/>
      <c r="H138" s="445"/>
      <c r="I138" s="445"/>
      <c r="J138" s="445"/>
      <c r="K138" s="445"/>
      <c r="L138" s="445"/>
      <c r="M138" s="445"/>
      <c r="N138" s="447"/>
      <c r="O138" s="447"/>
      <c r="P138" s="447"/>
      <c r="Q138" s="446"/>
      <c r="R138" s="447"/>
      <c r="S138" s="334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19"/>
      <c r="AG138" s="448"/>
      <c r="AH138" s="448"/>
      <c r="AI138" s="448"/>
      <c r="AJ138" s="448"/>
      <c r="AK138" s="448"/>
      <c r="AL138" s="330"/>
    </row>
    <row r="139" spans="2:39">
      <c r="B139" s="423" t="str">
        <f>IF(B1="EN", "Purchases of fixed assets and constructions", "Tiền chi mua Tài sản cố định &amp; Xây dựng cơ bản")</f>
        <v>Tiền chi mua Tài sản cố định &amp; Xây dựng cơ bản</v>
      </c>
      <c r="C139" s="424"/>
      <c r="D139" s="424"/>
      <c r="E139" s="424"/>
      <c r="F139" s="424"/>
      <c r="G139" s="425"/>
      <c r="H139" s="425"/>
      <c r="I139" s="425"/>
      <c r="J139" s="425"/>
      <c r="K139" s="425"/>
      <c r="L139" s="425"/>
      <c r="M139" s="425"/>
      <c r="N139" s="334">
        <f>M88-N88+M91-N91+M94-N94+M96-N96</f>
        <v>-6833029290</v>
      </c>
      <c r="O139" s="334">
        <f t="shared" ref="O139" si="145">N88-O88+N91-O91+N94-O94+N96-O96</f>
        <v>-845797149</v>
      </c>
      <c r="P139" s="334">
        <f>Q88-P88+Q91-P91+Q94-P94+Q96-P96</f>
        <v>0</v>
      </c>
      <c r="Q139" s="336">
        <f>O88-Q88+O91-Q91+O94-Q94+O96-Q96</f>
        <v>-2849968756</v>
      </c>
      <c r="R139" s="334">
        <f>SUM(T139:AE139)</f>
        <v>-206605033.33333331</v>
      </c>
      <c r="S139" s="334"/>
      <c r="T139" s="334">
        <f>-[1]CapEx!O$75</f>
        <v>-12876808.333333334</v>
      </c>
      <c r="U139" s="334">
        <f>-[1]CapEx!P$75</f>
        <v>-12876808.333333334</v>
      </c>
      <c r="V139" s="334">
        <f>-[1]CapEx!Q$75</f>
        <v>-12876808.333333334</v>
      </c>
      <c r="W139" s="334">
        <f>-[1]CapEx!R$75</f>
        <v>-12876808.333333334</v>
      </c>
      <c r="X139" s="334">
        <f>-[1]CapEx!S$75</f>
        <v>-12876808.333333334</v>
      </c>
      <c r="Y139" s="334">
        <f>-[1]CapEx!T$75</f>
        <v>-12876808.333333334</v>
      </c>
      <c r="Z139" s="334">
        <f>-[1]CapEx!U$75</f>
        <v>-12876808.333333334</v>
      </c>
      <c r="AA139" s="334">
        <f>-[1]CapEx!V$75</f>
        <v>-12876808.333333334</v>
      </c>
      <c r="AB139" s="334">
        <f>-[1]CapEx!W$75</f>
        <v>-12876808.333333334</v>
      </c>
      <c r="AC139" s="334">
        <f>-[1]CapEx!X$75</f>
        <v>-30237919.444444448</v>
      </c>
      <c r="AD139" s="334">
        <f>-[1]CapEx!Y$75</f>
        <v>-30237919.444444448</v>
      </c>
      <c r="AE139" s="334">
        <f>-[1]CapEx!Z$75</f>
        <v>-30237919.444444448</v>
      </c>
      <c r="AF139" s="419"/>
      <c r="AG139" s="419">
        <v>-6210079022</v>
      </c>
      <c r="AH139" s="419">
        <v>-850971385867487</v>
      </c>
      <c r="AI139" s="419">
        <v>-7138284256</v>
      </c>
      <c r="AJ139" s="419">
        <v>-773832533567487</v>
      </c>
      <c r="AK139" s="419">
        <v>-4598099231</v>
      </c>
      <c r="AL139" s="330"/>
    </row>
    <row r="140" spans="2:39">
      <c r="B140" s="423" t="str">
        <f>IF(B1="EN", "Other short-term investments", "Đầu tư ngắn hạn khác")</f>
        <v>Đầu tư ngắn hạn khác</v>
      </c>
      <c r="C140" s="424"/>
      <c r="D140" s="424"/>
      <c r="E140" s="424"/>
      <c r="F140" s="424"/>
      <c r="G140" s="425"/>
      <c r="H140" s="425"/>
      <c r="I140" s="425"/>
      <c r="J140" s="425"/>
      <c r="K140" s="425"/>
      <c r="L140" s="425"/>
      <c r="M140" s="425"/>
      <c r="N140" s="334">
        <f>M76-N76</f>
        <v>0</v>
      </c>
      <c r="O140" s="334">
        <f t="shared" ref="O140" si="146">N76-O76</f>
        <v>0</v>
      </c>
      <c r="P140" s="334">
        <f>Q76-P76</f>
        <v>0</v>
      </c>
      <c r="Q140" s="336">
        <f>O76-Q76</f>
        <v>0</v>
      </c>
      <c r="R140" s="334">
        <f>SUM(T140:AE140)</f>
        <v>-202000000</v>
      </c>
      <c r="S140" s="334"/>
      <c r="T140" s="334">
        <f>Q76-T76</f>
        <v>0</v>
      </c>
      <c r="U140" s="334">
        <f>P76-U76</f>
        <v>0</v>
      </c>
      <c r="V140" s="334">
        <f t="shared" ref="V140:AE140" si="147">R76-V76</f>
        <v>0</v>
      </c>
      <c r="W140" s="334">
        <f>S76-W76</f>
        <v>-202000000</v>
      </c>
      <c r="X140" s="334">
        <f t="shared" si="147"/>
        <v>0</v>
      </c>
      <c r="Y140" s="334">
        <f t="shared" si="147"/>
        <v>0</v>
      </c>
      <c r="Z140" s="334">
        <f t="shared" si="147"/>
        <v>0</v>
      </c>
      <c r="AA140" s="334">
        <f t="shared" si="147"/>
        <v>0</v>
      </c>
      <c r="AB140" s="334">
        <f t="shared" si="147"/>
        <v>0</v>
      </c>
      <c r="AC140" s="334">
        <f t="shared" si="147"/>
        <v>0</v>
      </c>
      <c r="AD140" s="334">
        <f t="shared" si="147"/>
        <v>0</v>
      </c>
      <c r="AE140" s="334">
        <f t="shared" si="147"/>
        <v>0</v>
      </c>
      <c r="AF140" s="419"/>
      <c r="AG140" s="419">
        <v>100000</v>
      </c>
      <c r="AH140" s="419">
        <v>50000</v>
      </c>
      <c r="AI140" s="419">
        <v>50000</v>
      </c>
      <c r="AJ140" s="419">
        <v>0</v>
      </c>
      <c r="AK140" s="419">
        <v>-350000</v>
      </c>
      <c r="AL140" s="330"/>
    </row>
    <row r="141" spans="2:39">
      <c r="B141" s="449" t="str">
        <f>IF(B1="EN", "Other long-term investments", "Đầu tư dài hạn khác")</f>
        <v>Đầu tư dài hạn khác</v>
      </c>
      <c r="C141" s="450"/>
      <c r="D141" s="450"/>
      <c r="E141" s="450"/>
      <c r="F141" s="450"/>
      <c r="G141" s="451"/>
      <c r="H141" s="451"/>
      <c r="I141" s="451"/>
      <c r="J141" s="451"/>
      <c r="K141" s="451"/>
      <c r="L141" s="451"/>
      <c r="M141" s="451"/>
      <c r="N141" s="453">
        <f>M98-N98+M99-N99+M100-N100</f>
        <v>-337390344</v>
      </c>
      <c r="O141" s="453">
        <f>N98-O98+N99-O99+N100-O100</f>
        <v>170255849</v>
      </c>
      <c r="P141" s="453">
        <f>Q98-P98+Q99-P99+Q100-P100</f>
        <v>0</v>
      </c>
      <c r="Q141" s="452">
        <f>O98-Q98+O99-Q99+O100-Q100</f>
        <v>-1566001551</v>
      </c>
      <c r="R141" s="334">
        <f>SUM(T141:AE141)</f>
        <v>0</v>
      </c>
      <c r="S141" s="334"/>
      <c r="T141" s="453"/>
      <c r="U141" s="453"/>
      <c r="V141" s="453"/>
      <c r="W141" s="453"/>
      <c r="X141" s="453"/>
      <c r="Y141" s="453"/>
      <c r="Z141" s="453"/>
      <c r="AA141" s="453"/>
      <c r="AB141" s="453"/>
      <c r="AC141" s="453"/>
      <c r="AD141" s="453"/>
      <c r="AE141" s="453"/>
      <c r="AF141" s="419"/>
      <c r="AG141" s="454">
        <v>0</v>
      </c>
      <c r="AH141" s="454">
        <v>0</v>
      </c>
      <c r="AI141" s="454">
        <v>0</v>
      </c>
      <c r="AJ141" s="454">
        <v>0</v>
      </c>
      <c r="AK141" s="454">
        <v>0</v>
      </c>
      <c r="AL141" s="330"/>
    </row>
    <row r="142" spans="2:39" s="141" customFormat="1" ht="17" thickBot="1">
      <c r="B142" s="437" t="str">
        <f>IF(B1="EN", "Net cash flow from investing activities", "Dòng tiền thuần từ hoạt động đầu tư")</f>
        <v>Dòng tiền thuần từ hoạt động đầu tư</v>
      </c>
      <c r="C142" s="438"/>
      <c r="D142" s="438"/>
      <c r="E142" s="438"/>
      <c r="F142" s="438"/>
      <c r="G142" s="439"/>
      <c r="H142" s="439"/>
      <c r="I142" s="439"/>
      <c r="J142" s="439"/>
      <c r="K142" s="439"/>
      <c r="L142" s="439"/>
      <c r="M142" s="439"/>
      <c r="N142" s="455">
        <f>SUM(N139:N141)</f>
        <v>-7170419634</v>
      </c>
      <c r="O142" s="455">
        <f>SUM(O139:O141)</f>
        <v>-675541300</v>
      </c>
      <c r="P142" s="455">
        <f>SUM(P139:P141)</f>
        <v>0</v>
      </c>
      <c r="Q142" s="408">
        <f>SUM(Q139:Q141)</f>
        <v>-4415970307</v>
      </c>
      <c r="R142" s="455">
        <f t="shared" ref="R142:AE142" si="148">SUM(R139:R141)</f>
        <v>-408605033.33333331</v>
      </c>
      <c r="S142" s="441"/>
      <c r="T142" s="440">
        <f t="shared" si="148"/>
        <v>-12876808.333333334</v>
      </c>
      <c r="U142" s="440">
        <f t="shared" si="148"/>
        <v>-12876808.333333334</v>
      </c>
      <c r="V142" s="440">
        <f t="shared" si="148"/>
        <v>-12876808.333333334</v>
      </c>
      <c r="W142" s="440">
        <f t="shared" si="148"/>
        <v>-214876808.33333334</v>
      </c>
      <c r="X142" s="440">
        <f t="shared" si="148"/>
        <v>-12876808.333333334</v>
      </c>
      <c r="Y142" s="440">
        <f t="shared" si="148"/>
        <v>-12876808.333333334</v>
      </c>
      <c r="Z142" s="440">
        <f t="shared" si="148"/>
        <v>-12876808.333333334</v>
      </c>
      <c r="AA142" s="440">
        <f t="shared" si="148"/>
        <v>-12876808.333333334</v>
      </c>
      <c r="AB142" s="440">
        <f t="shared" si="148"/>
        <v>-12876808.333333334</v>
      </c>
      <c r="AC142" s="440">
        <f t="shared" si="148"/>
        <v>-30237919.444444448</v>
      </c>
      <c r="AD142" s="440">
        <f t="shared" si="148"/>
        <v>-30237919.444444448</v>
      </c>
      <c r="AE142" s="440">
        <f t="shared" si="148"/>
        <v>-30237919.444444448</v>
      </c>
      <c r="AF142" s="442"/>
      <c r="AG142" s="443">
        <v>-5210079022</v>
      </c>
      <c r="AH142" s="443">
        <v>-800971385867487</v>
      </c>
      <c r="AI142" s="443">
        <v>-6638284256</v>
      </c>
      <c r="AJ142" s="443">
        <v>-773832533567487</v>
      </c>
      <c r="AK142" s="443">
        <v>-8098099231</v>
      </c>
      <c r="AL142" s="444"/>
    </row>
    <row r="143" spans="2:39" ht="9" customHeight="1" thickTop="1">
      <c r="B143" s="179"/>
      <c r="C143" s="128"/>
      <c r="D143" s="128"/>
      <c r="E143" s="128"/>
      <c r="F143" s="128"/>
      <c r="G143" s="420"/>
      <c r="H143" s="420"/>
      <c r="I143" s="420"/>
      <c r="J143" s="420"/>
      <c r="K143" s="420"/>
      <c r="L143" s="420"/>
      <c r="M143" s="420"/>
      <c r="N143" s="421"/>
      <c r="O143" s="421"/>
      <c r="P143" s="421"/>
      <c r="Q143" s="323"/>
      <c r="R143" s="421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  <c r="AC143" s="421"/>
      <c r="AD143" s="421"/>
      <c r="AE143" s="421"/>
      <c r="AF143" s="422"/>
      <c r="AG143" s="422"/>
      <c r="AH143" s="422"/>
      <c r="AI143" s="422"/>
      <c r="AJ143" s="422"/>
      <c r="AK143" s="422"/>
      <c r="AL143" s="317"/>
    </row>
    <row r="144" spans="2:39">
      <c r="B144" s="179" t="str">
        <f>IF(B1="EN", "CASH FLOW FROM FINANCIAL ACTIVITIES", "DÒNG TIỀN TỪ HOẠT ĐỘNG TÀI CHÍNH")</f>
        <v>DÒNG TIỀN TỪ HOẠT ĐỘNG TÀI CHÍNH</v>
      </c>
      <c r="C144" s="424"/>
      <c r="D144" s="424"/>
      <c r="E144" s="424"/>
      <c r="F144" s="424"/>
      <c r="G144" s="425"/>
      <c r="H144" s="425"/>
      <c r="I144" s="425"/>
      <c r="J144" s="425"/>
      <c r="K144" s="425"/>
      <c r="L144" s="425"/>
      <c r="M144" s="425"/>
      <c r="N144" s="334"/>
      <c r="O144" s="334"/>
      <c r="P144" s="334"/>
      <c r="Q144" s="336"/>
      <c r="R144" s="334"/>
      <c r="S144" s="334"/>
      <c r="T144" s="334"/>
      <c r="U144" s="334"/>
      <c r="V144" s="334"/>
      <c r="W144" s="334"/>
      <c r="X144" s="334"/>
      <c r="Y144" s="334"/>
      <c r="Z144" s="334"/>
      <c r="AA144" s="334"/>
      <c r="AB144" s="334"/>
      <c r="AC144" s="334"/>
      <c r="AD144" s="334"/>
      <c r="AE144" s="334"/>
      <c r="AF144" s="419"/>
      <c r="AG144" s="419"/>
      <c r="AH144" s="419"/>
      <c r="AI144" s="419"/>
      <c r="AJ144" s="419"/>
      <c r="AK144" s="419"/>
      <c r="AL144" s="330"/>
    </row>
    <row r="145" spans="2:38">
      <c r="B145" s="423" t="s">
        <v>117</v>
      </c>
      <c r="C145" s="424"/>
      <c r="D145" s="424"/>
      <c r="E145" s="424"/>
      <c r="F145" s="424"/>
      <c r="G145" s="425"/>
      <c r="H145" s="425"/>
      <c r="I145" s="425"/>
      <c r="J145" s="425"/>
      <c r="K145" s="425"/>
      <c r="L145" s="425"/>
      <c r="M145" s="425"/>
      <c r="N145" s="334">
        <f>N117-M117</f>
        <v>0</v>
      </c>
      <c r="O145" s="334">
        <f t="shared" ref="O145" si="149">O117-N117</f>
        <v>0</v>
      </c>
      <c r="P145" s="334">
        <f>P117-Q117</f>
        <v>0</v>
      </c>
      <c r="Q145" s="336">
        <f>Q117-O117</f>
        <v>0</v>
      </c>
      <c r="R145" s="334">
        <f>R117-P117</f>
        <v>0</v>
      </c>
      <c r="S145" s="334"/>
      <c r="T145" s="334"/>
      <c r="U145" s="334"/>
      <c r="V145" s="334"/>
      <c r="W145" s="334"/>
      <c r="X145" s="334"/>
      <c r="Y145" s="334"/>
      <c r="Z145" s="334"/>
      <c r="AA145" s="334"/>
      <c r="AB145" s="334"/>
      <c r="AC145" s="334"/>
      <c r="AD145" s="334"/>
      <c r="AE145" s="334"/>
      <c r="AF145" s="419"/>
      <c r="AG145" s="419">
        <v>0</v>
      </c>
      <c r="AH145" s="419">
        <v>0</v>
      </c>
      <c r="AI145" s="419">
        <v>0</v>
      </c>
      <c r="AJ145" s="419">
        <v>0</v>
      </c>
      <c r="AK145" s="419">
        <v>0</v>
      </c>
      <c r="AL145" s="330"/>
    </row>
    <row r="146" spans="2:38">
      <c r="B146" s="423" t="str">
        <f>IF(B1="EN", "Change in invesment and development fund", "Tăng (Giảm) Quỹ đầu tư &amp; Phát triển")</f>
        <v>Tăng (Giảm) Quỹ đầu tư &amp; Phát triển</v>
      </c>
      <c r="C146" s="424"/>
      <c r="D146" s="424"/>
      <c r="E146" s="424"/>
      <c r="F146" s="424"/>
      <c r="G146" s="425"/>
      <c r="H146" s="425"/>
      <c r="I146" s="425"/>
      <c r="J146" s="425"/>
      <c r="K146" s="425"/>
      <c r="L146" s="425"/>
      <c r="M146" s="425"/>
      <c r="N146" s="334">
        <f>N118-M118</f>
        <v>0</v>
      </c>
      <c r="O146" s="334">
        <f t="shared" ref="O146" si="150">O118-L118</f>
        <v>0</v>
      </c>
      <c r="P146" s="334">
        <f>P118-M118</f>
        <v>0</v>
      </c>
      <c r="Q146" s="336">
        <f>Q118-N118</f>
        <v>0</v>
      </c>
      <c r="R146" s="334">
        <f>SUM(T146:AE146)</f>
        <v>0</v>
      </c>
      <c r="S146" s="334"/>
      <c r="T146" s="334"/>
      <c r="U146" s="334"/>
      <c r="V146" s="334"/>
      <c r="W146" s="334"/>
      <c r="X146" s="334"/>
      <c r="Y146" s="334"/>
      <c r="Z146" s="334"/>
      <c r="AA146" s="334"/>
      <c r="AB146" s="334"/>
      <c r="AC146" s="334"/>
      <c r="AD146" s="334"/>
      <c r="AE146" s="334"/>
      <c r="AF146" s="419"/>
      <c r="AG146" s="419">
        <v>0</v>
      </c>
      <c r="AH146" s="419">
        <v>0</v>
      </c>
      <c r="AI146" s="419">
        <v>0</v>
      </c>
      <c r="AJ146" s="419">
        <v>0</v>
      </c>
      <c r="AK146" s="419">
        <v>0</v>
      </c>
      <c r="AL146" s="330"/>
    </row>
    <row r="147" spans="2:38">
      <c r="B147" s="423" t="str">
        <f>IF(B1="EN", "Short-term and long-term borrowing", "Vay ngắn hạn &amp; dài hạn")</f>
        <v>Vay ngắn hạn &amp; dài hạn</v>
      </c>
      <c r="C147" s="424"/>
      <c r="D147" s="424"/>
      <c r="E147" s="424"/>
      <c r="F147" s="424"/>
      <c r="G147" s="425"/>
      <c r="H147" s="425"/>
      <c r="I147" s="425"/>
      <c r="J147" s="425"/>
      <c r="K147" s="425"/>
      <c r="L147" s="425"/>
      <c r="M147" s="425"/>
      <c r="N147" s="334">
        <f>[1]FIN!N6+[1]FIN!N7+[1]FIN!N15</f>
        <v>13770000000</v>
      </c>
      <c r="O147" s="334">
        <f>[1]FIN!O6+[1]FIN!O7+[1]FIN!O15</f>
        <v>0</v>
      </c>
      <c r="P147" s="334">
        <f>[1]FIN!Q6+[1]FIN!Q7+[1]FIN!Q15</f>
        <v>4055856697</v>
      </c>
      <c r="Q147" s="336">
        <f>[1]FIN!P6+[1]FIN!P7+[1]FIN!P15</f>
        <v>0</v>
      </c>
      <c r="R147" s="334"/>
      <c r="S147" s="334"/>
      <c r="T147" s="334">
        <f>[1]FIN!T6+[1]FIN!T7+[1]FIN!T15</f>
        <v>0</v>
      </c>
      <c r="U147" s="334">
        <f>[1]FIN!U6+[1]FIN!U7+[1]FIN!U15</f>
        <v>0</v>
      </c>
      <c r="V147" s="334">
        <f>[1]FIN!V6+[1]FIN!V7+[1]FIN!V15</f>
        <v>0</v>
      </c>
      <c r="W147" s="334">
        <f>[1]FIN!W6+[1]FIN!W7+[1]FIN!W15</f>
        <v>0</v>
      </c>
      <c r="X147" s="334">
        <f>[1]FIN!X6+[1]FIN!X7+[1]FIN!X15</f>
        <v>0</v>
      </c>
      <c r="Y147" s="334">
        <f>[1]FIN!Y6+[1]FIN!Y7+[1]FIN!Y15</f>
        <v>0</v>
      </c>
      <c r="Z147" s="334">
        <f>[1]FIN!Z6+[1]FIN!Z7+[1]FIN!Z15</f>
        <v>0</v>
      </c>
      <c r="AA147" s="334">
        <f>[1]FIN!AA6+[1]FIN!AA7+[1]FIN!AA15</f>
        <v>0</v>
      </c>
      <c r="AB147" s="334">
        <f>[1]FIN!AB6+[1]FIN!AB7+[1]FIN!AB15</f>
        <v>0</v>
      </c>
      <c r="AC147" s="334">
        <f>[1]FIN!AC6+[1]FIN!AC7+[1]FIN!AC15</f>
        <v>0</v>
      </c>
      <c r="AD147" s="334">
        <f>[1]FIN!AD6+[1]FIN!AD7+[1]FIN!AD15</f>
        <v>0</v>
      </c>
      <c r="AE147" s="334">
        <f>[1]FIN!AE6+[1]FIN!AE7+[1]FIN!AE15</f>
        <v>0</v>
      </c>
      <c r="AF147" s="419"/>
      <c r="AG147" s="419">
        <v>311212246685293</v>
      </c>
      <c r="AH147" s="419">
        <v>135260272881574</v>
      </c>
      <c r="AI147" s="419">
        <v>183911004499856</v>
      </c>
      <c r="AJ147" s="419">
        <v>18932738049369</v>
      </c>
      <c r="AK147" s="419">
        <v>16963017710236</v>
      </c>
      <c r="AL147" s="330"/>
    </row>
    <row r="148" spans="2:38">
      <c r="B148" s="423" t="str">
        <f>IF(B1="EN", "Dividend and interests paid to owner", "Cổ tức và lợi nhuận trả cho chủ sở hữu")</f>
        <v>Cổ tức và lợi nhuận trả cho chủ sở hữu</v>
      </c>
      <c r="C148" s="424"/>
      <c r="D148" s="424"/>
      <c r="E148" s="424"/>
      <c r="F148" s="424"/>
      <c r="G148" s="425"/>
      <c r="H148" s="425"/>
      <c r="I148" s="425"/>
      <c r="J148" s="425"/>
      <c r="K148" s="425"/>
      <c r="L148" s="425"/>
      <c r="M148" s="425"/>
      <c r="N148" s="334">
        <f>-[1]FIN!N26</f>
        <v>0</v>
      </c>
      <c r="O148" s="334">
        <f>-[1]FIN!O26</f>
        <v>0</v>
      </c>
      <c r="P148" s="334">
        <f>-[1]FIN!Q26</f>
        <v>0</v>
      </c>
      <c r="Q148" s="336">
        <f>-[1]FIN!P26</f>
        <v>0</v>
      </c>
      <c r="R148" s="334">
        <f>SUM(T148:AE148)</f>
        <v>0</v>
      </c>
      <c r="S148" s="334"/>
      <c r="T148" s="334">
        <f>-[1]FIN!T26</f>
        <v>0</v>
      </c>
      <c r="U148" s="334">
        <f>-[1]FIN!U26</f>
        <v>0</v>
      </c>
      <c r="V148" s="334">
        <f>-[1]FIN!V26</f>
        <v>0</v>
      </c>
      <c r="W148" s="334">
        <f>-[1]FIN!W26</f>
        <v>0</v>
      </c>
      <c r="X148" s="334">
        <f>-[1]FIN!X26</f>
        <v>0</v>
      </c>
      <c r="Y148" s="334">
        <f>-[1]FIN!Y26</f>
        <v>0</v>
      </c>
      <c r="Z148" s="334">
        <f>-[1]FIN!Z26</f>
        <v>0</v>
      </c>
      <c r="AA148" s="334">
        <f>-[1]FIN!AA26</f>
        <v>0</v>
      </c>
      <c r="AB148" s="334">
        <f>-[1]FIN!AB26</f>
        <v>0</v>
      </c>
      <c r="AC148" s="334">
        <f>-[1]FIN!AC26</f>
        <v>0</v>
      </c>
      <c r="AD148" s="334">
        <f>-[1]FIN!AD26</f>
        <v>0</v>
      </c>
      <c r="AE148" s="334">
        <f>-[1]FIN!AE26</f>
        <v>0</v>
      </c>
      <c r="AF148" s="419"/>
      <c r="AG148" s="419">
        <v>-390965513883741</v>
      </c>
      <c r="AH148" s="419">
        <v>-397467426526564</v>
      </c>
      <c r="AI148" s="419">
        <v>-603088029296883</v>
      </c>
      <c r="AJ148" s="419">
        <v>-69755546831367</v>
      </c>
      <c r="AK148" s="419">
        <v>-802112927188883</v>
      </c>
      <c r="AL148" s="330"/>
    </row>
    <row r="149" spans="2:38" s="141" customFormat="1" ht="17" thickBot="1">
      <c r="B149" s="437" t="str">
        <f>IF(B1="EN", "Net cash flow from financing activities", "Dòng tiền thuần từ hoạt động tài chính")</f>
        <v>Dòng tiền thuần từ hoạt động tài chính</v>
      </c>
      <c r="C149" s="438"/>
      <c r="D149" s="438"/>
      <c r="E149" s="438"/>
      <c r="F149" s="438"/>
      <c r="G149" s="439"/>
      <c r="H149" s="439"/>
      <c r="I149" s="439"/>
      <c r="J149" s="439"/>
      <c r="K149" s="439"/>
      <c r="L149" s="439"/>
      <c r="M149" s="439"/>
      <c r="N149" s="455">
        <f>SUM(N145:N148)</f>
        <v>13770000000</v>
      </c>
      <c r="O149" s="455">
        <f>SUM(O145:O148)</f>
        <v>0</v>
      </c>
      <c r="P149" s="455">
        <f>SUM(P145:P148)</f>
        <v>4055856697</v>
      </c>
      <c r="Q149" s="408">
        <f>SUM(Q145:Q148)</f>
        <v>0</v>
      </c>
      <c r="R149" s="455">
        <f t="shared" ref="R149:AE149" si="151">SUM(R145:R148)</f>
        <v>0</v>
      </c>
      <c r="S149" s="441"/>
      <c r="T149" s="440">
        <f t="shared" si="151"/>
        <v>0</v>
      </c>
      <c r="U149" s="440">
        <f t="shared" si="151"/>
        <v>0</v>
      </c>
      <c r="V149" s="440">
        <f t="shared" si="151"/>
        <v>0</v>
      </c>
      <c r="W149" s="440">
        <f t="shared" si="151"/>
        <v>0</v>
      </c>
      <c r="X149" s="440">
        <f t="shared" si="151"/>
        <v>0</v>
      </c>
      <c r="Y149" s="440">
        <f t="shared" si="151"/>
        <v>0</v>
      </c>
      <c r="Z149" s="440">
        <f t="shared" si="151"/>
        <v>0</v>
      </c>
      <c r="AA149" s="440">
        <f t="shared" si="151"/>
        <v>0</v>
      </c>
      <c r="AB149" s="440">
        <f t="shared" si="151"/>
        <v>0</v>
      </c>
      <c r="AC149" s="440">
        <f t="shared" si="151"/>
        <v>0</v>
      </c>
      <c r="AD149" s="440">
        <f t="shared" si="151"/>
        <v>0</v>
      </c>
      <c r="AE149" s="440">
        <f t="shared" si="151"/>
        <v>0</v>
      </c>
      <c r="AF149" s="442"/>
      <c r="AG149" s="443">
        <v>-797532671984486</v>
      </c>
      <c r="AH149" s="443">
        <v>-26220715364499</v>
      </c>
      <c r="AI149" s="443">
        <v>-419177024797028</v>
      </c>
      <c r="AJ149" s="443">
        <v>-508228087819981</v>
      </c>
      <c r="AK149" s="443">
        <v>-632482750086523</v>
      </c>
      <c r="AL149" s="444"/>
    </row>
    <row r="150" spans="2:38" ht="17" thickTop="1">
      <c r="B150" s="179"/>
      <c r="C150" s="128"/>
      <c r="D150" s="128"/>
      <c r="E150" s="128"/>
      <c r="F150" s="128"/>
      <c r="G150" s="425"/>
      <c r="H150" s="425"/>
      <c r="I150" s="425"/>
      <c r="J150" s="425"/>
      <c r="K150" s="425"/>
      <c r="L150" s="425"/>
      <c r="M150" s="425"/>
      <c r="N150" s="334"/>
      <c r="O150" s="334"/>
      <c r="P150" s="334"/>
      <c r="Q150" s="336"/>
      <c r="R150" s="334"/>
      <c r="S150" s="334"/>
      <c r="T150" s="334"/>
      <c r="U150" s="334"/>
      <c r="V150" s="334"/>
      <c r="W150" s="334"/>
      <c r="X150" s="334"/>
      <c r="Y150" s="334"/>
      <c r="Z150" s="334"/>
      <c r="AA150" s="334"/>
      <c r="AB150" s="334"/>
      <c r="AC150" s="334"/>
      <c r="AD150" s="334"/>
      <c r="AE150" s="334"/>
      <c r="AF150" s="419"/>
      <c r="AG150" s="419"/>
      <c r="AH150" s="419"/>
      <c r="AI150" s="419"/>
      <c r="AJ150" s="419"/>
      <c r="AK150" s="419"/>
      <c r="AL150" s="330"/>
    </row>
    <row r="151" spans="2:38" ht="17" thickBot="1">
      <c r="B151" s="456" t="str">
        <f>IF(B1="EN", "NET CASH FLOW OF THE YEAR", "DÒNG TIỀN THUẦN CẢ NĂM")</f>
        <v>DÒNG TIỀN THUẦN CẢ NĂM</v>
      </c>
      <c r="C151" s="457"/>
      <c r="D151" s="457"/>
      <c r="E151" s="457"/>
      <c r="F151" s="457"/>
      <c r="G151" s="439"/>
      <c r="H151" s="439"/>
      <c r="I151" s="439"/>
      <c r="J151" s="439"/>
      <c r="K151" s="439"/>
      <c r="L151" s="439"/>
      <c r="M151" s="439"/>
      <c r="N151" s="455">
        <f>N136+N142+N149</f>
        <v>-3913972538</v>
      </c>
      <c r="O151" s="455">
        <f>O136+O142+O149</f>
        <v>529827879.86816406</v>
      </c>
      <c r="P151" s="455">
        <f>P136+P142+P149</f>
        <v>-1811387738.597106</v>
      </c>
      <c r="Q151" s="408">
        <f>Q136+Q142+Q149</f>
        <v>2518955778.756938</v>
      </c>
      <c r="R151" s="455">
        <f>R136+R142+R149</f>
        <v>-566538369.43182206</v>
      </c>
      <c r="S151" s="421"/>
      <c r="T151" s="455">
        <f>T136+T142+T149</f>
        <v>106385086.10418545</v>
      </c>
      <c r="U151" s="455">
        <f t="shared" ref="U151:AE151" si="152">U136+U142+U149</f>
        <v>-2335308094.0682297</v>
      </c>
      <c r="V151" s="455">
        <f t="shared" si="152"/>
        <v>-398424358.77002025</v>
      </c>
      <c r="W151" s="455">
        <f t="shared" si="152"/>
        <v>-134445893.57781759</v>
      </c>
      <c r="X151" s="455">
        <f t="shared" si="152"/>
        <v>235230007.46870646</v>
      </c>
      <c r="Y151" s="455">
        <f t="shared" si="152"/>
        <v>35547799.896321036</v>
      </c>
      <c r="Z151" s="455">
        <f t="shared" si="152"/>
        <v>182283938.33128551</v>
      </c>
      <c r="AA151" s="455">
        <f t="shared" si="152"/>
        <v>142048728.35578743</v>
      </c>
      <c r="AB151" s="455">
        <f t="shared" si="152"/>
        <v>171723080.43726912</v>
      </c>
      <c r="AC151" s="455">
        <f t="shared" si="152"/>
        <v>445806278.76684022</v>
      </c>
      <c r="AD151" s="455">
        <f t="shared" si="152"/>
        <v>487729264.47531569</v>
      </c>
      <c r="AE151" s="455">
        <f t="shared" si="152"/>
        <v>494885793.14853442</v>
      </c>
      <c r="AF151" s="422"/>
      <c r="AG151" s="458">
        <v>224403179406629</v>
      </c>
      <c r="AH151" s="458">
        <v>-139539275366622</v>
      </c>
      <c r="AI151" s="458">
        <v>-225844243603607</v>
      </c>
      <c r="AJ151" s="458">
        <v>-350598340308437</v>
      </c>
      <c r="AK151" s="458">
        <v>25453226727389</v>
      </c>
      <c r="AL151" s="317"/>
    </row>
    <row r="152" spans="2:38" ht="17" thickTop="1">
      <c r="B152" s="423" t="str">
        <f>IF(B1="EN", "Cash at the beginning of the year", "Số dư tiền đầu năm")</f>
        <v>Số dư tiền đầu năm</v>
      </c>
      <c r="C152" s="424"/>
      <c r="D152" s="424"/>
      <c r="E152" s="424"/>
      <c r="F152" s="424"/>
      <c r="G152" s="425"/>
      <c r="H152" s="425"/>
      <c r="I152" s="425"/>
      <c r="J152" s="425"/>
      <c r="K152" s="425"/>
      <c r="L152" s="425"/>
      <c r="M152" s="425"/>
      <c r="N152" s="334">
        <v>5103591972</v>
      </c>
      <c r="O152" s="334">
        <f>N153</f>
        <v>1189619434</v>
      </c>
      <c r="P152" s="334">
        <f>Q153</f>
        <v>4238403092.625102</v>
      </c>
      <c r="Q152" s="336">
        <f>O153</f>
        <v>1719447313.8681641</v>
      </c>
      <c r="R152" s="334">
        <f>Q153</f>
        <v>4238403092.625102</v>
      </c>
      <c r="S152" s="334"/>
      <c r="T152" s="334">
        <f>Q153</f>
        <v>4238403092.625102</v>
      </c>
      <c r="U152" s="334">
        <f>T153</f>
        <v>4344788178.7292871</v>
      </c>
      <c r="V152" s="334">
        <f t="shared" ref="V152:AE152" si="153">U153</f>
        <v>2009480084.6610575</v>
      </c>
      <c r="W152" s="334">
        <f t="shared" si="153"/>
        <v>1611055725.8910372</v>
      </c>
      <c r="X152" s="334">
        <f t="shared" si="153"/>
        <v>1476609832.3132195</v>
      </c>
      <c r="Y152" s="334">
        <f t="shared" si="153"/>
        <v>1711839839.7819259</v>
      </c>
      <c r="Z152" s="334">
        <f t="shared" si="153"/>
        <v>1747387639.678247</v>
      </c>
      <c r="AA152" s="334">
        <f t="shared" si="153"/>
        <v>1929671578.0095325</v>
      </c>
      <c r="AB152" s="334">
        <f t="shared" si="153"/>
        <v>2071720306.36532</v>
      </c>
      <c r="AC152" s="334">
        <f t="shared" si="153"/>
        <v>2243443386.8025889</v>
      </c>
      <c r="AD152" s="334">
        <f t="shared" si="153"/>
        <v>2689249665.5694294</v>
      </c>
      <c r="AE152" s="334">
        <f t="shared" si="153"/>
        <v>3176978930.044745</v>
      </c>
      <c r="AF152" s="419"/>
      <c r="AG152" s="419">
        <v>204168230417151</v>
      </c>
      <c r="AH152" s="419">
        <v>42857140982378</v>
      </c>
      <c r="AI152" s="419">
        <v>289032134457158</v>
      </c>
      <c r="AJ152" s="419">
        <v>266447710096797</v>
      </c>
      <c r="AK152" s="419">
        <v>231387876065954</v>
      </c>
      <c r="AL152" s="330"/>
    </row>
    <row r="153" spans="2:38">
      <c r="B153" s="459" t="str">
        <f>IF(B1="EN", "Cash at the ending of the year", "Số dư tiền cuối năm")</f>
        <v>Số dư tiền cuối năm</v>
      </c>
      <c r="C153" s="460"/>
      <c r="D153" s="460"/>
      <c r="E153" s="460"/>
      <c r="F153" s="460"/>
      <c r="G153" s="461"/>
      <c r="H153" s="461"/>
      <c r="I153" s="461"/>
      <c r="J153" s="461"/>
      <c r="K153" s="461"/>
      <c r="L153" s="461"/>
      <c r="M153" s="461"/>
      <c r="N153" s="511">
        <f>N151+N152</f>
        <v>1189619434</v>
      </c>
      <c r="O153" s="511">
        <f>O151+O152</f>
        <v>1719447313.8681641</v>
      </c>
      <c r="P153" s="511">
        <f>P151+P152</f>
        <v>2427015354.0279961</v>
      </c>
      <c r="Q153" s="462">
        <f>Q151+Q152</f>
        <v>4238403092.625102</v>
      </c>
      <c r="R153" s="511">
        <f t="shared" ref="R153:AE153" si="154">R151+R152</f>
        <v>3671864723.1932802</v>
      </c>
      <c r="S153" s="321"/>
      <c r="T153" s="464">
        <f>T151+T152</f>
        <v>4344788178.7292871</v>
      </c>
      <c r="U153" s="464">
        <f t="shared" si="154"/>
        <v>2009480084.6610575</v>
      </c>
      <c r="V153" s="464">
        <f t="shared" si="154"/>
        <v>1611055725.8910372</v>
      </c>
      <c r="W153" s="464">
        <f t="shared" si="154"/>
        <v>1476609832.3132195</v>
      </c>
      <c r="X153" s="464">
        <f t="shared" si="154"/>
        <v>1711839839.7819259</v>
      </c>
      <c r="Y153" s="464">
        <f t="shared" si="154"/>
        <v>1747387639.678247</v>
      </c>
      <c r="Z153" s="464">
        <f t="shared" si="154"/>
        <v>1929671578.0095325</v>
      </c>
      <c r="AA153" s="464">
        <f t="shared" si="154"/>
        <v>2071720306.36532</v>
      </c>
      <c r="AB153" s="464">
        <f t="shared" si="154"/>
        <v>2243443386.8025889</v>
      </c>
      <c r="AC153" s="464">
        <f t="shared" si="154"/>
        <v>2689249665.5694294</v>
      </c>
      <c r="AD153" s="464">
        <f t="shared" si="154"/>
        <v>3176978930.044745</v>
      </c>
      <c r="AE153" s="464">
        <f t="shared" si="154"/>
        <v>3671864723.1932793</v>
      </c>
      <c r="AF153" s="320"/>
      <c r="AG153" s="465">
        <v>42857140982378</v>
      </c>
      <c r="AH153" s="465">
        <v>289032134457158</v>
      </c>
      <c r="AI153" s="465">
        <v>266447710096797</v>
      </c>
      <c r="AJ153" s="465">
        <v>231387876065954</v>
      </c>
      <c r="AK153" s="465">
        <v>256841102793343</v>
      </c>
      <c r="AL153" s="326"/>
    </row>
    <row r="154" spans="2:38">
      <c r="G154" s="107"/>
      <c r="H154" s="107"/>
      <c r="I154" s="107"/>
      <c r="J154" s="257"/>
      <c r="K154" s="410"/>
      <c r="L154" s="410"/>
      <c r="M154" s="410"/>
      <c r="N154" s="410">
        <f>N153-N75</f>
        <v>0</v>
      </c>
      <c r="O154" s="410">
        <f>O153-O75</f>
        <v>-0.1318359375</v>
      </c>
      <c r="P154" s="410">
        <f>P153-P75</f>
        <v>0</v>
      </c>
      <c r="Q154" s="410"/>
      <c r="R154" s="410"/>
      <c r="S154" s="410"/>
      <c r="T154" s="410"/>
      <c r="U154" s="410"/>
      <c r="V154" s="410"/>
      <c r="W154" s="410"/>
      <c r="X154" s="410"/>
      <c r="Y154" s="410"/>
      <c r="Z154" s="410"/>
      <c r="AA154" s="410"/>
      <c r="AB154" s="410"/>
      <c r="AC154" s="410"/>
      <c r="AD154" s="410"/>
      <c r="AE154" s="410"/>
      <c r="AF154" s="410"/>
      <c r="AG154" s="410">
        <f>AG153-AG75</f>
        <v>0</v>
      </c>
      <c r="AH154" s="410">
        <f t="shared" ref="AH154:AK154" si="155">AH153-AH75</f>
        <v>0</v>
      </c>
      <c r="AI154" s="410">
        <f t="shared" si="155"/>
        <v>0</v>
      </c>
      <c r="AJ154" s="410">
        <f t="shared" si="155"/>
        <v>0</v>
      </c>
      <c r="AK154" s="410">
        <f t="shared" si="155"/>
        <v>0</v>
      </c>
      <c r="AL154" s="257"/>
    </row>
    <row r="155" spans="2:38">
      <c r="G155" s="107"/>
      <c r="H155" s="107"/>
      <c r="I155" s="107"/>
      <c r="J155" s="257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  <c r="AG155" s="410"/>
      <c r="AH155" s="410"/>
      <c r="AI155" s="410"/>
      <c r="AJ155" s="410"/>
      <c r="AK155" s="410"/>
      <c r="AL155" s="257"/>
    </row>
    <row r="157" spans="2:38">
      <c r="F157" s="466"/>
    </row>
    <row r="158" spans="2:38">
      <c r="O158" s="469"/>
    </row>
    <row r="159" spans="2:38">
      <c r="O159" s="469"/>
    </row>
    <row r="160" spans="2:38">
      <c r="O160" s="469"/>
    </row>
    <row r="163" spans="6:32">
      <c r="F163" s="466"/>
      <c r="L163" s="466"/>
      <c r="R163" s="466"/>
      <c r="S163" s="466"/>
      <c r="T163" s="466"/>
      <c r="U163" s="466"/>
      <c r="V163" s="466"/>
      <c r="W163" s="466"/>
      <c r="X163" s="466"/>
      <c r="Y163" s="466"/>
      <c r="Z163" s="466"/>
      <c r="AA163" s="466"/>
      <c r="AB163" s="466"/>
      <c r="AC163" s="466"/>
      <c r="AD163" s="466"/>
      <c r="AE163" s="466"/>
      <c r="AF163" s="466"/>
    </row>
  </sheetData>
  <conditionalFormatting sqref="T153:AE153">
    <cfRule type="cellIs" dxfId="2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12F3-9CA5-4B61-9A3B-1E30EA8CEAE4}">
  <dimension ref="A1:AS163"/>
  <sheetViews>
    <sheetView topLeftCell="L89" workbookViewId="0">
      <selection activeCell="R95" sqref="R95"/>
    </sheetView>
  </sheetViews>
  <sheetFormatPr defaultColWidth="9.1796875" defaultRowHeight="16.5" outlineLevelRow="1" outlineLevelCol="1"/>
  <cols>
    <col min="1" max="1" width="1.1796875" style="84" customWidth="1"/>
    <col min="2" max="4" width="2.1796875" style="84" customWidth="1"/>
    <col min="5" max="5" width="10.453125" style="84" customWidth="1"/>
    <col min="6" max="6" width="28.81640625" style="84" customWidth="1"/>
    <col min="7" max="10" width="7.54296875" style="84" customWidth="1"/>
    <col min="11" max="13" width="7.54296875" style="86" customWidth="1"/>
    <col min="14" max="14" width="13.1796875" style="86" bestFit="1" customWidth="1"/>
    <col min="15" max="15" width="12.1796875" style="86" customWidth="1"/>
    <col min="16" max="16" width="12.453125" style="86" bestFit="1" customWidth="1"/>
    <col min="17" max="17" width="12.81640625" style="86" customWidth="1"/>
    <col min="18" max="18" width="14.54296875" style="86" bestFit="1" customWidth="1"/>
    <col min="19" max="19" width="3.54296875" style="86" customWidth="1"/>
    <col min="20" max="31" width="12.1796875" style="86" bestFit="1" customWidth="1" outlineLevel="1"/>
    <col min="32" max="32" width="4.81640625" style="86" customWidth="1"/>
    <col min="33" max="36" width="11.453125" style="86" customWidth="1"/>
    <col min="37" max="37" width="12.1796875" style="86" customWidth="1"/>
    <col min="38" max="38" width="1.54296875" style="84" customWidth="1"/>
    <col min="39" max="43" width="10.1796875" style="84" customWidth="1"/>
    <col min="44" max="45" width="9.54296875" style="84" bestFit="1" customWidth="1"/>
    <col min="46" max="16384" width="9.1796875" style="84"/>
  </cols>
  <sheetData>
    <row r="1" spans="2:45" ht="20.25" customHeight="1">
      <c r="B1" s="84" t="str">
        <f>[3]Overview!C2</f>
        <v>VN</v>
      </c>
      <c r="F1" s="85"/>
      <c r="N1" s="87"/>
      <c r="O1" s="87"/>
      <c r="Q1" s="88" t="str">
        <f>[3]Assumption!L2</f>
        <v>Act 8+4</v>
      </c>
      <c r="R1" s="89"/>
      <c r="S1" s="90"/>
      <c r="T1" s="89"/>
      <c r="U1" s="89"/>
      <c r="V1" s="91"/>
      <c r="W1" s="91"/>
      <c r="X1" s="89"/>
      <c r="Y1" s="89"/>
      <c r="Z1" s="89"/>
      <c r="AA1" s="89"/>
      <c r="AB1" s="89"/>
      <c r="AC1" s="89"/>
      <c r="AD1" s="89"/>
      <c r="AE1" s="89"/>
      <c r="AF1" s="90"/>
      <c r="AG1" s="92"/>
      <c r="AH1" s="93"/>
      <c r="AI1" s="92"/>
      <c r="AJ1" s="93"/>
      <c r="AK1" s="93"/>
    </row>
    <row r="2" spans="2:45" ht="30" customHeight="1">
      <c r="B2" s="94" t="str">
        <f>IF(B1="EN", "FINANCIAL STATEMENT", "BÁO CÁO TÀI CHÍNH")</f>
        <v>BÁO CÁO TÀI CHÍNH</v>
      </c>
      <c r="C2" s="95"/>
      <c r="D2" s="95"/>
      <c r="E2" s="96"/>
      <c r="F2" s="97"/>
      <c r="G2" s="98"/>
      <c r="H2" s="98"/>
      <c r="I2" s="98"/>
      <c r="J2" s="99"/>
      <c r="K2" s="100"/>
      <c r="L2" s="100"/>
      <c r="M2" s="100"/>
      <c r="N2" s="101">
        <v>2023</v>
      </c>
      <c r="O2" s="101">
        <v>2024</v>
      </c>
      <c r="P2" s="102" t="s">
        <v>110</v>
      </c>
      <c r="Q2" s="103" t="str">
        <f>[3]Assumption!L3</f>
        <v>2025E</v>
      </c>
      <c r="R2" s="104" t="str">
        <f>[3]Assumption!M3</f>
        <v>2026P</v>
      </c>
      <c r="S2" s="105"/>
      <c r="T2" s="104">
        <v>1</v>
      </c>
      <c r="U2" s="104">
        <v>2</v>
      </c>
      <c r="V2" s="104">
        <v>3</v>
      </c>
      <c r="W2" s="104">
        <v>4</v>
      </c>
      <c r="X2" s="104">
        <v>5</v>
      </c>
      <c r="Y2" s="104">
        <v>6</v>
      </c>
      <c r="Z2" s="104">
        <v>7</v>
      </c>
      <c r="AA2" s="104">
        <v>8</v>
      </c>
      <c r="AB2" s="104">
        <v>9</v>
      </c>
      <c r="AC2" s="104">
        <v>10</v>
      </c>
      <c r="AD2" s="104">
        <v>11</v>
      </c>
      <c r="AE2" s="104">
        <v>12</v>
      </c>
      <c r="AF2" s="105"/>
      <c r="AG2" s="106" t="str">
        <f>[3]Assumption!N3</f>
        <v>2027 MTP</v>
      </c>
      <c r="AH2" s="106" t="str">
        <f>[3]Assumption!O3</f>
        <v>2028 MTP</v>
      </c>
      <c r="AI2" s="106" t="str">
        <f>[3]Assumption!P3</f>
        <v>2029 MTP</v>
      </c>
      <c r="AJ2" s="106" t="str">
        <f>[3]Assumption!Q3</f>
        <v>2030 MTP</v>
      </c>
      <c r="AK2" s="106" t="str">
        <f>[3]Assumption!R3</f>
        <v>2031 MTP</v>
      </c>
      <c r="AL2" s="107"/>
    </row>
    <row r="3" spans="2:45" s="110" customFormat="1" ht="16.399999999999999" customHeight="1">
      <c r="B3" s="108"/>
      <c r="C3" s="108"/>
      <c r="D3" s="108"/>
      <c r="E3" s="108"/>
      <c r="F3" s="108"/>
      <c r="G3" s="108"/>
      <c r="H3" s="108"/>
      <c r="I3" s="108"/>
      <c r="J3" s="108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8"/>
    </row>
    <row r="4" spans="2:45">
      <c r="B4" s="111" t="str">
        <f>IF(B1="EN", "INCOME STATEMENT", "KẾT QUẢ KINH DOANH")</f>
        <v>KẾT QUẢ KINH DOANH</v>
      </c>
      <c r="C4" s="112"/>
      <c r="D4" s="112"/>
      <c r="E4" s="112"/>
      <c r="F4" s="113"/>
      <c r="G4" s="114"/>
      <c r="H4" s="114"/>
      <c r="I4" s="114"/>
      <c r="J4" s="115"/>
      <c r="K4" s="101"/>
      <c r="L4" s="101"/>
      <c r="M4" s="101"/>
      <c r="N4" s="101">
        <f t="shared" ref="N4:AK4" si="0">N2</f>
        <v>2023</v>
      </c>
      <c r="O4" s="101">
        <f t="shared" si="0"/>
        <v>2024</v>
      </c>
      <c r="P4" s="102" t="str">
        <f t="shared" si="0"/>
        <v>2025P</v>
      </c>
      <c r="Q4" s="103" t="str">
        <f t="shared" si="0"/>
        <v>2025E</v>
      </c>
      <c r="R4" s="104" t="str">
        <f>R2</f>
        <v>2026P</v>
      </c>
      <c r="S4" s="105"/>
      <c r="T4" s="104">
        <f>T2</f>
        <v>1</v>
      </c>
      <c r="U4" s="104">
        <f t="shared" ref="U4:AE4" si="1">U2</f>
        <v>2</v>
      </c>
      <c r="V4" s="104">
        <f t="shared" si="1"/>
        <v>3</v>
      </c>
      <c r="W4" s="104">
        <f t="shared" si="1"/>
        <v>4</v>
      </c>
      <c r="X4" s="104">
        <f t="shared" si="1"/>
        <v>5</v>
      </c>
      <c r="Y4" s="104">
        <f t="shared" si="1"/>
        <v>6</v>
      </c>
      <c r="Z4" s="104">
        <f t="shared" si="1"/>
        <v>7</v>
      </c>
      <c r="AA4" s="104">
        <f t="shared" si="1"/>
        <v>8</v>
      </c>
      <c r="AB4" s="104">
        <f t="shared" si="1"/>
        <v>9</v>
      </c>
      <c r="AC4" s="104">
        <f t="shared" si="1"/>
        <v>10</v>
      </c>
      <c r="AD4" s="104">
        <f t="shared" si="1"/>
        <v>11</v>
      </c>
      <c r="AE4" s="104">
        <f t="shared" si="1"/>
        <v>12</v>
      </c>
      <c r="AF4" s="105"/>
      <c r="AG4" s="106" t="str">
        <f t="shared" si="0"/>
        <v>2027 MTP</v>
      </c>
      <c r="AH4" s="106" t="str">
        <f t="shared" si="0"/>
        <v>2028 MTP</v>
      </c>
      <c r="AI4" s="106" t="str">
        <f t="shared" si="0"/>
        <v>2029 MTP</v>
      </c>
      <c r="AJ4" s="106" t="str">
        <f t="shared" si="0"/>
        <v>2030 MTP</v>
      </c>
      <c r="AK4" s="106" t="str">
        <f t="shared" si="0"/>
        <v>2031 MTP</v>
      </c>
      <c r="AL4" s="116"/>
    </row>
    <row r="5" spans="2:45" s="125" customFormat="1">
      <c r="B5" s="117" t="str">
        <f>IF(B1="EN","SALES VOLUME (Ton)","SẢN LƯỢNG BÁN")</f>
        <v>SẢN LƯỢNG BÁN</v>
      </c>
      <c r="C5" s="118"/>
      <c r="D5" s="118"/>
      <c r="E5" s="118"/>
      <c r="F5" s="119"/>
      <c r="G5" s="120"/>
      <c r="H5" s="120"/>
      <c r="I5" s="120"/>
      <c r="J5" s="120"/>
      <c r="K5" s="121"/>
      <c r="L5" s="121"/>
      <c r="M5" s="121"/>
      <c r="N5" s="122">
        <f>'[3]Net Sales'!F7</f>
        <v>5652770.5</v>
      </c>
      <c r="O5" s="122">
        <f>'[3]Net Sales'!G7</f>
        <v>4895018.4000000004</v>
      </c>
      <c r="P5" s="122">
        <f>'[3]Net Sales'!H7</f>
        <v>5922672.7999999998</v>
      </c>
      <c r="Q5" s="122">
        <v>6159980</v>
      </c>
      <c r="R5" s="122">
        <f>'[3]Net Sales'!J7</f>
        <v>7116000</v>
      </c>
      <c r="S5" s="122"/>
      <c r="T5" s="122">
        <f>'[3]Net Sales'!L7</f>
        <v>533700</v>
      </c>
      <c r="U5" s="122">
        <f>'[3]Net Sales'!M7</f>
        <v>400275</v>
      </c>
      <c r="V5" s="122">
        <f>'[3]Net Sales'!N7</f>
        <v>578175</v>
      </c>
      <c r="W5" s="122">
        <f>'[3]Net Sales'!O7</f>
        <v>622650</v>
      </c>
      <c r="X5" s="122">
        <f>'[3]Net Sales'!P7</f>
        <v>622650</v>
      </c>
      <c r="Y5" s="122">
        <f>'[3]Net Sales'!Q7</f>
        <v>622650</v>
      </c>
      <c r="Z5" s="122">
        <f>'[3]Net Sales'!R7</f>
        <v>622650</v>
      </c>
      <c r="AA5" s="122">
        <f>'[3]Net Sales'!S7</f>
        <v>622650</v>
      </c>
      <c r="AB5" s="122">
        <f>'[3]Net Sales'!T7</f>
        <v>622650</v>
      </c>
      <c r="AC5" s="122">
        <f>'[3]Net Sales'!U7</f>
        <v>622650</v>
      </c>
      <c r="AD5" s="122">
        <f>'[3]Net Sales'!V7</f>
        <v>622650</v>
      </c>
      <c r="AE5" s="122">
        <f>'[3]Net Sales'!W7</f>
        <v>622650</v>
      </c>
      <c r="AF5" s="121"/>
      <c r="AG5" s="121"/>
      <c r="AH5" s="121"/>
      <c r="AI5" s="121"/>
      <c r="AJ5" s="121"/>
      <c r="AK5" s="121"/>
      <c r="AL5" s="123"/>
      <c r="AM5" s="124"/>
      <c r="AN5" s="124"/>
    </row>
    <row r="6" spans="2:45" s="125" customFormat="1" outlineLevel="1">
      <c r="B6" s="126"/>
      <c r="C6" s="127" t="str">
        <f>IF(B1="EN", "Sales Volume Growth (%)", "Tăng giảm Sản lượng bán (%)")</f>
        <v>Tăng giảm Sản lượng bán (%)</v>
      </c>
      <c r="D6" s="128"/>
      <c r="E6" s="128"/>
      <c r="F6" s="129"/>
      <c r="G6" s="130"/>
      <c r="H6" s="130"/>
      <c r="I6" s="130"/>
      <c r="J6" s="130"/>
      <c r="K6" s="131"/>
      <c r="L6" s="131"/>
      <c r="M6" s="131"/>
      <c r="N6" s="131">
        <f>IFERROR(N5/M5-1,)</f>
        <v>0</v>
      </c>
      <c r="O6" s="131">
        <f>IFERROR(O5/N5-1,)</f>
        <v>-0.13404968413276275</v>
      </c>
      <c r="P6" s="131">
        <f>IFERROR(P5/O5-1,)</f>
        <v>0.2099388227018717</v>
      </c>
      <c r="Q6" s="131">
        <f>IFERROR(Q5/O5-1,)</f>
        <v>0.25841815017487968</v>
      </c>
      <c r="R6" s="131">
        <f>IFERROR(R5/Q5-1,)</f>
        <v>0.15519855583946707</v>
      </c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23"/>
    </row>
    <row r="7" spans="2:45" s="141" customFormat="1" ht="17" thickBot="1">
      <c r="B7" s="132" t="str">
        <f>IF(B1="en","NET SALES","DOANH THU THUẦN")</f>
        <v>DOANH THU THUẦN</v>
      </c>
      <c r="C7" s="133"/>
      <c r="D7" s="133"/>
      <c r="E7" s="133"/>
      <c r="F7" s="134"/>
      <c r="G7" s="135"/>
      <c r="H7" s="135"/>
      <c r="I7" s="135"/>
      <c r="J7" s="135"/>
      <c r="K7" s="136"/>
      <c r="L7" s="136"/>
      <c r="M7" s="136"/>
      <c r="N7" s="137">
        <f>'[3]Net Sales'!F22</f>
        <v>78915665269</v>
      </c>
      <c r="O7" s="137">
        <f>'[3]Net Sales'!G22</f>
        <v>74523104085</v>
      </c>
      <c r="P7" s="137">
        <f>'[3]Net Sales'!H22</f>
        <v>103856134288</v>
      </c>
      <c r="Q7" s="137">
        <v>102263015418</v>
      </c>
      <c r="R7" s="137">
        <f>'[3]Net Sales'!J22</f>
        <v>99594000000</v>
      </c>
      <c r="S7" s="138"/>
      <c r="T7" s="137">
        <f>'[3]Net Sales'!L22</f>
        <v>7469550000</v>
      </c>
      <c r="U7" s="137">
        <f>'[3]Net Sales'!M22</f>
        <v>5602162500</v>
      </c>
      <c r="V7" s="137">
        <f>'[3]Net Sales'!N22</f>
        <v>8092012500</v>
      </c>
      <c r="W7" s="137">
        <f>'[3]Net Sales'!O22</f>
        <v>8714475000</v>
      </c>
      <c r="X7" s="137">
        <f>'[3]Net Sales'!P22</f>
        <v>8714475000</v>
      </c>
      <c r="Y7" s="137">
        <f>'[3]Net Sales'!Q22</f>
        <v>8714475000</v>
      </c>
      <c r="Z7" s="137">
        <f>'[3]Net Sales'!R22</f>
        <v>8714475000</v>
      </c>
      <c r="AA7" s="137">
        <f>'[3]Net Sales'!S22</f>
        <v>8714475000</v>
      </c>
      <c r="AB7" s="137">
        <f>'[3]Net Sales'!T22</f>
        <v>8714475000</v>
      </c>
      <c r="AC7" s="137">
        <f>'[3]Net Sales'!U22</f>
        <v>8714475000</v>
      </c>
      <c r="AD7" s="137">
        <f>'[3]Net Sales'!V22</f>
        <v>8714475000</v>
      </c>
      <c r="AE7" s="137">
        <f>'[3]Net Sales'!W22</f>
        <v>8714475000</v>
      </c>
      <c r="AF7" s="121"/>
      <c r="AG7" s="136"/>
      <c r="AH7" s="136"/>
      <c r="AI7" s="136"/>
      <c r="AJ7" s="136"/>
      <c r="AK7" s="136"/>
      <c r="AL7" s="139"/>
      <c r="AM7" s="140"/>
      <c r="AN7" s="140"/>
      <c r="AO7" s="140"/>
      <c r="AP7" s="140"/>
      <c r="AQ7" s="140"/>
      <c r="AR7" s="140"/>
      <c r="AS7" s="140"/>
    </row>
    <row r="8" spans="2:45" s="125" customFormat="1" ht="17" outlineLevel="1" thickTop="1">
      <c r="B8" s="142"/>
      <c r="C8" s="125" t="str">
        <f>IF(B1="EN", "Net Sales Growth (%)", "Tăng giảm Doanh thu (%)")</f>
        <v>Tăng giảm Doanh thu (%)</v>
      </c>
      <c r="D8" s="143"/>
      <c r="E8" s="143"/>
      <c r="F8" s="129"/>
      <c r="G8" s="130"/>
      <c r="H8" s="130"/>
      <c r="I8" s="130"/>
      <c r="J8" s="130"/>
      <c r="K8" s="131"/>
      <c r="L8" s="131"/>
      <c r="M8" s="131"/>
      <c r="N8" s="131">
        <f>IFERROR(N7/M7-1,)</f>
        <v>0</v>
      </c>
      <c r="O8" s="131">
        <f>IFERROR(O7/N7-1,)</f>
        <v>-5.5661460484772829E-2</v>
      </c>
      <c r="P8" s="131">
        <f>IFERROR(P7/O7-1,)</f>
        <v>0.39360988197087399</v>
      </c>
      <c r="Q8" s="131">
        <f>IFERROR(Q7/O7-1,)</f>
        <v>0.37223236570178631</v>
      </c>
      <c r="R8" s="131">
        <f>IFERROR(R7/Q7-1,)</f>
        <v>-2.60995180622281E-2</v>
      </c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44"/>
      <c r="AM8" s="145"/>
      <c r="AN8" s="145"/>
      <c r="AO8" s="145"/>
      <c r="AP8" s="145"/>
      <c r="AQ8" s="145"/>
      <c r="AR8" s="145"/>
      <c r="AS8" s="145"/>
    </row>
    <row r="9" spans="2:45" s="154" customFormat="1" outlineLevel="1">
      <c r="B9" s="146"/>
      <c r="C9" s="147" t="str">
        <f>IF(B1="EN", "Selling price per Ton (m VND/Ton)", "Giá bán / Tấn (Triệu đồng/Tấn)")</f>
        <v>Giá bán / Tấn (Triệu đồng/Tấn)</v>
      </c>
      <c r="D9" s="148"/>
      <c r="E9" s="148"/>
      <c r="F9" s="149"/>
      <c r="G9" s="150"/>
      <c r="H9" s="150"/>
      <c r="I9" s="150"/>
      <c r="J9" s="150"/>
      <c r="K9" s="151"/>
      <c r="L9" s="151"/>
      <c r="M9" s="151"/>
      <c r="N9" s="152">
        <f>IFERROR(N7/N5,)</f>
        <v>13960.52878301003</v>
      </c>
      <c r="O9" s="152">
        <f t="shared" ref="O9:R9" si="2">IFERROR(O7/O5,)</f>
        <v>15224.274557374492</v>
      </c>
      <c r="P9" s="152">
        <f t="shared" si="2"/>
        <v>17535.348953938501</v>
      </c>
      <c r="Q9" s="152">
        <f t="shared" si="2"/>
        <v>16601.192766534958</v>
      </c>
      <c r="R9" s="152">
        <f t="shared" si="2"/>
        <v>13995.784148397976</v>
      </c>
      <c r="S9" s="151"/>
      <c r="T9" s="151">
        <f>T7/T5</f>
        <v>13995.784148397976</v>
      </c>
      <c r="U9" s="151">
        <f t="shared" ref="U9:AE9" si="3">U7/U5</f>
        <v>13995.784148397976</v>
      </c>
      <c r="V9" s="151">
        <f t="shared" si="3"/>
        <v>13995.784148397976</v>
      </c>
      <c r="W9" s="151">
        <f t="shared" si="3"/>
        <v>13995.784148397976</v>
      </c>
      <c r="X9" s="151">
        <f t="shared" si="3"/>
        <v>13995.784148397976</v>
      </c>
      <c r="Y9" s="151">
        <f t="shared" si="3"/>
        <v>13995.784148397976</v>
      </c>
      <c r="Z9" s="151">
        <f t="shared" si="3"/>
        <v>13995.784148397976</v>
      </c>
      <c r="AA9" s="151">
        <f t="shared" si="3"/>
        <v>13995.784148397976</v>
      </c>
      <c r="AB9" s="151">
        <f t="shared" si="3"/>
        <v>13995.784148397976</v>
      </c>
      <c r="AC9" s="151">
        <f t="shared" si="3"/>
        <v>13995.784148397976</v>
      </c>
      <c r="AD9" s="151">
        <f t="shared" si="3"/>
        <v>13995.784148397976</v>
      </c>
      <c r="AE9" s="151">
        <f t="shared" si="3"/>
        <v>13995.784148397976</v>
      </c>
      <c r="AF9" s="151"/>
      <c r="AG9" s="151"/>
      <c r="AH9" s="151"/>
      <c r="AI9" s="151"/>
      <c r="AJ9" s="151"/>
      <c r="AK9" s="151"/>
      <c r="AL9" s="153"/>
    </row>
    <row r="10" spans="2:45">
      <c r="B10" s="155" t="str">
        <f>IF(B1="en","Direct Selling &amp; Delivery expenses","Chi phí vận chuyển")</f>
        <v>Chi phí vận chuyển</v>
      </c>
      <c r="C10" s="156"/>
      <c r="D10" s="156"/>
      <c r="E10" s="156"/>
      <c r="F10" s="157"/>
      <c r="G10" s="158"/>
      <c r="H10" s="158"/>
      <c r="I10" s="158"/>
      <c r="J10" s="158"/>
      <c r="K10" s="159"/>
      <c r="L10" s="159"/>
      <c r="M10" s="159"/>
      <c r="N10" s="160">
        <f>'[3]Direct Selling'!G14</f>
        <v>1478599034</v>
      </c>
      <c r="O10" s="160">
        <f>'[3]Direct Selling'!H14</f>
        <v>1294051828</v>
      </c>
      <c r="P10" s="160">
        <f>'[3]Direct Selling'!I14</f>
        <v>2236055280</v>
      </c>
      <c r="Q10" s="160">
        <v>1386300000</v>
      </c>
      <c r="R10" s="160">
        <f>'[3]Direct Selling'!K14</f>
        <v>1386233766.2337661</v>
      </c>
      <c r="S10" s="160"/>
      <c r="T10" s="160">
        <f>'[3]Direct Selling'!M14</f>
        <v>103967532.46753247</v>
      </c>
      <c r="U10" s="160">
        <f>'[3]Direct Selling'!N14</f>
        <v>77975649.350649357</v>
      </c>
      <c r="V10" s="160">
        <f>'[3]Direct Selling'!O14</f>
        <v>112631493.50649351</v>
      </c>
      <c r="W10" s="160">
        <f>'[3]Direct Selling'!P14</f>
        <v>121295454.54545455</v>
      </c>
      <c r="X10" s="160">
        <f>'[3]Direct Selling'!Q14</f>
        <v>121295454.54545455</v>
      </c>
      <c r="Y10" s="160">
        <f>'[3]Direct Selling'!R14</f>
        <v>121295454.54545455</v>
      </c>
      <c r="Z10" s="160">
        <f>'[3]Direct Selling'!S14</f>
        <v>121295454.54545455</v>
      </c>
      <c r="AA10" s="160">
        <f>'[3]Direct Selling'!T14</f>
        <v>121295454.54545455</v>
      </c>
      <c r="AB10" s="160">
        <f>'[3]Direct Selling'!U14</f>
        <v>121295454.54545455</v>
      </c>
      <c r="AC10" s="160">
        <f>'[3]Direct Selling'!V14</f>
        <v>121295454.54545455</v>
      </c>
      <c r="AD10" s="160">
        <f>'[3]Direct Selling'!W14</f>
        <v>121295454.54545455</v>
      </c>
      <c r="AE10" s="160">
        <f>'[3]Direct Selling'!X14</f>
        <v>121295454.54545455</v>
      </c>
      <c r="AF10" s="159"/>
      <c r="AG10" s="161"/>
      <c r="AH10" s="161"/>
      <c r="AI10" s="161"/>
      <c r="AJ10" s="161"/>
      <c r="AK10" s="161"/>
      <c r="AL10" s="162"/>
    </row>
    <row r="11" spans="2:45" s="170" customFormat="1" outlineLevel="1">
      <c r="B11" s="163"/>
      <c r="C11" s="164" t="str">
        <f>IF(B1="EN", "Direct Selling on Net Sales (%)", "Chi phí vận chuyển / Doanh thu (%)")</f>
        <v>Chi phí vận chuyển / Doanh thu (%)</v>
      </c>
      <c r="D11" s="165"/>
      <c r="E11" s="165"/>
      <c r="F11" s="166"/>
      <c r="G11" s="167"/>
      <c r="H11" s="167"/>
      <c r="I11" s="167"/>
      <c r="J11" s="167"/>
      <c r="K11" s="168"/>
      <c r="L11" s="168"/>
      <c r="M11" s="168"/>
      <c r="N11" s="168">
        <f t="shared" ref="N11:Q11" si="4">IFERROR(N10/N7,)</f>
        <v>1.8736445152681615E-2</v>
      </c>
      <c r="O11" s="168">
        <f t="shared" si="4"/>
        <v>1.7364438101290344E-2</v>
      </c>
      <c r="P11" s="168">
        <f t="shared" si="4"/>
        <v>2.1530314943162331E-2</v>
      </c>
      <c r="Q11" s="168">
        <f t="shared" si="4"/>
        <v>1.3556220636889101E-2</v>
      </c>
      <c r="R11" s="168">
        <f>IFERROR(R10/R7,)</f>
        <v>1.391884818597271E-2</v>
      </c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9"/>
    </row>
    <row r="12" spans="2:45" s="125" customFormat="1">
      <c r="B12" s="171" t="str">
        <f>IF(B1="EN","Variable Cost of Goods Sold","Biến phí hàng bán")</f>
        <v>Biến phí hàng bán</v>
      </c>
      <c r="C12" s="172"/>
      <c r="D12" s="173"/>
      <c r="E12" s="173"/>
      <c r="F12" s="174"/>
      <c r="G12" s="175"/>
      <c r="H12" s="175"/>
      <c r="I12" s="175"/>
      <c r="J12" s="175"/>
      <c r="K12" s="175"/>
      <c r="L12" s="175"/>
      <c r="M12" s="175"/>
      <c r="N12" s="176">
        <f>SUM(N13:N18)</f>
        <v>73435298631.5</v>
      </c>
      <c r="O12" s="176">
        <f t="shared" ref="O12:P12" si="5">SUM(O13:O18)</f>
        <v>69651631026</v>
      </c>
      <c r="P12" s="176">
        <f t="shared" si="5"/>
        <v>91794356271.666672</v>
      </c>
      <c r="Q12" s="176">
        <f>SUM(Q13:Q18)</f>
        <v>86540804510</v>
      </c>
      <c r="R12" s="176">
        <f>SUM(R13:R18)</f>
        <v>85863819338.129333</v>
      </c>
      <c r="S12" s="177"/>
      <c r="T12" s="176">
        <f>SUM(T13:T18)</f>
        <v>6468991120.20823</v>
      </c>
      <c r="U12" s="176">
        <f t="shared" ref="U12:AE12" si="6">SUM(U13:U18)</f>
        <v>4962037808.7149963</v>
      </c>
      <c r="V12" s="176">
        <f t="shared" si="6"/>
        <v>6963455772.3726416</v>
      </c>
      <c r="W12" s="176">
        <f t="shared" si="6"/>
        <v>7494611936.5370522</v>
      </c>
      <c r="X12" s="176">
        <f t="shared" si="6"/>
        <v>7469749460.5370522</v>
      </c>
      <c r="Y12" s="176">
        <f t="shared" si="6"/>
        <v>7488398554.5370522</v>
      </c>
      <c r="Z12" s="176">
        <f t="shared" si="6"/>
        <v>7519927005.5370522</v>
      </c>
      <c r="AA12" s="176">
        <f t="shared" si="6"/>
        <v>7531893478.5370522</v>
      </c>
      <c r="AB12" s="176">
        <f t="shared" si="6"/>
        <v>7524868137.5370522</v>
      </c>
      <c r="AC12" s="176">
        <f t="shared" si="6"/>
        <v>7473443187.5370522</v>
      </c>
      <c r="AD12" s="176">
        <f t="shared" si="6"/>
        <v>7488398554.5370522</v>
      </c>
      <c r="AE12" s="176">
        <f t="shared" si="6"/>
        <v>7478044321.5370522</v>
      </c>
      <c r="AF12" s="178"/>
      <c r="AG12" s="175"/>
      <c r="AH12" s="175"/>
      <c r="AI12" s="175"/>
      <c r="AJ12" s="175"/>
      <c r="AK12" s="175"/>
      <c r="AL12" s="144"/>
      <c r="AM12" s="124"/>
      <c r="AN12" s="124"/>
      <c r="AO12" s="124"/>
    </row>
    <row r="13" spans="2:45" s="125" customFormat="1" outlineLevel="1">
      <c r="B13" s="179"/>
      <c r="C13" s="180" t="str">
        <f>IF(B1="EN", "Resin cost", "Chi phí nguyên vật liệu chính")</f>
        <v>Chi phí nguyên vật liệu chính</v>
      </c>
      <c r="D13" s="181"/>
      <c r="E13" s="181"/>
      <c r="F13" s="180"/>
      <c r="G13" s="182"/>
      <c r="H13" s="183"/>
      <c r="I13" s="183"/>
      <c r="J13" s="183"/>
      <c r="K13" s="184"/>
      <c r="L13" s="184"/>
      <c r="M13" s="184"/>
      <c r="N13" s="185">
        <v>66674046263</v>
      </c>
      <c r="O13" s="185">
        <v>64023356129</v>
      </c>
      <c r="P13" s="185">
        <v>84204115555.555557</v>
      </c>
      <c r="Q13" s="185">
        <v>80577236536</v>
      </c>
      <c r="R13" s="185">
        <f>SUM(T13:AE13)</f>
        <v>80000000000</v>
      </c>
      <c r="S13" s="185"/>
      <c r="T13" s="185">
        <f>[3]VCOGs!D$3+[3]VCOGs!D$4</f>
        <v>6000000000</v>
      </c>
      <c r="U13" s="185">
        <f>[3]VCOGs!E$3+[3]VCOGs!E$4</f>
        <v>4500000000</v>
      </c>
      <c r="V13" s="185">
        <f>[3]VCOGs!F$3+[3]VCOGs!F$4</f>
        <v>6500000000</v>
      </c>
      <c r="W13" s="185">
        <f>[3]VCOGs!G$3+[3]VCOGs!G$4</f>
        <v>7000000000</v>
      </c>
      <c r="X13" s="185">
        <f>[3]VCOGs!H$3+[3]VCOGs!H$4</f>
        <v>7000000000</v>
      </c>
      <c r="Y13" s="185">
        <f>[3]VCOGs!I$3+[3]VCOGs!I$4</f>
        <v>7000000000</v>
      </c>
      <c r="Z13" s="185">
        <f>[3]VCOGs!J$3+[3]VCOGs!J$4</f>
        <v>7000000000</v>
      </c>
      <c r="AA13" s="185">
        <f>[3]VCOGs!K$3+[3]VCOGs!K$4</f>
        <v>7000000000</v>
      </c>
      <c r="AB13" s="185">
        <f>[3]VCOGs!L$3+[3]VCOGs!L$4</f>
        <v>7000000000</v>
      </c>
      <c r="AC13" s="185">
        <f>[3]VCOGs!M$3+[3]VCOGs!M$4</f>
        <v>7000000000</v>
      </c>
      <c r="AD13" s="185">
        <f>[3]VCOGs!N$3+[3]VCOGs!N$4</f>
        <v>7000000000</v>
      </c>
      <c r="AE13" s="185">
        <f>[3]VCOGs!O$3+[3]VCOGs!O$4</f>
        <v>7000000000</v>
      </c>
      <c r="AF13" s="184"/>
      <c r="AG13" s="184"/>
      <c r="AH13" s="184"/>
      <c r="AI13" s="184"/>
      <c r="AJ13" s="184"/>
      <c r="AK13" s="184"/>
      <c r="AL13" s="186"/>
      <c r="AM13" s="124"/>
      <c r="AN13" s="124"/>
    </row>
    <row r="14" spans="2:45" s="125" customFormat="1" outlineLevel="1">
      <c r="B14" s="179"/>
      <c r="C14" s="180" t="str">
        <f>IF(B1="EN", "Sub-material cost", "Chi phí vật liệu phục vụ sản xuất")</f>
        <v>Chi phí vật liệu phục vụ sản xuất</v>
      </c>
      <c r="D14" s="181"/>
      <c r="E14" s="181"/>
      <c r="F14" s="180"/>
      <c r="G14" s="182"/>
      <c r="H14" s="182"/>
      <c r="I14" s="182"/>
      <c r="J14" s="182"/>
      <c r="K14" s="184"/>
      <c r="L14" s="184"/>
      <c r="M14" s="184"/>
      <c r="N14" s="185">
        <v>547143516</v>
      </c>
      <c r="O14" s="185">
        <v>550789602</v>
      </c>
      <c r="P14" s="185">
        <v>902052311.11111116</v>
      </c>
      <c r="Q14" s="185">
        <v>284390496</v>
      </c>
      <c r="R14" s="185">
        <f t="shared" ref="R14:R16" si="7">SUM(T14:AE14)</f>
        <v>177404973.91304353</v>
      </c>
      <c r="S14" s="185"/>
      <c r="T14" s="185">
        <f>[3]VCOGs!D$6</f>
        <v>13305373.04347826</v>
      </c>
      <c r="U14" s="185">
        <f>[3]VCOGs!E$6</f>
        <v>9979029.7826086953</v>
      </c>
      <c r="V14" s="185">
        <f>[3]VCOGs!F$6</f>
        <v>14414154.130434783</v>
      </c>
      <c r="W14" s="185">
        <f>[3]VCOGs!G$6</f>
        <v>15522935.217391305</v>
      </c>
      <c r="X14" s="185">
        <f>[3]VCOGs!H$6</f>
        <v>15522935.217391305</v>
      </c>
      <c r="Y14" s="185">
        <f>[3]VCOGs!I$6</f>
        <v>15522935.217391305</v>
      </c>
      <c r="Z14" s="185">
        <f>[3]VCOGs!J$6</f>
        <v>15522935.217391305</v>
      </c>
      <c r="AA14" s="185">
        <f>[3]VCOGs!K$6</f>
        <v>15522935.217391305</v>
      </c>
      <c r="AB14" s="185">
        <f>[3]VCOGs!L$6</f>
        <v>15522935.217391305</v>
      </c>
      <c r="AC14" s="185">
        <f>[3]VCOGs!M$6</f>
        <v>15522935.217391305</v>
      </c>
      <c r="AD14" s="185">
        <f>[3]VCOGs!N$6</f>
        <v>15522935.217391305</v>
      </c>
      <c r="AE14" s="185">
        <f>[3]VCOGs!O$6</f>
        <v>15522935.217391305</v>
      </c>
      <c r="AF14" s="184"/>
      <c r="AG14" s="184"/>
      <c r="AH14" s="184"/>
      <c r="AI14" s="184"/>
      <c r="AJ14" s="184"/>
      <c r="AK14" s="184"/>
      <c r="AL14" s="186"/>
      <c r="AM14" s="124"/>
      <c r="AN14" s="124"/>
    </row>
    <row r="15" spans="2:45" s="125" customFormat="1" outlineLevel="1">
      <c r="B15" s="179"/>
      <c r="C15" s="180" t="str">
        <f>IF(B1="EN", "Salary and Wages - Direct", "Chi phí lương nhân công trực tiếp")</f>
        <v>Chi phí lương nhân công trực tiếp</v>
      </c>
      <c r="D15" s="181"/>
      <c r="E15" s="181"/>
      <c r="F15" s="180"/>
      <c r="G15" s="182"/>
      <c r="H15" s="182"/>
      <c r="I15" s="182"/>
      <c r="J15" s="182"/>
      <c r="K15" s="184"/>
      <c r="L15" s="184"/>
      <c r="M15" s="184"/>
      <c r="N15" s="185">
        <v>5804078083.499999</v>
      </c>
      <c r="O15" s="185">
        <v>4630674981</v>
      </c>
      <c r="P15" s="185">
        <v>5509311701</v>
      </c>
      <c r="Q15" s="185">
        <v>5064325483</v>
      </c>
      <c r="R15" s="185">
        <f t="shared" si="7"/>
        <v>5075652111.8235302</v>
      </c>
      <c r="S15" s="185"/>
      <c r="T15" s="185">
        <f>[3]VCOGs!D$5</f>
        <v>409878578.2352941</v>
      </c>
      <c r="U15" s="185">
        <f>[3]VCOGs!E$5</f>
        <v>417703402.2352941</v>
      </c>
      <c r="V15" s="185">
        <f>[3]VCOGs!F$5</f>
        <v>399417185.2352941</v>
      </c>
      <c r="W15" s="185">
        <f>[3]VCOGs!G$5</f>
        <v>425647304.2352941</v>
      </c>
      <c r="X15" s="185">
        <f>[3]VCOGs!H$5</f>
        <v>400784828.2352941</v>
      </c>
      <c r="Y15" s="185">
        <f>[3]VCOGs!I$5</f>
        <v>419433922.2352941</v>
      </c>
      <c r="Z15" s="185">
        <f>[3]VCOGs!J$5</f>
        <v>450962373.2352941</v>
      </c>
      <c r="AA15" s="185">
        <f>[3]VCOGs!K$5</f>
        <v>462928846.2352941</v>
      </c>
      <c r="AB15" s="185">
        <f>[3]VCOGs!L$5</f>
        <v>455903505.2352941</v>
      </c>
      <c r="AC15" s="185">
        <f>[3]VCOGs!M$5</f>
        <v>404478555.2352941</v>
      </c>
      <c r="AD15" s="185">
        <f>[3]VCOGs!N$5</f>
        <v>419433922.2352941</v>
      </c>
      <c r="AE15" s="185">
        <f>[3]VCOGs!O$5</f>
        <v>409079689.2352941</v>
      </c>
      <c r="AF15" s="184"/>
      <c r="AG15" s="184"/>
      <c r="AH15" s="184"/>
      <c r="AI15" s="184"/>
      <c r="AJ15" s="184"/>
      <c r="AK15" s="184"/>
      <c r="AL15" s="186"/>
      <c r="AM15" s="124"/>
      <c r="AN15" s="124"/>
    </row>
    <row r="16" spans="2:45" s="125" customFormat="1" outlineLevel="1">
      <c r="B16" s="179"/>
      <c r="C16" s="180" t="str">
        <f>IF(B1="EN", "Electricity cost", "Chi phí điện")</f>
        <v>Chi phí điện</v>
      </c>
      <c r="D16" s="180"/>
      <c r="E16" s="181"/>
      <c r="F16" s="180"/>
      <c r="G16" s="182"/>
      <c r="H16" s="182"/>
      <c r="I16" s="182"/>
      <c r="J16" s="182"/>
      <c r="K16" s="184"/>
      <c r="L16" s="184"/>
      <c r="M16" s="184"/>
      <c r="N16" s="185">
        <v>326356700</v>
      </c>
      <c r="O16" s="185">
        <v>377182809</v>
      </c>
      <c r="P16" s="185">
        <v>928876704</v>
      </c>
      <c r="Q16" s="185">
        <v>452560080</v>
      </c>
      <c r="R16" s="185">
        <f t="shared" si="7"/>
        <v>486232252.39276862</v>
      </c>
      <c r="S16" s="185"/>
      <c r="T16" s="185">
        <f>[3]VCOGs!D$7</f>
        <v>36467418.929457642</v>
      </c>
      <c r="U16" s="185">
        <f>[3]VCOGs!E$7</f>
        <v>27350564.19709323</v>
      </c>
      <c r="V16" s="185">
        <f>[3]VCOGs!F$7</f>
        <v>39506370.50691244</v>
      </c>
      <c r="W16" s="185">
        <f>[3]VCOGs!G$7</f>
        <v>42545322.084367245</v>
      </c>
      <c r="X16" s="185">
        <f>[3]VCOGs!H$7</f>
        <v>42545322.084367245</v>
      </c>
      <c r="Y16" s="185">
        <f>[3]VCOGs!I$7</f>
        <v>42545322.084367245</v>
      </c>
      <c r="Z16" s="185">
        <f>[3]VCOGs!J$7</f>
        <v>42545322.084367245</v>
      </c>
      <c r="AA16" s="185">
        <f>[3]VCOGs!K$7</f>
        <v>42545322.084367245</v>
      </c>
      <c r="AB16" s="185">
        <f>[3]VCOGs!L$7</f>
        <v>42545322.084367245</v>
      </c>
      <c r="AC16" s="185">
        <f>[3]VCOGs!M$7</f>
        <v>42545322.084367245</v>
      </c>
      <c r="AD16" s="185">
        <f>[3]VCOGs!N$7</f>
        <v>42545322.084367245</v>
      </c>
      <c r="AE16" s="185">
        <f>[3]VCOGs!O$7</f>
        <v>42545322.084367245</v>
      </c>
      <c r="AF16" s="184"/>
      <c r="AG16" s="184"/>
      <c r="AH16" s="184"/>
      <c r="AI16" s="184"/>
      <c r="AJ16" s="184"/>
      <c r="AK16" s="184"/>
      <c r="AL16" s="186"/>
      <c r="AM16" s="124"/>
      <c r="AN16" s="124"/>
    </row>
    <row r="17" spans="2:41" s="125" customFormat="1" outlineLevel="1">
      <c r="B17" s="179"/>
      <c r="C17" s="181" t="str">
        <f>IF(B1="EN", "Other", "Khác")</f>
        <v>Khác</v>
      </c>
      <c r="D17" s="181"/>
      <c r="E17" s="181"/>
      <c r="F17" s="180"/>
      <c r="G17" s="182"/>
      <c r="H17" s="182"/>
      <c r="I17" s="182"/>
      <c r="J17" s="182"/>
      <c r="K17" s="184"/>
      <c r="L17" s="184"/>
      <c r="M17" s="184"/>
      <c r="N17" s="185">
        <v>83674069</v>
      </c>
      <c r="O17" s="185">
        <v>69627505</v>
      </c>
      <c r="P17" s="185">
        <v>250000000</v>
      </c>
      <c r="Q17" s="185">
        <v>162291915</v>
      </c>
      <c r="R17" s="185">
        <f>SUM(T17:AE17)</f>
        <v>124530000</v>
      </c>
      <c r="S17" s="185"/>
      <c r="T17" s="185">
        <f>[3]VCOGs!D$8+[3]VCOGs!D$9</f>
        <v>9339750</v>
      </c>
      <c r="U17" s="185">
        <f>[3]VCOGs!E$8+[3]VCOGs!E$9</f>
        <v>7004812.5</v>
      </c>
      <c r="V17" s="185">
        <f>[3]VCOGs!F$8+[3]VCOGs!F$9</f>
        <v>10118062.5</v>
      </c>
      <c r="W17" s="185">
        <f>[3]VCOGs!G$8+[3]VCOGs!G$9</f>
        <v>10896375</v>
      </c>
      <c r="X17" s="185">
        <f>[3]VCOGs!H$8+[3]VCOGs!H$9</f>
        <v>10896375</v>
      </c>
      <c r="Y17" s="185">
        <f>[3]VCOGs!I$8+[3]VCOGs!I$9</f>
        <v>10896375</v>
      </c>
      <c r="Z17" s="185">
        <f>[3]VCOGs!J$8+[3]VCOGs!J$9</f>
        <v>10896375</v>
      </c>
      <c r="AA17" s="185">
        <f>[3]VCOGs!K$8+[3]VCOGs!K$9</f>
        <v>10896375</v>
      </c>
      <c r="AB17" s="185">
        <f>[3]VCOGs!L$8+[3]VCOGs!L$9</f>
        <v>10896375</v>
      </c>
      <c r="AC17" s="185">
        <f>[3]VCOGs!M$8+[3]VCOGs!M$9</f>
        <v>10896375</v>
      </c>
      <c r="AD17" s="185">
        <f>[3]VCOGs!N$8+[3]VCOGs!N$9</f>
        <v>10896375</v>
      </c>
      <c r="AE17" s="185">
        <f>[3]VCOGs!O$8+[3]VCOGs!O$9</f>
        <v>10896375</v>
      </c>
      <c r="AF17" s="184"/>
      <c r="AG17" s="184"/>
      <c r="AH17" s="184"/>
      <c r="AI17" s="184"/>
      <c r="AJ17" s="184"/>
      <c r="AK17" s="184"/>
      <c r="AL17" s="186"/>
      <c r="AM17" s="124"/>
      <c r="AN17" s="124"/>
    </row>
    <row r="18" spans="2:41" s="192" customFormat="1" outlineLevel="1">
      <c r="B18" s="187"/>
      <c r="C18" s="143" t="str">
        <f>IF(B1="EN", "Adjusting VCOGs by FOH for consolidating", "Điều chỉnh lãi chưa thực hiện HTK khi Hợp nhất")</f>
        <v>Điều chỉnh lãi chưa thực hiện HTK khi Hợp nhất</v>
      </c>
      <c r="D18" s="143"/>
      <c r="E18" s="143"/>
      <c r="F18" s="188"/>
      <c r="G18" s="189"/>
      <c r="H18" s="189"/>
      <c r="I18" s="189"/>
      <c r="J18" s="189"/>
      <c r="K18" s="190"/>
      <c r="L18" s="190"/>
      <c r="M18" s="190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0"/>
      <c r="AG18" s="190"/>
      <c r="AH18" s="190"/>
      <c r="AI18" s="190"/>
      <c r="AJ18" s="190"/>
      <c r="AK18" s="190"/>
      <c r="AL18" s="144"/>
      <c r="AM18" s="124"/>
      <c r="AN18" s="124"/>
    </row>
    <row r="19" spans="2:41" s="170" customFormat="1" outlineLevel="1">
      <c r="B19" s="163"/>
      <c r="C19" s="164" t="str">
        <f>IF(B1="EN", "Variable COGs on Net Sales (%)", "Biến phí hàng bán / Doanh thu (%)")</f>
        <v>Biến phí hàng bán / Doanh thu (%)</v>
      </c>
      <c r="E19" s="165"/>
      <c r="F19" s="166"/>
      <c r="G19" s="167"/>
      <c r="H19" s="167"/>
      <c r="I19" s="167"/>
      <c r="J19" s="167"/>
      <c r="K19" s="168"/>
      <c r="L19" s="168"/>
      <c r="M19" s="168"/>
      <c r="N19" s="168">
        <f>IFERROR(N12/N7,)</f>
        <v>0.93055413498930706</v>
      </c>
      <c r="O19" s="168">
        <f t="shared" ref="O19:Q19" si="8">IFERROR(O12/O7,)</f>
        <v>0.93463137212529868</v>
      </c>
      <c r="P19" s="168">
        <f t="shared" si="8"/>
        <v>0.88386070693826124</v>
      </c>
      <c r="Q19" s="168">
        <f t="shared" si="8"/>
        <v>0.84625711608702836</v>
      </c>
      <c r="R19" s="168">
        <f>IFERROR(R12/R7,)</f>
        <v>0.8621384755921977</v>
      </c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9"/>
    </row>
    <row r="20" spans="2:41" s="170" customFormat="1" ht="17" thickBot="1">
      <c r="B20" s="132" t="str">
        <f>IF(B1="EN","NET CONTRIBUTION","LÃI BIẾN PHÍ")</f>
        <v>LÃI BIẾN PHÍ</v>
      </c>
      <c r="C20" s="133"/>
      <c r="D20" s="133"/>
      <c r="E20" s="133"/>
      <c r="F20" s="134"/>
      <c r="G20" s="135"/>
      <c r="H20" s="135"/>
      <c r="I20" s="135"/>
      <c r="J20" s="135"/>
      <c r="K20" s="136"/>
      <c r="L20" s="136"/>
      <c r="M20" s="136"/>
      <c r="N20" s="137">
        <f>N7-N10-N12</f>
        <v>4001767603.5</v>
      </c>
      <c r="O20" s="137">
        <f t="shared" ref="O20:AK20" si="9">O7-O10-O12</f>
        <v>3577421231</v>
      </c>
      <c r="P20" s="137">
        <f t="shared" si="9"/>
        <v>9825722736.3333282</v>
      </c>
      <c r="Q20" s="137">
        <f>Q7-Q10-Q12</f>
        <v>14335910908</v>
      </c>
      <c r="R20" s="137">
        <f>R7-R10-R12</f>
        <v>12343946895.636902</v>
      </c>
      <c r="S20" s="138"/>
      <c r="T20" s="137">
        <f t="shared" ref="T20:AE20" si="10">T7-T10-T12</f>
        <v>896591347.32423782</v>
      </c>
      <c r="U20" s="137">
        <f t="shared" si="10"/>
        <v>562149041.93435478</v>
      </c>
      <c r="V20" s="137">
        <f t="shared" si="10"/>
        <v>1015925234.1208649</v>
      </c>
      <c r="W20" s="137">
        <f t="shared" si="10"/>
        <v>1098567608.9174938</v>
      </c>
      <c r="X20" s="137">
        <f t="shared" si="10"/>
        <v>1123430084.9174938</v>
      </c>
      <c r="Y20" s="137">
        <f t="shared" si="10"/>
        <v>1104780990.9174938</v>
      </c>
      <c r="Z20" s="137">
        <f t="shared" si="10"/>
        <v>1073252539.9174938</v>
      </c>
      <c r="AA20" s="137">
        <f t="shared" si="10"/>
        <v>1061286066.9174938</v>
      </c>
      <c r="AB20" s="137">
        <f t="shared" si="10"/>
        <v>1068311407.9174938</v>
      </c>
      <c r="AC20" s="137">
        <f t="shared" si="10"/>
        <v>1119736357.9174938</v>
      </c>
      <c r="AD20" s="137">
        <f t="shared" si="10"/>
        <v>1104780990.9174938</v>
      </c>
      <c r="AE20" s="137">
        <f t="shared" si="10"/>
        <v>1115135223.9174938</v>
      </c>
      <c r="AF20" s="121"/>
      <c r="AG20" s="136">
        <f t="shared" si="9"/>
        <v>0</v>
      </c>
      <c r="AH20" s="136">
        <f t="shared" si="9"/>
        <v>0</v>
      </c>
      <c r="AI20" s="136">
        <f t="shared" si="9"/>
        <v>0</v>
      </c>
      <c r="AJ20" s="136">
        <f t="shared" si="9"/>
        <v>0</v>
      </c>
      <c r="AK20" s="136">
        <f t="shared" si="9"/>
        <v>0</v>
      </c>
      <c r="AL20" s="193"/>
      <c r="AM20" s="194"/>
      <c r="AN20" s="194"/>
    </row>
    <row r="21" spans="2:41" s="170" customFormat="1" ht="17" thickTop="1">
      <c r="B21" s="163"/>
      <c r="C21" s="164" t="str">
        <f>IF(B1="EN", "NET CONTRIBUTION Margin (%)", "Tỷ lệ Lãi biến phí (%)")</f>
        <v>Tỷ lệ Lãi biến phí (%)</v>
      </c>
      <c r="E21" s="165"/>
      <c r="F21" s="166"/>
      <c r="G21" s="167"/>
      <c r="H21" s="167"/>
      <c r="I21" s="167"/>
      <c r="J21" s="167"/>
      <c r="K21" s="168"/>
      <c r="L21" s="168"/>
      <c r="M21" s="168"/>
      <c r="N21" s="168">
        <f>IFERROR(N20/N7,)</f>
        <v>5.0709419858011286E-2</v>
      </c>
      <c r="O21" s="168">
        <f t="shared" ref="O21:Q21" si="11">IFERROR(O20/O7,)</f>
        <v>4.8004189773410991E-2</v>
      </c>
      <c r="P21" s="168">
        <f t="shared" si="11"/>
        <v>9.4608978118576437E-2</v>
      </c>
      <c r="Q21" s="168">
        <f t="shared" si="11"/>
        <v>0.14018666327608251</v>
      </c>
      <c r="R21" s="168">
        <f>IFERROR(R20/R7,)</f>
        <v>0.12394267622182965</v>
      </c>
      <c r="S21" s="168"/>
      <c r="T21" s="168">
        <f t="shared" ref="T21:AE21" si="12">IFERROR(T20/T7,)</f>
        <v>0.12003284633267571</v>
      </c>
      <c r="U21" s="168">
        <f t="shared" si="12"/>
        <v>0.10034500818824066</v>
      </c>
      <c r="V21" s="168">
        <f t="shared" si="12"/>
        <v>0.12554667137759176</v>
      </c>
      <c r="W21" s="168">
        <f t="shared" si="12"/>
        <v>0.12606239720895335</v>
      </c>
      <c r="X21" s="168">
        <f t="shared" si="12"/>
        <v>0.12891540625424869</v>
      </c>
      <c r="Y21" s="168">
        <f t="shared" si="12"/>
        <v>0.126775392770935</v>
      </c>
      <c r="Z21" s="168">
        <f t="shared" si="12"/>
        <v>0.1231574523901318</v>
      </c>
      <c r="AA21" s="168">
        <f t="shared" si="12"/>
        <v>0.12178428039755623</v>
      </c>
      <c r="AB21" s="168">
        <f t="shared" si="12"/>
        <v>0.12259044955863593</v>
      </c>
      <c r="AC21" s="168">
        <f t="shared" si="12"/>
        <v>0.12849154514959235</v>
      </c>
      <c r="AD21" s="168">
        <f t="shared" si="12"/>
        <v>0.126775392770935</v>
      </c>
      <c r="AE21" s="168">
        <f t="shared" si="12"/>
        <v>0.12796355763456707</v>
      </c>
      <c r="AF21" s="168"/>
      <c r="AG21" s="168"/>
      <c r="AH21" s="168"/>
      <c r="AI21" s="168"/>
      <c r="AJ21" s="168"/>
      <c r="AK21" s="168"/>
      <c r="AL21" s="169"/>
      <c r="AM21" s="194"/>
    </row>
    <row r="22" spans="2:41" s="196" customFormat="1" outlineLevel="1">
      <c r="B22" s="195"/>
      <c r="C22" s="147" t="str">
        <f>IF(B1="EN", "Net Contribution per Ton (m VND/Ton)", "Lãi biến phí / Tấn (Triệu đồng/Tấn)")</f>
        <v>Lãi biến phí / Tấn (Triệu đồng/Tấn)</v>
      </c>
      <c r="E22" s="197"/>
      <c r="F22" s="149"/>
      <c r="G22" s="198"/>
      <c r="H22" s="198"/>
      <c r="I22" s="198"/>
      <c r="J22" s="198"/>
      <c r="K22" s="151"/>
      <c r="L22" s="151"/>
      <c r="M22" s="151"/>
      <c r="N22" s="152">
        <f t="shared" ref="N22:Q22" si="13">IFERROR(N20/N5,)</f>
        <v>707.93031549750697</v>
      </c>
      <c r="O22" s="152">
        <f t="shared" si="13"/>
        <v>730.82896501471771</v>
      </c>
      <c r="P22" s="152">
        <f t="shared" si="13"/>
        <v>1659.0014454847696</v>
      </c>
      <c r="Q22" s="152">
        <f t="shared" si="13"/>
        <v>2327.2658203435726</v>
      </c>
      <c r="R22" s="152">
        <f>IFERROR(R20/R5,)</f>
        <v>1734.6749431755061</v>
      </c>
      <c r="S22" s="151"/>
      <c r="T22" s="151">
        <f t="shared" ref="T22:AE22" si="14">IFERROR(T20/T5,)</f>
        <v>1679.9538079899528</v>
      </c>
      <c r="U22" s="151">
        <f t="shared" si="14"/>
        <v>1404.4070749718437</v>
      </c>
      <c r="V22" s="151">
        <f t="shared" si="14"/>
        <v>1757.124113150629</v>
      </c>
      <c r="W22" s="151">
        <f t="shared" si="14"/>
        <v>1764.3421005661187</v>
      </c>
      <c r="X22" s="151">
        <f t="shared" si="14"/>
        <v>1804.2721993374992</v>
      </c>
      <c r="Y22" s="151">
        <f t="shared" si="14"/>
        <v>1774.3210325503796</v>
      </c>
      <c r="Z22" s="151">
        <f t="shared" si="14"/>
        <v>1723.6851199188852</v>
      </c>
      <c r="AA22" s="151">
        <f t="shared" si="14"/>
        <v>1704.466501112172</v>
      </c>
      <c r="AB22" s="151">
        <f t="shared" si="14"/>
        <v>1715.7494706777384</v>
      </c>
      <c r="AC22" s="151">
        <f t="shared" si="14"/>
        <v>1798.3399308078276</v>
      </c>
      <c r="AD22" s="151">
        <f t="shared" si="14"/>
        <v>1774.3210325503796</v>
      </c>
      <c r="AE22" s="151">
        <f t="shared" si="14"/>
        <v>1790.9503315144846</v>
      </c>
      <c r="AF22" s="151"/>
      <c r="AG22" s="151"/>
      <c r="AH22" s="151"/>
      <c r="AI22" s="151"/>
      <c r="AJ22" s="151"/>
      <c r="AK22" s="151"/>
      <c r="AL22" s="199"/>
    </row>
    <row r="23" spans="2:41">
      <c r="B23" s="200" t="str">
        <f>IF(B1="en","FACTORY OVERHEAD EXPENSES (FOH)","CHI PHÍ SẢN XUẤT")</f>
        <v>CHI PHÍ SẢN XUẤT</v>
      </c>
      <c r="C23" s="201"/>
      <c r="D23" s="202"/>
      <c r="E23" s="202"/>
      <c r="F23" s="203"/>
      <c r="G23" s="204"/>
      <c r="H23" s="204"/>
      <c r="I23" s="204"/>
      <c r="J23" s="204"/>
      <c r="K23" s="204"/>
      <c r="L23" s="204"/>
      <c r="M23" s="204"/>
      <c r="N23" s="205">
        <f>N24+N26</f>
        <v>2094157795.5</v>
      </c>
      <c r="O23" s="205">
        <f>O24+O26</f>
        <v>2385196776</v>
      </c>
      <c r="P23" s="205">
        <f>P24+P26</f>
        <v>3246845498</v>
      </c>
      <c r="Q23" s="205">
        <f>Q24+Q26</f>
        <v>4258747298</v>
      </c>
      <c r="R23" s="205">
        <f>R24+R26</f>
        <v>4952591369.9514837</v>
      </c>
      <c r="S23" s="206"/>
      <c r="T23" s="205">
        <f t="shared" ref="T23:AE23" si="15">T24+T26</f>
        <v>426116455.18623477</v>
      </c>
      <c r="U23" s="205">
        <f t="shared" si="15"/>
        <v>434809263.28623474</v>
      </c>
      <c r="V23" s="205">
        <f t="shared" si="15"/>
        <v>401762747.75290143</v>
      </c>
      <c r="W23" s="205">
        <f t="shared" si="15"/>
        <v>417065576.91956806</v>
      </c>
      <c r="X23" s="205">
        <f t="shared" si="15"/>
        <v>400416986.11956811</v>
      </c>
      <c r="Y23" s="205">
        <f t="shared" si="15"/>
        <v>426097202.38623476</v>
      </c>
      <c r="Z23" s="205">
        <f t="shared" si="15"/>
        <v>407616075.25290143</v>
      </c>
      <c r="AA23" s="205">
        <f t="shared" si="15"/>
        <v>413182246.83623481</v>
      </c>
      <c r="AB23" s="205">
        <f t="shared" si="15"/>
        <v>408602366.95290148</v>
      </c>
      <c r="AC23" s="205">
        <f t="shared" si="15"/>
        <v>401274900.28623474</v>
      </c>
      <c r="AD23" s="205">
        <f t="shared" si="15"/>
        <v>403398306.58623481</v>
      </c>
      <c r="AE23" s="205">
        <f t="shared" si="15"/>
        <v>412249242.38623476</v>
      </c>
      <c r="AF23" s="161"/>
      <c r="AG23" s="204"/>
      <c r="AH23" s="204"/>
      <c r="AI23" s="204"/>
      <c r="AJ23" s="204"/>
      <c r="AK23" s="204"/>
      <c r="AL23" s="207"/>
      <c r="AM23" s="107"/>
      <c r="AN23" s="107"/>
    </row>
    <row r="24" spans="2:41" s="214" customFormat="1" outlineLevel="1">
      <c r="B24" s="208"/>
      <c r="C24" s="128"/>
      <c r="D24" s="209" t="str">
        <f>IF(B1="en","Salary &amp; Welfare Expenses (FOH)","Chi phí lương sản xuất")</f>
        <v>Chi phí lương sản xuất</v>
      </c>
      <c r="E24" s="210"/>
      <c r="F24" s="211"/>
      <c r="G24" s="182"/>
      <c r="H24" s="182"/>
      <c r="I24" s="182"/>
      <c r="J24" s="182"/>
      <c r="K24" s="178"/>
      <c r="L24" s="178"/>
      <c r="M24" s="178"/>
      <c r="N24" s="177">
        <f>[3]FOH!G38+[3]FOH!G39+[3]FOH!G40+[3]FOH!G44+[3]FOH!G45</f>
        <v>320091240.50000006</v>
      </c>
      <c r="O24" s="177">
        <f>[3]FOH!H38+[3]FOH!H39+[3]FOH!H40+[3]FOH!H44+[3]FOH!H45</f>
        <v>222231447</v>
      </c>
      <c r="P24" s="177">
        <f>[3]FOH!I38+[3]FOH!I39+[3]FOH!I40+[3]FOH!I44+[3]FOH!I45</f>
        <v>1101245498</v>
      </c>
      <c r="Q24" s="177">
        <v>1005626325</v>
      </c>
      <c r="R24" s="177">
        <f>[3]FOH!K38+[3]FOH!K39+[3]FOH!K40+[3]FOH!K44+[3]FOH!K45-AM24</f>
        <v>2098904573.593137</v>
      </c>
      <c r="S24" s="177"/>
      <c r="T24" s="177">
        <f>[3]FOH!T46</f>
        <v>174134542.99387252</v>
      </c>
      <c r="U24" s="177">
        <f>[3]FOH!U46</f>
        <v>194504081.99387252</v>
      </c>
      <c r="V24" s="177">
        <f>[3]FOH!V46</f>
        <v>166744825.16053921</v>
      </c>
      <c r="W24" s="177">
        <f>[3]FOH!W46</f>
        <v>175928438.32720584</v>
      </c>
      <c r="X24" s="177">
        <f>[3]FOH!X46</f>
        <v>168867143.8272059</v>
      </c>
      <c r="Y24" s="177">
        <f>[3]FOH!Y46</f>
        <v>174252739.99387252</v>
      </c>
      <c r="Z24" s="177">
        <f>[3]FOH!Z46</f>
        <v>175356325.66053921</v>
      </c>
      <c r="AA24" s="177">
        <f>[3]FOH!AA46</f>
        <v>176353098.99387252</v>
      </c>
      <c r="AB24" s="177">
        <f>[3]FOH!AB46</f>
        <v>179597610.66053921</v>
      </c>
      <c r="AC24" s="177">
        <f>[3]FOH!AC46</f>
        <v>167235572.99387252</v>
      </c>
      <c r="AD24" s="177">
        <f>[3]FOH!AD46</f>
        <v>175070573.99387252</v>
      </c>
      <c r="AE24" s="177">
        <f>[3]FOH!AE46</f>
        <v>170859618.99387252</v>
      </c>
      <c r="AF24" s="178"/>
      <c r="AG24" s="178"/>
      <c r="AH24" s="178"/>
      <c r="AI24" s="178"/>
      <c r="AJ24" s="178"/>
      <c r="AK24" s="178"/>
      <c r="AL24" s="212"/>
      <c r="AM24" s="213"/>
    </row>
    <row r="25" spans="2:41" outlineLevel="1">
      <c r="B25" s="215"/>
      <c r="C25" s="216"/>
      <c r="D25" s="156"/>
      <c r="E25" s="217" t="str">
        <f>IF(B1="EN", "Growth (%)", "Tăng trưởng (%)")</f>
        <v>Tăng trưởng (%)</v>
      </c>
      <c r="F25" s="218"/>
      <c r="G25" s="219"/>
      <c r="H25" s="219"/>
      <c r="I25" s="219"/>
      <c r="J25" s="219"/>
      <c r="K25" s="220"/>
      <c r="L25" s="220"/>
      <c r="M25" s="220"/>
      <c r="N25" s="220">
        <f>IFERROR(N24/M24-1,)</f>
        <v>0</v>
      </c>
      <c r="O25" s="220">
        <f t="shared" ref="O25:P25" si="16">IFERROR(O24/N24-1,)</f>
        <v>-0.30572468445914891</v>
      </c>
      <c r="P25" s="220">
        <f t="shared" si="16"/>
        <v>3.9553990349529604</v>
      </c>
      <c r="Q25" s="220">
        <f>IFERROR(Q24/O24-1,)</f>
        <v>3.5251306175403698</v>
      </c>
      <c r="R25" s="220">
        <f>IFERROR(R24/Q24-1,)</f>
        <v>1.0871615245286432</v>
      </c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1"/>
      <c r="AH25" s="221"/>
      <c r="AI25" s="221"/>
      <c r="AJ25" s="221"/>
      <c r="AK25" s="221"/>
      <c r="AL25" s="207"/>
    </row>
    <row r="26" spans="2:41" s="214" customFormat="1" outlineLevel="1">
      <c r="B26" s="208"/>
      <c r="C26" s="128"/>
      <c r="D26" s="209" t="str">
        <f>IF(B1="EN","Operating Expenses (FOH)","Chi phí hoạt động sản xuất")</f>
        <v>Chi phí hoạt động sản xuất</v>
      </c>
      <c r="E26" s="210"/>
      <c r="F26" s="211"/>
      <c r="G26" s="182"/>
      <c r="H26" s="182"/>
      <c r="I26" s="182"/>
      <c r="J26" s="182"/>
      <c r="K26" s="178"/>
      <c r="L26" s="178"/>
      <c r="M26" s="178"/>
      <c r="N26" s="177">
        <f>[3]FOH!G37</f>
        <v>1774066555</v>
      </c>
      <c r="O26" s="177">
        <f>[3]FOH!H37</f>
        <v>2162965329</v>
      </c>
      <c r="P26" s="177">
        <f>[3]FOH!I37</f>
        <v>2145600000</v>
      </c>
      <c r="Q26" s="177">
        <v>3253120973</v>
      </c>
      <c r="R26" s="177">
        <f>[3]FOH!K37</f>
        <v>2853686796.3583465</v>
      </c>
      <c r="S26" s="177"/>
      <c r="T26" s="177">
        <f>[3]FOH!T37</f>
        <v>251981912.19236225</v>
      </c>
      <c r="U26" s="177">
        <f>[3]FOH!U37</f>
        <v>240305181.29236224</v>
      </c>
      <c r="V26" s="177">
        <f>[3]FOH!V37</f>
        <v>235017922.59236225</v>
      </c>
      <c r="W26" s="177">
        <f>[3]FOH!W37</f>
        <v>241137138.59236225</v>
      </c>
      <c r="X26" s="177">
        <f>[3]FOH!X37</f>
        <v>231549842.29236224</v>
      </c>
      <c r="Y26" s="177">
        <f>[3]FOH!Y37</f>
        <v>251844462.39236224</v>
      </c>
      <c r="Z26" s="177">
        <f>[3]FOH!Z37</f>
        <v>232259749.59236225</v>
      </c>
      <c r="AA26" s="177">
        <f>[3]FOH!AA37</f>
        <v>236829147.84236225</v>
      </c>
      <c r="AB26" s="177">
        <f>[3]FOH!AB37</f>
        <v>229004756.29236224</v>
      </c>
      <c r="AC26" s="177">
        <f>[3]FOH!AC37</f>
        <v>234039327.29236224</v>
      </c>
      <c r="AD26" s="177">
        <f>[3]FOH!AD37</f>
        <v>228327732.59236225</v>
      </c>
      <c r="AE26" s="177">
        <f>[3]FOH!AE37</f>
        <v>241389623.39236224</v>
      </c>
      <c r="AF26" s="178"/>
      <c r="AG26" s="178"/>
      <c r="AH26" s="178"/>
      <c r="AI26" s="178"/>
      <c r="AJ26" s="178"/>
      <c r="AK26" s="178"/>
      <c r="AL26" s="212"/>
      <c r="AM26" s="222"/>
    </row>
    <row r="27" spans="2:41" outlineLevel="1">
      <c r="B27" s="215"/>
      <c r="C27" s="216"/>
      <c r="D27" s="156"/>
      <c r="E27" s="217" t="str">
        <f>IF(B1="EN", "Growth (%)", "Tăng trưởng (%)")</f>
        <v>Tăng trưởng (%)</v>
      </c>
      <c r="F27" s="218"/>
      <c r="G27" s="219"/>
      <c r="H27" s="219"/>
      <c r="I27" s="219"/>
      <c r="J27" s="219"/>
      <c r="K27" s="220"/>
      <c r="L27" s="220"/>
      <c r="M27" s="220"/>
      <c r="N27" s="220">
        <f>IFERROR(N26/M26-1,)</f>
        <v>0</v>
      </c>
      <c r="O27" s="220">
        <f t="shared" ref="O27:P27" si="17">IFERROR(O26/N26-1,)</f>
        <v>0.21921318166104542</v>
      </c>
      <c r="P27" s="220">
        <f t="shared" si="17"/>
        <v>-8.0284823650078607E-3</v>
      </c>
      <c r="Q27" s="220">
        <f>IFERROR(Q26/O26-1,)</f>
        <v>0.5040097635332923</v>
      </c>
      <c r="R27" s="220">
        <f>IFERROR(R26/Q26-1,)</f>
        <v>-0.12278491330536001</v>
      </c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1"/>
      <c r="AH27" s="221"/>
      <c r="AI27" s="221"/>
      <c r="AJ27" s="221"/>
      <c r="AK27" s="221"/>
      <c r="AL27" s="207"/>
    </row>
    <row r="28" spans="2:41" s="227" customFormat="1" outlineLevel="1">
      <c r="B28" s="223"/>
      <c r="C28" s="164" t="str">
        <f>IF(B1="EN", "FOH Expenses on Net Sales (%)", "Chi phí Sản xuất / Doanh thu (%)")</f>
        <v>Chi phí Sản xuất / Doanh thu (%)</v>
      </c>
      <c r="D28" s="224"/>
      <c r="E28" s="224"/>
      <c r="F28" s="225"/>
      <c r="G28" s="167"/>
      <c r="H28" s="167"/>
      <c r="I28" s="167"/>
      <c r="J28" s="167"/>
      <c r="K28" s="168"/>
      <c r="L28" s="168"/>
      <c r="M28" s="168"/>
      <c r="N28" s="168">
        <f t="shared" ref="N28:P28" si="18">IFERROR(N23/N7,)</f>
        <v>2.6536655154102036E-2</v>
      </c>
      <c r="O28" s="168">
        <f t="shared" si="18"/>
        <v>3.2006138301478672E-2</v>
      </c>
      <c r="P28" s="168">
        <f t="shared" si="18"/>
        <v>3.1262914995432822E-2</v>
      </c>
      <c r="Q28" s="168">
        <f>IFERROR(Q23/Q7,)</f>
        <v>4.1645039319370483E-2</v>
      </c>
      <c r="R28" s="168">
        <f>IFERROR(R23/R7,)</f>
        <v>4.9727808602440748E-2</v>
      </c>
      <c r="S28" s="168"/>
      <c r="T28" s="168">
        <f>T23/T7</f>
        <v>5.7047138741454943E-2</v>
      </c>
      <c r="U28" s="168">
        <f t="shared" ref="U28:AE28" si="19">U23/U7</f>
        <v>7.7614539615056641E-2</v>
      </c>
      <c r="V28" s="168">
        <f t="shared" si="19"/>
        <v>4.9649298954110792E-2</v>
      </c>
      <c r="W28" s="168">
        <f t="shared" si="19"/>
        <v>4.7858944677627517E-2</v>
      </c>
      <c r="X28" s="168">
        <f t="shared" si="19"/>
        <v>4.594849214893245E-2</v>
      </c>
      <c r="Y28" s="168">
        <f t="shared" si="19"/>
        <v>4.8895338202959417E-2</v>
      </c>
      <c r="Z28" s="168">
        <f t="shared" si="19"/>
        <v>4.6774599187317814E-2</v>
      </c>
      <c r="AA28" s="168">
        <f t="shared" si="19"/>
        <v>4.7413326314693062E-2</v>
      </c>
      <c r="AB28" s="168">
        <f t="shared" si="19"/>
        <v>4.6887777743685244E-2</v>
      </c>
      <c r="AC28" s="168">
        <f t="shared" si="19"/>
        <v>4.6046939177200548E-2</v>
      </c>
      <c r="AD28" s="168">
        <f t="shared" si="19"/>
        <v>4.6290603459902609E-2</v>
      </c>
      <c r="AE28" s="168">
        <f t="shared" si="19"/>
        <v>4.7306262555832077E-2</v>
      </c>
      <c r="AF28" s="168"/>
      <c r="AG28" s="168" t="e">
        <f t="shared" ref="AG28:AK28" si="20">AG23/AG7</f>
        <v>#DIV/0!</v>
      </c>
      <c r="AH28" s="168" t="e">
        <f t="shared" si="20"/>
        <v>#DIV/0!</v>
      </c>
      <c r="AI28" s="168" t="e">
        <f t="shared" si="20"/>
        <v>#DIV/0!</v>
      </c>
      <c r="AJ28" s="168" t="e">
        <f t="shared" si="20"/>
        <v>#DIV/0!</v>
      </c>
      <c r="AK28" s="168" t="e">
        <f t="shared" si="20"/>
        <v>#DIV/0!</v>
      </c>
      <c r="AL28" s="226"/>
    </row>
    <row r="29" spans="2:41" s="230" customFormat="1" outlineLevel="1">
      <c r="B29" s="228"/>
      <c r="C29" s="148" t="str">
        <f>IF(B1="EN", "FOH Expenses per Ton (m VND/Ton)", "Chi phí Sản xuất / Tấn (Triệu đồng/Tấn)")</f>
        <v>Chi phí Sản xuất / Tấn (Triệu đồng/Tấn)</v>
      </c>
      <c r="D29" s="210"/>
      <c r="E29" s="148"/>
      <c r="F29" s="149"/>
      <c r="G29" s="229"/>
      <c r="H29" s="229"/>
      <c r="I29" s="229"/>
      <c r="J29" s="229"/>
      <c r="K29" s="151"/>
      <c r="L29" s="151"/>
      <c r="M29" s="151"/>
      <c r="N29" s="152">
        <f t="shared" ref="N29:P29" si="21">IFERROR(N23/N5,)</f>
        <v>370.46573808365298</v>
      </c>
      <c r="O29" s="152">
        <f t="shared" si="21"/>
        <v>487.27023702301096</v>
      </c>
      <c r="P29" s="152">
        <f t="shared" si="21"/>
        <v>548.20612376223119</v>
      </c>
      <c r="Q29" s="152">
        <f>IFERROR(Q23/Q5,)</f>
        <v>691.35732551079707</v>
      </c>
      <c r="R29" s="152">
        <f>IFERROR(R23/R5,)</f>
        <v>695.97967537260877</v>
      </c>
      <c r="S29" s="151"/>
      <c r="T29" s="151">
        <f>T23/T5</f>
        <v>798.41944010911516</v>
      </c>
      <c r="U29" s="151">
        <f t="shared" ref="U29:AE29" si="22">U23/U5</f>
        <v>1086.2763432296165</v>
      </c>
      <c r="V29" s="151">
        <f t="shared" si="22"/>
        <v>694.88087128101597</v>
      </c>
      <c r="W29" s="151">
        <f t="shared" si="22"/>
        <v>669.82345927819495</v>
      </c>
      <c r="X29" s="151">
        <f t="shared" si="22"/>
        <v>643.08517806081761</v>
      </c>
      <c r="Y29" s="151">
        <f t="shared" si="22"/>
        <v>684.32859935153738</v>
      </c>
      <c r="Z29" s="151">
        <f t="shared" si="22"/>
        <v>654.64719385353158</v>
      </c>
      <c r="AA29" s="151">
        <f t="shared" si="22"/>
        <v>663.58668085800173</v>
      </c>
      <c r="AB29" s="151">
        <f t="shared" si="22"/>
        <v>656.23121649867744</v>
      </c>
      <c r="AC29" s="151">
        <f t="shared" si="22"/>
        <v>644.46302141850913</v>
      </c>
      <c r="AD29" s="151">
        <f t="shared" si="22"/>
        <v>647.87329412388146</v>
      </c>
      <c r="AE29" s="151">
        <f t="shared" si="22"/>
        <v>662.0882395988674</v>
      </c>
      <c r="AF29" s="151"/>
      <c r="AG29" s="151" t="e">
        <f t="shared" ref="AG29:AK29" si="23">AG23/AG5</f>
        <v>#DIV/0!</v>
      </c>
      <c r="AH29" s="151" t="e">
        <f t="shared" si="23"/>
        <v>#DIV/0!</v>
      </c>
      <c r="AI29" s="151" t="e">
        <f t="shared" si="23"/>
        <v>#DIV/0!</v>
      </c>
      <c r="AJ29" s="151" t="e">
        <f t="shared" si="23"/>
        <v>#DIV/0!</v>
      </c>
      <c r="AK29" s="151" t="e">
        <f t="shared" si="23"/>
        <v>#DIV/0!</v>
      </c>
      <c r="AL29" s="212"/>
    </row>
    <row r="30" spans="2:41" outlineLevel="1">
      <c r="B30" s="231"/>
      <c r="C30" s="232"/>
      <c r="D30" s="181" t="str">
        <f>IF(B1="EN", "Depreciation &amp; Amortization (FOH)", "Chi phí Khấu hao (Sản xuất)")</f>
        <v>Chi phí Khấu hao (Sản xuất)</v>
      </c>
      <c r="E30" s="156"/>
      <c r="F30" s="157"/>
      <c r="G30" s="233"/>
      <c r="H30" s="233"/>
      <c r="I30" s="233"/>
      <c r="J30" s="233"/>
      <c r="K30" s="234"/>
      <c r="L30" s="234"/>
      <c r="M30" s="234"/>
      <c r="N30" s="185">
        <f>-[3]Depreciation!H37</f>
        <v>1036408270</v>
      </c>
      <c r="O30" s="185">
        <f>-[3]Depreciation!I37</f>
        <v>1382050356</v>
      </c>
      <c r="P30" s="185">
        <f>-[3]Depreciation!J37</f>
        <v>2794084411</v>
      </c>
      <c r="Q30" s="185">
        <v>2039603348</v>
      </c>
      <c r="R30" s="185">
        <f>SUM(T30:AE30)</f>
        <v>1297298099.1021507</v>
      </c>
      <c r="S30" s="234"/>
      <c r="T30" s="185">
        <f>-[3]Depreciation!N37*1000000</f>
        <v>105430110.40905017</v>
      </c>
      <c r="U30" s="185">
        <f>-[3]Depreciation!O37*1000000</f>
        <v>99404465.247759849</v>
      </c>
      <c r="V30" s="185">
        <f>-[3]Depreciation!P37*1000000</f>
        <v>107438658.79614694</v>
      </c>
      <c r="W30" s="185">
        <f>-[3]Depreciation!Q37*1000000</f>
        <v>109447207.18324372</v>
      </c>
      <c r="X30" s="185">
        <f>-[3]Depreciation!R37*1000000</f>
        <v>109447207.18324372</v>
      </c>
      <c r="Y30" s="185">
        <f>-[3]Depreciation!S37*1000000</f>
        <v>109447207.18324372</v>
      </c>
      <c r="Z30" s="185">
        <f>-[3]Depreciation!T37*1000000</f>
        <v>109447207.18324372</v>
      </c>
      <c r="AA30" s="185">
        <f>-[3]Depreciation!U37*1000000</f>
        <v>109447207.18324372</v>
      </c>
      <c r="AB30" s="185">
        <f>-[3]Depreciation!V37*1000000</f>
        <v>109447207.18324372</v>
      </c>
      <c r="AC30" s="185">
        <f>-[3]Depreciation!W37*1000000</f>
        <v>109447207.18324372</v>
      </c>
      <c r="AD30" s="185">
        <f>-[3]Depreciation!X37*1000000</f>
        <v>109447207.18324372</v>
      </c>
      <c r="AE30" s="185">
        <f>-[3]Depreciation!Y37*1000000</f>
        <v>109447207.18324372</v>
      </c>
      <c r="AF30" s="234">
        <f>-[3]Depreciation!Z37</f>
        <v>1297.2980991021504</v>
      </c>
      <c r="AG30" s="234">
        <f>-[3]Depreciation!AA37</f>
        <v>0</v>
      </c>
      <c r="AH30" s="234">
        <f>-[3]Depreciation!AB37</f>
        <v>0</v>
      </c>
      <c r="AI30" s="234">
        <f>-[3]Depreciation!AC37</f>
        <v>0</v>
      </c>
      <c r="AJ30" s="234">
        <f>-[3]Depreciation!AD37</f>
        <v>0</v>
      </c>
      <c r="AK30" s="234">
        <f>-[3]Depreciation!AE37</f>
        <v>0</v>
      </c>
      <c r="AL30" s="207"/>
      <c r="AM30" s="107"/>
      <c r="AN30" s="107"/>
      <c r="AO30" s="235"/>
    </row>
    <row r="31" spans="2:41" s="125" customFormat="1" outlineLevel="1">
      <c r="B31" s="236"/>
      <c r="C31" s="237" t="str">
        <f>IF(B1="EN", "% Depreciation on Net Sales", "% Chi phí Khấu hao / Doanh thu")</f>
        <v>% Chi phí Khấu hao / Doanh thu</v>
      </c>
      <c r="D31" s="143"/>
      <c r="E31" s="143"/>
      <c r="F31" s="129"/>
      <c r="G31" s="130"/>
      <c r="H31" s="130"/>
      <c r="I31" s="130"/>
      <c r="J31" s="130"/>
      <c r="K31" s="131"/>
      <c r="L31" s="131"/>
      <c r="M31" s="131"/>
      <c r="N31" s="131">
        <f t="shared" ref="N31:Q31" si="24">IFERROR(N30/N7,)</f>
        <v>1.3133111993254988E-2</v>
      </c>
      <c r="O31" s="131">
        <f t="shared" si="24"/>
        <v>1.854526019774556E-2</v>
      </c>
      <c r="P31" s="131">
        <f t="shared" si="24"/>
        <v>2.6903412399808924E-2</v>
      </c>
      <c r="Q31" s="131">
        <f t="shared" si="24"/>
        <v>1.9944682245708507E-2</v>
      </c>
      <c r="R31" s="131">
        <f>IFERROR(R30/R7,)</f>
        <v>1.3025866007009968E-2</v>
      </c>
      <c r="S31" s="131"/>
      <c r="T31" s="131">
        <f>T30/T7</f>
        <v>1.4114653547944677E-2</v>
      </c>
      <c r="U31" s="131">
        <f t="shared" ref="U31:AE31" si="25">U30/U7</f>
        <v>1.774394535106039E-2</v>
      </c>
      <c r="V31" s="131">
        <f t="shared" si="25"/>
        <v>1.3277124670302591E-2</v>
      </c>
      <c r="W31" s="131">
        <f t="shared" si="25"/>
        <v>1.2559242775180801E-2</v>
      </c>
      <c r="X31" s="131">
        <f t="shared" si="25"/>
        <v>1.2559242775180801E-2</v>
      </c>
      <c r="Y31" s="131">
        <f t="shared" si="25"/>
        <v>1.2559242775180801E-2</v>
      </c>
      <c r="Z31" s="131">
        <f t="shared" si="25"/>
        <v>1.2559242775180801E-2</v>
      </c>
      <c r="AA31" s="131">
        <f t="shared" si="25"/>
        <v>1.2559242775180801E-2</v>
      </c>
      <c r="AB31" s="131">
        <f t="shared" si="25"/>
        <v>1.2559242775180801E-2</v>
      </c>
      <c r="AC31" s="131">
        <f t="shared" si="25"/>
        <v>1.2559242775180801E-2</v>
      </c>
      <c r="AD31" s="131">
        <f t="shared" si="25"/>
        <v>1.2559242775180801E-2</v>
      </c>
      <c r="AE31" s="131">
        <f t="shared" si="25"/>
        <v>1.2559242775180801E-2</v>
      </c>
      <c r="AF31" s="131"/>
      <c r="AG31" s="131" t="e">
        <f>AG30/AG7</f>
        <v>#DIV/0!</v>
      </c>
      <c r="AH31" s="131" t="e">
        <f>AH30/AH7</f>
        <v>#DIV/0!</v>
      </c>
      <c r="AI31" s="131" t="e">
        <f>AI30/AI7</f>
        <v>#DIV/0!</v>
      </c>
      <c r="AJ31" s="131" t="e">
        <f>AJ30/AJ7</f>
        <v>#DIV/0!</v>
      </c>
      <c r="AK31" s="131" t="e">
        <f>AK30/AK7</f>
        <v>#DIV/0!</v>
      </c>
      <c r="AL31" s="144"/>
    </row>
    <row r="32" spans="2:41">
      <c r="B32" s="238" t="str">
        <f>IF(B1="EN", "COST OF GOODS SOLD", "GIÁ VỐN HÀNG BÁN")</f>
        <v>GIÁ VỐN HÀNG BÁN</v>
      </c>
      <c r="C32" s="172"/>
      <c r="D32" s="172"/>
      <c r="E32" s="172"/>
      <c r="F32" s="239"/>
      <c r="G32" s="240"/>
      <c r="H32" s="241"/>
      <c r="I32" s="240"/>
      <c r="J32" s="240"/>
      <c r="K32" s="175"/>
      <c r="L32" s="175"/>
      <c r="M32" s="175"/>
      <c r="N32" s="176">
        <f>N10+N12+N23+N30</f>
        <v>78044463731</v>
      </c>
      <c r="O32" s="176">
        <f>O10+O12+O23+O30</f>
        <v>74712929986</v>
      </c>
      <c r="P32" s="176">
        <f t="shared" ref="P32:AK32" si="26">P10+P12+P23+P30</f>
        <v>100071341460.66667</v>
      </c>
      <c r="Q32" s="176">
        <f>Q10+Q12+Q23+Q30</f>
        <v>94225455156</v>
      </c>
      <c r="R32" s="176">
        <f>R10+R12+R23+R30</f>
        <v>93499942573.416733</v>
      </c>
      <c r="S32" s="177"/>
      <c r="T32" s="176">
        <f t="shared" si="26"/>
        <v>7104505218.2710466</v>
      </c>
      <c r="U32" s="176">
        <f t="shared" si="26"/>
        <v>5574227186.5996399</v>
      </c>
      <c r="V32" s="176">
        <f t="shared" si="26"/>
        <v>7585288672.4281836</v>
      </c>
      <c r="W32" s="176">
        <f t="shared" si="26"/>
        <v>8142420175.1853189</v>
      </c>
      <c r="X32" s="176">
        <f t="shared" si="26"/>
        <v>8100909108.3853188</v>
      </c>
      <c r="Y32" s="176">
        <f t="shared" si="26"/>
        <v>8145238418.6519861</v>
      </c>
      <c r="Z32" s="176">
        <f t="shared" si="26"/>
        <v>8158285742.518652</v>
      </c>
      <c r="AA32" s="176">
        <f t="shared" si="26"/>
        <v>8175818387.1019859</v>
      </c>
      <c r="AB32" s="176">
        <f t="shared" si="26"/>
        <v>8164213166.2186527</v>
      </c>
      <c r="AC32" s="176">
        <f t="shared" si="26"/>
        <v>8105460749.5519857</v>
      </c>
      <c r="AD32" s="176">
        <f t="shared" si="26"/>
        <v>8122539522.8519859</v>
      </c>
      <c r="AE32" s="176">
        <f t="shared" si="26"/>
        <v>8121036225.6519861</v>
      </c>
      <c r="AF32" s="178"/>
      <c r="AG32" s="175">
        <f>AG10+AG12+AG23+AG30</f>
        <v>0</v>
      </c>
      <c r="AH32" s="175">
        <f t="shared" si="26"/>
        <v>0</v>
      </c>
      <c r="AI32" s="175">
        <f t="shared" si="26"/>
        <v>0</v>
      </c>
      <c r="AJ32" s="175">
        <f t="shared" si="26"/>
        <v>0</v>
      </c>
      <c r="AK32" s="175">
        <f t="shared" si="26"/>
        <v>0</v>
      </c>
      <c r="AL32" s="123"/>
      <c r="AM32" s="107"/>
    </row>
    <row r="33" spans="2:40" s="170" customFormat="1" outlineLevel="1">
      <c r="B33" s="242"/>
      <c r="C33" s="164" t="str">
        <f>IF(B1="EN", "% COGs on Net Sales", "% Giá vốn hàng bán / Doanh thu")</f>
        <v>% Giá vốn hàng bán / Doanh thu</v>
      </c>
      <c r="D33" s="165"/>
      <c r="E33" s="165"/>
      <c r="F33" s="166"/>
      <c r="G33" s="167"/>
      <c r="H33" s="167"/>
      <c r="I33" s="167"/>
      <c r="J33" s="167"/>
      <c r="K33" s="168"/>
      <c r="L33" s="168"/>
      <c r="M33" s="168"/>
      <c r="N33" s="168">
        <f t="shared" ref="N33:Q33" si="27">IFERROR(N32/N7,)</f>
        <v>0.98896034728934579</v>
      </c>
      <c r="O33" s="168">
        <f t="shared" si="27"/>
        <v>1.0025472087258132</v>
      </c>
      <c r="P33" s="168">
        <f t="shared" si="27"/>
        <v>0.96355734927666525</v>
      </c>
      <c r="Q33" s="168">
        <f t="shared" si="27"/>
        <v>0.92140305828899649</v>
      </c>
      <c r="R33" s="168">
        <f>IFERROR(R32/R7,)</f>
        <v>0.93881099838762105</v>
      </c>
      <c r="S33" s="168"/>
      <c r="T33" s="168">
        <f>T32/T7</f>
        <v>0.95112894595672381</v>
      </c>
      <c r="U33" s="168">
        <f t="shared" ref="U33:AE33" si="28">U32/U7</f>
        <v>0.99501347677787633</v>
      </c>
      <c r="V33" s="168">
        <f t="shared" si="28"/>
        <v>0.93737975224682157</v>
      </c>
      <c r="W33" s="168">
        <f t="shared" si="28"/>
        <v>0.93435579024385507</v>
      </c>
      <c r="X33" s="168">
        <f t="shared" si="28"/>
        <v>0.92959232866986463</v>
      </c>
      <c r="Y33" s="168">
        <f t="shared" si="28"/>
        <v>0.93467918820720541</v>
      </c>
      <c r="Z33" s="168">
        <f t="shared" si="28"/>
        <v>0.93617638957236693</v>
      </c>
      <c r="AA33" s="168">
        <f t="shared" si="28"/>
        <v>0.93818828869231774</v>
      </c>
      <c r="AB33" s="168">
        <f t="shared" si="28"/>
        <v>0.93685657096023023</v>
      </c>
      <c r="AC33" s="168">
        <f t="shared" si="28"/>
        <v>0.93011463680278916</v>
      </c>
      <c r="AD33" s="168">
        <f t="shared" si="28"/>
        <v>0.93207445346414852</v>
      </c>
      <c r="AE33" s="168">
        <f t="shared" si="28"/>
        <v>0.93190194769644596</v>
      </c>
      <c r="AF33" s="168"/>
      <c r="AG33" s="168" t="e">
        <f t="shared" ref="AG33:AK33" si="29">AG32/AG7</f>
        <v>#DIV/0!</v>
      </c>
      <c r="AH33" s="168" t="e">
        <f t="shared" si="29"/>
        <v>#DIV/0!</v>
      </c>
      <c r="AI33" s="168" t="e">
        <f t="shared" si="29"/>
        <v>#DIV/0!</v>
      </c>
      <c r="AJ33" s="168" t="e">
        <f t="shared" si="29"/>
        <v>#DIV/0!</v>
      </c>
      <c r="AK33" s="168" t="e">
        <f t="shared" si="29"/>
        <v>#DIV/0!</v>
      </c>
      <c r="AL33" s="169"/>
      <c r="AM33" s="194"/>
    </row>
    <row r="34" spans="2:40" s="141" customFormat="1">
      <c r="B34" s="243" t="str">
        <f>IF(B1="EN", "GROSS PROFIT", "LÃI GỘP")</f>
        <v>LÃI GỘP</v>
      </c>
      <c r="C34" s="244"/>
      <c r="D34" s="244"/>
      <c r="E34" s="244"/>
      <c r="F34" s="245"/>
      <c r="G34" s="246"/>
      <c r="H34" s="246"/>
      <c r="I34" s="246"/>
      <c r="J34" s="246"/>
      <c r="K34" s="247"/>
      <c r="L34" s="247"/>
      <c r="M34" s="247"/>
      <c r="N34" s="248">
        <f>N7-N32</f>
        <v>871201538</v>
      </c>
      <c r="O34" s="248">
        <f>O7-O32</f>
        <v>-189825901</v>
      </c>
      <c r="P34" s="248">
        <f t="shared" ref="P34:AK34" si="30">P7-P32</f>
        <v>3784792827.3333282</v>
      </c>
      <c r="Q34" s="248">
        <f>Q7-Q32</f>
        <v>8037560262</v>
      </c>
      <c r="R34" s="248">
        <f>R7-R32</f>
        <v>6094057426.5832672</v>
      </c>
      <c r="S34" s="138"/>
      <c r="T34" s="248">
        <f t="shared" si="30"/>
        <v>365044781.72895336</v>
      </c>
      <c r="U34" s="248">
        <f t="shared" si="30"/>
        <v>27935313.400360107</v>
      </c>
      <c r="V34" s="248">
        <f t="shared" si="30"/>
        <v>506723827.57181644</v>
      </c>
      <c r="W34" s="248">
        <f t="shared" si="30"/>
        <v>572054824.81468105</v>
      </c>
      <c r="X34" s="248">
        <f t="shared" si="30"/>
        <v>613565891.61468124</v>
      </c>
      <c r="Y34" s="248">
        <f t="shared" si="30"/>
        <v>569236581.34801388</v>
      </c>
      <c r="Z34" s="248">
        <f t="shared" si="30"/>
        <v>556189257.48134804</v>
      </c>
      <c r="AA34" s="248">
        <f t="shared" si="30"/>
        <v>538656612.89801407</v>
      </c>
      <c r="AB34" s="248">
        <f t="shared" si="30"/>
        <v>550261833.78134727</v>
      </c>
      <c r="AC34" s="248">
        <f t="shared" si="30"/>
        <v>609014250.44801426</v>
      </c>
      <c r="AD34" s="248">
        <f t="shared" si="30"/>
        <v>591935477.14801407</v>
      </c>
      <c r="AE34" s="248">
        <f t="shared" si="30"/>
        <v>593438774.34801388</v>
      </c>
      <c r="AF34" s="121"/>
      <c r="AG34" s="247">
        <f t="shared" si="30"/>
        <v>0</v>
      </c>
      <c r="AH34" s="247">
        <f t="shared" si="30"/>
        <v>0</v>
      </c>
      <c r="AI34" s="247">
        <f t="shared" si="30"/>
        <v>0</v>
      </c>
      <c r="AJ34" s="247">
        <f t="shared" si="30"/>
        <v>0</v>
      </c>
      <c r="AK34" s="247">
        <f t="shared" si="30"/>
        <v>0</v>
      </c>
      <c r="AL34" s="139"/>
    </row>
    <row r="35" spans="2:40" s="227" customFormat="1" outlineLevel="1">
      <c r="B35" s="163"/>
      <c r="C35" s="164" t="str">
        <f>IF(B1="EN", "(%) Gross profit Margin", "(%) Tỷ lệ Lãi gộp")</f>
        <v>(%) Tỷ lệ Lãi gộp</v>
      </c>
      <c r="D35" s="165"/>
      <c r="E35" s="165"/>
      <c r="F35" s="166"/>
      <c r="G35" s="167"/>
      <c r="H35" s="167"/>
      <c r="I35" s="167"/>
      <c r="J35" s="167"/>
      <c r="K35" s="168"/>
      <c r="L35" s="168"/>
      <c r="M35" s="168"/>
      <c r="N35" s="168">
        <f t="shared" ref="N35:Q35" si="31">IFERROR(N34/N$7,)</f>
        <v>1.1039652710654258E-2</v>
      </c>
      <c r="O35" s="168">
        <f t="shared" si="31"/>
        <v>-2.5472087258132359E-3</v>
      </c>
      <c r="P35" s="168">
        <f t="shared" si="31"/>
        <v>3.6442650723334691E-2</v>
      </c>
      <c r="Q35" s="168">
        <f t="shared" si="31"/>
        <v>7.8596941711003523E-2</v>
      </c>
      <c r="R35" s="168">
        <f>IFERROR(R34/R$7,)</f>
        <v>6.1189001612378932E-2</v>
      </c>
      <c r="S35" s="168"/>
      <c r="T35" s="168">
        <f>T34/T7</f>
        <v>4.8871054043276151E-2</v>
      </c>
      <c r="U35" s="168">
        <f t="shared" ref="U35:AE35" si="32">U34/U7</f>
        <v>4.9865232221236186E-3</v>
      </c>
      <c r="V35" s="168">
        <f t="shared" si="32"/>
        <v>6.2620247753178385E-2</v>
      </c>
      <c r="W35" s="168">
        <f t="shared" si="32"/>
        <v>6.5644209756144919E-2</v>
      </c>
      <c r="X35" s="168">
        <f t="shared" si="32"/>
        <v>7.0407671330135355E-2</v>
      </c>
      <c r="Y35" s="168">
        <f t="shared" si="32"/>
        <v>6.5320811792794614E-2</v>
      </c>
      <c r="Z35" s="168">
        <f t="shared" si="32"/>
        <v>6.3823610427633112E-2</v>
      </c>
      <c r="AA35" s="168">
        <f t="shared" si="32"/>
        <v>6.1811711307682225E-2</v>
      </c>
      <c r="AB35" s="168">
        <f t="shared" si="32"/>
        <v>6.314342903976973E-2</v>
      </c>
      <c r="AC35" s="168">
        <f t="shared" si="32"/>
        <v>6.9885363197210879E-2</v>
      </c>
      <c r="AD35" s="168">
        <f t="shared" si="32"/>
        <v>6.792554653585145E-2</v>
      </c>
      <c r="AE35" s="168">
        <f t="shared" si="32"/>
        <v>6.8098052303554021E-2</v>
      </c>
      <c r="AF35" s="168"/>
      <c r="AG35" s="168" t="e">
        <f t="shared" ref="AG35:AK35" si="33">AG34/AG$7</f>
        <v>#DIV/0!</v>
      </c>
      <c r="AH35" s="168" t="e">
        <f t="shared" si="33"/>
        <v>#DIV/0!</v>
      </c>
      <c r="AI35" s="168" t="e">
        <f t="shared" si="33"/>
        <v>#DIV/0!</v>
      </c>
      <c r="AJ35" s="168" t="e">
        <f t="shared" si="33"/>
        <v>#DIV/0!</v>
      </c>
      <c r="AK35" s="168" t="e">
        <f t="shared" si="33"/>
        <v>#DIV/0!</v>
      </c>
      <c r="AL35" s="226"/>
    </row>
    <row r="36" spans="2:40">
      <c r="B36" s="171" t="str">
        <f>IF(B1="EN","SELLING &amp; ADMINISTRATIVE EXPENSES (MKT)","CHI PHÍ BÁN HÀNG")</f>
        <v>CHI PHÍ BÁN HÀNG</v>
      </c>
      <c r="C36" s="249"/>
      <c r="D36" s="172"/>
      <c r="E36" s="172"/>
      <c r="F36" s="239"/>
      <c r="G36" s="175"/>
      <c r="H36" s="175"/>
      <c r="I36" s="175"/>
      <c r="J36" s="175"/>
      <c r="K36" s="175"/>
      <c r="L36" s="175"/>
      <c r="M36" s="175"/>
      <c r="N36" s="175">
        <f>N37+N39+N41</f>
        <v>0</v>
      </c>
      <c r="O36" s="175">
        <f>O37+O39+O41</f>
        <v>0</v>
      </c>
      <c r="P36" s="175">
        <f>P37+P39+P41</f>
        <v>0</v>
      </c>
      <c r="Q36" s="175">
        <f>Q37+Q39+Q41</f>
        <v>0</v>
      </c>
      <c r="R36" s="175">
        <f>R37+R39+R41</f>
        <v>0</v>
      </c>
      <c r="S36" s="178"/>
      <c r="T36" s="175">
        <f t="shared" ref="T36:AE36" si="34">T37+T39+T41</f>
        <v>0</v>
      </c>
      <c r="U36" s="175">
        <f t="shared" si="34"/>
        <v>0</v>
      </c>
      <c r="V36" s="175">
        <f t="shared" si="34"/>
        <v>0</v>
      </c>
      <c r="W36" s="175">
        <f t="shared" si="34"/>
        <v>0</v>
      </c>
      <c r="X36" s="175">
        <f t="shared" si="34"/>
        <v>0</v>
      </c>
      <c r="Y36" s="175">
        <f t="shared" si="34"/>
        <v>0</v>
      </c>
      <c r="Z36" s="175">
        <f t="shared" si="34"/>
        <v>0</v>
      </c>
      <c r="AA36" s="175">
        <f t="shared" si="34"/>
        <v>0</v>
      </c>
      <c r="AB36" s="175">
        <f t="shared" si="34"/>
        <v>0</v>
      </c>
      <c r="AC36" s="175">
        <f t="shared" si="34"/>
        <v>0</v>
      </c>
      <c r="AD36" s="175">
        <f t="shared" si="34"/>
        <v>0</v>
      </c>
      <c r="AE36" s="175">
        <f t="shared" si="34"/>
        <v>0</v>
      </c>
      <c r="AF36" s="178"/>
      <c r="AG36" s="175">
        <f>AG37+AG39+AG41</f>
        <v>0</v>
      </c>
      <c r="AH36" s="175">
        <f t="shared" ref="AH36:AK36" si="35">AH37+AH39+AH41</f>
        <v>0</v>
      </c>
      <c r="AI36" s="175">
        <f t="shared" si="35"/>
        <v>0</v>
      </c>
      <c r="AJ36" s="175">
        <f t="shared" si="35"/>
        <v>0</v>
      </c>
      <c r="AK36" s="175">
        <f t="shared" si="35"/>
        <v>0</v>
      </c>
      <c r="AL36" s="162"/>
      <c r="AM36" s="107"/>
      <c r="AN36" s="107"/>
    </row>
    <row r="37" spans="2:40" s="214" customFormat="1" outlineLevel="1">
      <c r="B37" s="126"/>
      <c r="C37" s="128"/>
      <c r="D37" s="209" t="str">
        <f>IF(B1="EN", "Salary&amp;Welfare Expenses (MKT)", "Lương &amp; Phúc lợi (Bán hàng)")</f>
        <v>Lương &amp; Phúc lợi (Bán hàng)</v>
      </c>
      <c r="E37" s="128"/>
      <c r="F37" s="250"/>
      <c r="G37" s="182"/>
      <c r="H37" s="182"/>
      <c r="I37" s="182"/>
      <c r="J37" s="182"/>
      <c r="K37" s="178"/>
      <c r="L37" s="178"/>
      <c r="M37" s="178"/>
      <c r="N37" s="178">
        <f>[3]MKT!G39+[3]MKT!G40</f>
        <v>0</v>
      </c>
      <c r="O37" s="178">
        <f>[3]MKT!H39+[3]MKT!H40</f>
        <v>0</v>
      </c>
      <c r="P37" s="178">
        <f>[3]MKT!I39+[3]MKT!I40</f>
        <v>0</v>
      </c>
      <c r="Q37" s="178">
        <f>[3]MKT!J39+[3]MKT!J40</f>
        <v>0</v>
      </c>
      <c r="R37" s="178">
        <f>[3]MKT!K39+[3]MKT!K40</f>
        <v>0</v>
      </c>
      <c r="S37" s="178"/>
      <c r="T37" s="178">
        <f>[3]MKT!T45-[3]MKT!T43</f>
        <v>0</v>
      </c>
      <c r="U37" s="178">
        <f>[3]MKT!U45-[3]MKT!U43</f>
        <v>0</v>
      </c>
      <c r="V37" s="178">
        <f>[3]MKT!V45-[3]MKT!V43</f>
        <v>0</v>
      </c>
      <c r="W37" s="178">
        <f>[3]MKT!W45-[3]MKT!W43</f>
        <v>0</v>
      </c>
      <c r="X37" s="178">
        <f>[3]MKT!X45-[3]MKT!X43</f>
        <v>0</v>
      </c>
      <c r="Y37" s="178">
        <f>[3]MKT!Y45-[3]MKT!Y43</f>
        <v>0</v>
      </c>
      <c r="Z37" s="178">
        <f>[3]MKT!Z45-[3]MKT!Z43</f>
        <v>0</v>
      </c>
      <c r="AA37" s="178">
        <f>[3]MKT!AA45-[3]MKT!AA43</f>
        <v>0</v>
      </c>
      <c r="AB37" s="178">
        <f>[3]MKT!AB45-[3]MKT!AB43</f>
        <v>0</v>
      </c>
      <c r="AC37" s="178">
        <f>[3]MKT!AC45-[3]MKT!AC43</f>
        <v>0</v>
      </c>
      <c r="AD37" s="178">
        <f>[3]MKT!AD45-[3]MKT!AD43</f>
        <v>0</v>
      </c>
      <c r="AE37" s="178">
        <f>[3]MKT!AE45-[3]MKT!AE43</f>
        <v>0</v>
      </c>
      <c r="AF37" s="178"/>
      <c r="AG37" s="178"/>
      <c r="AH37" s="178"/>
      <c r="AI37" s="178"/>
      <c r="AJ37" s="178"/>
      <c r="AK37" s="178"/>
      <c r="AL37" s="123"/>
    </row>
    <row r="38" spans="2:40" s="125" customFormat="1" outlineLevel="1">
      <c r="B38" s="142"/>
      <c r="C38" s="143"/>
      <c r="D38" s="143"/>
      <c r="E38" s="143"/>
      <c r="F38" s="129" t="str">
        <f>IF(B1="EN", "Growth (%)", "Tăng trưởng (%)")</f>
        <v>Tăng trưởng (%)</v>
      </c>
      <c r="G38" s="130"/>
      <c r="H38" s="130"/>
      <c r="I38" s="130"/>
      <c r="J38" s="130"/>
      <c r="K38" s="131"/>
      <c r="L38" s="131"/>
      <c r="M38" s="131"/>
      <c r="N38" s="131">
        <f>IFERROR(N37/M37-1,)</f>
        <v>0</v>
      </c>
      <c r="O38" s="131">
        <f t="shared" ref="O38:P38" si="36">IFERROR(O37/N37-1,)</f>
        <v>0</v>
      </c>
      <c r="P38" s="131">
        <f t="shared" si="36"/>
        <v>0</v>
      </c>
      <c r="Q38" s="131">
        <f>IFERROR(Q37/O37-1,)</f>
        <v>0</v>
      </c>
      <c r="R38" s="131">
        <f>IFERROR(R37/Q37-1,)</f>
        <v>0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251"/>
      <c r="AH38" s="251"/>
      <c r="AI38" s="251"/>
      <c r="AJ38" s="251"/>
      <c r="AK38" s="251"/>
      <c r="AL38" s="144"/>
    </row>
    <row r="39" spans="2:40" s="214" customFormat="1" outlineLevel="1">
      <c r="B39" s="126"/>
      <c r="C39" s="128"/>
      <c r="D39" s="209" t="str">
        <f>IF(B1="EN", "Operating Expenses (MKT)", "Chi phí hoạt động (Bán hàng)")</f>
        <v>Chi phí hoạt động (Bán hàng)</v>
      </c>
      <c r="E39" s="128"/>
      <c r="F39" s="250"/>
      <c r="G39" s="182"/>
      <c r="H39" s="182"/>
      <c r="I39" s="182"/>
      <c r="J39" s="182"/>
      <c r="K39" s="178"/>
      <c r="L39" s="178"/>
      <c r="M39" s="178"/>
      <c r="N39" s="178">
        <f>[3]MKT!G37</f>
        <v>0</v>
      </c>
      <c r="O39" s="178">
        <f>[3]MKT!H37</f>
        <v>0</v>
      </c>
      <c r="P39" s="178">
        <f>[3]MKT!I37</f>
        <v>0</v>
      </c>
      <c r="Q39" s="178">
        <f>[3]MKT!J37</f>
        <v>0</v>
      </c>
      <c r="R39" s="178">
        <f>[3]MKT!K37</f>
        <v>0</v>
      </c>
      <c r="S39" s="178"/>
      <c r="T39" s="178">
        <f>[3]MKT!T37</f>
        <v>0</v>
      </c>
      <c r="U39" s="178">
        <f>[3]MKT!U37</f>
        <v>0</v>
      </c>
      <c r="V39" s="178">
        <f>[3]MKT!V37</f>
        <v>0</v>
      </c>
      <c r="W39" s="178">
        <f>[3]MKT!W37</f>
        <v>0</v>
      </c>
      <c r="X39" s="178">
        <f>[3]MKT!X37</f>
        <v>0</v>
      </c>
      <c r="Y39" s="178">
        <f>[3]MKT!Y37</f>
        <v>0</v>
      </c>
      <c r="Z39" s="178">
        <f>[3]MKT!Z37</f>
        <v>0</v>
      </c>
      <c r="AA39" s="178">
        <f>[3]MKT!AA37</f>
        <v>0</v>
      </c>
      <c r="AB39" s="178">
        <f>[3]MKT!AB37</f>
        <v>0</v>
      </c>
      <c r="AC39" s="178">
        <f>[3]MKT!AC37</f>
        <v>0</v>
      </c>
      <c r="AD39" s="178">
        <f>[3]MKT!AD37</f>
        <v>0</v>
      </c>
      <c r="AE39" s="178">
        <f>[3]MKT!AE37</f>
        <v>0</v>
      </c>
      <c r="AF39" s="178"/>
      <c r="AG39" s="178"/>
      <c r="AH39" s="178"/>
      <c r="AI39" s="178"/>
      <c r="AJ39" s="178"/>
      <c r="AK39" s="178"/>
      <c r="AL39" s="123"/>
    </row>
    <row r="40" spans="2:40" s="125" customFormat="1" outlineLevel="1">
      <c r="B40" s="126"/>
      <c r="C40" s="128"/>
      <c r="D40" s="128"/>
      <c r="E40" s="128"/>
      <c r="F40" s="129" t="str">
        <f>IF(B1="EN", "Growth (%)", "Tăng trưởng (%)")</f>
        <v>Tăng trưởng (%)</v>
      </c>
      <c r="G40" s="130"/>
      <c r="H40" s="130"/>
      <c r="I40" s="130"/>
      <c r="J40" s="130"/>
      <c r="K40" s="131"/>
      <c r="L40" s="131"/>
      <c r="M40" s="131"/>
      <c r="N40" s="131">
        <f>IFERROR(N39/M39-1,)</f>
        <v>0</v>
      </c>
      <c r="O40" s="131">
        <f t="shared" ref="O40:P40" si="37">IFERROR(O39/N39-1,)</f>
        <v>0</v>
      </c>
      <c r="P40" s="131">
        <f t="shared" si="37"/>
        <v>0</v>
      </c>
      <c r="Q40" s="131">
        <f>IFERROR(Q39/O39-1,)</f>
        <v>0</v>
      </c>
      <c r="R40" s="131">
        <f>IFERROR(R39/Q39-1,)</f>
        <v>0</v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251" t="e">
        <f>AG39/Q39-1</f>
        <v>#DIV/0!</v>
      </c>
      <c r="AH40" s="251" t="e">
        <f t="shared" ref="AH40:AK40" si="38">AH39/AG39-1</f>
        <v>#DIV/0!</v>
      </c>
      <c r="AI40" s="251" t="e">
        <f t="shared" si="38"/>
        <v>#DIV/0!</v>
      </c>
      <c r="AJ40" s="251" t="e">
        <f t="shared" si="38"/>
        <v>#DIV/0!</v>
      </c>
      <c r="AK40" s="251" t="e">
        <f t="shared" si="38"/>
        <v>#DIV/0!</v>
      </c>
      <c r="AL40" s="123"/>
    </row>
    <row r="41" spans="2:40" s="125" customFormat="1" outlineLevel="1">
      <c r="C41" s="128"/>
      <c r="D41" s="209" t="str">
        <f>IF(B1="EN", "Depreciation &amp; Amortization (MKT)", "Chi phí khấu hao (Bán hàng)")</f>
        <v>Chi phí khấu hao (Bán hàng)</v>
      </c>
      <c r="E41" s="128"/>
      <c r="F41" s="252"/>
      <c r="G41" s="253"/>
      <c r="H41" s="253"/>
      <c r="I41" s="253"/>
      <c r="J41" s="253"/>
      <c r="K41" s="254"/>
      <c r="L41" s="254"/>
      <c r="M41" s="254"/>
      <c r="N41" s="255">
        <f>[3]Depreciation!H38</f>
        <v>0</v>
      </c>
      <c r="O41" s="255">
        <f>[3]Depreciation!I38</f>
        <v>0</v>
      </c>
      <c r="P41" s="255">
        <f>[3]Depreciation!J38</f>
        <v>0</v>
      </c>
      <c r="Q41" s="255">
        <f>[3]Depreciation!K38</f>
        <v>0</v>
      </c>
      <c r="R41" s="256">
        <f>[3]Depreciation!L38</f>
        <v>0</v>
      </c>
      <c r="S41" s="255"/>
      <c r="T41" s="256">
        <f>[3]MKT!T43</f>
        <v>0</v>
      </c>
      <c r="U41" s="256">
        <f>[3]MKT!U43</f>
        <v>0</v>
      </c>
      <c r="V41" s="256">
        <f>[3]MKT!V43</f>
        <v>0</v>
      </c>
      <c r="W41" s="256">
        <f>[3]MKT!W43</f>
        <v>0</v>
      </c>
      <c r="X41" s="256">
        <f>[3]MKT!X43</f>
        <v>0</v>
      </c>
      <c r="Y41" s="256">
        <f>[3]MKT!Y43</f>
        <v>0</v>
      </c>
      <c r="Z41" s="256">
        <f>[3]MKT!Z43</f>
        <v>0</v>
      </c>
      <c r="AA41" s="256">
        <f>[3]MKT!AA43</f>
        <v>0</v>
      </c>
      <c r="AB41" s="256">
        <f>[3]MKT!AB43</f>
        <v>0</v>
      </c>
      <c r="AC41" s="256">
        <f>[3]MKT!AC43</f>
        <v>0</v>
      </c>
      <c r="AD41" s="256">
        <f>[3]MKT!AD43</f>
        <v>0</v>
      </c>
      <c r="AE41" s="256">
        <f>[3]MKT!AE43</f>
        <v>0</v>
      </c>
      <c r="AF41" s="255"/>
      <c r="AG41" s="178"/>
      <c r="AH41" s="178"/>
      <c r="AI41" s="178"/>
      <c r="AJ41" s="178"/>
      <c r="AK41" s="178"/>
      <c r="AL41" s="123"/>
    </row>
    <row r="42" spans="2:40" s="227" customFormat="1" outlineLevel="1">
      <c r="B42" s="223"/>
      <c r="C42" s="164" t="str">
        <f>IF(B1="EN", "MKT Expenses on Net Sales (%)", "Chi phí Bán hàng / Doanh thu (%)")</f>
        <v>Chi phí Bán hàng / Doanh thu (%)</v>
      </c>
      <c r="D42" s="224"/>
      <c r="E42" s="224"/>
      <c r="F42" s="225"/>
      <c r="G42" s="167"/>
      <c r="H42" s="167"/>
      <c r="I42" s="167"/>
      <c r="J42" s="167"/>
      <c r="K42" s="168"/>
      <c r="L42" s="168"/>
      <c r="M42" s="168"/>
      <c r="N42" s="168">
        <f>IFERROR(N36/N7,)</f>
        <v>0</v>
      </c>
      <c r="O42" s="168">
        <f t="shared" ref="O42:R42" si="39">IFERROR(O36/O7,)</f>
        <v>0</v>
      </c>
      <c r="P42" s="168">
        <f t="shared" si="39"/>
        <v>0</v>
      </c>
      <c r="Q42" s="168">
        <f t="shared" si="39"/>
        <v>0</v>
      </c>
      <c r="R42" s="168">
        <f t="shared" si="39"/>
        <v>0</v>
      </c>
      <c r="S42" s="168"/>
      <c r="T42" s="168">
        <f>T36/T7</f>
        <v>0</v>
      </c>
      <c r="U42" s="168">
        <f t="shared" ref="U42:AE42" si="40">U36/U7</f>
        <v>0</v>
      </c>
      <c r="V42" s="168">
        <f t="shared" si="40"/>
        <v>0</v>
      </c>
      <c r="W42" s="168">
        <f t="shared" si="40"/>
        <v>0</v>
      </c>
      <c r="X42" s="168">
        <f t="shared" si="40"/>
        <v>0</v>
      </c>
      <c r="Y42" s="168">
        <f t="shared" si="40"/>
        <v>0</v>
      </c>
      <c r="Z42" s="168">
        <f t="shared" si="40"/>
        <v>0</v>
      </c>
      <c r="AA42" s="168">
        <f t="shared" si="40"/>
        <v>0</v>
      </c>
      <c r="AB42" s="168">
        <f t="shared" si="40"/>
        <v>0</v>
      </c>
      <c r="AC42" s="168">
        <f t="shared" si="40"/>
        <v>0</v>
      </c>
      <c r="AD42" s="168">
        <f t="shared" si="40"/>
        <v>0</v>
      </c>
      <c r="AE42" s="168">
        <f t="shared" si="40"/>
        <v>0</v>
      </c>
      <c r="AF42" s="168"/>
      <c r="AG42" s="168" t="e">
        <f t="shared" ref="AG42:AK42" si="41">AG36/AG7</f>
        <v>#DIV/0!</v>
      </c>
      <c r="AH42" s="168" t="e">
        <f t="shared" si="41"/>
        <v>#DIV/0!</v>
      </c>
      <c r="AI42" s="168" t="e">
        <f t="shared" si="41"/>
        <v>#DIV/0!</v>
      </c>
      <c r="AJ42" s="168" t="e">
        <f t="shared" si="41"/>
        <v>#DIV/0!</v>
      </c>
      <c r="AK42" s="168" t="e">
        <f t="shared" si="41"/>
        <v>#DIV/0!</v>
      </c>
      <c r="AL42" s="226"/>
    </row>
    <row r="43" spans="2:40">
      <c r="B43" s="171" t="str">
        <f>IF(B1="en","GENERAL &amp; ADMINISTRATION EXPENSES (ADM)","CHI PHÍ QUẢN LÝ")</f>
        <v>CHI PHÍ QUẢN LÝ</v>
      </c>
      <c r="C43" s="172"/>
      <c r="D43" s="172"/>
      <c r="E43" s="172"/>
      <c r="F43" s="239"/>
      <c r="G43" s="175"/>
      <c r="H43" s="175"/>
      <c r="I43" s="175"/>
      <c r="J43" s="175"/>
      <c r="K43" s="175"/>
      <c r="L43" s="175"/>
      <c r="M43" s="175"/>
      <c r="N43" s="176">
        <f>N44+N46+N48</f>
        <v>1414416772</v>
      </c>
      <c r="O43" s="176">
        <f>O44+O46+O48</f>
        <v>2036034770</v>
      </c>
      <c r="P43" s="176">
        <f>P44+P46+P48</f>
        <v>3677209651.9999852</v>
      </c>
      <c r="Q43" s="176">
        <f>Q44+Q46+Q48</f>
        <v>4197280868</v>
      </c>
      <c r="R43" s="176">
        <f>R44+R46+R48</f>
        <v>4292838083.3413701</v>
      </c>
      <c r="S43" s="177"/>
      <c r="T43" s="176">
        <f t="shared" ref="T43:AE43" si="42">T44+T46+T48</f>
        <v>378592319.54256791</v>
      </c>
      <c r="U43" s="176">
        <f t="shared" si="42"/>
        <v>376999091.34534574</v>
      </c>
      <c r="V43" s="176">
        <f t="shared" si="42"/>
        <v>352798410.34534574</v>
      </c>
      <c r="W43" s="176">
        <f t="shared" si="42"/>
        <v>354484508.34534574</v>
      </c>
      <c r="X43" s="176">
        <f t="shared" si="42"/>
        <v>358145654.34534574</v>
      </c>
      <c r="Y43" s="176">
        <f t="shared" si="42"/>
        <v>353846826.34534574</v>
      </c>
      <c r="Z43" s="176">
        <f t="shared" si="42"/>
        <v>353706738.34534574</v>
      </c>
      <c r="AA43" s="176">
        <f t="shared" si="42"/>
        <v>352062254.34534574</v>
      </c>
      <c r="AB43" s="176">
        <f t="shared" si="42"/>
        <v>352427137.34534574</v>
      </c>
      <c r="AC43" s="176">
        <f t="shared" si="42"/>
        <v>349640791.34534574</v>
      </c>
      <c r="AD43" s="176">
        <f t="shared" si="42"/>
        <v>351542637.34534574</v>
      </c>
      <c r="AE43" s="176">
        <f t="shared" si="42"/>
        <v>358591714.34534574</v>
      </c>
      <c r="AF43" s="178"/>
      <c r="AG43" s="175">
        <f>AG44+AG46+AG48</f>
        <v>0</v>
      </c>
      <c r="AH43" s="175">
        <f t="shared" ref="AH43:AK43" si="43">AH44+AH46+AH48</f>
        <v>0</v>
      </c>
      <c r="AI43" s="175">
        <f t="shared" si="43"/>
        <v>0</v>
      </c>
      <c r="AJ43" s="175">
        <f t="shared" si="43"/>
        <v>0</v>
      </c>
      <c r="AK43" s="175">
        <f t="shared" si="43"/>
        <v>0</v>
      </c>
      <c r="AL43" s="162"/>
      <c r="AM43" s="107"/>
      <c r="AN43" s="107"/>
    </row>
    <row r="44" spans="2:40" s="214" customFormat="1" outlineLevel="1">
      <c r="B44" s="126"/>
      <c r="C44" s="128"/>
      <c r="D44" s="209" t="str">
        <f>IF(B1="EN", "Salary&amp;Welfare Expenses (ADM)", "Lương &amp; Phúc lợi (Quản lý)")</f>
        <v>Lương &amp; Phúc lợi (Quản lý)</v>
      </c>
      <c r="E44" s="128"/>
      <c r="F44" s="250"/>
      <c r="G44" s="182"/>
      <c r="H44" s="182"/>
      <c r="I44" s="182"/>
      <c r="J44" s="182"/>
      <c r="K44" s="178"/>
      <c r="L44" s="178"/>
      <c r="M44" s="178"/>
      <c r="N44" s="177">
        <f>[3]ADM!G39+[3]ADM!G40+[3]ADM!G38</f>
        <v>1191465336</v>
      </c>
      <c r="O44" s="177">
        <f>[3]ADM!H39+[3]ADM!H40+[3]ADM!H38</f>
        <v>1437283377</v>
      </c>
      <c r="P44" s="177">
        <f>[3]ADM!I39+[3]ADM!I40+[3]ADM!I38</f>
        <v>3225209651.9999852</v>
      </c>
      <c r="Q44" s="177">
        <v>3223671987</v>
      </c>
      <c r="R44" s="177">
        <f>SUM(T44:AE44)</f>
        <v>3754914970.1594334</v>
      </c>
      <c r="S44" s="177"/>
      <c r="T44" s="177">
        <f>[3]ADM!T45-[3]ADM!T43</f>
        <v>326040854.67995286</v>
      </c>
      <c r="U44" s="177">
        <f>[3]ADM!U45-[3]ADM!U43</f>
        <v>331615777.67995286</v>
      </c>
      <c r="V44" s="177">
        <f>[3]ADM!V45-[3]ADM!V43</f>
        <v>308233008.67995286</v>
      </c>
      <c r="W44" s="177">
        <f>[3]ADM!W45-[3]ADM!W43</f>
        <v>311085777.67995286</v>
      </c>
      <c r="X44" s="177">
        <f>[3]ADM!X45-[3]ADM!X43</f>
        <v>310501931.67995286</v>
      </c>
      <c r="Y44" s="177">
        <f>[3]ADM!Y45-[3]ADM!Y43</f>
        <v>311085777.67995286</v>
      </c>
      <c r="Z44" s="177">
        <f>[3]ADM!Z45-[3]ADM!Z43</f>
        <v>310134854.67995286</v>
      </c>
      <c r="AA44" s="177">
        <f>[3]ADM!AA45-[3]ADM!AA43</f>
        <v>310134853.67995286</v>
      </c>
      <c r="AB44" s="177">
        <f>[3]ADM!AB45-[3]ADM!AB43</f>
        <v>310042725.67995286</v>
      </c>
      <c r="AC44" s="177">
        <f>[3]ADM!AC45-[3]ADM!AC43</f>
        <v>307728879.67995286</v>
      </c>
      <c r="AD44" s="177">
        <f>[3]ADM!AD45-[3]ADM!AD43</f>
        <v>309630725.67995286</v>
      </c>
      <c r="AE44" s="177">
        <f>[3]ADM!AE45-[3]ADM!AE43</f>
        <v>308679802.67995286</v>
      </c>
      <c r="AF44" s="178"/>
      <c r="AG44" s="178"/>
      <c r="AH44" s="178"/>
      <c r="AI44" s="178"/>
      <c r="AJ44" s="178"/>
      <c r="AK44" s="178"/>
      <c r="AL44" s="123"/>
      <c r="AM44" s="257"/>
      <c r="AN44" s="258"/>
    </row>
    <row r="45" spans="2:40" s="125" customFormat="1" outlineLevel="1">
      <c r="B45" s="126"/>
      <c r="C45" s="128"/>
      <c r="D45" s="128"/>
      <c r="E45" s="128"/>
      <c r="F45" s="129" t="str">
        <f>IF(B1="EN", "Growth (%)", "Tăng trưởng (%)")</f>
        <v>Tăng trưởng (%)</v>
      </c>
      <c r="G45" s="182"/>
      <c r="H45" s="130"/>
      <c r="I45" s="130"/>
      <c r="J45" s="130"/>
      <c r="K45" s="131"/>
      <c r="L45" s="131"/>
      <c r="M45" s="131"/>
      <c r="N45" s="131">
        <f>IFERROR(N44/M44-1,)</f>
        <v>0</v>
      </c>
      <c r="O45" s="131">
        <f t="shared" ref="O45:P45" si="44">IFERROR(O44/N44-1,)</f>
        <v>0.20631573036380813</v>
      </c>
      <c r="P45" s="131">
        <f t="shared" si="44"/>
        <v>1.2439622579730045</v>
      </c>
      <c r="Q45" s="131">
        <f>IFERROR(Q44/O44-1,)</f>
        <v>1.2428924167540831</v>
      </c>
      <c r="R45" s="131">
        <f>IFERROR(R44/Q44-1,)</f>
        <v>0.16479436658002422</v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251"/>
      <c r="AH45" s="251"/>
      <c r="AI45" s="251"/>
      <c r="AJ45" s="251"/>
      <c r="AK45" s="251"/>
      <c r="AL45" s="123"/>
    </row>
    <row r="46" spans="2:40" s="214" customFormat="1" outlineLevel="1">
      <c r="B46" s="126"/>
      <c r="C46" s="128"/>
      <c r="D46" s="209" t="str">
        <f>IF(B1="EN", "Operating Expenses (ADM)", "Chi phí hoạt động (Quản lý)")</f>
        <v>Chi phí hoạt động (Quản lý)</v>
      </c>
      <c r="E46" s="128"/>
      <c r="F46" s="250"/>
      <c r="G46" s="182"/>
      <c r="H46" s="182"/>
      <c r="I46" s="182"/>
      <c r="J46" s="182"/>
      <c r="K46" s="178"/>
      <c r="L46" s="178"/>
      <c r="M46" s="178"/>
      <c r="N46" s="177">
        <f>[3]ADM!G37</f>
        <v>222951436</v>
      </c>
      <c r="O46" s="177">
        <f>[3]ADM!H37</f>
        <v>585003451</v>
      </c>
      <c r="P46" s="177">
        <f>[3]ADM!I37</f>
        <v>392000000</v>
      </c>
      <c r="Q46" s="177">
        <v>882287894</v>
      </c>
      <c r="R46" s="177">
        <f>[3]ADM!K37</f>
        <v>473988213.18193668</v>
      </c>
      <c r="S46" s="178"/>
      <c r="T46" s="177">
        <f>[3]ADM!T37</f>
        <v>47223556.529281765</v>
      </c>
      <c r="U46" s="177">
        <f>[3]ADM!U37</f>
        <v>40055405.33205954</v>
      </c>
      <c r="V46" s="177">
        <f>[3]ADM!V37</f>
        <v>39237493.33205954</v>
      </c>
      <c r="W46" s="177">
        <f>[3]ADM!W37</f>
        <v>38070822.33205954</v>
      </c>
      <c r="X46" s="177">
        <f>[3]ADM!X37</f>
        <v>42315814.33205954</v>
      </c>
      <c r="Y46" s="177">
        <f>[3]ADM!Y37</f>
        <v>37433140.33205954</v>
      </c>
      <c r="Z46" s="177">
        <f>[3]ADM!Z37</f>
        <v>38243975.33205954</v>
      </c>
      <c r="AA46" s="177">
        <f>[3]ADM!AA37</f>
        <v>36599492.33205954</v>
      </c>
      <c r="AB46" s="177">
        <f>[3]ADM!AB37</f>
        <v>37056503.33205954</v>
      </c>
      <c r="AC46" s="177">
        <f>[3]ADM!AC37</f>
        <v>36584003.33205954</v>
      </c>
      <c r="AD46" s="177">
        <f>[3]ADM!AD37</f>
        <v>36584003.33205954</v>
      </c>
      <c r="AE46" s="177">
        <f>[3]ADM!AE37</f>
        <v>44584003.33205954</v>
      </c>
      <c r="AF46" s="178"/>
      <c r="AG46" s="178"/>
      <c r="AH46" s="178"/>
      <c r="AI46" s="178"/>
      <c r="AJ46" s="178"/>
      <c r="AK46" s="178"/>
      <c r="AL46" s="123"/>
    </row>
    <row r="47" spans="2:40" s="125" customFormat="1" outlineLevel="1">
      <c r="B47" s="126"/>
      <c r="C47" s="128"/>
      <c r="D47" s="128"/>
      <c r="E47" s="128"/>
      <c r="F47" s="129" t="str">
        <f>IF(B1="EN", "Growth (%)", "Tăng trưởng (%)")</f>
        <v>Tăng trưởng (%)</v>
      </c>
      <c r="G47" s="182"/>
      <c r="H47" s="130"/>
      <c r="I47" s="130"/>
      <c r="J47" s="130"/>
      <c r="K47" s="131"/>
      <c r="L47" s="131"/>
      <c r="M47" s="131"/>
      <c r="N47" s="131">
        <f>IFERROR(N46/M46-1,)</f>
        <v>0</v>
      </c>
      <c r="O47" s="131">
        <f t="shared" ref="O47:P47" si="45">IFERROR(O46/N46-1,)</f>
        <v>1.623905284018893</v>
      </c>
      <c r="P47" s="131">
        <f t="shared" si="45"/>
        <v>-0.32991848282276204</v>
      </c>
      <c r="Q47" s="131">
        <f>IFERROR(Q46/O46-1,)</f>
        <v>0.50817553724140341</v>
      </c>
      <c r="R47" s="131">
        <f>IFERROR(R46/Q46-1,)</f>
        <v>-0.4627737540033201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251"/>
      <c r="AH47" s="251"/>
      <c r="AI47" s="251"/>
      <c r="AJ47" s="251"/>
      <c r="AK47" s="251"/>
      <c r="AL47" s="123"/>
    </row>
    <row r="48" spans="2:40" s="125" customFormat="1" outlineLevel="1">
      <c r="B48" s="126"/>
      <c r="C48" s="128"/>
      <c r="D48" s="209" t="str">
        <f>IF(B1="EN", "Depreciation &amp; Amortization (ADM)", "Chi phí khấu hao (Quản lý)")</f>
        <v>Chi phí khấu hao (Quản lý)</v>
      </c>
      <c r="E48" s="128"/>
      <c r="F48" s="129"/>
      <c r="G48" s="182"/>
      <c r="H48" s="130"/>
      <c r="I48" s="130"/>
      <c r="J48" s="130"/>
      <c r="K48" s="254"/>
      <c r="L48" s="254"/>
      <c r="M48" s="254"/>
      <c r="N48" s="259">
        <f>[3]Depreciation!H39</f>
        <v>0</v>
      </c>
      <c r="O48" s="177">
        <f>-[3]Depreciation!I39</f>
        <v>13747942</v>
      </c>
      <c r="P48" s="177">
        <f>-[3]Depreciation!J39</f>
        <v>60000000</v>
      </c>
      <c r="Q48" s="177">
        <v>91320987</v>
      </c>
      <c r="R48" s="177">
        <f>-[3]Depreciation!L39*1000000</f>
        <v>63934900.000000022</v>
      </c>
      <c r="S48" s="254"/>
      <c r="T48" s="177">
        <f>[3]ADM!T43</f>
        <v>5327908.3333333349</v>
      </c>
      <c r="U48" s="177">
        <f>[3]ADM!U43</f>
        <v>5327908.3333333349</v>
      </c>
      <c r="V48" s="177">
        <f>[3]ADM!V43</f>
        <v>5327908.3333333349</v>
      </c>
      <c r="W48" s="177">
        <f>[3]ADM!W43</f>
        <v>5327908.3333333349</v>
      </c>
      <c r="X48" s="177">
        <f>[3]ADM!X43</f>
        <v>5327908.3333333349</v>
      </c>
      <c r="Y48" s="177">
        <f>[3]ADM!Y43</f>
        <v>5327908.3333333349</v>
      </c>
      <c r="Z48" s="177">
        <f>[3]ADM!Z43</f>
        <v>5327908.3333333349</v>
      </c>
      <c r="AA48" s="177">
        <f>[3]ADM!AA43</f>
        <v>5327908.3333333349</v>
      </c>
      <c r="AB48" s="177">
        <f>[3]ADM!AB43</f>
        <v>5327908.3333333349</v>
      </c>
      <c r="AC48" s="177">
        <f>[3]ADM!AC43</f>
        <v>5327908.3333333349</v>
      </c>
      <c r="AD48" s="177">
        <f>[3]ADM!AD43</f>
        <v>5327908.3333333349</v>
      </c>
      <c r="AE48" s="177">
        <f>[3]ADM!AE43</f>
        <v>5327908.3333333349</v>
      </c>
      <c r="AF48" s="254"/>
      <c r="AG48" s="260"/>
      <c r="AH48" s="260"/>
      <c r="AI48" s="260"/>
      <c r="AJ48" s="260"/>
      <c r="AK48" s="260"/>
      <c r="AL48" s="123"/>
    </row>
    <row r="49" spans="2:45" s="170" customFormat="1" outlineLevel="1">
      <c r="B49" s="163"/>
      <c r="C49" s="164" t="str">
        <f>IF(B1="EN", "ADM Expenses on Net Sales (%)", "Chi phí Quản lý / Doanh thu (%)")</f>
        <v>Chi phí Quản lý / Doanh thu (%)</v>
      </c>
      <c r="D49" s="165"/>
      <c r="E49" s="165"/>
      <c r="F49" s="166"/>
      <c r="G49" s="167"/>
      <c r="H49" s="167"/>
      <c r="I49" s="167"/>
      <c r="J49" s="167"/>
      <c r="K49" s="168"/>
      <c r="L49" s="168"/>
      <c r="M49" s="168"/>
      <c r="N49" s="168">
        <f t="shared" ref="N49:Q49" si="46">IFERROR(N43/N7,)</f>
        <v>1.7923143233712528E-2</v>
      </c>
      <c r="O49" s="168">
        <f t="shared" si="46"/>
        <v>2.7320852975712438E-2</v>
      </c>
      <c r="P49" s="168">
        <f t="shared" si="46"/>
        <v>3.5406764147439158E-2</v>
      </c>
      <c r="Q49" s="168">
        <f t="shared" si="46"/>
        <v>4.1043977148958667E-2</v>
      </c>
      <c r="R49" s="168">
        <f>IFERROR(R43/R7,)</f>
        <v>4.3103380558481133E-2</v>
      </c>
      <c r="S49" s="168"/>
      <c r="T49" s="168">
        <f>T43/T7</f>
        <v>5.0684756048566232E-2</v>
      </c>
      <c r="U49" s="168">
        <f t="shared" ref="U49:AE49" si="47">U43/U7</f>
        <v>6.7295279518461981E-2</v>
      </c>
      <c r="V49" s="168">
        <f t="shared" si="47"/>
        <v>4.3598352121347529E-2</v>
      </c>
      <c r="W49" s="168">
        <f t="shared" si="47"/>
        <v>4.0677666565724926E-2</v>
      </c>
      <c r="X49" s="168">
        <f t="shared" si="47"/>
        <v>4.1097788948312522E-2</v>
      </c>
      <c r="Y49" s="168">
        <f t="shared" si="47"/>
        <v>4.06044915322318E-2</v>
      </c>
      <c r="Z49" s="168">
        <f t="shared" si="47"/>
        <v>4.058841620927775E-2</v>
      </c>
      <c r="AA49" s="168">
        <f t="shared" si="47"/>
        <v>4.0399709029556655E-2</v>
      </c>
      <c r="AB49" s="168">
        <f t="shared" si="47"/>
        <v>4.0441579939737703E-2</v>
      </c>
      <c r="AC49" s="168">
        <f t="shared" si="47"/>
        <v>4.0121842261908576E-2</v>
      </c>
      <c r="AD49" s="168">
        <f t="shared" si="47"/>
        <v>4.0340082144402933E-2</v>
      </c>
      <c r="AE49" s="168">
        <f t="shared" si="47"/>
        <v>4.1148975049598024E-2</v>
      </c>
      <c r="AF49" s="168"/>
      <c r="AG49" s="168" t="e">
        <f t="shared" ref="AG49:AK49" si="48">AG43/AG7</f>
        <v>#DIV/0!</v>
      </c>
      <c r="AH49" s="168" t="e">
        <f t="shared" si="48"/>
        <v>#DIV/0!</v>
      </c>
      <c r="AI49" s="168" t="e">
        <f t="shared" si="48"/>
        <v>#DIV/0!</v>
      </c>
      <c r="AJ49" s="168" t="e">
        <f t="shared" si="48"/>
        <v>#DIV/0!</v>
      </c>
      <c r="AK49" s="168" t="e">
        <f t="shared" si="48"/>
        <v>#DIV/0!</v>
      </c>
      <c r="AL49" s="169"/>
    </row>
    <row r="50" spans="2:45" s="192" customFormat="1" outlineLevel="1">
      <c r="B50" s="142"/>
      <c r="C50" s="237"/>
      <c r="E50" s="143"/>
      <c r="F50" s="188"/>
      <c r="G50" s="261"/>
      <c r="H50" s="261"/>
      <c r="I50" s="261"/>
      <c r="J50" s="261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144"/>
      <c r="AN50" s="263"/>
    </row>
    <row r="51" spans="2:45" s="141" customFormat="1">
      <c r="B51" s="243" t="s">
        <v>111</v>
      </c>
      <c r="C51" s="264"/>
      <c r="D51" s="264"/>
      <c r="E51" s="264"/>
      <c r="F51" s="265"/>
      <c r="G51" s="247"/>
      <c r="H51" s="247"/>
      <c r="I51" s="247"/>
      <c r="J51" s="247"/>
      <c r="K51" s="247"/>
      <c r="L51" s="247"/>
      <c r="M51" s="247"/>
      <c r="N51" s="248">
        <f>N34-N36-N43</f>
        <v>-543215234</v>
      </c>
      <c r="O51" s="248">
        <f>O34-O36-O43</f>
        <v>-2225860671</v>
      </c>
      <c r="P51" s="248">
        <f t="shared" ref="P51" si="49">P34-P36-P43</f>
        <v>107583175.33334303</v>
      </c>
      <c r="Q51" s="248">
        <f>Q34-Q36-Q43</f>
        <v>3840279394</v>
      </c>
      <c r="R51" s="248">
        <f>R34-R36-R43</f>
        <v>1801219343.2418971</v>
      </c>
      <c r="S51" s="138"/>
      <c r="T51" s="248">
        <f t="shared" ref="T51:AK51" si="50">T34-T36-T43</f>
        <v>-13547537.813614547</v>
      </c>
      <c r="U51" s="248">
        <f t="shared" si="50"/>
        <v>-349063777.94498563</v>
      </c>
      <c r="V51" s="248">
        <f t="shared" si="50"/>
        <v>153925417.22647071</v>
      </c>
      <c r="W51" s="248">
        <f t="shared" si="50"/>
        <v>217570316.46933532</v>
      </c>
      <c r="X51" s="248">
        <f t="shared" si="50"/>
        <v>255420237.26933551</v>
      </c>
      <c r="Y51" s="248">
        <f t="shared" si="50"/>
        <v>215389755.00266814</v>
      </c>
      <c r="Z51" s="248">
        <f t="shared" si="50"/>
        <v>202482519.1360023</v>
      </c>
      <c r="AA51" s="248">
        <f t="shared" si="50"/>
        <v>186594358.55266833</v>
      </c>
      <c r="AB51" s="248">
        <f t="shared" si="50"/>
        <v>197834696.43600154</v>
      </c>
      <c r="AC51" s="248">
        <f t="shared" si="50"/>
        <v>259373459.10266852</v>
      </c>
      <c r="AD51" s="248">
        <f t="shared" si="50"/>
        <v>240392839.80266833</v>
      </c>
      <c r="AE51" s="248">
        <f t="shared" si="50"/>
        <v>234847060.00266814</v>
      </c>
      <c r="AF51" s="121"/>
      <c r="AG51" s="247">
        <f t="shared" si="50"/>
        <v>0</v>
      </c>
      <c r="AH51" s="247">
        <f t="shared" si="50"/>
        <v>0</v>
      </c>
      <c r="AI51" s="247">
        <f t="shared" si="50"/>
        <v>0</v>
      </c>
      <c r="AJ51" s="247">
        <f t="shared" si="50"/>
        <v>0</v>
      </c>
      <c r="AK51" s="247">
        <f t="shared" si="50"/>
        <v>0</v>
      </c>
      <c r="AL51" s="139"/>
      <c r="AM51" s="266"/>
    </row>
    <row r="52" spans="2:45" outlineLevel="1">
      <c r="B52" s="142"/>
      <c r="C52" s="143" t="str">
        <f>IF(B1="EN", "EBIT margin (%)", "Tỷ lệ EBIT (%)")</f>
        <v>Tỷ lệ EBIT (%)</v>
      </c>
      <c r="D52" s="143"/>
      <c r="E52" s="143"/>
      <c r="F52" s="188"/>
      <c r="G52" s="130"/>
      <c r="H52" s="130"/>
      <c r="I52" s="130"/>
      <c r="J52" s="130"/>
      <c r="K52" s="131"/>
      <c r="L52" s="131"/>
      <c r="M52" s="131"/>
      <c r="N52" s="131">
        <f t="shared" ref="N52:Q52" si="51">IFERROR(N51/N$7,)</f>
        <v>-6.8834905230582676E-3</v>
      </c>
      <c r="O52" s="131">
        <f t="shared" si="51"/>
        <v>-2.9868061701525672E-2</v>
      </c>
      <c r="P52" s="131">
        <f t="shared" si="51"/>
        <v>1.0358865758955335E-3</v>
      </c>
      <c r="Q52" s="131">
        <f t="shared" si="51"/>
        <v>3.7552964562044849E-2</v>
      </c>
      <c r="R52" s="131">
        <f>IFERROR(R51/R$7,)</f>
        <v>1.8085621053897796E-2</v>
      </c>
      <c r="S52" s="131"/>
      <c r="T52" s="131">
        <f>T51/T7</f>
        <v>-1.8137020052900841E-3</v>
      </c>
      <c r="U52" s="131">
        <f t="shared" ref="U52:AE52" si="52">U51/U7</f>
        <v>-6.2308756296338356E-2</v>
      </c>
      <c r="V52" s="131">
        <f t="shared" si="52"/>
        <v>1.9021895631830859E-2</v>
      </c>
      <c r="W52" s="131">
        <f t="shared" si="52"/>
        <v>2.496654319042E-2</v>
      </c>
      <c r="X52" s="131">
        <f t="shared" si="52"/>
        <v>2.9309882381822829E-2</v>
      </c>
      <c r="Y52" s="131">
        <f t="shared" si="52"/>
        <v>2.4716320260562814E-2</v>
      </c>
      <c r="Z52" s="131">
        <f t="shared" si="52"/>
        <v>2.3235194218355359E-2</v>
      </c>
      <c r="AA52" s="131">
        <f t="shared" si="52"/>
        <v>2.1412002278125571E-2</v>
      </c>
      <c r="AB52" s="131">
        <f t="shared" si="52"/>
        <v>2.2701849100032021E-2</v>
      </c>
      <c r="AC52" s="131">
        <f t="shared" si="52"/>
        <v>2.9763520935302303E-2</v>
      </c>
      <c r="AD52" s="131">
        <f t="shared" si="52"/>
        <v>2.758546439144852E-2</v>
      </c>
      <c r="AE52" s="131">
        <f t="shared" si="52"/>
        <v>2.6949077253955993E-2</v>
      </c>
      <c r="AF52" s="131"/>
      <c r="AG52" s="131" t="e">
        <f t="shared" ref="AG52:AK52" si="53">AG51/AG$7</f>
        <v>#DIV/0!</v>
      </c>
      <c r="AH52" s="131" t="e">
        <f t="shared" si="53"/>
        <v>#DIV/0!</v>
      </c>
      <c r="AI52" s="131" t="e">
        <f t="shared" si="53"/>
        <v>#DIV/0!</v>
      </c>
      <c r="AJ52" s="131" t="e">
        <f t="shared" si="53"/>
        <v>#DIV/0!</v>
      </c>
      <c r="AK52" s="131" t="e">
        <f t="shared" si="53"/>
        <v>#DIV/0!</v>
      </c>
      <c r="AL52" s="144"/>
    </row>
    <row r="53" spans="2:45" outlineLevel="1">
      <c r="B53" s="267"/>
      <c r="C53" s="268" t="str">
        <f>IF(B1="EN", "Depreciation &amp; Amortization Total", "Tổng chi phí Khấu hao")</f>
        <v>Tổng chi phí Khấu hao</v>
      </c>
      <c r="D53" s="269"/>
      <c r="E53" s="269"/>
      <c r="F53" s="270"/>
      <c r="G53" s="183"/>
      <c r="H53" s="183"/>
      <c r="I53" s="183"/>
      <c r="J53" s="183"/>
      <c r="K53" s="184"/>
      <c r="L53" s="184"/>
      <c r="M53" s="184"/>
      <c r="N53" s="185">
        <f>N30+N48+N41</f>
        <v>1036408270</v>
      </c>
      <c r="O53" s="185">
        <f t="shared" ref="O53:Q53" si="54">O30+O48+O41</f>
        <v>1395798298</v>
      </c>
      <c r="P53" s="185">
        <f t="shared" si="54"/>
        <v>2854084411</v>
      </c>
      <c r="Q53" s="185">
        <f t="shared" si="54"/>
        <v>2130924335</v>
      </c>
      <c r="R53" s="185">
        <f>R30+R48+R41</f>
        <v>1361232999.1021507</v>
      </c>
      <c r="S53" s="184"/>
      <c r="T53" s="185">
        <f t="shared" ref="T53:AE53" si="55">T30+T48+T41</f>
        <v>110758018.74238349</v>
      </c>
      <c r="U53" s="185">
        <f t="shared" si="55"/>
        <v>104732373.58109318</v>
      </c>
      <c r="V53" s="185">
        <f t="shared" si="55"/>
        <v>112766567.12948027</v>
      </c>
      <c r="W53" s="185">
        <f t="shared" si="55"/>
        <v>114775115.51657705</v>
      </c>
      <c r="X53" s="185">
        <f t="shared" si="55"/>
        <v>114775115.51657705</v>
      </c>
      <c r="Y53" s="185">
        <f t="shared" si="55"/>
        <v>114775115.51657705</v>
      </c>
      <c r="Z53" s="185">
        <f t="shared" si="55"/>
        <v>114775115.51657705</v>
      </c>
      <c r="AA53" s="185">
        <f t="shared" si="55"/>
        <v>114775115.51657705</v>
      </c>
      <c r="AB53" s="185">
        <f t="shared" si="55"/>
        <v>114775115.51657705</v>
      </c>
      <c r="AC53" s="185">
        <f t="shared" si="55"/>
        <v>114775115.51657705</v>
      </c>
      <c r="AD53" s="185">
        <f t="shared" si="55"/>
        <v>114775115.51657705</v>
      </c>
      <c r="AE53" s="185">
        <f t="shared" si="55"/>
        <v>114775115.51657705</v>
      </c>
      <c r="AF53" s="184"/>
      <c r="AG53" s="184">
        <f>AG48+AG41+AG30</f>
        <v>0</v>
      </c>
      <c r="AH53" s="184">
        <f t="shared" ref="AH53:AK53" si="56">AH48+AH41+AH30</f>
        <v>0</v>
      </c>
      <c r="AI53" s="184">
        <f t="shared" si="56"/>
        <v>0</v>
      </c>
      <c r="AJ53" s="184">
        <f t="shared" si="56"/>
        <v>0</v>
      </c>
      <c r="AK53" s="184">
        <f t="shared" si="56"/>
        <v>0</v>
      </c>
      <c r="AL53" s="271"/>
      <c r="AN53" s="235"/>
      <c r="AO53" s="235"/>
    </row>
    <row r="54" spans="2:45" s="277" customFormat="1" outlineLevel="1">
      <c r="B54" s="272"/>
      <c r="C54" s="273" t="str">
        <f>IF(B1="EN", "Depreciation on Net Sales (%)", "Tổng Chi phí Khấu hao / Doanh thu (%)")</f>
        <v>Tổng Chi phí Khấu hao / Doanh thu (%)</v>
      </c>
      <c r="D54" s="273"/>
      <c r="E54" s="273"/>
      <c r="F54" s="274"/>
      <c r="G54" s="275"/>
      <c r="H54" s="275"/>
      <c r="I54" s="275"/>
      <c r="J54" s="275"/>
      <c r="K54" s="276"/>
      <c r="L54" s="276"/>
      <c r="M54" s="276"/>
      <c r="N54" s="276">
        <f t="shared" ref="N54:Q54" si="57">IFERROR(N53/N7,)</f>
        <v>1.3133111993254988E-2</v>
      </c>
      <c r="O54" s="276">
        <f t="shared" si="57"/>
        <v>1.8729739121011012E-2</v>
      </c>
      <c r="P54" s="276">
        <f t="shared" si="57"/>
        <v>2.7481134653880274E-2</v>
      </c>
      <c r="Q54" s="276">
        <f t="shared" si="57"/>
        <v>2.0837683362747016E-2</v>
      </c>
      <c r="R54" s="276">
        <f>IFERROR(R53/R7,)</f>
        <v>1.3667821345684988E-2</v>
      </c>
      <c r="S54" s="168"/>
      <c r="T54" s="276">
        <f>T53/T7</f>
        <v>1.4827937257583589E-2</v>
      </c>
      <c r="U54" s="276">
        <f t="shared" ref="U54:AE54" si="58">U53/U7</f>
        <v>1.8694990297245605E-2</v>
      </c>
      <c r="V54" s="276">
        <f t="shared" si="58"/>
        <v>1.393554040227697E-2</v>
      </c>
      <c r="W54" s="276">
        <f t="shared" si="58"/>
        <v>1.3170628812014154E-2</v>
      </c>
      <c r="X54" s="276">
        <f t="shared" si="58"/>
        <v>1.3170628812014154E-2</v>
      </c>
      <c r="Y54" s="276">
        <f t="shared" si="58"/>
        <v>1.3170628812014154E-2</v>
      </c>
      <c r="Z54" s="276">
        <f t="shared" si="58"/>
        <v>1.3170628812014154E-2</v>
      </c>
      <c r="AA54" s="276">
        <f t="shared" si="58"/>
        <v>1.3170628812014154E-2</v>
      </c>
      <c r="AB54" s="276">
        <f t="shared" si="58"/>
        <v>1.3170628812014154E-2</v>
      </c>
      <c r="AC54" s="276">
        <f t="shared" si="58"/>
        <v>1.3170628812014154E-2</v>
      </c>
      <c r="AD54" s="276">
        <f t="shared" si="58"/>
        <v>1.3170628812014154E-2</v>
      </c>
      <c r="AE54" s="276">
        <f t="shared" si="58"/>
        <v>1.3170628812014154E-2</v>
      </c>
      <c r="AF54" s="168"/>
      <c r="AG54" s="276" t="e">
        <f t="shared" ref="AG54:AK54" si="59">AG53/AG7</f>
        <v>#DIV/0!</v>
      </c>
      <c r="AH54" s="276" t="e">
        <f t="shared" si="59"/>
        <v>#DIV/0!</v>
      </c>
      <c r="AI54" s="168" t="e">
        <f t="shared" si="59"/>
        <v>#DIV/0!</v>
      </c>
      <c r="AJ54" s="168" t="e">
        <f t="shared" si="59"/>
        <v>#DIV/0!</v>
      </c>
      <c r="AK54" s="168" t="e">
        <f t="shared" si="59"/>
        <v>#DIV/0!</v>
      </c>
      <c r="AL54" s="169"/>
    </row>
    <row r="55" spans="2:45" s="141" customFormat="1" ht="17" thickBot="1">
      <c r="B55" s="132" t="s">
        <v>112</v>
      </c>
      <c r="C55" s="133"/>
      <c r="D55" s="133"/>
      <c r="E55" s="133"/>
      <c r="F55" s="134"/>
      <c r="G55" s="136"/>
      <c r="H55" s="136"/>
      <c r="I55" s="136"/>
      <c r="J55" s="136"/>
      <c r="K55" s="136"/>
      <c r="L55" s="136"/>
      <c r="M55" s="136"/>
      <c r="N55" s="137">
        <f>N65+N53+N61+N59-N64</f>
        <v>612830166</v>
      </c>
      <c r="O55" s="137">
        <f>O65+O53+O61+O59-O64</f>
        <v>-889112824</v>
      </c>
      <c r="P55" s="137">
        <f t="shared" ref="P55" si="60">P65+P53+P61+P59-P64</f>
        <v>2961667586.333343</v>
      </c>
      <c r="Q55" s="137">
        <f>Q65+Q53+Q61+Q59-Q64</f>
        <v>6336053775</v>
      </c>
      <c r="R55" s="137">
        <f>R65+R53+R61+R59-R64</f>
        <v>3163172342.3440475</v>
      </c>
      <c r="S55" s="138"/>
      <c r="T55" s="137">
        <f t="shared" ref="T55:AE55" si="61">T65+T53+T61+T59-T64</f>
        <v>97270480.928768948</v>
      </c>
      <c r="U55" s="137">
        <f t="shared" si="61"/>
        <v>-244271404.36389244</v>
      </c>
      <c r="V55" s="137">
        <f t="shared" si="61"/>
        <v>266751984.35595098</v>
      </c>
      <c r="W55" s="137">
        <f t="shared" si="61"/>
        <v>332405431.98591238</v>
      </c>
      <c r="X55" s="137">
        <f t="shared" si="61"/>
        <v>370255352.78591257</v>
      </c>
      <c r="Y55" s="137">
        <f t="shared" si="61"/>
        <v>330224870.51924521</v>
      </c>
      <c r="Z55" s="137">
        <f t="shared" si="61"/>
        <v>317317634.65257937</v>
      </c>
      <c r="AA55" s="137">
        <f t="shared" si="61"/>
        <v>301429474.0692454</v>
      </c>
      <c r="AB55" s="137">
        <f t="shared" si="61"/>
        <v>312669811.9525786</v>
      </c>
      <c r="AC55" s="137">
        <f t="shared" si="61"/>
        <v>374208574.61924559</v>
      </c>
      <c r="AD55" s="137">
        <f t="shared" si="61"/>
        <v>355227955.3192454</v>
      </c>
      <c r="AE55" s="137">
        <f t="shared" si="61"/>
        <v>349682175.51924521</v>
      </c>
      <c r="AF55" s="121"/>
      <c r="AG55" s="136">
        <f t="shared" ref="AG55:AK55" si="62">AG51+AG53+AG57+AG63</f>
        <v>0</v>
      </c>
      <c r="AH55" s="136">
        <f t="shared" si="62"/>
        <v>0</v>
      </c>
      <c r="AI55" s="136">
        <f t="shared" si="62"/>
        <v>0</v>
      </c>
      <c r="AJ55" s="136">
        <f t="shared" si="62"/>
        <v>0</v>
      </c>
      <c r="AK55" s="136">
        <f t="shared" si="62"/>
        <v>0</v>
      </c>
      <c r="AL55" s="139"/>
      <c r="AM55" s="140"/>
      <c r="AN55" s="140"/>
      <c r="AO55" s="140"/>
      <c r="AP55" s="140"/>
      <c r="AQ55" s="140"/>
      <c r="AR55" s="140"/>
      <c r="AS55" s="140"/>
    </row>
    <row r="56" spans="2:45" s="279" customFormat="1" ht="17" thickTop="1">
      <c r="B56" s="223"/>
      <c r="C56" s="165" t="str">
        <f>IF(B1="EN", "EBITDA margin (%)", "Tỷ lệ EBITDA (%)")</f>
        <v>Tỷ lệ EBITDA (%)</v>
      </c>
      <c r="D56" s="165"/>
      <c r="E56" s="165"/>
      <c r="F56" s="278"/>
      <c r="G56" s="167"/>
      <c r="H56" s="167"/>
      <c r="I56" s="167"/>
      <c r="J56" s="167"/>
      <c r="K56" s="168"/>
      <c r="L56" s="168"/>
      <c r="M56" s="168"/>
      <c r="N56" s="168">
        <f>IFERROR(N55/N7,)</f>
        <v>7.765633906918791E-3</v>
      </c>
      <c r="O56" s="168">
        <f t="shared" ref="O56:R56" si="63">IFERROR(O55/O7,)</f>
        <v>-1.1930700350134242E-2</v>
      </c>
      <c r="P56" s="168">
        <f t="shared" si="63"/>
        <v>2.8517021229775806E-2</v>
      </c>
      <c r="Q56" s="168">
        <f t="shared" si="63"/>
        <v>6.1958409392695736E-2</v>
      </c>
      <c r="R56" s="168">
        <f t="shared" si="63"/>
        <v>3.1760671750748516E-2</v>
      </c>
      <c r="S56" s="168"/>
      <c r="T56" s="168">
        <f>T55/T7</f>
        <v>1.3022267864699875E-2</v>
      </c>
      <c r="U56" s="168">
        <f t="shared" ref="U56:AE56" si="64">U55/U7</f>
        <v>-4.3603055849217587E-2</v>
      </c>
      <c r="V56" s="168">
        <f t="shared" si="64"/>
        <v>3.2964850753252173E-2</v>
      </c>
      <c r="W56" s="168">
        <f t="shared" si="64"/>
        <v>3.814405709878247E-2</v>
      </c>
      <c r="X56" s="168">
        <f t="shared" si="64"/>
        <v>4.2487396290185303E-2</v>
      </c>
      <c r="Y56" s="168">
        <f t="shared" si="64"/>
        <v>3.7893834168925292E-2</v>
      </c>
      <c r="Z56" s="168">
        <f t="shared" si="64"/>
        <v>3.6412708126717833E-2</v>
      </c>
      <c r="AA56" s="168">
        <f t="shared" si="64"/>
        <v>3.4589516186488041E-2</v>
      </c>
      <c r="AB56" s="168">
        <f t="shared" si="64"/>
        <v>3.5879363008394491E-2</v>
      </c>
      <c r="AC56" s="168">
        <f t="shared" si="64"/>
        <v>4.2941034843664773E-2</v>
      </c>
      <c r="AD56" s="168">
        <f t="shared" si="64"/>
        <v>4.0762978299810994E-2</v>
      </c>
      <c r="AE56" s="168">
        <f t="shared" si="64"/>
        <v>4.0126591162318467E-2</v>
      </c>
      <c r="AF56" s="168"/>
      <c r="AG56" s="168" t="e">
        <f t="shared" ref="AG56:AK56" si="65">AG55/AG7</f>
        <v>#DIV/0!</v>
      </c>
      <c r="AH56" s="168" t="e">
        <f t="shared" si="65"/>
        <v>#DIV/0!</v>
      </c>
      <c r="AI56" s="168" t="e">
        <f t="shared" si="65"/>
        <v>#DIV/0!</v>
      </c>
      <c r="AJ56" s="168" t="e">
        <f t="shared" si="65"/>
        <v>#DIV/0!</v>
      </c>
      <c r="AK56" s="168" t="e">
        <f t="shared" si="65"/>
        <v>#DIV/0!</v>
      </c>
      <c r="AL56" s="226"/>
      <c r="AM56" s="145"/>
      <c r="AN56" s="145"/>
      <c r="AO56" s="145"/>
      <c r="AP56" s="145"/>
      <c r="AQ56" s="145"/>
      <c r="AR56" s="145"/>
      <c r="AS56" s="145"/>
    </row>
    <row r="57" spans="2:45" outlineLevel="1">
      <c r="B57" s="280"/>
      <c r="C57" s="281" t="str">
        <f>IF(B1="EN", "Financial Income", "Doanh thu tài chính")</f>
        <v>Doanh thu tài chính</v>
      </c>
      <c r="D57" s="281"/>
      <c r="E57" s="281"/>
      <c r="F57" s="282"/>
      <c r="G57" s="183"/>
      <c r="H57" s="183"/>
      <c r="I57" s="183"/>
      <c r="J57" s="183"/>
      <c r="K57" s="184"/>
      <c r="L57" s="184"/>
      <c r="M57" s="184"/>
      <c r="N57" s="185">
        <f>[3]FIN!N36</f>
        <v>4823037</v>
      </c>
      <c r="O57" s="185">
        <f>[3]FIN!O36</f>
        <v>438643</v>
      </c>
      <c r="P57" s="185">
        <f>[3]FIN!P36</f>
        <v>0</v>
      </c>
      <c r="Q57" s="185"/>
      <c r="R57" s="185">
        <f>[3]FIN!R36</f>
        <v>720000</v>
      </c>
      <c r="S57" s="184"/>
      <c r="T57" s="185">
        <f>[3]PGM_phasing!C25</f>
        <v>60000</v>
      </c>
      <c r="U57" s="185">
        <f>[3]PGM_phasing!D25</f>
        <v>60000</v>
      </c>
      <c r="V57" s="185">
        <f>[3]PGM_phasing!E25</f>
        <v>60000</v>
      </c>
      <c r="W57" s="185">
        <f>[3]PGM_phasing!F25</f>
        <v>60000</v>
      </c>
      <c r="X57" s="185">
        <f>[3]PGM_phasing!G25</f>
        <v>60000</v>
      </c>
      <c r="Y57" s="185">
        <f>[3]PGM_phasing!H25</f>
        <v>60000</v>
      </c>
      <c r="Z57" s="185">
        <f>[3]PGM_phasing!I25</f>
        <v>60000</v>
      </c>
      <c r="AA57" s="185">
        <f>[3]PGM_phasing!J25</f>
        <v>60000</v>
      </c>
      <c r="AB57" s="185">
        <f>[3]PGM_phasing!K25</f>
        <v>60000</v>
      </c>
      <c r="AC57" s="185">
        <f>[3]PGM_phasing!L25</f>
        <v>60000</v>
      </c>
      <c r="AD57" s="185">
        <f>[3]PGM_phasing!M25</f>
        <v>60000</v>
      </c>
      <c r="AE57" s="185">
        <f>[3]PGM_phasing!N25</f>
        <v>60000</v>
      </c>
      <c r="AF57" s="184"/>
      <c r="AG57" s="184"/>
      <c r="AH57" s="184"/>
      <c r="AI57" s="184"/>
      <c r="AJ57" s="184"/>
      <c r="AK57" s="184"/>
      <c r="AL57" s="271"/>
      <c r="AM57" s="107"/>
    </row>
    <row r="58" spans="2:45" outlineLevel="1">
      <c r="B58" s="283"/>
      <c r="C58" s="284" t="str">
        <f>IF(B1="EN", "(%) Financial Income on Net Sales", "(%) Doanh thu tài chính / Doanh thu")</f>
        <v>(%) Doanh thu tài chính / Doanh thu</v>
      </c>
      <c r="F58" s="149"/>
      <c r="G58" s="150"/>
      <c r="H58" s="150"/>
      <c r="I58" s="150"/>
      <c r="J58" s="150"/>
      <c r="K58" s="285"/>
      <c r="L58" s="285"/>
      <c r="M58" s="286"/>
      <c r="N58" s="285">
        <f>IFERROR(N57/N7,)</f>
        <v>6.1116344689735592E-5</v>
      </c>
      <c r="O58" s="285">
        <f t="shared" ref="O58:R58" si="66">IFERROR(O57/O7,)</f>
        <v>5.8860001255407988E-6</v>
      </c>
      <c r="P58" s="285">
        <f t="shared" si="66"/>
        <v>0</v>
      </c>
      <c r="Q58" s="285">
        <f t="shared" si="66"/>
        <v>0</v>
      </c>
      <c r="R58" s="285">
        <f t="shared" si="66"/>
        <v>7.2293511657328753E-6</v>
      </c>
      <c r="S58" s="285"/>
      <c r="T58" s="286">
        <f>T57/T7</f>
        <v>8.0326124063698615E-6</v>
      </c>
      <c r="U58" s="286">
        <f t="shared" ref="U58:AE58" si="67">U57/U7</f>
        <v>1.0710149875159815E-5</v>
      </c>
      <c r="V58" s="286">
        <f t="shared" si="67"/>
        <v>7.4147191443414105E-6</v>
      </c>
      <c r="W58" s="286">
        <f t="shared" si="67"/>
        <v>6.8850963483170244E-6</v>
      </c>
      <c r="X58" s="286">
        <f t="shared" si="67"/>
        <v>6.8850963483170244E-6</v>
      </c>
      <c r="Y58" s="286">
        <f t="shared" si="67"/>
        <v>6.8850963483170244E-6</v>
      </c>
      <c r="Z58" s="286">
        <f t="shared" si="67"/>
        <v>6.8850963483170244E-6</v>
      </c>
      <c r="AA58" s="286">
        <f t="shared" si="67"/>
        <v>6.8850963483170244E-6</v>
      </c>
      <c r="AB58" s="286">
        <f t="shared" si="67"/>
        <v>6.8850963483170244E-6</v>
      </c>
      <c r="AC58" s="286">
        <f t="shared" si="67"/>
        <v>6.8850963483170244E-6</v>
      </c>
      <c r="AD58" s="286">
        <f t="shared" si="67"/>
        <v>6.8850963483170244E-6</v>
      </c>
      <c r="AE58" s="286">
        <f t="shared" si="67"/>
        <v>6.8850963483170244E-6</v>
      </c>
      <c r="AF58" s="285"/>
      <c r="AG58" s="285"/>
      <c r="AH58" s="285"/>
      <c r="AI58" s="285"/>
      <c r="AJ58" s="285"/>
      <c r="AK58" s="285"/>
      <c r="AL58" s="153"/>
    </row>
    <row r="59" spans="2:45" s="125" customFormat="1">
      <c r="B59" s="283"/>
      <c r="C59" s="237"/>
      <c r="F59" s="129" t="s">
        <v>113</v>
      </c>
      <c r="G59" s="130"/>
      <c r="H59" s="130"/>
      <c r="I59" s="130"/>
      <c r="J59" s="261"/>
      <c r="K59" s="287"/>
      <c r="L59" s="287"/>
      <c r="M59" s="287"/>
      <c r="N59" s="185"/>
      <c r="O59" s="185"/>
      <c r="P59" s="185"/>
      <c r="Q59" s="185"/>
      <c r="R59" s="185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131"/>
      <c r="AH59" s="131"/>
      <c r="AI59" s="131"/>
      <c r="AJ59" s="131"/>
      <c r="AK59" s="131"/>
      <c r="AL59" s="144"/>
      <c r="AN59" s="288"/>
    </row>
    <row r="60" spans="2:45" s="214" customFormat="1">
      <c r="B60" s="200" t="str">
        <f>IF(B1="EN", "Financial expenses", "Chi phí tài chính")</f>
        <v>Chi phí tài chính</v>
      </c>
      <c r="C60" s="289"/>
      <c r="D60" s="289"/>
      <c r="E60" s="289"/>
      <c r="F60" s="290"/>
      <c r="G60" s="291"/>
      <c r="H60" s="291"/>
      <c r="I60" s="291"/>
      <c r="J60" s="291"/>
      <c r="K60" s="292"/>
      <c r="L60" s="292"/>
      <c r="M60" s="292"/>
      <c r="N60" s="204">
        <f t="shared" ref="N60:AK60" si="68">N61</f>
        <v>0</v>
      </c>
      <c r="O60" s="204">
        <f t="shared" si="68"/>
        <v>0</v>
      </c>
      <c r="P60" s="204">
        <f t="shared" si="68"/>
        <v>0</v>
      </c>
      <c r="Q60" s="204">
        <f t="shared" si="68"/>
        <v>0</v>
      </c>
      <c r="R60" s="292">
        <f t="shared" si="68"/>
        <v>0</v>
      </c>
      <c r="S60" s="161"/>
      <c r="T60" s="292">
        <f t="shared" si="68"/>
        <v>0</v>
      </c>
      <c r="U60" s="292">
        <f t="shared" si="68"/>
        <v>0</v>
      </c>
      <c r="V60" s="292">
        <f t="shared" si="68"/>
        <v>0</v>
      </c>
      <c r="W60" s="292">
        <f t="shared" si="68"/>
        <v>0</v>
      </c>
      <c r="X60" s="292">
        <f t="shared" si="68"/>
        <v>0</v>
      </c>
      <c r="Y60" s="292">
        <f t="shared" si="68"/>
        <v>0</v>
      </c>
      <c r="Z60" s="292">
        <f t="shared" si="68"/>
        <v>0</v>
      </c>
      <c r="AA60" s="292">
        <f t="shared" si="68"/>
        <v>0</v>
      </c>
      <c r="AB60" s="292">
        <f t="shared" si="68"/>
        <v>0</v>
      </c>
      <c r="AC60" s="292">
        <f t="shared" si="68"/>
        <v>0</v>
      </c>
      <c r="AD60" s="292">
        <f t="shared" si="68"/>
        <v>0</v>
      </c>
      <c r="AE60" s="292">
        <f t="shared" si="68"/>
        <v>0</v>
      </c>
      <c r="AF60" s="161"/>
      <c r="AG60" s="292">
        <f t="shared" si="68"/>
        <v>0</v>
      </c>
      <c r="AH60" s="292">
        <f t="shared" si="68"/>
        <v>0</v>
      </c>
      <c r="AI60" s="204">
        <f t="shared" si="68"/>
        <v>0</v>
      </c>
      <c r="AJ60" s="204">
        <f t="shared" si="68"/>
        <v>0</v>
      </c>
      <c r="AK60" s="204">
        <f t="shared" si="68"/>
        <v>0</v>
      </c>
      <c r="AL60" s="162"/>
    </row>
    <row r="61" spans="2:45" outlineLevel="1">
      <c r="B61" s="280"/>
      <c r="C61" s="281" t="str">
        <f>IF(B1="EN", "In which: Interest expense", "Trong đó: Chi phí lãi vay")</f>
        <v>Trong đó: Chi phí lãi vay</v>
      </c>
      <c r="D61" s="281"/>
      <c r="E61" s="281"/>
      <c r="F61" s="282"/>
      <c r="G61" s="293"/>
      <c r="H61" s="293"/>
      <c r="I61" s="293"/>
      <c r="J61" s="293"/>
      <c r="K61" s="294"/>
      <c r="L61" s="294"/>
      <c r="M61" s="294"/>
      <c r="N61" s="184"/>
      <c r="O61" s="184"/>
      <c r="P61" s="184"/>
      <c r="Q61" s="294"/>
      <c r="R61" s="294">
        <f>[3]FIN!R23</f>
        <v>0</v>
      </c>
      <c r="S61" s="184"/>
      <c r="T61" s="294">
        <f>-[3]PGM_phasing!C27</f>
        <v>0</v>
      </c>
      <c r="U61" s="294">
        <f>-[3]PGM_phasing!D27</f>
        <v>0</v>
      </c>
      <c r="V61" s="294">
        <f>-[3]PGM_phasing!E27</f>
        <v>0</v>
      </c>
      <c r="W61" s="294">
        <f>-[3]PGM_phasing!F27</f>
        <v>0</v>
      </c>
      <c r="X61" s="294">
        <f>-[3]PGM_phasing!G27</f>
        <v>0</v>
      </c>
      <c r="Y61" s="294">
        <f>-[3]PGM_phasing!H27</f>
        <v>0</v>
      </c>
      <c r="Z61" s="294">
        <f>-[3]PGM_phasing!I27</f>
        <v>0</v>
      </c>
      <c r="AA61" s="294">
        <f>-[3]PGM_phasing!J27</f>
        <v>0</v>
      </c>
      <c r="AB61" s="294">
        <f>-[3]PGM_phasing!K27</f>
        <v>0</v>
      </c>
      <c r="AC61" s="294">
        <f>-[3]PGM_phasing!L27</f>
        <v>0</v>
      </c>
      <c r="AD61" s="294">
        <f>-[3]PGM_phasing!M27</f>
        <v>0</v>
      </c>
      <c r="AE61" s="294">
        <f>-[3]PGM_phasing!N27</f>
        <v>0</v>
      </c>
      <c r="AF61" s="184"/>
      <c r="AG61" s="294"/>
      <c r="AH61" s="294"/>
      <c r="AI61" s="294"/>
      <c r="AJ61" s="294"/>
      <c r="AK61" s="294"/>
      <c r="AL61" s="271"/>
      <c r="AM61" s="258"/>
    </row>
    <row r="62" spans="2:45" s="170" customFormat="1" outlineLevel="1">
      <c r="B62" s="295"/>
      <c r="C62" s="296" t="str">
        <f>IF(B1="EN", "(%) Interest Expenses on Net Sales", "(%) Chi phí lãi vay / Doanh thu")</f>
        <v>(%) Chi phí lãi vay / Doanh thu</v>
      </c>
      <c r="D62" s="296"/>
      <c r="E62" s="296"/>
      <c r="F62" s="166"/>
      <c r="G62" s="275"/>
      <c r="H62" s="275"/>
      <c r="I62" s="275"/>
      <c r="J62" s="275"/>
      <c r="K62" s="276"/>
      <c r="L62" s="276"/>
      <c r="M62" s="276"/>
      <c r="N62" s="168">
        <f>IFERROR(N61/N7,)</f>
        <v>0</v>
      </c>
      <c r="O62" s="168">
        <f t="shared" ref="O62:R62" si="69">IFERROR(O61/O7,)</f>
        <v>0</v>
      </c>
      <c r="P62" s="168">
        <f t="shared" si="69"/>
        <v>0</v>
      </c>
      <c r="Q62" s="168">
        <f t="shared" si="69"/>
        <v>0</v>
      </c>
      <c r="R62" s="168">
        <f t="shared" si="69"/>
        <v>0</v>
      </c>
      <c r="S62" s="168"/>
      <c r="T62" s="276">
        <f>T61/T7</f>
        <v>0</v>
      </c>
      <c r="U62" s="276">
        <f t="shared" ref="U62:AE62" si="70">U61/U7</f>
        <v>0</v>
      </c>
      <c r="V62" s="276">
        <f t="shared" si="70"/>
        <v>0</v>
      </c>
      <c r="W62" s="276">
        <f t="shared" si="70"/>
        <v>0</v>
      </c>
      <c r="X62" s="276">
        <f t="shared" si="70"/>
        <v>0</v>
      </c>
      <c r="Y62" s="276">
        <f t="shared" si="70"/>
        <v>0</v>
      </c>
      <c r="Z62" s="276">
        <f t="shared" si="70"/>
        <v>0</v>
      </c>
      <c r="AA62" s="276">
        <f t="shared" si="70"/>
        <v>0</v>
      </c>
      <c r="AB62" s="276">
        <f t="shared" si="70"/>
        <v>0</v>
      </c>
      <c r="AC62" s="276">
        <f t="shared" si="70"/>
        <v>0</v>
      </c>
      <c r="AD62" s="276">
        <f t="shared" si="70"/>
        <v>0</v>
      </c>
      <c r="AE62" s="276">
        <f t="shared" si="70"/>
        <v>0</v>
      </c>
      <c r="AF62" s="168"/>
      <c r="AG62" s="276" t="e">
        <f t="shared" ref="AG62:AK62" si="71">AG61/AG7</f>
        <v>#DIV/0!</v>
      </c>
      <c r="AH62" s="276" t="e">
        <f t="shared" si="71"/>
        <v>#DIV/0!</v>
      </c>
      <c r="AI62" s="276" t="e">
        <f t="shared" si="71"/>
        <v>#DIV/0!</v>
      </c>
      <c r="AJ62" s="276" t="e">
        <f t="shared" si="71"/>
        <v>#DIV/0!</v>
      </c>
      <c r="AK62" s="276" t="e">
        <f t="shared" si="71"/>
        <v>#DIV/0!</v>
      </c>
      <c r="AL62" s="169"/>
    </row>
    <row r="63" spans="2:45" outlineLevel="1">
      <c r="B63" s="267"/>
      <c r="C63" s="281" t="str">
        <f>IF(B1="EN", "Other income", "Thu nhập khác")</f>
        <v>Thu nhập khác</v>
      </c>
      <c r="D63" s="269"/>
      <c r="E63" s="269"/>
      <c r="F63" s="270"/>
      <c r="G63" s="183"/>
      <c r="H63" s="183"/>
      <c r="I63" s="183"/>
      <c r="J63" s="183"/>
      <c r="K63" s="184"/>
      <c r="L63" s="184"/>
      <c r="M63" s="184"/>
      <c r="N63" s="185">
        <f>[3]FCF!X10</f>
        <v>114814093</v>
      </c>
      <c r="O63" s="185">
        <f>[3]FCF!AR10</f>
        <v>-59489094</v>
      </c>
      <c r="P63" s="185"/>
      <c r="Q63" s="185">
        <v>364850046</v>
      </c>
      <c r="R63" s="185">
        <f>[3]FCF!CH10</f>
        <v>0</v>
      </c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>
        <v>0</v>
      </c>
      <c r="AI63" s="184">
        <v>0</v>
      </c>
      <c r="AJ63" s="184">
        <v>0</v>
      </c>
      <c r="AK63" s="184">
        <v>0</v>
      </c>
      <c r="AL63" s="271"/>
    </row>
    <row r="64" spans="2:45" outlineLevel="1">
      <c r="B64" s="280"/>
      <c r="C64" s="281" t="str">
        <f>IF(B1="EN", "Other expenses (excluding EBITDA)", "Chi phí khác (Không gồm trong EBITDA)")</f>
        <v>Chi phí khác (Không gồm trong EBITDA)</v>
      </c>
      <c r="D64" s="281"/>
      <c r="E64" s="281"/>
      <c r="F64" s="282"/>
      <c r="G64" s="183"/>
      <c r="H64" s="183"/>
      <c r="I64" s="183"/>
      <c r="J64" s="183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271"/>
    </row>
    <row r="65" spans="2:45" s="141" customFormat="1">
      <c r="B65" s="243" t="str">
        <f>IF(B1="EN", "EBT", "LỢI NHUẬN TRƯỚC THUẾ")</f>
        <v>LỢI NHUẬN TRƯỚC THUẾ</v>
      </c>
      <c r="C65" s="244"/>
      <c r="D65" s="244"/>
      <c r="E65" s="244"/>
      <c r="F65" s="245"/>
      <c r="G65" s="246"/>
      <c r="H65" s="246"/>
      <c r="I65" s="246"/>
      <c r="J65" s="246"/>
      <c r="K65" s="247"/>
      <c r="L65" s="247"/>
      <c r="M65" s="247"/>
      <c r="N65" s="248">
        <f>N34-N36-N43+N57-N61+N63</f>
        <v>-423578104</v>
      </c>
      <c r="O65" s="248">
        <f>O34-O36-O43+O57-O61+O63</f>
        <v>-2284911122</v>
      </c>
      <c r="P65" s="248">
        <f t="shared" ref="P65:AE65" si="72">P34-P36-P43+P57-P61+P63</f>
        <v>107583175.33334303</v>
      </c>
      <c r="Q65" s="248">
        <f>Q34-Q36-Q43+Q57-Q61+Q63</f>
        <v>4205129440</v>
      </c>
      <c r="R65" s="248">
        <f t="shared" si="72"/>
        <v>1801939343.2418971</v>
      </c>
      <c r="S65" s="138"/>
      <c r="T65" s="248">
        <f t="shared" si="72"/>
        <v>-13487537.813614547</v>
      </c>
      <c r="U65" s="248">
        <f t="shared" si="72"/>
        <v>-349003777.94498563</v>
      </c>
      <c r="V65" s="248">
        <f t="shared" si="72"/>
        <v>153985417.22647071</v>
      </c>
      <c r="W65" s="248">
        <f t="shared" si="72"/>
        <v>217630316.46933532</v>
      </c>
      <c r="X65" s="248">
        <f t="shared" si="72"/>
        <v>255480237.26933551</v>
      </c>
      <c r="Y65" s="248">
        <f t="shared" si="72"/>
        <v>215449755.00266814</v>
      </c>
      <c r="Z65" s="248">
        <f t="shared" si="72"/>
        <v>202542519.1360023</v>
      </c>
      <c r="AA65" s="248">
        <f t="shared" si="72"/>
        <v>186654358.55266833</v>
      </c>
      <c r="AB65" s="248">
        <f t="shared" si="72"/>
        <v>197894696.43600154</v>
      </c>
      <c r="AC65" s="248">
        <f t="shared" si="72"/>
        <v>259433459.10266852</v>
      </c>
      <c r="AD65" s="248">
        <f t="shared" si="72"/>
        <v>240452839.80266833</v>
      </c>
      <c r="AE65" s="248">
        <f t="shared" si="72"/>
        <v>234907060.00266814</v>
      </c>
      <c r="AF65" s="121"/>
      <c r="AG65" s="247">
        <f t="shared" ref="AG65:AK65" si="73">AG51+AG57-AG60+AG63-AG64</f>
        <v>0</v>
      </c>
      <c r="AH65" s="247">
        <f t="shared" si="73"/>
        <v>0</v>
      </c>
      <c r="AI65" s="247">
        <f t="shared" si="73"/>
        <v>0</v>
      </c>
      <c r="AJ65" s="247">
        <f t="shared" si="73"/>
        <v>0</v>
      </c>
      <c r="AK65" s="247">
        <f t="shared" si="73"/>
        <v>0</v>
      </c>
      <c r="AL65" s="139"/>
      <c r="AM65" s="266"/>
      <c r="AN65" s="266"/>
    </row>
    <row r="66" spans="2:45" s="170" customFormat="1" outlineLevel="1">
      <c r="B66" s="163"/>
      <c r="C66" s="165" t="str">
        <f>IF(B1= "EN", "EBT margin (%)", "Tỷ lệ Lợi nhuận trước thuế (%)")</f>
        <v>Tỷ lệ Lợi nhuận trước thuế (%)</v>
      </c>
      <c r="D66" s="165"/>
      <c r="E66" s="165"/>
      <c r="F66" s="278"/>
      <c r="G66" s="167"/>
      <c r="H66" s="167"/>
      <c r="I66" s="167"/>
      <c r="J66" s="167"/>
      <c r="K66" s="168"/>
      <c r="L66" s="168"/>
      <c r="M66" s="168"/>
      <c r="N66" s="168">
        <f>IFERROR(N65/N$7,)</f>
        <v>-5.3674780863361971E-3</v>
      </c>
      <c r="O66" s="168">
        <f t="shared" ref="O66:R66" si="74">IFERROR(O65/O$7,)</f>
        <v>-3.0660439471145252E-2</v>
      </c>
      <c r="P66" s="168">
        <f t="shared" si="74"/>
        <v>1.0358865758955335E-3</v>
      </c>
      <c r="Q66" s="168">
        <f t="shared" si="74"/>
        <v>4.112072602994872E-2</v>
      </c>
      <c r="R66" s="168">
        <f t="shared" si="74"/>
        <v>1.8092850405063528E-2</v>
      </c>
      <c r="S66" s="168"/>
      <c r="T66" s="168">
        <f>T65/T7</f>
        <v>-1.8056693928837143E-3</v>
      </c>
      <c r="U66" s="168">
        <f t="shared" ref="U66:AE66" si="75">U65/U7</f>
        <v>-6.2298046146463198E-2</v>
      </c>
      <c r="V66" s="168">
        <f t="shared" si="75"/>
        <v>1.9029310350975201E-2</v>
      </c>
      <c r="W66" s="168">
        <f t="shared" si="75"/>
        <v>2.4973428286768316E-2</v>
      </c>
      <c r="X66" s="168">
        <f t="shared" si="75"/>
        <v>2.9316767478171146E-2</v>
      </c>
      <c r="Y66" s="168">
        <f t="shared" si="75"/>
        <v>2.4723205356911134E-2</v>
      </c>
      <c r="Z66" s="168">
        <f t="shared" si="75"/>
        <v>2.3242079314703675E-2</v>
      </c>
      <c r="AA66" s="168">
        <f t="shared" si="75"/>
        <v>2.1418887374473887E-2</v>
      </c>
      <c r="AB66" s="168">
        <f t="shared" si="75"/>
        <v>2.2708734196380337E-2</v>
      </c>
      <c r="AC66" s="168">
        <f t="shared" si="75"/>
        <v>2.9770406031650619E-2</v>
      </c>
      <c r="AD66" s="168">
        <f t="shared" si="75"/>
        <v>2.7592349487796836E-2</v>
      </c>
      <c r="AE66" s="168">
        <f t="shared" si="75"/>
        <v>2.695596235030431E-2</v>
      </c>
      <c r="AF66" s="168"/>
      <c r="AG66" s="168" t="e">
        <f t="shared" ref="AG66:AK66" si="76">AG65/AG$7</f>
        <v>#DIV/0!</v>
      </c>
      <c r="AH66" s="168" t="e">
        <f t="shared" si="76"/>
        <v>#DIV/0!</v>
      </c>
      <c r="AI66" s="168" t="e">
        <f t="shared" si="76"/>
        <v>#DIV/0!</v>
      </c>
      <c r="AJ66" s="168" t="e">
        <f t="shared" si="76"/>
        <v>#DIV/0!</v>
      </c>
      <c r="AK66" s="168" t="e">
        <f t="shared" si="76"/>
        <v>#DIV/0!</v>
      </c>
      <c r="AL66" s="169"/>
    </row>
    <row r="67" spans="2:45" s="125" customFormat="1" outlineLevel="1">
      <c r="B67" s="297"/>
      <c r="C67" s="298" t="str">
        <f>IF(B1="EN", "CIT", "Thuế")</f>
        <v>Thuế</v>
      </c>
      <c r="D67" s="298"/>
      <c r="E67" s="298"/>
      <c r="F67" s="299"/>
      <c r="G67" s="300"/>
      <c r="H67" s="300"/>
      <c r="I67" s="300"/>
      <c r="J67" s="300"/>
      <c r="K67" s="301"/>
      <c r="L67" s="301"/>
      <c r="M67" s="301"/>
      <c r="N67" s="301"/>
      <c r="O67" s="301"/>
      <c r="P67" s="301"/>
      <c r="Q67" s="301"/>
      <c r="R67" s="302">
        <f>R65*R68</f>
        <v>360387868.64837945</v>
      </c>
      <c r="S67" s="184"/>
      <c r="T67" s="184">
        <f>-[3]PGM_phasing!C43</f>
        <v>0</v>
      </c>
      <c r="U67" s="184">
        <f>-[3]PGM_phasing!D43</f>
        <v>0</v>
      </c>
      <c r="V67" s="184">
        <f>-[3]PGM_phasing!E43</f>
        <v>0</v>
      </c>
      <c r="W67" s="303">
        <f>SUM(T65:W65)*W68</f>
        <v>1824883.5874411704</v>
      </c>
      <c r="X67" s="303">
        <f>X65*X68</f>
        <v>51096047.453867108</v>
      </c>
      <c r="Y67" s="303">
        <f t="shared" ref="Y67:AD67" si="77">Y65*Y68</f>
        <v>43089951.000533633</v>
      </c>
      <c r="Z67" s="303">
        <f t="shared" si="77"/>
        <v>40508503.827200465</v>
      </c>
      <c r="AA67" s="303">
        <f t="shared" si="77"/>
        <v>37330871.710533671</v>
      </c>
      <c r="AB67" s="303">
        <f t="shared" si="77"/>
        <v>39578939.287200309</v>
      </c>
      <c r="AC67" s="303">
        <f t="shared" si="77"/>
        <v>51886691.820533708</v>
      </c>
      <c r="AD67" s="303">
        <f t="shared" si="77"/>
        <v>48090567.960533671</v>
      </c>
      <c r="AE67" s="303">
        <f>AE65*AE68</f>
        <v>46981412.000533633</v>
      </c>
      <c r="AF67" s="184"/>
      <c r="AG67" s="184"/>
      <c r="AH67" s="184"/>
      <c r="AI67" s="184"/>
      <c r="AJ67" s="184"/>
      <c r="AK67" s="184"/>
      <c r="AL67" s="271"/>
      <c r="AM67" s="304"/>
    </row>
    <row r="68" spans="2:45" outlineLevel="1">
      <c r="B68" s="297"/>
      <c r="C68" s="305" t="str">
        <f>IF(B1="EN", "CIT rate (%)", "Thuế suất Thuế TNDN (%)")</f>
        <v>Thuế suất Thuế TNDN (%)</v>
      </c>
      <c r="D68" s="181"/>
      <c r="E68" s="181"/>
      <c r="F68" s="180"/>
      <c r="G68" s="150"/>
      <c r="H68" s="150"/>
      <c r="I68" s="150"/>
      <c r="J68" s="150"/>
      <c r="K68" s="285"/>
      <c r="L68" s="285"/>
      <c r="M68" s="285"/>
      <c r="N68" s="285">
        <f>IFERROR(N67/N65,)</f>
        <v>0</v>
      </c>
      <c r="O68" s="285">
        <f t="shared" ref="O68:Q68" si="78">IFERROR(O67/O65,)</f>
        <v>0</v>
      </c>
      <c r="P68" s="285">
        <f t="shared" si="78"/>
        <v>0</v>
      </c>
      <c r="Q68" s="285">
        <f t="shared" si="78"/>
        <v>0</v>
      </c>
      <c r="R68" s="285">
        <v>0.2</v>
      </c>
      <c r="S68" s="285"/>
      <c r="T68" s="285">
        <f>T67/T65</f>
        <v>0</v>
      </c>
      <c r="U68" s="285">
        <f t="shared" ref="U68:V68" si="79">U67/U65</f>
        <v>0</v>
      </c>
      <c r="V68" s="285">
        <f t="shared" si="79"/>
        <v>0</v>
      </c>
      <c r="W68" s="285">
        <v>0.2</v>
      </c>
      <c r="X68" s="285">
        <v>0.2</v>
      </c>
      <c r="Y68" s="285">
        <v>0.2</v>
      </c>
      <c r="Z68" s="285">
        <v>0.2</v>
      </c>
      <c r="AA68" s="285">
        <v>0.2</v>
      </c>
      <c r="AB68" s="285">
        <v>0.2</v>
      </c>
      <c r="AC68" s="285">
        <v>0.2</v>
      </c>
      <c r="AD68" s="285">
        <v>0.2</v>
      </c>
      <c r="AE68" s="285">
        <v>0.2</v>
      </c>
      <c r="AF68" s="285"/>
      <c r="AG68" s="286" t="e">
        <f>AG67/AG65</f>
        <v>#DIV/0!</v>
      </c>
      <c r="AH68" s="286" t="e">
        <f t="shared" ref="AH68:AK68" si="80">AH67/AH65</f>
        <v>#DIV/0!</v>
      </c>
      <c r="AI68" s="286" t="e">
        <f t="shared" si="80"/>
        <v>#DIV/0!</v>
      </c>
      <c r="AJ68" s="286" t="e">
        <f t="shared" si="80"/>
        <v>#DIV/0!</v>
      </c>
      <c r="AK68" s="286" t="e">
        <f t="shared" si="80"/>
        <v>#DIV/0!</v>
      </c>
      <c r="AL68" s="153"/>
    </row>
    <row r="69" spans="2:45" s="170" customFormat="1" ht="17" thickBot="1">
      <c r="B69" s="306" t="str">
        <f>IF(B1="en","NET PROFIT AFTER TAX","LỢI NHUẬN SAU THUẾ")</f>
        <v>LỢI NHUẬN SAU THUẾ</v>
      </c>
      <c r="C69" s="307"/>
      <c r="D69" s="307"/>
      <c r="E69" s="307"/>
      <c r="F69" s="307"/>
      <c r="G69" s="135"/>
      <c r="H69" s="135"/>
      <c r="I69" s="135"/>
      <c r="J69" s="135"/>
      <c r="K69" s="136"/>
      <c r="L69" s="136"/>
      <c r="M69" s="136"/>
      <c r="N69" s="137">
        <f>N65-N67</f>
        <v>-423578104</v>
      </c>
      <c r="O69" s="137">
        <f>O65-O67</f>
        <v>-2284911122</v>
      </c>
      <c r="P69" s="137">
        <f t="shared" ref="P69" si="81">P65-P67</f>
        <v>107583175.33334303</v>
      </c>
      <c r="Q69" s="137">
        <f>Q65-Q67</f>
        <v>4205129440</v>
      </c>
      <c r="R69" s="137">
        <f t="shared" ref="R69" si="82">R65-R67</f>
        <v>1441551474.5935178</v>
      </c>
      <c r="S69" s="138"/>
      <c r="T69" s="137">
        <f>T65-T67</f>
        <v>-13487537.813614547</v>
      </c>
      <c r="U69" s="137">
        <f t="shared" ref="U69:AE69" si="83">U65-U67</f>
        <v>-349003777.94498563</v>
      </c>
      <c r="V69" s="137">
        <f t="shared" si="83"/>
        <v>153985417.22647071</v>
      </c>
      <c r="W69" s="137">
        <f t="shared" si="83"/>
        <v>215805432.88189414</v>
      </c>
      <c r="X69" s="137">
        <f t="shared" si="83"/>
        <v>204384189.8154684</v>
      </c>
      <c r="Y69" s="137">
        <f t="shared" si="83"/>
        <v>172359804.0021345</v>
      </c>
      <c r="Z69" s="137">
        <f t="shared" si="83"/>
        <v>162034015.30880183</v>
      </c>
      <c r="AA69" s="137">
        <f t="shared" si="83"/>
        <v>149323486.84213465</v>
      </c>
      <c r="AB69" s="137">
        <f t="shared" si="83"/>
        <v>158315757.14880124</v>
      </c>
      <c r="AC69" s="137">
        <f t="shared" si="83"/>
        <v>207546767.28213483</v>
      </c>
      <c r="AD69" s="137">
        <f t="shared" si="83"/>
        <v>192362271.84213465</v>
      </c>
      <c r="AE69" s="137">
        <f t="shared" si="83"/>
        <v>187925648.0021345</v>
      </c>
      <c r="AF69" s="121"/>
      <c r="AG69" s="136">
        <f t="shared" ref="AG69:AK69" si="84">AG65-AG67</f>
        <v>0</v>
      </c>
      <c r="AH69" s="136">
        <f t="shared" si="84"/>
        <v>0</v>
      </c>
      <c r="AI69" s="136">
        <f t="shared" si="84"/>
        <v>0</v>
      </c>
      <c r="AJ69" s="136">
        <f t="shared" si="84"/>
        <v>0</v>
      </c>
      <c r="AK69" s="136">
        <f t="shared" si="84"/>
        <v>0</v>
      </c>
      <c r="AL69" s="308"/>
      <c r="AM69" s="309"/>
      <c r="AN69" s="140"/>
      <c r="AO69" s="309"/>
      <c r="AP69" s="309"/>
      <c r="AQ69" s="309"/>
      <c r="AR69" s="309"/>
      <c r="AS69" s="140"/>
    </row>
    <row r="70" spans="2:45" s="277" customFormat="1" ht="17" thickTop="1">
      <c r="B70" s="164"/>
      <c r="C70" s="165" t="str">
        <f>IF(B1="EN", "NET PROFIT margin (%)", "Tỷ lệ LỢI NHUẬN SAU THUẾ (%)")</f>
        <v>Tỷ lệ LỢI NHUẬN SAU THUẾ (%)</v>
      </c>
      <c r="D70" s="165"/>
      <c r="E70" s="165"/>
      <c r="F70" s="165"/>
      <c r="G70" s="169"/>
      <c r="H70" s="169"/>
      <c r="I70" s="169"/>
      <c r="J70" s="169"/>
      <c r="K70" s="310"/>
      <c r="L70" s="310"/>
      <c r="M70" s="310"/>
      <c r="N70" s="310">
        <f t="shared" ref="N70:Q70" si="85">IFERROR(N69/N7,)</f>
        <v>-5.3674780863361971E-3</v>
      </c>
      <c r="O70" s="310">
        <f t="shared" si="85"/>
        <v>-3.0660439471145252E-2</v>
      </c>
      <c r="P70" s="310">
        <f t="shared" si="85"/>
        <v>1.0358865758955335E-3</v>
      </c>
      <c r="Q70" s="310">
        <f t="shared" si="85"/>
        <v>4.112072602994872E-2</v>
      </c>
      <c r="R70" s="310">
        <f>IFERROR(R69/R7,)</f>
        <v>1.4474280324050823E-2</v>
      </c>
      <c r="S70" s="310"/>
      <c r="T70" s="310">
        <f>T69/T7</f>
        <v>-1.8056693928837143E-3</v>
      </c>
      <c r="U70" s="310">
        <f t="shared" ref="U70:AE70" si="86">U69/U7</f>
        <v>-6.2298046146463198E-2</v>
      </c>
      <c r="V70" s="310">
        <f t="shared" si="86"/>
        <v>1.9029310350975201E-2</v>
      </c>
      <c r="W70" s="310">
        <f t="shared" si="86"/>
        <v>2.4764019964701733E-2</v>
      </c>
      <c r="X70" s="310">
        <f t="shared" si="86"/>
        <v>2.3453413982536916E-2</v>
      </c>
      <c r="Y70" s="310">
        <f t="shared" si="86"/>
        <v>1.9778564285528905E-2</v>
      </c>
      <c r="Z70" s="310">
        <f t="shared" si="86"/>
        <v>1.8593663451762939E-2</v>
      </c>
      <c r="AA70" s="310">
        <f t="shared" si="86"/>
        <v>1.7135109899579108E-2</v>
      </c>
      <c r="AB70" s="310">
        <f t="shared" si="86"/>
        <v>1.8166987357104269E-2</v>
      </c>
      <c r="AC70" s="310">
        <f t="shared" si="86"/>
        <v>2.3816324825320496E-2</v>
      </c>
      <c r="AD70" s="310">
        <f t="shared" si="86"/>
        <v>2.2073879590237468E-2</v>
      </c>
      <c r="AE70" s="310">
        <f t="shared" si="86"/>
        <v>2.1564769880243445E-2</v>
      </c>
      <c r="AF70" s="310"/>
      <c r="AG70" s="310" t="e">
        <f t="shared" ref="AG70:AK70" si="87">AG69/AG7</f>
        <v>#DIV/0!</v>
      </c>
      <c r="AH70" s="310" t="e">
        <f t="shared" si="87"/>
        <v>#DIV/0!</v>
      </c>
      <c r="AI70" s="310" t="e">
        <f t="shared" si="87"/>
        <v>#DIV/0!</v>
      </c>
      <c r="AJ70" s="310" t="e">
        <f t="shared" si="87"/>
        <v>#DIV/0!</v>
      </c>
      <c r="AK70" s="310" t="e">
        <f t="shared" si="87"/>
        <v>#DIV/0!</v>
      </c>
      <c r="AL70" s="169"/>
      <c r="AM70" s="145"/>
      <c r="AN70" s="145"/>
      <c r="AO70" s="145"/>
      <c r="AP70" s="145"/>
      <c r="AQ70" s="145"/>
      <c r="AR70" s="145"/>
      <c r="AS70" s="145"/>
    </row>
    <row r="71" spans="2:45">
      <c r="H71" s="311"/>
      <c r="I71" s="311"/>
      <c r="J71" s="311"/>
      <c r="K71" s="312"/>
      <c r="L71" s="312"/>
      <c r="M71" s="312"/>
      <c r="N71" s="312"/>
      <c r="O71" s="312"/>
      <c r="P71" s="312"/>
      <c r="Q71" s="312"/>
      <c r="R71" s="312"/>
      <c r="S71" s="313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3"/>
      <c r="AG71" s="314"/>
      <c r="AH71" s="314"/>
      <c r="AI71" s="314"/>
      <c r="AJ71" s="314"/>
      <c r="AK71" s="314"/>
      <c r="AL71" s="315"/>
    </row>
    <row r="72" spans="2:45">
      <c r="B72" s="111" t="str">
        <f>IF(B1="EN", "BALANCE SHEET", "CÂN ĐỐI KẾ TOÁN")</f>
        <v>CÂN ĐỐI KẾ TOÁN</v>
      </c>
      <c r="C72" s="112"/>
      <c r="D72" s="112"/>
      <c r="E72" s="112"/>
      <c r="F72" s="113"/>
      <c r="G72" s="114"/>
      <c r="H72" s="114"/>
      <c r="I72" s="114"/>
      <c r="J72" s="115"/>
      <c r="K72" s="101"/>
      <c r="L72" s="101"/>
      <c r="M72" s="101"/>
      <c r="N72" s="101">
        <f t="shared" ref="N72:AK72" si="88">N4</f>
        <v>2023</v>
      </c>
      <c r="O72" s="101">
        <f t="shared" si="88"/>
        <v>2024</v>
      </c>
      <c r="P72" s="102" t="str">
        <f t="shared" si="88"/>
        <v>2025P</v>
      </c>
      <c r="Q72" s="103" t="str">
        <f t="shared" si="88"/>
        <v>2025E</v>
      </c>
      <c r="R72" s="104" t="str">
        <f t="shared" si="88"/>
        <v>2026P</v>
      </c>
      <c r="S72" s="105"/>
      <c r="T72" s="104">
        <f>T2</f>
        <v>1</v>
      </c>
      <c r="U72" s="104">
        <f t="shared" ref="U72:AE72" si="89">U2</f>
        <v>2</v>
      </c>
      <c r="V72" s="104">
        <f t="shared" si="89"/>
        <v>3</v>
      </c>
      <c r="W72" s="104">
        <f t="shared" si="89"/>
        <v>4</v>
      </c>
      <c r="X72" s="104">
        <f t="shared" si="89"/>
        <v>5</v>
      </c>
      <c r="Y72" s="104">
        <f t="shared" si="89"/>
        <v>6</v>
      </c>
      <c r="Z72" s="104">
        <f t="shared" si="89"/>
        <v>7</v>
      </c>
      <c r="AA72" s="104">
        <f t="shared" si="89"/>
        <v>8</v>
      </c>
      <c r="AB72" s="104">
        <f t="shared" si="89"/>
        <v>9</v>
      </c>
      <c r="AC72" s="104">
        <f t="shared" si="89"/>
        <v>10</v>
      </c>
      <c r="AD72" s="104">
        <f t="shared" si="89"/>
        <v>11</v>
      </c>
      <c r="AE72" s="104">
        <f t="shared" si="89"/>
        <v>12</v>
      </c>
      <c r="AF72" s="105"/>
      <c r="AG72" s="106" t="str">
        <f t="shared" si="88"/>
        <v>2027 MTP</v>
      </c>
      <c r="AH72" s="106" t="str">
        <f t="shared" si="88"/>
        <v>2028 MTP</v>
      </c>
      <c r="AI72" s="106" t="str">
        <f t="shared" si="88"/>
        <v>2029 MTP</v>
      </c>
      <c r="AJ72" s="106" t="str">
        <f t="shared" si="88"/>
        <v>2030 MTP</v>
      </c>
      <c r="AK72" s="106" t="str">
        <f t="shared" si="88"/>
        <v>2031 MTP</v>
      </c>
      <c r="AL72" s="316"/>
    </row>
    <row r="73" spans="2:45">
      <c r="B73" s="126" t="str">
        <f>IF(B1="EN", "SHORT-TERM ASSETS", "TÀI SẢN NGẮN HẠN")</f>
        <v>TÀI SẢN NGẮN HẠN</v>
      </c>
      <c r="C73" s="123"/>
      <c r="D73" s="123"/>
      <c r="E73" s="317"/>
      <c r="F73" s="318"/>
      <c r="G73" s="319"/>
      <c r="H73" s="319"/>
      <c r="I73" s="319"/>
      <c r="J73" s="319"/>
      <c r="K73" s="320"/>
      <c r="L73" s="320"/>
      <c r="M73" s="320"/>
      <c r="N73" s="321">
        <f>N74+N77+N81+N83</f>
        <v>11226207309.860001</v>
      </c>
      <c r="O73" s="321">
        <f>O74+O77+O81+O83</f>
        <v>11878997128.482</v>
      </c>
      <c r="P73" s="322">
        <f>P74+P77+P81+P83</f>
        <v>11357580755.757681</v>
      </c>
      <c r="Q73" s="323">
        <f t="shared" ref="Q73:AE73" si="90">Q74+Q77+Q81+Q83</f>
        <v>15229289556.482</v>
      </c>
      <c r="R73" s="324">
        <f>AE73</f>
        <v>17986824183.221123</v>
      </c>
      <c r="S73" s="324"/>
      <c r="T73" s="324">
        <f t="shared" si="90"/>
        <v>15213541456.628839</v>
      </c>
      <c r="U73" s="324">
        <f t="shared" si="90"/>
        <v>14867251516.820187</v>
      </c>
      <c r="V73" s="324">
        <f t="shared" si="90"/>
        <v>15268074266.898041</v>
      </c>
      <c r="W73" s="324">
        <f t="shared" si="90"/>
        <v>15635796915.48032</v>
      </c>
      <c r="X73" s="324">
        <f t="shared" si="90"/>
        <v>15952188816.359034</v>
      </c>
      <c r="Y73" s="324">
        <f t="shared" si="90"/>
        <v>16242279023.228855</v>
      </c>
      <c r="Z73" s="324">
        <f t="shared" si="90"/>
        <v>16519957975.645344</v>
      </c>
      <c r="AA73" s="324">
        <f t="shared" si="90"/>
        <v>16785225420.97628</v>
      </c>
      <c r="AB73" s="324">
        <f t="shared" si="90"/>
        <v>17057542612.249435</v>
      </c>
      <c r="AC73" s="324">
        <f t="shared" si="90"/>
        <v>17375947667.27037</v>
      </c>
      <c r="AD73" s="324">
        <f t="shared" si="90"/>
        <v>17684223639.515747</v>
      </c>
      <c r="AE73" s="324">
        <f t="shared" si="90"/>
        <v>17986824183.221123</v>
      </c>
      <c r="AF73" s="325"/>
      <c r="AG73" s="320"/>
      <c r="AH73" s="320"/>
      <c r="AI73" s="320"/>
      <c r="AJ73" s="320"/>
      <c r="AK73" s="320"/>
      <c r="AL73" s="326"/>
    </row>
    <row r="74" spans="2:45">
      <c r="B74" s="327" t="str">
        <f>IF(B1="EN", "Cash &amp; cash equivalent", "Tiền mặt &amp; tương đương tiền")</f>
        <v>Tiền mặt &amp; tương đương tiền</v>
      </c>
      <c r="C74" s="123"/>
      <c r="D74" s="123"/>
      <c r="E74" s="317"/>
      <c r="F74" s="318"/>
      <c r="G74" s="319"/>
      <c r="H74" s="319"/>
      <c r="I74" s="319"/>
      <c r="J74" s="319"/>
      <c r="K74" s="320"/>
      <c r="L74" s="320"/>
      <c r="M74" s="320"/>
      <c r="N74" s="321">
        <f t="shared" ref="N74:AE74" si="91">SUM(N75:N76)</f>
        <v>2116625281</v>
      </c>
      <c r="O74" s="321">
        <f t="shared" si="91"/>
        <v>6003863340</v>
      </c>
      <c r="P74" s="322">
        <f t="shared" si="91"/>
        <v>4346737943.1918774</v>
      </c>
      <c r="Q74" s="323">
        <f t="shared" si="91"/>
        <v>8740054809</v>
      </c>
      <c r="R74" s="324">
        <f t="shared" ref="R74:R122" si="92">AE74</f>
        <v>11418790842.21102</v>
      </c>
      <c r="S74" s="324"/>
      <c r="T74" s="324">
        <f t="shared" si="91"/>
        <v>9319869289.4661198</v>
      </c>
      <c r="U74" s="324">
        <f t="shared" si="91"/>
        <v>9916490121.7292595</v>
      </c>
      <c r="V74" s="324">
        <f t="shared" si="91"/>
        <v>9062040090.0534744</v>
      </c>
      <c r="W74" s="324">
        <f t="shared" si="91"/>
        <v>9094566620.8583336</v>
      </c>
      <c r="X74" s="324">
        <f t="shared" si="91"/>
        <v>9420572815.4534073</v>
      </c>
      <c r="Y74" s="324">
        <f t="shared" si="91"/>
        <v>9691640749.6547775</v>
      </c>
      <c r="Z74" s="324">
        <f t="shared" si="91"/>
        <v>9960717957.0763912</v>
      </c>
      <c r="AA74" s="324">
        <f t="shared" si="91"/>
        <v>10215879411.335247</v>
      </c>
      <c r="AB74" s="324">
        <f t="shared" si="91"/>
        <v>10487809282.765705</v>
      </c>
      <c r="AC74" s="324">
        <f t="shared" si="91"/>
        <v>10821573375.509403</v>
      </c>
      <c r="AD74" s="324">
        <f t="shared" si="91"/>
        <v>11119922419.571346</v>
      </c>
      <c r="AE74" s="324">
        <f t="shared" si="91"/>
        <v>11418790842.21102</v>
      </c>
      <c r="AF74" s="325"/>
      <c r="AG74" s="320"/>
      <c r="AH74" s="320"/>
      <c r="AI74" s="320"/>
      <c r="AJ74" s="320"/>
      <c r="AK74" s="320"/>
      <c r="AL74" s="326"/>
      <c r="AN74" s="107"/>
    </row>
    <row r="75" spans="2:45" outlineLevel="1">
      <c r="B75" s="328"/>
      <c r="C75" s="329" t="str">
        <f>IF(B1="EN", "Cash &amp; cash equivalent", "Tiền mặt &amp; tương đương tiền")</f>
        <v>Tiền mặt &amp; tương đương tiền</v>
      </c>
      <c r="D75" s="329"/>
      <c r="E75" s="330"/>
      <c r="F75" s="331"/>
      <c r="G75" s="332"/>
      <c r="H75" s="332"/>
      <c r="I75" s="332"/>
      <c r="J75" s="332"/>
      <c r="K75" s="333"/>
      <c r="L75" s="333"/>
      <c r="M75" s="333"/>
      <c r="N75" s="334">
        <v>2116625281</v>
      </c>
      <c r="O75" s="334">
        <v>6003863340</v>
      </c>
      <c r="P75" s="335">
        <f>P153</f>
        <v>4346737943.1918774</v>
      </c>
      <c r="Q75" s="336">
        <v>2740054809</v>
      </c>
      <c r="R75" s="337">
        <f>AE75</f>
        <v>11418790842.21102</v>
      </c>
      <c r="S75" s="337"/>
      <c r="T75" s="337">
        <f t="shared" ref="T75:AE75" si="93">T153</f>
        <v>9319869289.4661198</v>
      </c>
      <c r="U75" s="337">
        <f t="shared" si="93"/>
        <v>9916490121.7292595</v>
      </c>
      <c r="V75" s="337">
        <f t="shared" si="93"/>
        <v>9062040090.0534744</v>
      </c>
      <c r="W75" s="337">
        <f t="shared" si="93"/>
        <v>9094566620.8583336</v>
      </c>
      <c r="X75" s="337">
        <f t="shared" si="93"/>
        <v>9420572815.4534073</v>
      </c>
      <c r="Y75" s="337">
        <f t="shared" si="93"/>
        <v>9691640749.6547775</v>
      </c>
      <c r="Z75" s="337">
        <f t="shared" si="93"/>
        <v>9960717957.0763912</v>
      </c>
      <c r="AA75" s="337">
        <f t="shared" si="93"/>
        <v>10215879411.335247</v>
      </c>
      <c r="AB75" s="337">
        <f t="shared" si="93"/>
        <v>10487809282.765705</v>
      </c>
      <c r="AC75" s="337">
        <f t="shared" si="93"/>
        <v>10821573375.509403</v>
      </c>
      <c r="AD75" s="337">
        <f t="shared" si="93"/>
        <v>11119922419.571346</v>
      </c>
      <c r="AE75" s="337">
        <f t="shared" si="93"/>
        <v>11418790842.21102</v>
      </c>
      <c r="AF75" s="338"/>
      <c r="AG75" s="333"/>
      <c r="AH75" s="333"/>
      <c r="AI75" s="333"/>
      <c r="AJ75" s="333"/>
      <c r="AK75" s="333"/>
      <c r="AL75" s="339"/>
    </row>
    <row r="76" spans="2:45" outlineLevel="1">
      <c r="B76" s="328"/>
      <c r="C76" s="329" t="str">
        <f>IF(B1="EN", "Short-term investment", "Đầu tư ngắn hạn")</f>
        <v>Đầu tư ngắn hạn</v>
      </c>
      <c r="D76" s="329"/>
      <c r="E76" s="330"/>
      <c r="F76" s="331"/>
      <c r="G76" s="332"/>
      <c r="H76" s="332"/>
      <c r="I76" s="332"/>
      <c r="J76" s="332"/>
      <c r="K76" s="333"/>
      <c r="L76" s="333"/>
      <c r="M76" s="333"/>
      <c r="N76" s="340"/>
      <c r="O76" s="340"/>
      <c r="P76" s="335"/>
      <c r="Q76" s="336">
        <v>6000000000</v>
      </c>
      <c r="R76" s="337">
        <f t="shared" si="92"/>
        <v>0</v>
      </c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8"/>
      <c r="AG76" s="333"/>
      <c r="AH76" s="333"/>
      <c r="AI76" s="333"/>
      <c r="AJ76" s="333"/>
      <c r="AK76" s="333"/>
      <c r="AL76" s="339"/>
    </row>
    <row r="77" spans="2:45">
      <c r="B77" s="327" t="str">
        <f>IF(B1="EN", "Short-term receivables", "Các khoản phải thu ngắn hạn")</f>
        <v>Các khoản phải thu ngắn hạn</v>
      </c>
      <c r="C77" s="123"/>
      <c r="D77" s="123"/>
      <c r="E77" s="317"/>
      <c r="F77" s="318"/>
      <c r="G77" s="319"/>
      <c r="H77" s="319"/>
      <c r="I77" s="319"/>
      <c r="J77" s="319"/>
      <c r="K77" s="320"/>
      <c r="L77" s="320"/>
      <c r="M77" s="320"/>
      <c r="N77" s="321">
        <f>SUM(N78:N80)</f>
        <v>3904917434</v>
      </c>
      <c r="O77" s="321">
        <f>SUM(O78:O80)</f>
        <v>1638974810</v>
      </c>
      <c r="P77" s="322">
        <f t="shared" ref="P77:AE77" si="94">SUM(P78:P80)</f>
        <v>2237550025.4452791</v>
      </c>
      <c r="Q77" s="323">
        <f t="shared" si="94"/>
        <v>2273620186</v>
      </c>
      <c r="R77" s="324">
        <f t="shared" si="92"/>
        <v>2385515099.7927771</v>
      </c>
      <c r="S77" s="324"/>
      <c r="T77" s="324">
        <f t="shared" si="94"/>
        <v>2049997595.0723708</v>
      </c>
      <c r="U77" s="324">
        <f t="shared" si="94"/>
        <v>1617179500.2243805</v>
      </c>
      <c r="V77" s="324">
        <f t="shared" si="94"/>
        <v>2202098453.3685055</v>
      </c>
      <c r="W77" s="324">
        <f t="shared" si="94"/>
        <v>2351584070.226881</v>
      </c>
      <c r="X77" s="324">
        <f t="shared" si="94"/>
        <v>2355806798.7771864</v>
      </c>
      <c r="Y77" s="324">
        <f t="shared" si="94"/>
        <v>2360052634.6900826</v>
      </c>
      <c r="Z77" s="324">
        <f t="shared" si="94"/>
        <v>2364305271.7294025</v>
      </c>
      <c r="AA77" s="324">
        <f t="shared" si="94"/>
        <v>2368567047.9403706</v>
      </c>
      <c r="AB77" s="324">
        <f t="shared" si="94"/>
        <v>2372822774.7441788</v>
      </c>
      <c r="AC77" s="324">
        <f t="shared" si="94"/>
        <v>2377047875.9103041</v>
      </c>
      <c r="AD77" s="324">
        <f t="shared" si="94"/>
        <v>2381281879.6604056</v>
      </c>
      <c r="AE77" s="324">
        <f t="shared" si="94"/>
        <v>2385515099.7927771</v>
      </c>
      <c r="AF77" s="325"/>
      <c r="AG77" s="320"/>
      <c r="AH77" s="320"/>
      <c r="AI77" s="320"/>
      <c r="AJ77" s="320"/>
      <c r="AK77" s="320"/>
      <c r="AL77" s="326"/>
    </row>
    <row r="78" spans="2:45" outlineLevel="1">
      <c r="B78" s="328"/>
      <c r="C78" s="329" t="str">
        <f>IF(B1="EN", "Trade receivables", "Phải thu thương mại")</f>
        <v>Phải thu thương mại</v>
      </c>
      <c r="D78" s="329"/>
      <c r="E78" s="330"/>
      <c r="F78" s="331"/>
      <c r="G78" s="332"/>
      <c r="H78" s="332"/>
      <c r="I78" s="332"/>
      <c r="J78" s="332"/>
      <c r="K78" s="333"/>
      <c r="L78" s="333"/>
      <c r="M78" s="333"/>
      <c r="N78" s="340">
        <v>3868305821</v>
      </c>
      <c r="O78" s="340">
        <v>1498339440</v>
      </c>
      <c r="P78" s="335">
        <f>[3]NWC!K6</f>
        <v>2088100650.1307054</v>
      </c>
      <c r="Q78" s="336">
        <v>1967294520</v>
      </c>
      <c r="R78" s="337">
        <f>AE78</f>
        <v>2033377500</v>
      </c>
      <c r="S78" s="337"/>
      <c r="T78" s="337">
        <f>[3]NWC!O6</f>
        <v>1742895000</v>
      </c>
      <c r="U78" s="337">
        <f>[3]NWC!P6</f>
        <v>1307171250</v>
      </c>
      <c r="V78" s="337">
        <f>[3]NWC!Q6</f>
        <v>1888136250</v>
      </c>
      <c r="W78" s="337">
        <f>[3]NWC!R6</f>
        <v>2033377500</v>
      </c>
      <c r="X78" s="337">
        <f>[3]NWC!S6</f>
        <v>2033377500</v>
      </c>
      <c r="Y78" s="337">
        <f>[3]NWC!T6</f>
        <v>2033377500</v>
      </c>
      <c r="Z78" s="337">
        <f>[3]NWC!U6</f>
        <v>2033377500</v>
      </c>
      <c r="AA78" s="337">
        <f>[3]NWC!V6</f>
        <v>2033377500</v>
      </c>
      <c r="AB78" s="337">
        <f>[3]NWC!W6</f>
        <v>2033377500</v>
      </c>
      <c r="AC78" s="337">
        <f>[3]NWC!X6</f>
        <v>2033377500</v>
      </c>
      <c r="AD78" s="337">
        <f>[3]NWC!Y6</f>
        <v>2033377500</v>
      </c>
      <c r="AE78" s="337">
        <f>[3]NWC!Z6</f>
        <v>2033377500</v>
      </c>
      <c r="AF78" s="338"/>
      <c r="AG78" s="333"/>
      <c r="AH78" s="333"/>
      <c r="AI78" s="333"/>
      <c r="AJ78" s="333"/>
      <c r="AK78" s="333"/>
      <c r="AL78" s="339"/>
    </row>
    <row r="79" spans="2:45" outlineLevel="1">
      <c r="B79" s="328"/>
      <c r="C79" s="329" t="str">
        <f>IF(B1="EN", "Prepayment to suppliers", "Trả trước cho người bán")</f>
        <v>Trả trước cho người bán</v>
      </c>
      <c r="D79" s="329"/>
      <c r="E79" s="330"/>
      <c r="F79" s="331"/>
      <c r="G79" s="332"/>
      <c r="H79" s="332"/>
      <c r="I79" s="332"/>
      <c r="J79" s="332"/>
      <c r="K79" s="333"/>
      <c r="L79" s="333"/>
      <c r="M79" s="333"/>
      <c r="N79" s="340">
        <v>6944753</v>
      </c>
      <c r="O79" s="340">
        <v>25968510</v>
      </c>
      <c r="P79" s="335">
        <f>[3]NWC!K9</f>
        <v>34782515.314573966</v>
      </c>
      <c r="Q79" s="336">
        <v>2926408</v>
      </c>
      <c r="R79" s="337">
        <f>AE79</f>
        <v>48738341.792777009</v>
      </c>
      <c r="S79" s="337"/>
      <c r="T79" s="337">
        <f>[3]NWC!O9</f>
        <v>3703337.0723706605</v>
      </c>
      <c r="U79" s="337">
        <f>[3]NWC!P9</f>
        <v>6608992.2243806124</v>
      </c>
      <c r="V79" s="337">
        <f>[3]NWC!Q9</f>
        <v>10562945.368505789</v>
      </c>
      <c r="W79" s="337">
        <f>[3]NWC!R9</f>
        <v>14807312.226880889</v>
      </c>
      <c r="X79" s="337">
        <f>[3]NWC!S9</f>
        <v>19030040.777186524</v>
      </c>
      <c r="Y79" s="337">
        <f>[3]NWC!T9</f>
        <v>23275876.690082442</v>
      </c>
      <c r="Z79" s="337">
        <f>[3]NWC!U9</f>
        <v>27528513.729402535</v>
      </c>
      <c r="AA79" s="337">
        <f>[3]NWC!V9</f>
        <v>31790289.940370385</v>
      </c>
      <c r="AB79" s="337">
        <f>[3]NWC!W9</f>
        <v>36046016.744178995</v>
      </c>
      <c r="AC79" s="337">
        <f>[3]NWC!X9</f>
        <v>40271117.910304412</v>
      </c>
      <c r="AD79" s="337">
        <f>[3]NWC!Y9</f>
        <v>44505121.660405688</v>
      </c>
      <c r="AE79" s="337">
        <f>[3]NWC!Z9</f>
        <v>48738341.792777009</v>
      </c>
      <c r="AF79" s="338"/>
      <c r="AG79" s="333"/>
      <c r="AH79" s="333"/>
      <c r="AI79" s="333"/>
      <c r="AJ79" s="333"/>
      <c r="AK79" s="333"/>
      <c r="AL79" s="339"/>
    </row>
    <row r="80" spans="2:45" outlineLevel="1">
      <c r="B80" s="328"/>
      <c r="C80" s="329" t="str">
        <f>IF(B1="EN", "Other receivables", "Các khoản phải thu khác")</f>
        <v>Các khoản phải thu khác</v>
      </c>
      <c r="D80" s="329"/>
      <c r="E80" s="330"/>
      <c r="F80" s="331"/>
      <c r="G80" s="332"/>
      <c r="H80" s="332"/>
      <c r="I80" s="332"/>
      <c r="J80" s="332"/>
      <c r="K80" s="333"/>
      <c r="L80" s="333"/>
      <c r="M80" s="333"/>
      <c r="N80" s="340">
        <v>29666860</v>
      </c>
      <c r="O80" s="340">
        <v>114666860</v>
      </c>
      <c r="P80" s="335">
        <f>O80</f>
        <v>114666860</v>
      </c>
      <c r="Q80" s="336">
        <v>303399258</v>
      </c>
      <c r="R80" s="337">
        <f t="shared" si="92"/>
        <v>303399258</v>
      </c>
      <c r="S80" s="337"/>
      <c r="T80" s="337">
        <f>$Q$80</f>
        <v>303399258</v>
      </c>
      <c r="U80" s="337">
        <f t="shared" ref="U80:AD80" si="95">$Q$80</f>
        <v>303399258</v>
      </c>
      <c r="V80" s="337">
        <f t="shared" si="95"/>
        <v>303399258</v>
      </c>
      <c r="W80" s="337">
        <f t="shared" si="95"/>
        <v>303399258</v>
      </c>
      <c r="X80" s="337">
        <f t="shared" si="95"/>
        <v>303399258</v>
      </c>
      <c r="Y80" s="337">
        <f t="shared" si="95"/>
        <v>303399258</v>
      </c>
      <c r="Z80" s="337">
        <f t="shared" si="95"/>
        <v>303399258</v>
      </c>
      <c r="AA80" s="337">
        <f t="shared" si="95"/>
        <v>303399258</v>
      </c>
      <c r="AB80" s="337">
        <f t="shared" si="95"/>
        <v>303399258</v>
      </c>
      <c r="AC80" s="337">
        <f t="shared" si="95"/>
        <v>303399258</v>
      </c>
      <c r="AD80" s="337">
        <f t="shared" si="95"/>
        <v>303399258</v>
      </c>
      <c r="AE80" s="337">
        <f>$Q$80</f>
        <v>303399258</v>
      </c>
      <c r="AF80" s="338"/>
      <c r="AG80" s="333"/>
      <c r="AH80" s="333"/>
      <c r="AI80" s="333"/>
      <c r="AJ80" s="333"/>
      <c r="AK80" s="333"/>
      <c r="AL80" s="339"/>
    </row>
    <row r="81" spans="2:40">
      <c r="B81" s="327" t="str">
        <f>IF(B1="EN", "Inventory", "Hàng tồn kho")</f>
        <v>Hàng tồn kho</v>
      </c>
      <c r="C81" s="123"/>
      <c r="D81" s="123"/>
      <c r="E81" s="326"/>
      <c r="F81" s="341"/>
      <c r="G81" s="319"/>
      <c r="H81" s="319"/>
      <c r="I81" s="319"/>
      <c r="J81" s="319"/>
      <c r="K81" s="320"/>
      <c r="L81" s="320"/>
      <c r="M81" s="320"/>
      <c r="N81" s="321">
        <f>N82</f>
        <v>4604306616.8599997</v>
      </c>
      <c r="O81" s="321">
        <f>O82</f>
        <v>1582545526.4820001</v>
      </c>
      <c r="P81" s="322">
        <f t="shared" ref="P81:AE81" si="96">P82</f>
        <v>2119679335.1205242</v>
      </c>
      <c r="Q81" s="323">
        <f t="shared" si="96"/>
        <v>2740108395.4819999</v>
      </c>
      <c r="R81" s="324">
        <f t="shared" si="92"/>
        <v>2707012075.2173285</v>
      </c>
      <c r="S81" s="324"/>
      <c r="T81" s="324">
        <f t="shared" si="96"/>
        <v>2368168406.0903487</v>
      </c>
      <c r="U81" s="324">
        <f t="shared" si="96"/>
        <v>1858075728.8665466</v>
      </c>
      <c r="V81" s="324">
        <f t="shared" si="96"/>
        <v>2528429557.4760609</v>
      </c>
      <c r="W81" s="324">
        <f t="shared" si="96"/>
        <v>2714140058.3951063</v>
      </c>
      <c r="X81" s="324">
        <f t="shared" si="96"/>
        <v>2700303036.1284394</v>
      </c>
      <c r="Y81" s="324">
        <f t="shared" si="96"/>
        <v>2715079472.8839951</v>
      </c>
      <c r="Z81" s="324">
        <f t="shared" si="96"/>
        <v>2719428580.8395505</v>
      </c>
      <c r="AA81" s="324">
        <f t="shared" si="96"/>
        <v>2725272795.7006617</v>
      </c>
      <c r="AB81" s="324">
        <f t="shared" si="96"/>
        <v>2721404388.7395506</v>
      </c>
      <c r="AC81" s="324">
        <f t="shared" si="96"/>
        <v>2701820249.8506618</v>
      </c>
      <c r="AD81" s="324">
        <f t="shared" si="96"/>
        <v>2707513174.2839952</v>
      </c>
      <c r="AE81" s="324">
        <f t="shared" si="96"/>
        <v>2707012075.2173285</v>
      </c>
      <c r="AF81" s="325"/>
      <c r="AG81" s="320"/>
      <c r="AH81" s="320"/>
      <c r="AI81" s="320"/>
      <c r="AJ81" s="320"/>
      <c r="AK81" s="320"/>
      <c r="AL81" s="326"/>
    </row>
    <row r="82" spans="2:40" outlineLevel="1">
      <c r="B82" s="328"/>
      <c r="C82" s="329" t="str">
        <f>IF(B1="EN", "Inventory", "Hàng tồn kho")</f>
        <v>Hàng tồn kho</v>
      </c>
      <c r="D82" s="329"/>
      <c r="E82" s="330"/>
      <c r="F82" s="331"/>
      <c r="G82" s="332"/>
      <c r="H82" s="332"/>
      <c r="I82" s="332"/>
      <c r="J82" s="332"/>
      <c r="K82" s="333"/>
      <c r="L82" s="333"/>
      <c r="M82" s="333"/>
      <c r="N82" s="334">
        <v>4604306616.8599997</v>
      </c>
      <c r="O82" s="334">
        <v>1582545526.4820001</v>
      </c>
      <c r="P82" s="335">
        <f>[3]NWC!K7</f>
        <v>2119679335.1205242</v>
      </c>
      <c r="Q82" s="336">
        <v>2740108395.4819999</v>
      </c>
      <c r="R82" s="337">
        <f t="shared" si="92"/>
        <v>2707012075.2173285</v>
      </c>
      <c r="S82" s="337"/>
      <c r="T82" s="337">
        <f>[3]NWC!O7</f>
        <v>2368168406.0903487</v>
      </c>
      <c r="U82" s="337">
        <f>[3]NWC!P7</f>
        <v>1858075728.8665466</v>
      </c>
      <c r="V82" s="337">
        <f>[3]NWC!Q7</f>
        <v>2528429557.4760609</v>
      </c>
      <c r="W82" s="337">
        <f>[3]NWC!R7</f>
        <v>2714140058.3951063</v>
      </c>
      <c r="X82" s="337">
        <f>[3]NWC!S7</f>
        <v>2700303036.1284394</v>
      </c>
      <c r="Y82" s="337">
        <f>[3]NWC!T7</f>
        <v>2715079472.8839951</v>
      </c>
      <c r="Z82" s="337">
        <f>[3]NWC!U7</f>
        <v>2719428580.8395505</v>
      </c>
      <c r="AA82" s="337">
        <f>[3]NWC!V7</f>
        <v>2725272795.7006617</v>
      </c>
      <c r="AB82" s="337">
        <f>[3]NWC!W7</f>
        <v>2721404388.7395506</v>
      </c>
      <c r="AC82" s="337">
        <f>[3]NWC!X7</f>
        <v>2701820249.8506618</v>
      </c>
      <c r="AD82" s="337">
        <f>[3]NWC!Y7</f>
        <v>2707513174.2839952</v>
      </c>
      <c r="AE82" s="337">
        <f>[3]NWC!Z7</f>
        <v>2707012075.2173285</v>
      </c>
      <c r="AF82" s="338"/>
      <c r="AG82" s="333"/>
      <c r="AH82" s="333"/>
      <c r="AI82" s="333"/>
      <c r="AJ82" s="333"/>
      <c r="AK82" s="333"/>
      <c r="AL82" s="339"/>
    </row>
    <row r="83" spans="2:40">
      <c r="B83" s="327" t="str">
        <f>IF(B1="EN", "Other short-term assets", "Tài sản ngắn hạn khác")</f>
        <v>Tài sản ngắn hạn khác</v>
      </c>
      <c r="C83" s="123"/>
      <c r="D83" s="123"/>
      <c r="E83" s="326"/>
      <c r="F83" s="341"/>
      <c r="G83" s="319"/>
      <c r="H83" s="319"/>
      <c r="I83" s="319"/>
      <c r="J83" s="319"/>
      <c r="K83" s="320"/>
      <c r="L83" s="320"/>
      <c r="M83" s="320"/>
      <c r="N83" s="321">
        <f>360357978+240000000</f>
        <v>600357978</v>
      </c>
      <c r="O83" s="321">
        <f>1722790360+930823092</f>
        <v>2653613452</v>
      </c>
      <c r="P83" s="322">
        <f>O83</f>
        <v>2653613452</v>
      </c>
      <c r="Q83" s="323">
        <v>1475506166</v>
      </c>
      <c r="R83" s="324">
        <f t="shared" si="92"/>
        <v>1475506166</v>
      </c>
      <c r="S83" s="324"/>
      <c r="T83" s="324">
        <f>$Q$83</f>
        <v>1475506166</v>
      </c>
      <c r="U83" s="324">
        <f t="shared" ref="U83:AE83" si="97">$Q$83</f>
        <v>1475506166</v>
      </c>
      <c r="V83" s="324">
        <f t="shared" si="97"/>
        <v>1475506166</v>
      </c>
      <c r="W83" s="324">
        <f t="shared" si="97"/>
        <v>1475506166</v>
      </c>
      <c r="X83" s="324">
        <f t="shared" si="97"/>
        <v>1475506166</v>
      </c>
      <c r="Y83" s="324">
        <f t="shared" si="97"/>
        <v>1475506166</v>
      </c>
      <c r="Z83" s="324">
        <f t="shared" si="97"/>
        <v>1475506166</v>
      </c>
      <c r="AA83" s="324">
        <f t="shared" si="97"/>
        <v>1475506166</v>
      </c>
      <c r="AB83" s="324">
        <f t="shared" si="97"/>
        <v>1475506166</v>
      </c>
      <c r="AC83" s="324">
        <f t="shared" si="97"/>
        <v>1475506166</v>
      </c>
      <c r="AD83" s="324">
        <f t="shared" si="97"/>
        <v>1475506166</v>
      </c>
      <c r="AE83" s="324">
        <f t="shared" si="97"/>
        <v>1475506166</v>
      </c>
      <c r="AF83" s="325"/>
      <c r="AG83" s="320"/>
      <c r="AH83" s="320"/>
      <c r="AI83" s="320"/>
      <c r="AJ83" s="320"/>
      <c r="AK83" s="320"/>
      <c r="AL83" s="326"/>
    </row>
    <row r="84" spans="2:40">
      <c r="B84" s="342"/>
      <c r="C84" s="329"/>
      <c r="D84" s="329"/>
      <c r="E84" s="330"/>
      <c r="F84" s="331"/>
      <c r="G84" s="343"/>
      <c r="H84" s="343"/>
      <c r="I84" s="343"/>
      <c r="J84" s="343"/>
      <c r="K84" s="344"/>
      <c r="L84" s="344"/>
      <c r="M84" s="344"/>
      <c r="N84" s="345"/>
      <c r="O84" s="345"/>
      <c r="P84" s="346"/>
      <c r="Q84" s="347"/>
      <c r="R84" s="348">
        <f t="shared" si="92"/>
        <v>0</v>
      </c>
      <c r="S84" s="348"/>
      <c r="T84" s="348"/>
      <c r="U84" s="348"/>
      <c r="V84" s="348"/>
      <c r="W84" s="348"/>
      <c r="X84" s="348"/>
      <c r="Y84" s="348"/>
      <c r="Z84" s="348"/>
      <c r="AA84" s="348"/>
      <c r="AB84" s="348"/>
      <c r="AC84" s="348"/>
      <c r="AD84" s="348"/>
      <c r="AE84" s="348"/>
      <c r="AF84" s="349"/>
      <c r="AG84" s="344"/>
      <c r="AH84" s="344"/>
      <c r="AI84" s="344"/>
      <c r="AJ84" s="344"/>
      <c r="AK84" s="344"/>
      <c r="AL84" s="350"/>
    </row>
    <row r="85" spans="2:40">
      <c r="B85" s="126" t="str">
        <f>IF(B1="EN", "LONG-TERM ASSETS", "TÀI SẢN DÀI HẠN")</f>
        <v>TÀI SẢN DÀI HẠN</v>
      </c>
      <c r="C85" s="123"/>
      <c r="D85" s="123"/>
      <c r="E85" s="317"/>
      <c r="F85" s="318"/>
      <c r="G85" s="319"/>
      <c r="H85" s="319"/>
      <c r="I85" s="319"/>
      <c r="J85" s="319"/>
      <c r="K85" s="320"/>
      <c r="L85" s="320"/>
      <c r="M85" s="320"/>
      <c r="N85" s="321">
        <f>N86+N96+N98+N100+N99</f>
        <v>5030307875</v>
      </c>
      <c r="O85" s="321">
        <f>O86+O96+O98+O100+O99</f>
        <v>5920101245</v>
      </c>
      <c r="P85" s="322">
        <f t="shared" ref="P85" si="98">P86+P96+P98+P100+P99</f>
        <v>6810342506.093708</v>
      </c>
      <c r="Q85" s="323">
        <f>Q86+Q96+Q98+Q100+Q99</f>
        <v>7145209425</v>
      </c>
      <c r="R85" s="324">
        <f>AE85</f>
        <v>7361375306.9915514</v>
      </c>
      <c r="S85" s="324"/>
      <c r="T85" s="324">
        <f>T86+T96+T98+T100+T99</f>
        <v>8611850287.3513184</v>
      </c>
      <c r="U85" s="324">
        <f t="shared" ref="U85:AE85" si="99">U86+U96+U98+U100+U99</f>
        <v>8507117913.7702255</v>
      </c>
      <c r="V85" s="324">
        <f t="shared" si="99"/>
        <v>8394351346.6407452</v>
      </c>
      <c r="W85" s="324">
        <f t="shared" si="99"/>
        <v>8279576231.1241684</v>
      </c>
      <c r="X85" s="324">
        <f t="shared" si="99"/>
        <v>8164801115.6075907</v>
      </c>
      <c r="Y85" s="324">
        <f t="shared" si="99"/>
        <v>8050026000.0910139</v>
      </c>
      <c r="Z85" s="324">
        <f t="shared" si="99"/>
        <v>7935250884.5744371</v>
      </c>
      <c r="AA85" s="324">
        <f t="shared" si="99"/>
        <v>7820475769.0578594</v>
      </c>
      <c r="AB85" s="324">
        <f t="shared" si="99"/>
        <v>7705700653.5412827</v>
      </c>
      <c r="AC85" s="324">
        <f t="shared" si="99"/>
        <v>7590925538.0247059</v>
      </c>
      <c r="AD85" s="324">
        <f t="shared" si="99"/>
        <v>7476150422.5081282</v>
      </c>
      <c r="AE85" s="324">
        <f t="shared" si="99"/>
        <v>7361375306.9915514</v>
      </c>
      <c r="AF85" s="325"/>
      <c r="AG85" s="320"/>
      <c r="AH85" s="320"/>
      <c r="AI85" s="320"/>
      <c r="AJ85" s="320"/>
      <c r="AK85" s="320"/>
      <c r="AL85" s="326"/>
    </row>
    <row r="86" spans="2:40">
      <c r="B86" s="327" t="str">
        <f>IF(B1="EN", "Fixed assets", "Tài sản cố định")</f>
        <v>Tài sản cố định</v>
      </c>
      <c r="C86" s="123"/>
      <c r="D86" s="123"/>
      <c r="E86" s="317"/>
      <c r="F86" s="318"/>
      <c r="G86" s="319"/>
      <c r="H86" s="319"/>
      <c r="I86" s="319"/>
      <c r="J86" s="319"/>
      <c r="K86" s="320"/>
      <c r="L86" s="320"/>
      <c r="M86" s="320"/>
      <c r="N86" s="321">
        <f>N87+N90+N93</f>
        <v>4820029021</v>
      </c>
      <c r="O86" s="321">
        <f>O87+O90+O93</f>
        <v>5649559137</v>
      </c>
      <c r="P86" s="322">
        <f t="shared" ref="P86" si="100">P87+P90+P93</f>
        <v>6539800398.093708</v>
      </c>
      <c r="Q86" s="323">
        <f>Q87+Q90+Q93</f>
        <v>5818128147</v>
      </c>
      <c r="R86" s="324">
        <f t="shared" si="92"/>
        <v>6034294028.9915514</v>
      </c>
      <c r="S86" s="324"/>
      <c r="T86" s="324">
        <f>T87+T90+T93</f>
        <v>7284769009.3513193</v>
      </c>
      <c r="U86" s="324">
        <f t="shared" ref="U86:AE86" si="101">U87+U90+U93</f>
        <v>7180036635.7702255</v>
      </c>
      <c r="V86" s="324">
        <f t="shared" si="101"/>
        <v>7067270068.6407452</v>
      </c>
      <c r="W86" s="324">
        <f t="shared" si="101"/>
        <v>6952494953.1241684</v>
      </c>
      <c r="X86" s="324">
        <f t="shared" si="101"/>
        <v>6837719837.6075907</v>
      </c>
      <c r="Y86" s="324">
        <f t="shared" si="101"/>
        <v>6722944722.0910139</v>
      </c>
      <c r="Z86" s="324">
        <f t="shared" si="101"/>
        <v>6608169606.5744371</v>
      </c>
      <c r="AA86" s="324">
        <f t="shared" si="101"/>
        <v>6493394491.0578594</v>
      </c>
      <c r="AB86" s="324">
        <f t="shared" si="101"/>
        <v>6378619375.5412827</v>
      </c>
      <c r="AC86" s="324">
        <f t="shared" si="101"/>
        <v>6263844260.0247059</v>
      </c>
      <c r="AD86" s="324">
        <f t="shared" si="101"/>
        <v>6149069144.5081282</v>
      </c>
      <c r="AE86" s="324">
        <f t="shared" si="101"/>
        <v>6034294028.9915514</v>
      </c>
      <c r="AF86" s="325"/>
      <c r="AG86" s="320"/>
      <c r="AH86" s="320"/>
      <c r="AI86" s="320"/>
      <c r="AJ86" s="320"/>
      <c r="AK86" s="320"/>
      <c r="AL86" s="326"/>
    </row>
    <row r="87" spans="2:40">
      <c r="B87" s="342"/>
      <c r="C87" s="351" t="str">
        <f>IF(B1="EN", "Tangible fixed assets", "Tài sản cố định hữu hình")</f>
        <v>Tài sản cố định hữu hình</v>
      </c>
      <c r="D87" s="329"/>
      <c r="E87" s="330"/>
      <c r="F87" s="331"/>
      <c r="G87" s="332"/>
      <c r="H87" s="332"/>
      <c r="I87" s="332"/>
      <c r="J87" s="332"/>
      <c r="K87" s="333"/>
      <c r="L87" s="333"/>
      <c r="M87" s="333"/>
      <c r="N87" s="340">
        <f>SUM(N88:N89)</f>
        <v>4820029021</v>
      </c>
      <c r="O87" s="340">
        <f>SUM(O88:O89)</f>
        <v>5649559137</v>
      </c>
      <c r="P87" s="335">
        <f t="shared" ref="P87:Q87" si="102">SUM(P88:P89)</f>
        <v>6539800398.093708</v>
      </c>
      <c r="Q87" s="336">
        <f t="shared" si="102"/>
        <v>5818128147</v>
      </c>
      <c r="R87" s="337">
        <f t="shared" si="92"/>
        <v>5343140903.9915514</v>
      </c>
      <c r="S87" s="337"/>
      <c r="T87" s="337">
        <f t="shared" ref="T87:AE87" si="103">SUM(T88:T89)</f>
        <v>6551378748.9346523</v>
      </c>
      <c r="U87" s="337">
        <f t="shared" si="103"/>
        <v>6450486114.9368925</v>
      </c>
      <c r="V87" s="337">
        <f t="shared" si="103"/>
        <v>6341559287.3907452</v>
      </c>
      <c r="W87" s="337">
        <f t="shared" si="103"/>
        <v>6230623911.4575014</v>
      </c>
      <c r="X87" s="337">
        <f t="shared" si="103"/>
        <v>6119688535.5242577</v>
      </c>
      <c r="Y87" s="337">
        <f t="shared" si="103"/>
        <v>6008753159.5910139</v>
      </c>
      <c r="Z87" s="337">
        <f t="shared" si="103"/>
        <v>5897817783.6577702</v>
      </c>
      <c r="AA87" s="337">
        <f t="shared" si="103"/>
        <v>5786882407.7245264</v>
      </c>
      <c r="AB87" s="337">
        <f t="shared" si="103"/>
        <v>5675947031.7912827</v>
      </c>
      <c r="AC87" s="337">
        <f t="shared" si="103"/>
        <v>5565011655.8580389</v>
      </c>
      <c r="AD87" s="337">
        <f t="shared" si="103"/>
        <v>5454076279.9247952</v>
      </c>
      <c r="AE87" s="337">
        <f t="shared" si="103"/>
        <v>5343140903.9915514</v>
      </c>
      <c r="AF87" s="338"/>
      <c r="AG87" s="333"/>
      <c r="AH87" s="333"/>
      <c r="AI87" s="333"/>
      <c r="AJ87" s="333"/>
      <c r="AK87" s="333"/>
      <c r="AL87" s="339"/>
    </row>
    <row r="88" spans="2:40" s="125" customFormat="1" outlineLevel="1">
      <c r="B88" s="352"/>
      <c r="C88" s="353"/>
      <c r="D88" s="354"/>
      <c r="E88" s="355" t="str">
        <f>IF(B1="EN", "Cost", "Nguyên giá")</f>
        <v>Nguyên giá</v>
      </c>
      <c r="F88" s="356"/>
      <c r="G88" s="357"/>
      <c r="H88" s="357"/>
      <c r="I88" s="357"/>
      <c r="J88" s="357"/>
      <c r="K88" s="358"/>
      <c r="L88" s="358"/>
      <c r="M88" s="358"/>
      <c r="N88" s="359">
        <f>[3]CapEx!G17+[3]CapEx!H17</f>
        <v>6271532150</v>
      </c>
      <c r="O88" s="359">
        <f>N88+[3]CapEx!I17</f>
        <v>8496860564</v>
      </c>
      <c r="P88" s="360">
        <f>O88+[3]CapEx!J17</f>
        <v>12241186236</v>
      </c>
      <c r="Q88" s="361">
        <v>10690249756</v>
      </c>
      <c r="R88" s="362">
        <f t="shared" si="92"/>
        <v>11503956236</v>
      </c>
      <c r="S88" s="363"/>
      <c r="T88" s="362">
        <f>[3]Depreciation!N4+[3]Depreciation!N15</f>
        <v>11503956236</v>
      </c>
      <c r="U88" s="362">
        <f>[3]Depreciation!O4+[3]Depreciation!O15</f>
        <v>11503956236</v>
      </c>
      <c r="V88" s="362">
        <f>[3]Depreciation!P4+[3]Depreciation!P15</f>
        <v>11503956236</v>
      </c>
      <c r="W88" s="362">
        <f>[3]Depreciation!Q4+[3]Depreciation!Q15</f>
        <v>11503956236</v>
      </c>
      <c r="X88" s="362">
        <f>[3]Depreciation!R4+[3]Depreciation!R15</f>
        <v>11503956236</v>
      </c>
      <c r="Y88" s="362">
        <f>[3]Depreciation!S4+[3]Depreciation!S15</f>
        <v>11503956236</v>
      </c>
      <c r="Z88" s="362">
        <f>[3]Depreciation!T4+[3]Depreciation!T15</f>
        <v>11503956236</v>
      </c>
      <c r="AA88" s="362">
        <f>[3]Depreciation!U4+[3]Depreciation!U15</f>
        <v>11503956236</v>
      </c>
      <c r="AB88" s="362">
        <f>[3]Depreciation!V4+[3]Depreciation!V15</f>
        <v>11503956236</v>
      </c>
      <c r="AC88" s="362">
        <f>[3]Depreciation!W4+[3]Depreciation!W15</f>
        <v>11503956236</v>
      </c>
      <c r="AD88" s="362">
        <f>[3]Depreciation!X4+[3]Depreciation!X15</f>
        <v>11503956236</v>
      </c>
      <c r="AE88" s="362">
        <f>[3]Depreciation!Y4+[3]Depreciation!Y15</f>
        <v>11503956236</v>
      </c>
      <c r="AF88" s="364"/>
      <c r="AG88" s="358"/>
      <c r="AH88" s="358"/>
      <c r="AI88" s="358"/>
      <c r="AJ88" s="358"/>
      <c r="AK88" s="358"/>
      <c r="AL88" s="354"/>
      <c r="AN88" s="288"/>
    </row>
    <row r="89" spans="2:40" s="125" customFormat="1" outlineLevel="1">
      <c r="B89" s="352"/>
      <c r="C89" s="353"/>
      <c r="D89" s="354"/>
      <c r="E89" s="355" t="str">
        <f>IF(B1="EN", "Accumulated depreciation", "Khấu hao lũy kế")</f>
        <v>Khấu hao lũy kế</v>
      </c>
      <c r="F89" s="356"/>
      <c r="G89" s="357"/>
      <c r="H89" s="357"/>
      <c r="I89" s="357"/>
      <c r="J89" s="357"/>
      <c r="K89" s="358"/>
      <c r="L89" s="358"/>
      <c r="M89" s="358"/>
      <c r="N89" s="365">
        <v>-1451503129</v>
      </c>
      <c r="O89" s="365">
        <f>N89+[3]Depreciation!I57</f>
        <v>-2847301427</v>
      </c>
      <c r="P89" s="360">
        <f>O89+[3]Depreciation!J57</f>
        <v>-5701385837.906292</v>
      </c>
      <c r="Q89" s="361">
        <v>-4872121609</v>
      </c>
      <c r="R89" s="362">
        <f t="shared" si="92"/>
        <v>-6160815332.0084486</v>
      </c>
      <c r="S89" s="363"/>
      <c r="T89" s="362">
        <f>[3]Depreciation!N5</f>
        <v>-4952577487.0653477</v>
      </c>
      <c r="U89" s="362">
        <f>[3]Depreciation!O5</f>
        <v>-5053470121.0631075</v>
      </c>
      <c r="V89" s="362">
        <f>[3]Depreciation!P5</f>
        <v>-5162396948.6092548</v>
      </c>
      <c r="W89" s="362">
        <f>[3]Depreciation!Q5</f>
        <v>-5273332324.5424986</v>
      </c>
      <c r="X89" s="362">
        <f>[3]Depreciation!R5</f>
        <v>-5384267700.4757423</v>
      </c>
      <c r="Y89" s="362">
        <f>[3]Depreciation!S5</f>
        <v>-5495203076.4089861</v>
      </c>
      <c r="Z89" s="362">
        <f>[3]Depreciation!T5</f>
        <v>-5606138452.3422298</v>
      </c>
      <c r="AA89" s="362">
        <f>[3]Depreciation!U5</f>
        <v>-5717073828.2754736</v>
      </c>
      <c r="AB89" s="362">
        <f>[3]Depreciation!V5</f>
        <v>-5828009204.2087173</v>
      </c>
      <c r="AC89" s="362">
        <f>[3]Depreciation!W5</f>
        <v>-5938944580.1419611</v>
      </c>
      <c r="AD89" s="362">
        <f>[3]Depreciation!X5</f>
        <v>-6049879956.0752048</v>
      </c>
      <c r="AE89" s="362">
        <f>[3]Depreciation!Y5</f>
        <v>-6160815332.0084486</v>
      </c>
      <c r="AF89" s="364"/>
      <c r="AG89" s="358"/>
      <c r="AH89" s="358"/>
      <c r="AI89" s="358"/>
      <c r="AJ89" s="358"/>
      <c r="AK89" s="358"/>
      <c r="AL89" s="354"/>
    </row>
    <row r="90" spans="2:40">
      <c r="B90" s="342"/>
      <c r="C90" s="351" t="str">
        <f>IF(B1="EN", "Financial leasing", "Tài sản thuê tài chính")</f>
        <v>Tài sản thuê tài chính</v>
      </c>
      <c r="D90" s="329"/>
      <c r="E90" s="330"/>
      <c r="F90" s="331"/>
      <c r="G90" s="332"/>
      <c r="H90" s="332"/>
      <c r="I90" s="332"/>
      <c r="J90" s="332"/>
      <c r="K90" s="333"/>
      <c r="L90" s="333"/>
      <c r="M90" s="333"/>
      <c r="N90" s="340">
        <f>SUM(N91:N92)</f>
        <v>0</v>
      </c>
      <c r="O90" s="340">
        <f>SUM(O91:O92)</f>
        <v>0</v>
      </c>
      <c r="P90" s="335">
        <f t="shared" ref="P90:Q90" si="104">SUM(P91:P92)</f>
        <v>0</v>
      </c>
      <c r="Q90" s="336">
        <f t="shared" si="104"/>
        <v>0</v>
      </c>
      <c r="R90" s="337">
        <f t="shared" si="92"/>
        <v>0</v>
      </c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8"/>
      <c r="AG90" s="333"/>
      <c r="AH90" s="333"/>
      <c r="AI90" s="333"/>
      <c r="AJ90" s="333"/>
      <c r="AK90" s="333"/>
      <c r="AL90" s="339"/>
    </row>
    <row r="91" spans="2:40" outlineLevel="1">
      <c r="B91" s="352"/>
      <c r="C91" s="366"/>
      <c r="D91" s="367"/>
      <c r="E91" s="355" t="str">
        <f>IF(B1="EN", "Cost", "Nguyên giá")</f>
        <v>Nguyên giá</v>
      </c>
      <c r="F91" s="356"/>
      <c r="G91" s="357"/>
      <c r="H91" s="357"/>
      <c r="I91" s="357"/>
      <c r="J91" s="357"/>
      <c r="K91" s="358"/>
      <c r="L91" s="358"/>
      <c r="M91" s="358"/>
      <c r="N91" s="359"/>
      <c r="O91" s="359"/>
      <c r="P91" s="360"/>
      <c r="Q91" s="361">
        <f>[3]Depreciation!K8</f>
        <v>0</v>
      </c>
      <c r="R91" s="362">
        <f t="shared" si="92"/>
        <v>0</v>
      </c>
      <c r="S91" s="363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4"/>
      <c r="AG91" s="358"/>
      <c r="AH91" s="358"/>
      <c r="AI91" s="358"/>
      <c r="AJ91" s="358"/>
      <c r="AK91" s="358"/>
      <c r="AL91" s="354"/>
      <c r="AN91" s="288"/>
    </row>
    <row r="92" spans="2:40" outlineLevel="1">
      <c r="B92" s="352"/>
      <c r="C92" s="366"/>
      <c r="D92" s="367"/>
      <c r="E92" s="355" t="str">
        <f>IF(B1="EN", "Accumulated depreciation", "Khấu hao lũy kế")</f>
        <v>Khấu hao lũy kế</v>
      </c>
      <c r="F92" s="356"/>
      <c r="G92" s="357"/>
      <c r="H92" s="357"/>
      <c r="I92" s="357"/>
      <c r="J92" s="357"/>
      <c r="K92" s="358"/>
      <c r="L92" s="358"/>
      <c r="M92" s="358"/>
      <c r="N92" s="359"/>
      <c r="O92" s="359"/>
      <c r="P92" s="360"/>
      <c r="Q92" s="361">
        <f>[3]Depreciation!K9</f>
        <v>0</v>
      </c>
      <c r="R92" s="362">
        <f t="shared" si="92"/>
        <v>0</v>
      </c>
      <c r="S92" s="363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4"/>
      <c r="AG92" s="358"/>
      <c r="AH92" s="358"/>
      <c r="AI92" s="358"/>
      <c r="AJ92" s="358"/>
      <c r="AK92" s="358"/>
      <c r="AL92" s="354"/>
    </row>
    <row r="93" spans="2:40">
      <c r="B93" s="352"/>
      <c r="C93" s="351" t="str">
        <f>IF(B1="EN", "Intangible fixed assets", "Tài sản cố định vô hình")</f>
        <v>Tài sản cố định vô hình</v>
      </c>
      <c r="D93" s="329"/>
      <c r="E93" s="355"/>
      <c r="F93" s="356"/>
      <c r="G93" s="368"/>
      <c r="H93" s="368"/>
      <c r="I93" s="368"/>
      <c r="J93" s="368"/>
      <c r="K93" s="369"/>
      <c r="L93" s="369"/>
      <c r="M93" s="369"/>
      <c r="N93" s="370">
        <f>SUM(N94:N95)</f>
        <v>0</v>
      </c>
      <c r="O93" s="370">
        <f>SUM(O94:O95)</f>
        <v>0</v>
      </c>
      <c r="P93" s="335">
        <f t="shared" ref="P93:R93" si="105">SUM(P94:P95)</f>
        <v>0</v>
      </c>
      <c r="Q93" s="370">
        <f t="shared" si="105"/>
        <v>0</v>
      </c>
      <c r="R93" s="337">
        <f t="shared" si="105"/>
        <v>691153125</v>
      </c>
      <c r="S93" s="337"/>
      <c r="T93" s="371">
        <f t="shared" ref="T93:AE93" si="106">SUM(T94:T95)</f>
        <v>733390260.41666663</v>
      </c>
      <c r="U93" s="371">
        <f t="shared" si="106"/>
        <v>729550520.83333337</v>
      </c>
      <c r="V93" s="371">
        <f t="shared" si="106"/>
        <v>725710781.25</v>
      </c>
      <c r="W93" s="371">
        <f t="shared" si="106"/>
        <v>721871041.66666663</v>
      </c>
      <c r="X93" s="371">
        <f t="shared" si="106"/>
        <v>718031302.08333337</v>
      </c>
      <c r="Y93" s="371">
        <f t="shared" si="106"/>
        <v>714191562.5</v>
      </c>
      <c r="Z93" s="371">
        <f t="shared" si="106"/>
        <v>710351822.91666663</v>
      </c>
      <c r="AA93" s="371">
        <f t="shared" si="106"/>
        <v>706512083.33333337</v>
      </c>
      <c r="AB93" s="371">
        <f t="shared" si="106"/>
        <v>702672343.75</v>
      </c>
      <c r="AC93" s="371">
        <f t="shared" si="106"/>
        <v>698832604.16666663</v>
      </c>
      <c r="AD93" s="371">
        <f t="shared" si="106"/>
        <v>694992864.58333325</v>
      </c>
      <c r="AE93" s="371">
        <f t="shared" si="106"/>
        <v>691153125</v>
      </c>
      <c r="AF93" s="338"/>
      <c r="AG93" s="369"/>
      <c r="AH93" s="369"/>
      <c r="AI93" s="369"/>
      <c r="AJ93" s="369"/>
      <c r="AK93" s="369"/>
      <c r="AL93" s="339"/>
    </row>
    <row r="94" spans="2:40" outlineLevel="1">
      <c r="B94" s="352"/>
      <c r="C94" s="367"/>
      <c r="D94" s="367"/>
      <c r="E94" s="355" t="str">
        <f>IF(B1="EN", "Cost", "Nguyên giá")</f>
        <v>Nguyên giá</v>
      </c>
      <c r="F94" s="356"/>
      <c r="G94" s="357"/>
      <c r="H94" s="357"/>
      <c r="I94" s="357"/>
      <c r="J94" s="357"/>
      <c r="K94" s="358"/>
      <c r="L94" s="358"/>
      <c r="M94" s="358"/>
      <c r="N94" s="359"/>
      <c r="O94" s="370"/>
      <c r="P94" s="335"/>
      <c r="Q94" s="370"/>
      <c r="R94" s="362">
        <f t="shared" si="92"/>
        <v>737230000</v>
      </c>
      <c r="S94" s="363"/>
      <c r="T94" s="362">
        <f>[3]Depreciation!N12</f>
        <v>737230000</v>
      </c>
      <c r="U94" s="362">
        <f>[3]Depreciation!O12</f>
        <v>737230000</v>
      </c>
      <c r="V94" s="362">
        <f>[3]Depreciation!P12</f>
        <v>737230000</v>
      </c>
      <c r="W94" s="362">
        <f>[3]Depreciation!Q12</f>
        <v>737230000</v>
      </c>
      <c r="X94" s="362">
        <f>[3]Depreciation!R12</f>
        <v>737230000</v>
      </c>
      <c r="Y94" s="362">
        <f>[3]Depreciation!S12</f>
        <v>737230000</v>
      </c>
      <c r="Z94" s="362">
        <f>[3]Depreciation!T12</f>
        <v>737230000</v>
      </c>
      <c r="AA94" s="362">
        <f>[3]Depreciation!U12</f>
        <v>737230000</v>
      </c>
      <c r="AB94" s="362">
        <f>[3]Depreciation!V12</f>
        <v>737230000</v>
      </c>
      <c r="AC94" s="362">
        <f>[3]Depreciation!W12</f>
        <v>737230000</v>
      </c>
      <c r="AD94" s="362">
        <f>[3]Depreciation!X12</f>
        <v>737230000</v>
      </c>
      <c r="AE94" s="362">
        <f>[3]Depreciation!Y12</f>
        <v>737230000</v>
      </c>
      <c r="AF94" s="364"/>
      <c r="AG94" s="358"/>
      <c r="AH94" s="358"/>
      <c r="AI94" s="358"/>
      <c r="AJ94" s="358"/>
      <c r="AK94" s="358"/>
      <c r="AL94" s="354"/>
      <c r="AN94" s="288"/>
    </row>
    <row r="95" spans="2:40" outlineLevel="1">
      <c r="B95" s="352"/>
      <c r="C95" s="367"/>
      <c r="D95" s="367"/>
      <c r="E95" s="355" t="str">
        <f>IF(B1="EN", "Accumulated depreciation", "Khấu hao lũy kế")</f>
        <v>Khấu hao lũy kế</v>
      </c>
      <c r="F95" s="356"/>
      <c r="G95" s="357"/>
      <c r="H95" s="357"/>
      <c r="I95" s="357"/>
      <c r="J95" s="357"/>
      <c r="K95" s="358"/>
      <c r="L95" s="358"/>
      <c r="M95" s="358"/>
      <c r="N95" s="359"/>
      <c r="O95" s="359"/>
      <c r="P95" s="360"/>
      <c r="Q95" s="359"/>
      <c r="R95" s="362">
        <f t="shared" si="92"/>
        <v>-46076875.000000022</v>
      </c>
      <c r="S95" s="363"/>
      <c r="T95" s="362">
        <f>[3]Depreciation!N13</f>
        <v>-3839739.5833333349</v>
      </c>
      <c r="U95" s="362">
        <f>[3]Depreciation!O13</f>
        <v>-7679479.1666666698</v>
      </c>
      <c r="V95" s="362">
        <f>[3]Depreciation!P13</f>
        <v>-11519218.750000004</v>
      </c>
      <c r="W95" s="362">
        <f>[3]Depreciation!Q13</f>
        <v>-15358958.33333334</v>
      </c>
      <c r="X95" s="362">
        <f>[3]Depreciation!R13</f>
        <v>-19198697.916666675</v>
      </c>
      <c r="Y95" s="362">
        <f>[3]Depreciation!S13</f>
        <v>-23038437.500000011</v>
      </c>
      <c r="Z95" s="362">
        <f>[3]Depreciation!T13</f>
        <v>-26878177.083333347</v>
      </c>
      <c r="AA95" s="362">
        <f>[3]Depreciation!U13</f>
        <v>-30717916.666666683</v>
      </c>
      <c r="AB95" s="362">
        <f>[3]Depreciation!V13</f>
        <v>-34557656.250000015</v>
      </c>
      <c r="AC95" s="362">
        <f>[3]Depreciation!W13</f>
        <v>-38397395.833333351</v>
      </c>
      <c r="AD95" s="362">
        <f>[3]Depreciation!X13</f>
        <v>-42237135.416666687</v>
      </c>
      <c r="AE95" s="362">
        <f>[3]Depreciation!Y13</f>
        <v>-46076875.000000022</v>
      </c>
      <c r="AF95" s="364"/>
      <c r="AG95" s="358"/>
      <c r="AH95" s="358"/>
      <c r="AI95" s="358"/>
      <c r="AJ95" s="358"/>
      <c r="AK95" s="358"/>
      <c r="AL95" s="354"/>
    </row>
    <row r="96" spans="2:40">
      <c r="B96" s="327" t="str">
        <f>IF(B1="EN", "Long-term work in progress", "Chi phí dở dang dài hạn")</f>
        <v>Chi phí dở dang dài hạn</v>
      </c>
      <c r="C96" s="123"/>
      <c r="D96" s="123"/>
      <c r="E96" s="317"/>
      <c r="F96" s="318"/>
      <c r="G96" s="319"/>
      <c r="H96" s="319"/>
      <c r="I96" s="319"/>
      <c r="J96" s="319"/>
      <c r="K96" s="320"/>
      <c r="L96" s="320"/>
      <c r="M96" s="320"/>
      <c r="N96" s="321">
        <f>N97</f>
        <v>0</v>
      </c>
      <c r="O96" s="321">
        <f>O97</f>
        <v>0</v>
      </c>
      <c r="P96" s="322">
        <f t="shared" ref="P96:AE96" si="107">P97</f>
        <v>0</v>
      </c>
      <c r="Q96" s="323">
        <f t="shared" si="107"/>
        <v>0</v>
      </c>
      <c r="R96" s="324">
        <f t="shared" si="92"/>
        <v>0</v>
      </c>
      <c r="S96" s="324"/>
      <c r="T96" s="324">
        <f t="shared" si="107"/>
        <v>0</v>
      </c>
      <c r="U96" s="324">
        <f t="shared" si="107"/>
        <v>0</v>
      </c>
      <c r="V96" s="324">
        <f t="shared" si="107"/>
        <v>0</v>
      </c>
      <c r="W96" s="324">
        <f t="shared" si="107"/>
        <v>0</v>
      </c>
      <c r="X96" s="324">
        <f t="shared" si="107"/>
        <v>0</v>
      </c>
      <c r="Y96" s="324">
        <f t="shared" si="107"/>
        <v>0</v>
      </c>
      <c r="Z96" s="324">
        <f t="shared" si="107"/>
        <v>0</v>
      </c>
      <c r="AA96" s="324">
        <f t="shared" si="107"/>
        <v>0</v>
      </c>
      <c r="AB96" s="324">
        <f t="shared" si="107"/>
        <v>0</v>
      </c>
      <c r="AC96" s="324">
        <f t="shared" si="107"/>
        <v>0</v>
      </c>
      <c r="AD96" s="324">
        <f t="shared" si="107"/>
        <v>0</v>
      </c>
      <c r="AE96" s="324">
        <f t="shared" si="107"/>
        <v>0</v>
      </c>
      <c r="AF96" s="325"/>
      <c r="AG96" s="320"/>
      <c r="AH96" s="320"/>
      <c r="AI96" s="320"/>
      <c r="AJ96" s="320"/>
      <c r="AK96" s="320"/>
      <c r="AL96" s="326"/>
    </row>
    <row r="97" spans="2:41" outlineLevel="1">
      <c r="B97" s="342"/>
      <c r="C97" s="351" t="str">
        <f>IF(B1="EN", "Construction in progress", "Xây dựng cơ bản dở dang")</f>
        <v>Xây dựng cơ bản dở dang</v>
      </c>
      <c r="D97" s="329"/>
      <c r="E97" s="330"/>
      <c r="F97" s="331"/>
      <c r="G97" s="368"/>
      <c r="H97" s="368"/>
      <c r="I97" s="368"/>
      <c r="J97" s="368"/>
      <c r="K97" s="369"/>
      <c r="L97" s="369"/>
      <c r="M97" s="369"/>
      <c r="N97" s="370"/>
      <c r="O97" s="370"/>
      <c r="P97" s="335"/>
      <c r="Q97" s="372">
        <f>[3]Depreciation!K34</f>
        <v>0</v>
      </c>
      <c r="R97" s="371">
        <f t="shared" si="92"/>
        <v>0</v>
      </c>
      <c r="S97" s="337"/>
      <c r="T97" s="371">
        <f>[3]Depreciation!N34</f>
        <v>0</v>
      </c>
      <c r="U97" s="371">
        <f>[3]Depreciation!O34</f>
        <v>0</v>
      </c>
      <c r="V97" s="371">
        <f>[3]Depreciation!P34</f>
        <v>0</v>
      </c>
      <c r="W97" s="371">
        <f>[3]Depreciation!Q34</f>
        <v>0</v>
      </c>
      <c r="X97" s="371">
        <f>[3]Depreciation!R34</f>
        <v>0</v>
      </c>
      <c r="Y97" s="371">
        <f>[3]Depreciation!S34</f>
        <v>0</v>
      </c>
      <c r="Z97" s="371">
        <f>[3]Depreciation!T34</f>
        <v>0</v>
      </c>
      <c r="AA97" s="371">
        <f>[3]Depreciation!U34</f>
        <v>0</v>
      </c>
      <c r="AB97" s="371">
        <f>[3]Depreciation!V34</f>
        <v>0</v>
      </c>
      <c r="AC97" s="371">
        <f>[3]Depreciation!W34</f>
        <v>0</v>
      </c>
      <c r="AD97" s="371">
        <f>[3]Depreciation!X34</f>
        <v>0</v>
      </c>
      <c r="AE97" s="371">
        <f>[3]Depreciation!Y34</f>
        <v>0</v>
      </c>
      <c r="AF97" s="338"/>
      <c r="AG97" s="369"/>
      <c r="AH97" s="369"/>
      <c r="AI97" s="369"/>
      <c r="AJ97" s="369"/>
      <c r="AK97" s="369"/>
      <c r="AL97" s="339"/>
      <c r="AN97" s="288"/>
    </row>
    <row r="98" spans="2:41">
      <c r="B98" s="327" t="str">
        <f>IF(B1="EN", "Other long-term assets", "Tài sản dài hạn khác")</f>
        <v>Tài sản dài hạn khác</v>
      </c>
      <c r="C98" s="123"/>
      <c r="D98" s="123"/>
      <c r="E98" s="317"/>
      <c r="F98" s="318"/>
      <c r="G98" s="319"/>
      <c r="H98" s="319"/>
      <c r="I98" s="319"/>
      <c r="J98" s="319"/>
      <c r="K98" s="320"/>
      <c r="L98" s="320"/>
      <c r="M98" s="320"/>
      <c r="N98" s="323">
        <v>210278854</v>
      </c>
      <c r="O98" s="323">
        <v>270542108</v>
      </c>
      <c r="P98" s="323">
        <f>O98</f>
        <v>270542108</v>
      </c>
      <c r="Q98" s="323">
        <f>396258186</f>
        <v>396258186</v>
      </c>
      <c r="R98" s="324">
        <f t="shared" si="92"/>
        <v>396258186</v>
      </c>
      <c r="S98" s="324"/>
      <c r="T98" s="324">
        <f>$Q$98</f>
        <v>396258186</v>
      </c>
      <c r="U98" s="324">
        <f t="shared" ref="U98:AE98" si="108">$Q$98</f>
        <v>396258186</v>
      </c>
      <c r="V98" s="324">
        <f t="shared" si="108"/>
        <v>396258186</v>
      </c>
      <c r="W98" s="324">
        <f t="shared" si="108"/>
        <v>396258186</v>
      </c>
      <c r="X98" s="324">
        <f t="shared" si="108"/>
        <v>396258186</v>
      </c>
      <c r="Y98" s="324">
        <f t="shared" si="108"/>
        <v>396258186</v>
      </c>
      <c r="Z98" s="324">
        <f t="shared" si="108"/>
        <v>396258186</v>
      </c>
      <c r="AA98" s="324">
        <f t="shared" si="108"/>
        <v>396258186</v>
      </c>
      <c r="AB98" s="324">
        <f t="shared" si="108"/>
        <v>396258186</v>
      </c>
      <c r="AC98" s="324">
        <f t="shared" si="108"/>
        <v>396258186</v>
      </c>
      <c r="AD98" s="324">
        <f t="shared" si="108"/>
        <v>396258186</v>
      </c>
      <c r="AE98" s="324">
        <f t="shared" si="108"/>
        <v>396258186</v>
      </c>
      <c r="AF98" s="325"/>
      <c r="AG98" s="320"/>
      <c r="AH98" s="320"/>
      <c r="AI98" s="320"/>
      <c r="AJ98" s="320"/>
      <c r="AK98" s="320"/>
      <c r="AL98" s="326"/>
      <c r="AO98" s="107"/>
    </row>
    <row r="99" spans="2:41">
      <c r="B99" s="327" t="str">
        <f>IF(B1="EN", "Goodwill", "Lợi thế thương mại")</f>
        <v>Lợi thế thương mại</v>
      </c>
      <c r="C99" s="123"/>
      <c r="D99" s="123"/>
      <c r="E99" s="317"/>
      <c r="F99" s="318"/>
      <c r="G99" s="319"/>
      <c r="H99" s="319"/>
      <c r="I99" s="319"/>
      <c r="J99" s="319"/>
      <c r="K99" s="320"/>
      <c r="L99" s="320"/>
      <c r="M99" s="320"/>
      <c r="N99" s="321"/>
      <c r="O99" s="321"/>
      <c r="P99" s="322"/>
      <c r="Q99" s="323"/>
      <c r="R99" s="324">
        <f t="shared" si="92"/>
        <v>0</v>
      </c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  <c r="AF99" s="325"/>
      <c r="AG99" s="320"/>
      <c r="AH99" s="320"/>
      <c r="AI99" s="320"/>
      <c r="AJ99" s="320"/>
      <c r="AK99" s="320"/>
      <c r="AL99" s="326"/>
    </row>
    <row r="100" spans="2:41">
      <c r="B100" s="327" t="str">
        <f>IF(B1="EN", "Long-term financial investments", "Đầu tư dài hạn")</f>
        <v>Đầu tư dài hạn</v>
      </c>
      <c r="C100" s="123"/>
      <c r="D100" s="123"/>
      <c r="E100" s="317"/>
      <c r="F100" s="318"/>
      <c r="G100" s="319"/>
      <c r="H100" s="319"/>
      <c r="I100" s="319"/>
      <c r="J100" s="319"/>
      <c r="K100" s="320"/>
      <c r="L100" s="320"/>
      <c r="M100" s="320"/>
      <c r="N100" s="321">
        <f>SUM(N101:N103)</f>
        <v>0</v>
      </c>
      <c r="O100" s="321">
        <f>SUM(O101:O103)</f>
        <v>0</v>
      </c>
      <c r="P100" s="322">
        <f>SUM(P101:P103)</f>
        <v>0</v>
      </c>
      <c r="Q100" s="323">
        <v>930823092</v>
      </c>
      <c r="R100" s="324">
        <f>AE100</f>
        <v>930823092</v>
      </c>
      <c r="S100" s="324"/>
      <c r="T100" s="324">
        <v>930823092</v>
      </c>
      <c r="U100" s="324">
        <v>930823092</v>
      </c>
      <c r="V100" s="324">
        <v>930823092</v>
      </c>
      <c r="W100" s="324">
        <v>930823092</v>
      </c>
      <c r="X100" s="324">
        <v>930823092</v>
      </c>
      <c r="Y100" s="324">
        <v>930823092</v>
      </c>
      <c r="Z100" s="324">
        <v>930823092</v>
      </c>
      <c r="AA100" s="324">
        <v>930823092</v>
      </c>
      <c r="AB100" s="324">
        <v>930823092</v>
      </c>
      <c r="AC100" s="324">
        <v>930823092</v>
      </c>
      <c r="AD100" s="324">
        <v>930823092</v>
      </c>
      <c r="AE100" s="324">
        <v>930823092</v>
      </c>
      <c r="AF100" s="325"/>
      <c r="AG100" s="320">
        <f t="shared" ref="AG100:AK100" si="109">SUM(AG101:AG103)</f>
        <v>0</v>
      </c>
      <c r="AH100" s="320">
        <f t="shared" si="109"/>
        <v>0</v>
      </c>
      <c r="AI100" s="320">
        <f t="shared" si="109"/>
        <v>0</v>
      </c>
      <c r="AJ100" s="320">
        <f t="shared" si="109"/>
        <v>0</v>
      </c>
      <c r="AK100" s="320">
        <f t="shared" si="109"/>
        <v>0</v>
      </c>
      <c r="AL100" s="326"/>
    </row>
    <row r="101" spans="2:41" outlineLevel="1">
      <c r="B101" s="342"/>
      <c r="C101" s="329" t="str">
        <f>IF(B1="EN", "Investment in subsidiaries", "Đầu tư vào công ty con")</f>
        <v>Đầu tư vào công ty con</v>
      </c>
      <c r="D101" s="329"/>
      <c r="E101" s="330"/>
      <c r="F101" s="331"/>
      <c r="G101" s="332"/>
      <c r="H101" s="332"/>
      <c r="I101" s="332"/>
      <c r="J101" s="332"/>
      <c r="K101" s="333"/>
      <c r="L101" s="333"/>
      <c r="M101" s="333"/>
      <c r="N101" s="340"/>
      <c r="O101" s="340"/>
      <c r="P101" s="335"/>
      <c r="Q101" s="336"/>
      <c r="R101" s="337">
        <f t="shared" si="92"/>
        <v>0</v>
      </c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8"/>
      <c r="AG101" s="333"/>
      <c r="AH101" s="333"/>
      <c r="AI101" s="333"/>
      <c r="AJ101" s="333"/>
      <c r="AK101" s="333"/>
      <c r="AL101" s="339"/>
    </row>
    <row r="102" spans="2:41">
      <c r="B102" s="342"/>
      <c r="C102" s="329" t="s">
        <v>114</v>
      </c>
      <c r="D102" s="329"/>
      <c r="E102" s="330"/>
      <c r="F102" s="331"/>
      <c r="G102" s="332"/>
      <c r="H102" s="332"/>
      <c r="I102" s="332"/>
      <c r="J102" s="332"/>
      <c r="K102" s="333"/>
      <c r="L102" s="333"/>
      <c r="M102" s="333"/>
      <c r="N102" s="340"/>
      <c r="O102" s="340"/>
      <c r="P102" s="335"/>
      <c r="Q102" s="336"/>
      <c r="R102" s="337">
        <f t="shared" si="92"/>
        <v>0</v>
      </c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8"/>
      <c r="AG102" s="333"/>
      <c r="AH102" s="333"/>
      <c r="AI102" s="333"/>
      <c r="AJ102" s="333"/>
      <c r="AK102" s="333"/>
      <c r="AL102" s="339"/>
    </row>
    <row r="103" spans="2:41">
      <c r="B103" s="342"/>
      <c r="C103" s="329" t="s">
        <v>115</v>
      </c>
      <c r="D103" s="329"/>
      <c r="E103" s="330"/>
      <c r="F103" s="331"/>
      <c r="G103" s="332"/>
      <c r="H103" s="332"/>
      <c r="I103" s="332"/>
      <c r="J103" s="332"/>
      <c r="K103" s="333"/>
      <c r="L103" s="333"/>
      <c r="M103" s="333"/>
      <c r="N103" s="340"/>
      <c r="O103" s="340"/>
      <c r="P103" s="335"/>
      <c r="Q103" s="336"/>
      <c r="R103" s="337">
        <f t="shared" si="92"/>
        <v>0</v>
      </c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8"/>
      <c r="AG103" s="333"/>
      <c r="AH103" s="333"/>
      <c r="AI103" s="333"/>
      <c r="AJ103" s="333"/>
      <c r="AK103" s="333"/>
      <c r="AL103" s="339"/>
    </row>
    <row r="104" spans="2:41" s="125" customFormat="1">
      <c r="B104" s="342"/>
      <c r="C104" s="329"/>
      <c r="D104" s="329"/>
      <c r="E104" s="339"/>
      <c r="F104" s="373"/>
      <c r="G104" s="332"/>
      <c r="H104" s="332"/>
      <c r="I104" s="332"/>
      <c r="J104" s="332"/>
      <c r="K104" s="333"/>
      <c r="L104" s="333"/>
      <c r="M104" s="333"/>
      <c r="N104" s="340"/>
      <c r="O104" s="340"/>
      <c r="P104" s="335"/>
      <c r="Q104" s="336"/>
      <c r="R104" s="337">
        <f t="shared" si="92"/>
        <v>0</v>
      </c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8"/>
      <c r="AG104" s="333"/>
      <c r="AH104" s="333"/>
      <c r="AI104" s="333"/>
      <c r="AJ104" s="333"/>
      <c r="AK104" s="333"/>
      <c r="AL104" s="339"/>
    </row>
    <row r="105" spans="2:41" ht="17" thickBot="1">
      <c r="B105" s="374" t="str">
        <f>IF(B1="EN", "TOTAL ASSETS", "TỔNG TÀI SẢN")</f>
        <v>TỔNG TÀI SẢN</v>
      </c>
      <c r="C105" s="375"/>
      <c r="D105" s="375"/>
      <c r="E105" s="376"/>
      <c r="F105" s="377"/>
      <c r="G105" s="378"/>
      <c r="H105" s="378"/>
      <c r="I105" s="378"/>
      <c r="J105" s="378"/>
      <c r="K105" s="378"/>
      <c r="L105" s="378"/>
      <c r="M105" s="378"/>
      <c r="N105" s="379">
        <f>N73+N85</f>
        <v>16256515184.860001</v>
      </c>
      <c r="O105" s="379">
        <f>O73+O85</f>
        <v>17799098373.482002</v>
      </c>
      <c r="P105" s="380">
        <f>P73+P85</f>
        <v>18167923261.851387</v>
      </c>
      <c r="Q105" s="381">
        <f t="shared" ref="Q105" si="110">Q73+Q85</f>
        <v>22374498981.482002</v>
      </c>
      <c r="R105" s="382">
        <f>AE105</f>
        <v>25348199490.212673</v>
      </c>
      <c r="S105" s="383"/>
      <c r="T105" s="382">
        <f t="shared" ref="T105:AE105" si="111">T73+T85</f>
        <v>23825391743.980156</v>
      </c>
      <c r="U105" s="382">
        <f t="shared" si="111"/>
        <v>23374369430.590412</v>
      </c>
      <c r="V105" s="382">
        <f t="shared" si="111"/>
        <v>23662425613.538788</v>
      </c>
      <c r="W105" s="382">
        <f t="shared" si="111"/>
        <v>23915373146.604488</v>
      </c>
      <c r="X105" s="382">
        <f t="shared" si="111"/>
        <v>24116989931.966625</v>
      </c>
      <c r="Y105" s="382">
        <f t="shared" si="111"/>
        <v>24292305023.31987</v>
      </c>
      <c r="Z105" s="382">
        <f t="shared" si="111"/>
        <v>24455208860.21978</v>
      </c>
      <c r="AA105" s="382">
        <f t="shared" si="111"/>
        <v>24605701190.034142</v>
      </c>
      <c r="AB105" s="382">
        <f t="shared" si="111"/>
        <v>24763243265.790718</v>
      </c>
      <c r="AC105" s="382">
        <f t="shared" si="111"/>
        <v>24966873205.295074</v>
      </c>
      <c r="AD105" s="382">
        <f t="shared" si="111"/>
        <v>25160374062.023876</v>
      </c>
      <c r="AE105" s="382">
        <f t="shared" si="111"/>
        <v>25348199490.212673</v>
      </c>
      <c r="AF105" s="384"/>
      <c r="AG105" s="378">
        <f>AG73+AG85</f>
        <v>0</v>
      </c>
      <c r="AH105" s="378">
        <f t="shared" ref="AH105:AK105" si="112">AH73+AH85</f>
        <v>0</v>
      </c>
      <c r="AI105" s="378">
        <f t="shared" si="112"/>
        <v>0</v>
      </c>
      <c r="AJ105" s="378">
        <f t="shared" si="112"/>
        <v>0</v>
      </c>
      <c r="AK105" s="378">
        <f t="shared" si="112"/>
        <v>0</v>
      </c>
      <c r="AL105" s="326"/>
    </row>
    <row r="106" spans="2:41" ht="17" thickTop="1">
      <c r="B106" s="342"/>
      <c r="C106" s="271"/>
      <c r="D106" s="271"/>
      <c r="E106" s="330"/>
      <c r="F106" s="331"/>
      <c r="G106" s="319"/>
      <c r="H106" s="319"/>
      <c r="I106" s="319"/>
      <c r="J106" s="319"/>
      <c r="K106" s="320"/>
      <c r="L106" s="385"/>
      <c r="M106" s="385"/>
      <c r="N106" s="340"/>
      <c r="O106" s="340"/>
      <c r="P106" s="340"/>
      <c r="Q106" s="336"/>
      <c r="R106" s="337">
        <f t="shared" si="92"/>
        <v>0</v>
      </c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86"/>
      <c r="AG106" s="385"/>
      <c r="AH106" s="385"/>
      <c r="AI106" s="385"/>
      <c r="AJ106" s="385"/>
      <c r="AK106" s="385"/>
      <c r="AL106" s="387"/>
    </row>
    <row r="107" spans="2:41">
      <c r="B107" s="126" t="str">
        <f>IF(B1="EN", "LIABILITIES", "NỢ PHẢI TRẢ")</f>
        <v>NỢ PHẢI TRẢ</v>
      </c>
      <c r="C107" s="123"/>
      <c r="D107" s="123"/>
      <c r="E107" s="317"/>
      <c r="F107" s="318"/>
      <c r="G107" s="319"/>
      <c r="H107" s="319"/>
      <c r="I107" s="319"/>
      <c r="J107" s="319"/>
      <c r="K107" s="320"/>
      <c r="L107" s="320"/>
      <c r="M107" s="320"/>
      <c r="N107" s="321">
        <f t="shared" ref="N107:AE107" si="113">N108+N113</f>
        <v>3298081647.8600001</v>
      </c>
      <c r="O107" s="321">
        <f t="shared" si="113"/>
        <v>7125575958.4820004</v>
      </c>
      <c r="P107" s="322">
        <f t="shared" si="113"/>
        <v>7386817671.4243374</v>
      </c>
      <c r="Q107" s="323">
        <f t="shared" si="113"/>
        <v>7495847126</v>
      </c>
      <c r="R107" s="324">
        <f t="shared" si="92"/>
        <v>9027996160.6191616</v>
      </c>
      <c r="S107" s="324"/>
      <c r="T107" s="324">
        <f t="shared" si="113"/>
        <v>8960227426.7937679</v>
      </c>
      <c r="U107" s="324">
        <f t="shared" si="113"/>
        <v>8858208891.3490124</v>
      </c>
      <c r="V107" s="324">
        <f t="shared" si="113"/>
        <v>8992279657.070919</v>
      </c>
      <c r="W107" s="324">
        <f t="shared" si="113"/>
        <v>9029421757.2547245</v>
      </c>
      <c r="X107" s="324">
        <f t="shared" si="113"/>
        <v>9026654352.8013935</v>
      </c>
      <c r="Y107" s="324">
        <f t="shared" si="113"/>
        <v>9029609640.1525021</v>
      </c>
      <c r="Z107" s="324">
        <f t="shared" si="113"/>
        <v>9030479461.7436085</v>
      </c>
      <c r="AA107" s="324">
        <f t="shared" si="113"/>
        <v>9031648304.7158394</v>
      </c>
      <c r="AB107" s="324">
        <f t="shared" si="113"/>
        <v>9030874623.3236122</v>
      </c>
      <c r="AC107" s="324">
        <f t="shared" si="113"/>
        <v>9026957795.5458317</v>
      </c>
      <c r="AD107" s="324">
        <f t="shared" si="113"/>
        <v>9028096380.4325008</v>
      </c>
      <c r="AE107" s="324">
        <f t="shared" si="113"/>
        <v>9027996160.6191616</v>
      </c>
      <c r="AF107" s="325"/>
      <c r="AG107" s="320"/>
      <c r="AH107" s="320"/>
      <c r="AI107" s="320"/>
      <c r="AJ107" s="320"/>
      <c r="AK107" s="320"/>
      <c r="AL107" s="326"/>
    </row>
    <row r="108" spans="2:41">
      <c r="B108" s="126" t="str">
        <f>IF(B1="EN", "Short-term liabilities", "Nợ ngắn hạn")</f>
        <v>Nợ ngắn hạn</v>
      </c>
      <c r="C108" s="123"/>
      <c r="D108" s="123"/>
      <c r="E108" s="317"/>
      <c r="F108" s="318"/>
      <c r="G108" s="319"/>
      <c r="H108" s="319"/>
      <c r="I108" s="319"/>
      <c r="J108" s="319"/>
      <c r="K108" s="320"/>
      <c r="L108" s="320"/>
      <c r="M108" s="320"/>
      <c r="N108" s="321">
        <f t="shared" ref="N108:AE108" si="114">SUM(N109:N111)</f>
        <v>3298081647.8600001</v>
      </c>
      <c r="O108" s="321">
        <f t="shared" si="114"/>
        <v>7125575958.4820004</v>
      </c>
      <c r="P108" s="322">
        <f t="shared" si="114"/>
        <v>7386817671.4243374</v>
      </c>
      <c r="Q108" s="323">
        <f t="shared" si="114"/>
        <v>7495847126</v>
      </c>
      <c r="R108" s="324">
        <f t="shared" si="92"/>
        <v>9027996160.6191616</v>
      </c>
      <c r="S108" s="324"/>
      <c r="T108" s="324">
        <f t="shared" si="114"/>
        <v>8960227426.7937679</v>
      </c>
      <c r="U108" s="324">
        <f t="shared" si="114"/>
        <v>8858208891.3490124</v>
      </c>
      <c r="V108" s="324">
        <f t="shared" si="114"/>
        <v>8992279657.070919</v>
      </c>
      <c r="W108" s="324">
        <f t="shared" si="114"/>
        <v>9029421757.2547245</v>
      </c>
      <c r="X108" s="324">
        <f t="shared" si="114"/>
        <v>9026654352.8013935</v>
      </c>
      <c r="Y108" s="324">
        <f t="shared" si="114"/>
        <v>9029609640.1525021</v>
      </c>
      <c r="Z108" s="324">
        <f t="shared" si="114"/>
        <v>9030479461.7436085</v>
      </c>
      <c r="AA108" s="324">
        <f t="shared" si="114"/>
        <v>9031648304.7158394</v>
      </c>
      <c r="AB108" s="324">
        <f t="shared" si="114"/>
        <v>9030874623.3236122</v>
      </c>
      <c r="AC108" s="324">
        <f t="shared" si="114"/>
        <v>9026957795.5458317</v>
      </c>
      <c r="AD108" s="324">
        <f t="shared" si="114"/>
        <v>9028096380.4325008</v>
      </c>
      <c r="AE108" s="324">
        <f t="shared" si="114"/>
        <v>9027996160.6191616</v>
      </c>
      <c r="AF108" s="325"/>
      <c r="AG108" s="320"/>
      <c r="AH108" s="320"/>
      <c r="AI108" s="320"/>
      <c r="AJ108" s="320"/>
      <c r="AK108" s="320"/>
      <c r="AL108" s="326"/>
    </row>
    <row r="109" spans="2:41">
      <c r="B109" s="342"/>
      <c r="C109" s="329" t="str">
        <f>IF(B1="EN", "Short-term borrowings", "Vay ngắn hạn")</f>
        <v>Vay ngắn hạn</v>
      </c>
      <c r="D109" s="329"/>
      <c r="E109" s="330"/>
      <c r="F109" s="331"/>
      <c r="G109" s="368"/>
      <c r="H109" s="368"/>
      <c r="I109" s="368"/>
      <c r="J109" s="368"/>
      <c r="K109" s="369"/>
      <c r="L109" s="369"/>
      <c r="M109" s="369"/>
      <c r="N109" s="370"/>
      <c r="O109" s="370"/>
      <c r="P109" s="335"/>
      <c r="Q109" s="372">
        <f>[3]FIN!Q28</f>
        <v>0</v>
      </c>
      <c r="R109" s="371">
        <f t="shared" si="92"/>
        <v>0</v>
      </c>
      <c r="S109" s="337"/>
      <c r="T109" s="371">
        <f>[3]FIN!T28</f>
        <v>0</v>
      </c>
      <c r="U109" s="371">
        <f>[3]FIN!U28</f>
        <v>0</v>
      </c>
      <c r="V109" s="371">
        <f>[3]FIN!V28</f>
        <v>0</v>
      </c>
      <c r="W109" s="371">
        <f>[3]FIN!W28</f>
        <v>0</v>
      </c>
      <c r="X109" s="371">
        <f>[3]FIN!X28</f>
        <v>0</v>
      </c>
      <c r="Y109" s="371">
        <f>[3]FIN!Y28</f>
        <v>0</v>
      </c>
      <c r="Z109" s="371">
        <f>[3]FIN!Z28</f>
        <v>0</v>
      </c>
      <c r="AA109" s="371">
        <f>[3]FIN!AA28</f>
        <v>0</v>
      </c>
      <c r="AB109" s="371">
        <f>[3]FIN!AB28</f>
        <v>0</v>
      </c>
      <c r="AC109" s="371">
        <f>[3]FIN!AC28</f>
        <v>0</v>
      </c>
      <c r="AD109" s="371">
        <f>[3]FIN!AD28</f>
        <v>0</v>
      </c>
      <c r="AE109" s="371">
        <f>[3]FIN!AE28</f>
        <v>0</v>
      </c>
      <c r="AF109" s="338"/>
      <c r="AG109" s="369"/>
      <c r="AH109" s="369"/>
      <c r="AI109" s="369"/>
      <c r="AJ109" s="369"/>
      <c r="AK109" s="369"/>
      <c r="AL109" s="339"/>
    </row>
    <row r="110" spans="2:41">
      <c r="B110" s="342"/>
      <c r="C110" s="329" t="str">
        <f>IF(B1="EN", "Trade payables", "Phải trả thương mại")</f>
        <v>Phải trả thương mại</v>
      </c>
      <c r="D110" s="329"/>
      <c r="E110" s="330"/>
      <c r="F110" s="331"/>
      <c r="G110" s="368"/>
      <c r="H110" s="368"/>
      <c r="I110" s="368"/>
      <c r="J110" s="368"/>
      <c r="K110" s="369"/>
      <c r="L110" s="369"/>
      <c r="M110" s="369"/>
      <c r="N110" s="388">
        <v>533825855</v>
      </c>
      <c r="O110" s="388">
        <v>769690713</v>
      </c>
      <c r="P110" s="335">
        <f>[3]NWC!K8</f>
        <v>1030932425.9423375</v>
      </c>
      <c r="Q110" s="372">
        <v>586652262</v>
      </c>
      <c r="R110" s="371">
        <f t="shared" si="92"/>
        <v>541402415.04346573</v>
      </c>
      <c r="S110" s="337"/>
      <c r="T110" s="371">
        <f>[3]NWC!O8</f>
        <v>473633681.21806979</v>
      </c>
      <c r="U110" s="371">
        <f>[3]NWC!P8</f>
        <v>371615145.77330935</v>
      </c>
      <c r="V110" s="371">
        <f>[3]NWC!Q8</f>
        <v>505685911.49521226</v>
      </c>
      <c r="W110" s="371">
        <f>[3]NWC!R8</f>
        <v>542828011.67902124</v>
      </c>
      <c r="X110" s="371">
        <f>[3]NWC!S8</f>
        <v>540060607.22568786</v>
      </c>
      <c r="Y110" s="371">
        <f>[3]NWC!T8</f>
        <v>543015894.57679904</v>
      </c>
      <c r="Z110" s="371">
        <f>[3]NWC!U8</f>
        <v>543885716.1679101</v>
      </c>
      <c r="AA110" s="371">
        <f>[3]NWC!V8</f>
        <v>545054559.14013243</v>
      </c>
      <c r="AB110" s="371">
        <f>[3]NWC!W8</f>
        <v>544280877.74791014</v>
      </c>
      <c r="AC110" s="371">
        <f>[3]NWC!X8</f>
        <v>540364049.97013235</v>
      </c>
      <c r="AD110" s="371">
        <f>[3]NWC!Y8</f>
        <v>541502634.85679901</v>
      </c>
      <c r="AE110" s="371">
        <f>[3]NWC!Z8</f>
        <v>541402415.04346573</v>
      </c>
      <c r="AF110" s="338"/>
      <c r="AG110" s="369"/>
      <c r="AH110" s="369"/>
      <c r="AI110" s="369"/>
      <c r="AJ110" s="369"/>
      <c r="AK110" s="369"/>
      <c r="AL110" s="339"/>
    </row>
    <row r="111" spans="2:41">
      <c r="B111" s="342"/>
      <c r="C111" s="329" t="str">
        <f>IF(B1="EN", "Other short term liabilities", "Nợ ngắn hạn khác")</f>
        <v>Nợ ngắn hạn khác</v>
      </c>
      <c r="D111" s="329"/>
      <c r="E111" s="330"/>
      <c r="F111" s="331"/>
      <c r="G111" s="332"/>
      <c r="H111" s="332"/>
      <c r="I111" s="332"/>
      <c r="J111" s="332"/>
      <c r="K111" s="333"/>
      <c r="L111" s="333"/>
      <c r="M111" s="333"/>
      <c r="N111" s="340">
        <v>2764255792.8600001</v>
      </c>
      <c r="O111" s="340">
        <v>6355885245.4820004</v>
      </c>
      <c r="P111" s="335">
        <f>O111</f>
        <v>6355885245.4820004</v>
      </c>
      <c r="Q111" s="336">
        <v>6909194864</v>
      </c>
      <c r="R111" s="337">
        <f t="shared" si="92"/>
        <v>8486593745.575695</v>
      </c>
      <c r="S111" s="337"/>
      <c r="T111" s="337">
        <v>8486593745.5756989</v>
      </c>
      <c r="U111" s="337">
        <v>8486593745.5757027</v>
      </c>
      <c r="V111" s="337">
        <v>8486593745.5757065</v>
      </c>
      <c r="W111" s="337">
        <v>8486593745.5757027</v>
      </c>
      <c r="X111" s="337">
        <v>8486593745.5757065</v>
      </c>
      <c r="Y111" s="337">
        <v>8486593745.5757027</v>
      </c>
      <c r="Z111" s="337">
        <v>8486593745.5756989</v>
      </c>
      <c r="AA111" s="337">
        <v>8486593745.5757065</v>
      </c>
      <c r="AB111" s="337">
        <v>8486593745.5757027</v>
      </c>
      <c r="AC111" s="337">
        <v>8486593745.5756989</v>
      </c>
      <c r="AD111" s="337">
        <v>8486593745.5757027</v>
      </c>
      <c r="AE111" s="337">
        <v>8486593745.575695</v>
      </c>
      <c r="AF111" s="338"/>
      <c r="AG111" s="333"/>
      <c r="AH111" s="333"/>
      <c r="AI111" s="333"/>
      <c r="AJ111" s="333"/>
      <c r="AK111" s="333"/>
      <c r="AL111" s="389"/>
    </row>
    <row r="112" spans="2:41">
      <c r="B112" s="342"/>
      <c r="C112" s="329"/>
      <c r="D112" s="329"/>
      <c r="E112" s="330"/>
      <c r="F112" s="331"/>
      <c r="G112" s="390"/>
      <c r="H112" s="390"/>
      <c r="I112" s="390"/>
      <c r="J112" s="390"/>
      <c r="K112" s="391"/>
      <c r="L112" s="391"/>
      <c r="M112" s="391"/>
      <c r="N112" s="392"/>
      <c r="O112" s="392"/>
      <c r="P112" s="346"/>
      <c r="Q112" s="347"/>
      <c r="R112" s="348">
        <f t="shared" si="92"/>
        <v>0</v>
      </c>
      <c r="S112" s="348"/>
      <c r="T112" s="348"/>
      <c r="U112" s="348"/>
      <c r="V112" s="348"/>
      <c r="W112" s="348"/>
      <c r="X112" s="348"/>
      <c r="Y112" s="348"/>
      <c r="Z112" s="348"/>
      <c r="AA112" s="348"/>
      <c r="AB112" s="348"/>
      <c r="AC112" s="348"/>
      <c r="AD112" s="348"/>
      <c r="AE112" s="348"/>
      <c r="AF112" s="349"/>
      <c r="AG112" s="391"/>
      <c r="AH112" s="391"/>
      <c r="AI112" s="391"/>
      <c r="AJ112" s="391"/>
      <c r="AK112" s="391"/>
      <c r="AL112" s="393"/>
    </row>
    <row r="113" spans="1:38">
      <c r="B113" s="126" t="str">
        <f>IF(B1="EN", "Long-term liabilities", "Nợ dài hạn")</f>
        <v>Nợ dài hạn</v>
      </c>
      <c r="C113" s="123"/>
      <c r="D113" s="123"/>
      <c r="E113" s="317"/>
      <c r="F113" s="318"/>
      <c r="G113" s="319"/>
      <c r="H113" s="319"/>
      <c r="I113" s="319"/>
      <c r="J113" s="319"/>
      <c r="K113" s="320"/>
      <c r="L113" s="320"/>
      <c r="M113" s="320"/>
      <c r="N113" s="321">
        <f t="shared" ref="N113:AE113" si="115">SUM(N114:N115)</f>
        <v>0</v>
      </c>
      <c r="O113" s="321"/>
      <c r="P113" s="322">
        <f t="shared" si="115"/>
        <v>0</v>
      </c>
      <c r="Q113" s="323">
        <f t="shared" si="115"/>
        <v>0</v>
      </c>
      <c r="R113" s="324">
        <f t="shared" si="92"/>
        <v>0</v>
      </c>
      <c r="S113" s="324"/>
      <c r="T113" s="324">
        <f t="shared" si="115"/>
        <v>0</v>
      </c>
      <c r="U113" s="324">
        <f t="shared" si="115"/>
        <v>0</v>
      </c>
      <c r="V113" s="324">
        <f t="shared" si="115"/>
        <v>0</v>
      </c>
      <c r="W113" s="324">
        <f t="shared" si="115"/>
        <v>0</v>
      </c>
      <c r="X113" s="324">
        <f t="shared" si="115"/>
        <v>0</v>
      </c>
      <c r="Y113" s="324">
        <f t="shared" si="115"/>
        <v>0</v>
      </c>
      <c r="Z113" s="324">
        <f t="shared" si="115"/>
        <v>0</v>
      </c>
      <c r="AA113" s="324">
        <f t="shared" si="115"/>
        <v>0</v>
      </c>
      <c r="AB113" s="324">
        <f t="shared" si="115"/>
        <v>0</v>
      </c>
      <c r="AC113" s="324">
        <f t="shared" si="115"/>
        <v>0</v>
      </c>
      <c r="AD113" s="324">
        <f t="shared" si="115"/>
        <v>0</v>
      </c>
      <c r="AE113" s="324">
        <f t="shared" si="115"/>
        <v>0</v>
      </c>
      <c r="AF113" s="325"/>
      <c r="AG113" s="320"/>
      <c r="AH113" s="320"/>
      <c r="AI113" s="320"/>
      <c r="AJ113" s="320"/>
      <c r="AK113" s="320"/>
      <c r="AL113" s="326"/>
    </row>
    <row r="114" spans="1:38">
      <c r="B114" s="342"/>
      <c r="C114" s="329" t="str">
        <f>IF(B1="EN", "Long-term borrowings", "Vay dài hạn")</f>
        <v>Vay dài hạn</v>
      </c>
      <c r="D114" s="329"/>
      <c r="E114" s="330"/>
      <c r="F114" s="331"/>
      <c r="G114" s="368"/>
      <c r="H114" s="368"/>
      <c r="I114" s="368"/>
      <c r="J114" s="368"/>
      <c r="K114" s="369"/>
      <c r="L114" s="369"/>
      <c r="M114" s="369"/>
      <c r="N114" s="370"/>
      <c r="O114" s="370"/>
      <c r="P114" s="335"/>
      <c r="Q114" s="372">
        <f>[3]FIN!Q9</f>
        <v>0</v>
      </c>
      <c r="R114" s="371">
        <f t="shared" si="92"/>
        <v>0</v>
      </c>
      <c r="S114" s="337"/>
      <c r="T114" s="371"/>
      <c r="U114" s="371"/>
      <c r="V114" s="371"/>
      <c r="W114" s="371"/>
      <c r="X114" s="371"/>
      <c r="Y114" s="371"/>
      <c r="Z114" s="371"/>
      <c r="AA114" s="371"/>
      <c r="AB114" s="371"/>
      <c r="AC114" s="371"/>
      <c r="AD114" s="371"/>
      <c r="AE114" s="371"/>
      <c r="AF114" s="338"/>
      <c r="AG114" s="369"/>
      <c r="AH114" s="369"/>
      <c r="AI114" s="369"/>
      <c r="AJ114" s="369"/>
      <c r="AK114" s="369"/>
      <c r="AL114" s="339"/>
    </row>
    <row r="115" spans="1:38">
      <c r="B115" s="342"/>
      <c r="C115" s="329" t="str">
        <f>IF(B1="EN", "Other long term liabilities", "Nợ dài hạn khác")</f>
        <v>Nợ dài hạn khác</v>
      </c>
      <c r="D115" s="329"/>
      <c r="E115" s="330"/>
      <c r="F115" s="331"/>
      <c r="G115" s="332"/>
      <c r="H115" s="332"/>
      <c r="I115" s="332"/>
      <c r="J115" s="332"/>
      <c r="K115" s="333"/>
      <c r="L115" s="333"/>
      <c r="M115" s="333"/>
      <c r="N115" s="340"/>
      <c r="O115" s="340"/>
      <c r="P115" s="335"/>
      <c r="Q115" s="336">
        <f>N115</f>
        <v>0</v>
      </c>
      <c r="R115" s="337">
        <f t="shared" si="92"/>
        <v>0</v>
      </c>
      <c r="S115" s="337"/>
      <c r="T115" s="337">
        <f>$Q$115</f>
        <v>0</v>
      </c>
      <c r="U115" s="337">
        <f t="shared" ref="U115:AE115" si="116">$Q$115</f>
        <v>0</v>
      </c>
      <c r="V115" s="337">
        <f t="shared" si="116"/>
        <v>0</v>
      </c>
      <c r="W115" s="337">
        <f t="shared" si="116"/>
        <v>0</v>
      </c>
      <c r="X115" s="337">
        <f t="shared" si="116"/>
        <v>0</v>
      </c>
      <c r="Y115" s="337">
        <f t="shared" si="116"/>
        <v>0</v>
      </c>
      <c r="Z115" s="337">
        <f t="shared" si="116"/>
        <v>0</v>
      </c>
      <c r="AA115" s="337">
        <f t="shared" si="116"/>
        <v>0</v>
      </c>
      <c r="AB115" s="337">
        <f t="shared" si="116"/>
        <v>0</v>
      </c>
      <c r="AC115" s="337">
        <f t="shared" si="116"/>
        <v>0</v>
      </c>
      <c r="AD115" s="337">
        <f t="shared" si="116"/>
        <v>0</v>
      </c>
      <c r="AE115" s="337">
        <f t="shared" si="116"/>
        <v>0</v>
      </c>
      <c r="AF115" s="338"/>
      <c r="AG115" s="333"/>
      <c r="AH115" s="333"/>
      <c r="AI115" s="333"/>
      <c r="AJ115" s="333"/>
      <c r="AK115" s="333"/>
      <c r="AL115" s="339"/>
    </row>
    <row r="116" spans="1:38">
      <c r="B116" s="126" t="str">
        <f>IF(B1="EN", "EQUITY", "VỐN CHỦ SỞ HỮU")</f>
        <v>VỐN CHỦ SỞ HỮU</v>
      </c>
      <c r="C116" s="123"/>
      <c r="D116" s="123"/>
      <c r="E116" s="317"/>
      <c r="F116" s="318"/>
      <c r="G116" s="319"/>
      <c r="H116" s="319"/>
      <c r="I116" s="319"/>
      <c r="J116" s="319"/>
      <c r="K116" s="320"/>
      <c r="L116" s="320"/>
      <c r="M116" s="320"/>
      <c r="N116" s="321">
        <f t="shared" ref="N116:AE116" si="117">SUM(N117:N120)</f>
        <v>12958433537</v>
      </c>
      <c r="O116" s="321">
        <f t="shared" si="117"/>
        <v>10673522415</v>
      </c>
      <c r="P116" s="322">
        <f t="shared" si="117"/>
        <v>10781105590.333344</v>
      </c>
      <c r="Q116" s="323">
        <f t="shared" si="117"/>
        <v>14878651855</v>
      </c>
      <c r="R116" s="324">
        <f t="shared" si="92"/>
        <v>16320203329.59351</v>
      </c>
      <c r="S116" s="324"/>
      <c r="T116" s="324">
        <f t="shared" si="117"/>
        <v>14865164317.186386</v>
      </c>
      <c r="U116" s="324">
        <f t="shared" si="117"/>
        <v>14516160539.2414</v>
      </c>
      <c r="V116" s="324">
        <f t="shared" si="117"/>
        <v>14670145956.467871</v>
      </c>
      <c r="W116" s="324">
        <f t="shared" si="117"/>
        <v>14885951389.349764</v>
      </c>
      <c r="X116" s="324">
        <f t="shared" si="117"/>
        <v>15090335579.165234</v>
      </c>
      <c r="Y116" s="324">
        <f t="shared" si="117"/>
        <v>15262695383.167368</v>
      </c>
      <c r="Z116" s="324">
        <f t="shared" si="117"/>
        <v>15424729398.47617</v>
      </c>
      <c r="AA116" s="324">
        <f t="shared" si="117"/>
        <v>15574052885.318304</v>
      </c>
      <c r="AB116" s="324">
        <f t="shared" si="117"/>
        <v>15732368642.467106</v>
      </c>
      <c r="AC116" s="324">
        <f t="shared" si="117"/>
        <v>15939915409.749241</v>
      </c>
      <c r="AD116" s="324">
        <f t="shared" si="117"/>
        <v>16132277681.591375</v>
      </c>
      <c r="AE116" s="324">
        <f t="shared" si="117"/>
        <v>16320203329.59351</v>
      </c>
      <c r="AF116" s="325"/>
      <c r="AG116" s="320"/>
      <c r="AH116" s="320"/>
      <c r="AI116" s="320"/>
      <c r="AJ116" s="320"/>
      <c r="AK116" s="320"/>
      <c r="AL116" s="326"/>
    </row>
    <row r="117" spans="1:38">
      <c r="B117" s="342"/>
      <c r="C117" s="329" t="str">
        <f>IF(B1="EN", "Shareholders' capital", "Vốn cổ phần")</f>
        <v>Vốn cổ phần</v>
      </c>
      <c r="D117" s="329"/>
      <c r="E117" s="330"/>
      <c r="F117" s="331"/>
      <c r="G117" s="332"/>
      <c r="H117" s="332"/>
      <c r="I117" s="332"/>
      <c r="J117" s="332"/>
      <c r="K117" s="333"/>
      <c r="L117" s="333"/>
      <c r="M117" s="340"/>
      <c r="N117" s="340">
        <v>15000000000</v>
      </c>
      <c r="O117" s="340">
        <f>N117</f>
        <v>15000000000</v>
      </c>
      <c r="P117" s="335">
        <f>O117</f>
        <v>15000000000</v>
      </c>
      <c r="Q117" s="336">
        <f>O117</f>
        <v>15000000000</v>
      </c>
      <c r="R117" s="337">
        <f t="shared" si="92"/>
        <v>15000000000</v>
      </c>
      <c r="S117" s="337"/>
      <c r="T117" s="337">
        <f>$Q$117</f>
        <v>15000000000</v>
      </c>
      <c r="U117" s="337">
        <f t="shared" ref="U117:AE117" si="118">$Q$117</f>
        <v>15000000000</v>
      </c>
      <c r="V117" s="337">
        <f t="shared" si="118"/>
        <v>15000000000</v>
      </c>
      <c r="W117" s="337">
        <f t="shared" si="118"/>
        <v>15000000000</v>
      </c>
      <c r="X117" s="337">
        <f t="shared" si="118"/>
        <v>15000000000</v>
      </c>
      <c r="Y117" s="337">
        <f t="shared" si="118"/>
        <v>15000000000</v>
      </c>
      <c r="Z117" s="337">
        <f t="shared" si="118"/>
        <v>15000000000</v>
      </c>
      <c r="AA117" s="337">
        <f t="shared" si="118"/>
        <v>15000000000</v>
      </c>
      <c r="AB117" s="337">
        <f t="shared" si="118"/>
        <v>15000000000</v>
      </c>
      <c r="AC117" s="337">
        <f t="shared" si="118"/>
        <v>15000000000</v>
      </c>
      <c r="AD117" s="337">
        <f t="shared" si="118"/>
        <v>15000000000</v>
      </c>
      <c r="AE117" s="337">
        <f t="shared" si="118"/>
        <v>15000000000</v>
      </c>
      <c r="AF117" s="338"/>
      <c r="AG117" s="333"/>
      <c r="AH117" s="333"/>
      <c r="AI117" s="333"/>
      <c r="AJ117" s="333"/>
      <c r="AK117" s="333"/>
      <c r="AL117" s="339"/>
    </row>
    <row r="118" spans="1:38">
      <c r="B118" s="342"/>
      <c r="C118" s="329" t="str">
        <f>IF(B1="EN", "Investment and development fund", "Quỹ đầu tư &amp; phát triển")</f>
        <v>Quỹ đầu tư &amp; phát triển</v>
      </c>
      <c r="D118" s="329"/>
      <c r="E118" s="330"/>
      <c r="F118" s="331"/>
      <c r="G118" s="332"/>
      <c r="H118" s="332"/>
      <c r="I118" s="332"/>
      <c r="J118" s="332"/>
      <c r="K118" s="333"/>
      <c r="L118" s="333"/>
      <c r="M118" s="333"/>
      <c r="N118" s="340"/>
      <c r="O118" s="340"/>
      <c r="P118" s="335"/>
      <c r="Q118" s="336">
        <f>N118</f>
        <v>0</v>
      </c>
      <c r="R118" s="337">
        <f t="shared" si="92"/>
        <v>0</v>
      </c>
      <c r="S118" s="337"/>
      <c r="T118" s="337">
        <f>$Q$118</f>
        <v>0</v>
      </c>
      <c r="U118" s="337">
        <f t="shared" ref="U118:AE118" si="119">$Q$118</f>
        <v>0</v>
      </c>
      <c r="V118" s="337">
        <f t="shared" si="119"/>
        <v>0</v>
      </c>
      <c r="W118" s="337">
        <f t="shared" si="119"/>
        <v>0</v>
      </c>
      <c r="X118" s="337">
        <f t="shared" si="119"/>
        <v>0</v>
      </c>
      <c r="Y118" s="337">
        <f t="shared" si="119"/>
        <v>0</v>
      </c>
      <c r="Z118" s="337">
        <f t="shared" si="119"/>
        <v>0</v>
      </c>
      <c r="AA118" s="337">
        <f t="shared" si="119"/>
        <v>0</v>
      </c>
      <c r="AB118" s="337">
        <f t="shared" si="119"/>
        <v>0</v>
      </c>
      <c r="AC118" s="337">
        <f t="shared" si="119"/>
        <v>0</v>
      </c>
      <c r="AD118" s="337">
        <f t="shared" si="119"/>
        <v>0</v>
      </c>
      <c r="AE118" s="337">
        <f t="shared" si="119"/>
        <v>0</v>
      </c>
      <c r="AF118" s="338"/>
      <c r="AG118" s="333"/>
      <c r="AH118" s="333"/>
      <c r="AI118" s="333"/>
      <c r="AJ118" s="333"/>
      <c r="AK118" s="333"/>
      <c r="AL118" s="339"/>
    </row>
    <row r="119" spans="1:38">
      <c r="B119" s="342"/>
      <c r="C119" s="329" t="s">
        <v>116</v>
      </c>
      <c r="D119" s="329"/>
      <c r="E119" s="330"/>
      <c r="F119" s="331"/>
      <c r="G119" s="332"/>
      <c r="H119" s="332"/>
      <c r="I119" s="332"/>
      <c r="J119" s="332"/>
      <c r="K119" s="333"/>
      <c r="L119" s="333"/>
      <c r="M119" s="333"/>
      <c r="N119" s="340"/>
      <c r="O119" s="340"/>
      <c r="P119" s="335"/>
      <c r="Q119" s="336"/>
      <c r="R119" s="337">
        <f t="shared" si="92"/>
        <v>0</v>
      </c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8"/>
      <c r="AG119" s="333"/>
      <c r="AH119" s="333"/>
      <c r="AI119" s="333"/>
      <c r="AJ119" s="333"/>
      <c r="AK119" s="333"/>
      <c r="AL119" s="339"/>
    </row>
    <row r="120" spans="1:38">
      <c r="B120" s="342"/>
      <c r="C120" s="329" t="str">
        <f>IF(B1="EN", "Retained earnings", "Lợi nhuận để lại")</f>
        <v>Lợi nhuận để lại</v>
      </c>
      <c r="D120" s="329"/>
      <c r="E120" s="330"/>
      <c r="F120" s="331"/>
      <c r="G120" s="332"/>
      <c r="H120" s="332"/>
      <c r="I120" s="332"/>
      <c r="J120" s="332"/>
      <c r="K120" s="333"/>
      <c r="L120" s="333"/>
      <c r="M120" s="334"/>
      <c r="N120" s="334">
        <f>-1617988359+N69-[3]FIN!N26</f>
        <v>-2041566463</v>
      </c>
      <c r="O120" s="334">
        <f>N120+O69-[3]FIN!O26</f>
        <v>-4326477585</v>
      </c>
      <c r="P120" s="335">
        <f>O120+P69-[3]FIN!P26</f>
        <v>-4218894409.666657</v>
      </c>
      <c r="Q120" s="336">
        <v>-121348145</v>
      </c>
      <c r="R120" s="337">
        <f t="shared" si="92"/>
        <v>1320203329.5935094</v>
      </c>
      <c r="S120" s="337"/>
      <c r="T120" s="337">
        <f>Q120+T69-[3]FIN!T26</f>
        <v>-134835682.81361455</v>
      </c>
      <c r="U120" s="337">
        <f>T120+U69-[3]FIN!U26</f>
        <v>-483839460.75860018</v>
      </c>
      <c r="V120" s="337">
        <f>U120+V69-[3]FIN!V26</f>
        <v>-329854043.53212947</v>
      </c>
      <c r="W120" s="337">
        <f>V120+W69-[3]FIN!W26</f>
        <v>-114048610.65023533</v>
      </c>
      <c r="X120" s="337">
        <f>W120+X69-[3]FIN!X26</f>
        <v>90335579.165233076</v>
      </c>
      <c r="Y120" s="337">
        <f>X120+Y69-[3]FIN!Y26</f>
        <v>262695383.16736758</v>
      </c>
      <c r="Z120" s="337">
        <f>Y120+Z69-[3]FIN!Z26</f>
        <v>424729398.47616941</v>
      </c>
      <c r="AA120" s="337">
        <f>Z120+AA69-[3]FIN!AA26</f>
        <v>574052885.31830406</v>
      </c>
      <c r="AB120" s="337">
        <f>AA120+AB69-[3]FIN!AB26</f>
        <v>732368642.46710527</v>
      </c>
      <c r="AC120" s="337">
        <f>AB120+AC69-[3]FIN!AC26</f>
        <v>939915409.74924016</v>
      </c>
      <c r="AD120" s="337">
        <f>AC120+AD69-[3]FIN!AD26</f>
        <v>1132277681.5913749</v>
      </c>
      <c r="AE120" s="337">
        <f>AD120+AE69-[3]FIN!AE26</f>
        <v>1320203329.5935094</v>
      </c>
      <c r="AF120" s="338"/>
      <c r="AG120" s="333"/>
      <c r="AH120" s="333"/>
      <c r="AI120" s="333"/>
      <c r="AJ120" s="333"/>
      <c r="AK120" s="333"/>
      <c r="AL120" s="339"/>
    </row>
    <row r="121" spans="1:38">
      <c r="A121" s="196"/>
      <c r="B121" s="394"/>
      <c r="C121" s="395"/>
      <c r="D121" s="395"/>
      <c r="E121" s="396"/>
      <c r="F121" s="397"/>
      <c r="G121" s="398"/>
      <c r="H121" s="398"/>
      <c r="I121" s="398"/>
      <c r="J121" s="398"/>
      <c r="K121" s="399"/>
      <c r="L121" s="399"/>
      <c r="M121" s="399"/>
      <c r="N121" s="400"/>
      <c r="O121" s="400"/>
      <c r="P121" s="335"/>
      <c r="Q121" s="336"/>
      <c r="R121" s="337">
        <f t="shared" si="92"/>
        <v>0</v>
      </c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8"/>
      <c r="AG121" s="399"/>
      <c r="AH121" s="399"/>
      <c r="AI121" s="399"/>
      <c r="AJ121" s="399"/>
      <c r="AK121" s="399"/>
      <c r="AL121" s="401"/>
    </row>
    <row r="122" spans="1:38" ht="17" thickBot="1">
      <c r="B122" s="402" t="str">
        <f>IF(B1="EN", "TOTAL LIABILITIES AND EQUITY", "TỔNG NGUỒN VỐN")</f>
        <v>TỔNG NGUỒN VỐN</v>
      </c>
      <c r="C122" s="403"/>
      <c r="D122" s="403"/>
      <c r="E122" s="404"/>
      <c r="F122" s="404"/>
      <c r="G122" s="378"/>
      <c r="H122" s="378"/>
      <c r="I122" s="378"/>
      <c r="J122" s="378"/>
      <c r="K122" s="405"/>
      <c r="L122" s="405"/>
      <c r="M122" s="405"/>
      <c r="N122" s="406">
        <f>N107+N116</f>
        <v>16256515184.860001</v>
      </c>
      <c r="O122" s="406">
        <f t="shared" ref="O122:Q122" si="120">O107+O116</f>
        <v>17799098373.482002</v>
      </c>
      <c r="P122" s="407">
        <f>P107+P116</f>
        <v>18167923261.757683</v>
      </c>
      <c r="Q122" s="408">
        <f t="shared" si="120"/>
        <v>22374498981</v>
      </c>
      <c r="R122" s="409">
        <f t="shared" si="92"/>
        <v>25348199490.212669</v>
      </c>
      <c r="S122" s="324"/>
      <c r="T122" s="409">
        <f t="shared" ref="T122:AE122" si="121">T107+T116</f>
        <v>23825391743.980156</v>
      </c>
      <c r="U122" s="409">
        <f t="shared" si="121"/>
        <v>23374369430.590412</v>
      </c>
      <c r="V122" s="409">
        <f t="shared" si="121"/>
        <v>23662425613.538788</v>
      </c>
      <c r="W122" s="409">
        <f t="shared" si="121"/>
        <v>23915373146.604488</v>
      </c>
      <c r="X122" s="409">
        <f t="shared" si="121"/>
        <v>24116989931.966629</v>
      </c>
      <c r="Y122" s="409">
        <f t="shared" si="121"/>
        <v>24292305023.31987</v>
      </c>
      <c r="Z122" s="409">
        <f t="shared" si="121"/>
        <v>24455208860.21978</v>
      </c>
      <c r="AA122" s="409">
        <f t="shared" si="121"/>
        <v>24605701190.034142</v>
      </c>
      <c r="AB122" s="409">
        <f t="shared" si="121"/>
        <v>24763243265.790718</v>
      </c>
      <c r="AC122" s="409">
        <f t="shared" si="121"/>
        <v>24966873205.295074</v>
      </c>
      <c r="AD122" s="409">
        <f t="shared" si="121"/>
        <v>25160374062.023876</v>
      </c>
      <c r="AE122" s="409">
        <f t="shared" si="121"/>
        <v>25348199490.212669</v>
      </c>
      <c r="AF122" s="325"/>
      <c r="AG122" s="405">
        <f>AG107+AG116</f>
        <v>0</v>
      </c>
      <c r="AH122" s="405">
        <f>AH107+AH116</f>
        <v>0</v>
      </c>
      <c r="AI122" s="405">
        <f>AI107+AI116</f>
        <v>0</v>
      </c>
      <c r="AJ122" s="405">
        <f>AJ107+AJ116</f>
        <v>0</v>
      </c>
      <c r="AK122" s="405">
        <f>AK107+AK116</f>
        <v>0</v>
      </c>
      <c r="AL122" s="326"/>
    </row>
    <row r="123" spans="1:38" ht="17" thickTop="1">
      <c r="G123" s="257"/>
      <c r="H123" s="257"/>
      <c r="I123" s="257"/>
      <c r="J123" s="257"/>
      <c r="K123" s="410"/>
      <c r="L123" s="410"/>
      <c r="M123" s="410"/>
      <c r="N123" s="411">
        <f t="shared" ref="N123:O123" si="122">N105-N122</f>
        <v>0</v>
      </c>
      <c r="O123" s="411">
        <f t="shared" si="122"/>
        <v>0</v>
      </c>
      <c r="P123" s="411">
        <f>P105-P122</f>
        <v>9.37042236328125E-2</v>
      </c>
      <c r="Q123" s="411">
        <f t="shared" ref="Q123" si="123">Q105-Q122</f>
        <v>0.48200225830078125</v>
      </c>
      <c r="R123" s="411">
        <f>R105-R122</f>
        <v>0</v>
      </c>
      <c r="S123" s="411"/>
      <c r="T123" s="411">
        <f t="shared" ref="T123:AE123" si="124">T105-T122</f>
        <v>0</v>
      </c>
      <c r="U123" s="411">
        <f t="shared" si="124"/>
        <v>0</v>
      </c>
      <c r="V123" s="411">
        <f t="shared" si="124"/>
        <v>0</v>
      </c>
      <c r="W123" s="411">
        <f t="shared" si="124"/>
        <v>0</v>
      </c>
      <c r="X123" s="411">
        <f t="shared" si="124"/>
        <v>0</v>
      </c>
      <c r="Y123" s="411">
        <f t="shared" si="124"/>
        <v>0</v>
      </c>
      <c r="Z123" s="411">
        <f t="shared" si="124"/>
        <v>0</v>
      </c>
      <c r="AA123" s="411">
        <f t="shared" si="124"/>
        <v>0</v>
      </c>
      <c r="AB123" s="411">
        <f t="shared" si="124"/>
        <v>0</v>
      </c>
      <c r="AC123" s="411">
        <f t="shared" si="124"/>
        <v>0</v>
      </c>
      <c r="AD123" s="411">
        <f t="shared" si="124"/>
        <v>0</v>
      </c>
      <c r="AE123" s="411">
        <f t="shared" si="124"/>
        <v>0</v>
      </c>
      <c r="AF123" s="410"/>
      <c r="AG123" s="410">
        <f>AG105-AG122</f>
        <v>0</v>
      </c>
      <c r="AH123" s="410">
        <f>AH105-AH122</f>
        <v>0</v>
      </c>
      <c r="AI123" s="410">
        <f>AI105-AI122</f>
        <v>0</v>
      </c>
      <c r="AJ123" s="410">
        <f>AJ105-AJ122</f>
        <v>0</v>
      </c>
      <c r="AK123" s="410">
        <f>AK105-AK122</f>
        <v>0</v>
      </c>
      <c r="AL123" s="257"/>
    </row>
    <row r="124" spans="1:38">
      <c r="G124" s="107"/>
      <c r="H124" s="107"/>
      <c r="I124" s="107"/>
      <c r="J124" s="107"/>
      <c r="K124" s="412"/>
      <c r="L124" s="412"/>
      <c r="M124" s="412"/>
      <c r="N124" s="411"/>
      <c r="O124" s="411"/>
      <c r="P124" s="411"/>
      <c r="Q124" s="411"/>
      <c r="R124" s="411"/>
      <c r="S124" s="411"/>
      <c r="T124" s="411"/>
      <c r="U124" s="411"/>
      <c r="V124" s="411"/>
      <c r="W124" s="411"/>
      <c r="X124" s="411"/>
      <c r="Y124" s="411"/>
      <c r="Z124" s="411"/>
      <c r="AA124" s="411"/>
      <c r="AB124" s="411"/>
      <c r="AC124" s="411"/>
      <c r="AD124" s="411"/>
      <c r="AE124" s="411"/>
      <c r="AF124" s="412"/>
      <c r="AG124" s="412"/>
      <c r="AH124" s="412"/>
      <c r="AI124" s="412"/>
      <c r="AJ124" s="412"/>
      <c r="AK124" s="412"/>
      <c r="AL124" s="107"/>
    </row>
    <row r="125" spans="1:38">
      <c r="B125" s="111" t="str">
        <f>IF(B1="EN", "CASH FLOW STATEMENT", "LƯU CHUYỂN TIỀN TỆ")</f>
        <v>LƯU CHUYỂN TIỀN TỆ</v>
      </c>
      <c r="C125" s="112"/>
      <c r="D125" s="112"/>
      <c r="E125" s="112"/>
      <c r="F125" s="112"/>
      <c r="G125" s="114"/>
      <c r="H125" s="114"/>
      <c r="I125" s="413"/>
      <c r="J125" s="115"/>
      <c r="K125" s="101"/>
      <c r="L125" s="101"/>
      <c r="M125" s="101"/>
      <c r="N125" s="101">
        <v>2023</v>
      </c>
      <c r="O125" s="101">
        <v>2024</v>
      </c>
      <c r="P125" s="414" t="str">
        <f t="shared" ref="P125:R125" si="125">P72</f>
        <v>2025P</v>
      </c>
      <c r="Q125" s="415" t="str">
        <f t="shared" si="125"/>
        <v>2025E</v>
      </c>
      <c r="R125" s="416" t="str">
        <f t="shared" si="125"/>
        <v>2026P</v>
      </c>
      <c r="S125" s="417"/>
      <c r="T125" s="416">
        <f t="shared" ref="T125:AE125" si="126">T2</f>
        <v>1</v>
      </c>
      <c r="U125" s="416">
        <f t="shared" si="126"/>
        <v>2</v>
      </c>
      <c r="V125" s="416">
        <f t="shared" si="126"/>
        <v>3</v>
      </c>
      <c r="W125" s="416">
        <f t="shared" si="126"/>
        <v>4</v>
      </c>
      <c r="X125" s="416">
        <f t="shared" si="126"/>
        <v>5</v>
      </c>
      <c r="Y125" s="416">
        <f t="shared" si="126"/>
        <v>6</v>
      </c>
      <c r="Z125" s="416">
        <f t="shared" si="126"/>
        <v>7</v>
      </c>
      <c r="AA125" s="416">
        <f t="shared" si="126"/>
        <v>8</v>
      </c>
      <c r="AB125" s="416">
        <f t="shared" si="126"/>
        <v>9</v>
      </c>
      <c r="AC125" s="416">
        <f t="shared" si="126"/>
        <v>10</v>
      </c>
      <c r="AD125" s="416">
        <f t="shared" si="126"/>
        <v>11</v>
      </c>
      <c r="AE125" s="416">
        <f t="shared" si="126"/>
        <v>12</v>
      </c>
      <c r="AF125" s="105"/>
      <c r="AG125" s="106" t="str">
        <f>AG72</f>
        <v>2027 MTP</v>
      </c>
      <c r="AH125" s="106" t="str">
        <f>AH72</f>
        <v>2028 MTP</v>
      </c>
      <c r="AI125" s="106" t="str">
        <f>AI72</f>
        <v>2029 MTP</v>
      </c>
      <c r="AJ125" s="106" t="str">
        <f>AJ72</f>
        <v>2030 MTP</v>
      </c>
      <c r="AK125" s="106" t="str">
        <f>AK72</f>
        <v>2031 MTP</v>
      </c>
      <c r="AL125" s="316"/>
    </row>
    <row r="126" spans="1:38">
      <c r="B126" s="126" t="str">
        <f>IF(B1="EN", "CASH FLOW FROM OPERATING ACTIVITIES", "DÒNG TIỀN TỪ HOẠT ĐỘNG KINH DOANH")</f>
        <v>DÒNG TIỀN TỪ HOẠT ĐỘNG KINH DOANH</v>
      </c>
      <c r="C126" s="123"/>
      <c r="D126" s="123"/>
      <c r="E126" s="123"/>
      <c r="F126" s="123"/>
      <c r="G126" s="418"/>
      <c r="H126" s="418"/>
      <c r="I126" s="330"/>
      <c r="J126" s="418"/>
      <c r="K126" s="419"/>
      <c r="L126" s="419"/>
      <c r="M126" s="419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419"/>
      <c r="AG126" s="419"/>
      <c r="AH126" s="419"/>
      <c r="AI126" s="419"/>
      <c r="AJ126" s="419"/>
      <c r="AK126" s="419"/>
      <c r="AL126" s="330"/>
    </row>
    <row r="127" spans="1:38">
      <c r="B127" s="126" t="str">
        <f>IF(B1="EN", "Net income", "Lợi nhuận sau thuế")</f>
        <v>Lợi nhuận sau thuế</v>
      </c>
      <c r="C127" s="123"/>
      <c r="D127" s="123"/>
      <c r="E127" s="123"/>
      <c r="F127" s="123"/>
      <c r="G127" s="420"/>
      <c r="H127" s="420"/>
      <c r="I127" s="420"/>
      <c r="J127" s="420"/>
      <c r="K127" s="420"/>
      <c r="L127" s="420"/>
      <c r="M127" s="420"/>
      <c r="N127" s="323">
        <f>N69</f>
        <v>-423578104</v>
      </c>
      <c r="O127" s="323">
        <f>O69</f>
        <v>-2284911122</v>
      </c>
      <c r="P127" s="323">
        <f>P69</f>
        <v>107583175.33334303</v>
      </c>
      <c r="Q127" s="323">
        <f>Q69</f>
        <v>4205129440</v>
      </c>
      <c r="R127" s="421">
        <f t="shared" ref="R127:R135" si="127">SUM(T127:AE127)</f>
        <v>1441551474.5935094</v>
      </c>
      <c r="S127" s="421"/>
      <c r="T127" s="421">
        <f t="shared" ref="T127:AE127" si="128">T69</f>
        <v>-13487537.813614547</v>
      </c>
      <c r="U127" s="421">
        <f t="shared" si="128"/>
        <v>-349003777.94498563</v>
      </c>
      <c r="V127" s="421">
        <f t="shared" si="128"/>
        <v>153985417.22647071</v>
      </c>
      <c r="W127" s="421">
        <f t="shared" si="128"/>
        <v>215805432.88189414</v>
      </c>
      <c r="X127" s="421">
        <f t="shared" si="128"/>
        <v>204384189.8154684</v>
      </c>
      <c r="Y127" s="421">
        <f t="shared" si="128"/>
        <v>172359804.0021345</v>
      </c>
      <c r="Z127" s="421">
        <f t="shared" si="128"/>
        <v>162034015.30880183</v>
      </c>
      <c r="AA127" s="421">
        <f t="shared" si="128"/>
        <v>149323486.84213465</v>
      </c>
      <c r="AB127" s="421">
        <f t="shared" si="128"/>
        <v>158315757.14880124</v>
      </c>
      <c r="AC127" s="421">
        <f t="shared" si="128"/>
        <v>207546767.28213483</v>
      </c>
      <c r="AD127" s="421">
        <f t="shared" si="128"/>
        <v>192362271.84213465</v>
      </c>
      <c r="AE127" s="421">
        <f t="shared" si="128"/>
        <v>187925648.0021345</v>
      </c>
      <c r="AF127" s="422"/>
      <c r="AG127" s="422"/>
      <c r="AH127" s="422"/>
      <c r="AI127" s="422"/>
      <c r="AJ127" s="422"/>
      <c r="AK127" s="422"/>
      <c r="AL127" s="317"/>
    </row>
    <row r="128" spans="1:38">
      <c r="B128" s="423" t="str">
        <f>IF(B1="EN", "Depreciation &amp; amortization", "Khấu hao")</f>
        <v>Khấu hao</v>
      </c>
      <c r="C128" s="424"/>
      <c r="D128" s="424"/>
      <c r="E128" s="424"/>
      <c r="F128" s="424"/>
      <c r="G128" s="425"/>
      <c r="H128" s="425"/>
      <c r="I128" s="425"/>
      <c r="J128" s="425"/>
      <c r="K128" s="425"/>
      <c r="L128" s="425"/>
      <c r="M128" s="425"/>
      <c r="N128" s="336">
        <f>N53</f>
        <v>1036408270</v>
      </c>
      <c r="O128" s="336">
        <f>O53</f>
        <v>1395798298</v>
      </c>
      <c r="P128" s="336">
        <f>P53</f>
        <v>2854084411</v>
      </c>
      <c r="Q128" s="336">
        <f>Q53</f>
        <v>2130924335</v>
      </c>
      <c r="R128" s="334">
        <f t="shared" si="127"/>
        <v>1361232999.1021502</v>
      </c>
      <c r="S128" s="334"/>
      <c r="T128" s="334">
        <f t="shared" ref="T128:AE128" si="129">T53</f>
        <v>110758018.74238349</v>
      </c>
      <c r="U128" s="334">
        <f t="shared" si="129"/>
        <v>104732373.58109318</v>
      </c>
      <c r="V128" s="334">
        <f t="shared" si="129"/>
        <v>112766567.12948027</v>
      </c>
      <c r="W128" s="334">
        <f t="shared" si="129"/>
        <v>114775115.51657705</v>
      </c>
      <c r="X128" s="334">
        <f t="shared" si="129"/>
        <v>114775115.51657705</v>
      </c>
      <c r="Y128" s="334">
        <f t="shared" si="129"/>
        <v>114775115.51657705</v>
      </c>
      <c r="Z128" s="334">
        <f t="shared" si="129"/>
        <v>114775115.51657705</v>
      </c>
      <c r="AA128" s="334">
        <f t="shared" si="129"/>
        <v>114775115.51657705</v>
      </c>
      <c r="AB128" s="334">
        <f t="shared" si="129"/>
        <v>114775115.51657705</v>
      </c>
      <c r="AC128" s="334">
        <f t="shared" si="129"/>
        <v>114775115.51657705</v>
      </c>
      <c r="AD128" s="334">
        <f t="shared" si="129"/>
        <v>114775115.51657705</v>
      </c>
      <c r="AE128" s="334">
        <f t="shared" si="129"/>
        <v>114775115.51657705</v>
      </c>
      <c r="AF128" s="419"/>
      <c r="AG128" s="419"/>
      <c r="AH128" s="419"/>
      <c r="AI128" s="419"/>
      <c r="AJ128" s="419"/>
      <c r="AK128" s="419"/>
      <c r="AL128" s="330"/>
    </row>
    <row r="129" spans="2:38" s="214" customFormat="1">
      <c r="B129" s="179" t="str">
        <f>IF(B1="EN", "Net working capital", "Vốn lưu động thuần")</f>
        <v>Vốn lưu động thuần</v>
      </c>
      <c r="C129" s="128"/>
      <c r="D129" s="128"/>
      <c r="E129" s="128"/>
      <c r="F129" s="128"/>
      <c r="G129" s="420"/>
      <c r="H129" s="420"/>
      <c r="I129" s="420"/>
      <c r="J129" s="420"/>
      <c r="K129" s="420"/>
      <c r="L129" s="420"/>
      <c r="M129" s="420"/>
      <c r="N129" s="323">
        <f>SUM(N130:N135)</f>
        <v>762097567.00000048</v>
      </c>
      <c r="O129" s="323">
        <f>SUM(O130:O135)</f>
        <v>7061942551</v>
      </c>
      <c r="P129" s="323">
        <f>SUM(P130:P135)</f>
        <v>-874467311.1414659</v>
      </c>
      <c r="Q129" s="323">
        <f>SUM(Q130:Q135)</f>
        <v>-349933943.99999976</v>
      </c>
      <c r="R129" s="421">
        <f t="shared" si="127"/>
        <v>-124048440.48464005</v>
      </c>
      <c r="S129" s="421"/>
      <c r="T129" s="421">
        <f t="shared" ref="T129:AE129" si="130">SUM(T130:T135)</f>
        <v>482543999.5373503</v>
      </c>
      <c r="U129" s="421">
        <f t="shared" si="130"/>
        <v>840892236.62703168</v>
      </c>
      <c r="V129" s="421">
        <f t="shared" si="130"/>
        <v>-1121202016.0317366</v>
      </c>
      <c r="W129" s="421">
        <f t="shared" si="130"/>
        <v>-298054017.59361154</v>
      </c>
      <c r="X129" s="421">
        <f t="shared" si="130"/>
        <v>6846889.2630278766</v>
      </c>
      <c r="Y129" s="421">
        <f t="shared" si="130"/>
        <v>-16066985.317340374</v>
      </c>
      <c r="Z129" s="421">
        <f t="shared" si="130"/>
        <v>-7731923.4037644677</v>
      </c>
      <c r="AA129" s="421">
        <f t="shared" si="130"/>
        <v>-8937148.0998566858</v>
      </c>
      <c r="AB129" s="421">
        <f t="shared" si="130"/>
        <v>-1161001.2349198274</v>
      </c>
      <c r="AC129" s="421">
        <f t="shared" si="130"/>
        <v>11442209.944985628</v>
      </c>
      <c r="AD129" s="421">
        <f t="shared" si="130"/>
        <v>-8788343.2967680171</v>
      </c>
      <c r="AE129" s="421">
        <f t="shared" si="130"/>
        <v>-3832340.8790379912</v>
      </c>
      <c r="AF129" s="422"/>
      <c r="AG129" s="422"/>
      <c r="AH129" s="422"/>
      <c r="AI129" s="422"/>
      <c r="AJ129" s="422"/>
      <c r="AK129" s="422"/>
      <c r="AL129" s="317"/>
    </row>
    <row r="130" spans="2:38">
      <c r="B130" s="426"/>
      <c r="C130" s="355" t="str">
        <f>IF(B1="EN", "Increase (Decrease) in trade receivables", "Tăng (Giảm) các khoản phải thu")</f>
        <v>Tăng (Giảm) các khoản phải thu</v>
      </c>
      <c r="D130" s="355"/>
      <c r="E130" s="355"/>
      <c r="F130" s="355"/>
      <c r="G130" s="427"/>
      <c r="H130" s="427"/>
      <c r="I130" s="427"/>
      <c r="J130" s="427"/>
      <c r="K130" s="427"/>
      <c r="L130" s="427"/>
      <c r="M130" s="427"/>
      <c r="N130" s="428">
        <f>3581636705-N78</f>
        <v>-286669116</v>
      </c>
      <c r="O130" s="428">
        <f>N78-O78</f>
        <v>2369966381</v>
      </c>
      <c r="P130" s="428">
        <f>O78-P78</f>
        <v>-589761210.13070536</v>
      </c>
      <c r="Q130" s="428">
        <v>-575059232.51799965</v>
      </c>
      <c r="R130" s="429">
        <f>SUM(T130:AE130)</f>
        <v>-66082980</v>
      </c>
      <c r="S130" s="429"/>
      <c r="T130" s="429">
        <f>-(T78-Q78)</f>
        <v>224399520</v>
      </c>
      <c r="U130" s="429">
        <f t="shared" ref="U130:AE130" si="131">-(U78-T78)</f>
        <v>435723750</v>
      </c>
      <c r="V130" s="429">
        <f t="shared" si="131"/>
        <v>-580965000</v>
      </c>
      <c r="W130" s="429">
        <f t="shared" si="131"/>
        <v>-145241250</v>
      </c>
      <c r="X130" s="429">
        <f t="shared" si="131"/>
        <v>0</v>
      </c>
      <c r="Y130" s="429">
        <f t="shared" si="131"/>
        <v>0</v>
      </c>
      <c r="Z130" s="429">
        <f t="shared" si="131"/>
        <v>0</v>
      </c>
      <c r="AA130" s="429">
        <f t="shared" si="131"/>
        <v>0</v>
      </c>
      <c r="AB130" s="429">
        <f t="shared" si="131"/>
        <v>0</v>
      </c>
      <c r="AC130" s="429">
        <f t="shared" si="131"/>
        <v>0</v>
      </c>
      <c r="AD130" s="429">
        <f t="shared" si="131"/>
        <v>0</v>
      </c>
      <c r="AE130" s="429">
        <f t="shared" si="131"/>
        <v>0</v>
      </c>
      <c r="AF130" s="430"/>
      <c r="AG130" s="430"/>
      <c r="AH130" s="430"/>
      <c r="AI130" s="430"/>
      <c r="AJ130" s="430"/>
      <c r="AK130" s="430"/>
      <c r="AL130" s="367"/>
    </row>
    <row r="131" spans="2:38">
      <c r="B131" s="426"/>
      <c r="C131" s="355" t="str">
        <f>IF(B1="EN", "Increase (Decrease) in inventory", "Tăng (Giảm) hàng tồn kho")</f>
        <v>Tăng (Giảm) hàng tồn kho</v>
      </c>
      <c r="D131" s="355"/>
      <c r="E131" s="355"/>
      <c r="F131" s="355"/>
      <c r="G131" s="427"/>
      <c r="H131" s="427"/>
      <c r="I131" s="427"/>
      <c r="J131" s="427"/>
      <c r="K131" s="427"/>
      <c r="L131" s="427"/>
      <c r="M131" s="427"/>
      <c r="N131" s="428">
        <f>2514638300-N82</f>
        <v>-2089668316.8599997</v>
      </c>
      <c r="O131" s="428">
        <f>N82-O82</f>
        <v>3021761090.3779993</v>
      </c>
      <c r="P131" s="428">
        <f>O82-P82</f>
        <v>-537133808.63852406</v>
      </c>
      <c r="Q131" s="428">
        <f>O82-Q82</f>
        <v>-1157562868.9999998</v>
      </c>
      <c r="R131" s="429">
        <f t="shared" si="127"/>
        <v>33096320.264671326</v>
      </c>
      <c r="S131" s="429"/>
      <c r="T131" s="429">
        <f>-(T81-Q81)</f>
        <v>371939989.39165115</v>
      </c>
      <c r="U131" s="429">
        <f t="shared" ref="U131:AE131" si="132">-(U81-T81)</f>
        <v>510092677.22380209</v>
      </c>
      <c r="V131" s="429">
        <f t="shared" si="132"/>
        <v>-670353828.60951424</v>
      </c>
      <c r="W131" s="429">
        <f t="shared" si="132"/>
        <v>-185710500.91904545</v>
      </c>
      <c r="X131" s="429">
        <f t="shared" si="132"/>
        <v>13837022.266666889</v>
      </c>
      <c r="Y131" s="429">
        <f t="shared" si="132"/>
        <v>-14776436.75555563</v>
      </c>
      <c r="Z131" s="429">
        <f t="shared" si="132"/>
        <v>-4349107.955555439</v>
      </c>
      <c r="AA131" s="429">
        <f t="shared" si="132"/>
        <v>-5844214.8611111641</v>
      </c>
      <c r="AB131" s="429">
        <f t="shared" si="132"/>
        <v>3868406.9611110687</v>
      </c>
      <c r="AC131" s="429">
        <f t="shared" si="132"/>
        <v>19584138.888888836</v>
      </c>
      <c r="AD131" s="429">
        <f t="shared" si="132"/>
        <v>-5692924.4333333969</v>
      </c>
      <c r="AE131" s="429">
        <f t="shared" si="132"/>
        <v>501099.06666660309</v>
      </c>
      <c r="AF131" s="430"/>
      <c r="AG131" s="430"/>
      <c r="AH131" s="430"/>
      <c r="AI131" s="430"/>
      <c r="AJ131" s="430"/>
      <c r="AK131" s="430"/>
      <c r="AL131" s="367"/>
    </row>
    <row r="132" spans="2:38">
      <c r="B132" s="426"/>
      <c r="C132" s="355" t="str">
        <f>IF(B1="EN", "Increase (Decrease) in payables", "Tăng (Giảm) các khoản phải trả")</f>
        <v>Tăng (Giảm) các khoản phải trả</v>
      </c>
      <c r="D132" s="355"/>
      <c r="E132" s="355"/>
      <c r="F132" s="355"/>
      <c r="G132" s="427"/>
      <c r="H132" s="427"/>
      <c r="I132" s="427"/>
      <c r="J132" s="427"/>
      <c r="K132" s="427"/>
      <c r="L132" s="427"/>
      <c r="M132" s="427"/>
      <c r="N132" s="428">
        <f>947342800-K110</f>
        <v>947342800</v>
      </c>
      <c r="O132" s="428">
        <f>O110-N110</f>
        <v>235864858</v>
      </c>
      <c r="P132" s="428">
        <f>P110-O110</f>
        <v>261241712.94233751</v>
      </c>
      <c r="Q132" s="428">
        <f>Q110-O110</f>
        <v>-183038451</v>
      </c>
      <c r="R132" s="429">
        <f t="shared" si="127"/>
        <v>-45249846.956534266</v>
      </c>
      <c r="S132" s="429"/>
      <c r="T132" s="429">
        <f>T110-Q110</f>
        <v>-113018580.78193021</v>
      </c>
      <c r="U132" s="429">
        <f t="shared" ref="U132:AE132" si="133">U110-T110</f>
        <v>-102018535.44476044</v>
      </c>
      <c r="V132" s="429">
        <f t="shared" si="133"/>
        <v>134070765.72190291</v>
      </c>
      <c r="W132" s="429">
        <f t="shared" si="133"/>
        <v>37142100.183808982</v>
      </c>
      <c r="X132" s="429">
        <f t="shared" si="133"/>
        <v>-2767404.4533333778</v>
      </c>
      <c r="Y132" s="429">
        <f t="shared" si="133"/>
        <v>2955287.3511111736</v>
      </c>
      <c r="Z132" s="429">
        <f t="shared" si="133"/>
        <v>869821.59111106396</v>
      </c>
      <c r="AA132" s="429">
        <f t="shared" si="133"/>
        <v>1168842.9722223282</v>
      </c>
      <c r="AB132" s="429">
        <f t="shared" si="133"/>
        <v>-773681.39222228527</v>
      </c>
      <c r="AC132" s="429">
        <f t="shared" si="133"/>
        <v>-3916827.777777791</v>
      </c>
      <c r="AD132" s="429">
        <f t="shared" si="133"/>
        <v>1138584.8866666555</v>
      </c>
      <c r="AE132" s="429">
        <f t="shared" si="133"/>
        <v>-100219.81333327293</v>
      </c>
      <c r="AF132" s="430"/>
      <c r="AG132" s="430"/>
      <c r="AH132" s="430"/>
      <c r="AI132" s="430"/>
      <c r="AJ132" s="430"/>
      <c r="AK132" s="430"/>
      <c r="AL132" s="367"/>
    </row>
    <row r="133" spans="2:38">
      <c r="B133" s="426"/>
      <c r="C133" s="355" t="str">
        <f>IF(B1="EN", "Increase (Decrease) in prepayments", "Tăng (Giảm) trả trước người bán")</f>
        <v>Tăng (Giảm) trả trước người bán</v>
      </c>
      <c r="D133" s="355"/>
      <c r="E133" s="355"/>
      <c r="F133" s="355"/>
      <c r="G133" s="427"/>
      <c r="H133" s="427"/>
      <c r="I133" s="427"/>
      <c r="J133" s="427"/>
      <c r="K133" s="427"/>
      <c r="L133" s="427"/>
      <c r="M133" s="427"/>
      <c r="N133" s="428">
        <f>2272134750-N79</f>
        <v>2265189997</v>
      </c>
      <c r="O133" s="428">
        <f>N79-O79</f>
        <v>-19023757</v>
      </c>
      <c r="P133" s="428">
        <f>O79-P79</f>
        <v>-8814005.314573966</v>
      </c>
      <c r="Q133" s="428">
        <f>O79-Q79</f>
        <v>23042102</v>
      </c>
      <c r="R133" s="429">
        <f t="shared" si="127"/>
        <v>-45811933.792777009</v>
      </c>
      <c r="S133" s="429"/>
      <c r="T133" s="429">
        <f>-(T79-Q79)</f>
        <v>-776929.07237066049</v>
      </c>
      <c r="U133" s="429">
        <f t="shared" ref="U133:AE133" si="134">-(U79-T79)</f>
        <v>-2905655.1520099519</v>
      </c>
      <c r="V133" s="429">
        <f t="shared" si="134"/>
        <v>-3953953.1441251766</v>
      </c>
      <c r="W133" s="429">
        <f t="shared" si="134"/>
        <v>-4244366.8583751004</v>
      </c>
      <c r="X133" s="429">
        <f t="shared" si="134"/>
        <v>-4222728.5503056347</v>
      </c>
      <c r="Y133" s="429">
        <f t="shared" si="134"/>
        <v>-4245835.9128959179</v>
      </c>
      <c r="Z133" s="429">
        <f t="shared" si="134"/>
        <v>-4252637.0393200926</v>
      </c>
      <c r="AA133" s="429">
        <f t="shared" si="134"/>
        <v>-4261776.2109678499</v>
      </c>
      <c r="AB133" s="429">
        <f t="shared" si="134"/>
        <v>-4255726.8038086109</v>
      </c>
      <c r="AC133" s="429">
        <f t="shared" si="134"/>
        <v>-4225101.1661254168</v>
      </c>
      <c r="AD133" s="429">
        <f t="shared" si="134"/>
        <v>-4234003.7501012757</v>
      </c>
      <c r="AE133" s="429">
        <f t="shared" si="134"/>
        <v>-4233220.1323713213</v>
      </c>
      <c r="AF133" s="430"/>
      <c r="AG133" s="430"/>
      <c r="AH133" s="430"/>
      <c r="AI133" s="430"/>
      <c r="AJ133" s="430"/>
      <c r="AK133" s="430"/>
      <c r="AL133" s="367"/>
    </row>
    <row r="134" spans="2:38">
      <c r="B134" s="426"/>
      <c r="C134" s="355" t="str">
        <f>IF(B1="EN", "Other receivables from operating", "Các khoản phải thu khác từ hoạt động kinh doanh")</f>
        <v>Các khoản phải thu khác từ hoạt động kinh doanh</v>
      </c>
      <c r="D134" s="355"/>
      <c r="E134" s="355"/>
      <c r="F134" s="355"/>
      <c r="G134" s="427"/>
      <c r="H134" s="427"/>
      <c r="I134" s="427"/>
      <c r="J134" s="427"/>
      <c r="K134" s="427"/>
      <c r="L134" s="427"/>
      <c r="M134" s="427"/>
      <c r="N134" s="428">
        <f>172184101-N80+(295226950+240000000)-N83</f>
        <v>77386213</v>
      </c>
      <c r="O134" s="428">
        <f>N80-O80+N83-O83</f>
        <v>-2138255474</v>
      </c>
      <c r="P134" s="428">
        <f>O80-P80+O83-P83</f>
        <v>0</v>
      </c>
      <c r="Q134" s="428">
        <f>O80-Q80+O83-Q83</f>
        <v>989374888</v>
      </c>
      <c r="R134" s="429">
        <f t="shared" si="127"/>
        <v>0</v>
      </c>
      <c r="S134" s="429"/>
      <c r="T134" s="429"/>
      <c r="U134" s="429"/>
      <c r="V134" s="429"/>
      <c r="W134" s="429"/>
      <c r="X134" s="429"/>
      <c r="Y134" s="429"/>
      <c r="Z134" s="429"/>
      <c r="AA134" s="429"/>
      <c r="AB134" s="429"/>
      <c r="AC134" s="429"/>
      <c r="AD134" s="429"/>
      <c r="AE134" s="429"/>
      <c r="AF134" s="430"/>
      <c r="AG134" s="430"/>
      <c r="AH134" s="430"/>
      <c r="AI134" s="430"/>
      <c r="AJ134" s="430"/>
      <c r="AK134" s="430"/>
      <c r="AL134" s="367"/>
    </row>
    <row r="135" spans="2:38">
      <c r="B135" s="431"/>
      <c r="C135" s="432" t="str">
        <f>IF(B1="EN", "Other payables for operating", "Các khoản phải trả khác từ hoạt động kinh doanh")</f>
        <v>Các khoản phải trả khác từ hoạt động kinh doanh</v>
      </c>
      <c r="D135" s="432"/>
      <c r="E135" s="432"/>
      <c r="F135" s="432"/>
      <c r="G135" s="433"/>
      <c r="H135" s="433"/>
      <c r="I135" s="433"/>
      <c r="J135" s="433"/>
      <c r="K135" s="433"/>
      <c r="L135" s="433"/>
      <c r="M135" s="433"/>
      <c r="N135" s="434">
        <f>N111-3549054183+N115+633314380</f>
        <v>-151484010.13999987</v>
      </c>
      <c r="O135" s="434">
        <f>O111-N111+O115-N115</f>
        <v>3591629452.6220002</v>
      </c>
      <c r="P135" s="434">
        <f>P111-O111+P115-O115</f>
        <v>0</v>
      </c>
      <c r="Q135" s="434">
        <f>Q111-O111+Q115-O115</f>
        <v>553309618.51799965</v>
      </c>
      <c r="R135" s="435">
        <f t="shared" si="127"/>
        <v>0</v>
      </c>
      <c r="S135" s="429"/>
      <c r="T135" s="435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  <c r="AE135" s="435"/>
      <c r="AF135" s="430"/>
      <c r="AG135" s="436"/>
      <c r="AH135" s="436"/>
      <c r="AI135" s="436"/>
      <c r="AJ135" s="436"/>
      <c r="AK135" s="436"/>
      <c r="AL135" s="367"/>
    </row>
    <row r="136" spans="2:38" s="141" customFormat="1" ht="17" thickBot="1">
      <c r="B136" s="437" t="str">
        <f>IF(B1="EN", "Net cash flow from operating activities", "Dòng tiền thuần từ hoạt động kinh doanh")</f>
        <v>Dòng tiền thuần từ hoạt động kinh doanh</v>
      </c>
      <c r="C136" s="438"/>
      <c r="D136" s="438"/>
      <c r="E136" s="438"/>
      <c r="F136" s="438"/>
      <c r="G136" s="439"/>
      <c r="H136" s="439"/>
      <c r="I136" s="439"/>
      <c r="J136" s="439"/>
      <c r="K136" s="439"/>
      <c r="L136" s="439"/>
      <c r="M136" s="439"/>
      <c r="N136" s="408">
        <f>N127+N128+N129</f>
        <v>1374927733.0000005</v>
      </c>
      <c r="O136" s="408">
        <f>O127+O128+O129</f>
        <v>6172829727</v>
      </c>
      <c r="P136" s="408">
        <f>P127+P128+P129</f>
        <v>2087200275.1918771</v>
      </c>
      <c r="Q136" s="408">
        <f>Q127+Q128+Q129</f>
        <v>5986119831</v>
      </c>
      <c r="R136" s="440">
        <f t="shared" ref="R136:AE136" si="135">R127+R128+R129</f>
        <v>2678736033.2110195</v>
      </c>
      <c r="S136" s="441"/>
      <c r="T136" s="440">
        <f t="shared" si="135"/>
        <v>579814480.46611929</v>
      </c>
      <c r="U136" s="440">
        <f t="shared" si="135"/>
        <v>596620832.26313925</v>
      </c>
      <c r="V136" s="440">
        <f t="shared" si="135"/>
        <v>-854450031.67578566</v>
      </c>
      <c r="W136" s="440">
        <f t="shared" si="135"/>
        <v>32526530.804859638</v>
      </c>
      <c r="X136" s="440">
        <f t="shared" si="135"/>
        <v>326006194.59507334</v>
      </c>
      <c r="Y136" s="440">
        <f t="shared" si="135"/>
        <v>271067934.20137119</v>
      </c>
      <c r="Z136" s="440">
        <f t="shared" si="135"/>
        <v>269077207.42161441</v>
      </c>
      <c r="AA136" s="440">
        <f t="shared" si="135"/>
        <v>255161454.25885504</v>
      </c>
      <c r="AB136" s="440">
        <f t="shared" si="135"/>
        <v>271929871.43045843</v>
      </c>
      <c r="AC136" s="440">
        <f t="shared" si="135"/>
        <v>333764092.74369752</v>
      </c>
      <c r="AD136" s="440">
        <f t="shared" si="135"/>
        <v>298349044.06194371</v>
      </c>
      <c r="AE136" s="440">
        <f t="shared" si="135"/>
        <v>298868422.63967359</v>
      </c>
      <c r="AF136" s="442"/>
      <c r="AG136" s="443"/>
      <c r="AH136" s="443"/>
      <c r="AI136" s="443"/>
      <c r="AJ136" s="443"/>
      <c r="AK136" s="443"/>
      <c r="AL136" s="444"/>
    </row>
    <row r="137" spans="2:38" ht="9.65" customHeight="1" thickTop="1">
      <c r="B137" s="423"/>
      <c r="C137" s="424"/>
      <c r="D137" s="424"/>
      <c r="E137" s="424"/>
      <c r="F137" s="424"/>
      <c r="G137" s="445"/>
      <c r="H137" s="445"/>
      <c r="I137" s="445"/>
      <c r="J137" s="445"/>
      <c r="K137" s="445"/>
      <c r="L137" s="445"/>
      <c r="M137" s="445"/>
      <c r="N137" s="446"/>
      <c r="O137" s="446"/>
      <c r="P137" s="446"/>
      <c r="Q137" s="446"/>
      <c r="R137" s="447"/>
      <c r="S137" s="334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19"/>
      <c r="AG137" s="448"/>
      <c r="AH137" s="448"/>
      <c r="AI137" s="448"/>
      <c r="AJ137" s="448"/>
      <c r="AK137" s="448"/>
      <c r="AL137" s="330"/>
    </row>
    <row r="138" spans="2:38">
      <c r="B138" s="179" t="str">
        <f>IF(B1="EN", "CASH FLOW FROM INVESTING ACTIVITIES", "DÒNG TIỀN TỪ HOẠT ĐỘNG ĐẦU TƯ")</f>
        <v>DÒNG TIỀN TỪ HOẠT ĐỘNG ĐẦU TƯ</v>
      </c>
      <c r="C138" s="128"/>
      <c r="D138" s="128"/>
      <c r="E138" s="128"/>
      <c r="F138" s="128"/>
      <c r="G138" s="445"/>
      <c r="H138" s="445"/>
      <c r="I138" s="445"/>
      <c r="J138" s="445"/>
      <c r="K138" s="445"/>
      <c r="L138" s="445"/>
      <c r="M138" s="445"/>
      <c r="N138" s="446"/>
      <c r="O138" s="446"/>
      <c r="P138" s="446"/>
      <c r="Q138" s="446"/>
      <c r="R138" s="447"/>
      <c r="S138" s="334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19"/>
      <c r="AG138" s="448"/>
      <c r="AH138" s="448"/>
      <c r="AI138" s="448"/>
      <c r="AJ138" s="448"/>
      <c r="AK138" s="448"/>
      <c r="AL138" s="330"/>
    </row>
    <row r="139" spans="2:38">
      <c r="B139" s="423" t="str">
        <f>IF(B1="EN", "Purchases of fixed assets and constructions", "Tiền chi mua Tài sản cố định &amp; Xây dựng cơ bản")</f>
        <v>Tiền chi mua Tài sản cố định &amp; Xây dựng cơ bản</v>
      </c>
      <c r="C139" s="424"/>
      <c r="D139" s="424"/>
      <c r="E139" s="424"/>
      <c r="F139" s="424"/>
      <c r="G139" s="425"/>
      <c r="H139" s="425"/>
      <c r="I139" s="425"/>
      <c r="J139" s="425"/>
      <c r="K139" s="425"/>
      <c r="L139" s="425"/>
      <c r="M139" s="425"/>
      <c r="N139" s="336">
        <f>5150251150-N88+0-N91+0-N94+0-N96</f>
        <v>-1121281000</v>
      </c>
      <c r="O139" s="336">
        <f>N88-O88+N91-O91+N94-O94+N96-O96</f>
        <v>-2225328414</v>
      </c>
      <c r="P139" s="336">
        <f>O88-P88+O91-P91+O94-P94+O96-P96</f>
        <v>-3744325672</v>
      </c>
      <c r="Q139" s="336">
        <f>O88-Q88+O91-Q91+O94-Q94+O96-Q96</f>
        <v>-2193389192</v>
      </c>
      <c r="R139" s="334">
        <f>SUM(T139:AE139)</f>
        <v>0</v>
      </c>
      <c r="S139" s="334"/>
      <c r="T139" s="334">
        <f>-[3]CapEx!O$75</f>
        <v>0</v>
      </c>
      <c r="U139" s="334">
        <f>-[3]CapEx!P$75</f>
        <v>0</v>
      </c>
      <c r="V139" s="334">
        <f>-[3]CapEx!Q$75</f>
        <v>0</v>
      </c>
      <c r="W139" s="334">
        <f>-[3]CapEx!R$75</f>
        <v>0</v>
      </c>
      <c r="X139" s="334">
        <f>-[3]CapEx!S$75</f>
        <v>0</v>
      </c>
      <c r="Y139" s="334">
        <f>-[3]CapEx!T$75</f>
        <v>0</v>
      </c>
      <c r="Z139" s="334">
        <f>-[3]CapEx!U$75</f>
        <v>0</v>
      </c>
      <c r="AA139" s="334">
        <f>-[3]CapEx!V$75</f>
        <v>0</v>
      </c>
      <c r="AB139" s="334">
        <f>-[3]CapEx!W$75</f>
        <v>0</v>
      </c>
      <c r="AC139" s="334">
        <f>-[3]CapEx!X$75</f>
        <v>0</v>
      </c>
      <c r="AD139" s="334">
        <f>-[3]CapEx!Y$75</f>
        <v>0</v>
      </c>
      <c r="AE139" s="334">
        <f>-[3]CapEx!Z$75</f>
        <v>0</v>
      </c>
      <c r="AF139" s="419"/>
      <c r="AG139" s="419"/>
      <c r="AH139" s="419"/>
      <c r="AI139" s="419"/>
      <c r="AJ139" s="419"/>
      <c r="AK139" s="419"/>
      <c r="AL139" s="330"/>
    </row>
    <row r="140" spans="2:38">
      <c r="B140" s="423" t="str">
        <f>IF(B1="EN", "Other short-term investments", "Đầu tư ngắn hạn khác")</f>
        <v>Đầu tư ngắn hạn khác</v>
      </c>
      <c r="C140" s="424"/>
      <c r="D140" s="424"/>
      <c r="E140" s="424"/>
      <c r="F140" s="424"/>
      <c r="G140" s="425"/>
      <c r="H140" s="425"/>
      <c r="I140" s="425"/>
      <c r="J140" s="425"/>
      <c r="K140" s="425"/>
      <c r="L140" s="425"/>
      <c r="M140" s="425"/>
      <c r="N140" s="336">
        <f>K76-N76</f>
        <v>0</v>
      </c>
      <c r="O140" s="336">
        <f>N76-O76</f>
        <v>0</v>
      </c>
      <c r="P140" s="336">
        <f>O76-P76</f>
        <v>0</v>
      </c>
      <c r="Q140" s="336">
        <f>P76-Q76</f>
        <v>-6000000000</v>
      </c>
      <c r="R140" s="334">
        <f>SUM(T140:AE140)</f>
        <v>6000000000</v>
      </c>
      <c r="S140" s="334"/>
      <c r="T140" s="334">
        <f>Q76-T76</f>
        <v>6000000000</v>
      </c>
      <c r="U140" s="334">
        <f t="shared" ref="U140:AE140" si="136">T76-U76</f>
        <v>0</v>
      </c>
      <c r="V140" s="334">
        <f t="shared" si="136"/>
        <v>0</v>
      </c>
      <c r="W140" s="334">
        <f t="shared" si="136"/>
        <v>0</v>
      </c>
      <c r="X140" s="334">
        <f t="shared" si="136"/>
        <v>0</v>
      </c>
      <c r="Y140" s="334">
        <f t="shared" si="136"/>
        <v>0</v>
      </c>
      <c r="Z140" s="334">
        <f t="shared" si="136"/>
        <v>0</v>
      </c>
      <c r="AA140" s="334">
        <f t="shared" si="136"/>
        <v>0</v>
      </c>
      <c r="AB140" s="334">
        <f t="shared" si="136"/>
        <v>0</v>
      </c>
      <c r="AC140" s="334">
        <f t="shared" si="136"/>
        <v>0</v>
      </c>
      <c r="AD140" s="334">
        <f t="shared" si="136"/>
        <v>0</v>
      </c>
      <c r="AE140" s="334">
        <f t="shared" si="136"/>
        <v>0</v>
      </c>
      <c r="AF140" s="419"/>
      <c r="AG140" s="419"/>
      <c r="AH140" s="419"/>
      <c r="AI140" s="419"/>
      <c r="AJ140" s="419"/>
      <c r="AK140" s="419"/>
      <c r="AL140" s="330"/>
    </row>
    <row r="141" spans="2:38">
      <c r="B141" s="449" t="str">
        <f>IF(B1="EN", "Other long-term investments", "Đầu tư dài hạn khác")</f>
        <v>Đầu tư dài hạn khác</v>
      </c>
      <c r="C141" s="450"/>
      <c r="D141" s="450"/>
      <c r="E141" s="450"/>
      <c r="F141" s="450"/>
      <c r="G141" s="451"/>
      <c r="H141" s="451"/>
      <c r="I141" s="451"/>
      <c r="J141" s="451"/>
      <c r="K141" s="451"/>
      <c r="L141" s="451"/>
      <c r="M141" s="451"/>
      <c r="N141" s="452">
        <f>117078774-N98+K99-N99+K100-N100</f>
        <v>-93200080</v>
      </c>
      <c r="O141" s="452">
        <f>N98-O98+N99-O99+N100-O100</f>
        <v>-60263254</v>
      </c>
      <c r="P141" s="452">
        <f>O98-P98+O99-P99+O100-P100</f>
        <v>0</v>
      </c>
      <c r="Q141" s="452">
        <f>O98-Q98+O99-Q99+O100-Q100</f>
        <v>-1056539170</v>
      </c>
      <c r="R141" s="453">
        <f>Q98-R98+Q100-R100</f>
        <v>0</v>
      </c>
      <c r="S141" s="334"/>
      <c r="T141" s="453"/>
      <c r="U141" s="453"/>
      <c r="V141" s="453"/>
      <c r="W141" s="453"/>
      <c r="X141" s="453"/>
      <c r="Y141" s="453"/>
      <c r="Z141" s="453"/>
      <c r="AA141" s="453"/>
      <c r="AB141" s="453"/>
      <c r="AC141" s="453"/>
      <c r="AD141" s="453"/>
      <c r="AE141" s="453"/>
      <c r="AF141" s="419"/>
      <c r="AG141" s="454"/>
      <c r="AH141" s="454"/>
      <c r="AI141" s="454"/>
      <c r="AJ141" s="454"/>
      <c r="AK141" s="454"/>
      <c r="AL141" s="330"/>
    </row>
    <row r="142" spans="2:38" s="141" customFormat="1" ht="17" thickBot="1">
      <c r="B142" s="437" t="str">
        <f>IF(B1="EN", "Net cash flow from investing activities", "Dòng tiền thuần từ hoạt động đầu tư")</f>
        <v>Dòng tiền thuần từ hoạt động đầu tư</v>
      </c>
      <c r="C142" s="438"/>
      <c r="D142" s="438"/>
      <c r="E142" s="438"/>
      <c r="F142" s="438"/>
      <c r="G142" s="439"/>
      <c r="H142" s="439"/>
      <c r="I142" s="439"/>
      <c r="J142" s="439"/>
      <c r="K142" s="439"/>
      <c r="L142" s="439"/>
      <c r="M142" s="439"/>
      <c r="N142" s="408">
        <f>SUM(N139:N141)</f>
        <v>-1214481080</v>
      </c>
      <c r="O142" s="408">
        <f>SUM(O139:O141)</f>
        <v>-2285591668</v>
      </c>
      <c r="P142" s="408">
        <f>SUM(P139:P141)</f>
        <v>-3744325672</v>
      </c>
      <c r="Q142" s="408">
        <f>SUM(Q139:Q141)</f>
        <v>-9249928362</v>
      </c>
      <c r="R142" s="440">
        <f t="shared" ref="R142:AE142" si="137">SUM(R139:R141)</f>
        <v>6000000000</v>
      </c>
      <c r="S142" s="441"/>
      <c r="T142" s="440">
        <f t="shared" si="137"/>
        <v>6000000000</v>
      </c>
      <c r="U142" s="440">
        <f t="shared" si="137"/>
        <v>0</v>
      </c>
      <c r="V142" s="440">
        <f t="shared" si="137"/>
        <v>0</v>
      </c>
      <c r="W142" s="440">
        <f t="shared" si="137"/>
        <v>0</v>
      </c>
      <c r="X142" s="440">
        <f t="shared" si="137"/>
        <v>0</v>
      </c>
      <c r="Y142" s="440">
        <f t="shared" si="137"/>
        <v>0</v>
      </c>
      <c r="Z142" s="440">
        <f t="shared" si="137"/>
        <v>0</v>
      </c>
      <c r="AA142" s="440">
        <f t="shared" si="137"/>
        <v>0</v>
      </c>
      <c r="AB142" s="440">
        <f t="shared" si="137"/>
        <v>0</v>
      </c>
      <c r="AC142" s="440">
        <f t="shared" si="137"/>
        <v>0</v>
      </c>
      <c r="AD142" s="440">
        <f t="shared" si="137"/>
        <v>0</v>
      </c>
      <c r="AE142" s="440">
        <f t="shared" si="137"/>
        <v>0</v>
      </c>
      <c r="AF142" s="442"/>
      <c r="AG142" s="443"/>
      <c r="AH142" s="443"/>
      <c r="AI142" s="443"/>
      <c r="AJ142" s="443"/>
      <c r="AK142" s="443"/>
      <c r="AL142" s="444"/>
    </row>
    <row r="143" spans="2:38" ht="9" customHeight="1" thickTop="1">
      <c r="B143" s="179"/>
      <c r="C143" s="128"/>
      <c r="D143" s="128"/>
      <c r="E143" s="128"/>
      <c r="F143" s="128"/>
      <c r="G143" s="420"/>
      <c r="H143" s="420"/>
      <c r="I143" s="420"/>
      <c r="J143" s="420"/>
      <c r="K143" s="420"/>
      <c r="L143" s="420"/>
      <c r="M143" s="420"/>
      <c r="N143" s="323"/>
      <c r="O143" s="323"/>
      <c r="P143" s="323"/>
      <c r="Q143" s="323"/>
      <c r="R143" s="421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  <c r="AC143" s="421"/>
      <c r="AD143" s="421"/>
      <c r="AE143" s="421"/>
      <c r="AF143" s="422"/>
      <c r="AG143" s="422"/>
      <c r="AH143" s="422"/>
      <c r="AI143" s="422"/>
      <c r="AJ143" s="422"/>
      <c r="AK143" s="422"/>
      <c r="AL143" s="317"/>
    </row>
    <row r="144" spans="2:38">
      <c r="B144" s="179" t="str">
        <f>IF(B1="EN", "CASH FLOW FROM FINANCIAL ACTIVITIES", "DÒNG TIỀN TỪ HOẠT ĐỘNG TÀI CHÍNH")</f>
        <v>DÒNG TIỀN TỪ HOẠT ĐỘNG TÀI CHÍNH</v>
      </c>
      <c r="C144" s="424"/>
      <c r="D144" s="424"/>
      <c r="E144" s="424"/>
      <c r="F144" s="424"/>
      <c r="G144" s="425"/>
      <c r="H144" s="425"/>
      <c r="I144" s="425"/>
      <c r="J144" s="425"/>
      <c r="K144" s="425"/>
      <c r="L144" s="425"/>
      <c r="M144" s="425"/>
      <c r="N144" s="336"/>
      <c r="O144" s="336"/>
      <c r="P144" s="336"/>
      <c r="Q144" s="336"/>
      <c r="R144" s="334"/>
      <c r="S144" s="334"/>
      <c r="T144" s="334"/>
      <c r="U144" s="334"/>
      <c r="V144" s="334"/>
      <c r="W144" s="334"/>
      <c r="X144" s="334"/>
      <c r="Y144" s="334"/>
      <c r="Z144" s="334"/>
      <c r="AA144" s="334"/>
      <c r="AB144" s="334"/>
      <c r="AC144" s="334"/>
      <c r="AD144" s="334"/>
      <c r="AE144" s="334"/>
      <c r="AF144" s="419"/>
      <c r="AG144" s="419"/>
      <c r="AH144" s="419"/>
      <c r="AI144" s="419"/>
      <c r="AJ144" s="419"/>
      <c r="AK144" s="419"/>
      <c r="AL144" s="330"/>
    </row>
    <row r="145" spans="2:38">
      <c r="B145" s="423" t="s">
        <v>117</v>
      </c>
      <c r="C145" s="424"/>
      <c r="D145" s="424"/>
      <c r="E145" s="424"/>
      <c r="F145" s="424"/>
      <c r="G145" s="425"/>
      <c r="H145" s="425"/>
      <c r="I145" s="425"/>
      <c r="J145" s="425"/>
      <c r="K145" s="425"/>
      <c r="L145" s="425"/>
      <c r="M145" s="425"/>
      <c r="N145" s="336">
        <f>N117-15000000000</f>
        <v>0</v>
      </c>
      <c r="O145" s="336">
        <f>O117-N117</f>
        <v>0</v>
      </c>
      <c r="P145" s="336">
        <f>P117-O117</f>
        <v>0</v>
      </c>
      <c r="Q145" s="336">
        <f>Q117-P117</f>
        <v>0</v>
      </c>
      <c r="R145" s="336">
        <f>R117-Q117</f>
        <v>0</v>
      </c>
      <c r="S145" s="334"/>
      <c r="T145" s="334"/>
      <c r="U145" s="334"/>
      <c r="V145" s="334"/>
      <c r="W145" s="334"/>
      <c r="X145" s="334"/>
      <c r="Y145" s="334"/>
      <c r="Z145" s="334"/>
      <c r="AA145" s="334"/>
      <c r="AB145" s="334"/>
      <c r="AC145" s="334"/>
      <c r="AD145" s="334"/>
      <c r="AE145" s="334"/>
      <c r="AF145" s="419"/>
      <c r="AG145" s="419">
        <v>0</v>
      </c>
      <c r="AH145" s="419">
        <v>0</v>
      </c>
      <c r="AI145" s="419">
        <v>0</v>
      </c>
      <c r="AJ145" s="419">
        <v>0</v>
      </c>
      <c r="AK145" s="419">
        <v>0</v>
      </c>
      <c r="AL145" s="330"/>
    </row>
    <row r="146" spans="2:38">
      <c r="B146" s="423" t="str">
        <f>IF(B1="EN", "Change in invesment and development fund", "Tăng (Giảm) Quỹ đầu tư &amp; Phát triển")</f>
        <v>Tăng (Giảm) Quỹ đầu tư &amp; Phát triển</v>
      </c>
      <c r="C146" s="424"/>
      <c r="D146" s="424"/>
      <c r="E146" s="424"/>
      <c r="F146" s="424"/>
      <c r="G146" s="425"/>
      <c r="H146" s="425"/>
      <c r="I146" s="425"/>
      <c r="J146" s="425"/>
      <c r="K146" s="425"/>
      <c r="L146" s="425"/>
      <c r="M146" s="425"/>
      <c r="N146" s="336">
        <f t="shared" ref="N146:P146" si="138">N118-K118</f>
        <v>0</v>
      </c>
      <c r="O146" s="336">
        <f t="shared" si="138"/>
        <v>0</v>
      </c>
      <c r="P146" s="336">
        <f t="shared" si="138"/>
        <v>0</v>
      </c>
      <c r="Q146" s="336">
        <f>Q118-P118</f>
        <v>0</v>
      </c>
      <c r="R146" s="334">
        <f>SUM(T146:AE146)</f>
        <v>0</v>
      </c>
      <c r="S146" s="334"/>
      <c r="T146" s="334"/>
      <c r="U146" s="334"/>
      <c r="V146" s="334"/>
      <c r="W146" s="334"/>
      <c r="X146" s="334"/>
      <c r="Y146" s="334"/>
      <c r="Z146" s="334"/>
      <c r="AA146" s="334"/>
      <c r="AB146" s="334"/>
      <c r="AC146" s="334"/>
      <c r="AD146" s="334"/>
      <c r="AE146" s="334"/>
      <c r="AF146" s="419"/>
      <c r="AG146" s="419">
        <v>0</v>
      </c>
      <c r="AH146" s="419">
        <v>0</v>
      </c>
      <c r="AI146" s="419">
        <v>0</v>
      </c>
      <c r="AJ146" s="419">
        <v>0</v>
      </c>
      <c r="AK146" s="419">
        <v>0</v>
      </c>
      <c r="AL146" s="330"/>
    </row>
    <row r="147" spans="2:38">
      <c r="B147" s="423" t="str">
        <f>IF(B1="EN", "Short-term and long-term borrowing", "Vay ngắn hạn &amp; dài hạn")</f>
        <v>Vay ngắn hạn &amp; dài hạn</v>
      </c>
      <c r="C147" s="424"/>
      <c r="D147" s="424"/>
      <c r="E147" s="424"/>
      <c r="F147" s="424"/>
      <c r="G147" s="425"/>
      <c r="H147" s="425"/>
      <c r="I147" s="425"/>
      <c r="J147" s="425"/>
      <c r="K147" s="425"/>
      <c r="L147" s="425"/>
      <c r="M147" s="425"/>
      <c r="N147" s="336">
        <v>-2000000000</v>
      </c>
      <c r="O147" s="336">
        <f>[3]FIN!O6+[3]FIN!O7+[3]FIN!O15</f>
        <v>0</v>
      </c>
      <c r="P147" s="336">
        <f>[3]FIN!P6+[3]FIN!P7+[3]FIN!P15</f>
        <v>0</v>
      </c>
      <c r="Q147" s="336">
        <f>[3]FIN!Q6+[3]FIN!Q7+[3]FIN!Q15</f>
        <v>0</v>
      </c>
      <c r="R147" s="334">
        <f>SUM(T147:AE147)</f>
        <v>0</v>
      </c>
      <c r="S147" s="334"/>
      <c r="T147" s="334">
        <f>[3]FIN!T6+[3]FIN!T7+[3]FIN!T15</f>
        <v>0</v>
      </c>
      <c r="U147" s="334">
        <f>[3]FIN!U6+[3]FIN!U7+[3]FIN!U15</f>
        <v>0</v>
      </c>
      <c r="V147" s="334">
        <f>[3]FIN!V6+[3]FIN!V7+[3]FIN!V15</f>
        <v>0</v>
      </c>
      <c r="W147" s="334">
        <f>[3]FIN!W6+[3]FIN!W7+[3]FIN!W15</f>
        <v>0</v>
      </c>
      <c r="X147" s="334">
        <f>[3]FIN!X6+[3]FIN!X7+[3]FIN!X15</f>
        <v>0</v>
      </c>
      <c r="Y147" s="334">
        <f>[3]FIN!Y6+[3]FIN!Y7+[3]FIN!Y15</f>
        <v>0</v>
      </c>
      <c r="Z147" s="334">
        <f>[3]FIN!Z6+[3]FIN!Z7+[3]FIN!Z15</f>
        <v>0</v>
      </c>
      <c r="AA147" s="334">
        <f>[3]FIN!AA6+[3]FIN!AA7+[3]FIN!AA15</f>
        <v>0</v>
      </c>
      <c r="AB147" s="334">
        <f>[3]FIN!AB6+[3]FIN!AB7+[3]FIN!AB15</f>
        <v>0</v>
      </c>
      <c r="AC147" s="334">
        <f>[3]FIN!AC6+[3]FIN!AC7+[3]FIN!AC15</f>
        <v>0</v>
      </c>
      <c r="AD147" s="334">
        <f>[3]FIN!AD6+[3]FIN!AD7+[3]FIN!AD15</f>
        <v>0</v>
      </c>
      <c r="AE147" s="334">
        <f>[3]FIN!AE6+[3]FIN!AE7+[3]FIN!AE15</f>
        <v>0</v>
      </c>
      <c r="AF147" s="419"/>
      <c r="AG147" s="419"/>
      <c r="AH147" s="419"/>
      <c r="AI147" s="419"/>
      <c r="AJ147" s="419"/>
      <c r="AK147" s="419"/>
      <c r="AL147" s="330"/>
    </row>
    <row r="148" spans="2:38">
      <c r="B148" s="423" t="str">
        <f>IF(B1="EN", "Dividend and interests paid to owner", "Cổ tức và lợi nhuận trả cho chủ sở hữu")</f>
        <v>Cổ tức và lợi nhuận trả cho chủ sở hữu</v>
      </c>
      <c r="C148" s="424"/>
      <c r="D148" s="424"/>
      <c r="E148" s="424"/>
      <c r="F148" s="424"/>
      <c r="G148" s="425"/>
      <c r="H148" s="425"/>
      <c r="I148" s="425"/>
      <c r="J148" s="425"/>
      <c r="K148" s="425"/>
      <c r="L148" s="425"/>
      <c r="M148" s="425"/>
      <c r="N148" s="336">
        <f>-[3]FIN!N26</f>
        <v>0</v>
      </c>
      <c r="O148" s="336">
        <f>-[3]FIN!O26</f>
        <v>0</v>
      </c>
      <c r="P148" s="336">
        <f>-[3]FIN!P26</f>
        <v>0</v>
      </c>
      <c r="Q148" s="336">
        <f>-[3]FIN!Q26</f>
        <v>0</v>
      </c>
      <c r="R148" s="334">
        <f>SUM(T148:AE148)</f>
        <v>0</v>
      </c>
      <c r="S148" s="334"/>
      <c r="T148" s="334">
        <f>-[3]FIN!T26</f>
        <v>0</v>
      </c>
      <c r="U148" s="334">
        <f>-[3]FIN!U26</f>
        <v>0</v>
      </c>
      <c r="V148" s="334">
        <f>-[3]FIN!V26</f>
        <v>0</v>
      </c>
      <c r="W148" s="334">
        <f>-[3]FIN!W26</f>
        <v>0</v>
      </c>
      <c r="X148" s="334">
        <f>-[3]FIN!X26</f>
        <v>0</v>
      </c>
      <c r="Y148" s="334">
        <f>-[3]FIN!Y26</f>
        <v>0</v>
      </c>
      <c r="Z148" s="334">
        <f>-[3]FIN!Z26</f>
        <v>0</v>
      </c>
      <c r="AA148" s="334">
        <f>-[3]FIN!AA26</f>
        <v>0</v>
      </c>
      <c r="AB148" s="334">
        <f>-[3]FIN!AB26</f>
        <v>0</v>
      </c>
      <c r="AC148" s="334">
        <f>-[3]FIN!AC26</f>
        <v>0</v>
      </c>
      <c r="AD148" s="334">
        <f>-[3]FIN!AD26</f>
        <v>0</v>
      </c>
      <c r="AE148" s="334">
        <f>-[3]FIN!AE26</f>
        <v>0</v>
      </c>
      <c r="AF148" s="419"/>
      <c r="AG148" s="419"/>
      <c r="AH148" s="419"/>
      <c r="AI148" s="419"/>
      <c r="AJ148" s="419"/>
      <c r="AK148" s="419"/>
      <c r="AL148" s="330"/>
    </row>
    <row r="149" spans="2:38" s="141" customFormat="1" ht="17" thickBot="1">
      <c r="B149" s="437" t="str">
        <f>IF(B1="EN", "Net cash flow from financing activities", "Dòng tiền thuần từ hoạt động tài chính")</f>
        <v>Dòng tiền thuần từ hoạt động tài chính</v>
      </c>
      <c r="C149" s="438"/>
      <c r="D149" s="438"/>
      <c r="E149" s="438"/>
      <c r="F149" s="438"/>
      <c r="G149" s="439"/>
      <c r="H149" s="439"/>
      <c r="I149" s="439"/>
      <c r="J149" s="439"/>
      <c r="K149" s="439"/>
      <c r="L149" s="439"/>
      <c r="M149" s="439"/>
      <c r="N149" s="455">
        <f>SUM(N145:N148)</f>
        <v>-2000000000</v>
      </c>
      <c r="O149" s="455">
        <f>SUM(O145:O148)</f>
        <v>0</v>
      </c>
      <c r="P149" s="407">
        <f>SUM(P145:P148)</f>
        <v>0</v>
      </c>
      <c r="Q149" s="408">
        <f>SUM(Q145:Q148)</f>
        <v>0</v>
      </c>
      <c r="R149" s="440">
        <f t="shared" ref="R149:AE149" si="139">SUM(R145:R148)</f>
        <v>0</v>
      </c>
      <c r="S149" s="441"/>
      <c r="T149" s="440">
        <f t="shared" si="139"/>
        <v>0</v>
      </c>
      <c r="U149" s="440">
        <f t="shared" si="139"/>
        <v>0</v>
      </c>
      <c r="V149" s="440">
        <f t="shared" si="139"/>
        <v>0</v>
      </c>
      <c r="W149" s="440">
        <f t="shared" si="139"/>
        <v>0</v>
      </c>
      <c r="X149" s="440">
        <f t="shared" si="139"/>
        <v>0</v>
      </c>
      <c r="Y149" s="440">
        <f t="shared" si="139"/>
        <v>0</v>
      </c>
      <c r="Z149" s="440">
        <f t="shared" si="139"/>
        <v>0</v>
      </c>
      <c r="AA149" s="440">
        <f t="shared" si="139"/>
        <v>0</v>
      </c>
      <c r="AB149" s="440">
        <f t="shared" si="139"/>
        <v>0</v>
      </c>
      <c r="AC149" s="440">
        <f t="shared" si="139"/>
        <v>0</v>
      </c>
      <c r="AD149" s="440">
        <f t="shared" si="139"/>
        <v>0</v>
      </c>
      <c r="AE149" s="440">
        <f t="shared" si="139"/>
        <v>0</v>
      </c>
      <c r="AF149" s="442"/>
      <c r="AG149" s="443"/>
      <c r="AH149" s="443"/>
      <c r="AI149" s="443"/>
      <c r="AJ149" s="443"/>
      <c r="AK149" s="443"/>
      <c r="AL149" s="444"/>
    </row>
    <row r="150" spans="2:38" ht="17" thickTop="1">
      <c r="B150" s="179"/>
      <c r="C150" s="128"/>
      <c r="D150" s="128"/>
      <c r="E150" s="128"/>
      <c r="F150" s="128"/>
      <c r="G150" s="425"/>
      <c r="H150" s="425"/>
      <c r="I150" s="425"/>
      <c r="J150" s="425"/>
      <c r="K150" s="425"/>
      <c r="L150" s="425"/>
      <c r="M150" s="425"/>
      <c r="N150" s="336"/>
      <c r="O150" s="336"/>
      <c r="P150" s="336"/>
      <c r="Q150" s="336"/>
      <c r="R150" s="334"/>
      <c r="S150" s="334"/>
      <c r="T150" s="334"/>
      <c r="U150" s="334"/>
      <c r="V150" s="334"/>
      <c r="W150" s="334"/>
      <c r="X150" s="334"/>
      <c r="Y150" s="334"/>
      <c r="Z150" s="334"/>
      <c r="AA150" s="334"/>
      <c r="AB150" s="334"/>
      <c r="AC150" s="334"/>
      <c r="AD150" s="334"/>
      <c r="AE150" s="334"/>
      <c r="AF150" s="419"/>
      <c r="AG150" s="419"/>
      <c r="AH150" s="419"/>
      <c r="AI150" s="419"/>
      <c r="AJ150" s="419"/>
      <c r="AK150" s="419"/>
      <c r="AL150" s="330"/>
    </row>
    <row r="151" spans="2:38" ht="17" thickBot="1">
      <c r="B151" s="456" t="str">
        <f>IF(B1="EN", "NET CASH FLOW OF THE YEAR", "DÒNG TIỀN THUẦN CẢ NĂM")</f>
        <v>DÒNG TIỀN THUẦN CẢ NĂM</v>
      </c>
      <c r="C151" s="457"/>
      <c r="D151" s="457"/>
      <c r="E151" s="457"/>
      <c r="F151" s="457"/>
      <c r="G151" s="439"/>
      <c r="H151" s="439"/>
      <c r="I151" s="439"/>
      <c r="J151" s="439"/>
      <c r="K151" s="439"/>
      <c r="L151" s="439"/>
      <c r="M151" s="439"/>
      <c r="N151" s="408">
        <f>N136+N142+N149</f>
        <v>-1839553346.9999995</v>
      </c>
      <c r="O151" s="408">
        <f>O136+O142+O149</f>
        <v>3887238059</v>
      </c>
      <c r="P151" s="408">
        <f>P136+P142+P149</f>
        <v>-1657125396.8081229</v>
      </c>
      <c r="Q151" s="408">
        <f>Q136+Q142+Q149</f>
        <v>-3263808531</v>
      </c>
      <c r="R151" s="455">
        <f t="shared" ref="R151:AE151" si="140">R136+R142+R149</f>
        <v>8678736033.2110195</v>
      </c>
      <c r="S151" s="421"/>
      <c r="T151" s="455">
        <f t="shared" si="140"/>
        <v>6579814480.4661198</v>
      </c>
      <c r="U151" s="455">
        <f t="shared" si="140"/>
        <v>596620832.26313925</v>
      </c>
      <c r="V151" s="455">
        <f t="shared" si="140"/>
        <v>-854450031.67578566</v>
      </c>
      <c r="W151" s="455">
        <f t="shared" si="140"/>
        <v>32526530.804859638</v>
      </c>
      <c r="X151" s="455">
        <f t="shared" si="140"/>
        <v>326006194.59507334</v>
      </c>
      <c r="Y151" s="455">
        <f t="shared" si="140"/>
        <v>271067934.20137119</v>
      </c>
      <c r="Z151" s="455">
        <f t="shared" si="140"/>
        <v>269077207.42161441</v>
      </c>
      <c r="AA151" s="455">
        <f t="shared" si="140"/>
        <v>255161454.25885504</v>
      </c>
      <c r="AB151" s="455">
        <f t="shared" si="140"/>
        <v>271929871.43045843</v>
      </c>
      <c r="AC151" s="455">
        <f t="shared" si="140"/>
        <v>333764092.74369752</v>
      </c>
      <c r="AD151" s="455">
        <f t="shared" si="140"/>
        <v>298349044.06194371</v>
      </c>
      <c r="AE151" s="455">
        <f t="shared" si="140"/>
        <v>298868422.63967359</v>
      </c>
      <c r="AF151" s="422"/>
      <c r="AG151" s="458"/>
      <c r="AH151" s="458"/>
      <c r="AI151" s="458"/>
      <c r="AJ151" s="458"/>
      <c r="AK151" s="458"/>
      <c r="AL151" s="317"/>
    </row>
    <row r="152" spans="2:38" ht="17" thickTop="1">
      <c r="B152" s="423" t="str">
        <f>IF(B1="EN", "Cash at the beginning of the year", "Số dư tiền đầu năm")</f>
        <v>Số dư tiền đầu năm</v>
      </c>
      <c r="C152" s="424"/>
      <c r="D152" s="424"/>
      <c r="E152" s="424"/>
      <c r="F152" s="424"/>
      <c r="G152" s="425"/>
      <c r="H152" s="425"/>
      <c r="I152" s="425"/>
      <c r="J152" s="425"/>
      <c r="K152" s="425"/>
      <c r="L152" s="425"/>
      <c r="M152" s="425"/>
      <c r="N152" s="336">
        <v>3956178628</v>
      </c>
      <c r="O152" s="336">
        <f>N153</f>
        <v>2116625281.0000005</v>
      </c>
      <c r="P152" s="336">
        <f>O153</f>
        <v>6003863340</v>
      </c>
      <c r="Q152" s="336">
        <f>O153</f>
        <v>6003863340</v>
      </c>
      <c r="R152" s="334">
        <f>Q153</f>
        <v>2740054809</v>
      </c>
      <c r="S152" s="334"/>
      <c r="T152" s="334">
        <f>Q153</f>
        <v>2740054809</v>
      </c>
      <c r="U152" s="334">
        <f>T153</f>
        <v>9319869289.4661198</v>
      </c>
      <c r="V152" s="334">
        <f t="shared" ref="V152:AE152" si="141">U153</f>
        <v>9916490121.7292595</v>
      </c>
      <c r="W152" s="334">
        <f t="shared" si="141"/>
        <v>9062040090.0534744</v>
      </c>
      <c r="X152" s="334">
        <f t="shared" si="141"/>
        <v>9094566620.8583336</v>
      </c>
      <c r="Y152" s="334">
        <f t="shared" si="141"/>
        <v>9420572815.4534073</v>
      </c>
      <c r="Z152" s="334">
        <f t="shared" si="141"/>
        <v>9691640749.6547775</v>
      </c>
      <c r="AA152" s="334">
        <f t="shared" si="141"/>
        <v>9960717957.0763912</v>
      </c>
      <c r="AB152" s="334">
        <f t="shared" si="141"/>
        <v>10215879411.335247</v>
      </c>
      <c r="AC152" s="334">
        <f t="shared" si="141"/>
        <v>10487809282.765705</v>
      </c>
      <c r="AD152" s="334">
        <f t="shared" si="141"/>
        <v>10821573375.509403</v>
      </c>
      <c r="AE152" s="334">
        <f t="shared" si="141"/>
        <v>11119922419.571346</v>
      </c>
      <c r="AF152" s="419"/>
      <c r="AG152" s="419"/>
      <c r="AH152" s="419"/>
      <c r="AI152" s="419"/>
      <c r="AJ152" s="419"/>
      <c r="AK152" s="419"/>
      <c r="AL152" s="330"/>
    </row>
    <row r="153" spans="2:38">
      <c r="B153" s="459" t="str">
        <f>IF(B1="EN", "Cash at the ending of the year", "Số dư tiền cuối năm")</f>
        <v>Số dư tiền cuối năm</v>
      </c>
      <c r="C153" s="460"/>
      <c r="D153" s="460"/>
      <c r="E153" s="460"/>
      <c r="F153" s="460"/>
      <c r="G153" s="461"/>
      <c r="H153" s="461"/>
      <c r="I153" s="461"/>
      <c r="J153" s="461"/>
      <c r="K153" s="461"/>
      <c r="L153" s="461"/>
      <c r="M153" s="461"/>
      <c r="N153" s="462">
        <f>N151+N152</f>
        <v>2116625281.0000005</v>
      </c>
      <c r="O153" s="462">
        <f>O151+O152</f>
        <v>6003863340</v>
      </c>
      <c r="P153" s="462">
        <f>P151+P152</f>
        <v>4346737943.1918774</v>
      </c>
      <c r="Q153" s="462">
        <f>Q151+Q152</f>
        <v>2740054809</v>
      </c>
      <c r="R153" s="463">
        <f>R151+R152</f>
        <v>11418790842.21102</v>
      </c>
      <c r="S153" s="321"/>
      <c r="T153" s="464">
        <f>T151+T152</f>
        <v>9319869289.4661198</v>
      </c>
      <c r="U153" s="464">
        <f t="shared" ref="U153:AE153" si="142">U151+U152</f>
        <v>9916490121.7292595</v>
      </c>
      <c r="V153" s="464">
        <f t="shared" si="142"/>
        <v>9062040090.0534744</v>
      </c>
      <c r="W153" s="464">
        <f t="shared" si="142"/>
        <v>9094566620.8583336</v>
      </c>
      <c r="X153" s="464">
        <f t="shared" si="142"/>
        <v>9420572815.4534073</v>
      </c>
      <c r="Y153" s="464">
        <f t="shared" si="142"/>
        <v>9691640749.6547775</v>
      </c>
      <c r="Z153" s="464">
        <f t="shared" si="142"/>
        <v>9960717957.0763912</v>
      </c>
      <c r="AA153" s="464">
        <f t="shared" si="142"/>
        <v>10215879411.335247</v>
      </c>
      <c r="AB153" s="464">
        <f t="shared" si="142"/>
        <v>10487809282.765705</v>
      </c>
      <c r="AC153" s="464">
        <f t="shared" si="142"/>
        <v>10821573375.509403</v>
      </c>
      <c r="AD153" s="464">
        <f t="shared" si="142"/>
        <v>11119922419.571346</v>
      </c>
      <c r="AE153" s="464">
        <f t="shared" si="142"/>
        <v>11418790842.21102</v>
      </c>
      <c r="AF153" s="320"/>
      <c r="AG153" s="465"/>
      <c r="AH153" s="465"/>
      <c r="AI153" s="465"/>
      <c r="AJ153" s="465"/>
      <c r="AK153" s="465"/>
      <c r="AL153" s="326"/>
    </row>
    <row r="154" spans="2:38">
      <c r="G154" s="107"/>
      <c r="H154" s="107"/>
      <c r="I154" s="107"/>
      <c r="J154" s="257"/>
      <c r="K154" s="410"/>
      <c r="L154" s="410"/>
      <c r="M154" s="410"/>
      <c r="N154" s="410">
        <f>N153-N75</f>
        <v>0</v>
      </c>
      <c r="O154" s="410">
        <f>O153-O75</f>
        <v>0</v>
      </c>
      <c r="P154" s="410">
        <f>P153-P75</f>
        <v>0</v>
      </c>
      <c r="Q154" s="410">
        <f>Q153-Q75</f>
        <v>0</v>
      </c>
      <c r="R154" s="410">
        <f>R153-R75</f>
        <v>0</v>
      </c>
      <c r="S154" s="410"/>
      <c r="T154" s="410">
        <f t="shared" ref="T154:AE154" si="143">T153-T75</f>
        <v>0</v>
      </c>
      <c r="U154" s="410">
        <f t="shared" si="143"/>
        <v>0</v>
      </c>
      <c r="V154" s="410">
        <f t="shared" si="143"/>
        <v>0</v>
      </c>
      <c r="W154" s="410">
        <f t="shared" si="143"/>
        <v>0</v>
      </c>
      <c r="X154" s="410">
        <f t="shared" si="143"/>
        <v>0</v>
      </c>
      <c r="Y154" s="410">
        <f t="shared" si="143"/>
        <v>0</v>
      </c>
      <c r="Z154" s="410">
        <f t="shared" si="143"/>
        <v>0</v>
      </c>
      <c r="AA154" s="410">
        <f t="shared" si="143"/>
        <v>0</v>
      </c>
      <c r="AB154" s="410">
        <f t="shared" si="143"/>
        <v>0</v>
      </c>
      <c r="AC154" s="410">
        <f t="shared" si="143"/>
        <v>0</v>
      </c>
      <c r="AD154" s="410">
        <f t="shared" si="143"/>
        <v>0</v>
      </c>
      <c r="AE154" s="410">
        <f t="shared" si="143"/>
        <v>0</v>
      </c>
      <c r="AF154" s="410"/>
      <c r="AG154" s="410">
        <f>AG153-AG75</f>
        <v>0</v>
      </c>
      <c r="AH154" s="410">
        <f t="shared" ref="AH154:AK154" si="144">AH153-AH75</f>
        <v>0</v>
      </c>
      <c r="AI154" s="410">
        <f t="shared" si="144"/>
        <v>0</v>
      </c>
      <c r="AJ154" s="410">
        <f t="shared" si="144"/>
        <v>0</v>
      </c>
      <c r="AK154" s="410">
        <f t="shared" si="144"/>
        <v>0</v>
      </c>
      <c r="AL154" s="257"/>
    </row>
    <row r="155" spans="2:38">
      <c r="G155" s="107"/>
      <c r="H155" s="107"/>
      <c r="I155" s="107"/>
      <c r="J155" s="257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  <c r="AG155" s="410"/>
      <c r="AH155" s="410"/>
      <c r="AI155" s="410"/>
      <c r="AJ155" s="410"/>
      <c r="AK155" s="410"/>
      <c r="AL155" s="257"/>
    </row>
    <row r="156" spans="2:38">
      <c r="N156" s="410"/>
    </row>
    <row r="157" spans="2:38">
      <c r="F157" s="466"/>
    </row>
    <row r="163" spans="6:32">
      <c r="F163" s="466"/>
      <c r="L163" s="466"/>
      <c r="R163" s="466"/>
      <c r="S163" s="466"/>
      <c r="T163" s="466"/>
      <c r="U163" s="466"/>
      <c r="V163" s="466"/>
      <c r="W163" s="466"/>
      <c r="X163" s="466"/>
      <c r="Y163" s="466"/>
      <c r="Z163" s="466"/>
      <c r="AA163" s="466"/>
      <c r="AB163" s="466"/>
      <c r="AC163" s="466"/>
      <c r="AD163" s="466"/>
      <c r="AE163" s="466"/>
      <c r="AF163" s="466"/>
    </row>
  </sheetData>
  <conditionalFormatting sqref="T153:AE153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D0A6-D91D-43E9-BD1C-3C5ABE7A3CA6}">
  <dimension ref="A1:AS163"/>
  <sheetViews>
    <sheetView topLeftCell="D81" workbookViewId="0">
      <selection activeCell="R94" sqref="R94"/>
    </sheetView>
  </sheetViews>
  <sheetFormatPr defaultColWidth="9.1796875" defaultRowHeight="16.5" outlineLevelRow="1" outlineLevelCol="1"/>
  <cols>
    <col min="1" max="1" width="1.1796875" style="84" customWidth="1"/>
    <col min="2" max="4" width="2.1796875" style="84" customWidth="1"/>
    <col min="5" max="5" width="10.453125" style="84" customWidth="1"/>
    <col min="6" max="6" width="28.6328125" style="84" customWidth="1"/>
    <col min="7" max="10" width="7.54296875" style="84" hidden="1" customWidth="1"/>
    <col min="11" max="13" width="7.54296875" style="86" hidden="1" customWidth="1"/>
    <col min="14" max="14" width="17.453125" style="86" customWidth="1"/>
    <col min="15" max="15" width="16.453125" style="86" customWidth="1"/>
    <col min="16" max="16" width="16" style="86" customWidth="1"/>
    <col min="17" max="17" width="16.36328125" style="86" customWidth="1"/>
    <col min="18" max="18" width="18.54296875" style="86" customWidth="1"/>
    <col min="19" max="19" width="3.54296875" style="86" customWidth="1"/>
    <col min="20" max="31" width="12.1796875" style="86" customWidth="1" outlineLevel="1"/>
    <col min="32" max="32" width="4.81640625" style="86" customWidth="1"/>
    <col min="33" max="36" width="11.453125" style="86" hidden="1" customWidth="1"/>
    <col min="37" max="37" width="12.1796875" style="86" hidden="1" customWidth="1"/>
    <col min="38" max="38" width="1.54296875" style="84" customWidth="1"/>
    <col min="39" max="43" width="10.1796875" style="84" customWidth="1"/>
    <col min="44" max="45" width="9.54296875" style="84" bestFit="1" customWidth="1"/>
    <col min="46" max="16384" width="9.1796875" style="84"/>
  </cols>
  <sheetData>
    <row r="1" spans="2:45" ht="20.25" customHeight="1">
      <c r="B1" s="84" t="str">
        <f>[4]Overview!C2</f>
        <v>VN</v>
      </c>
      <c r="F1" s="85"/>
      <c r="N1" s="467"/>
      <c r="O1" s="467"/>
      <c r="Q1" s="467"/>
      <c r="R1" s="467"/>
      <c r="S1" s="89"/>
      <c r="T1" s="89"/>
      <c r="U1" s="89"/>
      <c r="V1" s="91"/>
      <c r="W1" s="91"/>
      <c r="X1" s="89"/>
      <c r="Y1" s="89"/>
      <c r="Z1" s="89"/>
      <c r="AA1" s="89"/>
      <c r="AB1" s="89"/>
      <c r="AC1" s="89"/>
      <c r="AD1" s="89"/>
      <c r="AE1" s="89"/>
      <c r="AF1" s="90"/>
      <c r="AG1" s="92"/>
      <c r="AH1" s="93"/>
      <c r="AI1" s="92"/>
      <c r="AJ1" s="93"/>
      <c r="AK1" s="93"/>
    </row>
    <row r="2" spans="2:45" ht="30" customHeight="1">
      <c r="B2" s="94" t="str">
        <f>IF(B1="EN", "FINANCIAL STATEMENT", "BÁO CÁO TÀI CHÍNH")</f>
        <v>BÁO CÁO TÀI CHÍNH</v>
      </c>
      <c r="C2" s="95"/>
      <c r="D2" s="95"/>
      <c r="E2" s="96"/>
      <c r="F2" s="97"/>
      <c r="G2" s="98"/>
      <c r="H2" s="98"/>
      <c r="I2" s="98"/>
      <c r="J2" s="99"/>
      <c r="K2" s="100"/>
      <c r="L2" s="100"/>
      <c r="M2" s="100"/>
      <c r="N2" s="101">
        <v>2023</v>
      </c>
      <c r="O2" s="101">
        <v>2024</v>
      </c>
      <c r="P2" s="102" t="s">
        <v>110</v>
      </c>
      <c r="Q2" s="103" t="str">
        <f>[4]Assumption!L3</f>
        <v>2025E</v>
      </c>
      <c r="R2" s="104" t="str">
        <f>[4]Assumption!M3</f>
        <v>2026P</v>
      </c>
      <c r="S2" s="105"/>
      <c r="T2" s="104">
        <v>1</v>
      </c>
      <c r="U2" s="104">
        <v>2</v>
      </c>
      <c r="V2" s="104">
        <v>3</v>
      </c>
      <c r="W2" s="104">
        <v>4</v>
      </c>
      <c r="X2" s="104">
        <v>5</v>
      </c>
      <c r="Y2" s="104">
        <v>6</v>
      </c>
      <c r="Z2" s="104">
        <v>7</v>
      </c>
      <c r="AA2" s="104">
        <v>8</v>
      </c>
      <c r="AB2" s="104">
        <v>9</v>
      </c>
      <c r="AC2" s="104">
        <v>10</v>
      </c>
      <c r="AD2" s="104">
        <v>11</v>
      </c>
      <c r="AE2" s="104">
        <v>12</v>
      </c>
      <c r="AF2" s="105"/>
      <c r="AG2" s="106" t="str">
        <f>[4]Assumption!N3</f>
        <v>2027 MTP</v>
      </c>
      <c r="AH2" s="106" t="str">
        <f>[4]Assumption!O3</f>
        <v>2028 MTP</v>
      </c>
      <c r="AI2" s="106" t="str">
        <f>[4]Assumption!P3</f>
        <v>2029 MTP</v>
      </c>
      <c r="AJ2" s="106" t="str">
        <f>[4]Assumption!Q3</f>
        <v>2030 MTP</v>
      </c>
      <c r="AK2" s="106" t="str">
        <f>[4]Assumption!R3</f>
        <v>2031 MTP</v>
      </c>
      <c r="AL2" s="107"/>
    </row>
    <row r="3" spans="2:45" s="110" customFormat="1" ht="16.399999999999999" customHeight="1">
      <c r="B3" s="108"/>
      <c r="C3" s="108"/>
      <c r="D3" s="108"/>
      <c r="E3" s="108"/>
      <c r="F3" s="108"/>
      <c r="G3" s="108"/>
      <c r="H3" s="108"/>
      <c r="I3" s="108"/>
      <c r="J3" s="108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8"/>
    </row>
    <row r="4" spans="2:45">
      <c r="B4" s="111" t="str">
        <f>IF(B1="EN", "INCOME STATEMENT", "KẾT QUẢ KINH DOANH")</f>
        <v>KẾT QUẢ KINH DOANH</v>
      </c>
      <c r="C4" s="112"/>
      <c r="D4" s="112"/>
      <c r="E4" s="112"/>
      <c r="F4" s="113"/>
      <c r="G4" s="114"/>
      <c r="H4" s="114"/>
      <c r="I4" s="114"/>
      <c r="J4" s="115"/>
      <c r="K4" s="101"/>
      <c r="L4" s="101"/>
      <c r="M4" s="101"/>
      <c r="N4" s="101">
        <f t="shared" ref="N4:AK4" si="0">N2</f>
        <v>2023</v>
      </c>
      <c r="O4" s="101">
        <f t="shared" si="0"/>
        <v>2024</v>
      </c>
      <c r="P4" s="102" t="str">
        <f t="shared" si="0"/>
        <v>2025P</v>
      </c>
      <c r="Q4" s="103" t="str">
        <f t="shared" si="0"/>
        <v>2025E</v>
      </c>
      <c r="R4" s="104" t="str">
        <f>R2</f>
        <v>2026P</v>
      </c>
      <c r="S4" s="105"/>
      <c r="T4" s="104">
        <f>T2</f>
        <v>1</v>
      </c>
      <c r="U4" s="104">
        <f t="shared" ref="U4:AE4" si="1">U2</f>
        <v>2</v>
      </c>
      <c r="V4" s="104">
        <f t="shared" si="1"/>
        <v>3</v>
      </c>
      <c r="W4" s="104">
        <f t="shared" si="1"/>
        <v>4</v>
      </c>
      <c r="X4" s="104">
        <f t="shared" si="1"/>
        <v>5</v>
      </c>
      <c r="Y4" s="104">
        <f t="shared" si="1"/>
        <v>6</v>
      </c>
      <c r="Z4" s="104">
        <f t="shared" si="1"/>
        <v>7</v>
      </c>
      <c r="AA4" s="104">
        <f t="shared" si="1"/>
        <v>8</v>
      </c>
      <c r="AB4" s="104">
        <f t="shared" si="1"/>
        <v>9</v>
      </c>
      <c r="AC4" s="104">
        <f t="shared" si="1"/>
        <v>10</v>
      </c>
      <c r="AD4" s="104">
        <f t="shared" si="1"/>
        <v>11</v>
      </c>
      <c r="AE4" s="104">
        <f t="shared" si="1"/>
        <v>12</v>
      </c>
      <c r="AF4" s="105"/>
      <c r="AG4" s="106" t="str">
        <f t="shared" si="0"/>
        <v>2027 MTP</v>
      </c>
      <c r="AH4" s="106" t="str">
        <f t="shared" si="0"/>
        <v>2028 MTP</v>
      </c>
      <c r="AI4" s="106" t="str">
        <f t="shared" si="0"/>
        <v>2029 MTP</v>
      </c>
      <c r="AJ4" s="106" t="str">
        <f t="shared" si="0"/>
        <v>2030 MTP</v>
      </c>
      <c r="AK4" s="106" t="str">
        <f t="shared" si="0"/>
        <v>2031 MTP</v>
      </c>
      <c r="AL4" s="116"/>
    </row>
    <row r="5" spans="2:45" s="125" customFormat="1">
      <c r="B5" s="117" t="str">
        <f>IF(B1="EN","SALES VOLUME (Ton)","SẢN LƯỢNG BÁN")</f>
        <v>SẢN LƯỢNG BÁN</v>
      </c>
      <c r="C5" s="118"/>
      <c r="D5" s="118"/>
      <c r="E5" s="118"/>
      <c r="F5" s="119"/>
      <c r="G5" s="120"/>
      <c r="H5" s="120"/>
      <c r="I5" s="120"/>
      <c r="J5" s="120"/>
      <c r="K5" s="121"/>
      <c r="L5" s="121"/>
      <c r="M5" s="121"/>
      <c r="N5" s="122">
        <f>'[4]Net Sales'!F7</f>
        <v>3125610.5</v>
      </c>
      <c r="O5" s="122">
        <f>'[4]Net Sales'!G7</f>
        <v>4267466</v>
      </c>
      <c r="P5" s="122">
        <f>'[4]Net Sales'!H7</f>
        <v>4425375.5444444446</v>
      </c>
      <c r="Q5" s="122">
        <f>'[4]Net Sales'!I7</f>
        <v>5702390</v>
      </c>
      <c r="R5" s="122">
        <f>'[4]Net Sales'!J7</f>
        <v>11305142</v>
      </c>
      <c r="S5" s="122"/>
      <c r="T5" s="122">
        <f>'[4]Net Sales'!L7</f>
        <v>667500</v>
      </c>
      <c r="U5" s="122">
        <f>'[4]Net Sales'!M7</f>
        <v>400500</v>
      </c>
      <c r="V5" s="122">
        <f>'[4]Net Sales'!N7</f>
        <v>884000</v>
      </c>
      <c r="W5" s="122">
        <f>'[4]Net Sales'!O7</f>
        <v>984348</v>
      </c>
      <c r="X5" s="122">
        <f>'[4]Net Sales'!P7</f>
        <v>1025362.5</v>
      </c>
      <c r="Y5" s="122">
        <f>'[4]Net Sales'!Q7</f>
        <v>1025362.5</v>
      </c>
      <c r="Z5" s="122">
        <f>'[4]Net Sales'!R7</f>
        <v>1066377</v>
      </c>
      <c r="AA5" s="122">
        <f>'[4]Net Sales'!S7</f>
        <v>1067144</v>
      </c>
      <c r="AB5" s="122">
        <f>'[4]Net Sales'!T7</f>
        <v>1026100</v>
      </c>
      <c r="AC5" s="122">
        <f>'[4]Net Sales'!U7</f>
        <v>1066546</v>
      </c>
      <c r="AD5" s="122">
        <f>'[4]Net Sales'!V7</f>
        <v>1025525</v>
      </c>
      <c r="AE5" s="122">
        <f>'[4]Net Sales'!W7</f>
        <v>1066377</v>
      </c>
      <c r="AF5" s="121"/>
      <c r="AG5" s="121"/>
      <c r="AH5" s="121"/>
      <c r="AI5" s="121"/>
      <c r="AJ5" s="121"/>
      <c r="AK5" s="121"/>
      <c r="AL5" s="123"/>
      <c r="AM5" s="124"/>
      <c r="AN5" s="124"/>
    </row>
    <row r="6" spans="2:45" s="125" customFormat="1" outlineLevel="1">
      <c r="B6" s="126"/>
      <c r="C6" s="127" t="str">
        <f>IF(B1="EN", "Sales Volume Growth (%)", "Tăng giảm Sản lượng bán (%)")</f>
        <v>Tăng giảm Sản lượng bán (%)</v>
      </c>
      <c r="D6" s="128"/>
      <c r="E6" s="128"/>
      <c r="F6" s="129"/>
      <c r="G6" s="130"/>
      <c r="H6" s="130"/>
      <c r="I6" s="130"/>
      <c r="J6" s="130"/>
      <c r="K6" s="131"/>
      <c r="L6" s="131"/>
      <c r="M6" s="131"/>
      <c r="N6" s="131">
        <f>IFERROR(N5/M5-1,)</f>
        <v>0</v>
      </c>
      <c r="O6" s="131">
        <f>IFERROR(O5/N5-1,)</f>
        <v>0.36532239061776894</v>
      </c>
      <c r="P6" s="131">
        <f>IFERROR(P5/O5-1,)</f>
        <v>3.700311717643312E-2</v>
      </c>
      <c r="Q6" s="131">
        <f>IFERROR(Q5/O5-1,)</f>
        <v>0.33624731866639368</v>
      </c>
      <c r="R6" s="131">
        <f>IFERROR(R5/Q5-1,)</f>
        <v>0.98252697553131241</v>
      </c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23"/>
    </row>
    <row r="7" spans="2:45" s="141" customFormat="1" ht="17" thickBot="1">
      <c r="B7" s="132" t="str">
        <f>IF(B1="en","NET SALES","DOANH THU THUẦN")</f>
        <v>DOANH THU THUẦN</v>
      </c>
      <c r="C7" s="133"/>
      <c r="D7" s="133"/>
      <c r="E7" s="133"/>
      <c r="F7" s="134"/>
      <c r="G7" s="135"/>
      <c r="H7" s="135"/>
      <c r="I7" s="135"/>
      <c r="J7" s="135"/>
      <c r="K7" s="136"/>
      <c r="L7" s="136"/>
      <c r="M7" s="136"/>
      <c r="N7" s="137">
        <f>'[4]Net Sales'!F22</f>
        <v>44482013609</v>
      </c>
      <c r="O7" s="137">
        <f>'[4]Net Sales'!G22</f>
        <v>63950445550</v>
      </c>
      <c r="P7" s="137">
        <f>'[4]Net Sales'!H22</f>
        <v>77567743030.727997</v>
      </c>
      <c r="Q7" s="137">
        <f>'[4]Net Sales'!I22</f>
        <v>96184706621</v>
      </c>
      <c r="R7" s="137">
        <f>'[4]Net Sales'!J22</f>
        <v>177488853750</v>
      </c>
      <c r="S7" s="138"/>
      <c r="T7" s="137">
        <f>'[4]Net Sales'!L22</f>
        <v>9420187500</v>
      </c>
      <c r="U7" s="137">
        <f>'[4]Net Sales'!M22</f>
        <v>5652112500</v>
      </c>
      <c r="V7" s="137">
        <f>'[4]Net Sales'!N22</f>
        <v>12443100000</v>
      </c>
      <c r="W7" s="137">
        <f>'[4]Net Sales'!O22</f>
        <v>15779640000</v>
      </c>
      <c r="X7" s="137">
        <f>'[4]Net Sales'!P22</f>
        <v>16437125000</v>
      </c>
      <c r="Y7" s="137">
        <f>'[4]Net Sales'!Q22</f>
        <v>16437125000</v>
      </c>
      <c r="Z7" s="137">
        <f>'[4]Net Sales'!R22</f>
        <v>17094610000</v>
      </c>
      <c r="AA7" s="137">
        <f>'[4]Net Sales'!S22</f>
        <v>17118140000</v>
      </c>
      <c r="AB7" s="137">
        <f>'[4]Net Sales'!T22</f>
        <v>16459750000</v>
      </c>
      <c r="AC7" s="137">
        <f>'[4]Net Sales'!U22</f>
        <v>17105172500</v>
      </c>
      <c r="AD7" s="137">
        <f>'[4]Net Sales'!V22</f>
        <v>16447281250</v>
      </c>
      <c r="AE7" s="137">
        <f>'[4]Net Sales'!W22</f>
        <v>17094610000</v>
      </c>
      <c r="AF7" s="121"/>
      <c r="AG7" s="136"/>
      <c r="AH7" s="136"/>
      <c r="AI7" s="136"/>
      <c r="AJ7" s="136"/>
      <c r="AK7" s="136"/>
      <c r="AL7" s="139"/>
      <c r="AM7" s="140"/>
      <c r="AN7" s="140"/>
      <c r="AO7" s="140"/>
      <c r="AP7" s="140"/>
      <c r="AQ7" s="140"/>
      <c r="AR7" s="140"/>
      <c r="AS7" s="140"/>
    </row>
    <row r="8" spans="2:45" s="125" customFormat="1" ht="17" outlineLevel="1" thickTop="1">
      <c r="B8" s="142"/>
      <c r="C8" s="125" t="str">
        <f>IF(B1="EN", "Net Sales Growth (%)", "Tăng giảm Doanh thu (%)")</f>
        <v>Tăng giảm Doanh thu (%)</v>
      </c>
      <c r="D8" s="143"/>
      <c r="E8" s="143"/>
      <c r="F8" s="129"/>
      <c r="G8" s="130"/>
      <c r="H8" s="130"/>
      <c r="I8" s="130"/>
      <c r="J8" s="130"/>
      <c r="K8" s="131"/>
      <c r="L8" s="131"/>
      <c r="M8" s="131"/>
      <c r="N8" s="131">
        <f>IFERROR(N7/M7-1,)</f>
        <v>0</v>
      </c>
      <c r="O8" s="131">
        <f>IFERROR(O7/N7-1,)</f>
        <v>0.43766975371503802</v>
      </c>
      <c r="P8" s="131">
        <f>IFERROR(P7/O7-1,)</f>
        <v>0.21293514632484056</v>
      </c>
      <c r="Q8" s="131">
        <f>IFERROR(Q7/O7-1,)</f>
        <v>0.504050609714634</v>
      </c>
      <c r="R8" s="131">
        <f>IFERROR(R7/Q7-1,)</f>
        <v>0.84529183469224067</v>
      </c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44"/>
      <c r="AM8" s="145"/>
      <c r="AN8" s="145"/>
      <c r="AO8" s="145"/>
      <c r="AP8" s="145"/>
      <c r="AQ8" s="145"/>
      <c r="AR8" s="145"/>
      <c r="AS8" s="145"/>
    </row>
    <row r="9" spans="2:45" s="154" customFormat="1" outlineLevel="1">
      <c r="B9" s="146"/>
      <c r="C9" s="147" t="str">
        <f>IF(B1="EN", "Selling price per Ton (m VND/Ton)", "Giá bán / Tấn (Triệu đồng/Tấn)")</f>
        <v>Giá bán / Tấn (Triệu đồng/Tấn)</v>
      </c>
      <c r="D9" s="148"/>
      <c r="E9" s="148"/>
      <c r="F9" s="149"/>
      <c r="G9" s="150"/>
      <c r="H9" s="150"/>
      <c r="I9" s="150"/>
      <c r="J9" s="150"/>
      <c r="K9" s="151"/>
      <c r="L9" s="151"/>
      <c r="M9" s="151"/>
      <c r="N9" s="152">
        <f>IFERROR(N7/N5,)</f>
        <v>14231.464096054195</v>
      </c>
      <c r="O9" s="152">
        <f t="shared" ref="O9:R9" si="2">IFERROR(O7/O5,)</f>
        <v>14985.578221361342</v>
      </c>
      <c r="P9" s="152">
        <f t="shared" si="2"/>
        <v>17527.945877521168</v>
      </c>
      <c r="Q9" s="152">
        <f t="shared" si="2"/>
        <v>16867.437446579417</v>
      </c>
      <c r="R9" s="152">
        <f t="shared" si="2"/>
        <v>15699.834088771286</v>
      </c>
      <c r="S9" s="151"/>
      <c r="T9" s="151">
        <f>T7/T5</f>
        <v>14112.640449438202</v>
      </c>
      <c r="U9" s="151">
        <f t="shared" ref="U9:AE9" si="3">U7/U5</f>
        <v>14112.640449438202</v>
      </c>
      <c r="V9" s="151">
        <f t="shared" si="3"/>
        <v>14075.904977375565</v>
      </c>
      <c r="W9" s="151">
        <f t="shared" si="3"/>
        <v>16030.550171280889</v>
      </c>
      <c r="X9" s="151">
        <f t="shared" si="3"/>
        <v>16030.550171280889</v>
      </c>
      <c r="Y9" s="151">
        <f t="shared" si="3"/>
        <v>16030.550171280889</v>
      </c>
      <c r="Z9" s="151">
        <f t="shared" si="3"/>
        <v>16030.550171280889</v>
      </c>
      <c r="AA9" s="151">
        <f t="shared" si="3"/>
        <v>16041.077867654225</v>
      </c>
      <c r="AB9" s="151">
        <f t="shared" si="3"/>
        <v>16041.077867654225</v>
      </c>
      <c r="AC9" s="151">
        <f t="shared" si="3"/>
        <v>16037.913507715561</v>
      </c>
      <c r="AD9" s="151">
        <f t="shared" si="3"/>
        <v>16037.913507715561</v>
      </c>
      <c r="AE9" s="151">
        <f t="shared" si="3"/>
        <v>16030.550171280889</v>
      </c>
      <c r="AF9" s="151"/>
      <c r="AG9" s="151"/>
      <c r="AH9" s="151"/>
      <c r="AI9" s="151"/>
      <c r="AJ9" s="151"/>
      <c r="AK9" s="151"/>
      <c r="AL9" s="153"/>
    </row>
    <row r="10" spans="2:45">
      <c r="B10" s="155" t="str">
        <f>IF(B1="en","Direct Selling &amp; Delivery expenses","Chi phí vận chuyển")</f>
        <v>Chi phí vận chuyển</v>
      </c>
      <c r="C10" s="156"/>
      <c r="D10" s="156"/>
      <c r="E10" s="156"/>
      <c r="F10" s="157"/>
      <c r="G10" s="158"/>
      <c r="H10" s="158"/>
      <c r="I10" s="158"/>
      <c r="J10" s="158"/>
      <c r="K10" s="159"/>
      <c r="L10" s="159"/>
      <c r="M10" s="159"/>
      <c r="N10" s="160">
        <f>'[4]Direct Selling'!G14</f>
        <v>1365150000</v>
      </c>
      <c r="O10" s="160">
        <f>'[4]Direct Selling'!H14</f>
        <v>1040686400</v>
      </c>
      <c r="P10" s="160">
        <f>'[4]Direct Selling'!I14</f>
        <v>1625463886.1111112</v>
      </c>
      <c r="Q10" s="160">
        <f>'[4]Direct Selling'!J14</f>
        <v>2125300000</v>
      </c>
      <c r="R10" s="160">
        <f>'[4]Direct Selling'!K14</f>
        <v>3799518440</v>
      </c>
      <c r="S10" s="160"/>
      <c r="T10" s="160">
        <f>'[4]Direct Selling'!M14</f>
        <v>267000000</v>
      </c>
      <c r="U10" s="160">
        <f>'[4]Direct Selling'!N14</f>
        <v>160200000</v>
      </c>
      <c r="V10" s="160">
        <f>'[4]Direct Selling'!O14</f>
        <v>353600000</v>
      </c>
      <c r="W10" s="160">
        <f>'[4]Direct Selling'!P14</f>
        <v>317703360</v>
      </c>
      <c r="X10" s="160">
        <f>'[4]Direct Selling'!Q14</f>
        <v>330941000</v>
      </c>
      <c r="Y10" s="160">
        <f>'[4]Direct Selling'!R14</f>
        <v>330941000</v>
      </c>
      <c r="Z10" s="160">
        <f>'[4]Direct Selling'!S14</f>
        <v>344178640</v>
      </c>
      <c r="AA10" s="160">
        <f>'[4]Direct Selling'!T14</f>
        <v>344398080</v>
      </c>
      <c r="AB10" s="160">
        <f>'[4]Direct Selling'!U14</f>
        <v>331152000</v>
      </c>
      <c r="AC10" s="160">
        <f>'[4]Direct Selling'!V14</f>
        <v>344232720</v>
      </c>
      <c r="AD10" s="160">
        <f>'[4]Direct Selling'!W14</f>
        <v>330993000</v>
      </c>
      <c r="AE10" s="160">
        <f>'[4]Direct Selling'!X14</f>
        <v>344178640</v>
      </c>
      <c r="AF10" s="159"/>
      <c r="AG10" s="161"/>
      <c r="AH10" s="161"/>
      <c r="AI10" s="161"/>
      <c r="AJ10" s="161"/>
      <c r="AK10" s="161"/>
      <c r="AL10" s="162"/>
    </row>
    <row r="11" spans="2:45" s="170" customFormat="1" outlineLevel="1">
      <c r="B11" s="163"/>
      <c r="C11" s="164" t="str">
        <f>IF(B1="EN", "Direct Selling on Net Sales (%)", "Chi phí vận chuyển / Doanh thu (%)")</f>
        <v>Chi phí vận chuyển / Doanh thu (%)</v>
      </c>
      <c r="D11" s="165"/>
      <c r="E11" s="165"/>
      <c r="F11" s="166"/>
      <c r="G11" s="167"/>
      <c r="H11" s="167"/>
      <c r="I11" s="167"/>
      <c r="J11" s="167"/>
      <c r="K11" s="168"/>
      <c r="L11" s="168"/>
      <c r="M11" s="168"/>
      <c r="N11" s="168">
        <f t="shared" ref="N11:Q11" si="4">IFERROR(N10/N7,)</f>
        <v>3.0689932609610789E-2</v>
      </c>
      <c r="O11" s="168">
        <f t="shared" si="4"/>
        <v>1.6273325245034199E-2</v>
      </c>
      <c r="P11" s="168">
        <f t="shared" si="4"/>
        <v>2.0955410362619335E-2</v>
      </c>
      <c r="Q11" s="168">
        <f t="shared" si="4"/>
        <v>2.2096028304940354E-2</v>
      </c>
      <c r="R11" s="168">
        <f>IFERROR(R10/R7,)</f>
        <v>2.1407081964435751E-2</v>
      </c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9"/>
    </row>
    <row r="12" spans="2:45" s="125" customFormat="1">
      <c r="B12" s="171" t="str">
        <f>IF(B1="EN","Variable Cost of Goods Sold","Biến phí hàng bán")</f>
        <v>Biến phí hàng bán</v>
      </c>
      <c r="C12" s="172"/>
      <c r="D12" s="173"/>
      <c r="E12" s="173"/>
      <c r="F12" s="174"/>
      <c r="G12" s="175"/>
      <c r="H12" s="175"/>
      <c r="I12" s="175"/>
      <c r="J12" s="175"/>
      <c r="K12" s="175"/>
      <c r="L12" s="175"/>
      <c r="M12" s="175"/>
      <c r="N12" s="176">
        <f>SUM(N13:N18)</f>
        <v>42103863386</v>
      </c>
      <c r="O12" s="176">
        <f t="shared" ref="O12:P12" si="5">SUM(O13:O18)</f>
        <v>59322702660</v>
      </c>
      <c r="P12" s="176">
        <f t="shared" si="5"/>
        <v>68854151693</v>
      </c>
      <c r="Q12" s="176">
        <f>SUM(Q13:Q18)</f>
        <v>83097930750</v>
      </c>
      <c r="R12" s="176">
        <f>SUM(R13:R18)</f>
        <v>156182359735.8913</v>
      </c>
      <c r="S12" s="177"/>
      <c r="T12" s="176">
        <f>SUM(T13:T18)</f>
        <v>7993253901.3822641</v>
      </c>
      <c r="U12" s="176">
        <f t="shared" ref="U12:AE12" si="6">SUM(U13:U18)</f>
        <v>4813730722.7993584</v>
      </c>
      <c r="V12" s="176">
        <f t="shared" si="6"/>
        <v>10922861013.510794</v>
      </c>
      <c r="W12" s="176">
        <f t="shared" si="6"/>
        <v>13894084323.364893</v>
      </c>
      <c r="X12" s="176">
        <f t="shared" si="6"/>
        <v>14539330479.846682</v>
      </c>
      <c r="Y12" s="176">
        <f t="shared" si="6"/>
        <v>14553984465.846682</v>
      </c>
      <c r="Z12" s="176">
        <f t="shared" si="6"/>
        <v>15102752947.147217</v>
      </c>
      <c r="AA12" s="176">
        <f t="shared" si="6"/>
        <v>15061238228.107111</v>
      </c>
      <c r="AB12" s="176">
        <f t="shared" si="6"/>
        <v>14556741470.038887</v>
      </c>
      <c r="AC12" s="176">
        <f t="shared" si="6"/>
        <v>15089791320.017101</v>
      </c>
      <c r="AD12" s="176">
        <f t="shared" si="6"/>
        <v>14552710166.683109</v>
      </c>
      <c r="AE12" s="176">
        <f t="shared" si="6"/>
        <v>15101880697.147217</v>
      </c>
      <c r="AF12" s="178"/>
      <c r="AG12" s="175"/>
      <c r="AH12" s="175"/>
      <c r="AI12" s="175"/>
      <c r="AJ12" s="175"/>
      <c r="AK12" s="175"/>
      <c r="AL12" s="144"/>
      <c r="AM12" s="124"/>
      <c r="AN12" s="124"/>
      <c r="AO12" s="124"/>
    </row>
    <row r="13" spans="2:45" s="125" customFormat="1" outlineLevel="1">
      <c r="B13" s="179"/>
      <c r="C13" s="180" t="str">
        <f>IF(B1="EN", "Resin cost", "Chi phí nguyên vật liệu chính")</f>
        <v>Chi phí nguyên vật liệu chính</v>
      </c>
      <c r="D13" s="181"/>
      <c r="E13" s="181"/>
      <c r="F13" s="180"/>
      <c r="G13" s="182"/>
      <c r="H13" s="183"/>
      <c r="I13" s="183"/>
      <c r="J13" s="183"/>
      <c r="K13" s="184"/>
      <c r="L13" s="184"/>
      <c r="M13" s="184"/>
      <c r="N13" s="185">
        <v>38732631964</v>
      </c>
      <c r="O13" s="185">
        <v>56030510590</v>
      </c>
      <c r="P13" s="185">
        <v>63376100000</v>
      </c>
      <c r="Q13" s="185">
        <v>78338746231</v>
      </c>
      <c r="R13" s="185">
        <f>SUM(T13:AE13)</f>
        <v>135550000000</v>
      </c>
      <c r="S13" s="185"/>
      <c r="T13" s="185">
        <f>[4]VCOGs!D$3+[4]VCOGs!D$4</f>
        <v>7275000000</v>
      </c>
      <c r="U13" s="185">
        <f>[4]VCOGs!E$3+[4]VCOGs!E$4</f>
        <v>4275000000</v>
      </c>
      <c r="V13" s="185">
        <f>[4]VCOGs!F$3+[4]VCOGs!F$4</f>
        <v>10000000000</v>
      </c>
      <c r="W13" s="185">
        <f>[4]VCOGs!G$3+[4]VCOGs!G$4</f>
        <v>12000000000</v>
      </c>
      <c r="X13" s="185">
        <f>[4]VCOGs!H$3+[4]VCOGs!H$4</f>
        <v>12500000000</v>
      </c>
      <c r="Y13" s="185">
        <f>[4]VCOGs!I$3+[4]VCOGs!I$4</f>
        <v>12500000000</v>
      </c>
      <c r="Z13" s="185">
        <f>[4]VCOGs!J$3+[4]VCOGs!J$4</f>
        <v>13000000000</v>
      </c>
      <c r="AA13" s="185">
        <f>[4]VCOGs!K$3+[4]VCOGs!K$4</f>
        <v>13000000000</v>
      </c>
      <c r="AB13" s="185">
        <f>[4]VCOGs!L$3+[4]VCOGs!L$4</f>
        <v>12500000000</v>
      </c>
      <c r="AC13" s="185">
        <f>[4]VCOGs!M$3+[4]VCOGs!M$4</f>
        <v>13000000000</v>
      </c>
      <c r="AD13" s="185">
        <f>[4]VCOGs!N$3+[4]VCOGs!N$4</f>
        <v>12500000000</v>
      </c>
      <c r="AE13" s="185">
        <f>[4]VCOGs!O$3+[4]VCOGs!O$4</f>
        <v>13000000000</v>
      </c>
      <c r="AF13" s="184"/>
      <c r="AG13" s="184"/>
      <c r="AH13" s="184"/>
      <c r="AI13" s="184"/>
      <c r="AJ13" s="184"/>
      <c r="AK13" s="184"/>
      <c r="AL13" s="186"/>
      <c r="AM13" s="124"/>
      <c r="AN13" s="124"/>
    </row>
    <row r="14" spans="2:45" s="125" customFormat="1" outlineLevel="1">
      <c r="B14" s="179"/>
      <c r="C14" s="180" t="str">
        <f>IF(B1="EN", "Sub-material cost", "Chi phí vật liệu phục vụ sản xuất")</f>
        <v>Chi phí vật liệu phục vụ sản xuất</v>
      </c>
      <c r="D14" s="181"/>
      <c r="E14" s="181"/>
      <c r="F14" s="180"/>
      <c r="G14" s="182"/>
      <c r="H14" s="182"/>
      <c r="I14" s="182"/>
      <c r="J14" s="182"/>
      <c r="K14" s="184"/>
      <c r="L14" s="184"/>
      <c r="M14" s="184"/>
      <c r="N14" s="185">
        <v>376546673</v>
      </c>
      <c r="O14" s="185">
        <v>235517131</v>
      </c>
      <c r="P14" s="185">
        <f>353014772+370000000</f>
        <v>723014772</v>
      </c>
      <c r="Q14" s="185">
        <f>995011960-Q17</f>
        <v>576240313</v>
      </c>
      <c r="R14" s="185">
        <f t="shared" ref="R14:R16" si="7">SUM(T14:AE14)</f>
        <v>7640476696.0280876</v>
      </c>
      <c r="S14" s="185"/>
      <c r="T14" s="185">
        <f>[4]VCOGs!D$6</f>
        <v>107837893.50281118</v>
      </c>
      <c r="U14" s="185">
        <f>[4]VCOGs!E$6</f>
        <v>92983829.851686716</v>
      </c>
      <c r="V14" s="185">
        <f>[4]VCOGs!F$6</f>
        <v>181814605.87113869</v>
      </c>
      <c r="W14" s="185">
        <f>[4]VCOGs!G$6</f>
        <v>675183055.99877214</v>
      </c>
      <c r="X14" s="185">
        <f>[4]VCOGs!H$6</f>
        <v>806706110.60419607</v>
      </c>
      <c r="Y14" s="185">
        <f>[4]VCOGs!I$6</f>
        <v>806706110.60419607</v>
      </c>
      <c r="Z14" s="185">
        <f>[4]VCOGs!J$6</f>
        <v>838974355.02836394</v>
      </c>
      <c r="AA14" s="185">
        <f>[4]VCOGs!K$6</f>
        <v>839299680.5699532</v>
      </c>
      <c r="AB14" s="185">
        <f>[4]VCOGs!L$6</f>
        <v>807018923.62495494</v>
      </c>
      <c r="AC14" s="185">
        <f>[4]VCOGs!M$6</f>
        <v>838616120.76343012</v>
      </c>
      <c r="AD14" s="185">
        <f>[4]VCOGs!N$6</f>
        <v>806361654.5802213</v>
      </c>
      <c r="AE14" s="185">
        <f>[4]VCOGs!O$6</f>
        <v>838974355.02836394</v>
      </c>
      <c r="AF14" s="184"/>
      <c r="AG14" s="184"/>
      <c r="AH14" s="184"/>
      <c r="AI14" s="184"/>
      <c r="AJ14" s="184"/>
      <c r="AK14" s="184"/>
      <c r="AL14" s="186"/>
      <c r="AM14" s="124"/>
      <c r="AN14" s="124"/>
    </row>
    <row r="15" spans="2:45" s="125" customFormat="1" outlineLevel="1">
      <c r="B15" s="179"/>
      <c r="C15" s="180" t="str">
        <f>IF(B1="EN", "Salary and Wages - Direct", "Chi phí lương nhân công trực tiếp")</f>
        <v>Chi phí lương nhân công trực tiếp</v>
      </c>
      <c r="D15" s="181"/>
      <c r="E15" s="181"/>
      <c r="F15" s="180"/>
      <c r="G15" s="182"/>
      <c r="H15" s="182"/>
      <c r="I15" s="182"/>
      <c r="J15" s="182"/>
      <c r="K15" s="184"/>
      <c r="L15" s="184"/>
      <c r="M15" s="184"/>
      <c r="N15" s="185">
        <v>2572736305</v>
      </c>
      <c r="O15" s="185">
        <v>2554916743</v>
      </c>
      <c r="P15" s="185">
        <v>3153865377.9999995</v>
      </c>
      <c r="Q15" s="185">
        <v>3339997429</v>
      </c>
      <c r="R15" s="185">
        <f t="shared" si="7"/>
        <v>7854687584.6333323</v>
      </c>
      <c r="S15" s="185"/>
      <c r="T15" s="185">
        <f>[4]VCOGs!D$5</f>
        <v>474779423.80000001</v>
      </c>
      <c r="U15" s="185">
        <f>[4]VCOGs!E$5</f>
        <v>363164942.5</v>
      </c>
      <c r="V15" s="185">
        <f>[4]VCOGs!F$5</f>
        <v>540987417.33333337</v>
      </c>
      <c r="W15" s="185">
        <f>[4]VCOGs!G$5</f>
        <v>721851158.33333337</v>
      </c>
      <c r="X15" s="185">
        <f>[4]VCOGs!H$5</f>
        <v>715197172.33333337</v>
      </c>
      <c r="Y15" s="185">
        <f>[4]VCOGs!I$5</f>
        <v>729851158.33333337</v>
      </c>
      <c r="Z15" s="185">
        <f>[4]VCOGs!J$5</f>
        <v>725974307.33333337</v>
      </c>
      <c r="AA15" s="185">
        <f>[4]VCOGs!K$5</f>
        <v>683699016.33333337</v>
      </c>
      <c r="AB15" s="185">
        <f>[4]VCOGs!L$5</f>
        <v>731876843.33333337</v>
      </c>
      <c r="AC15" s="185">
        <f>[4]VCOGs!M$5</f>
        <v>713325979.33333337</v>
      </c>
      <c r="AD15" s="185">
        <f>[4]VCOGs!N$5</f>
        <v>728878108.33333337</v>
      </c>
      <c r="AE15" s="185">
        <f>[4]VCOGs!O$5</f>
        <v>725102057.33333337</v>
      </c>
      <c r="AF15" s="184"/>
      <c r="AG15" s="184"/>
      <c r="AH15" s="184"/>
      <c r="AI15" s="184"/>
      <c r="AJ15" s="184"/>
      <c r="AK15" s="184"/>
      <c r="AL15" s="186"/>
      <c r="AM15" s="124"/>
      <c r="AN15" s="124"/>
    </row>
    <row r="16" spans="2:45" s="125" customFormat="1" outlineLevel="1">
      <c r="B16" s="179"/>
      <c r="C16" s="180" t="str">
        <f>IF(B1="EN", "Electricity cost", "Chi phí điện")</f>
        <v>Chi phí điện</v>
      </c>
      <c r="D16" s="180"/>
      <c r="E16" s="181"/>
      <c r="F16" s="180"/>
      <c r="G16" s="182"/>
      <c r="H16" s="182"/>
      <c r="I16" s="182"/>
      <c r="J16" s="182"/>
      <c r="K16" s="184"/>
      <c r="L16" s="184"/>
      <c r="M16" s="184"/>
      <c r="N16" s="185">
        <v>160219300</v>
      </c>
      <c r="O16" s="185">
        <v>225768346</v>
      </c>
      <c r="P16" s="185">
        <v>1285466300.0000002</v>
      </c>
      <c r="Q16" s="185">
        <v>424175130</v>
      </c>
      <c r="R16" s="185">
        <f t="shared" si="7"/>
        <v>4600795441.8079834</v>
      </c>
      <c r="S16" s="185"/>
      <c r="T16" s="185">
        <f>[4]VCOGs!D$7</f>
        <v>114415568.18181816</v>
      </c>
      <c r="U16" s="185">
        <f>[4]VCOGs!E$7</f>
        <v>68649340.909090891</v>
      </c>
      <c r="V16" s="185">
        <f>[4]VCOGs!F$7</f>
        <v>172928086.85537028</v>
      </c>
      <c r="W16" s="185">
        <f>[4]VCOGs!G$7</f>
        <v>446729492.22179139</v>
      </c>
      <c r="X16" s="185">
        <f>[4]VCOGs!H$7</f>
        <v>465343221.06436598</v>
      </c>
      <c r="Y16" s="185">
        <f>[4]VCOGs!I$7</f>
        <v>465343221.06436598</v>
      </c>
      <c r="Z16" s="185">
        <f>[4]VCOGs!J$7</f>
        <v>483956949.90694064</v>
      </c>
      <c r="AA16" s="185">
        <f>[4]VCOGs!K$7</f>
        <v>484359080.40756238</v>
      </c>
      <c r="AB16" s="185">
        <f>[4]VCOGs!L$7</f>
        <v>465729885.00727153</v>
      </c>
      <c r="AC16" s="185">
        <f>[4]VCOGs!M$7</f>
        <v>483999505.94792342</v>
      </c>
      <c r="AD16" s="185">
        <f>[4]VCOGs!N$7</f>
        <v>465384140.33454174</v>
      </c>
      <c r="AE16" s="185">
        <f>[4]VCOGs!O$7</f>
        <v>483956949.90694064</v>
      </c>
      <c r="AF16" s="184"/>
      <c r="AG16" s="184"/>
      <c r="AH16" s="184"/>
      <c r="AI16" s="184"/>
      <c r="AJ16" s="184"/>
      <c r="AK16" s="184"/>
      <c r="AL16" s="186"/>
      <c r="AM16" s="124"/>
      <c r="AN16" s="124"/>
    </row>
    <row r="17" spans="2:41" s="125" customFormat="1" outlineLevel="1">
      <c r="B17" s="179"/>
      <c r="C17" s="181" t="str">
        <f>IF(B1="EN", "Other", "Khác")</f>
        <v>Khác</v>
      </c>
      <c r="D17" s="181"/>
      <c r="E17" s="181"/>
      <c r="F17" s="180"/>
      <c r="G17" s="182"/>
      <c r="H17" s="182"/>
      <c r="I17" s="182"/>
      <c r="J17" s="182"/>
      <c r="K17" s="184"/>
      <c r="L17" s="184"/>
      <c r="M17" s="184"/>
      <c r="N17" s="185">
        <v>261729144</v>
      </c>
      <c r="O17" s="185">
        <v>275989850</v>
      </c>
      <c r="P17" s="185">
        <f>685705243-370000000</f>
        <v>315705243</v>
      </c>
      <c r="Q17" s="185">
        <v>418771647</v>
      </c>
      <c r="R17" s="185">
        <f>SUM(T17:AE17)</f>
        <v>536400013.42190194</v>
      </c>
      <c r="S17" s="185"/>
      <c r="T17" s="185">
        <f>[4]VCOGs!D$8+[4]VCOGs!D$9</f>
        <v>21221015.897634741</v>
      </c>
      <c r="U17" s="185">
        <f>[4]VCOGs!E$8+[4]VCOGs!E$9</f>
        <v>13932609.538580844</v>
      </c>
      <c r="V17" s="185">
        <f>[4]VCOGs!F$8+[4]VCOGs!F$9</f>
        <v>27130903.450949982</v>
      </c>
      <c r="W17" s="185">
        <f>[4]VCOGs!G$8+[4]VCOGs!G$9</f>
        <v>50320616.810994789</v>
      </c>
      <c r="X17" s="185">
        <f>[4]VCOGs!H$8+[4]VCOGs!H$9</f>
        <v>52083975.844786234</v>
      </c>
      <c r="Y17" s="185">
        <f>[4]VCOGs!I$8+[4]VCOGs!I$9</f>
        <v>52083975.844786234</v>
      </c>
      <c r="Z17" s="185">
        <f>[4]VCOGs!J$8+[4]VCOGs!J$9</f>
        <v>53847334.878577687</v>
      </c>
      <c r="AA17" s="185">
        <f>[4]VCOGs!K$8+[4]VCOGs!K$9</f>
        <v>53880450.796260469</v>
      </c>
      <c r="AB17" s="185">
        <f>[4]VCOGs!L$8+[4]VCOGs!L$9</f>
        <v>52115818.07332737</v>
      </c>
      <c r="AC17" s="185">
        <f>[4]VCOGs!M$8+[4]VCOGs!M$9</f>
        <v>53849713.972413197</v>
      </c>
      <c r="AD17" s="185">
        <f>[4]VCOGs!N$8+[4]VCOGs!N$9</f>
        <v>52086263.435012691</v>
      </c>
      <c r="AE17" s="185">
        <f>[4]VCOGs!O$8+[4]VCOGs!O$9</f>
        <v>53847334.878577687</v>
      </c>
      <c r="AF17" s="184"/>
      <c r="AG17" s="184"/>
      <c r="AH17" s="184"/>
      <c r="AI17" s="184"/>
      <c r="AJ17" s="184"/>
      <c r="AK17" s="184"/>
      <c r="AL17" s="186"/>
      <c r="AM17" s="124"/>
      <c r="AN17" s="124"/>
    </row>
    <row r="18" spans="2:41" s="192" customFormat="1" outlineLevel="1">
      <c r="B18" s="187"/>
      <c r="C18" s="143" t="str">
        <f>IF(B1="EN", "Adjusting VCOGs by FOH for consolidating", "Điều chỉnh lãi chưa thực hiện HTK khi Hợp nhất")</f>
        <v>Điều chỉnh lãi chưa thực hiện HTK khi Hợp nhất</v>
      </c>
      <c r="D18" s="143"/>
      <c r="E18" s="143"/>
      <c r="F18" s="188"/>
      <c r="G18" s="189"/>
      <c r="H18" s="189"/>
      <c r="I18" s="189"/>
      <c r="J18" s="189"/>
      <c r="K18" s="190"/>
      <c r="L18" s="190"/>
      <c r="M18" s="190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0"/>
      <c r="AG18" s="190"/>
      <c r="AH18" s="190"/>
      <c r="AI18" s="190"/>
      <c r="AJ18" s="190"/>
      <c r="AK18" s="190"/>
      <c r="AL18" s="144"/>
      <c r="AM18" s="124"/>
      <c r="AN18" s="124"/>
    </row>
    <row r="19" spans="2:41" s="170" customFormat="1" outlineLevel="1">
      <c r="B19" s="163"/>
      <c r="C19" s="164" t="str">
        <f>IF(B1="EN", "Variable COGs on Net Sales (%)", "Biến phí hàng bán / Doanh thu (%)")</f>
        <v>Biến phí hàng bán / Doanh thu (%)</v>
      </c>
      <c r="E19" s="165"/>
      <c r="F19" s="166"/>
      <c r="G19" s="167"/>
      <c r="H19" s="167"/>
      <c r="I19" s="167"/>
      <c r="J19" s="167"/>
      <c r="K19" s="168"/>
      <c r="L19" s="168"/>
      <c r="M19" s="168"/>
      <c r="N19" s="168">
        <f>IFERROR(N12/N7,)</f>
        <v>0.94653681274629098</v>
      </c>
      <c r="O19" s="168">
        <f t="shared" ref="O19:Q19" si="8">IFERROR(O12/O7,)</f>
        <v>0.92763548634885151</v>
      </c>
      <c r="P19" s="168">
        <f t="shared" si="8"/>
        <v>0.88766475602782258</v>
      </c>
      <c r="Q19" s="168">
        <f t="shared" si="8"/>
        <v>0.86394119885850162</v>
      </c>
      <c r="R19" s="168">
        <f>IFERROR(R12/R7,)</f>
        <v>0.87995587574124667</v>
      </c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9"/>
    </row>
    <row r="20" spans="2:41" s="170" customFormat="1" ht="17" thickBot="1">
      <c r="B20" s="132" t="str">
        <f>IF(B1="EN","NET CONTRIBUTION","LÃI BIẾN PHÍ")</f>
        <v>LÃI BIẾN PHÍ</v>
      </c>
      <c r="C20" s="133"/>
      <c r="D20" s="133"/>
      <c r="E20" s="133"/>
      <c r="F20" s="134"/>
      <c r="G20" s="135"/>
      <c r="H20" s="135"/>
      <c r="I20" s="135"/>
      <c r="J20" s="135"/>
      <c r="K20" s="136"/>
      <c r="L20" s="136"/>
      <c r="M20" s="136"/>
      <c r="N20" s="137">
        <f t="shared" ref="N20:AK20" si="9">N7-N10-N12</f>
        <v>1013000223</v>
      </c>
      <c r="O20" s="137">
        <f t="shared" si="9"/>
        <v>3587056490</v>
      </c>
      <c r="P20" s="137">
        <f t="shared" si="9"/>
        <v>7088127451.6168823</v>
      </c>
      <c r="Q20" s="137">
        <f>Q7-Q10-Q12</f>
        <v>10961475871</v>
      </c>
      <c r="R20" s="137">
        <f>R7-R10-R12</f>
        <v>17506975574.108704</v>
      </c>
      <c r="S20" s="138"/>
      <c r="T20" s="137">
        <f t="shared" ref="T20:AE20" si="10">T7-T10-T12</f>
        <v>1159933598.6177359</v>
      </c>
      <c r="U20" s="137">
        <f t="shared" si="10"/>
        <v>678181777.20064163</v>
      </c>
      <c r="V20" s="137">
        <f t="shared" si="10"/>
        <v>1166638986.4892063</v>
      </c>
      <c r="W20" s="137">
        <f t="shared" si="10"/>
        <v>1567852316.635107</v>
      </c>
      <c r="X20" s="137">
        <f t="shared" si="10"/>
        <v>1566853520.1533184</v>
      </c>
      <c r="Y20" s="137">
        <f t="shared" si="10"/>
        <v>1552199534.1533184</v>
      </c>
      <c r="Z20" s="137">
        <f t="shared" si="10"/>
        <v>1647678412.8527832</v>
      </c>
      <c r="AA20" s="137">
        <f t="shared" si="10"/>
        <v>1712503691.892889</v>
      </c>
      <c r="AB20" s="137">
        <f t="shared" si="10"/>
        <v>1571856529.961113</v>
      </c>
      <c r="AC20" s="137">
        <f t="shared" si="10"/>
        <v>1671148459.9828987</v>
      </c>
      <c r="AD20" s="137">
        <f t="shared" si="10"/>
        <v>1563578083.3168907</v>
      </c>
      <c r="AE20" s="137">
        <f t="shared" si="10"/>
        <v>1648550662.8527832</v>
      </c>
      <c r="AF20" s="121"/>
      <c r="AG20" s="136">
        <f t="shared" si="9"/>
        <v>0</v>
      </c>
      <c r="AH20" s="136">
        <f t="shared" si="9"/>
        <v>0</v>
      </c>
      <c r="AI20" s="136">
        <f t="shared" si="9"/>
        <v>0</v>
      </c>
      <c r="AJ20" s="136">
        <f t="shared" si="9"/>
        <v>0</v>
      </c>
      <c r="AK20" s="136">
        <f t="shared" si="9"/>
        <v>0</v>
      </c>
      <c r="AL20" s="193"/>
      <c r="AM20" s="194"/>
      <c r="AN20" s="194"/>
    </row>
    <row r="21" spans="2:41" s="170" customFormat="1" ht="17" thickTop="1">
      <c r="B21" s="163"/>
      <c r="C21" s="164" t="str">
        <f>IF(B1="EN", "NET CONTRIBUTION Margin (%)", "Tỷ lệ Lãi biến phí (%)")</f>
        <v>Tỷ lệ Lãi biến phí (%)</v>
      </c>
      <c r="E21" s="165"/>
      <c r="F21" s="166"/>
      <c r="G21" s="167"/>
      <c r="H21" s="167"/>
      <c r="I21" s="167"/>
      <c r="J21" s="167"/>
      <c r="K21" s="168"/>
      <c r="L21" s="168"/>
      <c r="M21" s="168"/>
      <c r="N21" s="168">
        <f t="shared" ref="N21:Q21" si="11">IFERROR(N20/N7,)</f>
        <v>2.2773254644098233E-2</v>
      </c>
      <c r="O21" s="168">
        <f t="shared" si="11"/>
        <v>5.609118840611424E-2</v>
      </c>
      <c r="P21" s="168">
        <f t="shared" si="11"/>
        <v>9.1379833609558078E-2</v>
      </c>
      <c r="Q21" s="168">
        <f t="shared" si="11"/>
        <v>0.11396277283655801</v>
      </c>
      <c r="R21" s="168">
        <f>IFERROR(R20/R7,)</f>
        <v>9.863704229431762E-2</v>
      </c>
      <c r="S21" s="168"/>
      <c r="T21" s="168">
        <f t="shared" ref="T21:AE21" si="12">IFERROR(T20/T7,)</f>
        <v>0.12313275066103894</v>
      </c>
      <c r="U21" s="168">
        <f t="shared" si="12"/>
        <v>0.11998731044377507</v>
      </c>
      <c r="V21" s="168">
        <f t="shared" si="12"/>
        <v>9.3757904902251554E-2</v>
      </c>
      <c r="W21" s="168">
        <f t="shared" si="12"/>
        <v>9.9359194293095851E-2</v>
      </c>
      <c r="X21" s="168">
        <f t="shared" si="12"/>
        <v>9.5324061851042585E-2</v>
      </c>
      <c r="Y21" s="168">
        <f t="shared" si="12"/>
        <v>9.4432544265090054E-2</v>
      </c>
      <c r="Z21" s="168">
        <f t="shared" si="12"/>
        <v>9.6385844008888374E-2</v>
      </c>
      <c r="AA21" s="168">
        <f t="shared" si="12"/>
        <v>0.10004029011872137</v>
      </c>
      <c r="AB21" s="168">
        <f t="shared" si="12"/>
        <v>9.5496986889904947E-2</v>
      </c>
      <c r="AC21" s="168">
        <f t="shared" si="12"/>
        <v>9.7698427769898177E-2</v>
      </c>
      <c r="AD21" s="168">
        <f t="shared" si="12"/>
        <v>9.5066051315738934E-2</v>
      </c>
      <c r="AE21" s="168">
        <f t="shared" si="12"/>
        <v>9.6436868864091266E-2</v>
      </c>
      <c r="AF21" s="168"/>
      <c r="AG21" s="168"/>
      <c r="AH21" s="168"/>
      <c r="AI21" s="168"/>
      <c r="AJ21" s="168"/>
      <c r="AK21" s="168"/>
      <c r="AL21" s="169"/>
      <c r="AM21" s="194"/>
    </row>
    <row r="22" spans="2:41" s="196" customFormat="1" outlineLevel="1">
      <c r="B22" s="195"/>
      <c r="C22" s="147" t="str">
        <f>IF(B1="EN", "Net Contribution per Ton (m VND/Ton)", "Lãi biến phí / Tấn (Triệu đồng/Tấn)")</f>
        <v>Lãi biến phí / Tấn (Triệu đồng/Tấn)</v>
      </c>
      <c r="E22" s="197"/>
      <c r="F22" s="149"/>
      <c r="G22" s="198"/>
      <c r="H22" s="198"/>
      <c r="I22" s="198"/>
      <c r="J22" s="198"/>
      <c r="K22" s="151"/>
      <c r="L22" s="151"/>
      <c r="M22" s="151"/>
      <c r="N22" s="152">
        <f t="shared" ref="N22:Q22" si="13">IFERROR(N20/N5,)</f>
        <v>324.09675581778345</v>
      </c>
      <c r="O22" s="152">
        <f t="shared" si="13"/>
        <v>840.55889138894133</v>
      </c>
      <c r="P22" s="152">
        <f t="shared" si="13"/>
        <v>1601.7007778052237</v>
      </c>
      <c r="Q22" s="152">
        <f t="shared" si="13"/>
        <v>1922.2599420593822</v>
      </c>
      <c r="R22" s="152">
        <f>IFERROR(R20/R5,)</f>
        <v>1548.5851990279029</v>
      </c>
      <c r="S22" s="151"/>
      <c r="T22" s="151">
        <f t="shared" ref="T22:AE22" si="14">IFERROR(T20/T5,)</f>
        <v>1737.7282376295668</v>
      </c>
      <c r="U22" s="151">
        <f t="shared" si="14"/>
        <v>1693.3377707881189</v>
      </c>
      <c r="V22" s="151">
        <f t="shared" si="14"/>
        <v>1319.7273602819075</v>
      </c>
      <c r="W22" s="151">
        <f t="shared" si="14"/>
        <v>1592.7825490935188</v>
      </c>
      <c r="X22" s="151">
        <f t="shared" si="14"/>
        <v>1528.0971560334208</v>
      </c>
      <c r="Y22" s="151">
        <f t="shared" si="14"/>
        <v>1513.8056386432295</v>
      </c>
      <c r="Z22" s="151">
        <f t="shared" si="14"/>
        <v>1545.1181081857385</v>
      </c>
      <c r="AA22" s="151">
        <f t="shared" si="14"/>
        <v>1604.7540836971291</v>
      </c>
      <c r="AB22" s="151">
        <f t="shared" si="14"/>
        <v>1531.8746028273199</v>
      </c>
      <c r="AC22" s="151">
        <f t="shared" si="14"/>
        <v>1566.8789344134232</v>
      </c>
      <c r="AD22" s="151">
        <f t="shared" si="14"/>
        <v>1524.6611085218699</v>
      </c>
      <c r="AE22" s="151">
        <f t="shared" si="14"/>
        <v>1545.9360646870509</v>
      </c>
      <c r="AF22" s="151"/>
      <c r="AG22" s="151"/>
      <c r="AH22" s="151"/>
      <c r="AI22" s="151"/>
      <c r="AJ22" s="151"/>
      <c r="AK22" s="151"/>
      <c r="AL22" s="199"/>
    </row>
    <row r="23" spans="2:41">
      <c r="B23" s="200" t="str">
        <f>IF(B1="en","FACTORY OVERHEAD EXPENSES (FOH)","CHI PHÍ SẢN XUẤT")</f>
        <v>CHI PHÍ SẢN XUẤT</v>
      </c>
      <c r="C23" s="201"/>
      <c r="D23" s="202"/>
      <c r="E23" s="202"/>
      <c r="F23" s="203"/>
      <c r="G23" s="204"/>
      <c r="H23" s="204"/>
      <c r="I23" s="204"/>
      <c r="J23" s="204"/>
      <c r="K23" s="204"/>
      <c r="L23" s="204"/>
      <c r="M23" s="204"/>
      <c r="N23" s="205">
        <f>N24+N26</f>
        <v>543551927.47692335</v>
      </c>
      <c r="O23" s="205">
        <f>O24+O26</f>
        <v>1171098133</v>
      </c>
      <c r="P23" s="205">
        <f>P24+P26</f>
        <v>3366440969.4168243</v>
      </c>
      <c r="Q23" s="205">
        <f>Q24+Q26</f>
        <v>1910944639</v>
      </c>
      <c r="R23" s="205">
        <f>R24+R26</f>
        <v>9063501699.0926666</v>
      </c>
      <c r="S23" s="206"/>
      <c r="T23" s="205">
        <f t="shared" ref="T23:AE23" si="15">T24+T26</f>
        <v>295220056.16666669</v>
      </c>
      <c r="U23" s="205">
        <f t="shared" si="15"/>
        <v>231965518.82600001</v>
      </c>
      <c r="V23" s="205">
        <f t="shared" si="15"/>
        <v>403904554.43333328</v>
      </c>
      <c r="W23" s="205">
        <f t="shared" si="15"/>
        <v>833614266.88888884</v>
      </c>
      <c r="X23" s="205">
        <f t="shared" si="15"/>
        <v>876294981.55555558</v>
      </c>
      <c r="Y23" s="205">
        <f t="shared" si="15"/>
        <v>896614561.88888884</v>
      </c>
      <c r="Z23" s="205">
        <f t="shared" si="15"/>
        <v>917048119.11111116</v>
      </c>
      <c r="AA23" s="205">
        <f t="shared" si="15"/>
        <v>918878932.11111116</v>
      </c>
      <c r="AB23" s="205">
        <f t="shared" si="15"/>
        <v>933458797.77777779</v>
      </c>
      <c r="AC23" s="205">
        <f t="shared" si="15"/>
        <v>911769290.77777779</v>
      </c>
      <c r="AD23" s="205">
        <f t="shared" si="15"/>
        <v>930964934.77777779</v>
      </c>
      <c r="AE23" s="205">
        <f t="shared" si="15"/>
        <v>913767684.77777779</v>
      </c>
      <c r="AF23" s="161"/>
      <c r="AG23" s="204"/>
      <c r="AH23" s="204"/>
      <c r="AI23" s="204"/>
      <c r="AJ23" s="204"/>
      <c r="AK23" s="204"/>
      <c r="AL23" s="207"/>
      <c r="AM23" s="107"/>
      <c r="AN23" s="107"/>
      <c r="AO23" s="107"/>
    </row>
    <row r="24" spans="2:41" s="214" customFormat="1" outlineLevel="1">
      <c r="B24" s="208"/>
      <c r="C24" s="128"/>
      <c r="D24" s="209" t="str">
        <f>IF(B1="en","Salary &amp; Welfare Expenses (FOH)","Chi phí lương sản xuất")</f>
        <v>Chi phí lương sản xuất</v>
      </c>
      <c r="E24" s="210"/>
      <c r="F24" s="211"/>
      <c r="G24" s="182"/>
      <c r="H24" s="182"/>
      <c r="I24" s="182"/>
      <c r="J24" s="182"/>
      <c r="K24" s="178"/>
      <c r="L24" s="178"/>
      <c r="M24" s="178"/>
      <c r="N24" s="177">
        <f>[4]FOH!G38+[4]FOH!G39+[4]FOH!G40+[4]FOH!G44+[4]FOH!G45</f>
        <v>398568332.47692335</v>
      </c>
      <c r="O24" s="177">
        <f>[4]FOH!H38+[4]FOH!H39+[4]FOH!H40+[4]FOH!H44+[4]FOH!H45</f>
        <v>530657837</v>
      </c>
      <c r="P24" s="177">
        <f>[4]FOH!I38+[4]FOH!I39+[4]FOH!I40+[4]FOH!I44+[4]FOH!I45</f>
        <v>2072373110</v>
      </c>
      <c r="Q24" s="177">
        <f>[4]FOH!J38+[4]FOH!J39+[4]FOH!J40+[4]FOH!J44+[4]FOH!J45</f>
        <v>1201415069</v>
      </c>
      <c r="R24" s="177">
        <f>[4]FOH!K38+[4]FOH!K39+[4]FOH!K40+[4]FOH!K44+[4]FOH!K45-AM24</f>
        <v>3861991912.4259996</v>
      </c>
      <c r="S24" s="177"/>
      <c r="T24" s="177">
        <f>[4]FOH!T46</f>
        <v>193199593.5</v>
      </c>
      <c r="U24" s="177">
        <f>[4]FOH!U46</f>
        <v>114974230.82600001</v>
      </c>
      <c r="V24" s="177">
        <f>[4]FOH!V46</f>
        <v>207945144.09999999</v>
      </c>
      <c r="W24" s="177">
        <f>[4]FOH!W46</f>
        <v>378400505</v>
      </c>
      <c r="X24" s="177">
        <f>[4]FOH!X46</f>
        <v>365430740</v>
      </c>
      <c r="Y24" s="177">
        <f>[4]FOH!Y46</f>
        <v>378400505</v>
      </c>
      <c r="Z24" s="177">
        <f>[4]FOH!Z46</f>
        <v>368841683</v>
      </c>
      <c r="AA24" s="177">
        <f>[4]FOH!AA46</f>
        <v>368646707</v>
      </c>
      <c r="AB24" s="177">
        <f>[4]FOH!AB46</f>
        <v>380383257</v>
      </c>
      <c r="AC24" s="177">
        <f>[4]FOH!AC46</f>
        <v>359087027</v>
      </c>
      <c r="AD24" s="177">
        <f>[4]FOH!AD46</f>
        <v>378092671</v>
      </c>
      <c r="AE24" s="177">
        <f>[4]FOH!AE46</f>
        <v>368589849</v>
      </c>
      <c r="AF24" s="178"/>
      <c r="AG24" s="178"/>
      <c r="AH24" s="178"/>
      <c r="AI24" s="178"/>
      <c r="AJ24" s="178"/>
      <c r="AK24" s="178"/>
      <c r="AL24" s="212"/>
      <c r="AM24" s="213"/>
    </row>
    <row r="25" spans="2:41" outlineLevel="1">
      <c r="B25" s="215"/>
      <c r="C25" s="216"/>
      <c r="D25" s="156"/>
      <c r="E25" s="217" t="str">
        <f>IF(B1="EN", "Growth (%)", "Tăng trưởng (%)")</f>
        <v>Tăng trưởng (%)</v>
      </c>
      <c r="F25" s="218"/>
      <c r="G25" s="219"/>
      <c r="H25" s="219"/>
      <c r="I25" s="219"/>
      <c r="J25" s="219"/>
      <c r="K25" s="220"/>
      <c r="L25" s="220"/>
      <c r="M25" s="220"/>
      <c r="N25" s="220">
        <f>IFERROR(N24/M24-1,)</f>
        <v>0</v>
      </c>
      <c r="O25" s="220">
        <f t="shared" ref="O25:P25" si="16">IFERROR(O24/N24-1,)</f>
        <v>0.33140993340389002</v>
      </c>
      <c r="P25" s="220">
        <f t="shared" si="16"/>
        <v>2.9052906892242882</v>
      </c>
      <c r="Q25" s="220">
        <f>IFERROR(Q24/O24-1,)</f>
        <v>1.2640107904408469</v>
      </c>
      <c r="R25" s="220">
        <f>IFERROR(R24/Q24-1,)</f>
        <v>2.2145359352288927</v>
      </c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1"/>
      <c r="AH25" s="221"/>
      <c r="AI25" s="221"/>
      <c r="AJ25" s="221"/>
      <c r="AK25" s="221"/>
      <c r="AL25" s="207"/>
    </row>
    <row r="26" spans="2:41" s="214" customFormat="1" outlineLevel="1">
      <c r="B26" s="208"/>
      <c r="C26" s="128"/>
      <c r="D26" s="209" t="str">
        <f>IF(B1="EN","Operating Expenses (FOH)","Chi phí hoạt động sản xuất")</f>
        <v>Chi phí hoạt động sản xuất</v>
      </c>
      <c r="E26" s="210"/>
      <c r="F26" s="211"/>
      <c r="G26" s="182"/>
      <c r="H26" s="182"/>
      <c r="I26" s="182"/>
      <c r="J26" s="182"/>
      <c r="K26" s="178"/>
      <c r="L26" s="178"/>
      <c r="M26" s="178"/>
      <c r="N26" s="206">
        <f>[4]FOH!G37</f>
        <v>144983595</v>
      </c>
      <c r="O26" s="206">
        <f>[4]FOH!H37</f>
        <v>640440296</v>
      </c>
      <c r="P26" s="177">
        <f>[4]FOH!I37</f>
        <v>1294067859.4168243</v>
      </c>
      <c r="Q26" s="177">
        <f>[4]FOH!J37</f>
        <v>709529570</v>
      </c>
      <c r="R26" s="177">
        <f>[4]FOH!K37</f>
        <v>5201509786.666667</v>
      </c>
      <c r="S26" s="177"/>
      <c r="T26" s="177">
        <f>[4]FOH!T37</f>
        <v>102020462.66666667</v>
      </c>
      <c r="U26" s="177">
        <f>[4]FOH!U37</f>
        <v>116991288</v>
      </c>
      <c r="V26" s="177">
        <f>[4]FOH!V37</f>
        <v>195959410.33333331</v>
      </c>
      <c r="W26" s="177">
        <f>[4]FOH!W37</f>
        <v>455213761.8888889</v>
      </c>
      <c r="X26" s="177">
        <f>[4]FOH!X37</f>
        <v>510864241.55555558</v>
      </c>
      <c r="Y26" s="177">
        <f>[4]FOH!Y37</f>
        <v>518214056.8888889</v>
      </c>
      <c r="Z26" s="177">
        <f>[4]FOH!Z37</f>
        <v>548206436.11111116</v>
      </c>
      <c r="AA26" s="177">
        <f>[4]FOH!AA37</f>
        <v>550232225.11111116</v>
      </c>
      <c r="AB26" s="177">
        <f>[4]FOH!AB37</f>
        <v>553075540.77777779</v>
      </c>
      <c r="AC26" s="177">
        <f>[4]FOH!AC37</f>
        <v>552682263.77777779</v>
      </c>
      <c r="AD26" s="177">
        <f>[4]FOH!AD37</f>
        <v>552872263.77777779</v>
      </c>
      <c r="AE26" s="177">
        <f>[4]FOH!AE37</f>
        <v>545177835.77777779</v>
      </c>
      <c r="AF26" s="178"/>
      <c r="AG26" s="178"/>
      <c r="AH26" s="178"/>
      <c r="AI26" s="178"/>
      <c r="AJ26" s="178"/>
      <c r="AK26" s="178"/>
      <c r="AL26" s="212"/>
      <c r="AM26" s="222"/>
    </row>
    <row r="27" spans="2:41" outlineLevel="1">
      <c r="B27" s="215"/>
      <c r="C27" s="216"/>
      <c r="D27" s="156"/>
      <c r="E27" s="217" t="str">
        <f>IF(B1="EN", "Growth (%)", "Tăng trưởng (%)")</f>
        <v>Tăng trưởng (%)</v>
      </c>
      <c r="F27" s="218"/>
      <c r="G27" s="219"/>
      <c r="H27" s="219"/>
      <c r="I27" s="219"/>
      <c r="J27" s="219"/>
      <c r="K27" s="220"/>
      <c r="L27" s="220"/>
      <c r="M27" s="220"/>
      <c r="N27" s="220">
        <f>IFERROR(N26/M26-1,)</f>
        <v>0</v>
      </c>
      <c r="O27" s="220">
        <f t="shared" ref="O27:P27" si="17">IFERROR(O26/N26-1,)</f>
        <v>3.4173293950946659</v>
      </c>
      <c r="P27" s="220">
        <f t="shared" si="17"/>
        <v>1.0205909395445416</v>
      </c>
      <c r="Q27" s="220">
        <f>IFERROR(Q26/O26-1,)</f>
        <v>0.10787777476138083</v>
      </c>
      <c r="R27" s="220">
        <f>IFERROR(R26/Q26-1,)</f>
        <v>6.3309274293764348</v>
      </c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1"/>
      <c r="AH27" s="221"/>
      <c r="AI27" s="221"/>
      <c r="AJ27" s="221"/>
      <c r="AK27" s="221"/>
      <c r="AL27" s="207"/>
    </row>
    <row r="28" spans="2:41" s="227" customFormat="1" outlineLevel="1">
      <c r="B28" s="223"/>
      <c r="C28" s="164" t="str">
        <f>IF(B1="EN", "FOH Expenses on Net Sales (%)", "Chi phí Sản xuất / Doanh thu (%)")</f>
        <v>Chi phí Sản xuất / Doanh thu (%)</v>
      </c>
      <c r="D28" s="224"/>
      <c r="E28" s="224"/>
      <c r="F28" s="225"/>
      <c r="G28" s="167"/>
      <c r="H28" s="167"/>
      <c r="I28" s="167"/>
      <c r="J28" s="167"/>
      <c r="K28" s="168"/>
      <c r="L28" s="168"/>
      <c r="M28" s="168"/>
      <c r="N28" s="168">
        <f t="shared" ref="N28:P28" si="18">IFERROR(N23/N7,)</f>
        <v>1.2219589073794695E-2</v>
      </c>
      <c r="O28" s="168">
        <f t="shared" si="18"/>
        <v>1.8312587550064381E-2</v>
      </c>
      <c r="P28" s="168">
        <f t="shared" si="18"/>
        <v>4.340001188487886E-2</v>
      </c>
      <c r="Q28" s="168">
        <f>IFERROR(Q23/Q7,)</f>
        <v>1.986744781090577E-2</v>
      </c>
      <c r="R28" s="168">
        <f>IFERROR(R23/R7,)</f>
        <v>5.1065188081382079E-2</v>
      </c>
      <c r="S28" s="168"/>
      <c r="T28" s="168">
        <f>T23/T7</f>
        <v>3.1339084935057472E-2</v>
      </c>
      <c r="U28" s="168">
        <f t="shared" ref="U28:AE28" si="19">U23/U7</f>
        <v>4.1040499251563022E-2</v>
      </c>
      <c r="V28" s="168">
        <f t="shared" si="19"/>
        <v>3.246012283380615E-2</v>
      </c>
      <c r="W28" s="168">
        <f t="shared" si="19"/>
        <v>5.2828471808538648E-2</v>
      </c>
      <c r="X28" s="168">
        <f t="shared" si="19"/>
        <v>5.3311937553285969E-2</v>
      </c>
      <c r="Y28" s="168">
        <f t="shared" si="19"/>
        <v>5.4548137943155439E-2</v>
      </c>
      <c r="Z28" s="168">
        <f t="shared" si="19"/>
        <v>5.3645454275418461E-2</v>
      </c>
      <c r="AA28" s="168">
        <f t="shared" si="19"/>
        <v>5.3678666730796173E-2</v>
      </c>
      <c r="AB28" s="168">
        <f t="shared" si="19"/>
        <v>5.6711602410594197E-2</v>
      </c>
      <c r="AC28" s="168">
        <f t="shared" si="19"/>
        <v>5.3303717970559945E-2</v>
      </c>
      <c r="AD28" s="168">
        <f t="shared" si="19"/>
        <v>5.6602968030219449E-2</v>
      </c>
      <c r="AE28" s="168">
        <f t="shared" si="19"/>
        <v>5.3453555522926688E-2</v>
      </c>
      <c r="AF28" s="168"/>
      <c r="AG28" s="168" t="e">
        <f t="shared" ref="AG28:AK28" si="20">AG23/AG7</f>
        <v>#DIV/0!</v>
      </c>
      <c r="AH28" s="168" t="e">
        <f t="shared" si="20"/>
        <v>#DIV/0!</v>
      </c>
      <c r="AI28" s="168" t="e">
        <f t="shared" si="20"/>
        <v>#DIV/0!</v>
      </c>
      <c r="AJ28" s="168" t="e">
        <f t="shared" si="20"/>
        <v>#DIV/0!</v>
      </c>
      <c r="AK28" s="168" t="e">
        <f t="shared" si="20"/>
        <v>#DIV/0!</v>
      </c>
      <c r="AL28" s="226"/>
    </row>
    <row r="29" spans="2:41" s="230" customFormat="1" outlineLevel="1">
      <c r="B29" s="228"/>
      <c r="C29" s="148" t="str">
        <f>IF(B1="EN", "FOH Expenses per Ton (m VND/Ton)", "Chi phí Sản xuất / Tấn (Triệu đồng/Tấn)")</f>
        <v>Chi phí Sản xuất / Tấn (Triệu đồng/Tấn)</v>
      </c>
      <c r="D29" s="210"/>
      <c r="E29" s="148"/>
      <c r="F29" s="149"/>
      <c r="G29" s="229"/>
      <c r="H29" s="229"/>
      <c r="I29" s="229"/>
      <c r="J29" s="229"/>
      <c r="K29" s="151"/>
      <c r="L29" s="151"/>
      <c r="M29" s="151"/>
      <c r="N29" s="152">
        <f t="shared" ref="N29:P29" si="21">IFERROR(N23/N5,)</f>
        <v>173.90264317224535</v>
      </c>
      <c r="O29" s="152">
        <f t="shared" si="21"/>
        <v>274.42471316701761</v>
      </c>
      <c r="P29" s="152">
        <f t="shared" si="21"/>
        <v>760.71305940193213</v>
      </c>
      <c r="Q29" s="152">
        <f>IFERROR(Q23/Q5,)</f>
        <v>335.11293317363419</v>
      </c>
      <c r="R29" s="152">
        <f>IFERROR(R23/R5,)</f>
        <v>801.71498058959958</v>
      </c>
      <c r="S29" s="151"/>
      <c r="T29" s="151">
        <f>T23/T5</f>
        <v>442.27723770287145</v>
      </c>
      <c r="U29" s="151">
        <f t="shared" ref="U29:AE29" si="22">U23/U5</f>
        <v>579.18980980274659</v>
      </c>
      <c r="V29" s="151">
        <f t="shared" si="22"/>
        <v>456.90560456259419</v>
      </c>
      <c r="W29" s="151">
        <f t="shared" si="22"/>
        <v>846.86946779887683</v>
      </c>
      <c r="X29" s="151">
        <f t="shared" si="22"/>
        <v>854.61968967614439</v>
      </c>
      <c r="Y29" s="151">
        <f t="shared" si="22"/>
        <v>874.43666204770398</v>
      </c>
      <c r="Z29" s="151">
        <f t="shared" si="22"/>
        <v>859.96614622325046</v>
      </c>
      <c r="AA29" s="151">
        <f t="shared" si="22"/>
        <v>861.06367286056161</v>
      </c>
      <c r="AB29" s="151">
        <f t="shared" si="22"/>
        <v>909.71523026778846</v>
      </c>
      <c r="AC29" s="151">
        <f t="shared" si="22"/>
        <v>854.88041845150406</v>
      </c>
      <c r="AD29" s="151">
        <f t="shared" si="22"/>
        <v>907.79350554864857</v>
      </c>
      <c r="AE29" s="151">
        <f t="shared" si="22"/>
        <v>856.88990364362485</v>
      </c>
      <c r="AF29" s="151"/>
      <c r="AG29" s="151" t="e">
        <f t="shared" ref="AG29:AK29" si="23">AG23/AG5</f>
        <v>#DIV/0!</v>
      </c>
      <c r="AH29" s="151" t="e">
        <f t="shared" si="23"/>
        <v>#DIV/0!</v>
      </c>
      <c r="AI29" s="151" t="e">
        <f t="shared" si="23"/>
        <v>#DIV/0!</v>
      </c>
      <c r="AJ29" s="151" t="e">
        <f t="shared" si="23"/>
        <v>#DIV/0!</v>
      </c>
      <c r="AK29" s="151" t="e">
        <f t="shared" si="23"/>
        <v>#DIV/0!</v>
      </c>
      <c r="AL29" s="212"/>
    </row>
    <row r="30" spans="2:41" outlineLevel="1">
      <c r="B30" s="231"/>
      <c r="C30" s="232"/>
      <c r="D30" s="181" t="str">
        <f>IF(B1="EN", "Depreciation &amp; Amortization (FOH)", "Chi phí Khấu hao (Sản xuất)")</f>
        <v>Chi phí Khấu hao (Sản xuất)</v>
      </c>
      <c r="E30" s="156"/>
      <c r="F30" s="157"/>
      <c r="G30" s="233"/>
      <c r="H30" s="233"/>
      <c r="I30" s="233"/>
      <c r="J30" s="233"/>
      <c r="K30" s="234"/>
      <c r="L30" s="234"/>
      <c r="M30" s="234"/>
      <c r="N30" s="303">
        <f>-[4]Depreciation!H37</f>
        <v>2781645223</v>
      </c>
      <c r="O30" s="303">
        <f>-[4]Depreciation!I37</f>
        <v>3963471515</v>
      </c>
      <c r="P30" s="303">
        <f>-[4]Depreciation!J37</f>
        <v>4480877937</v>
      </c>
      <c r="Q30" s="303">
        <f>-[4]Depreciation!K37</f>
        <v>3851337229</v>
      </c>
      <c r="R30" s="303">
        <f>SUM(T30:AE30)</f>
        <v>2744104944.8222227</v>
      </c>
      <c r="S30" s="234"/>
      <c r="T30" s="185">
        <f>-[4]Depreciation!N37*10^6</f>
        <v>189683514.21666667</v>
      </c>
      <c r="U30" s="185">
        <f>-[4]Depreciation!O37*10^6</f>
        <v>190044624.99444446</v>
      </c>
      <c r="V30" s="185">
        <f>-[4]Depreciation!P37*10^6</f>
        <v>204211291.66111115</v>
      </c>
      <c r="W30" s="185">
        <f>-[4]Depreciation!Q37*10^6</f>
        <v>240697402.77222228</v>
      </c>
      <c r="X30" s="185">
        <f>-[4]Depreciation!R37*10^6</f>
        <v>240697402.77222228</v>
      </c>
      <c r="Y30" s="185">
        <f>-[4]Depreciation!S37*10^6</f>
        <v>240697402.77222228</v>
      </c>
      <c r="Z30" s="185">
        <f>-[4]Depreciation!T37*10^6</f>
        <v>240697402.77222228</v>
      </c>
      <c r="AA30" s="185">
        <f>-[4]Depreciation!U37*10^6</f>
        <v>240697402.77222228</v>
      </c>
      <c r="AB30" s="185">
        <f>-[4]Depreciation!V37*10^6</f>
        <v>240697402.77222228</v>
      </c>
      <c r="AC30" s="185">
        <f>-[4]Depreciation!W37*10^6</f>
        <v>240697402.77222228</v>
      </c>
      <c r="AD30" s="185">
        <f>-[4]Depreciation!X37*10^6</f>
        <v>240697402.77222228</v>
      </c>
      <c r="AE30" s="185">
        <f>-[4]Depreciation!Y37*10^6</f>
        <v>234586291.77222228</v>
      </c>
      <c r="AF30" s="234"/>
      <c r="AG30" s="234">
        <f>-[4]Depreciation!AA37</f>
        <v>0</v>
      </c>
      <c r="AH30" s="234">
        <f>-[4]Depreciation!AB37</f>
        <v>0</v>
      </c>
      <c r="AI30" s="234">
        <f>-[4]Depreciation!AC37</f>
        <v>0</v>
      </c>
      <c r="AJ30" s="234">
        <f>-[4]Depreciation!AD37</f>
        <v>0</v>
      </c>
      <c r="AK30" s="234">
        <f>-[4]Depreciation!AE37</f>
        <v>0</v>
      </c>
      <c r="AL30" s="207"/>
      <c r="AM30" s="107"/>
      <c r="AN30" s="107"/>
      <c r="AO30" s="235"/>
    </row>
    <row r="31" spans="2:41" s="125" customFormat="1" outlineLevel="1">
      <c r="B31" s="236"/>
      <c r="C31" s="237" t="str">
        <f>IF(B1="EN", "% Depreciation on Net Sales", "% Chi phí Khấu hao / Doanh thu")</f>
        <v>% Chi phí Khấu hao / Doanh thu</v>
      </c>
      <c r="D31" s="143"/>
      <c r="E31" s="143"/>
      <c r="F31" s="129"/>
      <c r="G31" s="130"/>
      <c r="H31" s="130"/>
      <c r="I31" s="130"/>
      <c r="J31" s="130"/>
      <c r="K31" s="131"/>
      <c r="L31" s="131"/>
      <c r="M31" s="131"/>
      <c r="N31" s="131">
        <f t="shared" ref="N31:Q31" si="24">IFERROR(N30/N7,)</f>
        <v>6.2534157006714122E-2</v>
      </c>
      <c r="O31" s="131">
        <f t="shared" si="24"/>
        <v>6.1977230665283455E-2</v>
      </c>
      <c r="P31" s="131">
        <f t="shared" si="24"/>
        <v>5.776728523898042E-2</v>
      </c>
      <c r="Q31" s="131">
        <f t="shared" si="24"/>
        <v>4.0041056050371504E-2</v>
      </c>
      <c r="R31" s="131">
        <f>IFERROR(R30/R7,)</f>
        <v>1.5460717035715391E-2</v>
      </c>
      <c r="S31" s="131"/>
      <c r="T31" s="131">
        <f>T30/T7</f>
        <v>2.0135853369868346E-2</v>
      </c>
      <c r="U31" s="131">
        <f t="shared" ref="U31:AE31" si="25">U30/U7</f>
        <v>3.3623645140546027E-2</v>
      </c>
      <c r="V31" s="131">
        <f t="shared" si="25"/>
        <v>1.6411608976951979E-2</v>
      </c>
      <c r="W31" s="131">
        <f t="shared" si="25"/>
        <v>1.5253668827186316E-2</v>
      </c>
      <c r="X31" s="131">
        <f t="shared" si="25"/>
        <v>1.4643522074098863E-2</v>
      </c>
      <c r="Y31" s="131">
        <f t="shared" si="25"/>
        <v>1.4643522074098863E-2</v>
      </c>
      <c r="Z31" s="131">
        <f t="shared" si="25"/>
        <v>1.4080309686633522E-2</v>
      </c>
      <c r="AA31" s="131">
        <f t="shared" si="25"/>
        <v>1.4060955382548705E-2</v>
      </c>
      <c r="AB31" s="131">
        <f t="shared" si="25"/>
        <v>1.4623393597850653E-2</v>
      </c>
      <c r="AC31" s="131">
        <f t="shared" si="25"/>
        <v>1.4071615049320448E-2</v>
      </c>
      <c r="AD31" s="131">
        <f t="shared" si="25"/>
        <v>1.4634479651293266E-2</v>
      </c>
      <c r="AE31" s="131">
        <f t="shared" si="25"/>
        <v>1.3722822092590722E-2</v>
      </c>
      <c r="AF31" s="131"/>
      <c r="AG31" s="131" t="e">
        <f>AG30/AG7</f>
        <v>#DIV/0!</v>
      </c>
      <c r="AH31" s="131" t="e">
        <f>AH30/AH7</f>
        <v>#DIV/0!</v>
      </c>
      <c r="AI31" s="131" t="e">
        <f>AI30/AI7</f>
        <v>#DIV/0!</v>
      </c>
      <c r="AJ31" s="131" t="e">
        <f>AJ30/AJ7</f>
        <v>#DIV/0!</v>
      </c>
      <c r="AK31" s="131" t="e">
        <f>AK30/AK7</f>
        <v>#DIV/0!</v>
      </c>
      <c r="AL31" s="144"/>
    </row>
    <row r="32" spans="2:41">
      <c r="B32" s="238" t="str">
        <f>IF(B1="EN", "COST OF GOODS SOLD", "GIÁ VỐN HÀNG BÁN")</f>
        <v>GIÁ VỐN HÀNG BÁN</v>
      </c>
      <c r="C32" s="172"/>
      <c r="D32" s="172"/>
      <c r="E32" s="172"/>
      <c r="F32" s="239"/>
      <c r="G32" s="240"/>
      <c r="H32" s="241"/>
      <c r="I32" s="240"/>
      <c r="J32" s="240"/>
      <c r="K32" s="175"/>
      <c r="L32" s="175"/>
      <c r="M32" s="175"/>
      <c r="N32" s="176">
        <f>N10+N12+N23+N30</f>
        <v>46794210536.476921</v>
      </c>
      <c r="O32" s="176">
        <f>O10+O12+O23+O30</f>
        <v>65497958708</v>
      </c>
      <c r="P32" s="176">
        <f t="shared" ref="P32:AK32" si="26">P10+P12+P23+P30</f>
        <v>78326934485.527939</v>
      </c>
      <c r="Q32" s="176">
        <f>Q10+Q12+Q23+Q30</f>
        <v>90985512618</v>
      </c>
      <c r="R32" s="176">
        <f>R10+R12+R23+R30</f>
        <v>171789484819.80618</v>
      </c>
      <c r="S32" s="177"/>
      <c r="T32" s="176">
        <f t="shared" si="26"/>
        <v>8745157471.7655983</v>
      </c>
      <c r="U32" s="176">
        <f t="shared" si="26"/>
        <v>5395940866.6198034</v>
      </c>
      <c r="V32" s="176">
        <f t="shared" si="26"/>
        <v>11884576859.605238</v>
      </c>
      <c r="W32" s="176">
        <f t="shared" si="26"/>
        <v>15286099353.026005</v>
      </c>
      <c r="X32" s="176">
        <f t="shared" si="26"/>
        <v>15987263864.174459</v>
      </c>
      <c r="Y32" s="176">
        <f t="shared" si="26"/>
        <v>16022237430.507793</v>
      </c>
      <c r="Z32" s="176">
        <f t="shared" si="26"/>
        <v>16604677109.03055</v>
      </c>
      <c r="AA32" s="176">
        <f t="shared" si="26"/>
        <v>16565212642.990444</v>
      </c>
      <c r="AB32" s="176">
        <f t="shared" si="26"/>
        <v>16062049670.588888</v>
      </c>
      <c r="AC32" s="176">
        <f t="shared" si="26"/>
        <v>16586490733.567102</v>
      </c>
      <c r="AD32" s="176">
        <f t="shared" si="26"/>
        <v>16055365504.23311</v>
      </c>
      <c r="AE32" s="176">
        <f t="shared" si="26"/>
        <v>16594413313.697218</v>
      </c>
      <c r="AF32" s="178"/>
      <c r="AG32" s="175">
        <f>AG10+AG12+AG23+AG30</f>
        <v>0</v>
      </c>
      <c r="AH32" s="175">
        <f t="shared" si="26"/>
        <v>0</v>
      </c>
      <c r="AI32" s="175">
        <f t="shared" si="26"/>
        <v>0</v>
      </c>
      <c r="AJ32" s="175">
        <f t="shared" si="26"/>
        <v>0</v>
      </c>
      <c r="AK32" s="175">
        <f t="shared" si="26"/>
        <v>0</v>
      </c>
      <c r="AL32" s="123"/>
      <c r="AM32" s="107"/>
    </row>
    <row r="33" spans="2:40" s="170" customFormat="1" outlineLevel="1">
      <c r="B33" s="242"/>
      <c r="C33" s="164" t="str">
        <f>IF(B1="EN", "% COGs on Net Sales", "% Giá vốn hàng bán / Doanh thu")</f>
        <v>% Giá vốn hàng bán / Doanh thu</v>
      </c>
      <c r="D33" s="165"/>
      <c r="E33" s="165"/>
      <c r="F33" s="166"/>
      <c r="G33" s="167"/>
      <c r="H33" s="167"/>
      <c r="I33" s="167"/>
      <c r="J33" s="167"/>
      <c r="K33" s="168"/>
      <c r="L33" s="168"/>
      <c r="M33" s="168"/>
      <c r="N33" s="168">
        <f t="shared" ref="N33:Q33" si="27">IFERROR(N32/N7,)</f>
        <v>1.0519804914364106</v>
      </c>
      <c r="O33" s="168">
        <f t="shared" si="27"/>
        <v>1.0241986298092336</v>
      </c>
      <c r="P33" s="168">
        <f t="shared" si="27"/>
        <v>1.0097874635143012</v>
      </c>
      <c r="Q33" s="168">
        <f t="shared" si="27"/>
        <v>0.94594573102471924</v>
      </c>
      <c r="R33" s="168">
        <f>IFERROR(R32/R7,)</f>
        <v>0.96788886282277986</v>
      </c>
      <c r="S33" s="168"/>
      <c r="T33" s="168">
        <f>T32/T7</f>
        <v>0.92834218764388698</v>
      </c>
      <c r="U33" s="168">
        <f t="shared" ref="U33:AE33" si="28">U32/U7</f>
        <v>0.95467683394833414</v>
      </c>
      <c r="V33" s="168">
        <f t="shared" si="28"/>
        <v>0.95511382690850655</v>
      </c>
      <c r="W33" s="168">
        <f t="shared" si="28"/>
        <v>0.96872294634262912</v>
      </c>
      <c r="X33" s="168">
        <f t="shared" si="28"/>
        <v>0.97263139777634222</v>
      </c>
      <c r="Y33" s="168">
        <f t="shared" si="28"/>
        <v>0.97475911575216434</v>
      </c>
      <c r="Z33" s="168">
        <f t="shared" si="28"/>
        <v>0.9713399199531636</v>
      </c>
      <c r="AA33" s="168">
        <f t="shared" si="28"/>
        <v>0.96769933199462355</v>
      </c>
      <c r="AB33" s="168">
        <f t="shared" si="28"/>
        <v>0.97583800911854002</v>
      </c>
      <c r="AC33" s="168">
        <f t="shared" si="28"/>
        <v>0.96967690524998229</v>
      </c>
      <c r="AD33" s="168">
        <f t="shared" si="28"/>
        <v>0.97617139636577388</v>
      </c>
      <c r="AE33" s="168">
        <f t="shared" si="28"/>
        <v>0.97073950875142623</v>
      </c>
      <c r="AF33" s="168"/>
      <c r="AG33" s="168" t="e">
        <f t="shared" ref="AG33:AK33" si="29">AG32/AG7</f>
        <v>#DIV/0!</v>
      </c>
      <c r="AH33" s="168" t="e">
        <f t="shared" si="29"/>
        <v>#DIV/0!</v>
      </c>
      <c r="AI33" s="168" t="e">
        <f t="shared" si="29"/>
        <v>#DIV/0!</v>
      </c>
      <c r="AJ33" s="168" t="e">
        <f t="shared" si="29"/>
        <v>#DIV/0!</v>
      </c>
      <c r="AK33" s="168" t="e">
        <f t="shared" si="29"/>
        <v>#DIV/0!</v>
      </c>
      <c r="AL33" s="169"/>
      <c r="AM33" s="194"/>
    </row>
    <row r="34" spans="2:40" s="141" customFormat="1">
      <c r="B34" s="243" t="str">
        <f>IF(B1="EN", "GROSS PROFIT", "LÃI GỘP")</f>
        <v>LÃI GỘP</v>
      </c>
      <c r="C34" s="244"/>
      <c r="D34" s="244"/>
      <c r="E34" s="244"/>
      <c r="F34" s="245"/>
      <c r="G34" s="246"/>
      <c r="H34" s="246"/>
      <c r="I34" s="246"/>
      <c r="J34" s="246"/>
      <c r="K34" s="247"/>
      <c r="L34" s="247"/>
      <c r="M34" s="247"/>
      <c r="N34" s="248">
        <f>N7-N32</f>
        <v>-2312196927.4769211</v>
      </c>
      <c r="O34" s="248">
        <f>O7-O32</f>
        <v>-1547513158</v>
      </c>
      <c r="P34" s="248">
        <f t="shared" ref="P34:AK34" si="30">P7-P32</f>
        <v>-759191454.79994202</v>
      </c>
      <c r="Q34" s="248">
        <f>Q7-Q32</f>
        <v>5199194003</v>
      </c>
      <c r="R34" s="248">
        <f>R7-R32</f>
        <v>5699368930.1938171</v>
      </c>
      <c r="S34" s="138"/>
      <c r="T34" s="248">
        <f t="shared" si="30"/>
        <v>675030028.2344017</v>
      </c>
      <c r="U34" s="248">
        <f t="shared" si="30"/>
        <v>256171633.38019657</v>
      </c>
      <c r="V34" s="248">
        <f t="shared" si="30"/>
        <v>558523140.39476204</v>
      </c>
      <c r="W34" s="248">
        <f t="shared" si="30"/>
        <v>493540646.97399521</v>
      </c>
      <c r="X34" s="248">
        <f t="shared" si="30"/>
        <v>449861135.82554054</v>
      </c>
      <c r="Y34" s="248">
        <f t="shared" si="30"/>
        <v>414887569.49220657</v>
      </c>
      <c r="Z34" s="248">
        <f t="shared" si="30"/>
        <v>489932890.96945</v>
      </c>
      <c r="AA34" s="248">
        <f t="shared" si="30"/>
        <v>552927357.00955582</v>
      </c>
      <c r="AB34" s="248">
        <f t="shared" si="30"/>
        <v>397700329.41111183</v>
      </c>
      <c r="AC34" s="248">
        <f t="shared" si="30"/>
        <v>518681766.43289757</v>
      </c>
      <c r="AD34" s="248">
        <f t="shared" si="30"/>
        <v>391915745.76688957</v>
      </c>
      <c r="AE34" s="248">
        <f t="shared" si="30"/>
        <v>500196686.30278206</v>
      </c>
      <c r="AF34" s="121"/>
      <c r="AG34" s="247">
        <f t="shared" si="30"/>
        <v>0</v>
      </c>
      <c r="AH34" s="247">
        <f t="shared" si="30"/>
        <v>0</v>
      </c>
      <c r="AI34" s="247">
        <f t="shared" si="30"/>
        <v>0</v>
      </c>
      <c r="AJ34" s="247">
        <f t="shared" si="30"/>
        <v>0</v>
      </c>
      <c r="AK34" s="247">
        <f t="shared" si="30"/>
        <v>0</v>
      </c>
      <c r="AL34" s="139"/>
    </row>
    <row r="35" spans="2:40" s="227" customFormat="1" outlineLevel="1">
      <c r="B35" s="163"/>
      <c r="C35" s="164" t="str">
        <f>IF(B1="EN", "(%) Gross profit Margin", "(%) Tỷ lệ Lãi gộp")</f>
        <v>(%) Tỷ lệ Lãi gộp</v>
      </c>
      <c r="D35" s="165"/>
      <c r="E35" s="165"/>
      <c r="F35" s="166"/>
      <c r="G35" s="167"/>
      <c r="H35" s="167"/>
      <c r="I35" s="167"/>
      <c r="J35" s="167"/>
      <c r="K35" s="168"/>
      <c r="L35" s="168"/>
      <c r="M35" s="168"/>
      <c r="N35" s="168">
        <f t="shared" ref="N35:Q35" si="31">IFERROR(N34/N$7,)</f>
        <v>-5.1980491436410529E-2</v>
      </c>
      <c r="O35" s="168">
        <f t="shared" si="31"/>
        <v>-2.4198629809233596E-2</v>
      </c>
      <c r="P35" s="168">
        <f t="shared" si="31"/>
        <v>-9.7874635143012072E-3</v>
      </c>
      <c r="Q35" s="168">
        <f t="shared" si="31"/>
        <v>5.4054268975280734E-2</v>
      </c>
      <c r="R35" s="168">
        <f>IFERROR(R34/R$7,)</f>
        <v>3.211113717722016E-2</v>
      </c>
      <c r="S35" s="168"/>
      <c r="T35" s="168">
        <f>T34/T7</f>
        <v>7.1657812356113057E-2</v>
      </c>
      <c r="U35" s="168">
        <f t="shared" ref="U35:AE35" si="32">U34/U7</f>
        <v>4.532316605166592E-2</v>
      </c>
      <c r="V35" s="168">
        <f t="shared" si="32"/>
        <v>4.4886173091493439E-2</v>
      </c>
      <c r="W35" s="168">
        <f t="shared" si="32"/>
        <v>3.1277053657370837E-2</v>
      </c>
      <c r="X35" s="168">
        <f t="shared" si="32"/>
        <v>2.7368602223657758E-2</v>
      </c>
      <c r="Y35" s="168">
        <f t="shared" si="32"/>
        <v>2.5240884247835712E-2</v>
      </c>
      <c r="Z35" s="168">
        <f t="shared" si="32"/>
        <v>2.86600800468364E-2</v>
      </c>
      <c r="AA35" s="168">
        <f t="shared" si="32"/>
        <v>3.2300668005376509E-2</v>
      </c>
      <c r="AB35" s="168">
        <f t="shared" si="32"/>
        <v>2.4161990881460035E-2</v>
      </c>
      <c r="AC35" s="168">
        <f t="shared" si="32"/>
        <v>3.0323094750017727E-2</v>
      </c>
      <c r="AD35" s="168">
        <f t="shared" si="32"/>
        <v>2.3828603634226148E-2</v>
      </c>
      <c r="AE35" s="168">
        <f t="shared" si="32"/>
        <v>2.9260491248573793E-2</v>
      </c>
      <c r="AF35" s="168"/>
      <c r="AG35" s="168" t="e">
        <f t="shared" ref="AG35:AK35" si="33">AG34/AG$7</f>
        <v>#DIV/0!</v>
      </c>
      <c r="AH35" s="168" t="e">
        <f t="shared" si="33"/>
        <v>#DIV/0!</v>
      </c>
      <c r="AI35" s="168" t="e">
        <f t="shared" si="33"/>
        <v>#DIV/0!</v>
      </c>
      <c r="AJ35" s="168" t="e">
        <f t="shared" si="33"/>
        <v>#DIV/0!</v>
      </c>
      <c r="AK35" s="168" t="e">
        <f t="shared" si="33"/>
        <v>#DIV/0!</v>
      </c>
      <c r="AL35" s="226"/>
    </row>
    <row r="36" spans="2:40">
      <c r="B36" s="171" t="str">
        <f>IF(B1="EN","SELLING &amp; ADMINISTRATIVE EXPENSES (MKT)","CHI PHÍ BÁN HÀNG")</f>
        <v>CHI PHÍ BÁN HÀNG</v>
      </c>
      <c r="C36" s="249"/>
      <c r="D36" s="172"/>
      <c r="E36" s="172"/>
      <c r="F36" s="239"/>
      <c r="G36" s="175"/>
      <c r="H36" s="175"/>
      <c r="I36" s="175"/>
      <c r="J36" s="175"/>
      <c r="K36" s="175"/>
      <c r="L36" s="175"/>
      <c r="M36" s="175"/>
      <c r="N36" s="175">
        <f>N37+N39+N41</f>
        <v>0</v>
      </c>
      <c r="O36" s="175">
        <f>O37+O39+O41</f>
        <v>0</v>
      </c>
      <c r="P36" s="175">
        <f>P37+P39+P41</f>
        <v>0</v>
      </c>
      <c r="Q36" s="175">
        <f>Q37+Q39+Q41</f>
        <v>0</v>
      </c>
      <c r="R36" s="175">
        <f>R37+R39+R41</f>
        <v>0</v>
      </c>
      <c r="S36" s="178"/>
      <c r="T36" s="175">
        <f t="shared" ref="T36:AE36" si="34">T37+T39+T41</f>
        <v>0</v>
      </c>
      <c r="U36" s="175">
        <f t="shared" si="34"/>
        <v>0</v>
      </c>
      <c r="V36" s="175">
        <f t="shared" si="34"/>
        <v>0</v>
      </c>
      <c r="W36" s="175">
        <f t="shared" si="34"/>
        <v>0</v>
      </c>
      <c r="X36" s="175">
        <f t="shared" si="34"/>
        <v>0</v>
      </c>
      <c r="Y36" s="175">
        <f t="shared" si="34"/>
        <v>0</v>
      </c>
      <c r="Z36" s="175">
        <f t="shared" si="34"/>
        <v>0</v>
      </c>
      <c r="AA36" s="175">
        <f t="shared" si="34"/>
        <v>0</v>
      </c>
      <c r="AB36" s="175">
        <f t="shared" si="34"/>
        <v>0</v>
      </c>
      <c r="AC36" s="175">
        <f t="shared" si="34"/>
        <v>0</v>
      </c>
      <c r="AD36" s="175">
        <f t="shared" si="34"/>
        <v>0</v>
      </c>
      <c r="AE36" s="175">
        <f t="shared" si="34"/>
        <v>0</v>
      </c>
      <c r="AF36" s="178"/>
      <c r="AG36" s="175">
        <f>AG37+AG39+AG41</f>
        <v>0</v>
      </c>
      <c r="AH36" s="175">
        <f t="shared" ref="AH36:AK36" si="35">AH37+AH39+AH41</f>
        <v>0</v>
      </c>
      <c r="AI36" s="175">
        <f t="shared" si="35"/>
        <v>0</v>
      </c>
      <c r="AJ36" s="175">
        <f t="shared" si="35"/>
        <v>0</v>
      </c>
      <c r="AK36" s="175">
        <f t="shared" si="35"/>
        <v>0</v>
      </c>
      <c r="AL36" s="162"/>
      <c r="AM36" s="107"/>
      <c r="AN36" s="107"/>
    </row>
    <row r="37" spans="2:40" s="214" customFormat="1" outlineLevel="1">
      <c r="B37" s="126"/>
      <c r="C37" s="128"/>
      <c r="D37" s="209" t="str">
        <f>IF(B1="EN", "Salary&amp;Welfare Expenses (MKT)", "Lương &amp; Phúc lợi (Bán hàng)")</f>
        <v>Lương &amp; Phúc lợi (Bán hàng)</v>
      </c>
      <c r="E37" s="128"/>
      <c r="F37" s="250"/>
      <c r="G37" s="182"/>
      <c r="H37" s="182"/>
      <c r="I37" s="182"/>
      <c r="J37" s="182"/>
      <c r="K37" s="178"/>
      <c r="L37" s="178"/>
      <c r="M37" s="178"/>
      <c r="N37" s="178">
        <f>[4]MKT!G39+[4]MKT!G40</f>
        <v>0</v>
      </c>
      <c r="O37" s="178">
        <f>[4]MKT!H39+[4]MKT!H40</f>
        <v>0</v>
      </c>
      <c r="P37" s="178">
        <f>[4]MKT!I39+[4]MKT!I40</f>
        <v>0</v>
      </c>
      <c r="Q37" s="178">
        <f>[4]MKT!J39+[4]MKT!J40</f>
        <v>0</v>
      </c>
      <c r="R37" s="178">
        <f>[4]MKT!K39+[4]MKT!K40</f>
        <v>0</v>
      </c>
      <c r="S37" s="178"/>
      <c r="T37" s="178">
        <f>[4]MKT!T45-[4]MKT!T43</f>
        <v>0</v>
      </c>
      <c r="U37" s="178">
        <f>[4]MKT!U45-[4]MKT!U43</f>
        <v>0</v>
      </c>
      <c r="V37" s="178">
        <f>[4]MKT!V45-[4]MKT!V43</f>
        <v>0</v>
      </c>
      <c r="W37" s="178">
        <f>[4]MKT!W45-[4]MKT!W43</f>
        <v>0</v>
      </c>
      <c r="X37" s="178">
        <f>[4]MKT!X45-[4]MKT!X43</f>
        <v>0</v>
      </c>
      <c r="Y37" s="178">
        <f>[4]MKT!Y45-[4]MKT!Y43</f>
        <v>0</v>
      </c>
      <c r="Z37" s="178">
        <f>[4]MKT!Z45-[4]MKT!Z43</f>
        <v>0</v>
      </c>
      <c r="AA37" s="178">
        <f>[4]MKT!AA45-[4]MKT!AA43</f>
        <v>0</v>
      </c>
      <c r="AB37" s="178">
        <f>[4]MKT!AB45-[4]MKT!AB43</f>
        <v>0</v>
      </c>
      <c r="AC37" s="178">
        <f>[4]MKT!AC45-[4]MKT!AC43</f>
        <v>0</v>
      </c>
      <c r="AD37" s="178">
        <f>[4]MKT!AD45-[4]MKT!AD43</f>
        <v>0</v>
      </c>
      <c r="AE37" s="178">
        <f>[4]MKT!AE45-[4]MKT!AE43</f>
        <v>0</v>
      </c>
      <c r="AF37" s="178"/>
      <c r="AG37" s="178"/>
      <c r="AH37" s="178"/>
      <c r="AI37" s="178"/>
      <c r="AJ37" s="178"/>
      <c r="AK37" s="178"/>
      <c r="AL37" s="123"/>
    </row>
    <row r="38" spans="2:40" s="125" customFormat="1" outlineLevel="1">
      <c r="B38" s="142"/>
      <c r="C38" s="143"/>
      <c r="D38" s="143"/>
      <c r="E38" s="143"/>
      <c r="F38" s="129" t="str">
        <f>IF(B1="EN", "Growth (%)", "Tăng trưởng (%)")</f>
        <v>Tăng trưởng (%)</v>
      </c>
      <c r="G38" s="130"/>
      <c r="H38" s="130"/>
      <c r="I38" s="130"/>
      <c r="J38" s="130"/>
      <c r="K38" s="131"/>
      <c r="L38" s="131"/>
      <c r="M38" s="131"/>
      <c r="N38" s="131">
        <f>IFERROR(N37/M37-1,)</f>
        <v>0</v>
      </c>
      <c r="O38" s="131">
        <f t="shared" ref="O38:P38" si="36">IFERROR(O37/N37-1,)</f>
        <v>0</v>
      </c>
      <c r="P38" s="131">
        <f t="shared" si="36"/>
        <v>0</v>
      </c>
      <c r="Q38" s="131">
        <f>IFERROR(Q37/O37-1,)</f>
        <v>0</v>
      </c>
      <c r="R38" s="131">
        <f>IFERROR(R37/Q37-1,)</f>
        <v>0</v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251"/>
      <c r="AH38" s="251"/>
      <c r="AI38" s="251"/>
      <c r="AJ38" s="251"/>
      <c r="AK38" s="251"/>
      <c r="AL38" s="144"/>
    </row>
    <row r="39" spans="2:40" s="214" customFormat="1" outlineLevel="1">
      <c r="B39" s="126"/>
      <c r="C39" s="128"/>
      <c r="D39" s="209" t="str">
        <f>IF(B1="EN", "Operating Expenses (MKT)", "Chi phí hoạt động (Bán hàng)")</f>
        <v>Chi phí hoạt động (Bán hàng)</v>
      </c>
      <c r="E39" s="128"/>
      <c r="F39" s="250"/>
      <c r="G39" s="182"/>
      <c r="H39" s="182"/>
      <c r="I39" s="182"/>
      <c r="J39" s="182"/>
      <c r="K39" s="178"/>
      <c r="L39" s="178"/>
      <c r="M39" s="178"/>
      <c r="N39" s="178">
        <f>[4]MKT!G37</f>
        <v>0</v>
      </c>
      <c r="O39" s="178">
        <f>[4]MKT!H37</f>
        <v>0</v>
      </c>
      <c r="P39" s="178">
        <f>[4]MKT!I37</f>
        <v>0</v>
      </c>
      <c r="Q39" s="178">
        <f>[4]MKT!J37</f>
        <v>0</v>
      </c>
      <c r="R39" s="178">
        <f>[4]MKT!K37</f>
        <v>0</v>
      </c>
      <c r="S39" s="178"/>
      <c r="T39" s="178">
        <f>[4]MKT!T37</f>
        <v>0</v>
      </c>
      <c r="U39" s="178">
        <f>[4]MKT!U37</f>
        <v>0</v>
      </c>
      <c r="V39" s="178">
        <f>[4]MKT!V37</f>
        <v>0</v>
      </c>
      <c r="W39" s="178">
        <f>[4]MKT!W37</f>
        <v>0</v>
      </c>
      <c r="X39" s="178">
        <f>[4]MKT!X37</f>
        <v>0</v>
      </c>
      <c r="Y39" s="178">
        <f>[4]MKT!Y37</f>
        <v>0</v>
      </c>
      <c r="Z39" s="178">
        <f>[4]MKT!Z37</f>
        <v>0</v>
      </c>
      <c r="AA39" s="178">
        <f>[4]MKT!AA37</f>
        <v>0</v>
      </c>
      <c r="AB39" s="178">
        <f>[4]MKT!AB37</f>
        <v>0</v>
      </c>
      <c r="AC39" s="178">
        <f>[4]MKT!AC37</f>
        <v>0</v>
      </c>
      <c r="AD39" s="178">
        <f>[4]MKT!AD37</f>
        <v>0</v>
      </c>
      <c r="AE39" s="178">
        <f>[4]MKT!AE37</f>
        <v>0</v>
      </c>
      <c r="AF39" s="178"/>
      <c r="AG39" s="178"/>
      <c r="AH39" s="178"/>
      <c r="AI39" s="178"/>
      <c r="AJ39" s="178"/>
      <c r="AK39" s="178"/>
      <c r="AL39" s="123"/>
    </row>
    <row r="40" spans="2:40" s="125" customFormat="1" outlineLevel="1">
      <c r="B40" s="126"/>
      <c r="C40" s="128"/>
      <c r="D40" s="128"/>
      <c r="E40" s="128"/>
      <c r="F40" s="129" t="str">
        <f>IF(B1="EN", "Growth (%)", "Tăng trưởng (%)")</f>
        <v>Tăng trưởng (%)</v>
      </c>
      <c r="G40" s="130"/>
      <c r="H40" s="130"/>
      <c r="I40" s="130"/>
      <c r="J40" s="130"/>
      <c r="K40" s="131"/>
      <c r="L40" s="131"/>
      <c r="M40" s="131"/>
      <c r="N40" s="131">
        <f>IFERROR(N39/M39-1,)</f>
        <v>0</v>
      </c>
      <c r="O40" s="131">
        <f t="shared" ref="O40:P40" si="37">IFERROR(O39/N39-1,)</f>
        <v>0</v>
      </c>
      <c r="P40" s="131">
        <f t="shared" si="37"/>
        <v>0</v>
      </c>
      <c r="Q40" s="131">
        <f>IFERROR(Q39/O39-1,)</f>
        <v>0</v>
      </c>
      <c r="R40" s="131">
        <f>IFERROR(R39/Q39-1,)</f>
        <v>0</v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251" t="e">
        <f>AG39/Q39-1</f>
        <v>#DIV/0!</v>
      </c>
      <c r="AH40" s="251" t="e">
        <f t="shared" ref="AH40:AK40" si="38">AH39/AG39-1</f>
        <v>#DIV/0!</v>
      </c>
      <c r="AI40" s="251" t="e">
        <f t="shared" si="38"/>
        <v>#DIV/0!</v>
      </c>
      <c r="AJ40" s="251" t="e">
        <f t="shared" si="38"/>
        <v>#DIV/0!</v>
      </c>
      <c r="AK40" s="251" t="e">
        <f t="shared" si="38"/>
        <v>#DIV/0!</v>
      </c>
      <c r="AL40" s="123"/>
    </row>
    <row r="41" spans="2:40" s="125" customFormat="1" outlineLevel="1">
      <c r="C41" s="128"/>
      <c r="D41" s="209" t="str">
        <f>IF(B1="EN", "Depreciation &amp; Amortization (MKT)", "Chi phí khấu hao (Bán hàng)")</f>
        <v>Chi phí khấu hao (Bán hàng)</v>
      </c>
      <c r="E41" s="128"/>
      <c r="F41" s="252"/>
      <c r="G41" s="253"/>
      <c r="H41" s="253"/>
      <c r="I41" s="253"/>
      <c r="J41" s="253"/>
      <c r="K41" s="254"/>
      <c r="L41" s="254"/>
      <c r="M41" s="254"/>
      <c r="N41" s="255">
        <f>[4]Depreciation!H38</f>
        <v>0</v>
      </c>
      <c r="O41" s="255">
        <f>[4]Depreciation!I38</f>
        <v>0</v>
      </c>
      <c r="P41" s="255">
        <f>[4]Depreciation!J38</f>
        <v>0</v>
      </c>
      <c r="Q41" s="255">
        <f>[4]Depreciation!K38</f>
        <v>0</v>
      </c>
      <c r="R41" s="256">
        <f>[4]Depreciation!L38</f>
        <v>0</v>
      </c>
      <c r="S41" s="255"/>
      <c r="T41" s="256">
        <f>[4]MKT!T43</f>
        <v>0</v>
      </c>
      <c r="U41" s="256">
        <f>[4]MKT!U43</f>
        <v>0</v>
      </c>
      <c r="V41" s="256">
        <f>[4]MKT!V43</f>
        <v>0</v>
      </c>
      <c r="W41" s="256">
        <f>[4]MKT!W43</f>
        <v>0</v>
      </c>
      <c r="X41" s="256">
        <f>[4]MKT!X43</f>
        <v>0</v>
      </c>
      <c r="Y41" s="256">
        <f>[4]MKT!Y43</f>
        <v>0</v>
      </c>
      <c r="Z41" s="256">
        <f>[4]MKT!Z43</f>
        <v>0</v>
      </c>
      <c r="AA41" s="256">
        <f>[4]MKT!AA43</f>
        <v>0</v>
      </c>
      <c r="AB41" s="256">
        <f>[4]MKT!AB43</f>
        <v>0</v>
      </c>
      <c r="AC41" s="256">
        <f>[4]MKT!AC43</f>
        <v>0</v>
      </c>
      <c r="AD41" s="256">
        <f>[4]MKT!AD43</f>
        <v>0</v>
      </c>
      <c r="AE41" s="256">
        <f>[4]MKT!AE43</f>
        <v>0</v>
      </c>
      <c r="AF41" s="255"/>
      <c r="AG41" s="178"/>
      <c r="AH41" s="178"/>
      <c r="AI41" s="178"/>
      <c r="AJ41" s="178"/>
      <c r="AK41" s="178"/>
      <c r="AL41" s="123"/>
    </row>
    <row r="42" spans="2:40" s="227" customFormat="1" outlineLevel="1">
      <c r="B42" s="223"/>
      <c r="C42" s="164" t="str">
        <f>IF(B1="EN", "MKT Expenses on Net Sales (%)", "Chi phí Bán hàng / Doanh thu (%)")</f>
        <v>Chi phí Bán hàng / Doanh thu (%)</v>
      </c>
      <c r="D42" s="224"/>
      <c r="E42" s="224"/>
      <c r="F42" s="225"/>
      <c r="G42" s="167"/>
      <c r="H42" s="167"/>
      <c r="I42" s="167"/>
      <c r="J42" s="167"/>
      <c r="K42" s="168"/>
      <c r="L42" s="168"/>
      <c r="M42" s="168"/>
      <c r="N42" s="168">
        <f>IFERROR(N36/N7,)</f>
        <v>0</v>
      </c>
      <c r="O42" s="168">
        <f t="shared" ref="O42:R42" si="39">IFERROR(O36/O7,)</f>
        <v>0</v>
      </c>
      <c r="P42" s="168">
        <f t="shared" si="39"/>
        <v>0</v>
      </c>
      <c r="Q42" s="168">
        <f t="shared" si="39"/>
        <v>0</v>
      </c>
      <c r="R42" s="168">
        <f t="shared" si="39"/>
        <v>0</v>
      </c>
      <c r="S42" s="168"/>
      <c r="T42" s="168">
        <f>T36/T7</f>
        <v>0</v>
      </c>
      <c r="U42" s="168">
        <f t="shared" ref="U42:AE42" si="40">U36/U7</f>
        <v>0</v>
      </c>
      <c r="V42" s="168">
        <f t="shared" si="40"/>
        <v>0</v>
      </c>
      <c r="W42" s="168">
        <f t="shared" si="40"/>
        <v>0</v>
      </c>
      <c r="X42" s="168">
        <f t="shared" si="40"/>
        <v>0</v>
      </c>
      <c r="Y42" s="168">
        <f t="shared" si="40"/>
        <v>0</v>
      </c>
      <c r="Z42" s="168">
        <f t="shared" si="40"/>
        <v>0</v>
      </c>
      <c r="AA42" s="168">
        <f t="shared" si="40"/>
        <v>0</v>
      </c>
      <c r="AB42" s="168">
        <f t="shared" si="40"/>
        <v>0</v>
      </c>
      <c r="AC42" s="168">
        <f t="shared" si="40"/>
        <v>0</v>
      </c>
      <c r="AD42" s="168">
        <f t="shared" si="40"/>
        <v>0</v>
      </c>
      <c r="AE42" s="168">
        <f t="shared" si="40"/>
        <v>0</v>
      </c>
      <c r="AF42" s="168"/>
      <c r="AG42" s="168" t="e">
        <f t="shared" ref="AG42:AK42" si="41">AG36/AG7</f>
        <v>#DIV/0!</v>
      </c>
      <c r="AH42" s="168" t="e">
        <f t="shared" si="41"/>
        <v>#DIV/0!</v>
      </c>
      <c r="AI42" s="168" t="e">
        <f t="shared" si="41"/>
        <v>#DIV/0!</v>
      </c>
      <c r="AJ42" s="168" t="e">
        <f t="shared" si="41"/>
        <v>#DIV/0!</v>
      </c>
      <c r="AK42" s="168" t="e">
        <f t="shared" si="41"/>
        <v>#DIV/0!</v>
      </c>
      <c r="AL42" s="226"/>
    </row>
    <row r="43" spans="2:40">
      <c r="B43" s="171" t="str">
        <f>IF(B1="en","GENERAL &amp; ADMINISTRATION EXPENSES (ADM)","CHI PHÍ QUẢN LÝ")</f>
        <v>CHI PHÍ QUẢN LÝ</v>
      </c>
      <c r="C43" s="172"/>
      <c r="D43" s="172"/>
      <c r="E43" s="172"/>
      <c r="F43" s="239"/>
      <c r="G43" s="175"/>
      <c r="H43" s="175"/>
      <c r="I43" s="175"/>
      <c r="J43" s="175"/>
      <c r="K43" s="175"/>
      <c r="L43" s="175"/>
      <c r="M43" s="175"/>
      <c r="N43" s="176">
        <f t="shared" ref="N43" si="42">N44+N46+N48</f>
        <v>1920530080</v>
      </c>
      <c r="O43" s="176">
        <f>O44+O46+O48</f>
        <v>1657750500</v>
      </c>
      <c r="P43" s="176">
        <f>P44+P46+P48</f>
        <v>2131753754.1666675</v>
      </c>
      <c r="Q43" s="176">
        <f>Q44+Q46+Q48</f>
        <v>2232089956</v>
      </c>
      <c r="R43" s="176">
        <f>R44+R46+R48</f>
        <v>4349662250.0370369</v>
      </c>
      <c r="S43" s="177"/>
      <c r="T43" s="176">
        <f>T44+T46+T48</f>
        <v>269381341.25</v>
      </c>
      <c r="U43" s="176">
        <f t="shared" ref="U43:AE43" si="43">U44+U46+U48</f>
        <v>333905348.25</v>
      </c>
      <c r="V43" s="176">
        <f t="shared" si="43"/>
        <v>289692466.25</v>
      </c>
      <c r="W43" s="176">
        <f t="shared" si="43"/>
        <v>351095825.25</v>
      </c>
      <c r="X43" s="176">
        <f t="shared" si="43"/>
        <v>344962243.25</v>
      </c>
      <c r="Y43" s="176">
        <f t="shared" si="43"/>
        <v>358733961.39814818</v>
      </c>
      <c r="Z43" s="176">
        <f t="shared" si="43"/>
        <v>377502662.39814818</v>
      </c>
      <c r="AA43" s="176">
        <f t="shared" si="43"/>
        <v>549192634.39814818</v>
      </c>
      <c r="AB43" s="176">
        <f t="shared" si="43"/>
        <v>379644959.39814818</v>
      </c>
      <c r="AC43" s="176">
        <f t="shared" si="43"/>
        <v>361192934.39814818</v>
      </c>
      <c r="AD43" s="176">
        <f t="shared" si="43"/>
        <v>357799656.39814818</v>
      </c>
      <c r="AE43" s="176">
        <f t="shared" si="43"/>
        <v>376558217.39814818</v>
      </c>
      <c r="AF43" s="178"/>
      <c r="AG43" s="175">
        <f>AG44+AG46+AG48</f>
        <v>0</v>
      </c>
      <c r="AH43" s="175">
        <f t="shared" ref="AH43:AK43" si="44">AH44+AH46+AH48</f>
        <v>0</v>
      </c>
      <c r="AI43" s="175">
        <f t="shared" si="44"/>
        <v>0</v>
      </c>
      <c r="AJ43" s="175">
        <f t="shared" si="44"/>
        <v>0</v>
      </c>
      <c r="AK43" s="175">
        <f t="shared" si="44"/>
        <v>0</v>
      </c>
      <c r="AL43" s="162"/>
      <c r="AM43" s="107"/>
      <c r="AN43" s="107"/>
    </row>
    <row r="44" spans="2:40" s="214" customFormat="1" outlineLevel="1">
      <c r="B44" s="126"/>
      <c r="C44" s="128"/>
      <c r="D44" s="209" t="str">
        <f>IF(B1="EN", "Salary&amp;Welfare Expenses (ADM)", "Lương &amp; Phúc lợi (Quản lý)")</f>
        <v>Lương &amp; Phúc lợi (Quản lý)</v>
      </c>
      <c r="E44" s="128"/>
      <c r="F44" s="250"/>
      <c r="G44" s="182"/>
      <c r="H44" s="182"/>
      <c r="I44" s="182"/>
      <c r="J44" s="182"/>
      <c r="K44" s="178"/>
      <c r="L44" s="178"/>
      <c r="M44" s="178"/>
      <c r="N44" s="177">
        <f>[4]ADM!G39+[4]ADM!G40+[4]ADM!G38</f>
        <v>598516030</v>
      </c>
      <c r="O44" s="177">
        <f>[4]ADM!H39+[4]ADM!H40+[4]ADM!H38</f>
        <v>543436601</v>
      </c>
      <c r="P44" s="177">
        <f>[4]ADM!I39+[4]ADM!I40+[4]ADM!I38</f>
        <v>1298607106</v>
      </c>
      <c r="Q44" s="177">
        <f>[4]ADM!J39+[4]ADM!J40+[4]ADM!J38</f>
        <v>1489697213</v>
      </c>
      <c r="R44" s="177">
        <f>SUM(T44:AE44)</f>
        <v>3050479402.6666665</v>
      </c>
      <c r="S44" s="177"/>
      <c r="T44" s="177">
        <f>[4]ADM!T45-[4]ADM!T43</f>
        <v>180797270</v>
      </c>
      <c r="U44" s="177">
        <f>[4]ADM!U45-[4]ADM!U43</f>
        <v>233568574</v>
      </c>
      <c r="V44" s="177">
        <f>[4]ADM!V45-[4]ADM!V43</f>
        <v>187641388.66666666</v>
      </c>
      <c r="W44" s="177">
        <f>[4]ADM!W45-[4]ADM!W43</f>
        <v>249979766</v>
      </c>
      <c r="X44" s="177">
        <f>[4]ADM!X45-[4]ADM!X43</f>
        <v>241228000</v>
      </c>
      <c r="Y44" s="177">
        <f>[4]ADM!Y45-[4]ADM!Y43</f>
        <v>249979766</v>
      </c>
      <c r="Z44" s="177">
        <f>[4]ADM!Z45-[4]ADM!Z43</f>
        <v>264001483</v>
      </c>
      <c r="AA44" s="177">
        <f>[4]ADM!AA45-[4]ADM!AA43</f>
        <v>440778197</v>
      </c>
      <c r="AB44" s="177">
        <f>[4]ADM!AB45-[4]ADM!AB43</f>
        <v>251367283</v>
      </c>
      <c r="AC44" s="177">
        <f>[4]ADM!AC45-[4]ADM!AC43</f>
        <v>237960050</v>
      </c>
      <c r="AD44" s="177">
        <f>[4]ADM!AD45-[4]ADM!AD43</f>
        <v>249566754</v>
      </c>
      <c r="AE44" s="177">
        <f>[4]ADM!AE45-[4]ADM!AE43</f>
        <v>263610871</v>
      </c>
      <c r="AF44" s="178"/>
      <c r="AG44" s="178"/>
      <c r="AH44" s="178"/>
      <c r="AI44" s="178"/>
      <c r="AJ44" s="178"/>
      <c r="AK44" s="178"/>
      <c r="AL44" s="123"/>
      <c r="AM44" s="257"/>
      <c r="AN44" s="258"/>
    </row>
    <row r="45" spans="2:40" s="125" customFormat="1" outlineLevel="1">
      <c r="B45" s="126"/>
      <c r="C45" s="128"/>
      <c r="D45" s="128"/>
      <c r="E45" s="128"/>
      <c r="F45" s="129" t="str">
        <f>IF(B1="EN", "Growth (%)", "Tăng trưởng (%)")</f>
        <v>Tăng trưởng (%)</v>
      </c>
      <c r="G45" s="182"/>
      <c r="H45" s="130"/>
      <c r="I45" s="130"/>
      <c r="J45" s="130"/>
      <c r="K45" s="131"/>
      <c r="L45" s="131"/>
      <c r="M45" s="131"/>
      <c r="N45" s="131">
        <f>IFERROR(N44/M44-1,)</f>
        <v>0</v>
      </c>
      <c r="O45" s="131">
        <f t="shared" ref="O45:P45" si="45">IFERROR(O44/N44-1,)</f>
        <v>-9.2026656328653367E-2</v>
      </c>
      <c r="P45" s="131">
        <f t="shared" si="45"/>
        <v>1.3896202493729346</v>
      </c>
      <c r="Q45" s="131">
        <f>IFERROR(Q44/O44-1,)</f>
        <v>1.7412530003660907</v>
      </c>
      <c r="R45" s="131">
        <f>IFERROR(R44/Q44-1,)</f>
        <v>1.0477177348835292</v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251"/>
      <c r="AH45" s="251"/>
      <c r="AI45" s="251"/>
      <c r="AJ45" s="251"/>
      <c r="AK45" s="251"/>
      <c r="AL45" s="123"/>
    </row>
    <row r="46" spans="2:40" s="214" customFormat="1" outlineLevel="1">
      <c r="B46" s="126"/>
      <c r="C46" s="128"/>
      <c r="D46" s="209" t="str">
        <f>IF(B1="EN", "Operating Expenses (ADM)", "Chi phí hoạt động (Quản lý)")</f>
        <v>Chi phí hoạt động (Quản lý)</v>
      </c>
      <c r="E46" s="128"/>
      <c r="F46" s="250"/>
      <c r="G46" s="182"/>
      <c r="H46" s="182"/>
      <c r="I46" s="182"/>
      <c r="J46" s="182"/>
      <c r="K46" s="178"/>
      <c r="L46" s="178"/>
      <c r="M46" s="178"/>
      <c r="N46" s="177">
        <f>[4]ADM!G37+[4]ADM!G42</f>
        <v>1199431675</v>
      </c>
      <c r="O46" s="177">
        <f>[4]ADM!H37</f>
        <v>1099966075</v>
      </c>
      <c r="P46" s="177">
        <f>[4]ADM!I37</f>
        <v>775640537.16666698</v>
      </c>
      <c r="Q46" s="177">
        <f>[4]ADM!J37</f>
        <v>555431179</v>
      </c>
      <c r="R46" s="177">
        <f>[4]ADM!K37</f>
        <v>1174527900.3703704</v>
      </c>
      <c r="S46" s="178"/>
      <c r="T46" s="177">
        <f>[4]ADM!T37</f>
        <v>80071159</v>
      </c>
      <c r="U46" s="177">
        <f>[4]ADM!U37</f>
        <v>91823862</v>
      </c>
      <c r="V46" s="177">
        <f>[4]ADM!V37</f>
        <v>93538165.333333343</v>
      </c>
      <c r="W46" s="177">
        <f>[4]ADM!W37</f>
        <v>90103147</v>
      </c>
      <c r="X46" s="177">
        <f>[4]ADM!X37</f>
        <v>92721331</v>
      </c>
      <c r="Y46" s="177">
        <f>[4]ADM!Y37</f>
        <v>97741283.148148149</v>
      </c>
      <c r="Z46" s="177">
        <f>[4]ADM!Z37</f>
        <v>102488267.14814815</v>
      </c>
      <c r="AA46" s="177">
        <f>[4]ADM!AA37</f>
        <v>97401525.148148149</v>
      </c>
      <c r="AB46" s="177">
        <f>[4]ADM!AB37</f>
        <v>117264764.14814815</v>
      </c>
      <c r="AC46" s="177">
        <f>[4]ADM!AC37</f>
        <v>112219972.14814815</v>
      </c>
      <c r="AD46" s="177">
        <f>[4]ADM!AD37</f>
        <v>97219990.148148149</v>
      </c>
      <c r="AE46" s="177">
        <f>[4]ADM!AE37</f>
        <v>101934434.14814815</v>
      </c>
      <c r="AF46" s="178"/>
      <c r="AG46" s="178"/>
      <c r="AH46" s="178"/>
      <c r="AI46" s="178"/>
      <c r="AJ46" s="178"/>
      <c r="AK46" s="178"/>
      <c r="AL46" s="123"/>
    </row>
    <row r="47" spans="2:40" s="125" customFormat="1" outlineLevel="1">
      <c r="B47" s="126"/>
      <c r="C47" s="128"/>
      <c r="D47" s="128"/>
      <c r="E47" s="128"/>
      <c r="F47" s="129" t="str">
        <f>IF(B1="EN", "Growth (%)", "Tăng trưởng (%)")</f>
        <v>Tăng trưởng (%)</v>
      </c>
      <c r="G47" s="182"/>
      <c r="H47" s="130"/>
      <c r="I47" s="130"/>
      <c r="J47" s="130"/>
      <c r="K47" s="131"/>
      <c r="L47" s="131"/>
      <c r="M47" s="131"/>
      <c r="N47" s="131">
        <f>IFERROR(N46/M46-1,)</f>
        <v>0</v>
      </c>
      <c r="O47" s="131">
        <f t="shared" ref="O47:P47" si="46">IFERROR(O46/N46-1,)</f>
        <v>-8.2927274702829568E-2</v>
      </c>
      <c r="P47" s="131">
        <f t="shared" si="46"/>
        <v>-0.29485049148750608</v>
      </c>
      <c r="Q47" s="131">
        <f>IFERROR(Q46/O46-1,)</f>
        <v>-0.49504699133561914</v>
      </c>
      <c r="R47" s="131">
        <f>IFERROR(R46/Q46-1,)</f>
        <v>1.1146236379545598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251"/>
      <c r="AH47" s="251"/>
      <c r="AI47" s="251"/>
      <c r="AJ47" s="251"/>
      <c r="AK47" s="251"/>
      <c r="AL47" s="123"/>
    </row>
    <row r="48" spans="2:40" s="125" customFormat="1" outlineLevel="1">
      <c r="B48" s="126"/>
      <c r="C48" s="128"/>
      <c r="D48" s="209" t="str">
        <f>IF(B1="EN", "Depreciation &amp; Amortization (ADM)", "Chi phí khấu hao (Quản lý)")</f>
        <v>Chi phí khấu hao (Quản lý)</v>
      </c>
      <c r="E48" s="128"/>
      <c r="F48" s="129"/>
      <c r="G48" s="182"/>
      <c r="H48" s="130"/>
      <c r="I48" s="130"/>
      <c r="J48" s="130"/>
      <c r="K48" s="254"/>
      <c r="L48" s="254"/>
      <c r="M48" s="254"/>
      <c r="N48" s="177">
        <f>[4]ADM!G43</f>
        <v>122582375</v>
      </c>
      <c r="O48" s="177">
        <f>[4]ADM!H43</f>
        <v>14347824</v>
      </c>
      <c r="P48" s="177">
        <f>[4]ADM!I43</f>
        <v>57506111.000000358</v>
      </c>
      <c r="Q48" s="177">
        <f>[4]ADM!J43</f>
        <v>186961564</v>
      </c>
      <c r="R48" s="177">
        <f>[4]ADM!K43</f>
        <v>124654947</v>
      </c>
      <c r="S48" s="254"/>
      <c r="T48" s="177">
        <f>[4]ADM!T43</f>
        <v>8512912.25</v>
      </c>
      <c r="U48" s="177">
        <f>[4]ADM!U43</f>
        <v>8512912.25</v>
      </c>
      <c r="V48" s="177">
        <f>[4]ADM!V43</f>
        <v>8512912.25</v>
      </c>
      <c r="W48" s="177">
        <f>[4]ADM!W43</f>
        <v>11012912.25</v>
      </c>
      <c r="X48" s="177">
        <f>[4]ADM!X43</f>
        <v>11012912.25</v>
      </c>
      <c r="Y48" s="177">
        <f>[4]ADM!Y43</f>
        <v>11012912.25</v>
      </c>
      <c r="Z48" s="177">
        <f>[4]ADM!Z43</f>
        <v>11012912.25</v>
      </c>
      <c r="AA48" s="177">
        <f>[4]ADM!AA43</f>
        <v>11012912.25</v>
      </c>
      <c r="AB48" s="177">
        <f>[4]ADM!AB43</f>
        <v>11012912.25</v>
      </c>
      <c r="AC48" s="177">
        <f>[4]ADM!AC43</f>
        <v>11012912.25</v>
      </c>
      <c r="AD48" s="177">
        <f>[4]ADM!AD43</f>
        <v>11012912.25</v>
      </c>
      <c r="AE48" s="177">
        <f>[4]ADM!AE43</f>
        <v>11012912.25</v>
      </c>
      <c r="AF48" s="254"/>
      <c r="AG48" s="260"/>
      <c r="AH48" s="260"/>
      <c r="AI48" s="260"/>
      <c r="AJ48" s="260"/>
      <c r="AK48" s="260"/>
      <c r="AL48" s="123"/>
    </row>
    <row r="49" spans="2:45" s="170" customFormat="1" outlineLevel="1">
      <c r="B49" s="163"/>
      <c r="C49" s="164" t="str">
        <f>IF(B1="EN", "ADM Expenses on Net Sales (%)", "Chi phí Quản lý / Doanh thu (%)")</f>
        <v>Chi phí Quản lý / Doanh thu (%)</v>
      </c>
      <c r="D49" s="165"/>
      <c r="E49" s="165"/>
      <c r="F49" s="166"/>
      <c r="G49" s="167"/>
      <c r="H49" s="167"/>
      <c r="I49" s="167"/>
      <c r="J49" s="167"/>
      <c r="K49" s="168"/>
      <c r="L49" s="168"/>
      <c r="M49" s="168"/>
      <c r="N49" s="168">
        <f t="shared" ref="N49:Q49" si="47">IFERROR(N43/N7,)</f>
        <v>4.3175430340937196E-2</v>
      </c>
      <c r="O49" s="168">
        <f t="shared" si="47"/>
        <v>2.5922422990843415E-2</v>
      </c>
      <c r="P49" s="168">
        <f t="shared" si="47"/>
        <v>2.7482477520612995E-2</v>
      </c>
      <c r="Q49" s="168">
        <f t="shared" si="47"/>
        <v>2.320628751091567E-2</v>
      </c>
      <c r="R49" s="168">
        <f>IFERROR(R43/R7,)</f>
        <v>2.450667835267958E-2</v>
      </c>
      <c r="S49" s="168"/>
      <c r="T49" s="168">
        <f>T43/T7</f>
        <v>2.8596176164221783E-2</v>
      </c>
      <c r="U49" s="168">
        <f t="shared" ref="U49:AE49" si="48">U43/U7</f>
        <v>5.9076203499134172E-2</v>
      </c>
      <c r="V49" s="168">
        <f t="shared" si="48"/>
        <v>2.3281374114971349E-2</v>
      </c>
      <c r="W49" s="168">
        <f t="shared" si="48"/>
        <v>2.2249926186528969E-2</v>
      </c>
      <c r="X49" s="168">
        <f t="shared" si="48"/>
        <v>2.0986774953040754E-2</v>
      </c>
      <c r="Y49" s="168">
        <f t="shared" si="48"/>
        <v>2.1824617224614901E-2</v>
      </c>
      <c r="Z49" s="168">
        <f t="shared" si="48"/>
        <v>2.2083139796587825E-2</v>
      </c>
      <c r="AA49" s="168">
        <f t="shared" si="48"/>
        <v>3.208249461671351E-2</v>
      </c>
      <c r="AB49" s="168">
        <f t="shared" si="48"/>
        <v>2.3065050161645721E-2</v>
      </c>
      <c r="AC49" s="168">
        <f t="shared" si="48"/>
        <v>2.1116006541187945E-2</v>
      </c>
      <c r="AD49" s="168">
        <f t="shared" si="48"/>
        <v>2.1754334406979766E-2</v>
      </c>
      <c r="AE49" s="168">
        <f t="shared" si="48"/>
        <v>2.2027891680368734E-2</v>
      </c>
      <c r="AF49" s="168"/>
      <c r="AG49" s="168" t="e">
        <f t="shared" ref="AG49:AK49" si="49">AG43/AG7</f>
        <v>#DIV/0!</v>
      </c>
      <c r="AH49" s="168" t="e">
        <f t="shared" si="49"/>
        <v>#DIV/0!</v>
      </c>
      <c r="AI49" s="168" t="e">
        <f t="shared" si="49"/>
        <v>#DIV/0!</v>
      </c>
      <c r="AJ49" s="168" t="e">
        <f t="shared" si="49"/>
        <v>#DIV/0!</v>
      </c>
      <c r="AK49" s="168" t="e">
        <f t="shared" si="49"/>
        <v>#DIV/0!</v>
      </c>
      <c r="AL49" s="169"/>
    </row>
    <row r="50" spans="2:45" s="192" customFormat="1" outlineLevel="1">
      <c r="B50" s="142"/>
      <c r="C50" s="237"/>
      <c r="E50" s="143"/>
      <c r="F50" s="188"/>
      <c r="G50" s="261"/>
      <c r="H50" s="261"/>
      <c r="I50" s="261"/>
      <c r="J50" s="261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144"/>
      <c r="AN50" s="263"/>
    </row>
    <row r="51" spans="2:45" s="141" customFormat="1" hidden="1">
      <c r="B51" s="243" t="s">
        <v>111</v>
      </c>
      <c r="C51" s="264"/>
      <c r="D51" s="264"/>
      <c r="E51" s="264"/>
      <c r="F51" s="265"/>
      <c r="G51" s="247"/>
      <c r="H51" s="247"/>
      <c r="I51" s="247"/>
      <c r="J51" s="247"/>
      <c r="K51" s="247"/>
      <c r="L51" s="247"/>
      <c r="M51" s="247"/>
      <c r="N51" s="248">
        <f>N34-N36-N43</f>
        <v>-4232727007.4769211</v>
      </c>
      <c r="O51" s="248">
        <f t="shared" ref="O51:P51" si="50">O34-O36-O43</f>
        <v>-3205263658</v>
      </c>
      <c r="P51" s="248">
        <f t="shared" si="50"/>
        <v>-2890945208.9666095</v>
      </c>
      <c r="Q51" s="248">
        <f>Q34-Q36-Q43</f>
        <v>2967104047</v>
      </c>
      <c r="R51" s="248">
        <f>R34-R36-R43</f>
        <v>1349706680.1567802</v>
      </c>
      <c r="S51" s="138"/>
      <c r="T51" s="248">
        <f t="shared" ref="T51:AK51" si="51">T34-T36-T43</f>
        <v>405648686.9844017</v>
      </c>
      <c r="U51" s="248">
        <f t="shared" si="51"/>
        <v>-77733714.869803429</v>
      </c>
      <c r="V51" s="248">
        <f t="shared" si="51"/>
        <v>268830674.14476204</v>
      </c>
      <c r="W51" s="248">
        <f t="shared" si="51"/>
        <v>142444821.72399521</v>
      </c>
      <c r="X51" s="248">
        <f t="shared" si="51"/>
        <v>104898892.57554054</v>
      </c>
      <c r="Y51" s="248">
        <f t="shared" si="51"/>
        <v>56153608.094058394</v>
      </c>
      <c r="Z51" s="248">
        <f t="shared" si="51"/>
        <v>112430228.57130182</v>
      </c>
      <c r="AA51" s="248">
        <f t="shared" si="51"/>
        <v>3734722.6114076376</v>
      </c>
      <c r="AB51" s="248">
        <f t="shared" si="51"/>
        <v>18055370.012963653</v>
      </c>
      <c r="AC51" s="248">
        <f t="shared" si="51"/>
        <v>157488832.03474939</v>
      </c>
      <c r="AD51" s="248">
        <f t="shared" si="51"/>
        <v>34116089.368741393</v>
      </c>
      <c r="AE51" s="248">
        <f t="shared" si="51"/>
        <v>123638468.90463388</v>
      </c>
      <c r="AF51" s="121"/>
      <c r="AG51" s="247">
        <f t="shared" si="51"/>
        <v>0</v>
      </c>
      <c r="AH51" s="247">
        <f t="shared" si="51"/>
        <v>0</v>
      </c>
      <c r="AI51" s="247">
        <f t="shared" si="51"/>
        <v>0</v>
      </c>
      <c r="AJ51" s="247">
        <f t="shared" si="51"/>
        <v>0</v>
      </c>
      <c r="AK51" s="247">
        <f t="shared" si="51"/>
        <v>0</v>
      </c>
      <c r="AL51" s="139"/>
      <c r="AM51" s="266"/>
    </row>
    <row r="52" spans="2:45" outlineLevel="1">
      <c r="B52" s="142"/>
      <c r="C52" s="143" t="str">
        <f>IF(B1="EN", "EBIT margin (%)", "Tỷ lệ EBIT (%)")</f>
        <v>Tỷ lệ EBIT (%)</v>
      </c>
      <c r="D52" s="143"/>
      <c r="E52" s="143"/>
      <c r="F52" s="188"/>
      <c r="G52" s="130"/>
      <c r="H52" s="130"/>
      <c r="I52" s="130"/>
      <c r="J52" s="130"/>
      <c r="K52" s="131"/>
      <c r="L52" s="131"/>
      <c r="M52" s="131"/>
      <c r="N52" s="131">
        <f t="shared" ref="N52:Q52" si="52">IFERROR(N51/N$7,)</f>
        <v>-9.5155921777347732E-2</v>
      </c>
      <c r="O52" s="131">
        <f t="shared" si="52"/>
        <v>-5.0121052800077011E-2</v>
      </c>
      <c r="P52" s="131">
        <f t="shared" si="52"/>
        <v>-3.7269941034914204E-2</v>
      </c>
      <c r="Q52" s="131">
        <f t="shared" si="52"/>
        <v>3.0847981464365067E-2</v>
      </c>
      <c r="R52" s="131">
        <f>IFERROR(R51/R$7,)</f>
        <v>7.6044588245405822E-3</v>
      </c>
      <c r="S52" s="131"/>
      <c r="T52" s="131">
        <f>T51/T7</f>
        <v>4.3061636191891267E-2</v>
      </c>
      <c r="U52" s="131">
        <f t="shared" ref="U52:AE52" si="53">U51/U7</f>
        <v>-1.3753037447468258E-2</v>
      </c>
      <c r="V52" s="131">
        <f t="shared" si="53"/>
        <v>2.160479897652209E-2</v>
      </c>
      <c r="W52" s="131">
        <f t="shared" si="53"/>
        <v>9.0271274708418701E-3</v>
      </c>
      <c r="X52" s="131">
        <f t="shared" si="53"/>
        <v>6.381827270617005E-3</v>
      </c>
      <c r="Y52" s="131">
        <f t="shared" si="53"/>
        <v>3.4162670232208122E-3</v>
      </c>
      <c r="Z52" s="131">
        <f t="shared" si="53"/>
        <v>6.5769402502485761E-3</v>
      </c>
      <c r="AA52" s="131">
        <f t="shared" si="53"/>
        <v>2.1817338866299946E-4</v>
      </c>
      <c r="AB52" s="131">
        <f t="shared" si="53"/>
        <v>1.0969407198143139E-3</v>
      </c>
      <c r="AC52" s="131">
        <f t="shared" si="53"/>
        <v>9.2070882088297785E-3</v>
      </c>
      <c r="AD52" s="131">
        <f t="shared" si="53"/>
        <v>2.0742692272463811E-3</v>
      </c>
      <c r="AE52" s="131">
        <f t="shared" si="53"/>
        <v>7.2325995682050587E-3</v>
      </c>
      <c r="AF52" s="131"/>
      <c r="AG52" s="131" t="e">
        <f t="shared" ref="AG52:AK52" si="54">AG51/AG$7</f>
        <v>#DIV/0!</v>
      </c>
      <c r="AH52" s="131" t="e">
        <f t="shared" si="54"/>
        <v>#DIV/0!</v>
      </c>
      <c r="AI52" s="131" t="e">
        <f t="shared" si="54"/>
        <v>#DIV/0!</v>
      </c>
      <c r="AJ52" s="131" t="e">
        <f t="shared" si="54"/>
        <v>#DIV/0!</v>
      </c>
      <c r="AK52" s="131" t="e">
        <f t="shared" si="54"/>
        <v>#DIV/0!</v>
      </c>
      <c r="AL52" s="144"/>
    </row>
    <row r="53" spans="2:45" outlineLevel="1">
      <c r="B53" s="267"/>
      <c r="C53" s="268" t="str">
        <f>IF(B1="EN", "Depreciation &amp; Amortization Total", "Tổng chi phí Khấu hao")</f>
        <v>Tổng chi phí Khấu hao</v>
      </c>
      <c r="D53" s="269"/>
      <c r="E53" s="269"/>
      <c r="F53" s="270"/>
      <c r="G53" s="183"/>
      <c r="H53" s="183"/>
      <c r="I53" s="183"/>
      <c r="J53" s="183"/>
      <c r="K53" s="184"/>
      <c r="L53" s="184"/>
      <c r="M53" s="184"/>
      <c r="N53" s="185">
        <v>2904227598</v>
      </c>
      <c r="O53" s="185">
        <v>3977819339</v>
      </c>
      <c r="P53" s="185">
        <f t="shared" ref="P53" si="55">P30+P48+P41</f>
        <v>4538384048</v>
      </c>
      <c r="Q53" s="185">
        <f>Q30+Q48+Q41</f>
        <v>4038298793</v>
      </c>
      <c r="R53" s="185">
        <f>R30+R48+R41</f>
        <v>2868759891.8222227</v>
      </c>
      <c r="S53" s="184"/>
      <c r="T53" s="185">
        <f t="shared" ref="T53:AE53" si="56">T30+T48+T41</f>
        <v>198196426.46666667</v>
      </c>
      <c r="U53" s="185">
        <f t="shared" si="56"/>
        <v>198557537.24444446</v>
      </c>
      <c r="V53" s="185">
        <f t="shared" si="56"/>
        <v>212724203.91111115</v>
      </c>
      <c r="W53" s="185">
        <f t="shared" si="56"/>
        <v>251710315.02222228</v>
      </c>
      <c r="X53" s="185">
        <f t="shared" si="56"/>
        <v>251710315.02222228</v>
      </c>
      <c r="Y53" s="185">
        <f t="shared" si="56"/>
        <v>251710315.02222228</v>
      </c>
      <c r="Z53" s="185">
        <f t="shared" si="56"/>
        <v>251710315.02222228</v>
      </c>
      <c r="AA53" s="185">
        <f t="shared" si="56"/>
        <v>251710315.02222228</v>
      </c>
      <c r="AB53" s="185">
        <f t="shared" si="56"/>
        <v>251710315.02222228</v>
      </c>
      <c r="AC53" s="185">
        <f t="shared" si="56"/>
        <v>251710315.02222228</v>
      </c>
      <c r="AD53" s="185">
        <f t="shared" si="56"/>
        <v>251710315.02222228</v>
      </c>
      <c r="AE53" s="185">
        <f t="shared" si="56"/>
        <v>245599204.02222228</v>
      </c>
      <c r="AF53" s="184"/>
      <c r="AG53" s="184">
        <f>AG48+AG41+AG30</f>
        <v>0</v>
      </c>
      <c r="AH53" s="184">
        <f t="shared" ref="AH53:AK53" si="57">AH48+AH41+AH30</f>
        <v>0</v>
      </c>
      <c r="AI53" s="184">
        <f t="shared" si="57"/>
        <v>0</v>
      </c>
      <c r="AJ53" s="184">
        <f t="shared" si="57"/>
        <v>0</v>
      </c>
      <c r="AK53" s="184">
        <f t="shared" si="57"/>
        <v>0</v>
      </c>
      <c r="AL53" s="271"/>
      <c r="AN53" s="235"/>
      <c r="AO53" s="235"/>
    </row>
    <row r="54" spans="2:45" s="277" customFormat="1" outlineLevel="1">
      <c r="B54" s="272"/>
      <c r="C54" s="273" t="str">
        <f>IF(B1="EN", "Depreciation on Net Sales (%)", "Tổng Chi phí Khấu hao / Doanh thu (%)")</f>
        <v>Tổng Chi phí Khấu hao / Doanh thu (%)</v>
      </c>
      <c r="D54" s="273"/>
      <c r="E54" s="273"/>
      <c r="F54" s="274"/>
      <c r="G54" s="275"/>
      <c r="H54" s="275"/>
      <c r="I54" s="275"/>
      <c r="J54" s="275"/>
      <c r="K54" s="276"/>
      <c r="L54" s="276"/>
      <c r="M54" s="276"/>
      <c r="N54" s="276">
        <f t="shared" ref="N54:Q54" si="58">IFERROR(N53/N7,)</f>
        <v>6.528993097138909E-2</v>
      </c>
      <c r="O54" s="276">
        <f t="shared" si="58"/>
        <v>6.2201589133416134E-2</v>
      </c>
      <c r="P54" s="276">
        <f t="shared" si="58"/>
        <v>5.8508651543492073E-2</v>
      </c>
      <c r="Q54" s="276">
        <f t="shared" si="58"/>
        <v>4.1984832463150837E-2</v>
      </c>
      <c r="R54" s="276">
        <f>IFERROR(R53/R7,)</f>
        <v>1.6163042530338179E-2</v>
      </c>
      <c r="S54" s="168"/>
      <c r="T54" s="276">
        <f>T53/T7</f>
        <v>2.1039541566095863E-2</v>
      </c>
      <c r="U54" s="276">
        <f t="shared" ref="U54:AE54" si="59">U53/U7</f>
        <v>3.5129792134258556E-2</v>
      </c>
      <c r="V54" s="276">
        <f t="shared" si="59"/>
        <v>1.7095756195088938E-2</v>
      </c>
      <c r="W54" s="276">
        <f t="shared" si="59"/>
        <v>1.5951587933705855E-2</v>
      </c>
      <c r="X54" s="276">
        <f t="shared" si="59"/>
        <v>1.5313524416357622E-2</v>
      </c>
      <c r="Y54" s="276">
        <f t="shared" si="59"/>
        <v>1.5313524416357622E-2</v>
      </c>
      <c r="Z54" s="276">
        <f t="shared" si="59"/>
        <v>1.4724542708036175E-2</v>
      </c>
      <c r="AA54" s="276">
        <f t="shared" si="59"/>
        <v>1.470430286364186E-2</v>
      </c>
      <c r="AB54" s="276">
        <f t="shared" si="59"/>
        <v>1.5292474978187535E-2</v>
      </c>
      <c r="AC54" s="276">
        <f t="shared" si="59"/>
        <v>1.471545025472396E-2</v>
      </c>
      <c r="AD54" s="276">
        <f t="shared" si="59"/>
        <v>1.5304068264912919E-2</v>
      </c>
      <c r="AE54" s="276">
        <f t="shared" si="59"/>
        <v>1.4367055113993374E-2</v>
      </c>
      <c r="AF54" s="168"/>
      <c r="AG54" s="276" t="e">
        <f t="shared" ref="AG54:AK54" si="60">AG53/AG7</f>
        <v>#DIV/0!</v>
      </c>
      <c r="AH54" s="276" t="e">
        <f t="shared" si="60"/>
        <v>#DIV/0!</v>
      </c>
      <c r="AI54" s="168" t="e">
        <f t="shared" si="60"/>
        <v>#DIV/0!</v>
      </c>
      <c r="AJ54" s="168" t="e">
        <f t="shared" si="60"/>
        <v>#DIV/0!</v>
      </c>
      <c r="AK54" s="168" t="e">
        <f t="shared" si="60"/>
        <v>#DIV/0!</v>
      </c>
      <c r="AL54" s="169"/>
    </row>
    <row r="55" spans="2:45" s="141" customFormat="1" ht="17" thickBot="1">
      <c r="B55" s="132" t="s">
        <v>112</v>
      </c>
      <c r="C55" s="133"/>
      <c r="D55" s="133"/>
      <c r="E55" s="133"/>
      <c r="F55" s="134"/>
      <c r="G55" s="136"/>
      <c r="H55" s="136"/>
      <c r="I55" s="136"/>
      <c r="J55" s="136"/>
      <c r="K55" s="136"/>
      <c r="L55" s="136"/>
      <c r="M55" s="136"/>
      <c r="N55" s="137">
        <f>N65+N53+N61+N59-N64</f>
        <v>-1301357270.4769211</v>
      </c>
      <c r="O55" s="137">
        <f>O65+O53+O61+O59-O64</f>
        <v>824572057</v>
      </c>
      <c r="P55" s="137">
        <f>P65+P53+P61+P59-P64</f>
        <v>1721938839.0333905</v>
      </c>
      <c r="Q55" s="137">
        <f>Q65+Q53+Q61+Q59-Q64</f>
        <v>7411733912</v>
      </c>
      <c r="R55" s="137">
        <f>R65+R53+R61+R59-R64</f>
        <v>4368466571.979003</v>
      </c>
      <c r="S55" s="138"/>
      <c r="T55" s="137">
        <f t="shared" ref="T55:AE55" si="61">T65+T53+T61+T59-T64</f>
        <v>623845113.4510684</v>
      </c>
      <c r="U55" s="137">
        <f t="shared" si="61"/>
        <v>140823822.37464103</v>
      </c>
      <c r="V55" s="137">
        <f t="shared" si="61"/>
        <v>501554878.05587316</v>
      </c>
      <c r="W55" s="137">
        <f t="shared" si="61"/>
        <v>404155136.74621749</v>
      </c>
      <c r="X55" s="137">
        <f t="shared" si="61"/>
        <v>366609207.59776282</v>
      </c>
      <c r="Y55" s="137">
        <f t="shared" si="61"/>
        <v>317863923.11628067</v>
      </c>
      <c r="Z55" s="137">
        <f t="shared" si="61"/>
        <v>374140543.5935241</v>
      </c>
      <c r="AA55" s="137">
        <f t="shared" si="61"/>
        <v>265445037.63362992</v>
      </c>
      <c r="AB55" s="137">
        <f t="shared" si="61"/>
        <v>279765685.03518593</v>
      </c>
      <c r="AC55" s="137">
        <f t="shared" si="61"/>
        <v>419199147.05697167</v>
      </c>
      <c r="AD55" s="137">
        <f t="shared" si="61"/>
        <v>295826404.39096367</v>
      </c>
      <c r="AE55" s="137">
        <f t="shared" si="61"/>
        <v>379237672.92685616</v>
      </c>
      <c r="AF55" s="121"/>
      <c r="AG55" s="136">
        <f t="shared" ref="AG55:AK55" si="62">AG51+AG53+AG57+AG63</f>
        <v>0</v>
      </c>
      <c r="AH55" s="136">
        <f t="shared" si="62"/>
        <v>0</v>
      </c>
      <c r="AI55" s="136">
        <f t="shared" si="62"/>
        <v>0</v>
      </c>
      <c r="AJ55" s="136">
        <f t="shared" si="62"/>
        <v>0</v>
      </c>
      <c r="AK55" s="136">
        <f t="shared" si="62"/>
        <v>0</v>
      </c>
      <c r="AL55" s="139"/>
      <c r="AM55" s="140"/>
      <c r="AN55" s="140"/>
      <c r="AO55" s="140"/>
      <c r="AP55" s="140"/>
      <c r="AQ55" s="140"/>
      <c r="AR55" s="140"/>
      <c r="AS55" s="140"/>
    </row>
    <row r="56" spans="2:45" s="279" customFormat="1" ht="17" thickTop="1">
      <c r="B56" s="223"/>
      <c r="C56" s="165" t="str">
        <f>IF(B1="EN", "EBITDA margin (%)", "Tỷ lệ EBITDA (%)")</f>
        <v>Tỷ lệ EBITDA (%)</v>
      </c>
      <c r="D56" s="165"/>
      <c r="E56" s="165"/>
      <c r="F56" s="278"/>
      <c r="G56" s="167"/>
      <c r="H56" s="167"/>
      <c r="I56" s="167"/>
      <c r="J56" s="167"/>
      <c r="K56" s="168"/>
      <c r="L56" s="168"/>
      <c r="M56" s="168"/>
      <c r="N56" s="168">
        <f>IFERROR(N55/N7,)</f>
        <v>-2.925580846937241E-2</v>
      </c>
      <c r="O56" s="168">
        <f t="shared" ref="O56:R56" si="63">IFERROR(O55/O7,)</f>
        <v>1.2893922003331532E-2</v>
      </c>
      <c r="P56" s="168">
        <f t="shared" si="63"/>
        <v>2.2199161297644755E-2</v>
      </c>
      <c r="Q56" s="168">
        <f t="shared" si="63"/>
        <v>7.7057301231938227E-2</v>
      </c>
      <c r="R56" s="168">
        <f t="shared" si="63"/>
        <v>2.461262484759837E-2</v>
      </c>
      <c r="S56" s="168"/>
      <c r="T56" s="168">
        <f>T55/T7</f>
        <v>6.6224277749362043E-2</v>
      </c>
      <c r="U56" s="168">
        <f t="shared" ref="U56:AE56" si="64">U55/U7</f>
        <v>2.4915254672415142E-2</v>
      </c>
      <c r="V56" s="168">
        <f t="shared" si="64"/>
        <v>4.0307871676340555E-2</v>
      </c>
      <c r="W56" s="168">
        <f t="shared" si="64"/>
        <v>2.5612443423691383E-2</v>
      </c>
      <c r="X56" s="168">
        <f t="shared" si="64"/>
        <v>2.2303730585352538E-2</v>
      </c>
      <c r="Y56" s="168">
        <f t="shared" si="64"/>
        <v>1.9338170337956345E-2</v>
      </c>
      <c r="Z56" s="168">
        <f t="shared" si="64"/>
        <v>2.1886462668263509E-2</v>
      </c>
      <c r="AA56" s="168">
        <f t="shared" si="64"/>
        <v>1.5506651869515609E-2</v>
      </c>
      <c r="AB56" s="168">
        <f t="shared" si="64"/>
        <v>1.6996958339901027E-2</v>
      </c>
      <c r="AC56" s="168">
        <f t="shared" si="64"/>
        <v>2.4507156946647082E-2</v>
      </c>
      <c r="AD56" s="168">
        <f t="shared" si="64"/>
        <v>1.7986340714576377E-2</v>
      </c>
      <c r="AE56" s="168">
        <f t="shared" si="64"/>
        <v>2.2184634392177192E-2</v>
      </c>
      <c r="AF56" s="168"/>
      <c r="AG56" s="168" t="e">
        <f t="shared" ref="AG56:AK56" si="65">AG55/AG7</f>
        <v>#DIV/0!</v>
      </c>
      <c r="AH56" s="168" t="e">
        <f t="shared" si="65"/>
        <v>#DIV/0!</v>
      </c>
      <c r="AI56" s="168" t="e">
        <f t="shared" si="65"/>
        <v>#DIV/0!</v>
      </c>
      <c r="AJ56" s="168" t="e">
        <f t="shared" si="65"/>
        <v>#DIV/0!</v>
      </c>
      <c r="AK56" s="168" t="e">
        <f t="shared" si="65"/>
        <v>#DIV/0!</v>
      </c>
      <c r="AL56" s="226"/>
      <c r="AM56" s="145"/>
      <c r="AN56" s="145"/>
      <c r="AO56" s="145"/>
      <c r="AP56" s="145"/>
      <c r="AQ56" s="145"/>
      <c r="AR56" s="145"/>
      <c r="AS56" s="145"/>
    </row>
    <row r="57" spans="2:45" outlineLevel="1">
      <c r="B57" s="280"/>
      <c r="C57" s="281" t="str">
        <f>IF(B1="EN", "Financial Income", "Doanh thu tài chính")</f>
        <v>Doanh thu tài chính</v>
      </c>
      <c r="D57" s="281"/>
      <c r="E57" s="281"/>
      <c r="F57" s="282"/>
      <c r="G57" s="183"/>
      <c r="H57" s="183"/>
      <c r="I57" s="183"/>
      <c r="J57" s="183"/>
      <c r="K57" s="184"/>
      <c r="L57" s="184"/>
      <c r="M57" s="184"/>
      <c r="N57" s="185">
        <f>[4]FIN!N36</f>
        <v>27142139</v>
      </c>
      <c r="O57" s="185">
        <f>[4]FIN!O36</f>
        <v>52016376</v>
      </c>
      <c r="P57" s="185">
        <f>[4]FIN!P36</f>
        <v>74500000</v>
      </c>
      <c r="Q57" s="185">
        <f>[4]FIN!Q36</f>
        <v>318990785</v>
      </c>
      <c r="R57" s="185">
        <f>[4]FIN!R36</f>
        <v>150000000</v>
      </c>
      <c r="S57" s="184"/>
      <c r="T57" s="185">
        <f>[4]PGM_phasing!C25</f>
        <v>20000000</v>
      </c>
      <c r="U57" s="185">
        <f>[4]PGM_phasing!D25</f>
        <v>20000000</v>
      </c>
      <c r="V57" s="185">
        <f>[4]PGM_phasing!E25</f>
        <v>20000000</v>
      </c>
      <c r="W57" s="185">
        <f>[4]PGM_phasing!F25</f>
        <v>10000000</v>
      </c>
      <c r="X57" s="185">
        <f>[4]PGM_phasing!G25</f>
        <v>10000000</v>
      </c>
      <c r="Y57" s="185">
        <f>[4]PGM_phasing!H25</f>
        <v>10000000</v>
      </c>
      <c r="Z57" s="185">
        <f>[4]PGM_phasing!I25</f>
        <v>10000000</v>
      </c>
      <c r="AA57" s="185">
        <f>[4]PGM_phasing!J25</f>
        <v>10000000</v>
      </c>
      <c r="AB57" s="185">
        <f>[4]PGM_phasing!K25</f>
        <v>10000000</v>
      </c>
      <c r="AC57" s="185">
        <f>[4]PGM_phasing!L25</f>
        <v>10000000</v>
      </c>
      <c r="AD57" s="185">
        <f>[4]PGM_phasing!M25</f>
        <v>10000000</v>
      </c>
      <c r="AE57" s="185">
        <f>[4]PGM_phasing!N25</f>
        <v>10000000</v>
      </c>
      <c r="AF57" s="184"/>
      <c r="AG57" s="184"/>
      <c r="AH57" s="184"/>
      <c r="AI57" s="184"/>
      <c r="AJ57" s="184"/>
      <c r="AK57" s="184"/>
      <c r="AL57" s="271"/>
      <c r="AM57" s="107"/>
    </row>
    <row r="58" spans="2:45" outlineLevel="1">
      <c r="B58" s="283"/>
      <c r="C58" s="284" t="str">
        <f>IF(B1="EN", "(%) Financial Income on Net Sales", "(%) Doanh thu tài chính / Doanh thu")</f>
        <v>(%) Doanh thu tài chính / Doanh thu</v>
      </c>
      <c r="F58" s="149"/>
      <c r="G58" s="150"/>
      <c r="H58" s="150"/>
      <c r="I58" s="150"/>
      <c r="J58" s="150"/>
      <c r="K58" s="285"/>
      <c r="L58" s="285"/>
      <c r="M58" s="286"/>
      <c r="N58" s="285">
        <f>IFERROR(N57/N7,)</f>
        <v>6.1018233658622777E-4</v>
      </c>
      <c r="O58" s="285">
        <f t="shared" ref="O58:R58" si="66">IFERROR(O57/O7,)</f>
        <v>8.1338566999241183E-4</v>
      </c>
      <c r="P58" s="285">
        <f t="shared" si="66"/>
        <v>9.6045078906688405E-4</v>
      </c>
      <c r="Q58" s="285">
        <f t="shared" si="66"/>
        <v>3.316439756446216E-3</v>
      </c>
      <c r="R58" s="285">
        <f t="shared" si="66"/>
        <v>8.4512349271960972E-4</v>
      </c>
      <c r="S58" s="285"/>
      <c r="T58" s="286">
        <f>T57/T7</f>
        <v>2.1230999913749065E-3</v>
      </c>
      <c r="U58" s="286">
        <f t="shared" ref="U58:AE58" si="67">U57/U7</f>
        <v>3.538499985624844E-3</v>
      </c>
      <c r="V58" s="286">
        <f t="shared" si="67"/>
        <v>1.6073165047295289E-3</v>
      </c>
      <c r="W58" s="286">
        <f t="shared" si="67"/>
        <v>6.3372801914365602E-4</v>
      </c>
      <c r="X58" s="286">
        <f t="shared" si="67"/>
        <v>6.0837889837790974E-4</v>
      </c>
      <c r="Y58" s="286">
        <f t="shared" si="67"/>
        <v>6.0837889837790974E-4</v>
      </c>
      <c r="Z58" s="286">
        <f t="shared" si="67"/>
        <v>5.8497970997875939E-4</v>
      </c>
      <c r="AA58" s="286">
        <f t="shared" si="67"/>
        <v>5.8417561721074837E-4</v>
      </c>
      <c r="AB58" s="286">
        <f t="shared" si="67"/>
        <v>6.0754264189917832E-4</v>
      </c>
      <c r="AC58" s="286">
        <f t="shared" si="67"/>
        <v>5.8461848309334502E-4</v>
      </c>
      <c r="AD58" s="286">
        <f t="shared" si="67"/>
        <v>6.0800322241707876E-4</v>
      </c>
      <c r="AE58" s="286">
        <f t="shared" si="67"/>
        <v>5.8497970997875939E-4</v>
      </c>
      <c r="AF58" s="285"/>
      <c r="AG58" s="285"/>
      <c r="AH58" s="285"/>
      <c r="AI58" s="285"/>
      <c r="AJ58" s="285"/>
      <c r="AK58" s="285"/>
      <c r="AL58" s="153"/>
    </row>
    <row r="59" spans="2:45" s="125" customFormat="1" hidden="1">
      <c r="B59" s="283"/>
      <c r="C59" s="237"/>
      <c r="F59" s="129" t="s">
        <v>113</v>
      </c>
      <c r="G59" s="130"/>
      <c r="H59" s="130"/>
      <c r="I59" s="130"/>
      <c r="J59" s="261"/>
      <c r="K59" s="287"/>
      <c r="L59" s="287"/>
      <c r="M59" s="287"/>
      <c r="N59" s="185"/>
      <c r="O59" s="185"/>
      <c r="P59" s="185"/>
      <c r="Q59" s="185"/>
      <c r="R59" s="185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131"/>
      <c r="AH59" s="131"/>
      <c r="AI59" s="131"/>
      <c r="AJ59" s="131"/>
      <c r="AK59" s="131"/>
      <c r="AL59" s="144"/>
      <c r="AN59" s="288"/>
    </row>
    <row r="60" spans="2:45" s="214" customFormat="1">
      <c r="B60" s="200" t="str">
        <f>IF(B1="EN", "Financial expenses", "Chi phí tài chính")</f>
        <v>Chi phí tài chính</v>
      </c>
      <c r="C60" s="289"/>
      <c r="D60" s="289"/>
      <c r="E60" s="289"/>
      <c r="F60" s="290"/>
      <c r="G60" s="291"/>
      <c r="H60" s="291"/>
      <c r="I60" s="291"/>
      <c r="J60" s="291"/>
      <c r="K60" s="292"/>
      <c r="L60" s="292"/>
      <c r="M60" s="292"/>
      <c r="N60" s="204">
        <f t="shared" ref="N60:AK60" si="68">N61</f>
        <v>0</v>
      </c>
      <c r="O60" s="204">
        <f t="shared" si="68"/>
        <v>0</v>
      </c>
      <c r="P60" s="204">
        <f t="shared" si="68"/>
        <v>0</v>
      </c>
      <c r="Q60" s="176">
        <f t="shared" si="68"/>
        <v>3187200</v>
      </c>
      <c r="R60" s="292">
        <f t="shared" si="68"/>
        <v>0</v>
      </c>
      <c r="S60" s="161"/>
      <c r="T60" s="292">
        <f t="shared" si="68"/>
        <v>0</v>
      </c>
      <c r="U60" s="292">
        <f t="shared" si="68"/>
        <v>0</v>
      </c>
      <c r="V60" s="292">
        <f t="shared" si="68"/>
        <v>0</v>
      </c>
      <c r="W60" s="292">
        <f t="shared" si="68"/>
        <v>0</v>
      </c>
      <c r="X60" s="292">
        <f t="shared" si="68"/>
        <v>0</v>
      </c>
      <c r="Y60" s="292">
        <f t="shared" si="68"/>
        <v>0</v>
      </c>
      <c r="Z60" s="292">
        <f t="shared" si="68"/>
        <v>0</v>
      </c>
      <c r="AA60" s="292">
        <f t="shared" si="68"/>
        <v>0</v>
      </c>
      <c r="AB60" s="292">
        <f t="shared" si="68"/>
        <v>0</v>
      </c>
      <c r="AC60" s="292">
        <f t="shared" si="68"/>
        <v>0</v>
      </c>
      <c r="AD60" s="292">
        <f t="shared" si="68"/>
        <v>0</v>
      </c>
      <c r="AE60" s="292">
        <f t="shared" si="68"/>
        <v>0</v>
      </c>
      <c r="AF60" s="161"/>
      <c r="AG60" s="292">
        <f t="shared" si="68"/>
        <v>0</v>
      </c>
      <c r="AH60" s="292">
        <f t="shared" si="68"/>
        <v>0</v>
      </c>
      <c r="AI60" s="204">
        <f t="shared" si="68"/>
        <v>0</v>
      </c>
      <c r="AJ60" s="204">
        <f t="shared" si="68"/>
        <v>0</v>
      </c>
      <c r="AK60" s="204">
        <f t="shared" si="68"/>
        <v>0</v>
      </c>
      <c r="AL60" s="162"/>
    </row>
    <row r="61" spans="2:45" outlineLevel="1">
      <c r="B61" s="280"/>
      <c r="C61" s="281" t="str">
        <f>IF(B1="EN", "In which: Interest expense", "Trong đó: Chi phí lãi vay")</f>
        <v>Trong đó: Chi phí lãi vay</v>
      </c>
      <c r="D61" s="281"/>
      <c r="E61" s="281"/>
      <c r="F61" s="282"/>
      <c r="G61" s="293"/>
      <c r="H61" s="293"/>
      <c r="I61" s="293"/>
      <c r="J61" s="293"/>
      <c r="K61" s="294"/>
      <c r="L61" s="294"/>
      <c r="M61" s="294"/>
      <c r="N61" s="184"/>
      <c r="O61" s="184"/>
      <c r="P61" s="184"/>
      <c r="Q61" s="185">
        <v>3187200</v>
      </c>
      <c r="R61" s="294">
        <f>[4]FIN!R23</f>
        <v>0</v>
      </c>
      <c r="S61" s="184"/>
      <c r="T61" s="294">
        <f>-[4]PGM_phasing!C27</f>
        <v>0</v>
      </c>
      <c r="U61" s="294">
        <f>-[4]PGM_phasing!D27</f>
        <v>0</v>
      </c>
      <c r="V61" s="294">
        <f>-[4]PGM_phasing!E27</f>
        <v>0</v>
      </c>
      <c r="W61" s="294">
        <f>-[4]PGM_phasing!F27</f>
        <v>0</v>
      </c>
      <c r="X61" s="294">
        <f>-[4]PGM_phasing!G27</f>
        <v>0</v>
      </c>
      <c r="Y61" s="294">
        <f>-[4]PGM_phasing!H27</f>
        <v>0</v>
      </c>
      <c r="Z61" s="294">
        <f>-[4]PGM_phasing!I27</f>
        <v>0</v>
      </c>
      <c r="AA61" s="294">
        <f>-[4]PGM_phasing!J27</f>
        <v>0</v>
      </c>
      <c r="AB61" s="294">
        <f>-[4]PGM_phasing!K27</f>
        <v>0</v>
      </c>
      <c r="AC61" s="294">
        <f>-[4]PGM_phasing!L27</f>
        <v>0</v>
      </c>
      <c r="AD61" s="294">
        <f>-[4]PGM_phasing!M27</f>
        <v>0</v>
      </c>
      <c r="AE61" s="294">
        <f>-[4]PGM_phasing!N27</f>
        <v>0</v>
      </c>
      <c r="AF61" s="184"/>
      <c r="AG61" s="294"/>
      <c r="AH61" s="294"/>
      <c r="AI61" s="294"/>
      <c r="AJ61" s="294"/>
      <c r="AK61" s="294"/>
      <c r="AL61" s="271"/>
      <c r="AM61" s="258"/>
    </row>
    <row r="62" spans="2:45" s="170" customFormat="1" outlineLevel="1">
      <c r="B62" s="295"/>
      <c r="C62" s="296" t="str">
        <f>IF(B1="EN", "(%) Interest Expenses on Net Sales", "(%) Chi phí lãi vay / Doanh thu")</f>
        <v>(%) Chi phí lãi vay / Doanh thu</v>
      </c>
      <c r="D62" s="296"/>
      <c r="E62" s="296"/>
      <c r="F62" s="166"/>
      <c r="G62" s="275"/>
      <c r="H62" s="275"/>
      <c r="I62" s="275"/>
      <c r="J62" s="275"/>
      <c r="K62" s="276"/>
      <c r="L62" s="276"/>
      <c r="M62" s="276"/>
      <c r="N62" s="168">
        <f>IFERROR(N61/N7,)</f>
        <v>0</v>
      </c>
      <c r="O62" s="168">
        <f t="shared" ref="O62:R62" si="69">IFERROR(O61/O7,)</f>
        <v>0</v>
      </c>
      <c r="P62" s="168">
        <f t="shared" si="69"/>
        <v>0</v>
      </c>
      <c r="Q62" s="168">
        <f t="shared" si="69"/>
        <v>3.3136244960008423E-5</v>
      </c>
      <c r="R62" s="168">
        <f t="shared" si="69"/>
        <v>0</v>
      </c>
      <c r="S62" s="168"/>
      <c r="T62" s="276">
        <f>T61/T7</f>
        <v>0</v>
      </c>
      <c r="U62" s="276">
        <f t="shared" ref="U62:AE62" si="70">U61/U7</f>
        <v>0</v>
      </c>
      <c r="V62" s="276">
        <f t="shared" si="70"/>
        <v>0</v>
      </c>
      <c r="W62" s="276">
        <f t="shared" si="70"/>
        <v>0</v>
      </c>
      <c r="X62" s="276">
        <f t="shared" si="70"/>
        <v>0</v>
      </c>
      <c r="Y62" s="276">
        <f t="shared" si="70"/>
        <v>0</v>
      </c>
      <c r="Z62" s="276">
        <f t="shared" si="70"/>
        <v>0</v>
      </c>
      <c r="AA62" s="276">
        <f t="shared" si="70"/>
        <v>0</v>
      </c>
      <c r="AB62" s="276">
        <f t="shared" si="70"/>
        <v>0</v>
      </c>
      <c r="AC62" s="276">
        <f t="shared" si="70"/>
        <v>0</v>
      </c>
      <c r="AD62" s="276">
        <f t="shared" si="70"/>
        <v>0</v>
      </c>
      <c r="AE62" s="276">
        <f t="shared" si="70"/>
        <v>0</v>
      </c>
      <c r="AF62" s="168"/>
      <c r="AG62" s="276" t="e">
        <f t="shared" ref="AG62:AK62" si="71">AG61/AG7</f>
        <v>#DIV/0!</v>
      </c>
      <c r="AH62" s="276" t="e">
        <f t="shared" si="71"/>
        <v>#DIV/0!</v>
      </c>
      <c r="AI62" s="276" t="e">
        <f t="shared" si="71"/>
        <v>#DIV/0!</v>
      </c>
      <c r="AJ62" s="276" t="e">
        <f t="shared" si="71"/>
        <v>#DIV/0!</v>
      </c>
      <c r="AK62" s="276" t="e">
        <f t="shared" si="71"/>
        <v>#DIV/0!</v>
      </c>
      <c r="AL62" s="169"/>
    </row>
    <row r="63" spans="2:45" outlineLevel="1">
      <c r="B63" s="267"/>
      <c r="C63" s="281" t="str">
        <f>IF(B1="EN", "Other income", "Thu nhập khác")</f>
        <v>Thu nhập khác</v>
      </c>
      <c r="D63" s="269"/>
      <c r="E63" s="269"/>
      <c r="F63" s="270"/>
      <c r="G63" s="183"/>
      <c r="H63" s="183"/>
      <c r="I63" s="183"/>
      <c r="J63" s="183"/>
      <c r="K63" s="184"/>
      <c r="L63" s="184"/>
      <c r="M63" s="184"/>
      <c r="N63" s="185">
        <f>[4]FCF!X10</f>
        <v>0</v>
      </c>
      <c r="O63" s="185">
        <f>[4]FCF!AR10</f>
        <v>0</v>
      </c>
      <c r="P63" s="185"/>
      <c r="Q63" s="185">
        <v>87340287</v>
      </c>
      <c r="R63" s="185">
        <f>[4]FCF!CH10</f>
        <v>0</v>
      </c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>
        <v>0</v>
      </c>
      <c r="AI63" s="184">
        <v>0</v>
      </c>
      <c r="AJ63" s="184">
        <v>0</v>
      </c>
      <c r="AK63" s="184">
        <v>0</v>
      </c>
      <c r="AL63" s="271"/>
      <c r="AM63" s="468"/>
    </row>
    <row r="64" spans="2:45" outlineLevel="1">
      <c r="B64" s="280"/>
      <c r="C64" s="281" t="str">
        <f>IF(B1="EN", "Other expenses (excluding EBITDA)", "Chi phí khác (Không gồm trong EBITDA)")</f>
        <v>Chi phí khác (Không gồm trong EBITDA)</v>
      </c>
      <c r="D64" s="281"/>
      <c r="E64" s="281"/>
      <c r="F64" s="282"/>
      <c r="G64" s="183"/>
      <c r="H64" s="183"/>
      <c r="I64" s="183"/>
      <c r="J64" s="183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271"/>
    </row>
    <row r="65" spans="2:45" s="141" customFormat="1">
      <c r="B65" s="243" t="str">
        <f>IF(B1="EN", "EBT", "LỢI NHUẬN TRƯỚC THUẾ")</f>
        <v>LỢI NHUẬN TRƯỚC THUẾ</v>
      </c>
      <c r="C65" s="244"/>
      <c r="D65" s="244"/>
      <c r="E65" s="244"/>
      <c r="F65" s="245"/>
      <c r="G65" s="246"/>
      <c r="H65" s="246"/>
      <c r="I65" s="246"/>
      <c r="J65" s="246"/>
      <c r="K65" s="247"/>
      <c r="L65" s="247"/>
      <c r="M65" s="247"/>
      <c r="N65" s="248">
        <f>N34-N36-N43+N57-N61+N63</f>
        <v>-4205584868.4769211</v>
      </c>
      <c r="O65" s="248">
        <f>O34-O36-O43+O57-O61+O63</f>
        <v>-3153247282</v>
      </c>
      <c r="P65" s="248">
        <f t="shared" ref="P65:AE65" si="72">P34-P36-P43+P57-P61+P63</f>
        <v>-2816445208.9666095</v>
      </c>
      <c r="Q65" s="248">
        <f>Q34-Q36-Q43+Q57-Q61+Q63</f>
        <v>3370247919</v>
      </c>
      <c r="R65" s="248">
        <f>R34-R36-R43+R57-R61+R63</f>
        <v>1499706680.1567802</v>
      </c>
      <c r="S65" s="138"/>
      <c r="T65" s="248">
        <f t="shared" si="72"/>
        <v>425648686.9844017</v>
      </c>
      <c r="U65" s="248">
        <f t="shared" si="72"/>
        <v>-57733714.869803429</v>
      </c>
      <c r="V65" s="248">
        <f t="shared" si="72"/>
        <v>288830674.14476204</v>
      </c>
      <c r="W65" s="248">
        <f t="shared" si="72"/>
        <v>152444821.72399521</v>
      </c>
      <c r="X65" s="248">
        <f t="shared" si="72"/>
        <v>114898892.57554054</v>
      </c>
      <c r="Y65" s="248">
        <f t="shared" si="72"/>
        <v>66153608.094058394</v>
      </c>
      <c r="Z65" s="248">
        <f t="shared" si="72"/>
        <v>122430228.57130182</v>
      </c>
      <c r="AA65" s="248">
        <f t="shared" si="72"/>
        <v>13734722.611407638</v>
      </c>
      <c r="AB65" s="248">
        <f t="shared" si="72"/>
        <v>28055370.012963653</v>
      </c>
      <c r="AC65" s="248">
        <f t="shared" si="72"/>
        <v>167488832.03474939</v>
      </c>
      <c r="AD65" s="248">
        <f t="shared" si="72"/>
        <v>44116089.368741393</v>
      </c>
      <c r="AE65" s="248">
        <f t="shared" si="72"/>
        <v>133638468.90463388</v>
      </c>
      <c r="AF65" s="121"/>
      <c r="AG65" s="247">
        <f t="shared" ref="AG65:AK65" si="73">AG51+AG57-AG60+AG63-AG64</f>
        <v>0</v>
      </c>
      <c r="AH65" s="247">
        <f t="shared" si="73"/>
        <v>0</v>
      </c>
      <c r="AI65" s="247">
        <f t="shared" si="73"/>
        <v>0</v>
      </c>
      <c r="AJ65" s="247">
        <f t="shared" si="73"/>
        <v>0</v>
      </c>
      <c r="AK65" s="247">
        <f t="shared" si="73"/>
        <v>0</v>
      </c>
      <c r="AL65" s="139"/>
      <c r="AM65" s="266"/>
      <c r="AN65" s="266"/>
    </row>
    <row r="66" spans="2:45" s="170" customFormat="1" outlineLevel="1">
      <c r="B66" s="163"/>
      <c r="C66" s="165" t="str">
        <f>IF(B1= "EN", "EBT margin (%)", "Tỷ lệ Lợi nhuận trước thuế (%)")</f>
        <v>Tỷ lệ Lợi nhuận trước thuế (%)</v>
      </c>
      <c r="D66" s="165"/>
      <c r="E66" s="165"/>
      <c r="F66" s="278"/>
      <c r="G66" s="167"/>
      <c r="H66" s="167"/>
      <c r="I66" s="167"/>
      <c r="J66" s="167"/>
      <c r="K66" s="168"/>
      <c r="L66" s="168"/>
      <c r="M66" s="168"/>
      <c r="N66" s="168">
        <f>IFERROR(N65/N$7,)</f>
        <v>-9.45457394407615E-2</v>
      </c>
      <c r="O66" s="168">
        <f t="shared" ref="O66:R66" si="74">IFERROR(O65/O$7,)</f>
        <v>-4.9307667130084602E-2</v>
      </c>
      <c r="P66" s="168">
        <f t="shared" si="74"/>
        <v>-3.6309490245847315E-2</v>
      </c>
      <c r="Q66" s="168">
        <f t="shared" si="74"/>
        <v>3.5039332523827377E-2</v>
      </c>
      <c r="R66" s="168">
        <f t="shared" si="74"/>
        <v>8.449582317260191E-3</v>
      </c>
      <c r="S66" s="168"/>
      <c r="T66" s="168">
        <f>T65/T7</f>
        <v>4.5184736183266169E-2</v>
      </c>
      <c r="U66" s="168">
        <f t="shared" ref="U66:AE66" si="75">U65/U7</f>
        <v>-1.0214537461843413E-2</v>
      </c>
      <c r="V66" s="168">
        <f t="shared" si="75"/>
        <v>2.321211548125162E-2</v>
      </c>
      <c r="W66" s="168">
        <f t="shared" si="75"/>
        <v>9.6608554899855256E-3</v>
      </c>
      <c r="X66" s="168">
        <f t="shared" si="75"/>
        <v>6.990206168994915E-3</v>
      </c>
      <c r="Y66" s="168">
        <f t="shared" si="75"/>
        <v>4.0246459215987221E-3</v>
      </c>
      <c r="Z66" s="168">
        <f t="shared" si="75"/>
        <v>7.1619199602273361E-3</v>
      </c>
      <c r="AA66" s="168">
        <f t="shared" si="75"/>
        <v>8.0234900587374783E-4</v>
      </c>
      <c r="AB66" s="168">
        <f t="shared" si="75"/>
        <v>1.7044833617134922E-3</v>
      </c>
      <c r="AC66" s="168">
        <f t="shared" si="75"/>
        <v>9.7917066919231237E-3</v>
      </c>
      <c r="AD66" s="168">
        <f t="shared" si="75"/>
        <v>2.68227244966346E-3</v>
      </c>
      <c r="AE66" s="168">
        <f t="shared" si="75"/>
        <v>7.8175792781838178E-3</v>
      </c>
      <c r="AF66" s="168"/>
      <c r="AG66" s="168" t="e">
        <f t="shared" ref="AG66:AK66" si="76">AG65/AG$7</f>
        <v>#DIV/0!</v>
      </c>
      <c r="AH66" s="168" t="e">
        <f t="shared" si="76"/>
        <v>#DIV/0!</v>
      </c>
      <c r="AI66" s="168" t="e">
        <f t="shared" si="76"/>
        <v>#DIV/0!</v>
      </c>
      <c r="AJ66" s="168" t="e">
        <f t="shared" si="76"/>
        <v>#DIV/0!</v>
      </c>
      <c r="AK66" s="168" t="e">
        <f t="shared" si="76"/>
        <v>#DIV/0!</v>
      </c>
      <c r="AL66" s="169"/>
    </row>
    <row r="67" spans="2:45" s="125" customFormat="1" outlineLevel="1">
      <c r="B67" s="297"/>
      <c r="C67" s="298" t="str">
        <f>IF(B1="EN", "CIT", "Thuế")</f>
        <v>Thuế</v>
      </c>
      <c r="D67" s="298"/>
      <c r="E67" s="298"/>
      <c r="F67" s="299"/>
      <c r="G67" s="300"/>
      <c r="H67" s="300"/>
      <c r="I67" s="300"/>
      <c r="J67" s="300"/>
      <c r="K67" s="301"/>
      <c r="L67" s="301"/>
      <c r="M67" s="301"/>
      <c r="N67" s="301"/>
      <c r="O67" s="301"/>
      <c r="P67" s="301"/>
      <c r="Q67" s="301"/>
      <c r="R67" s="301">
        <f>R65*[4]CIT!S9+[4]CIT!S24</f>
        <v>0</v>
      </c>
      <c r="S67" s="184"/>
      <c r="T67" s="184">
        <f>-[4]PGM_phasing!C43</f>
        <v>0</v>
      </c>
      <c r="U67" s="184">
        <f>-[4]PGM_phasing!D43</f>
        <v>0</v>
      </c>
      <c r="V67" s="184">
        <f>-[4]PGM_phasing!E43</f>
        <v>0</v>
      </c>
      <c r="W67" s="184">
        <f>-[4]PGM_phasing!F43</f>
        <v>0</v>
      </c>
      <c r="X67" s="184">
        <f>-[4]PGM_phasing!G43</f>
        <v>0</v>
      </c>
      <c r="Y67" s="184">
        <f>-[4]PGM_phasing!H43</f>
        <v>0</v>
      </c>
      <c r="Z67" s="184">
        <f>-[4]PGM_phasing!I43</f>
        <v>0</v>
      </c>
      <c r="AA67" s="184">
        <f>-[4]PGM_phasing!J43</f>
        <v>0</v>
      </c>
      <c r="AB67" s="184">
        <f>-[4]PGM_phasing!K43</f>
        <v>0</v>
      </c>
      <c r="AC67" s="184">
        <f>-[4]PGM_phasing!L43</f>
        <v>0</v>
      </c>
      <c r="AD67" s="184">
        <f>-[4]PGM_phasing!M43</f>
        <v>0</v>
      </c>
      <c r="AE67" s="184">
        <f>-[4]PGM_phasing!N43</f>
        <v>0</v>
      </c>
      <c r="AF67" s="184"/>
      <c r="AG67" s="184"/>
      <c r="AH67" s="184"/>
      <c r="AI67" s="184"/>
      <c r="AJ67" s="184"/>
      <c r="AK67" s="184"/>
      <c r="AL67" s="271"/>
      <c r="AM67" s="304"/>
    </row>
    <row r="68" spans="2:45" outlineLevel="1">
      <c r="B68" s="297"/>
      <c r="C68" s="305" t="str">
        <f>IF(B1="EN", "CIT rate (%)", "Thuế suất Thuế TNDN (%)")</f>
        <v>Thuế suất Thuế TNDN (%)</v>
      </c>
      <c r="D68" s="181"/>
      <c r="E68" s="181"/>
      <c r="F68" s="180"/>
      <c r="G68" s="150"/>
      <c r="H68" s="150"/>
      <c r="I68" s="150"/>
      <c r="J68" s="150"/>
      <c r="K68" s="285"/>
      <c r="L68" s="285"/>
      <c r="M68" s="285"/>
      <c r="N68" s="285">
        <f>IFERROR(N67/N65,)</f>
        <v>0</v>
      </c>
      <c r="O68" s="285">
        <f t="shared" ref="O68:R68" si="77">IFERROR(O67/O65,)</f>
        <v>0</v>
      </c>
      <c r="P68" s="285">
        <f t="shared" si="77"/>
        <v>0</v>
      </c>
      <c r="Q68" s="285">
        <f t="shared" si="77"/>
        <v>0</v>
      </c>
      <c r="R68" s="285">
        <f t="shared" si="77"/>
        <v>0</v>
      </c>
      <c r="S68" s="285"/>
      <c r="T68" s="285">
        <f>T67/T65</f>
        <v>0</v>
      </c>
      <c r="U68" s="285">
        <f t="shared" ref="U68:AE68" si="78">U67/U65</f>
        <v>0</v>
      </c>
      <c r="V68" s="285">
        <f t="shared" si="78"/>
        <v>0</v>
      </c>
      <c r="W68" s="285">
        <f t="shared" si="78"/>
        <v>0</v>
      </c>
      <c r="X68" s="285">
        <f t="shared" si="78"/>
        <v>0</v>
      </c>
      <c r="Y68" s="285">
        <f t="shared" si="78"/>
        <v>0</v>
      </c>
      <c r="Z68" s="285">
        <f t="shared" si="78"/>
        <v>0</v>
      </c>
      <c r="AA68" s="285">
        <f t="shared" si="78"/>
        <v>0</v>
      </c>
      <c r="AB68" s="285">
        <f t="shared" si="78"/>
        <v>0</v>
      </c>
      <c r="AC68" s="285">
        <f t="shared" si="78"/>
        <v>0</v>
      </c>
      <c r="AD68" s="285">
        <f t="shared" si="78"/>
        <v>0</v>
      </c>
      <c r="AE68" s="285">
        <f t="shared" si="78"/>
        <v>0</v>
      </c>
      <c r="AF68" s="285"/>
      <c r="AG68" s="286" t="e">
        <f>AG67/AG65</f>
        <v>#DIV/0!</v>
      </c>
      <c r="AH68" s="286" t="e">
        <f t="shared" ref="AH68:AK68" si="79">AH67/AH65</f>
        <v>#DIV/0!</v>
      </c>
      <c r="AI68" s="286" t="e">
        <f t="shared" si="79"/>
        <v>#DIV/0!</v>
      </c>
      <c r="AJ68" s="286" t="e">
        <f t="shared" si="79"/>
        <v>#DIV/0!</v>
      </c>
      <c r="AK68" s="286" t="e">
        <f t="shared" si="79"/>
        <v>#DIV/0!</v>
      </c>
      <c r="AL68" s="153"/>
    </row>
    <row r="69" spans="2:45" s="170" customFormat="1" ht="17" thickBot="1">
      <c r="B69" s="306" t="str">
        <f>IF(B1="en","NET PROFIT AFTER TAX","LỢI NHUẬN SAU THUẾ")</f>
        <v>LỢI NHUẬN SAU THUẾ</v>
      </c>
      <c r="C69" s="307"/>
      <c r="D69" s="307"/>
      <c r="E69" s="307"/>
      <c r="F69" s="307"/>
      <c r="G69" s="135"/>
      <c r="H69" s="135"/>
      <c r="I69" s="135"/>
      <c r="J69" s="135"/>
      <c r="K69" s="136"/>
      <c r="L69" s="136"/>
      <c r="M69" s="136"/>
      <c r="N69" s="137">
        <f>N65-N67</f>
        <v>-4205584868.4769211</v>
      </c>
      <c r="O69" s="137">
        <f>O65-O67</f>
        <v>-3153247282</v>
      </c>
      <c r="P69" s="137">
        <f t="shared" ref="P69" si="80">P65-P67</f>
        <v>-2816445208.9666095</v>
      </c>
      <c r="Q69" s="137">
        <f>Q65-Q67</f>
        <v>3370247919</v>
      </c>
      <c r="R69" s="137">
        <f>R65-R67</f>
        <v>1499706680.1567802</v>
      </c>
      <c r="S69" s="138"/>
      <c r="T69" s="137">
        <f>T65-T67</f>
        <v>425648686.9844017</v>
      </c>
      <c r="U69" s="137">
        <f t="shared" ref="U69:AE69" si="81">U65-U67</f>
        <v>-57733714.869803429</v>
      </c>
      <c r="V69" s="137">
        <f t="shared" si="81"/>
        <v>288830674.14476204</v>
      </c>
      <c r="W69" s="137">
        <f t="shared" si="81"/>
        <v>152444821.72399521</v>
      </c>
      <c r="X69" s="137">
        <f t="shared" si="81"/>
        <v>114898892.57554054</v>
      </c>
      <c r="Y69" s="137">
        <f t="shared" si="81"/>
        <v>66153608.094058394</v>
      </c>
      <c r="Z69" s="137">
        <f t="shared" si="81"/>
        <v>122430228.57130182</v>
      </c>
      <c r="AA69" s="137">
        <f t="shared" si="81"/>
        <v>13734722.611407638</v>
      </c>
      <c r="AB69" s="137">
        <f t="shared" si="81"/>
        <v>28055370.012963653</v>
      </c>
      <c r="AC69" s="137">
        <f t="shared" si="81"/>
        <v>167488832.03474939</v>
      </c>
      <c r="AD69" s="137">
        <f t="shared" si="81"/>
        <v>44116089.368741393</v>
      </c>
      <c r="AE69" s="137">
        <f t="shared" si="81"/>
        <v>133638468.90463388</v>
      </c>
      <c r="AF69" s="121"/>
      <c r="AG69" s="136">
        <f t="shared" ref="AG69:AK69" si="82">AG65-AG67</f>
        <v>0</v>
      </c>
      <c r="AH69" s="136">
        <f t="shared" si="82"/>
        <v>0</v>
      </c>
      <c r="AI69" s="136">
        <f t="shared" si="82"/>
        <v>0</v>
      </c>
      <c r="AJ69" s="136">
        <f t="shared" si="82"/>
        <v>0</v>
      </c>
      <c r="AK69" s="136">
        <f t="shared" si="82"/>
        <v>0</v>
      </c>
      <c r="AL69" s="308"/>
      <c r="AM69" s="309"/>
      <c r="AN69" s="140"/>
      <c r="AO69" s="309"/>
      <c r="AP69" s="309"/>
      <c r="AQ69" s="309"/>
      <c r="AR69" s="309"/>
      <c r="AS69" s="140"/>
    </row>
    <row r="70" spans="2:45" s="277" customFormat="1" ht="17" thickTop="1">
      <c r="B70" s="164"/>
      <c r="C70" s="165" t="str">
        <f>IF(B1="EN", "NET PROFIT margin (%)", "Tỷ lệ LỢI NHUẬN SAU THUẾ (%)")</f>
        <v>Tỷ lệ LỢI NHUẬN SAU THUẾ (%)</v>
      </c>
      <c r="D70" s="165"/>
      <c r="E70" s="165"/>
      <c r="F70" s="165"/>
      <c r="G70" s="169"/>
      <c r="H70" s="169"/>
      <c r="I70" s="169"/>
      <c r="J70" s="169"/>
      <c r="K70" s="310"/>
      <c r="L70" s="310"/>
      <c r="M70" s="310"/>
      <c r="N70" s="310">
        <f>IFERROR(N69/N7,)</f>
        <v>-9.45457394407615E-2</v>
      </c>
      <c r="O70" s="310">
        <f t="shared" ref="O70:Q70" si="83">IFERROR(O69/O7,)</f>
        <v>-4.9307667130084602E-2</v>
      </c>
      <c r="P70" s="310">
        <f t="shared" si="83"/>
        <v>-3.6309490245847315E-2</v>
      </c>
      <c r="Q70" s="310">
        <f t="shared" si="83"/>
        <v>3.5039332523827377E-2</v>
      </c>
      <c r="R70" s="310">
        <f>IFERROR(R69/R7,)</f>
        <v>8.449582317260191E-3</v>
      </c>
      <c r="S70" s="310"/>
      <c r="T70" s="310">
        <f>T69/T7</f>
        <v>4.5184736183266169E-2</v>
      </c>
      <c r="U70" s="310">
        <f t="shared" ref="U70:AE70" si="84">U69/U7</f>
        <v>-1.0214537461843413E-2</v>
      </c>
      <c r="V70" s="310">
        <f t="shared" si="84"/>
        <v>2.321211548125162E-2</v>
      </c>
      <c r="W70" s="310">
        <f t="shared" si="84"/>
        <v>9.6608554899855256E-3</v>
      </c>
      <c r="X70" s="310">
        <f t="shared" si="84"/>
        <v>6.990206168994915E-3</v>
      </c>
      <c r="Y70" s="310">
        <f t="shared" si="84"/>
        <v>4.0246459215987221E-3</v>
      </c>
      <c r="Z70" s="310">
        <f t="shared" si="84"/>
        <v>7.1619199602273361E-3</v>
      </c>
      <c r="AA70" s="310">
        <f t="shared" si="84"/>
        <v>8.0234900587374783E-4</v>
      </c>
      <c r="AB70" s="310">
        <f t="shared" si="84"/>
        <v>1.7044833617134922E-3</v>
      </c>
      <c r="AC70" s="310">
        <f t="shared" si="84"/>
        <v>9.7917066919231237E-3</v>
      </c>
      <c r="AD70" s="310">
        <f t="shared" si="84"/>
        <v>2.68227244966346E-3</v>
      </c>
      <c r="AE70" s="310">
        <f t="shared" si="84"/>
        <v>7.8175792781838178E-3</v>
      </c>
      <c r="AF70" s="310"/>
      <c r="AG70" s="310" t="e">
        <f t="shared" ref="AG70:AK70" si="85">AG69/AG7</f>
        <v>#DIV/0!</v>
      </c>
      <c r="AH70" s="310" t="e">
        <f t="shared" si="85"/>
        <v>#DIV/0!</v>
      </c>
      <c r="AI70" s="310" t="e">
        <f t="shared" si="85"/>
        <v>#DIV/0!</v>
      </c>
      <c r="AJ70" s="310" t="e">
        <f t="shared" si="85"/>
        <v>#DIV/0!</v>
      </c>
      <c r="AK70" s="310" t="e">
        <f t="shared" si="85"/>
        <v>#DIV/0!</v>
      </c>
      <c r="AL70" s="169"/>
      <c r="AM70" s="145"/>
      <c r="AN70" s="145"/>
      <c r="AO70" s="145"/>
      <c r="AP70" s="145"/>
      <c r="AQ70" s="145"/>
      <c r="AR70" s="145"/>
      <c r="AS70" s="145"/>
    </row>
    <row r="71" spans="2:45">
      <c r="H71" s="311"/>
      <c r="I71" s="311"/>
      <c r="J71" s="311"/>
      <c r="K71" s="312"/>
      <c r="L71" s="312"/>
      <c r="M71" s="312"/>
      <c r="N71" s="312"/>
      <c r="O71" s="312"/>
      <c r="P71" s="312"/>
      <c r="Q71" s="312"/>
      <c r="R71" s="312"/>
      <c r="S71" s="313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3"/>
      <c r="AG71" s="314"/>
      <c r="AH71" s="314"/>
      <c r="AI71" s="314"/>
      <c r="AJ71" s="314"/>
      <c r="AK71" s="314"/>
      <c r="AL71" s="315"/>
    </row>
    <row r="72" spans="2:45">
      <c r="B72" s="111" t="str">
        <f>IF(B1="EN", "BALANCE SHEET", "CÂN ĐỐI KẾ TOÁN")</f>
        <v>CÂN ĐỐI KẾ TOÁN</v>
      </c>
      <c r="C72" s="112"/>
      <c r="D72" s="112"/>
      <c r="E72" s="112"/>
      <c r="F72" s="113"/>
      <c r="G72" s="114"/>
      <c r="H72" s="114"/>
      <c r="I72" s="114"/>
      <c r="J72" s="115"/>
      <c r="K72" s="101"/>
      <c r="L72" s="101"/>
      <c r="M72" s="101"/>
      <c r="N72" s="101">
        <f t="shared" ref="N72:AK72" si="86">N4</f>
        <v>2023</v>
      </c>
      <c r="O72" s="101">
        <f t="shared" si="86"/>
        <v>2024</v>
      </c>
      <c r="P72" s="102" t="str">
        <f t="shared" si="86"/>
        <v>2025P</v>
      </c>
      <c r="Q72" s="103" t="str">
        <f t="shared" si="86"/>
        <v>2025E</v>
      </c>
      <c r="R72" s="104" t="str">
        <f t="shared" si="86"/>
        <v>2026P</v>
      </c>
      <c r="S72" s="105"/>
      <c r="T72" s="104">
        <f>T2</f>
        <v>1</v>
      </c>
      <c r="U72" s="104">
        <f t="shared" ref="U72:AE72" si="87">U2</f>
        <v>2</v>
      </c>
      <c r="V72" s="104">
        <f t="shared" si="87"/>
        <v>3</v>
      </c>
      <c r="W72" s="104">
        <f t="shared" si="87"/>
        <v>4</v>
      </c>
      <c r="X72" s="104">
        <f t="shared" si="87"/>
        <v>5</v>
      </c>
      <c r="Y72" s="104">
        <f t="shared" si="87"/>
        <v>6</v>
      </c>
      <c r="Z72" s="104">
        <f t="shared" si="87"/>
        <v>7</v>
      </c>
      <c r="AA72" s="104">
        <f t="shared" si="87"/>
        <v>8</v>
      </c>
      <c r="AB72" s="104">
        <f t="shared" si="87"/>
        <v>9</v>
      </c>
      <c r="AC72" s="104">
        <f t="shared" si="87"/>
        <v>10</v>
      </c>
      <c r="AD72" s="104">
        <f t="shared" si="87"/>
        <v>11</v>
      </c>
      <c r="AE72" s="104">
        <f t="shared" si="87"/>
        <v>12</v>
      </c>
      <c r="AF72" s="105"/>
      <c r="AG72" s="106" t="str">
        <f t="shared" si="86"/>
        <v>2027 MTP</v>
      </c>
      <c r="AH72" s="106" t="str">
        <f t="shared" si="86"/>
        <v>2028 MTP</v>
      </c>
      <c r="AI72" s="106" t="str">
        <f t="shared" si="86"/>
        <v>2029 MTP</v>
      </c>
      <c r="AJ72" s="106" t="str">
        <f t="shared" si="86"/>
        <v>2030 MTP</v>
      </c>
      <c r="AK72" s="106" t="str">
        <f t="shared" si="86"/>
        <v>2031 MTP</v>
      </c>
      <c r="AL72" s="316"/>
    </row>
    <row r="73" spans="2:45">
      <c r="B73" s="126" t="str">
        <f>IF(B1="EN", "SHORT-TERM ASSETS", "TÀI SẢN NGẮN HẠN")</f>
        <v>TÀI SẢN NGẮN HẠN</v>
      </c>
      <c r="C73" s="123"/>
      <c r="D73" s="123"/>
      <c r="E73" s="317"/>
      <c r="F73" s="318"/>
      <c r="G73" s="319"/>
      <c r="H73" s="319"/>
      <c r="I73" s="319"/>
      <c r="J73" s="319"/>
      <c r="K73" s="320"/>
      <c r="L73" s="320"/>
      <c r="M73" s="320"/>
      <c r="N73" s="321">
        <f>N74+N77+N81+N83</f>
        <v>19380683843</v>
      </c>
      <c r="O73" s="321">
        <f>O74+O77+O81+O83</f>
        <v>14561484626</v>
      </c>
      <c r="P73" s="322">
        <f>P74+P77+P81+P83</f>
        <v>15387383036.881685</v>
      </c>
      <c r="Q73" s="323">
        <f t="shared" ref="Q73:AE73" si="88">Q74+Q77+Q81+Q83</f>
        <v>15868532274</v>
      </c>
      <c r="R73" s="324">
        <f>R74+R77+R81+R83</f>
        <v>14112489702.89212</v>
      </c>
      <c r="S73" s="324"/>
      <c r="T73" s="324">
        <f t="shared" si="88"/>
        <v>15291175392.568771</v>
      </c>
      <c r="U73" s="324">
        <f t="shared" si="88"/>
        <v>13913718107.933693</v>
      </c>
      <c r="V73" s="324">
        <f t="shared" si="88"/>
        <v>14547848718.855263</v>
      </c>
      <c r="W73" s="324">
        <f t="shared" si="88"/>
        <v>12744772021.829531</v>
      </c>
      <c r="X73" s="324">
        <f t="shared" si="88"/>
        <v>13158125530.170523</v>
      </c>
      <c r="Y73" s="324">
        <f t="shared" si="88"/>
        <v>13478321024.375692</v>
      </c>
      <c r="Z73" s="324">
        <f t="shared" si="88"/>
        <v>13891290879.870735</v>
      </c>
      <c r="AA73" s="324">
        <f t="shared" si="88"/>
        <v>14154104953.101692</v>
      </c>
      <c r="AB73" s="324">
        <f t="shared" si="88"/>
        <v>14400326439.976772</v>
      </c>
      <c r="AC73" s="324">
        <f t="shared" si="88"/>
        <v>14854488324.565624</v>
      </c>
      <c r="AD73" s="324">
        <f t="shared" si="88"/>
        <v>15114906380.334322</v>
      </c>
      <c r="AE73" s="324">
        <f t="shared" si="88"/>
        <v>14112489702.89212</v>
      </c>
      <c r="AF73" s="325"/>
      <c r="AG73" s="320"/>
      <c r="AH73" s="320"/>
      <c r="AI73" s="320"/>
      <c r="AJ73" s="320"/>
      <c r="AK73" s="320"/>
      <c r="AL73" s="326"/>
    </row>
    <row r="74" spans="2:45">
      <c r="B74" s="327" t="str">
        <f>IF(B1="EN", "Cash &amp; cash equivalent", "Tiền mặt &amp; tương đương tiền")</f>
        <v>Tiền mặt &amp; tương đương tiền</v>
      </c>
      <c r="C74" s="123"/>
      <c r="D74" s="123"/>
      <c r="E74" s="317"/>
      <c r="F74" s="318"/>
      <c r="G74" s="319"/>
      <c r="H74" s="319"/>
      <c r="I74" s="319"/>
      <c r="J74" s="319"/>
      <c r="K74" s="320"/>
      <c r="L74" s="320"/>
      <c r="M74" s="320"/>
      <c r="N74" s="321">
        <f t="shared" ref="N74:AE74" si="89">SUM(N75:N76)</f>
        <v>7453392869</v>
      </c>
      <c r="O74" s="321">
        <f t="shared" si="89"/>
        <v>11072243110</v>
      </c>
      <c r="P74" s="322">
        <f t="shared" si="89"/>
        <v>12088856275.795015</v>
      </c>
      <c r="Q74" s="323">
        <f t="shared" si="89"/>
        <v>12687250220</v>
      </c>
      <c r="R74" s="324">
        <f t="shared" ref="R74:R122" si="90">AE74</f>
        <v>5517919367.4326763</v>
      </c>
      <c r="S74" s="324"/>
      <c r="T74" s="324">
        <f t="shared" si="89"/>
        <v>10441894229.637711</v>
      </c>
      <c r="U74" s="324">
        <f t="shared" si="89"/>
        <v>10942123564.282391</v>
      </c>
      <c r="V74" s="324">
        <f t="shared" si="89"/>
        <v>8079985322.2326097</v>
      </c>
      <c r="W74" s="324">
        <f t="shared" si="89"/>
        <v>4827379144.0039339</v>
      </c>
      <c r="X74" s="324">
        <f t="shared" si="89"/>
        <v>4916117077.3079576</v>
      </c>
      <c r="Y74" s="324">
        <f t="shared" si="89"/>
        <v>5231766907.4697647</v>
      </c>
      <c r="Z74" s="324">
        <f t="shared" si="89"/>
        <v>5319946021.8064241</v>
      </c>
      <c r="AA74" s="324">
        <f t="shared" si="89"/>
        <v>5572570050.3304968</v>
      </c>
      <c r="AB74" s="324">
        <f t="shared" si="89"/>
        <v>6134525578.0438528</v>
      </c>
      <c r="AC74" s="324">
        <f t="shared" si="89"/>
        <v>6266716464.4586353</v>
      </c>
      <c r="AD74" s="324">
        <f t="shared" si="89"/>
        <v>6842754082.4283838</v>
      </c>
      <c r="AE74" s="324">
        <f t="shared" si="89"/>
        <v>5517919367.4326763</v>
      </c>
      <c r="AF74" s="325"/>
      <c r="AG74" s="320"/>
      <c r="AH74" s="320"/>
      <c r="AI74" s="320"/>
      <c r="AJ74" s="320"/>
      <c r="AK74" s="320"/>
      <c r="AL74" s="326"/>
      <c r="AN74" s="107"/>
    </row>
    <row r="75" spans="2:45" outlineLevel="1">
      <c r="B75" s="328"/>
      <c r="C75" s="329" t="str">
        <f>IF(B1="EN", "Cash &amp; cash equivalent", "Tiền mặt &amp; tương đương tiền")</f>
        <v>Tiền mặt &amp; tương đương tiền</v>
      </c>
      <c r="D75" s="329"/>
      <c r="E75" s="330"/>
      <c r="F75" s="331"/>
      <c r="G75" s="332"/>
      <c r="H75" s="332"/>
      <c r="I75" s="332"/>
      <c r="J75" s="332"/>
      <c r="K75" s="333"/>
      <c r="L75" s="333"/>
      <c r="M75" s="333"/>
      <c r="N75" s="334">
        <v>7453392869</v>
      </c>
      <c r="O75" s="334">
        <v>11072243110</v>
      </c>
      <c r="P75" s="335">
        <f>P153</f>
        <v>12088856275.795015</v>
      </c>
      <c r="Q75" s="336">
        <v>12687250220</v>
      </c>
      <c r="R75" s="337">
        <f>AE75</f>
        <v>5517919367.4326763</v>
      </c>
      <c r="S75" s="337"/>
      <c r="T75" s="337">
        <f>T153</f>
        <v>10441894229.637711</v>
      </c>
      <c r="U75" s="337">
        <f t="shared" ref="U75:AD75" si="91">U153</f>
        <v>10942123564.282391</v>
      </c>
      <c r="V75" s="337">
        <f t="shared" si="91"/>
        <v>8079985322.2326097</v>
      </c>
      <c r="W75" s="337">
        <f t="shared" si="91"/>
        <v>4827379144.0039339</v>
      </c>
      <c r="X75" s="337">
        <f t="shared" si="91"/>
        <v>4916117077.3079576</v>
      </c>
      <c r="Y75" s="337">
        <f t="shared" si="91"/>
        <v>5231766907.4697647</v>
      </c>
      <c r="Z75" s="337">
        <f t="shared" si="91"/>
        <v>5319946021.8064241</v>
      </c>
      <c r="AA75" s="337">
        <f t="shared" si="91"/>
        <v>5572570050.3304968</v>
      </c>
      <c r="AB75" s="337">
        <f t="shared" si="91"/>
        <v>6134525578.0438528</v>
      </c>
      <c r="AC75" s="337">
        <f t="shared" si="91"/>
        <v>6266716464.4586353</v>
      </c>
      <c r="AD75" s="337">
        <f t="shared" si="91"/>
        <v>6842754082.4283838</v>
      </c>
      <c r="AE75" s="337">
        <f>AE153-1417590871</f>
        <v>5517919367.4326763</v>
      </c>
      <c r="AF75" s="338"/>
      <c r="AG75" s="333"/>
      <c r="AH75" s="333"/>
      <c r="AI75" s="333"/>
      <c r="AJ75" s="333"/>
      <c r="AK75" s="333"/>
      <c r="AL75" s="339"/>
    </row>
    <row r="76" spans="2:45" outlineLevel="1">
      <c r="B76" s="328"/>
      <c r="C76" s="329" t="str">
        <f>IF(B1="EN", "Short-term investment", "Đầu tư ngắn hạn")</f>
        <v>Đầu tư ngắn hạn</v>
      </c>
      <c r="D76" s="329"/>
      <c r="E76" s="330"/>
      <c r="F76" s="331"/>
      <c r="G76" s="332"/>
      <c r="H76" s="332"/>
      <c r="I76" s="332"/>
      <c r="J76" s="332"/>
      <c r="K76" s="333"/>
      <c r="L76" s="333"/>
      <c r="M76" s="333"/>
      <c r="N76" s="340"/>
      <c r="O76" s="340"/>
      <c r="P76" s="335"/>
      <c r="Q76" s="336"/>
      <c r="R76" s="337">
        <f t="shared" si="90"/>
        <v>0</v>
      </c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8"/>
      <c r="AG76" s="333"/>
      <c r="AH76" s="333"/>
      <c r="AI76" s="333"/>
      <c r="AJ76" s="333"/>
      <c r="AK76" s="333"/>
      <c r="AL76" s="339"/>
    </row>
    <row r="77" spans="2:45">
      <c r="B77" s="327" t="str">
        <f>IF(B1="EN", "Short-term receivables", "Các khoản phải thu ngắn hạn")</f>
        <v>Các khoản phải thu ngắn hạn</v>
      </c>
      <c r="C77" s="123"/>
      <c r="D77" s="123"/>
      <c r="E77" s="317"/>
      <c r="F77" s="318"/>
      <c r="G77" s="319"/>
      <c r="H77" s="319"/>
      <c r="I77" s="319"/>
      <c r="J77" s="319"/>
      <c r="K77" s="320"/>
      <c r="L77" s="320"/>
      <c r="M77" s="320"/>
      <c r="N77" s="321">
        <f>SUM(N78:N80)</f>
        <v>3160096224</v>
      </c>
      <c r="O77" s="321">
        <f>SUM(O78:O80)</f>
        <v>2415227946</v>
      </c>
      <c r="P77" s="322">
        <f t="shared" ref="P77:AE77" si="92">SUM(P78:P80)</f>
        <v>1594336563.4412167</v>
      </c>
      <c r="Q77" s="323">
        <f t="shared" si="92"/>
        <v>1464039070</v>
      </c>
      <c r="R77" s="324">
        <f t="shared" si="90"/>
        <v>4037480675.1261106</v>
      </c>
      <c r="S77" s="324"/>
      <c r="T77" s="324">
        <f t="shared" si="92"/>
        <v>2200524835.9310608</v>
      </c>
      <c r="U77" s="324">
        <f t="shared" si="92"/>
        <v>1322838216.6513026</v>
      </c>
      <c r="V77" s="324">
        <f t="shared" si="92"/>
        <v>2910773736.2893195</v>
      </c>
      <c r="W77" s="324">
        <f t="shared" si="92"/>
        <v>3693636550.8255968</v>
      </c>
      <c r="X77" s="324">
        <f t="shared" si="92"/>
        <v>3851585459.1959</v>
      </c>
      <c r="Y77" s="324">
        <f t="shared" si="92"/>
        <v>3856131123.2392621</v>
      </c>
      <c r="Z77" s="324">
        <f t="shared" si="92"/>
        <v>4014255197.7309771</v>
      </c>
      <c r="AA77" s="324">
        <f t="shared" si="92"/>
        <v>4024445242.437861</v>
      </c>
      <c r="AB77" s="324">
        <f t="shared" si="92"/>
        <v>3875377868.2662535</v>
      </c>
      <c r="AC77" s="324">
        <f t="shared" si="92"/>
        <v>4030682199.7736573</v>
      </c>
      <c r="AD77" s="324">
        <f t="shared" si="92"/>
        <v>3881729304.2392731</v>
      </c>
      <c r="AE77" s="324">
        <f t="shared" si="92"/>
        <v>4037480675.1261106</v>
      </c>
      <c r="AF77" s="325"/>
      <c r="AG77" s="320"/>
      <c r="AH77" s="320"/>
      <c r="AI77" s="320"/>
      <c r="AJ77" s="320"/>
      <c r="AK77" s="320"/>
      <c r="AL77" s="326"/>
    </row>
    <row r="78" spans="2:45" outlineLevel="1">
      <c r="B78" s="328"/>
      <c r="C78" s="329" t="str">
        <f>IF(B1="EN", "Trade receivables", "Phải thu thương mại")</f>
        <v>Phải thu thương mại</v>
      </c>
      <c r="D78" s="329"/>
      <c r="E78" s="330"/>
      <c r="F78" s="331"/>
      <c r="G78" s="332"/>
      <c r="H78" s="332"/>
      <c r="I78" s="332"/>
      <c r="J78" s="332"/>
      <c r="K78" s="333"/>
      <c r="L78" s="333"/>
      <c r="M78" s="333"/>
      <c r="N78" s="340">
        <v>3175592088</v>
      </c>
      <c r="O78" s="340">
        <v>2171167146</v>
      </c>
      <c r="P78" s="335">
        <f>[4]NWC!K6</f>
        <v>1559554048.1266427</v>
      </c>
      <c r="Q78" s="336">
        <v>1352106540</v>
      </c>
      <c r="R78" s="337">
        <f>AE78</f>
        <v>3988742333.3333335</v>
      </c>
      <c r="S78" s="337"/>
      <c r="T78" s="337">
        <f>[4]NWC!O6</f>
        <v>2198043750</v>
      </c>
      <c r="U78" s="337">
        <f>[4]NWC!P6</f>
        <v>1318826250</v>
      </c>
      <c r="V78" s="337">
        <f>[4]NWC!Q6</f>
        <v>2903390000</v>
      </c>
      <c r="W78" s="337">
        <f>[4]NWC!R6</f>
        <v>3681916000</v>
      </c>
      <c r="X78" s="337">
        <f>[4]NWC!S6</f>
        <v>3835329166.6666665</v>
      </c>
      <c r="Y78" s="337">
        <f>[4]NWC!T6</f>
        <v>3835329166.6666665</v>
      </c>
      <c r="Z78" s="337">
        <f>[4]NWC!U6</f>
        <v>3988742333.3333335</v>
      </c>
      <c r="AA78" s="337">
        <f>[4]NWC!V6</f>
        <v>3994232666.6666665</v>
      </c>
      <c r="AB78" s="337">
        <f>[4]NWC!W6</f>
        <v>3840608333.3333335</v>
      </c>
      <c r="AC78" s="337">
        <f>[4]NWC!X6</f>
        <v>3991206916.6666665</v>
      </c>
      <c r="AD78" s="337">
        <f>[4]NWC!Y6</f>
        <v>3837698958.3333335</v>
      </c>
      <c r="AE78" s="337">
        <f>[4]NWC!Z6</f>
        <v>3988742333.3333335</v>
      </c>
      <c r="AF78" s="338"/>
      <c r="AG78" s="333"/>
      <c r="AH78" s="333"/>
      <c r="AI78" s="333"/>
      <c r="AJ78" s="333"/>
      <c r="AK78" s="333"/>
      <c r="AL78" s="339"/>
    </row>
    <row r="79" spans="2:45" outlineLevel="1">
      <c r="B79" s="328"/>
      <c r="C79" s="329" t="str">
        <f>IF(B1="EN", "Prepayment to suppliers", "Trả trước cho người bán")</f>
        <v>Trả trước cho người bán</v>
      </c>
      <c r="D79" s="329"/>
      <c r="E79" s="330"/>
      <c r="F79" s="331"/>
      <c r="G79" s="332"/>
      <c r="H79" s="332"/>
      <c r="I79" s="332"/>
      <c r="J79" s="332"/>
      <c r="K79" s="333"/>
      <c r="L79" s="333"/>
      <c r="M79" s="333"/>
      <c r="N79" s="340">
        <v>105030000</v>
      </c>
      <c r="O79" s="340">
        <v>244060800</v>
      </c>
      <c r="P79" s="335">
        <f>[4]NWC!K9</f>
        <v>34782515.314573966</v>
      </c>
      <c r="Q79" s="336">
        <v>111932530</v>
      </c>
      <c r="R79" s="337">
        <f>AE79</f>
        <v>48738341.792777002</v>
      </c>
      <c r="S79" s="337"/>
      <c r="T79" s="337">
        <f>[4]NWC!O9</f>
        <v>2481085.9310605978</v>
      </c>
      <c r="U79" s="337">
        <f>[4]NWC!P9</f>
        <v>4011966.651302495</v>
      </c>
      <c r="V79" s="337">
        <f>[4]NWC!Q9</f>
        <v>7383736.2893192824</v>
      </c>
      <c r="W79" s="337">
        <f>[4]NWC!R9</f>
        <v>11720550.82559661</v>
      </c>
      <c r="X79" s="337">
        <f>[4]NWC!S9</f>
        <v>16256292.529233245</v>
      </c>
      <c r="Y79" s="337">
        <f>[4]NWC!T9</f>
        <v>20801956.57259547</v>
      </c>
      <c r="Z79" s="337">
        <f>[4]NWC!U9</f>
        <v>25512864.397643711</v>
      </c>
      <c r="AA79" s="337">
        <f>[4]NWC!V9</f>
        <v>30212575.771194648</v>
      </c>
      <c r="AB79" s="337">
        <f>[4]NWC!W9</f>
        <v>34769534.932920165</v>
      </c>
      <c r="AC79" s="337">
        <f>[4]NWC!X9</f>
        <v>39475283.10699071</v>
      </c>
      <c r="AD79" s="337">
        <f>[4]NWC!Y9</f>
        <v>44030345.90593949</v>
      </c>
      <c r="AE79" s="337">
        <f>[4]NWC!Z9</f>
        <v>48738341.792777002</v>
      </c>
      <c r="AF79" s="338"/>
      <c r="AG79" s="333"/>
      <c r="AH79" s="333"/>
      <c r="AI79" s="333"/>
      <c r="AJ79" s="333"/>
      <c r="AK79" s="333"/>
      <c r="AL79" s="339"/>
    </row>
    <row r="80" spans="2:45" outlineLevel="1">
      <c r="B80" s="328"/>
      <c r="C80" s="329" t="str">
        <f>IF(B1="EN", "Other receivables", "Các khoản phải thu khác")</f>
        <v>Các khoản phải thu khác</v>
      </c>
      <c r="D80" s="329"/>
      <c r="E80" s="330"/>
      <c r="F80" s="331"/>
      <c r="G80" s="332"/>
      <c r="H80" s="332"/>
      <c r="I80" s="332"/>
      <c r="J80" s="332"/>
      <c r="K80" s="333"/>
      <c r="L80" s="333"/>
      <c r="M80" s="333"/>
      <c r="N80" s="340">
        <v>-120525864</v>
      </c>
      <c r="O80" s="340"/>
      <c r="P80" s="335">
        <f>O80</f>
        <v>0</v>
      </c>
      <c r="Q80" s="336">
        <f>O80</f>
        <v>0</v>
      </c>
      <c r="R80" s="337">
        <f t="shared" si="90"/>
        <v>0</v>
      </c>
      <c r="S80" s="337"/>
      <c r="T80" s="337">
        <f>$Q$80</f>
        <v>0</v>
      </c>
      <c r="U80" s="337">
        <f t="shared" ref="U80:AD80" si="93">$Q$80</f>
        <v>0</v>
      </c>
      <c r="V80" s="337">
        <f t="shared" si="93"/>
        <v>0</v>
      </c>
      <c r="W80" s="337">
        <f t="shared" si="93"/>
        <v>0</v>
      </c>
      <c r="X80" s="337">
        <f t="shared" si="93"/>
        <v>0</v>
      </c>
      <c r="Y80" s="337">
        <f t="shared" si="93"/>
        <v>0</v>
      </c>
      <c r="Z80" s="337">
        <f t="shared" si="93"/>
        <v>0</v>
      </c>
      <c r="AA80" s="337">
        <f t="shared" si="93"/>
        <v>0</v>
      </c>
      <c r="AB80" s="337">
        <f t="shared" si="93"/>
        <v>0</v>
      </c>
      <c r="AC80" s="337">
        <f t="shared" si="93"/>
        <v>0</v>
      </c>
      <c r="AD80" s="337">
        <f t="shared" si="93"/>
        <v>0</v>
      </c>
      <c r="AE80" s="337">
        <f>$Q$80</f>
        <v>0</v>
      </c>
      <c r="AF80" s="338"/>
      <c r="AG80" s="333"/>
      <c r="AH80" s="333"/>
      <c r="AI80" s="333"/>
      <c r="AJ80" s="333"/>
      <c r="AK80" s="333"/>
      <c r="AL80" s="339"/>
    </row>
    <row r="81" spans="2:40">
      <c r="B81" s="327" t="str">
        <f>IF(B1="EN", "Inventory", "Hàng tồn kho")</f>
        <v>Hàng tồn kho</v>
      </c>
      <c r="C81" s="123"/>
      <c r="D81" s="123"/>
      <c r="E81" s="326"/>
      <c r="F81" s="341"/>
      <c r="G81" s="319"/>
      <c r="H81" s="319"/>
      <c r="I81" s="319"/>
      <c r="J81" s="319"/>
      <c r="K81" s="320"/>
      <c r="L81" s="320"/>
      <c r="M81" s="320"/>
      <c r="N81" s="321">
        <f>N82</f>
        <v>8670066410</v>
      </c>
      <c r="O81" s="321">
        <f>O82</f>
        <v>1028919593</v>
      </c>
      <c r="P81" s="322">
        <f t="shared" ref="P81:AE81" si="94">P82</f>
        <v>1659096220.6454532</v>
      </c>
      <c r="Q81" s="323">
        <f t="shared" si="94"/>
        <v>1493486657</v>
      </c>
      <c r="R81" s="324">
        <f>R82</f>
        <v>4333333333.333333</v>
      </c>
      <c r="S81" s="324"/>
      <c r="T81" s="324">
        <f t="shared" si="94"/>
        <v>2425000000</v>
      </c>
      <c r="U81" s="324">
        <f t="shared" si="94"/>
        <v>1425000000</v>
      </c>
      <c r="V81" s="324">
        <f t="shared" si="94"/>
        <v>3333333333.333333</v>
      </c>
      <c r="W81" s="324">
        <f t="shared" si="94"/>
        <v>4000000000</v>
      </c>
      <c r="X81" s="324">
        <f t="shared" si="94"/>
        <v>4166666666.6666665</v>
      </c>
      <c r="Y81" s="324">
        <f t="shared" si="94"/>
        <v>4166666666.6666665</v>
      </c>
      <c r="Z81" s="324">
        <f t="shared" si="94"/>
        <v>4333333333.333333</v>
      </c>
      <c r="AA81" s="324">
        <f t="shared" si="94"/>
        <v>4333333333.333333</v>
      </c>
      <c r="AB81" s="324">
        <f t="shared" si="94"/>
        <v>4166666666.6666665</v>
      </c>
      <c r="AC81" s="324">
        <f t="shared" si="94"/>
        <v>4333333333.333333</v>
      </c>
      <c r="AD81" s="324">
        <f t="shared" si="94"/>
        <v>4166666666.6666665</v>
      </c>
      <c r="AE81" s="324">
        <f t="shared" si="94"/>
        <v>4333333333.333333</v>
      </c>
      <c r="AF81" s="325"/>
      <c r="AG81" s="320"/>
      <c r="AH81" s="320"/>
      <c r="AI81" s="320"/>
      <c r="AJ81" s="320"/>
      <c r="AK81" s="320"/>
      <c r="AL81" s="326"/>
    </row>
    <row r="82" spans="2:40" outlineLevel="1">
      <c r="B82" s="328"/>
      <c r="C82" s="329" t="str">
        <f>IF(B1="EN", "Inventory", "Hàng tồn kho")</f>
        <v>Hàng tồn kho</v>
      </c>
      <c r="D82" s="329"/>
      <c r="E82" s="330"/>
      <c r="F82" s="331"/>
      <c r="G82" s="332"/>
      <c r="H82" s="332"/>
      <c r="I82" s="332"/>
      <c r="J82" s="332"/>
      <c r="K82" s="333"/>
      <c r="L82" s="333"/>
      <c r="M82" s="333"/>
      <c r="N82" s="334">
        <v>8670066410</v>
      </c>
      <c r="O82" s="334">
        <v>1028919593</v>
      </c>
      <c r="P82" s="335">
        <f>[4]NWC!K7</f>
        <v>1659096220.6454532</v>
      </c>
      <c r="Q82" s="336">
        <v>1493486657</v>
      </c>
      <c r="R82" s="337">
        <f>AE82</f>
        <v>4333333333.333333</v>
      </c>
      <c r="S82" s="337"/>
      <c r="T82" s="337">
        <f>[4]NWC!O7</f>
        <v>2425000000</v>
      </c>
      <c r="U82" s="337">
        <f>[4]NWC!P7</f>
        <v>1425000000</v>
      </c>
      <c r="V82" s="337">
        <f>[4]NWC!Q7</f>
        <v>3333333333.333333</v>
      </c>
      <c r="W82" s="337">
        <f>[4]NWC!R7</f>
        <v>4000000000</v>
      </c>
      <c r="X82" s="337">
        <f>[4]NWC!S7</f>
        <v>4166666666.6666665</v>
      </c>
      <c r="Y82" s="337">
        <f>[4]NWC!T7</f>
        <v>4166666666.6666665</v>
      </c>
      <c r="Z82" s="337">
        <f>[4]NWC!U7</f>
        <v>4333333333.333333</v>
      </c>
      <c r="AA82" s="337">
        <f>[4]NWC!V7</f>
        <v>4333333333.333333</v>
      </c>
      <c r="AB82" s="337">
        <f>[4]NWC!W7</f>
        <v>4166666666.6666665</v>
      </c>
      <c r="AC82" s="337">
        <f>[4]NWC!X7</f>
        <v>4333333333.333333</v>
      </c>
      <c r="AD82" s="337">
        <f>[4]NWC!Y7</f>
        <v>4166666666.6666665</v>
      </c>
      <c r="AE82" s="337">
        <f>[4]NWC!Z7</f>
        <v>4333333333.333333</v>
      </c>
      <c r="AF82" s="338"/>
      <c r="AG82" s="333"/>
      <c r="AH82" s="333"/>
      <c r="AI82" s="333"/>
      <c r="AJ82" s="333"/>
      <c r="AK82" s="333"/>
      <c r="AL82" s="339"/>
    </row>
    <row r="83" spans="2:40">
      <c r="B83" s="327" t="str">
        <f>IF(B1="EN", "Other short-term assets", "Tài sản ngắn hạn khác")</f>
        <v>Tài sản ngắn hạn khác</v>
      </c>
      <c r="C83" s="123"/>
      <c r="D83" s="123"/>
      <c r="E83" s="326"/>
      <c r="F83" s="341"/>
      <c r="G83" s="319"/>
      <c r="H83" s="319"/>
      <c r="I83" s="319"/>
      <c r="J83" s="319"/>
      <c r="K83" s="320"/>
      <c r="L83" s="320"/>
      <c r="M83" s="320"/>
      <c r="N83" s="321">
        <v>97128340</v>
      </c>
      <c r="O83" s="321">
        <v>45093977</v>
      </c>
      <c r="P83" s="322">
        <f>O83</f>
        <v>45093977</v>
      </c>
      <c r="Q83" s="323">
        <v>223756327</v>
      </c>
      <c r="R83" s="324">
        <f t="shared" si="90"/>
        <v>223756327</v>
      </c>
      <c r="S83" s="324"/>
      <c r="T83" s="324">
        <f>$Q$83</f>
        <v>223756327</v>
      </c>
      <c r="U83" s="324">
        <f t="shared" ref="U83:AE83" si="95">$Q$83</f>
        <v>223756327</v>
      </c>
      <c r="V83" s="324">
        <f t="shared" si="95"/>
        <v>223756327</v>
      </c>
      <c r="W83" s="324">
        <f t="shared" si="95"/>
        <v>223756327</v>
      </c>
      <c r="X83" s="324">
        <f t="shared" si="95"/>
        <v>223756327</v>
      </c>
      <c r="Y83" s="324">
        <f t="shared" si="95"/>
        <v>223756327</v>
      </c>
      <c r="Z83" s="324">
        <f t="shared" si="95"/>
        <v>223756327</v>
      </c>
      <c r="AA83" s="324">
        <f t="shared" si="95"/>
        <v>223756327</v>
      </c>
      <c r="AB83" s="324">
        <f t="shared" si="95"/>
        <v>223756327</v>
      </c>
      <c r="AC83" s="324">
        <f t="shared" si="95"/>
        <v>223756327</v>
      </c>
      <c r="AD83" s="324">
        <f t="shared" si="95"/>
        <v>223756327</v>
      </c>
      <c r="AE83" s="324">
        <f t="shared" si="95"/>
        <v>223756327</v>
      </c>
      <c r="AF83" s="325"/>
      <c r="AG83" s="320"/>
      <c r="AH83" s="320"/>
      <c r="AI83" s="320"/>
      <c r="AJ83" s="320"/>
      <c r="AK83" s="320"/>
      <c r="AL83" s="326"/>
    </row>
    <row r="84" spans="2:40">
      <c r="B84" s="342"/>
      <c r="C84" s="329"/>
      <c r="D84" s="329"/>
      <c r="E84" s="330"/>
      <c r="F84" s="331"/>
      <c r="G84" s="343"/>
      <c r="H84" s="343"/>
      <c r="I84" s="343"/>
      <c r="J84" s="343"/>
      <c r="K84" s="344"/>
      <c r="L84" s="344"/>
      <c r="M84" s="344"/>
      <c r="N84" s="345"/>
      <c r="O84" s="345"/>
      <c r="P84" s="346"/>
      <c r="Q84" s="347"/>
      <c r="R84" s="348">
        <f t="shared" si="90"/>
        <v>0</v>
      </c>
      <c r="S84" s="348"/>
      <c r="T84" s="348"/>
      <c r="U84" s="348"/>
      <c r="V84" s="348"/>
      <c r="W84" s="348"/>
      <c r="X84" s="348"/>
      <c r="Y84" s="348"/>
      <c r="Z84" s="348"/>
      <c r="AA84" s="348"/>
      <c r="AB84" s="348"/>
      <c r="AC84" s="348"/>
      <c r="AD84" s="348"/>
      <c r="AE84" s="348"/>
      <c r="AF84" s="349"/>
      <c r="AG84" s="344"/>
      <c r="AH84" s="344"/>
      <c r="AI84" s="344"/>
      <c r="AJ84" s="344"/>
      <c r="AK84" s="344"/>
      <c r="AL84" s="350"/>
    </row>
    <row r="85" spans="2:40">
      <c r="B85" s="126" t="str">
        <f>IF(B1="EN", "LONG-TERM ASSETS", "TÀI SẢN DÀI HẠN")</f>
        <v>TÀI SẢN DÀI HẠN</v>
      </c>
      <c r="C85" s="123"/>
      <c r="D85" s="123"/>
      <c r="E85" s="317"/>
      <c r="F85" s="318"/>
      <c r="G85" s="319"/>
      <c r="H85" s="319"/>
      <c r="I85" s="319"/>
      <c r="J85" s="319"/>
      <c r="K85" s="320"/>
      <c r="L85" s="320"/>
      <c r="M85" s="320"/>
      <c r="N85" s="321">
        <f>N86+N96+N98+N100+N99</f>
        <v>22499311030</v>
      </c>
      <c r="O85" s="321">
        <f>O86+O96+O98+O100+O99</f>
        <v>18990831461</v>
      </c>
      <c r="P85" s="322">
        <f t="shared" ref="P85" si="96">P86+P96+P98+P100+P99</f>
        <v>16149277097</v>
      </c>
      <c r="Q85" s="323">
        <f>Q86+Q96+Q98+Q100+Q99</f>
        <v>21148904846</v>
      </c>
      <c r="R85" s="324">
        <f>R86+R96+R98+R100+R99</f>
        <v>23726735826.177773</v>
      </c>
      <c r="S85" s="324"/>
      <c r="T85" s="324">
        <f t="shared" ref="T85:AE85" si="97">T86+T96+T98+T100+T99</f>
        <v>23858569760.283333</v>
      </c>
      <c r="U85" s="324">
        <f t="shared" si="97"/>
        <v>24691805816.788887</v>
      </c>
      <c r="V85" s="324">
        <f t="shared" si="97"/>
        <v>24772875206.627777</v>
      </c>
      <c r="W85" s="324">
        <f t="shared" si="97"/>
        <v>25838958485.355553</v>
      </c>
      <c r="X85" s="324">
        <f t="shared" si="97"/>
        <v>25581041764.083332</v>
      </c>
      <c r="Y85" s="324">
        <f t="shared" si="97"/>
        <v>25323125042.811111</v>
      </c>
      <c r="Z85" s="324">
        <f t="shared" si="97"/>
        <v>25065208321.538887</v>
      </c>
      <c r="AA85" s="324">
        <f t="shared" si="97"/>
        <v>24807291600.266663</v>
      </c>
      <c r="AB85" s="324">
        <f t="shared" si="97"/>
        <v>24549374878.994442</v>
      </c>
      <c r="AC85" s="324">
        <f t="shared" si="97"/>
        <v>24291458157.722221</v>
      </c>
      <c r="AD85" s="324">
        <f t="shared" si="97"/>
        <v>24033541436.449997</v>
      </c>
      <c r="AE85" s="324">
        <f t="shared" si="97"/>
        <v>23781735826.177773</v>
      </c>
      <c r="AF85" s="325"/>
      <c r="AG85" s="320"/>
      <c r="AH85" s="320"/>
      <c r="AI85" s="320"/>
      <c r="AJ85" s="320"/>
      <c r="AK85" s="320"/>
      <c r="AL85" s="326"/>
    </row>
    <row r="86" spans="2:40">
      <c r="B86" s="327" t="str">
        <f>IF(B1="EN", "Fixed assets", "Tài sản cố định")</f>
        <v>Tài sản cố định</v>
      </c>
      <c r="C86" s="123"/>
      <c r="D86" s="123"/>
      <c r="E86" s="317"/>
      <c r="F86" s="318"/>
      <c r="G86" s="319"/>
      <c r="H86" s="319"/>
      <c r="I86" s="319"/>
      <c r="J86" s="319"/>
      <c r="K86" s="320"/>
      <c r="L86" s="320"/>
      <c r="M86" s="320"/>
      <c r="N86" s="321">
        <f>N87+N90+N93</f>
        <v>22043937047</v>
      </c>
      <c r="O86" s="321">
        <f>O87+O90+O93</f>
        <v>18645914304</v>
      </c>
      <c r="P86" s="322">
        <f t="shared" ref="P86" si="98">P87+P90+P93</f>
        <v>16149277097</v>
      </c>
      <c r="Q86" s="323">
        <f>Q87+Q90+Q93</f>
        <v>20428773762</v>
      </c>
      <c r="R86" s="324">
        <f>R87+R90+R93</f>
        <v>23006604742.177773</v>
      </c>
      <c r="S86" s="324"/>
      <c r="T86" s="324">
        <f t="shared" ref="T86:AE86" si="99">T87+T90+T93</f>
        <v>23138438676.283333</v>
      </c>
      <c r="U86" s="324">
        <f t="shared" si="99"/>
        <v>23971674732.788887</v>
      </c>
      <c r="V86" s="324">
        <f t="shared" si="99"/>
        <v>24052744122.627777</v>
      </c>
      <c r="W86" s="324">
        <f t="shared" si="99"/>
        <v>25118827401.355553</v>
      </c>
      <c r="X86" s="324">
        <f t="shared" si="99"/>
        <v>24860910680.083332</v>
      </c>
      <c r="Y86" s="324">
        <f t="shared" si="99"/>
        <v>24602993958.811111</v>
      </c>
      <c r="Z86" s="324">
        <f t="shared" si="99"/>
        <v>24345077237.538887</v>
      </c>
      <c r="AA86" s="324">
        <f t="shared" si="99"/>
        <v>24087160516.266663</v>
      </c>
      <c r="AB86" s="324">
        <f t="shared" si="99"/>
        <v>23829243794.994442</v>
      </c>
      <c r="AC86" s="324">
        <f t="shared" si="99"/>
        <v>23571327073.722221</v>
      </c>
      <c r="AD86" s="324">
        <f t="shared" si="99"/>
        <v>23313410352.449997</v>
      </c>
      <c r="AE86" s="324">
        <f t="shared" si="99"/>
        <v>23061604742.177773</v>
      </c>
      <c r="AF86" s="325"/>
      <c r="AG86" s="320"/>
      <c r="AH86" s="320"/>
      <c r="AI86" s="320"/>
      <c r="AJ86" s="320"/>
      <c r="AK86" s="320"/>
      <c r="AL86" s="326"/>
    </row>
    <row r="87" spans="2:40">
      <c r="B87" s="342"/>
      <c r="C87" s="351" t="str">
        <f>IF(B1="EN", "Tangible fixed assets", "Tài sản cố định hữu hình")</f>
        <v>Tài sản cố định hữu hình</v>
      </c>
      <c r="D87" s="329"/>
      <c r="E87" s="330"/>
      <c r="F87" s="331"/>
      <c r="G87" s="332"/>
      <c r="H87" s="332"/>
      <c r="I87" s="332"/>
      <c r="J87" s="332"/>
      <c r="K87" s="333"/>
      <c r="L87" s="333"/>
      <c r="M87" s="333"/>
      <c r="N87" s="340">
        <v>22021197811</v>
      </c>
      <c r="O87" s="340">
        <v>18637522892</v>
      </c>
      <c r="P87" s="335">
        <f>SUM(P88:P89)</f>
        <v>16149277097</v>
      </c>
      <c r="Q87" s="336">
        <f t="shared" ref="Q87" si="100">SUM(Q88:Q89)</f>
        <v>20428773762</v>
      </c>
      <c r="R87" s="337">
        <f>R88+R89</f>
        <v>22879081617.177773</v>
      </c>
      <c r="S87" s="337"/>
      <c r="T87" s="337">
        <f t="shared" ref="T87:AE87" si="101">SUM(T88:T89)</f>
        <v>22887645082.533333</v>
      </c>
      <c r="U87" s="337">
        <f t="shared" si="101"/>
        <v>23727087545.288887</v>
      </c>
      <c r="V87" s="337">
        <f t="shared" si="101"/>
        <v>23814363341.377777</v>
      </c>
      <c r="W87" s="337">
        <f t="shared" si="101"/>
        <v>24886653026.355553</v>
      </c>
      <c r="X87" s="337">
        <f t="shared" si="101"/>
        <v>24634942711.333332</v>
      </c>
      <c r="Y87" s="337">
        <f t="shared" si="101"/>
        <v>24383232396.311111</v>
      </c>
      <c r="Z87" s="337">
        <f t="shared" si="101"/>
        <v>24131522081.288887</v>
      </c>
      <c r="AA87" s="337">
        <f t="shared" si="101"/>
        <v>23879811766.266663</v>
      </c>
      <c r="AB87" s="337">
        <f t="shared" si="101"/>
        <v>23628101451.244442</v>
      </c>
      <c r="AC87" s="337">
        <f t="shared" si="101"/>
        <v>23376391136.222221</v>
      </c>
      <c r="AD87" s="337">
        <f t="shared" si="101"/>
        <v>23124680821.199997</v>
      </c>
      <c r="AE87" s="337">
        <f t="shared" si="101"/>
        <v>22879081617.177773</v>
      </c>
      <c r="AF87" s="338"/>
      <c r="AG87" s="333"/>
      <c r="AH87" s="333"/>
      <c r="AI87" s="333"/>
      <c r="AJ87" s="333"/>
      <c r="AK87" s="333"/>
      <c r="AL87" s="339"/>
    </row>
    <row r="88" spans="2:40" s="125" customFormat="1" outlineLevel="1">
      <c r="B88" s="352"/>
      <c r="C88" s="353"/>
      <c r="D88" s="354"/>
      <c r="E88" s="355" t="str">
        <f>IF(B1="EN", "Cost", "Nguyên giá")</f>
        <v>Nguyên giá</v>
      </c>
      <c r="F88" s="356"/>
      <c r="G88" s="357"/>
      <c r="H88" s="357"/>
      <c r="I88" s="357"/>
      <c r="J88" s="357"/>
      <c r="K88" s="358"/>
      <c r="L88" s="358"/>
      <c r="M88" s="358"/>
      <c r="N88" s="359">
        <v>27512399671</v>
      </c>
      <c r="O88" s="359">
        <v>27721540123</v>
      </c>
      <c r="P88" s="360">
        <f>O88+[4]CapEx!J17</f>
        <v>43086213265</v>
      </c>
      <c r="Q88" s="361">
        <v>33542698374</v>
      </c>
      <c r="R88" s="362">
        <f t="shared" si="90"/>
        <v>38861766121</v>
      </c>
      <c r="S88" s="363"/>
      <c r="T88" s="362">
        <f>[4]Depreciation!N4+[4]Depreciation!N15</f>
        <v>36199766121</v>
      </c>
      <c r="U88" s="362">
        <f>[4]Depreciation!O4+[4]Depreciation!O15</f>
        <v>37237766121</v>
      </c>
      <c r="V88" s="362">
        <f>[4]Depreciation!P4+[4]Depreciation!P15</f>
        <v>37537766121</v>
      </c>
      <c r="W88" s="362">
        <f>[4]Depreciation!Q4+[4]Depreciation!Q15</f>
        <v>38861766121</v>
      </c>
      <c r="X88" s="362">
        <f>[4]Depreciation!R4+[4]Depreciation!R15</f>
        <v>38861766121</v>
      </c>
      <c r="Y88" s="362">
        <f>[4]Depreciation!S4+[4]Depreciation!S15</f>
        <v>38861766121</v>
      </c>
      <c r="Z88" s="362">
        <f>[4]Depreciation!T4+[4]Depreciation!T15</f>
        <v>38861766121</v>
      </c>
      <c r="AA88" s="362">
        <f>[4]Depreciation!U4+[4]Depreciation!U15</f>
        <v>38861766121</v>
      </c>
      <c r="AB88" s="362">
        <f>[4]Depreciation!V4+[4]Depreciation!V15</f>
        <v>38861766121</v>
      </c>
      <c r="AC88" s="362">
        <f>[4]Depreciation!W4+[4]Depreciation!W15</f>
        <v>38861766121</v>
      </c>
      <c r="AD88" s="362">
        <f>[4]Depreciation!X4+[4]Depreciation!X15</f>
        <v>38861766121</v>
      </c>
      <c r="AE88" s="362">
        <f>[4]Depreciation!Y4+[4]Depreciation!Y15</f>
        <v>38861766121</v>
      </c>
      <c r="AF88" s="364"/>
      <c r="AG88" s="358"/>
      <c r="AH88" s="358"/>
      <c r="AI88" s="358"/>
      <c r="AJ88" s="358"/>
      <c r="AK88" s="358"/>
      <c r="AL88" s="354"/>
      <c r="AN88" s="288"/>
    </row>
    <row r="89" spans="2:40" s="125" customFormat="1" outlineLevel="1">
      <c r="B89" s="352"/>
      <c r="C89" s="353"/>
      <c r="D89" s="354"/>
      <c r="E89" s="355" t="str">
        <f>IF(B1="EN", "Accumulated depreciation", "Khấu hao lũy kế")</f>
        <v>Khấu hao lũy kế</v>
      </c>
      <c r="F89" s="356"/>
      <c r="G89" s="357"/>
      <c r="H89" s="357"/>
      <c r="I89" s="357"/>
      <c r="J89" s="357"/>
      <c r="K89" s="358"/>
      <c r="L89" s="358"/>
      <c r="M89" s="358"/>
      <c r="N89" s="365">
        <v>-5491201860</v>
      </c>
      <c r="O89" s="365">
        <v>-9084017231</v>
      </c>
      <c r="P89" s="360">
        <f>O89+-[4]Depreciation!J57-13314534888</f>
        <v>-26936936168</v>
      </c>
      <c r="Q89" s="361">
        <v>-13113924612</v>
      </c>
      <c r="R89" s="362">
        <f>AE89</f>
        <v>-15982684503.822226</v>
      </c>
      <c r="S89" s="363"/>
      <c r="T89" s="362">
        <f>Q89-T53</f>
        <v>-13312121038.466667</v>
      </c>
      <c r="U89" s="362">
        <f>T89-U53</f>
        <v>-13510678575.711111</v>
      </c>
      <c r="V89" s="362">
        <f t="shared" ref="V89:AE89" si="102">U89-V53</f>
        <v>-13723402779.622223</v>
      </c>
      <c r="W89" s="362">
        <f t="shared" si="102"/>
        <v>-13975113094.644445</v>
      </c>
      <c r="X89" s="362">
        <f t="shared" si="102"/>
        <v>-14226823409.666668</v>
      </c>
      <c r="Y89" s="362">
        <f t="shared" si="102"/>
        <v>-14478533724.68889</v>
      </c>
      <c r="Z89" s="362">
        <f t="shared" si="102"/>
        <v>-14730244039.711113</v>
      </c>
      <c r="AA89" s="362">
        <f t="shared" si="102"/>
        <v>-14981954354.733335</v>
      </c>
      <c r="AB89" s="362">
        <f t="shared" si="102"/>
        <v>-15233664669.755558</v>
      </c>
      <c r="AC89" s="362">
        <f t="shared" si="102"/>
        <v>-15485374984.777781</v>
      </c>
      <c r="AD89" s="362">
        <f t="shared" si="102"/>
        <v>-15737085299.800003</v>
      </c>
      <c r="AE89" s="362">
        <f t="shared" si="102"/>
        <v>-15982684503.822226</v>
      </c>
      <c r="AF89" s="364"/>
      <c r="AG89" s="358"/>
      <c r="AH89" s="358"/>
      <c r="AI89" s="358"/>
      <c r="AJ89" s="358"/>
      <c r="AK89" s="358"/>
      <c r="AL89" s="354"/>
    </row>
    <row r="90" spans="2:40">
      <c r="B90" s="342"/>
      <c r="C90" s="351" t="str">
        <f>IF(B1="EN", "Financial leasing", "Tài sản thuê tài chính")</f>
        <v>Tài sản thuê tài chính</v>
      </c>
      <c r="D90" s="329"/>
      <c r="E90" s="330"/>
      <c r="F90" s="331"/>
      <c r="G90" s="332"/>
      <c r="H90" s="332"/>
      <c r="I90" s="332"/>
      <c r="J90" s="332"/>
      <c r="K90" s="333"/>
      <c r="L90" s="333"/>
      <c r="M90" s="333"/>
      <c r="N90" s="340">
        <f>SUM(N91:N92)</f>
        <v>0</v>
      </c>
      <c r="O90" s="340">
        <f>SUM(O91:O92)</f>
        <v>0</v>
      </c>
      <c r="P90" s="335">
        <f t="shared" ref="P90:Q90" si="103">SUM(P91:P92)</f>
        <v>0</v>
      </c>
      <c r="Q90" s="336">
        <f t="shared" si="103"/>
        <v>0</v>
      </c>
      <c r="R90" s="337">
        <f t="shared" si="90"/>
        <v>0</v>
      </c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8"/>
      <c r="AG90" s="333"/>
      <c r="AH90" s="333"/>
      <c r="AI90" s="333"/>
      <c r="AJ90" s="333"/>
      <c r="AK90" s="333"/>
      <c r="AL90" s="339"/>
    </row>
    <row r="91" spans="2:40" outlineLevel="1">
      <c r="B91" s="352"/>
      <c r="C91" s="366"/>
      <c r="D91" s="367"/>
      <c r="E91" s="355" t="str">
        <f>IF(B1="EN", "Cost", "Nguyên giá")</f>
        <v>Nguyên giá</v>
      </c>
      <c r="F91" s="356"/>
      <c r="G91" s="357"/>
      <c r="H91" s="357"/>
      <c r="I91" s="357"/>
      <c r="J91" s="357"/>
      <c r="K91" s="358"/>
      <c r="L91" s="358"/>
      <c r="M91" s="358"/>
      <c r="N91" s="359"/>
      <c r="O91" s="359"/>
      <c r="P91" s="360"/>
      <c r="Q91" s="361">
        <f>[4]Depreciation!K8</f>
        <v>0</v>
      </c>
      <c r="R91" s="362">
        <f t="shared" si="90"/>
        <v>0</v>
      </c>
      <c r="S91" s="363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4"/>
      <c r="AG91" s="358"/>
      <c r="AH91" s="358"/>
      <c r="AI91" s="358"/>
      <c r="AJ91" s="358"/>
      <c r="AK91" s="358"/>
      <c r="AL91" s="354"/>
      <c r="AN91" s="288"/>
    </row>
    <row r="92" spans="2:40" outlineLevel="1">
      <c r="B92" s="352"/>
      <c r="C92" s="366"/>
      <c r="D92" s="367"/>
      <c r="E92" s="355" t="str">
        <f>IF(B1="EN", "Accumulated depreciation", "Khấu hao lũy kế")</f>
        <v>Khấu hao lũy kế</v>
      </c>
      <c r="F92" s="356"/>
      <c r="G92" s="357"/>
      <c r="H92" s="357"/>
      <c r="I92" s="357"/>
      <c r="J92" s="357"/>
      <c r="K92" s="358"/>
      <c r="L92" s="358"/>
      <c r="M92" s="358"/>
      <c r="N92" s="359"/>
      <c r="O92" s="359"/>
      <c r="P92" s="360"/>
      <c r="Q92" s="361">
        <f>[4]Depreciation!K9</f>
        <v>0</v>
      </c>
      <c r="R92" s="362">
        <f t="shared" si="90"/>
        <v>0</v>
      </c>
      <c r="S92" s="363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4"/>
      <c r="AG92" s="358"/>
      <c r="AH92" s="358"/>
      <c r="AI92" s="358"/>
      <c r="AJ92" s="358"/>
      <c r="AK92" s="358"/>
      <c r="AL92" s="354"/>
    </row>
    <row r="93" spans="2:40">
      <c r="B93" s="352"/>
      <c r="C93" s="351" t="str">
        <f>IF(B1="EN", "Intangible fixed assets", "Tài sản cố định vô hình")</f>
        <v>Tài sản cố định vô hình</v>
      </c>
      <c r="D93" s="329"/>
      <c r="E93" s="355"/>
      <c r="F93" s="356"/>
      <c r="G93" s="368"/>
      <c r="H93" s="368"/>
      <c r="I93" s="368"/>
      <c r="J93" s="368"/>
      <c r="K93" s="369"/>
      <c r="L93" s="369"/>
      <c r="M93" s="369"/>
      <c r="N93" s="370">
        <v>22739236</v>
      </c>
      <c r="O93" s="370">
        <v>8391412</v>
      </c>
      <c r="P93" s="335">
        <f t="shared" ref="P93:Q93" si="104">SUM(P94:P95)</f>
        <v>0</v>
      </c>
      <c r="Q93" s="370">
        <f t="shared" si="104"/>
        <v>0</v>
      </c>
      <c r="R93" s="370">
        <f>SUM(R94:R95)</f>
        <v>127523125</v>
      </c>
      <c r="S93" s="337"/>
      <c r="T93" s="371">
        <f t="shared" ref="T93:AE93" si="105">SUM(T94:T95)</f>
        <v>250793593.75</v>
      </c>
      <c r="U93" s="371">
        <f t="shared" si="105"/>
        <v>244587187.5</v>
      </c>
      <c r="V93" s="371">
        <f t="shared" si="105"/>
        <v>238380781.25</v>
      </c>
      <c r="W93" s="371">
        <f t="shared" si="105"/>
        <v>232174375</v>
      </c>
      <c r="X93" s="371">
        <f t="shared" si="105"/>
        <v>225967968.75</v>
      </c>
      <c r="Y93" s="371">
        <f t="shared" si="105"/>
        <v>219761562.5</v>
      </c>
      <c r="Z93" s="371">
        <f t="shared" si="105"/>
        <v>213555156.25</v>
      </c>
      <c r="AA93" s="371">
        <f t="shared" si="105"/>
        <v>207348750</v>
      </c>
      <c r="AB93" s="371">
        <f t="shared" si="105"/>
        <v>201142343.75</v>
      </c>
      <c r="AC93" s="371">
        <f t="shared" si="105"/>
        <v>194935937.5</v>
      </c>
      <c r="AD93" s="371">
        <f t="shared" si="105"/>
        <v>188729531.25</v>
      </c>
      <c r="AE93" s="371">
        <f t="shared" si="105"/>
        <v>182523125</v>
      </c>
      <c r="AF93" s="338"/>
      <c r="AG93" s="369"/>
      <c r="AH93" s="369"/>
      <c r="AI93" s="369"/>
      <c r="AJ93" s="369"/>
      <c r="AK93" s="369"/>
      <c r="AL93" s="339"/>
    </row>
    <row r="94" spans="2:40" outlineLevel="1">
      <c r="B94" s="352"/>
      <c r="C94" s="367"/>
      <c r="D94" s="367"/>
      <c r="E94" s="355" t="str">
        <f>IF(B1="EN", "Cost", "Nguyên giá")</f>
        <v>Nguyên giá</v>
      </c>
      <c r="F94" s="356"/>
      <c r="G94" s="357"/>
      <c r="H94" s="357"/>
      <c r="I94" s="357"/>
      <c r="J94" s="357"/>
      <c r="K94" s="358"/>
      <c r="L94" s="358"/>
      <c r="M94" s="358"/>
      <c r="N94" s="359">
        <v>55000000</v>
      </c>
      <c r="O94" s="370">
        <v>55000000</v>
      </c>
      <c r="P94" s="370">
        <v>55000000</v>
      </c>
      <c r="Q94" s="370">
        <v>55000000</v>
      </c>
      <c r="R94" s="362">
        <f>AE94</f>
        <v>312000000</v>
      </c>
      <c r="S94" s="363"/>
      <c r="T94" s="362">
        <f>[4]Depreciation!N12</f>
        <v>312000000</v>
      </c>
      <c r="U94" s="362">
        <f>[4]Depreciation!O12</f>
        <v>312000000</v>
      </c>
      <c r="V94" s="362">
        <f>[4]Depreciation!P12</f>
        <v>312000000</v>
      </c>
      <c r="W94" s="362">
        <f>[4]Depreciation!Q12</f>
        <v>312000000</v>
      </c>
      <c r="X94" s="362">
        <f>[4]Depreciation!R12</f>
        <v>312000000</v>
      </c>
      <c r="Y94" s="362">
        <f>[4]Depreciation!S12</f>
        <v>312000000</v>
      </c>
      <c r="Z94" s="362">
        <f>[4]Depreciation!T12</f>
        <v>312000000</v>
      </c>
      <c r="AA94" s="362">
        <f>[4]Depreciation!U12</f>
        <v>312000000</v>
      </c>
      <c r="AB94" s="362">
        <f>[4]Depreciation!V12</f>
        <v>312000000</v>
      </c>
      <c r="AC94" s="362">
        <f>[4]Depreciation!W12</f>
        <v>312000000</v>
      </c>
      <c r="AD94" s="362">
        <f>[4]Depreciation!X12</f>
        <v>312000000</v>
      </c>
      <c r="AE94" s="362">
        <f>[4]Depreciation!Y12</f>
        <v>312000000</v>
      </c>
      <c r="AF94" s="364"/>
      <c r="AG94" s="358"/>
      <c r="AH94" s="358"/>
      <c r="AI94" s="358"/>
      <c r="AJ94" s="358"/>
      <c r="AK94" s="358"/>
      <c r="AL94" s="354"/>
      <c r="AN94" s="288"/>
    </row>
    <row r="95" spans="2:40" outlineLevel="1">
      <c r="B95" s="352"/>
      <c r="C95" s="367"/>
      <c r="D95" s="367"/>
      <c r="E95" s="355" t="str">
        <f>IF(B1="EN", "Accumulated depreciation", "Khấu hao lũy kế")</f>
        <v>Khấu hao lũy kế</v>
      </c>
      <c r="F95" s="356"/>
      <c r="G95" s="357"/>
      <c r="H95" s="357"/>
      <c r="I95" s="357"/>
      <c r="J95" s="357"/>
      <c r="K95" s="358"/>
      <c r="L95" s="358"/>
      <c r="M95" s="358"/>
      <c r="N95" s="359">
        <v>-32260764</v>
      </c>
      <c r="O95" s="359">
        <v>-46608588</v>
      </c>
      <c r="P95" s="370">
        <v>-55000000</v>
      </c>
      <c r="Q95" s="370">
        <v>-55000000</v>
      </c>
      <c r="R95" s="359">
        <f>Q95+AE95</f>
        <v>-184476875</v>
      </c>
      <c r="S95" s="363"/>
      <c r="T95" s="362">
        <f>[4]Depreciation!N13</f>
        <v>-61206406.25</v>
      </c>
      <c r="U95" s="362">
        <f>[4]Depreciation!O13</f>
        <v>-67412812.5</v>
      </c>
      <c r="V95" s="362">
        <f>[4]Depreciation!P13</f>
        <v>-73619218.75</v>
      </c>
      <c r="W95" s="362">
        <f>[4]Depreciation!Q13</f>
        <v>-79825625</v>
      </c>
      <c r="X95" s="362">
        <f>[4]Depreciation!R13</f>
        <v>-86032031.25</v>
      </c>
      <c r="Y95" s="362">
        <f>[4]Depreciation!S13</f>
        <v>-92238437.5</v>
      </c>
      <c r="Z95" s="362">
        <f>[4]Depreciation!T13</f>
        <v>-98444843.75</v>
      </c>
      <c r="AA95" s="362">
        <f>[4]Depreciation!U13</f>
        <v>-104651250</v>
      </c>
      <c r="AB95" s="362">
        <f>[4]Depreciation!V13</f>
        <v>-110857656.25</v>
      </c>
      <c r="AC95" s="362">
        <f>[4]Depreciation!W13</f>
        <v>-117064062.5</v>
      </c>
      <c r="AD95" s="362">
        <f>[4]Depreciation!X13</f>
        <v>-123270468.75</v>
      </c>
      <c r="AE95" s="362">
        <f>[4]Depreciation!Y13</f>
        <v>-129476875</v>
      </c>
      <c r="AF95" s="364"/>
      <c r="AG95" s="358"/>
      <c r="AH95" s="358"/>
      <c r="AI95" s="358"/>
      <c r="AJ95" s="358"/>
      <c r="AK95" s="358"/>
      <c r="AL95" s="354"/>
    </row>
    <row r="96" spans="2:40">
      <c r="B96" s="327" t="str">
        <f>IF(B1="EN", "Long-term work in progress", "Chi phí dở dang dài hạn")</f>
        <v>Chi phí dở dang dài hạn</v>
      </c>
      <c r="C96" s="123"/>
      <c r="D96" s="123"/>
      <c r="E96" s="317"/>
      <c r="F96" s="318"/>
      <c r="G96" s="319"/>
      <c r="H96" s="319"/>
      <c r="I96" s="319"/>
      <c r="J96" s="319"/>
      <c r="K96" s="320"/>
      <c r="L96" s="320"/>
      <c r="M96" s="320"/>
      <c r="N96" s="321">
        <f>N97</f>
        <v>0</v>
      </c>
      <c r="O96" s="321">
        <f>O97</f>
        <v>0</v>
      </c>
      <c r="P96" s="322">
        <f t="shared" ref="P96:AE96" si="106">P97</f>
        <v>0</v>
      </c>
      <c r="Q96" s="323">
        <f t="shared" si="106"/>
        <v>0</v>
      </c>
      <c r="R96" s="324">
        <f t="shared" si="90"/>
        <v>0</v>
      </c>
      <c r="S96" s="324"/>
      <c r="T96" s="324">
        <f t="shared" si="106"/>
        <v>0</v>
      </c>
      <c r="U96" s="324">
        <f t="shared" si="106"/>
        <v>0</v>
      </c>
      <c r="V96" s="324">
        <f t="shared" si="106"/>
        <v>0</v>
      </c>
      <c r="W96" s="324">
        <f t="shared" si="106"/>
        <v>0</v>
      </c>
      <c r="X96" s="324">
        <f t="shared" si="106"/>
        <v>0</v>
      </c>
      <c r="Y96" s="324">
        <f t="shared" si="106"/>
        <v>0</v>
      </c>
      <c r="Z96" s="324">
        <f t="shared" si="106"/>
        <v>0</v>
      </c>
      <c r="AA96" s="324">
        <f t="shared" si="106"/>
        <v>0</v>
      </c>
      <c r="AB96" s="324">
        <f t="shared" si="106"/>
        <v>0</v>
      </c>
      <c r="AC96" s="324">
        <f t="shared" si="106"/>
        <v>0</v>
      </c>
      <c r="AD96" s="324">
        <f t="shared" si="106"/>
        <v>0</v>
      </c>
      <c r="AE96" s="324">
        <f t="shared" si="106"/>
        <v>0</v>
      </c>
      <c r="AF96" s="325"/>
      <c r="AG96" s="320"/>
      <c r="AH96" s="320"/>
      <c r="AI96" s="320"/>
      <c r="AJ96" s="320"/>
      <c r="AK96" s="320"/>
      <c r="AL96" s="326"/>
    </row>
    <row r="97" spans="2:41" outlineLevel="1">
      <c r="B97" s="342"/>
      <c r="C97" s="351" t="str">
        <f>IF(B1="EN", "Construction in progress", "Xây dựng cơ bản dở dang")</f>
        <v>Xây dựng cơ bản dở dang</v>
      </c>
      <c r="D97" s="329"/>
      <c r="E97" s="330"/>
      <c r="F97" s="331"/>
      <c r="G97" s="368"/>
      <c r="H97" s="368"/>
      <c r="I97" s="368"/>
      <c r="J97" s="368"/>
      <c r="K97" s="369"/>
      <c r="L97" s="369"/>
      <c r="M97" s="369"/>
      <c r="N97" s="370"/>
      <c r="O97" s="370"/>
      <c r="P97" s="335"/>
      <c r="Q97" s="372">
        <f>[4]Depreciation!K34</f>
        <v>0</v>
      </c>
      <c r="R97" s="371">
        <f t="shared" si="90"/>
        <v>0</v>
      </c>
      <c r="S97" s="337"/>
      <c r="T97" s="371">
        <f>[4]Depreciation!N34</f>
        <v>0</v>
      </c>
      <c r="U97" s="371">
        <f>[4]Depreciation!O34</f>
        <v>0</v>
      </c>
      <c r="V97" s="371">
        <f>[4]Depreciation!P34</f>
        <v>0</v>
      </c>
      <c r="W97" s="371">
        <f>[4]Depreciation!Q34</f>
        <v>0</v>
      </c>
      <c r="X97" s="371">
        <f>[4]Depreciation!R34</f>
        <v>0</v>
      </c>
      <c r="Y97" s="371">
        <f>[4]Depreciation!S34</f>
        <v>0</v>
      </c>
      <c r="Z97" s="371">
        <f>[4]Depreciation!T34</f>
        <v>0</v>
      </c>
      <c r="AA97" s="371">
        <f>[4]Depreciation!U34</f>
        <v>0</v>
      </c>
      <c r="AB97" s="371">
        <f>[4]Depreciation!V34</f>
        <v>0</v>
      </c>
      <c r="AC97" s="371">
        <f>[4]Depreciation!W34</f>
        <v>0</v>
      </c>
      <c r="AD97" s="371">
        <f>[4]Depreciation!X34</f>
        <v>0</v>
      </c>
      <c r="AE97" s="371">
        <f>[4]Depreciation!Y34</f>
        <v>0</v>
      </c>
      <c r="AF97" s="338"/>
      <c r="AG97" s="369"/>
      <c r="AH97" s="369"/>
      <c r="AI97" s="369"/>
      <c r="AJ97" s="369"/>
      <c r="AK97" s="369"/>
      <c r="AL97" s="339"/>
      <c r="AN97" s="288"/>
    </row>
    <row r="98" spans="2:41">
      <c r="B98" s="327" t="str">
        <f>IF(B1="EN", "Other long-term assets", "Tài sản dài hạn khác")</f>
        <v>Tài sản dài hạn khác</v>
      </c>
      <c r="C98" s="123"/>
      <c r="D98" s="123"/>
      <c r="E98" s="317"/>
      <c r="F98" s="318"/>
      <c r="G98" s="319"/>
      <c r="H98" s="319"/>
      <c r="I98" s="319"/>
      <c r="J98" s="319"/>
      <c r="K98" s="320"/>
      <c r="L98" s="320"/>
      <c r="M98" s="320"/>
      <c r="N98" s="323">
        <v>455373983</v>
      </c>
      <c r="O98" s="323">
        <v>344917157</v>
      </c>
      <c r="P98" s="323"/>
      <c r="Q98" s="323">
        <v>720131084</v>
      </c>
      <c r="R98" s="324">
        <f t="shared" si="90"/>
        <v>720131084</v>
      </c>
      <c r="S98" s="324"/>
      <c r="T98" s="324">
        <f>$Q$98</f>
        <v>720131084</v>
      </c>
      <c r="U98" s="324">
        <f t="shared" ref="U98:AE98" si="107">$Q$98</f>
        <v>720131084</v>
      </c>
      <c r="V98" s="324">
        <f t="shared" si="107"/>
        <v>720131084</v>
      </c>
      <c r="W98" s="324">
        <f t="shared" si="107"/>
        <v>720131084</v>
      </c>
      <c r="X98" s="324">
        <f t="shared" si="107"/>
        <v>720131084</v>
      </c>
      <c r="Y98" s="324">
        <f t="shared" si="107"/>
        <v>720131084</v>
      </c>
      <c r="Z98" s="324">
        <f t="shared" si="107"/>
        <v>720131084</v>
      </c>
      <c r="AA98" s="324">
        <f t="shared" si="107"/>
        <v>720131084</v>
      </c>
      <c r="AB98" s="324">
        <f t="shared" si="107"/>
        <v>720131084</v>
      </c>
      <c r="AC98" s="324">
        <f t="shared" si="107"/>
        <v>720131084</v>
      </c>
      <c r="AD98" s="324">
        <f t="shared" si="107"/>
        <v>720131084</v>
      </c>
      <c r="AE98" s="324">
        <f t="shared" si="107"/>
        <v>720131084</v>
      </c>
      <c r="AF98" s="325"/>
      <c r="AG98" s="320"/>
      <c r="AH98" s="320"/>
      <c r="AI98" s="320"/>
      <c r="AJ98" s="320"/>
      <c r="AK98" s="320"/>
      <c r="AL98" s="326"/>
      <c r="AO98" s="107"/>
    </row>
    <row r="99" spans="2:41">
      <c r="B99" s="327" t="str">
        <f>IF(B1="EN", "Goodwill", "Lợi thế thương mại")</f>
        <v>Lợi thế thương mại</v>
      </c>
      <c r="C99" s="123"/>
      <c r="D99" s="123"/>
      <c r="E99" s="317"/>
      <c r="F99" s="318"/>
      <c r="G99" s="319"/>
      <c r="H99" s="319"/>
      <c r="I99" s="319"/>
      <c r="J99" s="319"/>
      <c r="K99" s="320"/>
      <c r="L99" s="320"/>
      <c r="M99" s="320"/>
      <c r="N99" s="321"/>
      <c r="O99" s="321"/>
      <c r="P99" s="322"/>
      <c r="Q99" s="323"/>
      <c r="R99" s="324">
        <f t="shared" si="90"/>
        <v>0</v>
      </c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  <c r="AF99" s="325"/>
      <c r="AG99" s="320"/>
      <c r="AH99" s="320"/>
      <c r="AI99" s="320"/>
      <c r="AJ99" s="320"/>
      <c r="AK99" s="320"/>
      <c r="AL99" s="326"/>
    </row>
    <row r="100" spans="2:41">
      <c r="B100" s="327" t="str">
        <f>IF(B1="EN", "Long-term financial investments", "Đầu tư dài hạn")</f>
        <v>Đầu tư dài hạn</v>
      </c>
      <c r="C100" s="123"/>
      <c r="D100" s="123"/>
      <c r="E100" s="317"/>
      <c r="F100" s="318"/>
      <c r="G100" s="319"/>
      <c r="H100" s="319"/>
      <c r="I100" s="319"/>
      <c r="J100" s="319"/>
      <c r="K100" s="320"/>
      <c r="L100" s="320"/>
      <c r="M100" s="320"/>
      <c r="N100" s="321">
        <f>SUM(N101:N103)</f>
        <v>0</v>
      </c>
      <c r="O100" s="321">
        <f>SUM(O101:O103)</f>
        <v>0</v>
      </c>
      <c r="P100" s="322">
        <f>SUM(P101:P103)</f>
        <v>0</v>
      </c>
      <c r="Q100" s="323">
        <f t="shared" ref="Q100" si="108">SUM(Q101:Q103)</f>
        <v>0</v>
      </c>
      <c r="R100" s="324">
        <f t="shared" si="90"/>
        <v>0</v>
      </c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  <c r="AF100" s="325"/>
      <c r="AG100" s="320">
        <f t="shared" ref="AG100:AK100" si="109">SUM(AG101:AG103)</f>
        <v>0</v>
      </c>
      <c r="AH100" s="320">
        <f t="shared" si="109"/>
        <v>0</v>
      </c>
      <c r="AI100" s="320">
        <f t="shared" si="109"/>
        <v>0</v>
      </c>
      <c r="AJ100" s="320">
        <f t="shared" si="109"/>
        <v>0</v>
      </c>
      <c r="AK100" s="320">
        <f t="shared" si="109"/>
        <v>0</v>
      </c>
      <c r="AL100" s="326"/>
    </row>
    <row r="101" spans="2:41" outlineLevel="1">
      <c r="B101" s="342"/>
      <c r="C101" s="329" t="str">
        <f>IF(B1="EN", "Investment in subsidiaries", "Đầu tư vào công ty con")</f>
        <v>Đầu tư vào công ty con</v>
      </c>
      <c r="D101" s="329"/>
      <c r="E101" s="330"/>
      <c r="F101" s="331"/>
      <c r="G101" s="332"/>
      <c r="H101" s="332"/>
      <c r="I101" s="332"/>
      <c r="J101" s="332"/>
      <c r="K101" s="333"/>
      <c r="L101" s="333"/>
      <c r="M101" s="333"/>
      <c r="N101" s="340"/>
      <c r="O101" s="340"/>
      <c r="P101" s="335"/>
      <c r="Q101" s="336"/>
      <c r="R101" s="337">
        <f t="shared" si="90"/>
        <v>0</v>
      </c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8"/>
      <c r="AG101" s="333"/>
      <c r="AH101" s="333"/>
      <c r="AI101" s="333"/>
      <c r="AJ101" s="333"/>
      <c r="AK101" s="333"/>
      <c r="AL101" s="339"/>
    </row>
    <row r="102" spans="2:41">
      <c r="B102" s="342"/>
      <c r="C102" s="329" t="s">
        <v>114</v>
      </c>
      <c r="D102" s="329"/>
      <c r="E102" s="330"/>
      <c r="F102" s="331"/>
      <c r="G102" s="332"/>
      <c r="H102" s="332"/>
      <c r="I102" s="332"/>
      <c r="J102" s="332"/>
      <c r="K102" s="333"/>
      <c r="L102" s="333"/>
      <c r="M102" s="333"/>
      <c r="N102" s="340"/>
      <c r="O102" s="340"/>
      <c r="P102" s="335"/>
      <c r="Q102" s="336"/>
      <c r="R102" s="337">
        <f t="shared" si="90"/>
        <v>0</v>
      </c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8"/>
      <c r="AG102" s="333"/>
      <c r="AH102" s="333"/>
      <c r="AI102" s="333"/>
      <c r="AJ102" s="333"/>
      <c r="AK102" s="333"/>
      <c r="AL102" s="339"/>
    </row>
    <row r="103" spans="2:41">
      <c r="B103" s="342"/>
      <c r="C103" s="329" t="s">
        <v>115</v>
      </c>
      <c r="D103" s="329"/>
      <c r="E103" s="330"/>
      <c r="F103" s="331"/>
      <c r="G103" s="332"/>
      <c r="H103" s="332"/>
      <c r="I103" s="332"/>
      <c r="J103" s="332"/>
      <c r="K103" s="333"/>
      <c r="L103" s="333"/>
      <c r="M103" s="333"/>
      <c r="N103" s="340"/>
      <c r="O103" s="340"/>
      <c r="P103" s="335"/>
      <c r="Q103" s="336"/>
      <c r="R103" s="337">
        <f t="shared" si="90"/>
        <v>0</v>
      </c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8"/>
      <c r="AG103" s="333"/>
      <c r="AH103" s="333"/>
      <c r="AI103" s="333"/>
      <c r="AJ103" s="333"/>
      <c r="AK103" s="333"/>
      <c r="AL103" s="339"/>
    </row>
    <row r="104" spans="2:41" s="125" customFormat="1">
      <c r="B104" s="342"/>
      <c r="C104" s="329"/>
      <c r="D104" s="329"/>
      <c r="E104" s="339"/>
      <c r="F104" s="373"/>
      <c r="G104" s="332"/>
      <c r="H104" s="332"/>
      <c r="I104" s="332"/>
      <c r="J104" s="332"/>
      <c r="K104" s="333"/>
      <c r="L104" s="333"/>
      <c r="M104" s="333"/>
      <c r="N104" s="340"/>
      <c r="O104" s="340"/>
      <c r="P104" s="335"/>
      <c r="Q104" s="336"/>
      <c r="R104" s="337">
        <f t="shared" si="90"/>
        <v>0</v>
      </c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8"/>
      <c r="AG104" s="333"/>
      <c r="AH104" s="333"/>
      <c r="AI104" s="333"/>
      <c r="AJ104" s="333"/>
      <c r="AK104" s="333"/>
      <c r="AL104" s="339"/>
    </row>
    <row r="105" spans="2:41" ht="17" thickBot="1">
      <c r="B105" s="374" t="str">
        <f>IF(B1="EN", "TOTAL ASSETS", "TỔNG TÀI SẢN")</f>
        <v>TỔNG TÀI SẢN</v>
      </c>
      <c r="C105" s="375"/>
      <c r="D105" s="375"/>
      <c r="E105" s="376"/>
      <c r="F105" s="377"/>
      <c r="G105" s="378"/>
      <c r="H105" s="378"/>
      <c r="I105" s="378"/>
      <c r="J105" s="378"/>
      <c r="K105" s="378"/>
      <c r="L105" s="378"/>
      <c r="M105" s="378"/>
      <c r="N105" s="379">
        <f>N73+N85</f>
        <v>41879994873</v>
      </c>
      <c r="O105" s="379">
        <f>O73+O85</f>
        <v>33552316087</v>
      </c>
      <c r="P105" s="380">
        <f>P73+P85</f>
        <v>31536660133.881683</v>
      </c>
      <c r="Q105" s="381">
        <f t="shared" ref="Q105:R105" si="110">Q73+Q85</f>
        <v>37017437120</v>
      </c>
      <c r="R105" s="382">
        <f t="shared" si="110"/>
        <v>37839225529.069893</v>
      </c>
      <c r="S105" s="383"/>
      <c r="T105" s="382">
        <f>T73+T85</f>
        <v>39149745152.852104</v>
      </c>
      <c r="U105" s="382">
        <f t="shared" ref="U105:AE105" si="111">U73+U85</f>
        <v>38605523924.72258</v>
      </c>
      <c r="V105" s="382">
        <f t="shared" si="111"/>
        <v>39320723925.48304</v>
      </c>
      <c r="W105" s="382">
        <f t="shared" si="111"/>
        <v>38583730507.185081</v>
      </c>
      <c r="X105" s="382">
        <f t="shared" si="111"/>
        <v>38739167294.253853</v>
      </c>
      <c r="Y105" s="382">
        <f t="shared" si="111"/>
        <v>38801446067.186806</v>
      </c>
      <c r="Z105" s="382">
        <f t="shared" si="111"/>
        <v>38956499201.409622</v>
      </c>
      <c r="AA105" s="382">
        <f t="shared" si="111"/>
        <v>38961396553.368355</v>
      </c>
      <c r="AB105" s="382">
        <f t="shared" si="111"/>
        <v>38949701318.971214</v>
      </c>
      <c r="AC105" s="382">
        <f t="shared" si="111"/>
        <v>39145946482.287842</v>
      </c>
      <c r="AD105" s="382">
        <f t="shared" si="111"/>
        <v>39148447816.784317</v>
      </c>
      <c r="AE105" s="382">
        <f t="shared" si="111"/>
        <v>37894225529.069893</v>
      </c>
      <c r="AF105" s="384"/>
      <c r="AG105" s="378">
        <f>AG73+AG85</f>
        <v>0</v>
      </c>
      <c r="AH105" s="378">
        <f t="shared" ref="AH105:AK105" si="112">AH73+AH85</f>
        <v>0</v>
      </c>
      <c r="AI105" s="378">
        <f t="shared" si="112"/>
        <v>0</v>
      </c>
      <c r="AJ105" s="378">
        <f t="shared" si="112"/>
        <v>0</v>
      </c>
      <c r="AK105" s="378">
        <f t="shared" si="112"/>
        <v>0</v>
      </c>
      <c r="AL105" s="326"/>
    </row>
    <row r="106" spans="2:41" ht="17" thickTop="1">
      <c r="B106" s="342"/>
      <c r="C106" s="271"/>
      <c r="D106" s="271"/>
      <c r="E106" s="330"/>
      <c r="F106" s="331"/>
      <c r="G106" s="319"/>
      <c r="H106" s="319"/>
      <c r="I106" s="319"/>
      <c r="J106" s="319"/>
      <c r="K106" s="320"/>
      <c r="L106" s="385"/>
      <c r="M106" s="385"/>
      <c r="N106" s="340"/>
      <c r="O106" s="340"/>
      <c r="P106" s="340"/>
      <c r="Q106" s="336"/>
      <c r="R106" s="337">
        <f t="shared" si="90"/>
        <v>0</v>
      </c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86"/>
      <c r="AG106" s="385"/>
      <c r="AH106" s="385"/>
      <c r="AI106" s="385"/>
      <c r="AJ106" s="385"/>
      <c r="AK106" s="385"/>
      <c r="AL106" s="387"/>
    </row>
    <row r="107" spans="2:41">
      <c r="B107" s="126" t="str">
        <f>IF(B1="EN", "LIABILITIES", "NỢ PHẢI TRẢ")</f>
        <v>NỢ PHẢI TRẢ</v>
      </c>
      <c r="C107" s="123"/>
      <c r="D107" s="123"/>
      <c r="E107" s="317"/>
      <c r="F107" s="318"/>
      <c r="G107" s="319"/>
      <c r="H107" s="319"/>
      <c r="I107" s="319"/>
      <c r="J107" s="319"/>
      <c r="K107" s="320"/>
      <c r="L107" s="320"/>
      <c r="M107" s="320"/>
      <c r="N107" s="321">
        <f t="shared" ref="N107:AE107" si="113">N108+N113</f>
        <v>6838726183</v>
      </c>
      <c r="O107" s="321">
        <f t="shared" si="113"/>
        <v>1689339379</v>
      </c>
      <c r="P107" s="322">
        <f t="shared" si="113"/>
        <v>806922095.84829831</v>
      </c>
      <c r="Q107" s="323">
        <f t="shared" si="113"/>
        <v>1784212493</v>
      </c>
      <c r="R107" s="324">
        <f t="shared" si="90"/>
        <v>1106294220.9131479</v>
      </c>
      <c r="S107" s="324"/>
      <c r="T107" s="324">
        <f t="shared" si="113"/>
        <v>583010498.11770654</v>
      </c>
      <c r="U107" s="324">
        <f t="shared" si="113"/>
        <v>359729391.10798687</v>
      </c>
      <c r="V107" s="324">
        <f t="shared" si="113"/>
        <v>792305123.97368252</v>
      </c>
      <c r="W107" s="324">
        <f t="shared" si="113"/>
        <v>1019073290.2017336</v>
      </c>
      <c r="X107" s="324">
        <f t="shared" si="113"/>
        <v>1065817590.9449639</v>
      </c>
      <c r="Y107" s="324">
        <f t="shared" si="113"/>
        <v>1068149162.0338529</v>
      </c>
      <c r="Z107" s="324">
        <f t="shared" si="113"/>
        <v>1106978473.93537</v>
      </c>
      <c r="AA107" s="324">
        <f t="shared" si="113"/>
        <v>1104347509.5326962</v>
      </c>
      <c r="AB107" s="324">
        <f t="shared" si="113"/>
        <v>1070803311.3725926</v>
      </c>
      <c r="AC107" s="324">
        <f t="shared" si="113"/>
        <v>1105766048.9044735</v>
      </c>
      <c r="AD107" s="324">
        <f t="shared" si="113"/>
        <v>1070357700.2822074</v>
      </c>
      <c r="AE107" s="324">
        <f t="shared" si="113"/>
        <v>1106294220.9131479</v>
      </c>
      <c r="AF107" s="325"/>
      <c r="AG107" s="320"/>
      <c r="AH107" s="320"/>
      <c r="AI107" s="320"/>
      <c r="AJ107" s="320"/>
      <c r="AK107" s="320"/>
      <c r="AL107" s="326"/>
    </row>
    <row r="108" spans="2:41">
      <c r="B108" s="126" t="str">
        <f>IF(B1="EN", "Short-term liabilities", "Nợ ngắn hạn")</f>
        <v>Nợ ngắn hạn</v>
      </c>
      <c r="C108" s="123"/>
      <c r="D108" s="123"/>
      <c r="E108" s="317"/>
      <c r="F108" s="318"/>
      <c r="G108" s="319"/>
      <c r="H108" s="319"/>
      <c r="I108" s="319"/>
      <c r="J108" s="319"/>
      <c r="K108" s="320"/>
      <c r="L108" s="320"/>
      <c r="M108" s="320"/>
      <c r="N108" s="321">
        <f t="shared" ref="N108:AE108" si="114">SUM(N109:N111)</f>
        <v>6838726183</v>
      </c>
      <c r="O108" s="321">
        <f>SUM(O109:O111)</f>
        <v>1689339379</v>
      </c>
      <c r="P108" s="322">
        <f t="shared" si="114"/>
        <v>806922095.84829831</v>
      </c>
      <c r="Q108" s="323">
        <f t="shared" si="114"/>
        <v>1784212493</v>
      </c>
      <c r="R108" s="324">
        <f t="shared" si="90"/>
        <v>1106294220.9131479</v>
      </c>
      <c r="S108" s="324"/>
      <c r="T108" s="324">
        <f t="shared" si="114"/>
        <v>583010498.11770654</v>
      </c>
      <c r="U108" s="324">
        <f t="shared" si="114"/>
        <v>359729391.10798687</v>
      </c>
      <c r="V108" s="324">
        <f t="shared" si="114"/>
        <v>792305123.97368252</v>
      </c>
      <c r="W108" s="324">
        <f t="shared" si="114"/>
        <v>1019073290.2017336</v>
      </c>
      <c r="X108" s="324">
        <f t="shared" si="114"/>
        <v>1065817590.9449639</v>
      </c>
      <c r="Y108" s="324">
        <f t="shared" si="114"/>
        <v>1068149162.0338529</v>
      </c>
      <c r="Z108" s="324">
        <f t="shared" si="114"/>
        <v>1106978473.93537</v>
      </c>
      <c r="AA108" s="324">
        <f t="shared" si="114"/>
        <v>1104347509.5326962</v>
      </c>
      <c r="AB108" s="324">
        <f t="shared" si="114"/>
        <v>1070803311.3725926</v>
      </c>
      <c r="AC108" s="324">
        <f t="shared" si="114"/>
        <v>1105766048.9044735</v>
      </c>
      <c r="AD108" s="324">
        <f t="shared" si="114"/>
        <v>1070357700.2822074</v>
      </c>
      <c r="AE108" s="324">
        <f t="shared" si="114"/>
        <v>1106294220.9131479</v>
      </c>
      <c r="AF108" s="325"/>
      <c r="AG108" s="320"/>
      <c r="AH108" s="320"/>
      <c r="AI108" s="320"/>
      <c r="AJ108" s="320"/>
      <c r="AK108" s="320"/>
      <c r="AL108" s="326"/>
    </row>
    <row r="109" spans="2:41">
      <c r="B109" s="342"/>
      <c r="C109" s="329" t="str">
        <f>IF(B1="EN", "Short-term borrowings", "Vay ngắn hạn")</f>
        <v>Vay ngắn hạn</v>
      </c>
      <c r="D109" s="329"/>
      <c r="E109" s="330"/>
      <c r="F109" s="331"/>
      <c r="G109" s="368"/>
      <c r="H109" s="368"/>
      <c r="I109" s="368"/>
      <c r="J109" s="368"/>
      <c r="K109" s="369"/>
      <c r="L109" s="369"/>
      <c r="M109" s="369"/>
      <c r="N109" s="370"/>
      <c r="O109" s="370"/>
      <c r="P109" s="335"/>
      <c r="Q109" s="372">
        <f>[4]FIN!Q28</f>
        <v>0</v>
      </c>
      <c r="R109" s="371">
        <f t="shared" si="90"/>
        <v>0</v>
      </c>
      <c r="S109" s="337"/>
      <c r="T109" s="371">
        <f>[4]FIN!T28</f>
        <v>0</v>
      </c>
      <c r="U109" s="371">
        <f>[4]FIN!U28</f>
        <v>0</v>
      </c>
      <c r="V109" s="371">
        <f>[4]FIN!V28</f>
        <v>0</v>
      </c>
      <c r="W109" s="371">
        <f>[4]FIN!W28</f>
        <v>0</v>
      </c>
      <c r="X109" s="371">
        <f>[4]FIN!X28</f>
        <v>0</v>
      </c>
      <c r="Y109" s="371">
        <f>[4]FIN!Y28</f>
        <v>0</v>
      </c>
      <c r="Z109" s="371">
        <f>[4]FIN!Z28</f>
        <v>0</v>
      </c>
      <c r="AA109" s="371">
        <f>[4]FIN!AA28</f>
        <v>0</v>
      </c>
      <c r="AB109" s="371">
        <f>[4]FIN!AB28</f>
        <v>0</v>
      </c>
      <c r="AC109" s="371">
        <f>[4]FIN!AC28</f>
        <v>0</v>
      </c>
      <c r="AD109" s="371">
        <f>[4]FIN!AD28</f>
        <v>0</v>
      </c>
      <c r="AE109" s="371">
        <f>[4]FIN!AE28</f>
        <v>0</v>
      </c>
      <c r="AF109" s="338"/>
      <c r="AG109" s="369"/>
      <c r="AH109" s="369"/>
      <c r="AI109" s="369"/>
      <c r="AJ109" s="369"/>
      <c r="AK109" s="369"/>
      <c r="AL109" s="339"/>
    </row>
    <row r="110" spans="2:41">
      <c r="B110" s="342"/>
      <c r="C110" s="329" t="str">
        <f>IF(B1="EN", "Trade payables", "Phải trả thương mại")</f>
        <v>Phải trả thương mại</v>
      </c>
      <c r="D110" s="329"/>
      <c r="E110" s="330"/>
      <c r="F110" s="331"/>
      <c r="G110" s="368"/>
      <c r="H110" s="368"/>
      <c r="I110" s="368"/>
      <c r="J110" s="368"/>
      <c r="K110" s="369"/>
      <c r="L110" s="369"/>
      <c r="M110" s="369"/>
      <c r="N110" s="388">
        <v>6838726183</v>
      </c>
      <c r="O110" s="370">
        <v>1683206539</v>
      </c>
      <c r="P110" s="335">
        <f>[4]NWC!K8</f>
        <v>806922095.84829831</v>
      </c>
      <c r="Q110" s="372">
        <v>1784212493</v>
      </c>
      <c r="R110" s="371">
        <f>AE110</f>
        <v>1106294220.9131479</v>
      </c>
      <c r="S110" s="337"/>
      <c r="T110" s="371">
        <f>[4]NWC!O8</f>
        <v>583010498.11770654</v>
      </c>
      <c r="U110" s="371">
        <f>[4]NWC!P8</f>
        <v>359729391.10798687</v>
      </c>
      <c r="V110" s="371">
        <f>[4]NWC!Q8</f>
        <v>792305123.97368252</v>
      </c>
      <c r="W110" s="371">
        <f>[4]NWC!R8</f>
        <v>1019073290.2017336</v>
      </c>
      <c r="X110" s="371">
        <f>[4]NWC!S8</f>
        <v>1065817590.9449639</v>
      </c>
      <c r="Y110" s="371">
        <f>[4]NWC!T8</f>
        <v>1068149162.0338529</v>
      </c>
      <c r="Z110" s="371">
        <f>[4]NWC!U8</f>
        <v>1106978473.93537</v>
      </c>
      <c r="AA110" s="371">
        <f>[4]NWC!V8</f>
        <v>1104347509.5326962</v>
      </c>
      <c r="AB110" s="371">
        <f>[4]NWC!W8</f>
        <v>1070803311.3725926</v>
      </c>
      <c r="AC110" s="371">
        <f>[4]NWC!X8</f>
        <v>1105766048.9044735</v>
      </c>
      <c r="AD110" s="371">
        <f>[4]NWC!Y8</f>
        <v>1070357700.2822074</v>
      </c>
      <c r="AE110" s="371">
        <f>[4]NWC!Z8</f>
        <v>1106294220.9131479</v>
      </c>
      <c r="AF110" s="338"/>
      <c r="AG110" s="369"/>
      <c r="AH110" s="369"/>
      <c r="AI110" s="369"/>
      <c r="AJ110" s="369"/>
      <c r="AK110" s="369"/>
      <c r="AL110" s="339"/>
    </row>
    <row r="111" spans="2:41">
      <c r="B111" s="342"/>
      <c r="C111" s="329" t="str">
        <f>IF(B1="EN", "Other short term liabilities", "Nợ ngắn hạn khác")</f>
        <v>Nợ ngắn hạn khác</v>
      </c>
      <c r="D111" s="329"/>
      <c r="E111" s="330"/>
      <c r="F111" s="331"/>
      <c r="G111" s="332"/>
      <c r="H111" s="332"/>
      <c r="I111" s="332"/>
      <c r="J111" s="332"/>
      <c r="K111" s="333"/>
      <c r="L111" s="333"/>
      <c r="M111" s="333"/>
      <c r="N111" s="388"/>
      <c r="O111" s="340">
        <v>6132840</v>
      </c>
      <c r="P111" s="335"/>
      <c r="Q111" s="336"/>
      <c r="R111" s="337">
        <f t="shared" si="90"/>
        <v>0</v>
      </c>
      <c r="S111" s="337"/>
      <c r="T111" s="337">
        <f>Q111</f>
        <v>0</v>
      </c>
      <c r="U111" s="337">
        <f>T111</f>
        <v>0</v>
      </c>
      <c r="V111" s="337">
        <f t="shared" ref="V111:AE111" si="115">U111</f>
        <v>0</v>
      </c>
      <c r="W111" s="337">
        <f t="shared" si="115"/>
        <v>0</v>
      </c>
      <c r="X111" s="337">
        <f t="shared" si="115"/>
        <v>0</v>
      </c>
      <c r="Y111" s="337">
        <f t="shared" si="115"/>
        <v>0</v>
      </c>
      <c r="Z111" s="337">
        <f t="shared" si="115"/>
        <v>0</v>
      </c>
      <c r="AA111" s="337">
        <f t="shared" si="115"/>
        <v>0</v>
      </c>
      <c r="AB111" s="337">
        <f t="shared" si="115"/>
        <v>0</v>
      </c>
      <c r="AC111" s="337">
        <f t="shared" si="115"/>
        <v>0</v>
      </c>
      <c r="AD111" s="337">
        <f t="shared" si="115"/>
        <v>0</v>
      </c>
      <c r="AE111" s="337">
        <f t="shared" si="115"/>
        <v>0</v>
      </c>
      <c r="AF111" s="338"/>
      <c r="AG111" s="333"/>
      <c r="AH111" s="333"/>
      <c r="AI111" s="333"/>
      <c r="AJ111" s="333"/>
      <c r="AK111" s="333"/>
      <c r="AL111" s="389"/>
    </row>
    <row r="112" spans="2:41">
      <c r="B112" s="342"/>
      <c r="C112" s="329"/>
      <c r="D112" s="329"/>
      <c r="E112" s="330"/>
      <c r="F112" s="331"/>
      <c r="G112" s="390"/>
      <c r="H112" s="390"/>
      <c r="I112" s="390"/>
      <c r="J112" s="390"/>
      <c r="K112" s="391"/>
      <c r="L112" s="391"/>
      <c r="M112" s="391"/>
      <c r="N112" s="392"/>
      <c r="O112" s="392"/>
      <c r="P112" s="346"/>
      <c r="Q112" s="347"/>
      <c r="R112" s="348">
        <f t="shared" si="90"/>
        <v>0</v>
      </c>
      <c r="S112" s="348"/>
      <c r="T112" s="348"/>
      <c r="U112" s="348"/>
      <c r="V112" s="348"/>
      <c r="W112" s="348"/>
      <c r="X112" s="348"/>
      <c r="Y112" s="348"/>
      <c r="Z112" s="348"/>
      <c r="AA112" s="348"/>
      <c r="AB112" s="348"/>
      <c r="AC112" s="348"/>
      <c r="AD112" s="348"/>
      <c r="AE112" s="348"/>
      <c r="AF112" s="349"/>
      <c r="AG112" s="391"/>
      <c r="AH112" s="391"/>
      <c r="AI112" s="391"/>
      <c r="AJ112" s="391"/>
      <c r="AK112" s="391"/>
      <c r="AL112" s="393"/>
    </row>
    <row r="113" spans="1:38">
      <c r="B113" s="126" t="str">
        <f>IF(B1="EN", "Long-term liabilities", "Nợ dài hạn")</f>
        <v>Nợ dài hạn</v>
      </c>
      <c r="C113" s="123"/>
      <c r="D113" s="123"/>
      <c r="E113" s="317"/>
      <c r="F113" s="318"/>
      <c r="G113" s="319"/>
      <c r="H113" s="319"/>
      <c r="I113" s="319"/>
      <c r="J113" s="319"/>
      <c r="K113" s="320"/>
      <c r="L113" s="320"/>
      <c r="M113" s="320"/>
      <c r="N113" s="321">
        <f t="shared" ref="N113:AE113" si="116">SUM(N114:N115)</f>
        <v>0</v>
      </c>
      <c r="O113" s="321"/>
      <c r="P113" s="322">
        <f t="shared" si="116"/>
        <v>0</v>
      </c>
      <c r="Q113" s="323">
        <f t="shared" si="116"/>
        <v>0</v>
      </c>
      <c r="R113" s="324">
        <f t="shared" si="90"/>
        <v>0</v>
      </c>
      <c r="S113" s="324"/>
      <c r="T113" s="324">
        <f t="shared" si="116"/>
        <v>0</v>
      </c>
      <c r="U113" s="324">
        <f t="shared" si="116"/>
        <v>0</v>
      </c>
      <c r="V113" s="324">
        <f t="shared" si="116"/>
        <v>0</v>
      </c>
      <c r="W113" s="324">
        <f t="shared" si="116"/>
        <v>0</v>
      </c>
      <c r="X113" s="324">
        <f t="shared" si="116"/>
        <v>0</v>
      </c>
      <c r="Y113" s="324">
        <f t="shared" si="116"/>
        <v>0</v>
      </c>
      <c r="Z113" s="324">
        <f t="shared" si="116"/>
        <v>0</v>
      </c>
      <c r="AA113" s="324">
        <f t="shared" si="116"/>
        <v>0</v>
      </c>
      <c r="AB113" s="324">
        <f t="shared" si="116"/>
        <v>0</v>
      </c>
      <c r="AC113" s="324">
        <f t="shared" si="116"/>
        <v>0</v>
      </c>
      <c r="AD113" s="324">
        <f t="shared" si="116"/>
        <v>0</v>
      </c>
      <c r="AE113" s="324">
        <f t="shared" si="116"/>
        <v>0</v>
      </c>
      <c r="AF113" s="325"/>
      <c r="AG113" s="320"/>
      <c r="AH113" s="320"/>
      <c r="AI113" s="320"/>
      <c r="AJ113" s="320"/>
      <c r="AK113" s="320"/>
      <c r="AL113" s="326"/>
    </row>
    <row r="114" spans="1:38">
      <c r="B114" s="342"/>
      <c r="C114" s="329" t="str">
        <f>IF(B1="EN", "Long-term borrowings", "Vay dài hạn")</f>
        <v>Vay dài hạn</v>
      </c>
      <c r="D114" s="329"/>
      <c r="E114" s="330"/>
      <c r="F114" s="331"/>
      <c r="G114" s="368"/>
      <c r="H114" s="368"/>
      <c r="I114" s="368"/>
      <c r="J114" s="368"/>
      <c r="K114" s="369"/>
      <c r="L114" s="369"/>
      <c r="M114" s="369"/>
      <c r="N114" s="370"/>
      <c r="O114" s="370"/>
      <c r="P114" s="335"/>
      <c r="Q114" s="372">
        <f>[4]FIN!Q9</f>
        <v>0</v>
      </c>
      <c r="R114" s="371">
        <f t="shared" si="90"/>
        <v>0</v>
      </c>
      <c r="S114" s="337"/>
      <c r="T114" s="371"/>
      <c r="U114" s="371"/>
      <c r="V114" s="371"/>
      <c r="W114" s="371"/>
      <c r="X114" s="371"/>
      <c r="Y114" s="371"/>
      <c r="Z114" s="371"/>
      <c r="AA114" s="371"/>
      <c r="AB114" s="371"/>
      <c r="AC114" s="371"/>
      <c r="AD114" s="371"/>
      <c r="AE114" s="371"/>
      <c r="AF114" s="338"/>
      <c r="AG114" s="369"/>
      <c r="AH114" s="369"/>
      <c r="AI114" s="369"/>
      <c r="AJ114" s="369"/>
      <c r="AK114" s="369"/>
      <c r="AL114" s="339"/>
    </row>
    <row r="115" spans="1:38">
      <c r="B115" s="342"/>
      <c r="C115" s="329" t="str">
        <f>IF(B1="EN", "Other long term liabilities", "Nợ dài hạn khác")</f>
        <v>Nợ dài hạn khác</v>
      </c>
      <c r="D115" s="329"/>
      <c r="E115" s="330"/>
      <c r="F115" s="331"/>
      <c r="G115" s="332"/>
      <c r="H115" s="332"/>
      <c r="I115" s="332"/>
      <c r="J115" s="332"/>
      <c r="K115" s="333"/>
      <c r="L115" s="333"/>
      <c r="M115" s="333"/>
      <c r="N115" s="340"/>
      <c r="O115" s="340"/>
      <c r="P115" s="335"/>
      <c r="Q115" s="336">
        <f>N115</f>
        <v>0</v>
      </c>
      <c r="R115" s="337">
        <f t="shared" si="90"/>
        <v>0</v>
      </c>
      <c r="S115" s="337"/>
      <c r="T115" s="337">
        <f>$Q$115</f>
        <v>0</v>
      </c>
      <c r="U115" s="337">
        <f t="shared" ref="U115:AE115" si="117">$Q$115</f>
        <v>0</v>
      </c>
      <c r="V115" s="337">
        <f t="shared" si="117"/>
        <v>0</v>
      </c>
      <c r="W115" s="337">
        <f t="shared" si="117"/>
        <v>0</v>
      </c>
      <c r="X115" s="337">
        <f t="shared" si="117"/>
        <v>0</v>
      </c>
      <c r="Y115" s="337">
        <f t="shared" si="117"/>
        <v>0</v>
      </c>
      <c r="Z115" s="337">
        <f t="shared" si="117"/>
        <v>0</v>
      </c>
      <c r="AA115" s="337">
        <f t="shared" si="117"/>
        <v>0</v>
      </c>
      <c r="AB115" s="337">
        <f t="shared" si="117"/>
        <v>0</v>
      </c>
      <c r="AC115" s="337">
        <f t="shared" si="117"/>
        <v>0</v>
      </c>
      <c r="AD115" s="337">
        <f t="shared" si="117"/>
        <v>0</v>
      </c>
      <c r="AE115" s="337">
        <f t="shared" si="117"/>
        <v>0</v>
      </c>
      <c r="AF115" s="338"/>
      <c r="AG115" s="333"/>
      <c r="AH115" s="333"/>
      <c r="AI115" s="333"/>
      <c r="AJ115" s="333"/>
      <c r="AK115" s="333"/>
      <c r="AL115" s="339"/>
    </row>
    <row r="116" spans="1:38">
      <c r="B116" s="126" t="str">
        <f>IF(B1="EN", "EQUITY", "VỐN CHỦ SỞ HỮU")</f>
        <v>VỐN CHỦ SỞ HỮU</v>
      </c>
      <c r="C116" s="123"/>
      <c r="D116" s="123"/>
      <c r="E116" s="317"/>
      <c r="F116" s="318"/>
      <c r="G116" s="319"/>
      <c r="H116" s="319"/>
      <c r="I116" s="319"/>
      <c r="J116" s="319"/>
      <c r="K116" s="320"/>
      <c r="L116" s="320"/>
      <c r="M116" s="320"/>
      <c r="N116" s="321">
        <f t="shared" ref="N116:O116" si="118">SUM(N117:N120)</f>
        <v>35041268690</v>
      </c>
      <c r="O116" s="321">
        <f t="shared" si="118"/>
        <v>31862976708</v>
      </c>
      <c r="P116" s="322">
        <f>SUM(P117:P120)</f>
        <v>29046531499.03339</v>
      </c>
      <c r="Q116" s="323">
        <f t="shared" ref="Q116:AE116" si="119">SUM(Q117:Q120)</f>
        <v>35233224627</v>
      </c>
      <c r="R116" s="324">
        <f t="shared" si="90"/>
        <v>36732931307.156754</v>
      </c>
      <c r="S116" s="324"/>
      <c r="T116" s="324">
        <f t="shared" si="119"/>
        <v>35658873313.984406</v>
      </c>
      <c r="U116" s="324">
        <f t="shared" si="119"/>
        <v>35601139599.114594</v>
      </c>
      <c r="V116" s="324">
        <f t="shared" si="119"/>
        <v>35889970273.259361</v>
      </c>
      <c r="W116" s="324">
        <f t="shared" si="119"/>
        <v>36042415094.983353</v>
      </c>
      <c r="X116" s="324">
        <f t="shared" si="119"/>
        <v>36157313987.558899</v>
      </c>
      <c r="Y116" s="324">
        <f t="shared" si="119"/>
        <v>36223467595.652954</v>
      </c>
      <c r="Z116" s="324">
        <f t="shared" si="119"/>
        <v>36345897824.224258</v>
      </c>
      <c r="AA116" s="324">
        <f t="shared" si="119"/>
        <v>36359632546.835663</v>
      </c>
      <c r="AB116" s="324">
        <f t="shared" si="119"/>
        <v>36387687916.848633</v>
      </c>
      <c r="AC116" s="324">
        <f t="shared" si="119"/>
        <v>36555176748.883377</v>
      </c>
      <c r="AD116" s="324">
        <f t="shared" si="119"/>
        <v>36599292838.252121</v>
      </c>
      <c r="AE116" s="324">
        <f t="shared" si="119"/>
        <v>36732931307.156754</v>
      </c>
      <c r="AF116" s="325"/>
      <c r="AG116" s="320"/>
      <c r="AH116" s="320"/>
      <c r="AI116" s="320"/>
      <c r="AJ116" s="320"/>
      <c r="AK116" s="320"/>
      <c r="AL116" s="326"/>
    </row>
    <row r="117" spans="1:38">
      <c r="B117" s="342"/>
      <c r="C117" s="329" t="str">
        <f>IF(B1="EN", "Shareholders' capital", "Vốn cổ phần")</f>
        <v>Vốn cổ phần</v>
      </c>
      <c r="D117" s="329"/>
      <c r="E117" s="330"/>
      <c r="F117" s="331"/>
      <c r="G117" s="332"/>
      <c r="H117" s="332"/>
      <c r="I117" s="332"/>
      <c r="J117" s="332"/>
      <c r="K117" s="333"/>
      <c r="L117" s="333"/>
      <c r="M117" s="340"/>
      <c r="N117" s="340">
        <v>47000000000</v>
      </c>
      <c r="O117" s="340">
        <v>47000000000</v>
      </c>
      <c r="P117" s="335">
        <f>O117</f>
        <v>47000000000</v>
      </c>
      <c r="Q117" s="336">
        <f>O117</f>
        <v>47000000000</v>
      </c>
      <c r="R117" s="337">
        <f t="shared" si="90"/>
        <v>47000000000</v>
      </c>
      <c r="S117" s="337"/>
      <c r="T117" s="337">
        <f>$Q$117</f>
        <v>47000000000</v>
      </c>
      <c r="U117" s="337">
        <f t="shared" ref="U117:AE117" si="120">$Q$117</f>
        <v>47000000000</v>
      </c>
      <c r="V117" s="337">
        <f t="shared" si="120"/>
        <v>47000000000</v>
      </c>
      <c r="W117" s="337">
        <f t="shared" si="120"/>
        <v>47000000000</v>
      </c>
      <c r="X117" s="337">
        <f t="shared" si="120"/>
        <v>47000000000</v>
      </c>
      <c r="Y117" s="337">
        <f t="shared" si="120"/>
        <v>47000000000</v>
      </c>
      <c r="Z117" s="337">
        <f t="shared" si="120"/>
        <v>47000000000</v>
      </c>
      <c r="AA117" s="337">
        <f t="shared" si="120"/>
        <v>47000000000</v>
      </c>
      <c r="AB117" s="337">
        <f t="shared" si="120"/>
        <v>47000000000</v>
      </c>
      <c r="AC117" s="337">
        <f t="shared" si="120"/>
        <v>47000000000</v>
      </c>
      <c r="AD117" s="337">
        <f t="shared" si="120"/>
        <v>47000000000</v>
      </c>
      <c r="AE117" s="337">
        <f t="shared" si="120"/>
        <v>47000000000</v>
      </c>
      <c r="AF117" s="338"/>
      <c r="AG117" s="333"/>
      <c r="AH117" s="333"/>
      <c r="AI117" s="333"/>
      <c r="AJ117" s="333"/>
      <c r="AK117" s="333"/>
      <c r="AL117" s="339"/>
    </row>
    <row r="118" spans="1:38">
      <c r="B118" s="342"/>
      <c r="C118" s="329" t="str">
        <f>IF(B1="EN", "Investment and development fund", "Quỹ đầu tư &amp; phát triển")</f>
        <v>Quỹ đầu tư &amp; phát triển</v>
      </c>
      <c r="D118" s="329"/>
      <c r="E118" s="330"/>
      <c r="F118" s="331"/>
      <c r="G118" s="332"/>
      <c r="H118" s="332"/>
      <c r="I118" s="332"/>
      <c r="J118" s="332"/>
      <c r="K118" s="333"/>
      <c r="L118" s="333"/>
      <c r="M118" s="333"/>
      <c r="N118" s="340"/>
      <c r="O118" s="340"/>
      <c r="P118" s="335"/>
      <c r="Q118" s="336">
        <f>N118</f>
        <v>0</v>
      </c>
      <c r="R118" s="337">
        <f t="shared" si="90"/>
        <v>0</v>
      </c>
      <c r="S118" s="337"/>
      <c r="T118" s="337">
        <f>$Q$118</f>
        <v>0</v>
      </c>
      <c r="U118" s="337">
        <f t="shared" ref="U118:AE118" si="121">$Q$118</f>
        <v>0</v>
      </c>
      <c r="V118" s="337">
        <f t="shared" si="121"/>
        <v>0</v>
      </c>
      <c r="W118" s="337">
        <f t="shared" si="121"/>
        <v>0</v>
      </c>
      <c r="X118" s="337">
        <f t="shared" si="121"/>
        <v>0</v>
      </c>
      <c r="Y118" s="337">
        <f t="shared" si="121"/>
        <v>0</v>
      </c>
      <c r="Z118" s="337">
        <f t="shared" si="121"/>
        <v>0</v>
      </c>
      <c r="AA118" s="337">
        <f t="shared" si="121"/>
        <v>0</v>
      </c>
      <c r="AB118" s="337">
        <f t="shared" si="121"/>
        <v>0</v>
      </c>
      <c r="AC118" s="337">
        <f t="shared" si="121"/>
        <v>0</v>
      </c>
      <c r="AD118" s="337">
        <f t="shared" si="121"/>
        <v>0</v>
      </c>
      <c r="AE118" s="337">
        <f t="shared" si="121"/>
        <v>0</v>
      </c>
      <c r="AF118" s="338"/>
      <c r="AG118" s="333"/>
      <c r="AH118" s="333"/>
      <c r="AI118" s="333"/>
      <c r="AJ118" s="333"/>
      <c r="AK118" s="333"/>
      <c r="AL118" s="339"/>
    </row>
    <row r="119" spans="1:38">
      <c r="B119" s="342"/>
      <c r="C119" s="329" t="s">
        <v>116</v>
      </c>
      <c r="D119" s="329"/>
      <c r="E119" s="330"/>
      <c r="F119" s="331"/>
      <c r="G119" s="332"/>
      <c r="H119" s="332"/>
      <c r="I119" s="332"/>
      <c r="J119" s="332"/>
      <c r="K119" s="333"/>
      <c r="L119" s="333"/>
      <c r="M119" s="333"/>
      <c r="N119" s="340"/>
      <c r="O119" s="340"/>
      <c r="P119" s="335"/>
      <c r="Q119" s="336"/>
      <c r="R119" s="337">
        <f t="shared" si="90"/>
        <v>0</v>
      </c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8"/>
      <c r="AG119" s="333"/>
      <c r="AH119" s="333"/>
      <c r="AI119" s="333"/>
      <c r="AJ119" s="333"/>
      <c r="AK119" s="333"/>
      <c r="AL119" s="339"/>
    </row>
    <row r="120" spans="1:38">
      <c r="B120" s="342"/>
      <c r="C120" s="329" t="str">
        <f>IF(B1="EN", "Retained earnings", "Lợi nhuận để lại")</f>
        <v>Lợi nhuận để lại</v>
      </c>
      <c r="D120" s="329"/>
      <c r="E120" s="330"/>
      <c r="F120" s="331"/>
      <c r="G120" s="332"/>
      <c r="H120" s="332"/>
      <c r="I120" s="332"/>
      <c r="J120" s="332"/>
      <c r="K120" s="333"/>
      <c r="L120" s="333"/>
      <c r="M120" s="334"/>
      <c r="N120" s="334">
        <v>-11958731310</v>
      </c>
      <c r="O120" s="334">
        <v>-15137023292</v>
      </c>
      <c r="P120" s="335">
        <f>O120+P69-[4]FIN!P26</f>
        <v>-17953468500.96661</v>
      </c>
      <c r="Q120" s="336">
        <f>O120+Q69-[4]FIN!Q26</f>
        <v>-11766775373</v>
      </c>
      <c r="R120" s="337">
        <f>AE120</f>
        <v>-10267068692.843245</v>
      </c>
      <c r="S120" s="337"/>
      <c r="T120" s="337">
        <f>Q120+T69-[4]FIN!T26</f>
        <v>-11341126686.015598</v>
      </c>
      <c r="U120" s="337">
        <f>T120+U69-[4]FIN!U26</f>
        <v>-11398860400.885403</v>
      </c>
      <c r="V120" s="337">
        <f>U120+V69-[4]FIN!V26</f>
        <v>-11110029726.740641</v>
      </c>
      <c r="W120" s="337">
        <f>V120+W69-[4]FIN!W26</f>
        <v>-10957584905.016645</v>
      </c>
      <c r="X120" s="337">
        <f>W120+X69-[4]FIN!X26</f>
        <v>-10842686012.441105</v>
      </c>
      <c r="Y120" s="337">
        <f>X120+Y69-[4]FIN!Y26</f>
        <v>-10776532404.347046</v>
      </c>
      <c r="Z120" s="337">
        <f>Y120+Z69-[4]FIN!Z26</f>
        <v>-10654102175.775743</v>
      </c>
      <c r="AA120" s="337">
        <f>Z120+AA69-[4]FIN!AA26</f>
        <v>-10640367453.164335</v>
      </c>
      <c r="AB120" s="337">
        <f>AA120+AB69-[4]FIN!AB26</f>
        <v>-10612312083.151371</v>
      </c>
      <c r="AC120" s="337">
        <f>AB120+AC69-[4]FIN!AC26</f>
        <v>-10444823251.116621</v>
      </c>
      <c r="AD120" s="337">
        <f>AC120+AD69-[4]FIN!AD26</f>
        <v>-10400707161.747879</v>
      </c>
      <c r="AE120" s="337">
        <f>AD120+AE69-[4]FIN!AE26</f>
        <v>-10267068692.843245</v>
      </c>
      <c r="AF120" s="338"/>
      <c r="AG120" s="333"/>
      <c r="AH120" s="333"/>
      <c r="AI120" s="333"/>
      <c r="AJ120" s="333"/>
      <c r="AK120" s="333"/>
      <c r="AL120" s="339"/>
    </row>
    <row r="121" spans="1:38">
      <c r="A121" s="196"/>
      <c r="B121" s="394"/>
      <c r="C121" s="395"/>
      <c r="D121" s="395"/>
      <c r="E121" s="396"/>
      <c r="F121" s="397"/>
      <c r="G121" s="398"/>
      <c r="H121" s="398"/>
      <c r="I121" s="398"/>
      <c r="J121" s="398"/>
      <c r="K121" s="399"/>
      <c r="L121" s="399"/>
      <c r="M121" s="399"/>
      <c r="N121" s="400"/>
      <c r="O121" s="400"/>
      <c r="P121" s="335"/>
      <c r="Q121" s="336"/>
      <c r="R121" s="337">
        <f t="shared" si="90"/>
        <v>0</v>
      </c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8"/>
      <c r="AG121" s="399"/>
      <c r="AH121" s="399"/>
      <c r="AI121" s="399"/>
      <c r="AJ121" s="399"/>
      <c r="AK121" s="399"/>
      <c r="AL121" s="401"/>
    </row>
    <row r="122" spans="1:38" ht="17" thickBot="1">
      <c r="B122" s="402" t="str">
        <f>IF(B1="EN", "TOTAL LIABILITIES AND EQUITY", "TỔNG NGUỒN VỐN")</f>
        <v>TỔNG NGUỒN VỐN</v>
      </c>
      <c r="C122" s="403"/>
      <c r="D122" s="403"/>
      <c r="E122" s="404"/>
      <c r="F122" s="404"/>
      <c r="G122" s="378"/>
      <c r="H122" s="378"/>
      <c r="I122" s="378"/>
      <c r="J122" s="378"/>
      <c r="K122" s="405"/>
      <c r="L122" s="405"/>
      <c r="M122" s="405"/>
      <c r="N122" s="406">
        <f>N107+N116</f>
        <v>41879994873</v>
      </c>
      <c r="O122" s="406">
        <f t="shared" ref="O122:Q122" si="122">O107+O116</f>
        <v>33552316087</v>
      </c>
      <c r="P122" s="407">
        <f>P107+P116</f>
        <v>29853453594.881687</v>
      </c>
      <c r="Q122" s="408">
        <f t="shared" si="122"/>
        <v>37017437120</v>
      </c>
      <c r="R122" s="409">
        <f t="shared" si="90"/>
        <v>37839225528.069901</v>
      </c>
      <c r="S122" s="324"/>
      <c r="T122" s="409">
        <f t="shared" ref="T122:AE122" si="123">T107+T116</f>
        <v>36241883812.102112</v>
      </c>
      <c r="U122" s="409">
        <f t="shared" si="123"/>
        <v>35960868990.22258</v>
      </c>
      <c r="V122" s="409">
        <f t="shared" si="123"/>
        <v>36682275397.233047</v>
      </c>
      <c r="W122" s="409">
        <f t="shared" si="123"/>
        <v>37061488385.185089</v>
      </c>
      <c r="X122" s="409">
        <f t="shared" si="123"/>
        <v>37223131578.50386</v>
      </c>
      <c r="Y122" s="409">
        <f t="shared" si="123"/>
        <v>37291616757.686806</v>
      </c>
      <c r="Z122" s="409">
        <f t="shared" si="123"/>
        <v>37452876298.15963</v>
      </c>
      <c r="AA122" s="409">
        <f t="shared" si="123"/>
        <v>37463980056.368362</v>
      </c>
      <c r="AB122" s="409">
        <f t="shared" si="123"/>
        <v>37458491228.221222</v>
      </c>
      <c r="AC122" s="409">
        <f t="shared" si="123"/>
        <v>37660942797.787849</v>
      </c>
      <c r="AD122" s="409">
        <f t="shared" si="123"/>
        <v>37669650538.534325</v>
      </c>
      <c r="AE122" s="409">
        <f t="shared" si="123"/>
        <v>37839225528.069901</v>
      </c>
      <c r="AF122" s="325"/>
      <c r="AG122" s="405">
        <f>AG107+AG116</f>
        <v>0</v>
      </c>
      <c r="AH122" s="405">
        <f>AH107+AH116</f>
        <v>0</v>
      </c>
      <c r="AI122" s="405">
        <f>AI107+AI116</f>
        <v>0</v>
      </c>
      <c r="AJ122" s="405">
        <f>AJ107+AJ116</f>
        <v>0</v>
      </c>
      <c r="AK122" s="405">
        <f>AK107+AK116</f>
        <v>0</v>
      </c>
      <c r="AL122" s="326"/>
    </row>
    <row r="123" spans="1:38" ht="17" thickTop="1">
      <c r="G123" s="257"/>
      <c r="H123" s="257"/>
      <c r="I123" s="257"/>
      <c r="J123" s="257"/>
      <c r="K123" s="410"/>
      <c r="L123" s="410"/>
      <c r="M123" s="410"/>
      <c r="N123" s="411">
        <f t="shared" ref="N123:O123" si="124">N105-N122</f>
        <v>0</v>
      </c>
      <c r="O123" s="411">
        <f t="shared" si="124"/>
        <v>0</v>
      </c>
      <c r="P123" s="411"/>
      <c r="Q123" s="469">
        <f>Q105-Q122</f>
        <v>0</v>
      </c>
      <c r="R123" s="411">
        <f>R105-R122</f>
        <v>0.99999237060546875</v>
      </c>
      <c r="S123" s="411"/>
      <c r="T123" s="411"/>
      <c r="U123" s="411"/>
      <c r="V123" s="411"/>
      <c r="W123" s="411"/>
      <c r="X123" s="411"/>
      <c r="Y123" s="411"/>
      <c r="Z123" s="411"/>
      <c r="AA123" s="411"/>
      <c r="AB123" s="411"/>
      <c r="AC123" s="411"/>
      <c r="AD123" s="411"/>
      <c r="AE123" s="411"/>
      <c r="AF123" s="410"/>
      <c r="AG123" s="410">
        <f>AG105-AG122</f>
        <v>0</v>
      </c>
      <c r="AH123" s="410">
        <f>AH105-AH122</f>
        <v>0</v>
      </c>
      <c r="AI123" s="410">
        <f>AI105-AI122</f>
        <v>0</v>
      </c>
      <c r="AJ123" s="410">
        <f>AJ105-AJ122</f>
        <v>0</v>
      </c>
      <c r="AK123" s="410">
        <f>AK105-AK122</f>
        <v>0</v>
      </c>
      <c r="AL123" s="257"/>
    </row>
    <row r="124" spans="1:38">
      <c r="G124" s="107"/>
      <c r="H124" s="107"/>
      <c r="I124" s="107"/>
      <c r="J124" s="107"/>
      <c r="K124" s="412"/>
      <c r="L124" s="412"/>
      <c r="M124" s="412"/>
      <c r="N124" s="411"/>
      <c r="O124" s="411"/>
      <c r="P124" s="411"/>
      <c r="Q124" s="411"/>
      <c r="R124" s="411"/>
      <c r="S124" s="411"/>
      <c r="T124" s="411"/>
      <c r="U124" s="411"/>
      <c r="V124" s="411"/>
      <c r="W124" s="411"/>
      <c r="X124" s="411"/>
      <c r="Y124" s="411"/>
      <c r="Z124" s="411"/>
      <c r="AA124" s="411"/>
      <c r="AB124" s="411"/>
      <c r="AC124" s="411"/>
      <c r="AD124" s="411"/>
      <c r="AE124" s="411"/>
      <c r="AF124" s="412"/>
      <c r="AG124" s="412"/>
      <c r="AH124" s="412"/>
      <c r="AI124" s="412"/>
      <c r="AJ124" s="412"/>
      <c r="AK124" s="412"/>
      <c r="AL124" s="107"/>
    </row>
    <row r="125" spans="1:38">
      <c r="B125" s="111" t="str">
        <f>IF(B1="EN", "CASH FLOW STATEMENT", "LƯU CHUYỂN TIỀN TỆ")</f>
        <v>LƯU CHUYỂN TIỀN TỆ</v>
      </c>
      <c r="C125" s="112"/>
      <c r="D125" s="112"/>
      <c r="E125" s="112"/>
      <c r="F125" s="112"/>
      <c r="G125" s="114"/>
      <c r="H125" s="114"/>
      <c r="I125" s="413"/>
      <c r="J125" s="115"/>
      <c r="K125" s="101"/>
      <c r="L125" s="101"/>
      <c r="M125" s="101"/>
      <c r="N125" s="101">
        <v>2023</v>
      </c>
      <c r="O125" s="101">
        <v>2024</v>
      </c>
      <c r="P125" s="414" t="str">
        <f t="shared" ref="P125:R125" si="125">P72</f>
        <v>2025P</v>
      </c>
      <c r="Q125" s="415" t="str">
        <f t="shared" si="125"/>
        <v>2025E</v>
      </c>
      <c r="R125" s="416" t="str">
        <f t="shared" si="125"/>
        <v>2026P</v>
      </c>
      <c r="S125" s="417"/>
      <c r="T125" s="416">
        <f t="shared" ref="T125:AE125" si="126">T2</f>
        <v>1</v>
      </c>
      <c r="U125" s="416">
        <f t="shared" si="126"/>
        <v>2</v>
      </c>
      <c r="V125" s="416">
        <f t="shared" si="126"/>
        <v>3</v>
      </c>
      <c r="W125" s="416">
        <f t="shared" si="126"/>
        <v>4</v>
      </c>
      <c r="X125" s="416">
        <f t="shared" si="126"/>
        <v>5</v>
      </c>
      <c r="Y125" s="416">
        <f t="shared" si="126"/>
        <v>6</v>
      </c>
      <c r="Z125" s="416">
        <f t="shared" si="126"/>
        <v>7</v>
      </c>
      <c r="AA125" s="416">
        <f t="shared" si="126"/>
        <v>8</v>
      </c>
      <c r="AB125" s="416">
        <f t="shared" si="126"/>
        <v>9</v>
      </c>
      <c r="AC125" s="416">
        <f t="shared" si="126"/>
        <v>10</v>
      </c>
      <c r="AD125" s="416">
        <f t="shared" si="126"/>
        <v>11</v>
      </c>
      <c r="AE125" s="416">
        <f t="shared" si="126"/>
        <v>12</v>
      </c>
      <c r="AF125" s="105"/>
      <c r="AG125" s="106" t="str">
        <f>AG72</f>
        <v>2027 MTP</v>
      </c>
      <c r="AH125" s="106" t="str">
        <f>AH72</f>
        <v>2028 MTP</v>
      </c>
      <c r="AI125" s="106" t="str">
        <f>AI72</f>
        <v>2029 MTP</v>
      </c>
      <c r="AJ125" s="106" t="str">
        <f>AJ72</f>
        <v>2030 MTP</v>
      </c>
      <c r="AK125" s="106" t="str">
        <f>AK72</f>
        <v>2031 MTP</v>
      </c>
      <c r="AL125" s="316"/>
    </row>
    <row r="126" spans="1:38">
      <c r="B126" s="126" t="str">
        <f>IF(B1="EN", "CASH FLOW FROM OPERATING ACTIVITIES", "DÒNG TIỀN TỪ HOẠT ĐỘNG KINH DOANH")</f>
        <v>DÒNG TIỀN TỪ HOẠT ĐỘNG KINH DOANH</v>
      </c>
      <c r="C126" s="123"/>
      <c r="D126" s="123"/>
      <c r="E126" s="123"/>
      <c r="F126" s="123"/>
      <c r="G126" s="418"/>
      <c r="H126" s="418"/>
      <c r="I126" s="330"/>
      <c r="J126" s="418"/>
      <c r="K126" s="419"/>
      <c r="L126" s="419"/>
      <c r="M126" s="419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419"/>
      <c r="AG126" s="419"/>
      <c r="AH126" s="419"/>
      <c r="AI126" s="419"/>
      <c r="AJ126" s="419"/>
      <c r="AK126" s="419"/>
      <c r="AL126" s="330"/>
    </row>
    <row r="127" spans="1:38">
      <c r="B127" s="126" t="str">
        <f>IF(B1="EN", "Net income", "Lợi nhuận sau thuế")</f>
        <v>Lợi nhuận sau thuế</v>
      </c>
      <c r="C127" s="123"/>
      <c r="D127" s="123"/>
      <c r="E127" s="123"/>
      <c r="F127" s="123"/>
      <c r="G127" s="420"/>
      <c r="H127" s="420"/>
      <c r="I127" s="420"/>
      <c r="J127" s="420"/>
      <c r="K127" s="420"/>
      <c r="L127" s="420"/>
      <c r="M127" s="420"/>
      <c r="N127" s="321">
        <v>-4205584869.0000029</v>
      </c>
      <c r="O127" s="321">
        <v>-3153247282</v>
      </c>
      <c r="P127" s="322">
        <f t="shared" ref="P127:R127" si="127">P69</f>
        <v>-2816445208.9666095</v>
      </c>
      <c r="Q127" s="323">
        <f t="shared" si="127"/>
        <v>3370247919</v>
      </c>
      <c r="R127" s="324">
        <f t="shared" si="127"/>
        <v>1499706680.1567802</v>
      </c>
      <c r="S127" s="421"/>
      <c r="T127" s="421">
        <f t="shared" ref="T127:AE127" si="128">T69</f>
        <v>425648686.9844017</v>
      </c>
      <c r="U127" s="421">
        <f t="shared" si="128"/>
        <v>-57733714.869803429</v>
      </c>
      <c r="V127" s="421">
        <f t="shared" si="128"/>
        <v>288830674.14476204</v>
      </c>
      <c r="W127" s="421">
        <f t="shared" si="128"/>
        <v>152444821.72399521</v>
      </c>
      <c r="X127" s="421">
        <f t="shared" si="128"/>
        <v>114898892.57554054</v>
      </c>
      <c r="Y127" s="421">
        <f t="shared" si="128"/>
        <v>66153608.094058394</v>
      </c>
      <c r="Z127" s="421">
        <f t="shared" si="128"/>
        <v>122430228.57130182</v>
      </c>
      <c r="AA127" s="421">
        <f t="shared" si="128"/>
        <v>13734722.611407638</v>
      </c>
      <c r="AB127" s="421">
        <f t="shared" si="128"/>
        <v>28055370.012963653</v>
      </c>
      <c r="AC127" s="421">
        <f t="shared" si="128"/>
        <v>167488832.03474939</v>
      </c>
      <c r="AD127" s="421">
        <f t="shared" si="128"/>
        <v>44116089.368741393</v>
      </c>
      <c r="AE127" s="421">
        <f t="shared" si="128"/>
        <v>133638468.90463388</v>
      </c>
      <c r="AF127" s="422"/>
      <c r="AG127" s="422"/>
      <c r="AH127" s="422"/>
      <c r="AI127" s="422"/>
      <c r="AJ127" s="422"/>
      <c r="AK127" s="422"/>
      <c r="AL127" s="317"/>
    </row>
    <row r="128" spans="1:38">
      <c r="B128" s="423" t="str">
        <f>IF(B1="EN", "Depreciation &amp; amortization", "Khấu hao")</f>
        <v>Khấu hao</v>
      </c>
      <c r="C128" s="424"/>
      <c r="D128" s="424"/>
      <c r="E128" s="424"/>
      <c r="F128" s="424"/>
      <c r="G128" s="425"/>
      <c r="H128" s="425"/>
      <c r="I128" s="425"/>
      <c r="J128" s="425"/>
      <c r="K128" s="425"/>
      <c r="L128" s="425"/>
      <c r="M128" s="425"/>
      <c r="N128" s="340">
        <f>N53</f>
        <v>2904227598</v>
      </c>
      <c r="O128" s="340">
        <f t="shared" ref="O128:R128" si="129">O53</f>
        <v>3977819339</v>
      </c>
      <c r="P128" s="335">
        <f t="shared" si="129"/>
        <v>4538384048</v>
      </c>
      <c r="Q128" s="336">
        <f t="shared" si="129"/>
        <v>4038298793</v>
      </c>
      <c r="R128" s="337">
        <f t="shared" si="129"/>
        <v>2868759891.8222227</v>
      </c>
      <c r="S128" s="334"/>
      <c r="T128" s="334">
        <f t="shared" ref="T128:AE128" si="130">T53</f>
        <v>198196426.46666667</v>
      </c>
      <c r="U128" s="334">
        <f t="shared" si="130"/>
        <v>198557537.24444446</v>
      </c>
      <c r="V128" s="334">
        <f t="shared" si="130"/>
        <v>212724203.91111115</v>
      </c>
      <c r="W128" s="334">
        <f t="shared" si="130"/>
        <v>251710315.02222228</v>
      </c>
      <c r="X128" s="334">
        <f t="shared" si="130"/>
        <v>251710315.02222228</v>
      </c>
      <c r="Y128" s="334">
        <f t="shared" si="130"/>
        <v>251710315.02222228</v>
      </c>
      <c r="Z128" s="334">
        <f t="shared" si="130"/>
        <v>251710315.02222228</v>
      </c>
      <c r="AA128" s="334">
        <f t="shared" si="130"/>
        <v>251710315.02222228</v>
      </c>
      <c r="AB128" s="334">
        <f t="shared" si="130"/>
        <v>251710315.02222228</v>
      </c>
      <c r="AC128" s="334">
        <f t="shared" si="130"/>
        <v>251710315.02222228</v>
      </c>
      <c r="AD128" s="334">
        <f t="shared" si="130"/>
        <v>251710315.02222228</v>
      </c>
      <c r="AE128" s="334">
        <f t="shared" si="130"/>
        <v>245599204.02222228</v>
      </c>
      <c r="AF128" s="419"/>
      <c r="AG128" s="419"/>
      <c r="AH128" s="419"/>
      <c r="AI128" s="419"/>
      <c r="AJ128" s="419"/>
      <c r="AK128" s="419"/>
      <c r="AL128" s="330"/>
    </row>
    <row r="129" spans="2:38" s="214" customFormat="1">
      <c r="B129" s="179" t="str">
        <f>IF(B1="EN", "Net working capital", "Vốn lưu động thuần")</f>
        <v>Vốn lưu động thuần</v>
      </c>
      <c r="C129" s="128"/>
      <c r="D129" s="128"/>
      <c r="E129" s="128"/>
      <c r="F129" s="128"/>
      <c r="G129" s="420"/>
      <c r="H129" s="420"/>
      <c r="I129" s="420"/>
      <c r="J129" s="420"/>
      <c r="K129" s="420"/>
      <c r="L129" s="420"/>
      <c r="M129" s="420"/>
      <c r="N129" s="323">
        <f>SUM(N130:N135)</f>
        <v>6152022060</v>
      </c>
      <c r="O129" s="323">
        <f>SUM(O130:O135)</f>
        <v>3410571457</v>
      </c>
      <c r="P129" s="323">
        <f>SUM(P130:P135)</f>
        <v>-685569688.23837161</v>
      </c>
      <c r="Q129" s="323">
        <f>SUM(Q130:Q135)</f>
        <v>-290454316</v>
      </c>
      <c r="R129" s="421">
        <f>SUM(R130:R135)</f>
        <v>-7508797424.5462952</v>
      </c>
      <c r="S129" s="421"/>
      <c r="T129" s="421">
        <f t="shared" ref="T129:AE129" si="131">SUM(T130:T135)</f>
        <v>-2869201103.8133545</v>
      </c>
      <c r="U129" s="421">
        <f t="shared" si="131"/>
        <v>1654405512.2700386</v>
      </c>
      <c r="V129" s="421">
        <f t="shared" si="131"/>
        <v>-3063693120.1056542</v>
      </c>
      <c r="W129" s="421">
        <f t="shared" si="131"/>
        <v>-1222761314.9748931</v>
      </c>
      <c r="X129" s="421">
        <f t="shared" si="131"/>
        <v>-277871274.29373932</v>
      </c>
      <c r="Y129" s="421">
        <f t="shared" si="131"/>
        <v>-2214092.9544732217</v>
      </c>
      <c r="Z129" s="421">
        <f t="shared" si="131"/>
        <v>-285961429.25686473</v>
      </c>
      <c r="AA129" s="421">
        <f t="shared" si="131"/>
        <v>-12821009.109557673</v>
      </c>
      <c r="AB129" s="421">
        <f t="shared" si="131"/>
        <v>282189842.67817032</v>
      </c>
      <c r="AC129" s="421">
        <f t="shared" si="131"/>
        <v>-287008260.64218909</v>
      </c>
      <c r="AD129" s="421">
        <f t="shared" si="131"/>
        <v>280211213.57878458</v>
      </c>
      <c r="AE129" s="421">
        <f t="shared" si="131"/>
        <v>-286481516.92256343</v>
      </c>
      <c r="AF129" s="422"/>
      <c r="AG129" s="422"/>
      <c r="AH129" s="422"/>
      <c r="AI129" s="422"/>
      <c r="AJ129" s="422"/>
      <c r="AK129" s="422"/>
      <c r="AL129" s="317"/>
    </row>
    <row r="130" spans="2:38">
      <c r="B130" s="426"/>
      <c r="C130" s="355" t="str">
        <f>IF(B1="EN", "Increase (Decrease) in trade receivables", "Tăng (Giảm) các khoản phải thu")</f>
        <v>Tăng (Giảm) các khoản phải thu</v>
      </c>
      <c r="D130" s="355"/>
      <c r="E130" s="355"/>
      <c r="F130" s="355"/>
      <c r="G130" s="427"/>
      <c r="H130" s="427"/>
      <c r="I130" s="427"/>
      <c r="J130" s="427"/>
      <c r="K130" s="427"/>
      <c r="L130" s="427"/>
      <c r="M130" s="427"/>
      <c r="N130" s="428">
        <f>8443179491+863214028</f>
        <v>9306393519</v>
      </c>
      <c r="O130" s="428">
        <v>-4061303475</v>
      </c>
      <c r="P130" s="428">
        <f>O78-P78</f>
        <v>611613097.8733573</v>
      </c>
      <c r="Q130" s="428">
        <v>1063616905</v>
      </c>
      <c r="R130" s="429">
        <f>SUM(T130:AE130)-1417590871</f>
        <v>-4054226664.3333335</v>
      </c>
      <c r="S130" s="429"/>
      <c r="T130" s="429">
        <f>-(T78-Q78)</f>
        <v>-845937210</v>
      </c>
      <c r="U130" s="429">
        <f t="shared" ref="U130:AE130" si="132">-(U78-T78)</f>
        <v>879217500</v>
      </c>
      <c r="V130" s="429">
        <f t="shared" si="132"/>
        <v>-1584563750</v>
      </c>
      <c r="W130" s="429">
        <f t="shared" si="132"/>
        <v>-778526000</v>
      </c>
      <c r="X130" s="429">
        <f t="shared" si="132"/>
        <v>-153413166.66666651</v>
      </c>
      <c r="Y130" s="429">
        <f t="shared" si="132"/>
        <v>0</v>
      </c>
      <c r="Z130" s="429">
        <f t="shared" si="132"/>
        <v>-153413166.66666698</v>
      </c>
      <c r="AA130" s="429">
        <f t="shared" si="132"/>
        <v>-5490333.3333330154</v>
      </c>
      <c r="AB130" s="429">
        <f t="shared" si="132"/>
        <v>153624333.33333302</v>
      </c>
      <c r="AC130" s="429">
        <f t="shared" si="132"/>
        <v>-150598583.33333302</v>
      </c>
      <c r="AD130" s="429">
        <f t="shared" si="132"/>
        <v>153507958.33333302</v>
      </c>
      <c r="AE130" s="429">
        <f t="shared" si="132"/>
        <v>-151043375</v>
      </c>
      <c r="AF130" s="430"/>
      <c r="AG130" s="430"/>
      <c r="AH130" s="430"/>
      <c r="AI130" s="430"/>
      <c r="AJ130" s="430"/>
      <c r="AK130" s="430"/>
      <c r="AL130" s="367"/>
    </row>
    <row r="131" spans="2:38">
      <c r="B131" s="426"/>
      <c r="C131" s="355" t="str">
        <f>IF(B1="EN", "Increase (Decrease) in inventory", "Tăng (Giảm) hàng tồn kho")</f>
        <v>Tăng (Giảm) hàng tồn kho</v>
      </c>
      <c r="D131" s="355"/>
      <c r="E131" s="355"/>
      <c r="F131" s="355"/>
      <c r="G131" s="427"/>
      <c r="H131" s="427"/>
      <c r="I131" s="427"/>
      <c r="J131" s="427"/>
      <c r="K131" s="427"/>
      <c r="L131" s="427"/>
      <c r="M131" s="427"/>
      <c r="N131" s="428">
        <v>-3266999554</v>
      </c>
      <c r="O131" s="428">
        <v>7641146814</v>
      </c>
      <c r="P131" s="428">
        <f>O82-P82</f>
        <v>-630176627.64545321</v>
      </c>
      <c r="Q131" s="428">
        <v>-464581123</v>
      </c>
      <c r="R131" s="429">
        <f t="shared" ref="R131:R135" si="133">SUM(T131:AE131)</f>
        <v>-2839846676.333333</v>
      </c>
      <c r="S131" s="429"/>
      <c r="T131" s="429">
        <f>-(T81-Q81)</f>
        <v>-931513343</v>
      </c>
      <c r="U131" s="429">
        <f t="shared" ref="U131:AE131" si="134">-(U81-T81)</f>
        <v>1000000000</v>
      </c>
      <c r="V131" s="429">
        <f t="shared" si="134"/>
        <v>-1908333333.333333</v>
      </c>
      <c r="W131" s="429">
        <f t="shared" si="134"/>
        <v>-666666666.66666698</v>
      </c>
      <c r="X131" s="429">
        <f t="shared" si="134"/>
        <v>-166666666.66666651</v>
      </c>
      <c r="Y131" s="429">
        <f t="shared" si="134"/>
        <v>0</v>
      </c>
      <c r="Z131" s="429">
        <f t="shared" si="134"/>
        <v>-166666666.66666651</v>
      </c>
      <c r="AA131" s="429">
        <f t="shared" si="134"/>
        <v>0</v>
      </c>
      <c r="AB131" s="429">
        <f t="shared" si="134"/>
        <v>166666666.66666651</v>
      </c>
      <c r="AC131" s="429">
        <f t="shared" si="134"/>
        <v>-166666666.66666651</v>
      </c>
      <c r="AD131" s="429">
        <f t="shared" si="134"/>
        <v>166666666.66666651</v>
      </c>
      <c r="AE131" s="429">
        <f t="shared" si="134"/>
        <v>-166666666.66666651</v>
      </c>
      <c r="AF131" s="430"/>
      <c r="AG131" s="430"/>
      <c r="AH131" s="430"/>
      <c r="AI131" s="430"/>
      <c r="AJ131" s="430"/>
      <c r="AK131" s="430"/>
      <c r="AL131" s="367"/>
    </row>
    <row r="132" spans="2:38">
      <c r="B132" s="426"/>
      <c r="C132" s="355" t="str">
        <f>IF(B1="EN", "Increase (Decrease) in payables", "Tăng (Giảm) các khoản phải trả")</f>
        <v>Tăng (Giảm) các khoản phải trả</v>
      </c>
      <c r="D132" s="355"/>
      <c r="E132" s="355"/>
      <c r="F132" s="355"/>
      <c r="G132" s="427"/>
      <c r="H132" s="427"/>
      <c r="I132" s="427"/>
      <c r="J132" s="427"/>
      <c r="K132" s="427"/>
      <c r="L132" s="427"/>
      <c r="M132" s="427"/>
      <c r="N132" s="428">
        <v>728722757</v>
      </c>
      <c r="O132" s="428">
        <v>122256839</v>
      </c>
      <c r="P132" s="428">
        <f>P110-O110</f>
        <v>-876284443.15170169</v>
      </c>
      <c r="Q132" s="428">
        <v>938530866</v>
      </c>
      <c r="R132" s="429">
        <f t="shared" si="133"/>
        <v>-677918272.08685195</v>
      </c>
      <c r="S132" s="429"/>
      <c r="T132" s="429">
        <f>T110-Q110</f>
        <v>-1201201994.8822935</v>
      </c>
      <c r="U132" s="429">
        <f t="shared" ref="U132:AE132" si="135">U110-T110</f>
        <v>-223281107.00971967</v>
      </c>
      <c r="V132" s="429">
        <f t="shared" si="135"/>
        <v>432575732.86569566</v>
      </c>
      <c r="W132" s="429">
        <f t="shared" si="135"/>
        <v>226768166.22805107</v>
      </c>
      <c r="X132" s="429">
        <f t="shared" si="135"/>
        <v>46744300.743230343</v>
      </c>
      <c r="Y132" s="429">
        <f t="shared" si="135"/>
        <v>2331571.0888890028</v>
      </c>
      <c r="Z132" s="429">
        <f t="shared" si="135"/>
        <v>38829311.901517034</v>
      </c>
      <c r="AA132" s="429">
        <f t="shared" si="135"/>
        <v>-2630964.4026737213</v>
      </c>
      <c r="AB132" s="429">
        <f t="shared" si="135"/>
        <v>-33544198.160103679</v>
      </c>
      <c r="AC132" s="429">
        <f t="shared" si="135"/>
        <v>34962737.531880975</v>
      </c>
      <c r="AD132" s="429">
        <f t="shared" si="135"/>
        <v>-35408348.622266173</v>
      </c>
      <c r="AE132" s="429">
        <f t="shared" si="135"/>
        <v>35936520.630940557</v>
      </c>
      <c r="AF132" s="430"/>
      <c r="AG132" s="430"/>
      <c r="AH132" s="430"/>
      <c r="AI132" s="430"/>
      <c r="AJ132" s="430"/>
      <c r="AK132" s="430"/>
      <c r="AL132" s="367"/>
    </row>
    <row r="133" spans="2:38">
      <c r="B133" s="426"/>
      <c r="C133" s="355" t="str">
        <f>IF(B1="EN", "Increase (Decrease) in prepayments", "Tăng (Giảm) trả trước người bán")</f>
        <v>Tăng (Giảm) trả trước người bán</v>
      </c>
      <c r="D133" s="355"/>
      <c r="E133" s="355"/>
      <c r="F133" s="355"/>
      <c r="G133" s="427"/>
      <c r="H133" s="427"/>
      <c r="I133" s="427"/>
      <c r="J133" s="427"/>
      <c r="K133" s="427"/>
      <c r="L133" s="427"/>
      <c r="M133" s="427"/>
      <c r="N133" s="428">
        <v>-588871017</v>
      </c>
      <c r="O133" s="428">
        <v>-99440045</v>
      </c>
      <c r="P133" s="428">
        <f>O79-P79</f>
        <v>209278284.68542603</v>
      </c>
      <c r="Q133" s="428">
        <v>-1509030119</v>
      </c>
      <c r="R133" s="429">
        <f t="shared" si="133"/>
        <v>63194188.207222983</v>
      </c>
      <c r="S133" s="429"/>
      <c r="T133" s="429">
        <f>-(T79-Q79)</f>
        <v>109451444.0689394</v>
      </c>
      <c r="U133" s="429">
        <f t="shared" ref="U133:AE133" si="136">-(U79-T79)</f>
        <v>-1530880.7202418973</v>
      </c>
      <c r="V133" s="429">
        <f t="shared" si="136"/>
        <v>-3371769.6380167874</v>
      </c>
      <c r="W133" s="429">
        <f t="shared" si="136"/>
        <v>-4336814.5362773277</v>
      </c>
      <c r="X133" s="429">
        <f t="shared" si="136"/>
        <v>-4535741.7036366351</v>
      </c>
      <c r="Y133" s="429">
        <f t="shared" si="136"/>
        <v>-4545664.0433622245</v>
      </c>
      <c r="Z133" s="429">
        <f t="shared" si="136"/>
        <v>-4710907.8250482418</v>
      </c>
      <c r="AA133" s="429">
        <f t="shared" si="136"/>
        <v>-4699711.3735509366</v>
      </c>
      <c r="AB133" s="429">
        <f t="shared" si="136"/>
        <v>-4556959.1617255174</v>
      </c>
      <c r="AC133" s="429">
        <f t="shared" si="136"/>
        <v>-4705748.1740705445</v>
      </c>
      <c r="AD133" s="429">
        <f t="shared" si="136"/>
        <v>-4555062.7989487797</v>
      </c>
      <c r="AE133" s="429">
        <f t="shared" si="136"/>
        <v>-4707995.8868375123</v>
      </c>
      <c r="AF133" s="430"/>
      <c r="AG133" s="430"/>
      <c r="AH133" s="430"/>
      <c r="AI133" s="430"/>
      <c r="AJ133" s="430"/>
      <c r="AK133" s="430"/>
      <c r="AL133" s="367"/>
    </row>
    <row r="134" spans="2:38">
      <c r="B134" s="426"/>
      <c r="C134" s="355" t="str">
        <f>IF(B1="EN", "Other receivables from operating", "Các khoản phải thu khác từ hoạt động kinh doanh")</f>
        <v>Các khoản phải thu khác từ hoạt động kinh doanh</v>
      </c>
      <c r="D134" s="355"/>
      <c r="E134" s="355"/>
      <c r="F134" s="355"/>
      <c r="G134" s="427"/>
      <c r="H134" s="427"/>
      <c r="I134" s="427"/>
      <c r="J134" s="427"/>
      <c r="K134" s="427"/>
      <c r="L134" s="427"/>
      <c r="M134" s="427"/>
      <c r="N134" s="428">
        <v>-27223645</v>
      </c>
      <c r="O134" s="428">
        <v>-192088676</v>
      </c>
      <c r="P134" s="428">
        <f>O80-P80+O83-P83</f>
        <v>0</v>
      </c>
      <c r="Q134" s="428">
        <v>-318990845</v>
      </c>
      <c r="R134" s="429">
        <f t="shared" si="133"/>
        <v>0</v>
      </c>
      <c r="S134" s="429"/>
      <c r="T134" s="429"/>
      <c r="U134" s="429"/>
      <c r="V134" s="429"/>
      <c r="W134" s="429"/>
      <c r="X134" s="429"/>
      <c r="Y134" s="429"/>
      <c r="Z134" s="429"/>
      <c r="AA134" s="429"/>
      <c r="AB134" s="429"/>
      <c r="AC134" s="429"/>
      <c r="AD134" s="429"/>
      <c r="AE134" s="429"/>
      <c r="AF134" s="430"/>
      <c r="AG134" s="430"/>
      <c r="AH134" s="430"/>
      <c r="AI134" s="430"/>
      <c r="AJ134" s="430"/>
      <c r="AK134" s="430"/>
      <c r="AL134" s="367"/>
    </row>
    <row r="135" spans="2:38">
      <c r="B135" s="431"/>
      <c r="C135" s="432" t="str">
        <f>IF(B1="EN", "Other payables for operating", "Các khoản phải trả khác từ hoạt động kinh doanh")</f>
        <v>Các khoản phải trả khác từ hoạt động kinh doanh</v>
      </c>
      <c r="D135" s="432"/>
      <c r="E135" s="432"/>
      <c r="F135" s="432"/>
      <c r="G135" s="433"/>
      <c r="H135" s="433"/>
      <c r="I135" s="433"/>
      <c r="J135" s="433"/>
      <c r="K135" s="433"/>
      <c r="L135" s="433"/>
      <c r="M135" s="433"/>
      <c r="N135" s="434"/>
      <c r="O135" s="434"/>
      <c r="P135" s="434"/>
      <c r="Q135" s="434"/>
      <c r="R135" s="435">
        <f t="shared" si="133"/>
        <v>0</v>
      </c>
      <c r="S135" s="429"/>
      <c r="T135" s="435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  <c r="AE135" s="435"/>
      <c r="AF135" s="430"/>
      <c r="AG135" s="436"/>
      <c r="AH135" s="436"/>
      <c r="AI135" s="436"/>
      <c r="AJ135" s="436"/>
      <c r="AK135" s="436"/>
      <c r="AL135" s="367"/>
    </row>
    <row r="136" spans="2:38" s="141" customFormat="1" ht="17" thickBot="1">
      <c r="B136" s="437" t="str">
        <f>IF(B1="EN", "Net cash flow from operating activities", "Dòng tiền thuần từ hoạt động kinh doanh")</f>
        <v>Dòng tiền thuần từ hoạt động kinh doanh</v>
      </c>
      <c r="C136" s="438"/>
      <c r="D136" s="438"/>
      <c r="E136" s="438"/>
      <c r="F136" s="438"/>
      <c r="G136" s="439"/>
      <c r="H136" s="439"/>
      <c r="I136" s="439"/>
      <c r="J136" s="439"/>
      <c r="K136" s="439"/>
      <c r="L136" s="439"/>
      <c r="M136" s="439"/>
      <c r="N136" s="408">
        <f>N127+N128+N129</f>
        <v>4850664788.9999971</v>
      </c>
      <c r="O136" s="408">
        <f>O127+O128+O129</f>
        <v>4235143514</v>
      </c>
      <c r="P136" s="408">
        <f>P127+P128+P129</f>
        <v>1036369150.7950189</v>
      </c>
      <c r="Q136" s="408">
        <f>Q127+Q128+Q129</f>
        <v>7118092396</v>
      </c>
      <c r="R136" s="440">
        <f t="shared" ref="R136:AE136" si="137">R127+R128+R129</f>
        <v>-3140330852.5672922</v>
      </c>
      <c r="S136" s="441"/>
      <c r="T136" s="440">
        <f t="shared" si="137"/>
        <v>-2245355990.3622861</v>
      </c>
      <c r="U136" s="440">
        <f t="shared" si="137"/>
        <v>1795229334.6446795</v>
      </c>
      <c r="V136" s="440">
        <f t="shared" si="137"/>
        <v>-2562138242.0497808</v>
      </c>
      <c r="W136" s="440">
        <f t="shared" si="137"/>
        <v>-818606178.2286756</v>
      </c>
      <c r="X136" s="440">
        <f t="shared" si="137"/>
        <v>88737933.304023504</v>
      </c>
      <c r="Y136" s="440">
        <f t="shared" si="137"/>
        <v>315649830.16180748</v>
      </c>
      <c r="Z136" s="440">
        <f t="shared" si="137"/>
        <v>88179114.336659372</v>
      </c>
      <c r="AA136" s="440">
        <f t="shared" si="137"/>
        <v>252624028.52407223</v>
      </c>
      <c r="AB136" s="440">
        <f t="shared" si="137"/>
        <v>561955527.71335626</v>
      </c>
      <c r="AC136" s="440">
        <f t="shared" si="137"/>
        <v>132190886.41478258</v>
      </c>
      <c r="AD136" s="440">
        <f t="shared" si="137"/>
        <v>576037617.96974826</v>
      </c>
      <c r="AE136" s="440">
        <f t="shared" si="137"/>
        <v>92756156.004292727</v>
      </c>
      <c r="AF136" s="442"/>
      <c r="AG136" s="443"/>
      <c r="AH136" s="443"/>
      <c r="AI136" s="443"/>
      <c r="AJ136" s="443"/>
      <c r="AK136" s="443"/>
      <c r="AL136" s="444"/>
    </row>
    <row r="137" spans="2:38" ht="9.65" customHeight="1" thickTop="1">
      <c r="B137" s="423"/>
      <c r="C137" s="424"/>
      <c r="D137" s="424"/>
      <c r="E137" s="424"/>
      <c r="F137" s="424"/>
      <c r="G137" s="445"/>
      <c r="H137" s="445"/>
      <c r="I137" s="445"/>
      <c r="J137" s="445"/>
      <c r="K137" s="445"/>
      <c r="L137" s="445"/>
      <c r="M137" s="445"/>
      <c r="N137" s="446"/>
      <c r="O137" s="446"/>
      <c r="P137" s="446"/>
      <c r="Q137" s="446"/>
      <c r="R137" s="447"/>
      <c r="S137" s="334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19"/>
      <c r="AG137" s="448"/>
      <c r="AH137" s="448"/>
      <c r="AI137" s="448"/>
      <c r="AJ137" s="448"/>
      <c r="AK137" s="448"/>
      <c r="AL137" s="330"/>
    </row>
    <row r="138" spans="2:38">
      <c r="B138" s="179" t="str">
        <f>IF(B1="EN", "CASH FLOW FROM INVESTING ACTIVITIES", "DÒNG TIỀN TỪ HOẠT ĐỘNG ĐẦU TƯ")</f>
        <v>DÒNG TIỀN TỪ HOẠT ĐỘNG ĐẦU TƯ</v>
      </c>
      <c r="C138" s="128"/>
      <c r="D138" s="128"/>
      <c r="E138" s="128"/>
      <c r="F138" s="128"/>
      <c r="G138" s="445"/>
      <c r="H138" s="445"/>
      <c r="I138" s="445"/>
      <c r="J138" s="445"/>
      <c r="K138" s="445"/>
      <c r="L138" s="445"/>
      <c r="M138" s="445"/>
      <c r="N138" s="446"/>
      <c r="O138" s="446"/>
      <c r="P138" s="446"/>
      <c r="Q138" s="446"/>
      <c r="R138" s="447"/>
      <c r="S138" s="334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19"/>
      <c r="AG138" s="448"/>
      <c r="AH138" s="448"/>
      <c r="AI138" s="448"/>
      <c r="AJ138" s="448"/>
      <c r="AK138" s="448"/>
      <c r="AL138" s="330"/>
    </row>
    <row r="139" spans="2:38">
      <c r="B139" s="423" t="str">
        <f>IF(B1="EN", "Purchases of fixed assets and constructions", "Tiền chi mua Tài sản cố định &amp; Xây dựng cơ bản")</f>
        <v>Tiền chi mua Tài sản cố định &amp; Xây dựng cơ bản</v>
      </c>
      <c r="C139" s="424"/>
      <c r="D139" s="424"/>
      <c r="E139" s="424"/>
      <c r="F139" s="424"/>
      <c r="G139" s="425"/>
      <c r="H139" s="425"/>
      <c r="I139" s="425"/>
      <c r="J139" s="425"/>
      <c r="K139" s="425"/>
      <c r="L139" s="425"/>
      <c r="M139" s="425"/>
      <c r="N139" s="336">
        <v>-6574810266</v>
      </c>
      <c r="O139" s="336">
        <v>-890081952</v>
      </c>
      <c r="P139" s="336">
        <f>O88-P88+O91-P91+O94-P94+O96-P96+15000000000</f>
        <v>-364673142</v>
      </c>
      <c r="Q139" s="336">
        <v>-5822076131</v>
      </c>
      <c r="R139" s="334">
        <f>SUM(T139:AE139)</f>
        <v>-4029000000</v>
      </c>
      <c r="S139" s="334"/>
      <c r="T139" s="334">
        <f>-[4]CapEx!O$75</f>
        <v>0</v>
      </c>
      <c r="U139" s="334">
        <f>-[4]CapEx!P$75</f>
        <v>-1295000000</v>
      </c>
      <c r="V139" s="334">
        <f>-[4]CapEx!Q$75</f>
        <v>-300000000</v>
      </c>
      <c r="W139" s="334">
        <f>-[4]CapEx!R$75</f>
        <v>-2434000000</v>
      </c>
      <c r="X139" s="334">
        <f>-[4]CapEx!S$75</f>
        <v>0</v>
      </c>
      <c r="Y139" s="334">
        <f>-[4]CapEx!T$75</f>
        <v>0</v>
      </c>
      <c r="Z139" s="334">
        <f>-[4]CapEx!U$75</f>
        <v>0</v>
      </c>
      <c r="AA139" s="334">
        <f>-[4]CapEx!V$75</f>
        <v>0</v>
      </c>
      <c r="AB139" s="334">
        <f>-[4]CapEx!W$75</f>
        <v>0</v>
      </c>
      <c r="AC139" s="334">
        <f>-[4]CapEx!X$75</f>
        <v>0</v>
      </c>
      <c r="AD139" s="334">
        <f>-[4]CapEx!Y$75</f>
        <v>0</v>
      </c>
      <c r="AE139" s="334">
        <f>-[4]CapEx!Z$75</f>
        <v>0</v>
      </c>
      <c r="AF139" s="419"/>
      <c r="AG139" s="419"/>
      <c r="AH139" s="419"/>
      <c r="AI139" s="419"/>
      <c r="AJ139" s="419"/>
      <c r="AK139" s="419"/>
      <c r="AL139" s="330"/>
    </row>
    <row r="140" spans="2:38">
      <c r="B140" s="423" t="str">
        <f>IF(B1="EN", "Other short-term investments", "Đầu tư ngắn hạn khác")</f>
        <v>Đầu tư ngắn hạn khác</v>
      </c>
      <c r="C140" s="424"/>
      <c r="D140" s="424"/>
      <c r="E140" s="424"/>
      <c r="F140" s="424"/>
      <c r="G140" s="425"/>
      <c r="H140" s="425"/>
      <c r="I140" s="425"/>
      <c r="J140" s="425"/>
      <c r="K140" s="425"/>
      <c r="L140" s="425"/>
      <c r="M140" s="425"/>
      <c r="N140" s="336">
        <v>27223645</v>
      </c>
      <c r="O140" s="336">
        <v>192088679</v>
      </c>
      <c r="P140" s="336">
        <f>O76-P76</f>
        <v>0</v>
      </c>
      <c r="Q140" s="336">
        <f>P76-Q76</f>
        <v>0</v>
      </c>
      <c r="R140" s="334">
        <f>SUM(T140:AE140)</f>
        <v>0</v>
      </c>
      <c r="S140" s="334"/>
      <c r="T140" s="334">
        <f>Q76-T76</f>
        <v>0</v>
      </c>
      <c r="U140" s="334">
        <f t="shared" ref="U140:AE140" si="138">T76-U76</f>
        <v>0</v>
      </c>
      <c r="V140" s="334">
        <f t="shared" si="138"/>
        <v>0</v>
      </c>
      <c r="W140" s="334">
        <f t="shared" si="138"/>
        <v>0</v>
      </c>
      <c r="X140" s="334">
        <f t="shared" si="138"/>
        <v>0</v>
      </c>
      <c r="Y140" s="334">
        <f t="shared" si="138"/>
        <v>0</v>
      </c>
      <c r="Z140" s="334">
        <f t="shared" si="138"/>
        <v>0</v>
      </c>
      <c r="AA140" s="334">
        <f t="shared" si="138"/>
        <v>0</v>
      </c>
      <c r="AB140" s="334">
        <f t="shared" si="138"/>
        <v>0</v>
      </c>
      <c r="AC140" s="334">
        <f t="shared" si="138"/>
        <v>0</v>
      </c>
      <c r="AD140" s="334">
        <f t="shared" si="138"/>
        <v>0</v>
      </c>
      <c r="AE140" s="334">
        <f t="shared" si="138"/>
        <v>0</v>
      </c>
      <c r="AF140" s="419"/>
      <c r="AG140" s="419"/>
      <c r="AH140" s="419"/>
      <c r="AI140" s="419"/>
      <c r="AJ140" s="419"/>
      <c r="AK140" s="419"/>
      <c r="AL140" s="330"/>
    </row>
    <row r="141" spans="2:38">
      <c r="B141" s="449" t="str">
        <f>IF(B1="EN", "Other long-term investments", "Đầu tư dài hạn khác")</f>
        <v>Đầu tư dài hạn khác</v>
      </c>
      <c r="C141" s="450"/>
      <c r="D141" s="450"/>
      <c r="E141" s="450"/>
      <c r="F141" s="450"/>
      <c r="G141" s="451"/>
      <c r="H141" s="451"/>
      <c r="I141" s="451"/>
      <c r="J141" s="451"/>
      <c r="K141" s="451"/>
      <c r="L141" s="451"/>
      <c r="M141" s="451"/>
      <c r="N141" s="452"/>
      <c r="O141" s="452">
        <v>81700000</v>
      </c>
      <c r="P141" s="452">
        <f>O98-P98+O99-P99+O100-P100</f>
        <v>344917157</v>
      </c>
      <c r="Q141" s="452">
        <v>318990845</v>
      </c>
      <c r="R141" s="453">
        <f>Q98-R98+Q100-R100</f>
        <v>0</v>
      </c>
      <c r="S141" s="334"/>
      <c r="T141" s="453"/>
      <c r="U141" s="453"/>
      <c r="V141" s="453"/>
      <c r="W141" s="453"/>
      <c r="X141" s="453"/>
      <c r="Y141" s="453"/>
      <c r="Z141" s="453"/>
      <c r="AA141" s="453"/>
      <c r="AB141" s="453"/>
      <c r="AC141" s="453"/>
      <c r="AD141" s="453"/>
      <c r="AE141" s="453"/>
      <c r="AF141" s="419"/>
      <c r="AG141" s="454"/>
      <c r="AH141" s="454"/>
      <c r="AI141" s="454"/>
      <c r="AJ141" s="454"/>
      <c r="AK141" s="454"/>
      <c r="AL141" s="330"/>
    </row>
    <row r="142" spans="2:38" s="141" customFormat="1" ht="17" thickBot="1">
      <c r="B142" s="437" t="str">
        <f>IF(B1="EN", "Net cash flow from investing activities", "Dòng tiền thuần từ hoạt động đầu tư")</f>
        <v>Dòng tiền thuần từ hoạt động đầu tư</v>
      </c>
      <c r="C142" s="438"/>
      <c r="D142" s="438"/>
      <c r="E142" s="438"/>
      <c r="F142" s="438"/>
      <c r="G142" s="439"/>
      <c r="H142" s="439"/>
      <c r="I142" s="439"/>
      <c r="J142" s="439"/>
      <c r="K142" s="439"/>
      <c r="L142" s="439"/>
      <c r="M142" s="439"/>
      <c r="N142" s="408">
        <f>SUM(N139:N141)</f>
        <v>-6547586621</v>
      </c>
      <c r="O142" s="408">
        <f>SUM(O139:O141)</f>
        <v>-616293273</v>
      </c>
      <c r="P142" s="408">
        <f>SUM(P139:P141)</f>
        <v>-19755985</v>
      </c>
      <c r="Q142" s="408">
        <f>SUM(Q139:Q141)</f>
        <v>-5503085286</v>
      </c>
      <c r="R142" s="440">
        <f t="shared" ref="R142:AE142" si="139">SUM(R139:R141)</f>
        <v>-4029000000</v>
      </c>
      <c r="S142" s="441"/>
      <c r="T142" s="440">
        <f t="shared" si="139"/>
        <v>0</v>
      </c>
      <c r="U142" s="440">
        <f t="shared" si="139"/>
        <v>-1295000000</v>
      </c>
      <c r="V142" s="440">
        <f t="shared" si="139"/>
        <v>-300000000</v>
      </c>
      <c r="W142" s="440">
        <f t="shared" si="139"/>
        <v>-2434000000</v>
      </c>
      <c r="X142" s="440">
        <f t="shared" si="139"/>
        <v>0</v>
      </c>
      <c r="Y142" s="440">
        <f t="shared" si="139"/>
        <v>0</v>
      </c>
      <c r="Z142" s="440">
        <f t="shared" si="139"/>
        <v>0</v>
      </c>
      <c r="AA142" s="440">
        <f t="shared" si="139"/>
        <v>0</v>
      </c>
      <c r="AB142" s="440">
        <f t="shared" si="139"/>
        <v>0</v>
      </c>
      <c r="AC142" s="440">
        <f t="shared" si="139"/>
        <v>0</v>
      </c>
      <c r="AD142" s="440">
        <f t="shared" si="139"/>
        <v>0</v>
      </c>
      <c r="AE142" s="440">
        <f t="shared" si="139"/>
        <v>0</v>
      </c>
      <c r="AF142" s="442"/>
      <c r="AG142" s="443"/>
      <c r="AH142" s="443"/>
      <c r="AI142" s="443"/>
      <c r="AJ142" s="443"/>
      <c r="AK142" s="443"/>
      <c r="AL142" s="444"/>
    </row>
    <row r="143" spans="2:38" ht="9" customHeight="1" thickTop="1">
      <c r="B143" s="179"/>
      <c r="C143" s="128"/>
      <c r="D143" s="128"/>
      <c r="E143" s="128"/>
      <c r="F143" s="128"/>
      <c r="G143" s="420"/>
      <c r="H143" s="420"/>
      <c r="I143" s="420"/>
      <c r="J143" s="420"/>
      <c r="K143" s="420"/>
      <c r="L143" s="420"/>
      <c r="M143" s="420"/>
      <c r="N143" s="323"/>
      <c r="O143" s="323"/>
      <c r="P143" s="323"/>
      <c r="Q143" s="323"/>
      <c r="R143" s="421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  <c r="AC143" s="421"/>
      <c r="AD143" s="421"/>
      <c r="AE143" s="421"/>
      <c r="AF143" s="422"/>
      <c r="AG143" s="422"/>
      <c r="AH143" s="422"/>
      <c r="AI143" s="422"/>
      <c r="AJ143" s="422"/>
      <c r="AK143" s="422"/>
      <c r="AL143" s="317"/>
    </row>
    <row r="144" spans="2:38">
      <c r="B144" s="179" t="str">
        <f>IF(B1="EN", "CASH FLOW FROM FINANCIAL ACTIVITIES", "DÒNG TIỀN TỪ HOẠT ĐỘNG TÀI CHÍNH")</f>
        <v>DÒNG TIỀN TỪ HOẠT ĐỘNG TÀI CHÍNH</v>
      </c>
      <c r="C144" s="424"/>
      <c r="D144" s="424"/>
      <c r="E144" s="424"/>
      <c r="F144" s="424"/>
      <c r="G144" s="425"/>
      <c r="H144" s="425"/>
      <c r="I144" s="425"/>
      <c r="J144" s="425"/>
      <c r="K144" s="425"/>
      <c r="L144" s="425"/>
      <c r="M144" s="425"/>
      <c r="N144" s="336"/>
      <c r="O144" s="336"/>
      <c r="P144" s="336"/>
      <c r="Q144" s="336"/>
      <c r="R144" s="334"/>
      <c r="S144" s="334"/>
      <c r="T144" s="334"/>
      <c r="U144" s="334"/>
      <c r="V144" s="334"/>
      <c r="W144" s="334"/>
      <c r="X144" s="334"/>
      <c r="Y144" s="334"/>
      <c r="Z144" s="334"/>
      <c r="AA144" s="334"/>
      <c r="AB144" s="334"/>
      <c r="AC144" s="334"/>
      <c r="AD144" s="334"/>
      <c r="AE144" s="334"/>
      <c r="AF144" s="419"/>
      <c r="AG144" s="419"/>
      <c r="AH144" s="419"/>
      <c r="AI144" s="419"/>
      <c r="AJ144" s="419"/>
      <c r="AK144" s="419"/>
      <c r="AL144" s="330"/>
    </row>
    <row r="145" spans="2:38">
      <c r="B145" s="423" t="s">
        <v>117</v>
      </c>
      <c r="C145" s="424"/>
      <c r="D145" s="424"/>
      <c r="E145" s="424"/>
      <c r="F145" s="424"/>
      <c r="G145" s="425"/>
      <c r="H145" s="425"/>
      <c r="I145" s="425"/>
      <c r="J145" s="425"/>
      <c r="K145" s="425"/>
      <c r="L145" s="425"/>
      <c r="M145" s="425"/>
      <c r="N145" s="336"/>
      <c r="O145" s="336">
        <f>O117-N117</f>
        <v>0</v>
      </c>
      <c r="P145" s="336">
        <f>P117-O117</f>
        <v>0</v>
      </c>
      <c r="Q145" s="336">
        <f>Q117-P117</f>
        <v>0</v>
      </c>
      <c r="R145" s="336">
        <f>R117-Q117</f>
        <v>0</v>
      </c>
      <c r="S145" s="334"/>
      <c r="T145" s="334"/>
      <c r="U145" s="334"/>
      <c r="V145" s="334"/>
      <c r="W145" s="334"/>
      <c r="X145" s="334"/>
      <c r="Y145" s="334"/>
      <c r="Z145" s="334"/>
      <c r="AA145" s="334"/>
      <c r="AB145" s="334"/>
      <c r="AC145" s="334"/>
      <c r="AD145" s="334"/>
      <c r="AE145" s="334"/>
      <c r="AF145" s="419"/>
      <c r="AG145" s="419">
        <v>0</v>
      </c>
      <c r="AH145" s="419">
        <v>0</v>
      </c>
      <c r="AI145" s="419">
        <v>0</v>
      </c>
      <c r="AJ145" s="419">
        <v>0</v>
      </c>
      <c r="AK145" s="419">
        <v>0</v>
      </c>
      <c r="AL145" s="330"/>
    </row>
    <row r="146" spans="2:38">
      <c r="B146" s="423" t="str">
        <f>IF(B1="EN", "Change in invesment and development fund", "Tăng (Giảm) Quỹ đầu tư &amp; Phát triển")</f>
        <v>Tăng (Giảm) Quỹ đầu tư &amp; Phát triển</v>
      </c>
      <c r="C146" s="424"/>
      <c r="D146" s="424"/>
      <c r="E146" s="424"/>
      <c r="F146" s="424"/>
      <c r="G146" s="425"/>
      <c r="H146" s="425"/>
      <c r="I146" s="425"/>
      <c r="J146" s="425"/>
      <c r="K146" s="425"/>
      <c r="L146" s="425"/>
      <c r="M146" s="425"/>
      <c r="N146" s="336">
        <f t="shared" ref="N146:P146" si="140">N118-K118</f>
        <v>0</v>
      </c>
      <c r="O146" s="336">
        <f t="shared" si="140"/>
        <v>0</v>
      </c>
      <c r="P146" s="336">
        <f t="shared" si="140"/>
        <v>0</v>
      </c>
      <c r="Q146" s="336">
        <f>Q118-P118</f>
        <v>0</v>
      </c>
      <c r="R146" s="334">
        <f>SUM(T146:AE146)</f>
        <v>0</v>
      </c>
      <c r="S146" s="334"/>
      <c r="T146" s="334"/>
      <c r="U146" s="334"/>
      <c r="V146" s="334"/>
      <c r="W146" s="334"/>
      <c r="X146" s="334"/>
      <c r="Y146" s="334"/>
      <c r="Z146" s="334"/>
      <c r="AA146" s="334"/>
      <c r="AB146" s="334"/>
      <c r="AC146" s="334"/>
      <c r="AD146" s="334"/>
      <c r="AE146" s="334"/>
      <c r="AF146" s="419"/>
      <c r="AG146" s="419">
        <v>0</v>
      </c>
      <c r="AH146" s="419">
        <v>0</v>
      </c>
      <c r="AI146" s="419">
        <v>0</v>
      </c>
      <c r="AJ146" s="419">
        <v>0</v>
      </c>
      <c r="AK146" s="419">
        <v>0</v>
      </c>
      <c r="AL146" s="330"/>
    </row>
    <row r="147" spans="2:38">
      <c r="B147" s="423" t="str">
        <f>IF(B1="EN", "Short-term and long-term borrowing", "Vay ngắn hạn &amp; dài hạn")</f>
        <v>Vay ngắn hạn &amp; dài hạn</v>
      </c>
      <c r="C147" s="424"/>
      <c r="D147" s="424"/>
      <c r="E147" s="424"/>
      <c r="F147" s="424"/>
      <c r="G147" s="425"/>
      <c r="H147" s="425"/>
      <c r="I147" s="425"/>
      <c r="J147" s="425"/>
      <c r="K147" s="425"/>
      <c r="L147" s="425"/>
      <c r="M147" s="425"/>
      <c r="N147" s="336"/>
      <c r="O147" s="336">
        <f>[4]FIN!O6+[4]FIN!O7+[4]FIN!O15</f>
        <v>0</v>
      </c>
      <c r="P147" s="336">
        <f>[4]FIN!P6+[4]FIN!P7+[4]FIN!P15</f>
        <v>0</v>
      </c>
      <c r="Q147" s="336">
        <f>[4]FIN!Q6+[4]FIN!Q7+[4]FIN!Q15</f>
        <v>0</v>
      </c>
      <c r="R147" s="334">
        <f>SUM(T147:AE147)</f>
        <v>0</v>
      </c>
      <c r="S147" s="334"/>
      <c r="T147" s="334">
        <f>[4]FIN!T6+[4]FIN!T7+[4]FIN!T15</f>
        <v>0</v>
      </c>
      <c r="U147" s="334">
        <f>[4]FIN!U6+[4]FIN!U7+[4]FIN!U15</f>
        <v>0</v>
      </c>
      <c r="V147" s="334">
        <f>[4]FIN!V6+[4]FIN!V7+[4]FIN!V15</f>
        <v>0</v>
      </c>
      <c r="W147" s="334">
        <f>[4]FIN!W6+[4]FIN!W7+[4]FIN!W15</f>
        <v>0</v>
      </c>
      <c r="X147" s="334">
        <f>[4]FIN!X6+[4]FIN!X7+[4]FIN!X15</f>
        <v>0</v>
      </c>
      <c r="Y147" s="334">
        <f>[4]FIN!Y6+[4]FIN!Y7+[4]FIN!Y15</f>
        <v>0</v>
      </c>
      <c r="Z147" s="334">
        <f>[4]FIN!Z6+[4]FIN!Z7+[4]FIN!Z15</f>
        <v>0</v>
      </c>
      <c r="AA147" s="334">
        <f>[4]FIN!AA6+[4]FIN!AA7+[4]FIN!AA15</f>
        <v>0</v>
      </c>
      <c r="AB147" s="334">
        <f>[4]FIN!AB6+[4]FIN!AB7+[4]FIN!AB15</f>
        <v>0</v>
      </c>
      <c r="AC147" s="334">
        <f>[4]FIN!AC6+[4]FIN!AC7+[4]FIN!AC15</f>
        <v>0</v>
      </c>
      <c r="AD147" s="334">
        <f>[4]FIN!AD6+[4]FIN!AD7+[4]FIN!AD15</f>
        <v>0</v>
      </c>
      <c r="AE147" s="334">
        <f>[4]FIN!AE6+[4]FIN!AE7+[4]FIN!AE15</f>
        <v>0</v>
      </c>
      <c r="AF147" s="419"/>
      <c r="AG147" s="419"/>
      <c r="AH147" s="419"/>
      <c r="AI147" s="419"/>
      <c r="AJ147" s="419"/>
      <c r="AK147" s="419"/>
      <c r="AL147" s="330"/>
    </row>
    <row r="148" spans="2:38">
      <c r="B148" s="423" t="str">
        <f>IF(B1="EN", "Dividend and interests paid to owner", "Cổ tức và lợi nhuận trả cho chủ sở hữu")</f>
        <v>Cổ tức và lợi nhuận trả cho chủ sở hữu</v>
      </c>
      <c r="C148" s="424"/>
      <c r="D148" s="424"/>
      <c r="E148" s="424"/>
      <c r="F148" s="424"/>
      <c r="G148" s="425"/>
      <c r="H148" s="425"/>
      <c r="I148" s="425"/>
      <c r="J148" s="425"/>
      <c r="K148" s="425"/>
      <c r="L148" s="425"/>
      <c r="M148" s="425"/>
      <c r="N148" s="336">
        <f>-[4]FIN!N26</f>
        <v>0</v>
      </c>
      <c r="O148" s="336">
        <f>-[4]FIN!O26</f>
        <v>0</v>
      </c>
      <c r="P148" s="336">
        <f>-[4]FIN!P26</f>
        <v>0</v>
      </c>
      <c r="Q148" s="336">
        <f>-[4]FIN!Q26</f>
        <v>0</v>
      </c>
      <c r="R148" s="334">
        <f>SUM(T148:AE148)</f>
        <v>0</v>
      </c>
      <c r="S148" s="334"/>
      <c r="T148" s="334">
        <f>-[4]FIN!T26</f>
        <v>0</v>
      </c>
      <c r="U148" s="334">
        <f>-[4]FIN!U26</f>
        <v>0</v>
      </c>
      <c r="V148" s="334">
        <f>-[4]FIN!V26</f>
        <v>0</v>
      </c>
      <c r="W148" s="334">
        <f>-[4]FIN!W26</f>
        <v>0</v>
      </c>
      <c r="X148" s="334">
        <f>-[4]FIN!X26</f>
        <v>0</v>
      </c>
      <c r="Y148" s="334">
        <f>-[4]FIN!Y26</f>
        <v>0</v>
      </c>
      <c r="Z148" s="334">
        <f>-[4]FIN!Z26</f>
        <v>0</v>
      </c>
      <c r="AA148" s="334">
        <f>-[4]FIN!AA26</f>
        <v>0</v>
      </c>
      <c r="AB148" s="334">
        <f>-[4]FIN!AB26</f>
        <v>0</v>
      </c>
      <c r="AC148" s="334">
        <f>-[4]FIN!AC26</f>
        <v>0</v>
      </c>
      <c r="AD148" s="334">
        <f>-[4]FIN!AD26</f>
        <v>0</v>
      </c>
      <c r="AE148" s="334">
        <f>-[4]FIN!AE26</f>
        <v>0</v>
      </c>
      <c r="AF148" s="419"/>
      <c r="AG148" s="419"/>
      <c r="AH148" s="419"/>
      <c r="AI148" s="419"/>
      <c r="AJ148" s="419"/>
      <c r="AK148" s="419"/>
      <c r="AL148" s="330"/>
    </row>
    <row r="149" spans="2:38" s="141" customFormat="1" ht="17" thickBot="1">
      <c r="B149" s="437" t="str">
        <f>IF(B1="EN", "Net cash flow from financing activities", "Dòng tiền thuần từ hoạt động tài chính")</f>
        <v>Dòng tiền thuần từ hoạt động tài chính</v>
      </c>
      <c r="C149" s="438"/>
      <c r="D149" s="438"/>
      <c r="E149" s="438"/>
      <c r="F149" s="438"/>
      <c r="G149" s="439"/>
      <c r="H149" s="439"/>
      <c r="I149" s="439"/>
      <c r="J149" s="439"/>
      <c r="K149" s="439"/>
      <c r="L149" s="439"/>
      <c r="M149" s="439"/>
      <c r="N149" s="455">
        <f>SUM(N145:N148)</f>
        <v>0</v>
      </c>
      <c r="O149" s="455">
        <f>SUM(O145:O148)</f>
        <v>0</v>
      </c>
      <c r="P149" s="407">
        <f>SUM(P145:P148)</f>
        <v>0</v>
      </c>
      <c r="Q149" s="408">
        <f>SUM(Q145:Q148)</f>
        <v>0</v>
      </c>
      <c r="R149" s="440">
        <f t="shared" ref="R149:AE149" si="141">SUM(R145:R148)</f>
        <v>0</v>
      </c>
      <c r="S149" s="441"/>
      <c r="T149" s="440">
        <f t="shared" si="141"/>
        <v>0</v>
      </c>
      <c r="U149" s="440">
        <f t="shared" si="141"/>
        <v>0</v>
      </c>
      <c r="V149" s="440">
        <f t="shared" si="141"/>
        <v>0</v>
      </c>
      <c r="W149" s="440">
        <f t="shared" si="141"/>
        <v>0</v>
      </c>
      <c r="X149" s="440">
        <f t="shared" si="141"/>
        <v>0</v>
      </c>
      <c r="Y149" s="440">
        <f t="shared" si="141"/>
        <v>0</v>
      </c>
      <c r="Z149" s="440">
        <f t="shared" si="141"/>
        <v>0</v>
      </c>
      <c r="AA149" s="440">
        <f t="shared" si="141"/>
        <v>0</v>
      </c>
      <c r="AB149" s="440">
        <f t="shared" si="141"/>
        <v>0</v>
      </c>
      <c r="AC149" s="440">
        <f t="shared" si="141"/>
        <v>0</v>
      </c>
      <c r="AD149" s="440">
        <f t="shared" si="141"/>
        <v>0</v>
      </c>
      <c r="AE149" s="440">
        <f t="shared" si="141"/>
        <v>0</v>
      </c>
      <c r="AF149" s="442"/>
      <c r="AG149" s="443"/>
      <c r="AH149" s="443"/>
      <c r="AI149" s="443"/>
      <c r="AJ149" s="443"/>
      <c r="AK149" s="443"/>
      <c r="AL149" s="444"/>
    </row>
    <row r="150" spans="2:38" ht="17" thickTop="1">
      <c r="B150" s="179"/>
      <c r="C150" s="128"/>
      <c r="D150" s="128"/>
      <c r="E150" s="128"/>
      <c r="F150" s="128"/>
      <c r="G150" s="425"/>
      <c r="H150" s="425"/>
      <c r="I150" s="425"/>
      <c r="J150" s="425"/>
      <c r="K150" s="425"/>
      <c r="L150" s="425"/>
      <c r="M150" s="425"/>
      <c r="N150" s="336"/>
      <c r="O150" s="336"/>
      <c r="P150" s="336"/>
      <c r="Q150" s="336"/>
      <c r="R150" s="334"/>
      <c r="S150" s="334"/>
      <c r="T150" s="334"/>
      <c r="U150" s="334"/>
      <c r="V150" s="334"/>
      <c r="W150" s="334"/>
      <c r="X150" s="334"/>
      <c r="Y150" s="334"/>
      <c r="Z150" s="334"/>
      <c r="AA150" s="334"/>
      <c r="AB150" s="334"/>
      <c r="AC150" s="334"/>
      <c r="AD150" s="334"/>
      <c r="AE150" s="334"/>
      <c r="AF150" s="419"/>
      <c r="AG150" s="419"/>
      <c r="AH150" s="419"/>
      <c r="AI150" s="419"/>
      <c r="AJ150" s="419"/>
      <c r="AK150" s="419"/>
      <c r="AL150" s="330"/>
    </row>
    <row r="151" spans="2:38" ht="17" thickBot="1">
      <c r="B151" s="456" t="str">
        <f>IF(B1="EN", "NET CASH FLOW OF THE YEAR", "DÒNG TIỀN THUẦN CẢ NĂM")</f>
        <v>DÒNG TIỀN THUẦN CẢ NĂM</v>
      </c>
      <c r="C151" s="457"/>
      <c r="D151" s="457"/>
      <c r="E151" s="457"/>
      <c r="F151" s="457"/>
      <c r="G151" s="439"/>
      <c r="H151" s="439"/>
      <c r="I151" s="439"/>
      <c r="J151" s="439"/>
      <c r="K151" s="439"/>
      <c r="L151" s="439"/>
      <c r="M151" s="439"/>
      <c r="N151" s="408">
        <f>N136+N142+N149</f>
        <v>-1696921832.0000029</v>
      </c>
      <c r="O151" s="408">
        <f>O136+O142+O149</f>
        <v>3618850241</v>
      </c>
      <c r="P151" s="408">
        <f>P136+P142+P149</f>
        <v>1016613165.7950189</v>
      </c>
      <c r="Q151" s="408">
        <f>Q136+Q142+Q149</f>
        <v>1615007110</v>
      </c>
      <c r="R151" s="455">
        <f>R136+R142+R149</f>
        <v>-7169330852.5672922</v>
      </c>
      <c r="S151" s="421"/>
      <c r="T151" s="455">
        <f t="shared" ref="T151:AE151" si="142">T136+T142+T149</f>
        <v>-2245355990.3622861</v>
      </c>
      <c r="U151" s="455">
        <f t="shared" si="142"/>
        <v>500229334.64467955</v>
      </c>
      <c r="V151" s="455">
        <f t="shared" si="142"/>
        <v>-2862138242.0497808</v>
      </c>
      <c r="W151" s="455">
        <f t="shared" si="142"/>
        <v>-3252606178.2286758</v>
      </c>
      <c r="X151" s="455">
        <f t="shared" si="142"/>
        <v>88737933.304023504</v>
      </c>
      <c r="Y151" s="455">
        <f t="shared" si="142"/>
        <v>315649830.16180748</v>
      </c>
      <c r="Z151" s="455">
        <f t="shared" si="142"/>
        <v>88179114.336659372</v>
      </c>
      <c r="AA151" s="455">
        <f t="shared" si="142"/>
        <v>252624028.52407223</v>
      </c>
      <c r="AB151" s="455">
        <f t="shared" si="142"/>
        <v>561955527.71335626</v>
      </c>
      <c r="AC151" s="455">
        <f t="shared" si="142"/>
        <v>132190886.41478258</v>
      </c>
      <c r="AD151" s="455">
        <f t="shared" si="142"/>
        <v>576037617.96974826</v>
      </c>
      <c r="AE151" s="455">
        <f t="shared" si="142"/>
        <v>92756156.004292727</v>
      </c>
      <c r="AF151" s="422"/>
      <c r="AG151" s="458"/>
      <c r="AH151" s="458"/>
      <c r="AI151" s="458"/>
      <c r="AJ151" s="458"/>
      <c r="AK151" s="458"/>
      <c r="AL151" s="317"/>
    </row>
    <row r="152" spans="2:38" ht="17" thickTop="1">
      <c r="B152" s="423" t="str">
        <f>IF(B1="EN", "Cash at the beginning of the year", "Số dư tiền đầu năm")</f>
        <v>Số dư tiền đầu năm</v>
      </c>
      <c r="C152" s="424"/>
      <c r="D152" s="424"/>
      <c r="E152" s="424"/>
      <c r="F152" s="424"/>
      <c r="G152" s="425"/>
      <c r="H152" s="425"/>
      <c r="I152" s="425"/>
      <c r="J152" s="425"/>
      <c r="K152" s="425"/>
      <c r="L152" s="425"/>
      <c r="M152" s="425"/>
      <c r="N152" s="336">
        <v>9150314701</v>
      </c>
      <c r="O152" s="336">
        <f>N153</f>
        <v>7453392868.9999971</v>
      </c>
      <c r="P152" s="336">
        <f>O153</f>
        <v>11072243109.999996</v>
      </c>
      <c r="Q152" s="336">
        <f>O153</f>
        <v>11072243109.999996</v>
      </c>
      <c r="R152" s="334">
        <f>Q153</f>
        <v>12687250219.999996</v>
      </c>
      <c r="S152" s="334"/>
      <c r="T152" s="334">
        <f>Q153</f>
        <v>12687250219.999996</v>
      </c>
      <c r="U152" s="334">
        <f>T153</f>
        <v>10441894229.637711</v>
      </c>
      <c r="V152" s="334">
        <f t="shared" ref="V152:AE152" si="143">U153</f>
        <v>10942123564.282391</v>
      </c>
      <c r="W152" s="334">
        <f t="shared" si="143"/>
        <v>8079985322.2326097</v>
      </c>
      <c r="X152" s="334">
        <f t="shared" si="143"/>
        <v>4827379144.0039339</v>
      </c>
      <c r="Y152" s="334">
        <f t="shared" si="143"/>
        <v>4916117077.3079576</v>
      </c>
      <c r="Z152" s="334">
        <f t="shared" si="143"/>
        <v>5231766907.4697647</v>
      </c>
      <c r="AA152" s="334">
        <f t="shared" si="143"/>
        <v>5319946021.8064241</v>
      </c>
      <c r="AB152" s="334">
        <f t="shared" si="143"/>
        <v>5572570050.3304968</v>
      </c>
      <c r="AC152" s="334">
        <f t="shared" si="143"/>
        <v>6134525578.0438528</v>
      </c>
      <c r="AD152" s="334">
        <f t="shared" si="143"/>
        <v>6266716464.4586353</v>
      </c>
      <c r="AE152" s="334">
        <f t="shared" si="143"/>
        <v>6842754082.4283838</v>
      </c>
      <c r="AF152" s="419"/>
      <c r="AG152" s="419"/>
      <c r="AH152" s="419"/>
      <c r="AI152" s="419"/>
      <c r="AJ152" s="419"/>
      <c r="AK152" s="419"/>
      <c r="AL152" s="330"/>
    </row>
    <row r="153" spans="2:38">
      <c r="B153" s="459" t="str">
        <f>IF(B1="EN", "Cash at the ending of the year", "Số dư tiền cuối năm")</f>
        <v>Số dư tiền cuối năm</v>
      </c>
      <c r="C153" s="460"/>
      <c r="D153" s="460"/>
      <c r="E153" s="460"/>
      <c r="F153" s="460"/>
      <c r="G153" s="461"/>
      <c r="H153" s="461"/>
      <c r="I153" s="461"/>
      <c r="J153" s="461"/>
      <c r="K153" s="461"/>
      <c r="L153" s="461"/>
      <c r="M153" s="461"/>
      <c r="N153" s="462">
        <f>N151+N152</f>
        <v>7453392868.9999971</v>
      </c>
      <c r="O153" s="462">
        <f>O151+O152</f>
        <v>11072243109.999996</v>
      </c>
      <c r="P153" s="462">
        <f>P151+P152</f>
        <v>12088856275.795015</v>
      </c>
      <c r="Q153" s="462">
        <f>Q151+Q152</f>
        <v>12687250219.999996</v>
      </c>
      <c r="R153" s="464">
        <f t="shared" ref="R153:AE153" si="144">R151+R152</f>
        <v>5517919367.432704</v>
      </c>
      <c r="S153" s="321"/>
      <c r="T153" s="464">
        <f>T151+T152</f>
        <v>10441894229.637711</v>
      </c>
      <c r="U153" s="464">
        <f t="shared" si="144"/>
        <v>10942123564.282391</v>
      </c>
      <c r="V153" s="464">
        <f t="shared" si="144"/>
        <v>8079985322.2326097</v>
      </c>
      <c r="W153" s="464">
        <f t="shared" si="144"/>
        <v>4827379144.0039339</v>
      </c>
      <c r="X153" s="464">
        <f t="shared" si="144"/>
        <v>4916117077.3079576</v>
      </c>
      <c r="Y153" s="464">
        <f t="shared" si="144"/>
        <v>5231766907.4697647</v>
      </c>
      <c r="Z153" s="464">
        <f t="shared" si="144"/>
        <v>5319946021.8064241</v>
      </c>
      <c r="AA153" s="464">
        <f t="shared" si="144"/>
        <v>5572570050.3304968</v>
      </c>
      <c r="AB153" s="464">
        <f t="shared" si="144"/>
        <v>6134525578.0438528</v>
      </c>
      <c r="AC153" s="464">
        <f t="shared" si="144"/>
        <v>6266716464.4586353</v>
      </c>
      <c r="AD153" s="464">
        <f t="shared" si="144"/>
        <v>6842754082.4283838</v>
      </c>
      <c r="AE153" s="464">
        <f t="shared" si="144"/>
        <v>6935510238.4326763</v>
      </c>
      <c r="AF153" s="320"/>
      <c r="AG153" s="465"/>
      <c r="AH153" s="465"/>
      <c r="AI153" s="465"/>
      <c r="AJ153" s="465"/>
      <c r="AK153" s="465"/>
      <c r="AL153" s="326"/>
    </row>
    <row r="154" spans="2:38">
      <c r="G154" s="107"/>
      <c r="H154" s="107"/>
      <c r="I154" s="107"/>
      <c r="J154" s="257"/>
      <c r="K154" s="410"/>
      <c r="L154" s="410"/>
      <c r="M154" s="410"/>
      <c r="N154" s="410">
        <f>N153-N75</f>
        <v>0</v>
      </c>
      <c r="O154" s="410">
        <f>O153-O75</f>
        <v>0</v>
      </c>
      <c r="P154" s="410">
        <f>P153-P75</f>
        <v>0</v>
      </c>
      <c r="Q154" s="410">
        <f>Q153-Q75</f>
        <v>0</v>
      </c>
      <c r="R154" s="410">
        <f>R153-R75</f>
        <v>2.765655517578125E-5</v>
      </c>
      <c r="S154" s="410"/>
      <c r="T154" s="410">
        <f t="shared" ref="T154:AE154" si="145">T153-T75</f>
        <v>0</v>
      </c>
      <c r="U154" s="410">
        <f t="shared" si="145"/>
        <v>0</v>
      </c>
      <c r="V154" s="410">
        <f t="shared" si="145"/>
        <v>0</v>
      </c>
      <c r="W154" s="410">
        <f t="shared" si="145"/>
        <v>0</v>
      </c>
      <c r="X154" s="410">
        <f t="shared" si="145"/>
        <v>0</v>
      </c>
      <c r="Y154" s="410">
        <f t="shared" si="145"/>
        <v>0</v>
      </c>
      <c r="Z154" s="410">
        <f t="shared" si="145"/>
        <v>0</v>
      </c>
      <c r="AA154" s="410">
        <f t="shared" si="145"/>
        <v>0</v>
      </c>
      <c r="AB154" s="410">
        <f t="shared" si="145"/>
        <v>0</v>
      </c>
      <c r="AC154" s="410">
        <f t="shared" si="145"/>
        <v>0</v>
      </c>
      <c r="AD154" s="410">
        <f t="shared" si="145"/>
        <v>0</v>
      </c>
      <c r="AE154" s="410">
        <f t="shared" si="145"/>
        <v>1417590871</v>
      </c>
      <c r="AF154" s="410"/>
      <c r="AG154" s="410">
        <f>AG153-AG75</f>
        <v>0</v>
      </c>
      <c r="AH154" s="410">
        <f t="shared" ref="AH154:AK154" si="146">AH153-AH75</f>
        <v>0</v>
      </c>
      <c r="AI154" s="410">
        <f t="shared" si="146"/>
        <v>0</v>
      </c>
      <c r="AJ154" s="410">
        <f t="shared" si="146"/>
        <v>0</v>
      </c>
      <c r="AK154" s="410">
        <f t="shared" si="146"/>
        <v>0</v>
      </c>
      <c r="AL154" s="257"/>
    </row>
    <row r="155" spans="2:38">
      <c r="G155" s="107"/>
      <c r="H155" s="107"/>
      <c r="I155" s="107"/>
      <c r="J155" s="257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410"/>
      <c r="X155" s="410"/>
      <c r="Y155" s="410"/>
      <c r="Z155" s="410"/>
      <c r="AA155" s="410"/>
      <c r="AB155" s="410"/>
      <c r="AC155" s="410"/>
      <c r="AD155" s="410"/>
      <c r="AE155" s="410"/>
      <c r="AF155" s="410"/>
      <c r="AG155" s="410"/>
      <c r="AH155" s="410"/>
      <c r="AI155" s="410"/>
      <c r="AJ155" s="410"/>
      <c r="AK155" s="410"/>
      <c r="AL155" s="257"/>
    </row>
    <row r="156" spans="2:38">
      <c r="N156" s="410"/>
      <c r="O156" s="469"/>
    </row>
    <row r="157" spans="2:38">
      <c r="F157" s="466"/>
    </row>
    <row r="163" spans="6:32">
      <c r="F163" s="466"/>
      <c r="L163" s="466"/>
      <c r="R163" s="466"/>
      <c r="S163" s="466"/>
      <c r="T163" s="466"/>
      <c r="U163" s="466"/>
      <c r="V163" s="466"/>
      <c r="W163" s="466"/>
      <c r="X163" s="466"/>
      <c r="Y163" s="466"/>
      <c r="Z163" s="466"/>
      <c r="AA163" s="466"/>
      <c r="AB163" s="466"/>
      <c r="AC163" s="466"/>
      <c r="AD163" s="466"/>
      <c r="AE163" s="466"/>
      <c r="AF163" s="466"/>
    </row>
  </sheetData>
  <conditionalFormatting sqref="T153:AE1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 DTRG</vt:lpstr>
      <vt:lpstr>PL DTR</vt:lpstr>
      <vt:lpstr>PL TRAM</vt:lpstr>
      <vt:lpstr>Dai loc</vt:lpstr>
      <vt:lpstr>KN</vt:lpstr>
      <vt:lpstr>DLam</vt:lpstr>
      <vt:lpstr>PL DTRG_Q</vt:lpstr>
      <vt:lpstr>PL DTR_Q</vt:lpstr>
      <vt:lpstr>PL 3Tram</vt:lpstr>
      <vt:lpstr>DaiLoc</vt:lpstr>
      <vt:lpstr>KNGA</vt:lpstr>
      <vt:lpstr>DongLam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2026-06-02T04:21:20Z</dcterms:created>
  <dcterms:modified xsi:type="dcterms:W3CDTF">2026-06-03T10:05:44Z</dcterms:modified>
</cp:coreProperties>
</file>