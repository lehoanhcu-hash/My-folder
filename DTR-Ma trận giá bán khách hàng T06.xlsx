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ml.chartshap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8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danhhd_duytanrecycling_com/Documents/Work/Accounting/2026/Tháng 05/Ma trận giá bán khách hàng/"/>
    </mc:Choice>
  </mc:AlternateContent>
  <xr:revisionPtr revIDLastSave="1397" documentId="1_{0E3B8236-4CD7-4A2D-8088-766BF7AC7373}" xr6:coauthVersionLast="47" xr6:coauthVersionMax="47" xr10:uidLastSave="{217E3FD1-F0B2-4EA8-8A65-D9B664A5FA19}"/>
  <bookViews>
    <workbookView xWindow="-108" yWindow="-108" windowWidth="30936" windowHeight="18696" tabRatio="863" activeTab="3" xr2:uid="{A13438B8-0EA7-45D2-B5AB-834A60669422}"/>
  </bookViews>
  <sheets>
    <sheet name="BÌA" sheetId="12" r:id="rId1"/>
    <sheet name="Giá công thức" sheetId="8" r:id="rId2"/>
    <sheet name="Price" sheetId="10" r:id="rId3"/>
    <sheet name="Biểu đồ" sheetId="14" r:id="rId4"/>
    <sheet name="Vẽ Biểu đồ" sheetId="13" r:id="rId5"/>
    <sheet name="Price_cũ" sheetId="11" state="hidden" r:id="rId6"/>
    <sheet name="General Data" sheetId="4" r:id="rId7"/>
    <sheet name="Note" sheetId="5" r:id="rId8"/>
    <sheet name="||" sheetId="7" state="hidden" r:id="rId9"/>
    <sheet name="Rebate-Suntory" sheetId="6" r:id="rId10"/>
    <sheet name="Ghi chú-Màu" sheetId="15" r:id="rId11"/>
    <sheet name="Chart-Price-BCKQKD" sheetId="16" r:id="rId12"/>
    <sheet name="Chart-Price-BCKQKD-B0" sheetId="17" r:id="rId13"/>
    <sheet name="Chart-Price-BCKQKD -v2" sheetId="18" r:id="rId14"/>
  </sheets>
  <definedNames>
    <definedName name="_xlnm._FilterDatabase" localSheetId="7" hidden="1">Note!$A$2:$R$102</definedName>
    <definedName name="Code_General_Data">'General Data'!$A$9:$A$137</definedName>
    <definedName name="Code_General_Item">'General Data'!$C$9:$C$137</definedName>
    <definedName name="General_Data">'General Data'!$F$9:$BB$137</definedName>
    <definedName name="Month">'General Data'!$F$4:$BB$4</definedName>
    <definedName name="_xlnm.Print_Area" localSheetId="3">'Biểu đồ'!$A$1:$O$175</definedName>
    <definedName name="_xlnm.Print_Area" localSheetId="1">'Giá công thức'!$D$5:$AD$113</definedName>
    <definedName name="_xlnm.Print_Area" localSheetId="2">Price!$F$6:$AL$140</definedName>
    <definedName name="_xlnm.Print_Titles" localSheetId="1">'Giá công thức'!$A:$F,'Giá công thức'!$5:$9</definedName>
    <definedName name="_xlnm.Print_Titles" localSheetId="2">Price!$F:$J,Price!$6:$9</definedName>
    <definedName name="Year">'General Data'!$F$3:$BB$3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9" i="4" l="1"/>
  <c r="AU88" i="4"/>
  <c r="AU87" i="4"/>
  <c r="AU86" i="4"/>
  <c r="AU85" i="4"/>
  <c r="AU84" i="4"/>
  <c r="AU119" i="4"/>
  <c r="AU118" i="4"/>
  <c r="AU117" i="4"/>
  <c r="AU116" i="4"/>
  <c r="AT119" i="4"/>
  <c r="AT118" i="4"/>
  <c r="AT117" i="4"/>
  <c r="AT116" i="4"/>
  <c r="AT114" i="4"/>
  <c r="AT113" i="4"/>
  <c r="AT112" i="4"/>
  <c r="AT111" i="4"/>
  <c r="AJ100" i="8" l="1" a="1"/>
  <c r="AJ100" i="8" s="1"/>
  <c r="AJ99" i="8" a="1"/>
  <c r="AJ99" i="8" s="1"/>
  <c r="AJ91" i="8" a="1"/>
  <c r="AJ91" i="8" s="1"/>
  <c r="AJ90" i="8" a="1"/>
  <c r="AJ90" i="8" s="1"/>
  <c r="AJ82" i="8" a="1"/>
  <c r="AJ82" i="8" s="1"/>
  <c r="AJ81" i="8" a="1"/>
  <c r="AJ81" i="8" s="1"/>
  <c r="AJ74" i="8" a="1"/>
  <c r="AJ74" i="8" s="1"/>
  <c r="AJ73" i="8" a="1"/>
  <c r="AJ73" i="8" s="1"/>
  <c r="AJ65" i="8" a="1"/>
  <c r="AJ65" i="8" s="1"/>
  <c r="AJ64" i="8" a="1"/>
  <c r="AJ64" i="8" s="1"/>
  <c r="AJ57" i="8" a="1"/>
  <c r="AJ57" i="8" s="1"/>
  <c r="AJ56" i="8" a="1"/>
  <c r="AJ56" i="8" s="1"/>
  <c r="AJ49" i="8" a="1"/>
  <c r="AJ49" i="8" s="1"/>
  <c r="AJ48" i="8" a="1"/>
  <c r="AJ48" i="8" s="1"/>
  <c r="AJ41" i="8" a="1"/>
  <c r="AJ41" i="8" s="1"/>
  <c r="AJ40" i="8" a="1"/>
  <c r="AJ40" i="8" s="1"/>
  <c r="AR42" i="10" a="1"/>
  <c r="AR42" i="10" s="1"/>
  <c r="AR41" i="10" a="1"/>
  <c r="AR41" i="10" s="1"/>
  <c r="AR24" i="10" a="1"/>
  <c r="AR24" i="10" s="1"/>
  <c r="AR23" i="10" a="1"/>
  <c r="AR23" i="10" s="1"/>
  <c r="AU20" i="4"/>
  <c r="AU23" i="4" l="1"/>
  <c r="AU16" i="4"/>
  <c r="AU59" i="4" l="1"/>
  <c r="AU58" i="4"/>
  <c r="AU47" i="4"/>
  <c r="AU46" i="4"/>
  <c r="AU45" i="4"/>
  <c r="AU44" i="4"/>
  <c r="AU43" i="4"/>
  <c r="AU41" i="4"/>
  <c r="AU40" i="4"/>
  <c r="AU36" i="4"/>
  <c r="AU35" i="4"/>
  <c r="AU33" i="4"/>
  <c r="AU32" i="4"/>
  <c r="AU31" i="4"/>
  <c r="AU30" i="4"/>
  <c r="AC5" i="16" l="1"/>
  <c r="BA119" i="4" l="1"/>
  <c r="AZ119" i="4"/>
  <c r="AY119" i="4"/>
  <c r="AX119" i="4"/>
  <c r="AW119" i="4"/>
  <c r="AV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BA118" i="4"/>
  <c r="AZ118" i="4"/>
  <c r="AY118" i="4"/>
  <c r="AX118" i="4"/>
  <c r="AW118" i="4"/>
  <c r="AV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BA117" i="4"/>
  <c r="AZ117" i="4"/>
  <c r="AY117" i="4"/>
  <c r="AX117" i="4"/>
  <c r="AW117" i="4"/>
  <c r="AV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BA116" i="4"/>
  <c r="AZ116" i="4"/>
  <c r="AY116" i="4"/>
  <c r="AX116" i="4"/>
  <c r="AW116" i="4"/>
  <c r="AV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AQ54" i="10" l="1"/>
  <c r="AR54" i="10" s="1"/>
  <c r="AS54" i="10" s="1"/>
  <c r="AT54" i="10" s="1"/>
  <c r="AU54" i="10" s="1"/>
  <c r="AV54" i="10" s="1"/>
  <c r="AW54" i="10" s="1"/>
  <c r="AX54" i="10" s="1"/>
  <c r="AI100" i="8" l="1" a="1"/>
  <c r="AI100" i="8" s="1"/>
  <c r="AI99" i="8" a="1"/>
  <c r="AI99" i="8" s="1"/>
  <c r="AI91" i="8" a="1"/>
  <c r="AI91" i="8" s="1"/>
  <c r="AI90" i="8" a="1"/>
  <c r="AI90" i="8" s="1"/>
  <c r="AI81" i="8" a="1"/>
  <c r="AI81" i="8" s="1"/>
  <c r="AI74" i="8" a="1"/>
  <c r="AI74" i="8" s="1"/>
  <c r="AI73" i="8" a="1"/>
  <c r="AI73" i="8" s="1"/>
  <c r="AI65" i="8" a="1"/>
  <c r="AI65" i="8" s="1"/>
  <c r="AI64" i="8" a="1"/>
  <c r="AI64" i="8" s="1"/>
  <c r="AI57" i="8" a="1"/>
  <c r="AI57" i="8" s="1"/>
  <c r="AI56" i="8" a="1"/>
  <c r="AI56" i="8" s="1"/>
  <c r="AI49" i="8" a="1"/>
  <c r="AI49" i="8" s="1"/>
  <c r="AI48" i="8" a="1"/>
  <c r="AI48" i="8" s="1"/>
  <c r="AI40" i="8" a="1"/>
  <c r="AI40" i="8" s="1"/>
  <c r="AQ42" i="10" l="1" a="1"/>
  <c r="AQ42" i="10" s="1"/>
  <c r="AQ41" i="10" a="1"/>
  <c r="AQ41" i="10" s="1"/>
  <c r="AT46" i="4" l="1"/>
  <c r="AT36" i="4"/>
  <c r="AK5" i="18" l="1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F111" i="4" l="1"/>
  <c r="F112" i="4"/>
  <c r="F113" i="4"/>
  <c r="F114" i="4"/>
  <c r="AC3" i="17" l="1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BA97" i="4" l="1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BA114" i="4" l="1"/>
  <c r="AZ114" i="4"/>
  <c r="AY114" i="4"/>
  <c r="AX114" i="4"/>
  <c r="AW114" i="4"/>
  <c r="AV114" i="4"/>
  <c r="AU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BA113" i="4"/>
  <c r="AZ113" i="4"/>
  <c r="AY113" i="4"/>
  <c r="AX113" i="4"/>
  <c r="AW113" i="4"/>
  <c r="AV113" i="4"/>
  <c r="AU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BA112" i="4"/>
  <c r="AZ112" i="4"/>
  <c r="AY112" i="4"/>
  <c r="AX112" i="4"/>
  <c r="AW112" i="4"/>
  <c r="AV112" i="4"/>
  <c r="AU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BA111" i="4"/>
  <c r="AZ111" i="4"/>
  <c r="AY111" i="4"/>
  <c r="AX111" i="4"/>
  <c r="AW111" i="4"/>
  <c r="AV111" i="4"/>
  <c r="AU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AT45" i="4"/>
  <c r="AT44" i="4"/>
  <c r="AT43" i="4"/>
  <c r="AT41" i="4"/>
  <c r="AT40" i="4"/>
  <c r="AT35" i="4"/>
  <c r="AT47" i="4" s="1"/>
  <c r="AT33" i="4"/>
  <c r="AT32" i="4"/>
  <c r="AT31" i="4"/>
  <c r="AT30" i="4"/>
  <c r="AT23" i="4"/>
  <c r="AT16" i="4"/>
  <c r="AS16" i="4"/>
  <c r="AT20" i="4"/>
  <c r="AH94" i="13" l="1" a="1"/>
  <c r="AH94" i="13" s="1"/>
  <c r="AH93" i="13" a="1"/>
  <c r="AH93" i="13" s="1"/>
  <c r="AH12" i="13" a="1"/>
  <c r="AH12" i="13" s="1"/>
  <c r="AH74" i="13" a="1"/>
  <c r="AH74" i="13" s="1"/>
  <c r="AH73" i="13" a="1"/>
  <c r="AH73" i="13" s="1"/>
  <c r="AH58" i="13" a="1"/>
  <c r="AH58" i="13" s="1"/>
  <c r="AH55" i="13" a="1"/>
  <c r="AH55" i="13" s="1"/>
  <c r="AH54" i="13" a="1"/>
  <c r="AH54" i="13" s="1"/>
  <c r="AH16" i="13" a="1"/>
  <c r="AH16" i="13" s="1"/>
  <c r="AH38" i="13" a="1"/>
  <c r="AH38" i="13" s="1"/>
  <c r="AH13" i="13" a="1"/>
  <c r="AH13" i="13" s="1"/>
  <c r="AH35" i="13" a="1"/>
  <c r="AH35" i="13" s="1"/>
  <c r="AH34" i="13" a="1"/>
  <c r="AH34" i="13" s="1"/>
  <c r="AJ104" i="8" a="1"/>
  <c r="AJ104" i="8" s="1"/>
  <c r="AR134" i="10" a="1"/>
  <c r="AR134" i="10" s="1"/>
  <c r="AJ101" i="8" a="1"/>
  <c r="AJ101" i="8" s="1"/>
  <c r="AJ102" i="8" s="1"/>
  <c r="AJ103" i="8" s="1"/>
  <c r="AJ69" i="8" a="1"/>
  <c r="AJ69" i="8" s="1"/>
  <c r="AJ66" i="8" a="1"/>
  <c r="AJ66" i="8" s="1"/>
  <c r="AJ67" i="8" s="1"/>
  <c r="AJ68" i="8" s="1"/>
  <c r="AR105" i="10" a="1"/>
  <c r="AR105" i="10" s="1"/>
  <c r="AR120" i="10" a="1"/>
  <c r="AR120" i="10" s="1"/>
  <c r="AR20" i="10" a="1"/>
  <c r="AR20" i="10" s="1"/>
  <c r="AJ95" i="8" a="1"/>
  <c r="AJ95" i="8" s="1"/>
  <c r="AJ27" i="8" a="1"/>
  <c r="AJ27" i="8" s="1"/>
  <c r="AJ92" i="8" a="1"/>
  <c r="AJ92" i="8" s="1"/>
  <c r="AJ93" i="8" s="1"/>
  <c r="AJ94" i="8" s="1"/>
  <c r="AR85" i="10" a="1"/>
  <c r="AR85" i="10" s="1"/>
  <c r="AJ58" i="8" a="1"/>
  <c r="AJ58" i="8" s="1"/>
  <c r="AJ59" i="8" s="1"/>
  <c r="AJ60" i="8" s="1"/>
  <c r="AR80" i="10" a="1"/>
  <c r="AR80" i="10" s="1"/>
  <c r="AJ15" i="8" a="1"/>
  <c r="AJ15" i="8" s="1"/>
  <c r="AR66" i="10" a="1"/>
  <c r="AR66" i="10" s="1"/>
  <c r="AJ86" i="8" a="1"/>
  <c r="AJ86" i="8" s="1"/>
  <c r="AR43" i="10" a="1"/>
  <c r="AR43" i="10" s="1"/>
  <c r="AJ83" i="8" a="1"/>
  <c r="AJ83" i="8" s="1"/>
  <c r="AJ84" i="8" s="1"/>
  <c r="AJ85" i="8" s="1"/>
  <c r="AJ53" i="8" a="1"/>
  <c r="AJ53" i="8" s="1"/>
  <c r="AJ50" i="8" a="1"/>
  <c r="AJ50" i="8" s="1"/>
  <c r="AJ51" i="8" s="1"/>
  <c r="AJ52" i="8" s="1"/>
  <c r="AJ42" i="8" a="1"/>
  <c r="AJ42" i="8" s="1"/>
  <c r="AJ43" i="8" s="1"/>
  <c r="AJ44" i="8" s="1"/>
  <c r="AR38" i="10" a="1"/>
  <c r="AR38" i="10" s="1"/>
  <c r="AR127" i="10" a="1"/>
  <c r="AR127" i="10" s="1"/>
  <c r="AJ45" i="8" a="1"/>
  <c r="AJ45" i="8" s="1"/>
  <c r="AJ61" i="8" a="1"/>
  <c r="AJ61" i="8" s="1"/>
  <c r="AJ78" i="8" a="1"/>
  <c r="AJ78" i="8" s="1"/>
  <c r="AJ18" i="8" a="1"/>
  <c r="AJ18" i="8" s="1"/>
  <c r="AJ75" i="8" a="1"/>
  <c r="AJ75" i="8" s="1"/>
  <c r="AJ76" i="8" s="1"/>
  <c r="AJ77" i="8" s="1"/>
  <c r="AR25" i="10" a="1"/>
  <c r="AR25" i="10" s="1"/>
  <c r="AJ24" i="8" a="1"/>
  <c r="AJ24" i="8" s="1"/>
  <c r="AQ24" i="10" a="1"/>
  <c r="AQ24" i="10" s="1"/>
  <c r="AQ23" i="10" a="1"/>
  <c r="AQ23" i="10" s="1"/>
  <c r="AH41" i="13" l="1"/>
  <c r="AH36" i="13"/>
  <c r="AH37" i="13" s="1"/>
  <c r="AH39" i="13"/>
  <c r="AH20" i="13"/>
  <c r="AH26" i="13"/>
  <c r="AH42" i="13"/>
  <c r="AH40" i="13"/>
  <c r="AH59" i="13"/>
  <c r="AH56" i="13"/>
  <c r="AH57" i="13" s="1"/>
  <c r="AH61" i="13"/>
  <c r="AH62" i="13"/>
  <c r="AH75" i="13"/>
  <c r="AH80" i="13"/>
  <c r="AH78" i="13"/>
  <c r="AH81" i="13"/>
  <c r="AH79" i="13"/>
  <c r="AH25" i="13"/>
  <c r="AH19" i="13"/>
  <c r="AH17" i="13"/>
  <c r="AH14" i="13"/>
  <c r="AH15" i="13" s="1"/>
  <c r="AH100" i="13"/>
  <c r="AH98" i="13"/>
  <c r="AH95" i="13"/>
  <c r="AH101" i="13"/>
  <c r="AH99" i="13"/>
  <c r="AP109" i="10"/>
  <c r="AX94" i="10"/>
  <c r="AW94" i="10"/>
  <c r="AV94" i="10"/>
  <c r="AU94" i="10"/>
  <c r="AT94" i="10"/>
  <c r="AS94" i="10"/>
  <c r="AR94" i="10"/>
  <c r="AQ94" i="10"/>
  <c r="AP94" i="10"/>
  <c r="AL5" i="18"/>
  <c r="AL6" i="18"/>
  <c r="AL4" i="18"/>
  <c r="AC13" i="18"/>
  <c r="AH103" i="13" l="1"/>
  <c r="AH102" i="13"/>
  <c r="AH96" i="13"/>
  <c r="AH18" i="13"/>
  <c r="AH60" i="13"/>
  <c r="AH76" i="13"/>
  <c r="AH83" i="13"/>
  <c r="AH82" i="13"/>
  <c r="AS23" i="4"/>
  <c r="AC4" i="17" s="1"/>
  <c r="AR23" i="4"/>
  <c r="AB4" i="17" s="1"/>
  <c r="AQ23" i="4"/>
  <c r="AA4" i="17" s="1"/>
  <c r="AP23" i="4"/>
  <c r="Z4" i="17" s="1"/>
  <c r="AO23" i="4"/>
  <c r="Y4" i="17" s="1"/>
  <c r="AN23" i="4"/>
  <c r="X4" i="17" s="1"/>
  <c r="AM23" i="4"/>
  <c r="W4" i="17" s="1"/>
  <c r="AL23" i="4"/>
  <c r="V4" i="17" s="1"/>
  <c r="AK23" i="4"/>
  <c r="U4" i="17" s="1"/>
  <c r="AJ23" i="4"/>
  <c r="T4" i="17" s="1"/>
  <c r="AI23" i="4"/>
  <c r="S4" i="17" s="1"/>
  <c r="AH23" i="4"/>
  <c r="R4" i="17" s="1"/>
  <c r="AG23" i="4"/>
  <c r="Q4" i="17" s="1"/>
  <c r="AF23" i="4"/>
  <c r="P4" i="17" s="1"/>
  <c r="AE23" i="4"/>
  <c r="O4" i="17" s="1"/>
  <c r="AD23" i="4"/>
  <c r="N4" i="17" s="1"/>
  <c r="AC23" i="4"/>
  <c r="M4" i="17" s="1"/>
  <c r="AB23" i="4"/>
  <c r="L4" i="17" s="1"/>
  <c r="AA23" i="4"/>
  <c r="K4" i="17" s="1"/>
  <c r="Z23" i="4"/>
  <c r="J4" i="17" s="1"/>
  <c r="Y23" i="4"/>
  <c r="I4" i="17" s="1"/>
  <c r="X23" i="4"/>
  <c r="H4" i="17" s="1"/>
  <c r="W23" i="4"/>
  <c r="G4" i="17" s="1"/>
  <c r="V23" i="4"/>
  <c r="F4" i="17" s="1"/>
  <c r="U23" i="4"/>
  <c r="E4" i="17" s="1"/>
  <c r="T23" i="4"/>
  <c r="D4" i="17" s="1"/>
  <c r="S23" i="4"/>
  <c r="C4" i="17" s="1"/>
  <c r="R23" i="4"/>
  <c r="B4" i="17" s="1"/>
  <c r="AS20" i="4" l="1"/>
  <c r="AC5" i="17" s="1"/>
  <c r="AR20" i="4"/>
  <c r="AQ20" i="4"/>
  <c r="AA5" i="17" s="1"/>
  <c r="AP20" i="4"/>
  <c r="AO20" i="4"/>
  <c r="Y5" i="17" s="1"/>
  <c r="AN20" i="4"/>
  <c r="X5" i="17" s="1"/>
  <c r="AM20" i="4"/>
  <c r="W5" i="17" s="1"/>
  <c r="AL20" i="4"/>
  <c r="V5" i="17" s="1"/>
  <c r="AK20" i="4"/>
  <c r="U5" i="17" s="1"/>
  <c r="AJ20" i="4"/>
  <c r="T5" i="17" s="1"/>
  <c r="AI20" i="4"/>
  <c r="S5" i="17" s="1"/>
  <c r="AH20" i="4"/>
  <c r="R5" i="17" s="1"/>
  <c r="AG20" i="4"/>
  <c r="Q5" i="17" s="1"/>
  <c r="AF20" i="4"/>
  <c r="P5" i="17" s="1"/>
  <c r="AE20" i="4"/>
  <c r="O5" i="17" s="1"/>
  <c r="AD20" i="4"/>
  <c r="N5" i="17" s="1"/>
  <c r="AC20" i="4"/>
  <c r="M5" i="17" s="1"/>
  <c r="AB20" i="4"/>
  <c r="L5" i="17" s="1"/>
  <c r="AA20" i="4"/>
  <c r="K5" i="17" s="1"/>
  <c r="Z20" i="4"/>
  <c r="J5" i="17" s="1"/>
  <c r="Y20" i="4"/>
  <c r="I5" i="17" s="1"/>
  <c r="X20" i="4"/>
  <c r="H5" i="17" s="1"/>
  <c r="W20" i="4"/>
  <c r="G5" i="17" s="1"/>
  <c r="V20" i="4"/>
  <c r="F5" i="17" s="1"/>
  <c r="U20" i="4"/>
  <c r="E5" i="17" s="1"/>
  <c r="T20" i="4"/>
  <c r="D5" i="17" s="1"/>
  <c r="S20" i="4"/>
  <c r="C5" i="17" s="1"/>
  <c r="R20" i="4"/>
  <c r="B5" i="17" s="1"/>
  <c r="Z5" i="17" l="1"/>
  <c r="AB5" i="17"/>
  <c r="AC9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B8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AC10" i="18" l="1"/>
  <c r="AC12" i="18" s="1"/>
  <c r="AB6" i="18"/>
  <c r="AB13" i="18" s="1"/>
  <c r="AA6" i="18"/>
  <c r="Z6" i="18"/>
  <c r="Z13" i="18" s="1"/>
  <c r="Y6" i="18"/>
  <c r="X6" i="18"/>
  <c r="W6" i="18"/>
  <c r="W13" i="18" s="1"/>
  <c r="V6" i="18"/>
  <c r="U6" i="18"/>
  <c r="U13" i="18" s="1"/>
  <c r="T6" i="18"/>
  <c r="T13" i="18" s="1"/>
  <c r="S6" i="18"/>
  <c r="S13" i="18" s="1"/>
  <c r="R6" i="18"/>
  <c r="R13" i="18" s="1"/>
  <c r="Q6" i="18"/>
  <c r="Q13" i="18" s="1"/>
  <c r="P6" i="18"/>
  <c r="O6" i="18"/>
  <c r="O13" i="18" s="1"/>
  <c r="N6" i="18"/>
  <c r="M6" i="18"/>
  <c r="L6" i="18"/>
  <c r="K6" i="18"/>
  <c r="J6" i="18"/>
  <c r="I6" i="18"/>
  <c r="H6" i="18"/>
  <c r="H13" i="18" s="1"/>
  <c r="G6" i="18"/>
  <c r="G13" i="18" s="1"/>
  <c r="F6" i="18"/>
  <c r="E6" i="18"/>
  <c r="E13" i="18" s="1"/>
  <c r="D6" i="18"/>
  <c r="D13" i="18" s="1"/>
  <c r="C6" i="18"/>
  <c r="C13" i="18" s="1"/>
  <c r="B6" i="18"/>
  <c r="B13" i="18" s="1"/>
  <c r="AC6" i="17"/>
  <c r="AC8" i="17" s="1"/>
  <c r="AB6" i="17"/>
  <c r="AB7" i="17" s="1"/>
  <c r="AA6" i="17"/>
  <c r="AA7" i="17" s="1"/>
  <c r="Z6" i="17"/>
  <c r="Z7" i="17" s="1"/>
  <c r="Y6" i="17"/>
  <c r="Y7" i="17" s="1"/>
  <c r="X6" i="17"/>
  <c r="X7" i="17" s="1"/>
  <c r="W6" i="17"/>
  <c r="W7" i="17" s="1"/>
  <c r="V6" i="17"/>
  <c r="V7" i="17" s="1"/>
  <c r="P6" i="17"/>
  <c r="P7" i="17" s="1"/>
  <c r="O6" i="17"/>
  <c r="O7" i="17" s="1"/>
  <c r="N6" i="17"/>
  <c r="N8" i="17" s="1"/>
  <c r="M6" i="17"/>
  <c r="M7" i="17" s="1"/>
  <c r="L6" i="17"/>
  <c r="L7" i="17" s="1"/>
  <c r="K6" i="17"/>
  <c r="K7" i="17" s="1"/>
  <c r="J6" i="17"/>
  <c r="J7" i="17" s="1"/>
  <c r="I6" i="17"/>
  <c r="I7" i="17" s="1"/>
  <c r="H6" i="17"/>
  <c r="H7" i="17" s="1"/>
  <c r="G6" i="17"/>
  <c r="G7" i="17" s="1"/>
  <c r="F6" i="17"/>
  <c r="F7" i="17" s="1"/>
  <c r="U6" i="17"/>
  <c r="U7" i="17" s="1"/>
  <c r="T6" i="17"/>
  <c r="T7" i="17" s="1"/>
  <c r="S6" i="17"/>
  <c r="S7" i="17" s="1"/>
  <c r="R6" i="17"/>
  <c r="R7" i="17" s="1"/>
  <c r="Q6" i="17"/>
  <c r="Q7" i="17" s="1"/>
  <c r="E6" i="17"/>
  <c r="E7" i="17" s="1"/>
  <c r="D6" i="17"/>
  <c r="C6" i="17"/>
  <c r="C7" i="17" s="1"/>
  <c r="B6" i="17"/>
  <c r="B7" i="17" s="1"/>
  <c r="AB8" i="17" l="1"/>
  <c r="M8" i="17"/>
  <c r="N9" i="18"/>
  <c r="N13" i="18"/>
  <c r="G8" i="17"/>
  <c r="X9" i="18"/>
  <c r="X13" i="18"/>
  <c r="I9" i="18"/>
  <c r="I13" i="18"/>
  <c r="Y9" i="18"/>
  <c r="Y13" i="18"/>
  <c r="P9" i="18"/>
  <c r="P13" i="18"/>
  <c r="I8" i="17"/>
  <c r="F9" i="18"/>
  <c r="F13" i="18"/>
  <c r="V9" i="18"/>
  <c r="V13" i="18"/>
  <c r="J9" i="18"/>
  <c r="J13" i="18"/>
  <c r="K9" i="18"/>
  <c r="K13" i="18"/>
  <c r="AA9" i="18"/>
  <c r="AA13" i="18"/>
  <c r="V8" i="17"/>
  <c r="L9" i="18"/>
  <c r="L13" i="18"/>
  <c r="W8" i="17"/>
  <c r="M9" i="18"/>
  <c r="M13" i="18"/>
  <c r="J8" i="17"/>
  <c r="H8" i="17"/>
  <c r="Z8" i="17"/>
  <c r="AA8" i="17"/>
  <c r="AC7" i="17"/>
  <c r="O8" i="17"/>
  <c r="K8" i="17"/>
  <c r="L8" i="17"/>
  <c r="N7" i="17"/>
  <c r="P8" i="17"/>
  <c r="X8" i="17"/>
  <c r="F8" i="17"/>
  <c r="Y8" i="17"/>
  <c r="Q10" i="18"/>
  <c r="Q11" i="18" s="1"/>
  <c r="Q9" i="18"/>
  <c r="B10" i="18"/>
  <c r="B11" i="18" s="1"/>
  <c r="B9" i="18"/>
  <c r="S10" i="18"/>
  <c r="S11" i="18" s="1"/>
  <c r="S9" i="18"/>
  <c r="D10" i="18"/>
  <c r="D11" i="18" s="1"/>
  <c r="D9" i="18"/>
  <c r="U10" i="18"/>
  <c r="U11" i="18" s="1"/>
  <c r="U9" i="18"/>
  <c r="G10" i="18"/>
  <c r="G11" i="18" s="1"/>
  <c r="G9" i="18"/>
  <c r="H10" i="18"/>
  <c r="H11" i="18" s="1"/>
  <c r="H9" i="18"/>
  <c r="Z10" i="18"/>
  <c r="Z11" i="18" s="1"/>
  <c r="Z9" i="18"/>
  <c r="AB10" i="18"/>
  <c r="AB11" i="18" s="1"/>
  <c r="AB9" i="18"/>
  <c r="F10" i="18"/>
  <c r="F11" i="18" s="1"/>
  <c r="V10" i="18"/>
  <c r="V11" i="18" s="1"/>
  <c r="R10" i="18"/>
  <c r="R11" i="18" s="1"/>
  <c r="R9" i="18"/>
  <c r="C10" i="18"/>
  <c r="C11" i="18" s="1"/>
  <c r="C9" i="18"/>
  <c r="T10" i="18"/>
  <c r="T11" i="18" s="1"/>
  <c r="T9" i="18"/>
  <c r="E10" i="18"/>
  <c r="E11" i="18" s="1"/>
  <c r="E9" i="18"/>
  <c r="W10" i="18"/>
  <c r="W11" i="18" s="1"/>
  <c r="W9" i="18"/>
  <c r="O10" i="18"/>
  <c r="O11" i="18" s="1"/>
  <c r="O9" i="18"/>
  <c r="X10" i="18"/>
  <c r="X11" i="18" s="1"/>
  <c r="Y10" i="18"/>
  <c r="Y11" i="18" s="1"/>
  <c r="AA10" i="18"/>
  <c r="AA11" i="18" s="1"/>
  <c r="I10" i="18"/>
  <c r="I11" i="18" s="1"/>
  <c r="K10" i="18"/>
  <c r="K11" i="18" s="1"/>
  <c r="L10" i="18"/>
  <c r="L11" i="18" s="1"/>
  <c r="AC11" i="18"/>
  <c r="J10" i="18"/>
  <c r="J11" i="18" s="1"/>
  <c r="N10" i="18"/>
  <c r="N11" i="18" s="1"/>
  <c r="P10" i="18"/>
  <c r="P11" i="18" s="1"/>
  <c r="M10" i="18"/>
  <c r="M11" i="18" s="1"/>
  <c r="G12" i="18"/>
  <c r="D8" i="17"/>
  <c r="D7" i="17"/>
  <c r="Q8" i="17"/>
  <c r="B8" i="17"/>
  <c r="S8" i="17"/>
  <c r="E8" i="17"/>
  <c r="R8" i="17"/>
  <c r="C8" i="17"/>
  <c r="T8" i="17"/>
  <c r="U8" i="17"/>
  <c r="W12" i="18" l="1"/>
  <c r="U12" i="18"/>
  <c r="V12" i="18"/>
  <c r="AB12" i="18"/>
  <c r="B12" i="18"/>
  <c r="Q12" i="18"/>
  <c r="F12" i="18"/>
  <c r="X12" i="18"/>
  <c r="H12" i="18"/>
  <c r="T12" i="18"/>
  <c r="S12" i="18"/>
  <c r="C12" i="18"/>
  <c r="O12" i="18"/>
  <c r="Z12" i="18"/>
  <c r="E12" i="18"/>
  <c r="J12" i="18"/>
  <c r="D12" i="18"/>
  <c r="R12" i="18"/>
  <c r="L12" i="18"/>
  <c r="AA12" i="18"/>
  <c r="K12" i="18"/>
  <c r="Y12" i="18"/>
  <c r="I12" i="18"/>
  <c r="P12" i="18"/>
  <c r="N12" i="18"/>
  <c r="M12" i="18"/>
  <c r="AC6" i="16" l="1"/>
  <c r="AC8" i="16" s="1"/>
  <c r="AC7" i="16" l="1"/>
  <c r="AB5" i="16" l="1"/>
  <c r="AB6" i="16" s="1"/>
  <c r="AA5" i="16"/>
  <c r="AA6" i="16" s="1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Z6" i="16" l="1"/>
  <c r="Z7" i="16" s="1"/>
  <c r="AA8" i="16"/>
  <c r="AA7" i="16"/>
  <c r="AB8" i="16"/>
  <c r="AB7" i="16"/>
  <c r="AL37" i="10"/>
  <c r="AL35" i="10" s="1"/>
  <c r="AL19" i="10"/>
  <c r="AL17" i="10" s="1"/>
  <c r="Z8" i="16" l="1"/>
  <c r="R25" i="5"/>
  <c r="P25" i="5"/>
  <c r="N25" i="5"/>
  <c r="O25" i="5"/>
  <c r="AK30" i="10" l="1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AA37" i="10" l="1"/>
  <c r="AA35" i="10" s="1"/>
  <c r="AJ37" i="10"/>
  <c r="AJ35" i="10"/>
  <c r="AK37" i="10"/>
  <c r="AK35" i="10"/>
  <c r="W37" i="10"/>
  <c r="X37" i="10"/>
  <c r="X35" i="10" s="1"/>
  <c r="Y37" i="10"/>
  <c r="Y35" i="10" s="1"/>
  <c r="Z37" i="10"/>
  <c r="AB37" i="10"/>
  <c r="AC37" i="10"/>
  <c r="AD37" i="10"/>
  <c r="AD35" i="10" s="1"/>
  <c r="O37" i="10"/>
  <c r="O35" i="10" s="1"/>
  <c r="AE37" i="10"/>
  <c r="AE35" i="10" s="1"/>
  <c r="P37" i="10"/>
  <c r="P35" i="10" s="1"/>
  <c r="AF37" i="10"/>
  <c r="AF35" i="10" s="1"/>
  <c r="Q37" i="10"/>
  <c r="Q35" i="10" s="1"/>
  <c r="AG37" i="10"/>
  <c r="AG35" i="10" s="1"/>
  <c r="R37" i="10"/>
  <c r="R35" i="10" s="1"/>
  <c r="AH37" i="10"/>
  <c r="AH35" i="10" s="1"/>
  <c r="S37" i="10"/>
  <c r="AI37" i="10"/>
  <c r="T37" i="10"/>
  <c r="U37" i="10"/>
  <c r="V37" i="10"/>
  <c r="AX78" i="10"/>
  <c r="AW78" i="10"/>
  <c r="AV78" i="10"/>
  <c r="AU78" i="10"/>
  <c r="AT78" i="10"/>
  <c r="AS78" i="10"/>
  <c r="AR78" i="10"/>
  <c r="AQ78" i="10"/>
  <c r="AC45" i="10" l="1"/>
  <c r="AC44" i="10"/>
  <c r="AB45" i="10"/>
  <c r="AB44" i="10"/>
  <c r="Z45" i="10"/>
  <c r="Z44" i="10"/>
  <c r="U44" i="10"/>
  <c r="U45" i="10"/>
  <c r="T44" i="10"/>
  <c r="T45" i="10"/>
  <c r="AI44" i="10"/>
  <c r="AI45" i="10"/>
  <c r="S45" i="10"/>
  <c r="S44" i="10"/>
  <c r="AH45" i="10"/>
  <c r="AH44" i="10"/>
  <c r="AF45" i="10"/>
  <c r="AF44" i="10"/>
  <c r="AJ44" i="10"/>
  <c r="AJ45" i="10"/>
  <c r="Y44" i="10"/>
  <c r="Y45" i="10"/>
  <c r="X44" i="10"/>
  <c r="X45" i="10"/>
  <c r="AG45" i="10"/>
  <c r="AG44" i="10"/>
  <c r="Q45" i="10"/>
  <c r="Q44" i="10"/>
  <c r="T35" i="10"/>
  <c r="AE45" i="10"/>
  <c r="AE44" i="10"/>
  <c r="S35" i="10"/>
  <c r="AA45" i="10"/>
  <c r="AA44" i="10"/>
  <c r="V44" i="10"/>
  <c r="V45" i="10"/>
  <c r="Z35" i="10"/>
  <c r="W44" i="10"/>
  <c r="W45" i="10"/>
  <c r="V35" i="10"/>
  <c r="R44" i="10"/>
  <c r="R45" i="10"/>
  <c r="AK44" i="10"/>
  <c r="AK45" i="10"/>
  <c r="U35" i="10"/>
  <c r="P45" i="10"/>
  <c r="P44" i="10"/>
  <c r="AI35" i="10"/>
  <c r="O45" i="10"/>
  <c r="O44" i="10"/>
  <c r="AB35" i="10"/>
  <c r="AD45" i="10"/>
  <c r="AD44" i="10"/>
  <c r="AC35" i="10"/>
  <c r="W35" i="10"/>
  <c r="AH81" i="8" a="1"/>
  <c r="AH81" i="8" s="1"/>
  <c r="AG81" i="8" a="1"/>
  <c r="AG81" i="8" s="1"/>
  <c r="AF81" i="8" a="1"/>
  <c r="AF81" i="8" s="1"/>
  <c r="AE81" i="8" a="1"/>
  <c r="AE81" i="8" s="1"/>
  <c r="AH73" i="8" a="1"/>
  <c r="AH73" i="8" s="1"/>
  <c r="AG73" i="8" a="1"/>
  <c r="AG73" i="8" s="1"/>
  <c r="AF73" i="8" a="1"/>
  <c r="AF73" i="8" s="1"/>
  <c r="AE73" i="8" a="1"/>
  <c r="AE73" i="8" s="1"/>
  <c r="AX116" i="10"/>
  <c r="AX114" i="10" s="1"/>
  <c r="AW116" i="10"/>
  <c r="AW114" i="10" s="1"/>
  <c r="AV116" i="10"/>
  <c r="AV114" i="10" s="1"/>
  <c r="AU116" i="10"/>
  <c r="AU114" i="10" s="1"/>
  <c r="AT116" i="10"/>
  <c r="AT114" i="10" s="1"/>
  <c r="AS116" i="10"/>
  <c r="AS114" i="10" s="1"/>
  <c r="AR116" i="10"/>
  <c r="AR114" i="10" s="1"/>
  <c r="AQ116" i="10"/>
  <c r="AQ114" i="10" s="1"/>
  <c r="AI82" i="8" s="1" a="1"/>
  <c r="AI82" i="8" s="1"/>
  <c r="AP116" i="10"/>
  <c r="AP114" i="10" s="1"/>
  <c r="AH82" i="8" s="1" a="1"/>
  <c r="AH82" i="8" s="1"/>
  <c r="AO116" i="10"/>
  <c r="AO114" i="10" s="1"/>
  <c r="AG82" i="8" s="1" a="1"/>
  <c r="AG82" i="8" s="1"/>
  <c r="AN116" i="10"/>
  <c r="AN114" i="10" s="1"/>
  <c r="AF82" i="8" s="1" a="1"/>
  <c r="AF82" i="8" s="1"/>
  <c r="AM116" i="10"/>
  <c r="AM114" i="10" s="1"/>
  <c r="AE82" i="8" s="1" a="1"/>
  <c r="AE82" i="8" s="1"/>
  <c r="AX101" i="10"/>
  <c r="AX99" i="10" s="1"/>
  <c r="AW101" i="10"/>
  <c r="AW99" i="10" s="1"/>
  <c r="AV101" i="10"/>
  <c r="AV99" i="10" s="1"/>
  <c r="AU101" i="10"/>
  <c r="AU99" i="10" s="1"/>
  <c r="AT101" i="10"/>
  <c r="AT99" i="10" s="1"/>
  <c r="AS101" i="10"/>
  <c r="AS99" i="10" s="1"/>
  <c r="AR101" i="10"/>
  <c r="AR99" i="10" s="1"/>
  <c r="AQ101" i="10"/>
  <c r="AQ99" i="10" s="1"/>
  <c r="AP101" i="10"/>
  <c r="AP99" i="10" s="1"/>
  <c r="AH74" i="8" s="1" a="1"/>
  <c r="AH74" i="8" s="1"/>
  <c r="AO101" i="10"/>
  <c r="AO99" i="10" s="1"/>
  <c r="AG74" i="8" s="1" a="1"/>
  <c r="AG74" i="8" s="1"/>
  <c r="AN101" i="10"/>
  <c r="AN99" i="10" s="1"/>
  <c r="AF74" i="8" s="1" a="1"/>
  <c r="AF74" i="8" s="1"/>
  <c r="AM101" i="10"/>
  <c r="AM99" i="10" s="1"/>
  <c r="AE74" i="8" s="1" a="1"/>
  <c r="AE74" i="8" s="1"/>
  <c r="AH90" i="8" l="1" a="1"/>
  <c r="AH90" i="8" s="1"/>
  <c r="AG90" i="8" a="1"/>
  <c r="AG90" i="8" s="1"/>
  <c r="AF90" i="8" a="1"/>
  <c r="AF90" i="8" s="1"/>
  <c r="AE90" i="8" a="1"/>
  <c r="AE90" i="8" s="1"/>
  <c r="AX126" i="10"/>
  <c r="AW126" i="10"/>
  <c r="AV126" i="10"/>
  <c r="AU126" i="10"/>
  <c r="AT126" i="10"/>
  <c r="AS126" i="10"/>
  <c r="AR126" i="10"/>
  <c r="AQ126" i="10"/>
  <c r="AP126" i="10"/>
  <c r="AH91" i="8" s="1" a="1"/>
  <c r="AH91" i="8" s="1"/>
  <c r="AO126" i="10"/>
  <c r="AG91" i="8" s="1" a="1"/>
  <c r="AG91" i="8" s="1"/>
  <c r="AN126" i="10"/>
  <c r="AF91" i="8" s="1" a="1"/>
  <c r="AF91" i="8" s="1"/>
  <c r="AM126" i="10"/>
  <c r="AE91" i="8" s="1" a="1"/>
  <c r="AE91" i="8" s="1"/>
  <c r="AH99" i="8" a="1"/>
  <c r="AH99" i="8" s="1"/>
  <c r="AG99" i="8" a="1"/>
  <c r="AG99" i="8" s="1"/>
  <c r="AF99" i="8" a="1"/>
  <c r="AF99" i="8" s="1"/>
  <c r="AE99" i="8" a="1"/>
  <c r="AE99" i="8" s="1"/>
  <c r="AH65" i="8" a="1"/>
  <c r="AH65" i="8" s="1"/>
  <c r="AH64" i="8" a="1"/>
  <c r="AH64" i="8" s="1"/>
  <c r="AH48" i="8" a="1"/>
  <c r="AH48" i="8" s="1"/>
  <c r="AH40" i="8" a="1"/>
  <c r="AH40" i="8" s="1"/>
  <c r="AX84" i="10"/>
  <c r="AW84" i="10"/>
  <c r="AV84" i="10"/>
  <c r="AU84" i="10"/>
  <c r="AT84" i="10"/>
  <c r="AS84" i="10"/>
  <c r="AR84" i="10"/>
  <c r="AQ84" i="10"/>
  <c r="AX83" i="10"/>
  <c r="AX82" i="10" s="1"/>
  <c r="AW83" i="10"/>
  <c r="AW82" i="10" s="1"/>
  <c r="AV83" i="10"/>
  <c r="AV82" i="10" s="1"/>
  <c r="AU83" i="10"/>
  <c r="AU82" i="10" s="1"/>
  <c r="AT83" i="10"/>
  <c r="AT82" i="10" s="1"/>
  <c r="AS83" i="10"/>
  <c r="AS82" i="10" s="1"/>
  <c r="AR83" i="10"/>
  <c r="AR82" i="10" s="1"/>
  <c r="AQ83" i="10"/>
  <c r="AQ82" i="10" s="1"/>
  <c r="AP83" i="10"/>
  <c r="AP82" i="10" s="1"/>
  <c r="AH56" i="8" s="1" a="1"/>
  <c r="AH56" i="8" s="1"/>
  <c r="AP78" i="10"/>
  <c r="AP84" i="10" s="1"/>
  <c r="AH57" i="8" s="1" a="1"/>
  <c r="AH57" i="8" s="1"/>
  <c r="AO78" i="10"/>
  <c r="AO84" i="10" s="1"/>
  <c r="AN78" i="10"/>
  <c r="AN84" i="10" s="1"/>
  <c r="AM78" i="10"/>
  <c r="AM84" i="10" s="1"/>
  <c r="AX64" i="10"/>
  <c r="AW64" i="10"/>
  <c r="AV64" i="10"/>
  <c r="AU64" i="10"/>
  <c r="AT64" i="10"/>
  <c r="AS64" i="10"/>
  <c r="AR64" i="10"/>
  <c r="AQ64" i="10"/>
  <c r="AI41" i="8" s="1" a="1"/>
  <c r="AI41" i="8" s="1"/>
  <c r="AP64" i="10"/>
  <c r="AH41" i="8" s="1" a="1"/>
  <c r="AH41" i="8" s="1"/>
  <c r="AO64" i="10"/>
  <c r="AN64" i="10"/>
  <c r="AM64" i="10"/>
  <c r="AX131" i="10"/>
  <c r="AW131" i="10"/>
  <c r="AV131" i="10"/>
  <c r="AU131" i="10"/>
  <c r="AT131" i="10"/>
  <c r="AS131" i="10"/>
  <c r="AR131" i="10"/>
  <c r="AQ131" i="10"/>
  <c r="AP131" i="10"/>
  <c r="AH100" i="8" s="1" a="1"/>
  <c r="AH100" i="8" s="1"/>
  <c r="AO131" i="10"/>
  <c r="AG100" i="8" s="1" a="1"/>
  <c r="AG100" i="8" s="1"/>
  <c r="AN131" i="10"/>
  <c r="AF100" i="8" s="1" a="1"/>
  <c r="AF100" i="8" s="1"/>
  <c r="AH49" i="8" l="1" a="1"/>
  <c r="AH49" i="8" s="1"/>
  <c r="AM131" i="10"/>
  <c r="AE100" i="8" s="1" a="1"/>
  <c r="AE100" i="8" s="1"/>
  <c r="AG48" i="8" l="1" a="1"/>
  <c r="AG48" i="8" s="1"/>
  <c r="AF48" i="8" a="1"/>
  <c r="AF48" i="8" s="1"/>
  <c r="AE48" i="8" a="1"/>
  <c r="AE48" i="8" s="1"/>
  <c r="AE41" i="8" a="1"/>
  <c r="AE41" i="8" s="1"/>
  <c r="AG40" i="8" a="1"/>
  <c r="AG40" i="8" s="1"/>
  <c r="AF40" i="8" a="1"/>
  <c r="AF40" i="8" s="1"/>
  <c r="AE40" i="8" a="1"/>
  <c r="AE40" i="8" s="1"/>
  <c r="AO83" i="10"/>
  <c r="AO82" i="10" s="1"/>
  <c r="AG57" i="8" s="1" a="1"/>
  <c r="AG57" i="8" s="1"/>
  <c r="AN83" i="10"/>
  <c r="AN82" i="10" s="1"/>
  <c r="AF57" i="8" s="1" a="1"/>
  <c r="AF57" i="8" s="1"/>
  <c r="AM83" i="10"/>
  <c r="AM82" i="10" s="1"/>
  <c r="AE57" i="8" s="1" a="1"/>
  <c r="AE57" i="8" s="1"/>
  <c r="AG49" i="8" a="1"/>
  <c r="AG49" i="8" s="1"/>
  <c r="AF49" i="8" a="1"/>
  <c r="AF49" i="8" s="1"/>
  <c r="AE49" i="8" a="1"/>
  <c r="AE49" i="8" s="1"/>
  <c r="AG41" i="8" a="1"/>
  <c r="AG41" i="8" s="1"/>
  <c r="AF41" i="8" a="1"/>
  <c r="AF41" i="8" s="1"/>
  <c r="AO88" i="10" l="1"/>
  <c r="AO87" i="10" s="1"/>
  <c r="AO90" i="10" s="1"/>
  <c r="AE56" i="8" a="1"/>
  <c r="AE56" i="8" s="1"/>
  <c r="AF56" i="8" a="1"/>
  <c r="AF56" i="8" s="1"/>
  <c r="AG56" i="8" a="1"/>
  <c r="AG56" i="8" s="1"/>
  <c r="AM88" i="10"/>
  <c r="AM87" i="10" s="1"/>
  <c r="AM90" i="10" s="1"/>
  <c r="AN88" i="10"/>
  <c r="AN87" i="10" s="1"/>
  <c r="AN90" i="10" s="1"/>
  <c r="AF64" i="8" l="1" a="1"/>
  <c r="AF64" i="8" s="1"/>
  <c r="AF65" i="8" a="1"/>
  <c r="AF65" i="8" s="1"/>
  <c r="AE65" i="8" a="1"/>
  <c r="AE65" i="8" s="1"/>
  <c r="AE64" i="8" a="1"/>
  <c r="AE64" i="8" s="1"/>
  <c r="AG64" i="8" a="1"/>
  <c r="AG64" i="8" s="1"/>
  <c r="AG65" i="8" a="1"/>
  <c r="AG65" i="8" s="1"/>
  <c r="AS45" i="4"/>
  <c r="AS44" i="4"/>
  <c r="AS43" i="4"/>
  <c r="AS41" i="4"/>
  <c r="AS40" i="4"/>
  <c r="AS36" i="4"/>
  <c r="AS35" i="4"/>
  <c r="AS33" i="4"/>
  <c r="AS32" i="4"/>
  <c r="AS31" i="4"/>
  <c r="AS30" i="4"/>
  <c r="AR45" i="4"/>
  <c r="AR44" i="4"/>
  <c r="AR43" i="4"/>
  <c r="AR41" i="4"/>
  <c r="AR40" i="4"/>
  <c r="AR36" i="4"/>
  <c r="AR35" i="4"/>
  <c r="AR33" i="4"/>
  <c r="AR32" i="4"/>
  <c r="AR31" i="4"/>
  <c r="AR30" i="4"/>
  <c r="AQ45" i="4"/>
  <c r="AQ44" i="4"/>
  <c r="AQ43" i="4"/>
  <c r="AQ41" i="4"/>
  <c r="AQ40" i="4"/>
  <c r="AQ36" i="4"/>
  <c r="AQ35" i="4"/>
  <c r="AQ33" i="4"/>
  <c r="AQ32" i="4"/>
  <c r="AQ31" i="4"/>
  <c r="AQ30" i="4"/>
  <c r="AD109" i="8" a="1"/>
  <c r="AD109" i="8" s="1"/>
  <c r="AC109" i="8" a="1"/>
  <c r="AC109" i="8" s="1"/>
  <c r="AB109" i="8" a="1"/>
  <c r="AB109" i="8" s="1"/>
  <c r="AA109" i="8" a="1"/>
  <c r="AA109" i="8" s="1"/>
  <c r="Z109" i="8" a="1"/>
  <c r="Z109" i="8" s="1"/>
  <c r="Y109" i="8" a="1"/>
  <c r="Y109" i="8" s="1"/>
  <c r="X109" i="8" a="1"/>
  <c r="X109" i="8" s="1"/>
  <c r="W109" i="8" a="1"/>
  <c r="W109" i="8" s="1"/>
  <c r="V109" i="8" a="1"/>
  <c r="V109" i="8" s="1"/>
  <c r="U109" i="8" a="1"/>
  <c r="U109" i="8" s="1"/>
  <c r="T109" i="8" a="1"/>
  <c r="T109" i="8" s="1"/>
  <c r="S109" i="8" a="1"/>
  <c r="S109" i="8" s="1"/>
  <c r="O109" i="8" a="1"/>
  <c r="O109" i="8" s="1"/>
  <c r="N109" i="8" a="1"/>
  <c r="N109" i="8" s="1"/>
  <c r="M109" i="8" a="1"/>
  <c r="M109" i="8" s="1"/>
  <c r="L109" i="8" a="1"/>
  <c r="L109" i="8" s="1"/>
  <c r="K109" i="8" a="1"/>
  <c r="K109" i="8" s="1"/>
  <c r="J109" i="8" a="1"/>
  <c r="J109" i="8" s="1"/>
  <c r="I109" i="8" a="1"/>
  <c r="I109" i="8" s="1"/>
  <c r="H109" i="8" a="1"/>
  <c r="H109" i="8" s="1"/>
  <c r="G109" i="8" a="1"/>
  <c r="G109" i="8" s="1"/>
  <c r="AD108" i="8" a="1"/>
  <c r="AD108" i="8" s="1"/>
  <c r="AC108" i="8" a="1"/>
  <c r="AC108" i="8" s="1"/>
  <c r="AB108" i="8" a="1"/>
  <c r="AB108" i="8" s="1"/>
  <c r="AA108" i="8" a="1"/>
  <c r="AA108" i="8" s="1"/>
  <c r="Z108" i="8" a="1"/>
  <c r="Z108" i="8" s="1"/>
  <c r="Y108" i="8" a="1"/>
  <c r="Y108" i="8" s="1"/>
  <c r="X108" i="8" a="1"/>
  <c r="X108" i="8" s="1"/>
  <c r="W108" i="8" a="1"/>
  <c r="W108" i="8" s="1"/>
  <c r="V108" i="8" a="1"/>
  <c r="V108" i="8" s="1"/>
  <c r="U108" i="8" a="1"/>
  <c r="U108" i="8" s="1"/>
  <c r="T108" i="8" a="1"/>
  <c r="T108" i="8" s="1"/>
  <c r="S108" i="8" a="1"/>
  <c r="S108" i="8" s="1"/>
  <c r="R108" i="8" a="1"/>
  <c r="R108" i="8" s="1"/>
  <c r="Q108" i="8" a="1"/>
  <c r="Q108" i="8" s="1"/>
  <c r="P108" i="8" a="1"/>
  <c r="P108" i="8" s="1"/>
  <c r="O108" i="8" a="1"/>
  <c r="O108" i="8" s="1"/>
  <c r="N108" i="8" a="1"/>
  <c r="N108" i="8" s="1"/>
  <c r="M108" i="8" a="1"/>
  <c r="M108" i="8" s="1"/>
  <c r="L108" i="8" a="1"/>
  <c r="L108" i="8" s="1"/>
  <c r="K108" i="8" a="1"/>
  <c r="K108" i="8" s="1"/>
  <c r="J108" i="8" a="1"/>
  <c r="J108" i="8" s="1"/>
  <c r="I108" i="8" a="1"/>
  <c r="I108" i="8" s="1"/>
  <c r="H108" i="8" a="1"/>
  <c r="H108" i="8" s="1"/>
  <c r="G108" i="8" a="1"/>
  <c r="G108" i="8" s="1"/>
  <c r="AD99" i="8" a="1"/>
  <c r="AD99" i="8" s="1"/>
  <c r="AC99" i="8" a="1"/>
  <c r="AC99" i="8" s="1"/>
  <c r="AB99" i="8" a="1"/>
  <c r="AB99" i="8" s="1"/>
  <c r="AA99" i="8" a="1"/>
  <c r="AA99" i="8" s="1"/>
  <c r="Z99" i="8" a="1"/>
  <c r="Z99" i="8" s="1"/>
  <c r="Y99" i="8" a="1"/>
  <c r="Y99" i="8" s="1"/>
  <c r="X99" i="8" a="1"/>
  <c r="X99" i="8" s="1"/>
  <c r="W99" i="8" a="1"/>
  <c r="W99" i="8" s="1"/>
  <c r="V99" i="8" a="1"/>
  <c r="V99" i="8" s="1"/>
  <c r="U99" i="8" a="1"/>
  <c r="U99" i="8" s="1"/>
  <c r="T99" i="8" a="1"/>
  <c r="T99" i="8" s="1"/>
  <c r="S99" i="8" a="1"/>
  <c r="S99" i="8" s="1"/>
  <c r="R99" i="8" a="1"/>
  <c r="R99" i="8" s="1"/>
  <c r="Q99" i="8" a="1"/>
  <c r="Q99" i="8" s="1"/>
  <c r="P99" i="8" a="1"/>
  <c r="P99" i="8" s="1"/>
  <c r="O99" i="8" a="1"/>
  <c r="O99" i="8" s="1"/>
  <c r="N99" i="8" a="1"/>
  <c r="N99" i="8" s="1"/>
  <c r="M99" i="8" a="1"/>
  <c r="M99" i="8" s="1"/>
  <c r="L99" i="8" a="1"/>
  <c r="L99" i="8" s="1"/>
  <c r="K99" i="8" a="1"/>
  <c r="K99" i="8" s="1"/>
  <c r="J99" i="8" a="1"/>
  <c r="J99" i="8" s="1"/>
  <c r="I99" i="8" a="1"/>
  <c r="I99" i="8" s="1"/>
  <c r="H99" i="8" a="1"/>
  <c r="H99" i="8" s="1"/>
  <c r="G99" i="8" a="1"/>
  <c r="G99" i="8" s="1"/>
  <c r="Y91" i="8" a="1"/>
  <c r="Y91" i="8" s="1"/>
  <c r="Y90" i="8" a="1"/>
  <c r="Y90" i="8" s="1"/>
  <c r="X90" i="8" a="1"/>
  <c r="X90" i="8" s="1"/>
  <c r="W90" i="8" a="1"/>
  <c r="W90" i="8" s="1"/>
  <c r="V90" i="8" a="1"/>
  <c r="V90" i="8" s="1"/>
  <c r="U90" i="8" a="1"/>
  <c r="U90" i="8" s="1"/>
  <c r="T90" i="8" a="1"/>
  <c r="T90" i="8" s="1"/>
  <c r="S90" i="8" a="1"/>
  <c r="S90" i="8" s="1"/>
  <c r="R90" i="8" a="1"/>
  <c r="R90" i="8" s="1"/>
  <c r="Q90" i="8" a="1"/>
  <c r="Q90" i="8" s="1"/>
  <c r="P90" i="8" a="1"/>
  <c r="P90" i="8" s="1"/>
  <c r="O90" i="8" a="1"/>
  <c r="O90" i="8" s="1"/>
  <c r="N90" i="8" a="1"/>
  <c r="N90" i="8" s="1"/>
  <c r="M90" i="8" a="1"/>
  <c r="M90" i="8" s="1"/>
  <c r="L90" i="8" a="1"/>
  <c r="L90" i="8" s="1"/>
  <c r="K90" i="8" a="1"/>
  <c r="K90" i="8" s="1"/>
  <c r="J90" i="8" a="1"/>
  <c r="J90" i="8" s="1"/>
  <c r="I90" i="8" a="1"/>
  <c r="I90" i="8" s="1"/>
  <c r="H90" i="8" a="1"/>
  <c r="H90" i="8" s="1"/>
  <c r="G90" i="8" a="1"/>
  <c r="G90" i="8" s="1"/>
  <c r="R57" i="8" a="1"/>
  <c r="R57" i="8" s="1"/>
  <c r="Q57" i="8" a="1"/>
  <c r="Q57" i="8" s="1"/>
  <c r="P57" i="8" a="1"/>
  <c r="P57" i="8" s="1"/>
  <c r="O57" i="8" a="1"/>
  <c r="O57" i="8" s="1"/>
  <c r="N57" i="8" a="1"/>
  <c r="N57" i="8" s="1"/>
  <c r="M57" i="8" a="1"/>
  <c r="M57" i="8" s="1"/>
  <c r="L57" i="8" a="1"/>
  <c r="L57" i="8" s="1"/>
  <c r="K57" i="8" a="1"/>
  <c r="K57" i="8" s="1"/>
  <c r="J57" i="8" a="1"/>
  <c r="J57" i="8" s="1"/>
  <c r="I57" i="8" a="1"/>
  <c r="I57" i="8" s="1"/>
  <c r="H57" i="8" a="1"/>
  <c r="H57" i="8" s="1"/>
  <c r="G57" i="8" a="1"/>
  <c r="G57" i="8" s="1"/>
  <c r="R56" i="8" a="1"/>
  <c r="R56" i="8" s="1"/>
  <c r="Q56" i="8" a="1"/>
  <c r="Q56" i="8" s="1"/>
  <c r="P56" i="8" a="1"/>
  <c r="P56" i="8" s="1"/>
  <c r="O56" i="8" a="1"/>
  <c r="O56" i="8" s="1"/>
  <c r="N56" i="8" a="1"/>
  <c r="N56" i="8" s="1"/>
  <c r="M56" i="8" a="1"/>
  <c r="M56" i="8" s="1"/>
  <c r="L56" i="8" a="1"/>
  <c r="L56" i="8" s="1"/>
  <c r="K56" i="8" a="1"/>
  <c r="K56" i="8" s="1"/>
  <c r="J56" i="8" a="1"/>
  <c r="J56" i="8" s="1"/>
  <c r="I56" i="8" a="1"/>
  <c r="I56" i="8" s="1"/>
  <c r="H56" i="8" a="1"/>
  <c r="H56" i="8" s="1"/>
  <c r="G56" i="8" a="1"/>
  <c r="G56" i="8" s="1"/>
  <c r="O32" i="8" a="1"/>
  <c r="O32" i="8" s="1"/>
  <c r="N32" i="8" a="1"/>
  <c r="N32" i="8" s="1"/>
  <c r="M32" i="8" a="1"/>
  <c r="M32" i="8" s="1"/>
  <c r="L32" i="8" a="1"/>
  <c r="L32" i="8" s="1"/>
  <c r="K32" i="8" a="1"/>
  <c r="K32" i="8" s="1"/>
  <c r="J32" i="8" a="1"/>
  <c r="J32" i="8" s="1"/>
  <c r="I32" i="8" a="1"/>
  <c r="I32" i="8" s="1"/>
  <c r="H32" i="8" a="1"/>
  <c r="H32" i="8" s="1"/>
  <c r="G32" i="8" a="1"/>
  <c r="G32" i="8" s="1"/>
  <c r="AD31" i="8" a="1"/>
  <c r="AD31" i="8" s="1"/>
  <c r="AC31" i="8" a="1"/>
  <c r="AC31" i="8" s="1"/>
  <c r="AB31" i="8" a="1"/>
  <c r="AB31" i="8" s="1"/>
  <c r="AA31" i="8" a="1"/>
  <c r="AA31" i="8" s="1"/>
  <c r="Z31" i="8" a="1"/>
  <c r="Z31" i="8" s="1"/>
  <c r="Y31" i="8" a="1"/>
  <c r="Y31" i="8" s="1"/>
  <c r="X31" i="8" a="1"/>
  <c r="X31" i="8" s="1"/>
  <c r="W31" i="8" a="1"/>
  <c r="W31" i="8" s="1"/>
  <c r="V31" i="8" a="1"/>
  <c r="V31" i="8" s="1"/>
  <c r="U31" i="8" a="1"/>
  <c r="U31" i="8" s="1"/>
  <c r="T31" i="8" a="1"/>
  <c r="T31" i="8" s="1"/>
  <c r="S31" i="8" a="1"/>
  <c r="S31" i="8" s="1"/>
  <c r="O31" i="8" a="1"/>
  <c r="O31" i="8" s="1"/>
  <c r="N31" i="8" a="1"/>
  <c r="N31" i="8" s="1"/>
  <c r="M31" i="8" a="1"/>
  <c r="M31" i="8" s="1"/>
  <c r="L31" i="8" a="1"/>
  <c r="L31" i="8" s="1"/>
  <c r="K31" i="8" a="1"/>
  <c r="K31" i="8" s="1"/>
  <c r="J31" i="8" a="1"/>
  <c r="J31" i="8" s="1"/>
  <c r="I31" i="8" a="1"/>
  <c r="I31" i="8" s="1"/>
  <c r="H31" i="8" a="1"/>
  <c r="H31" i="8" s="1"/>
  <c r="G31" i="8" a="1"/>
  <c r="G31" i="8" s="1"/>
  <c r="AD23" i="8" a="1"/>
  <c r="AD23" i="8" s="1"/>
  <c r="AC23" i="8" a="1"/>
  <c r="AC23" i="8" s="1"/>
  <c r="AB23" i="8" a="1"/>
  <c r="AB23" i="8" s="1"/>
  <c r="AA23" i="8" a="1"/>
  <c r="AA23" i="8" s="1"/>
  <c r="Z23" i="8" a="1"/>
  <c r="Z23" i="8" s="1"/>
  <c r="Y23" i="8" a="1"/>
  <c r="Y23" i="8" s="1"/>
  <c r="X23" i="8" a="1"/>
  <c r="X23" i="8" s="1"/>
  <c r="W23" i="8" a="1"/>
  <c r="W23" i="8" s="1"/>
  <c r="V23" i="8" a="1"/>
  <c r="V23" i="8" s="1"/>
  <c r="U23" i="8" a="1"/>
  <c r="U23" i="8" s="1"/>
  <c r="T23" i="8" a="1"/>
  <c r="T23" i="8" s="1"/>
  <c r="S23" i="8" a="1"/>
  <c r="S23" i="8" s="1"/>
  <c r="R23" i="8" a="1"/>
  <c r="R23" i="8" s="1"/>
  <c r="Q23" i="8" a="1"/>
  <c r="Q23" i="8" s="1"/>
  <c r="P23" i="8" a="1"/>
  <c r="P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G23" i="8" a="1"/>
  <c r="G23" i="8" s="1"/>
  <c r="AD22" i="8" a="1"/>
  <c r="AD22" i="8" s="1"/>
  <c r="AC22" i="8" a="1"/>
  <c r="AC22" i="8" s="1"/>
  <c r="AB22" i="8" a="1"/>
  <c r="AB22" i="8" s="1"/>
  <c r="AA22" i="8" a="1"/>
  <c r="AA22" i="8" s="1"/>
  <c r="Z22" i="8" a="1"/>
  <c r="Z22" i="8" s="1"/>
  <c r="Y22" i="8" a="1"/>
  <c r="Y22" i="8" s="1"/>
  <c r="X22" i="8" a="1"/>
  <c r="X22" i="8" s="1"/>
  <c r="W22" i="8" a="1"/>
  <c r="W22" i="8" s="1"/>
  <c r="V22" i="8" a="1"/>
  <c r="V22" i="8" s="1"/>
  <c r="U22" i="8" a="1"/>
  <c r="U22" i="8" s="1"/>
  <c r="T22" i="8" a="1"/>
  <c r="T22" i="8" s="1"/>
  <c r="S22" i="8" a="1"/>
  <c r="S22" i="8" s="1"/>
  <c r="R22" i="8" a="1"/>
  <c r="R22" i="8" s="1"/>
  <c r="Q22" i="8" a="1"/>
  <c r="Q22" i="8" s="1"/>
  <c r="P22" i="8" a="1"/>
  <c r="P22" i="8" s="1"/>
  <c r="O22" i="8" a="1"/>
  <c r="O22" i="8" s="1"/>
  <c r="N22" i="8" a="1"/>
  <c r="N22" i="8" s="1"/>
  <c r="M22" i="8" a="1"/>
  <c r="M22" i="8" s="1"/>
  <c r="L22" i="8" a="1"/>
  <c r="L22" i="8" s="1"/>
  <c r="K22" i="8" a="1"/>
  <c r="K22" i="8" s="1"/>
  <c r="J22" i="8" a="1"/>
  <c r="J22" i="8" s="1"/>
  <c r="I22" i="8" a="1"/>
  <c r="I22" i="8" s="1"/>
  <c r="H22" i="8" a="1"/>
  <c r="H22" i="8" s="1"/>
  <c r="G22" i="8" a="1"/>
  <c r="G22" i="8" s="1"/>
  <c r="AP1" i="8"/>
  <c r="AP2" i="8" s="1"/>
  <c r="AO1" i="8"/>
  <c r="AO2" i="8" s="1"/>
  <c r="AN1" i="8"/>
  <c r="AN2" i="8" s="1"/>
  <c r="AM1" i="8"/>
  <c r="AM2" i="8" s="1"/>
  <c r="AL1" i="8"/>
  <c r="AL2" i="8" s="1"/>
  <c r="AK1" i="8"/>
  <c r="AK2" i="8" s="1"/>
  <c r="AJ1" i="8"/>
  <c r="AJ2" i="8" s="1"/>
  <c r="AI1" i="8"/>
  <c r="AI2" i="8" s="1"/>
  <c r="AH1" i="8"/>
  <c r="AH2" i="8" s="1"/>
  <c r="AG1" i="8"/>
  <c r="AG2" i="8" s="1"/>
  <c r="AF1" i="8"/>
  <c r="AF2" i="8" s="1"/>
  <c r="AE1" i="8"/>
  <c r="AE2" i="8" s="1"/>
  <c r="AL49" i="10" l="1"/>
  <c r="AD32" i="8" s="1" a="1"/>
  <c r="AD32" i="8" s="1"/>
  <c r="AK49" i="10"/>
  <c r="AC32" i="8" s="1" a="1"/>
  <c r="AC32" i="8" s="1"/>
  <c r="AJ49" i="10"/>
  <c r="AB32" i="8" s="1" a="1"/>
  <c r="AB32" i="8" s="1"/>
  <c r="AI49" i="10"/>
  <c r="AA32" i="8" s="1" a="1"/>
  <c r="AA32" i="8" s="1"/>
  <c r="AH49" i="10"/>
  <c r="Z32" i="8" s="1" a="1"/>
  <c r="Z32" i="8" s="1"/>
  <c r="AG49" i="10"/>
  <c r="Y32" i="8" s="1" a="1"/>
  <c r="Y32" i="8" s="1"/>
  <c r="AF49" i="10"/>
  <c r="X32" i="8" s="1" a="1"/>
  <c r="X32" i="8" s="1"/>
  <c r="AE49" i="10"/>
  <c r="W32" i="8" s="1" a="1"/>
  <c r="W32" i="8" s="1"/>
  <c r="AD49" i="10"/>
  <c r="V32" i="8" s="1" a="1"/>
  <c r="V32" i="8" s="1"/>
  <c r="AX1" i="10"/>
  <c r="AX2" i="10" s="1"/>
  <c r="AW1" i="10"/>
  <c r="AW2" i="10" s="1"/>
  <c r="AV1" i="10"/>
  <c r="AV2" i="10" s="1"/>
  <c r="AU1" i="10"/>
  <c r="AU2" i="10" s="1"/>
  <c r="AT1" i="10"/>
  <c r="AT2" i="10" s="1"/>
  <c r="AS1" i="10"/>
  <c r="AS2" i="10" s="1"/>
  <c r="AR1" i="10"/>
  <c r="AR2" i="10" s="1"/>
  <c r="AQ1" i="10"/>
  <c r="AQ2" i="10" s="1"/>
  <c r="AP1" i="10"/>
  <c r="AO1" i="10"/>
  <c r="AN1" i="10"/>
  <c r="AM1" i="10"/>
  <c r="AP45" i="4"/>
  <c r="AP44" i="4"/>
  <c r="AP43" i="4"/>
  <c r="AP41" i="4"/>
  <c r="AP40" i="4"/>
  <c r="AP36" i="4"/>
  <c r="AP35" i="4"/>
  <c r="AP33" i="4"/>
  <c r="AP32" i="4"/>
  <c r="AP31" i="4"/>
  <c r="AP30" i="4"/>
  <c r="AP2" i="10" l="1"/>
  <c r="AM2" i="10"/>
  <c r="AO2" i="10"/>
  <c r="AN2" i="10"/>
  <c r="AR16" i="4" l="1"/>
  <c r="AQ16" i="4"/>
  <c r="AP16" i="4"/>
  <c r="G58" i="13" l="1" a="1"/>
  <c r="G58" i="13" s="1"/>
  <c r="F38" i="13" a="1"/>
  <c r="F38" i="13" s="1"/>
  <c r="AF38" i="13" a="1"/>
  <c r="AF38" i="13" s="1"/>
  <c r="AA38" i="13" a="1"/>
  <c r="AA38" i="13" s="1"/>
  <c r="R58" i="13" a="1"/>
  <c r="R58" i="13" s="1"/>
  <c r="X58" i="13" a="1"/>
  <c r="X58" i="13" s="1"/>
  <c r="AE38" i="13" a="1"/>
  <c r="AE38" i="13" s="1"/>
  <c r="AB38" i="13" a="1"/>
  <c r="AB38" i="13" s="1"/>
  <c r="F58" i="13" a="1"/>
  <c r="F58" i="13" s="1"/>
  <c r="AG58" i="13" a="1"/>
  <c r="AG58" i="13" s="1"/>
  <c r="AH67" i="13" s="1"/>
  <c r="I38" i="13" a="1"/>
  <c r="I38" i="13" s="1"/>
  <c r="S38" i="13" a="1"/>
  <c r="S38" i="13" s="1"/>
  <c r="AD58" i="13" a="1"/>
  <c r="AD58" i="13" s="1"/>
  <c r="G38" i="13" a="1"/>
  <c r="G38" i="13" s="1"/>
  <c r="K58" i="13" a="1"/>
  <c r="K58" i="13" s="1"/>
  <c r="W58" i="13" a="1"/>
  <c r="W58" i="13" s="1"/>
  <c r="T38" i="13" a="1"/>
  <c r="T38" i="13" s="1"/>
  <c r="V58" i="13" a="1"/>
  <c r="V58" i="13" s="1"/>
  <c r="N58" i="13" a="1"/>
  <c r="N58" i="13" s="1"/>
  <c r="O58" i="13" a="1"/>
  <c r="O58" i="13" s="1"/>
  <c r="Z58" i="13" a="1"/>
  <c r="Z58" i="13" s="1"/>
  <c r="K38" i="13" a="1"/>
  <c r="K38" i="13" s="1"/>
  <c r="N38" i="13" a="1"/>
  <c r="N38" i="13" s="1"/>
  <c r="W38" i="13" a="1"/>
  <c r="W38" i="13" s="1"/>
  <c r="M58" i="13" a="1"/>
  <c r="M58" i="13" s="1"/>
  <c r="AB58" i="13" a="1"/>
  <c r="AB58" i="13" s="1"/>
  <c r="Q58" i="13" a="1"/>
  <c r="Q58" i="13" s="1"/>
  <c r="X38" i="13" a="1"/>
  <c r="X38" i="13" s="1"/>
  <c r="J58" i="13" a="1"/>
  <c r="J58" i="13" s="1"/>
  <c r="V38" i="13" a="1"/>
  <c r="V38" i="13" s="1"/>
  <c r="T58" i="13" a="1"/>
  <c r="T58" i="13" s="1"/>
  <c r="E38" i="13" a="1"/>
  <c r="E38" i="13" s="1"/>
  <c r="E47" i="13" s="1"/>
  <c r="R38" i="13" a="1"/>
  <c r="R38" i="13" s="1"/>
  <c r="AF58" i="13" a="1"/>
  <c r="AF58" i="13" s="1"/>
  <c r="Y38" i="13" a="1"/>
  <c r="Y38" i="13" s="1"/>
  <c r="AC38" i="13" a="1"/>
  <c r="AC38" i="13" s="1"/>
  <c r="H38" i="13" a="1"/>
  <c r="H38" i="13" s="1"/>
  <c r="AA58" i="13" a="1"/>
  <c r="AA58" i="13" s="1"/>
  <c r="AE58" i="13" a="1"/>
  <c r="AE58" i="13" s="1"/>
  <c r="Z38" i="13" a="1"/>
  <c r="Z38" i="13" s="1"/>
  <c r="I58" i="13" a="1"/>
  <c r="I58" i="13" s="1"/>
  <c r="AC58" i="13" a="1"/>
  <c r="AC58" i="13" s="1"/>
  <c r="S58" i="13" a="1"/>
  <c r="S58" i="13" s="1"/>
  <c r="L38" i="13" a="1"/>
  <c r="L38" i="13" s="1"/>
  <c r="Y58" i="13" a="1"/>
  <c r="Y58" i="13" s="1"/>
  <c r="U58" i="13" a="1"/>
  <c r="U58" i="13" s="1"/>
  <c r="J38" i="13" a="1"/>
  <c r="J38" i="13" s="1"/>
  <c r="P38" i="13" a="1"/>
  <c r="P38" i="13" s="1"/>
  <c r="M38" i="13" a="1"/>
  <c r="M38" i="13" s="1"/>
  <c r="Q38" i="13" a="1"/>
  <c r="Q38" i="13" s="1"/>
  <c r="E58" i="13" a="1"/>
  <c r="E58" i="13" s="1"/>
  <c r="E67" i="13" s="1"/>
  <c r="AD38" i="13" a="1"/>
  <c r="AD38" i="13" s="1"/>
  <c r="U38" i="13" a="1"/>
  <c r="U38" i="13" s="1"/>
  <c r="O38" i="13" a="1"/>
  <c r="O38" i="13" s="1"/>
  <c r="AG38" i="13" a="1"/>
  <c r="AG38" i="13" s="1"/>
  <c r="AH47" i="13" s="1"/>
  <c r="P58" i="13" a="1"/>
  <c r="P58" i="13" s="1"/>
  <c r="L58" i="13" a="1"/>
  <c r="L58" i="13" s="1"/>
  <c r="H58" i="13" a="1"/>
  <c r="H58" i="13" s="1"/>
  <c r="BA1" i="4"/>
  <c r="BA2" i="4" s="1"/>
  <c r="AZ1" i="4"/>
  <c r="AZ2" i="4" s="1"/>
  <c r="AY1" i="4"/>
  <c r="AY2" i="4" s="1"/>
  <c r="AX1" i="4"/>
  <c r="AX2" i="4" s="1"/>
  <c r="AW1" i="4"/>
  <c r="AW2" i="4" s="1"/>
  <c r="AV1" i="4"/>
  <c r="AV2" i="4" s="1"/>
  <c r="AU1" i="4"/>
  <c r="AU2" i="4" s="1"/>
  <c r="AT1" i="4"/>
  <c r="AT2" i="4" s="1"/>
  <c r="AS1" i="4"/>
  <c r="AS2" i="4" s="1"/>
  <c r="AR1" i="4"/>
  <c r="AR2" i="4" s="1"/>
  <c r="AQ1" i="4"/>
  <c r="AQ2" i="4" s="1"/>
  <c r="AP1" i="4"/>
  <c r="AP2" i="4" s="1"/>
  <c r="L47" i="13" l="1"/>
  <c r="Y67" i="13"/>
  <c r="S67" i="13"/>
  <c r="J47" i="13"/>
  <c r="H67" i="13"/>
  <c r="Z47" i="13"/>
  <c r="AD47" i="13"/>
  <c r="P47" i="13"/>
  <c r="W67" i="13"/>
  <c r="X47" i="13"/>
  <c r="U67" i="13"/>
  <c r="L67" i="13"/>
  <c r="P67" i="13"/>
  <c r="AE67" i="13"/>
  <c r="AC67" i="13"/>
  <c r="AA67" i="13"/>
  <c r="H47" i="13"/>
  <c r="U47" i="13"/>
  <c r="T67" i="13"/>
  <c r="K67" i="13"/>
  <c r="W47" i="13"/>
  <c r="V47" i="13"/>
  <c r="G47" i="13"/>
  <c r="J67" i="13"/>
  <c r="AD67" i="13"/>
  <c r="T47" i="13"/>
  <c r="S47" i="13"/>
  <c r="Q67" i="13"/>
  <c r="I47" i="13"/>
  <c r="AB67" i="13"/>
  <c r="AO58" i="13"/>
  <c r="AG67" i="13"/>
  <c r="I67" i="13"/>
  <c r="M67" i="13"/>
  <c r="F67" i="13"/>
  <c r="AB47" i="13"/>
  <c r="N47" i="13"/>
  <c r="AE47" i="13"/>
  <c r="K47" i="13"/>
  <c r="X67" i="13"/>
  <c r="Z67" i="13"/>
  <c r="R67" i="13"/>
  <c r="AG47" i="13"/>
  <c r="AO38" i="13"/>
  <c r="AC47" i="13"/>
  <c r="O67" i="13"/>
  <c r="AA47" i="13"/>
  <c r="Y47" i="13"/>
  <c r="N67" i="13"/>
  <c r="AF47" i="13"/>
  <c r="O47" i="13"/>
  <c r="Q47" i="13"/>
  <c r="AF67" i="13"/>
  <c r="V67" i="13"/>
  <c r="F47" i="13"/>
  <c r="M47" i="13"/>
  <c r="R47" i="13"/>
  <c r="G67" i="13"/>
  <c r="AO16" i="4"/>
  <c r="AN16" i="4" l="1"/>
  <c r="AM16" i="4" l="1"/>
  <c r="Y6" i="16" l="1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R8" i="16" l="1"/>
  <c r="R7" i="16"/>
  <c r="S8" i="16"/>
  <c r="S7" i="16"/>
  <c r="K8" i="16"/>
  <c r="K7" i="16"/>
  <c r="M8" i="16"/>
  <c r="M7" i="16"/>
  <c r="P8" i="16"/>
  <c r="P7" i="16"/>
  <c r="D8" i="16"/>
  <c r="D7" i="16"/>
  <c r="T8" i="16"/>
  <c r="T7" i="16"/>
  <c r="L8" i="16"/>
  <c r="L7" i="16"/>
  <c r="O8" i="16"/>
  <c r="O7" i="16"/>
  <c r="B8" i="16"/>
  <c r="B7" i="16"/>
  <c r="E8" i="16"/>
  <c r="E7" i="16"/>
  <c r="U8" i="16"/>
  <c r="U7" i="16"/>
  <c r="V8" i="16"/>
  <c r="V7" i="16"/>
  <c r="C8" i="16"/>
  <c r="C7" i="16"/>
  <c r="F8" i="16"/>
  <c r="F7" i="16"/>
  <c r="G8" i="16"/>
  <c r="G7" i="16"/>
  <c r="W8" i="16"/>
  <c r="W7" i="16"/>
  <c r="X8" i="16"/>
  <c r="X7" i="16"/>
  <c r="H8" i="16"/>
  <c r="H7" i="16"/>
  <c r="I8" i="16"/>
  <c r="I7" i="16"/>
  <c r="Y8" i="16"/>
  <c r="Y7" i="16"/>
  <c r="N8" i="16"/>
  <c r="N7" i="16"/>
  <c r="Q8" i="16"/>
  <c r="Q7" i="16"/>
  <c r="J8" i="16"/>
  <c r="J7" i="16"/>
  <c r="AL125" i="10" l="1"/>
  <c r="AD90" i="8" s="1" a="1"/>
  <c r="AD90" i="8" s="1"/>
  <c r="AK125" i="10"/>
  <c r="AC90" i="8" s="1" a="1"/>
  <c r="AC90" i="8" s="1"/>
  <c r="AJ125" i="10"/>
  <c r="AB90" i="8" s="1" a="1"/>
  <c r="AB90" i="8" s="1"/>
  <c r="AI125" i="10"/>
  <c r="AA90" i="8" s="1" a="1"/>
  <c r="AA90" i="8" s="1"/>
  <c r="AH125" i="10"/>
  <c r="Z90" i="8" s="1" a="1"/>
  <c r="Z90" i="8" s="1"/>
  <c r="AH126" i="10"/>
  <c r="Z91" i="8" s="1" a="1"/>
  <c r="Z91" i="8" s="1"/>
  <c r="AL126" i="10"/>
  <c r="AD91" i="8" s="1" a="1"/>
  <c r="AD91" i="8" s="1"/>
  <c r="AK126" i="10"/>
  <c r="AC91" i="8" s="1" a="1"/>
  <c r="AC91" i="8" s="1"/>
  <c r="AJ126" i="10"/>
  <c r="AB91" i="8" s="1" a="1"/>
  <c r="AB91" i="8" s="1"/>
  <c r="AI126" i="10"/>
  <c r="AA91" i="8" s="1" a="1"/>
  <c r="AA91" i="8" s="1"/>
  <c r="AL16" i="4" l="1"/>
  <c r="AK16" i="4"/>
  <c r="AJ16" i="4" l="1"/>
  <c r="AI16" i="4" l="1"/>
  <c r="R102" i="5" l="1"/>
  <c r="P102" i="5"/>
  <c r="Q102" i="5" s="1"/>
  <c r="O102" i="5"/>
  <c r="N102" i="5"/>
  <c r="F102" i="5"/>
  <c r="R101" i="5"/>
  <c r="P101" i="5"/>
  <c r="Q101" i="5" s="1"/>
  <c r="O101" i="5"/>
  <c r="N101" i="5"/>
  <c r="F101" i="5"/>
  <c r="R100" i="5"/>
  <c r="P100" i="5"/>
  <c r="Q100" i="5" s="1"/>
  <c r="O100" i="5"/>
  <c r="N100" i="5"/>
  <c r="F100" i="5"/>
  <c r="R99" i="5"/>
  <c r="P99" i="5"/>
  <c r="Q99" i="5" s="1"/>
  <c r="O99" i="5"/>
  <c r="N99" i="5"/>
  <c r="F99" i="5"/>
  <c r="R98" i="5"/>
  <c r="P98" i="5"/>
  <c r="Q98" i="5" s="1"/>
  <c r="O98" i="5"/>
  <c r="N98" i="5"/>
  <c r="F98" i="5"/>
  <c r="R97" i="5"/>
  <c r="P97" i="5"/>
  <c r="Q97" i="5" s="1"/>
  <c r="O97" i="5"/>
  <c r="N97" i="5"/>
  <c r="F97" i="5"/>
  <c r="R96" i="5"/>
  <c r="P96" i="5"/>
  <c r="Q96" i="5" s="1"/>
  <c r="O96" i="5"/>
  <c r="N96" i="5"/>
  <c r="F96" i="5"/>
  <c r="R95" i="5"/>
  <c r="P95" i="5"/>
  <c r="Q95" i="5" s="1"/>
  <c r="O95" i="5"/>
  <c r="N95" i="5"/>
  <c r="F95" i="5"/>
  <c r="R94" i="5"/>
  <c r="P94" i="5"/>
  <c r="Q94" i="5" s="1"/>
  <c r="O94" i="5"/>
  <c r="N94" i="5"/>
  <c r="F94" i="5"/>
  <c r="R93" i="5"/>
  <c r="P93" i="5"/>
  <c r="Q93" i="5" s="1"/>
  <c r="O93" i="5"/>
  <c r="N93" i="5"/>
  <c r="F93" i="5"/>
  <c r="R92" i="5"/>
  <c r="P92" i="5"/>
  <c r="Q92" i="5" s="1"/>
  <c r="O92" i="5"/>
  <c r="N92" i="5"/>
  <c r="F92" i="5"/>
  <c r="R91" i="5"/>
  <c r="P91" i="5"/>
  <c r="Q91" i="5" s="1"/>
  <c r="O91" i="5"/>
  <c r="N91" i="5"/>
  <c r="F91" i="5"/>
  <c r="R90" i="5"/>
  <c r="P90" i="5"/>
  <c r="Q90" i="5" s="1"/>
  <c r="O90" i="5"/>
  <c r="N90" i="5"/>
  <c r="F90" i="5"/>
  <c r="R89" i="5"/>
  <c r="P89" i="5"/>
  <c r="Q89" i="5" s="1"/>
  <c r="O89" i="5"/>
  <c r="N89" i="5"/>
  <c r="F89" i="5"/>
  <c r="R88" i="5"/>
  <c r="P88" i="5"/>
  <c r="Q88" i="5" s="1"/>
  <c r="O88" i="5"/>
  <c r="N88" i="5"/>
  <c r="F88" i="5"/>
  <c r="R87" i="5"/>
  <c r="P87" i="5"/>
  <c r="Q87" i="5" s="1"/>
  <c r="O87" i="5"/>
  <c r="N87" i="5"/>
  <c r="F87" i="5"/>
  <c r="R86" i="5"/>
  <c r="P86" i="5"/>
  <c r="Q86" i="5" s="1"/>
  <c r="O86" i="5"/>
  <c r="N86" i="5"/>
  <c r="F86" i="5"/>
  <c r="R85" i="5"/>
  <c r="P85" i="5"/>
  <c r="Q85" i="5" s="1"/>
  <c r="O85" i="5"/>
  <c r="N85" i="5"/>
  <c r="F85" i="5"/>
  <c r="R84" i="5"/>
  <c r="P84" i="5"/>
  <c r="Q84" i="5" s="1"/>
  <c r="O84" i="5"/>
  <c r="N84" i="5"/>
  <c r="F84" i="5"/>
  <c r="R83" i="5"/>
  <c r="P83" i="5"/>
  <c r="Q83" i="5" s="1"/>
  <c r="O83" i="5"/>
  <c r="N83" i="5"/>
  <c r="F83" i="5"/>
  <c r="R82" i="5"/>
  <c r="P82" i="5"/>
  <c r="Q82" i="5" s="1"/>
  <c r="O82" i="5"/>
  <c r="N82" i="5"/>
  <c r="F82" i="5"/>
  <c r="R81" i="5"/>
  <c r="P81" i="5"/>
  <c r="Q81" i="5" s="1"/>
  <c r="O81" i="5"/>
  <c r="N81" i="5"/>
  <c r="F81" i="5"/>
  <c r="R80" i="5"/>
  <c r="P80" i="5"/>
  <c r="Q80" i="5" s="1"/>
  <c r="O80" i="5"/>
  <c r="N80" i="5"/>
  <c r="F80" i="5"/>
  <c r="R79" i="5"/>
  <c r="P79" i="5"/>
  <c r="Q79" i="5" s="1"/>
  <c r="O79" i="5"/>
  <c r="N79" i="5"/>
  <c r="F79" i="5"/>
  <c r="R78" i="5"/>
  <c r="P78" i="5"/>
  <c r="Q78" i="5" s="1"/>
  <c r="O78" i="5"/>
  <c r="N78" i="5"/>
  <c r="F78" i="5"/>
  <c r="R77" i="5"/>
  <c r="P77" i="5"/>
  <c r="Q77" i="5" s="1"/>
  <c r="O77" i="5"/>
  <c r="N77" i="5"/>
  <c r="F77" i="5"/>
  <c r="R76" i="5"/>
  <c r="P76" i="5"/>
  <c r="Q76" i="5" s="1"/>
  <c r="O76" i="5"/>
  <c r="N76" i="5"/>
  <c r="F76" i="5"/>
  <c r="R75" i="5"/>
  <c r="P75" i="5"/>
  <c r="Q75" i="5" s="1"/>
  <c r="O75" i="5"/>
  <c r="N75" i="5"/>
  <c r="F75" i="5"/>
  <c r="R74" i="5"/>
  <c r="P74" i="5"/>
  <c r="Q74" i="5" s="1"/>
  <c r="O74" i="5"/>
  <c r="N74" i="5"/>
  <c r="F74" i="5"/>
  <c r="R73" i="5"/>
  <c r="P73" i="5"/>
  <c r="Q73" i="5" s="1"/>
  <c r="O73" i="5"/>
  <c r="N73" i="5"/>
  <c r="F73" i="5"/>
  <c r="R72" i="5"/>
  <c r="P72" i="5"/>
  <c r="Q72" i="5" s="1"/>
  <c r="O72" i="5"/>
  <c r="N72" i="5"/>
  <c r="F72" i="5"/>
  <c r="R71" i="5"/>
  <c r="P71" i="5"/>
  <c r="Q71" i="5" s="1"/>
  <c r="O71" i="5"/>
  <c r="N71" i="5"/>
  <c r="F71" i="5"/>
  <c r="R70" i="5"/>
  <c r="P70" i="5"/>
  <c r="Q70" i="5" s="1"/>
  <c r="O70" i="5"/>
  <c r="N70" i="5"/>
  <c r="F70" i="5"/>
  <c r="R69" i="5"/>
  <c r="P69" i="5"/>
  <c r="Q69" i="5" s="1"/>
  <c r="O69" i="5"/>
  <c r="N69" i="5"/>
  <c r="F69" i="5"/>
  <c r="R68" i="5"/>
  <c r="P68" i="5"/>
  <c r="Q68" i="5" s="1"/>
  <c r="O68" i="5"/>
  <c r="N68" i="5"/>
  <c r="F68" i="5"/>
  <c r="R67" i="5"/>
  <c r="P67" i="5"/>
  <c r="Q67" i="5" s="1"/>
  <c r="O67" i="5"/>
  <c r="N67" i="5"/>
  <c r="F67" i="5"/>
  <c r="R66" i="5"/>
  <c r="P66" i="5"/>
  <c r="Q66" i="5" s="1"/>
  <c r="O66" i="5"/>
  <c r="N66" i="5"/>
  <c r="F66" i="5"/>
  <c r="R65" i="5"/>
  <c r="P65" i="5"/>
  <c r="Q65" i="5" s="1"/>
  <c r="O65" i="5"/>
  <c r="N65" i="5"/>
  <c r="F65" i="5"/>
  <c r="R64" i="5"/>
  <c r="P64" i="5"/>
  <c r="Q64" i="5" s="1"/>
  <c r="O64" i="5"/>
  <c r="N64" i="5"/>
  <c r="F64" i="5"/>
  <c r="R63" i="5"/>
  <c r="P63" i="5"/>
  <c r="Q63" i="5" s="1"/>
  <c r="O63" i="5"/>
  <c r="N63" i="5"/>
  <c r="F63" i="5"/>
  <c r="R62" i="5"/>
  <c r="P62" i="5"/>
  <c r="Q62" i="5" s="1"/>
  <c r="O62" i="5"/>
  <c r="N62" i="5"/>
  <c r="F62" i="5"/>
  <c r="R61" i="5"/>
  <c r="P61" i="5"/>
  <c r="Q61" i="5" s="1"/>
  <c r="O61" i="5"/>
  <c r="N61" i="5"/>
  <c r="F61" i="5"/>
  <c r="R60" i="5"/>
  <c r="P60" i="5"/>
  <c r="Q60" i="5" s="1"/>
  <c r="O60" i="5"/>
  <c r="N60" i="5"/>
  <c r="F60" i="5"/>
  <c r="R59" i="5"/>
  <c r="P59" i="5"/>
  <c r="Q59" i="5" s="1"/>
  <c r="O59" i="5"/>
  <c r="N59" i="5"/>
  <c r="F59" i="5"/>
  <c r="R58" i="5"/>
  <c r="P58" i="5"/>
  <c r="Q58" i="5" s="1"/>
  <c r="O58" i="5"/>
  <c r="N58" i="5"/>
  <c r="F58" i="5"/>
  <c r="R57" i="5"/>
  <c r="P57" i="5"/>
  <c r="Q57" i="5" s="1"/>
  <c r="O57" i="5"/>
  <c r="N57" i="5"/>
  <c r="F57" i="5"/>
  <c r="R56" i="5"/>
  <c r="P56" i="5"/>
  <c r="Q56" i="5" s="1"/>
  <c r="O56" i="5"/>
  <c r="N56" i="5"/>
  <c r="F56" i="5"/>
  <c r="R55" i="5"/>
  <c r="P55" i="5"/>
  <c r="Q55" i="5" s="1"/>
  <c r="O55" i="5"/>
  <c r="N55" i="5"/>
  <c r="F55" i="5"/>
  <c r="R54" i="5"/>
  <c r="P54" i="5"/>
  <c r="Q54" i="5" s="1"/>
  <c r="O54" i="5"/>
  <c r="N54" i="5"/>
  <c r="F54" i="5"/>
  <c r="R53" i="5"/>
  <c r="P53" i="5"/>
  <c r="Q53" i="5" s="1"/>
  <c r="O53" i="5"/>
  <c r="N53" i="5"/>
  <c r="F53" i="5"/>
  <c r="R52" i="5"/>
  <c r="P52" i="5"/>
  <c r="Q52" i="5" s="1"/>
  <c r="O52" i="5"/>
  <c r="N52" i="5"/>
  <c r="F52" i="5"/>
  <c r="R51" i="5"/>
  <c r="P51" i="5"/>
  <c r="Q51" i="5" s="1"/>
  <c r="O51" i="5"/>
  <c r="N51" i="5"/>
  <c r="F51" i="5"/>
  <c r="R50" i="5"/>
  <c r="P50" i="5"/>
  <c r="Q50" i="5" s="1"/>
  <c r="O50" i="5"/>
  <c r="N50" i="5"/>
  <c r="F50" i="5"/>
  <c r="R49" i="5"/>
  <c r="P49" i="5"/>
  <c r="Q49" i="5" s="1"/>
  <c r="O49" i="5"/>
  <c r="N49" i="5"/>
  <c r="F49" i="5"/>
  <c r="R48" i="5"/>
  <c r="P48" i="5"/>
  <c r="Q48" i="5" s="1"/>
  <c r="O48" i="5"/>
  <c r="N48" i="5"/>
  <c r="F48" i="5"/>
  <c r="R47" i="5"/>
  <c r="P47" i="5"/>
  <c r="Q47" i="5" s="1"/>
  <c r="O47" i="5"/>
  <c r="N47" i="5"/>
  <c r="F47" i="5"/>
  <c r="R46" i="5"/>
  <c r="P46" i="5"/>
  <c r="Q46" i="5" s="1"/>
  <c r="O46" i="5"/>
  <c r="N46" i="5"/>
  <c r="F46" i="5"/>
  <c r="R45" i="5"/>
  <c r="P45" i="5"/>
  <c r="Q45" i="5" s="1"/>
  <c r="O45" i="5"/>
  <c r="N45" i="5"/>
  <c r="F45" i="5"/>
  <c r="R44" i="5"/>
  <c r="P44" i="5"/>
  <c r="Q44" i="5" s="1"/>
  <c r="O44" i="5"/>
  <c r="N44" i="5"/>
  <c r="F44" i="5"/>
  <c r="R43" i="5"/>
  <c r="P43" i="5"/>
  <c r="Q43" i="5" s="1"/>
  <c r="O43" i="5"/>
  <c r="N43" i="5"/>
  <c r="F43" i="5"/>
  <c r="R42" i="5"/>
  <c r="P42" i="5"/>
  <c r="Q42" i="5" s="1"/>
  <c r="O42" i="5"/>
  <c r="N42" i="5"/>
  <c r="F42" i="5"/>
  <c r="R41" i="5"/>
  <c r="P41" i="5"/>
  <c r="Q41" i="5" s="1"/>
  <c r="O41" i="5"/>
  <c r="N41" i="5"/>
  <c r="R40" i="5"/>
  <c r="P40" i="5"/>
  <c r="O40" i="5"/>
  <c r="N40" i="5"/>
  <c r="R39" i="5"/>
  <c r="P39" i="5"/>
  <c r="O39" i="5"/>
  <c r="N39" i="5"/>
  <c r="R38" i="5"/>
  <c r="P38" i="5"/>
  <c r="O38" i="5"/>
  <c r="N38" i="5"/>
  <c r="R37" i="5"/>
  <c r="P37" i="5"/>
  <c r="O37" i="5"/>
  <c r="N37" i="5"/>
  <c r="R36" i="5"/>
  <c r="P36" i="5"/>
  <c r="O36" i="5"/>
  <c r="N36" i="5"/>
  <c r="R35" i="5"/>
  <c r="P35" i="5"/>
  <c r="O35" i="5"/>
  <c r="N35" i="5"/>
  <c r="R34" i="5"/>
  <c r="P34" i="5"/>
  <c r="O34" i="5"/>
  <c r="N34" i="5"/>
  <c r="R33" i="5"/>
  <c r="P33" i="5"/>
  <c r="O33" i="5"/>
  <c r="N33" i="5"/>
  <c r="R32" i="5"/>
  <c r="P32" i="5"/>
  <c r="O32" i="5"/>
  <c r="N32" i="5"/>
  <c r="R31" i="5"/>
  <c r="P31" i="5"/>
  <c r="O31" i="5"/>
  <c r="N31" i="5"/>
  <c r="R30" i="5"/>
  <c r="P30" i="5"/>
  <c r="O30" i="5"/>
  <c r="N30" i="5"/>
  <c r="R29" i="5"/>
  <c r="P29" i="5"/>
  <c r="O29" i="5"/>
  <c r="N29" i="5"/>
  <c r="R28" i="5"/>
  <c r="P28" i="5"/>
  <c r="O28" i="5"/>
  <c r="N28" i="5"/>
  <c r="R27" i="5"/>
  <c r="P27" i="5"/>
  <c r="O27" i="5"/>
  <c r="N27" i="5"/>
  <c r="R26" i="5"/>
  <c r="P26" i="5"/>
  <c r="O26" i="5"/>
  <c r="N26" i="5"/>
  <c r="R24" i="5"/>
  <c r="P24" i="5"/>
  <c r="O24" i="5"/>
  <c r="N24" i="5"/>
  <c r="R23" i="5"/>
  <c r="P23" i="5"/>
  <c r="O23" i="5"/>
  <c r="N23" i="5"/>
  <c r="R22" i="5"/>
  <c r="P22" i="5"/>
  <c r="O22" i="5"/>
  <c r="N22" i="5"/>
  <c r="R21" i="5"/>
  <c r="P21" i="5"/>
  <c r="O21" i="5"/>
  <c r="N21" i="5"/>
  <c r="R20" i="5"/>
  <c r="P20" i="5"/>
  <c r="O20" i="5"/>
  <c r="N20" i="5"/>
  <c r="R19" i="5"/>
  <c r="P19" i="5"/>
  <c r="O19" i="5"/>
  <c r="N19" i="5"/>
  <c r="R18" i="5"/>
  <c r="P18" i="5"/>
  <c r="O18" i="5"/>
  <c r="N18" i="5"/>
  <c r="R17" i="5"/>
  <c r="P17" i="5"/>
  <c r="O17" i="5"/>
  <c r="N17" i="5"/>
  <c r="R16" i="5"/>
  <c r="P16" i="5"/>
  <c r="O16" i="5"/>
  <c r="N16" i="5"/>
  <c r="R15" i="5"/>
  <c r="P15" i="5"/>
  <c r="O15" i="5"/>
  <c r="N15" i="5"/>
  <c r="R14" i="5"/>
  <c r="P14" i="5"/>
  <c r="O14" i="5"/>
  <c r="N14" i="5"/>
  <c r="R13" i="5"/>
  <c r="P13" i="5"/>
  <c r="O13" i="5"/>
  <c r="N13" i="5"/>
  <c r="R12" i="5"/>
  <c r="P12" i="5"/>
  <c r="O12" i="5"/>
  <c r="N12" i="5"/>
  <c r="R11" i="5"/>
  <c r="P11" i="5"/>
  <c r="O11" i="5"/>
  <c r="N11" i="5"/>
  <c r="R10" i="5"/>
  <c r="P10" i="5"/>
  <c r="O10" i="5"/>
  <c r="N10" i="5"/>
  <c r="R9" i="5"/>
  <c r="P9" i="5"/>
  <c r="O9" i="5"/>
  <c r="N9" i="5"/>
  <c r="R8" i="5"/>
  <c r="P8" i="5"/>
  <c r="O8" i="5"/>
  <c r="N8" i="5"/>
  <c r="R7" i="5"/>
  <c r="P7" i="5"/>
  <c r="O7" i="5"/>
  <c r="N7" i="5"/>
  <c r="R6" i="5"/>
  <c r="P6" i="5"/>
  <c r="O6" i="5"/>
  <c r="N6" i="5"/>
  <c r="R5" i="5"/>
  <c r="P5" i="5"/>
  <c r="O5" i="5"/>
  <c r="N5" i="5"/>
  <c r="R4" i="5"/>
  <c r="P4" i="5"/>
  <c r="O4" i="5"/>
  <c r="N4" i="5"/>
  <c r="R3" i="5"/>
  <c r="P3" i="5"/>
  <c r="O3" i="5"/>
  <c r="N3" i="5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R2" i="4"/>
  <c r="AO1" i="4"/>
  <c r="AO2" i="4" s="1"/>
  <c r="AN1" i="4"/>
  <c r="AN2" i="4" s="1"/>
  <c r="AM1" i="4"/>
  <c r="AM2" i="4" s="1"/>
  <c r="AL1" i="4"/>
  <c r="AL2" i="4" s="1"/>
  <c r="AK1" i="4"/>
  <c r="AK2" i="4" s="1"/>
  <c r="AJ1" i="4"/>
  <c r="AJ2" i="4" s="1"/>
  <c r="AI1" i="4"/>
  <c r="AI2" i="4" s="1"/>
  <c r="AH1" i="4"/>
  <c r="AH2" i="4" s="1"/>
  <c r="AG1" i="4"/>
  <c r="AG2" i="4" s="1"/>
  <c r="AF1" i="4"/>
  <c r="AF2" i="4" s="1"/>
  <c r="AE1" i="4"/>
  <c r="AE2" i="4" s="1"/>
  <c r="AD1" i="4"/>
  <c r="AD2" i="4" s="1"/>
  <c r="AC1" i="4"/>
  <c r="AC2" i="4" s="1"/>
  <c r="AB1" i="4"/>
  <c r="AB2" i="4" s="1"/>
  <c r="AA1" i="4"/>
  <c r="AA2" i="4" s="1"/>
  <c r="Z1" i="4"/>
  <c r="Z2" i="4" s="1"/>
  <c r="Y1" i="4"/>
  <c r="Y2" i="4" s="1"/>
  <c r="X1" i="4"/>
  <c r="X2" i="4" s="1"/>
  <c r="W1" i="4"/>
  <c r="W2" i="4" s="1"/>
  <c r="V1" i="4"/>
  <c r="V2" i="4" s="1"/>
  <c r="U1" i="4"/>
  <c r="U2" i="4" s="1"/>
  <c r="T1" i="4"/>
  <c r="T2" i="4" s="1"/>
  <c r="S1" i="4"/>
  <c r="S2" i="4" s="1"/>
  <c r="R1" i="4"/>
  <c r="Q1" i="4"/>
  <c r="Q2" i="4" s="1"/>
  <c r="P1" i="4"/>
  <c r="P2" i="4" s="1"/>
  <c r="O1" i="4"/>
  <c r="O2" i="4" s="1"/>
  <c r="N1" i="4"/>
  <c r="N2" i="4" s="1"/>
  <c r="M1" i="4"/>
  <c r="M2" i="4" s="1"/>
  <c r="L1" i="4"/>
  <c r="L2" i="4" s="1"/>
  <c r="K1" i="4"/>
  <c r="K2" i="4" s="1"/>
  <c r="J1" i="4"/>
  <c r="J2" i="4" s="1"/>
  <c r="I1" i="4"/>
  <c r="I2" i="4" s="1"/>
  <c r="H1" i="4"/>
  <c r="H2" i="4" s="1"/>
  <c r="G1" i="4"/>
  <c r="G2" i="4" s="1"/>
  <c r="F1" i="4"/>
  <c r="F2" i="4" s="1"/>
  <c r="Z125" i="11"/>
  <c r="Y125" i="11"/>
  <c r="X125" i="11"/>
  <c r="AL117" i="11"/>
  <c r="AL115" i="11" s="1"/>
  <c r="AK117" i="11"/>
  <c r="AK115" i="11" s="1"/>
  <c r="AJ117" i="11"/>
  <c r="AJ115" i="11" s="1"/>
  <c r="AI117" i="11"/>
  <c r="AI115" i="11" s="1"/>
  <c r="AH117" i="11"/>
  <c r="AH115" i="11" s="1"/>
  <c r="AG117" i="11"/>
  <c r="AG115" i="11" s="1"/>
  <c r="AF117" i="11"/>
  <c r="AF115" i="11" s="1"/>
  <c r="AE117" i="11"/>
  <c r="AE115" i="11" s="1"/>
  <c r="AD117" i="11"/>
  <c r="AD115" i="11" s="1"/>
  <c r="AC117" i="11"/>
  <c r="AC115" i="11" s="1"/>
  <c r="AB117" i="11"/>
  <c r="AB115" i="11" s="1"/>
  <c r="AA117" i="11"/>
  <c r="AA115" i="11" s="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AL44" i="11"/>
  <c r="AL45" i="11" s="1"/>
  <c r="AK44" i="11"/>
  <c r="AK45" i="11" s="1"/>
  <c r="AJ44" i="11"/>
  <c r="AJ45" i="11" s="1"/>
  <c r="AI44" i="11"/>
  <c r="AH44" i="11"/>
  <c r="AG44" i="11"/>
  <c r="AF44" i="11"/>
  <c r="AF45" i="11" s="1"/>
  <c r="AE44" i="11"/>
  <c r="AE45" i="11" s="1"/>
  <c r="AD44" i="11"/>
  <c r="AC44" i="11"/>
  <c r="AB44" i="11"/>
  <c r="AA44" i="11"/>
  <c r="AA45" i="11" s="1"/>
  <c r="Z44" i="11"/>
  <c r="Z45" i="11" s="1"/>
  <c r="Z49" i="11" s="1"/>
  <c r="Z43" i="11" s="1"/>
  <c r="Y44" i="11"/>
  <c r="Y45" i="11" s="1"/>
  <c r="X44" i="11"/>
  <c r="W44" i="11"/>
  <c r="W45" i="11" s="1"/>
  <c r="V44" i="11"/>
  <c r="V45" i="11" s="1"/>
  <c r="V49" i="11" s="1"/>
  <c r="V43" i="11" s="1"/>
  <c r="U44" i="11"/>
  <c r="U45" i="11" s="1"/>
  <c r="U49" i="11" s="1"/>
  <c r="U43" i="11" s="1"/>
  <c r="T44" i="11"/>
  <c r="T45" i="11" s="1"/>
  <c r="S44" i="11"/>
  <c r="R44" i="11"/>
  <c r="Q44" i="11"/>
  <c r="P44" i="11"/>
  <c r="P45" i="11" s="1"/>
  <c r="O44" i="11"/>
  <c r="O45" i="11" s="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Y29" i="11"/>
  <c r="O29" i="11"/>
  <c r="AL28" i="11"/>
  <c r="AL29" i="11" s="1"/>
  <c r="AK28" i="11"/>
  <c r="AK29" i="11" s="1"/>
  <c r="AJ28" i="11"/>
  <c r="AJ29" i="11" s="1"/>
  <c r="AI28" i="11"/>
  <c r="AH28" i="11"/>
  <c r="AG28" i="11"/>
  <c r="AF28" i="11"/>
  <c r="AF29" i="11" s="1"/>
  <c r="AE28" i="11"/>
  <c r="AE29" i="11" s="1"/>
  <c r="AD28" i="11"/>
  <c r="AC28" i="11"/>
  <c r="AB28" i="11"/>
  <c r="AA28" i="11"/>
  <c r="AA29" i="11" s="1"/>
  <c r="Z28" i="11"/>
  <c r="Z29" i="11" s="1"/>
  <c r="Y28" i="11"/>
  <c r="X28" i="11"/>
  <c r="W28" i="11"/>
  <c r="V28" i="11"/>
  <c r="V29" i="11" s="1"/>
  <c r="U28" i="11"/>
  <c r="U29" i="11" s="1"/>
  <c r="T28" i="11"/>
  <c r="T29" i="11" s="1"/>
  <c r="S28" i="11"/>
  <c r="R28" i="11"/>
  <c r="Q28" i="11"/>
  <c r="P28" i="11"/>
  <c r="P29" i="11" s="1"/>
  <c r="O28" i="11"/>
  <c r="AC2" i="11"/>
  <c r="AL1" i="11"/>
  <c r="AL2" i="11" s="1"/>
  <c r="AK1" i="11"/>
  <c r="AK2" i="11" s="1"/>
  <c r="AJ1" i="11"/>
  <c r="AJ2" i="11" s="1"/>
  <c r="AI1" i="11"/>
  <c r="AI2" i="11" s="1"/>
  <c r="AH1" i="11"/>
  <c r="AH2" i="11" s="1"/>
  <c r="AG1" i="11"/>
  <c r="AG2" i="11" s="1"/>
  <c r="AF1" i="11"/>
  <c r="AF2" i="11" s="1"/>
  <c r="AE1" i="11"/>
  <c r="AE2" i="11" s="1"/>
  <c r="AD1" i="11"/>
  <c r="AD2" i="11" s="1"/>
  <c r="AC1" i="11"/>
  <c r="AB1" i="11"/>
  <c r="AB2" i="11" s="1"/>
  <c r="AA1" i="11"/>
  <c r="AA2" i="11" s="1"/>
  <c r="Z1" i="11"/>
  <c r="Z2" i="11" s="1"/>
  <c r="Y1" i="11"/>
  <c r="Y2" i="11" s="1"/>
  <c r="X1" i="11"/>
  <c r="X2" i="11" s="1"/>
  <c r="W1" i="11"/>
  <c r="W2" i="11" s="1"/>
  <c r="V1" i="11"/>
  <c r="V2" i="11" s="1"/>
  <c r="U1" i="11"/>
  <c r="U2" i="11" s="1"/>
  <c r="T1" i="11"/>
  <c r="T2" i="11" s="1"/>
  <c r="S1" i="11"/>
  <c r="S2" i="11" s="1"/>
  <c r="R1" i="11"/>
  <c r="R2" i="11" s="1"/>
  <c r="Q1" i="11"/>
  <c r="Q2" i="11" s="1"/>
  <c r="P1" i="11"/>
  <c r="P2" i="11" s="1"/>
  <c r="O1" i="11"/>
  <c r="O2" i="11" s="1"/>
  <c r="N1" i="11"/>
  <c r="N2" i="11" s="1"/>
  <c r="M1" i="11"/>
  <c r="M2" i="11" s="1"/>
  <c r="L1" i="11"/>
  <c r="L2" i="11" s="1"/>
  <c r="Z138" i="10"/>
  <c r="R109" i="8" s="1" a="1"/>
  <c r="R109" i="8" s="1"/>
  <c r="Y138" i="10"/>
  <c r="Q109" i="8" s="1" a="1"/>
  <c r="Q109" i="8" s="1"/>
  <c r="X138" i="10"/>
  <c r="P109" i="8" s="1" a="1"/>
  <c r="P109" i="8" s="1"/>
  <c r="AL133" i="10"/>
  <c r="AL131" i="10" s="1"/>
  <c r="AD100" i="8" s="1" a="1"/>
  <c r="AD100" i="8" s="1"/>
  <c r="AK133" i="10"/>
  <c r="AK131" i="10" s="1"/>
  <c r="AC100" i="8" s="1" a="1"/>
  <c r="AC100" i="8" s="1"/>
  <c r="AJ133" i="10"/>
  <c r="AJ131" i="10" s="1"/>
  <c r="AB100" i="8" s="1" a="1"/>
  <c r="AB100" i="8" s="1"/>
  <c r="AI133" i="10"/>
  <c r="AI131" i="10" s="1"/>
  <c r="AA100" i="8" s="1" a="1"/>
  <c r="AA100" i="8" s="1"/>
  <c r="AH133" i="10"/>
  <c r="AH131" i="10" s="1"/>
  <c r="Z100" i="8" s="1" a="1"/>
  <c r="Z100" i="8" s="1"/>
  <c r="AG133" i="10"/>
  <c r="AG131" i="10" s="1"/>
  <c r="Y100" i="8" s="1" a="1"/>
  <c r="Y100" i="8" s="1"/>
  <c r="AF133" i="10"/>
  <c r="AF131" i="10" s="1"/>
  <c r="X100" i="8" s="1" a="1"/>
  <c r="X100" i="8" s="1"/>
  <c r="AE133" i="10"/>
  <c r="AE131" i="10" s="1"/>
  <c r="W100" i="8" s="1" a="1"/>
  <c r="W100" i="8" s="1"/>
  <c r="AD133" i="10"/>
  <c r="AD131" i="10" s="1"/>
  <c r="V100" i="8" s="1" a="1"/>
  <c r="V100" i="8" s="1"/>
  <c r="AC133" i="10"/>
  <c r="AC131" i="10" s="1"/>
  <c r="U100" i="8" s="1" a="1"/>
  <c r="U100" i="8" s="1"/>
  <c r="AB133" i="10"/>
  <c r="AB131" i="10" s="1"/>
  <c r="T100" i="8" s="1" a="1"/>
  <c r="T100" i="8" s="1"/>
  <c r="AA133" i="10"/>
  <c r="AA131" i="10" s="1"/>
  <c r="S100" i="8" s="1" a="1"/>
  <c r="S100" i="8" s="1"/>
  <c r="Z131" i="10"/>
  <c r="R100" i="8" s="1" a="1"/>
  <c r="R100" i="8" s="1"/>
  <c r="Y131" i="10"/>
  <c r="Q100" i="8" s="1" a="1"/>
  <c r="Q100" i="8" s="1"/>
  <c r="X131" i="10"/>
  <c r="P100" i="8" s="1" a="1"/>
  <c r="P100" i="8" s="1"/>
  <c r="W131" i="10"/>
  <c r="O100" i="8" s="1" a="1"/>
  <c r="O100" i="8" s="1"/>
  <c r="V131" i="10"/>
  <c r="N100" i="8" s="1" a="1"/>
  <c r="N100" i="8" s="1"/>
  <c r="U131" i="10"/>
  <c r="M100" i="8" s="1" a="1"/>
  <c r="M100" i="8" s="1"/>
  <c r="T131" i="10"/>
  <c r="L100" i="8" s="1" a="1"/>
  <c r="L100" i="8" s="1"/>
  <c r="S131" i="10"/>
  <c r="K100" i="8" s="1" a="1"/>
  <c r="K100" i="8" s="1"/>
  <c r="R131" i="10"/>
  <c r="J100" i="8" s="1" a="1"/>
  <c r="J100" i="8" s="1"/>
  <c r="Q131" i="10"/>
  <c r="I100" i="8" s="1" a="1"/>
  <c r="I100" i="8" s="1"/>
  <c r="P131" i="10"/>
  <c r="H100" i="8" s="1" a="1"/>
  <c r="H100" i="8" s="1"/>
  <c r="O131" i="10"/>
  <c r="G100" i="8" s="1" a="1"/>
  <c r="G100" i="8" s="1"/>
  <c r="AF126" i="10"/>
  <c r="X91" i="8" s="1" a="1"/>
  <c r="X91" i="8" s="1"/>
  <c r="AE126" i="10"/>
  <c r="W91" i="8" s="1" a="1"/>
  <c r="W91" i="8" s="1"/>
  <c r="AD126" i="10"/>
  <c r="V91" i="8" s="1" a="1"/>
  <c r="V91" i="8" s="1"/>
  <c r="AC126" i="10"/>
  <c r="U91" i="8" s="1" a="1"/>
  <c r="U91" i="8" s="1"/>
  <c r="AB126" i="10"/>
  <c r="T91" i="8" s="1" a="1"/>
  <c r="T91" i="8" s="1"/>
  <c r="AA126" i="10"/>
  <c r="S91" i="8" s="1" a="1"/>
  <c r="S91" i="8" s="1"/>
  <c r="Z126" i="10"/>
  <c r="R91" i="8" s="1" a="1"/>
  <c r="R91" i="8" s="1"/>
  <c r="Y126" i="10"/>
  <c r="Q91" i="8" s="1" a="1"/>
  <c r="Q91" i="8" s="1"/>
  <c r="X126" i="10"/>
  <c r="P91" i="8" s="1" a="1"/>
  <c r="P91" i="8" s="1"/>
  <c r="W126" i="10"/>
  <c r="O91" i="8" s="1" a="1"/>
  <c r="O91" i="8" s="1"/>
  <c r="V126" i="10"/>
  <c r="N91" i="8" s="1" a="1"/>
  <c r="N91" i="8" s="1"/>
  <c r="U126" i="10"/>
  <c r="M91" i="8" s="1" a="1"/>
  <c r="M91" i="8" s="1"/>
  <c r="T126" i="10"/>
  <c r="L91" i="8" s="1" a="1"/>
  <c r="L91" i="8" s="1"/>
  <c r="S126" i="10"/>
  <c r="K91" i="8" s="1" a="1"/>
  <c r="K91" i="8" s="1"/>
  <c r="R126" i="10"/>
  <c r="J91" i="8" s="1" a="1"/>
  <c r="J91" i="8" s="1"/>
  <c r="Q126" i="10"/>
  <c r="I91" i="8" s="1" a="1"/>
  <c r="I91" i="8" s="1"/>
  <c r="P126" i="10"/>
  <c r="H91" i="8" s="1" a="1"/>
  <c r="H91" i="8" s="1"/>
  <c r="O126" i="10"/>
  <c r="G91" i="8" s="1" a="1"/>
  <c r="G91" i="8" s="1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AL69" i="10"/>
  <c r="AK69" i="10"/>
  <c r="AJ69" i="10"/>
  <c r="AI69" i="10"/>
  <c r="AH69" i="10"/>
  <c r="AG69" i="10"/>
  <c r="AF69" i="10"/>
  <c r="AE69" i="10"/>
  <c r="AE70" i="10" s="1"/>
  <c r="AD69" i="10"/>
  <c r="AD70" i="10" s="1"/>
  <c r="AC69" i="10"/>
  <c r="AC70" i="10" s="1"/>
  <c r="AB69" i="10"/>
  <c r="AB70" i="10" s="1"/>
  <c r="AA69" i="10"/>
  <c r="AA70" i="10" s="1"/>
  <c r="Z69" i="10"/>
  <c r="Z70" i="10" s="1"/>
  <c r="Y69" i="10"/>
  <c r="Y70" i="10" s="1"/>
  <c r="X69" i="10"/>
  <c r="X70" i="10" s="1"/>
  <c r="W69" i="10"/>
  <c r="V69" i="10"/>
  <c r="U69" i="10"/>
  <c r="T69" i="10"/>
  <c r="S69" i="10"/>
  <c r="R69" i="10"/>
  <c r="Q69" i="10"/>
  <c r="P69" i="10"/>
  <c r="O69" i="10"/>
  <c r="O70" i="10" s="1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AL55" i="10"/>
  <c r="AK55" i="10"/>
  <c r="AJ55" i="10"/>
  <c r="AI55" i="10"/>
  <c r="AH55" i="10"/>
  <c r="AG55" i="10"/>
  <c r="AF55" i="10"/>
  <c r="AF56" i="10" s="1"/>
  <c r="AE55" i="10"/>
  <c r="AE56" i="10" s="1"/>
  <c r="AD55" i="10"/>
  <c r="AD56" i="10" s="1"/>
  <c r="AC55" i="10"/>
  <c r="AC56" i="10" s="1"/>
  <c r="AB55" i="10"/>
  <c r="AB56" i="10" s="1"/>
  <c r="AA55" i="10"/>
  <c r="AA56" i="10" s="1"/>
  <c r="Z55" i="10"/>
  <c r="Z56" i="10" s="1"/>
  <c r="Y55" i="10"/>
  <c r="Y56" i="10" s="1"/>
  <c r="X55" i="10"/>
  <c r="W55" i="10"/>
  <c r="V55" i="10"/>
  <c r="U55" i="10"/>
  <c r="T55" i="10"/>
  <c r="S55" i="10"/>
  <c r="R55" i="10"/>
  <c r="Q55" i="10"/>
  <c r="P55" i="10"/>
  <c r="P56" i="10" s="1"/>
  <c r="O55" i="10"/>
  <c r="O56" i="10" s="1"/>
  <c r="AC49" i="10"/>
  <c r="U32" i="8" s="1" a="1"/>
  <c r="U32" i="8" s="1"/>
  <c r="AB49" i="10"/>
  <c r="T32" i="8" s="1" a="1"/>
  <c r="T32" i="8" s="1"/>
  <c r="AA49" i="10"/>
  <c r="S32" i="8" s="1" a="1"/>
  <c r="S32" i="8" s="1"/>
  <c r="AL1" i="10"/>
  <c r="AK1" i="10"/>
  <c r="AJ1" i="10"/>
  <c r="AI1" i="10"/>
  <c r="AI2" i="10" s="1"/>
  <c r="AH1" i="10"/>
  <c r="AH2" i="10" s="1"/>
  <c r="AG1" i="10"/>
  <c r="AF1" i="10"/>
  <c r="AE1" i="10"/>
  <c r="AE2" i="10" s="1"/>
  <c r="AD1" i="10"/>
  <c r="AD2" i="10" s="1"/>
  <c r="AC1" i="10"/>
  <c r="AC2" i="10" s="1"/>
  <c r="AB1" i="10"/>
  <c r="AB2" i="10" s="1"/>
  <c r="AA1" i="10"/>
  <c r="AA2" i="10" s="1"/>
  <c r="Z1" i="10"/>
  <c r="Z2" i="10" s="1"/>
  <c r="Y1" i="10"/>
  <c r="Y2" i="10" s="1"/>
  <c r="X1" i="10"/>
  <c r="X2" i="10" s="1"/>
  <c r="W1" i="10"/>
  <c r="W2" i="10" s="1"/>
  <c r="V1" i="10"/>
  <c r="V2" i="10" s="1"/>
  <c r="U1" i="10"/>
  <c r="U2" i="10" s="1"/>
  <c r="T1" i="10"/>
  <c r="T2" i="10" s="1"/>
  <c r="S1" i="10"/>
  <c r="S2" i="10" s="1"/>
  <c r="R1" i="10"/>
  <c r="R2" i="10" s="1"/>
  <c r="Q1" i="10"/>
  <c r="Q2" i="10" s="1"/>
  <c r="P1" i="10"/>
  <c r="P2" i="10" s="1"/>
  <c r="O1" i="10"/>
  <c r="O2" i="10" s="1"/>
  <c r="N1" i="10"/>
  <c r="N2" i="10" s="1"/>
  <c r="M1" i="10"/>
  <c r="M2" i="10" s="1"/>
  <c r="L1" i="10"/>
  <c r="L2" i="10" s="1"/>
  <c r="AD1" i="8"/>
  <c r="AD2" i="8" s="1"/>
  <c r="AC1" i="8"/>
  <c r="AC2" i="8" s="1"/>
  <c r="AB1" i="8"/>
  <c r="AB2" i="8" s="1"/>
  <c r="AA1" i="8"/>
  <c r="AA2" i="8" s="1"/>
  <c r="Z1" i="8"/>
  <c r="Z2" i="8" s="1"/>
  <c r="Y1" i="8"/>
  <c r="Y2" i="8" s="1"/>
  <c r="X1" i="8"/>
  <c r="X2" i="8" s="1"/>
  <c r="W1" i="8"/>
  <c r="W2" i="8" s="1"/>
  <c r="V1" i="8"/>
  <c r="V2" i="8" s="1"/>
  <c r="U1" i="8"/>
  <c r="U2" i="8" s="1"/>
  <c r="T1" i="8"/>
  <c r="T2" i="8" s="1"/>
  <c r="S1" i="8"/>
  <c r="S2" i="8" s="1"/>
  <c r="R1" i="8"/>
  <c r="R2" i="8" s="1"/>
  <c r="Q1" i="8"/>
  <c r="Q2" i="8" s="1"/>
  <c r="P1" i="8"/>
  <c r="P2" i="8" s="1"/>
  <c r="O1" i="8"/>
  <c r="O2" i="8" s="1"/>
  <c r="N1" i="8"/>
  <c r="N2" i="8" s="1"/>
  <c r="M1" i="8"/>
  <c r="M2" i="8" s="1"/>
  <c r="L1" i="8"/>
  <c r="L2" i="8" s="1"/>
  <c r="K1" i="8"/>
  <c r="K2" i="8" s="1"/>
  <c r="J1" i="8"/>
  <c r="J2" i="8" s="1"/>
  <c r="I1" i="8"/>
  <c r="I2" i="8" s="1"/>
  <c r="H1" i="8"/>
  <c r="H2" i="8" s="1"/>
  <c r="G1" i="8"/>
  <c r="G2" i="8" s="1"/>
  <c r="AF16" i="13" l="1" a="1"/>
  <c r="AF16" i="13" s="1"/>
  <c r="P16" i="13" a="1"/>
  <c r="P16" i="13" s="1"/>
  <c r="O16" i="13" a="1"/>
  <c r="O16" i="13" s="1"/>
  <c r="X16" i="13" a="1"/>
  <c r="X16" i="13" s="1"/>
  <c r="G16" i="13" a="1"/>
  <c r="G16" i="13" s="1"/>
  <c r="AE16" i="13" a="1"/>
  <c r="AE16" i="13" s="1"/>
  <c r="M16" i="13" a="1"/>
  <c r="M16" i="13" s="1"/>
  <c r="AD16" i="13" a="1"/>
  <c r="AD16" i="13" s="1"/>
  <c r="N16" i="13" a="1"/>
  <c r="N16" i="13" s="1"/>
  <c r="AC16" i="13" a="1"/>
  <c r="AC16" i="13" s="1"/>
  <c r="Y16" i="13" a="1"/>
  <c r="Y16" i="13" s="1"/>
  <c r="H16" i="13" a="1"/>
  <c r="H16" i="13" s="1"/>
  <c r="AB16" i="13" a="1"/>
  <c r="AB16" i="13" s="1"/>
  <c r="L16" i="13" a="1"/>
  <c r="L16" i="13" s="1"/>
  <c r="K16" i="13" a="1"/>
  <c r="K16" i="13" s="1"/>
  <c r="I16" i="13" a="1"/>
  <c r="I16" i="13" s="1"/>
  <c r="W16" i="13" a="1"/>
  <c r="W16" i="13" s="1"/>
  <c r="AA16" i="13" a="1"/>
  <c r="AA16" i="13" s="1"/>
  <c r="Z16" i="13" a="1"/>
  <c r="Z16" i="13" s="1"/>
  <c r="V16" i="13" a="1"/>
  <c r="V16" i="13" s="1"/>
  <c r="F16" i="13" a="1"/>
  <c r="F16" i="13" s="1"/>
  <c r="T16" i="13" a="1"/>
  <c r="T16" i="13" s="1"/>
  <c r="U16" i="13" a="1"/>
  <c r="U16" i="13" s="1"/>
  <c r="E16" i="13" a="1"/>
  <c r="E16" i="13" s="1"/>
  <c r="E27" i="13" s="1"/>
  <c r="S16" i="13" a="1"/>
  <c r="S16" i="13" s="1"/>
  <c r="J16" i="13" a="1"/>
  <c r="J16" i="13" s="1"/>
  <c r="R16" i="13" a="1"/>
  <c r="R16" i="13" s="1"/>
  <c r="Q16" i="13" a="1"/>
  <c r="Q16" i="13" s="1"/>
  <c r="AG16" i="13" a="1"/>
  <c r="AG16" i="13" s="1"/>
  <c r="AH27" i="13" s="1"/>
  <c r="AG94" i="13" a="1"/>
  <c r="AG94" i="13" s="1"/>
  <c r="AH106" i="13" s="1"/>
  <c r="AG93" i="13" a="1"/>
  <c r="AG93" i="13" s="1"/>
  <c r="AH105" i="13" s="1"/>
  <c r="AG74" i="13" a="1"/>
  <c r="AG74" i="13" s="1"/>
  <c r="AH86" i="13" s="1"/>
  <c r="AG34" i="13" a="1"/>
  <c r="AG34" i="13" s="1"/>
  <c r="AH45" i="13" s="1"/>
  <c r="AG55" i="13" a="1"/>
  <c r="AG55" i="13" s="1"/>
  <c r="AH66" i="13" s="1"/>
  <c r="AG12" i="13" a="1"/>
  <c r="AG12" i="13" s="1"/>
  <c r="AG73" i="13" a="1"/>
  <c r="AG73" i="13" s="1"/>
  <c r="AH85" i="13" s="1"/>
  <c r="AG54" i="13" a="1"/>
  <c r="AG54" i="13" s="1"/>
  <c r="AH65" i="13" s="1"/>
  <c r="AG13" i="13" a="1"/>
  <c r="AG13" i="13" s="1"/>
  <c r="AG35" i="13" a="1"/>
  <c r="AG35" i="13" s="1"/>
  <c r="AH46" i="13" s="1"/>
  <c r="AI50" i="8" a="1"/>
  <c r="AI50" i="8" s="1"/>
  <c r="AI51" i="8" s="1"/>
  <c r="AI52" i="8" s="1"/>
  <c r="AI83" i="8" a="1"/>
  <c r="AI83" i="8" s="1"/>
  <c r="AI84" i="8" s="1"/>
  <c r="AI85" i="8" s="1"/>
  <c r="AI104" i="8" a="1"/>
  <c r="AI104" i="8" s="1"/>
  <c r="AQ127" i="10" a="1"/>
  <c r="AQ127" i="10" s="1"/>
  <c r="AQ80" i="10" a="1"/>
  <c r="AQ80" i="10" s="1"/>
  <c r="AQ66" i="10" a="1"/>
  <c r="AQ66" i="10" s="1"/>
  <c r="AI24" i="8" a="1"/>
  <c r="AI24" i="8" s="1"/>
  <c r="AI92" i="8" a="1"/>
  <c r="AI92" i="8" s="1"/>
  <c r="AI93" i="8" s="1"/>
  <c r="AI94" i="8" s="1"/>
  <c r="AI101" i="8" a="1"/>
  <c r="AI101" i="8" s="1"/>
  <c r="AI102" i="8" s="1"/>
  <c r="AI103" i="8" s="1"/>
  <c r="AI66" i="8" a="1"/>
  <c r="AI66" i="8" s="1"/>
  <c r="AI67" i="8" s="1"/>
  <c r="AI68" i="8" s="1"/>
  <c r="AI78" i="8" a="1"/>
  <c r="AI78" i="8" s="1"/>
  <c r="AQ134" i="10" a="1"/>
  <c r="AQ134" i="10" s="1"/>
  <c r="AI95" i="8" a="1"/>
  <c r="AI95" i="8" s="1"/>
  <c r="AI53" i="8" a="1"/>
  <c r="AI53" i="8" s="1"/>
  <c r="AI45" i="8" a="1"/>
  <c r="AI45" i="8" s="1"/>
  <c r="AQ43" i="10" a="1"/>
  <c r="AQ43" i="10" s="1"/>
  <c r="AI75" i="8" a="1"/>
  <c r="AI75" i="8" s="1"/>
  <c r="AI76" i="8" s="1"/>
  <c r="AI77" i="8" s="1"/>
  <c r="AI86" i="8" a="1"/>
  <c r="AI86" i="8" s="1"/>
  <c r="AI69" i="8" a="1"/>
  <c r="AI69" i="8" s="1"/>
  <c r="AQ38" i="10" a="1"/>
  <c r="AQ38" i="10" s="1"/>
  <c r="AI18" i="8" a="1"/>
  <c r="AI18" i="8" s="1"/>
  <c r="AQ105" i="10" a="1"/>
  <c r="AQ105" i="10" s="1"/>
  <c r="AI42" i="8" a="1"/>
  <c r="AI42" i="8" s="1"/>
  <c r="AI43" i="8" s="1"/>
  <c r="AI44" i="8" s="1"/>
  <c r="AI61" i="8" a="1"/>
  <c r="AI61" i="8" s="1"/>
  <c r="AQ120" i="10" a="1"/>
  <c r="AQ120" i="10" s="1"/>
  <c r="AI27" i="8" a="1"/>
  <c r="AI27" i="8" s="1"/>
  <c r="AQ85" i="10" a="1"/>
  <c r="AQ85" i="10" s="1"/>
  <c r="AI58" i="8" a="1"/>
  <c r="AI58" i="8" s="1"/>
  <c r="AI59" i="8" s="1"/>
  <c r="AI60" i="8" s="1"/>
  <c r="AI15" i="8" a="1"/>
  <c r="AI15" i="8" s="1"/>
  <c r="AQ25" i="10" a="1"/>
  <c r="AQ25" i="10" s="1"/>
  <c r="AQ20" i="10" a="1"/>
  <c r="AQ20" i="10" s="1"/>
  <c r="AF33" i="11"/>
  <c r="AF27" i="11" s="1"/>
  <c r="AF37" i="11" s="1"/>
  <c r="P49" i="11"/>
  <c r="P43" i="11" s="1"/>
  <c r="P68" i="11" s="1"/>
  <c r="P67" i="11" s="1"/>
  <c r="P70" i="11" s="1"/>
  <c r="T33" i="11"/>
  <c r="T27" i="11" s="1"/>
  <c r="T37" i="11" s="1"/>
  <c r="T49" i="11"/>
  <c r="T43" i="11" s="1"/>
  <c r="U33" i="11"/>
  <c r="U27" i="11" s="1"/>
  <c r="U37" i="11" s="1"/>
  <c r="V33" i="11"/>
  <c r="V27" i="11" s="1"/>
  <c r="V37" i="11" s="1"/>
  <c r="Z33" i="11"/>
  <c r="Z27" i="11" s="1"/>
  <c r="Z37" i="11" s="1"/>
  <c r="AA33" i="11"/>
  <c r="AA27" i="11" s="1"/>
  <c r="AA37" i="11" s="1"/>
  <c r="AL49" i="11"/>
  <c r="AL43" i="11" s="1"/>
  <c r="AL60" i="11" s="1"/>
  <c r="AL59" i="11" s="1"/>
  <c r="AL68" i="11" s="1"/>
  <c r="AL67" i="11" s="1"/>
  <c r="AL70" i="11" s="1"/>
  <c r="AE49" i="11"/>
  <c r="AE43" i="11" s="1"/>
  <c r="AE53" i="11" s="1"/>
  <c r="AE61" i="11" s="1"/>
  <c r="AL33" i="11"/>
  <c r="AL27" i="11" s="1"/>
  <c r="AL37" i="11" s="1"/>
  <c r="O49" i="11"/>
  <c r="O43" i="11" s="1"/>
  <c r="O68" i="11" s="1"/>
  <c r="O67" i="11" s="1"/>
  <c r="O70" i="11" s="1"/>
  <c r="AK33" i="11"/>
  <c r="AK27" i="11" s="1"/>
  <c r="AK37" i="11" s="1"/>
  <c r="AF49" i="11"/>
  <c r="AF43" i="11" s="1"/>
  <c r="AF60" i="11" s="1"/>
  <c r="AF59" i="11" s="1"/>
  <c r="AF68" i="11" s="1"/>
  <c r="AF67" i="11" s="1"/>
  <c r="AF70" i="11" s="1"/>
  <c r="Y49" i="11"/>
  <c r="Y43" i="11" s="1"/>
  <c r="Y68" i="11" s="1"/>
  <c r="Y67" i="11" s="1"/>
  <c r="Y70" i="11" s="1"/>
  <c r="AK49" i="11"/>
  <c r="AK43" i="11" s="1"/>
  <c r="AE33" i="11"/>
  <c r="AE27" i="11" s="1"/>
  <c r="AE37" i="11" s="1"/>
  <c r="AD45" i="8" a="1"/>
  <c r="AD45" i="8" s="1"/>
  <c r="O33" i="11"/>
  <c r="O27" i="11" s="1"/>
  <c r="O37" i="11" s="1"/>
  <c r="P33" i="11"/>
  <c r="P27" i="11" s="1"/>
  <c r="P37" i="11" s="1"/>
  <c r="AJ49" i="11"/>
  <c r="AJ43" i="11" s="1"/>
  <c r="AJ53" i="11" s="1"/>
  <c r="AJ61" i="11" s="1"/>
  <c r="X36" i="8" a="1"/>
  <c r="X36" i="8" s="1"/>
  <c r="AJ33" i="11"/>
  <c r="AJ27" i="11" s="1"/>
  <c r="AJ37" i="11" s="1"/>
  <c r="AA49" i="11"/>
  <c r="AA43" i="11" s="1"/>
  <c r="AA60" i="11" s="1"/>
  <c r="AA59" i="11" s="1"/>
  <c r="AA68" i="11" s="1"/>
  <c r="AA67" i="11" s="1"/>
  <c r="AA70" i="11" s="1"/>
  <c r="Y33" i="11"/>
  <c r="Y27" i="11" s="1"/>
  <c r="Y37" i="11" s="1"/>
  <c r="T53" i="11"/>
  <c r="T68" i="11"/>
  <c r="T67" i="11" s="1"/>
  <c r="T70" i="11" s="1"/>
  <c r="U53" i="11"/>
  <c r="U68" i="11"/>
  <c r="U67" i="11" s="1"/>
  <c r="U70" i="11" s="1"/>
  <c r="Z68" i="11"/>
  <c r="Z67" i="11" s="1"/>
  <c r="Z70" i="11" s="1"/>
  <c r="Z53" i="11"/>
  <c r="AE60" i="11"/>
  <c r="AE59" i="11" s="1"/>
  <c r="AE68" i="11" s="1"/>
  <c r="AE67" i="11" s="1"/>
  <c r="AE70" i="11" s="1"/>
  <c r="V53" i="11"/>
  <c r="V68" i="11"/>
  <c r="V67" i="11" s="1"/>
  <c r="V70" i="11" s="1"/>
  <c r="Q29" i="11"/>
  <c r="Q33" i="11" s="1"/>
  <c r="AG29" i="11"/>
  <c r="AG33" i="11" s="1"/>
  <c r="Q45" i="11"/>
  <c r="AG45" i="11"/>
  <c r="AG49" i="11" s="1"/>
  <c r="AG43" i="11" s="1"/>
  <c r="R29" i="11"/>
  <c r="AH29" i="11"/>
  <c r="AH33" i="11" s="1"/>
  <c r="AH27" i="11" s="1"/>
  <c r="AH37" i="11" s="1"/>
  <c r="R45" i="11"/>
  <c r="R49" i="11" s="1"/>
  <c r="AH45" i="11"/>
  <c r="AH49" i="11" s="1"/>
  <c r="S29" i="11"/>
  <c r="S33" i="11" s="1"/>
  <c r="AI29" i="11"/>
  <c r="S45" i="11"/>
  <c r="AI45" i="11"/>
  <c r="AI49" i="11" s="1"/>
  <c r="S33" i="8" a="1"/>
  <c r="S33" i="8" s="1"/>
  <c r="S34" i="8" s="1"/>
  <c r="S35" i="8" s="1"/>
  <c r="W29" i="11"/>
  <c r="W33" i="11" s="1"/>
  <c r="W27" i="11" s="1"/>
  <c r="W37" i="11" s="1"/>
  <c r="X29" i="11"/>
  <c r="X33" i="11" s="1"/>
  <c r="X45" i="11"/>
  <c r="X49" i="11" s="1"/>
  <c r="X43" i="11" s="1"/>
  <c r="W49" i="11"/>
  <c r="W43" i="11" s="1"/>
  <c r="AB29" i="11"/>
  <c r="AB33" i="11" s="1"/>
  <c r="AB45" i="11"/>
  <c r="Q25" i="5"/>
  <c r="AC29" i="11"/>
  <c r="AC45" i="11"/>
  <c r="AD29" i="11"/>
  <c r="AD33" i="11" s="1"/>
  <c r="AD45" i="11"/>
  <c r="AD49" i="11" s="1"/>
  <c r="F13" i="13" a="1"/>
  <c r="F13" i="13" s="1"/>
  <c r="F20" i="13" s="1"/>
  <c r="AA58" i="8" a="1"/>
  <c r="AA58" i="8" s="1"/>
  <c r="P50" i="8" a="1"/>
  <c r="P50" i="8" s="1"/>
  <c r="AF94" i="13" a="1"/>
  <c r="AF94" i="13" s="1"/>
  <c r="AD74" i="13" a="1"/>
  <c r="AD74" i="13" s="1"/>
  <c r="AH27" i="8" a="1"/>
  <c r="AH27" i="8" s="1"/>
  <c r="AH86" i="8" a="1"/>
  <c r="AH86" i="8" s="1"/>
  <c r="AF13" i="13" a="1"/>
  <c r="AF13" i="13" s="1"/>
  <c r="AH69" i="8" a="1"/>
  <c r="AH69" i="8" s="1"/>
  <c r="AH101" i="8" a="1"/>
  <c r="AH101" i="8" s="1"/>
  <c r="AH102" i="8" s="1"/>
  <c r="AH103" i="8" s="1"/>
  <c r="AG24" i="8" a="1"/>
  <c r="AG24" i="8" s="1"/>
  <c r="AM91" i="10" a="1"/>
  <c r="AM91" i="10" s="1"/>
  <c r="O24" i="8" a="1"/>
  <c r="O24" i="8" s="1"/>
  <c r="O25" i="8" s="1"/>
  <c r="O26" i="8" s="1"/>
  <c r="J24" i="8" a="1"/>
  <c r="J24" i="8" s="1"/>
  <c r="J25" i="8" s="1"/>
  <c r="J26" i="8" s="1"/>
  <c r="R27" i="8" a="1"/>
  <c r="R27" i="8" s="1"/>
  <c r="G24" i="8" a="1"/>
  <c r="G24" i="8" s="1"/>
  <c r="G25" i="8" s="1"/>
  <c r="G26" i="8" s="1"/>
  <c r="AC27" i="8" a="1"/>
  <c r="AC27" i="8" s="1"/>
  <c r="AN127" i="10" a="1"/>
  <c r="AN127" i="10" s="1"/>
  <c r="AN25" i="10" a="1"/>
  <c r="AN25" i="10" s="1"/>
  <c r="AN20" i="10" a="1"/>
  <c r="AN20" i="10" s="1"/>
  <c r="AE94" i="13" a="1"/>
  <c r="AE94" i="13" s="1"/>
  <c r="AC74" i="13" a="1"/>
  <c r="AC74" i="13" s="1"/>
  <c r="AH24" i="8" a="1"/>
  <c r="AH24" i="8" s="1"/>
  <c r="AH75" i="8" a="1"/>
  <c r="AH75" i="8" s="1"/>
  <c r="AH76" i="8" s="1"/>
  <c r="AH77" i="8" s="1"/>
  <c r="AP105" i="10" a="1"/>
  <c r="AP105" i="10" s="1"/>
  <c r="AH42" i="8" a="1"/>
  <c r="AH42" i="8" s="1"/>
  <c r="AH43" i="8" s="1"/>
  <c r="AH44" i="8" s="1"/>
  <c r="AH45" i="8" a="1"/>
  <c r="AH45" i="8" s="1"/>
  <c r="AO91" i="10" a="1"/>
  <c r="AO91" i="10" s="1"/>
  <c r="AE61" i="8" a="1"/>
  <c r="AE61" i="8" s="1"/>
  <c r="I27" i="8" a="1"/>
  <c r="I27" i="8" s="1"/>
  <c r="T24" i="8" a="1"/>
  <c r="T24" i="8" s="1"/>
  <c r="T25" i="8" s="1"/>
  <c r="T26" i="8" s="1"/>
  <c r="AD24" i="8" a="1"/>
  <c r="AD24" i="8" s="1"/>
  <c r="AD25" i="8" s="1"/>
  <c r="AD26" i="8" s="1"/>
  <c r="Q27" i="8" a="1"/>
  <c r="Q27" i="8" s="1"/>
  <c r="AO25" i="10" a="1"/>
  <c r="AO25" i="10" s="1"/>
  <c r="AN38" i="10" a="1"/>
  <c r="AN38" i="10" s="1"/>
  <c r="T27" i="8" a="1"/>
  <c r="T27" i="8" s="1"/>
  <c r="V27" i="8" a="1"/>
  <c r="V27" i="8" s="1"/>
  <c r="AD94" i="13" a="1"/>
  <c r="AD94" i="13" s="1"/>
  <c r="AF73" i="13" a="1"/>
  <c r="AF73" i="13" s="1"/>
  <c r="AH18" i="8" a="1"/>
  <c r="AH18" i="8" s="1"/>
  <c r="AG86" i="8" a="1"/>
  <c r="AG86" i="8" s="1"/>
  <c r="AE13" i="13" a="1"/>
  <c r="AE13" i="13" s="1"/>
  <c r="AF92" i="8" a="1"/>
  <c r="AF92" i="8" s="1"/>
  <c r="AF93" i="8" s="1"/>
  <c r="AF94" i="8" s="1"/>
  <c r="AG101" i="8" a="1"/>
  <c r="AG101" i="8" s="1"/>
  <c r="AG102" i="8" s="1"/>
  <c r="AG103" i="8" s="1"/>
  <c r="AG66" i="8" a="1"/>
  <c r="AG66" i="8" s="1"/>
  <c r="AG67" i="8" s="1"/>
  <c r="AG68" i="8" s="1"/>
  <c r="AG42" i="8" a="1"/>
  <c r="AG42" i="8" s="1"/>
  <c r="AG43" i="8" s="1"/>
  <c r="AG44" i="8" s="1"/>
  <c r="Y24" i="8" a="1"/>
  <c r="Y24" i="8" s="1"/>
  <c r="Y25" i="8" s="1"/>
  <c r="Y26" i="8" s="1"/>
  <c r="W24" i="8" a="1"/>
  <c r="W24" i="8" s="1"/>
  <c r="W25" i="8" s="1"/>
  <c r="W26" i="8" s="1"/>
  <c r="AC94" i="13" a="1"/>
  <c r="AC94" i="13" s="1"/>
  <c r="AE73" i="13" a="1"/>
  <c r="AE73" i="13" s="1"/>
  <c r="AH15" i="8" a="1"/>
  <c r="AH15" i="8" s="1"/>
  <c r="AG75" i="8" a="1"/>
  <c r="AG75" i="8" s="1"/>
  <c r="AG76" i="8" s="1"/>
  <c r="AG77" i="8" s="1"/>
  <c r="AO105" i="10" a="1"/>
  <c r="AO105" i="10" s="1"/>
  <c r="AH66" i="8" a="1"/>
  <c r="AH66" i="8" s="1"/>
  <c r="AH67" i="8" s="1"/>
  <c r="AH68" i="8" s="1"/>
  <c r="AE53" i="8" a="1"/>
  <c r="AE53" i="8" s="1"/>
  <c r="AF24" i="8" a="1"/>
  <c r="AF24" i="8" s="1"/>
  <c r="AG58" i="8" a="1"/>
  <c r="AG58" i="8" s="1"/>
  <c r="AG59" i="8" s="1"/>
  <c r="AG60" i="8" s="1"/>
  <c r="AP43" i="10" a="1"/>
  <c r="AP43" i="10" s="1"/>
  <c r="U24" i="8" a="1"/>
  <c r="U24" i="8" s="1"/>
  <c r="U25" i="8" s="1"/>
  <c r="U26" i="8" s="1"/>
  <c r="AA24" i="8" a="1"/>
  <c r="AA24" i="8" s="1"/>
  <c r="AA25" i="8" s="1"/>
  <c r="AA26" i="8" s="1"/>
  <c r="Z27" i="8" a="1"/>
  <c r="Z27" i="8" s="1"/>
  <c r="AO20" i="10" a="1"/>
  <c r="AO20" i="10" s="1"/>
  <c r="AN43" i="10" a="1"/>
  <c r="AN43" i="10" s="1"/>
  <c r="AF93" i="13" a="1"/>
  <c r="AF93" i="13" s="1"/>
  <c r="AD73" i="13" a="1"/>
  <c r="AD73" i="13" s="1"/>
  <c r="AD13" i="13" a="1"/>
  <c r="AD13" i="13" s="1"/>
  <c r="AF86" i="8" a="1"/>
  <c r="AF86" i="8" s="1"/>
  <c r="AH95" i="8" a="1"/>
  <c r="AH95" i="8" s="1"/>
  <c r="AE92" i="8" a="1"/>
  <c r="AE92" i="8" s="1"/>
  <c r="AE93" i="8" s="1"/>
  <c r="AE94" i="8" s="1"/>
  <c r="AO80" i="10" a="1"/>
  <c r="AO80" i="10" s="1"/>
  <c r="AN91" i="10" a="1"/>
  <c r="AN91" i="10" s="1"/>
  <c r="AF42" i="8" a="1"/>
  <c r="AF42" i="8" s="1"/>
  <c r="AF43" i="8" s="1"/>
  <c r="AF44" i="8" s="1"/>
  <c r="AP38" i="10" a="1"/>
  <c r="AP38" i="10" s="1"/>
  <c r="AF18" i="8" a="1"/>
  <c r="AF18" i="8" s="1"/>
  <c r="AE93" i="13" a="1"/>
  <c r="AE93" i="13" s="1"/>
  <c r="AC73" i="13" a="1"/>
  <c r="AC73" i="13" s="1"/>
  <c r="AN105" i="10" a="1"/>
  <c r="AN105" i="10" s="1"/>
  <c r="AF75" i="8" a="1"/>
  <c r="AF75" i="8" s="1"/>
  <c r="AF76" i="8" s="1"/>
  <c r="AF77" i="8" s="1"/>
  <c r="AE101" i="8" a="1"/>
  <c r="AE101" i="8" s="1"/>
  <c r="AE102" i="8" s="1"/>
  <c r="AE103" i="8" s="1"/>
  <c r="AN134" i="10" a="1"/>
  <c r="AN134" i="10" s="1"/>
  <c r="AN80" i="10" a="1"/>
  <c r="AN80" i="10" s="1"/>
  <c r="AF66" i="8" a="1"/>
  <c r="AF66" i="8" s="1"/>
  <c r="AF67" i="8" s="1"/>
  <c r="AF68" i="8" s="1"/>
  <c r="AF58" i="8" a="1"/>
  <c r="AF58" i="8" s="1"/>
  <c r="AF59" i="8" s="1"/>
  <c r="AF60" i="8" s="1"/>
  <c r="W27" i="8" a="1"/>
  <c r="W27" i="8" s="1"/>
  <c r="AO43" i="10" a="1"/>
  <c r="AO43" i="10" s="1"/>
  <c r="V24" i="8" a="1"/>
  <c r="V24" i="8" s="1"/>
  <c r="V25" i="8" s="1"/>
  <c r="V26" i="8" s="1"/>
  <c r="AG18" i="8" a="1"/>
  <c r="AG18" i="8" s="1"/>
  <c r="AM25" i="10" a="1"/>
  <c r="AM25" i="10" s="1"/>
  <c r="AE24" i="8" a="1"/>
  <c r="AE24" i="8" s="1"/>
  <c r="AE42" i="8" a="1"/>
  <c r="AE42" i="8" s="1"/>
  <c r="AE43" i="8" s="1"/>
  <c r="AE44" i="8" s="1"/>
  <c r="AP25" i="10" a="1"/>
  <c r="AP25" i="10" s="1"/>
  <c r="AO127" i="10" a="1"/>
  <c r="AO127" i="10" s="1"/>
  <c r="S24" i="8" a="1"/>
  <c r="S24" i="8" s="1"/>
  <c r="S25" i="8" s="1"/>
  <c r="S26" i="8" s="1"/>
  <c r="AM20" i="10" a="1"/>
  <c r="AM20" i="10" s="1"/>
  <c r="AE75" i="8" a="1"/>
  <c r="AE75" i="8" s="1"/>
  <c r="AE76" i="8" s="1"/>
  <c r="AE77" i="8" s="1"/>
  <c r="AP85" i="10" a="1"/>
  <c r="AP85" i="10" s="1"/>
  <c r="AF101" i="8" a="1"/>
  <c r="AF101" i="8" s="1"/>
  <c r="AF102" i="8" s="1"/>
  <c r="AF103" i="8" s="1"/>
  <c r="AO66" i="10" a="1"/>
  <c r="AO66" i="10" s="1"/>
  <c r="AE58" i="8" a="1"/>
  <c r="AE58" i="8" s="1"/>
  <c r="AE59" i="8" s="1"/>
  <c r="AE60" i="8" s="1"/>
  <c r="AP20" i="10" a="1"/>
  <c r="AP20" i="10" s="1"/>
  <c r="AE18" i="8" a="1"/>
  <c r="AE18" i="8" s="1"/>
  <c r="O27" i="8" a="1"/>
  <c r="O27" i="8" s="1"/>
  <c r="AM127" i="10" a="1"/>
  <c r="AM127" i="10" s="1"/>
  <c r="AD93" i="13" a="1"/>
  <c r="AD93" i="13" s="1"/>
  <c r="AF55" i="13" a="1"/>
  <c r="AF55" i="13" s="1"/>
  <c r="AC13" i="13" a="1"/>
  <c r="AC13" i="13" s="1"/>
  <c r="AE86" i="8" a="1"/>
  <c r="AE86" i="8" s="1"/>
  <c r="AG95" i="8" a="1"/>
  <c r="AG95" i="8" s="1"/>
  <c r="AM134" i="10" a="1"/>
  <c r="AM134" i="10" s="1"/>
  <c r="AG50" i="8" a="1"/>
  <c r="AG50" i="8" s="1"/>
  <c r="AG51" i="8" s="1"/>
  <c r="AG52" i="8" s="1"/>
  <c r="H24" i="8" a="1"/>
  <c r="H24" i="8" s="1"/>
  <c r="H25" i="8" s="1"/>
  <c r="H26" i="8" s="1"/>
  <c r="AM105" i="10" a="1"/>
  <c r="AM105" i="10" s="1"/>
  <c r="AG27" i="8" a="1"/>
  <c r="AG27" i="8" s="1"/>
  <c r="I24" i="8" a="1"/>
  <c r="I24" i="8" s="1"/>
  <c r="I25" i="8" s="1"/>
  <c r="I26" i="8" s="1"/>
  <c r="AB24" i="8" a="1"/>
  <c r="AB24" i="8" s="1"/>
  <c r="AB25" i="8" s="1"/>
  <c r="AB26" i="8" s="1"/>
  <c r="AC93" i="13" a="1"/>
  <c r="AC93" i="13" s="1"/>
  <c r="AE55" i="13" a="1"/>
  <c r="AE55" i="13" s="1"/>
  <c r="AD55" i="13" a="1"/>
  <c r="AD55" i="13" s="1"/>
  <c r="AF35" i="13" a="1"/>
  <c r="AF35" i="13" s="1"/>
  <c r="AG46" i="13" s="1"/>
  <c r="AF12" i="13" a="1"/>
  <c r="AF12" i="13" s="1"/>
  <c r="AH83" i="8" a="1"/>
  <c r="AH83" i="8" s="1"/>
  <c r="AH84" i="8" s="1"/>
  <c r="AH85" i="8" s="1"/>
  <c r="AF95" i="8" a="1"/>
  <c r="AF95" i="8" s="1"/>
  <c r="AH104" i="8" a="1"/>
  <c r="AH104" i="8" s="1"/>
  <c r="AF27" i="8" a="1"/>
  <c r="AF27" i="8" s="1"/>
  <c r="AE66" i="8" a="1"/>
  <c r="AE66" i="8" s="1"/>
  <c r="AE67" i="8" s="1"/>
  <c r="AE68" i="8" s="1"/>
  <c r="AO85" i="10" a="1"/>
  <c r="AO85" i="10" s="1"/>
  <c r="Y27" i="8" a="1"/>
  <c r="Y27" i="8" s="1"/>
  <c r="L24" i="8" a="1"/>
  <c r="L24" i="8" s="1"/>
  <c r="L25" i="8" s="1"/>
  <c r="L26" i="8" s="1"/>
  <c r="P24" i="8" a="1"/>
  <c r="P24" i="8" s="1"/>
  <c r="P25" i="8" s="1"/>
  <c r="P26" i="8" s="1"/>
  <c r="Z24" i="8" a="1"/>
  <c r="Z24" i="8" s="1"/>
  <c r="Z25" i="8" s="1"/>
  <c r="Z26" i="8" s="1"/>
  <c r="S27" i="8" a="1"/>
  <c r="S27" i="8" s="1"/>
  <c r="H27" i="8" a="1"/>
  <c r="H27" i="8" s="1"/>
  <c r="AO38" i="10" a="1"/>
  <c r="AO38" i="10" s="1"/>
  <c r="AC55" i="13" a="1"/>
  <c r="AC55" i="13" s="1"/>
  <c r="AE35" i="13" a="1"/>
  <c r="AE35" i="13" s="1"/>
  <c r="AH78" i="8" a="1"/>
  <c r="AH78" i="8" s="1"/>
  <c r="AP120" i="10" a="1"/>
  <c r="AP120" i="10" s="1"/>
  <c r="AP134" i="10" a="1"/>
  <c r="AP134" i="10" s="1"/>
  <c r="AH61" i="8" a="1"/>
  <c r="AH61" i="8" s="1"/>
  <c r="AG69" i="8" a="1"/>
  <c r="AG69" i="8" s="1"/>
  <c r="AG45" i="8" a="1"/>
  <c r="AG45" i="8" s="1"/>
  <c r="AF53" i="8" a="1"/>
  <c r="AF53" i="8" s="1"/>
  <c r="AG15" i="8" a="1"/>
  <c r="AG15" i="8" s="1"/>
  <c r="J27" i="8" a="1"/>
  <c r="J27" i="8" s="1"/>
  <c r="AD27" i="8" a="1"/>
  <c r="AD27" i="8" s="1"/>
  <c r="L27" i="8" a="1"/>
  <c r="L27" i="8" s="1"/>
  <c r="AE15" i="8" a="1"/>
  <c r="AE15" i="8" s="1"/>
  <c r="K24" i="8" a="1"/>
  <c r="K24" i="8" s="1"/>
  <c r="K25" i="8" s="1"/>
  <c r="K26" i="8" s="1"/>
  <c r="N24" i="8" a="1"/>
  <c r="N24" i="8" s="1"/>
  <c r="N25" i="8" s="1"/>
  <c r="N26" i="8" s="1"/>
  <c r="AF54" i="13" a="1"/>
  <c r="AF54" i="13" s="1"/>
  <c r="AD35" i="13" a="1"/>
  <c r="AD35" i="13" s="1"/>
  <c r="AE12" i="13" a="1"/>
  <c r="AE12" i="13" s="1"/>
  <c r="AG83" i="8" a="1"/>
  <c r="AG83" i="8" s="1"/>
  <c r="AG84" i="8" s="1"/>
  <c r="AG85" i="8" s="1"/>
  <c r="AE95" i="8" a="1"/>
  <c r="AE95" i="8" s="1"/>
  <c r="AG104" i="8" a="1"/>
  <c r="AG104" i="8" s="1"/>
  <c r="AF50" i="8" a="1"/>
  <c r="AF50" i="8" s="1"/>
  <c r="AF51" i="8" s="1"/>
  <c r="AF52" i="8" s="1"/>
  <c r="AM66" i="10" a="1"/>
  <c r="AM66" i="10" s="1"/>
  <c r="AG53" i="8" a="1"/>
  <c r="AG53" i="8" s="1"/>
  <c r="AC24" i="8" a="1"/>
  <c r="AC24" i="8" s="1"/>
  <c r="AC25" i="8" s="1"/>
  <c r="AC26" i="8" s="1"/>
  <c r="X24" i="8" a="1"/>
  <c r="X24" i="8" s="1"/>
  <c r="X25" i="8" s="1"/>
  <c r="X26" i="8" s="1"/>
  <c r="N27" i="8" a="1"/>
  <c r="N27" i="8" s="1"/>
  <c r="AF15" i="8" a="1"/>
  <c r="AF15" i="8" s="1"/>
  <c r="AP127" i="10" a="1"/>
  <c r="AP127" i="10" s="1"/>
  <c r="K27" i="8" a="1"/>
  <c r="K27" i="8" s="1"/>
  <c r="AE54" i="13" a="1"/>
  <c r="AE54" i="13" s="1"/>
  <c r="AC35" i="13" a="1"/>
  <c r="AC35" i="13" s="1"/>
  <c r="AG78" i="8" a="1"/>
  <c r="AG78" i="8" s="1"/>
  <c r="AM120" i="10" a="1"/>
  <c r="AM120" i="10" s="1"/>
  <c r="AO134" i="10" a="1"/>
  <c r="AO134" i="10" s="1"/>
  <c r="AH58" i="8" a="1"/>
  <c r="AH58" i="8" s="1"/>
  <c r="AH59" i="8" s="1"/>
  <c r="AH60" i="8" s="1"/>
  <c r="AM80" i="10" a="1"/>
  <c r="AM80" i="10" s="1"/>
  <c r="AG61" i="8" a="1"/>
  <c r="AG61" i="8" s="1"/>
  <c r="AN85" i="10" a="1"/>
  <c r="AN85" i="10" s="1"/>
  <c r="AB27" i="8" a="1"/>
  <c r="AB27" i="8" s="1"/>
  <c r="R24" i="8" a="1"/>
  <c r="R24" i="8" s="1"/>
  <c r="R25" i="8" s="1"/>
  <c r="R26" i="8" s="1"/>
  <c r="AD54" i="13" a="1"/>
  <c r="AD54" i="13" s="1"/>
  <c r="AF34" i="13" a="1"/>
  <c r="AF34" i="13" s="1"/>
  <c r="AG45" i="13" s="1"/>
  <c r="AD12" i="13" a="1"/>
  <c r="AD12" i="13" s="1"/>
  <c r="AF83" i="8" a="1"/>
  <c r="AF83" i="8" s="1"/>
  <c r="AF84" i="8" s="1"/>
  <c r="AF85" i="8" s="1"/>
  <c r="AH92" i="8" a="1"/>
  <c r="AH92" i="8" s="1"/>
  <c r="AH93" i="8" s="1"/>
  <c r="AH94" i="8" s="1"/>
  <c r="AF104" i="8" a="1"/>
  <c r="AF104" i="8" s="1"/>
  <c r="AF69" i="8" a="1"/>
  <c r="AF69" i="8" s="1"/>
  <c r="AF45" i="8" a="1"/>
  <c r="AF45" i="8" s="1"/>
  <c r="AM85" i="10" a="1"/>
  <c r="AM85" i="10" s="1"/>
  <c r="AM43" i="10" a="1"/>
  <c r="AM43" i="10" s="1"/>
  <c r="M24" i="8" a="1"/>
  <c r="M24" i="8" s="1"/>
  <c r="M25" i="8" s="1"/>
  <c r="M26" i="8" s="1"/>
  <c r="AC54" i="13" a="1"/>
  <c r="AC54" i="13" s="1"/>
  <c r="AE34" i="13" a="1"/>
  <c r="AE34" i="13" s="1"/>
  <c r="AF78" i="8" a="1"/>
  <c r="AF78" i="8" s="1"/>
  <c r="AO120" i="10" a="1"/>
  <c r="AO120" i="10" s="1"/>
  <c r="AP66" i="10" a="1"/>
  <c r="AP66" i="10" s="1"/>
  <c r="AH53" i="8" a="1"/>
  <c r="AH53" i="8" s="1"/>
  <c r="AE50" i="8" a="1"/>
  <c r="AE50" i="8" s="1"/>
  <c r="AE51" i="8" s="1"/>
  <c r="AE52" i="8" s="1"/>
  <c r="AN66" i="10" a="1"/>
  <c r="AN66" i="10" s="1"/>
  <c r="G27" i="8" a="1"/>
  <c r="G27" i="8" s="1"/>
  <c r="AA27" i="8" a="1"/>
  <c r="AA27" i="8" s="1"/>
  <c r="X27" i="8" a="1"/>
  <c r="X27" i="8" s="1"/>
  <c r="AF74" i="13" a="1"/>
  <c r="AF74" i="13" s="1"/>
  <c r="AD34" i="13" a="1"/>
  <c r="AD34" i="13" s="1"/>
  <c r="AC12" i="13" a="1"/>
  <c r="AC12" i="13" s="1"/>
  <c r="AE83" i="8" a="1"/>
  <c r="AE83" i="8" s="1"/>
  <c r="AE84" i="8" s="1"/>
  <c r="AE85" i="8" s="1"/>
  <c r="AP80" i="10" a="1"/>
  <c r="AP80" i="10" s="1"/>
  <c r="AE104" i="8" a="1"/>
  <c r="AE104" i="8" s="1"/>
  <c r="AE27" i="8" a="1"/>
  <c r="AE27" i="8" s="1"/>
  <c r="AF61" i="8" a="1"/>
  <c r="AF61" i="8" s="1"/>
  <c r="AM38" i="10" a="1"/>
  <c r="AM38" i="10" s="1"/>
  <c r="AN34" i="10" s="1"/>
  <c r="U27" i="8" a="1"/>
  <c r="U27" i="8" s="1"/>
  <c r="AE74" i="13" a="1"/>
  <c r="AE74" i="13" s="1"/>
  <c r="AC34" i="13" a="1"/>
  <c r="AC34" i="13" s="1"/>
  <c r="AE78" i="8" a="1"/>
  <c r="AE78" i="8" s="1"/>
  <c r="AN120" i="10" a="1"/>
  <c r="AN120" i="10" s="1"/>
  <c r="AG92" i="8" a="1"/>
  <c r="AG92" i="8" s="1"/>
  <c r="AG93" i="8" s="1"/>
  <c r="AG94" i="8" s="1"/>
  <c r="AH50" i="8" a="1"/>
  <c r="AH50" i="8" s="1"/>
  <c r="AH51" i="8" s="1"/>
  <c r="AH52" i="8" s="1"/>
  <c r="AE69" i="8" a="1"/>
  <c r="AE69" i="8" s="1"/>
  <c r="AE45" i="8" a="1"/>
  <c r="AE45" i="8" s="1"/>
  <c r="Q24" i="8" a="1"/>
  <c r="Q24" i="8" s="1"/>
  <c r="Q25" i="8" s="1"/>
  <c r="Q26" i="8" s="1"/>
  <c r="M27" i="8" a="1"/>
  <c r="M27" i="8" s="1"/>
  <c r="P27" i="8" a="1"/>
  <c r="P27" i="8" s="1"/>
  <c r="T66" i="8" a="1"/>
  <c r="T66" i="8" s="1"/>
  <c r="W102" i="10" a="1"/>
  <c r="W102" i="10" s="1"/>
  <c r="O53" i="8" a="1"/>
  <c r="O53" i="8" s="1"/>
  <c r="Z75" i="8" a="1"/>
  <c r="Z75" i="8" s="1"/>
  <c r="G83" i="8" a="1"/>
  <c r="G83" i="8" s="1"/>
  <c r="J45" i="8" a="1"/>
  <c r="J45" i="8" s="1"/>
  <c r="Z69" i="8" a="1"/>
  <c r="Z69" i="8" s="1"/>
  <c r="K86" i="8" a="1"/>
  <c r="K86" i="8" s="1"/>
  <c r="Q42" i="8" a="1"/>
  <c r="Q42" i="8" s="1"/>
  <c r="L15" i="8" a="1"/>
  <c r="L15" i="8" s="1"/>
  <c r="K92" i="8" a="1"/>
  <c r="K92" i="8" s="1"/>
  <c r="K93" i="8" s="1"/>
  <c r="K94" i="8" s="1"/>
  <c r="AE51" i="10" a="1"/>
  <c r="AE51" i="10" s="1"/>
  <c r="AC15" i="8" a="1"/>
  <c r="AC15" i="8" s="1"/>
  <c r="U120" i="10" a="1"/>
  <c r="U120" i="10" s="1"/>
  <c r="V18" i="8" a="1"/>
  <c r="V18" i="8" s="1"/>
  <c r="Q95" i="8" a="1"/>
  <c r="Q95" i="8" s="1"/>
  <c r="Q7" i="5"/>
  <c r="Q11" i="5"/>
  <c r="Q4" i="5"/>
  <c r="Q20" i="5"/>
  <c r="Q5" i="5"/>
  <c r="Q9" i="5"/>
  <c r="Q17" i="5"/>
  <c r="Q16" i="5"/>
  <c r="Q38" i="5"/>
  <c r="Q30" i="5"/>
  <c r="Q12" i="5"/>
  <c r="Q6" i="5"/>
  <c r="Q10" i="5"/>
  <c r="Q14" i="5"/>
  <c r="Q18" i="5"/>
  <c r="Q15" i="5"/>
  <c r="Q19" i="5"/>
  <c r="Q40" i="5"/>
  <c r="Q24" i="5"/>
  <c r="Q37" i="5"/>
  <c r="Q39" i="5"/>
  <c r="Q33" i="5"/>
  <c r="Q23" i="5"/>
  <c r="F41" i="5"/>
  <c r="F40" i="5"/>
  <c r="F39" i="5"/>
  <c r="Q8" i="5"/>
  <c r="F37" i="5"/>
  <c r="Q34" i="5"/>
  <c r="F35" i="5"/>
  <c r="Q27" i="5"/>
  <c r="F38" i="5"/>
  <c r="Q3" i="5"/>
  <c r="Q32" i="5"/>
  <c r="Q13" i="5"/>
  <c r="Q22" i="5"/>
  <c r="Q28" i="5"/>
  <c r="F36" i="5"/>
  <c r="F31" i="5"/>
  <c r="F29" i="5"/>
  <c r="Q36" i="5"/>
  <c r="F33" i="5"/>
  <c r="Q35" i="5"/>
  <c r="Q31" i="5"/>
  <c r="Q29" i="5"/>
  <c r="F27" i="5"/>
  <c r="Q53" i="8" a="1"/>
  <c r="Q53" i="8" s="1"/>
  <c r="M86" i="8" a="1"/>
  <c r="M86" i="8" s="1"/>
  <c r="M92" i="8" a="1"/>
  <c r="M92" i="8" s="1"/>
  <c r="M93" i="8" s="1"/>
  <c r="M94" i="8" s="1"/>
  <c r="R95" i="8" a="1"/>
  <c r="R95" i="8" s="1"/>
  <c r="AD66" i="10" a="1"/>
  <c r="AD66" i="10" s="1"/>
  <c r="V105" i="10" a="1"/>
  <c r="V105" i="10" s="1"/>
  <c r="V13" i="13" a="1"/>
  <c r="V13" i="13" s="1"/>
  <c r="V20" i="13" s="1"/>
  <c r="S50" i="8" a="1"/>
  <c r="S50" i="8" s="1"/>
  <c r="S53" i="8" a="1"/>
  <c r="S53" i="8" s="1"/>
  <c r="V66" i="8" a="1"/>
  <c r="V66" i="8" s="1"/>
  <c r="AB69" i="8" a="1"/>
  <c r="AB69" i="8" s="1"/>
  <c r="I78" i="8" a="1"/>
  <c r="I78" i="8" s="1"/>
  <c r="N83" i="8" a="1"/>
  <c r="N83" i="8" s="1"/>
  <c r="O86" i="8" a="1"/>
  <c r="O86" i="8" s="1"/>
  <c r="O92" i="8" a="1"/>
  <c r="O92" i="8" s="1"/>
  <c r="O93" i="8" s="1"/>
  <c r="O94" i="8" s="1"/>
  <c r="S95" i="8" a="1"/>
  <c r="S95" i="8" s="1"/>
  <c r="G101" i="8" a="1"/>
  <c r="G101" i="8" s="1"/>
  <c r="AC80" i="10" a="1"/>
  <c r="AC80" i="10" s="1"/>
  <c r="R127" i="10" a="1"/>
  <c r="R127" i="10" s="1"/>
  <c r="T34" i="13" a="1"/>
  <c r="T34" i="13" s="1"/>
  <c r="T39" i="13" s="1"/>
  <c r="N15" i="8" a="1"/>
  <c r="N15" i="8" s="1"/>
  <c r="T42" i="8" a="1"/>
  <c r="T42" i="8" s="1"/>
  <c r="M45" i="8" a="1"/>
  <c r="M45" i="8" s="1"/>
  <c r="T61" i="8" a="1"/>
  <c r="T61" i="8" s="1"/>
  <c r="T50" i="8" a="1"/>
  <c r="T50" i="8" s="1"/>
  <c r="T53" i="8" a="1"/>
  <c r="T53" i="8" s="1"/>
  <c r="W66" i="8" a="1"/>
  <c r="W66" i="8" s="1"/>
  <c r="AC69" i="8" a="1"/>
  <c r="AC69" i="8" s="1"/>
  <c r="J78" i="8" a="1"/>
  <c r="J78" i="8" s="1"/>
  <c r="O83" i="8" a="1"/>
  <c r="O83" i="8" s="1"/>
  <c r="P86" i="8" a="1"/>
  <c r="P86" i="8" s="1"/>
  <c r="P92" i="8" a="1"/>
  <c r="P92" i="8" s="1"/>
  <c r="P93" i="8" s="1"/>
  <c r="P94" i="8" s="1"/>
  <c r="U95" i="8" a="1"/>
  <c r="U95" i="8" s="1"/>
  <c r="H101" i="8" a="1"/>
  <c r="H101" i="8" s="1"/>
  <c r="H102" i="8" s="1"/>
  <c r="H103" i="8" s="1"/>
  <c r="W91" i="10" a="1"/>
  <c r="W91" i="10" s="1"/>
  <c r="M35" i="13" a="1"/>
  <c r="M35" i="13" s="1"/>
  <c r="M42" i="13" s="1"/>
  <c r="T33" i="8" a="1"/>
  <c r="T33" i="8" s="1"/>
  <c r="T34" i="8" s="1"/>
  <c r="T35" i="8" s="1"/>
  <c r="Z36" i="8" a="1"/>
  <c r="Z36" i="8" s="1"/>
  <c r="AB36" i="8" a="1"/>
  <c r="AB36" i="8" s="1"/>
  <c r="U42" i="8" a="1"/>
  <c r="U42" i="8" s="1"/>
  <c r="N45" i="8" a="1"/>
  <c r="N45" i="8" s="1"/>
  <c r="W61" i="8" a="1"/>
  <c r="W61" i="8" s="1"/>
  <c r="U50" i="8" a="1"/>
  <c r="U50" i="8" s="1"/>
  <c r="W53" i="8" a="1"/>
  <c r="W53" i="8" s="1"/>
  <c r="Y66" i="8" a="1"/>
  <c r="Y66" i="8" s="1"/>
  <c r="AD69" i="8" a="1"/>
  <c r="AD69" i="8" s="1"/>
  <c r="K78" i="8" a="1"/>
  <c r="K78" i="8" s="1"/>
  <c r="P83" i="8" a="1"/>
  <c r="P83" i="8" s="1"/>
  <c r="V86" i="8" a="1"/>
  <c r="V86" i="8" s="1"/>
  <c r="V92" i="8" a="1"/>
  <c r="V92" i="8" s="1"/>
  <c r="W95" i="8" a="1"/>
  <c r="W95" i="8" s="1"/>
  <c r="I101" i="8" a="1"/>
  <c r="I101" i="8" s="1"/>
  <c r="I102" i="8" s="1"/>
  <c r="I103" i="8" s="1"/>
  <c r="U103" i="11" a="1"/>
  <c r="U103" i="11" s="1"/>
  <c r="AC58" i="8" a="1"/>
  <c r="AC58" i="8" s="1"/>
  <c r="L45" i="8" a="1"/>
  <c r="L45" i="8" s="1"/>
  <c r="Z18" i="8" a="1"/>
  <c r="Z18" i="8" s="1"/>
  <c r="X61" i="8" a="1"/>
  <c r="X61" i="8" s="1"/>
  <c r="Q83" i="8" a="1"/>
  <c r="Q83" i="8" s="1"/>
  <c r="W86" i="8" a="1"/>
  <c r="W86" i="8" s="1"/>
  <c r="W92" i="8" a="1"/>
  <c r="W92" i="8" s="1"/>
  <c r="W93" i="8" s="1"/>
  <c r="W94" i="8" s="1"/>
  <c r="X95" i="8" a="1"/>
  <c r="X95" i="8" s="1"/>
  <c r="J101" i="8" a="1"/>
  <c r="J101" i="8" s="1"/>
  <c r="J102" i="8" s="1"/>
  <c r="J103" i="8" s="1"/>
  <c r="S97" i="11" a="1"/>
  <c r="S97" i="11" s="1"/>
  <c r="R42" i="8" a="1"/>
  <c r="R42" i="8" s="1"/>
  <c r="U33" i="8" a="1"/>
  <c r="U33" i="8" s="1"/>
  <c r="I18" i="8" a="1"/>
  <c r="I18" i="8" s="1"/>
  <c r="V50" i="8" a="1"/>
  <c r="V50" i="8" s="1"/>
  <c r="AD36" i="8" a="1"/>
  <c r="AD36" i="8" s="1"/>
  <c r="M78" i="8" a="1"/>
  <c r="M78" i="8" s="1"/>
  <c r="X92" i="8" a="1"/>
  <c r="X92" i="8" s="1"/>
  <c r="X93" i="8" s="1"/>
  <c r="X94" i="8" s="1"/>
  <c r="AD95" i="8" a="1"/>
  <c r="AD95" i="8" s="1"/>
  <c r="K101" i="8" a="1"/>
  <c r="K101" i="8" s="1"/>
  <c r="K102" i="8" s="1"/>
  <c r="K103" i="8" s="1"/>
  <c r="V103" i="11" a="1"/>
  <c r="V103" i="11" s="1"/>
  <c r="AD15" i="8" a="1"/>
  <c r="AD15" i="8" s="1"/>
  <c r="R50" i="8" a="1"/>
  <c r="R50" i="8" s="1"/>
  <c r="O15" i="8" a="1"/>
  <c r="O15" i="8" s="1"/>
  <c r="Q15" i="8" a="1"/>
  <c r="Q15" i="8" s="1"/>
  <c r="Z53" i="8" a="1"/>
  <c r="Z53" i="8" s="1"/>
  <c r="W42" i="8" a="1"/>
  <c r="W42" i="8" s="1"/>
  <c r="R83" i="8" a="1"/>
  <c r="R83" i="8" s="1"/>
  <c r="Z33" i="8" a="1"/>
  <c r="Z33" i="8" s="1"/>
  <c r="S45" i="8" a="1"/>
  <c r="S45" i="8" s="1"/>
  <c r="AA61" i="8" a="1"/>
  <c r="AA61" i="8" s="1"/>
  <c r="AB53" i="8" a="1"/>
  <c r="AB53" i="8" s="1"/>
  <c r="J75" i="8" a="1"/>
  <c r="J75" i="8" s="1"/>
  <c r="O78" i="8" a="1"/>
  <c r="O78" i="8" s="1"/>
  <c r="M15" i="8" a="1"/>
  <c r="M15" i="8" s="1"/>
  <c r="H83" i="8" a="1"/>
  <c r="H83" i="8" s="1"/>
  <c r="V33" i="8" a="1"/>
  <c r="V33" i="8" s="1"/>
  <c r="V34" i="8" s="1"/>
  <c r="V35" i="8" s="1"/>
  <c r="V42" i="8" a="1"/>
  <c r="V42" i="8" s="1"/>
  <c r="L78" i="8" a="1"/>
  <c r="L78" i="8" s="1"/>
  <c r="W50" i="8" a="1"/>
  <c r="W50" i="8" s="1"/>
  <c r="L18" i="8" a="1"/>
  <c r="L18" i="8" s="1"/>
  <c r="X42" i="8" a="1"/>
  <c r="X42" i="8" s="1"/>
  <c r="Y50" i="8" a="1"/>
  <c r="Y50" i="8" s="1"/>
  <c r="J69" i="8" a="1"/>
  <c r="J69" i="8" s="1"/>
  <c r="S83" i="8" a="1"/>
  <c r="S83" i="8" s="1"/>
  <c r="Y86" i="8" a="1"/>
  <c r="Y86" i="8" s="1"/>
  <c r="Y92" i="8" a="1"/>
  <c r="Y92" i="8" s="1"/>
  <c r="M101" i="8" a="1"/>
  <c r="M101" i="8" s="1"/>
  <c r="M102" i="8" s="1"/>
  <c r="M103" i="8" s="1"/>
  <c r="O83" i="11" a="1"/>
  <c r="O83" i="11" s="1"/>
  <c r="T15" i="8" a="1"/>
  <c r="T15" i="8" s="1"/>
  <c r="M18" i="8" a="1"/>
  <c r="M18" i="8" s="1"/>
  <c r="AD18" i="8" a="1"/>
  <c r="AD18" i="8" s="1"/>
  <c r="AA33" i="8" a="1"/>
  <c r="AA33" i="8" s="1"/>
  <c r="AA34" i="8" s="1"/>
  <c r="AA35" i="8" s="1"/>
  <c r="H42" i="8" a="1"/>
  <c r="H42" i="8" s="1"/>
  <c r="Y42" i="8" a="1"/>
  <c r="Y42" i="8" s="1"/>
  <c r="T45" i="8" a="1"/>
  <c r="T45" i="8" s="1"/>
  <c r="AB61" i="8" a="1"/>
  <c r="AB61" i="8" s="1"/>
  <c r="AA50" i="8" a="1"/>
  <c r="AA50" i="8" s="1"/>
  <c r="AC53" i="8" a="1"/>
  <c r="AC53" i="8" s="1"/>
  <c r="K69" i="8" a="1"/>
  <c r="K69" i="8" s="1"/>
  <c r="P75" i="8" a="1"/>
  <c r="P75" i="8" s="1"/>
  <c r="Q78" i="8" a="1"/>
  <c r="Q78" i="8" s="1"/>
  <c r="U83" i="8" a="1"/>
  <c r="U83" i="8" s="1"/>
  <c r="Z86" i="8" a="1"/>
  <c r="Z86" i="8" s="1"/>
  <c r="Z92" i="8" a="1"/>
  <c r="Z92" i="8" s="1"/>
  <c r="Z93" i="8" s="1"/>
  <c r="Z94" i="8" s="1"/>
  <c r="Y101" i="8" a="1"/>
  <c r="Y101" i="8" s="1"/>
  <c r="Y102" i="8" s="1"/>
  <c r="Y103" i="8" s="1"/>
  <c r="Q89" i="11" a="1"/>
  <c r="Q89" i="11" s="1"/>
  <c r="AG85" i="10" a="1"/>
  <c r="AG85" i="10" s="1"/>
  <c r="AL91" i="10" a="1"/>
  <c r="AL91" i="10" s="1"/>
  <c r="AL102" i="10" a="1"/>
  <c r="AL102" i="10" s="1"/>
  <c r="AL80" i="10" a="1"/>
  <c r="AL80" i="10" s="1"/>
  <c r="AL105" i="10" a="1"/>
  <c r="AL105" i="10" s="1"/>
  <c r="AL85" i="10" a="1"/>
  <c r="AL85" i="10" s="1"/>
  <c r="AL51" i="10" a="1"/>
  <c r="AL51" i="10" s="1"/>
  <c r="AL66" i="10" a="1"/>
  <c r="AL66" i="10" s="1"/>
  <c r="AL134" i="10" a="1"/>
  <c r="AL134" i="10" s="1"/>
  <c r="AL120" i="10" a="1"/>
  <c r="AL120" i="10" s="1"/>
  <c r="AL117" i="10" a="1"/>
  <c r="AL117" i="10" s="1"/>
  <c r="AL25" i="10" a="1"/>
  <c r="AL25" i="10" s="1"/>
  <c r="AL20" i="10" a="1"/>
  <c r="AL20" i="10" s="1"/>
  <c r="S42" i="8" a="1"/>
  <c r="S42" i="8" s="1"/>
  <c r="J18" i="8" a="1"/>
  <c r="J18" i="8" s="1"/>
  <c r="Q45" i="8" a="1"/>
  <c r="Q45" i="8" s="1"/>
  <c r="AC18" i="8" a="1"/>
  <c r="AC18" i="8" s="1"/>
  <c r="U15" i="8" a="1"/>
  <c r="U15" i="8" s="1"/>
  <c r="I42" i="8" a="1"/>
  <c r="I42" i="8" s="1"/>
  <c r="V45" i="8" a="1"/>
  <c r="V45" i="8" s="1"/>
  <c r="AD53" i="8" a="1"/>
  <c r="AD53" i="8" s="1"/>
  <c r="Q75" i="8" a="1"/>
  <c r="Q75" i="8" s="1"/>
  <c r="R78" i="8" a="1"/>
  <c r="R78" i="8" s="1"/>
  <c r="W83" i="8" a="1"/>
  <c r="W83" i="8" s="1"/>
  <c r="AA86" i="8" a="1"/>
  <c r="AA86" i="8" s="1"/>
  <c r="AA92" i="8" a="1"/>
  <c r="AA92" i="8" s="1"/>
  <c r="Z101" i="8" a="1"/>
  <c r="Z101" i="8" s="1"/>
  <c r="Z102" i="8" s="1"/>
  <c r="Z103" i="8" s="1"/>
  <c r="U111" i="11" a="1"/>
  <c r="U111" i="11" s="1"/>
  <c r="Y36" i="8" a="1"/>
  <c r="Y36" i="8" s="1"/>
  <c r="X18" i="8" a="1"/>
  <c r="X18" i="8" s="1"/>
  <c r="AA36" i="8" a="1"/>
  <c r="AA36" i="8" s="1"/>
  <c r="O45" i="8" a="1"/>
  <c r="O45" i="8" s="1"/>
  <c r="AB18" i="8" a="1"/>
  <c r="AB18" i="8" s="1"/>
  <c r="X86" i="8" a="1"/>
  <c r="X86" i="8" s="1"/>
  <c r="G42" i="8" a="1"/>
  <c r="G42" i="8" s="1"/>
  <c r="N18" i="8" a="1"/>
  <c r="N18" i="8" s="1"/>
  <c r="AB33" i="8" a="1"/>
  <c r="AB33" i="8" s="1"/>
  <c r="AB34" i="8" s="1"/>
  <c r="AB35" i="8" s="1"/>
  <c r="AA42" i="8" a="1"/>
  <c r="AA42" i="8" s="1"/>
  <c r="S58" i="8" a="1"/>
  <c r="S58" i="8" s="1"/>
  <c r="AC61" i="8" a="1"/>
  <c r="AC61" i="8" s="1"/>
  <c r="AB50" i="8" a="1"/>
  <c r="AB50" i="8" s="1"/>
  <c r="L69" i="8" a="1"/>
  <c r="L69" i="8" s="1"/>
  <c r="V15" i="8" a="1"/>
  <c r="V15" i="8" s="1"/>
  <c r="O18" i="8" a="1"/>
  <c r="O18" i="8" s="1"/>
  <c r="AC33" i="8" a="1"/>
  <c r="AC33" i="8" s="1"/>
  <c r="AC34" i="8" s="1"/>
  <c r="AC35" i="8" s="1"/>
  <c r="K42" i="8" a="1"/>
  <c r="K42" i="8" s="1"/>
  <c r="AB42" i="8" a="1"/>
  <c r="AB42" i="8" s="1"/>
  <c r="W45" i="8" a="1"/>
  <c r="W45" i="8" s="1"/>
  <c r="T58" i="8" a="1"/>
  <c r="T58" i="8" s="1"/>
  <c r="AD61" i="8" a="1"/>
  <c r="AD61" i="8" s="1"/>
  <c r="G53" i="8" a="1"/>
  <c r="G53" i="8" s="1"/>
  <c r="G66" i="8" a="1"/>
  <c r="G66" i="8" s="1"/>
  <c r="M69" i="8" a="1"/>
  <c r="M69" i="8" s="1"/>
  <c r="R75" i="8" a="1"/>
  <c r="R75" i="8" s="1"/>
  <c r="X78" i="8" a="1"/>
  <c r="X78" i="8" s="1"/>
  <c r="X83" i="8" a="1"/>
  <c r="X83" i="8" s="1"/>
  <c r="AC86" i="8" a="1"/>
  <c r="AC86" i="8" s="1"/>
  <c r="AC92" i="8" a="1"/>
  <c r="AC92" i="8" s="1"/>
  <c r="AC93" i="8" s="1"/>
  <c r="AC94" i="8" s="1"/>
  <c r="AA101" i="8" a="1"/>
  <c r="AA101" i="8" s="1"/>
  <c r="AA102" i="8" s="1"/>
  <c r="AA103" i="8" s="1"/>
  <c r="Y20" i="10" a="1"/>
  <c r="Y20" i="10" s="1"/>
  <c r="W17" i="11" a="1"/>
  <c r="W17" i="11" s="1"/>
  <c r="AC74" i="11" a="1"/>
  <c r="AC74" i="11" s="1"/>
  <c r="R121" i="11" a="1"/>
  <c r="R121" i="11" s="1"/>
  <c r="AA69" i="8" a="1"/>
  <c r="AA69" i="8" s="1"/>
  <c r="P15" i="8" a="1"/>
  <c r="P15" i="8" s="1"/>
  <c r="AA66" i="8" a="1"/>
  <c r="AA66" i="8" s="1"/>
  <c r="AB66" i="8" a="1"/>
  <c r="AB66" i="8" s="1"/>
  <c r="S36" i="8" a="1"/>
  <c r="S36" i="8" s="1"/>
  <c r="G50" i="8" a="1"/>
  <c r="G50" i="8" s="1"/>
  <c r="J53" i="8" a="1"/>
  <c r="J53" i="8" s="1"/>
  <c r="I66" i="8" a="1"/>
  <c r="I66" i="8" s="1"/>
  <c r="N69" i="8" a="1"/>
  <c r="N69" i="8" s="1"/>
  <c r="S75" i="8" a="1"/>
  <c r="S75" i="8" s="1"/>
  <c r="Y78" i="8" a="1"/>
  <c r="Y78" i="8" s="1"/>
  <c r="AD83" i="8" a="1"/>
  <c r="AD83" i="8" s="1"/>
  <c r="G95" i="8" a="1"/>
  <c r="G95" i="8" s="1"/>
  <c r="AC101" i="8" a="1"/>
  <c r="AC101" i="8" s="1"/>
  <c r="AC102" i="8" s="1"/>
  <c r="AC103" i="8" s="1"/>
  <c r="X25" i="10" a="1"/>
  <c r="X25" i="10" s="1"/>
  <c r="Y134" i="10" a="1"/>
  <c r="Y134" i="10" s="1"/>
  <c r="Y24" i="11" a="1"/>
  <c r="Y24" i="11" s="1"/>
  <c r="G18" i="8" a="1"/>
  <c r="G18" i="8" s="1"/>
  <c r="W33" i="8" a="1"/>
  <c r="W33" i="8" s="1"/>
  <c r="W34" i="8" s="1"/>
  <c r="W35" i="8" s="1"/>
  <c r="R15" i="8" a="1"/>
  <c r="R15" i="8" s="1"/>
  <c r="I75" i="8" a="1"/>
  <c r="I75" i="8" s="1"/>
  <c r="L42" i="8" a="1"/>
  <c r="L42" i="8" s="1"/>
  <c r="G15" i="8" a="1"/>
  <c r="G15" i="8" s="1"/>
  <c r="R18" i="8" a="1"/>
  <c r="R18" i="8" s="1"/>
  <c r="AD42" i="8" a="1"/>
  <c r="AD42" i="8" s="1"/>
  <c r="K53" i="8" a="1"/>
  <c r="K53" i="8" s="1"/>
  <c r="O69" i="8" a="1"/>
  <c r="O69" i="8" s="1"/>
  <c r="T75" i="8" a="1"/>
  <c r="T75" i="8" s="1"/>
  <c r="Z78" i="8" a="1"/>
  <c r="Z78" i="8" s="1"/>
  <c r="G86" i="8" a="1"/>
  <c r="G86" i="8" s="1"/>
  <c r="G92" i="8" a="1"/>
  <c r="G92" i="8" s="1"/>
  <c r="G93" i="8" s="1"/>
  <c r="G94" i="8" s="1"/>
  <c r="H95" i="8" a="1"/>
  <c r="H95" i="8" s="1"/>
  <c r="U104" i="8" a="1"/>
  <c r="U104" i="8" s="1"/>
  <c r="Z41" i="11" a="1"/>
  <c r="Z41" i="11" s="1"/>
  <c r="W18" i="8" a="1"/>
  <c r="W18" i="8" s="1"/>
  <c r="U66" i="8" a="1"/>
  <c r="U66" i="8" s="1"/>
  <c r="Y18" i="8" a="1"/>
  <c r="Y18" i="8" s="1"/>
  <c r="AA18" i="8" a="1"/>
  <c r="AA18" i="8" s="1"/>
  <c r="G75" i="8" a="1"/>
  <c r="G75" i="8" s="1"/>
  <c r="Z61" i="8" a="1"/>
  <c r="Z61" i="8" s="1"/>
  <c r="S15" i="8" a="1"/>
  <c r="S15" i="8" s="1"/>
  <c r="AC42" i="8" a="1"/>
  <c r="AC42" i="8" s="1"/>
  <c r="V58" i="8" a="1"/>
  <c r="V58" i="8" s="1"/>
  <c r="X15" i="8" a="1"/>
  <c r="X15" i="8" s="1"/>
  <c r="T36" i="8" a="1"/>
  <c r="T36" i="8" s="1"/>
  <c r="M42" i="8" a="1"/>
  <c r="M42" i="8" s="1"/>
  <c r="Z45" i="8" a="1"/>
  <c r="Z45" i="8" s="1"/>
  <c r="W58" i="8" a="1"/>
  <c r="W58" i="8" s="1"/>
  <c r="I50" i="8" a="1"/>
  <c r="I50" i="8" s="1"/>
  <c r="K66" i="8" a="1"/>
  <c r="K66" i="8" s="1"/>
  <c r="H15" i="8" a="1"/>
  <c r="H15" i="8" s="1"/>
  <c r="Z15" i="8" a="1"/>
  <c r="Z15" i="8" s="1"/>
  <c r="S18" i="8" a="1"/>
  <c r="S18" i="8" s="1"/>
  <c r="U36" i="8" a="1"/>
  <c r="U36" i="8" s="1"/>
  <c r="N42" i="8" a="1"/>
  <c r="N42" i="8" s="1"/>
  <c r="G45" i="8" a="1"/>
  <c r="G45" i="8" s="1"/>
  <c r="AA45" i="8" a="1"/>
  <c r="AA45" i="8" s="1"/>
  <c r="X58" i="8" a="1"/>
  <c r="X58" i="8" s="1"/>
  <c r="K50" i="8" a="1"/>
  <c r="K50" i="8" s="1"/>
  <c r="L53" i="8" a="1"/>
  <c r="L53" i="8" s="1"/>
  <c r="L66" i="8" a="1"/>
  <c r="L66" i="8" s="1"/>
  <c r="Q69" i="8" a="1"/>
  <c r="Q69" i="8" s="1"/>
  <c r="U75" i="8" a="1"/>
  <c r="U75" i="8" s="1"/>
  <c r="AA78" i="8" a="1"/>
  <c r="AA78" i="8" s="1"/>
  <c r="H86" i="8" a="1"/>
  <c r="H86" i="8" s="1"/>
  <c r="H92" i="8" a="1"/>
  <c r="H92" i="8" s="1"/>
  <c r="H93" i="8" s="1"/>
  <c r="H94" i="8" s="1"/>
  <c r="N95" i="8" a="1"/>
  <c r="N95" i="8" s="1"/>
  <c r="V110" i="8" a="1"/>
  <c r="V110" i="8" s="1"/>
  <c r="V111" i="8" s="1"/>
  <c r="V112" i="8" s="1"/>
  <c r="AA57" i="11" a="1"/>
  <c r="AA57" i="11" s="1"/>
  <c r="T111" i="11" a="1"/>
  <c r="T111" i="11" s="1"/>
  <c r="K45" i="8" a="1"/>
  <c r="K45" i="8" s="1"/>
  <c r="S61" i="8" a="1"/>
  <c r="S61" i="8" s="1"/>
  <c r="X33" i="8" a="1"/>
  <c r="X33" i="8" s="1"/>
  <c r="X34" i="8" s="1"/>
  <c r="X35" i="8" s="1"/>
  <c r="Y33" i="8" a="1"/>
  <c r="Y33" i="8" s="1"/>
  <c r="Y34" i="8" s="1"/>
  <c r="Y35" i="8" s="1"/>
  <c r="W15" i="8" a="1"/>
  <c r="W15" i="8" s="1"/>
  <c r="X45" i="8" a="1"/>
  <c r="X45" i="8" s="1"/>
  <c r="T18" i="8" a="1"/>
  <c r="T18" i="8" s="1"/>
  <c r="O42" i="8" a="1"/>
  <c r="O42" i="8" s="1"/>
  <c r="Y58" i="8" a="1"/>
  <c r="Y58" i="8" s="1"/>
  <c r="S69" i="8" a="1"/>
  <c r="S69" i="8" s="1"/>
  <c r="AB78" i="8" a="1"/>
  <c r="AB78" i="8" s="1"/>
  <c r="I86" i="8" a="1"/>
  <c r="I86" i="8" s="1"/>
  <c r="I92" i="8" a="1"/>
  <c r="I92" i="8" s="1"/>
  <c r="I93" i="8" s="1"/>
  <c r="I94" i="8" s="1"/>
  <c r="O95" i="8" a="1"/>
  <c r="O95" i="8" s="1"/>
  <c r="W113" i="8" a="1"/>
  <c r="W113" i="8" s="1"/>
  <c r="V117" i="10" a="1"/>
  <c r="V117" i="10" s="1"/>
  <c r="T121" i="11" a="1"/>
  <c r="T121" i="11" s="1"/>
  <c r="H78" i="8" a="1"/>
  <c r="H78" i="8" s="1"/>
  <c r="H18" i="8" a="1"/>
  <c r="H18" i="8" s="1"/>
  <c r="AC36" i="8" a="1"/>
  <c r="AC36" i="8" s="1"/>
  <c r="K18" i="8" a="1"/>
  <c r="K18" i="8" s="1"/>
  <c r="AA53" i="8" a="1"/>
  <c r="AA53" i="8" s="1"/>
  <c r="P18" i="8" a="1"/>
  <c r="P18" i="8" s="1"/>
  <c r="J15" i="8" a="1"/>
  <c r="J15" i="8" s="1"/>
  <c r="AA15" i="8" a="1"/>
  <c r="AA15" i="8" s="1"/>
  <c r="V36" i="8" a="1"/>
  <c r="V36" i="8" s="1"/>
  <c r="H45" i="8" a="1"/>
  <c r="H45" i="8" s="1"/>
  <c r="AB45" i="8" a="1"/>
  <c r="AB45" i="8" s="1"/>
  <c r="L50" i="8" a="1"/>
  <c r="L50" i="8" s="1"/>
  <c r="M53" i="8" a="1"/>
  <c r="M53" i="8" s="1"/>
  <c r="R66" i="8" a="1"/>
  <c r="R66" i="8" s="1"/>
  <c r="W75" i="8" a="1"/>
  <c r="W75" i="8" s="1"/>
  <c r="K15" i="8" a="1"/>
  <c r="K15" i="8" s="1"/>
  <c r="AB15" i="8" a="1"/>
  <c r="AB15" i="8" s="1"/>
  <c r="U18" i="8" a="1"/>
  <c r="U18" i="8" s="1"/>
  <c r="W36" i="8" a="1"/>
  <c r="W36" i="8" s="1"/>
  <c r="P42" i="8" a="1"/>
  <c r="P42" i="8" s="1"/>
  <c r="I45" i="8" a="1"/>
  <c r="I45" i="8" s="1"/>
  <c r="AC45" i="8" a="1"/>
  <c r="AC45" i="8" s="1"/>
  <c r="Z58" i="8" a="1"/>
  <c r="Z58" i="8" s="1"/>
  <c r="O50" i="8" a="1"/>
  <c r="O50" i="8" s="1"/>
  <c r="N53" i="8" a="1"/>
  <c r="N53" i="8" s="1"/>
  <c r="S66" i="8" a="1"/>
  <c r="S66" i="8" s="1"/>
  <c r="T69" i="8" a="1"/>
  <c r="T69" i="8" s="1"/>
  <c r="Y75" i="8" a="1"/>
  <c r="Y75" i="8" s="1"/>
  <c r="AC78" i="8" a="1"/>
  <c r="AC78" i="8" s="1"/>
  <c r="J86" i="8" a="1"/>
  <c r="J86" i="8" s="1"/>
  <c r="J92" i="8" a="1"/>
  <c r="J92" i="8" s="1"/>
  <c r="J93" i="8" s="1"/>
  <c r="J94" i="8" s="1"/>
  <c r="P95" i="8" a="1"/>
  <c r="P95" i="8" s="1"/>
  <c r="H12" i="13" a="1"/>
  <c r="H12" i="13" s="1"/>
  <c r="F23" i="5"/>
  <c r="F16" i="5"/>
  <c r="F24" i="5"/>
  <c r="Q26" i="5"/>
  <c r="F21" i="5"/>
  <c r="AL2" i="10"/>
  <c r="AB34" i="13" a="1"/>
  <c r="AB34" i="13" s="1"/>
  <c r="AG25" i="10" a="1"/>
  <c r="AG25" i="10" s="1"/>
  <c r="I15" i="8" a="1"/>
  <c r="I15" i="8" s="1"/>
  <c r="Y15" i="8" a="1"/>
  <c r="Y15" i="8" s="1"/>
  <c r="Q18" i="8" a="1"/>
  <c r="Q18" i="8" s="1"/>
  <c r="AD33" i="8" a="1"/>
  <c r="AD33" i="8" s="1"/>
  <c r="AD34" i="8" s="1"/>
  <c r="AD35" i="8" s="1"/>
  <c r="J42" i="8" a="1"/>
  <c r="J42" i="8" s="1"/>
  <c r="Z42" i="8" a="1"/>
  <c r="Z42" i="8" s="1"/>
  <c r="R45" i="8" a="1"/>
  <c r="R45" i="8" s="1"/>
  <c r="AD58" i="8" a="1"/>
  <c r="AD58" i="8" s="1"/>
  <c r="J50" i="8" a="1"/>
  <c r="J50" i="8" s="1"/>
  <c r="Z50" i="8" a="1"/>
  <c r="Z50" i="8" s="1"/>
  <c r="R53" i="8" a="1"/>
  <c r="R53" i="8" s="1"/>
  <c r="J66" i="8" a="1"/>
  <c r="J66" i="8" s="1"/>
  <c r="Z66" i="8" a="1"/>
  <c r="Z66" i="8" s="1"/>
  <c r="R69" i="8" a="1"/>
  <c r="R69" i="8" s="1"/>
  <c r="H75" i="8" a="1"/>
  <c r="H75" i="8" s="1"/>
  <c r="X75" i="8" a="1"/>
  <c r="X75" i="8" s="1"/>
  <c r="P78" i="8" a="1"/>
  <c r="P78" i="8" s="1"/>
  <c r="V83" i="8" a="1"/>
  <c r="V83" i="8" s="1"/>
  <c r="N86" i="8" a="1"/>
  <c r="N86" i="8" s="1"/>
  <c r="AD86" i="8" a="1"/>
  <c r="AD86" i="8" s="1"/>
  <c r="N92" i="8" a="1"/>
  <c r="N92" i="8" s="1"/>
  <c r="N93" i="8" s="1"/>
  <c r="N94" i="8" s="1"/>
  <c r="AD92" i="8" a="1"/>
  <c r="AD92" i="8" s="1"/>
  <c r="AD93" i="8" s="1"/>
  <c r="AD94" i="8" s="1"/>
  <c r="V95" i="8" a="1"/>
  <c r="V95" i="8" s="1"/>
  <c r="N101" i="8" a="1"/>
  <c r="N101" i="8" s="1"/>
  <c r="N102" i="8" s="1"/>
  <c r="N103" i="8" s="1"/>
  <c r="AD101" i="8" a="1"/>
  <c r="AD101" i="8" s="1"/>
  <c r="V104" i="8" a="1"/>
  <c r="V104" i="8" s="1"/>
  <c r="W110" i="8" a="1"/>
  <c r="W110" i="8" s="1"/>
  <c r="W111" i="8" s="1"/>
  <c r="W112" i="8" s="1"/>
  <c r="X113" i="8" a="1"/>
  <c r="X113" i="8" s="1"/>
  <c r="Z20" i="10" a="1"/>
  <c r="Z20" i="10" s="1"/>
  <c r="Y25" i="10" a="1"/>
  <c r="Y25" i="10" s="1"/>
  <c r="O66" i="10" a="1"/>
  <c r="O66" i="10" s="1"/>
  <c r="AE66" i="10" a="1"/>
  <c r="AE66" i="10" s="1"/>
  <c r="AD80" i="10" a="1"/>
  <c r="AD80" i="10" s="1"/>
  <c r="X91" i="10" a="1"/>
  <c r="X91" i="10" s="1"/>
  <c r="X102" i="10" a="1"/>
  <c r="X102" i="10" s="1"/>
  <c r="W105" i="10" a="1"/>
  <c r="W105" i="10" s="1"/>
  <c r="W117" i="10" a="1"/>
  <c r="W117" i="10" s="1"/>
  <c r="V120" i="10" a="1"/>
  <c r="V120" i="10" s="1"/>
  <c r="S127" i="10" a="1"/>
  <c r="S127" i="10" s="1"/>
  <c r="Z134" i="10" a="1"/>
  <c r="Z134" i="10" s="1"/>
  <c r="I12" i="13" a="1"/>
  <c r="I12" i="13" s="1"/>
  <c r="I19" i="13" s="1"/>
  <c r="G13" i="13" a="1"/>
  <c r="G13" i="13" s="1"/>
  <c r="E34" i="13" a="1"/>
  <c r="E34" i="13" s="1"/>
  <c r="E45" i="13" s="1"/>
  <c r="U34" i="13" a="1"/>
  <c r="U34" i="13" s="1"/>
  <c r="N35" i="13" a="1"/>
  <c r="N35" i="13" s="1"/>
  <c r="X17" i="11" a="1"/>
  <c r="X17" i="11" s="1"/>
  <c r="Z24" i="11" a="1"/>
  <c r="Z24" i="11" s="1"/>
  <c r="AA41" i="11" a="1"/>
  <c r="AA41" i="11" s="1"/>
  <c r="AB57" i="11" a="1"/>
  <c r="AB57" i="11" s="1"/>
  <c r="P83" i="11" a="1"/>
  <c r="P83" i="11" s="1"/>
  <c r="R89" i="11" a="1"/>
  <c r="R89" i="11" s="1"/>
  <c r="T97" i="11" a="1"/>
  <c r="T97" i="11" s="1"/>
  <c r="W103" i="11" a="1"/>
  <c r="W103" i="11" s="1"/>
  <c r="V111" i="11" a="1"/>
  <c r="V111" i="11" s="1"/>
  <c r="U121" i="11" a="1"/>
  <c r="U121" i="11" s="1"/>
  <c r="AB35" i="13" a="1"/>
  <c r="AB35" i="13" s="1"/>
  <c r="AB42" i="13" s="1"/>
  <c r="AG66" i="10" a="1"/>
  <c r="AG66" i="10" s="1"/>
  <c r="O101" i="8" a="1"/>
  <c r="O101" i="8" s="1"/>
  <c r="G104" i="8" a="1"/>
  <c r="G104" i="8" s="1"/>
  <c r="W104" i="8" a="1"/>
  <c r="W104" i="8" s="1"/>
  <c r="X110" i="8" a="1"/>
  <c r="X110" i="8" s="1"/>
  <c r="X111" i="8" s="1"/>
  <c r="X112" i="8" s="1"/>
  <c r="Y113" i="8" a="1"/>
  <c r="Y113" i="8" s="1"/>
  <c r="AA20" i="10" a="1"/>
  <c r="AA20" i="10" s="1"/>
  <c r="Z25" i="10" a="1"/>
  <c r="Z25" i="10" s="1"/>
  <c r="P66" i="10" a="1"/>
  <c r="P66" i="10" s="1"/>
  <c r="O80" i="10" a="1"/>
  <c r="O80" i="10" s="1"/>
  <c r="AE80" i="10" a="1"/>
  <c r="AE80" i="10" s="1"/>
  <c r="Y91" i="10" a="1"/>
  <c r="Y91" i="10" s="1"/>
  <c r="Y102" i="10" a="1"/>
  <c r="Y102" i="10" s="1"/>
  <c r="X105" i="10" a="1"/>
  <c r="X105" i="10" s="1"/>
  <c r="X117" i="10" a="1"/>
  <c r="X117" i="10" s="1"/>
  <c r="W120" i="10" a="1"/>
  <c r="W120" i="10" s="1"/>
  <c r="T127" i="10" a="1"/>
  <c r="T127" i="10" s="1"/>
  <c r="AA134" i="10" a="1"/>
  <c r="AA134" i="10" s="1"/>
  <c r="J12" i="13" a="1"/>
  <c r="J12" i="13" s="1"/>
  <c r="H13" i="13" a="1"/>
  <c r="H13" i="13" s="1"/>
  <c r="F34" i="13" a="1"/>
  <c r="F34" i="13" s="1"/>
  <c r="V34" i="13" a="1"/>
  <c r="V34" i="13" s="1"/>
  <c r="O35" i="13" a="1"/>
  <c r="O35" i="13" s="1"/>
  <c r="Y17" i="11" a="1"/>
  <c r="Y17" i="11" s="1"/>
  <c r="AA24" i="11" a="1"/>
  <c r="AA24" i="11" s="1"/>
  <c r="AB41" i="11" a="1"/>
  <c r="AB41" i="11" s="1"/>
  <c r="AC57" i="11" a="1"/>
  <c r="AC57" i="11" s="1"/>
  <c r="O74" i="11" a="1"/>
  <c r="O74" i="11" s="1"/>
  <c r="Q83" i="11" a="1"/>
  <c r="Q83" i="11" s="1"/>
  <c r="S89" i="11" a="1"/>
  <c r="S89" i="11" s="1"/>
  <c r="U97" i="11" a="1"/>
  <c r="U97" i="11" s="1"/>
  <c r="X103" i="11" a="1"/>
  <c r="X103" i="11" s="1"/>
  <c r="X111" i="11" a="1"/>
  <c r="X111" i="11" s="1"/>
  <c r="V121" i="11" a="1"/>
  <c r="V121" i="11" s="1"/>
  <c r="AB54" i="13" a="1"/>
  <c r="AB54" i="13" s="1"/>
  <c r="AB59" i="13" s="1"/>
  <c r="AF91" i="10" a="1"/>
  <c r="AF91" i="10" s="1"/>
  <c r="P101" i="8" a="1"/>
  <c r="P101" i="8" s="1"/>
  <c r="P102" i="8" s="1"/>
  <c r="P103" i="8" s="1"/>
  <c r="H104" i="8" a="1"/>
  <c r="H104" i="8" s="1"/>
  <c r="X104" i="8" a="1"/>
  <c r="X104" i="8" s="1"/>
  <c r="Y110" i="8" a="1"/>
  <c r="Y110" i="8" s="1"/>
  <c r="Y111" i="8" s="1"/>
  <c r="Y112" i="8" s="1"/>
  <c r="Z113" i="8" a="1"/>
  <c r="Z113" i="8" s="1"/>
  <c r="L20" i="10" a="1"/>
  <c r="L20" i="10" s="1"/>
  <c r="AB20" i="10" a="1"/>
  <c r="AB20" i="10" s="1"/>
  <c r="AA25" i="10" a="1"/>
  <c r="AA25" i="10" s="1"/>
  <c r="Q66" i="10" a="1"/>
  <c r="Q66" i="10" s="1"/>
  <c r="P80" i="10" a="1"/>
  <c r="P80" i="10" s="1"/>
  <c r="AA85" i="10" a="1"/>
  <c r="AA85" i="10" s="1"/>
  <c r="Z91" i="10" a="1"/>
  <c r="Z91" i="10" s="1"/>
  <c r="Z102" i="10" a="1"/>
  <c r="Z102" i="10" s="1"/>
  <c r="Y105" i="10" a="1"/>
  <c r="Y105" i="10" s="1"/>
  <c r="Y117" i="10" a="1"/>
  <c r="Y117" i="10" s="1"/>
  <c r="X120" i="10" a="1"/>
  <c r="X120" i="10" s="1"/>
  <c r="U127" i="10" a="1"/>
  <c r="U127" i="10" s="1"/>
  <c r="AB134" i="10" a="1"/>
  <c r="AB134" i="10" s="1"/>
  <c r="K12" i="13" a="1"/>
  <c r="K12" i="13" s="1"/>
  <c r="I13" i="13" a="1"/>
  <c r="I13" i="13" s="1"/>
  <c r="G34" i="13" a="1"/>
  <c r="G34" i="13" s="1"/>
  <c r="G39" i="13" s="1"/>
  <c r="W34" i="13" a="1"/>
  <c r="W34" i="13" s="1"/>
  <c r="P35" i="13" a="1"/>
  <c r="P35" i="13" s="1"/>
  <c r="Z17" i="11" a="1"/>
  <c r="Z17" i="11" s="1"/>
  <c r="AB24" i="11" a="1"/>
  <c r="AB24" i="11" s="1"/>
  <c r="AC41" i="11" a="1"/>
  <c r="AC41" i="11" s="1"/>
  <c r="P74" i="11" a="1"/>
  <c r="P74" i="11" s="1"/>
  <c r="R83" i="11" a="1"/>
  <c r="R83" i="11" s="1"/>
  <c r="T89" i="11" a="1"/>
  <c r="T89" i="11" s="1"/>
  <c r="V97" i="11" a="1"/>
  <c r="V97" i="11" s="1"/>
  <c r="Y103" i="11" a="1"/>
  <c r="Y103" i="11" s="1"/>
  <c r="Y111" i="11" a="1"/>
  <c r="Y111" i="11" s="1"/>
  <c r="W121" i="11" a="1"/>
  <c r="W121" i="11" s="1"/>
  <c r="O103" i="11" a="1"/>
  <c r="O103" i="11" s="1"/>
  <c r="AB55" i="13" a="1"/>
  <c r="AB55" i="13" s="1"/>
  <c r="U45" i="8" a="1"/>
  <c r="U45" i="8" s="1"/>
  <c r="U61" i="8" a="1"/>
  <c r="U61" i="8" s="1"/>
  <c r="M50" i="8" a="1"/>
  <c r="M50" i="8" s="1"/>
  <c r="AC50" i="8" a="1"/>
  <c r="AC50" i="8" s="1"/>
  <c r="U53" i="8" a="1"/>
  <c r="U53" i="8" s="1"/>
  <c r="M66" i="8" a="1"/>
  <c r="M66" i="8" s="1"/>
  <c r="AC66" i="8" a="1"/>
  <c r="AC66" i="8" s="1"/>
  <c r="U69" i="8" a="1"/>
  <c r="U69" i="8" s="1"/>
  <c r="K75" i="8" a="1"/>
  <c r="K75" i="8" s="1"/>
  <c r="AA75" i="8" a="1"/>
  <c r="AA75" i="8" s="1"/>
  <c r="S78" i="8" a="1"/>
  <c r="S78" i="8" s="1"/>
  <c r="I83" i="8" a="1"/>
  <c r="I83" i="8" s="1"/>
  <c r="Y83" i="8" a="1"/>
  <c r="Y83" i="8" s="1"/>
  <c r="Q86" i="8" a="1"/>
  <c r="Q86" i="8" s="1"/>
  <c r="Q92" i="8" a="1"/>
  <c r="Q92" i="8" s="1"/>
  <c r="Q93" i="8" s="1"/>
  <c r="Q94" i="8" s="1"/>
  <c r="I95" i="8" a="1"/>
  <c r="I95" i="8" s="1"/>
  <c r="Y95" i="8" a="1"/>
  <c r="Y95" i="8" s="1"/>
  <c r="Q101" i="8" a="1"/>
  <c r="Q101" i="8" s="1"/>
  <c r="Q102" i="8" s="1"/>
  <c r="Q103" i="8" s="1"/>
  <c r="I104" i="8" a="1"/>
  <c r="I104" i="8" s="1"/>
  <c r="Y104" i="8" a="1"/>
  <c r="Y104" i="8" s="1"/>
  <c r="Z110" i="8" a="1"/>
  <c r="Z110" i="8" s="1"/>
  <c r="Z111" i="8" s="1"/>
  <c r="Z112" i="8" s="1"/>
  <c r="AA113" i="8" a="1"/>
  <c r="AA113" i="8" s="1"/>
  <c r="M20" i="10" a="1"/>
  <c r="M20" i="10" s="1"/>
  <c r="AC20" i="10" a="1"/>
  <c r="AC20" i="10" s="1"/>
  <c r="AB25" i="10" a="1"/>
  <c r="AB25" i="10" s="1"/>
  <c r="R66" i="10" a="1"/>
  <c r="R66" i="10" s="1"/>
  <c r="Q80" i="10" a="1"/>
  <c r="Q80" i="10" s="1"/>
  <c r="AB85" i="10" a="1"/>
  <c r="AB85" i="10" s="1"/>
  <c r="AA91" i="10" a="1"/>
  <c r="AA91" i="10" s="1"/>
  <c r="AA102" i="10" a="1"/>
  <c r="AA102" i="10" s="1"/>
  <c r="Z105" i="10" a="1"/>
  <c r="Z105" i="10" s="1"/>
  <c r="Z117" i="10" a="1"/>
  <c r="Z117" i="10" s="1"/>
  <c r="Y120" i="10" a="1"/>
  <c r="Y120" i="10" s="1"/>
  <c r="V127" i="10" a="1"/>
  <c r="V127" i="10" s="1"/>
  <c r="AC134" i="10" a="1"/>
  <c r="AC134" i="10" s="1"/>
  <c r="L12" i="13" a="1"/>
  <c r="L12" i="13" s="1"/>
  <c r="J13" i="13" a="1"/>
  <c r="J13" i="13" s="1"/>
  <c r="H34" i="13" a="1"/>
  <c r="H34" i="13" s="1"/>
  <c r="X34" i="13" a="1"/>
  <c r="X34" i="13" s="1"/>
  <c r="X41" i="13" s="1"/>
  <c r="Q35" i="13" a="1"/>
  <c r="Q35" i="13" s="1"/>
  <c r="Q42" i="13" s="1"/>
  <c r="AA17" i="11" a="1"/>
  <c r="AA17" i="11" s="1"/>
  <c r="AC24" i="11" a="1"/>
  <c r="AC24" i="11" s="1"/>
  <c r="O57" i="11" a="1"/>
  <c r="O57" i="11" s="1"/>
  <c r="Q74" i="11" a="1"/>
  <c r="Q74" i="11" s="1"/>
  <c r="S83" i="11" a="1"/>
  <c r="S83" i="11" s="1"/>
  <c r="U89" i="11" a="1"/>
  <c r="U89" i="11" s="1"/>
  <c r="W97" i="11" a="1"/>
  <c r="W97" i="11" s="1"/>
  <c r="Z103" i="11" a="1"/>
  <c r="Z103" i="11" s="1"/>
  <c r="Z111" i="11" a="1"/>
  <c r="Z111" i="11" s="1"/>
  <c r="X121" i="11" a="1"/>
  <c r="X121" i="11" s="1"/>
  <c r="AK117" i="10" a="1"/>
  <c r="AK117" i="10" s="1"/>
  <c r="AK102" i="10" a="1"/>
  <c r="AK102" i="10" s="1"/>
  <c r="AK66" i="10" a="1"/>
  <c r="AK66" i="10" s="1"/>
  <c r="AK134" i="10" a="1"/>
  <c r="AK134" i="10" s="1"/>
  <c r="AK120" i="10" a="1"/>
  <c r="AK120" i="10" s="1"/>
  <c r="AK105" i="10" a="1"/>
  <c r="AK105" i="10" s="1"/>
  <c r="AK91" i="10" a="1"/>
  <c r="AK91" i="10" s="1"/>
  <c r="AK25" i="10" a="1"/>
  <c r="AK25" i="10" s="1"/>
  <c r="AK20" i="10" a="1"/>
  <c r="AK20" i="10" s="1"/>
  <c r="AK85" i="10" a="1"/>
  <c r="AK85" i="10" s="1"/>
  <c r="AK80" i="10" a="1"/>
  <c r="AK80" i="10" s="1"/>
  <c r="AK51" i="10" a="1"/>
  <c r="AK51" i="10" s="1"/>
  <c r="AI85" i="10" a="1"/>
  <c r="AI85" i="10" s="1"/>
  <c r="AI66" i="10" a="1"/>
  <c r="AI66" i="10" s="1"/>
  <c r="AI134" i="10" a="1"/>
  <c r="AI134" i="10" s="1"/>
  <c r="AJ117" i="10" a="1"/>
  <c r="AJ117" i="10" s="1"/>
  <c r="AI120" i="10" a="1"/>
  <c r="AI120" i="10" s="1"/>
  <c r="AJ105" i="10" a="1"/>
  <c r="AJ105" i="10" s="1"/>
  <c r="AI105" i="10" a="1"/>
  <c r="AI105" i="10" s="1"/>
  <c r="AJ134" i="10" a="1"/>
  <c r="AJ134" i="10" s="1"/>
  <c r="AI117" i="10" a="1"/>
  <c r="AI117" i="10" s="1"/>
  <c r="AJ102" i="10" a="1"/>
  <c r="AJ102" i="10" s="1"/>
  <c r="AJ20" i="10" a="1"/>
  <c r="AJ20" i="10" s="1"/>
  <c r="AJ127" i="10" a="1"/>
  <c r="AJ127" i="10" s="1"/>
  <c r="AJ85" i="10" a="1"/>
  <c r="AJ85" i="10" s="1"/>
  <c r="AI102" i="10" a="1"/>
  <c r="AI102" i="10" s="1"/>
  <c r="AJ25" i="10" a="1"/>
  <c r="AJ25" i="10" s="1"/>
  <c r="AK127" i="10" a="1"/>
  <c r="AK127" i="10" s="1"/>
  <c r="AJ66" i="10" a="1"/>
  <c r="AJ66" i="10" s="1"/>
  <c r="AJ120" i="10" a="1"/>
  <c r="AJ120" i="10" s="1"/>
  <c r="AL127" i="10" a="1"/>
  <c r="AL127" i="10" s="1"/>
  <c r="AJ91" i="10" a="1"/>
  <c r="AJ91" i="10" s="1"/>
  <c r="AJ51" i="10" a="1"/>
  <c r="AJ51" i="10" s="1"/>
  <c r="AH127" i="10" a="1"/>
  <c r="AH127" i="10" s="1"/>
  <c r="AJ80" i="10" a="1"/>
  <c r="AJ80" i="10" s="1"/>
  <c r="AI91" i="10" a="1"/>
  <c r="AI91" i="10" s="1"/>
  <c r="AI25" i="10" a="1"/>
  <c r="AI25" i="10" s="1"/>
  <c r="AI127" i="10" a="1"/>
  <c r="AI127" i="10" s="1"/>
  <c r="AI51" i="10" a="1"/>
  <c r="AI51" i="10" s="1"/>
  <c r="AI20" i="10" a="1"/>
  <c r="AI20" i="10" s="1"/>
  <c r="AI80" i="10" a="1"/>
  <c r="AI80" i="10" s="1"/>
  <c r="AH120" i="10" a="1"/>
  <c r="AH120" i="10" s="1"/>
  <c r="AH20" i="10" a="1"/>
  <c r="AH20" i="10" s="1"/>
  <c r="AH117" i="10" a="1"/>
  <c r="AH117" i="10" s="1"/>
  <c r="AF20" i="10" a="1"/>
  <c r="AF20" i="10" s="1"/>
  <c r="AH80" i="10" a="1"/>
  <c r="AH80" i="10" s="1"/>
  <c r="AH105" i="10" a="1"/>
  <c r="AH105" i="10" s="1"/>
  <c r="AH66" i="10" a="1"/>
  <c r="AH66" i="10" s="1"/>
  <c r="AH102" i="10" a="1"/>
  <c r="AH102" i="10" s="1"/>
  <c r="AH25" i="10" a="1"/>
  <c r="AH25" i="10" s="1"/>
  <c r="AH91" i="10" a="1"/>
  <c r="AH91" i="10" s="1"/>
  <c r="AH51" i="10" a="1"/>
  <c r="AH51" i="10" s="1"/>
  <c r="AH85" i="10" a="1"/>
  <c r="AH85" i="10" s="1"/>
  <c r="AH134" i="10" a="1"/>
  <c r="AH134" i="10" s="1"/>
  <c r="AF66" i="10" a="1"/>
  <c r="AF66" i="10" s="1"/>
  <c r="AF51" i="10" a="1"/>
  <c r="AF51" i="10" s="1"/>
  <c r="AF25" i="10" a="1"/>
  <c r="AF25" i="10" s="1"/>
  <c r="W12" i="13" a="1"/>
  <c r="W12" i="13" s="1"/>
  <c r="W19" i="13" s="1"/>
  <c r="AG102" i="10" a="1"/>
  <c r="AG102" i="10" s="1"/>
  <c r="V61" i="8" a="1"/>
  <c r="V61" i="8" s="1"/>
  <c r="N50" i="8" a="1"/>
  <c r="N50" i="8" s="1"/>
  <c r="AD50" i="8" a="1"/>
  <c r="AD50" i="8" s="1"/>
  <c r="V53" i="8" a="1"/>
  <c r="V53" i="8" s="1"/>
  <c r="N66" i="8" a="1"/>
  <c r="N66" i="8" s="1"/>
  <c r="AD66" i="8" a="1"/>
  <c r="AD66" i="8" s="1"/>
  <c r="V69" i="8" a="1"/>
  <c r="V69" i="8" s="1"/>
  <c r="L75" i="8" a="1"/>
  <c r="L75" i="8" s="1"/>
  <c r="AB75" i="8" a="1"/>
  <c r="AB75" i="8" s="1"/>
  <c r="T78" i="8" a="1"/>
  <c r="T78" i="8" s="1"/>
  <c r="J83" i="8" a="1"/>
  <c r="J83" i="8" s="1"/>
  <c r="Z83" i="8" a="1"/>
  <c r="Z83" i="8" s="1"/>
  <c r="R86" i="8" a="1"/>
  <c r="R86" i="8" s="1"/>
  <c r="R92" i="8" a="1"/>
  <c r="R92" i="8" s="1"/>
  <c r="R93" i="8" s="1"/>
  <c r="R94" i="8" s="1"/>
  <c r="J95" i="8" a="1"/>
  <c r="J95" i="8" s="1"/>
  <c r="Z95" i="8" a="1"/>
  <c r="Z95" i="8" s="1"/>
  <c r="R101" i="8" a="1"/>
  <c r="R101" i="8" s="1"/>
  <c r="R102" i="8" s="1"/>
  <c r="R103" i="8" s="1"/>
  <c r="J104" i="8" a="1"/>
  <c r="J104" i="8" s="1"/>
  <c r="Z104" i="8" a="1"/>
  <c r="Z104" i="8" s="1"/>
  <c r="AA110" i="8" a="1"/>
  <c r="AA110" i="8" s="1"/>
  <c r="AA111" i="8" s="1"/>
  <c r="AA112" i="8" s="1"/>
  <c r="AB113" i="8" a="1"/>
  <c r="AB113" i="8" s="1"/>
  <c r="N20" i="10" a="1"/>
  <c r="N20" i="10" s="1"/>
  <c r="AD20" i="10" a="1"/>
  <c r="AD20" i="10" s="1"/>
  <c r="AC25" i="10" a="1"/>
  <c r="AC25" i="10" s="1"/>
  <c r="S66" i="10" a="1"/>
  <c r="S66" i="10" s="1"/>
  <c r="R80" i="10" a="1"/>
  <c r="R80" i="10" s="1"/>
  <c r="AC85" i="10" a="1"/>
  <c r="AC85" i="10" s="1"/>
  <c r="AB91" i="10" a="1"/>
  <c r="AB91" i="10" s="1"/>
  <c r="L102" i="10" a="1"/>
  <c r="L102" i="10" s="1"/>
  <c r="AB102" i="10" a="1"/>
  <c r="AB102" i="10" s="1"/>
  <c r="AA105" i="10" a="1"/>
  <c r="AA105" i="10" s="1"/>
  <c r="AA117" i="10" a="1"/>
  <c r="AA117" i="10" s="1"/>
  <c r="Z120" i="10" a="1"/>
  <c r="Z120" i="10" s="1"/>
  <c r="W127" i="10" a="1"/>
  <c r="W127" i="10" s="1"/>
  <c r="AD134" i="10" a="1"/>
  <c r="AD134" i="10" s="1"/>
  <c r="M12" i="13" a="1"/>
  <c r="M12" i="13" s="1"/>
  <c r="K13" i="13" a="1"/>
  <c r="K13" i="13" s="1"/>
  <c r="I34" i="13" a="1"/>
  <c r="I34" i="13" s="1"/>
  <c r="Y34" i="13" a="1"/>
  <c r="Y34" i="13" s="1"/>
  <c r="R35" i="13" a="1"/>
  <c r="R35" i="13" s="1"/>
  <c r="L17" i="11" a="1"/>
  <c r="L17" i="11" s="1"/>
  <c r="AB17" i="11" a="1"/>
  <c r="AB17" i="11" s="1"/>
  <c r="O41" i="11" a="1"/>
  <c r="O41" i="11" s="1"/>
  <c r="P57" i="11" a="1"/>
  <c r="P57" i="11" s="1"/>
  <c r="R74" i="11" a="1"/>
  <c r="R74" i="11" s="1"/>
  <c r="T83" i="11" a="1"/>
  <c r="T83" i="11" s="1"/>
  <c r="V89" i="11" a="1"/>
  <c r="V89" i="11" s="1"/>
  <c r="X97" i="11" a="1"/>
  <c r="X97" i="11" s="1"/>
  <c r="AA103" i="11" a="1"/>
  <c r="AA103" i="11" s="1"/>
  <c r="AA111" i="11" a="1"/>
  <c r="AA111" i="11" s="1"/>
  <c r="Y121" i="11" a="1"/>
  <c r="Y121" i="11" s="1"/>
  <c r="Y12" i="13" a="1"/>
  <c r="Y12" i="13" s="1"/>
  <c r="AG20" i="10" a="1"/>
  <c r="AG20" i="10" s="1"/>
  <c r="O66" i="8" a="1"/>
  <c r="O66" i="8" s="1"/>
  <c r="G69" i="8" a="1"/>
  <c r="G69" i="8" s="1"/>
  <c r="W69" i="8" a="1"/>
  <c r="W69" i="8" s="1"/>
  <c r="M75" i="8" a="1"/>
  <c r="M75" i="8" s="1"/>
  <c r="AC75" i="8" a="1"/>
  <c r="AC75" i="8" s="1"/>
  <c r="U78" i="8" a="1"/>
  <c r="U78" i="8" s="1"/>
  <c r="K83" i="8" a="1"/>
  <c r="K83" i="8" s="1"/>
  <c r="AA83" i="8" a="1"/>
  <c r="AA83" i="8" s="1"/>
  <c r="S86" i="8" a="1"/>
  <c r="S86" i="8" s="1"/>
  <c r="S92" i="8" a="1"/>
  <c r="S92" i="8" s="1"/>
  <c r="S93" i="8" s="1"/>
  <c r="S94" i="8" s="1"/>
  <c r="K95" i="8" a="1"/>
  <c r="K95" i="8" s="1"/>
  <c r="AA95" i="8" a="1"/>
  <c r="AA95" i="8" s="1"/>
  <c r="S101" i="8" a="1"/>
  <c r="S101" i="8" s="1"/>
  <c r="S102" i="8" s="1"/>
  <c r="S103" i="8" s="1"/>
  <c r="K104" i="8" a="1"/>
  <c r="K104" i="8" s="1"/>
  <c r="AA104" i="8" a="1"/>
  <c r="AA104" i="8" s="1"/>
  <c r="AB110" i="8" a="1"/>
  <c r="AB110" i="8" s="1"/>
  <c r="AB111" i="8" s="1"/>
  <c r="AB112" i="8" s="1"/>
  <c r="AC113" i="8" a="1"/>
  <c r="AC113" i="8" s="1"/>
  <c r="O20" i="10" a="1"/>
  <c r="O20" i="10" s="1"/>
  <c r="AE20" i="10" a="1"/>
  <c r="AE20" i="10" s="1"/>
  <c r="AD25" i="10" a="1"/>
  <c r="AD25" i="10" s="1"/>
  <c r="T66" i="10" a="1"/>
  <c r="T66" i="10" s="1"/>
  <c r="S80" i="10" a="1"/>
  <c r="S80" i="10" s="1"/>
  <c r="AD85" i="10" a="1"/>
  <c r="AD85" i="10" s="1"/>
  <c r="AC91" i="10" a="1"/>
  <c r="AC91" i="10" s="1"/>
  <c r="M102" i="10" a="1"/>
  <c r="M102" i="10" s="1"/>
  <c r="AC102" i="10" a="1"/>
  <c r="AC102" i="10" s="1"/>
  <c r="AB105" i="10" a="1"/>
  <c r="AB105" i="10" s="1"/>
  <c r="L117" i="10" a="1"/>
  <c r="L117" i="10" s="1"/>
  <c r="AB117" i="10" a="1"/>
  <c r="AB117" i="10" s="1"/>
  <c r="AA120" i="10" a="1"/>
  <c r="AA120" i="10" s="1"/>
  <c r="X127" i="10" a="1"/>
  <c r="X127" i="10" s="1"/>
  <c r="O134" i="10" a="1"/>
  <c r="O134" i="10" s="1"/>
  <c r="AE134" i="10" a="1"/>
  <c r="AE134" i="10" s="1"/>
  <c r="N12" i="13" a="1"/>
  <c r="N12" i="13" s="1"/>
  <c r="L13" i="13" a="1"/>
  <c r="L13" i="13" s="1"/>
  <c r="J34" i="13" a="1"/>
  <c r="J34" i="13" s="1"/>
  <c r="Z34" i="13" a="1"/>
  <c r="Z34" i="13" s="1"/>
  <c r="Z39" i="13" s="1"/>
  <c r="S35" i="13" a="1"/>
  <c r="S35" i="13" s="1"/>
  <c r="M17" i="11" a="1"/>
  <c r="M17" i="11" s="1"/>
  <c r="O24" i="11" a="1"/>
  <c r="O24" i="11" s="1"/>
  <c r="P41" i="11" a="1"/>
  <c r="P41" i="11" s="1"/>
  <c r="Q57" i="11" a="1"/>
  <c r="Q57" i="11" s="1"/>
  <c r="S74" i="11" a="1"/>
  <c r="S74" i="11" s="1"/>
  <c r="U83" i="11" a="1"/>
  <c r="U83" i="11" s="1"/>
  <c r="W89" i="11" a="1"/>
  <c r="W89" i="11" s="1"/>
  <c r="Y97" i="11" a="1"/>
  <c r="Y97" i="11" s="1"/>
  <c r="AB103" i="11" a="1"/>
  <c r="AB103" i="11" s="1"/>
  <c r="AB111" i="11" a="1"/>
  <c r="AB111" i="11" s="1"/>
  <c r="Z121" i="11" a="1"/>
  <c r="Z121" i="11" s="1"/>
  <c r="AB74" i="13" a="1"/>
  <c r="AB74" i="13" s="1"/>
  <c r="X12" i="13" a="1"/>
  <c r="X12" i="13" s="1"/>
  <c r="AG105" i="10" a="1"/>
  <c r="AG105" i="10" s="1"/>
  <c r="H53" i="8" a="1"/>
  <c r="H53" i="8" s="1"/>
  <c r="X53" i="8" a="1"/>
  <c r="X53" i="8" s="1"/>
  <c r="P66" i="8" a="1"/>
  <c r="P66" i="8" s="1"/>
  <c r="H69" i="8" a="1"/>
  <c r="H69" i="8" s="1"/>
  <c r="X69" i="8" a="1"/>
  <c r="X69" i="8" s="1"/>
  <c r="N75" i="8" a="1"/>
  <c r="N75" i="8" s="1"/>
  <c r="AD75" i="8" a="1"/>
  <c r="AD75" i="8" s="1"/>
  <c r="V78" i="8" a="1"/>
  <c r="V78" i="8" s="1"/>
  <c r="L83" i="8" a="1"/>
  <c r="L83" i="8" s="1"/>
  <c r="AB83" i="8" a="1"/>
  <c r="AB83" i="8" s="1"/>
  <c r="T86" i="8" a="1"/>
  <c r="T86" i="8" s="1"/>
  <c r="T92" i="8" a="1"/>
  <c r="T92" i="8" s="1"/>
  <c r="T93" i="8" s="1"/>
  <c r="T94" i="8" s="1"/>
  <c r="L95" i="8" a="1"/>
  <c r="L95" i="8" s="1"/>
  <c r="AB95" i="8" a="1"/>
  <c r="AB95" i="8" s="1"/>
  <c r="T101" i="8" a="1"/>
  <c r="T101" i="8" s="1"/>
  <c r="T102" i="8" s="1"/>
  <c r="T103" i="8" s="1"/>
  <c r="L104" i="8" a="1"/>
  <c r="L104" i="8" s="1"/>
  <c r="AB104" i="8" a="1"/>
  <c r="AB104" i="8" s="1"/>
  <c r="AC110" i="8" a="1"/>
  <c r="AC110" i="8" s="1"/>
  <c r="AC111" i="8" s="1"/>
  <c r="AC112" i="8" s="1"/>
  <c r="AD113" i="8" a="1"/>
  <c r="AD113" i="8" s="1"/>
  <c r="P20" i="10" a="1"/>
  <c r="P20" i="10" s="1"/>
  <c r="O25" i="10" a="1"/>
  <c r="O25" i="10" s="1"/>
  <c r="AE25" i="10" a="1"/>
  <c r="AE25" i="10" s="1"/>
  <c r="U66" i="10" a="1"/>
  <c r="U66" i="10" s="1"/>
  <c r="T80" i="10" a="1"/>
  <c r="T80" i="10" s="1"/>
  <c r="AE85" i="10" a="1"/>
  <c r="AE85" i="10" s="1"/>
  <c r="AD91" i="10" a="1"/>
  <c r="AD91" i="10" s="1"/>
  <c r="N102" i="10" a="1"/>
  <c r="N102" i="10" s="1"/>
  <c r="AD102" i="10" a="1"/>
  <c r="AD102" i="10" s="1"/>
  <c r="AC105" i="10" a="1"/>
  <c r="AC105" i="10" s="1"/>
  <c r="M117" i="10" a="1"/>
  <c r="M117" i="10" s="1"/>
  <c r="AC117" i="10" a="1"/>
  <c r="AC117" i="10" s="1"/>
  <c r="AB120" i="10" a="1"/>
  <c r="AB120" i="10" s="1"/>
  <c r="Y127" i="10" a="1"/>
  <c r="Y127" i="10" s="1"/>
  <c r="P134" i="10" a="1"/>
  <c r="P134" i="10" s="1"/>
  <c r="O12" i="13" a="1"/>
  <c r="O12" i="13" s="1"/>
  <c r="M13" i="13" a="1"/>
  <c r="M13" i="13" s="1"/>
  <c r="K34" i="13" a="1"/>
  <c r="K34" i="13" s="1"/>
  <c r="AA34" i="13" a="1"/>
  <c r="AA34" i="13" s="1"/>
  <c r="T35" i="13" a="1"/>
  <c r="T35" i="13" s="1"/>
  <c r="N17" i="11" a="1"/>
  <c r="N17" i="11" s="1"/>
  <c r="P24" i="11" a="1"/>
  <c r="P24" i="11" s="1"/>
  <c r="Q41" i="11" a="1"/>
  <c r="Q41" i="11" s="1"/>
  <c r="R57" i="11" a="1"/>
  <c r="R57" i="11" s="1"/>
  <c r="AA65" i="11" a="1"/>
  <c r="AA65" i="11" s="1"/>
  <c r="T74" i="11" a="1"/>
  <c r="T74" i="11" s="1"/>
  <c r="V83" i="11" a="1"/>
  <c r="V83" i="11" s="1"/>
  <c r="X89" i="11" a="1"/>
  <c r="X89" i="11" s="1"/>
  <c r="Z97" i="11" a="1"/>
  <c r="Z97" i="11" s="1"/>
  <c r="AC103" i="11" a="1"/>
  <c r="AC103" i="11" s="1"/>
  <c r="AC111" i="11" a="1"/>
  <c r="AC111" i="11" s="1"/>
  <c r="AB94" i="13" a="1"/>
  <c r="AB94" i="13" s="1"/>
  <c r="W13" i="13" a="1"/>
  <c r="W13" i="13" s="1"/>
  <c r="AF85" i="10" a="1"/>
  <c r="AF85" i="10" s="1"/>
  <c r="Y45" i="8" a="1"/>
  <c r="Y45" i="8" s="1"/>
  <c r="U58" i="8" a="1"/>
  <c r="U58" i="8" s="1"/>
  <c r="Y61" i="8" a="1"/>
  <c r="Y61" i="8" s="1"/>
  <c r="Q50" i="8" a="1"/>
  <c r="Q50" i="8" s="1"/>
  <c r="I53" i="8" a="1"/>
  <c r="I53" i="8" s="1"/>
  <c r="Y53" i="8" a="1"/>
  <c r="Y53" i="8" s="1"/>
  <c r="Q66" i="8" a="1"/>
  <c r="Q66" i="8" s="1"/>
  <c r="I69" i="8" a="1"/>
  <c r="I69" i="8" s="1"/>
  <c r="Y69" i="8" a="1"/>
  <c r="Y69" i="8" s="1"/>
  <c r="O75" i="8" a="1"/>
  <c r="O75" i="8" s="1"/>
  <c r="G78" i="8" a="1"/>
  <c r="G78" i="8" s="1"/>
  <c r="W78" i="8" a="1"/>
  <c r="W78" i="8" s="1"/>
  <c r="M83" i="8" a="1"/>
  <c r="M83" i="8" s="1"/>
  <c r="AC83" i="8" a="1"/>
  <c r="AC83" i="8" s="1"/>
  <c r="U86" i="8" a="1"/>
  <c r="U86" i="8" s="1"/>
  <c r="U92" i="8" a="1"/>
  <c r="U92" i="8" s="1"/>
  <c r="U93" i="8" s="1"/>
  <c r="U94" i="8" s="1"/>
  <c r="M95" i="8" a="1"/>
  <c r="M95" i="8" s="1"/>
  <c r="AC95" i="8" a="1"/>
  <c r="AC95" i="8" s="1"/>
  <c r="U101" i="8" a="1"/>
  <c r="U101" i="8" s="1"/>
  <c r="U102" i="8" s="1"/>
  <c r="U103" i="8" s="1"/>
  <c r="M104" i="8" a="1"/>
  <c r="M104" i="8" s="1"/>
  <c r="AC104" i="8" a="1"/>
  <c r="AC104" i="8" s="1"/>
  <c r="AD110" i="8" a="1"/>
  <c r="AD110" i="8" s="1"/>
  <c r="AD111" i="8" s="1"/>
  <c r="AD112" i="8" s="1"/>
  <c r="Q20" i="10" a="1"/>
  <c r="Q20" i="10" s="1"/>
  <c r="P25" i="10" a="1"/>
  <c r="P25" i="10" s="1"/>
  <c r="V66" i="10" a="1"/>
  <c r="V66" i="10" s="1"/>
  <c r="U80" i="10" a="1"/>
  <c r="U80" i="10" s="1"/>
  <c r="O91" i="10" a="1"/>
  <c r="O91" i="10" s="1"/>
  <c r="AE91" i="10" a="1"/>
  <c r="AE91" i="10" s="1"/>
  <c r="O102" i="10" a="1"/>
  <c r="O102" i="10" s="1"/>
  <c r="AE102" i="10" a="1"/>
  <c r="AE102" i="10" s="1"/>
  <c r="AD105" i="10" a="1"/>
  <c r="AD105" i="10" s="1"/>
  <c r="N117" i="10" a="1"/>
  <c r="N117" i="10" s="1"/>
  <c r="AD117" i="10" a="1"/>
  <c r="AD117" i="10" s="1"/>
  <c r="AC120" i="10" a="1"/>
  <c r="AC120" i="10" s="1"/>
  <c r="Z127" i="10" a="1"/>
  <c r="Z127" i="10" s="1"/>
  <c r="Q134" i="10" a="1"/>
  <c r="Q134" i="10" s="1"/>
  <c r="P12" i="13" a="1"/>
  <c r="P12" i="13" s="1"/>
  <c r="N13" i="13" a="1"/>
  <c r="N13" i="13" s="1"/>
  <c r="L34" i="13" a="1"/>
  <c r="L34" i="13" s="1"/>
  <c r="E35" i="13" a="1"/>
  <c r="E35" i="13" s="1"/>
  <c r="U35" i="13" a="1"/>
  <c r="U35" i="13" s="1"/>
  <c r="O17" i="11" a="1"/>
  <c r="O17" i="11" s="1"/>
  <c r="Q24" i="11" a="1"/>
  <c r="Q24" i="11" s="1"/>
  <c r="R41" i="11" a="1"/>
  <c r="R41" i="11" s="1"/>
  <c r="S57" i="11" a="1"/>
  <c r="S57" i="11" s="1"/>
  <c r="AB65" i="11" a="1"/>
  <c r="AB65" i="11" s="1"/>
  <c r="U74" i="11" a="1"/>
  <c r="U74" i="11" s="1"/>
  <c r="W83" i="11" a="1"/>
  <c r="W83" i="11" s="1"/>
  <c r="Y89" i="11" a="1"/>
  <c r="Y89" i="11" s="1"/>
  <c r="AA97" i="11" a="1"/>
  <c r="AA97" i="11" s="1"/>
  <c r="AB93" i="13" a="1"/>
  <c r="AB93" i="13" s="1"/>
  <c r="AB12" i="13" a="1"/>
  <c r="AB12" i="13" s="1"/>
  <c r="AG117" i="10" a="1"/>
  <c r="AG117" i="10" s="1"/>
  <c r="V101" i="8" a="1"/>
  <c r="V101" i="8" s="1"/>
  <c r="V102" i="8" s="1"/>
  <c r="V103" i="8" s="1"/>
  <c r="N104" i="8" a="1"/>
  <c r="N104" i="8" s="1"/>
  <c r="AD104" i="8" a="1"/>
  <c r="AD104" i="8" s="1"/>
  <c r="P113" i="8" a="1"/>
  <c r="P113" i="8" s="1"/>
  <c r="R20" i="10" a="1"/>
  <c r="R20" i="10" s="1"/>
  <c r="Q25" i="10" a="1"/>
  <c r="Q25" i="10" s="1"/>
  <c r="W66" i="10" a="1"/>
  <c r="W66" i="10" s="1"/>
  <c r="V80" i="10" a="1"/>
  <c r="V80" i="10" s="1"/>
  <c r="P91" i="10" a="1"/>
  <c r="P91" i="10" s="1"/>
  <c r="P102" i="10" a="1"/>
  <c r="P102" i="10" s="1"/>
  <c r="O105" i="10" a="1"/>
  <c r="O105" i="10" s="1"/>
  <c r="AE105" i="10" a="1"/>
  <c r="AE105" i="10" s="1"/>
  <c r="O117" i="10" a="1"/>
  <c r="O117" i="10" s="1"/>
  <c r="AE117" i="10" a="1"/>
  <c r="AE117" i="10" s="1"/>
  <c r="AD120" i="10" a="1"/>
  <c r="AD120" i="10" s="1"/>
  <c r="AA127" i="10" a="1"/>
  <c r="AA127" i="10" s="1"/>
  <c r="R134" i="10" a="1"/>
  <c r="R134" i="10" s="1"/>
  <c r="Q12" i="13" a="1"/>
  <c r="Q12" i="13" s="1"/>
  <c r="O13" i="13" a="1"/>
  <c r="O13" i="13" s="1"/>
  <c r="M34" i="13" a="1"/>
  <c r="M34" i="13" s="1"/>
  <c r="F35" i="13" a="1"/>
  <c r="F35" i="13" s="1"/>
  <c r="V35" i="13" a="1"/>
  <c r="V35" i="13" s="1"/>
  <c r="P17" i="11" a="1"/>
  <c r="P17" i="11" s="1"/>
  <c r="R24" i="11" a="1"/>
  <c r="R24" i="11" s="1"/>
  <c r="S41" i="11" a="1"/>
  <c r="S41" i="11" s="1"/>
  <c r="T57" i="11" a="1"/>
  <c r="T57" i="11" s="1"/>
  <c r="AC65" i="11" a="1"/>
  <c r="AC65" i="11" s="1"/>
  <c r="V74" i="11" a="1"/>
  <c r="V74" i="11" s="1"/>
  <c r="X83" i="11" a="1"/>
  <c r="X83" i="11" s="1"/>
  <c r="Z89" i="11" a="1"/>
  <c r="Z89" i="11" s="1"/>
  <c r="L97" i="11" a="1"/>
  <c r="L97" i="11" s="1"/>
  <c r="AB97" i="11" a="1"/>
  <c r="AB97" i="11" s="1"/>
  <c r="AF102" i="10" a="1"/>
  <c r="AF102" i="10" s="1"/>
  <c r="Y13" i="13" a="1"/>
  <c r="Y13" i="13" s="1"/>
  <c r="AG51" i="10" a="1"/>
  <c r="AG51" i="10" s="1"/>
  <c r="W101" i="8" a="1"/>
  <c r="W101" i="8" s="1"/>
  <c r="W102" i="8" s="1"/>
  <c r="W103" i="8" s="1"/>
  <c r="O104" i="8" a="1"/>
  <c r="O104" i="8" s="1"/>
  <c r="P110" i="8" a="1"/>
  <c r="P110" i="8" s="1"/>
  <c r="P111" i="8" s="1"/>
  <c r="P112" i="8" s="1"/>
  <c r="Q113" i="8" a="1"/>
  <c r="Q113" i="8" s="1"/>
  <c r="S20" i="10" a="1"/>
  <c r="S20" i="10" s="1"/>
  <c r="R25" i="10" a="1"/>
  <c r="R25" i="10" s="1"/>
  <c r="X66" i="10" a="1"/>
  <c r="X66" i="10" s="1"/>
  <c r="W80" i="10" a="1"/>
  <c r="W80" i="10" s="1"/>
  <c r="Q91" i="10" a="1"/>
  <c r="Q91" i="10" s="1"/>
  <c r="Q102" i="10" a="1"/>
  <c r="Q102" i="10" s="1"/>
  <c r="P105" i="10" a="1"/>
  <c r="P105" i="10" s="1"/>
  <c r="P117" i="10" a="1"/>
  <c r="P117" i="10" s="1"/>
  <c r="O120" i="10" a="1"/>
  <c r="O120" i="10" s="1"/>
  <c r="AE120" i="10" a="1"/>
  <c r="AE120" i="10" s="1"/>
  <c r="AB127" i="10" a="1"/>
  <c r="AB127" i="10" s="1"/>
  <c r="S134" i="10" a="1"/>
  <c r="S134" i="10" s="1"/>
  <c r="X140" i="10" a="1"/>
  <c r="X140" i="10" s="1"/>
  <c r="R12" i="13" a="1"/>
  <c r="R12" i="13" s="1"/>
  <c r="P13" i="13" a="1"/>
  <c r="P13" i="13" s="1"/>
  <c r="N34" i="13" a="1"/>
  <c r="N34" i="13" s="1"/>
  <c r="G35" i="13" a="1"/>
  <c r="G35" i="13" s="1"/>
  <c r="W35" i="13" a="1"/>
  <c r="W35" i="13" s="1"/>
  <c r="Q17" i="11" a="1"/>
  <c r="Q17" i="11" s="1"/>
  <c r="S24" i="11" a="1"/>
  <c r="S24" i="11" s="1"/>
  <c r="T41" i="11" a="1"/>
  <c r="T41" i="11" s="1"/>
  <c r="U57" i="11" a="1"/>
  <c r="U57" i="11" s="1"/>
  <c r="W74" i="11" a="1"/>
  <c r="W74" i="11" s="1"/>
  <c r="Y83" i="11" a="1"/>
  <c r="Y83" i="11" s="1"/>
  <c r="AA89" i="11" a="1"/>
  <c r="AA89" i="11" s="1"/>
  <c r="M97" i="11" a="1"/>
  <c r="M97" i="11" s="1"/>
  <c r="P103" i="11" a="1"/>
  <c r="P103" i="11" s="1"/>
  <c r="O111" i="11" a="1"/>
  <c r="O111" i="11" s="1"/>
  <c r="Y130" i="11" a="1"/>
  <c r="Y130" i="11" s="1"/>
  <c r="AF105" i="10" a="1"/>
  <c r="AF105" i="10" s="1"/>
  <c r="Z13" i="13" a="1"/>
  <c r="Z13" i="13" s="1"/>
  <c r="AG91" i="10" a="1"/>
  <c r="AG91" i="10" s="1"/>
  <c r="X101" i="8" a="1"/>
  <c r="X101" i="8" s="1"/>
  <c r="X102" i="8" s="1"/>
  <c r="X103" i="8" s="1"/>
  <c r="P104" i="8" a="1"/>
  <c r="P104" i="8" s="1"/>
  <c r="Q110" i="8" a="1"/>
  <c r="Q110" i="8" s="1"/>
  <c r="Q111" i="8" s="1"/>
  <c r="Q112" i="8" s="1"/>
  <c r="R113" i="8" a="1"/>
  <c r="R113" i="8" s="1"/>
  <c r="T20" i="10" a="1"/>
  <c r="T20" i="10" s="1"/>
  <c r="S25" i="10" a="1"/>
  <c r="S25" i="10" s="1"/>
  <c r="Y66" i="10" a="1"/>
  <c r="Y66" i="10" s="1"/>
  <c r="X80" i="10" a="1"/>
  <c r="X80" i="10" s="1"/>
  <c r="R91" i="10" a="1"/>
  <c r="R91" i="10" s="1"/>
  <c r="R102" i="10" a="1"/>
  <c r="R102" i="10" s="1"/>
  <c r="Q105" i="10" a="1"/>
  <c r="Q105" i="10" s="1"/>
  <c r="Q117" i="10" a="1"/>
  <c r="Q117" i="10" s="1"/>
  <c r="P120" i="10" a="1"/>
  <c r="P120" i="10" s="1"/>
  <c r="AC127" i="10" a="1"/>
  <c r="AC127" i="10" s="1"/>
  <c r="T134" i="10" a="1"/>
  <c r="T134" i="10" s="1"/>
  <c r="Y140" i="10" a="1"/>
  <c r="Y140" i="10" s="1"/>
  <c r="S12" i="13" a="1"/>
  <c r="S12" i="13" s="1"/>
  <c r="Q13" i="13" a="1"/>
  <c r="Q13" i="13" s="1"/>
  <c r="O34" i="13" a="1"/>
  <c r="O34" i="13" s="1"/>
  <c r="H35" i="13" a="1"/>
  <c r="H35" i="13" s="1"/>
  <c r="X35" i="13" a="1"/>
  <c r="X35" i="13" s="1"/>
  <c r="R17" i="11" a="1"/>
  <c r="R17" i="11" s="1"/>
  <c r="T24" i="11" a="1"/>
  <c r="T24" i="11" s="1"/>
  <c r="U41" i="11" a="1"/>
  <c r="U41" i="11" s="1"/>
  <c r="V57" i="11" a="1"/>
  <c r="V57" i="11" s="1"/>
  <c r="X74" i="11" a="1"/>
  <c r="X74" i="11" s="1"/>
  <c r="Z83" i="11" a="1"/>
  <c r="Z83" i="11" s="1"/>
  <c r="AB89" i="11" a="1"/>
  <c r="AB89" i="11" s="1"/>
  <c r="N97" i="11" a="1"/>
  <c r="N97" i="11" s="1"/>
  <c r="Q103" i="11" a="1"/>
  <c r="Q103" i="11" s="1"/>
  <c r="P111" i="11" a="1"/>
  <c r="P111" i="11" s="1"/>
  <c r="Z130" i="11" a="1"/>
  <c r="Z130" i="11" s="1"/>
  <c r="AF117" i="10" a="1"/>
  <c r="AF117" i="10" s="1"/>
  <c r="AA12" i="13" a="1"/>
  <c r="AA12" i="13" s="1"/>
  <c r="AG120" i="10" a="1"/>
  <c r="AG120" i="10" s="1"/>
  <c r="Q104" i="8" a="1"/>
  <c r="Q104" i="8" s="1"/>
  <c r="R110" i="8" a="1"/>
  <c r="R110" i="8" s="1"/>
  <c r="R111" i="8" s="1"/>
  <c r="R112" i="8" s="1"/>
  <c r="S113" i="8" a="1"/>
  <c r="S113" i="8" s="1"/>
  <c r="U20" i="10" a="1"/>
  <c r="U20" i="10" s="1"/>
  <c r="T25" i="10" a="1"/>
  <c r="T25" i="10" s="1"/>
  <c r="AA51" i="10" a="1"/>
  <c r="AA51" i="10" s="1"/>
  <c r="Z66" i="10" a="1"/>
  <c r="Z66" i="10" s="1"/>
  <c r="Y80" i="10" a="1"/>
  <c r="Y80" i="10" s="1"/>
  <c r="S91" i="10" a="1"/>
  <c r="S91" i="10" s="1"/>
  <c r="S102" i="10" a="1"/>
  <c r="S102" i="10" s="1"/>
  <c r="R105" i="10" a="1"/>
  <c r="R105" i="10" s="1"/>
  <c r="R117" i="10" a="1"/>
  <c r="R117" i="10" s="1"/>
  <c r="Q120" i="10" a="1"/>
  <c r="Q120" i="10" s="1"/>
  <c r="AD127" i="10" a="1"/>
  <c r="AD127" i="10" s="1"/>
  <c r="U134" i="10" a="1"/>
  <c r="U134" i="10" s="1"/>
  <c r="Z140" i="10" a="1"/>
  <c r="Z140" i="10" s="1"/>
  <c r="T12" i="13" a="1"/>
  <c r="T12" i="13" s="1"/>
  <c r="R13" i="13" a="1"/>
  <c r="R13" i="13" s="1"/>
  <c r="P34" i="13" a="1"/>
  <c r="P34" i="13" s="1"/>
  <c r="I35" i="13" a="1"/>
  <c r="I35" i="13" s="1"/>
  <c r="Y35" i="13" a="1"/>
  <c r="Y35" i="13" s="1"/>
  <c r="S17" i="11" a="1"/>
  <c r="S17" i="11" s="1"/>
  <c r="U24" i="11" a="1"/>
  <c r="U24" i="11" s="1"/>
  <c r="V41" i="11" a="1"/>
  <c r="V41" i="11" s="1"/>
  <c r="W57" i="11" a="1"/>
  <c r="W57" i="11" s="1"/>
  <c r="Y74" i="11" a="1"/>
  <c r="Y74" i="11" s="1"/>
  <c r="AA83" i="11" a="1"/>
  <c r="AA83" i="11" s="1"/>
  <c r="AC89" i="11" a="1"/>
  <c r="AC89" i="11" s="1"/>
  <c r="O97" i="11" a="1"/>
  <c r="O97" i="11" s="1"/>
  <c r="R103" i="11" a="1"/>
  <c r="R103" i="11" s="1"/>
  <c r="Q111" i="11" a="1"/>
  <c r="Q111" i="11" s="1"/>
  <c r="O121" i="11" a="1"/>
  <c r="O121" i="11" s="1"/>
  <c r="AF120" i="10" a="1"/>
  <c r="AF120" i="10" s="1"/>
  <c r="AA13" i="13" a="1"/>
  <c r="AA13" i="13" s="1"/>
  <c r="AF80" i="10" a="1"/>
  <c r="AF80" i="10" s="1"/>
  <c r="R104" i="8" a="1"/>
  <c r="R104" i="8" s="1"/>
  <c r="S110" i="8" a="1"/>
  <c r="S110" i="8" s="1"/>
  <c r="S111" i="8" s="1"/>
  <c r="S112" i="8" s="1"/>
  <c r="T113" i="8" a="1"/>
  <c r="T113" i="8" s="1"/>
  <c r="V20" i="10" a="1"/>
  <c r="V20" i="10" s="1"/>
  <c r="U25" i="10" a="1"/>
  <c r="U25" i="10" s="1"/>
  <c r="AB51" i="10" a="1"/>
  <c r="AB51" i="10" s="1"/>
  <c r="AA66" i="10" a="1"/>
  <c r="AA66" i="10" s="1"/>
  <c r="Z80" i="10" a="1"/>
  <c r="Z80" i="10" s="1"/>
  <c r="T91" i="10" a="1"/>
  <c r="T91" i="10" s="1"/>
  <c r="T102" i="10" a="1"/>
  <c r="T102" i="10" s="1"/>
  <c r="S105" i="10" a="1"/>
  <c r="S105" i="10" s="1"/>
  <c r="S117" i="10" a="1"/>
  <c r="S117" i="10" s="1"/>
  <c r="R120" i="10" a="1"/>
  <c r="R120" i="10" s="1"/>
  <c r="O127" i="10" a="1"/>
  <c r="O127" i="10" s="1"/>
  <c r="AE127" i="10" a="1"/>
  <c r="AE127" i="10" s="1"/>
  <c r="V134" i="10" a="1"/>
  <c r="V134" i="10" s="1"/>
  <c r="E12" i="13" a="1"/>
  <c r="E12" i="13" s="1"/>
  <c r="U12" i="13" a="1"/>
  <c r="U12" i="13" s="1"/>
  <c r="S13" i="13" a="1"/>
  <c r="S13" i="13" s="1"/>
  <c r="Q34" i="13" a="1"/>
  <c r="Q34" i="13" s="1"/>
  <c r="J35" i="13" a="1"/>
  <c r="J35" i="13" s="1"/>
  <c r="Z35" i="13" a="1"/>
  <c r="Z35" i="13" s="1"/>
  <c r="T17" i="11" a="1"/>
  <c r="T17" i="11" s="1"/>
  <c r="V24" i="11" a="1"/>
  <c r="V24" i="11" s="1"/>
  <c r="W41" i="11" a="1"/>
  <c r="W41" i="11" s="1"/>
  <c r="X57" i="11" a="1"/>
  <c r="X57" i="11" s="1"/>
  <c r="Z74" i="11" a="1"/>
  <c r="Z74" i="11" s="1"/>
  <c r="L83" i="11" a="1"/>
  <c r="L83" i="11" s="1"/>
  <c r="AB83" i="11" a="1"/>
  <c r="AB83" i="11" s="1"/>
  <c r="P97" i="11" a="1"/>
  <c r="P97" i="11" s="1"/>
  <c r="S103" i="11" a="1"/>
  <c r="S103" i="11" s="1"/>
  <c r="R111" i="11" a="1"/>
  <c r="R111" i="11" s="1"/>
  <c r="P121" i="11" a="1"/>
  <c r="P121" i="11" s="1"/>
  <c r="AF127" i="10" a="1"/>
  <c r="AF127" i="10" s="1"/>
  <c r="Z12" i="13" a="1"/>
  <c r="Z12" i="13" s="1"/>
  <c r="AG80" i="10" a="1"/>
  <c r="AG80" i="10" s="1"/>
  <c r="S104" i="8" a="1"/>
  <c r="S104" i="8" s="1"/>
  <c r="T110" i="8" a="1"/>
  <c r="T110" i="8" s="1"/>
  <c r="T111" i="8" s="1"/>
  <c r="T112" i="8" s="1"/>
  <c r="U113" i="8" a="1"/>
  <c r="U113" i="8" s="1"/>
  <c r="W20" i="10" a="1"/>
  <c r="W20" i="10" s="1"/>
  <c r="V25" i="10" a="1"/>
  <c r="V25" i="10" s="1"/>
  <c r="AC51" i="10" a="1"/>
  <c r="AC51" i="10" s="1"/>
  <c r="AB66" i="10" a="1"/>
  <c r="AB66" i="10" s="1"/>
  <c r="AA80" i="10" a="1"/>
  <c r="AA80" i="10" s="1"/>
  <c r="U91" i="10" a="1"/>
  <c r="U91" i="10" s="1"/>
  <c r="U102" i="10" a="1"/>
  <c r="U102" i="10" s="1"/>
  <c r="T105" i="10" a="1"/>
  <c r="T105" i="10" s="1"/>
  <c r="T117" i="10" a="1"/>
  <c r="T117" i="10" s="1"/>
  <c r="S120" i="10" a="1"/>
  <c r="S120" i="10" s="1"/>
  <c r="P127" i="10" a="1"/>
  <c r="P127" i="10" s="1"/>
  <c r="W134" i="10" a="1"/>
  <c r="W134" i="10" s="1"/>
  <c r="F12" i="13" a="1"/>
  <c r="F12" i="13" s="1"/>
  <c r="V12" i="13" a="1"/>
  <c r="V12" i="13" s="1"/>
  <c r="T13" i="13" a="1"/>
  <c r="T13" i="13" s="1"/>
  <c r="R34" i="13" a="1"/>
  <c r="R34" i="13" s="1"/>
  <c r="K35" i="13" a="1"/>
  <c r="K35" i="13" s="1"/>
  <c r="AA35" i="13" a="1"/>
  <c r="AA35" i="13" s="1"/>
  <c r="U17" i="11" a="1"/>
  <c r="U17" i="11" s="1"/>
  <c r="W24" i="11" a="1"/>
  <c r="W24" i="11" s="1"/>
  <c r="X41" i="11" a="1"/>
  <c r="X41" i="11" s="1"/>
  <c r="Y57" i="11" a="1"/>
  <c r="Y57" i="11" s="1"/>
  <c r="AA74" i="11" a="1"/>
  <c r="AA74" i="11" s="1"/>
  <c r="M83" i="11" a="1"/>
  <c r="M83" i="11" s="1"/>
  <c r="O89" i="11" a="1"/>
  <c r="O89" i="11" s="1"/>
  <c r="Q97" i="11" a="1"/>
  <c r="Q97" i="11" s="1"/>
  <c r="T103" i="11" a="1"/>
  <c r="T103" i="11" s="1"/>
  <c r="S111" i="11" a="1"/>
  <c r="S111" i="11" s="1"/>
  <c r="Q121" i="11" a="1"/>
  <c r="Q121" i="11" s="1"/>
  <c r="AB73" i="13" a="1"/>
  <c r="AB73" i="13" s="1"/>
  <c r="X13" i="13" a="1"/>
  <c r="X13" i="13" s="1"/>
  <c r="AG134" i="10" a="1"/>
  <c r="AG134" i="10" s="1"/>
  <c r="P45" i="8" a="1"/>
  <c r="P45" i="8" s="1"/>
  <c r="AB58" i="8" a="1"/>
  <c r="AB58" i="8" s="1"/>
  <c r="H50" i="8" a="1"/>
  <c r="H50" i="8" s="1"/>
  <c r="X50" i="8" a="1"/>
  <c r="X50" i="8" s="1"/>
  <c r="P53" i="8" a="1"/>
  <c r="P53" i="8" s="1"/>
  <c r="H66" i="8" a="1"/>
  <c r="H66" i="8" s="1"/>
  <c r="X66" i="8" a="1"/>
  <c r="X66" i="8" s="1"/>
  <c r="P69" i="8" a="1"/>
  <c r="P69" i="8" s="1"/>
  <c r="V75" i="8" a="1"/>
  <c r="V75" i="8" s="1"/>
  <c r="N78" i="8" a="1"/>
  <c r="N78" i="8" s="1"/>
  <c r="AD78" i="8" a="1"/>
  <c r="AD78" i="8" s="1"/>
  <c r="T83" i="8" a="1"/>
  <c r="T83" i="8" s="1"/>
  <c r="L86" i="8" a="1"/>
  <c r="L86" i="8" s="1"/>
  <c r="AB86" i="8" a="1"/>
  <c r="AB86" i="8" s="1"/>
  <c r="L92" i="8" a="1"/>
  <c r="L92" i="8" s="1"/>
  <c r="L93" i="8" s="1"/>
  <c r="L94" i="8" s="1"/>
  <c r="AB92" i="8" a="1"/>
  <c r="AB92" i="8" s="1"/>
  <c r="AB93" i="8" s="1"/>
  <c r="AB94" i="8" s="1"/>
  <c r="T95" i="8" a="1"/>
  <c r="T95" i="8" s="1"/>
  <c r="L101" i="8" a="1"/>
  <c r="L101" i="8" s="1"/>
  <c r="L102" i="8" s="1"/>
  <c r="L103" i="8" s="1"/>
  <c r="AB101" i="8" a="1"/>
  <c r="AB101" i="8" s="1"/>
  <c r="AB102" i="8" s="1"/>
  <c r="AB103" i="8" s="1"/>
  <c r="T104" i="8" a="1"/>
  <c r="T104" i="8" s="1"/>
  <c r="U110" i="8" a="1"/>
  <c r="U110" i="8" s="1"/>
  <c r="U111" i="8" s="1"/>
  <c r="U112" i="8" s="1"/>
  <c r="V113" i="8" a="1"/>
  <c r="V113" i="8" s="1"/>
  <c r="X20" i="10" a="1"/>
  <c r="X20" i="10" s="1"/>
  <c r="W25" i="10" a="1"/>
  <c r="W25" i="10" s="1"/>
  <c r="AD51" i="10" a="1"/>
  <c r="AD51" i="10" s="1"/>
  <c r="AC66" i="10" a="1"/>
  <c r="AC66" i="10" s="1"/>
  <c r="AB80" i="10" a="1"/>
  <c r="AB80" i="10" s="1"/>
  <c r="V91" i="10" a="1"/>
  <c r="V91" i="10" s="1"/>
  <c r="V102" i="10" a="1"/>
  <c r="V102" i="10" s="1"/>
  <c r="X95" i="10" s="1"/>
  <c r="X94" i="10" s="1"/>
  <c r="U105" i="10" a="1"/>
  <c r="U105" i="10" s="1"/>
  <c r="U117" i="10" a="1"/>
  <c r="U117" i="10" s="1"/>
  <c r="T120" i="10" a="1"/>
  <c r="T120" i="10" s="1"/>
  <c r="Q127" i="10" a="1"/>
  <c r="Q127" i="10" s="1"/>
  <c r="X134" i="10" a="1"/>
  <c r="X134" i="10" s="1"/>
  <c r="G12" i="13" a="1"/>
  <c r="G12" i="13" s="1"/>
  <c r="E13" i="13" a="1"/>
  <c r="E13" i="13" s="1"/>
  <c r="U13" i="13" a="1"/>
  <c r="U13" i="13" s="1"/>
  <c r="S34" i="13" a="1"/>
  <c r="S34" i="13" s="1"/>
  <c r="L35" i="13" a="1"/>
  <c r="L35" i="13" s="1"/>
  <c r="V17" i="11" a="1"/>
  <c r="V17" i="11" s="1"/>
  <c r="X24" i="11" a="1"/>
  <c r="X24" i="11" s="1"/>
  <c r="Y41" i="11" a="1"/>
  <c r="Y41" i="11" s="1"/>
  <c r="Z57" i="11" a="1"/>
  <c r="Z57" i="11" s="1"/>
  <c r="AB74" i="11" a="1"/>
  <c r="AB74" i="11" s="1"/>
  <c r="N83" i="11" a="1"/>
  <c r="N83" i="11" s="1"/>
  <c r="P78" i="11" s="1"/>
  <c r="P77" i="11" s="1"/>
  <c r="P82" i="11" s="1"/>
  <c r="P89" i="11" a="1"/>
  <c r="P89" i="11" s="1"/>
  <c r="R97" i="11" a="1"/>
  <c r="R97" i="11" s="1"/>
  <c r="T92" i="11" s="1"/>
  <c r="T91" i="11" s="1"/>
  <c r="T96" i="11" s="1"/>
  <c r="AF134" i="10" a="1"/>
  <c r="AF134" i="10" s="1"/>
  <c r="AB13" i="13" a="1"/>
  <c r="AB13" i="13" s="1"/>
  <c r="AG127" i="10" a="1"/>
  <c r="AG127" i="10" s="1"/>
  <c r="AJ2" i="10"/>
  <c r="AK2" i="10"/>
  <c r="O74" i="10"/>
  <c r="O68" i="10" s="1"/>
  <c r="AE74" i="10"/>
  <c r="AE68" i="10" s="1"/>
  <c r="AB60" i="10"/>
  <c r="AB54" i="10" s="1"/>
  <c r="T40" i="8" s="1" a="1"/>
  <c r="T40" i="8" s="1"/>
  <c r="P60" i="10"/>
  <c r="P54" i="10" s="1"/>
  <c r="H40" i="8" s="1" a="1"/>
  <c r="H40" i="8" s="1"/>
  <c r="AC60" i="10"/>
  <c r="AC54" i="10" s="1"/>
  <c r="AF2" i="10"/>
  <c r="AG2" i="10"/>
  <c r="AD60" i="10"/>
  <c r="AD54" i="10" s="1"/>
  <c r="V40" i="8" s="1" a="1"/>
  <c r="V40" i="8" s="1"/>
  <c r="AA74" i="10"/>
  <c r="AA68" i="10" s="1"/>
  <c r="Y60" i="10"/>
  <c r="Y54" i="10" s="1"/>
  <c r="Q40" i="8" s="1" a="1"/>
  <c r="Q40" i="8" s="1"/>
  <c r="Z60" i="10"/>
  <c r="Z54" i="10" s="1"/>
  <c r="R40" i="8" s="1" a="1"/>
  <c r="R40" i="8" s="1"/>
  <c r="AA60" i="10"/>
  <c r="AA54" i="10" s="1"/>
  <c r="S40" i="8" s="1" a="1"/>
  <c r="S40" i="8" s="1"/>
  <c r="AE60" i="10"/>
  <c r="AE54" i="10" s="1"/>
  <c r="W40" i="8" s="1" a="1"/>
  <c r="W40" i="8" s="1"/>
  <c r="AB74" i="10"/>
  <c r="AB68" i="10" s="1"/>
  <c r="T48" i="8" s="1" a="1"/>
  <c r="T48" i="8" s="1"/>
  <c r="AF60" i="10"/>
  <c r="AF54" i="10" s="1"/>
  <c r="X40" i="8" s="1" a="1"/>
  <c r="X40" i="8" s="1"/>
  <c r="AC74" i="10"/>
  <c r="AC68" i="10" s="1"/>
  <c r="AD74" i="10"/>
  <c r="AD68" i="10" s="1"/>
  <c r="V48" i="8" s="1" a="1"/>
  <c r="V48" i="8" s="1"/>
  <c r="I17" i="13"/>
  <c r="O60" i="10"/>
  <c r="O54" i="10" s="1"/>
  <c r="G40" i="8" s="1" a="1"/>
  <c r="G40" i="8" s="1"/>
  <c r="AA121" i="11" a="1"/>
  <c r="AA121" i="11" s="1"/>
  <c r="AB121" i="11" a="1"/>
  <c r="AB121" i="11" s="1"/>
  <c r="N94" i="13" a="1"/>
  <c r="N94" i="13" s="1"/>
  <c r="W93" i="13" a="1"/>
  <c r="W93" i="13" s="1"/>
  <c r="G93" i="13" a="1"/>
  <c r="G93" i="13" s="1"/>
  <c r="O73" i="13" a="1"/>
  <c r="O73" i="13" s="1"/>
  <c r="W74" i="13" a="1"/>
  <c r="W74" i="13" s="1"/>
  <c r="G74" i="13" a="1"/>
  <c r="G74" i="13" s="1"/>
  <c r="M94" i="13" a="1"/>
  <c r="M94" i="13" s="1"/>
  <c r="V93" i="13" a="1"/>
  <c r="V93" i="13" s="1"/>
  <c r="F93" i="13" a="1"/>
  <c r="F93" i="13" s="1"/>
  <c r="N73" i="13" a="1"/>
  <c r="N73" i="13" s="1"/>
  <c r="V74" i="13" a="1"/>
  <c r="V74" i="13" s="1"/>
  <c r="F74" i="13" a="1"/>
  <c r="F74" i="13" s="1"/>
  <c r="Z94" i="13" a="1"/>
  <c r="Z94" i="13" s="1"/>
  <c r="J94" i="13" a="1"/>
  <c r="J94" i="13" s="1"/>
  <c r="AA73" i="13" a="1"/>
  <c r="AA73" i="13" s="1"/>
  <c r="S74" i="13" a="1"/>
  <c r="S74" i="13" s="1"/>
  <c r="Q74" i="13" a="1"/>
  <c r="Q74" i="13" s="1"/>
  <c r="P93" i="13" a="1"/>
  <c r="P93" i="13" s="1"/>
  <c r="H73" i="13" a="1"/>
  <c r="H73" i="13" s="1"/>
  <c r="G94" i="13" a="1"/>
  <c r="G94" i="13" s="1"/>
  <c r="W73" i="13" a="1"/>
  <c r="W73" i="13" s="1"/>
  <c r="U94" i="13" a="1"/>
  <c r="U94" i="13" s="1"/>
  <c r="N93" i="13" a="1"/>
  <c r="N93" i="13" s="1"/>
  <c r="N74" i="13" a="1"/>
  <c r="N74" i="13" s="1"/>
  <c r="E94" i="13" a="1"/>
  <c r="E94" i="13" s="1"/>
  <c r="E106" i="13" s="1"/>
  <c r="E73" i="13" a="1"/>
  <c r="E73" i="13" s="1"/>
  <c r="E85" i="13" s="1"/>
  <c r="S94" i="13" a="1"/>
  <c r="S94" i="13" s="1"/>
  <c r="L74" i="13" a="1"/>
  <c r="L74" i="13" s="1"/>
  <c r="S73" i="13" a="1"/>
  <c r="S73" i="13" s="1"/>
  <c r="Q94" i="13" a="1"/>
  <c r="Q94" i="13" s="1"/>
  <c r="Z74" i="13" a="1"/>
  <c r="Z74" i="13" s="1"/>
  <c r="Y93" i="13" a="1"/>
  <c r="Y93" i="13" s="1"/>
  <c r="I74" i="13" a="1"/>
  <c r="I74" i="13" s="1"/>
  <c r="H93" i="13" a="1"/>
  <c r="H93" i="13" s="1"/>
  <c r="T73" i="13" a="1"/>
  <c r="T73" i="13" s="1"/>
  <c r="AA93" i="13" a="1"/>
  <c r="AA93" i="13" s="1"/>
  <c r="AA74" i="13" a="1"/>
  <c r="AA74" i="13" s="1"/>
  <c r="J93" i="13" a="1"/>
  <c r="J93" i="13" s="1"/>
  <c r="P94" i="13" a="1"/>
  <c r="P94" i="13" s="1"/>
  <c r="Q73" i="13" a="1"/>
  <c r="Q73" i="13" s="1"/>
  <c r="X93" i="13" a="1"/>
  <c r="X93" i="13" s="1"/>
  <c r="X74" i="13" a="1"/>
  <c r="X74" i="13" s="1"/>
  <c r="L94" i="13" a="1"/>
  <c r="L94" i="13" s="1"/>
  <c r="U93" i="13" a="1"/>
  <c r="U93" i="13" s="1"/>
  <c r="E93" i="13" a="1"/>
  <c r="E93" i="13" s="1"/>
  <c r="E105" i="13" s="1"/>
  <c r="M73" i="13" a="1"/>
  <c r="M73" i="13" s="1"/>
  <c r="U74" i="13" a="1"/>
  <c r="U74" i="13" s="1"/>
  <c r="E74" i="13" a="1"/>
  <c r="E74" i="13" s="1"/>
  <c r="E86" i="13" s="1"/>
  <c r="AA94" i="13" a="1"/>
  <c r="AA94" i="13" s="1"/>
  <c r="K94" i="13" a="1"/>
  <c r="K94" i="13" s="1"/>
  <c r="T93" i="13" a="1"/>
  <c r="T93" i="13" s="1"/>
  <c r="L73" i="13" a="1"/>
  <c r="L73" i="13" s="1"/>
  <c r="T74" i="13" a="1"/>
  <c r="T74" i="13" s="1"/>
  <c r="S93" i="13" a="1"/>
  <c r="S93" i="13" s="1"/>
  <c r="K73" i="13" a="1"/>
  <c r="K73" i="13" s="1"/>
  <c r="Y73" i="13" a="1"/>
  <c r="Y73" i="13" s="1"/>
  <c r="I73" i="13" a="1"/>
  <c r="I73" i="13" s="1"/>
  <c r="H94" i="13" a="1"/>
  <c r="H94" i="13" s="1"/>
  <c r="X73" i="13" a="1"/>
  <c r="X73" i="13" s="1"/>
  <c r="V94" i="13" a="1"/>
  <c r="V94" i="13" s="1"/>
  <c r="O93" i="13" a="1"/>
  <c r="O93" i="13" s="1"/>
  <c r="O74" i="13" a="1"/>
  <c r="O74" i="13" s="1"/>
  <c r="F94" i="13" a="1"/>
  <c r="F94" i="13" s="1"/>
  <c r="F73" i="13" a="1"/>
  <c r="F73" i="13" s="1"/>
  <c r="T94" i="13" a="1"/>
  <c r="T94" i="13" s="1"/>
  <c r="U73" i="13" a="1"/>
  <c r="U73" i="13" s="1"/>
  <c r="M74" i="13" a="1"/>
  <c r="M74" i="13" s="1"/>
  <c r="L93" i="13" a="1"/>
  <c r="L93" i="13" s="1"/>
  <c r="K93" i="13" a="1"/>
  <c r="K93" i="13" s="1"/>
  <c r="K74" i="13" a="1"/>
  <c r="K74" i="13" s="1"/>
  <c r="R73" i="13" a="1"/>
  <c r="R73" i="13" s="1"/>
  <c r="J74" i="13" a="1"/>
  <c r="J74" i="13" s="1"/>
  <c r="I93" i="13" a="1"/>
  <c r="I93" i="13" s="1"/>
  <c r="O94" i="13" a="1"/>
  <c r="O94" i="13" s="1"/>
  <c r="P73" i="13" a="1"/>
  <c r="P73" i="13" s="1"/>
  <c r="Y94" i="13" a="1"/>
  <c r="Y94" i="13" s="1"/>
  <c r="I94" i="13" a="1"/>
  <c r="I94" i="13" s="1"/>
  <c r="R93" i="13" a="1"/>
  <c r="R93" i="13" s="1"/>
  <c r="Z73" i="13" a="1"/>
  <c r="Z73" i="13" s="1"/>
  <c r="J73" i="13" a="1"/>
  <c r="J73" i="13" s="1"/>
  <c r="R74" i="13" a="1"/>
  <c r="R74" i="13" s="1"/>
  <c r="X94" i="13" a="1"/>
  <c r="X94" i="13" s="1"/>
  <c r="Q93" i="13" a="1"/>
  <c r="Q93" i="13" s="1"/>
  <c r="W94" i="13" a="1"/>
  <c r="W94" i="13" s="1"/>
  <c r="P74" i="13" a="1"/>
  <c r="P74" i="13" s="1"/>
  <c r="G73" i="13" a="1"/>
  <c r="G73" i="13" s="1"/>
  <c r="V73" i="13" a="1"/>
  <c r="V73" i="13" s="1"/>
  <c r="M93" i="13" a="1"/>
  <c r="M93" i="13" s="1"/>
  <c r="R94" i="13" a="1"/>
  <c r="R94" i="13" s="1"/>
  <c r="Z93" i="13" a="1"/>
  <c r="Z93" i="13" s="1"/>
  <c r="Y74" i="13" a="1"/>
  <c r="Y74" i="13" s="1"/>
  <c r="H74" i="13" a="1"/>
  <c r="H74" i="13" s="1"/>
  <c r="Z55" i="13" a="1"/>
  <c r="Z55" i="13" s="1"/>
  <c r="J55" i="13" a="1"/>
  <c r="J55" i="13" s="1"/>
  <c r="R54" i="13" a="1"/>
  <c r="R54" i="13" s="1"/>
  <c r="I54" i="13" a="1"/>
  <c r="I54" i="13" s="1"/>
  <c r="Y55" i="13" a="1"/>
  <c r="Y55" i="13" s="1"/>
  <c r="I55" i="13" a="1"/>
  <c r="I55" i="13" s="1"/>
  <c r="Q54" i="13" a="1"/>
  <c r="Q54" i="13" s="1"/>
  <c r="O54" i="13" a="1"/>
  <c r="O54" i="13" s="1"/>
  <c r="K54" i="13" a="1"/>
  <c r="K54" i="13" s="1"/>
  <c r="J54" i="13" a="1"/>
  <c r="J54" i="13" s="1"/>
  <c r="N55" i="13" a="1"/>
  <c r="N55" i="13" s="1"/>
  <c r="S54" i="13" a="1"/>
  <c r="S54" i="13" s="1"/>
  <c r="X55" i="13" a="1"/>
  <c r="X55" i="13" s="1"/>
  <c r="H55" i="13" a="1"/>
  <c r="H55" i="13" s="1"/>
  <c r="P54" i="13" a="1"/>
  <c r="P54" i="13" s="1"/>
  <c r="E55" i="13" a="1"/>
  <c r="E55" i="13" s="1"/>
  <c r="E66" i="13" s="1"/>
  <c r="L54" i="13" a="1"/>
  <c r="L54" i="13" s="1"/>
  <c r="R55" i="13" a="1"/>
  <c r="R55" i="13" s="1"/>
  <c r="Q55" i="13" a="1"/>
  <c r="Q55" i="13" s="1"/>
  <c r="V54" i="13" a="1"/>
  <c r="V54" i="13" s="1"/>
  <c r="E54" i="13" a="1"/>
  <c r="E54" i="13" s="1"/>
  <c r="E65" i="13" s="1"/>
  <c r="K55" i="13" a="1"/>
  <c r="K55" i="13" s="1"/>
  <c r="W55" i="13" a="1"/>
  <c r="W55" i="13" s="1"/>
  <c r="G55" i="13" a="1"/>
  <c r="G55" i="13" s="1"/>
  <c r="AA54" i="13" a="1"/>
  <c r="AA54" i="13" s="1"/>
  <c r="U54" i="13" a="1"/>
  <c r="U54" i="13" s="1"/>
  <c r="V55" i="13" a="1"/>
  <c r="V55" i="13" s="1"/>
  <c r="F55" i="13" a="1"/>
  <c r="F55" i="13" s="1"/>
  <c r="N54" i="13" a="1"/>
  <c r="N54" i="13" s="1"/>
  <c r="M54" i="13" a="1"/>
  <c r="M54" i="13" s="1"/>
  <c r="S55" i="13" a="1"/>
  <c r="S55" i="13" s="1"/>
  <c r="Z54" i="13" a="1"/>
  <c r="Z54" i="13" s="1"/>
  <c r="Y54" i="13" a="1"/>
  <c r="Y54" i="13" s="1"/>
  <c r="M55" i="13" a="1"/>
  <c r="M55" i="13" s="1"/>
  <c r="L55" i="13" a="1"/>
  <c r="L55" i="13" s="1"/>
  <c r="U55" i="13" a="1"/>
  <c r="U55" i="13" s="1"/>
  <c r="T55" i="13" a="1"/>
  <c r="T55" i="13" s="1"/>
  <c r="F54" i="13" a="1"/>
  <c r="F54" i="13" s="1"/>
  <c r="P55" i="13" a="1"/>
  <c r="P55" i="13" s="1"/>
  <c r="X54" i="13" a="1"/>
  <c r="X54" i="13" s="1"/>
  <c r="H54" i="13" a="1"/>
  <c r="H54" i="13" s="1"/>
  <c r="AA55" i="13" a="1"/>
  <c r="AA55" i="13" s="1"/>
  <c r="O55" i="13" a="1"/>
  <c r="O55" i="13" s="1"/>
  <c r="W54" i="13" a="1"/>
  <c r="W54" i="13" s="1"/>
  <c r="G54" i="13" a="1"/>
  <c r="G54" i="13" s="1"/>
  <c r="T54" i="13" a="1"/>
  <c r="T54" i="13" s="1"/>
  <c r="AC121" i="11" a="1"/>
  <c r="AC121" i="11" s="1"/>
  <c r="W111" i="11" a="1"/>
  <c r="W111" i="11" s="1"/>
  <c r="S121" i="11" a="1"/>
  <c r="S121" i="11" s="1"/>
  <c r="X130" i="11" a="1"/>
  <c r="X130" i="11" s="1"/>
  <c r="P70" i="10"/>
  <c r="P74" i="10" s="1"/>
  <c r="P68" i="10" s="1"/>
  <c r="H48" i="8" s="1" a="1"/>
  <c r="H48" i="8" s="1"/>
  <c r="AF70" i="10"/>
  <c r="AF74" i="10" s="1"/>
  <c r="AF68" i="10" s="1"/>
  <c r="X48" i="8" s="1" a="1"/>
  <c r="X48" i="8" s="1"/>
  <c r="Q70" i="10"/>
  <c r="Q74" i="10" s="1"/>
  <c r="AG70" i="10"/>
  <c r="AG74" i="10" s="1"/>
  <c r="AG68" i="10" s="1"/>
  <c r="Y48" i="8" s="1" a="1"/>
  <c r="Y48" i="8" s="1"/>
  <c r="Y74" i="10"/>
  <c r="Y68" i="10" s="1"/>
  <c r="Q48" i="8" s="1" a="1"/>
  <c r="Q48" i="8" s="1"/>
  <c r="Q56" i="10"/>
  <c r="Q60" i="10" s="1"/>
  <c r="Q54" i="10" s="1"/>
  <c r="I40" i="8" s="1" a="1"/>
  <c r="I40" i="8" s="1"/>
  <c r="AG56" i="10"/>
  <c r="Z74" i="10"/>
  <c r="Z68" i="10" s="1"/>
  <c r="R48" i="8" s="1" a="1"/>
  <c r="R48" i="8" s="1"/>
  <c r="X74" i="10"/>
  <c r="X68" i="10" s="1"/>
  <c r="P48" i="8" s="1" a="1"/>
  <c r="P48" i="8" s="1"/>
  <c r="R56" i="10"/>
  <c r="R60" i="10" s="1"/>
  <c r="AH56" i="10"/>
  <c r="AH60" i="10" s="1"/>
  <c r="AH54" i="10" s="1"/>
  <c r="Z40" i="8" s="1" a="1"/>
  <c r="Z40" i="8" s="1"/>
  <c r="R70" i="10"/>
  <c r="R74" i="10" s="1"/>
  <c r="AH70" i="10"/>
  <c r="AH74" i="10" s="1"/>
  <c r="AH68" i="10" s="1"/>
  <c r="Z48" i="8" s="1" a="1"/>
  <c r="Z48" i="8" s="1"/>
  <c r="S56" i="10"/>
  <c r="AI56" i="10"/>
  <c r="W56" i="10"/>
  <c r="W60" i="10" s="1"/>
  <c r="V70" i="10"/>
  <c r="AL70" i="10"/>
  <c r="AL74" i="10" s="1"/>
  <c r="X56" i="10"/>
  <c r="W70" i="10"/>
  <c r="W74" i="10" s="1"/>
  <c r="T56" i="10"/>
  <c r="AJ56" i="10"/>
  <c r="S70" i="10"/>
  <c r="S74" i="10" s="1"/>
  <c r="AI70" i="10"/>
  <c r="Y93" i="8"/>
  <c r="Y94" i="8" s="1"/>
  <c r="U56" i="10"/>
  <c r="U60" i="10" s="1"/>
  <c r="U54" i="10" s="1"/>
  <c r="M40" i="8" s="1" a="1"/>
  <c r="M40" i="8" s="1"/>
  <c r="AK56" i="10"/>
  <c r="AK60" i="10" s="1"/>
  <c r="AK54" i="10" s="1"/>
  <c r="AC40" i="8" s="1" a="1"/>
  <c r="AC40" i="8" s="1"/>
  <c r="T70" i="10"/>
  <c r="T74" i="10" s="1"/>
  <c r="AJ70" i="10"/>
  <c r="Z34" i="8"/>
  <c r="Z35" i="8" s="1"/>
  <c r="V56" i="10"/>
  <c r="V60" i="10" s="1"/>
  <c r="V54" i="10" s="1"/>
  <c r="N40" i="8" s="1" a="1"/>
  <c r="N40" i="8" s="1"/>
  <c r="AL56" i="10"/>
  <c r="U70" i="10"/>
  <c r="U74" i="10" s="1"/>
  <c r="AK70" i="10"/>
  <c r="AA93" i="8"/>
  <c r="AA94" i="8" s="1"/>
  <c r="AD102" i="8"/>
  <c r="AD103" i="8" s="1"/>
  <c r="V93" i="8"/>
  <c r="V94" i="8" s="1"/>
  <c r="U34" i="8"/>
  <c r="U35" i="8" s="1"/>
  <c r="O102" i="8"/>
  <c r="O103" i="8" s="1"/>
  <c r="F20" i="5"/>
  <c r="F4" i="5"/>
  <c r="Q21" i="5"/>
  <c r="F17" i="5"/>
  <c r="G102" i="8"/>
  <c r="G103" i="8" s="1"/>
  <c r="AR34" i="10" l="1"/>
  <c r="AR16" i="10"/>
  <c r="Q27" i="13"/>
  <c r="AG66" i="13"/>
  <c r="Y27" i="13"/>
  <c r="U27" i="13"/>
  <c r="W27" i="13"/>
  <c r="AC27" i="13"/>
  <c r="M27" i="13"/>
  <c r="H27" i="13"/>
  <c r="AA27" i="13"/>
  <c r="K27" i="13"/>
  <c r="L27" i="13"/>
  <c r="AG27" i="13"/>
  <c r="AO16" i="13"/>
  <c r="AB27" i="13"/>
  <c r="T27" i="13"/>
  <c r="AE27" i="13"/>
  <c r="J27" i="13"/>
  <c r="N27" i="13"/>
  <c r="F27" i="13"/>
  <c r="F28" i="13"/>
  <c r="G27" i="13"/>
  <c r="V27" i="13"/>
  <c r="X27" i="13"/>
  <c r="Z27" i="13"/>
  <c r="O27" i="13"/>
  <c r="I27" i="13"/>
  <c r="R27" i="13"/>
  <c r="S27" i="13"/>
  <c r="AD27" i="13"/>
  <c r="P27" i="13"/>
  <c r="AF27" i="13"/>
  <c r="AG85" i="13"/>
  <c r="AG65" i="13"/>
  <c r="AG105" i="13"/>
  <c r="AG106" i="13"/>
  <c r="AG86" i="13"/>
  <c r="AG81" i="13"/>
  <c r="AG100" i="13"/>
  <c r="AG98" i="13"/>
  <c r="AG95" i="13"/>
  <c r="AG99" i="13" s="1"/>
  <c r="AG101" i="13"/>
  <c r="AG42" i="13"/>
  <c r="AG26" i="13"/>
  <c r="AG20" i="13"/>
  <c r="AG56" i="13"/>
  <c r="AG57" i="13" s="1"/>
  <c r="AG61" i="13"/>
  <c r="AG59" i="13"/>
  <c r="AG80" i="13"/>
  <c r="AG78" i="13"/>
  <c r="AG75" i="13"/>
  <c r="AG19" i="13"/>
  <c r="AG14" i="13"/>
  <c r="AG15" i="13" s="1"/>
  <c r="AG17" i="13"/>
  <c r="AG25" i="13"/>
  <c r="AG62" i="13"/>
  <c r="AG36" i="13"/>
  <c r="AG41" i="13"/>
  <c r="AG39" i="13"/>
  <c r="U92" i="11"/>
  <c r="U91" i="11" s="1"/>
  <c r="U96" i="11" s="1"/>
  <c r="AQ34" i="10"/>
  <c r="I14" i="13"/>
  <c r="I15" i="13" s="1"/>
  <c r="AB61" i="13"/>
  <c r="Q78" i="11"/>
  <c r="Q77" i="11" s="1"/>
  <c r="Q82" i="11" s="1"/>
  <c r="T41" i="13"/>
  <c r="AQ16" i="10"/>
  <c r="AB56" i="13"/>
  <c r="AB60" i="13" s="1"/>
  <c r="G41" i="13"/>
  <c r="AN16" i="10"/>
  <c r="E41" i="13"/>
  <c r="AL53" i="11"/>
  <c r="AL61" i="11" s="1"/>
  <c r="AA53" i="11"/>
  <c r="AA61" i="11" s="1"/>
  <c r="O53" i="11"/>
  <c r="AJ60" i="11"/>
  <c r="AJ59" i="11" s="1"/>
  <c r="AJ68" i="11" s="1"/>
  <c r="AJ67" i="11" s="1"/>
  <c r="AJ70" i="11" s="1"/>
  <c r="Y53" i="11"/>
  <c r="P53" i="11"/>
  <c r="AF53" i="11"/>
  <c r="AF61" i="11" s="1"/>
  <c r="AI33" i="11"/>
  <c r="AI27" i="11" s="1"/>
  <c r="AI37" i="11" s="1"/>
  <c r="AG27" i="11"/>
  <c r="AG37" i="11" s="1"/>
  <c r="AP34" i="10"/>
  <c r="X27" i="11"/>
  <c r="X37" i="11" s="1"/>
  <c r="AB27" i="11"/>
  <c r="AB37" i="11" s="1"/>
  <c r="R33" i="11"/>
  <c r="R27" i="11" s="1"/>
  <c r="R37" i="11" s="1"/>
  <c r="E39" i="13"/>
  <c r="AD27" i="11"/>
  <c r="AD37" i="11" s="1"/>
  <c r="AI43" i="11"/>
  <c r="AI53" i="11" s="1"/>
  <c r="AI61" i="11" s="1"/>
  <c r="AG53" i="11"/>
  <c r="AG61" i="11" s="1"/>
  <c r="AG60" i="11"/>
  <c r="AG59" i="11" s="1"/>
  <c r="AG68" i="11" s="1"/>
  <c r="AG67" i="11" s="1"/>
  <c r="AG70" i="11" s="1"/>
  <c r="X68" i="11"/>
  <c r="X67" i="11" s="1"/>
  <c r="X70" i="11" s="1"/>
  <c r="X53" i="11"/>
  <c r="W68" i="11"/>
  <c r="W67" i="11" s="1"/>
  <c r="W70" i="11" s="1"/>
  <c r="W53" i="11"/>
  <c r="S27" i="11"/>
  <c r="S37" i="11" s="1"/>
  <c r="Q27" i="11"/>
  <c r="Q37" i="11" s="1"/>
  <c r="AK53" i="11"/>
  <c r="AK61" i="11" s="1"/>
  <c r="AK60" i="11"/>
  <c r="AK59" i="11" s="1"/>
  <c r="AK68" i="11" s="1"/>
  <c r="AK67" i="11" s="1"/>
  <c r="AK70" i="11" s="1"/>
  <c r="AC33" i="11"/>
  <c r="AC27" i="11" s="1"/>
  <c r="AC37" i="11" s="1"/>
  <c r="AD43" i="11"/>
  <c r="AH43" i="11"/>
  <c r="S49" i="11"/>
  <c r="S43" i="11" s="1"/>
  <c r="AP16" i="10"/>
  <c r="R43" i="11"/>
  <c r="Q49" i="11"/>
  <c r="Q43" i="11" s="1"/>
  <c r="AB49" i="11"/>
  <c r="AB43" i="11" s="1"/>
  <c r="AC49" i="11"/>
  <c r="AC43" i="11" s="1"/>
  <c r="F25" i="5"/>
  <c r="W110" i="10"/>
  <c r="W109" i="10" s="1"/>
  <c r="W114" i="10" s="1"/>
  <c r="O82" i="8" s="1" a="1"/>
  <c r="O82" i="8" s="1"/>
  <c r="X39" i="13"/>
  <c r="AE81" i="13"/>
  <c r="AE86" i="13"/>
  <c r="AD61" i="13"/>
  <c r="AD65" i="13"/>
  <c r="AD59" i="13"/>
  <c r="AD56" i="13"/>
  <c r="AD57" i="13" s="1"/>
  <c r="AF95" i="13"/>
  <c r="AF99" i="13" s="1"/>
  <c r="AF105" i="13"/>
  <c r="AF98" i="13"/>
  <c r="AF100" i="13"/>
  <c r="AO93" i="13"/>
  <c r="AE39" i="13"/>
  <c r="AE41" i="13"/>
  <c r="AE45" i="13"/>
  <c r="AE36" i="13"/>
  <c r="AC78" i="13"/>
  <c r="AC80" i="13"/>
  <c r="AC75" i="13"/>
  <c r="AC76" i="13" s="1"/>
  <c r="AC61" i="13"/>
  <c r="AC56" i="13"/>
  <c r="AC57" i="13" s="1"/>
  <c r="AC59" i="13"/>
  <c r="AE100" i="13"/>
  <c r="AE95" i="13"/>
  <c r="AE99" i="13" s="1"/>
  <c r="AE98" i="13"/>
  <c r="AE105" i="13"/>
  <c r="AC20" i="13"/>
  <c r="AE20" i="13"/>
  <c r="AE26" i="13"/>
  <c r="AF62" i="13"/>
  <c r="AF66" i="13"/>
  <c r="AO55" i="13"/>
  <c r="AC19" i="13"/>
  <c r="AC14" i="13"/>
  <c r="AC15" i="13" s="1"/>
  <c r="AC17" i="13"/>
  <c r="AE17" i="13"/>
  <c r="AE25" i="13"/>
  <c r="AE19" i="13"/>
  <c r="AE14" i="13"/>
  <c r="AE15" i="13" s="1"/>
  <c r="AF19" i="13"/>
  <c r="AF25" i="13"/>
  <c r="AF17" i="13"/>
  <c r="AF14" i="13"/>
  <c r="AF15" i="13" s="1"/>
  <c r="AO12" i="13"/>
  <c r="AD105" i="13"/>
  <c r="AD98" i="13"/>
  <c r="AD100" i="13"/>
  <c r="AD95" i="13"/>
  <c r="AD96" i="13" s="1"/>
  <c r="AO13" i="13"/>
  <c r="AO15" i="13" s="1"/>
  <c r="AF26" i="13"/>
  <c r="AF20" i="13"/>
  <c r="AD36" i="13"/>
  <c r="AD41" i="13"/>
  <c r="AD45" i="13"/>
  <c r="AD39" i="13"/>
  <c r="AD42" i="13"/>
  <c r="AD46" i="13"/>
  <c r="AE46" i="13"/>
  <c r="AE42" i="13"/>
  <c r="AO35" i="13"/>
  <c r="AF42" i="13"/>
  <c r="AF46" i="13"/>
  <c r="AF80" i="13"/>
  <c r="AF78" i="13"/>
  <c r="AO73" i="13"/>
  <c r="AF85" i="13"/>
  <c r="AF75" i="13"/>
  <c r="AF79" i="13" s="1"/>
  <c r="AO74" i="13"/>
  <c r="AF81" i="13"/>
  <c r="AF86" i="13"/>
  <c r="AC42" i="13"/>
  <c r="AF59" i="13"/>
  <c r="AF65" i="13"/>
  <c r="AF56" i="13"/>
  <c r="AF57" i="13" s="1"/>
  <c r="AF61" i="13"/>
  <c r="AO54" i="13"/>
  <c r="AC62" i="13"/>
  <c r="AD66" i="13"/>
  <c r="AD62" i="13"/>
  <c r="AD106" i="13"/>
  <c r="AD101" i="13"/>
  <c r="AC81" i="13"/>
  <c r="G36" i="13"/>
  <c r="AE56" i="13"/>
  <c r="AE57" i="13" s="1"/>
  <c r="AE65" i="13"/>
  <c r="AE61" i="13"/>
  <c r="AE59" i="13"/>
  <c r="AE62" i="13"/>
  <c r="AE66" i="13"/>
  <c r="AE101" i="13"/>
  <c r="AE106" i="13"/>
  <c r="AD86" i="13"/>
  <c r="AD81" i="13"/>
  <c r="AC100" i="13"/>
  <c r="AC98" i="13"/>
  <c r="AC95" i="13"/>
  <c r="AC96" i="13" s="1"/>
  <c r="AO16" i="10"/>
  <c r="AF106" i="13"/>
  <c r="AF101" i="13"/>
  <c r="AO94" i="13"/>
  <c r="AO34" i="10"/>
  <c r="AD19" i="13"/>
  <c r="AD25" i="13"/>
  <c r="AD14" i="13"/>
  <c r="AD15" i="13" s="1"/>
  <c r="AD17" i="13"/>
  <c r="AD20" i="13"/>
  <c r="AD26" i="13"/>
  <c r="AE75" i="13"/>
  <c r="AE78" i="13"/>
  <c r="AE85" i="13"/>
  <c r="AE80" i="13"/>
  <c r="AC41" i="13"/>
  <c r="AC36" i="13"/>
  <c r="AC39" i="13"/>
  <c r="AF45" i="13"/>
  <c r="AO34" i="13"/>
  <c r="AF39" i="13"/>
  <c r="AF36" i="13"/>
  <c r="AF41" i="13"/>
  <c r="AD85" i="13"/>
  <c r="AD80" i="13"/>
  <c r="AD75" i="13"/>
  <c r="AD76" i="13" s="1"/>
  <c r="AD78" i="13"/>
  <c r="AC101" i="13"/>
  <c r="S106" i="13"/>
  <c r="O66" i="13"/>
  <c r="J65" i="13"/>
  <c r="V92" i="11"/>
  <c r="V91" i="11" s="1"/>
  <c r="V96" i="11" s="1"/>
  <c r="R78" i="11"/>
  <c r="R77" i="11" s="1"/>
  <c r="R82" i="11" s="1"/>
  <c r="J106" i="13"/>
  <c r="U105" i="13"/>
  <c r="U45" i="13"/>
  <c r="Y106" i="13"/>
  <c r="N105" i="13"/>
  <c r="S105" i="13"/>
  <c r="J105" i="13"/>
  <c r="U106" i="13"/>
  <c r="M106" i="13"/>
  <c r="AA66" i="13"/>
  <c r="AA65" i="13"/>
  <c r="P86" i="13"/>
  <c r="AA105" i="13"/>
  <c r="P106" i="13"/>
  <c r="W105" i="13"/>
  <c r="H105" i="13"/>
  <c r="AA106" i="13"/>
  <c r="X26" i="13"/>
  <c r="V25" i="13"/>
  <c r="R85" i="13"/>
  <c r="F106" i="13"/>
  <c r="Z110" i="10"/>
  <c r="Z109" i="10" s="1"/>
  <c r="R81" i="8" s="1" a="1"/>
  <c r="R81" i="8" s="1"/>
  <c r="F12" i="5"/>
  <c r="F28" i="5"/>
  <c r="F34" i="5"/>
  <c r="F26" i="5"/>
  <c r="F3" i="5"/>
  <c r="AJ24" i="10" s="1" a="1"/>
  <c r="AJ24" i="10" s="1"/>
  <c r="F22" i="5"/>
  <c r="F32" i="5"/>
  <c r="F8" i="5"/>
  <c r="F19" i="5"/>
  <c r="F11" i="5"/>
  <c r="F10" i="5"/>
  <c r="F5" i="5"/>
  <c r="R105" i="13"/>
  <c r="I106" i="13"/>
  <c r="O105" i="13"/>
  <c r="Z106" i="13"/>
  <c r="AB98" i="13"/>
  <c r="AB105" i="13"/>
  <c r="AC105" i="13"/>
  <c r="H26" i="13"/>
  <c r="V106" i="13"/>
  <c r="L106" i="13"/>
  <c r="Z105" i="13"/>
  <c r="O106" i="13"/>
  <c r="H106" i="13"/>
  <c r="AA26" i="13"/>
  <c r="R26" i="13"/>
  <c r="X46" i="13"/>
  <c r="Q106" i="13"/>
  <c r="G65" i="13"/>
  <c r="R106" i="13"/>
  <c r="I105" i="13"/>
  <c r="X105" i="13"/>
  <c r="F105" i="13"/>
  <c r="W65" i="13"/>
  <c r="F66" i="13"/>
  <c r="M105" i="13"/>
  <c r="J86" i="13"/>
  <c r="V105" i="13"/>
  <c r="AB101" i="13"/>
  <c r="AB106" i="13"/>
  <c r="AC106" i="13"/>
  <c r="L105" i="13"/>
  <c r="Q65" i="13"/>
  <c r="Q105" i="13"/>
  <c r="M86" i="13"/>
  <c r="T105" i="13"/>
  <c r="G105" i="13"/>
  <c r="X106" i="13"/>
  <c r="K106" i="13"/>
  <c r="P105" i="13"/>
  <c r="U46" i="13"/>
  <c r="N25" i="13"/>
  <c r="K105" i="13"/>
  <c r="G106" i="13"/>
  <c r="T106" i="13"/>
  <c r="N106" i="13"/>
  <c r="O13" i="10"/>
  <c r="O14" i="10" s="1"/>
  <c r="W106" i="13"/>
  <c r="K66" i="13"/>
  <c r="Y105" i="13"/>
  <c r="Z46" i="13"/>
  <c r="O26" i="13"/>
  <c r="I66" i="13"/>
  <c r="N65" i="13"/>
  <c r="X66" i="13"/>
  <c r="S65" i="13"/>
  <c r="J85" i="13"/>
  <c r="F85" i="13"/>
  <c r="S86" i="13"/>
  <c r="J46" i="13"/>
  <c r="Q25" i="13"/>
  <c r="K26" i="13"/>
  <c r="G45" i="13"/>
  <c r="U85" i="13"/>
  <c r="Z85" i="13"/>
  <c r="U86" i="13"/>
  <c r="Z86" i="13"/>
  <c r="K25" i="13"/>
  <c r="H86" i="13"/>
  <c r="U65" i="13"/>
  <c r="L85" i="13"/>
  <c r="F65" i="13"/>
  <c r="V65" i="13"/>
  <c r="E42" i="13"/>
  <c r="E46" i="13"/>
  <c r="I39" i="13"/>
  <c r="I45" i="13"/>
  <c r="W41" i="13"/>
  <c r="W45" i="13"/>
  <c r="Q66" i="13"/>
  <c r="AA85" i="13"/>
  <c r="Y26" i="13"/>
  <c r="L39" i="13"/>
  <c r="L45" i="13"/>
  <c r="T20" i="13"/>
  <c r="T26" i="13"/>
  <c r="AB80" i="13"/>
  <c r="AB85" i="13"/>
  <c r="AC85" i="13"/>
  <c r="M66" i="13"/>
  <c r="R66" i="13"/>
  <c r="J66" i="13"/>
  <c r="O86" i="13"/>
  <c r="M85" i="13"/>
  <c r="F19" i="13"/>
  <c r="F25" i="13"/>
  <c r="Q41" i="13"/>
  <c r="Q45" i="13"/>
  <c r="N20" i="13"/>
  <c r="N26" i="13"/>
  <c r="Y17" i="13"/>
  <c r="Y25" i="13"/>
  <c r="M19" i="13"/>
  <c r="M25" i="13"/>
  <c r="I26" i="13"/>
  <c r="L66" i="13"/>
  <c r="Y65" i="13"/>
  <c r="S85" i="13"/>
  <c r="Z19" i="13"/>
  <c r="Z25" i="13"/>
  <c r="S26" i="13"/>
  <c r="P25" i="13"/>
  <c r="AB62" i="13"/>
  <c r="AB66" i="13"/>
  <c r="AC66" i="13"/>
  <c r="O42" i="13"/>
  <c r="O46" i="13"/>
  <c r="AB41" i="13"/>
  <c r="AB45" i="13"/>
  <c r="AC45" i="13"/>
  <c r="V26" i="13"/>
  <c r="I65" i="13"/>
  <c r="Z66" i="13"/>
  <c r="Z65" i="13"/>
  <c r="L86" i="13"/>
  <c r="F86" i="13"/>
  <c r="U25" i="13"/>
  <c r="Y46" i="13"/>
  <c r="AB25" i="13"/>
  <c r="AC25" i="13"/>
  <c r="V41" i="13"/>
  <c r="V45" i="13"/>
  <c r="W66" i="13"/>
  <c r="U66" i="13"/>
  <c r="R65" i="13"/>
  <c r="L65" i="13"/>
  <c r="S66" i="13"/>
  <c r="P65" i="13"/>
  <c r="Y86" i="13"/>
  <c r="P85" i="13"/>
  <c r="X85" i="13"/>
  <c r="V86" i="13"/>
  <c r="E19" i="13"/>
  <c r="E25" i="13"/>
  <c r="I46" i="13"/>
  <c r="F45" i="13"/>
  <c r="N42" i="13"/>
  <c r="N46" i="13"/>
  <c r="P66" i="13"/>
  <c r="T65" i="13"/>
  <c r="M65" i="13"/>
  <c r="H66" i="13"/>
  <c r="X86" i="13"/>
  <c r="N85" i="13"/>
  <c r="P39" i="13"/>
  <c r="P45" i="13"/>
  <c r="T36" i="13"/>
  <c r="T46" i="13"/>
  <c r="M46" i="13"/>
  <c r="T45" i="13"/>
  <c r="I85" i="13"/>
  <c r="AA39" i="13"/>
  <c r="AA45" i="13"/>
  <c r="W17" i="13"/>
  <c r="W25" i="13"/>
  <c r="AC65" i="13"/>
  <c r="AB65" i="13"/>
  <c r="J19" i="13"/>
  <c r="J25" i="13"/>
  <c r="Y85" i="13"/>
  <c r="Q85" i="13"/>
  <c r="N86" i="13"/>
  <c r="L46" i="13"/>
  <c r="T19" i="13"/>
  <c r="T25" i="13"/>
  <c r="H46" i="13"/>
  <c r="K45" i="13"/>
  <c r="G26" i="13"/>
  <c r="V66" i="13"/>
  <c r="N66" i="13"/>
  <c r="V85" i="13"/>
  <c r="K85" i="13"/>
  <c r="S45" i="13"/>
  <c r="O39" i="13"/>
  <c r="O45" i="13"/>
  <c r="W20" i="13"/>
  <c r="W26" i="13"/>
  <c r="M20" i="13"/>
  <c r="M26" i="13"/>
  <c r="I25" i="13"/>
  <c r="G85" i="13"/>
  <c r="K86" i="13"/>
  <c r="G86" i="13"/>
  <c r="U26" i="13"/>
  <c r="AA25" i="13"/>
  <c r="Q26" i="13"/>
  <c r="W46" i="13"/>
  <c r="O25" i="13"/>
  <c r="AB46" i="13"/>
  <c r="AC46" i="13"/>
  <c r="H65" i="13"/>
  <c r="K65" i="13"/>
  <c r="T86" i="13"/>
  <c r="AA86" i="13"/>
  <c r="W85" i="13"/>
  <c r="W86" i="13"/>
  <c r="E20" i="13"/>
  <c r="E26" i="13"/>
  <c r="S25" i="13"/>
  <c r="G46" i="13"/>
  <c r="S42" i="13"/>
  <c r="S46" i="13"/>
  <c r="Q46" i="13"/>
  <c r="X65" i="13"/>
  <c r="G66" i="13"/>
  <c r="O65" i="13"/>
  <c r="O85" i="13"/>
  <c r="G19" i="13"/>
  <c r="G25" i="13"/>
  <c r="N39" i="13"/>
  <c r="N45" i="13"/>
  <c r="Z41" i="13"/>
  <c r="Z45" i="13"/>
  <c r="X45" i="13"/>
  <c r="H19" i="13"/>
  <c r="H25" i="13"/>
  <c r="T85" i="13"/>
  <c r="H85" i="13"/>
  <c r="AA46" i="13"/>
  <c r="Z26" i="13"/>
  <c r="P20" i="13"/>
  <c r="P26" i="13"/>
  <c r="V46" i="13"/>
  <c r="J41" i="13"/>
  <c r="J45" i="13"/>
  <c r="H41" i="13"/>
  <c r="H45" i="13"/>
  <c r="AB26" i="13"/>
  <c r="AC26" i="13"/>
  <c r="K42" i="13"/>
  <c r="K46" i="13"/>
  <c r="R25" i="13"/>
  <c r="F46" i="13"/>
  <c r="X17" i="13"/>
  <c r="X25" i="13"/>
  <c r="L20" i="13"/>
  <c r="L26" i="13"/>
  <c r="R42" i="13"/>
  <c r="R46" i="13"/>
  <c r="J20" i="13"/>
  <c r="J26" i="13"/>
  <c r="T66" i="13"/>
  <c r="Y66" i="13"/>
  <c r="R86" i="13"/>
  <c r="I86" i="13"/>
  <c r="Q86" i="13"/>
  <c r="R36" i="13"/>
  <c r="R45" i="13"/>
  <c r="M45" i="13"/>
  <c r="AB86" i="13"/>
  <c r="AC86" i="13"/>
  <c r="Y39" i="13"/>
  <c r="Y45" i="13"/>
  <c r="L17" i="13"/>
  <c r="L25" i="13"/>
  <c r="P42" i="13"/>
  <c r="P46" i="13"/>
  <c r="F26" i="13"/>
  <c r="F18" i="5"/>
  <c r="F13" i="5"/>
  <c r="F14" i="5"/>
  <c r="F9" i="5"/>
  <c r="F7" i="5"/>
  <c r="F30" i="5"/>
  <c r="F15" i="5"/>
  <c r="F6" i="5"/>
  <c r="AC64" i="10"/>
  <c r="U41" i="8" s="1" a="1"/>
  <c r="U41" i="8" s="1"/>
  <c r="U40" i="8" a="1"/>
  <c r="U40" i="8" s="1"/>
  <c r="O78" i="10"/>
  <c r="G49" i="8" s="1" a="1"/>
  <c r="G49" i="8" s="1"/>
  <c r="G48" i="8" a="1"/>
  <c r="G48" i="8" s="1"/>
  <c r="AC78" i="10"/>
  <c r="U49" i="8" s="1" a="1"/>
  <c r="U49" i="8" s="1"/>
  <c r="U48" i="8" a="1"/>
  <c r="U48" i="8" s="1"/>
  <c r="AA83" i="10"/>
  <c r="AA82" i="10" s="1"/>
  <c r="S56" i="8" s="1" a="1"/>
  <c r="S56" i="8" s="1"/>
  <c r="S48" i="8" a="1"/>
  <c r="S48" i="8" s="1"/>
  <c r="AE83" i="10"/>
  <c r="AE82" i="10" s="1"/>
  <c r="W56" i="8" s="1" a="1"/>
  <c r="W56" i="8" s="1"/>
  <c r="W48" i="8" a="1"/>
  <c r="W48" i="8" s="1"/>
  <c r="M17" i="13"/>
  <c r="AE95" i="10"/>
  <c r="AE97" i="10" s="1"/>
  <c r="N36" i="13"/>
  <c r="G20" i="13"/>
  <c r="X99" i="10"/>
  <c r="P74" i="8" s="1" a="1"/>
  <c r="P74" i="8" s="1"/>
  <c r="P73" i="8" a="1"/>
  <c r="P73" i="8" s="1"/>
  <c r="O17" i="13"/>
  <c r="W92" i="11"/>
  <c r="W91" i="11" s="1"/>
  <c r="W96" i="11" s="1"/>
  <c r="AB13" i="10"/>
  <c r="AB14" i="10" s="1"/>
  <c r="O95" i="10"/>
  <c r="O94" i="10" s="1"/>
  <c r="AA95" i="10"/>
  <c r="AA97" i="10" s="1"/>
  <c r="X110" i="10"/>
  <c r="X109" i="10" s="1"/>
  <c r="P81" i="8" s="1" a="1"/>
  <c r="P81" i="8" s="1"/>
  <c r="P95" i="10"/>
  <c r="P94" i="10" s="1"/>
  <c r="S36" i="13"/>
  <c r="AA110" i="10"/>
  <c r="AA112" i="10" s="1"/>
  <c r="Y110" i="10"/>
  <c r="Y109" i="10" s="1"/>
  <c r="Q81" i="8" s="1" a="1"/>
  <c r="Q81" i="8" s="1"/>
  <c r="H17" i="13"/>
  <c r="X14" i="13"/>
  <c r="X15" i="13" s="1"/>
  <c r="K14" i="13"/>
  <c r="K15" i="13" s="1"/>
  <c r="K19" i="13"/>
  <c r="I20" i="13"/>
  <c r="J17" i="13"/>
  <c r="H39" i="13"/>
  <c r="AB39" i="13"/>
  <c r="K17" i="13"/>
  <c r="AB36" i="13"/>
  <c r="N19" i="13"/>
  <c r="L36" i="13"/>
  <c r="W39" i="13"/>
  <c r="Y19" i="13"/>
  <c r="AB110" i="10"/>
  <c r="AB112" i="10" s="1"/>
  <c r="H14" i="13"/>
  <c r="H15" i="13" s="1"/>
  <c r="P17" i="13"/>
  <c r="U39" i="13"/>
  <c r="U41" i="13"/>
  <c r="H20" i="13"/>
  <c r="K20" i="13"/>
  <c r="AJ13" i="10"/>
  <c r="AJ14" i="10" s="1"/>
  <c r="U78" i="11"/>
  <c r="U77" i="11" s="1"/>
  <c r="U82" i="11" s="1"/>
  <c r="L41" i="13"/>
  <c r="AA41" i="13"/>
  <c r="AB92" i="11"/>
  <c r="AB94" i="11" s="1"/>
  <c r="S78" i="11"/>
  <c r="S77" i="11" s="1"/>
  <c r="S82" i="11" s="1"/>
  <c r="Z92" i="11"/>
  <c r="Z91" i="11" s="1"/>
  <c r="Z96" i="11" s="1"/>
  <c r="AD95" i="10"/>
  <c r="AD97" i="10" s="1"/>
  <c r="P110" i="10"/>
  <c r="P109" i="10" s="1"/>
  <c r="H81" i="8" s="1" a="1"/>
  <c r="H81" i="8" s="1"/>
  <c r="W14" i="13"/>
  <c r="W15" i="13" s="1"/>
  <c r="AE110" i="10"/>
  <c r="AE112" i="10" s="1"/>
  <c r="I41" i="13"/>
  <c r="W36" i="13"/>
  <c r="J14" i="13"/>
  <c r="J15" i="13" s="1"/>
  <c r="J39" i="13"/>
  <c r="AA92" i="11"/>
  <c r="AA94" i="11" s="1"/>
  <c r="X19" i="13"/>
  <c r="F36" i="13"/>
  <c r="E36" i="13"/>
  <c r="N17" i="13"/>
  <c r="K39" i="13"/>
  <c r="X36" i="13"/>
  <c r="S95" i="10"/>
  <c r="S94" i="10" s="1"/>
  <c r="T42" i="13"/>
  <c r="K41" i="13"/>
  <c r="AA36" i="13"/>
  <c r="O36" i="13"/>
  <c r="U13" i="11"/>
  <c r="U14" i="11" s="1"/>
  <c r="R13" i="11"/>
  <c r="R14" i="11" s="1"/>
  <c r="X78" i="11"/>
  <c r="X77" i="11" s="1"/>
  <c r="X82" i="11" s="1"/>
  <c r="P19" i="13"/>
  <c r="AB13" i="11"/>
  <c r="AB14" i="11" s="1"/>
  <c r="N14" i="13"/>
  <c r="N15" i="13" s="1"/>
  <c r="AB81" i="13"/>
  <c r="L14" i="13"/>
  <c r="L15" i="13" s="1"/>
  <c r="L19" i="13"/>
  <c r="M36" i="13"/>
  <c r="Y41" i="13"/>
  <c r="U36" i="13"/>
  <c r="G42" i="13"/>
  <c r="U42" i="13"/>
  <c r="Y14" i="13"/>
  <c r="Y15" i="13" s="1"/>
  <c r="V42" i="13"/>
  <c r="Q39" i="13"/>
  <c r="Y20" i="13"/>
  <c r="Q19" i="13"/>
  <c r="T95" i="10"/>
  <c r="T94" i="10" s="1"/>
  <c r="O110" i="10"/>
  <c r="O109" i="10" s="1"/>
  <c r="R13" i="10"/>
  <c r="R14" i="10" s="1"/>
  <c r="AF13" i="10"/>
  <c r="AF14" i="10" s="1"/>
  <c r="AD13" i="10"/>
  <c r="AD14" i="10" s="1"/>
  <c r="Z95" i="10"/>
  <c r="Z94" i="10" s="1"/>
  <c r="Q36" i="13"/>
  <c r="R95" i="10"/>
  <c r="R94" i="10" s="1"/>
  <c r="J73" i="8" s="1" a="1"/>
  <c r="J73" i="8" s="1"/>
  <c r="M14" i="13"/>
  <c r="M15" i="13" s="1"/>
  <c r="H42" i="13"/>
  <c r="Z14" i="13"/>
  <c r="Z15" i="13" s="1"/>
  <c r="Z17" i="13"/>
  <c r="AH110" i="10"/>
  <c r="AH112" i="10" s="1"/>
  <c r="T13" i="10"/>
  <c r="T14" i="10" s="1"/>
  <c r="P14" i="13"/>
  <c r="P15" i="13" s="1"/>
  <c r="AB95" i="10"/>
  <c r="AB97" i="10" s="1"/>
  <c r="AE13" i="10"/>
  <c r="AE14" i="10" s="1"/>
  <c r="Q13" i="10"/>
  <c r="Q14" i="10" s="1"/>
  <c r="P13" i="10"/>
  <c r="P14" i="10" s="1"/>
  <c r="Y95" i="10"/>
  <c r="Y94" i="10" s="1"/>
  <c r="Q73" i="8" s="1" a="1"/>
  <c r="Q73" i="8" s="1"/>
  <c r="Q95" i="10"/>
  <c r="Q94" i="10" s="1"/>
  <c r="I73" i="8" s="1" a="1"/>
  <c r="I73" i="8" s="1"/>
  <c r="S110" i="10"/>
  <c r="S109" i="10" s="1"/>
  <c r="K81" i="8" s="1" a="1"/>
  <c r="K81" i="8" s="1"/>
  <c r="T110" i="10"/>
  <c r="T109" i="10" s="1"/>
  <c r="L81" i="8" s="1" a="1"/>
  <c r="L81" i="8" s="1"/>
  <c r="AL110" i="10"/>
  <c r="AL112" i="10" s="1"/>
  <c r="AD78" i="10"/>
  <c r="AC110" i="10"/>
  <c r="AC112" i="10" s="1"/>
  <c r="AD83" i="10"/>
  <c r="AD82" i="10" s="1"/>
  <c r="V56" i="8" s="1" a="1"/>
  <c r="V56" i="8" s="1"/>
  <c r="P64" i="10"/>
  <c r="U13" i="10"/>
  <c r="U14" i="10" s="1"/>
  <c r="W95" i="10"/>
  <c r="W94" i="10" s="1"/>
  <c r="Z78" i="11"/>
  <c r="Z77" i="11" s="1"/>
  <c r="Z82" i="11" s="1"/>
  <c r="Q110" i="10"/>
  <c r="Q109" i="10" s="1"/>
  <c r="N41" i="13"/>
  <c r="W13" i="10"/>
  <c r="W14" i="10" s="1"/>
  <c r="AF110" i="10"/>
  <c r="AF112" i="10" s="1"/>
  <c r="V78" i="11"/>
  <c r="V77" i="11" s="1"/>
  <c r="V82" i="11" s="1"/>
  <c r="AG95" i="10"/>
  <c r="AG97" i="10" s="1"/>
  <c r="T78" i="11"/>
  <c r="T77" i="11" s="1"/>
  <c r="T82" i="11" s="1"/>
  <c r="AL95" i="10"/>
  <c r="AL97" i="10" s="1"/>
  <c r="S19" i="13"/>
  <c r="F17" i="13"/>
  <c r="F14" i="13"/>
  <c r="F15" i="13" s="1"/>
  <c r="S17" i="13"/>
  <c r="O13" i="11"/>
  <c r="O14" i="11" s="1"/>
  <c r="AC13" i="10"/>
  <c r="AC14" i="10" s="1"/>
  <c r="Q20" i="13"/>
  <c r="V13" i="10"/>
  <c r="V14" i="10" s="1"/>
  <c r="AA13" i="10"/>
  <c r="AA14" i="10" s="1"/>
  <c r="AC95" i="10"/>
  <c r="AC97" i="10" s="1"/>
  <c r="U95" i="10"/>
  <c r="U94" i="10" s="1"/>
  <c r="O92" i="11"/>
  <c r="O91" i="11" s="1"/>
  <c r="O96" i="11" s="1"/>
  <c r="X13" i="10"/>
  <c r="X14" i="10" s="1"/>
  <c r="F39" i="13"/>
  <c r="F41" i="13"/>
  <c r="AA17" i="13"/>
  <c r="W13" i="11"/>
  <c r="W14" i="11" s="1"/>
  <c r="O78" i="11"/>
  <c r="O77" i="11" s="1"/>
  <c r="O82" i="11" s="1"/>
  <c r="AA42" i="13"/>
  <c r="AB100" i="13"/>
  <c r="AB95" i="13"/>
  <c r="AB96" i="13" s="1"/>
  <c r="AG110" i="10"/>
  <c r="AG112" i="10" s="1"/>
  <c r="Q13" i="11"/>
  <c r="Q14" i="11" s="1"/>
  <c r="W78" i="11"/>
  <c r="W77" i="11" s="1"/>
  <c r="W82" i="11" s="1"/>
  <c r="M39" i="13"/>
  <c r="P13" i="11"/>
  <c r="P14" i="11" s="1"/>
  <c r="O41" i="13"/>
  <c r="U14" i="13"/>
  <c r="U15" i="13" s="1"/>
  <c r="Y78" i="11"/>
  <c r="Y77" i="11" s="1"/>
  <c r="Y82" i="11" s="1"/>
  <c r="AI95" i="10"/>
  <c r="AI97" i="10" s="1"/>
  <c r="W42" i="13"/>
  <c r="O20" i="13"/>
  <c r="X13" i="11"/>
  <c r="X14" i="11" s="1"/>
  <c r="Z13" i="11"/>
  <c r="Z14" i="11" s="1"/>
  <c r="S92" i="11"/>
  <c r="S91" i="11" s="1"/>
  <c r="S96" i="11" s="1"/>
  <c r="S13" i="11"/>
  <c r="S14" i="11" s="1"/>
  <c r="J36" i="13"/>
  <c r="X20" i="13"/>
  <c r="V17" i="13"/>
  <c r="Q14" i="13"/>
  <c r="Q15" i="13" s="1"/>
  <c r="V19" i="13"/>
  <c r="AB75" i="13"/>
  <c r="AB76" i="13" s="1"/>
  <c r="AK110" i="10"/>
  <c r="AK112" i="10" s="1"/>
  <c r="Q17" i="13"/>
  <c r="AB78" i="13"/>
  <c r="AB78" i="11"/>
  <c r="AB80" i="11" s="1"/>
  <c r="S13" i="10"/>
  <c r="S14" i="10" s="1"/>
  <c r="V14" i="13"/>
  <c r="V18" i="13" s="1"/>
  <c r="T14" i="13"/>
  <c r="T15" i="13" s="1"/>
  <c r="O14" i="13"/>
  <c r="O15" i="13" s="1"/>
  <c r="AA20" i="13"/>
  <c r="V110" i="10"/>
  <c r="V109" i="10" s="1"/>
  <c r="T17" i="13"/>
  <c r="H36" i="13"/>
  <c r="S20" i="13"/>
  <c r="R20" i="13"/>
  <c r="R41" i="13"/>
  <c r="AF95" i="10"/>
  <c r="AF97" i="10" s="1"/>
  <c r="U110" i="10"/>
  <c r="U109" i="10" s="1"/>
  <c r="M81" i="8" s="1" a="1"/>
  <c r="M81" i="8" s="1"/>
  <c r="Z42" i="13"/>
  <c r="R92" i="11"/>
  <c r="R91" i="11" s="1"/>
  <c r="R96" i="11" s="1"/>
  <c r="V95" i="10"/>
  <c r="V94" i="10" s="1"/>
  <c r="N73" i="8" s="1" a="1"/>
  <c r="N73" i="8" s="1"/>
  <c r="Z36" i="13"/>
  <c r="P36" i="13"/>
  <c r="AA78" i="11"/>
  <c r="AA80" i="11" s="1"/>
  <c r="R19" i="13"/>
  <c r="S41" i="13"/>
  <c r="P41" i="13"/>
  <c r="Z20" i="13"/>
  <c r="AA13" i="11"/>
  <c r="AA14" i="11" s="1"/>
  <c r="R17" i="13"/>
  <c r="S39" i="13"/>
  <c r="AG13" i="10"/>
  <c r="AG14" i="10" s="1"/>
  <c r="Y92" i="11"/>
  <c r="Y91" i="11" s="1"/>
  <c r="Y96" i="11" s="1"/>
  <c r="AJ110" i="10"/>
  <c r="AJ112" i="10" s="1"/>
  <c r="AK13" i="10"/>
  <c r="AK14" i="10" s="1"/>
  <c r="AK95" i="10"/>
  <c r="AK97" i="10" s="1"/>
  <c r="X42" i="13"/>
  <c r="Q92" i="11"/>
  <c r="Q91" i="11" s="1"/>
  <c r="Q96" i="11" s="1"/>
  <c r="K36" i="13"/>
  <c r="P92" i="11"/>
  <c r="P91" i="11" s="1"/>
  <c r="P96" i="11" s="1"/>
  <c r="O19" i="13"/>
  <c r="Y13" i="10"/>
  <c r="Y14" i="10" s="1"/>
  <c r="AA19" i="13"/>
  <c r="Z13" i="10"/>
  <c r="Z14" i="10" s="1"/>
  <c r="I36" i="13"/>
  <c r="F42" i="13"/>
  <c r="G14" i="13"/>
  <c r="G15" i="13" s="1"/>
  <c r="U20" i="13"/>
  <c r="J42" i="13"/>
  <c r="AH95" i="10"/>
  <c r="AH97" i="10" s="1"/>
  <c r="Y13" i="11"/>
  <c r="Y14" i="11" s="1"/>
  <c r="E17" i="13"/>
  <c r="L42" i="13"/>
  <c r="AB20" i="13"/>
  <c r="T13" i="11"/>
  <c r="T14" i="11" s="1"/>
  <c r="AI110" i="10"/>
  <c r="AI112" i="10" s="1"/>
  <c r="Y36" i="13"/>
  <c r="U19" i="13"/>
  <c r="AA14" i="13"/>
  <c r="AA15" i="13" s="1"/>
  <c r="R14" i="13"/>
  <c r="R15" i="13" s="1"/>
  <c r="Y42" i="13"/>
  <c r="V36" i="13"/>
  <c r="AD110" i="10"/>
  <c r="AD112" i="10" s="1"/>
  <c r="U17" i="13"/>
  <c r="AI13" i="10"/>
  <c r="AI14" i="10" s="1"/>
  <c r="S14" i="13"/>
  <c r="S15" i="13" s="1"/>
  <c r="M41" i="13"/>
  <c r="I42" i="13"/>
  <c r="R110" i="10"/>
  <c r="R109" i="10" s="1"/>
  <c r="V13" i="11"/>
  <c r="V14" i="11" s="1"/>
  <c r="G17" i="13"/>
  <c r="V39" i="13"/>
  <c r="AH13" i="10"/>
  <c r="AH14" i="10" s="1"/>
  <c r="E14" i="13"/>
  <c r="E15" i="13" s="1"/>
  <c r="AJ95" i="10"/>
  <c r="AJ97" i="10" s="1"/>
  <c r="X92" i="11"/>
  <c r="X91" i="11" s="1"/>
  <c r="X96" i="11" s="1"/>
  <c r="R39" i="13"/>
  <c r="AB14" i="13"/>
  <c r="AB15" i="13" s="1"/>
  <c r="AB19" i="13"/>
  <c r="AB17" i="13"/>
  <c r="AE78" i="10"/>
  <c r="AB64" i="10"/>
  <c r="O88" i="10"/>
  <c r="O87" i="10" s="1"/>
  <c r="G64" i="8" s="1" a="1"/>
  <c r="G64" i="8" s="1"/>
  <c r="AF24" i="10" a="1"/>
  <c r="AF24" i="10" s="1"/>
  <c r="AI24" i="10" a="1"/>
  <c r="AI24" i="10" s="1"/>
  <c r="AA78" i="10"/>
  <c r="AD64" i="10"/>
  <c r="AC83" i="10"/>
  <c r="AC82" i="10" s="1"/>
  <c r="U56" i="8" s="1" a="1"/>
  <c r="U56" i="8" s="1"/>
  <c r="AE64" i="10"/>
  <c r="AB83" i="10"/>
  <c r="AB82" i="10" s="1"/>
  <c r="AB78" i="10"/>
  <c r="O64" i="10"/>
  <c r="I101" i="13"/>
  <c r="O100" i="13"/>
  <c r="O98" i="13"/>
  <c r="E100" i="13"/>
  <c r="E98" i="13"/>
  <c r="Z101" i="13"/>
  <c r="Q101" i="13"/>
  <c r="Y101" i="13"/>
  <c r="V101" i="13"/>
  <c r="U100" i="13"/>
  <c r="U98" i="13"/>
  <c r="L101" i="13"/>
  <c r="S101" i="13"/>
  <c r="R100" i="13"/>
  <c r="R98" i="13"/>
  <c r="J101" i="13"/>
  <c r="Z100" i="13"/>
  <c r="Z98" i="13"/>
  <c r="O101" i="13"/>
  <c r="H101" i="13"/>
  <c r="R101" i="13"/>
  <c r="I100" i="13"/>
  <c r="I98" i="13"/>
  <c r="X100" i="13"/>
  <c r="X98" i="13"/>
  <c r="E101" i="13"/>
  <c r="F100" i="13"/>
  <c r="F98" i="13"/>
  <c r="M95" i="13"/>
  <c r="M96" i="13" s="1"/>
  <c r="M100" i="13"/>
  <c r="M98" i="13"/>
  <c r="V100" i="13"/>
  <c r="V98" i="13"/>
  <c r="P101" i="13"/>
  <c r="N100" i="13"/>
  <c r="N98" i="13"/>
  <c r="M101" i="13"/>
  <c r="S100" i="13"/>
  <c r="S98" i="13"/>
  <c r="J100" i="13"/>
  <c r="J98" i="13"/>
  <c r="U101" i="13"/>
  <c r="K98" i="13"/>
  <c r="K100" i="13"/>
  <c r="W101" i="13"/>
  <c r="L100" i="13"/>
  <c r="L98" i="13"/>
  <c r="AA100" i="13"/>
  <c r="AA98" i="13"/>
  <c r="G101" i="13"/>
  <c r="Q100" i="13"/>
  <c r="Q98" i="13"/>
  <c r="T100" i="13"/>
  <c r="T98" i="13"/>
  <c r="G100" i="13"/>
  <c r="G98" i="13"/>
  <c r="K101" i="13"/>
  <c r="H98" i="13"/>
  <c r="H100" i="13"/>
  <c r="P100" i="13"/>
  <c r="P98" i="13"/>
  <c r="W98" i="13"/>
  <c r="W100" i="13"/>
  <c r="T101" i="13"/>
  <c r="AA101" i="13"/>
  <c r="N101" i="13"/>
  <c r="Y98" i="13"/>
  <c r="Y100" i="13"/>
  <c r="X101" i="13"/>
  <c r="F101" i="13"/>
  <c r="R80" i="13"/>
  <c r="R78" i="13"/>
  <c r="W61" i="13"/>
  <c r="W59" i="13"/>
  <c r="N81" i="13"/>
  <c r="V80" i="13"/>
  <c r="V78" i="13"/>
  <c r="K80" i="13"/>
  <c r="K78" i="13"/>
  <c r="AA62" i="13"/>
  <c r="U61" i="13"/>
  <c r="U59" i="13"/>
  <c r="J61" i="13"/>
  <c r="J59" i="13"/>
  <c r="G75" i="13"/>
  <c r="G76" i="13" s="1"/>
  <c r="G80" i="13"/>
  <c r="G78" i="13"/>
  <c r="K81" i="13"/>
  <c r="G81" i="13"/>
  <c r="P81" i="13"/>
  <c r="T81" i="13"/>
  <c r="AA81" i="13"/>
  <c r="W75" i="13"/>
  <c r="W76" i="13" s="1"/>
  <c r="W80" i="13"/>
  <c r="W78" i="13"/>
  <c r="W81" i="13"/>
  <c r="N62" i="13"/>
  <c r="O61" i="13"/>
  <c r="O59" i="13"/>
  <c r="L80" i="13"/>
  <c r="L78" i="13"/>
  <c r="O80" i="13"/>
  <c r="O78" i="13"/>
  <c r="O62" i="13"/>
  <c r="T80" i="13"/>
  <c r="T78" i="13"/>
  <c r="H80" i="13"/>
  <c r="H78" i="13"/>
  <c r="Q80" i="13"/>
  <c r="Q78" i="13"/>
  <c r="W62" i="13"/>
  <c r="K62" i="13"/>
  <c r="K61" i="13"/>
  <c r="K59" i="13"/>
  <c r="M81" i="13"/>
  <c r="U80" i="13"/>
  <c r="U78" i="13"/>
  <c r="T62" i="13"/>
  <c r="E61" i="13"/>
  <c r="E59" i="13"/>
  <c r="Y62" i="13"/>
  <c r="R81" i="13"/>
  <c r="I81" i="13"/>
  <c r="Q81" i="13"/>
  <c r="S61" i="13"/>
  <c r="S59" i="13"/>
  <c r="H61" i="13"/>
  <c r="H59" i="13"/>
  <c r="Q61" i="13"/>
  <c r="Q59" i="13"/>
  <c r="F61" i="13"/>
  <c r="F59" i="13"/>
  <c r="I62" i="13"/>
  <c r="U62" i="13"/>
  <c r="V61" i="13"/>
  <c r="V59" i="13"/>
  <c r="I61" i="13"/>
  <c r="I59" i="13"/>
  <c r="J80" i="13"/>
  <c r="J78" i="13"/>
  <c r="F80" i="13"/>
  <c r="F78" i="13"/>
  <c r="E81" i="13"/>
  <c r="S81" i="13"/>
  <c r="AA61" i="13"/>
  <c r="AA59" i="13"/>
  <c r="L62" i="13"/>
  <c r="Q62" i="13"/>
  <c r="R61" i="13"/>
  <c r="R59" i="13"/>
  <c r="Z80" i="13"/>
  <c r="Z78" i="13"/>
  <c r="U81" i="13"/>
  <c r="Z81" i="13"/>
  <c r="AA80" i="13"/>
  <c r="AA78" i="13"/>
  <c r="J81" i="13"/>
  <c r="P62" i="13"/>
  <c r="R62" i="13"/>
  <c r="J62" i="13"/>
  <c r="O81" i="13"/>
  <c r="M80" i="13"/>
  <c r="M78" i="13"/>
  <c r="Y80" i="13"/>
  <c r="Y78" i="13"/>
  <c r="G62" i="13"/>
  <c r="Y61" i="13"/>
  <c r="Y59" i="13"/>
  <c r="Z62" i="13"/>
  <c r="S80" i="13"/>
  <c r="S78" i="13"/>
  <c r="V62" i="13"/>
  <c r="M62" i="13"/>
  <c r="L61" i="13"/>
  <c r="L59" i="13"/>
  <c r="Z61" i="13"/>
  <c r="Z59" i="13"/>
  <c r="E62" i="13"/>
  <c r="H81" i="13"/>
  <c r="L81" i="13"/>
  <c r="F81" i="13"/>
  <c r="X61" i="13"/>
  <c r="X59" i="13"/>
  <c r="S62" i="13"/>
  <c r="P61" i="13"/>
  <c r="P59" i="13"/>
  <c r="Y81" i="13"/>
  <c r="P80" i="13"/>
  <c r="P78" i="13"/>
  <c r="X80" i="13"/>
  <c r="X78" i="13"/>
  <c r="V81" i="13"/>
  <c r="F62" i="13"/>
  <c r="T61" i="13"/>
  <c r="T59" i="13"/>
  <c r="M61" i="13"/>
  <c r="M59" i="13"/>
  <c r="H62" i="13"/>
  <c r="X81" i="13"/>
  <c r="E80" i="13"/>
  <c r="E78" i="13"/>
  <c r="N80" i="13"/>
  <c r="N78" i="13"/>
  <c r="G61" i="13"/>
  <c r="G59" i="13"/>
  <c r="N61" i="13"/>
  <c r="N59" i="13"/>
  <c r="X62" i="13"/>
  <c r="I80" i="13"/>
  <c r="I78" i="13"/>
  <c r="S75" i="13"/>
  <c r="S76" i="13" s="1"/>
  <c r="Q75" i="13"/>
  <c r="Q76" i="13" s="1"/>
  <c r="U75" i="13"/>
  <c r="U76" i="13" s="1"/>
  <c r="N95" i="13"/>
  <c r="N96" i="13" s="1"/>
  <c r="U95" i="13"/>
  <c r="U96" i="13" s="1"/>
  <c r="W54" i="10"/>
  <c r="V74" i="10"/>
  <c r="V68" i="10" s="1"/>
  <c r="N48" i="8" s="1" a="1"/>
  <c r="N48" i="8" s="1"/>
  <c r="AI74" i="10"/>
  <c r="AI68" i="10" s="1"/>
  <c r="AA48" i="8" s="1" a="1"/>
  <c r="AA48" i="8" s="1"/>
  <c r="S68" i="10"/>
  <c r="K48" i="8" s="1" a="1"/>
  <c r="K48" i="8" s="1"/>
  <c r="Q68" i="10"/>
  <c r="AL68" i="10"/>
  <c r="Y56" i="13"/>
  <c r="Y57" i="13" s="1"/>
  <c r="X75" i="13"/>
  <c r="X76" i="13" s="1"/>
  <c r="H56" i="13"/>
  <c r="H57" i="13" s="1"/>
  <c r="V75" i="13"/>
  <c r="V76" i="13" s="1"/>
  <c r="T75" i="13"/>
  <c r="T76" i="13" s="1"/>
  <c r="W56" i="13"/>
  <c r="W57" i="13" s="1"/>
  <c r="E95" i="13"/>
  <c r="E96" i="13" s="1"/>
  <c r="S95" i="13"/>
  <c r="S96" i="13" s="1"/>
  <c r="J75" i="13"/>
  <c r="J76" i="13" s="1"/>
  <c r="G95" i="13"/>
  <c r="G96" i="13" s="1"/>
  <c r="P56" i="13"/>
  <c r="P57" i="13" s="1"/>
  <c r="L56" i="13"/>
  <c r="L57" i="13" s="1"/>
  <c r="L95" i="13"/>
  <c r="L96" i="13" s="1"/>
  <c r="L75" i="13"/>
  <c r="L76" i="13" s="1"/>
  <c r="I56" i="13"/>
  <c r="I57" i="13" s="1"/>
  <c r="F75" i="13"/>
  <c r="F76" i="13" s="1"/>
  <c r="H95" i="13"/>
  <c r="H96" i="13" s="1"/>
  <c r="G56" i="13"/>
  <c r="G57" i="13" s="1"/>
  <c r="Z95" i="13"/>
  <c r="Z96" i="13" s="1"/>
  <c r="I95" i="13"/>
  <c r="I96" i="13" s="1"/>
  <c r="X56" i="13"/>
  <c r="X57" i="13" s="1"/>
  <c r="F56" i="13"/>
  <c r="F57" i="13" s="1"/>
  <c r="O56" i="13"/>
  <c r="O57" i="13" s="1"/>
  <c r="K95" i="13"/>
  <c r="K96" i="13" s="1"/>
  <c r="Q95" i="13"/>
  <c r="Q96" i="13" s="1"/>
  <c r="J95" i="13"/>
  <c r="J96" i="13" s="1"/>
  <c r="Z56" i="13"/>
  <c r="Z57" i="13" s="1"/>
  <c r="Z75" i="13"/>
  <c r="Z76" i="13" s="1"/>
  <c r="V95" i="13"/>
  <c r="V96" i="13" s="1"/>
  <c r="E56" i="13"/>
  <c r="E57" i="13" s="1"/>
  <c r="Q56" i="13"/>
  <c r="Q57" i="13" s="1"/>
  <c r="V56" i="13"/>
  <c r="V57" i="13" s="1"/>
  <c r="T95" i="13"/>
  <c r="T96" i="13" s="1"/>
  <c r="AA95" i="13"/>
  <c r="AA96" i="13" s="1"/>
  <c r="O75" i="13"/>
  <c r="O76" i="13" s="1"/>
  <c r="R56" i="13"/>
  <c r="R57" i="13" s="1"/>
  <c r="H75" i="13"/>
  <c r="H76" i="13" s="1"/>
  <c r="P95" i="13"/>
  <c r="P96" i="13" s="1"/>
  <c r="W95" i="13"/>
  <c r="W96" i="13" s="1"/>
  <c r="R95" i="13"/>
  <c r="R96" i="13" s="1"/>
  <c r="T56" i="13"/>
  <c r="T57" i="13" s="1"/>
  <c r="M56" i="13"/>
  <c r="M57" i="13" s="1"/>
  <c r="Y95" i="13"/>
  <c r="Y96" i="13" s="1"/>
  <c r="N56" i="13"/>
  <c r="N57" i="13" s="1"/>
  <c r="O95" i="13"/>
  <c r="O96" i="13" s="1"/>
  <c r="M75" i="13"/>
  <c r="M76" i="13" s="1"/>
  <c r="AA75" i="13"/>
  <c r="AA76" i="13" s="1"/>
  <c r="S56" i="13"/>
  <c r="S57" i="13" s="1"/>
  <c r="P75" i="13"/>
  <c r="P76" i="13" s="1"/>
  <c r="U56" i="13"/>
  <c r="U57" i="13" s="1"/>
  <c r="AA56" i="13"/>
  <c r="AA57" i="13" s="1"/>
  <c r="J56" i="13"/>
  <c r="J57" i="13" s="1"/>
  <c r="I75" i="13"/>
  <c r="I76" i="13" s="1"/>
  <c r="K56" i="13"/>
  <c r="K57" i="13" s="1"/>
  <c r="R75" i="13"/>
  <c r="R76" i="13" s="1"/>
  <c r="Y75" i="13"/>
  <c r="Y76" i="13" s="1"/>
  <c r="E75" i="13"/>
  <c r="E76" i="13" s="1"/>
  <c r="N75" i="13"/>
  <c r="N76" i="13" s="1"/>
  <c r="K75" i="13"/>
  <c r="K76" i="13" s="1"/>
  <c r="X95" i="13"/>
  <c r="X96" i="13" s="1"/>
  <c r="F95" i="13"/>
  <c r="F96" i="13" s="1"/>
  <c r="U64" i="10"/>
  <c r="M41" i="8" s="1" a="1"/>
  <c r="M41" i="8" s="1"/>
  <c r="AH83" i="10"/>
  <c r="AH82" i="10" s="1"/>
  <c r="Z56" i="8" s="1" a="1"/>
  <c r="Z56" i="8" s="1"/>
  <c r="AH78" i="10"/>
  <c r="Z49" i="8" s="1" a="1"/>
  <c r="Z49" i="8" s="1"/>
  <c r="P88" i="10"/>
  <c r="P87" i="10" s="1"/>
  <c r="H64" i="8" s="1" a="1"/>
  <c r="H64" i="8" s="1"/>
  <c r="P78" i="10"/>
  <c r="H49" i="8" s="1" a="1"/>
  <c r="H49" i="8" s="1"/>
  <c r="AH64" i="10"/>
  <c r="Z41" i="8" s="1" a="1"/>
  <c r="Z41" i="8" s="1"/>
  <c r="X78" i="10"/>
  <c r="P49" i="8" s="1" a="1"/>
  <c r="P49" i="8" s="1"/>
  <c r="X88" i="10"/>
  <c r="X87" i="10" s="1"/>
  <c r="P64" i="8" s="1" a="1"/>
  <c r="P64" i="8" s="1"/>
  <c r="AG83" i="10"/>
  <c r="AG82" i="10" s="1"/>
  <c r="Y56" i="8" s="1" a="1"/>
  <c r="Y56" i="8" s="1"/>
  <c r="AG78" i="10"/>
  <c r="Y49" i="8" s="1" a="1"/>
  <c r="Y49" i="8" s="1"/>
  <c r="V64" i="10"/>
  <c r="N41" i="8" s="1" a="1"/>
  <c r="N41" i="8" s="1"/>
  <c r="Q64" i="10"/>
  <c r="I41" i="8" s="1" a="1"/>
  <c r="I41" i="8" s="1"/>
  <c r="AK64" i="10"/>
  <c r="AC41" i="8" s="1" a="1"/>
  <c r="AC41" i="8" s="1"/>
  <c r="AI60" i="10"/>
  <c r="AI54" i="10" s="1"/>
  <c r="AA40" i="8" s="1" a="1"/>
  <c r="AA40" i="8" s="1"/>
  <c r="R54" i="10"/>
  <c r="J40" i="8" s="1" a="1"/>
  <c r="J40" i="8" s="1"/>
  <c r="AF64" i="10"/>
  <c r="X41" i="8" s="1" a="1"/>
  <c r="X41" i="8" s="1"/>
  <c r="S60" i="10"/>
  <c r="S54" i="10" s="1"/>
  <c r="K40" i="8" s="1" a="1"/>
  <c r="K40" i="8" s="1"/>
  <c r="X60" i="10"/>
  <c r="X54" i="10" s="1"/>
  <c r="P40" i="8" s="1" a="1"/>
  <c r="P40" i="8" s="1"/>
  <c r="AK74" i="10"/>
  <c r="AK68" i="10" s="1"/>
  <c r="AC48" i="8" s="1" a="1"/>
  <c r="AC48" i="8" s="1"/>
  <c r="AC84" i="10"/>
  <c r="U57" i="8" s="1" a="1"/>
  <c r="U57" i="8" s="1"/>
  <c r="Z64" i="10"/>
  <c r="R41" i="8" s="1" a="1"/>
  <c r="R41" i="8" s="1"/>
  <c r="AF83" i="10"/>
  <c r="AF82" i="10" s="1"/>
  <c r="X56" i="8" s="1" a="1"/>
  <c r="X56" i="8" s="1"/>
  <c r="AF78" i="10"/>
  <c r="X49" i="8" s="1" a="1"/>
  <c r="X49" i="8" s="1"/>
  <c r="U68" i="10"/>
  <c r="M48" i="8" s="1" a="1"/>
  <c r="M48" i="8" s="1"/>
  <c r="W68" i="10"/>
  <c r="O48" i="8" s="1" a="1"/>
  <c r="O48" i="8" s="1"/>
  <c r="AJ60" i="10"/>
  <c r="AJ54" i="10" s="1"/>
  <c r="AB40" i="8" s="1" a="1"/>
  <c r="AB40" i="8" s="1"/>
  <c r="AL60" i="10"/>
  <c r="AL54" i="10" s="1"/>
  <c r="AD40" i="8" s="1" a="1"/>
  <c r="AD40" i="8" s="1"/>
  <c r="T60" i="10"/>
  <c r="T54" i="10" s="1"/>
  <c r="L40" i="8" s="1" a="1"/>
  <c r="L40" i="8" s="1"/>
  <c r="AA64" i="10"/>
  <c r="S41" i="8" s="1" a="1"/>
  <c r="S41" i="8" s="1"/>
  <c r="R68" i="10"/>
  <c r="J48" i="8" s="1" a="1"/>
  <c r="J48" i="8" s="1"/>
  <c r="AG60" i="10"/>
  <c r="AG54" i="10" s="1"/>
  <c r="Y40" i="8" s="1" a="1"/>
  <c r="Y40" i="8" s="1"/>
  <c r="T68" i="10"/>
  <c r="L48" i="8" s="1" a="1"/>
  <c r="L48" i="8" s="1"/>
  <c r="AJ74" i="10"/>
  <c r="AJ68" i="10" s="1"/>
  <c r="AB48" i="8" s="1" a="1"/>
  <c r="AB48" i="8" s="1"/>
  <c r="Y78" i="10"/>
  <c r="Q49" i="8" s="1" a="1"/>
  <c r="Q49" i="8" s="1"/>
  <c r="Y88" i="10"/>
  <c r="Y87" i="10" s="1"/>
  <c r="Q64" i="8" s="1" a="1"/>
  <c r="Q64" i="8" s="1"/>
  <c r="Y64" i="10"/>
  <c r="Q41" i="8" s="1" a="1"/>
  <c r="Q41" i="8" s="1"/>
  <c r="Z78" i="10"/>
  <c r="R49" i="8" s="1" a="1"/>
  <c r="R49" i="8" s="1"/>
  <c r="Z88" i="10"/>
  <c r="Z87" i="10" s="1"/>
  <c r="R64" i="8" s="1" a="1"/>
  <c r="R64" i="8" s="1"/>
  <c r="T23" i="10" a="1"/>
  <c r="T23" i="10" s="1"/>
  <c r="S110" i="11" a="1"/>
  <c r="S110" i="11" s="1"/>
  <c r="Z23" i="11" a="1"/>
  <c r="Z23" i="11" s="1"/>
  <c r="AB21" i="11" a="1"/>
  <c r="AB21" i="11" s="1"/>
  <c r="AC24" i="10" a="1"/>
  <c r="AC24" i="10" s="1"/>
  <c r="T24" i="10" a="1"/>
  <c r="T24" i="10" s="1"/>
  <c r="Y21" i="11" a="1"/>
  <c r="Y21" i="11" s="1"/>
  <c r="P19" i="11" a="1"/>
  <c r="P19" i="11" s="1"/>
  <c r="T23" i="11" a="1"/>
  <c r="T23" i="11" s="1"/>
  <c r="P24" i="10" a="1"/>
  <c r="P24" i="10" s="1"/>
  <c r="X23" i="10" a="1"/>
  <c r="X23" i="10" s="1"/>
  <c r="T108" i="11" a="1"/>
  <c r="T108" i="11" s="1"/>
  <c r="Z19" i="11" a="1"/>
  <c r="Z19" i="11" s="1"/>
  <c r="Q24" i="10" a="1"/>
  <c r="Q24" i="10" s="1"/>
  <c r="X19" i="11" a="1"/>
  <c r="X19" i="11" s="1"/>
  <c r="Y24" i="10" a="1"/>
  <c r="Y24" i="10" s="1"/>
  <c r="AE23" i="10" a="1"/>
  <c r="AE23" i="10" s="1"/>
  <c r="Y37" i="13" l="1"/>
  <c r="U37" i="13"/>
  <c r="P37" i="13"/>
  <c r="AB37" i="13"/>
  <c r="AD37" i="13"/>
  <c r="Z37" i="13"/>
  <c r="AF37" i="13"/>
  <c r="N37" i="13"/>
  <c r="R37" i="13"/>
  <c r="G37" i="13"/>
  <c r="K37" i="13"/>
  <c r="Q37" i="13"/>
  <c r="W37" i="13"/>
  <c r="M37" i="13"/>
  <c r="E37" i="13"/>
  <c r="V37" i="13"/>
  <c r="AC37" i="13"/>
  <c r="F37" i="13"/>
  <c r="I37" i="13"/>
  <c r="H37" i="13"/>
  <c r="O37" i="13"/>
  <c r="AE37" i="13"/>
  <c r="X37" i="13"/>
  <c r="J37" i="13"/>
  <c r="AA37" i="13"/>
  <c r="T37" i="13"/>
  <c r="L37" i="13"/>
  <c r="S37" i="13"/>
  <c r="AG37" i="13"/>
  <c r="AG60" i="13"/>
  <c r="AG18" i="13"/>
  <c r="AG40" i="13"/>
  <c r="AG103" i="13"/>
  <c r="AG96" i="13"/>
  <c r="AG102" i="13"/>
  <c r="AG82" i="13"/>
  <c r="AG76" i="13"/>
  <c r="AG83" i="13"/>
  <c r="AG79" i="13"/>
  <c r="I18" i="13"/>
  <c r="G40" i="13"/>
  <c r="AB57" i="13"/>
  <c r="O81" i="8" a="1"/>
  <c r="O81" i="8" s="1"/>
  <c r="O84" i="8" s="1"/>
  <c r="O85" i="8" s="1"/>
  <c r="Z114" i="10"/>
  <c r="R82" i="8" s="1" a="1"/>
  <c r="R82" i="8" s="1"/>
  <c r="R84" i="8" s="1"/>
  <c r="R85" i="8" s="1"/>
  <c r="X20" i="11" a="1"/>
  <c r="X20" i="11" s="1"/>
  <c r="U23" i="11" a="1"/>
  <c r="U23" i="11" s="1"/>
  <c r="S19" i="11" a="1"/>
  <c r="S19" i="11" s="1"/>
  <c r="T20" i="11" a="1"/>
  <c r="T20" i="11" s="1"/>
  <c r="AB23" i="10" a="1"/>
  <c r="AB23" i="10" s="1"/>
  <c r="AF23" i="10" a="1"/>
  <c r="AF23" i="10" s="1"/>
  <c r="AK24" i="10" a="1"/>
  <c r="AK24" i="10" s="1"/>
  <c r="S24" i="10" a="1"/>
  <c r="S24" i="10" s="1"/>
  <c r="Q23" i="11" a="1"/>
  <c r="Q23" i="11" s="1"/>
  <c r="R20" i="11" a="1"/>
  <c r="R20" i="11" s="1"/>
  <c r="AG24" i="10" a="1"/>
  <c r="AG24" i="10" s="1"/>
  <c r="Q21" i="11" a="1"/>
  <c r="Q21" i="11" s="1"/>
  <c r="O110" i="11" a="1"/>
  <c r="O110" i="11" s="1"/>
  <c r="W22" i="11" a="1"/>
  <c r="W22" i="11" s="1"/>
  <c r="AA22" i="11" a="1"/>
  <c r="AA22" i="11" s="1"/>
  <c r="P20" i="11" a="1"/>
  <c r="P20" i="11" s="1"/>
  <c r="V20" i="11" a="1"/>
  <c r="V20" i="11" s="1"/>
  <c r="Z24" i="10" a="1"/>
  <c r="Z24" i="10" s="1"/>
  <c r="U20" i="11" a="1"/>
  <c r="U20" i="11" s="1"/>
  <c r="Z22" i="11" a="1"/>
  <c r="Z22" i="11" s="1"/>
  <c r="X21" i="11" a="1"/>
  <c r="X21" i="11" s="1"/>
  <c r="Q23" i="10" a="1"/>
  <c r="Q23" i="10" s="1"/>
  <c r="U88" i="11" a="1"/>
  <c r="U88" i="11" s="1"/>
  <c r="U23" i="10" a="1"/>
  <c r="U23" i="10" s="1"/>
  <c r="Z20" i="11" a="1"/>
  <c r="Z20" i="11" s="1"/>
  <c r="Q20" i="11" a="1"/>
  <c r="Q20" i="11" s="1"/>
  <c r="P22" i="11" a="1"/>
  <c r="P22" i="11" s="1"/>
  <c r="AA19" i="11" a="1"/>
  <c r="AA19" i="11" s="1"/>
  <c r="X24" i="10" a="1"/>
  <c r="X24" i="10" s="1"/>
  <c r="R21" i="11" a="1"/>
  <c r="R21" i="11" s="1"/>
  <c r="T21" i="11" a="1"/>
  <c r="T21" i="11" s="1"/>
  <c r="Q22" i="11" a="1"/>
  <c r="Q22" i="11" s="1"/>
  <c r="Q12" i="11" s="1"/>
  <c r="Q15" i="11" s="1"/>
  <c r="U22" i="11" a="1"/>
  <c r="U22" i="11" s="1"/>
  <c r="AB24" i="10" a="1"/>
  <c r="AB24" i="10" s="1"/>
  <c r="S23" i="10" a="1"/>
  <c r="S23" i="10" s="1"/>
  <c r="AD23" i="10" a="1"/>
  <c r="AD23" i="10" s="1"/>
  <c r="R22" i="11" a="1"/>
  <c r="R22" i="11" s="1"/>
  <c r="V108" i="11" a="1"/>
  <c r="V108" i="11" s="1"/>
  <c r="O23" i="11" a="1"/>
  <c r="O23" i="11" s="1"/>
  <c r="P23" i="10" a="1"/>
  <c r="P23" i="10" s="1"/>
  <c r="Q19" i="11" a="1"/>
  <c r="Q19" i="11" s="1"/>
  <c r="P21" i="11" a="1"/>
  <c r="P21" i="11" s="1"/>
  <c r="V24" i="10" a="1"/>
  <c r="V24" i="10" s="1"/>
  <c r="W23" i="11" a="1"/>
  <c r="W23" i="11" s="1"/>
  <c r="S23" i="11" a="1"/>
  <c r="S23" i="11" s="1"/>
  <c r="V23" i="10" a="1"/>
  <c r="V23" i="10" s="1"/>
  <c r="V21" i="11" a="1"/>
  <c r="V21" i="11" s="1"/>
  <c r="W19" i="11" a="1"/>
  <c r="W19" i="11" s="1"/>
  <c r="Y23" i="10" a="1"/>
  <c r="Y23" i="10" s="1"/>
  <c r="O20" i="11" a="1"/>
  <c r="O20" i="11" s="1"/>
  <c r="AA21" i="11" a="1"/>
  <c r="AA21" i="11" s="1"/>
  <c r="AE24" i="10" a="1"/>
  <c r="AE24" i="10" s="1"/>
  <c r="U19" i="11" a="1"/>
  <c r="U19" i="11" s="1"/>
  <c r="U21" i="11" a="1"/>
  <c r="U21" i="11" s="1"/>
  <c r="AB20" i="11" a="1"/>
  <c r="AB20" i="11" s="1"/>
  <c r="S21" i="11" a="1"/>
  <c r="S21" i="11" s="1"/>
  <c r="O19" i="11" a="1"/>
  <c r="O19" i="11" s="1"/>
  <c r="X22" i="11" a="1"/>
  <c r="X22" i="11" s="1"/>
  <c r="Y23" i="11" a="1"/>
  <c r="Y23" i="11" s="1"/>
  <c r="V19" i="11" a="1"/>
  <c r="V19" i="11" s="1"/>
  <c r="AA20" i="11" a="1"/>
  <c r="AA20" i="11" s="1"/>
  <c r="AG23" i="10" a="1"/>
  <c r="AG23" i="10" s="1"/>
  <c r="W24" i="10" a="1"/>
  <c r="W24" i="10" s="1"/>
  <c r="T22" i="11" a="1"/>
  <c r="T22" i="11" s="1"/>
  <c r="T12" i="11" s="1"/>
  <c r="T15" i="11" s="1"/>
  <c r="P23" i="11" a="1"/>
  <c r="P23" i="11" s="1"/>
  <c r="AB19" i="11" a="1"/>
  <c r="AB19" i="11" s="1"/>
  <c r="R23" i="10" a="1"/>
  <c r="R23" i="10" s="1"/>
  <c r="AC23" i="10" a="1"/>
  <c r="AC23" i="10" s="1"/>
  <c r="AA23" i="11" a="1"/>
  <c r="AA23" i="11" s="1"/>
  <c r="W21" i="11" a="1"/>
  <c r="W21" i="11" s="1"/>
  <c r="R24" i="10" a="1"/>
  <c r="R24" i="10" s="1"/>
  <c r="S22" i="11" a="1"/>
  <c r="S22" i="11" s="1"/>
  <c r="AB23" i="11" a="1"/>
  <c r="AB23" i="11" s="1"/>
  <c r="Y20" i="11" a="1"/>
  <c r="Y20" i="11" s="1"/>
  <c r="AA23" i="10" a="1"/>
  <c r="AA23" i="10" s="1"/>
  <c r="U24" i="10" a="1"/>
  <c r="U24" i="10" s="1"/>
  <c r="R19" i="11" a="1"/>
  <c r="R19" i="11" s="1"/>
  <c r="AB22" i="11" a="1"/>
  <c r="AB22" i="11" s="1"/>
  <c r="Q110" i="11" a="1"/>
  <c r="Q110" i="11" s="1"/>
  <c r="AA24" i="10" a="1"/>
  <c r="AA24" i="10" s="1"/>
  <c r="AA12" i="10" s="1"/>
  <c r="R23" i="11" a="1"/>
  <c r="R23" i="11" s="1"/>
  <c r="O24" i="10" a="1"/>
  <c r="O24" i="10" s="1"/>
  <c r="Z84" i="11" a="1"/>
  <c r="Z84" i="11" s="1"/>
  <c r="V22" i="11" a="1"/>
  <c r="V22" i="11" s="1"/>
  <c r="O21" i="11" a="1"/>
  <c r="O21" i="11" s="1"/>
  <c r="AD24" i="10" a="1"/>
  <c r="AD24" i="10" s="1"/>
  <c r="W20" i="11" a="1"/>
  <c r="W20" i="11" s="1"/>
  <c r="X23" i="11" a="1"/>
  <c r="X23" i="11" s="1"/>
  <c r="AH23" i="10" a="1"/>
  <c r="AH23" i="10" s="1"/>
  <c r="Z21" i="11" a="1"/>
  <c r="Z21" i="11" s="1"/>
  <c r="T19" i="11" a="1"/>
  <c r="T19" i="11" s="1"/>
  <c r="O22" i="11" a="1"/>
  <c r="O22" i="11" s="1"/>
  <c r="W110" i="11" a="1"/>
  <c r="W110" i="11" s="1"/>
  <c r="AH24" i="10" a="1"/>
  <c r="AH24" i="10" s="1"/>
  <c r="AK23" i="10" a="1"/>
  <c r="AK23" i="10" s="1"/>
  <c r="W23" i="10" a="1"/>
  <c r="W23" i="10" s="1"/>
  <c r="Y19" i="11" a="1"/>
  <c r="Y19" i="11" s="1"/>
  <c r="O23" i="10" a="1"/>
  <c r="O23" i="10" s="1"/>
  <c r="Z23" i="10" a="1"/>
  <c r="Z23" i="10" s="1"/>
  <c r="V23" i="11" a="1"/>
  <c r="V23" i="11" s="1"/>
  <c r="S20" i="11" a="1"/>
  <c r="S20" i="11" s="1"/>
  <c r="Y22" i="11" a="1"/>
  <c r="Y22" i="11" s="1"/>
  <c r="AI23" i="10" a="1"/>
  <c r="AI23" i="10" s="1"/>
  <c r="T40" i="13"/>
  <c r="AJ23" i="10" a="1"/>
  <c r="AJ23" i="10" s="1"/>
  <c r="T109" i="11" a="1"/>
  <c r="T109" i="11" s="1"/>
  <c r="AI60" i="11"/>
  <c r="AI59" i="11" s="1"/>
  <c r="AI68" i="11" s="1"/>
  <c r="AI67" i="11" s="1"/>
  <c r="AI70" i="11" s="1"/>
  <c r="S53" i="11"/>
  <c r="S68" i="11"/>
  <c r="S67" i="11" s="1"/>
  <c r="S70" i="11" s="1"/>
  <c r="Q68" i="11"/>
  <c r="Q67" i="11" s="1"/>
  <c r="Q70" i="11" s="1"/>
  <c r="Q53" i="11"/>
  <c r="V109" i="11" a="1"/>
  <c r="V109" i="11" s="1"/>
  <c r="W109" i="11" a="1"/>
  <c r="W109" i="11" s="1"/>
  <c r="AL24" i="10" a="1"/>
  <c r="AL24" i="10" s="1"/>
  <c r="X88" i="11" a="1"/>
  <c r="X88" i="11" s="1"/>
  <c r="W108" i="11" a="1"/>
  <c r="W108" i="11" s="1"/>
  <c r="O109" i="11" a="1"/>
  <c r="O109" i="11" s="1"/>
  <c r="P109" i="11" a="1"/>
  <c r="P109" i="11" s="1"/>
  <c r="X108" i="11" a="1"/>
  <c r="X108" i="11" s="1"/>
  <c r="Z108" i="11" a="1"/>
  <c r="Z108" i="11" s="1"/>
  <c r="R108" i="11" a="1"/>
  <c r="R108" i="11" s="1"/>
  <c r="Q109" i="11" a="1"/>
  <c r="Q109" i="11" s="1"/>
  <c r="V110" i="11" a="1"/>
  <c r="V110" i="11" s="1"/>
  <c r="R110" i="11" a="1"/>
  <c r="R110" i="11" s="1"/>
  <c r="Y109" i="11" a="1"/>
  <c r="Y109" i="11" s="1"/>
  <c r="T110" i="11" a="1"/>
  <c r="T110" i="11" s="1"/>
  <c r="X110" i="11" a="1"/>
  <c r="X110" i="11" s="1"/>
  <c r="R109" i="11" a="1"/>
  <c r="R109" i="11" s="1"/>
  <c r="U108" i="11" a="1"/>
  <c r="U108" i="11" s="1"/>
  <c r="S108" i="11" a="1"/>
  <c r="S108" i="11" s="1"/>
  <c r="W54" i="11" a="1"/>
  <c r="W54" i="11" s="1"/>
  <c r="Q108" i="11" a="1"/>
  <c r="Q108" i="11" s="1"/>
  <c r="O108" i="11" a="1"/>
  <c r="O108" i="11" s="1"/>
  <c r="R68" i="11"/>
  <c r="R67" i="11" s="1"/>
  <c r="R70" i="11" s="1"/>
  <c r="R53" i="11"/>
  <c r="Z109" i="11" a="1"/>
  <c r="Z109" i="11" s="1"/>
  <c r="Z110" i="11" a="1"/>
  <c r="Z110" i="11" s="1"/>
  <c r="U109" i="11" a="1"/>
  <c r="U109" i="11" s="1"/>
  <c r="Y108" i="11" a="1"/>
  <c r="Y108" i="11" s="1"/>
  <c r="AB60" i="11"/>
  <c r="AB59" i="11" s="1"/>
  <c r="AB68" i="11" s="1"/>
  <c r="AB67" i="11" s="1"/>
  <c r="AB70" i="11" s="1"/>
  <c r="AB53" i="11"/>
  <c r="AB61" i="11" s="1"/>
  <c r="Y110" i="11" a="1"/>
  <c r="Y110" i="11" s="1"/>
  <c r="S109" i="11" a="1"/>
  <c r="S109" i="11" s="1"/>
  <c r="U104" i="10" a="1"/>
  <c r="U104" i="10" s="1"/>
  <c r="X109" i="11" a="1"/>
  <c r="X109" i="11" s="1"/>
  <c r="U110" i="11" a="1"/>
  <c r="U110" i="11" s="1"/>
  <c r="P108" i="11" a="1"/>
  <c r="P108" i="11" s="1"/>
  <c r="AH53" i="11"/>
  <c r="AH61" i="11" s="1"/>
  <c r="AH60" i="11"/>
  <c r="AH59" i="11" s="1"/>
  <c r="AH68" i="11" s="1"/>
  <c r="AH67" i="11" s="1"/>
  <c r="AH70" i="11" s="1"/>
  <c r="AC60" i="11"/>
  <c r="AC59" i="11" s="1"/>
  <c r="AC68" i="11" s="1"/>
  <c r="AC67" i="11" s="1"/>
  <c r="AC70" i="11" s="1"/>
  <c r="AC53" i="11"/>
  <c r="AC61" i="11" s="1"/>
  <c r="P110" i="11" a="1"/>
  <c r="P110" i="11" s="1"/>
  <c r="U85" i="11" a="1"/>
  <c r="U85" i="11" s="1"/>
  <c r="W87" i="11" a="1"/>
  <c r="W87" i="11" s="1"/>
  <c r="AD60" i="11"/>
  <c r="AD59" i="11" s="1"/>
  <c r="AD68" i="11" s="1"/>
  <c r="AD67" i="11" s="1"/>
  <c r="AD70" i="11" s="1"/>
  <c r="AD53" i="11"/>
  <c r="AD61" i="11" s="1"/>
  <c r="AC60" i="13"/>
  <c r="AC18" i="13"/>
  <c r="AD40" i="13"/>
  <c r="AC99" i="13"/>
  <c r="AD60" i="13"/>
  <c r="AE40" i="13"/>
  <c r="AC40" i="13"/>
  <c r="AC79" i="13"/>
  <c r="AE18" i="13"/>
  <c r="AE79" i="13"/>
  <c r="AE83" i="13"/>
  <c r="AE76" i="13"/>
  <c r="AE82" i="13"/>
  <c r="AD18" i="13"/>
  <c r="AD79" i="13"/>
  <c r="AD99" i="13"/>
  <c r="AF82" i="13"/>
  <c r="AF76" i="13"/>
  <c r="AF83" i="13"/>
  <c r="AE103" i="13"/>
  <c r="AE102" i="13"/>
  <c r="AE96" i="13"/>
  <c r="AF103" i="13"/>
  <c r="AF102" i="13"/>
  <c r="AF96" i="13"/>
  <c r="AE60" i="13"/>
  <c r="AF18" i="13"/>
  <c r="AF40" i="13"/>
  <c r="AF60" i="13"/>
  <c r="S114" i="10"/>
  <c r="K82" i="8" s="1" a="1"/>
  <c r="K82" i="8" s="1"/>
  <c r="K84" i="8" s="1"/>
  <c r="K85" i="8" s="1"/>
  <c r="S78" i="10"/>
  <c r="K49" i="8" s="1" a="1"/>
  <c r="K49" i="8" s="1"/>
  <c r="K51" i="8" s="1"/>
  <c r="K52" i="8" s="1"/>
  <c r="AL23" i="10" a="1"/>
  <c r="AL23" i="10" s="1"/>
  <c r="O84" i="11" a="1"/>
  <c r="O84" i="11" s="1"/>
  <c r="W85" i="11" a="1"/>
  <c r="W85" i="11" s="1"/>
  <c r="Q88" i="11" a="1"/>
  <c r="Q88" i="11" s="1"/>
  <c r="V88" i="11" a="1"/>
  <c r="V88" i="11" s="1"/>
  <c r="W103" i="10" a="1"/>
  <c r="W103" i="10" s="1"/>
  <c r="P85" i="11" a="1"/>
  <c r="P85" i="11" s="1"/>
  <c r="S104" i="10" a="1"/>
  <c r="S104" i="10" s="1"/>
  <c r="AD119" i="11" a="1"/>
  <c r="AD119" i="11" s="1"/>
  <c r="Y87" i="11" a="1"/>
  <c r="Y87" i="11" s="1"/>
  <c r="S103" i="10" a="1"/>
  <c r="S103" i="10" s="1"/>
  <c r="T84" i="11" a="1"/>
  <c r="T84" i="11" s="1"/>
  <c r="P103" i="10" a="1"/>
  <c r="P103" i="10" s="1"/>
  <c r="S85" i="11" a="1"/>
  <c r="S85" i="11" s="1"/>
  <c r="O103" i="10" a="1"/>
  <c r="O103" i="10" s="1"/>
  <c r="Y103" i="10" a="1"/>
  <c r="Y103" i="10" s="1"/>
  <c r="Q103" i="10" a="1"/>
  <c r="Q103" i="10" s="1"/>
  <c r="V85" i="11" a="1"/>
  <c r="V85" i="11" s="1"/>
  <c r="X103" i="10" a="1"/>
  <c r="X103" i="10" s="1"/>
  <c r="R87" i="11" a="1"/>
  <c r="R87" i="11" s="1"/>
  <c r="V104" i="10" a="1"/>
  <c r="V104" i="10" s="1"/>
  <c r="O104" i="10" a="1"/>
  <c r="O104" i="10" s="1"/>
  <c r="X87" i="11" a="1"/>
  <c r="X87" i="11" s="1"/>
  <c r="V98" i="11" a="1"/>
  <c r="V98" i="11" s="1"/>
  <c r="V99" i="11" a="1"/>
  <c r="V99" i="11" s="1"/>
  <c r="Q87" i="11" a="1"/>
  <c r="Q87" i="11" s="1"/>
  <c r="Y104" i="10" a="1"/>
  <c r="Y104" i="10" s="1"/>
  <c r="P84" i="11" a="1"/>
  <c r="P84" i="11" s="1"/>
  <c r="R85" i="11" a="1"/>
  <c r="R85" i="11" s="1"/>
  <c r="Z104" i="10" a="1"/>
  <c r="Z104" i="10" s="1"/>
  <c r="Z86" i="11" a="1"/>
  <c r="Z86" i="11" s="1"/>
  <c r="X54" i="11" a="1"/>
  <c r="X54" i="11" s="1"/>
  <c r="X85" i="11" a="1"/>
  <c r="X85" i="11" s="1"/>
  <c r="Y85" i="11" a="1"/>
  <c r="Y85" i="11" s="1"/>
  <c r="Z87" i="11" a="1"/>
  <c r="Z87" i="11" s="1"/>
  <c r="R86" i="11" a="1"/>
  <c r="R86" i="11" s="1"/>
  <c r="S87" i="11" a="1"/>
  <c r="S87" i="11" s="1"/>
  <c r="X55" i="11" a="1"/>
  <c r="X55" i="11" s="1"/>
  <c r="AF40" i="11" a="1"/>
  <c r="AF40" i="11" s="1"/>
  <c r="AC56" i="11" a="1"/>
  <c r="AC56" i="11" s="1"/>
  <c r="O71" i="11" a="1"/>
  <c r="O71" i="11" s="1"/>
  <c r="S88" i="10"/>
  <c r="S87" i="10" s="1"/>
  <c r="K64" i="8" s="1" a="1"/>
  <c r="K64" i="8" s="1"/>
  <c r="AJ64" i="11" a="1"/>
  <c r="AJ64" i="11" s="1"/>
  <c r="Q40" i="11" a="1"/>
  <c r="Q40" i="11" s="1"/>
  <c r="Q55" i="11" a="1"/>
  <c r="Q55" i="11" s="1"/>
  <c r="AB40" i="11" a="1"/>
  <c r="AB40" i="11" s="1"/>
  <c r="W73" i="11" a="1"/>
  <c r="W73" i="11" s="1"/>
  <c r="Q56" i="11" a="1"/>
  <c r="Q56" i="11" s="1"/>
  <c r="AH40" i="11" a="1"/>
  <c r="AH40" i="11" s="1"/>
  <c r="AK64" i="11" a="1"/>
  <c r="AK64" i="11" s="1"/>
  <c r="Z118" i="10" a="1"/>
  <c r="Z118" i="10" s="1"/>
  <c r="Q118" i="10" a="1"/>
  <c r="Q118" i="10" s="1"/>
  <c r="AL64" i="11" a="1"/>
  <c r="AL64" i="11" s="1"/>
  <c r="R54" i="11" a="1"/>
  <c r="R54" i="11" s="1"/>
  <c r="T71" i="11" a="1"/>
  <c r="T71" i="11" s="1"/>
  <c r="AD40" i="11" a="1"/>
  <c r="AD40" i="11" s="1"/>
  <c r="P119" i="10" a="1"/>
  <c r="P119" i="10" s="1"/>
  <c r="W55" i="11" a="1"/>
  <c r="W55" i="11" s="1"/>
  <c r="V38" i="11" a="1"/>
  <c r="V38" i="11" s="1"/>
  <c r="AJ54" i="11" a="1"/>
  <c r="AJ54" i="11" s="1"/>
  <c r="S98" i="11" a="1"/>
  <c r="S98" i="11" s="1"/>
  <c r="AB88" i="11" a="1"/>
  <c r="AB88" i="11" s="1"/>
  <c r="Y72" i="11" a="1"/>
  <c r="Y72" i="11" s="1"/>
  <c r="P100" i="11" a="1"/>
  <c r="P100" i="11" s="1"/>
  <c r="AI104" i="10" a="1"/>
  <c r="AI104" i="10" s="1"/>
  <c r="AI107" i="10" s="1"/>
  <c r="P38" i="11" a="1"/>
  <c r="P38" i="11" s="1"/>
  <c r="AI55" i="11" a="1"/>
  <c r="AI55" i="11" s="1"/>
  <c r="AI56" i="11" a="1"/>
  <c r="AI56" i="11" s="1"/>
  <c r="Y55" i="11" a="1"/>
  <c r="Y55" i="11" s="1"/>
  <c r="X98" i="11" a="1"/>
  <c r="X98" i="11" s="1"/>
  <c r="AL38" i="11" a="1"/>
  <c r="AL38" i="11" s="1"/>
  <c r="T100" i="11" a="1"/>
  <c r="T100" i="11" s="1"/>
  <c r="S102" i="11" a="1"/>
  <c r="S102" i="11" s="1"/>
  <c r="Q118" i="11" a="1"/>
  <c r="Q118" i="11" s="1"/>
  <c r="AK55" i="11" a="1"/>
  <c r="AK55" i="11" s="1"/>
  <c r="U100" i="11" a="1"/>
  <c r="U100" i="11" s="1"/>
  <c r="AK38" i="11" a="1"/>
  <c r="AK38" i="11" s="1"/>
  <c r="P54" i="11" a="1"/>
  <c r="P54" i="11" s="1"/>
  <c r="X102" i="11" a="1"/>
  <c r="X102" i="11" s="1"/>
  <c r="V101" i="11" a="1"/>
  <c r="V101" i="11" s="1"/>
  <c r="S38" i="11" a="1"/>
  <c r="S38" i="11" s="1"/>
  <c r="O98" i="11" a="1"/>
  <c r="O98" i="11" s="1"/>
  <c r="S72" i="11" a="1"/>
  <c r="S72" i="11" s="1"/>
  <c r="AK56" i="11" a="1"/>
  <c r="AK56" i="11" s="1"/>
  <c r="O54" i="11" a="1"/>
  <c r="O54" i="11" s="1"/>
  <c r="AA54" i="11" a="1"/>
  <c r="AA54" i="11" s="1"/>
  <c r="AF38" i="11" a="1"/>
  <c r="AF38" i="11" s="1"/>
  <c r="R100" i="11" a="1"/>
  <c r="R100" i="11" s="1"/>
  <c r="V102" i="11" a="1"/>
  <c r="V102" i="11" s="1"/>
  <c r="P55" i="11" a="1"/>
  <c r="P55" i="11" s="1"/>
  <c r="AB55" i="11" a="1"/>
  <c r="AB55" i="11" s="1"/>
  <c r="AK120" i="11" a="1"/>
  <c r="AK120" i="11" s="1"/>
  <c r="V54" i="11" a="1"/>
  <c r="V54" i="11" s="1"/>
  <c r="AD38" i="11" a="1"/>
  <c r="AD38" i="11" s="1"/>
  <c r="V55" i="11" a="1"/>
  <c r="V55" i="11" s="1"/>
  <c r="T39" i="11" a="1"/>
  <c r="T39" i="11" s="1"/>
  <c r="AF118" i="11" a="1"/>
  <c r="AF118" i="11" s="1"/>
  <c r="AL54" i="11" a="1"/>
  <c r="AL54" i="11" s="1"/>
  <c r="AA55" i="11" a="1"/>
  <c r="AA55" i="11" s="1"/>
  <c r="AJ73" i="11" a="1"/>
  <c r="AJ73" i="11" s="1"/>
  <c r="X119" i="10" a="1"/>
  <c r="X119" i="10" s="1"/>
  <c r="P118" i="10" a="1"/>
  <c r="P118" i="10" s="1"/>
  <c r="S120" i="11" a="1"/>
  <c r="S120" i="11" s="1"/>
  <c r="Y119" i="10" a="1"/>
  <c r="Y119" i="10" s="1"/>
  <c r="AB86" i="11" a="1"/>
  <c r="AB86" i="11" s="1"/>
  <c r="Z101" i="11" a="1"/>
  <c r="Z101" i="11" s="1"/>
  <c r="AB38" i="11" a="1"/>
  <c r="AB38" i="11" s="1"/>
  <c r="R39" i="11" a="1"/>
  <c r="R39" i="11" s="1"/>
  <c r="AG55" i="11" a="1"/>
  <c r="AG55" i="11" s="1"/>
  <c r="T40" i="11" a="1"/>
  <c r="T40" i="11" s="1"/>
  <c r="Q98" i="11" a="1"/>
  <c r="Q98" i="11" s="1"/>
  <c r="AK62" i="11" a="1"/>
  <c r="AK62" i="11" s="1"/>
  <c r="Q73" i="11" a="1"/>
  <c r="Q73" i="11" s="1"/>
  <c r="Y118" i="10" a="1"/>
  <c r="Y118" i="10" s="1"/>
  <c r="S119" i="10" a="1"/>
  <c r="S119" i="10" s="1"/>
  <c r="R55" i="11" a="1"/>
  <c r="R55" i="11" s="1"/>
  <c r="AE54" i="11" a="1"/>
  <c r="AE54" i="11" s="1"/>
  <c r="U54" i="11" a="1"/>
  <c r="U54" i="11" s="1"/>
  <c r="Y71" i="11" a="1"/>
  <c r="Y71" i="11" s="1"/>
  <c r="R72" i="11" a="1"/>
  <c r="R72" i="11" s="1"/>
  <c r="Q71" i="11" a="1"/>
  <c r="Q71" i="11" s="1"/>
  <c r="P99" i="11" a="1"/>
  <c r="P99" i="11" s="1"/>
  <c r="X73" i="11" a="1"/>
  <c r="X73" i="11" s="1"/>
  <c r="R118" i="11" a="1"/>
  <c r="R118" i="11" s="1"/>
  <c r="T55" i="11" a="1"/>
  <c r="T55" i="11" s="1"/>
  <c r="Q72" i="11" a="1"/>
  <c r="Q72" i="11" s="1"/>
  <c r="U72" i="11" a="1"/>
  <c r="U72" i="11" s="1"/>
  <c r="Z102" i="11" a="1"/>
  <c r="Z102" i="11" s="1"/>
  <c r="X100" i="11" a="1"/>
  <c r="X100" i="11" s="1"/>
  <c r="U118" i="10" a="1"/>
  <c r="U118" i="10" s="1"/>
  <c r="AC103" i="10" a="1"/>
  <c r="AC103" i="10" s="1"/>
  <c r="O40" i="11" a="1"/>
  <c r="O40" i="11" s="1"/>
  <c r="Q54" i="11" a="1"/>
  <c r="Q54" i="11" s="1"/>
  <c r="V56" i="11" a="1"/>
  <c r="V56" i="11" s="1"/>
  <c r="AG118" i="10" a="1"/>
  <c r="AG118" i="10" s="1"/>
  <c r="O119" i="10" a="1"/>
  <c r="O119" i="10" s="1"/>
  <c r="S118" i="10" a="1"/>
  <c r="S118" i="10" s="1"/>
  <c r="Z40" i="11" a="1"/>
  <c r="Z40" i="11" s="1"/>
  <c r="AE56" i="11" a="1"/>
  <c r="AE56" i="11" s="1"/>
  <c r="AG56" i="11" a="1"/>
  <c r="AG56" i="11" s="1"/>
  <c r="AJ38" i="11" a="1"/>
  <c r="AJ38" i="11" s="1"/>
  <c r="AA38" i="11" a="1"/>
  <c r="AA38" i="11" s="1"/>
  <c r="S55" i="11" a="1"/>
  <c r="S55" i="11" s="1"/>
  <c r="P40" i="11" a="1"/>
  <c r="P40" i="11" s="1"/>
  <c r="AD54" i="11" a="1"/>
  <c r="AD54" i="11" s="1"/>
  <c r="V73" i="11" a="1"/>
  <c r="V73" i="11" s="1"/>
  <c r="Y98" i="11" a="1"/>
  <c r="Y98" i="11" s="1"/>
  <c r="X39" i="11" a="1"/>
  <c r="X39" i="11" s="1"/>
  <c r="U102" i="11" a="1"/>
  <c r="U102" i="11" s="1"/>
  <c r="W39" i="11" a="1"/>
  <c r="W39" i="11" s="1"/>
  <c r="AC39" i="11" a="1"/>
  <c r="AC39" i="11" s="1"/>
  <c r="AE64" i="11" a="1"/>
  <c r="AE64" i="11" s="1"/>
  <c r="W71" i="11" a="1"/>
  <c r="W71" i="11" s="1"/>
  <c r="AC38" i="11" a="1"/>
  <c r="AC38" i="11" s="1"/>
  <c r="V39" i="11" a="1"/>
  <c r="V39" i="11" s="1"/>
  <c r="W38" i="11" a="1"/>
  <c r="W38" i="11" s="1"/>
  <c r="O56" i="11" a="1"/>
  <c r="O56" i="11" s="1"/>
  <c r="R40" i="11" a="1"/>
  <c r="R40" i="11" s="1"/>
  <c r="Z39" i="11" a="1"/>
  <c r="Z39" i="11" s="1"/>
  <c r="R118" i="10" a="1"/>
  <c r="R118" i="10" s="1"/>
  <c r="S54" i="11" a="1"/>
  <c r="S54" i="11" s="1"/>
  <c r="R56" i="11" a="1"/>
  <c r="R56" i="11" s="1"/>
  <c r="AL73" i="11" a="1"/>
  <c r="AL73" i="11" s="1"/>
  <c r="AC55" i="11" a="1"/>
  <c r="AC55" i="11" s="1"/>
  <c r="W40" i="11" a="1"/>
  <c r="W40" i="11" s="1"/>
  <c r="Y56" i="11" a="1"/>
  <c r="Y56" i="11" s="1"/>
  <c r="R71" i="11" a="1"/>
  <c r="R71" i="11" s="1"/>
  <c r="AJ56" i="11" a="1"/>
  <c r="AJ56" i="11" s="1"/>
  <c r="R102" i="11" a="1"/>
  <c r="R102" i="11" s="1"/>
  <c r="AA119" i="11" a="1"/>
  <c r="AA119" i="11" s="1"/>
  <c r="AJ103" i="10" a="1"/>
  <c r="AJ103" i="10" s="1"/>
  <c r="AJ106" i="10" s="1"/>
  <c r="S40" i="13"/>
  <c r="Y18" i="13"/>
  <c r="R40" i="13"/>
  <c r="N40" i="13"/>
  <c r="H18" i="13"/>
  <c r="AA88" i="10"/>
  <c r="AA87" i="10" s="1"/>
  <c r="S64" i="8" s="1" a="1"/>
  <c r="S64" i="8" s="1"/>
  <c r="T119" i="11" a="1"/>
  <c r="T119" i="11" s="1"/>
  <c r="AC63" i="11" a="1"/>
  <c r="AC63" i="11" s="1"/>
  <c r="AB118" i="11" a="1"/>
  <c r="AB118" i="11" s="1"/>
  <c r="AB71" i="11" a="1"/>
  <c r="AB71" i="11" s="1"/>
  <c r="R120" i="11" a="1"/>
  <c r="R120" i="11" s="1"/>
  <c r="AL63" i="11" a="1"/>
  <c r="AL63" i="11" s="1"/>
  <c r="X38" i="11" a="1"/>
  <c r="X38" i="11" s="1"/>
  <c r="AA98" i="11" a="1"/>
  <c r="AA98" i="11" s="1"/>
  <c r="X84" i="11" a="1"/>
  <c r="X84" i="11" s="1"/>
  <c r="V87" i="11" a="1"/>
  <c r="V87" i="11" s="1"/>
  <c r="S86" i="11" a="1"/>
  <c r="S86" i="11" s="1"/>
  <c r="P71" i="11" a="1"/>
  <c r="P71" i="11" s="1"/>
  <c r="AA109" i="11" a="1"/>
  <c r="AA109" i="11" s="1"/>
  <c r="O88" i="11" a="1"/>
  <c r="O88" i="11" s="1"/>
  <c r="T101" i="11" a="1"/>
  <c r="T101" i="11" s="1"/>
  <c r="Z85" i="11" a="1"/>
  <c r="Z85" i="11" s="1"/>
  <c r="U98" i="11" a="1"/>
  <c r="U98" i="11" s="1"/>
  <c r="S56" i="11" a="1"/>
  <c r="S56" i="11" s="1"/>
  <c r="AC54" i="11" a="1"/>
  <c r="AC54" i="11" s="1"/>
  <c r="Z100" i="11" a="1"/>
  <c r="Z100" i="11" s="1"/>
  <c r="AD118" i="10" a="1"/>
  <c r="AD118" i="10" s="1"/>
  <c r="AA120" i="11" a="1"/>
  <c r="AA120" i="11" s="1"/>
  <c r="AC118" i="10" a="1"/>
  <c r="AC118" i="10" s="1"/>
  <c r="AC121" i="10" s="1"/>
  <c r="AF118" i="10" a="1"/>
  <c r="AF118" i="10" s="1"/>
  <c r="AF121" i="10" s="1"/>
  <c r="AD63" i="11" a="1"/>
  <c r="AD63" i="11" s="1"/>
  <c r="AD72" i="11" a="1"/>
  <c r="AD72" i="11" s="1"/>
  <c r="U118" i="11" a="1"/>
  <c r="U118" i="11" s="1"/>
  <c r="AH120" i="11" a="1"/>
  <c r="AH120" i="11" s="1"/>
  <c r="AC64" i="11" a="1"/>
  <c r="AC64" i="11" s="1"/>
  <c r="AF62" i="11" a="1"/>
  <c r="AF62" i="11" s="1"/>
  <c r="AB101" i="11" a="1"/>
  <c r="AB101" i="11" s="1"/>
  <c r="AH62" i="11" a="1"/>
  <c r="AH62" i="11" s="1"/>
  <c r="AL72" i="11" a="1"/>
  <c r="AL72" i="11" s="1"/>
  <c r="O101" i="11" a="1"/>
  <c r="O101" i="11" s="1"/>
  <c r="Y38" i="11" a="1"/>
  <c r="Y38" i="11" s="1"/>
  <c r="T86" i="11" a="1"/>
  <c r="T86" i="11" s="1"/>
  <c r="S88" i="11" a="1"/>
  <c r="S88" i="11" s="1"/>
  <c r="AC108" i="11" a="1"/>
  <c r="AC108" i="11" s="1"/>
  <c r="O87" i="11" a="1"/>
  <c r="O87" i="11" s="1"/>
  <c r="AJ71" i="11" a="1"/>
  <c r="AJ71" i="11" s="1"/>
  <c r="Y88" i="11" a="1"/>
  <c r="Y88" i="11" s="1"/>
  <c r="Q102" i="11" a="1"/>
  <c r="Q102" i="11" s="1"/>
  <c r="W86" i="11" a="1"/>
  <c r="W86" i="11" s="1"/>
  <c r="Q99" i="11" a="1"/>
  <c r="Q99" i="11" s="1"/>
  <c r="AD56" i="11" a="1"/>
  <c r="AD56" i="11" s="1"/>
  <c r="O55" i="11" a="1"/>
  <c r="O55" i="11" s="1"/>
  <c r="W101" i="11" a="1"/>
  <c r="W101" i="11" s="1"/>
  <c r="U119" i="10" a="1"/>
  <c r="U119" i="10" s="1"/>
  <c r="AI120" i="11" a="1"/>
  <c r="AI120" i="11" s="1"/>
  <c r="T119" i="10" a="1"/>
  <c r="T119" i="10" s="1"/>
  <c r="AF103" i="10" a="1"/>
  <c r="AF103" i="10" s="1"/>
  <c r="AI71" i="11" a="1"/>
  <c r="AI71" i="11" s="1"/>
  <c r="AF63" i="11" a="1"/>
  <c r="AF63" i="11" s="1"/>
  <c r="AD118" i="11" a="1"/>
  <c r="AD118" i="11" s="1"/>
  <c r="AG63" i="11" a="1"/>
  <c r="AG63" i="11" s="1"/>
  <c r="AK72" i="11" a="1"/>
  <c r="AK72" i="11" s="1"/>
  <c r="AG73" i="11" a="1"/>
  <c r="AG73" i="11" s="1"/>
  <c r="AE71" i="11" a="1"/>
  <c r="AE71" i="11" s="1"/>
  <c r="AB98" i="11" a="1"/>
  <c r="AB98" i="11" s="1"/>
  <c r="T99" i="11" a="1"/>
  <c r="T99" i="11" s="1"/>
  <c r="AA87" i="11" a="1"/>
  <c r="AA87" i="11" s="1"/>
  <c r="AE72" i="11" a="1"/>
  <c r="AE72" i="11" s="1"/>
  <c r="AC110" i="11" a="1"/>
  <c r="AC110" i="11" s="1"/>
  <c r="Z99" i="11" a="1"/>
  <c r="Z99" i="11" s="1"/>
  <c r="AB102" i="11" a="1"/>
  <c r="AB102" i="11" s="1"/>
  <c r="T87" i="11" a="1"/>
  <c r="T87" i="11" s="1"/>
  <c r="O100" i="11" a="1"/>
  <c r="O100" i="11" s="1"/>
  <c r="AJ62" i="11" a="1"/>
  <c r="AJ62" i="11" s="1"/>
  <c r="AK118" i="11" a="1"/>
  <c r="AK118" i="11" s="1"/>
  <c r="AH55" i="11" a="1"/>
  <c r="AH55" i="11" s="1"/>
  <c r="T102" i="11" a="1"/>
  <c r="T102" i="11" s="1"/>
  <c r="AC119" i="10" a="1"/>
  <c r="AC119" i="10" s="1"/>
  <c r="T104" i="10" a="1"/>
  <c r="T104" i="10" s="1"/>
  <c r="AB119" i="10" a="1"/>
  <c r="AB119" i="10" s="1"/>
  <c r="AF104" i="10" a="1"/>
  <c r="AF104" i="10" s="1"/>
  <c r="AO41" i="10" a="1"/>
  <c r="AO41" i="10" s="1"/>
  <c r="AK71" i="11" a="1"/>
  <c r="AK71" i="11" s="1"/>
  <c r="AE118" i="10" a="1"/>
  <c r="AE118" i="10" s="1"/>
  <c r="AE121" i="10" s="1"/>
  <c r="AB72" i="11" a="1"/>
  <c r="AB72" i="11" s="1"/>
  <c r="AE119" i="10" a="1"/>
  <c r="AE119" i="10" s="1"/>
  <c r="AE122" i="10" s="1"/>
  <c r="AI39" i="11" a="1"/>
  <c r="AI39" i="11" s="1"/>
  <c r="AK40" i="11" a="1"/>
  <c r="AK40" i="11" s="1"/>
  <c r="AL39" i="11" a="1"/>
  <c r="AL39" i="11" s="1"/>
  <c r="Y39" i="11" a="1"/>
  <c r="Y39" i="11" s="1"/>
  <c r="P101" i="11" a="1"/>
  <c r="P101" i="11" s="1"/>
  <c r="X101" i="11" a="1"/>
  <c r="X101" i="11" s="1"/>
  <c r="AE109" i="11" a="1"/>
  <c r="AE109" i="11" s="1"/>
  <c r="W88" i="11" a="1"/>
  <c r="W88" i="11" s="1"/>
  <c r="R73" i="11" a="1"/>
  <c r="R73" i="11" s="1"/>
  <c r="V118" i="11" a="1"/>
  <c r="V118" i="11" s="1"/>
  <c r="P102" i="11" a="1"/>
  <c r="P102" i="11" s="1"/>
  <c r="P88" i="11" a="1"/>
  <c r="P88" i="11" s="1"/>
  <c r="Y100" i="11" a="1"/>
  <c r="Y100" i="11" s="1"/>
  <c r="V103" i="10" a="1"/>
  <c r="V103" i="10" s="1"/>
  <c r="AF64" i="11" a="1"/>
  <c r="AF64" i="11" s="1"/>
  <c r="AL119" i="11" a="1"/>
  <c r="AL119" i="11" s="1"/>
  <c r="T56" i="11" a="1"/>
  <c r="T56" i="11" s="1"/>
  <c r="X129" i="11" a="1"/>
  <c r="X129" i="11" s="1"/>
  <c r="AB104" i="10" a="1"/>
  <c r="AB104" i="10" s="1"/>
  <c r="Z128" i="11" a="1"/>
  <c r="Z128" i="11" s="1"/>
  <c r="AG104" i="10" a="1"/>
  <c r="AG104" i="10" s="1"/>
  <c r="AJ118" i="10" a="1"/>
  <c r="AJ118" i="10" s="1"/>
  <c r="AM41" i="10" a="1"/>
  <c r="AM41" i="10" s="1"/>
  <c r="AB87" i="11" a="1"/>
  <c r="AB87" i="11" s="1"/>
  <c r="AH73" i="11" a="1"/>
  <c r="AH73" i="11" s="1"/>
  <c r="Z54" i="11" a="1"/>
  <c r="Z54" i="11" s="1"/>
  <c r="Y40" i="11" a="1"/>
  <c r="Y40" i="11" s="1"/>
  <c r="Q119" i="11" a="1"/>
  <c r="Q119" i="11" s="1"/>
  <c r="AL40" i="11" a="1"/>
  <c r="AL40" i="11" s="1"/>
  <c r="AB108" i="11" a="1"/>
  <c r="AB108" i="11" s="1"/>
  <c r="P98" i="11" a="1"/>
  <c r="P98" i="11" s="1"/>
  <c r="Q38" i="11" a="1"/>
  <c r="Q38" i="11" s="1"/>
  <c r="AK73" i="11" a="1"/>
  <c r="AK73" i="11" s="1"/>
  <c r="U119" i="11" a="1"/>
  <c r="U119" i="11" s="1"/>
  <c r="AA88" i="11" a="1"/>
  <c r="AA88" i="11" s="1"/>
  <c r="U101" i="11" a="1"/>
  <c r="U101" i="11" s="1"/>
  <c r="Q119" i="10" a="1"/>
  <c r="Q119" i="10" s="1"/>
  <c r="AC71" i="11" a="1"/>
  <c r="AC71" i="11" s="1"/>
  <c r="AD120" i="11" a="1"/>
  <c r="AD120" i="11" s="1"/>
  <c r="AA62" i="11" a="1"/>
  <c r="AA62" i="11" s="1"/>
  <c r="AA108" i="11" a="1"/>
  <c r="AA108" i="11" s="1"/>
  <c r="X119" i="11" a="1"/>
  <c r="X119" i="11" s="1"/>
  <c r="T118" i="10" a="1"/>
  <c r="T118" i="10" s="1"/>
  <c r="AG103" i="10" a="1"/>
  <c r="AG103" i="10" s="1"/>
  <c r="AK119" i="10" a="1"/>
  <c r="AK119" i="10" s="1"/>
  <c r="AK122" i="10" s="1"/>
  <c r="AM42" i="10" a="1"/>
  <c r="AM42" i="10" s="1"/>
  <c r="AB99" i="11" a="1"/>
  <c r="AB99" i="11" s="1"/>
  <c r="AD62" i="11" a="1"/>
  <c r="AD62" i="11" s="1"/>
  <c r="AK104" i="10" a="1"/>
  <c r="AK104" i="10" s="1"/>
  <c r="AA101" i="11" a="1"/>
  <c r="AA101" i="11" s="1"/>
  <c r="P56" i="11" a="1"/>
  <c r="P56" i="11" s="1"/>
  <c r="AD71" i="11" a="1"/>
  <c r="AD71" i="11" s="1"/>
  <c r="P86" i="11" a="1"/>
  <c r="P86" i="11" s="1"/>
  <c r="Z119" i="11" a="1"/>
  <c r="Z119" i="11" s="1"/>
  <c r="S118" i="11" a="1"/>
  <c r="S118" i="11" s="1"/>
  <c r="AC40" i="11" a="1"/>
  <c r="AC40" i="11" s="1"/>
  <c r="O99" i="11" a="1"/>
  <c r="O99" i="11" s="1"/>
  <c r="V72" i="11" a="1"/>
  <c r="V72" i="11" s="1"/>
  <c r="Y127" i="11" a="1"/>
  <c r="Y127" i="11" s="1"/>
  <c r="W118" i="11" a="1"/>
  <c r="W118" i="11" s="1"/>
  <c r="AF110" i="11" a="1"/>
  <c r="AF110" i="11" s="1"/>
  <c r="U84" i="11" a="1"/>
  <c r="U84" i="11" s="1"/>
  <c r="O72" i="11" a="1"/>
  <c r="O72" i="11" s="1"/>
  <c r="O118" i="11" a="1"/>
  <c r="O118" i="11" s="1"/>
  <c r="AF120" i="11" a="1"/>
  <c r="AF120" i="11" s="1"/>
  <c r="Y128" i="11" a="1"/>
  <c r="Y128" i="11" s="1"/>
  <c r="AH104" i="10" a="1"/>
  <c r="AH104" i="10" s="1"/>
  <c r="AH107" i="10" s="1"/>
  <c r="AL119" i="10" a="1"/>
  <c r="AL119" i="10" s="1"/>
  <c r="AM23" i="10" a="1"/>
  <c r="AM23" i="10" s="1"/>
  <c r="AB84" i="11" a="1"/>
  <c r="AB84" i="11" s="1"/>
  <c r="R119" i="11" a="1"/>
  <c r="R119" i="11" s="1"/>
  <c r="AG118" i="11" a="1"/>
  <c r="AG118" i="11" s="1"/>
  <c r="AD109" i="11" a="1"/>
  <c r="AD109" i="11" s="1"/>
  <c r="AH119" i="10" a="1"/>
  <c r="AH119" i="10" s="1"/>
  <c r="AH122" i="10" s="1"/>
  <c r="AB63" i="11" a="1"/>
  <c r="AB63" i="11" s="1"/>
  <c r="AF71" i="11" a="1"/>
  <c r="AF71" i="11" s="1"/>
  <c r="AA119" i="10" a="1"/>
  <c r="AA119" i="10" s="1"/>
  <c r="AA122" i="10" s="1"/>
  <c r="AL104" i="10" a="1"/>
  <c r="AL104" i="10" s="1"/>
  <c r="O38" i="11" a="1"/>
  <c r="O38" i="11" s="1"/>
  <c r="AG38" i="11" a="1"/>
  <c r="AG38" i="11" s="1"/>
  <c r="AA56" i="11" a="1"/>
  <c r="AA56" i="11" s="1"/>
  <c r="U71" i="11" a="1"/>
  <c r="U71" i="11" s="1"/>
  <c r="W102" i="11" a="1"/>
  <c r="W102" i="11" s="1"/>
  <c r="T88" i="11" a="1"/>
  <c r="T88" i="11" s="1"/>
  <c r="Z129" i="11" a="1"/>
  <c r="Z129" i="11" s="1"/>
  <c r="AE118" i="11" a="1"/>
  <c r="AE118" i="11" s="1"/>
  <c r="Y54" i="11" a="1"/>
  <c r="Y54" i="11" s="1"/>
  <c r="Y99" i="11" a="1"/>
  <c r="Y99" i="11" s="1"/>
  <c r="AF72" i="11" a="1"/>
  <c r="AF72" i="11" s="1"/>
  <c r="R84" i="11" a="1"/>
  <c r="R84" i="11" s="1"/>
  <c r="AH119" i="11" a="1"/>
  <c r="AH119" i="11" s="1"/>
  <c r="AH118" i="11" a="1"/>
  <c r="AH118" i="11" s="1"/>
  <c r="AC109" i="11" a="1"/>
  <c r="AC109" i="11" s="1"/>
  <c r="U38" i="11" a="1"/>
  <c r="U38" i="11" s="1"/>
  <c r="Q85" i="11" a="1"/>
  <c r="Q85" i="11" s="1"/>
  <c r="Z72" i="11" a="1"/>
  <c r="Z72" i="11" s="1"/>
  <c r="Y118" i="11" a="1"/>
  <c r="Y118" i="11" s="1"/>
  <c r="X128" i="11" a="1"/>
  <c r="X128" i="11" s="1"/>
  <c r="T120" i="11" a="1"/>
  <c r="T120" i="11" s="1"/>
  <c r="AH118" i="10" a="1"/>
  <c r="AH118" i="10" s="1"/>
  <c r="AH121" i="10" s="1"/>
  <c r="AL118" i="10" a="1"/>
  <c r="AL118" i="10" s="1"/>
  <c r="AL121" i="10" s="1"/>
  <c r="AD110" i="11" a="1"/>
  <c r="AD110" i="11" s="1"/>
  <c r="AN23" i="10" a="1"/>
  <c r="AN23" i="10" s="1"/>
  <c r="AF108" i="11" a="1"/>
  <c r="AF108" i="11" s="1"/>
  <c r="Z118" i="11" a="1"/>
  <c r="Z118" i="11" s="1"/>
  <c r="X127" i="11" a="1"/>
  <c r="X127" i="11" s="1"/>
  <c r="AE62" i="11" a="1"/>
  <c r="AE62" i="11" s="1"/>
  <c r="AI62" i="11" a="1"/>
  <c r="AI62" i="11" s="1"/>
  <c r="O119" i="11" a="1"/>
  <c r="O119" i="11" s="1"/>
  <c r="V119" i="11" a="1"/>
  <c r="V119" i="11" s="1"/>
  <c r="AH103" i="10" a="1"/>
  <c r="AH103" i="10" s="1"/>
  <c r="AH106" i="10" s="1"/>
  <c r="AD39" i="11" a="1"/>
  <c r="AD39" i="11" s="1"/>
  <c r="AB64" i="11" a="1"/>
  <c r="AB64" i="11" s="1"/>
  <c r="R38" i="11" a="1"/>
  <c r="R38" i="11" s="1"/>
  <c r="Q120" i="11" a="1"/>
  <c r="Q120" i="11" s="1"/>
  <c r="AH38" i="11" a="1"/>
  <c r="AH38" i="11" s="1"/>
  <c r="Z103" i="10" a="1"/>
  <c r="Z103" i="10" s="1"/>
  <c r="AF55" i="11" a="1"/>
  <c r="AF55" i="11" s="1"/>
  <c r="AB103" i="10" a="1"/>
  <c r="AB103" i="10" s="1"/>
  <c r="AD108" i="11" a="1"/>
  <c r="AD108" i="11" s="1"/>
  <c r="AG39" i="11" a="1"/>
  <c r="AG39" i="11" s="1"/>
  <c r="AH39" i="11" a="1"/>
  <c r="AH39" i="11" s="1"/>
  <c r="W84" i="11" a="1"/>
  <c r="W84" i="11" s="1"/>
  <c r="AB56" i="11" a="1"/>
  <c r="AB56" i="11" s="1"/>
  <c r="AD64" i="11" a="1"/>
  <c r="AD64" i="11" s="1"/>
  <c r="T54" i="11" a="1"/>
  <c r="T54" i="11" s="1"/>
  <c r="P87" i="11" a="1"/>
  <c r="P87" i="11" s="1"/>
  <c r="T73" i="11" a="1"/>
  <c r="T73" i="11" s="1"/>
  <c r="O39" i="11" a="1"/>
  <c r="O39" i="11" s="1"/>
  <c r="AF109" i="11" a="1"/>
  <c r="AF109" i="11" s="1"/>
  <c r="AL71" i="11" a="1"/>
  <c r="AL71" i="11" s="1"/>
  <c r="AE39" i="11" a="1"/>
  <c r="AE39" i="11" s="1"/>
  <c r="AC118" i="11" a="1"/>
  <c r="AC118" i="11" s="1"/>
  <c r="AG62" i="11" a="1"/>
  <c r="AG62" i="11" s="1"/>
  <c r="AF39" i="11" a="1"/>
  <c r="AF39" i="11" s="1"/>
  <c r="P104" i="10" a="1"/>
  <c r="P104" i="10" s="1"/>
  <c r="AI54" i="11" a="1"/>
  <c r="AI54" i="11" s="1"/>
  <c r="AA104" i="10" a="1"/>
  <c r="AA104" i="10" s="1"/>
  <c r="AA107" i="10" s="1"/>
  <c r="Q86" i="11" a="1"/>
  <c r="Q86" i="11" s="1"/>
  <c r="AI40" i="11" a="1"/>
  <c r="AI40" i="11" s="1"/>
  <c r="AI38" i="11" a="1"/>
  <c r="AI38" i="11" s="1"/>
  <c r="O118" i="10" a="1"/>
  <c r="O118" i="10" s="1"/>
  <c r="Z98" i="11" a="1"/>
  <c r="Z98" i="11" s="1"/>
  <c r="AA64" i="11" a="1"/>
  <c r="AA64" i="11" s="1"/>
  <c r="R103" i="10" a="1"/>
  <c r="R103" i="10" s="1"/>
  <c r="AA63" i="11" a="1"/>
  <c r="AA63" i="11" s="1"/>
  <c r="AJ72" i="11" a="1"/>
  <c r="AJ72" i="11" s="1"/>
  <c r="W98" i="11" a="1"/>
  <c r="W98" i="11" s="1"/>
  <c r="T72" i="11" a="1"/>
  <c r="T72" i="11" s="1"/>
  <c r="AE119" i="11" a="1"/>
  <c r="AE119" i="11" s="1"/>
  <c r="U55" i="11" a="1"/>
  <c r="U55" i="11" s="1"/>
  <c r="W100" i="11" a="1"/>
  <c r="W100" i="11" s="1"/>
  <c r="AB73" i="11" a="1"/>
  <c r="AB73" i="11" s="1"/>
  <c r="V86" i="11" a="1"/>
  <c r="V86" i="11" s="1"/>
  <c r="Y120" i="11" a="1"/>
  <c r="Y120" i="11" s="1"/>
  <c r="W119" i="11" a="1"/>
  <c r="W119" i="11" s="1"/>
  <c r="P39" i="11" a="1"/>
  <c r="P39" i="11" s="1"/>
  <c r="AA85" i="11" a="1"/>
  <c r="AA85" i="11" s="1"/>
  <c r="U73" i="11" a="1"/>
  <c r="U73" i="11" s="1"/>
  <c r="AL118" i="11" a="1"/>
  <c r="AL118" i="11" s="1"/>
  <c r="AA118" i="11" a="1"/>
  <c r="AA118" i="11" s="1"/>
  <c r="AB120" i="11" a="1"/>
  <c r="AB120" i="11" s="1"/>
  <c r="AK103" i="10" a="1"/>
  <c r="AK103" i="10" s="1"/>
  <c r="AG120" i="11" a="1"/>
  <c r="AG120" i="11" s="1"/>
  <c r="P118" i="11" a="1"/>
  <c r="P118" i="11" s="1"/>
  <c r="AG119" i="11" a="1"/>
  <c r="AG119" i="11" s="1"/>
  <c r="AH63" i="11" a="1"/>
  <c r="AH63" i="11" s="1"/>
  <c r="O120" i="11" a="1"/>
  <c r="O120" i="11" s="1"/>
  <c r="AG64" i="11" a="1"/>
  <c r="AG64" i="11" s="1"/>
  <c r="AN24" i="10" a="1"/>
  <c r="AN24" i="10" s="1"/>
  <c r="AE103" i="10" a="1"/>
  <c r="AE103" i="10" s="1"/>
  <c r="AE106" i="10" s="1"/>
  <c r="AB110" i="11" a="1"/>
  <c r="AB110" i="11" s="1"/>
  <c r="AE120" i="11" a="1"/>
  <c r="AE120" i="11" s="1"/>
  <c r="AA71" i="11" a="1"/>
  <c r="AA71" i="11" s="1"/>
  <c r="AJ104" i="10" a="1"/>
  <c r="AJ104" i="10" s="1"/>
  <c r="AC119" i="11" a="1"/>
  <c r="AC119" i="11" s="1"/>
  <c r="AH64" i="11" a="1"/>
  <c r="AH64" i="11" s="1"/>
  <c r="T38" i="11" a="1"/>
  <c r="T38" i="11" s="1"/>
  <c r="AK63" i="11" a="1"/>
  <c r="AK63" i="11" s="1"/>
  <c r="P73" i="11" a="1"/>
  <c r="P73" i="11" s="1"/>
  <c r="U56" i="11" a="1"/>
  <c r="U56" i="11" s="1"/>
  <c r="T118" i="11" a="1"/>
  <c r="T118" i="11" s="1"/>
  <c r="X71" i="11" a="1"/>
  <c r="X71" i="11" s="1"/>
  <c r="AH56" i="11" a="1"/>
  <c r="AH56" i="11" s="1"/>
  <c r="Q104" i="10" a="1"/>
  <c r="Q104" i="10" s="1"/>
  <c r="AL62" i="11" a="1"/>
  <c r="AL62" i="11" s="1"/>
  <c r="P72" i="11" a="1"/>
  <c r="P72" i="11" s="1"/>
  <c r="Q39" i="11" a="1"/>
  <c r="Q39" i="11" s="1"/>
  <c r="V71" i="11" a="1"/>
  <c r="V71" i="11" s="1"/>
  <c r="AC72" i="11" a="1"/>
  <c r="AC72" i="11" s="1"/>
  <c r="X104" i="10" a="1"/>
  <c r="X104" i="10" s="1"/>
  <c r="AA86" i="11" a="1"/>
  <c r="AA86" i="11" s="1"/>
  <c r="AB39" i="11" a="1"/>
  <c r="AB39" i="11" s="1"/>
  <c r="AB119" i="11" a="1"/>
  <c r="AB119" i="11" s="1"/>
  <c r="Y73" i="11" a="1"/>
  <c r="Y73" i="11" s="1"/>
  <c r="S40" i="11" a="1"/>
  <c r="S40" i="11" s="1"/>
  <c r="AI64" i="11" a="1"/>
  <c r="AI64" i="11" s="1"/>
  <c r="U40" i="11" a="1"/>
  <c r="U40" i="11" s="1"/>
  <c r="W118" i="10" a="1"/>
  <c r="W118" i="10" s="1"/>
  <c r="AJ55" i="11" a="1"/>
  <c r="AJ55" i="11" s="1"/>
  <c r="X118" i="10" a="1"/>
  <c r="X118" i="10" s="1"/>
  <c r="R98" i="11" a="1"/>
  <c r="R98" i="11" s="1"/>
  <c r="AK54" i="11" a="1"/>
  <c r="AK54" i="11" s="1"/>
  <c r="X40" i="11" a="1"/>
  <c r="X40" i="11" s="1"/>
  <c r="P119" i="11" a="1"/>
  <c r="P119" i="11" s="1"/>
  <c r="V119" i="10" a="1"/>
  <c r="V119" i="10" s="1"/>
  <c r="AB100" i="11" a="1"/>
  <c r="AB100" i="11" s="1"/>
  <c r="AG71" i="11" a="1"/>
  <c r="AG71" i="11" s="1"/>
  <c r="AA103" i="10" a="1"/>
  <c r="AA103" i="10" s="1"/>
  <c r="AA106" i="10" s="1"/>
  <c r="S71" i="11" a="1"/>
  <c r="S71" i="11" s="1"/>
  <c r="AE73" i="11" a="1"/>
  <c r="AE73" i="11" s="1"/>
  <c r="U99" i="11" a="1"/>
  <c r="U99" i="11" s="1"/>
  <c r="O73" i="11" a="1"/>
  <c r="O73" i="11" s="1"/>
  <c r="V120" i="11" a="1"/>
  <c r="V120" i="11" s="1"/>
  <c r="AE55" i="11" a="1"/>
  <c r="AE55" i="11" s="1"/>
  <c r="S101" i="11" a="1"/>
  <c r="S101" i="11" s="1"/>
  <c r="Q84" i="11" a="1"/>
  <c r="Q84" i="11" s="1"/>
  <c r="Z88" i="11" a="1"/>
  <c r="Z88" i="11" s="1"/>
  <c r="W72" i="11" a="1"/>
  <c r="W72" i="11" s="1"/>
  <c r="AJ119" i="11" a="1"/>
  <c r="AJ119" i="11" s="1"/>
  <c r="X118" i="11" a="1"/>
  <c r="X118" i="11" s="1"/>
  <c r="AJ39" i="11" a="1"/>
  <c r="AJ39" i="11" s="1"/>
  <c r="Y86" i="11" a="1"/>
  <c r="Y86" i="11" s="1"/>
  <c r="AB85" i="11" a="1"/>
  <c r="AB85" i="11" s="1"/>
  <c r="Y119" i="11" a="1"/>
  <c r="Y119" i="11" s="1"/>
  <c r="AI118" i="11" a="1"/>
  <c r="AI118" i="11" s="1"/>
  <c r="AJ120" i="11" a="1"/>
  <c r="AJ120" i="11" s="1"/>
  <c r="AG72" i="11" a="1"/>
  <c r="AG72" i="11" s="1"/>
  <c r="AB109" i="11" a="1"/>
  <c r="AB109" i="11" s="1"/>
  <c r="AF119" i="11" a="1"/>
  <c r="AF119" i="11" s="1"/>
  <c r="AB118" i="10" a="1"/>
  <c r="AB118" i="10" s="1"/>
  <c r="AB121" i="10" s="1"/>
  <c r="AF119" i="10" a="1"/>
  <c r="AF119" i="10" s="1"/>
  <c r="AF122" i="10" s="1"/>
  <c r="AB62" i="11" a="1"/>
  <c r="AB62" i="11" s="1"/>
  <c r="AE108" i="11" a="1"/>
  <c r="AE108" i="11" s="1"/>
  <c r="AI72" i="11" a="1"/>
  <c r="AI72" i="11" s="1"/>
  <c r="P120" i="11" a="1"/>
  <c r="P120" i="11" s="1"/>
  <c r="AI63" i="11" a="1"/>
  <c r="AI63" i="11" s="1"/>
  <c r="AE110" i="11" a="1"/>
  <c r="AE110" i="11" s="1"/>
  <c r="AD73" i="11" a="1"/>
  <c r="AD73" i="11" s="1"/>
  <c r="X120" i="11" a="1"/>
  <c r="X120" i="11" s="1"/>
  <c r="AO42" i="10" a="1"/>
  <c r="AO42" i="10" s="1"/>
  <c r="AC62" i="11" a="1"/>
  <c r="AC62" i="11" s="1"/>
  <c r="R101" i="11" a="1"/>
  <c r="R101" i="11" s="1"/>
  <c r="W56" i="11" a="1"/>
  <c r="W56" i="11" s="1"/>
  <c r="V100" i="11" a="1"/>
  <c r="V100" i="11" s="1"/>
  <c r="AF56" i="11" a="1"/>
  <c r="AF56" i="11" s="1"/>
  <c r="Z38" i="11" a="1"/>
  <c r="Z38" i="11" s="1"/>
  <c r="S39" i="11" a="1"/>
  <c r="S39" i="11" s="1"/>
  <c r="U39" i="11" a="1"/>
  <c r="U39" i="11" s="1"/>
  <c r="AF73" i="11" a="1"/>
  <c r="AF73" i="11" s="1"/>
  <c r="AD104" i="10" a="1"/>
  <c r="AD104" i="10" s="1"/>
  <c r="AD107" i="10" s="1"/>
  <c r="T103" i="10" a="1"/>
  <c r="T103" i="10" s="1"/>
  <c r="W99" i="11" a="1"/>
  <c r="W99" i="11" s="1"/>
  <c r="AA84" i="11" a="1"/>
  <c r="AA84" i="11" s="1"/>
  <c r="W104" i="10" a="1"/>
  <c r="W104" i="10" s="1"/>
  <c r="Z119" i="10" a="1"/>
  <c r="Z119" i="10" s="1"/>
  <c r="Q101" i="11" a="1"/>
  <c r="Q101" i="11" s="1"/>
  <c r="AA40" i="11" a="1"/>
  <c r="AA40" i="11" s="1"/>
  <c r="T85" i="11" a="1"/>
  <c r="T85" i="11" s="1"/>
  <c r="AE40" i="11" a="1"/>
  <c r="AE40" i="11" s="1"/>
  <c r="Z71" i="11" a="1"/>
  <c r="Z71" i="11" s="1"/>
  <c r="AG40" i="11" a="1"/>
  <c r="AG40" i="11" s="1"/>
  <c r="R119" i="10" a="1"/>
  <c r="R119" i="10" s="1"/>
  <c r="X56" i="11" a="1"/>
  <c r="X56" i="11" s="1"/>
  <c r="S100" i="11" a="1"/>
  <c r="S100" i="11" s="1"/>
  <c r="AL55" i="11" a="1"/>
  <c r="AL55" i="11" s="1"/>
  <c r="AJ40" i="11" a="1"/>
  <c r="AJ40" i="11" s="1"/>
  <c r="W120" i="11" a="1"/>
  <c r="W120" i="11" s="1"/>
  <c r="Y102" i="11" a="1"/>
  <c r="Y102" i="11" s="1"/>
  <c r="X72" i="11" a="1"/>
  <c r="X72" i="11" s="1"/>
  <c r="AE104" i="10" a="1"/>
  <c r="AE104" i="10" s="1"/>
  <c r="AE107" i="10" s="1"/>
  <c r="AH71" i="11" a="1"/>
  <c r="AH71" i="11" s="1"/>
  <c r="V84" i="11" a="1"/>
  <c r="V84" i="11" s="1"/>
  <c r="Q100" i="11" a="1"/>
  <c r="Q100" i="11" s="1"/>
  <c r="Z73" i="11" a="1"/>
  <c r="Z73" i="11" s="1"/>
  <c r="AL120" i="11" a="1"/>
  <c r="AL120" i="11" s="1"/>
  <c r="Z56" i="11" a="1"/>
  <c r="Z56" i="11" s="1"/>
  <c r="O102" i="11" a="1"/>
  <c r="O102" i="11" s="1"/>
  <c r="O85" i="11" a="1"/>
  <c r="O85" i="11" s="1"/>
  <c r="T98" i="11" a="1"/>
  <c r="T98" i="11" s="1"/>
  <c r="AH72" i="11" a="1"/>
  <c r="AH72" i="11" s="1"/>
  <c r="Z127" i="11" a="1"/>
  <c r="Z127" i="11" s="1"/>
  <c r="AJ118" i="11" a="1"/>
  <c r="AJ118" i="11" s="1"/>
  <c r="V40" i="11" a="1"/>
  <c r="V40" i="11" s="1"/>
  <c r="U87" i="11" a="1"/>
  <c r="U87" i="11" s="1"/>
  <c r="AE38" i="11" a="1"/>
  <c r="AE38" i="11" s="1"/>
  <c r="R88" i="11" a="1"/>
  <c r="R88" i="11" s="1"/>
  <c r="Y129" i="11" a="1"/>
  <c r="Y129" i="11" s="1"/>
  <c r="S119" i="11" a="1"/>
  <c r="S119" i="11" s="1"/>
  <c r="AD103" i="10" a="1"/>
  <c r="AD103" i="10" s="1"/>
  <c r="AD106" i="10" s="1"/>
  <c r="AI118" i="10" a="1"/>
  <c r="AI118" i="10" s="1"/>
  <c r="AJ119" i="10" a="1"/>
  <c r="AJ119" i="10" s="1"/>
  <c r="AA118" i="10" a="1"/>
  <c r="AA118" i="10" s="1"/>
  <c r="AA121" i="10" s="1"/>
  <c r="AA72" i="11" a="1"/>
  <c r="AA72" i="11" s="1"/>
  <c r="AA100" i="11" a="1"/>
  <c r="AA100" i="11" s="1"/>
  <c r="AA102" i="11" a="1"/>
  <c r="AA102" i="11" s="1"/>
  <c r="AA91" i="11" s="1"/>
  <c r="AA96" i="11" s="1"/>
  <c r="AC73" i="11" a="1"/>
  <c r="AC73" i="11" s="1"/>
  <c r="AK119" i="11" a="1"/>
  <c r="AK119" i="11" s="1"/>
  <c r="U120" i="11" a="1"/>
  <c r="U120" i="11" s="1"/>
  <c r="AI103" i="10" a="1"/>
  <c r="AI103" i="10" s="1"/>
  <c r="AI106" i="10" s="1"/>
  <c r="AL103" i="10" a="1"/>
  <c r="AL103" i="10" s="1"/>
  <c r="AL106" i="10" s="1"/>
  <c r="U103" i="10" a="1"/>
  <c r="U103" i="10" s="1"/>
  <c r="AF54" i="11" a="1"/>
  <c r="AF54" i="11" s="1"/>
  <c r="AA39" i="11" a="1"/>
  <c r="AA39" i="11" s="1"/>
  <c r="AD55" i="11" a="1"/>
  <c r="AD55" i="11" s="1"/>
  <c r="X99" i="11" a="1"/>
  <c r="X99" i="11" s="1"/>
  <c r="AG54" i="11" a="1"/>
  <c r="AG54" i="11" s="1"/>
  <c r="AD119" i="10" a="1"/>
  <c r="AD119" i="10" s="1"/>
  <c r="AD122" i="10" s="1"/>
  <c r="AA73" i="11" a="1"/>
  <c r="AA73" i="11" s="1"/>
  <c r="AH54" i="11" a="1"/>
  <c r="AH54" i="11" s="1"/>
  <c r="AJ63" i="11" a="1"/>
  <c r="AJ63" i="11" s="1"/>
  <c r="AA110" i="11" a="1"/>
  <c r="AA110" i="11" s="1"/>
  <c r="AL56" i="11" a="1"/>
  <c r="AL56" i="11" s="1"/>
  <c r="Z55" i="11" a="1"/>
  <c r="Z55" i="11" s="1"/>
  <c r="R104" i="10" a="1"/>
  <c r="R104" i="10" s="1"/>
  <c r="AI73" i="11" a="1"/>
  <c r="AI73" i="11" s="1"/>
  <c r="W119" i="10" a="1"/>
  <c r="W119" i="10" s="1"/>
  <c r="S73" i="11" a="1"/>
  <c r="S73" i="11" s="1"/>
  <c r="O86" i="11" a="1"/>
  <c r="O86" i="11" s="1"/>
  <c r="Y101" i="11" a="1"/>
  <c r="Y101" i="11" s="1"/>
  <c r="Y84" i="11" a="1"/>
  <c r="Y84" i="11" s="1"/>
  <c r="V118" i="10" a="1"/>
  <c r="V118" i="10" s="1"/>
  <c r="AE63" i="11" a="1"/>
  <c r="AE63" i="11" s="1"/>
  <c r="U86" i="11" a="1"/>
  <c r="U86" i="11" s="1"/>
  <c r="AA99" i="11" a="1"/>
  <c r="AA99" i="11" s="1"/>
  <c r="S84" i="11" a="1"/>
  <c r="S84" i="11" s="1"/>
  <c r="X86" i="11" a="1"/>
  <c r="X86" i="11" s="1"/>
  <c r="Z120" i="11" a="1"/>
  <c r="Z120" i="11" s="1"/>
  <c r="AB54" i="11" a="1"/>
  <c r="AB54" i="11" s="1"/>
  <c r="R99" i="11" a="1"/>
  <c r="R99" i="11" s="1"/>
  <c r="AK39" i="11" a="1"/>
  <c r="AK39" i="11" s="1"/>
  <c r="S99" i="11" a="1"/>
  <c r="S99" i="11" s="1"/>
  <c r="AC120" i="11" a="1"/>
  <c r="AC120" i="11" s="1"/>
  <c r="AI119" i="11" a="1"/>
  <c r="AI119" i="11" s="1"/>
  <c r="AC104" i="10" a="1"/>
  <c r="AC104" i="10" s="1"/>
  <c r="AC107" i="10" s="1"/>
  <c r="AG119" i="10" a="1"/>
  <c r="AG119" i="10" s="1"/>
  <c r="AG109" i="10" s="1"/>
  <c r="Y81" i="8" s="1" a="1"/>
  <c r="Y81" i="8" s="1"/>
  <c r="AI119" i="10" a="1"/>
  <c r="AI119" i="10" s="1"/>
  <c r="AI122" i="10" s="1"/>
  <c r="AO24" i="10" a="1"/>
  <c r="AO24" i="10" s="1"/>
  <c r="AP23" i="10" a="1"/>
  <c r="AP23" i="10" s="1"/>
  <c r="AO23" i="10" a="1"/>
  <c r="AO23" i="10" s="1"/>
  <c r="AP42" i="10" a="1"/>
  <c r="AP42" i="10" s="1"/>
  <c r="AN41" i="10" a="1"/>
  <c r="AN41" i="10" s="1"/>
  <c r="AP24" i="10" a="1"/>
  <c r="AP24" i="10" s="1"/>
  <c r="AP41" i="10" a="1"/>
  <c r="AP41" i="10" s="1"/>
  <c r="AM24" i="10" a="1"/>
  <c r="AM24" i="10" s="1"/>
  <c r="AK118" i="10" a="1"/>
  <c r="AK118" i="10" s="1"/>
  <c r="AK121" i="10" s="1"/>
  <c r="AN42" i="10" a="1"/>
  <c r="AN42" i="10" s="1"/>
  <c r="AD88" i="10"/>
  <c r="AD87" i="10" s="1"/>
  <c r="V64" i="8" s="1" a="1"/>
  <c r="V64" i="8" s="1"/>
  <c r="G51" i="8"/>
  <c r="G52" i="8" s="1"/>
  <c r="U43" i="8"/>
  <c r="U44" i="8" s="1"/>
  <c r="O90" i="10"/>
  <c r="G65" i="8" s="1" a="1"/>
  <c r="G65" i="8" s="1"/>
  <c r="G67" i="8" s="1"/>
  <c r="G68" i="8" s="1"/>
  <c r="AE88" i="10"/>
  <c r="AE87" i="10" s="1"/>
  <c r="W64" i="8" s="1" a="1"/>
  <c r="W64" i="8" s="1"/>
  <c r="G41" i="8" a="1"/>
  <c r="G41" i="8" s="1"/>
  <c r="G43" i="8" s="1"/>
  <c r="G44" i="8" s="1"/>
  <c r="T49" i="8" a="1"/>
  <c r="T49" i="8" s="1"/>
  <c r="T51" i="8" s="1"/>
  <c r="T52" i="8" s="1"/>
  <c r="T41" i="8" a="1"/>
  <c r="T41" i="8" s="1"/>
  <c r="T43" i="8" s="1"/>
  <c r="T44" i="8" s="1"/>
  <c r="AB88" i="10"/>
  <c r="AB87" i="10" s="1"/>
  <c r="T64" i="8" s="1" a="1"/>
  <c r="T64" i="8" s="1"/>
  <c r="T56" i="8" a="1"/>
  <c r="T56" i="8" s="1"/>
  <c r="W41" i="8" a="1"/>
  <c r="W41" i="8" s="1"/>
  <c r="W43" i="8" s="1"/>
  <c r="W44" i="8" s="1"/>
  <c r="AE84" i="10"/>
  <c r="W57" i="8" s="1" a="1"/>
  <c r="W57" i="8" s="1"/>
  <c r="W59" i="8" s="1"/>
  <c r="W60" i="8" s="1"/>
  <c r="W49" i="8" a="1"/>
  <c r="W49" i="8" s="1"/>
  <c r="W51" i="8" s="1"/>
  <c r="W52" i="8" s="1"/>
  <c r="Q88" i="10"/>
  <c r="Q87" i="10" s="1"/>
  <c r="I64" i="8" s="1" a="1"/>
  <c r="I64" i="8" s="1"/>
  <c r="I48" i="8" a="1"/>
  <c r="I48" i="8" s="1"/>
  <c r="H41" i="8" a="1"/>
  <c r="H41" i="8" s="1"/>
  <c r="H43" i="8" s="1"/>
  <c r="H44" i="8" s="1"/>
  <c r="AL83" i="10"/>
  <c r="AL82" i="10" s="1"/>
  <c r="AD56" i="8" s="1" a="1"/>
  <c r="AD56" i="8" s="1"/>
  <c r="AD48" i="8" a="1"/>
  <c r="AD48" i="8" s="1"/>
  <c r="W64" i="10"/>
  <c r="O41" i="8" s="1" a="1"/>
  <c r="O41" i="8" s="1"/>
  <c r="O40" i="8" a="1"/>
  <c r="O40" i="8" s="1"/>
  <c r="AD84" i="10"/>
  <c r="V57" i="8" s="1" a="1"/>
  <c r="V57" i="8" s="1"/>
  <c r="V59" i="8" s="1"/>
  <c r="V60" i="8" s="1"/>
  <c r="V49" i="8" a="1"/>
  <c r="V49" i="8" s="1"/>
  <c r="V51" i="8" s="1"/>
  <c r="V52" i="8" s="1"/>
  <c r="AA84" i="10"/>
  <c r="S57" i="8" s="1" a="1"/>
  <c r="S57" i="8" s="1"/>
  <c r="S59" i="8" s="1"/>
  <c r="S60" i="8" s="1"/>
  <c r="S49" i="8" a="1"/>
  <c r="S49" i="8" s="1"/>
  <c r="S51" i="8" s="1"/>
  <c r="S52" i="8" s="1"/>
  <c r="V41" i="8" a="1"/>
  <c r="V41" i="8" s="1"/>
  <c r="V43" i="8" s="1"/>
  <c r="V44" i="8" s="1"/>
  <c r="P76" i="8"/>
  <c r="P77" i="8" s="1"/>
  <c r="AB107" i="10"/>
  <c r="P114" i="10"/>
  <c r="H82" i="8" s="1" a="1"/>
  <c r="H82" i="8" s="1"/>
  <c r="H84" i="8" s="1"/>
  <c r="H85" i="8" s="1"/>
  <c r="O114" i="10"/>
  <c r="G82" i="8" s="1" a="1"/>
  <c r="G82" i="8" s="1"/>
  <c r="G81" i="8" a="1"/>
  <c r="G81" i="8" s="1"/>
  <c r="Q114" i="10"/>
  <c r="I82" i="8" s="1" a="1"/>
  <c r="I82" i="8" s="1"/>
  <c r="I81" i="8" a="1"/>
  <c r="I81" i="8" s="1"/>
  <c r="R114" i="10"/>
  <c r="J82" i="8" s="1" a="1"/>
  <c r="J82" i="8" s="1"/>
  <c r="J81" i="8" a="1"/>
  <c r="J81" i="8" s="1"/>
  <c r="T99" i="10"/>
  <c r="L74" i="8" s="1" a="1"/>
  <c r="L74" i="8" s="1"/>
  <c r="L73" i="8" a="1"/>
  <c r="L73" i="8" s="1"/>
  <c r="Q99" i="10"/>
  <c r="I74" i="8" s="1" a="1"/>
  <c r="I74" i="8" s="1"/>
  <c r="I76" i="8" s="1"/>
  <c r="I77" i="8" s="1"/>
  <c r="W99" i="10"/>
  <c r="O74" i="8" s="1" a="1"/>
  <c r="O74" i="8" s="1"/>
  <c r="O73" i="8" a="1"/>
  <c r="O73" i="8" s="1"/>
  <c r="S99" i="10"/>
  <c r="K74" i="8" s="1" a="1"/>
  <c r="K74" i="8" s="1"/>
  <c r="K73" i="8" a="1"/>
  <c r="K73" i="8" s="1"/>
  <c r="T114" i="10"/>
  <c r="L82" i="8" s="1" a="1"/>
  <c r="L82" i="8" s="1"/>
  <c r="L84" i="8" s="1"/>
  <c r="L85" i="8" s="1"/>
  <c r="AA40" i="13"/>
  <c r="P99" i="10"/>
  <c r="H74" i="8" s="1" a="1"/>
  <c r="H74" i="8" s="1"/>
  <c r="H73" i="8" a="1"/>
  <c r="H73" i="8" s="1"/>
  <c r="O99" i="10"/>
  <c r="G74" i="8" s="1" a="1"/>
  <c r="G74" i="8" s="1"/>
  <c r="G73" i="8" a="1"/>
  <c r="G73" i="8" s="1"/>
  <c r="X114" i="10"/>
  <c r="P82" i="8" s="1" a="1"/>
  <c r="P82" i="8" s="1"/>
  <c r="P84" i="8" s="1"/>
  <c r="P85" i="8" s="1"/>
  <c r="U99" i="10"/>
  <c r="M74" i="8" s="1" a="1"/>
  <c r="M74" i="8" s="1"/>
  <c r="M73" i="8" a="1"/>
  <c r="M73" i="8" s="1"/>
  <c r="V114" i="10"/>
  <c r="N82" i="8" s="1" a="1"/>
  <c r="N82" i="8" s="1"/>
  <c r="N81" i="8" a="1"/>
  <c r="N81" i="8" s="1"/>
  <c r="AB12" i="11"/>
  <c r="AB15" i="11" s="1"/>
  <c r="Z99" i="10"/>
  <c r="R74" i="8" s="1" a="1"/>
  <c r="R74" i="8" s="1"/>
  <c r="R73" i="8" a="1"/>
  <c r="R73" i="8" s="1"/>
  <c r="AC88" i="10"/>
  <c r="AC87" i="10" s="1"/>
  <c r="U64" i="8" s="1" a="1"/>
  <c r="U64" i="8" s="1"/>
  <c r="Y114" i="10"/>
  <c r="AB40" i="13"/>
  <c r="Y99" i="10"/>
  <c r="K18" i="13"/>
  <c r="X18" i="13"/>
  <c r="L40" i="13"/>
  <c r="R99" i="10"/>
  <c r="U40" i="13"/>
  <c r="J18" i="13"/>
  <c r="W40" i="13"/>
  <c r="X40" i="13"/>
  <c r="L18" i="13"/>
  <c r="F40" i="13"/>
  <c r="W18" i="13"/>
  <c r="E40" i="13"/>
  <c r="M40" i="13"/>
  <c r="O40" i="13"/>
  <c r="N18" i="13"/>
  <c r="Q40" i="13"/>
  <c r="K40" i="13"/>
  <c r="M18" i="13"/>
  <c r="Z18" i="13"/>
  <c r="P18" i="13"/>
  <c r="AK106" i="10"/>
  <c r="AJ12" i="10"/>
  <c r="U51" i="8"/>
  <c r="U52" i="8" s="1"/>
  <c r="AC106" i="10"/>
  <c r="AD121" i="10"/>
  <c r="AF107" i="10"/>
  <c r="AF12" i="10"/>
  <c r="AG107" i="10"/>
  <c r="S18" i="13"/>
  <c r="F18" i="13"/>
  <c r="O18" i="13"/>
  <c r="AB99" i="13"/>
  <c r="H40" i="13"/>
  <c r="I40" i="13"/>
  <c r="T18" i="13"/>
  <c r="U114" i="10"/>
  <c r="V15" i="13"/>
  <c r="AG121" i="10"/>
  <c r="AB79" i="13"/>
  <c r="J40" i="13"/>
  <c r="Q18" i="13"/>
  <c r="U18" i="13"/>
  <c r="P40" i="13"/>
  <c r="V40" i="13"/>
  <c r="AA18" i="13"/>
  <c r="Z40" i="13"/>
  <c r="AK107" i="10"/>
  <c r="G18" i="13"/>
  <c r="AK12" i="10"/>
  <c r="R18" i="13"/>
  <c r="AJ121" i="10"/>
  <c r="V99" i="10"/>
  <c r="Y40" i="13"/>
  <c r="E18" i="13"/>
  <c r="AB18" i="13"/>
  <c r="Q78" i="10"/>
  <c r="I49" i="8" s="1" a="1"/>
  <c r="I49" i="8" s="1"/>
  <c r="O12" i="11"/>
  <c r="O15" i="11" s="1"/>
  <c r="Y12" i="11"/>
  <c r="Y15" i="11" s="1"/>
  <c r="AH12" i="10"/>
  <c r="AI12" i="10"/>
  <c r="AA77" i="11"/>
  <c r="AA82" i="11" s="1"/>
  <c r="AA76" i="11" s="1"/>
  <c r="P12" i="11"/>
  <c r="P15" i="11" s="1"/>
  <c r="AG94" i="10"/>
  <c r="AG106" i="10"/>
  <c r="AL78" i="10"/>
  <c r="O12" i="10"/>
  <c r="AG12" i="10"/>
  <c r="AB12" i="10"/>
  <c r="AB84" i="10"/>
  <c r="Q99" i="13"/>
  <c r="Z99" i="13"/>
  <c r="X99" i="13"/>
  <c r="H99" i="13"/>
  <c r="W99" i="13"/>
  <c r="G79" i="13"/>
  <c r="W60" i="13"/>
  <c r="K79" i="13"/>
  <c r="N60" i="13"/>
  <c r="S99" i="13"/>
  <c r="AA99" i="13"/>
  <c r="F99" i="13"/>
  <c r="N79" i="13"/>
  <c r="O99" i="13"/>
  <c r="L99" i="13"/>
  <c r="U99" i="13"/>
  <c r="E99" i="13"/>
  <c r="V60" i="13"/>
  <c r="P99" i="13"/>
  <c r="W79" i="13"/>
  <c r="G99" i="13"/>
  <c r="L60" i="13"/>
  <c r="N99" i="13"/>
  <c r="K99" i="13"/>
  <c r="J99" i="13"/>
  <c r="V99" i="13"/>
  <c r="E60" i="13"/>
  <c r="I99" i="13"/>
  <c r="T99" i="13"/>
  <c r="M99" i="13"/>
  <c r="R99" i="13"/>
  <c r="Y99" i="13"/>
  <c r="O79" i="13"/>
  <c r="X79" i="13"/>
  <c r="Q79" i="13"/>
  <c r="T79" i="13"/>
  <c r="X60" i="13"/>
  <c r="M79" i="13"/>
  <c r="J79" i="13"/>
  <c r="U79" i="13"/>
  <c r="P79" i="13"/>
  <c r="AA60" i="13"/>
  <c r="H60" i="13"/>
  <c r="L79" i="13"/>
  <c r="H79" i="13"/>
  <c r="Z79" i="13"/>
  <c r="T60" i="13"/>
  <c r="Y79" i="13"/>
  <c r="U60" i="13"/>
  <c r="S79" i="13"/>
  <c r="J60" i="13"/>
  <c r="E79" i="13"/>
  <c r="S60" i="13"/>
  <c r="R60" i="13"/>
  <c r="I79" i="13"/>
  <c r="O60" i="13"/>
  <c r="F60" i="13"/>
  <c r="R79" i="13"/>
  <c r="P60" i="13"/>
  <c r="Q60" i="13"/>
  <c r="F79" i="13"/>
  <c r="Z60" i="13"/>
  <c r="I60" i="13"/>
  <c r="G60" i="13"/>
  <c r="Y60" i="13"/>
  <c r="K60" i="13"/>
  <c r="AA79" i="13"/>
  <c r="V79" i="13"/>
  <c r="M60" i="13"/>
  <c r="V78" i="10"/>
  <c r="N49" i="8" s="1" a="1"/>
  <c r="N49" i="8" s="1"/>
  <c r="V88" i="10"/>
  <c r="V87" i="10" s="1"/>
  <c r="AI83" i="10"/>
  <c r="AI82" i="10" s="1"/>
  <c r="AI78" i="10"/>
  <c r="P12" i="10"/>
  <c r="T12" i="10"/>
  <c r="R43" i="8"/>
  <c r="R44" i="8" s="1"/>
  <c r="P51" i="8"/>
  <c r="P52" i="8" s="1"/>
  <c r="AC43" i="8"/>
  <c r="AC44" i="8" s="1"/>
  <c r="R51" i="8"/>
  <c r="R52" i="8" s="1"/>
  <c r="Z43" i="8"/>
  <c r="Z44" i="8" s="1"/>
  <c r="Q51" i="8"/>
  <c r="Q52" i="8" s="1"/>
  <c r="AG64" i="10"/>
  <c r="Y41" i="8" s="1" a="1"/>
  <c r="Y41" i="8" s="1"/>
  <c r="S64" i="10"/>
  <c r="K41" i="8" s="1" a="1"/>
  <c r="K41" i="8" s="1"/>
  <c r="AJ64" i="10"/>
  <c r="AB41" i="8" s="1" a="1"/>
  <c r="AB41" i="8" s="1"/>
  <c r="AI64" i="10"/>
  <c r="AA41" i="8" s="1" a="1"/>
  <c r="AA41" i="8" s="1"/>
  <c r="AJ83" i="10"/>
  <c r="AJ82" i="10" s="1"/>
  <c r="AB56" i="8" s="1" a="1"/>
  <c r="AB56" i="8" s="1"/>
  <c r="AJ78" i="10"/>
  <c r="AB49" i="8" s="1" a="1"/>
  <c r="AB49" i="8" s="1"/>
  <c r="T64" i="10"/>
  <c r="L41" i="8" s="1" a="1"/>
  <c r="L41" i="8" s="1"/>
  <c r="AK78" i="10"/>
  <c r="AC49" i="8" s="1" a="1"/>
  <c r="AC49" i="8" s="1"/>
  <c r="AK83" i="10"/>
  <c r="AK82" i="10" s="1"/>
  <c r="AC56" i="8" s="1" a="1"/>
  <c r="AC56" i="8" s="1"/>
  <c r="X64" i="10"/>
  <c r="P41" i="8" s="1" a="1"/>
  <c r="P41" i="8" s="1"/>
  <c r="Z90" i="10"/>
  <c r="R65" i="8" s="1" a="1"/>
  <c r="R65" i="8" s="1"/>
  <c r="S43" i="8"/>
  <c r="S44" i="8" s="1"/>
  <c r="H51" i="8"/>
  <c r="H52" i="8" s="1"/>
  <c r="AG88" i="10"/>
  <c r="AG87" i="10" s="1"/>
  <c r="Y64" i="8" s="1" a="1"/>
  <c r="Y64" i="8" s="1"/>
  <c r="Q43" i="8"/>
  <c r="Q44" i="8" s="1"/>
  <c r="W78" i="10"/>
  <c r="O49" i="8" s="1" a="1"/>
  <c r="O49" i="8" s="1"/>
  <c r="W88" i="10"/>
  <c r="W87" i="10" s="1"/>
  <c r="O64" i="8" s="1" a="1"/>
  <c r="O64" i="8" s="1"/>
  <c r="M43" i="8"/>
  <c r="M44" i="8" s="1"/>
  <c r="AL64" i="10"/>
  <c r="AD41" i="8" s="1" a="1"/>
  <c r="AD41" i="8" s="1"/>
  <c r="Y51" i="8"/>
  <c r="Y52" i="8" s="1"/>
  <c r="AG84" i="10"/>
  <c r="Y57" i="8" s="1" a="1"/>
  <c r="Y57" i="8" s="1"/>
  <c r="Y90" i="10"/>
  <c r="Q65" i="8" s="1" a="1"/>
  <c r="Q65" i="8" s="1"/>
  <c r="U59" i="8"/>
  <c r="U60" i="8" s="1"/>
  <c r="X90" i="10"/>
  <c r="P65" i="8" s="1" a="1"/>
  <c r="P65" i="8" s="1"/>
  <c r="U78" i="10"/>
  <c r="M49" i="8" s="1" a="1"/>
  <c r="M49" i="8" s="1"/>
  <c r="U88" i="10"/>
  <c r="U87" i="10" s="1"/>
  <c r="M64" i="8" s="1" a="1"/>
  <c r="M64" i="8" s="1"/>
  <c r="X43" i="8"/>
  <c r="X44" i="8" s="1"/>
  <c r="I43" i="8"/>
  <c r="I44" i="8" s="1"/>
  <c r="Z51" i="8"/>
  <c r="Z52" i="8" s="1"/>
  <c r="AH84" i="10"/>
  <c r="Z57" i="8" s="1" a="1"/>
  <c r="Z57" i="8" s="1"/>
  <c r="S90" i="10"/>
  <c r="K65" i="8" s="1" a="1"/>
  <c r="K65" i="8" s="1"/>
  <c r="AF84" i="10"/>
  <c r="X57" i="8" s="1" a="1"/>
  <c r="X57" i="8" s="1"/>
  <c r="X51" i="8"/>
  <c r="X52" i="8" s="1"/>
  <c r="R64" i="10"/>
  <c r="J41" i="8" s="1" a="1"/>
  <c r="J41" i="8" s="1"/>
  <c r="P90" i="10"/>
  <c r="H65" i="8" s="1" a="1"/>
  <c r="H65" i="8" s="1"/>
  <c r="AA90" i="10"/>
  <c r="S65" i="8" s="1" a="1"/>
  <c r="S65" i="8" s="1"/>
  <c r="AH88" i="10"/>
  <c r="AH87" i="10" s="1"/>
  <c r="Z64" i="8" s="1" a="1"/>
  <c r="Z64" i="8" s="1"/>
  <c r="R88" i="10"/>
  <c r="R87" i="10" s="1"/>
  <c r="J64" i="8" s="1" a="1"/>
  <c r="J64" i="8" s="1"/>
  <c r="R78" i="10"/>
  <c r="J49" i="8" s="1" a="1"/>
  <c r="J49" i="8" s="1"/>
  <c r="AF88" i="10"/>
  <c r="AF87" i="10" s="1"/>
  <c r="X64" i="8" s="1" a="1"/>
  <c r="X64" i="8" s="1"/>
  <c r="T78" i="10"/>
  <c r="L49" i="8" s="1" a="1"/>
  <c r="L49" i="8" s="1"/>
  <c r="T88" i="10"/>
  <c r="T87" i="10" s="1"/>
  <c r="L64" i="8" s="1" a="1"/>
  <c r="L64" i="8" s="1"/>
  <c r="N43" i="8"/>
  <c r="N44" i="8" s="1"/>
  <c r="Y12" i="10"/>
  <c r="Z12" i="10"/>
  <c r="W12" i="10"/>
  <c r="Q12" i="10"/>
  <c r="U12" i="10"/>
  <c r="AD12" i="10"/>
  <c r="R12" i="11"/>
  <c r="R15" i="11" s="1"/>
  <c r="R12" i="10"/>
  <c r="V12" i="11"/>
  <c r="V15" i="11" s="1"/>
  <c r="X12" i="10"/>
  <c r="U12" i="11"/>
  <c r="U15" i="11" s="1"/>
  <c r="V12" i="10"/>
  <c r="W12" i="11"/>
  <c r="W15" i="11" s="1"/>
  <c r="AE12" i="10"/>
  <c r="X12" i="11"/>
  <c r="X15" i="11" s="1"/>
  <c r="Z12" i="11"/>
  <c r="Z15" i="11" s="1"/>
  <c r="S12" i="11"/>
  <c r="S15" i="11" s="1"/>
  <c r="AA12" i="11"/>
  <c r="AA15" i="11" s="1"/>
  <c r="S12" i="10"/>
  <c r="AC12" i="10"/>
  <c r="AD90" i="10" l="1"/>
  <c r="V65" i="8" s="1" a="1"/>
  <c r="V65" i="8" s="1"/>
  <c r="X19" i="10"/>
  <c r="X17" i="10" s="1"/>
  <c r="P14" i="8" s="1" a="1"/>
  <c r="P14" i="8" s="1"/>
  <c r="V19" i="10"/>
  <c r="AA94" i="10"/>
  <c r="AA99" i="10" s="1"/>
  <c r="S74" i="8" s="1" a="1"/>
  <c r="S74" i="8" s="1"/>
  <c r="AK19" i="10"/>
  <c r="R19" i="10"/>
  <c r="AA19" i="10"/>
  <c r="AD19" i="10"/>
  <c r="AC19" i="10"/>
  <c r="AC17" i="10" s="1"/>
  <c r="U14" i="8" s="1" a="1"/>
  <c r="U14" i="8" s="1"/>
  <c r="U19" i="10"/>
  <c r="U17" i="10" s="1"/>
  <c r="M14" i="8" s="1" a="1"/>
  <c r="M14" i="8" s="1"/>
  <c r="W19" i="10"/>
  <c r="AI19" i="10"/>
  <c r="P19" i="10"/>
  <c r="O19" i="10"/>
  <c r="S19" i="10"/>
  <c r="S17" i="10" s="1"/>
  <c r="K14" i="8" s="1" a="1"/>
  <c r="K14" i="8" s="1"/>
  <c r="Q19" i="10"/>
  <c r="Z19" i="10"/>
  <c r="Z17" i="10" s="1"/>
  <c r="R14" i="8" s="1" a="1"/>
  <c r="R14" i="8" s="1"/>
  <c r="AJ19" i="10"/>
  <c r="Y19" i="10"/>
  <c r="AH19" i="10"/>
  <c r="AF19" i="10"/>
  <c r="T19" i="10"/>
  <c r="T17" i="10" s="1"/>
  <c r="AE19" i="10"/>
  <c r="AB19" i="10"/>
  <c r="AG19" i="10"/>
  <c r="AG17" i="10" s="1"/>
  <c r="Y14" i="8" s="1" a="1"/>
  <c r="Y14" i="8" s="1"/>
  <c r="AE90" i="10"/>
  <c r="W65" i="8" s="1" a="1"/>
  <c r="W65" i="8" s="1"/>
  <c r="W67" i="8" s="1"/>
  <c r="W68" i="8" s="1"/>
  <c r="AC109" i="10"/>
  <c r="U81" i="8" s="1" a="1"/>
  <c r="U81" i="8" s="1"/>
  <c r="AJ109" i="10"/>
  <c r="AJ114" i="10" s="1"/>
  <c r="AB82" i="8" s="1" a="1"/>
  <c r="AB82" i="8" s="1"/>
  <c r="AJ94" i="10"/>
  <c r="AJ99" i="10" s="1"/>
  <c r="AB74" i="8" s="1" a="1"/>
  <c r="AB74" i="8" s="1"/>
  <c r="AA109" i="10"/>
  <c r="S81" i="8" s="1" a="1"/>
  <c r="S81" i="8" s="1"/>
  <c r="AI94" i="10"/>
  <c r="AA73" i="8" s="1" a="1"/>
  <c r="AA73" i="8" s="1"/>
  <c r="AB91" i="11"/>
  <c r="AB96" i="11" s="1"/>
  <c r="AL94" i="10"/>
  <c r="AD73" i="8" s="1" a="1"/>
  <c r="AD73" i="8" s="1"/>
  <c r="AA13" i="8" a="1"/>
  <c r="AA13" i="8" s="1"/>
  <c r="L13" i="8" a="1"/>
  <c r="L13" i="8" s="1"/>
  <c r="X13" i="8" a="1"/>
  <c r="X13" i="8" s="1"/>
  <c r="AB77" i="11"/>
  <c r="AB82" i="11" s="1"/>
  <c r="AB76" i="11" s="1"/>
  <c r="AB94" i="10"/>
  <c r="T73" i="8" s="1" a="1"/>
  <c r="T73" i="8" s="1"/>
  <c r="W13" i="8" a="1"/>
  <c r="W13" i="8" s="1"/>
  <c r="Z13" i="8" a="1"/>
  <c r="Z13" i="8" s="1"/>
  <c r="S13" i="8" a="1"/>
  <c r="S13" i="8" s="1"/>
  <c r="J13" i="8" a="1"/>
  <c r="J13" i="8" s="1"/>
  <c r="AG122" i="10"/>
  <c r="N13" i="8" a="1"/>
  <c r="N13" i="8" s="1"/>
  <c r="U13" i="8" a="1"/>
  <c r="U13" i="8" s="1"/>
  <c r="K13" i="8" a="1"/>
  <c r="K13" i="8" s="1"/>
  <c r="AD94" i="10"/>
  <c r="V73" i="8" s="1" a="1"/>
  <c r="V73" i="8" s="1"/>
  <c r="AM30" i="10"/>
  <c r="AM12" i="10"/>
  <c r="AL109" i="10"/>
  <c r="AL114" i="10" s="1"/>
  <c r="AD82" i="8" s="1" a="1"/>
  <c r="AD82" i="8" s="1"/>
  <c r="AJ122" i="10"/>
  <c r="AL122" i="10"/>
  <c r="AD109" i="10"/>
  <c r="V81" i="8" s="1" a="1"/>
  <c r="V81" i="8" s="1"/>
  <c r="AB106" i="10"/>
  <c r="AF109" i="10"/>
  <c r="X81" i="8" s="1" a="1"/>
  <c r="X81" i="8" s="1"/>
  <c r="AC122" i="10"/>
  <c r="AE109" i="10"/>
  <c r="W81" i="8" s="1" a="1"/>
  <c r="W81" i="8" s="1"/>
  <c r="AL107" i="10"/>
  <c r="AK94" i="10"/>
  <c r="AK99" i="10" s="1"/>
  <c r="AC74" i="8" s="1" a="1"/>
  <c r="AC74" i="8" s="1"/>
  <c r="AB109" i="10"/>
  <c r="T81" i="8" s="1" a="1"/>
  <c r="T81" i="8" s="1"/>
  <c r="AK109" i="10"/>
  <c r="AK114" i="10" s="1"/>
  <c r="AC82" i="8" s="1" a="1"/>
  <c r="AC82" i="8" s="1"/>
  <c r="AI109" i="10"/>
  <c r="AA81" i="8" s="1" a="1"/>
  <c r="AA81" i="8" s="1"/>
  <c r="AF94" i="10"/>
  <c r="AF99" i="10" s="1"/>
  <c r="X74" i="8" s="1" a="1"/>
  <c r="X74" i="8" s="1"/>
  <c r="AI121" i="10"/>
  <c r="AJ107" i="10"/>
  <c r="AH94" i="10"/>
  <c r="Z73" i="8" s="1" a="1"/>
  <c r="Z73" i="8" s="1"/>
  <c r="AB122" i="10"/>
  <c r="AC94" i="10"/>
  <c r="U73" i="8" s="1" a="1"/>
  <c r="U73" i="8" s="1"/>
  <c r="AE94" i="10"/>
  <c r="W73" i="8" s="1" a="1"/>
  <c r="W73" i="8" s="1"/>
  <c r="AH109" i="10"/>
  <c r="Z81" i="8" s="1" a="1"/>
  <c r="Z81" i="8" s="1"/>
  <c r="AC90" i="10"/>
  <c r="U65" i="8" s="1" a="1"/>
  <c r="U65" i="8" s="1"/>
  <c r="U67" i="8" s="1"/>
  <c r="U68" i="8" s="1"/>
  <c r="AF106" i="10"/>
  <c r="AB90" i="10"/>
  <c r="T65" i="8" s="1" a="1"/>
  <c r="T65" i="8" s="1"/>
  <c r="T67" i="8" s="1"/>
  <c r="T68" i="8" s="1"/>
  <c r="Q90" i="10"/>
  <c r="I65" i="8" s="1" a="1"/>
  <c r="I65" i="8" s="1"/>
  <c r="I67" i="8" s="1"/>
  <c r="I68" i="8" s="1"/>
  <c r="O43" i="8"/>
  <c r="O44" i="8" s="1"/>
  <c r="AL88" i="10"/>
  <c r="AL87" i="10" s="1"/>
  <c r="AD64" i="8" s="1" a="1"/>
  <c r="AD64" i="8" s="1"/>
  <c r="T57" i="8" a="1"/>
  <c r="T57" i="8" s="1"/>
  <c r="T59" i="8" s="1"/>
  <c r="T60" i="8" s="1"/>
  <c r="V90" i="10"/>
  <c r="N65" i="8" s="1" a="1"/>
  <c r="N65" i="8" s="1"/>
  <c r="N64" i="8" a="1"/>
  <c r="N64" i="8" s="1"/>
  <c r="AI88" i="10"/>
  <c r="AI87" i="10" s="1"/>
  <c r="AA64" i="8" s="1" a="1"/>
  <c r="AA64" i="8" s="1"/>
  <c r="AA56" i="8" a="1"/>
  <c r="AA56" i="8" s="1"/>
  <c r="AL84" i="10"/>
  <c r="AD57" i="8" s="1" a="1"/>
  <c r="AD57" i="8" s="1"/>
  <c r="AD59" i="8" s="1"/>
  <c r="AD60" i="8" s="1"/>
  <c r="AD49" i="8" a="1"/>
  <c r="AD49" i="8" s="1"/>
  <c r="AD51" i="8" s="1"/>
  <c r="AD52" i="8" s="1"/>
  <c r="AI84" i="10"/>
  <c r="AA57" i="8" s="1" a="1"/>
  <c r="AA57" i="8" s="1"/>
  <c r="AA49" i="8" a="1"/>
  <c r="AA49" i="8" s="1"/>
  <c r="AA51" i="8" s="1"/>
  <c r="AA52" i="8" s="1"/>
  <c r="I84" i="8"/>
  <c r="I85" i="8" s="1"/>
  <c r="N84" i="8"/>
  <c r="N85" i="8" s="1"/>
  <c r="L76" i="8"/>
  <c r="L77" i="8" s="1"/>
  <c r="K76" i="8"/>
  <c r="K77" i="8" s="1"/>
  <c r="J84" i="8"/>
  <c r="J85" i="8" s="1"/>
  <c r="O76" i="8"/>
  <c r="O77" i="8" s="1"/>
  <c r="G76" i="8"/>
  <c r="G77" i="8" s="1"/>
  <c r="R76" i="8"/>
  <c r="R77" i="8" s="1"/>
  <c r="M76" i="8"/>
  <c r="M77" i="8" s="1"/>
  <c r="G84" i="8"/>
  <c r="G85" i="8" s="1"/>
  <c r="G13" i="8" a="1"/>
  <c r="G13" i="8" s="1"/>
  <c r="M13" i="8" a="1"/>
  <c r="M13" i="8" s="1"/>
  <c r="Q74" i="8" a="1"/>
  <c r="Q74" i="8" s="1"/>
  <c r="Q76" i="8" s="1"/>
  <c r="Q77" i="8" s="1"/>
  <c r="N74" i="8" a="1"/>
  <c r="N74" i="8" s="1"/>
  <c r="N76" i="8" s="1"/>
  <c r="N77" i="8" s="1"/>
  <c r="I13" i="8" a="1"/>
  <c r="I13" i="8" s="1"/>
  <c r="AG99" i="10"/>
  <c r="Y74" i="8" s="1" a="1"/>
  <c r="Y74" i="8" s="1"/>
  <c r="Y73" i="8" a="1"/>
  <c r="Y73" i="8" s="1"/>
  <c r="O13" i="8" a="1"/>
  <c r="O13" i="8" s="1"/>
  <c r="AC13" i="8" a="1"/>
  <c r="AC13" i="8" s="1"/>
  <c r="M82" i="8" a="1"/>
  <c r="M82" i="8" s="1"/>
  <c r="M84" i="8" s="1"/>
  <c r="M85" i="8" s="1"/>
  <c r="Q82" i="8" a="1"/>
  <c r="Q82" i="8" s="1"/>
  <c r="Q84" i="8" s="1"/>
  <c r="Q85" i="8" s="1"/>
  <c r="J74" i="8" a="1"/>
  <c r="J74" i="8" s="1"/>
  <c r="J76" i="8" s="1"/>
  <c r="J77" i="8" s="1"/>
  <c r="V13" i="8" a="1"/>
  <c r="V13" i="8" s="1"/>
  <c r="R13" i="8" a="1"/>
  <c r="R13" i="8" s="1"/>
  <c r="Q13" i="8" a="1"/>
  <c r="Q13" i="8" s="1"/>
  <c r="AD14" i="8" a="1"/>
  <c r="AD14" i="8" s="1"/>
  <c r="AD13" i="8" a="1"/>
  <c r="AD13" i="8" s="1"/>
  <c r="AB13" i="8" a="1"/>
  <c r="AB13" i="8" s="1"/>
  <c r="P13" i="8" a="1"/>
  <c r="P13" i="8" s="1"/>
  <c r="Y13" i="8" a="1"/>
  <c r="Y13" i="8" s="1"/>
  <c r="T13" i="8" a="1"/>
  <c r="T13" i="8" s="1"/>
  <c r="H13" i="8" a="1"/>
  <c r="H13" i="8" s="1"/>
  <c r="H76" i="8"/>
  <c r="H77" i="8" s="1"/>
  <c r="I51" i="8"/>
  <c r="I52" i="8" s="1"/>
  <c r="AG114" i="10"/>
  <c r="Y82" i="8" s="1" a="1"/>
  <c r="Y82" i="8" s="1"/>
  <c r="K67" i="8"/>
  <c r="K68" i="8" s="1"/>
  <c r="N51" i="8"/>
  <c r="N52" i="8" s="1"/>
  <c r="R67" i="8"/>
  <c r="R68" i="8" s="1"/>
  <c r="Z59" i="8"/>
  <c r="Z60" i="8" s="1"/>
  <c r="V67" i="8"/>
  <c r="V68" i="8" s="1"/>
  <c r="S67" i="8"/>
  <c r="S68" i="8" s="1"/>
  <c r="X59" i="8"/>
  <c r="X60" i="8" s="1"/>
  <c r="Y59" i="8"/>
  <c r="Y60" i="8" s="1"/>
  <c r="AA43" i="8"/>
  <c r="AA44" i="8" s="1"/>
  <c r="AD43" i="8"/>
  <c r="AD44" i="8" s="1"/>
  <c r="Y43" i="8"/>
  <c r="Y44" i="8" s="1"/>
  <c r="P67" i="8"/>
  <c r="P68" i="8" s="1"/>
  <c r="Q67" i="8"/>
  <c r="Q68" i="8" s="1"/>
  <c r="U90" i="10"/>
  <c r="M65" i="8" s="1" a="1"/>
  <c r="M65" i="8" s="1"/>
  <c r="AK88" i="10"/>
  <c r="AK87" i="10" s="1"/>
  <c r="AC64" i="8" s="1" a="1"/>
  <c r="AC64" i="8" s="1"/>
  <c r="AG90" i="10"/>
  <c r="Y65" i="8" s="1" a="1"/>
  <c r="Y65" i="8" s="1"/>
  <c r="AJ84" i="10"/>
  <c r="AB57" i="8" s="1" a="1"/>
  <c r="AB57" i="8" s="1"/>
  <c r="AB51" i="8"/>
  <c r="AB52" i="8" s="1"/>
  <c r="AH90" i="10"/>
  <c r="Z65" i="8" s="1" a="1"/>
  <c r="Z65" i="8" s="1"/>
  <c r="L43" i="8"/>
  <c r="L44" i="8" s="1"/>
  <c r="H67" i="8"/>
  <c r="H68" i="8" s="1"/>
  <c r="AJ88" i="10"/>
  <c r="AJ87" i="10" s="1"/>
  <c r="AB64" i="8" s="1" a="1"/>
  <c r="AB64" i="8" s="1"/>
  <c r="T90" i="10"/>
  <c r="L65" i="8" s="1" a="1"/>
  <c r="L65" i="8" s="1"/>
  <c r="L51" i="8"/>
  <c r="L52" i="8" s="1"/>
  <c r="R90" i="10"/>
  <c r="J65" i="8" s="1" a="1"/>
  <c r="J65" i="8" s="1"/>
  <c r="AB43" i="8"/>
  <c r="AB44" i="8" s="1"/>
  <c r="AK84" i="10"/>
  <c r="AC57" i="8" s="1" a="1"/>
  <c r="AC57" i="8" s="1"/>
  <c r="AC51" i="8"/>
  <c r="AC52" i="8" s="1"/>
  <c r="AF90" i="10"/>
  <c r="X65" i="8" s="1" a="1"/>
  <c r="X65" i="8" s="1"/>
  <c r="J43" i="8"/>
  <c r="J44" i="8" s="1"/>
  <c r="O51" i="8"/>
  <c r="O52" i="8" s="1"/>
  <c r="K43" i="8"/>
  <c r="K44" i="8" s="1"/>
  <c r="W90" i="10"/>
  <c r="O65" i="8" s="1" a="1"/>
  <c r="O65" i="8" s="1"/>
  <c r="P43" i="8"/>
  <c r="P44" i="8" s="1"/>
  <c r="J51" i="8"/>
  <c r="J52" i="8" s="1"/>
  <c r="M51" i="8"/>
  <c r="M52" i="8" s="1"/>
  <c r="AE99" i="10" l="1"/>
  <c r="W74" i="8" s="1" a="1"/>
  <c r="W74" i="8" s="1"/>
  <c r="W76" i="8" s="1"/>
  <c r="W77" i="8" s="1"/>
  <c r="AD114" i="10"/>
  <c r="S73" i="8" a="1"/>
  <c r="S73" i="8" s="1"/>
  <c r="S76" i="8" s="1"/>
  <c r="S77" i="8" s="1"/>
  <c r="AE114" i="10"/>
  <c r="W82" i="8" s="1" a="1"/>
  <c r="W82" i="8" s="1"/>
  <c r="W84" i="8" s="1"/>
  <c r="W85" i="8" s="1"/>
  <c r="AA114" i="10"/>
  <c r="S82" i="8" s="1" a="1"/>
  <c r="S82" i="8" s="1"/>
  <c r="S84" i="8" s="1"/>
  <c r="S85" i="8" s="1"/>
  <c r="AB73" i="8" a="1"/>
  <c r="AB73" i="8" s="1"/>
  <c r="AB76" i="8" s="1"/>
  <c r="AB77" i="8" s="1"/>
  <c r="AI99" i="10"/>
  <c r="AA74" i="8" s="1" a="1"/>
  <c r="AA74" i="8" s="1"/>
  <c r="AA76" i="8" s="1"/>
  <c r="AA77" i="8" s="1"/>
  <c r="AI90" i="10"/>
  <c r="AA65" i="8" s="1" a="1"/>
  <c r="AA65" i="8" s="1"/>
  <c r="AA67" i="8" s="1"/>
  <c r="AA68" i="8" s="1"/>
  <c r="AL90" i="10"/>
  <c r="AD65" i="8" s="1" a="1"/>
  <c r="AD65" i="8" s="1"/>
  <c r="AD67" i="8" s="1"/>
  <c r="AD68" i="8" s="1"/>
  <c r="AL99" i="10"/>
  <c r="AD74" i="8" s="1" a="1"/>
  <c r="AD74" i="8" s="1"/>
  <c r="AD76" i="8" s="1"/>
  <c r="AD77" i="8" s="1"/>
  <c r="AB81" i="8" a="1"/>
  <c r="AB81" i="8" s="1"/>
  <c r="AB84" i="8" s="1"/>
  <c r="AB85" i="8" s="1"/>
  <c r="AC114" i="10"/>
  <c r="U82" i="8" s="1" a="1"/>
  <c r="U82" i="8" s="1"/>
  <c r="U84" i="8" s="1"/>
  <c r="U85" i="8" s="1"/>
  <c r="AB17" i="10"/>
  <c r="T14" i="8" s="1" a="1"/>
  <c r="T14" i="8" s="1"/>
  <c r="T16" i="8" s="1"/>
  <c r="T17" i="8" s="1"/>
  <c r="AB27" i="10"/>
  <c r="AB26" i="10"/>
  <c r="AI17" i="10"/>
  <c r="AA14" i="8" s="1" a="1"/>
  <c r="AA14" i="8" s="1"/>
  <c r="AA16" i="8" s="1"/>
  <c r="AA17" i="8" s="1"/>
  <c r="AI26" i="10"/>
  <c r="AI27" i="10"/>
  <c r="AE17" i="10"/>
  <c r="W14" i="8" s="1" a="1"/>
  <c r="W14" i="8" s="1"/>
  <c r="W16" i="8" s="1"/>
  <c r="W17" i="8" s="1"/>
  <c r="AE26" i="10"/>
  <c r="AE27" i="10"/>
  <c r="W17" i="10"/>
  <c r="O14" i="8" s="1" a="1"/>
  <c r="O14" i="8" s="1"/>
  <c r="O16" i="8" s="1"/>
  <c r="O17" i="8" s="1"/>
  <c r="W26" i="10"/>
  <c r="W27" i="10"/>
  <c r="T26" i="10"/>
  <c r="T27" i="10"/>
  <c r="U27" i="10"/>
  <c r="U26" i="10"/>
  <c r="AF17" i="10"/>
  <c r="X14" i="8" s="1" a="1"/>
  <c r="X14" i="8" s="1"/>
  <c r="X16" i="8" s="1"/>
  <c r="X17" i="8" s="1"/>
  <c r="AF26" i="10"/>
  <c r="AF27" i="10"/>
  <c r="AH17" i="10"/>
  <c r="Z14" i="8" s="1" a="1"/>
  <c r="Z14" i="8" s="1"/>
  <c r="Z16" i="8" s="1"/>
  <c r="Z17" i="8" s="1"/>
  <c r="AH26" i="10"/>
  <c r="AH27" i="10"/>
  <c r="AC27" i="10"/>
  <c r="AC26" i="10"/>
  <c r="Y17" i="10"/>
  <c r="Q14" i="8" s="1" a="1"/>
  <c r="Q14" i="8" s="1"/>
  <c r="Q16" i="8" s="1"/>
  <c r="Q17" i="8" s="1"/>
  <c r="Y27" i="10"/>
  <c r="Y26" i="10"/>
  <c r="AD17" i="10"/>
  <c r="V14" i="8" s="1" a="1"/>
  <c r="V14" i="8" s="1"/>
  <c r="V16" i="8" s="1"/>
  <c r="V17" i="8" s="1"/>
  <c r="AD27" i="10"/>
  <c r="AD26" i="10"/>
  <c r="AJ26" i="10"/>
  <c r="AJ27" i="10"/>
  <c r="AA17" i="10"/>
  <c r="S14" i="8" s="1" a="1"/>
  <c r="S14" i="8" s="1"/>
  <c r="S16" i="8" s="1"/>
  <c r="S17" i="8" s="1"/>
  <c r="AA27" i="10"/>
  <c r="AA26" i="10"/>
  <c r="AJ17" i="10"/>
  <c r="AB14" i="8" s="1" a="1"/>
  <c r="AB14" i="8" s="1"/>
  <c r="AB16" i="8" s="1"/>
  <c r="AB17" i="8" s="1"/>
  <c r="R26" i="10"/>
  <c r="R27" i="10"/>
  <c r="R17" i="10"/>
  <c r="J14" i="8" s="1" a="1"/>
  <c r="J14" i="8" s="1"/>
  <c r="J16" i="8" s="1"/>
  <c r="J17" i="8" s="1"/>
  <c r="Z27" i="10"/>
  <c r="Z26" i="10"/>
  <c r="AK26" i="10"/>
  <c r="AK27" i="10"/>
  <c r="Q17" i="10"/>
  <c r="I14" i="8" s="1" a="1"/>
  <c r="I14" i="8" s="1"/>
  <c r="I16" i="8" s="1"/>
  <c r="I17" i="8" s="1"/>
  <c r="Q26" i="10"/>
  <c r="Q27" i="10"/>
  <c r="AK17" i="10"/>
  <c r="AC14" i="8" s="1" a="1"/>
  <c r="AC14" i="8" s="1"/>
  <c r="AC16" i="8" s="1"/>
  <c r="AC17" i="8" s="1"/>
  <c r="S26" i="10"/>
  <c r="S27" i="10"/>
  <c r="V17" i="10"/>
  <c r="N14" i="8" s="1" a="1"/>
  <c r="N14" i="8" s="1"/>
  <c r="N16" i="8" s="1"/>
  <c r="N17" i="8" s="1"/>
  <c r="V27" i="10"/>
  <c r="V26" i="10"/>
  <c r="O17" i="10"/>
  <c r="G14" i="8" s="1" a="1"/>
  <c r="G14" i="8" s="1"/>
  <c r="G16" i="8" s="1"/>
  <c r="G17" i="8" s="1"/>
  <c r="O26" i="10"/>
  <c r="O27" i="10"/>
  <c r="AG26" i="10"/>
  <c r="AG27" i="10"/>
  <c r="P17" i="10"/>
  <c r="H14" i="8" s="1" a="1"/>
  <c r="H14" i="8" s="1"/>
  <c r="H16" i="8" s="1"/>
  <c r="H17" i="8" s="1"/>
  <c r="P27" i="10"/>
  <c r="P26" i="10"/>
  <c r="X26" i="10"/>
  <c r="X27" i="10"/>
  <c r="AM19" i="10"/>
  <c r="AM17" i="10" s="1"/>
  <c r="AE14" i="8" s="1" a="1"/>
  <c r="AE14" i="8" s="1"/>
  <c r="AM37" i="10"/>
  <c r="AB99" i="10"/>
  <c r="T74" i="8" s="1" a="1"/>
  <c r="T74" i="8" s="1"/>
  <c r="T76" i="8" s="1"/>
  <c r="AD99" i="10"/>
  <c r="V74" i="8" s="1" a="1"/>
  <c r="V74" i="8" s="1"/>
  <c r="V76" i="8" s="1"/>
  <c r="V77" i="8" s="1"/>
  <c r="AH114" i="10"/>
  <c r="Z82" i="8" s="1" a="1"/>
  <c r="Z82" i="8" s="1"/>
  <c r="Z84" i="8" s="1"/>
  <c r="Z85" i="8" s="1"/>
  <c r="AD81" i="8" a="1"/>
  <c r="AD81" i="8" s="1"/>
  <c r="AD84" i="8" s="1"/>
  <c r="AD85" i="8" s="1"/>
  <c r="AH99" i="10"/>
  <c r="Z74" i="8" s="1" a="1"/>
  <c r="Z74" i="8" s="1"/>
  <c r="Z76" i="8" s="1"/>
  <c r="Z77" i="8" s="1"/>
  <c r="AI114" i="10"/>
  <c r="AA82" i="8" s="1" a="1"/>
  <c r="AA82" i="8" s="1"/>
  <c r="AA84" i="8" s="1"/>
  <c r="AA85" i="8" s="1"/>
  <c r="AF114" i="10"/>
  <c r="X82" i="8" s="1" a="1"/>
  <c r="X82" i="8" s="1"/>
  <c r="X84" i="8" s="1"/>
  <c r="X85" i="8" s="1"/>
  <c r="AN15" i="10"/>
  <c r="AN12" i="10" s="1"/>
  <c r="AF13" i="8" s="1" a="1"/>
  <c r="AF13" i="8" s="1"/>
  <c r="AE13" i="8" a="1"/>
  <c r="AE13" i="8" s="1"/>
  <c r="AC73" i="8" a="1"/>
  <c r="AC73" i="8" s="1"/>
  <c r="AC76" i="8" s="1"/>
  <c r="AC77" i="8" s="1"/>
  <c r="AN33" i="10"/>
  <c r="AN30" i="10" s="1"/>
  <c r="AE22" i="8" a="1"/>
  <c r="AE22" i="8" s="1"/>
  <c r="X73" i="8" a="1"/>
  <c r="X73" i="8" s="1"/>
  <c r="X76" i="8" s="1"/>
  <c r="X77" i="8" s="1"/>
  <c r="AC99" i="10"/>
  <c r="U74" i="8" s="1" a="1"/>
  <c r="U74" i="8" s="1"/>
  <c r="U76" i="8" s="1"/>
  <c r="U77" i="8" s="1"/>
  <c r="AB114" i="10"/>
  <c r="T82" i="8" s="1" a="1"/>
  <c r="T82" i="8" s="1"/>
  <c r="T84" i="8" s="1"/>
  <c r="T85" i="8" s="1"/>
  <c r="AC81" i="8" a="1"/>
  <c r="AC81" i="8" s="1"/>
  <c r="AC84" i="8" s="1"/>
  <c r="AC85" i="8" s="1"/>
  <c r="N67" i="8"/>
  <c r="N68" i="8" s="1"/>
  <c r="AA59" i="8"/>
  <c r="AA60" i="8" s="1"/>
  <c r="M16" i="8"/>
  <c r="M17" i="8" s="1"/>
  <c r="Y16" i="8"/>
  <c r="Y17" i="8" s="1"/>
  <c r="AD16" i="8"/>
  <c r="AD17" i="8" s="1"/>
  <c r="Y76" i="8"/>
  <c r="Y77" i="8" s="1"/>
  <c r="P16" i="8"/>
  <c r="P17" i="8" s="1"/>
  <c r="R16" i="8"/>
  <c r="R17" i="8" s="1"/>
  <c r="L14" i="8" a="1"/>
  <c r="L14" i="8" s="1"/>
  <c r="L16" i="8" s="1"/>
  <c r="L17" i="8" s="1"/>
  <c r="V82" i="8" a="1"/>
  <c r="V82" i="8" s="1"/>
  <c r="V84" i="8" s="1"/>
  <c r="V85" i="8" s="1"/>
  <c r="Y84" i="8"/>
  <c r="Y85" i="8" s="1"/>
  <c r="O67" i="8"/>
  <c r="O68" i="8" s="1"/>
  <c r="X67" i="8"/>
  <c r="X68" i="8" s="1"/>
  <c r="M67" i="8"/>
  <c r="M68" i="8" s="1"/>
  <c r="L67" i="8"/>
  <c r="L68" i="8" s="1"/>
  <c r="Z67" i="8"/>
  <c r="Z68" i="8" s="1"/>
  <c r="J67" i="8"/>
  <c r="J68" i="8" s="1"/>
  <c r="U16" i="8"/>
  <c r="U17" i="8" s="1"/>
  <c r="Y67" i="8"/>
  <c r="Y68" i="8" s="1"/>
  <c r="AK90" i="10"/>
  <c r="AC65" i="8" s="1" a="1"/>
  <c r="AC65" i="8" s="1"/>
  <c r="AJ90" i="10"/>
  <c r="AB65" i="8" s="1" a="1"/>
  <c r="AB65" i="8" s="1"/>
  <c r="AC59" i="8"/>
  <c r="AC60" i="8" s="1"/>
  <c r="AB59" i="8"/>
  <c r="AB60" i="8" s="1"/>
  <c r="K16" i="8"/>
  <c r="K17" i="8" s="1"/>
  <c r="AM45" i="10" l="1"/>
  <c r="AM44" i="10"/>
  <c r="AM27" i="10"/>
  <c r="AM26" i="10"/>
  <c r="AM35" i="10"/>
  <c r="AE23" i="8" s="1" a="1"/>
  <c r="AE23" i="8" s="1"/>
  <c r="AE25" i="8" s="1"/>
  <c r="AE26" i="8" s="1"/>
  <c r="AN19" i="10"/>
  <c r="AN17" i="10" s="1"/>
  <c r="AF14" i="8" s="1" a="1"/>
  <c r="AF14" i="8" s="1"/>
  <c r="AF16" i="8" s="1"/>
  <c r="AF17" i="8" s="1"/>
  <c r="AO33" i="10"/>
  <c r="AO30" i="10" s="1"/>
  <c r="AG22" i="8" s="1" a="1"/>
  <c r="AG22" i="8" s="1"/>
  <c r="AN37" i="10"/>
  <c r="AF22" i="8" a="1"/>
  <c r="AF22" i="8" s="1"/>
  <c r="AO15" i="10"/>
  <c r="AO12" i="10" s="1"/>
  <c r="AG13" i="8" s="1" a="1"/>
  <c r="AG13" i="8" s="1"/>
  <c r="AE16" i="8"/>
  <c r="AE17" i="8" s="1"/>
  <c r="AB67" i="8"/>
  <c r="AB68" i="8" s="1"/>
  <c r="AC67" i="8"/>
  <c r="AC68" i="8" s="1"/>
  <c r="T77" i="8"/>
  <c r="AN44" i="10" l="1"/>
  <c r="AN45" i="10"/>
  <c r="AP33" i="10"/>
  <c r="AP30" i="10" s="1"/>
  <c r="AN27" i="10"/>
  <c r="AN26" i="10"/>
  <c r="AN35" i="10"/>
  <c r="AF23" i="8" s="1" a="1"/>
  <c r="AF23" i="8" s="1"/>
  <c r="AF25" i="8" s="1"/>
  <c r="AF26" i="8" s="1"/>
  <c r="AO19" i="10"/>
  <c r="AO17" i="10" s="1"/>
  <c r="AG14" i="8" s="1" a="1"/>
  <c r="AG14" i="8" s="1"/>
  <c r="AG16" i="8" s="1"/>
  <c r="AG17" i="8" s="1"/>
  <c r="AO37" i="10"/>
  <c r="AP15" i="10"/>
  <c r="AH22" i="8" a="1"/>
  <c r="AH22" i="8" s="1"/>
  <c r="AP37" i="10" l="1"/>
  <c r="AP35" i="10" s="1"/>
  <c r="AH23" i="8" s="1" a="1"/>
  <c r="AH23" i="8" s="1"/>
  <c r="AH25" i="8" s="1"/>
  <c r="AH26" i="8" s="1"/>
  <c r="AQ33" i="10"/>
  <c r="AQ30" i="10" s="1"/>
  <c r="AR33" i="10" s="1"/>
  <c r="AR30" i="10" s="1"/>
  <c r="AP12" i="10"/>
  <c r="AO45" i="10"/>
  <c r="AO44" i="10"/>
  <c r="AO27" i="10"/>
  <c r="AO26" i="10"/>
  <c r="AO35" i="10"/>
  <c r="AG23" i="8" s="1" a="1"/>
  <c r="AG23" i="8" s="1"/>
  <c r="AG25" i="8" s="1"/>
  <c r="AG26" i="8" s="1"/>
  <c r="AH13" i="8" l="1" a="1"/>
  <c r="AH13" i="8" s="1"/>
  <c r="AQ15" i="10"/>
  <c r="AQ12" i="10" s="1"/>
  <c r="AR15" i="10" s="1"/>
  <c r="AR12" i="10" s="1"/>
  <c r="AJ22" i="8" a="1"/>
  <c r="AJ22" i="8" s="1"/>
  <c r="AR37" i="10"/>
  <c r="AR35" i="10" s="1"/>
  <c r="AJ23" i="8" s="1" a="1"/>
  <c r="AJ23" i="8" s="1"/>
  <c r="AP44" i="10"/>
  <c r="AP45" i="10"/>
  <c r="AI13" i="8" a="1"/>
  <c r="AI13" i="8" s="1"/>
  <c r="AI22" i="8" a="1"/>
  <c r="AI22" i="8" s="1"/>
  <c r="AQ37" i="10"/>
  <c r="AP19" i="10"/>
  <c r="AP27" i="10" s="1"/>
  <c r="AQ19" i="10" l="1"/>
  <c r="AQ27" i="10" s="1"/>
  <c r="AJ25" i="8"/>
  <c r="AJ26" i="8" s="1"/>
  <c r="AR45" i="10"/>
  <c r="AR44" i="10"/>
  <c r="AJ13" i="8" a="1"/>
  <c r="AJ13" i="8" s="1"/>
  <c r="AR19" i="10"/>
  <c r="AQ35" i="10"/>
  <c r="AI23" i="8" s="1" a="1"/>
  <c r="AI23" i="8" s="1"/>
  <c r="AI25" i="8" s="1"/>
  <c r="AI26" i="8" s="1"/>
  <c r="AQ44" i="10"/>
  <c r="AQ45" i="10"/>
  <c r="AP26" i="10"/>
  <c r="AP17" i="10"/>
  <c r="AH14" i="8" s="1" a="1"/>
  <c r="AH14" i="8" s="1"/>
  <c r="AH16" i="8" s="1"/>
  <c r="AH17" i="8" s="1"/>
  <c r="AQ17" i="10" l="1"/>
  <c r="AI14" i="8" s="1" a="1"/>
  <c r="AI14" i="8" s="1"/>
  <c r="AI16" i="8" s="1"/>
  <c r="AI17" i="8" s="1"/>
  <c r="AQ26" i="10"/>
  <c r="AR17" i="10"/>
  <c r="AJ14" i="8" s="1" a="1"/>
  <c r="AJ14" i="8" s="1"/>
  <c r="AJ16" i="8" s="1"/>
  <c r="AJ17" i="8" s="1"/>
  <c r="AR27" i="10"/>
  <c r="AR26" i="10"/>
  <c r="F11" i="13" a="1"/>
  <c r="F11" i="13" s="1"/>
  <c r="K8" i="13" a="1"/>
  <c r="K8" i="13" s="1"/>
  <c r="M8" i="13" a="1"/>
  <c r="M8" i="13" s="1"/>
  <c r="AE8" i="13" a="1"/>
  <c r="AE8" i="13" s="1"/>
  <c r="Q8" i="13" a="1"/>
  <c r="Q8" i="13" s="1"/>
  <c r="V11" i="13" a="1"/>
  <c r="V11" i="13" s="1"/>
  <c r="P11" i="13" a="1"/>
  <c r="P11" i="13" s="1"/>
  <c r="N11" i="13" a="1"/>
  <c r="N11" i="13" s="1"/>
  <c r="H10" i="13" a="1"/>
  <c r="H10" i="13" s="1"/>
  <c r="Z10" i="13" a="1"/>
  <c r="Z10" i="13" s="1"/>
  <c r="V10" i="13" a="1"/>
  <c r="V10" i="13" s="1"/>
  <c r="S11" i="13" a="1"/>
  <c r="S11" i="13" s="1"/>
  <c r="AC9" i="13" a="1"/>
  <c r="AC9" i="13" s="1"/>
  <c r="V8" i="13" a="1"/>
  <c r="V8" i="13" s="1"/>
  <c r="Y8" i="13" a="1"/>
  <c r="Y8" i="13" s="1"/>
  <c r="G8" i="13" a="1"/>
  <c r="G8" i="13" s="1"/>
  <c r="S10" i="13" a="1"/>
  <c r="S10" i="13" s="1"/>
  <c r="T10" i="13" a="1"/>
  <c r="T10" i="13" s="1"/>
  <c r="Y10" i="13" a="1"/>
  <c r="Y10" i="13" s="1"/>
  <c r="X8" i="13" a="1"/>
  <c r="X8" i="13" s="1"/>
  <c r="E8" i="13" a="1"/>
  <c r="E8" i="13" s="1"/>
  <c r="E21" i="13" s="1"/>
  <c r="AC32" i="13" a="1"/>
  <c r="AC32" i="13" s="1"/>
  <c r="O72" i="13" a="1"/>
  <c r="O72" i="13" s="1"/>
  <c r="O77" i="13" s="1" a="1"/>
  <c r="O77" i="13" s="1"/>
  <c r="AB92" i="13" a="1"/>
  <c r="AB92" i="13" s="1"/>
  <c r="AB97" i="13" s="1" a="1"/>
  <c r="AB97" i="13" s="1"/>
  <c r="O33" i="13" a="1"/>
  <c r="O33" i="13" s="1"/>
  <c r="Y32" i="13" a="1"/>
  <c r="Y32" i="13" s="1"/>
  <c r="AB52" i="13" a="1"/>
  <c r="AB52" i="13" s="1"/>
  <c r="F52" i="13" a="1"/>
  <c r="F52" i="13" s="1"/>
  <c r="H52" i="13" a="1"/>
  <c r="H52" i="13" s="1"/>
  <c r="R33" i="13" a="1"/>
  <c r="R33" i="13" s="1"/>
  <c r="T33" i="13" a="1"/>
  <c r="T33" i="13" s="1"/>
  <c r="AA10" i="13" a="1"/>
  <c r="AA10" i="13" s="1"/>
  <c r="AD8" i="13" a="1"/>
  <c r="AD8" i="13" s="1"/>
  <c r="E10" i="13" a="1"/>
  <c r="E10" i="13" s="1"/>
  <c r="E23" i="13" s="1"/>
  <c r="I10" i="13" a="1"/>
  <c r="I10" i="13" s="1"/>
  <c r="T52" i="13" a="1"/>
  <c r="T52" i="13" s="1"/>
  <c r="AF32" i="13" a="1"/>
  <c r="AF32" i="13" s="1"/>
  <c r="H33" i="13" a="1"/>
  <c r="H33" i="13" s="1"/>
  <c r="N32" i="13" a="1"/>
  <c r="N32" i="13" s="1"/>
  <c r="P32" i="13" a="1"/>
  <c r="P32" i="13" s="1"/>
  <c r="X92" i="13" a="1"/>
  <c r="X92" i="13" s="1"/>
  <c r="X97" i="13" s="1" a="1"/>
  <c r="X97" i="13" s="1"/>
  <c r="P33" i="13" a="1"/>
  <c r="P33" i="13" s="1"/>
  <c r="AC92" i="13" a="1"/>
  <c r="AC92" i="13" s="1"/>
  <c r="AC97" i="13" s="1" a="1"/>
  <c r="AC97" i="13" s="1"/>
  <c r="V53" i="13" a="1"/>
  <c r="V53" i="13" s="1"/>
  <c r="K72" i="13" a="1"/>
  <c r="K72" i="13" s="1"/>
  <c r="K77" i="13" s="1" a="1"/>
  <c r="K77" i="13" s="1"/>
  <c r="F32" i="13" a="1"/>
  <c r="F32" i="13" s="1"/>
  <c r="E53" i="13" a="1"/>
  <c r="E53" i="13" s="1"/>
  <c r="E64" i="13" s="1"/>
  <c r="T11" i="13" a="1"/>
  <c r="T11" i="13" s="1"/>
  <c r="M11" i="13" a="1"/>
  <c r="M11" i="13" s="1"/>
  <c r="N33" i="13" a="1"/>
  <c r="N33" i="13" s="1"/>
  <c r="O52" i="13" a="1"/>
  <c r="O52" i="13" s="1"/>
  <c r="AC33" i="13" a="1"/>
  <c r="AC33" i="13" s="1"/>
  <c r="N52" i="13" a="1"/>
  <c r="N52" i="13" s="1"/>
  <c r="N72" i="13" a="1"/>
  <c r="N72" i="13" s="1"/>
  <c r="N77" i="13" s="1" a="1"/>
  <c r="N77" i="13" s="1"/>
  <c r="K92" i="13" a="1"/>
  <c r="K92" i="13" s="1"/>
  <c r="K97" i="13" s="1" a="1"/>
  <c r="K97" i="13" s="1"/>
  <c r="I92" i="13" a="1"/>
  <c r="I92" i="13" s="1"/>
  <c r="I97" i="13" s="1" a="1"/>
  <c r="I97" i="13" s="1"/>
  <c r="V92" i="13" a="1"/>
  <c r="V92" i="13" s="1"/>
  <c r="V97" i="13" s="1" a="1"/>
  <c r="V97" i="13" s="1"/>
  <c r="AD52" i="13" a="1"/>
  <c r="AD52" i="13" s="1"/>
  <c r="F92" i="13" a="1"/>
  <c r="F92" i="13" s="1"/>
  <c r="F97" i="13" s="1" a="1"/>
  <c r="F97" i="13" s="1"/>
  <c r="X53" i="13" a="1"/>
  <c r="X53" i="13" s="1"/>
  <c r="R52" i="13" a="1"/>
  <c r="R52" i="13" s="1"/>
  <c r="L10" i="13" a="1"/>
  <c r="L10" i="13" s="1"/>
  <c r="E52" i="13" a="1"/>
  <c r="E52" i="13" s="1"/>
  <c r="E63" i="13" s="1"/>
  <c r="AE9" i="13" a="1"/>
  <c r="AE9" i="13" s="1"/>
  <c r="S8" i="13" a="1"/>
  <c r="S8" i="13" s="1"/>
  <c r="I52" i="13" a="1"/>
  <c r="I52" i="13" s="1"/>
  <c r="L92" i="13" a="1"/>
  <c r="L92" i="13" s="1"/>
  <c r="L97" i="13" s="1" a="1"/>
  <c r="L97" i="13" s="1"/>
  <c r="AE92" i="13" a="1"/>
  <c r="AE92" i="13" s="1"/>
  <c r="AE97" i="13" s="1" a="1"/>
  <c r="AE97" i="13" s="1"/>
  <c r="AA92" i="13" a="1"/>
  <c r="AA92" i="13" s="1"/>
  <c r="AA97" i="13" s="1" a="1"/>
  <c r="AA97" i="13" s="1"/>
  <c r="L33" i="13" a="1"/>
  <c r="L33" i="13" s="1"/>
  <c r="AD32" i="13" a="1"/>
  <c r="AD32" i="13" s="1"/>
  <c r="AF92" i="13" a="1"/>
  <c r="AF92" i="13" s="1"/>
  <c r="AF97" i="13" s="1" a="1"/>
  <c r="AF97" i="13" s="1"/>
  <c r="AE53" i="13" a="1"/>
  <c r="AE53" i="13" s="1"/>
  <c r="AC52" i="13" a="1"/>
  <c r="AC52" i="13" s="1"/>
  <c r="Z32" i="13" a="1"/>
  <c r="Z32" i="13" s="1"/>
  <c r="S53" i="13" a="1"/>
  <c r="S53" i="13" s="1"/>
  <c r="E33" i="13" a="1"/>
  <c r="E33" i="13" s="1"/>
  <c r="E44" i="13" s="1"/>
  <c r="P72" i="13" a="1"/>
  <c r="P72" i="13" s="1"/>
  <c r="P77" i="13" s="1" a="1"/>
  <c r="P77" i="13" s="1"/>
  <c r="P53" i="13" a="1"/>
  <c r="P53" i="13" s="1"/>
  <c r="Z92" i="13" a="1"/>
  <c r="Z92" i="13" s="1"/>
  <c r="Z97" i="13" s="1" a="1"/>
  <c r="Z97" i="13" s="1"/>
  <c r="AA52" i="13" a="1"/>
  <c r="AA52" i="13" s="1"/>
  <c r="S72" i="13" a="1"/>
  <c r="S72" i="13" s="1"/>
  <c r="S77" i="13" s="1" a="1"/>
  <c r="S77" i="13" s="1"/>
  <c r="Q53" i="13" a="1"/>
  <c r="Q53" i="13" s="1"/>
  <c r="AF9" i="13" a="1"/>
  <c r="AF9" i="13" s="1"/>
  <c r="O8" i="13" a="1"/>
  <c r="O8" i="13" s="1"/>
  <c r="J53" i="13" a="1"/>
  <c r="J53" i="13" s="1"/>
  <c r="K32" i="13" a="1"/>
  <c r="K32" i="13" s="1"/>
  <c r="Z72" i="13" a="1"/>
  <c r="Z72" i="13" s="1"/>
  <c r="Z77" i="13" s="1" a="1"/>
  <c r="Z77" i="13" s="1"/>
  <c r="H53" i="13" a="1"/>
  <c r="H53" i="13" s="1"/>
  <c r="U52" i="13" a="1"/>
  <c r="U52" i="13" s="1"/>
  <c r="U53" i="13" a="1"/>
  <c r="U53" i="13" s="1"/>
  <c r="H32" i="13" a="1"/>
  <c r="H32" i="13" s="1"/>
  <c r="R32" i="13" a="1"/>
  <c r="R32" i="13" s="1"/>
  <c r="E72" i="13" a="1"/>
  <c r="E72" i="13" s="1"/>
  <c r="W52" i="13" a="1"/>
  <c r="W52" i="13" s="1"/>
  <c r="AD92" i="13" a="1"/>
  <c r="AD92" i="13" s="1"/>
  <c r="AD97" i="13" s="1" a="1"/>
  <c r="AD97" i="13" s="1"/>
  <c r="P92" i="13" a="1"/>
  <c r="P92" i="13" s="1"/>
  <c r="P97" i="13" s="1" a="1"/>
  <c r="P97" i="13" s="1"/>
  <c r="Q33" i="13" a="1"/>
  <c r="Q33" i="13" s="1"/>
  <c r="AB53" i="13" a="1"/>
  <c r="AB53" i="13" s="1"/>
  <c r="AB72" i="13" a="1"/>
  <c r="AB72" i="13" s="1"/>
  <c r="AB77" i="13" s="1" a="1"/>
  <c r="AB77" i="13" s="1"/>
  <c r="J33" i="13" a="1"/>
  <c r="J33" i="13" s="1"/>
  <c r="V32" i="13" a="1"/>
  <c r="V32" i="13" s="1"/>
  <c r="L53" i="13" a="1"/>
  <c r="L53" i="13" s="1"/>
  <c r="N53" i="13" a="1"/>
  <c r="N53" i="13" s="1"/>
  <c r="G72" i="13" a="1"/>
  <c r="G72" i="13" s="1"/>
  <c r="G77" i="13" s="1" a="1"/>
  <c r="G77" i="13" s="1"/>
  <c r="AD53" i="13" a="1"/>
  <c r="AD53" i="13" s="1"/>
  <c r="AA72" i="13" a="1"/>
  <c r="AA72" i="13" s="1"/>
  <c r="AA77" i="13" s="1" a="1"/>
  <c r="AA77" i="13" s="1"/>
  <c r="N92" i="13" a="1"/>
  <c r="N92" i="13" s="1"/>
  <c r="N97" i="13" s="1" a="1"/>
  <c r="N97" i="13" s="1"/>
  <c r="AF52" i="13" a="1"/>
  <c r="AF52" i="13" s="1"/>
  <c r="AC53" i="13" a="1"/>
  <c r="AC53" i="13" s="1"/>
  <c r="Q72" i="13" a="1"/>
  <c r="Q72" i="13" s="1"/>
  <c r="Q77" i="13" s="1" a="1"/>
  <c r="Q77" i="13" s="1"/>
  <c r="V33" i="13" a="1"/>
  <c r="V33" i="13" s="1"/>
  <c r="AD72" i="13" a="1"/>
  <c r="AD72" i="13" s="1"/>
  <c r="AD77" i="13" s="1" a="1"/>
  <c r="AD77" i="13" s="1"/>
  <c r="G32" i="13" a="1"/>
  <c r="G32" i="13" s="1"/>
  <c r="V52" i="13" a="1"/>
  <c r="V52" i="13" s="1"/>
  <c r="W53" i="13" a="1"/>
  <c r="W53" i="13" s="1"/>
  <c r="V72" i="13" a="1"/>
  <c r="V72" i="13" s="1"/>
  <c r="V77" i="13" s="1" a="1"/>
  <c r="V77" i="13" s="1"/>
  <c r="W72" i="13" a="1"/>
  <c r="W72" i="13" s="1"/>
  <c r="W77" i="13" s="1" a="1"/>
  <c r="W77" i="13" s="1"/>
  <c r="E92" i="13" a="1"/>
  <c r="E92" i="13" s="1"/>
  <c r="X32" i="13" a="1"/>
  <c r="X32" i="13" s="1"/>
  <c r="AE33" i="13" a="1"/>
  <c r="AE33" i="13" s="1"/>
  <c r="M10" i="13" a="1"/>
  <c r="M10" i="13" s="1"/>
  <c r="M72" i="13" a="1"/>
  <c r="M72" i="13" s="1"/>
  <c r="M77" i="13" s="1" a="1"/>
  <c r="M77" i="13" s="1"/>
  <c r="N8" i="13" a="1"/>
  <c r="N8" i="13" s="1"/>
  <c r="O11" i="13" a="1"/>
  <c r="O11" i="13" s="1"/>
  <c r="K10" i="13" a="1"/>
  <c r="K10" i="13" s="1"/>
  <c r="S33" i="13" a="1"/>
  <c r="S33" i="13" s="1"/>
  <c r="I53" i="13" a="1"/>
  <c r="I53" i="13" s="1"/>
  <c r="N10" i="13" a="1"/>
  <c r="N10" i="13" s="1"/>
  <c r="AE72" i="13" a="1"/>
  <c r="AE72" i="13" s="1"/>
  <c r="AE77" i="13" s="1" a="1"/>
  <c r="AE77" i="13" s="1"/>
  <c r="Y92" i="13" a="1"/>
  <c r="Y92" i="13" s="1"/>
  <c r="Y97" i="13" s="1" a="1"/>
  <c r="Y97" i="13" s="1"/>
  <c r="F53" i="13" a="1"/>
  <c r="F53" i="13" s="1"/>
  <c r="Z52" i="13" a="1"/>
  <c r="Z52" i="13" s="1"/>
  <c r="AA33" i="13" a="1"/>
  <c r="AA33" i="13" s="1"/>
  <c r="M33" i="13" a="1"/>
  <c r="M33" i="13" s="1"/>
  <c r="U92" i="13" a="1"/>
  <c r="U92" i="13" s="1"/>
  <c r="U97" i="13" s="1" a="1"/>
  <c r="U97" i="13" s="1"/>
  <c r="J72" i="13" a="1"/>
  <c r="J72" i="13" s="1"/>
  <c r="J77" i="13" s="1" a="1"/>
  <c r="J77" i="13" s="1"/>
  <c r="O10" i="13" a="1"/>
  <c r="O10" i="13" s="1"/>
  <c r="AD9" i="13" a="1"/>
  <c r="AD9" i="13" s="1"/>
  <c r="R8" i="13" a="1"/>
  <c r="R8" i="13" s="1"/>
  <c r="H92" i="13" a="1"/>
  <c r="H92" i="13" s="1"/>
  <c r="H97" i="13" s="1" a="1"/>
  <c r="H97" i="13" s="1"/>
  <c r="J92" i="13" a="1"/>
  <c r="J92" i="13" s="1"/>
  <c r="J97" i="13" s="1" a="1"/>
  <c r="J97" i="13" s="1"/>
  <c r="P10" i="13" a="1"/>
  <c r="P10" i="13" s="1"/>
  <c r="R53" i="13" a="1"/>
  <c r="R53" i="13" s="1"/>
  <c r="Q32" i="13" a="1"/>
  <c r="Q32" i="13" s="1"/>
  <c r="AC72" i="13" a="1"/>
  <c r="AC72" i="13" s="1"/>
  <c r="AC77" i="13" s="1" a="1"/>
  <c r="AC77" i="13" s="1"/>
  <c r="R72" i="13" a="1"/>
  <c r="R72" i="13" s="1"/>
  <c r="R77" i="13" s="1" a="1"/>
  <c r="R77" i="13" s="1"/>
  <c r="T72" i="13" a="1"/>
  <c r="T72" i="13" s="1"/>
  <c r="T77" i="13" s="1" a="1"/>
  <c r="T77" i="13" s="1"/>
  <c r="AA53" i="13" a="1"/>
  <c r="AA53" i="13" s="1"/>
  <c r="K52" i="13" a="1"/>
  <c r="K52" i="13" s="1"/>
  <c r="I32" i="13" a="1"/>
  <c r="I32" i="13" s="1"/>
  <c r="U11" i="13" a="1"/>
  <c r="U11" i="13" s="1"/>
  <c r="G11" i="13" a="1"/>
  <c r="G11" i="13" s="1"/>
  <c r="AD11" i="13" a="1"/>
  <c r="AD11" i="13" s="1"/>
  <c r="AF53" i="13" a="1"/>
  <c r="AF53" i="13" s="1"/>
  <c r="P52" i="13" a="1"/>
  <c r="P52" i="13" s="1"/>
  <c r="L72" i="13" a="1"/>
  <c r="L72" i="13" s="1"/>
  <c r="L77" i="13" s="1" a="1"/>
  <c r="L77" i="13" s="1"/>
  <c r="H72" i="13" a="1"/>
  <c r="H72" i="13" s="1"/>
  <c r="H77" i="13" s="1" a="1"/>
  <c r="H77" i="13" s="1"/>
  <c r="F72" i="13" a="1"/>
  <c r="F72" i="13" s="1"/>
  <c r="F77" i="13" s="1" a="1"/>
  <c r="F77" i="13" s="1"/>
  <c r="G92" i="13" a="1"/>
  <c r="G92" i="13" s="1"/>
  <c r="G97" i="13" s="1" a="1"/>
  <c r="G97" i="13" s="1"/>
  <c r="W92" i="13" a="1"/>
  <c r="W92" i="13" s="1"/>
  <c r="W97" i="13" s="1" a="1"/>
  <c r="W97" i="13" s="1"/>
  <c r="R92" i="13" a="1"/>
  <c r="R92" i="13" s="1"/>
  <c r="R97" i="13" s="1" a="1"/>
  <c r="R97" i="13" s="1"/>
  <c r="U32" i="13" a="1"/>
  <c r="U32" i="13" s="1"/>
  <c r="M53" i="13" a="1"/>
  <c r="M53" i="13" s="1"/>
  <c r="Q11" i="13" a="1"/>
  <c r="Q11" i="13" s="1"/>
  <c r="AB11" i="13" a="1"/>
  <c r="AB11" i="13" s="1"/>
  <c r="T92" i="13" a="1"/>
  <c r="T92" i="13" s="1"/>
  <c r="T97" i="13" s="1" a="1"/>
  <c r="T97" i="13" s="1"/>
  <c r="Z33" i="13" a="1"/>
  <c r="Z33" i="13" s="1"/>
  <c r="J32" i="13" a="1"/>
  <c r="J32" i="13" s="1"/>
  <c r="X52" i="13" a="1"/>
  <c r="X52" i="13" s="1"/>
  <c r="K33" i="13" a="1"/>
  <c r="K33" i="13" s="1"/>
  <c r="G52" i="13" a="1"/>
  <c r="G52" i="13" s="1"/>
  <c r="O32" i="13" a="1"/>
  <c r="O32" i="13" s="1"/>
  <c r="Y72" i="13" a="1"/>
  <c r="Y72" i="13" s="1"/>
  <c r="Y77" i="13" s="1" a="1"/>
  <c r="Y77" i="13" s="1"/>
  <c r="Y33" i="13" a="1"/>
  <c r="Y33" i="13" s="1"/>
  <c r="O53" i="13" a="1"/>
  <c r="O53" i="13" s="1"/>
  <c r="L32" i="13" a="1"/>
  <c r="L32" i="13" s="1"/>
  <c r="W32" i="13" a="1"/>
  <c r="W32" i="13" s="1"/>
  <c r="U72" i="13" a="1"/>
  <c r="U72" i="13" s="1"/>
  <c r="U77" i="13" s="1" a="1"/>
  <c r="U77" i="13" s="1"/>
  <c r="K53" i="13" a="1"/>
  <c r="K53" i="13" s="1"/>
  <c r="G53" i="13" a="1"/>
  <c r="G53" i="13" s="1"/>
  <c r="W10" i="13" a="1"/>
  <c r="W10" i="13" s="1"/>
  <c r="AA32" i="13" a="1"/>
  <c r="AA32" i="13" s="1"/>
  <c r="E32" i="13" a="1"/>
  <c r="E32" i="13" s="1"/>
  <c r="E43" i="13" s="1"/>
  <c r="O92" i="13" a="1"/>
  <c r="O92" i="13" s="1"/>
  <c r="O97" i="13" s="1" a="1"/>
  <c r="O97" i="13" s="1"/>
  <c r="Q52" i="13" a="1"/>
  <c r="Q52" i="13" s="1"/>
  <c r="M32" i="13" a="1"/>
  <c r="M32" i="13" s="1"/>
  <c r="L52" i="13" a="1"/>
  <c r="L52" i="13" s="1"/>
  <c r="S92" i="13" a="1"/>
  <c r="S92" i="13" s="1"/>
  <c r="S97" i="13" s="1" a="1"/>
  <c r="S97" i="13" s="1"/>
  <c r="T53" i="13" a="1"/>
  <c r="T53" i="13" s="1"/>
  <c r="S52" i="13" a="1"/>
  <c r="S52" i="13" s="1"/>
  <c r="M52" i="13" a="1"/>
  <c r="M52" i="13" s="1"/>
  <c r="AB32" i="13" a="1"/>
  <c r="AB32" i="13" s="1"/>
  <c r="AD33" i="13" a="1"/>
  <c r="AD33" i="13" s="1"/>
  <c r="F33" i="13" a="1"/>
  <c r="F33" i="13" s="1"/>
  <c r="T32" i="13" a="1"/>
  <c r="T32" i="13" s="1"/>
  <c r="AF72" i="13" a="1"/>
  <c r="AF72" i="13" s="1"/>
  <c r="AF77" i="13" s="1" a="1"/>
  <c r="AF77" i="13" s="1"/>
  <c r="U33" i="13" a="1"/>
  <c r="U33" i="13" s="1"/>
  <c r="Y53" i="13" a="1"/>
  <c r="Y53" i="13" s="1"/>
  <c r="AE52" i="13" a="1"/>
  <c r="AE52" i="13" s="1"/>
  <c r="I72" i="13" a="1"/>
  <c r="I72" i="13" s="1"/>
  <c r="I77" i="13" s="1" a="1"/>
  <c r="I77" i="13" s="1"/>
  <c r="J52" i="13" a="1"/>
  <c r="J52" i="13" s="1"/>
  <c r="Q92" i="13" a="1"/>
  <c r="Q92" i="13" s="1"/>
  <c r="Q97" i="13" s="1" a="1"/>
  <c r="Q97" i="13" s="1"/>
  <c r="I33" i="13" a="1"/>
  <c r="I33" i="13" s="1"/>
  <c r="M92" i="13" a="1"/>
  <c r="M92" i="13" s="1"/>
  <c r="M97" i="13" s="1" a="1"/>
  <c r="M97" i="13" s="1"/>
  <c r="AB33" i="13" a="1"/>
  <c r="AB33" i="13" s="1"/>
  <c r="Y52" i="13" a="1"/>
  <c r="Y52" i="13" s="1"/>
  <c r="X33" i="13" a="1"/>
  <c r="X33" i="13" s="1"/>
  <c r="W33" i="13" a="1"/>
  <c r="W33" i="13" s="1"/>
  <c r="Z53" i="13" a="1"/>
  <c r="Z53" i="13" s="1"/>
  <c r="AF33" i="13" a="1"/>
  <c r="AF33" i="13" s="1"/>
  <c r="Q10" i="13" a="1"/>
  <c r="Q10" i="13" s="1"/>
  <c r="AC8" i="13" a="1"/>
  <c r="AC8" i="13" s="1"/>
  <c r="Y11" i="13" a="1"/>
  <c r="Y11" i="13" s="1"/>
  <c r="I8" i="13" a="1"/>
  <c r="I8" i="13" s="1"/>
  <c r="AF10" i="13" a="1"/>
  <c r="AF10" i="13" s="1"/>
  <c r="R10" i="13" a="1"/>
  <c r="R10" i="13" s="1"/>
  <c r="AE32" i="13" a="1"/>
  <c r="AE32" i="13" s="1"/>
  <c r="T8" i="13" a="1"/>
  <c r="T8" i="13" s="1"/>
  <c r="L11" i="13" a="1"/>
  <c r="L11" i="13" s="1"/>
  <c r="P8" i="13" a="1"/>
  <c r="P8" i="13" s="1"/>
  <c r="U8" i="13" a="1"/>
  <c r="U8" i="13" s="1"/>
  <c r="AE10" i="13" a="1"/>
  <c r="AE10" i="13" s="1"/>
  <c r="S32" i="13" a="1"/>
  <c r="S32" i="13" s="1"/>
  <c r="G33" i="13" a="1"/>
  <c r="G33" i="13" s="1"/>
  <c r="AE11" i="13" a="1"/>
  <c r="AE11" i="13" s="1"/>
  <c r="X10" i="13" a="1"/>
  <c r="X10" i="13" s="1"/>
  <c r="AB8" i="13" a="1"/>
  <c r="AB8" i="13" s="1"/>
  <c r="I11" i="13" a="1"/>
  <c r="I11" i="13" s="1"/>
  <c r="AC10" i="13" a="1"/>
  <c r="AC10" i="13" s="1"/>
  <c r="J8" i="13" a="1"/>
  <c r="J8" i="13" s="1"/>
  <c r="F10" i="13" a="1"/>
  <c r="F10" i="13" s="1"/>
  <c r="AB9" i="13" l="1" a="1"/>
  <c r="AB9" i="13" s="1"/>
  <c r="AB22" i="13" s="1"/>
  <c r="E11" i="13" a="1"/>
  <c r="E11" i="13" s="1"/>
  <c r="E24" i="13" s="1"/>
  <c r="AA11" i="13" a="1"/>
  <c r="AA11" i="13" s="1"/>
  <c r="R11" i="13" a="1"/>
  <c r="R11" i="13" s="1"/>
  <c r="J10" i="13" a="1"/>
  <c r="J10" i="13" s="1"/>
  <c r="W8" i="13" a="1"/>
  <c r="W8" i="13" s="1"/>
  <c r="W21" i="13" s="1"/>
  <c r="AA8" i="13" a="1"/>
  <c r="AA8" i="13" s="1"/>
  <c r="J11" i="13" a="1"/>
  <c r="J11" i="13" s="1"/>
  <c r="AD10" i="13" a="1"/>
  <c r="AD10" i="13" s="1"/>
  <c r="F8" i="13" a="1"/>
  <c r="F8" i="13" s="1"/>
  <c r="F21" i="13" s="1"/>
  <c r="K11" i="13" a="1"/>
  <c r="K11" i="13" s="1"/>
  <c r="AC11" i="13" a="1"/>
  <c r="AC11" i="13" s="1"/>
  <c r="AD24" i="13" s="1"/>
  <c r="G10" i="13" a="1"/>
  <c r="G10" i="13" s="1"/>
  <c r="H23" i="13" s="1"/>
  <c r="AF11" i="13" a="1"/>
  <c r="AF11" i="13" s="1"/>
  <c r="AE24" i="13" s="1"/>
  <c r="W11" i="13" a="1"/>
  <c r="W11" i="13" s="1"/>
  <c r="Z11" i="13" a="1"/>
  <c r="Z11" i="13" s="1"/>
  <c r="L8" i="13" a="1"/>
  <c r="L8" i="13" s="1"/>
  <c r="H8" i="13" a="1"/>
  <c r="H8" i="13" s="1"/>
  <c r="H11" i="13" a="1"/>
  <c r="H11" i="13" s="1"/>
  <c r="G24" i="13" s="1"/>
  <c r="AG72" i="13" a="1"/>
  <c r="AG72" i="13" s="1"/>
  <c r="AG77" i="13" s="1" a="1"/>
  <c r="AG77" i="13" s="1"/>
  <c r="AF87" i="13" s="1"/>
  <c r="AG8" i="13" a="1"/>
  <c r="AG8" i="13" s="1"/>
  <c r="AH10" i="13" a="1"/>
  <c r="AH10" i="13" s="1"/>
  <c r="AH23" i="13" s="1"/>
  <c r="X11" i="13" a="1"/>
  <c r="X11" i="13" s="1"/>
  <c r="U10" i="13" a="1"/>
  <c r="U10" i="13" s="1"/>
  <c r="T23" i="13" s="1"/>
  <c r="Z8" i="13" a="1"/>
  <c r="Z8" i="13" s="1"/>
  <c r="Y21" i="13" s="1"/>
  <c r="AF8" i="13" a="1"/>
  <c r="AF8" i="13" s="1"/>
  <c r="AB10" i="13" a="1"/>
  <c r="AB10" i="13" s="1"/>
  <c r="AA23" i="13" s="1"/>
  <c r="X72" i="13" a="1"/>
  <c r="X72" i="13" s="1"/>
  <c r="X77" i="13" s="1" a="1"/>
  <c r="X77" i="13" s="1"/>
  <c r="X87" i="13" s="1"/>
  <c r="AG10" i="13" a="1"/>
  <c r="AG10" i="13" s="1"/>
  <c r="AF23" i="13" s="1"/>
  <c r="AG32" i="13" a="1"/>
  <c r="AG32" i="13" s="1"/>
  <c r="AF43" i="13" s="1"/>
  <c r="AG52" i="13" a="1"/>
  <c r="AG52" i="13" s="1"/>
  <c r="AF63" i="13" s="1"/>
  <c r="AG53" i="13" a="1"/>
  <c r="AG53" i="13" s="1"/>
  <c r="AH53" i="13" a="1"/>
  <c r="AH53" i="13" s="1"/>
  <c r="AH64" i="13" s="1"/>
  <c r="AG92" i="13" a="1"/>
  <c r="AG92" i="13" s="1"/>
  <c r="AG97" i="13" s="1" a="1"/>
  <c r="AG97" i="13" s="1"/>
  <c r="AG9" i="13" a="1"/>
  <c r="AG9" i="13" s="1"/>
  <c r="AF22" i="13" s="1"/>
  <c r="AG11" i="13" a="1"/>
  <c r="AG11" i="13" s="1"/>
  <c r="AH32" i="13" a="1"/>
  <c r="AH32" i="13" s="1"/>
  <c r="AH92" i="13" a="1"/>
  <c r="AH92" i="13" s="1"/>
  <c r="AO92" i="13" s="1"/>
  <c r="AH11" i="13" a="1"/>
  <c r="AH11" i="13" s="1"/>
  <c r="AH72" i="13" a="1"/>
  <c r="AH72" i="13" s="1"/>
  <c r="AO72" i="13" s="1"/>
  <c r="AH8" i="13" a="1"/>
  <c r="AH8" i="13" s="1"/>
  <c r="AG21" i="13" s="1"/>
  <c r="AH9" i="13" a="1"/>
  <c r="AH9" i="13" s="1"/>
  <c r="AH22" i="13" s="1"/>
  <c r="AG33" i="13" a="1"/>
  <c r="AG33" i="13" s="1"/>
  <c r="AF44" i="13" s="1"/>
  <c r="AH33" i="13" a="1"/>
  <c r="AH33" i="13" s="1"/>
  <c r="AH44" i="13" s="1"/>
  <c r="AH52" i="13" a="1"/>
  <c r="AH52" i="13" s="1"/>
  <c r="AH63" i="13" s="1"/>
  <c r="M107" i="13"/>
  <c r="J107" i="13"/>
  <c r="W107" i="13"/>
  <c r="AD107" i="13"/>
  <c r="U87" i="13"/>
  <c r="Y107" i="13"/>
  <c r="AC87" i="13"/>
  <c r="I87" i="13"/>
  <c r="O107" i="13"/>
  <c r="L87" i="13"/>
  <c r="R87" i="13"/>
  <c r="S107" i="13"/>
  <c r="H107" i="13"/>
  <c r="U107" i="13"/>
  <c r="AA107" i="13"/>
  <c r="N107" i="13"/>
  <c r="Q107" i="13"/>
  <c r="AC107" i="13"/>
  <c r="V107" i="13"/>
  <c r="X107" i="13"/>
  <c r="I107" i="13"/>
  <c r="AB107" i="13"/>
  <c r="T107" i="13"/>
  <c r="K107" i="13"/>
  <c r="AE107" i="13"/>
  <c r="L107" i="13"/>
  <c r="R107" i="13"/>
  <c r="P107" i="13"/>
  <c r="G107" i="13"/>
  <c r="Z107" i="13"/>
  <c r="E104" i="13"/>
  <c r="E97" i="13" a="1"/>
  <c r="E97" i="13" s="1"/>
  <c r="E107" i="13" s="1"/>
  <c r="K87" i="13"/>
  <c r="M87" i="13"/>
  <c r="AA87" i="13"/>
  <c r="J87" i="13"/>
  <c r="G87" i="13"/>
  <c r="Z87" i="13"/>
  <c r="O87" i="13"/>
  <c r="N87" i="13"/>
  <c r="V87" i="13"/>
  <c r="T87" i="13"/>
  <c r="AB87" i="13"/>
  <c r="AE87" i="13"/>
  <c r="S87" i="13"/>
  <c r="AD87" i="13"/>
  <c r="Q87" i="13"/>
  <c r="H87" i="13"/>
  <c r="E84" i="13"/>
  <c r="E77" i="13" a="1"/>
  <c r="E77" i="13" s="1"/>
  <c r="E87" i="13" s="1"/>
  <c r="P87" i="13"/>
  <c r="Z23" i="13"/>
  <c r="AD21" i="13"/>
  <c r="AC63" i="13"/>
  <c r="X21" i="13"/>
  <c r="AF21" i="13"/>
  <c r="Z21" i="13"/>
  <c r="N63" i="13"/>
  <c r="V23" i="13"/>
  <c r="AD63" i="13"/>
  <c r="AE21" i="13"/>
  <c r="I23" i="13"/>
  <c r="V21" i="13"/>
  <c r="K23" i="13"/>
  <c r="S24" i="13"/>
  <c r="T24" i="13"/>
  <c r="H21" i="13"/>
  <c r="Y104" i="13"/>
  <c r="AD44" i="13"/>
  <c r="P44" i="13"/>
  <c r="Z43" i="13"/>
  <c r="Y43" i="13"/>
  <c r="Q44" i="13"/>
  <c r="P84" i="13"/>
  <c r="AD104" i="13"/>
  <c r="G21" i="13"/>
  <c r="Q84" i="13"/>
  <c r="O44" i="13"/>
  <c r="N44" i="13"/>
  <c r="U44" i="13"/>
  <c r="AC22" i="13"/>
  <c r="L21" i="13"/>
  <c r="S23" i="13"/>
  <c r="AA24" i="13"/>
  <c r="K21" i="13"/>
  <c r="V64" i="13"/>
  <c r="P64" i="13"/>
  <c r="R44" i="13"/>
  <c r="S63" i="13"/>
  <c r="J23" i="13"/>
  <c r="M21" i="13"/>
  <c r="G63" i="13"/>
  <c r="AD22" i="13"/>
  <c r="AB64" i="13"/>
  <c r="AA63" i="13"/>
  <c r="M104" i="13"/>
  <c r="F24" i="13"/>
  <c r="O84" i="13"/>
  <c r="W63" i="13"/>
  <c r="Y24" i="13"/>
  <c r="R21" i="13"/>
  <c r="AE43" i="13"/>
  <c r="W24" i="13"/>
  <c r="Z104" i="13"/>
  <c r="K24" i="13"/>
  <c r="S44" i="13"/>
  <c r="O63" i="13"/>
  <c r="O21" i="13"/>
  <c r="I64" i="13"/>
  <c r="N84" i="13"/>
  <c r="K104" i="13"/>
  <c r="AC104" i="13"/>
  <c r="U23" i="13"/>
  <c r="J63" i="13"/>
  <c r="I24" i="13"/>
  <c r="O43" i="13"/>
  <c r="AE104" i="13"/>
  <c r="AB104" i="13"/>
  <c r="O24" i="13"/>
  <c r="G43" i="13"/>
  <c r="W64" i="13"/>
  <c r="AA104" i="13"/>
  <c r="R84" i="13"/>
  <c r="N21" i="13"/>
  <c r="R64" i="13"/>
  <c r="T64" i="13"/>
  <c r="N24" i="13"/>
  <c r="O104" i="13"/>
  <c r="AD64" i="13"/>
  <c r="M23" i="13"/>
  <c r="AB63" i="13"/>
  <c r="AA84" i="13"/>
  <c r="O23" i="13"/>
  <c r="V63" i="13"/>
  <c r="AC64" i="13"/>
  <c r="U63" i="13"/>
  <c r="L23" i="13"/>
  <c r="AE22" i="13"/>
  <c r="L84" i="13"/>
  <c r="AE64" i="13"/>
  <c r="M64" i="13"/>
  <c r="W43" i="13"/>
  <c r="Q43" i="13"/>
  <c r="H64" i="13"/>
  <c r="J64" i="13"/>
  <c r="S84" i="13"/>
  <c r="AB84" i="13"/>
  <c r="X64" i="13"/>
  <c r="Z63" i="13"/>
  <c r="AA64" i="13"/>
  <c r="M84" i="13"/>
  <c r="U43" i="13"/>
  <c r="H43" i="13"/>
  <c r="U84" i="13"/>
  <c r="M44" i="13"/>
  <c r="P24" i="13"/>
  <c r="H104" i="13"/>
  <c r="L44" i="13"/>
  <c r="G84" i="13"/>
  <c r="N23" i="13"/>
  <c r="I43" i="13"/>
  <c r="X104" i="13"/>
  <c r="U104" i="13"/>
  <c r="V24" i="13"/>
  <c r="I104" i="13"/>
  <c r="J44" i="13"/>
  <c r="S21" i="13"/>
  <c r="K84" i="13"/>
  <c r="J104" i="13"/>
  <c r="F84" i="13"/>
  <c r="Q64" i="13"/>
  <c r="P23" i="13"/>
  <c r="U24" i="13"/>
  <c r="Q63" i="13"/>
  <c r="R24" i="13"/>
  <c r="AC84" i="13"/>
  <c r="V104" i="13"/>
  <c r="F104" i="13"/>
  <c r="G104" i="13"/>
  <c r="AD84" i="13"/>
  <c r="H84" i="13"/>
  <c r="W104" i="13"/>
  <c r="V43" i="13"/>
  <c r="Q24" i="13"/>
  <c r="AA44" i="13"/>
  <c r="G64" i="13"/>
  <c r="S104" i="13"/>
  <c r="T104" i="13"/>
  <c r="J43" i="13"/>
  <c r="F63" i="13"/>
  <c r="H63" i="13"/>
  <c r="K44" i="13"/>
  <c r="Z84" i="13"/>
  <c r="T84" i="13"/>
  <c r="P43" i="13"/>
  <c r="AB43" i="13"/>
  <c r="K43" i="13"/>
  <c r="Z44" i="13"/>
  <c r="X43" i="13"/>
  <c r="M43" i="13"/>
  <c r="V84" i="13"/>
  <c r="N64" i="13"/>
  <c r="O64" i="13"/>
  <c r="P63" i="13"/>
  <c r="N43" i="13"/>
  <c r="AA43" i="13"/>
  <c r="J84" i="13"/>
  <c r="L43" i="13"/>
  <c r="F43" i="13"/>
  <c r="F64" i="13"/>
  <c r="R104" i="13"/>
  <c r="U64" i="13"/>
  <c r="S64" i="13"/>
  <c r="L64" i="13"/>
  <c r="N104" i="13"/>
  <c r="X23" i="13"/>
  <c r="K64" i="13"/>
  <c r="AB44" i="13"/>
  <c r="W44" i="13"/>
  <c r="T43" i="13"/>
  <c r="X44" i="13"/>
  <c r="R63" i="13"/>
  <c r="L63" i="13"/>
  <c r="M63" i="13"/>
  <c r="T44" i="13"/>
  <c r="AE84" i="13"/>
  <c r="T63" i="13"/>
  <c r="AC43" i="13"/>
  <c r="I44" i="13"/>
  <c r="I84" i="13"/>
  <c r="Q104" i="13"/>
  <c r="K63" i="13"/>
  <c r="AC21" i="13"/>
  <c r="AE63" i="13"/>
  <c r="P104" i="13"/>
  <c r="H44" i="13"/>
  <c r="I63" i="13"/>
  <c r="X63" i="13"/>
  <c r="V44" i="13"/>
  <c r="Y63" i="13"/>
  <c r="L104" i="13"/>
  <c r="AC44" i="13"/>
  <c r="Y44" i="13"/>
  <c r="Y64" i="13"/>
  <c r="Z64" i="13"/>
  <c r="X24" i="13"/>
  <c r="AE44" i="13"/>
  <c r="L24" i="13"/>
  <c r="M24" i="13"/>
  <c r="Z24" i="13"/>
  <c r="AD43" i="13"/>
  <c r="Q23" i="13"/>
  <c r="AE23" i="13"/>
  <c r="R23" i="13"/>
  <c r="S43" i="13"/>
  <c r="AO10" i="13"/>
  <c r="F44" i="13"/>
  <c r="U21" i="13"/>
  <c r="R43" i="13"/>
  <c r="AD23" i="13"/>
  <c r="P21" i="13"/>
  <c r="G44" i="13"/>
  <c r="T21" i="13"/>
  <c r="Q21" i="13"/>
  <c r="AB21" i="13"/>
  <c r="J24" i="13"/>
  <c r="H24" i="13"/>
  <c r="AB23" i="13"/>
  <c r="J21" i="13"/>
  <c r="W23" i="13"/>
  <c r="Y23" i="13"/>
  <c r="I21" i="13"/>
  <c r="G23" i="13" l="1"/>
  <c r="F23" i="13"/>
  <c r="AA21" i="13"/>
  <c r="AF84" i="13"/>
  <c r="AB24" i="13"/>
  <c r="AC24" i="13"/>
  <c r="AC23" i="13"/>
  <c r="Y84" i="13"/>
  <c r="AG64" i="13"/>
  <c r="Y87" i="13"/>
  <c r="AF64" i="13"/>
  <c r="AO53" i="13"/>
  <c r="AG23" i="13"/>
  <c r="W87" i="13"/>
  <c r="W84" i="13"/>
  <c r="AH43" i="13"/>
  <c r="AG24" i="13"/>
  <c r="X84" i="13"/>
  <c r="AG84" i="13"/>
  <c r="AF107" i="13"/>
  <c r="AF24" i="13"/>
  <c r="AG104" i="13"/>
  <c r="AG63" i="13"/>
  <c r="AG44" i="13"/>
  <c r="AO33" i="13"/>
  <c r="AO9" i="13"/>
  <c r="AF104" i="13"/>
  <c r="AH21" i="13"/>
  <c r="AO8" i="13"/>
  <c r="AH77" i="13" a="1"/>
  <c r="AH77" i="13" s="1"/>
  <c r="AH84" i="13"/>
  <c r="AH24" i="13"/>
  <c r="AO11" i="13"/>
  <c r="AH104" i="13"/>
  <c r="AH97" i="13" a="1"/>
  <c r="AH97" i="13" s="1"/>
  <c r="AG43" i="13"/>
  <c r="AO52" i="13"/>
  <c r="AG22" i="13"/>
  <c r="F87" i="13"/>
  <c r="F107" i="13"/>
  <c r="AH87" i="13" l="1"/>
  <c r="AG87" i="13"/>
  <c r="AO77" i="13"/>
  <c r="AH107" i="13"/>
  <c r="AO97" i="13"/>
  <c r="AG10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AP15" authorId="0" shapeId="0" xr:uid="{696C15B7-FA3C-4450-8A31-10704B4069C5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tăng giá base 10%. Do Mỹ đánh thuế giảm từ 20% (cho riêng VN) về còn 10% (cho tất cả nước)</t>
        </r>
      </text>
    </comment>
    <comment ref="X54" authorId="0" shapeId="0" xr:uid="{B036A888-0A06-4495-8C6E-1EC82C3C4E1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54" authorId="0" shapeId="0" xr:uid="{3E0D4EBA-79AE-433E-9C98-64EE9FCC37A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54" authorId="0" shapeId="0" xr:uid="{8E2D3F52-9A43-4721-A940-742B79FF58E2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AP94" authorId="0" shapeId="0" xr:uid="{FF4B8A42-B585-46B3-927F-6DE8A9A7779C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tăng thêm $8 do chênh lệch đơn giá vận chuyển</t>
        </r>
      </text>
    </comment>
    <comment ref="AP109" authorId="0" shapeId="0" xr:uid="{01EABD7C-3CBD-40F3-8183-0521F603CE78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tăng thêm $8 do chênh lệch đơn giá vận chuyển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X27" authorId="0" shapeId="0" xr:uid="{007B5EE9-7A45-4BCD-8026-DDC50B2FE99E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27" authorId="0" shapeId="0" xr:uid="{1EAF65D7-B621-4AC7-B8FE-B577758AA98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27" authorId="0" shapeId="0" xr:uid="{F7833159-4F0E-4679-9335-833874F7D6E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AE87" authorId="0" shapeId="0" xr:uid="{A1FEA660-059A-4AEF-8DAC-F6B28CA1DED0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đơn giá tồn kho cuối tháng</t>
        </r>
      </text>
    </comment>
    <comment ref="AF87" authorId="0" shapeId="0" xr:uid="{D71D7A71-7A71-47E3-B654-2799D4A84CD7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đơn giá tồn kho cuối tháng</t>
        </r>
      </text>
    </comment>
    <comment ref="AG87" authorId="0" shapeId="0" xr:uid="{DC147D77-356C-45AB-9C30-B93259277660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đơn giá tồn kho cuối tháng</t>
        </r>
      </text>
    </comment>
    <comment ref="AH87" authorId="0" shapeId="0" xr:uid="{D0F0C0F5-0928-4C83-B81C-ADBB3A4148F5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đơn giá tồn kho cuối tháng</t>
        </r>
      </text>
    </comment>
    <comment ref="AI87" authorId="0" shapeId="0" xr:uid="{7448BFB2-D97C-4D9A-A8FF-F3C2B9717BFC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đơn giá tồn kho cuối tháng</t>
        </r>
      </text>
    </comment>
    <comment ref="AJ87" authorId="0" shapeId="0" xr:uid="{88FFB265-B247-4C8F-BC64-D88D6EB81076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đơn giá tồn kho cuối tháng</t>
        </r>
      </text>
    </comment>
    <comment ref="AK87" authorId="0" shapeId="0" xr:uid="{00EAB5DB-6A3B-411A-A5BB-3E1EE4A49B12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đơn giá tồn kho cuối tháng</t>
        </r>
      </text>
    </comment>
    <comment ref="AL87" authorId="0" shapeId="0" xr:uid="{B46F48F4-F807-4BEB-BF9F-BD14AC9F1F53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đơn giá tồn kho cuối tháng</t>
        </r>
      </text>
    </comment>
    <comment ref="AP87" authorId="0" shapeId="0" xr:uid="{F82B1BB9-ABDD-408E-AB8F-FDDBC54FDB6E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đơn giá tồn kho cuối tháng</t>
        </r>
      </text>
    </comment>
    <comment ref="C106" authorId="0" shapeId="0" xr:uid="{AF16EFDF-CCE5-425D-8B16-08E1BFDD47A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không bao gồm chi phí xuất khẩu, thuê xe giao hàng, chiết khấu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<sst xmlns="http://schemas.openxmlformats.org/spreadsheetml/2006/main" count="2026" uniqueCount="554">
  <si>
    <t>STT</t>
  </si>
  <si>
    <t>KHÁCH HÀNG/SẢN PHẨM</t>
  </si>
  <si>
    <t>1</t>
  </si>
  <si>
    <t>NIAGARA</t>
  </si>
  <si>
    <t>WSS01G</t>
  </si>
  <si>
    <t>1.1</t>
  </si>
  <si>
    <t>Giá bán - FOB</t>
  </si>
  <si>
    <t>1.2</t>
  </si>
  <si>
    <t>Giá bán quy đổi EXW</t>
  </si>
  <si>
    <t>PETVirgin</t>
  </si>
  <si>
    <t>1.3</t>
  </si>
  <si>
    <t>Giá chính phẩm</t>
  </si>
  <si>
    <t>1.4</t>
  </si>
  <si>
    <t>1.5</t>
  </si>
  <si>
    <t>% +/-</t>
  </si>
  <si>
    <t>110000354</t>
  </si>
  <si>
    <t>1.6</t>
  </si>
  <si>
    <t>Giá duyệt</t>
  </si>
  <si>
    <t>UNILEVER VIET NAM</t>
  </si>
  <si>
    <t>Giá bán - DDP</t>
  </si>
  <si>
    <t>PCF01</t>
  </si>
  <si>
    <t>HDPEVirgin</t>
  </si>
  <si>
    <t>110000481</t>
  </si>
  <si>
    <t>MBF01</t>
  </si>
  <si>
    <t>110000339</t>
  </si>
  <si>
    <t>SUNTORY VIET NAM</t>
  </si>
  <si>
    <t>iSS1084G</t>
  </si>
  <si>
    <t>Giá bán-DDP</t>
  </si>
  <si>
    <t>110000332</t>
  </si>
  <si>
    <t>iSS01G</t>
  </si>
  <si>
    <t>110000355</t>
  </si>
  <si>
    <t>LAVIE VIET NAM</t>
  </si>
  <si>
    <t>WSS01</t>
  </si>
  <si>
    <t>Giá bán-EXW</t>
  </si>
  <si>
    <t>110000329</t>
  </si>
  <si>
    <t>COCA VIET NAM</t>
  </si>
  <si>
    <t>NESTLE VIET NAM</t>
  </si>
  <si>
    <t>ĐƠN GIÁ (USD/tấn)</t>
  </si>
  <si>
    <t>KHÁCH HÀNG/NỘI DUNG</t>
  </si>
  <si>
    <t>105194</t>
  </si>
  <si>
    <t>[+]</t>
  </si>
  <si>
    <t>CP vận chuyển-Miền Bắc</t>
  </si>
  <si>
    <t>Incoterms</t>
  </si>
  <si>
    <t>04</t>
  </si>
  <si>
    <t>Công thức</t>
  </si>
  <si>
    <t>Tần suất tính</t>
  </si>
  <si>
    <t>Giá trần</t>
  </si>
  <si>
    <t>Giá sàn</t>
  </si>
  <si>
    <t>102990</t>
  </si>
  <si>
    <t>Chi phí vận chuyển</t>
  </si>
  <si>
    <t>Rebate</t>
  </si>
  <si>
    <t>200319</t>
  </si>
  <si>
    <t>Chiết khấu</t>
  </si>
  <si>
    <t>%Chiết khấu</t>
  </si>
  <si>
    <t>Bales DTR</t>
  </si>
  <si>
    <t>Hao hụt</t>
  </si>
  <si>
    <t>Conversion cost</t>
  </si>
  <si>
    <t>Lợi nhuận trước thuế (EBT)</t>
  </si>
  <si>
    <t>Interest (lãi vay)</t>
  </si>
  <si>
    <t>Exchange rate</t>
  </si>
  <si>
    <t>%Hao hụt</t>
  </si>
  <si>
    <t>104909</t>
  </si>
  <si>
    <t>105217</t>
  </si>
  <si>
    <t>105263</t>
  </si>
  <si>
    <t>RHDPETHOI-MAU</t>
  </si>
  <si>
    <t>KHOẢN MỤC</t>
  </si>
  <si>
    <t>Đvt</t>
  </si>
  <si>
    <t>01</t>
  </si>
  <si>
    <t>ICIS Bales Thailand</t>
  </si>
  <si>
    <t>USD/ton</t>
  </si>
  <si>
    <t>02</t>
  </si>
  <si>
    <t>ICIS Bales Malaysia</t>
  </si>
  <si>
    <t>03</t>
  </si>
  <si>
    <t>ICIS Bales Indonesia</t>
  </si>
  <si>
    <t>ICIS Bales - SEA</t>
  </si>
  <si>
    <t>05</t>
  </si>
  <si>
    <t>ICIS Pellet USA - Bờ Đông</t>
  </si>
  <si>
    <t>06</t>
  </si>
  <si>
    <t>ICIS Pellet USA - Bờ Tây</t>
  </si>
  <si>
    <t>07</t>
  </si>
  <si>
    <t>VND/kg</t>
  </si>
  <si>
    <t>08</t>
  </si>
  <si>
    <t>EXR</t>
  </si>
  <si>
    <t>Tỷ giá</t>
  </si>
  <si>
    <t>VND</t>
  </si>
  <si>
    <t>EXR-SELL</t>
  </si>
  <si>
    <t>EXR-BUY</t>
  </si>
  <si>
    <t>GIÁ EXW CHUNG</t>
  </si>
  <si>
    <t>Hạt nhựa rPET iSS01084G</t>
  </si>
  <si>
    <t>110000330</t>
  </si>
  <si>
    <t>Hạt nhựa rPET iSS01</t>
  </si>
  <si>
    <t>Hạt nhựa rPET iSS01G 1</t>
  </si>
  <si>
    <t>110000378</t>
  </si>
  <si>
    <t>Hạt nhựa rPET iSS01G 2</t>
  </si>
  <si>
    <t>Hạt nhựa rPET WSS01G 1</t>
  </si>
  <si>
    <t>110000377</t>
  </si>
  <si>
    <t>Hạt nhựa rPET WSS01G 2</t>
  </si>
  <si>
    <t>Hạt nhựa rPET WSS01</t>
  </si>
  <si>
    <t>110000331</t>
  </si>
  <si>
    <t>Hạt nhựa rPET WSS02</t>
  </si>
  <si>
    <t>110000358</t>
  </si>
  <si>
    <t>Hạt nhựa rPET WSS02G</t>
  </si>
  <si>
    <t>110000333</t>
  </si>
  <si>
    <t>Hạt nhựa rPET WSS03</t>
  </si>
  <si>
    <t>110000359</t>
  </si>
  <si>
    <t>Hạt nhựa rPET WSS03G</t>
  </si>
  <si>
    <t>110000376</t>
  </si>
  <si>
    <t>Hạt nhựa rPET iSS01L</t>
  </si>
  <si>
    <t>110000387</t>
  </si>
  <si>
    <t>Hạt nhựa rPET WSS03SD</t>
  </si>
  <si>
    <t>110000381</t>
  </si>
  <si>
    <t>Hạt nhựa rPET WSS04SD</t>
  </si>
  <si>
    <t>110000382</t>
  </si>
  <si>
    <t>Hạt nhựa rPET WSS04SB</t>
  </si>
  <si>
    <t>110000488</t>
  </si>
  <si>
    <t>Hạt Nhựa rPET iSS01084G PL</t>
  </si>
  <si>
    <t>110000486</t>
  </si>
  <si>
    <t>Hạt Nhựa rPET iSS01G 1 PL</t>
  </si>
  <si>
    <t>110000484</t>
  </si>
  <si>
    <t>Hạt Nhựa rPET WSS01G 1 PL</t>
  </si>
  <si>
    <t>110000493</t>
  </si>
  <si>
    <t>Hạt Nhựa rPET WSS01 PL</t>
  </si>
  <si>
    <t>Hạt rPET WSS02 PL</t>
  </si>
  <si>
    <t>Hạt nhựa rPET WSS02G PL</t>
  </si>
  <si>
    <t>Hạt rPET WSS03 PL</t>
  </si>
  <si>
    <t>110000492</t>
  </si>
  <si>
    <t>Hạt Nhựa rPET WSS03G PL</t>
  </si>
  <si>
    <t>Hạt Nhựa rHDPE PCF01</t>
  </si>
  <si>
    <t>Hạt Nhựa rHDPE MBF01</t>
  </si>
  <si>
    <t>Hạt nhựa rHDPE màu</t>
  </si>
  <si>
    <t>KHÁC</t>
  </si>
  <si>
    <t>VC01</t>
  </si>
  <si>
    <t>Kéo cont từ DTR đến cảng HCM</t>
  </si>
  <si>
    <t>Giá chính phẩm PET</t>
  </si>
  <si>
    <t>Giá chính phẩm HDPE</t>
  </si>
  <si>
    <t>PPVirgin</t>
  </si>
  <si>
    <t>Giá chính phẩm PP</t>
  </si>
  <si>
    <t>KHÔNG PHẢI TABLE</t>
  </si>
  <si>
    <t>(chưa làm)</t>
  </si>
  <si>
    <t>Check trùng</t>
  </si>
  <si>
    <t>Mã khách hàng</t>
  </si>
  <si>
    <t>Tên khách hàng</t>
  </si>
  <si>
    <t>Mã hàng</t>
  </si>
  <si>
    <t>Tên hàng</t>
  </si>
  <si>
    <t>Bắt đầu</t>
  </si>
  <si>
    <t>Kết thúc</t>
  </si>
  <si>
    <t>Cách tính</t>
  </si>
  <si>
    <t>Payment Term</t>
  </si>
  <si>
    <t>Year-Start</t>
  </si>
  <si>
    <t>Month-Start</t>
  </si>
  <si>
    <t>Mã khách | Mã hàng</t>
  </si>
  <si>
    <t>Mã khách | Mã hàng | Count</t>
  </si>
  <si>
    <t>Check</t>
  </si>
  <si>
    <t>Niagara Bottling, LLC</t>
  </si>
  <si>
    <t>Giá ICIS rPET ĐNA trung bình 3 tháng trước đó với chiết khấu 10%. Giá trần $1,600; giá sàn $1,200</t>
  </si>
  <si>
    <t>FOB</t>
  </si>
  <si>
    <t>Tháng</t>
  </si>
  <si>
    <t>200350</t>
  </si>
  <si>
    <t>Niagara Mexico</t>
  </si>
  <si>
    <t>Công ty TNHH La Vie</t>
  </si>
  <si>
    <t>Giá cố định</t>
  </si>
  <si>
    <t>EXW</t>
  </si>
  <si>
    <t>Lần</t>
  </si>
  <si>
    <t>Suntory Việt Nam</t>
  </si>
  <si>
    <t>Giá ICIS rPET ĐNA trung bình từ ngày 16 tháng (X-2) đến ngày 15 tháng (X-1) +Premium ( Chi phí tăng IV ) - REBATE + Cp vận chuyển</t>
  </si>
  <si>
    <t>DDP</t>
  </si>
  <si>
    <t>Unilever Duy Tân</t>
  </si>
  <si>
    <t>Giá Bales DTR +% Hao Hụt + Conversion cost</t>
  </si>
  <si>
    <t>Quý</t>
  </si>
  <si>
    <t>Năm</t>
  </si>
  <si>
    <t>Giá Bales DTR Mua +% Hao Hụt + Conversion cost</t>
  </si>
  <si>
    <t>Giá MBF01 trừ $50</t>
  </si>
  <si>
    <t>Giá ICIS rPET ĐNA trung bình từ ngày 16 tháng (X-2) đến ngày 15 tháng (X-1) +Premium ( Chi phí tăng IV ) - REBATE + Cp vận chuyển. Giá trần $1,550; giá sàn $1,330</t>
  </si>
  <si>
    <t>105222</t>
  </si>
  <si>
    <t>CN Cty Coca - Hà Nội</t>
  </si>
  <si>
    <t>Coca-Cola Thủ Đức</t>
  </si>
  <si>
    <t>Giá cố định (đã thanh toán 100% trong năm 2024)</t>
  </si>
  <si>
    <t>H1.25</t>
  </si>
  <si>
    <t xml:space="preserve">Nestle Việt Nam </t>
  </si>
  <si>
    <t>Năm 2024</t>
  </si>
  <si>
    <t>Năm 2025</t>
  </si>
  <si>
    <t>Từ</t>
  </si>
  <si>
    <t>Đến dưới</t>
  </si>
  <si>
    <t>Sản phẩm áp dụng:</t>
  </si>
  <si>
    <t xml:space="preserve">iSS01084G, iSS01G  </t>
  </si>
  <si>
    <t>Khoảng 1</t>
  </si>
  <si>
    <t>/tấn</t>
  </si>
  <si>
    <t>giá trị</t>
  </si>
  <si>
    <t>Khoảng 2</t>
  </si>
  <si>
    <t>Khoảng 3</t>
  </si>
  <si>
    <t>Khoảng 4</t>
  </si>
  <si>
    <t>Khoảng 5</t>
  </si>
  <si>
    <t>N/A</t>
  </si>
  <si>
    <t>Khoảng 6</t>
  </si>
  <si>
    <t>Sản lượng đạt:</t>
  </si>
  <si>
    <t>tấn</t>
  </si>
  <si>
    <t>Chiết khấu đạt:</t>
  </si>
  <si>
    <t>(ko đạt)</t>
  </si>
  <si>
    <t>Chiết khấu chốt:</t>
  </si>
  <si>
    <t>(nếu có thay đổi)</t>
  </si>
  <si>
    <t>1.1.1</t>
  </si>
  <si>
    <t>1.1.2</t>
  </si>
  <si>
    <t>Giá duyệt tháng</t>
  </si>
  <si>
    <t>ICIS Bales - SEA trung bình 3 tháng gần nhất</t>
  </si>
  <si>
    <t>Chiết khấu 10%</t>
  </si>
  <si>
    <t>GIÁ BÁN WSS01G (FOB)</t>
  </si>
  <si>
    <t>UNILEVER VIỆT NAM</t>
  </si>
  <si>
    <t>GIÁ BÁN WSS01G (DDP)</t>
  </si>
  <si>
    <t>GIÁ BÁN MBF01 (DDP)</t>
  </si>
  <si>
    <t>2.1.1</t>
  </si>
  <si>
    <t>2.1.2</t>
  </si>
  <si>
    <t>2.1.3</t>
  </si>
  <si>
    <t>2.1.4</t>
  </si>
  <si>
    <t>2.1.5</t>
  </si>
  <si>
    <t>2.1.6</t>
  </si>
  <si>
    <t>2.1.7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</si>
  <si>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</si>
  <si>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</si>
  <si>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</si>
  <si>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</si>
  <si>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</si>
  <si>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</si>
  <si>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</si>
  <si>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</si>
  <si>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</si>
  <si>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2.1.8</t>
  </si>
  <si>
    <t>2.1.9</t>
  </si>
  <si>
    <t>2.1.10</t>
  </si>
  <si>
    <t>2.1.11</t>
  </si>
  <si>
    <t>2.1.12</t>
  </si>
  <si>
    <t>2.1.13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</si>
  <si>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</si>
  <si>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</si>
  <si>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</si>
  <si>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</si>
  <si>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</si>
  <si>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</si>
  <si>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</si>
  <si>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</si>
  <si>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</si>
  <si>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</si>
  <si>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</si>
  <si>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</si>
  <si>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</si>
  <si>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GIÁ BÁN PCF01 (DDP)</t>
  </si>
  <si>
    <t>Giá bán MBF01</t>
  </si>
  <si>
    <t>2.3.1</t>
  </si>
  <si>
    <t>2.3.2</t>
  </si>
  <si>
    <t>2.3.3</t>
  </si>
  <si>
    <t>2.3.4</t>
  </si>
  <si>
    <t>2.3.5</t>
  </si>
  <si>
    <t>GIÁ BÁN rHDPE thổi màu (DDP)</t>
  </si>
  <si>
    <t>Giá PCF01 trừ $50</t>
  </si>
  <si>
    <t>Giá PCF01/MBF01</t>
  </si>
  <si>
    <t>2.4.1</t>
  </si>
  <si>
    <t>2.4.2</t>
  </si>
  <si>
    <t>2.4.3</t>
  </si>
  <si>
    <t>2.4.4</t>
  </si>
  <si>
    <t>2.4.5</t>
  </si>
  <si>
    <t>2.4.6</t>
  </si>
  <si>
    <t>GIÁ BÁN iSS1084G (DDP)</t>
  </si>
  <si>
    <t>1.1.12</t>
  </si>
  <si>
    <t>2.1.14</t>
  </si>
  <si>
    <t>2.3.6</t>
  </si>
  <si>
    <t>2.2.14</t>
  </si>
  <si>
    <t>2.4.7</t>
  </si>
  <si>
    <t>ICIS Bales - SEA trung bình 2 tháng gần nhất</t>
  </si>
  <si>
    <t>Premium (2025: $20; 2024: $50)</t>
  </si>
  <si>
    <t>Premium (2025: $20; 2024: $30)</t>
  </si>
  <si>
    <t>GIÁ BÁN iSS01G (DDP)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</si>
  <si>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</si>
  <si>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</si>
  <si>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</si>
  <si>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</si>
  <si>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</si>
  <si>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</si>
  <si>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</si>
  <si>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</si>
  <si>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</si>
  <si>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</si>
  <si>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</si>
  <si>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</si>
  <si>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</si>
  <si>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</si>
  <si>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</si>
  <si>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</si>
  <si>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</si>
  <si>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</si>
  <si>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</si>
  <si>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</si>
  <si>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</si>
  <si>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</si>
  <si>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</si>
  <si>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</si>
  <si>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LA VIE VIỆT NAM</t>
  </si>
  <si>
    <t>GIÁ BÁN WSS01 (DDP)</t>
  </si>
  <si>
    <t>GIÁ BÁN WSS01 (EXW)</t>
  </si>
  <si>
    <t>COCA VIỆT NAM</t>
  </si>
  <si>
    <t>5.1.1</t>
  </si>
  <si>
    <t>5.1.2</t>
  </si>
  <si>
    <t>5.1.3</t>
  </si>
  <si>
    <t>5.1.4</t>
  </si>
  <si>
    <t>5.1.5</t>
  </si>
  <si>
    <t>5.1.6</t>
  </si>
  <si>
    <t>5.1.7</t>
  </si>
  <si>
    <t>4.1.1</t>
  </si>
  <si>
    <t>4.1.2</t>
  </si>
  <si>
    <t>4.1.3</t>
  </si>
  <si>
    <t>4.1.4</t>
  </si>
  <si>
    <t>4.1.5</t>
  </si>
  <si>
    <t>NESTLE VIỆT NAM</t>
  </si>
  <si>
    <t>6.1.1</t>
  </si>
  <si>
    <t>6.1.2</t>
  </si>
  <si>
    <t>6.1.3</t>
  </si>
  <si>
    <t>6.1.4</t>
  </si>
  <si>
    <t>6.1.5</t>
  </si>
  <si>
    <t>6.1.6</t>
  </si>
  <si>
    <t>Khách</t>
  </si>
  <si>
    <t>SKU</t>
  </si>
  <si>
    <t>Code</t>
  </si>
  <si>
    <t>Link</t>
  </si>
  <si>
    <t>GB</t>
  </si>
  <si>
    <t>Rebate (2025: sản lượng dự tính 6000-7000 tấn ~ 5% giá trị)</t>
  </si>
  <si>
    <t>SUNTORY VIỆT NAM</t>
  </si>
  <si>
    <t>1.1.A</t>
  </si>
  <si>
    <t>1.1.B</t>
  </si>
  <si>
    <t>CHI TIẾT GIÁ CÔNG THỨC THEO KHÁCH HÀNG</t>
  </si>
  <si>
    <t>Chiết khấu (10%)</t>
  </si>
  <si>
    <t>Hao hụt (30%)</t>
  </si>
  <si>
    <t>Hao hụt (21.27%)</t>
  </si>
  <si>
    <t>ICIS Bales - SEA trung bình 3 tháng trước</t>
  </si>
  <si>
    <t>Rebate (2025: 6000-7000 tấn ~ 5% giá trị)</t>
  </si>
  <si>
    <t>ICIS Bales - SEA trung bình 2 tháng trước</t>
  </si>
  <si>
    <t>I. GIÁ CÔNG THỨC THEO KHÁCH HÀNG</t>
  </si>
  <si>
    <t>MA TRẬN KHÁCH HÀNG</t>
  </si>
  <si>
    <t>I.</t>
  </si>
  <si>
    <t>TỔNG QUAN GIÁ CÔNG THỨC THEO KHÁCH HÀNG</t>
  </si>
  <si>
    <t>II.</t>
  </si>
  <si>
    <t>II. CHI TIẾT GIÁ CÔNG THỨC THEO KHÁCH HÀNG</t>
  </si>
  <si>
    <t>Giá cố định (KD đề xuất)</t>
  </si>
  <si>
    <t>Bằng giá MBF01 (KD đề xuất)</t>
  </si>
  <si>
    <t>Chi phí vận chuyển - Miền Nam</t>
  </si>
  <si>
    <t>Rebate (2025: 3% giá EXW)</t>
  </si>
  <si>
    <t>110000499</t>
  </si>
  <si>
    <t>Hạt Nhựa rPET WSS01L</t>
  </si>
  <si>
    <t>Niagara</t>
  </si>
  <si>
    <t>Unilever</t>
  </si>
  <si>
    <t>Tỷ giá bán USD-trung bình (VCB)</t>
  </si>
  <si>
    <t>Tỷ giá mua USD-trung bình (VCB)</t>
  </si>
  <si>
    <t>Genearal Data</t>
  </si>
  <si>
    <t>Price</t>
  </si>
  <si>
    <t>OUTEIRINHO</t>
  </si>
  <si>
    <t>GIÁ BÁN iSS01G (FOB)</t>
  </si>
  <si>
    <t>200332</t>
  </si>
  <si>
    <t>4.1.A</t>
  </si>
  <si>
    <t>4.1.B</t>
  </si>
  <si>
    <t>4.1.C</t>
  </si>
  <si>
    <t>4.1.D</t>
  </si>
  <si>
    <t>4.2.A</t>
  </si>
  <si>
    <t>4.2.B</t>
  </si>
  <si>
    <t>4.2.C</t>
  </si>
  <si>
    <t>4.2.D</t>
  </si>
  <si>
    <t>4.2.1</t>
  </si>
  <si>
    <t>4.2.2</t>
  </si>
  <si>
    <t>7.1.1</t>
  </si>
  <si>
    <t>7.1.2</t>
  </si>
  <si>
    <t>7.1.3</t>
  </si>
  <si>
    <t>Giá bán-FOB</t>
  </si>
  <si>
    <t>4</t>
  </si>
  <si>
    <t>BIỂU ĐỒ</t>
  </si>
  <si>
    <t>%Chênh lệch</t>
  </si>
  <si>
    <t>Chênh lệch-Area</t>
  </si>
  <si>
    <t>#54C1DE</t>
  </si>
  <si>
    <t>Suntory</t>
  </si>
  <si>
    <t>#F37736</t>
  </si>
  <si>
    <t>#0F0E9A</t>
  </si>
  <si>
    <t>Outeirinho</t>
  </si>
  <si>
    <t>#007DC4</t>
  </si>
  <si>
    <t>Coca</t>
  </si>
  <si>
    <t>#F40000</t>
  </si>
  <si>
    <t>màu đỏ nhiều quá nên chuyển sang màu khác</t>
  </si>
  <si>
    <t>#F3D3DC</t>
  </si>
  <si>
    <t>Giá cố định: $1250 với sản lượng cam kết 10 ngàn tấn; nếu như sản lượng đạt 16 ngàn tấn thì giá $1230</t>
  </si>
  <si>
    <t>III.</t>
  </si>
  <si>
    <t>III. BIỂU ĐỒ</t>
  </si>
  <si>
    <t xml:space="preserve"> </t>
  </si>
  <si>
    <t>Niagara-Label</t>
  </si>
  <si>
    <t>Unilever-Label</t>
  </si>
  <si>
    <t>Giá duyệt-Label</t>
  </si>
  <si>
    <t>Giá chính phẩm-Label</t>
  </si>
  <si>
    <t>x</t>
  </si>
  <si>
    <t>X dòng này làm lable -&gt;</t>
  </si>
  <si>
    <t>Chênh lệch</t>
  </si>
  <si>
    <t>Giá duyệt-Area</t>
  </si>
  <si>
    <t>Giá chính phẩm-Area</t>
  </si>
  <si>
    <t>Chênh lệch-Line Drop</t>
  </si>
  <si>
    <t>Chênh lệch-Label</t>
  </si>
  <si>
    <t>UNILERVER</t>
  </si>
  <si>
    <t>SUNTORY VN</t>
  </si>
  <si>
    <t>Outeirinho-Label</t>
  </si>
  <si>
    <t>Suntory VN-Label</t>
  </si>
  <si>
    <t>Coca VN-Label</t>
  </si>
  <si>
    <t>COCA VN</t>
  </si>
  <si>
    <t>UNILEVER</t>
  </si>
  <si>
    <t>GIÁ BÁN rHDPE thổi màu-khử mùi (DDP)</t>
  </si>
  <si>
    <t>rHDPE thổi màu - khử mùi</t>
  </si>
  <si>
    <t>Chênh lệch giữa R sv Virgin</t>
  </si>
  <si>
    <t>Giá trần - quy đổi EXW</t>
  </si>
  <si>
    <t>Giá sàn - quy đổi EXW</t>
  </si>
  <si>
    <t>Bales B1 ĐNA - VND</t>
  </si>
  <si>
    <t>Bales B1 ĐNA - USD</t>
  </si>
  <si>
    <t>Hạt nhựa rHDPE màu (khử mùi)</t>
  </si>
  <si>
    <t>Giá cố định (VND34,382,040/tấn ~ tỷ giá deal lúc ký hợp đồng là 26,370)</t>
  </si>
  <si>
    <t>110000506</t>
  </si>
  <si>
    <t>Hạt Nhựa rPET WSS01 &amp; WSS01G-L</t>
  </si>
  <si>
    <t>Giá cố định (VND36,726,270/tấn ~ tỷ giá deal lúc ký hợp đồng là 26,370)-Tỷ lệ phối trộn 50:50 (hoặc theo tỷ lệ khác theo yêu cầu)</t>
  </si>
  <si>
    <t>Hạt Nhựa rPET WSS01G-L</t>
  </si>
  <si>
    <t>Giá cố định (VND37,507,680/tấn ~ tỷ giá deal lúc ký hợp đồng là 26,370)</t>
  </si>
  <si>
    <t>Lavie</t>
  </si>
  <si>
    <t>Laive-Label</t>
  </si>
  <si>
    <t>LAVIE</t>
  </si>
  <si>
    <t>#D42216</t>
  </si>
  <si>
    <t>#999900</t>
  </si>
  <si>
    <t>Giá thực tế</t>
  </si>
  <si>
    <t>Giá kế hoạch</t>
  </si>
  <si>
    <t>MỤC</t>
  </si>
  <si>
    <t>+/- TT vs Chính phẩm</t>
  </si>
  <si>
    <t>Line-Label +/- TT vs Chính phẩm</t>
  </si>
  <si>
    <t>%</t>
  </si>
  <si>
    <t>#7030A0</t>
  </si>
  <si>
    <t>200400</t>
  </si>
  <si>
    <t>Shepley Spring</t>
  </si>
  <si>
    <t>Giá Base ban đầu: $1,080. Tháng tiếp theo = Giá Base tháng trước + Chênh lệch giá ICIS rPET ĐNA 2 tháng trước đó.</t>
  </si>
  <si>
    <t>Giá Base ban đầu: $1,120. Tháng tiếp theo = Giá Base tháng trước + Chênh lệch giá ICIS rPET ĐNA 2 tháng trước đó.</t>
  </si>
  <si>
    <t>1.1.C</t>
  </si>
  <si>
    <t>1.1.D</t>
  </si>
  <si>
    <t>Giá Báse (Áp dụng 2026)</t>
  </si>
  <si>
    <t>Chênh lệch ICIS 2 tháng trước (Áp dụng 2026)</t>
  </si>
  <si>
    <r>
      <t xml:space="preserve">Giá Báse </t>
    </r>
    <r>
      <rPr>
        <b/>
        <sz val="11"/>
        <color theme="9" tint="-0.249977111117893"/>
        <rFont val="Aptos Display"/>
        <family val="2"/>
        <scheme val="major"/>
      </rPr>
      <t>(Áp dụng 2026)</t>
    </r>
  </si>
  <si>
    <r>
      <t xml:space="preserve">Chênh lệch ICIS 2 tháng trước </t>
    </r>
    <r>
      <rPr>
        <b/>
        <sz val="11"/>
        <color theme="9" tint="-0.249977111117893"/>
        <rFont val="Aptos Display"/>
        <family val="2"/>
        <scheme val="major"/>
      </rPr>
      <t>(Áp dụng 2026)</t>
    </r>
  </si>
  <si>
    <r>
      <t>SHEPLEY</t>
    </r>
    <r>
      <rPr>
        <b/>
        <sz val="13"/>
        <color rgb="FFFF0000"/>
        <rFont val="Aptos Display"/>
        <family val="2"/>
        <scheme val="major"/>
      </rPr>
      <t xml:space="preserve"> (NIAGARA NON-US)</t>
    </r>
  </si>
  <si>
    <t>2.1.A</t>
  </si>
  <si>
    <t>2.1.B</t>
  </si>
  <si>
    <t>2.1.C</t>
  </si>
  <si>
    <t>2.1.D</t>
  </si>
  <si>
    <t>4.1.E</t>
  </si>
  <si>
    <t>4.1.F</t>
  </si>
  <si>
    <t>4.1.G</t>
  </si>
  <si>
    <t>4.2.E</t>
  </si>
  <si>
    <t>4.2.F</t>
  </si>
  <si>
    <t>4.2.G</t>
  </si>
  <si>
    <t>4.3.A</t>
  </si>
  <si>
    <t>4.3.1</t>
  </si>
  <si>
    <t>4.3.2</t>
  </si>
  <si>
    <t>4.4.A</t>
  </si>
  <si>
    <t>4.4.B</t>
  </si>
  <si>
    <t>4.4.1</t>
  </si>
  <si>
    <t>4.4.2</t>
  </si>
  <si>
    <t>5.1.A</t>
  </si>
  <si>
    <t>5.1.B</t>
  </si>
  <si>
    <t>5.1.C</t>
  </si>
  <si>
    <t>5.1.D</t>
  </si>
  <si>
    <t>5.2.A</t>
  </si>
  <si>
    <t>5.2.B</t>
  </si>
  <si>
    <t>5.2.C</t>
  </si>
  <si>
    <t>5.2.D</t>
  </si>
  <si>
    <t>5.2.1</t>
  </si>
  <si>
    <t>5.2.2</t>
  </si>
  <si>
    <t>5.2.3</t>
  </si>
  <si>
    <t>5.2.4</t>
  </si>
  <si>
    <t>7.1.4</t>
  </si>
  <si>
    <t>8.1.1</t>
  </si>
  <si>
    <t>8.1.2</t>
  </si>
  <si>
    <t>8.1.3</t>
  </si>
  <si>
    <t>5</t>
  </si>
  <si>
    <t>2</t>
  </si>
  <si>
    <r>
      <t xml:space="preserve">SHEPLEY </t>
    </r>
    <r>
      <rPr>
        <b/>
        <sz val="13"/>
        <color rgb="FFFF0000"/>
        <rFont val="Aptos Display"/>
        <family val="2"/>
        <scheme val="major"/>
      </rPr>
      <t>(NIAGARA NON-US)</t>
    </r>
  </si>
  <si>
    <t>Giá cố định Q1: $1,250 (đã bao gồm chi phí EPR - $75 ~ tức sau EPR là $1,175) - KD đề xuất</t>
  </si>
  <si>
    <t>Giá cố định Q1: $1,330 (đã bao gồm chi phí EPR - $150 ~ tức sau EPR là $1,180) - KD đề xuất</t>
  </si>
  <si>
    <t>105328</t>
  </si>
  <si>
    <t>Coca-Cola Tây Ninh</t>
  </si>
  <si>
    <t>Giá cố định: $1250</t>
  </si>
  <si>
    <t>Giá cố định Q2+Q3+Q4: $1,266 (đã bao gồm chi phí EPR - $66 ~ tức sau EPR là $1,200) - KD đề xuất</t>
  </si>
  <si>
    <t>Giá cố định Q2+Q3+Q4: $1,185 (đã bao gồm chi phí EPR - $75  ~ tức sau EPR là $1,109) - KD đề xuất</t>
  </si>
  <si>
    <t>4.2.3</t>
  </si>
  <si>
    <t>Năm 2026</t>
  </si>
  <si>
    <t>SL cam kết</t>
  </si>
  <si>
    <t>Giá cố định: $1,200 (đã bao gồm EPR) - REBATE + Cp vận chuyển</t>
  </si>
  <si>
    <t>Giá cố định: $1290</t>
  </si>
  <si>
    <t>Rebate (2025: 5000-6000 tấn ~ 1.5% giá trị)</t>
  </si>
  <si>
    <t>Rebate (2026: 5000-6000 tấn ~ 6% giá trị)</t>
  </si>
  <si>
    <t>Chi phí vận chuyển-Miền Bắc</t>
  </si>
  <si>
    <t>SHEPLEY (NIAGARA NON-US)</t>
  </si>
  <si>
    <t>Shepley-Label</t>
  </si>
  <si>
    <t>SHEPLEY</t>
  </si>
  <si>
    <t>Giá duyệt-Area-Âm</t>
  </si>
  <si>
    <t>Giá chính phẩm-Area-Âm</t>
  </si>
  <si>
    <t>Chi phí vận chuyển (Miền Nam)</t>
  </si>
  <si>
    <t>Giá Base ban đầu: $1,167.38. Tháng tiếp theo = Giá Base tháng trước + Chênh lệch giá ICIS rPET ĐNA 2 tháng trước đó.</t>
  </si>
  <si>
    <t>%Hoa hồng</t>
  </si>
  <si>
    <t>Gía cố định (FOB $1,110/tấn) cho T12/25</t>
  </si>
  <si>
    <t>Chi phí hoa hồng</t>
  </si>
  <si>
    <t>Giá bán EXW thực tế</t>
  </si>
  <si>
    <t>Label-Giá thực tế</t>
  </si>
  <si>
    <t>Label-Giá kế hoạch</t>
  </si>
  <si>
    <t>Label-Giá chính phẩm</t>
  </si>
  <si>
    <t>+/- Giá bán vs B0</t>
  </si>
  <si>
    <t>Line-Label +/- Giá bán vs chai B0</t>
  </si>
  <si>
    <t>Chai B0-VND</t>
  </si>
  <si>
    <t>Chai B0-USD</t>
  </si>
  <si>
    <t>Giá chai B1 DTR mua</t>
  </si>
  <si>
    <t>Giá chai B0</t>
  </si>
  <si>
    <t>Chai B1 DTR mua-VND</t>
  </si>
  <si>
    <t>Chai B1 DTR mua-USD</t>
  </si>
  <si>
    <t>Giá chính phẩm-Stacked Area</t>
  </si>
  <si>
    <t>ĐƠN GIÁ XUẤT KHO</t>
  </si>
  <si>
    <t>VNDkg</t>
  </si>
  <si>
    <t>110000332-GVXK</t>
  </si>
  <si>
    <t>110000355-GVXK</t>
  </si>
  <si>
    <t>110000354-GVXK</t>
  </si>
  <si>
    <t>110000329-GVXK</t>
  </si>
  <si>
    <t>110000339-GVXK</t>
  </si>
  <si>
    <t>110000481-GVXK</t>
  </si>
  <si>
    <t>TỶ LỆ PHÂN BỔ</t>
  </si>
  <si>
    <t>Chi phí bán hàng</t>
  </si>
  <si>
    <t>Chi phí quản lý doanh nghiệp</t>
  </si>
  <si>
    <t>Chi phí lãi vay</t>
  </si>
  <si>
    <t>Doanh thu EXW</t>
  </si>
  <si>
    <t>tr.VND</t>
  </si>
  <si>
    <t>%CPBH</t>
  </si>
  <si>
    <t>Chi phí khác-811</t>
  </si>
  <si>
    <t>%CPQLDN</t>
  </si>
  <si>
    <t>%Cp khác-811</t>
  </si>
  <si>
    <t>%Cp lãi vay</t>
  </si>
  <si>
    <t>110000332-GVXK-USD</t>
  </si>
  <si>
    <t>110000355-GVXK-USD</t>
  </si>
  <si>
    <t>110000354-GVXK-USD</t>
  </si>
  <si>
    <t>110000329-GVXK-USD</t>
  </si>
  <si>
    <t>110000339-GVXK-USD</t>
  </si>
  <si>
    <t>110000481-GVXK-USD</t>
  </si>
  <si>
    <t>Hạt nhựa rPET WSS03NC</t>
  </si>
  <si>
    <t>Hạt nhựa rPET WSS04NC</t>
  </si>
  <si>
    <t>110000522</t>
  </si>
  <si>
    <t>110000523</t>
  </si>
  <si>
    <t>Giá vốn (bao gồm CPBH,CPQLDN,lãi vay phân bổ)</t>
  </si>
  <si>
    <t>GVHB</t>
  </si>
  <si>
    <t>%CPBH-mark-up</t>
  </si>
  <si>
    <t>%CPQLDN-mark-up</t>
  </si>
  <si>
    <t>%Cp khác-811-mark-up</t>
  </si>
  <si>
    <t>%Cp lãi vay-mark-up</t>
  </si>
  <si>
    <t>Mark-up</t>
  </si>
  <si>
    <t>Giá vốn (bao gồm CPBH,CPQLDN,lãi vay phân bổ)-Label</t>
  </si>
  <si>
    <t>Giá vốn (*)</t>
  </si>
  <si>
    <t>iSS01084G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</si>
</sst>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3" formatCode="_(* #,##0.00_);_(* \(#,##0.00\);_(* &quot;-&quot;??_);_(@_)"/>
    <numFmt numFmtId="164" formatCode="_(* #,##0_);_(* \(#,##0\);_(* &quot;-&quot;??_);_(@_)"/>
    <numFmt numFmtId="165" formatCode="&quot;$&quot;#,##0_);\(&quot;$&quot;#,##0\);;"/>
    <numFmt numFmtId="166" formatCode="0.0%"/>
    <numFmt numFmtId="167" formatCode="[$$-409]#,##0_);\([$$-409]#,##0\);;"/>
    <numFmt numFmtId="168" formatCode="&quot;$&quot;#,##0"/>
    <numFmt numFmtId="169" formatCode="&quot;$&quot;#,##0.00_);\(&quot;$&quot;#,##0.00\);"/>
    <numFmt numFmtId="170" formatCode="\+0.0%;\-0.0%;;"/>
    <numFmt numFmtId="171" formatCode="_(* #,##0_);_(* \(#,##0\);;_(@_)"/>
    <numFmt numFmtId="172" formatCode="&quot;$&quot;#,##0_);\(&quot;$&quot;#,##0\);;@"/>
    <numFmt numFmtId="173" formatCode="0.0%;\-0.0%;;"/>
    <numFmt numFmtId="174" formatCode="&quot;$&quot;#,##0.0_);\(&quot;$&quot;#,##0.0\)"/>
    <numFmt numFmtId="175" formatCode="_(* #,##0,,_);_(* \(#,##0,,\);_(* &quot;-&quot;??_);_(@_)"/>
  </numFmts>
  <fonts count="80" x14ac:knownFonts="1"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5"/>
      <color theme="3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b/>
      <i/>
      <sz val="9"/>
      <color theme="0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b/>
      <i/>
      <sz val="9"/>
      <color theme="1"/>
      <name val="Aptos Display"/>
      <family val="2"/>
      <scheme val="major"/>
    </font>
    <font>
      <sz val="8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sz val="11"/>
      <color theme="2"/>
      <name val="Aptos Display"/>
      <family val="2"/>
      <scheme val="major"/>
    </font>
    <font>
      <i/>
      <sz val="9"/>
      <color theme="2"/>
      <name val="Aptos Display"/>
      <family val="2"/>
      <scheme val="major"/>
    </font>
    <font>
      <b/>
      <sz val="13"/>
      <color theme="0"/>
      <name val="Aptos Display"/>
      <family val="2"/>
      <scheme val="major"/>
    </font>
    <font>
      <i/>
      <sz val="11"/>
      <color rgb="FFFF33CC"/>
      <name val="Aptos Display"/>
      <family val="2"/>
      <scheme val="major"/>
    </font>
    <font>
      <sz val="11"/>
      <color rgb="FF0000FF"/>
      <name val="Aptos Display"/>
      <family val="2"/>
      <scheme val="major"/>
    </font>
    <font>
      <sz val="9"/>
      <color theme="2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9"/>
      <color theme="2"/>
      <name val="Aptos Display"/>
      <family val="2"/>
      <scheme val="major"/>
    </font>
    <font>
      <b/>
      <sz val="9"/>
      <color theme="3"/>
      <name val="Aptos Display"/>
      <family val="2"/>
      <scheme val="major"/>
    </font>
    <font>
      <i/>
      <sz val="9"/>
      <color rgb="FFFF33CC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1"/>
      <color rgb="FFC00000"/>
      <name val="Aptos Display"/>
      <family val="2"/>
      <scheme val="major"/>
    </font>
    <font>
      <sz val="11"/>
      <color theme="7" tint="0.39997558519241921"/>
      <name val="Aptos Display"/>
      <family val="2"/>
      <scheme val="major"/>
    </font>
    <font>
      <u/>
      <sz val="11"/>
      <color rgb="FFFF33CC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0" tint="-0.249977111117893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i/>
      <sz val="11"/>
      <color theme="3" tint="0.39997558519241921"/>
      <name val="Aptos Display"/>
      <family val="2"/>
      <scheme val="major"/>
    </font>
    <font>
      <b/>
      <i/>
      <sz val="11"/>
      <color theme="3" tint="0.39997558519241921"/>
      <name val="Aptos Display"/>
      <family val="2"/>
      <scheme val="major"/>
    </font>
    <font>
      <b/>
      <sz val="13"/>
      <color rgb="FF0000FF"/>
      <name val="Aptos Display"/>
      <family val="2"/>
      <scheme val="major"/>
    </font>
    <font>
      <sz val="9"/>
      <color theme="0" tint="-0.249977111117893"/>
      <name val="Aptos Display"/>
      <family val="2"/>
      <scheme val="major"/>
    </font>
    <font>
      <sz val="9"/>
      <color theme="4"/>
      <name val="Aptos Display"/>
      <family val="2"/>
      <scheme val="major"/>
    </font>
    <font>
      <sz val="11"/>
      <color theme="4"/>
      <name val="Aptos Display"/>
      <family val="2"/>
      <scheme val="major"/>
    </font>
    <font>
      <sz val="9"/>
      <color rgb="FFDC8198"/>
      <name val="Aptos Display"/>
      <family val="2"/>
      <scheme val="major"/>
    </font>
    <font>
      <sz val="11"/>
      <color rgb="FFDC8198"/>
      <name val="Aptos Display"/>
      <family val="2"/>
      <scheme val="major"/>
    </font>
    <font>
      <sz val="9"/>
      <color theme="4" tint="0.39997558519241921"/>
      <name val="Aptos Display"/>
      <family val="2"/>
      <scheme val="major"/>
    </font>
    <font>
      <sz val="11"/>
      <color theme="4" tint="0.39997558519241921"/>
      <name val="Aptos Display"/>
      <family val="2"/>
      <scheme val="major"/>
    </font>
    <font>
      <sz val="17"/>
      <color rgb="FF0000FF"/>
      <name val="Aptos Display"/>
      <family val="2"/>
      <scheme val="major"/>
    </font>
    <font>
      <sz val="17"/>
      <color theme="2"/>
      <name val="Aptos Display"/>
      <family val="2"/>
      <scheme val="major"/>
    </font>
    <font>
      <b/>
      <sz val="17"/>
      <color rgb="FF0000FF"/>
      <name val="Aptos Display"/>
      <family val="2"/>
      <scheme val="major"/>
    </font>
    <font>
      <sz val="11"/>
      <color theme="1"/>
      <name val="Wingdings 3"/>
      <family val="1"/>
      <charset val="2"/>
    </font>
    <font>
      <b/>
      <sz val="13"/>
      <color theme="3"/>
      <name val="Aptos Display"/>
      <family val="2"/>
      <scheme val="major"/>
    </font>
    <font>
      <sz val="9"/>
      <color theme="9" tint="-0.249977111117893"/>
      <name val="Aptos Display"/>
      <family val="2"/>
      <scheme val="major"/>
    </font>
    <font>
      <sz val="11"/>
      <color theme="9" tint="-0.249977111117893"/>
      <name val="Aptos Display"/>
      <family val="2"/>
      <scheme val="major"/>
    </font>
    <font>
      <u/>
      <sz val="11"/>
      <color theme="9" tint="-0.249977111117893"/>
      <name val="Aptos Display"/>
      <family val="2"/>
      <scheme val="major"/>
    </font>
    <font>
      <b/>
      <sz val="22"/>
      <color theme="0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sz val="11"/>
      <color theme="4" tint="-0.499984740745262"/>
      <name val="Aptos Display"/>
      <family val="2"/>
      <scheme val="major"/>
    </font>
    <font>
      <b/>
      <sz val="22"/>
      <color rgb="FF119303"/>
      <name val="Aptos Display"/>
      <family val="2"/>
      <scheme val="major"/>
    </font>
    <font>
      <sz val="11"/>
      <color rgb="FF00B0F0"/>
      <name val="Aptos Display"/>
      <family val="2"/>
      <scheme val="major"/>
    </font>
    <font>
      <i/>
      <sz val="11"/>
      <color theme="0" tint="-0.499984740745262"/>
      <name val="Aptos Display"/>
      <family val="2"/>
      <scheme val="major"/>
    </font>
    <font>
      <b/>
      <sz val="15"/>
      <color theme="5"/>
      <name val="Aptos Display"/>
      <family val="2"/>
      <scheme val="major"/>
    </font>
    <font>
      <b/>
      <sz val="22"/>
      <color theme="5"/>
      <name val="Aptos Display"/>
      <family val="2"/>
      <scheme val="major"/>
    </font>
    <font>
      <sz val="17"/>
      <color theme="5"/>
      <name val="Aptos Display"/>
      <family val="2"/>
      <scheme val="major"/>
    </font>
    <font>
      <b/>
      <sz val="17"/>
      <color theme="5"/>
      <name val="Aptos Display"/>
      <family val="2"/>
      <scheme val="major"/>
    </font>
    <font>
      <sz val="22"/>
      <color theme="5"/>
      <name val="Aptos Display"/>
      <family val="2"/>
      <scheme val="major"/>
    </font>
    <font>
      <sz val="11"/>
      <color theme="3" tint="0.59999389629810485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  <font>
      <b/>
      <sz val="11"/>
      <color theme="7" tint="0.39997558519241921"/>
      <name val="Aptos Display"/>
      <family val="2"/>
      <scheme val="major"/>
    </font>
    <font>
      <b/>
      <sz val="11"/>
      <color theme="4" tint="-0.499984740745262"/>
      <name val="Aptos Display"/>
      <family val="2"/>
      <scheme val="major"/>
    </font>
    <font>
      <b/>
      <sz val="11"/>
      <color rgb="FF00B0F0"/>
      <name val="Aptos Display"/>
      <family val="2"/>
      <scheme val="major"/>
    </font>
    <font>
      <b/>
      <i/>
      <sz val="11"/>
      <color theme="0" tint="-0.499984740745262"/>
      <name val="Aptos Display"/>
      <family val="2"/>
      <scheme val="major"/>
    </font>
    <font>
      <b/>
      <sz val="11"/>
      <color theme="3" tint="0.59999389629810485"/>
      <name val="Aptos Display"/>
      <family val="2"/>
      <scheme val="major"/>
    </font>
    <font>
      <sz val="11"/>
      <color theme="3" tint="-0.249977111117893"/>
      <name val="Aptos Display"/>
      <family val="2"/>
      <scheme val="major"/>
    </font>
    <font>
      <b/>
      <sz val="11"/>
      <color theme="3" tint="-0.249977111117893"/>
      <name val="Aptos Display"/>
      <family val="2"/>
      <scheme val="major"/>
    </font>
    <font>
      <b/>
      <sz val="11"/>
      <color theme="0" tint="-0.499984740745262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i/>
      <sz val="9"/>
      <color rgb="FFFF0000"/>
      <name val="Aptos Display"/>
      <family val="2"/>
      <scheme val="major"/>
    </font>
    <font>
      <b/>
      <sz val="11"/>
      <color theme="9" tint="-0.249977111117893"/>
      <name val="Aptos Display"/>
      <family val="2"/>
      <scheme val="major"/>
    </font>
    <font>
      <b/>
      <sz val="13"/>
      <color rgb="FFFF0000"/>
      <name val="Aptos Display"/>
      <family val="2"/>
      <scheme val="major"/>
    </font>
    <font>
      <sz val="11"/>
      <color theme="0"/>
      <name val="Aptos Display"/>
      <family val="2"/>
      <scheme val="major"/>
    </font>
    <font>
      <sz val="9"/>
      <color rgb="FF7030A0"/>
      <name val="Aptos Display"/>
      <family val="2"/>
      <scheme val="major"/>
    </font>
    <font>
      <sz val="11"/>
      <color rgb="FF7030A0"/>
      <name val="Aptos Display"/>
      <family val="2"/>
      <scheme val="major"/>
    </font>
    <font>
      <sz val="9"/>
      <color rgb="FF00B0F0"/>
      <name val="Aptos Display"/>
      <family val="2"/>
      <scheme val="major"/>
    </font>
    <font>
      <sz val="11"/>
      <color theme="6" tint="0.39997558519241921"/>
      <name val="Aptos Display"/>
      <family val="2"/>
      <scheme val="major"/>
    </font>
  </fonts>
  <fills count="2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462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Up"/>
    </fill>
    <fill>
      <patternFill patternType="lightUp">
        <bgColor theme="0" tint="-4.9989318521683403E-2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C1DE"/>
        <bgColor indexed="64"/>
      </patternFill>
    </fill>
    <fill>
      <patternFill patternType="solid">
        <fgColor rgb="FFF37736"/>
        <bgColor indexed="64"/>
      </patternFill>
    </fill>
    <fill>
      <patternFill patternType="solid">
        <fgColor rgb="FF0F0E9A"/>
        <bgColor indexed="64"/>
      </patternFill>
    </fill>
    <fill>
      <patternFill patternType="solid">
        <fgColor rgb="FF007DC4"/>
        <bgColor indexed="64"/>
      </patternFill>
    </fill>
    <fill>
      <patternFill patternType="solid">
        <fgColor rgb="FFF4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22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C7F7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auto="1"/>
      </right>
      <top/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 style="medium">
        <color auto="1"/>
      </left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/>
      <top/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6795556505021"/>
      </bottom>
      <diagonal/>
    </border>
    <border>
      <left/>
      <right style="medium">
        <color auto="1"/>
      </right>
      <top/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thick">
        <color auto="1"/>
      </right>
      <top/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 style="medium">
        <color theme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/>
      <diagonal/>
    </border>
    <border>
      <left/>
      <right style="thick">
        <color auto="1"/>
      </right>
      <top style="hair">
        <color theme="0" tint="-0.14996795556505021"/>
      </top>
      <bottom/>
      <diagonal/>
    </border>
    <border>
      <left/>
      <right style="medium">
        <color auto="1"/>
      </right>
      <top style="hair">
        <color theme="0" tint="-0.14996795556505021"/>
      </top>
      <bottom/>
      <diagonal/>
    </border>
    <border>
      <left/>
      <right style="thick">
        <color auto="1"/>
      </right>
      <top/>
      <bottom style="thin">
        <color theme="0"/>
      </bottom>
      <diagonal/>
    </border>
    <border>
      <left/>
      <right style="thick">
        <color auto="1"/>
      </right>
      <top style="thin">
        <color theme="0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theme="0"/>
      </bottom>
      <diagonal/>
    </border>
    <border>
      <left style="thick">
        <color auto="1"/>
      </left>
      <right/>
      <top style="thin">
        <color theme="0"/>
      </top>
      <bottom/>
      <diagonal/>
    </border>
    <border>
      <left style="thick">
        <color auto="1"/>
      </left>
      <right/>
      <top/>
      <bottom style="hair">
        <color theme="0" tint="-0.14996795556505021"/>
      </bottom>
      <diagonal/>
    </border>
    <border>
      <left style="thick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60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7" fillId="0" borderId="0" xfId="0" applyFont="1"/>
    <xf numFmtId="0" fontId="7" fillId="0" borderId="4" xfId="0" applyFont="1" applyBorder="1"/>
    <xf numFmtId="0" fontId="7" fillId="0" borderId="3" xfId="0" applyFont="1" applyBorder="1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49" fontId="11" fillId="0" borderId="0" xfId="0" quotePrefix="1" applyNumberFormat="1" applyFont="1"/>
    <xf numFmtId="49" fontId="11" fillId="0" borderId="0" xfId="0" applyNumberFormat="1" applyFont="1"/>
    <xf numFmtId="49" fontId="10" fillId="0" borderId="0" xfId="0" applyNumberFormat="1" applyFont="1"/>
    <xf numFmtId="0" fontId="11" fillId="0" borderId="3" xfId="0" applyFont="1" applyBorder="1"/>
    <xf numFmtId="164" fontId="0" fillId="0" borderId="4" xfId="0" applyNumberFormat="1" applyBorder="1"/>
    <xf numFmtId="164" fontId="2" fillId="0" borderId="4" xfId="1" applyNumberFormat="1" applyFont="1" applyBorder="1"/>
    <xf numFmtId="0" fontId="12" fillId="0" borderId="0" xfId="0" applyFont="1"/>
    <xf numFmtId="0" fontId="0" fillId="5" borderId="0" xfId="0" applyFill="1"/>
    <xf numFmtId="0" fontId="13" fillId="0" borderId="0" xfId="0" applyFont="1"/>
    <xf numFmtId="0" fontId="12" fillId="5" borderId="0" xfId="0" applyFont="1" applyFill="1"/>
    <xf numFmtId="0" fontId="1" fillId="5" borderId="0" xfId="0" applyFont="1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Continuous" vertical="center"/>
    </xf>
    <xf numFmtId="0" fontId="14" fillId="3" borderId="1" xfId="0" applyFont="1" applyFill="1" applyBorder="1" applyAlignment="1">
      <alignment horizontal="centerContinuous" vertical="center"/>
    </xf>
    <xf numFmtId="0" fontId="14" fillId="2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164" fontId="0" fillId="0" borderId="4" xfId="1" applyNumberFormat="1" applyFont="1" applyBorder="1"/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4" fillId="6" borderId="1" xfId="0" applyFont="1" applyFill="1" applyBorder="1" applyAlignment="1">
      <alignment horizontal="centerContinuous" vertical="center"/>
    </xf>
    <xf numFmtId="0" fontId="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/>
    </xf>
    <xf numFmtId="0" fontId="14" fillId="6" borderId="0" xfId="0" applyFont="1" applyFill="1" applyAlignment="1">
      <alignment horizontal="centerContinuous" vertical="center"/>
    </xf>
    <xf numFmtId="0" fontId="5" fillId="6" borderId="0" xfId="0" applyFont="1" applyFill="1" applyAlignment="1">
      <alignment horizontal="centerContinuous" vertical="center"/>
    </xf>
    <xf numFmtId="0" fontId="1" fillId="5" borderId="0" xfId="0" applyFont="1" applyFill="1"/>
    <xf numFmtId="0" fontId="4" fillId="7" borderId="0" xfId="0" applyFont="1" applyFill="1"/>
    <xf numFmtId="0" fontId="4" fillId="8" borderId="0" xfId="0" applyFont="1" applyFill="1"/>
    <xf numFmtId="14" fontId="0" fillId="0" borderId="0" xfId="0" applyNumberFormat="1"/>
    <xf numFmtId="0" fontId="4" fillId="6" borderId="5" xfId="0" applyFont="1" applyFill="1" applyBorder="1" applyAlignment="1">
      <alignment horizontal="centerContinuous" vertical="center"/>
    </xf>
    <xf numFmtId="0" fontId="4" fillId="6" borderId="7" xfId="0" applyFont="1" applyFill="1" applyBorder="1" applyAlignment="1">
      <alignment vertical="center"/>
    </xf>
    <xf numFmtId="0" fontId="0" fillId="0" borderId="9" xfId="0" applyBorder="1"/>
    <xf numFmtId="0" fontId="0" fillId="0" borderId="10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2" fillId="0" borderId="11" xfId="1" applyNumberFormat="1" applyFont="1" applyBorder="1"/>
    <xf numFmtId="164" fontId="2" fillId="0" borderId="12" xfId="1" applyNumberFormat="1" applyFon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2" borderId="5" xfId="0" applyFont="1" applyFill="1" applyBorder="1" applyAlignment="1">
      <alignment horizontal="centerContinuous" vertical="center"/>
    </xf>
    <xf numFmtId="0" fontId="4" fillId="2" borderId="6" xfId="0" applyFont="1" applyFill="1" applyBorder="1" applyAlignment="1">
      <alignment horizontal="centerContinuous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" fillId="9" borderId="4" xfId="0" applyFont="1" applyFill="1" applyBorder="1"/>
    <xf numFmtId="0" fontId="8" fillId="9" borderId="4" xfId="0" applyFont="1" applyFill="1" applyBorder="1"/>
    <xf numFmtId="0" fontId="1" fillId="9" borderId="0" xfId="0" applyFont="1" applyFill="1"/>
    <xf numFmtId="0" fontId="1" fillId="9" borderId="11" xfId="0" applyFont="1" applyFill="1" applyBorder="1"/>
    <xf numFmtId="0" fontId="1" fillId="9" borderId="12" xfId="0" applyFont="1" applyFill="1" applyBorder="1"/>
    <xf numFmtId="0" fontId="16" fillId="0" borderId="0" xfId="0" applyFont="1"/>
    <xf numFmtId="0" fontId="4" fillId="3" borderId="6" xfId="0" applyFont="1" applyFill="1" applyBorder="1" applyAlignment="1">
      <alignment horizontal="centerContinuous" vertical="center"/>
    </xf>
    <xf numFmtId="0" fontId="4" fillId="3" borderId="8" xfId="0" applyFont="1" applyFill="1" applyBorder="1" applyAlignment="1">
      <alignment vertical="center"/>
    </xf>
    <xf numFmtId="0" fontId="12" fillId="0" borderId="9" xfId="0" applyFont="1" applyBorder="1"/>
    <xf numFmtId="0" fontId="12" fillId="0" borderId="10" xfId="0" applyFont="1" applyBorder="1"/>
    <xf numFmtId="0" fontId="12" fillId="10" borderId="0" xfId="0" applyFont="1" applyFill="1"/>
    <xf numFmtId="0" fontId="12" fillId="10" borderId="9" xfId="0" applyFont="1" applyFill="1" applyBorder="1"/>
    <xf numFmtId="0" fontId="12" fillId="10" borderId="10" xfId="0" applyFont="1" applyFill="1" applyBorder="1"/>
    <xf numFmtId="14" fontId="12" fillId="0" borderId="0" xfId="0" applyNumberFormat="1" applyFont="1"/>
    <xf numFmtId="14" fontId="12" fillId="0" borderId="9" xfId="0" applyNumberFormat="1" applyFont="1" applyBorder="1"/>
    <xf numFmtId="14" fontId="12" fillId="0" borderId="10" xfId="0" applyNumberFormat="1" applyFont="1" applyBorder="1"/>
    <xf numFmtId="0" fontId="0" fillId="10" borderId="0" xfId="0" applyFill="1"/>
    <xf numFmtId="14" fontId="0" fillId="10" borderId="0" xfId="0" applyNumberFormat="1" applyFill="1"/>
    <xf numFmtId="14" fontId="0" fillId="0" borderId="0" xfId="0" quotePrefix="1" applyNumberFormat="1"/>
    <xf numFmtId="11" fontId="0" fillId="0" borderId="9" xfId="0" applyNumberFormat="1" applyBorder="1"/>
    <xf numFmtId="0" fontId="14" fillId="2" borderId="5" xfId="0" applyFont="1" applyFill="1" applyBorder="1" applyAlignment="1">
      <alignment horizontal="centerContinuous" vertical="center"/>
    </xf>
    <xf numFmtId="0" fontId="14" fillId="2" borderId="6" xfId="0" applyFont="1" applyFill="1" applyBorder="1" applyAlignment="1">
      <alignment horizontal="centerContinuous" vertical="center"/>
    </xf>
    <xf numFmtId="0" fontId="14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8" fillId="0" borderId="3" xfId="0" applyFont="1" applyBorder="1"/>
    <xf numFmtId="0" fontId="17" fillId="0" borderId="3" xfId="0" applyFont="1" applyBorder="1"/>
    <xf numFmtId="5" fontId="0" fillId="0" borderId="11" xfId="1" applyNumberFormat="1" applyFont="1" applyBorder="1"/>
    <xf numFmtId="5" fontId="0" fillId="0" borderId="4" xfId="1" applyNumberFormat="1" applyFont="1" applyBorder="1"/>
    <xf numFmtId="5" fontId="0" fillId="0" borderId="12" xfId="1" applyNumberFormat="1" applyFont="1" applyBorder="1"/>
    <xf numFmtId="5" fontId="0" fillId="0" borderId="11" xfId="0" applyNumberFormat="1" applyBorder="1"/>
    <xf numFmtId="5" fontId="0" fillId="0" borderId="4" xfId="0" applyNumberFormat="1" applyBorder="1"/>
    <xf numFmtId="5" fontId="0" fillId="0" borderId="12" xfId="0" applyNumberFormat="1" applyBorder="1"/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4" fillId="11" borderId="0" xfId="0" applyFont="1" applyFill="1" applyAlignment="1">
      <alignment horizontal="right"/>
    </xf>
    <xf numFmtId="0" fontId="4" fillId="11" borderId="1" xfId="0" applyFont="1" applyFill="1" applyBorder="1" applyAlignment="1">
      <alignment horizontal="centerContinuous"/>
    </xf>
    <xf numFmtId="0" fontId="4" fillId="11" borderId="0" xfId="0" applyFont="1" applyFill="1" applyAlignment="1">
      <alignment horizontal="centerContinuous"/>
    </xf>
    <xf numFmtId="0" fontId="0" fillId="0" borderId="18" xfId="0" applyBorder="1"/>
    <xf numFmtId="164" fontId="0" fillId="0" borderId="18" xfId="1" applyNumberFormat="1" applyFont="1" applyBorder="1" applyAlignment="1"/>
    <xf numFmtId="6" fontId="0" fillId="0" borderId="18" xfId="0" applyNumberFormat="1" applyBorder="1"/>
    <xf numFmtId="0" fontId="0" fillId="0" borderId="18" xfId="0" quotePrefix="1" applyBorder="1"/>
    <xf numFmtId="10" fontId="0" fillId="0" borderId="18" xfId="0" applyNumberFormat="1" applyBorder="1"/>
    <xf numFmtId="164" fontId="0" fillId="0" borderId="0" xfId="1" applyNumberFormat="1" applyFont="1" applyBorder="1" applyAlignment="1"/>
    <xf numFmtId="10" fontId="0" fillId="0" borderId="0" xfId="0" applyNumberFormat="1"/>
    <xf numFmtId="164" fontId="1" fillId="5" borderId="0" xfId="1" applyNumberFormat="1" applyFont="1" applyFill="1"/>
    <xf numFmtId="0" fontId="24" fillId="5" borderId="0" xfId="0" applyFont="1" applyFill="1"/>
    <xf numFmtId="0" fontId="24" fillId="0" borderId="0" xfId="0" applyFont="1"/>
    <xf numFmtId="0" fontId="4" fillId="2" borderId="1" xfId="0" applyFont="1" applyFill="1" applyBorder="1" applyAlignment="1">
      <alignment horizontal="centerContinuous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Continuous"/>
    </xf>
    <xf numFmtId="0" fontId="27" fillId="0" borderId="0" xfId="0" applyFont="1"/>
    <xf numFmtId="0" fontId="5" fillId="0" borderId="0" xfId="0" applyFont="1"/>
    <xf numFmtId="0" fontId="14" fillId="3" borderId="6" xfId="0" applyFont="1" applyFill="1" applyBorder="1" applyAlignment="1">
      <alignment horizontal="centerContinuous" vertical="center"/>
    </xf>
    <xf numFmtId="0" fontId="14" fillId="3" borderId="8" xfId="0" applyFont="1" applyFill="1" applyBorder="1" applyAlignment="1">
      <alignment vertical="center"/>
    </xf>
    <xf numFmtId="0" fontId="5" fillId="12" borderId="0" xfId="0" applyFont="1" applyFill="1"/>
    <xf numFmtId="0" fontId="30" fillId="0" borderId="0" xfId="0" applyFont="1"/>
    <xf numFmtId="167" fontId="0" fillId="0" borderId="4" xfId="0" applyNumberFormat="1" applyBorder="1"/>
    <xf numFmtId="167" fontId="0" fillId="0" borderId="12" xfId="0" applyNumberFormat="1" applyBorder="1"/>
    <xf numFmtId="0" fontId="16" fillId="0" borderId="4" xfId="0" applyFont="1" applyBorder="1"/>
    <xf numFmtId="167" fontId="16" fillId="0" borderId="4" xfId="0" applyNumberFormat="1" applyFont="1" applyBorder="1"/>
    <xf numFmtId="167" fontId="16" fillId="0" borderId="12" xfId="0" applyNumberFormat="1" applyFont="1" applyBorder="1"/>
    <xf numFmtId="0" fontId="25" fillId="0" borderId="0" xfId="0" applyFont="1"/>
    <xf numFmtId="0" fontId="25" fillId="0" borderId="4" xfId="0" applyFont="1" applyBorder="1"/>
    <xf numFmtId="167" fontId="25" fillId="0" borderId="4" xfId="0" applyNumberFormat="1" applyFont="1" applyBorder="1"/>
    <xf numFmtId="167" fontId="25" fillId="0" borderId="12" xfId="0" applyNumberFormat="1" applyFont="1" applyBorder="1"/>
    <xf numFmtId="6" fontId="24" fillId="5" borderId="0" xfId="0" applyNumberFormat="1" applyFont="1" applyFill="1"/>
    <xf numFmtId="0" fontId="10" fillId="0" borderId="0" xfId="0" applyFont="1"/>
    <xf numFmtId="0" fontId="1" fillId="0" borderId="4" xfId="0" applyFont="1" applyBorder="1"/>
    <xf numFmtId="167" fontId="1" fillId="0" borderId="4" xfId="0" applyNumberFormat="1" applyFont="1" applyBorder="1"/>
    <xf numFmtId="167" fontId="1" fillId="0" borderId="12" xfId="0" applyNumberFormat="1" applyFont="1" applyBorder="1"/>
    <xf numFmtId="168" fontId="0" fillId="10" borderId="0" xfId="0" applyNumberFormat="1" applyFill="1"/>
    <xf numFmtId="0" fontId="31" fillId="0" borderId="0" xfId="0" applyFont="1"/>
    <xf numFmtId="0" fontId="31" fillId="0" borderId="20" xfId="0" applyFont="1" applyBorder="1"/>
    <xf numFmtId="0" fontId="31" fillId="0" borderId="19" xfId="0" applyFont="1" applyBorder="1"/>
    <xf numFmtId="167" fontId="31" fillId="0" borderId="20" xfId="0" applyNumberFormat="1" applyFont="1" applyBorder="1"/>
    <xf numFmtId="0" fontId="32" fillId="0" borderId="0" xfId="0" applyFont="1"/>
    <xf numFmtId="0" fontId="32" fillId="0" borderId="4" xfId="0" applyFont="1" applyBorder="1"/>
    <xf numFmtId="167" fontId="32" fillId="0" borderId="4" xfId="0" applyNumberFormat="1" applyFont="1" applyBorder="1"/>
    <xf numFmtId="167" fontId="32" fillId="0" borderId="12" xfId="0" applyNumberFormat="1" applyFont="1" applyBorder="1"/>
    <xf numFmtId="0" fontId="33" fillId="0" borderId="0" xfId="0" applyFont="1"/>
    <xf numFmtId="0" fontId="33" fillId="0" borderId="4" xfId="0" applyFont="1" applyBorder="1"/>
    <xf numFmtId="0" fontId="5" fillId="12" borderId="0" xfId="0" applyFont="1" applyFill="1" applyAlignment="1">
      <alignment horizontal="center"/>
    </xf>
    <xf numFmtId="0" fontId="31" fillId="0" borderId="2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49" fontId="5" fillId="12" borderId="0" xfId="0" applyNumberFormat="1" applyFont="1" applyFill="1" applyAlignment="1">
      <alignment horizontal="center"/>
    </xf>
    <xf numFmtId="49" fontId="16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32" fillId="0" borderId="4" xfId="0" applyNumberFormat="1" applyFont="1" applyBorder="1" applyAlignment="1">
      <alignment horizontal="center"/>
    </xf>
    <xf numFmtId="49" fontId="33" fillId="0" borderId="4" xfId="0" applyNumberFormat="1" applyFont="1" applyBorder="1" applyAlignment="1">
      <alignment horizontal="center"/>
    </xf>
    <xf numFmtId="49" fontId="25" fillId="0" borderId="4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0" fontId="3" fillId="9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5" fontId="3" fillId="9" borderId="9" xfId="1" applyNumberFormat="1" applyFont="1" applyFill="1" applyBorder="1" applyAlignment="1">
      <alignment vertical="center"/>
    </xf>
    <xf numFmtId="5" fontId="3" fillId="9" borderId="0" xfId="1" applyNumberFormat="1" applyFont="1" applyFill="1" applyBorder="1" applyAlignment="1">
      <alignment vertical="center"/>
    </xf>
    <xf numFmtId="5" fontId="3" fillId="9" borderId="10" xfId="1" applyNumberFormat="1" applyFont="1" applyFill="1" applyBorder="1" applyAlignment="1">
      <alignment vertical="center"/>
    </xf>
    <xf numFmtId="5" fontId="3" fillId="9" borderId="0" xfId="1" applyNumberFormat="1" applyFont="1" applyFill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4" fillId="0" borderId="2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39" fillId="0" borderId="11" xfId="0" applyNumberFormat="1" applyFont="1" applyBorder="1" applyAlignment="1">
      <alignment horizontal="center" vertical="center"/>
    </xf>
    <xf numFmtId="165" fontId="39" fillId="0" borderId="4" xfId="0" applyNumberFormat="1" applyFont="1" applyBorder="1" applyAlignment="1">
      <alignment horizontal="center" vertical="center"/>
    </xf>
    <xf numFmtId="165" fontId="39" fillId="0" borderId="12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5" fontId="37" fillId="0" borderId="11" xfId="0" applyNumberFormat="1" applyFont="1" applyBorder="1" applyAlignment="1">
      <alignment vertical="center"/>
    </xf>
    <xf numFmtId="165" fontId="37" fillId="0" borderId="12" xfId="0" applyNumberFormat="1" applyFont="1" applyBorder="1" applyAlignment="1">
      <alignment vertical="center"/>
    </xf>
    <xf numFmtId="166" fontId="15" fillId="0" borderId="11" xfId="0" applyNumberFormat="1" applyFont="1" applyBorder="1" applyAlignment="1">
      <alignment vertical="center"/>
    </xf>
    <xf numFmtId="166" fontId="15" fillId="0" borderId="4" xfId="0" applyNumberFormat="1" applyFont="1" applyBorder="1" applyAlignment="1">
      <alignment vertical="center"/>
    </xf>
    <xf numFmtId="166" fontId="15" fillId="0" borderId="12" xfId="0" applyNumberFormat="1" applyFont="1" applyBorder="1" applyAlignment="1">
      <alignment vertical="center"/>
    </xf>
    <xf numFmtId="165" fontId="11" fillId="0" borderId="20" xfId="0" applyNumberFormat="1" applyFont="1" applyBorder="1" applyAlignment="1">
      <alignment vertical="center"/>
    </xf>
    <xf numFmtId="165" fontId="11" fillId="0" borderId="21" xfId="0" applyNumberFormat="1" applyFont="1" applyBorder="1" applyAlignment="1">
      <alignment vertical="center"/>
    </xf>
    <xf numFmtId="165" fontId="11" fillId="0" borderId="19" xfId="0" applyNumberFormat="1" applyFon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4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165" fontId="34" fillId="0" borderId="21" xfId="0" applyNumberFormat="1" applyFont="1" applyBorder="1" applyAlignment="1">
      <alignment vertical="center"/>
    </xf>
    <xf numFmtId="165" fontId="34" fillId="0" borderId="20" xfId="0" applyNumberFormat="1" applyFont="1" applyBorder="1" applyAlignment="1">
      <alignment vertical="center"/>
    </xf>
    <xf numFmtId="165" fontId="34" fillId="0" borderId="19" xfId="0" applyNumberFormat="1" applyFont="1" applyBorder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9" fillId="0" borderId="4" xfId="0" quotePrefix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165" fontId="1" fillId="5" borderId="11" xfId="0" applyNumberFormat="1" applyFont="1" applyFill="1" applyBorder="1" applyAlignment="1">
      <alignment vertical="center"/>
    </xf>
    <xf numFmtId="165" fontId="1" fillId="5" borderId="4" xfId="0" applyNumberFormat="1" applyFont="1" applyFill="1" applyBorder="1" applyAlignment="1">
      <alignment vertical="center"/>
    </xf>
    <xf numFmtId="165" fontId="1" fillId="5" borderId="12" xfId="0" applyNumberFormat="1" applyFont="1" applyFill="1" applyBorder="1" applyAlignment="1">
      <alignment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vertical="center"/>
    </xf>
    <xf numFmtId="165" fontId="1" fillId="5" borderId="23" xfId="0" applyNumberFormat="1" applyFont="1" applyFill="1" applyBorder="1" applyAlignment="1">
      <alignment vertical="center"/>
    </xf>
    <xf numFmtId="165" fontId="1" fillId="5" borderId="22" xfId="0" applyNumberFormat="1" applyFont="1" applyFill="1" applyBorder="1" applyAlignment="1">
      <alignment vertical="center"/>
    </xf>
    <xf numFmtId="165" fontId="1" fillId="5" borderId="24" xfId="0" applyNumberFormat="1" applyFont="1" applyFill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4" xfId="0" applyFont="1" applyBorder="1" applyAlignment="1">
      <alignment vertical="center"/>
    </xf>
    <xf numFmtId="0" fontId="41" fillId="0" borderId="0" xfId="0" applyFont="1" applyAlignment="1">
      <alignment vertical="center"/>
    </xf>
    <xf numFmtId="164" fontId="41" fillId="0" borderId="11" xfId="1" applyNumberFormat="1" applyFont="1" applyBorder="1" applyAlignment="1">
      <alignment vertical="center"/>
    </xf>
    <xf numFmtId="164" fontId="41" fillId="0" borderId="4" xfId="1" applyNumberFormat="1" applyFont="1" applyBorder="1" applyAlignment="1">
      <alignment vertical="center"/>
    </xf>
    <xf numFmtId="164" fontId="41" fillId="0" borderId="12" xfId="1" applyNumberFormat="1" applyFont="1" applyBorder="1" applyAlignment="1">
      <alignment vertical="center"/>
    </xf>
    <xf numFmtId="166" fontId="41" fillId="0" borderId="11" xfId="0" applyNumberFormat="1" applyFont="1" applyBorder="1" applyAlignment="1">
      <alignment vertical="center"/>
    </xf>
    <xf numFmtId="166" fontId="41" fillId="0" borderId="4" xfId="0" applyNumberFormat="1" applyFont="1" applyBorder="1" applyAlignment="1">
      <alignment vertical="center"/>
    </xf>
    <xf numFmtId="166" fontId="41" fillId="0" borderId="12" xfId="0" applyNumberFormat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4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4" fillId="0" borderId="0" xfId="0" applyFont="1" applyAlignment="1">
      <alignment horizontal="left"/>
    </xf>
    <xf numFmtId="0" fontId="42" fillId="0" borderId="9" xfId="0" applyFont="1" applyBorder="1"/>
    <xf numFmtId="0" fontId="42" fillId="0" borderId="10" xfId="0" applyFont="1" applyBorder="1"/>
    <xf numFmtId="165" fontId="34" fillId="13" borderId="21" xfId="0" applyNumberFormat="1" applyFont="1" applyFill="1" applyBorder="1" applyAlignment="1">
      <alignment vertical="center"/>
    </xf>
    <xf numFmtId="165" fontId="34" fillId="13" borderId="20" xfId="0" applyNumberFormat="1" applyFont="1" applyFill="1" applyBorder="1" applyAlignment="1">
      <alignment vertical="center"/>
    </xf>
    <xf numFmtId="165" fontId="34" fillId="13" borderId="19" xfId="0" applyNumberFormat="1" applyFont="1" applyFill="1" applyBorder="1" applyAlignment="1">
      <alignment vertical="center"/>
    </xf>
    <xf numFmtId="165" fontId="0" fillId="13" borderId="11" xfId="0" applyNumberFormat="1" applyFill="1" applyBorder="1" applyAlignment="1">
      <alignment vertical="center"/>
    </xf>
    <xf numFmtId="165" fontId="0" fillId="13" borderId="4" xfId="0" applyNumberFormat="1" applyFill="1" applyBorder="1" applyAlignment="1">
      <alignment vertical="center"/>
    </xf>
    <xf numFmtId="165" fontId="0" fillId="13" borderId="12" xfId="0" applyNumberFormat="1" applyFill="1" applyBorder="1" applyAlignment="1">
      <alignment vertical="center"/>
    </xf>
    <xf numFmtId="165" fontId="1" fillId="14" borderId="11" xfId="0" applyNumberFormat="1" applyFont="1" applyFill="1" applyBorder="1" applyAlignment="1">
      <alignment vertical="center"/>
    </xf>
    <xf numFmtId="165" fontId="1" fillId="14" borderId="4" xfId="0" applyNumberFormat="1" applyFont="1" applyFill="1" applyBorder="1" applyAlignment="1">
      <alignment vertical="center"/>
    </xf>
    <xf numFmtId="165" fontId="1" fillId="14" borderId="12" xfId="0" applyNumberFormat="1" applyFont="1" applyFill="1" applyBorder="1" applyAlignment="1">
      <alignment vertical="center"/>
    </xf>
    <xf numFmtId="0" fontId="0" fillId="13" borderId="11" xfId="0" applyFill="1" applyBorder="1" applyAlignment="1">
      <alignment vertical="center" wrapText="1"/>
    </xf>
    <xf numFmtId="0" fontId="0" fillId="13" borderId="4" xfId="0" applyFill="1" applyBorder="1" applyAlignment="1">
      <alignment vertical="center" wrapText="1"/>
    </xf>
    <xf numFmtId="0" fontId="0" fillId="13" borderId="12" xfId="0" applyFill="1" applyBorder="1" applyAlignment="1">
      <alignment vertical="center" wrapText="1"/>
    </xf>
    <xf numFmtId="0" fontId="12" fillId="13" borderId="11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165" fontId="39" fillId="13" borderId="11" xfId="0" applyNumberFormat="1" applyFont="1" applyFill="1" applyBorder="1" applyAlignment="1">
      <alignment horizontal="center" vertical="center"/>
    </xf>
    <xf numFmtId="165" fontId="39" fillId="13" borderId="4" xfId="0" applyNumberFormat="1" applyFont="1" applyFill="1" applyBorder="1" applyAlignment="1">
      <alignment horizontal="center" vertical="center"/>
    </xf>
    <xf numFmtId="165" fontId="39" fillId="13" borderId="12" xfId="0" applyNumberFormat="1" applyFont="1" applyFill="1" applyBorder="1" applyAlignment="1">
      <alignment horizontal="center" vertical="center"/>
    </xf>
    <xf numFmtId="0" fontId="45" fillId="0" borderId="0" xfId="0" applyFont="1"/>
    <xf numFmtId="0" fontId="34" fillId="0" borderId="25" xfId="0" applyFont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6" xfId="0" applyBorder="1"/>
    <xf numFmtId="0" fontId="26" fillId="0" borderId="26" xfId="2" applyFont="1" applyBorder="1"/>
    <xf numFmtId="0" fontId="1" fillId="5" borderId="26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vertical="center"/>
    </xf>
    <xf numFmtId="0" fontId="37" fillId="0" borderId="26" xfId="0" applyFont="1" applyBorder="1" applyAlignment="1">
      <alignment horizontal="center" vertical="center"/>
    </xf>
    <xf numFmtId="0" fontId="37" fillId="0" borderId="26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0" fontId="39" fillId="0" borderId="27" xfId="0" quotePrefix="1" applyFont="1" applyBorder="1" applyAlignment="1">
      <alignment horizontal="center" vertical="center"/>
    </xf>
    <xf numFmtId="0" fontId="39" fillId="0" borderId="27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0" fillId="0" borderId="29" xfId="0" applyBorder="1"/>
    <xf numFmtId="0" fontId="1" fillId="5" borderId="29" xfId="0" applyFont="1" applyFill="1" applyBorder="1" applyAlignment="1">
      <alignment vertical="center"/>
    </xf>
    <xf numFmtId="165" fontId="37" fillId="0" borderId="26" xfId="0" applyNumberFormat="1" applyFont="1" applyBorder="1" applyAlignment="1">
      <alignment vertical="center"/>
    </xf>
    <xf numFmtId="165" fontId="37" fillId="0" borderId="29" xfId="0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0" fontId="12" fillId="0" borderId="29" xfId="0" applyFont="1" applyBorder="1" applyAlignment="1">
      <alignment vertical="center"/>
    </xf>
    <xf numFmtId="165" fontId="39" fillId="0" borderId="27" xfId="0" applyNumberFormat="1" applyFont="1" applyBorder="1" applyAlignment="1">
      <alignment horizontal="center" vertical="center"/>
    </xf>
    <xf numFmtId="165" fontId="39" fillId="0" borderId="30" xfId="0" applyNumberFormat="1" applyFont="1" applyBorder="1" applyAlignment="1">
      <alignment horizontal="center" vertical="center"/>
    </xf>
    <xf numFmtId="169" fontId="0" fillId="0" borderId="11" xfId="0" applyNumberFormat="1" applyBorder="1" applyAlignment="1">
      <alignment vertical="center"/>
    </xf>
    <xf numFmtId="169" fontId="0" fillId="0" borderId="4" xfId="0" applyNumberFormat="1" applyBorder="1" applyAlignment="1">
      <alignment vertical="center"/>
    </xf>
    <xf numFmtId="169" fontId="0" fillId="0" borderId="12" xfId="0" applyNumberFormat="1" applyBorder="1" applyAlignment="1">
      <alignment vertical="center"/>
    </xf>
    <xf numFmtId="49" fontId="19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38" fillId="0" borderId="0" xfId="0" applyNumberFormat="1" applyFont="1" applyAlignment="1">
      <alignment vertical="center"/>
    </xf>
    <xf numFmtId="0" fontId="39" fillId="0" borderId="20" xfId="0" quotePrefix="1" applyFont="1" applyBorder="1" applyAlignment="1">
      <alignment horizontal="center" vertical="center"/>
    </xf>
    <xf numFmtId="0" fontId="39" fillId="0" borderId="20" xfId="0" applyFont="1" applyBorder="1" applyAlignment="1">
      <alignment vertical="center"/>
    </xf>
    <xf numFmtId="165" fontId="39" fillId="0" borderId="20" xfId="0" applyNumberFormat="1" applyFont="1" applyBorder="1" applyAlignment="1">
      <alignment horizontal="center" vertical="center"/>
    </xf>
    <xf numFmtId="165" fontId="39" fillId="0" borderId="21" xfId="0" applyNumberFormat="1" applyFont="1" applyBorder="1" applyAlignment="1">
      <alignment horizontal="center" vertical="center"/>
    </xf>
    <xf numFmtId="165" fontId="39" fillId="0" borderId="19" xfId="0" applyNumberFormat="1" applyFont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/>
    </xf>
    <xf numFmtId="0" fontId="39" fillId="0" borderId="0" xfId="0" quotePrefix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65" fontId="39" fillId="0" borderId="10" xfId="0" applyNumberFormat="1" applyFont="1" applyBorder="1" applyAlignment="1">
      <alignment horizontal="center" vertical="center"/>
    </xf>
    <xf numFmtId="165" fontId="39" fillId="0" borderId="4" xfId="0" applyNumberFormat="1" applyFont="1" applyBorder="1" applyAlignment="1">
      <alignment horizontal="right" vertical="center"/>
    </xf>
    <xf numFmtId="165" fontId="39" fillId="0" borderId="12" xfId="0" applyNumberFormat="1" applyFont="1" applyBorder="1" applyAlignment="1">
      <alignment horizontal="right" vertical="center"/>
    </xf>
    <xf numFmtId="165" fontId="39" fillId="15" borderId="4" xfId="0" applyNumberFormat="1" applyFont="1" applyFill="1" applyBorder="1" applyAlignment="1">
      <alignment horizontal="right" vertical="center"/>
    </xf>
    <xf numFmtId="165" fontId="39" fillId="15" borderId="12" xfId="0" applyNumberFormat="1" applyFont="1" applyFill="1" applyBorder="1" applyAlignment="1">
      <alignment horizontal="right" vertical="center"/>
    </xf>
    <xf numFmtId="0" fontId="5" fillId="12" borderId="10" xfId="0" applyFont="1" applyFill="1" applyBorder="1"/>
    <xf numFmtId="167" fontId="0" fillId="0" borderId="4" xfId="0" quotePrefix="1" applyNumberFormat="1" applyBorder="1"/>
    <xf numFmtId="0" fontId="0" fillId="0" borderId="31" xfId="0" applyBorder="1"/>
    <xf numFmtId="0" fontId="5" fillId="12" borderId="31" xfId="0" applyFont="1" applyFill="1" applyBorder="1"/>
    <xf numFmtId="0" fontId="31" fillId="0" borderId="32" xfId="0" applyFont="1" applyBorder="1"/>
    <xf numFmtId="0" fontId="16" fillId="0" borderId="33" xfId="0" applyFont="1" applyBorder="1" applyAlignment="1">
      <alignment horizontal="left" indent="2"/>
    </xf>
    <xf numFmtId="0" fontId="1" fillId="0" borderId="33" xfId="0" applyFont="1" applyBorder="1" applyAlignment="1">
      <alignment horizontal="left" indent="2"/>
    </xf>
    <xf numFmtId="0" fontId="0" fillId="0" borderId="33" xfId="0" applyBorder="1" applyAlignment="1">
      <alignment horizontal="left" indent="2"/>
    </xf>
    <xf numFmtId="0" fontId="32" fillId="0" borderId="33" xfId="0" quotePrefix="1" applyFont="1" applyBorder="1" applyAlignment="1">
      <alignment horizontal="left" indent="2"/>
    </xf>
    <xf numFmtId="0" fontId="33" fillId="0" borderId="33" xfId="0" quotePrefix="1" applyFont="1" applyBorder="1" applyAlignment="1">
      <alignment horizontal="left" indent="2"/>
    </xf>
    <xf numFmtId="0" fontId="25" fillId="0" borderId="33" xfId="0" applyFont="1" applyBorder="1" applyAlignment="1">
      <alignment horizontal="left" indent="2"/>
    </xf>
    <xf numFmtId="0" fontId="31" fillId="0" borderId="0" xfId="0" applyFont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31" fillId="0" borderId="20" xfId="0" applyFont="1" applyBorder="1" applyAlignment="1">
      <alignment vertical="center"/>
    </xf>
    <xf numFmtId="165" fontId="31" fillId="0" borderId="21" xfId="0" applyNumberFormat="1" applyFont="1" applyBorder="1" applyAlignment="1">
      <alignment vertical="center"/>
    </xf>
    <xf numFmtId="165" fontId="31" fillId="0" borderId="20" xfId="0" applyNumberFormat="1" applyFont="1" applyBorder="1" applyAlignment="1">
      <alignment vertical="center"/>
    </xf>
    <xf numFmtId="165" fontId="31" fillId="0" borderId="19" xfId="0" applyNumberFormat="1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9" borderId="0" xfId="0" applyFont="1" applyFill="1" applyAlignment="1">
      <alignment horizontal="center" vertical="center"/>
    </xf>
    <xf numFmtId="5" fontId="46" fillId="9" borderId="0" xfId="1" applyNumberFormat="1" applyFont="1" applyFill="1" applyBorder="1" applyAlignment="1">
      <alignment vertical="center"/>
    </xf>
    <xf numFmtId="5" fontId="46" fillId="9" borderId="10" xfId="1" applyNumberFormat="1" applyFont="1" applyFill="1" applyBorder="1" applyAlignment="1">
      <alignment vertical="center"/>
    </xf>
    <xf numFmtId="5" fontId="46" fillId="9" borderId="0" xfId="1" applyNumberFormat="1" applyFont="1" applyFill="1" applyAlignment="1">
      <alignment vertical="center"/>
    </xf>
    <xf numFmtId="165" fontId="31" fillId="15" borderId="20" xfId="0" applyNumberFormat="1" applyFont="1" applyFill="1" applyBorder="1" applyAlignment="1">
      <alignment vertical="center"/>
    </xf>
    <xf numFmtId="165" fontId="31" fillId="15" borderId="19" xfId="0" applyNumberFormat="1" applyFont="1" applyFill="1" applyBorder="1" applyAlignment="1">
      <alignment vertical="center"/>
    </xf>
    <xf numFmtId="0" fontId="31" fillId="0" borderId="25" xfId="0" applyFont="1" applyBorder="1" applyAlignment="1">
      <alignment horizontal="center" vertical="center"/>
    </xf>
    <xf numFmtId="0" fontId="31" fillId="0" borderId="25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48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vertical="center"/>
    </xf>
    <xf numFmtId="0" fontId="48" fillId="0" borderId="0" xfId="0" applyFont="1" applyAlignment="1">
      <alignment vertical="center"/>
    </xf>
    <xf numFmtId="165" fontId="48" fillId="0" borderId="11" xfId="0" applyNumberFormat="1" applyFont="1" applyBorder="1" applyAlignment="1">
      <alignment vertical="center"/>
    </xf>
    <xf numFmtId="165" fontId="48" fillId="0" borderId="4" xfId="0" applyNumberFormat="1" applyFont="1" applyBorder="1" applyAlignment="1">
      <alignment vertical="center"/>
    </xf>
    <xf numFmtId="165" fontId="48" fillId="0" borderId="12" xfId="0" applyNumberFormat="1" applyFont="1" applyBorder="1" applyAlignment="1">
      <alignment vertical="center"/>
    </xf>
    <xf numFmtId="165" fontId="48" fillId="15" borderId="4" xfId="0" applyNumberFormat="1" applyFont="1" applyFill="1" applyBorder="1" applyAlignment="1">
      <alignment vertical="center"/>
    </xf>
    <xf numFmtId="165" fontId="48" fillId="15" borderId="12" xfId="0" applyNumberFormat="1" applyFont="1" applyFill="1" applyBorder="1" applyAlignment="1">
      <alignment vertical="center"/>
    </xf>
    <xf numFmtId="0" fontId="47" fillId="0" borderId="0" xfId="0" applyFont="1"/>
    <xf numFmtId="0" fontId="48" fillId="0" borderId="26" xfId="0" applyFont="1" applyBorder="1" applyAlignment="1">
      <alignment horizontal="center"/>
    </xf>
    <xf numFmtId="0" fontId="48" fillId="0" borderId="26" xfId="0" applyFont="1" applyBorder="1"/>
    <xf numFmtId="0" fontId="48" fillId="0" borderId="0" xfId="0" applyFont="1"/>
    <xf numFmtId="0" fontId="49" fillId="0" borderId="26" xfId="2" applyFont="1" applyBorder="1"/>
    <xf numFmtId="165" fontId="48" fillId="0" borderId="4" xfId="0" applyNumberFormat="1" applyFont="1" applyBorder="1"/>
    <xf numFmtId="165" fontId="48" fillId="0" borderId="12" xfId="0" applyNumberFormat="1" applyFont="1" applyBorder="1"/>
    <xf numFmtId="0" fontId="48" fillId="0" borderId="4" xfId="0" applyFont="1" applyBorder="1"/>
    <xf numFmtId="0" fontId="48" fillId="0" borderId="12" xfId="0" applyFont="1" applyBorder="1"/>
    <xf numFmtId="11" fontId="0" fillId="0" borderId="0" xfId="0" applyNumberFormat="1"/>
    <xf numFmtId="0" fontId="46" fillId="9" borderId="0" xfId="0" applyFont="1" applyFill="1" applyAlignment="1">
      <alignment vertical="center"/>
    </xf>
    <xf numFmtId="0" fontId="46" fillId="9" borderId="31" xfId="0" applyFont="1" applyFill="1" applyBorder="1" applyAlignment="1">
      <alignment vertical="center"/>
    </xf>
    <xf numFmtId="0" fontId="31" fillId="0" borderId="32" xfId="0" applyFont="1" applyBorder="1" applyAlignment="1">
      <alignment vertical="center"/>
    </xf>
    <xf numFmtId="0" fontId="48" fillId="0" borderId="33" xfId="0" applyFont="1" applyBorder="1" applyAlignment="1">
      <alignment vertical="center"/>
    </xf>
    <xf numFmtId="9" fontId="48" fillId="0" borderId="33" xfId="0" applyNumberFormat="1" applyFont="1" applyBorder="1" applyAlignment="1">
      <alignment horizontal="left" vertical="center"/>
    </xf>
    <xf numFmtId="0" fontId="1" fillId="5" borderId="34" xfId="0" applyFont="1" applyFill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37" fillId="0" borderId="33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39" fillId="0" borderId="33" xfId="0" applyFont="1" applyBorder="1" applyAlignment="1">
      <alignment vertical="center"/>
    </xf>
    <xf numFmtId="0" fontId="41" fillId="0" borderId="33" xfId="0" applyFont="1" applyBorder="1" applyAlignment="1">
      <alignment vertical="center"/>
    </xf>
    <xf numFmtId="0" fontId="1" fillId="5" borderId="33" xfId="0" applyFont="1" applyFill="1" applyBorder="1" applyAlignment="1">
      <alignment vertical="center"/>
    </xf>
    <xf numFmtId="0" fontId="39" fillId="0" borderId="31" xfId="0" applyFont="1" applyBorder="1" applyAlignment="1">
      <alignment vertical="center"/>
    </xf>
    <xf numFmtId="10" fontId="48" fillId="0" borderId="33" xfId="0" applyNumberFormat="1" applyFont="1" applyBorder="1" applyAlignment="1">
      <alignment horizontal="left" vertical="center"/>
    </xf>
    <xf numFmtId="0" fontId="31" fillId="0" borderId="35" xfId="0" applyFont="1" applyBorder="1" applyAlignment="1">
      <alignment vertical="center"/>
    </xf>
    <xf numFmtId="0" fontId="48" fillId="0" borderId="36" xfId="0" applyFont="1" applyBorder="1"/>
    <xf numFmtId="0" fontId="1" fillId="5" borderId="36" xfId="0" applyFont="1" applyFill="1" applyBorder="1" applyAlignment="1">
      <alignment vertical="center"/>
    </xf>
    <xf numFmtId="0" fontId="37" fillId="0" borderId="36" xfId="0" applyFont="1" applyBorder="1" applyAlignment="1">
      <alignment vertical="center"/>
    </xf>
    <xf numFmtId="0" fontId="39" fillId="0" borderId="37" xfId="0" applyFont="1" applyBorder="1" applyAlignment="1">
      <alignment vertical="center"/>
    </xf>
    <xf numFmtId="0" fontId="0" fillId="0" borderId="38" xfId="0" applyBorder="1"/>
    <xf numFmtId="0" fontId="51" fillId="0" borderId="0" xfId="0" applyFont="1"/>
    <xf numFmtId="0" fontId="51" fillId="0" borderId="0" xfId="0" applyFont="1" applyAlignment="1">
      <alignment horizontal="center"/>
    </xf>
    <xf numFmtId="0" fontId="51" fillId="0" borderId="39" xfId="0" applyFont="1" applyBorder="1" applyAlignment="1">
      <alignment horizontal="center"/>
    </xf>
    <xf numFmtId="0" fontId="51" fillId="0" borderId="0" xfId="0" applyFont="1" applyAlignment="1">
      <alignment horizontal="left" indent="3"/>
    </xf>
    <xf numFmtId="0" fontId="8" fillId="0" borderId="4" xfId="0" applyFont="1" applyBorder="1"/>
    <xf numFmtId="5" fontId="1" fillId="0" borderId="11" xfId="0" applyNumberFormat="1" applyFont="1" applyBorder="1"/>
    <xf numFmtId="5" fontId="1" fillId="0" borderId="4" xfId="0" applyNumberFormat="1" applyFont="1" applyBorder="1"/>
    <xf numFmtId="5" fontId="1" fillId="0" borderId="12" xfId="0" applyNumberFormat="1" applyFont="1" applyBorder="1"/>
    <xf numFmtId="5" fontId="1" fillId="0" borderId="11" xfId="1" applyNumberFormat="1" applyFont="1" applyBorder="1"/>
    <xf numFmtId="5" fontId="1" fillId="0" borderId="4" xfId="1" applyNumberFormat="1" applyFont="1" applyBorder="1"/>
    <xf numFmtId="5" fontId="1" fillId="0" borderId="12" xfId="1" applyNumberFormat="1" applyFont="1" applyBorder="1"/>
    <xf numFmtId="5" fontId="2" fillId="0" borderId="11" xfId="1" applyNumberFormat="1" applyFont="1" applyBorder="1"/>
    <xf numFmtId="5" fontId="2" fillId="0" borderId="4" xfId="1" applyNumberFormat="1" applyFont="1" applyBorder="1"/>
    <xf numFmtId="5" fontId="2" fillId="0" borderId="12" xfId="1" applyNumberFormat="1" applyFont="1" applyBorder="1"/>
    <xf numFmtId="0" fontId="34" fillId="0" borderId="0" xfId="0" applyFont="1"/>
    <xf numFmtId="164" fontId="0" fillId="0" borderId="0" xfId="1" applyNumberFormat="1" applyFont="1"/>
    <xf numFmtId="0" fontId="52" fillId="0" borderId="0" xfId="0" applyFont="1"/>
    <xf numFmtId="164" fontId="52" fillId="0" borderId="0" xfId="1" applyNumberFormat="1" applyFont="1"/>
    <xf numFmtId="164" fontId="25" fillId="0" borderId="0" xfId="1" applyNumberFormat="1" applyFont="1"/>
    <xf numFmtId="49" fontId="46" fillId="0" borderId="0" xfId="0" applyNumberFormat="1" applyFont="1" applyAlignment="1">
      <alignment vertical="center"/>
    </xf>
    <xf numFmtId="49" fontId="31" fillId="0" borderId="0" xfId="0" applyNumberFormat="1" applyFont="1" applyAlignment="1">
      <alignment vertical="center"/>
    </xf>
    <xf numFmtId="49" fontId="35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/>
    <xf numFmtId="164" fontId="54" fillId="0" borderId="0" xfId="0" applyNumberFormat="1" applyFont="1"/>
    <xf numFmtId="0" fontId="55" fillId="0" borderId="0" xfId="0" applyFont="1"/>
    <xf numFmtId="170" fontId="55" fillId="0" borderId="0" xfId="0" applyNumberFormat="1" applyFont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56" fillId="0" borderId="0" xfId="0" applyFont="1"/>
    <xf numFmtId="0" fontId="57" fillId="0" borderId="0" xfId="0" applyFont="1" applyAlignment="1">
      <alignment horizontal="left" indent="7"/>
    </xf>
    <xf numFmtId="0" fontId="58" fillId="0" borderId="0" xfId="0" applyFont="1"/>
    <xf numFmtId="0" fontId="59" fillId="0" borderId="0" xfId="0" applyFont="1" applyAlignment="1">
      <alignment horizontal="left"/>
    </xf>
    <xf numFmtId="0" fontId="60" fillId="0" borderId="0" xfId="0" applyFont="1"/>
    <xf numFmtId="0" fontId="57" fillId="0" borderId="0" xfId="0" applyFont="1" applyAlignment="1">
      <alignment horizontal="left"/>
    </xf>
    <xf numFmtId="0" fontId="61" fillId="0" borderId="0" xfId="0" applyFont="1"/>
    <xf numFmtId="0" fontId="11" fillId="0" borderId="0" xfId="0" applyFont="1" applyAlignment="1">
      <alignment horizontal="right"/>
    </xf>
    <xf numFmtId="0" fontId="62" fillId="0" borderId="0" xfId="0" applyFont="1"/>
    <xf numFmtId="164" fontId="62" fillId="0" borderId="0" xfId="1" applyNumberFormat="1" applyFont="1"/>
    <xf numFmtId="164" fontId="1" fillId="0" borderId="0" xfId="1" applyNumberFormat="1" applyFont="1"/>
    <xf numFmtId="164" fontId="63" fillId="0" borderId="0" xfId="1" applyNumberFormat="1" applyFont="1"/>
    <xf numFmtId="164" fontId="64" fillId="0" borderId="0" xfId="1" applyNumberFormat="1" applyFont="1"/>
    <xf numFmtId="164" fontId="65" fillId="0" borderId="0" xfId="0" applyNumberFormat="1" applyFont="1"/>
    <xf numFmtId="170" fontId="66" fillId="0" borderId="0" xfId="0" applyNumberFormat="1" applyFont="1"/>
    <xf numFmtId="0" fontId="67" fillId="0" borderId="0" xfId="0" applyFont="1"/>
    <xf numFmtId="0" fontId="68" fillId="0" borderId="0" xfId="0" applyFont="1"/>
    <xf numFmtId="164" fontId="68" fillId="0" borderId="0" xfId="1" applyNumberFormat="1" applyFont="1"/>
    <xf numFmtId="0" fontId="69" fillId="0" borderId="0" xfId="0" applyFont="1"/>
    <xf numFmtId="170" fontId="70" fillId="0" borderId="0" xfId="0" applyNumberFormat="1" applyFont="1"/>
    <xf numFmtId="171" fontId="61" fillId="0" borderId="0" xfId="1" applyNumberFormat="1" applyFont="1"/>
    <xf numFmtId="49" fontId="0" fillId="10" borderId="0" xfId="0" applyNumberFormat="1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4" fillId="2" borderId="1" xfId="0" applyFont="1" applyFill="1" applyBorder="1"/>
    <xf numFmtId="0" fontId="4" fillId="2" borderId="2" xfId="0" applyFont="1" applyFill="1" applyBorder="1"/>
    <xf numFmtId="0" fontId="0" fillId="0" borderId="20" xfId="0" applyBorder="1"/>
    <xf numFmtId="164" fontId="0" fillId="0" borderId="20" xfId="1" applyNumberFormat="1" applyFont="1" applyBorder="1"/>
    <xf numFmtId="164" fontId="0" fillId="0" borderId="0" xfId="0" applyNumberFormat="1"/>
    <xf numFmtId="0" fontId="0" fillId="0" borderId="0" xfId="0" quotePrefix="1"/>
    <xf numFmtId="166" fontId="0" fillId="0" borderId="0" xfId="0" applyNumberFormat="1"/>
    <xf numFmtId="164" fontId="0" fillId="0" borderId="4" xfId="1" applyNumberFormat="1" applyFont="1" applyFill="1" applyBorder="1"/>
    <xf numFmtId="5" fontId="0" fillId="0" borderId="4" xfId="1" applyNumberFormat="1" applyFont="1" applyFill="1" applyBorder="1"/>
    <xf numFmtId="164" fontId="2" fillId="0" borderId="4" xfId="1" applyNumberFormat="1" applyFont="1" applyFill="1" applyBorder="1"/>
    <xf numFmtId="0" fontId="4" fillId="26" borderId="0" xfId="0" applyFont="1" applyFill="1" applyAlignment="1">
      <alignment horizontal="centerContinuous" vertical="center"/>
    </xf>
    <xf numFmtId="0" fontId="4" fillId="26" borderId="7" xfId="0" applyFont="1" applyFill="1" applyBorder="1" applyAlignment="1">
      <alignment vertical="center"/>
    </xf>
    <xf numFmtId="0" fontId="4" fillId="26" borderId="2" xfId="0" applyFont="1" applyFill="1" applyBorder="1" applyAlignment="1">
      <alignment vertical="center"/>
    </xf>
    <xf numFmtId="164" fontId="0" fillId="0" borderId="11" xfId="1" applyNumberFormat="1" applyFont="1" applyFill="1" applyBorder="1"/>
    <xf numFmtId="164" fontId="2" fillId="0" borderId="11" xfId="1" applyNumberFormat="1" applyFont="1" applyFill="1" applyBorder="1"/>
    <xf numFmtId="0" fontId="0" fillId="0" borderId="40" xfId="0" applyBorder="1"/>
    <xf numFmtId="0" fontId="0" fillId="0" borderId="41" xfId="0" applyBorder="1"/>
    <xf numFmtId="0" fontId="14" fillId="26" borderId="1" xfId="0" applyFont="1" applyFill="1" applyBorder="1" applyAlignment="1">
      <alignment horizontal="centerContinuous" vertical="center"/>
    </xf>
    <xf numFmtId="0" fontId="14" fillId="26" borderId="6" xfId="0" applyFont="1" applyFill="1" applyBorder="1" applyAlignment="1">
      <alignment horizontal="centerContinuous" vertical="center"/>
    </xf>
    <xf numFmtId="0" fontId="14" fillId="26" borderId="2" xfId="0" applyFont="1" applyFill="1" applyBorder="1" applyAlignment="1">
      <alignment vertical="center"/>
    </xf>
    <xf numFmtId="0" fontId="14" fillId="26" borderId="8" xfId="0" applyFont="1" applyFill="1" applyBorder="1" applyAlignment="1">
      <alignment vertical="center"/>
    </xf>
    <xf numFmtId="165" fontId="48" fillId="0" borderId="42" xfId="0" applyNumberFormat="1" applyFont="1" applyBorder="1" applyAlignment="1">
      <alignment vertical="center"/>
    </xf>
    <xf numFmtId="165" fontId="48" fillId="0" borderId="42" xfId="0" applyNumberFormat="1" applyFont="1" applyBorder="1"/>
    <xf numFmtId="165" fontId="1" fillId="5" borderId="42" xfId="0" applyNumberFormat="1" applyFont="1" applyFill="1" applyBorder="1" applyAlignment="1">
      <alignment vertical="center"/>
    </xf>
    <xf numFmtId="165" fontId="37" fillId="0" borderId="42" xfId="0" applyNumberFormat="1" applyFont="1" applyBorder="1" applyAlignment="1">
      <alignment vertical="center"/>
    </xf>
    <xf numFmtId="165" fontId="39" fillId="0" borderId="42" xfId="0" applyNumberFormat="1" applyFont="1" applyBorder="1" applyAlignment="1">
      <alignment horizontal="right" vertical="center"/>
    </xf>
    <xf numFmtId="165" fontId="39" fillId="0" borderId="43" xfId="0" applyNumberFormat="1" applyFont="1" applyBorder="1" applyAlignment="1">
      <alignment horizontal="center" vertical="center"/>
    </xf>
    <xf numFmtId="165" fontId="31" fillId="0" borderId="44" xfId="0" applyNumberFormat="1" applyFont="1" applyBorder="1" applyAlignment="1">
      <alignment vertical="center"/>
    </xf>
    <xf numFmtId="0" fontId="48" fillId="0" borderId="42" xfId="0" applyFont="1" applyBorder="1"/>
    <xf numFmtId="0" fontId="0" fillId="0" borderId="43" xfId="0" applyBorder="1"/>
    <xf numFmtId="5" fontId="46" fillId="9" borderId="43" xfId="1" applyNumberFormat="1" applyFont="1" applyFill="1" applyBorder="1" applyAlignment="1">
      <alignment vertical="center"/>
    </xf>
    <xf numFmtId="165" fontId="11" fillId="0" borderId="44" xfId="0" applyNumberFormat="1" applyFont="1" applyBorder="1" applyAlignment="1">
      <alignment vertical="center"/>
    </xf>
    <xf numFmtId="0" fontId="4" fillId="26" borderId="10" xfId="0" applyFont="1" applyFill="1" applyBorder="1" applyAlignment="1">
      <alignment horizontal="centerContinuous" vertical="center"/>
    </xf>
    <xf numFmtId="0" fontId="4" fillId="26" borderId="8" xfId="0" applyFont="1" applyFill="1" applyBorder="1" applyAlignment="1">
      <alignment vertical="center"/>
    </xf>
    <xf numFmtId="164" fontId="0" fillId="0" borderId="12" xfId="1" applyNumberFormat="1" applyFont="1" applyFill="1" applyBorder="1"/>
    <xf numFmtId="164" fontId="2" fillId="0" borderId="12" xfId="1" applyNumberFormat="1" applyFont="1" applyFill="1" applyBorder="1"/>
    <xf numFmtId="0" fontId="0" fillId="0" borderId="45" xfId="0" applyBorder="1"/>
    <xf numFmtId="166" fontId="24" fillId="5" borderId="0" xfId="0" applyNumberFormat="1" applyFont="1" applyFill="1"/>
    <xf numFmtId="164" fontId="0" fillId="23" borderId="4" xfId="1" applyNumberFormat="1" applyFont="1" applyFill="1" applyBorder="1"/>
    <xf numFmtId="5" fontId="0" fillId="23" borderId="4" xfId="1" applyNumberFormat="1" applyFont="1" applyFill="1" applyBorder="1"/>
    <xf numFmtId="164" fontId="2" fillId="23" borderId="4" xfId="1" applyNumberFormat="1" applyFont="1" applyFill="1" applyBorder="1"/>
    <xf numFmtId="5" fontId="0" fillId="0" borderId="12" xfId="1" applyNumberFormat="1" applyFont="1" applyFill="1" applyBorder="1"/>
    <xf numFmtId="5" fontId="0" fillId="23" borderId="4" xfId="0" applyNumberFormat="1" applyFill="1" applyBorder="1"/>
    <xf numFmtId="49" fontId="71" fillId="0" borderId="0" xfId="0" applyNumberFormat="1" applyFont="1"/>
    <xf numFmtId="0" fontId="71" fillId="0" borderId="4" xfId="0" applyFont="1" applyBorder="1"/>
    <xf numFmtId="0" fontId="72" fillId="0" borderId="4" xfId="0" applyFont="1" applyBorder="1"/>
    <xf numFmtId="0" fontId="71" fillId="0" borderId="0" xfId="0" applyFont="1"/>
    <xf numFmtId="5" fontId="71" fillId="0" borderId="11" xfId="0" applyNumberFormat="1" applyFont="1" applyBorder="1"/>
    <xf numFmtId="5" fontId="71" fillId="0" borderId="4" xfId="0" applyNumberFormat="1" applyFont="1" applyBorder="1"/>
    <xf numFmtId="5" fontId="71" fillId="0" borderId="12" xfId="0" applyNumberFormat="1" applyFont="1" applyBorder="1"/>
    <xf numFmtId="5" fontId="71" fillId="0" borderId="11" xfId="1" applyNumberFormat="1" applyFont="1" applyBorder="1"/>
    <xf numFmtId="5" fontId="71" fillId="0" borderId="4" xfId="1" applyNumberFormat="1" applyFont="1" applyBorder="1"/>
    <xf numFmtId="5" fontId="71" fillId="0" borderId="12" xfId="1" applyNumberFormat="1" applyFont="1" applyBorder="1"/>
    <xf numFmtId="0" fontId="71" fillId="5" borderId="0" xfId="0" applyFont="1" applyFill="1"/>
    <xf numFmtId="0" fontId="48" fillId="0" borderId="46" xfId="0" applyFont="1" applyBorder="1" applyAlignment="1">
      <alignment vertical="center"/>
    </xf>
    <xf numFmtId="9" fontId="48" fillId="0" borderId="47" xfId="0" applyNumberFormat="1" applyFont="1" applyBorder="1" applyAlignment="1">
      <alignment horizontal="left" vertical="center"/>
    </xf>
    <xf numFmtId="165" fontId="48" fillId="0" borderId="46" xfId="0" applyNumberFormat="1" applyFont="1" applyBorder="1" applyAlignment="1">
      <alignment vertical="center"/>
    </xf>
    <xf numFmtId="165" fontId="48" fillId="0" borderId="48" xfId="0" applyNumberFormat="1" applyFont="1" applyBorder="1" applyAlignment="1">
      <alignment vertical="center"/>
    </xf>
    <xf numFmtId="166" fontId="15" fillId="0" borderId="4" xfId="0" applyNumberFormat="1" applyFont="1" applyBorder="1" applyAlignment="1">
      <alignment horizontal="right" vertical="center"/>
    </xf>
    <xf numFmtId="0" fontId="15" fillId="0" borderId="12" xfId="0" applyFont="1" applyBorder="1" applyAlignment="1">
      <alignment horizontal="right" vertical="center"/>
    </xf>
    <xf numFmtId="173" fontId="33" fillId="0" borderId="4" xfId="0" applyNumberFormat="1" applyFont="1" applyBorder="1"/>
    <xf numFmtId="173" fontId="33" fillId="0" borderId="12" xfId="0" applyNumberFormat="1" applyFont="1" applyBorder="1"/>
    <xf numFmtId="165" fontId="31" fillId="13" borderId="20" xfId="0" applyNumberFormat="1" applyFont="1" applyFill="1" applyBorder="1" applyAlignment="1">
      <alignment vertical="center"/>
    </xf>
    <xf numFmtId="165" fontId="31" fillId="13" borderId="19" xfId="0" applyNumberFormat="1" applyFont="1" applyFill="1" applyBorder="1" applyAlignment="1">
      <alignment vertical="center"/>
    </xf>
    <xf numFmtId="165" fontId="48" fillId="13" borderId="4" xfId="0" applyNumberFormat="1" applyFont="1" applyFill="1" applyBorder="1" applyAlignment="1">
      <alignment vertical="center"/>
    </xf>
    <xf numFmtId="165" fontId="48" fillId="13" borderId="12" xfId="0" applyNumberFormat="1" applyFont="1" applyFill="1" applyBorder="1" applyAlignment="1">
      <alignment vertical="center"/>
    </xf>
    <xf numFmtId="165" fontId="39" fillId="13" borderId="4" xfId="0" applyNumberFormat="1" applyFont="1" applyFill="1" applyBorder="1" applyAlignment="1">
      <alignment horizontal="right" vertical="center"/>
    </xf>
    <xf numFmtId="165" fontId="39" fillId="13" borderId="12" xfId="0" applyNumberFormat="1" applyFont="1" applyFill="1" applyBorder="1" applyAlignment="1">
      <alignment horizontal="right" vertical="center"/>
    </xf>
    <xf numFmtId="0" fontId="4" fillId="26" borderId="1" xfId="0" applyFont="1" applyFill="1" applyBorder="1" applyAlignment="1">
      <alignment horizontal="centerContinuous"/>
    </xf>
    <xf numFmtId="0" fontId="4" fillId="26" borderId="0" xfId="0" applyFont="1" applyFill="1" applyAlignment="1">
      <alignment horizontal="right"/>
    </xf>
    <xf numFmtId="0" fontId="4" fillId="26" borderId="0" xfId="0" applyFont="1" applyFill="1" applyAlignment="1">
      <alignment horizontal="centerContinuous"/>
    </xf>
    <xf numFmtId="164" fontId="0" fillId="10" borderId="0" xfId="1" applyNumberFormat="1" applyFont="1" applyFill="1"/>
    <xf numFmtId="164" fontId="75" fillId="27" borderId="0" xfId="1" applyNumberFormat="1" applyFont="1" applyFill="1"/>
    <xf numFmtId="164" fontId="0" fillId="23" borderId="0" xfId="1" applyNumberFormat="1" applyFont="1" applyFill="1"/>
    <xf numFmtId="171" fontId="61" fillId="23" borderId="0" xfId="1" applyNumberFormat="1" applyFont="1" applyFill="1"/>
    <xf numFmtId="0" fontId="0" fillId="28" borderId="0" xfId="0" applyFill="1"/>
    <xf numFmtId="165" fontId="48" fillId="23" borderId="46" xfId="0" applyNumberFormat="1" applyFont="1" applyFill="1" applyBorder="1" applyAlignment="1">
      <alignment vertical="center"/>
    </xf>
    <xf numFmtId="0" fontId="76" fillId="0" borderId="0" xfId="0" applyFont="1" applyAlignment="1">
      <alignment vertical="center"/>
    </xf>
    <xf numFmtId="0" fontId="77" fillId="0" borderId="4" xfId="0" applyFont="1" applyBorder="1" applyAlignment="1">
      <alignment horizontal="center" vertical="center"/>
    </xf>
    <xf numFmtId="0" fontId="77" fillId="0" borderId="4" xfId="0" applyFont="1" applyBorder="1" applyAlignment="1">
      <alignment vertical="center"/>
    </xf>
    <xf numFmtId="0" fontId="77" fillId="0" borderId="33" xfId="0" applyFont="1" applyBorder="1" applyAlignment="1">
      <alignment vertical="center"/>
    </xf>
    <xf numFmtId="0" fontId="77" fillId="0" borderId="0" xfId="0" applyFont="1" applyAlignment="1">
      <alignment vertical="center"/>
    </xf>
    <xf numFmtId="165" fontId="77" fillId="0" borderId="4" xfId="0" applyNumberFormat="1" applyFont="1" applyBorder="1" applyAlignment="1">
      <alignment horizontal="center" vertical="center"/>
    </xf>
    <xf numFmtId="172" fontId="77" fillId="0" borderId="4" xfId="0" applyNumberFormat="1" applyFont="1" applyBorder="1" applyAlignment="1">
      <alignment horizontal="right" vertical="center"/>
    </xf>
    <xf numFmtId="172" fontId="77" fillId="0" borderId="12" xfId="0" applyNumberFormat="1" applyFont="1" applyBorder="1" applyAlignment="1">
      <alignment horizontal="right" vertical="center"/>
    </xf>
    <xf numFmtId="0" fontId="78" fillId="0" borderId="0" xfId="0" applyFont="1" applyAlignment="1">
      <alignment vertical="center"/>
    </xf>
    <xf numFmtId="0" fontId="54" fillId="0" borderId="4" xfId="0" applyFont="1" applyBorder="1" applyAlignment="1">
      <alignment horizontal="center" vertical="center"/>
    </xf>
    <xf numFmtId="0" fontId="54" fillId="0" borderId="4" xfId="0" applyFont="1" applyBorder="1" applyAlignment="1">
      <alignment vertical="center"/>
    </xf>
    <xf numFmtId="0" fontId="54" fillId="0" borderId="33" xfId="0" applyFont="1" applyBorder="1" applyAlignment="1">
      <alignment vertical="center"/>
    </xf>
    <xf numFmtId="0" fontId="54" fillId="0" borderId="0" xfId="0" applyFont="1" applyAlignment="1">
      <alignment vertical="center"/>
    </xf>
    <xf numFmtId="165" fontId="54" fillId="0" borderId="4" xfId="0" applyNumberFormat="1" applyFont="1" applyBorder="1" applyAlignment="1">
      <alignment horizontal="center" vertical="center"/>
    </xf>
    <xf numFmtId="165" fontId="54" fillId="0" borderId="4" xfId="0" applyNumberFormat="1" applyFont="1" applyBorder="1" applyAlignment="1">
      <alignment horizontal="right" vertical="center"/>
    </xf>
    <xf numFmtId="165" fontId="54" fillId="0" borderId="12" xfId="0" applyNumberFormat="1" applyFont="1" applyBorder="1" applyAlignment="1">
      <alignment horizontal="right" vertical="center"/>
    </xf>
    <xf numFmtId="165" fontId="77" fillId="0" borderId="4" xfId="0" applyNumberFormat="1" applyFont="1" applyBorder="1" applyAlignment="1">
      <alignment horizontal="right" vertical="center"/>
    </xf>
    <xf numFmtId="165" fontId="77" fillId="0" borderId="12" xfId="0" applyNumberFormat="1" applyFont="1" applyBorder="1" applyAlignment="1">
      <alignment horizontal="right" vertical="center"/>
    </xf>
    <xf numFmtId="165" fontId="77" fillId="0" borderId="42" xfId="0" applyNumberFormat="1" applyFont="1" applyBorder="1" applyAlignment="1">
      <alignment horizontal="right" vertical="center"/>
    </xf>
    <xf numFmtId="165" fontId="54" fillId="0" borderId="42" xfId="0" applyNumberFormat="1" applyFont="1" applyBorder="1" applyAlignment="1">
      <alignment horizontal="right" vertical="center"/>
    </xf>
    <xf numFmtId="172" fontId="54" fillId="0" borderId="4" xfId="0" applyNumberFormat="1" applyFont="1" applyBorder="1" applyAlignment="1">
      <alignment horizontal="right" vertical="center"/>
    </xf>
    <xf numFmtId="172" fontId="54" fillId="0" borderId="12" xfId="0" applyNumberFormat="1" applyFont="1" applyBorder="1" applyAlignment="1">
      <alignment horizontal="right" vertical="center"/>
    </xf>
    <xf numFmtId="0" fontId="4" fillId="2" borderId="49" xfId="0" applyFont="1" applyFill="1" applyBorder="1"/>
    <xf numFmtId="0" fontId="4" fillId="2" borderId="50" xfId="0" applyFont="1" applyFill="1" applyBorder="1"/>
    <xf numFmtId="164" fontId="0" fillId="0" borderId="32" xfId="1" applyNumberFormat="1" applyFont="1" applyBorder="1"/>
    <xf numFmtId="164" fontId="0" fillId="0" borderId="33" xfId="1" applyNumberFormat="1" applyFont="1" applyBorder="1"/>
    <xf numFmtId="164" fontId="0" fillId="0" borderId="31" xfId="0" applyNumberFormat="1" applyBorder="1"/>
    <xf numFmtId="166" fontId="0" fillId="0" borderId="31" xfId="0" applyNumberFormat="1" applyBorder="1"/>
    <xf numFmtId="164" fontId="0" fillId="0" borderId="31" xfId="1" applyNumberFormat="1" applyFont="1" applyBorder="1"/>
    <xf numFmtId="0" fontId="4" fillId="2" borderId="52" xfId="0" applyFont="1" applyFill="1" applyBorder="1"/>
    <xf numFmtId="0" fontId="4" fillId="2" borderId="53" xfId="0" applyFont="1" applyFill="1" applyBorder="1"/>
    <xf numFmtId="164" fontId="0" fillId="0" borderId="54" xfId="1" applyNumberFormat="1" applyFont="1" applyBorder="1"/>
    <xf numFmtId="164" fontId="0" fillId="0" borderId="55" xfId="1" applyNumberFormat="1" applyFont="1" applyBorder="1"/>
    <xf numFmtId="164" fontId="0" fillId="0" borderId="51" xfId="0" applyNumberFormat="1" applyBorder="1"/>
    <xf numFmtId="166" fontId="0" fillId="0" borderId="51" xfId="0" applyNumberFormat="1" applyBorder="1"/>
    <xf numFmtId="164" fontId="0" fillId="0" borderId="51" xfId="1" applyNumberFormat="1" applyFont="1" applyBorder="1"/>
    <xf numFmtId="0" fontId="0" fillId="0" borderId="51" xfId="0" applyBorder="1"/>
    <xf numFmtId="0" fontId="79" fillId="0" borderId="4" xfId="0" applyFont="1" applyBorder="1"/>
    <xf numFmtId="164" fontId="79" fillId="0" borderId="4" xfId="1" applyNumberFormat="1" applyFont="1" applyBorder="1"/>
    <xf numFmtId="164" fontId="79" fillId="0" borderId="55" xfId="1" applyNumberFormat="1" applyFont="1" applyBorder="1"/>
    <xf numFmtId="164" fontId="79" fillId="0" borderId="33" xfId="1" applyNumberFormat="1" applyFont="1" applyBorder="1"/>
    <xf numFmtId="0" fontId="79" fillId="0" borderId="0" xfId="0" applyFont="1"/>
    <xf numFmtId="0" fontId="1" fillId="23" borderId="0" xfId="0" applyFont="1" applyFill="1"/>
    <xf numFmtId="164" fontId="11" fillId="0" borderId="0" xfId="1" applyNumberFormat="1" applyFont="1"/>
    <xf numFmtId="164" fontId="11" fillId="0" borderId="51" xfId="1" applyNumberFormat="1" applyFont="1" applyBorder="1"/>
    <xf numFmtId="164" fontId="11" fillId="0" borderId="31" xfId="1" applyNumberFormat="1" applyFont="1" applyBorder="1"/>
    <xf numFmtId="7" fontId="76" fillId="0" borderId="0" xfId="0" applyNumberFormat="1" applyFont="1" applyAlignment="1">
      <alignment vertical="center"/>
    </xf>
    <xf numFmtId="164" fontId="76" fillId="0" borderId="0" xfId="1" applyNumberFormat="1" applyFont="1" applyAlignment="1">
      <alignment vertical="center"/>
    </xf>
    <xf numFmtId="164" fontId="78" fillId="0" borderId="0" xfId="1" applyNumberFormat="1" applyFont="1" applyAlignment="1">
      <alignment vertical="center"/>
    </xf>
    <xf numFmtId="174" fontId="78" fillId="0" borderId="0" xfId="0" applyNumberFormat="1" applyFont="1" applyAlignment="1">
      <alignment vertical="center"/>
    </xf>
    <xf numFmtId="165" fontId="11" fillId="23" borderId="20" xfId="0" applyNumberFormat="1" applyFont="1" applyFill="1" applyBorder="1" applyAlignment="1">
      <alignment vertical="center"/>
    </xf>
    <xf numFmtId="49" fontId="15" fillId="0" borderId="0" xfId="0" applyNumberFormat="1" applyFont="1"/>
    <xf numFmtId="0" fontId="15" fillId="0" borderId="4" xfId="0" applyFont="1" applyBorder="1"/>
    <xf numFmtId="0" fontId="22" fillId="0" borderId="4" xfId="0" applyFont="1" applyBorder="1"/>
    <xf numFmtId="0" fontId="15" fillId="0" borderId="0" xfId="0" applyFont="1"/>
    <xf numFmtId="0" fontId="15" fillId="5" borderId="0" xfId="0" applyFont="1" applyFill="1"/>
    <xf numFmtId="173" fontId="15" fillId="0" borderId="11" xfId="0" applyNumberFormat="1" applyFont="1" applyBorder="1"/>
    <xf numFmtId="173" fontId="15" fillId="0" borderId="4" xfId="0" applyNumberFormat="1" applyFont="1" applyBorder="1"/>
    <xf numFmtId="173" fontId="15" fillId="0" borderId="12" xfId="0" applyNumberFormat="1" applyFont="1" applyBorder="1"/>
    <xf numFmtId="43" fontId="0" fillId="0" borderId="11" xfId="1" applyFont="1" applyBorder="1"/>
    <xf numFmtId="43" fontId="0" fillId="0" borderId="4" xfId="1" applyFont="1" applyBorder="1"/>
    <xf numFmtId="43" fontId="0" fillId="0" borderId="12" xfId="1" applyFont="1" applyBorder="1"/>
    <xf numFmtId="175" fontId="0" fillId="0" borderId="11" xfId="1" applyNumberFormat="1" applyFont="1" applyBorder="1"/>
    <xf numFmtId="175" fontId="0" fillId="0" borderId="4" xfId="1" applyNumberFormat="1" applyFont="1" applyBorder="1"/>
    <xf numFmtId="175" fontId="0" fillId="0" borderId="12" xfId="1" applyNumberFormat="1" applyFont="1" applyBorder="1"/>
    <xf numFmtId="164" fontId="0" fillId="0" borderId="20" xfId="1" applyNumberFormat="1" applyFont="1" applyFill="1" applyBorder="1"/>
    <xf numFmtId="164" fontId="0" fillId="0" borderId="54" xfId="1" applyNumberFormat="1" applyFont="1" applyFill="1" applyBorder="1"/>
    <xf numFmtId="164" fontId="0" fillId="0" borderId="32" xfId="1" applyNumberFormat="1" applyFont="1" applyFill="1" applyBorder="1"/>
    <xf numFmtId="164" fontId="0" fillId="0" borderId="55" xfId="1" applyNumberFormat="1" applyFont="1" applyFill="1" applyBorder="1"/>
    <xf numFmtId="164" fontId="0" fillId="0" borderId="33" xfId="1" applyNumberFormat="1" applyFont="1" applyFill="1" applyBorder="1"/>
    <xf numFmtId="164" fontId="0" fillId="10" borderId="20" xfId="1" applyNumberFormat="1" applyFont="1" applyFill="1" applyBorder="1"/>
    <xf numFmtId="164" fontId="0" fillId="10" borderId="54" xfId="1" applyNumberFormat="1" applyFont="1" applyFill="1" applyBorder="1"/>
    <xf numFmtId="164" fontId="0" fillId="10" borderId="32" xfId="1" applyNumberFormat="1" applyFont="1" applyFill="1" applyBorder="1"/>
    <xf numFmtId="164" fontId="0" fillId="10" borderId="4" xfId="1" applyNumberFormat="1" applyFont="1" applyFill="1" applyBorder="1"/>
    <xf numFmtId="164" fontId="0" fillId="10" borderId="55" xfId="1" applyNumberFormat="1" applyFont="1" applyFill="1" applyBorder="1"/>
    <xf numFmtId="164" fontId="0" fillId="10" borderId="33" xfId="1" applyNumberFormat="1" applyFont="1" applyFill="1" applyBorder="1"/>
    <xf numFmtId="164" fontId="71" fillId="0" borderId="0" xfId="1" applyNumberFormat="1" applyFont="1"/>
    <xf numFmtId="164" fontId="27" fillId="0" borderId="0" xfId="1" applyNumberFormat="1" applyFont="1"/>
    <xf numFmtId="164" fontId="0" fillId="23" borderId="11" xfId="1" applyNumberFormat="1" applyFont="1" applyFill="1" applyBorder="1"/>
    <xf numFmtId="173" fontId="15" fillId="23" borderId="4" xfId="0" applyNumberFormat="1" applyFont="1" applyFill="1" applyBorder="1"/>
    <xf numFmtId="43" fontId="61" fillId="0" borderId="0" xfId="1" applyFont="1"/>
    <xf numFmtId="0" fontId="1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4" fillId="4" borderId="31" xfId="0" applyFont="1" applyFill="1" applyBorder="1" applyAlignment="1">
      <alignment vertical="center"/>
    </xf>
    <xf numFmtId="0" fontId="50" fillId="16" borderId="0" xfId="0" applyFont="1" applyFill="1" applyAlignment="1">
      <alignment horizontal="center" vertical="center"/>
    </xf>
    <xf numFmtId="0" fontId="14" fillId="11" borderId="0" xfId="0" applyFont="1" applyFill="1" applyAlignment="1">
      <alignment vertical="center"/>
    </xf>
    <xf numFmtId="0" fontId="14" fillId="11" borderId="3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22759"/>
      <color rgb="FFFFFF99"/>
      <color rgb="FFFF33CC"/>
      <color rgb="FFFF3399"/>
      <color rgb="FF007DC4"/>
      <color rgb="FF721F33"/>
      <color rgb="FF7C7F70"/>
      <color rgb="FF278A5B"/>
      <color rgb="FFC9C8CA"/>
      <color rgb="FFE3C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WSS01G</a:t>
            </a:r>
          </a:p>
        </c:rich>
      </c:tx>
      <c:layout>
        <c:manualLayout>
          <c:xMode val="edge"/>
          <c:yMode val="edge"/>
          <c:x val="0.31738209513508642"/>
          <c:y val="1.160665480315645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5.5139226488226507E-2"/>
          <c:w val="0.9343475479176766"/>
          <c:h val="0.84182644630684578"/>
        </c:manualLayout>
      </c:layout>
      <c:areaChart>
        <c:grouping val="standard"/>
        <c:varyColors val="0"/>
        <c:ser>
          <c:idx val="5"/>
          <c:order val="7"/>
          <c:tx>
            <c:strRef>
              <c:f>'Vẽ Biểu đồ'!$D$19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đồ'!$E$1:$AO$2</c15:sqref>
                  </c15:fullRef>
                </c:ext>
              </c:extLst>
              <c:f>'Vẽ Biểu đồ'!$E$1:$AO$2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đồ'!$E$19:$AO$19</c15:sqref>
                  </c15:fullRef>
                </c:ext>
              </c:extLst>
              <c:f>('Vẽ Biểu đồ'!$E$19:$AF$19,'Vẽ Biểu đồ'!$AO$19)</c:f>
              <c:numCache>
                <c:formatCode>_(* #,##0_);_(* \(#,##0\);_(* "-"??_);_(@_)</c:formatCode>
                <c:ptCount val="29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4-46B0-9772-0AB88141E4EF}"/>
            </c:ext>
          </c:extLst>
        </c:ser>
        <c:ser>
          <c:idx val="4"/>
          <c:order val="8"/>
          <c:tx>
            <c:strRef>
              <c:f>'Vẽ Biểu đồ'!$D$20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đồ'!$E$1:$AO$2</c15:sqref>
                  </c15:fullRef>
                </c:ext>
              </c:extLst>
              <c:f>'Vẽ Biểu đồ'!$E$1:$AO$2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đồ'!$E$20:$AO$20</c15:sqref>
                  </c15:fullRef>
                </c:ext>
              </c:extLst>
              <c:f>('Vẽ Biểu đồ'!$E$20:$AF$20,'Vẽ Biểu đồ'!$AO$20)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C0E1C47-8DA6-47AD-AFF4-FF965CC448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36A18E-C9D2-4576-BAC4-9F79613054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275F176-2B5C-4192-81E7-7C94518FB6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20B735-DAAB-499C-A96A-195C710DFF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F0E12D-FF52-4CAE-86B6-1F1429F078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782F641-F23A-4D02-ACF1-98BA9225C9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7F4E41B-03F9-46F0-8B25-618866E6A1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0FE2B45-3CF7-4C2F-A9D0-97F93CEDCB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60D0319-427A-4426-A395-726B28645E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7D3BD31-9000-4BD7-A402-B37BDC49B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2F0BAEC-730D-4702-9792-CEC9EBF13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0BCD063-0FBB-4887-ADC8-5EAD91BA5D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814-46B0-9772-0AB88141E4EF}"/>
                </c:ext>
              </c:extLst>
            </c:dLbl>
            <c:dLbl>
              <c:idx val="12"/>
              <c:layout>
                <c:manualLayout>
                  <c:x val="-1.257160038153248E-2"/>
                  <c:y val="-3.1472688990824399E-3"/>
                </c:manualLayout>
              </c:layout>
              <c:tx>
                <c:rich>
                  <a:bodyPr/>
                  <a:lstStyle/>
                  <a:p>
                    <a:fld id="{D506E066-D374-4A46-8D9F-5C37F8B921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814-46B0-9772-0AB88141E4EF}"/>
                </c:ext>
              </c:extLst>
            </c:dLbl>
            <c:dLbl>
              <c:idx val="13"/>
              <c:layout>
                <c:manualLayout>
                  <c:x val="-2.2110985433498622E-2"/>
                  <c:y val="-1.5023755310714326E-2"/>
                </c:manualLayout>
              </c:layout>
              <c:tx>
                <c:rich>
                  <a:bodyPr/>
                  <a:lstStyle/>
                  <a:p>
                    <a:fld id="{FB6B725F-B004-431A-8C6F-DAAA3368A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814-46B0-9772-0AB88141E4EF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8080710B-9CB8-4115-BBF0-C63C13ACE6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7FEF499-C2E0-41DC-84EF-1654AFDF33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60CBDCF-F533-43A8-848A-8BD315A76A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49DB389-C64C-4A48-AF9E-CAC3470D87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EC3CA28-E4E6-428A-8966-64270CF12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8693A21-2B6F-403E-A19C-2418DE940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5C3BC41-B388-48D4-BDA4-49636A9A6B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61427AF-C289-41E0-93CA-7A915040C9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47994D9-FC65-429D-851F-E41450DCE1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2F9E7F1-CC55-4F08-8A53-281606AFCC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58-4173-887D-D0A79A793F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54FE003-22DA-4FBC-B5B3-88B610743A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D97-4426-B978-F975CACE417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B98503E-231D-4655-822D-98C92747DC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D97-4426-B978-F975CACE417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C1738C0-A68B-4F95-B072-0894CB5A0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D97-4426-B978-F975CACE417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7E049A8-2B59-4E4B-AE92-6C4C3D857C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D97-4426-B978-F975CACE417B}"/>
                </c:ext>
              </c:extLst>
            </c:dLbl>
            <c:dLbl>
              <c:idx val="28"/>
              <c:layout>
                <c:manualLayout>
                  <c:x val="-9.7714718132802456E-3"/>
                  <c:y val="1.19189511323003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F37736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AC7C4AC-0FBD-46CE-BBE5-9199D1177B1A}" type="CELLRANGE">
                      <a:rPr lang="en-US"/>
                      <a:pPr>
                        <a:defRPr sz="1200" b="1">
                          <a:solidFill>
                            <a:srgbClr val="F37736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37736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đồ'!$E$8:$AF$8,'Vẽ Biểu đồ'!$AO$8)</c:f>
              <c:numCache>
                <c:formatCode>_(* #,##0_);_(* \(#,##0\);_(* "-"??_);_(@_)</c:formatCode>
                <c:ptCount val="29"/>
                <c:pt idx="0">
                  <c:v>1162</c:v>
                </c:pt>
                <c:pt idx="1">
                  <c:v>1162</c:v>
                </c:pt>
                <c:pt idx="2">
                  <c:v>1162</c:v>
                </c:pt>
                <c:pt idx="3">
                  <c:v>1162</c:v>
                </c:pt>
                <c:pt idx="4">
                  <c:v>1162</c:v>
                </c:pt>
                <c:pt idx="5">
                  <c:v>1162.8864999999998</c:v>
                </c:pt>
                <c:pt idx="6">
                  <c:v>1176.184</c:v>
                </c:pt>
                <c:pt idx="7">
                  <c:v>1187.7085</c:v>
                </c:pt>
                <c:pt idx="8">
                  <c:v>1203.9610000000002</c:v>
                </c:pt>
                <c:pt idx="9">
                  <c:v>1222.42975</c:v>
                </c:pt>
                <c:pt idx="10">
                  <c:v>1242.5237500000001</c:v>
                </c:pt>
                <c:pt idx="11">
                  <c:v>1251.3887500000001</c:v>
                </c:pt>
                <c:pt idx="12">
                  <c:v>1249.5418749999999</c:v>
                </c:pt>
                <c:pt idx="13">
                  <c:v>1225.409374999999</c:v>
                </c:pt>
                <c:pt idx="14">
                  <c:v>1200.2918749999992</c:v>
                </c:pt>
                <c:pt idx="15">
                  <c:v>1179.5818000000002</c:v>
                </c:pt>
                <c:pt idx="16">
                  <c:v>1180.6849999999999</c:v>
                </c:pt>
                <c:pt idx="17">
                  <c:v>1183.6400000000001</c:v>
                </c:pt>
                <c:pt idx="18">
                  <c:v>1183.6400000000001</c:v>
                </c:pt>
                <c:pt idx="19">
                  <c:v>1175.002</c:v>
                </c:pt>
                <c:pt idx="20">
                  <c:v>1162</c:v>
                </c:pt>
                <c:pt idx="21">
                  <c:v>1162</c:v>
                </c:pt>
                <c:pt idx="22">
                  <c:v>1162</c:v>
                </c:pt>
                <c:pt idx="23">
                  <c:v>1063.5</c:v>
                </c:pt>
                <c:pt idx="24">
                  <c:v>1043.8</c:v>
                </c:pt>
                <c:pt idx="25">
                  <c:v>1014.25</c:v>
                </c:pt>
                <c:pt idx="26">
                  <c:v>1025.33125</c:v>
                </c:pt>
                <c:pt idx="27">
                  <c:v>1182.6849999999999</c:v>
                </c:pt>
                <c:pt idx="28">
                  <c:v>1182.6849999999999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1,162 </c:v>
                  </c:pt>
                  <c:pt idx="4">
                    <c:v> 1,162 </c:v>
                  </c:pt>
                  <c:pt idx="5">
                    <c:v> 1,163 </c:v>
                  </c:pt>
                  <c:pt idx="6">
                    <c:v> 1,176 </c:v>
                  </c:pt>
                  <c:pt idx="7">
                    <c:v> 1,188 </c:v>
                  </c:pt>
                  <c:pt idx="8">
                    <c:v> 1,204 </c:v>
                  </c:pt>
                  <c:pt idx="9">
                    <c:v> 1,222 </c:v>
                  </c:pt>
                  <c:pt idx="10">
                    <c:v> 1,243 </c:v>
                  </c:pt>
                  <c:pt idx="11">
                    <c:v> 1,251 </c:v>
                  </c:pt>
                  <c:pt idx="12">
                    <c:v> 1,250 </c:v>
                  </c:pt>
                  <c:pt idx="13">
                    <c:v> 1,225 </c:v>
                  </c:pt>
                  <c:pt idx="14">
                    <c:v> 1,200 </c:v>
                  </c:pt>
                  <c:pt idx="15">
                    <c:v> 1,180 </c:v>
                  </c:pt>
                  <c:pt idx="16">
                    <c:v> 1,181 </c:v>
                  </c:pt>
                  <c:pt idx="17">
                    <c:v> 1,184 </c:v>
                  </c:pt>
                  <c:pt idx="18">
                    <c:v> 1,184 </c:v>
                  </c:pt>
                  <c:pt idx="19">
                    <c:v> 1,175 </c:v>
                  </c:pt>
                  <c:pt idx="20">
                    <c:v> 1,162 </c:v>
                  </c:pt>
                  <c:pt idx="22">
                    <c:v> 1,162 </c:v>
                  </c:pt>
                  <c:pt idx="23">
                    <c:v> 1,064 </c:v>
                  </c:pt>
                  <c:pt idx="24">
                    <c:v> 1,044 </c:v>
                  </c:pt>
                  <c:pt idx="25">
                    <c:v> 1,014 </c:v>
                  </c:pt>
                  <c:pt idx="26">
                    <c:v> 1,025 </c:v>
                  </c:pt>
                  <c:pt idx="27">
                    <c:v> 1,183 </c:v>
                  </c:pt>
                  <c:pt idx="29">
                    <c:v> 1,183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814-46B0-9772-0AB88141E4EF}"/>
            </c:ext>
          </c:extLst>
        </c:ser>
        <c:ser>
          <c:idx val="9"/>
          <c:order val="1"/>
          <c:tx>
            <c:strRef>
              <c:f>'Vẽ Biểu đồ'!$D$9</c:f>
              <c:strCache>
                <c:ptCount val="1"/>
                <c:pt idx="0">
                  <c:v>SHEPLEY (NIAGARA NON-US)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D97-4426-B978-F975CACE41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D97-4426-B978-F975CACE41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D97-4426-B978-F975CACE41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D97-4426-B978-F975CACE417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D97-4426-B978-F975CACE417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D97-4426-B978-F975CACE417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D97-4426-B978-F975CACE417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D97-4426-B978-F975CACE417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D97-4426-B978-F975CACE417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D97-4426-B978-F975CACE417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D97-4426-B978-F975CACE417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D97-4426-B978-F975CACE417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D97-4426-B978-F975CACE417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D97-4426-B978-F975CACE417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0D97-4426-B978-F975CACE417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0D97-4426-B978-F975CACE417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D97-4426-B978-F975CACE417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D97-4426-B978-F975CACE417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D97-4426-B978-F975CACE417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D97-4426-B978-F975CACE417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D97-4426-B978-F975CACE417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0D97-4426-B978-F975CACE417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0D97-4426-B978-F975CACE417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ED01FE6-BB78-4954-8ACF-1CFE2988FB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0D97-4426-B978-F975CACE417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DE11F9A-8605-4FFB-A240-F9166CB17D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0D97-4426-B978-F975CACE417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054C791-B1CB-4C0B-89B9-D22577577A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0D97-4426-B978-F975CACE417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D22959C-6404-442E-A0A4-300F3C13E2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0D97-4426-B978-F975CACE417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9D29654-719B-421F-A9C5-DBA5E1DA0F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0D97-4426-B978-F975CACE417B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rgbClr val="721F33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26D4545-9F7D-4BED-BB94-F7410DDF4F1B}" type="CELLRANGE">
                      <a:rPr lang="en-US"/>
                      <a:pPr>
                        <a:defRPr sz="1300" b="1">
                          <a:solidFill>
                            <a:srgbClr val="721F33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721F33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0D97-4426-B978-F975CACE41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21F33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đồ'!$E$9:$AF$9,'Vẽ Biểu đồ'!$AO$9)</c:f>
              <c:numCache>
                <c:formatCode>_(* #,##0_);_(* \(#,##0\);_(* "-"??_);_(@_)</c:formatCode>
                <c:ptCount val="29"/>
                <c:pt idx="23">
                  <c:v>1063.5</c:v>
                </c:pt>
                <c:pt idx="24">
                  <c:v>1083.2</c:v>
                </c:pt>
                <c:pt idx="25">
                  <c:v>1053.6500000000001</c:v>
                </c:pt>
                <c:pt idx="26">
                  <c:v>1064.73125</c:v>
                </c:pt>
                <c:pt idx="27">
                  <c:v>1112.75</c:v>
                </c:pt>
                <c:pt idx="28">
                  <c:v>1112.75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23">
                    <c:v> 1,064 </c:v>
                  </c:pt>
                  <c:pt idx="24">
                    <c:v> 1,083 </c:v>
                  </c:pt>
                  <c:pt idx="25">
                    <c:v> 1,054 </c:v>
                  </c:pt>
                  <c:pt idx="26">
                    <c:v> 1,065 </c:v>
                  </c:pt>
                  <c:pt idx="27">
                    <c:v> 1,113 </c:v>
                  </c:pt>
                  <c:pt idx="29">
                    <c:v> 1,113 </c:v>
                  </c:pt>
                  <c:pt idx="36">
                    <c:v>SHEPLEY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6-0D97-4426-B978-F975CACE417B}"/>
            </c:ext>
          </c:extLst>
        </c:ser>
        <c:ser>
          <c:idx val="8"/>
          <c:order val="2"/>
          <c:tx>
            <c:strRef>
              <c:f>'Vẽ Biểu đồ'!$D$10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FB43083-0116-43BF-9543-3D5680C83D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B98-45F4-A574-517C82556A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B3D592-7A2F-4CA8-9081-BACA91208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B98-45F4-A574-517C82556A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6C0D82A-FE13-46B5-948C-DC19ADA43B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B98-45F4-A574-517C82556A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E6215A5-262B-4289-BA30-83ECB4FA3F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B98-45F4-A574-517C82556AD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B4E53E7-F527-441C-86B7-675EC1ED40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B98-45F4-A574-517C82556AD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A4CB1A3-D01A-405F-9889-64A6D5328D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B98-45F4-A574-517C82556AD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F513E6E-FD7F-47CB-B8CF-94FBE9567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B98-45F4-A574-517C82556AD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D8EE3B1-C873-41E9-A17D-EAE10176F8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B98-45F4-A574-517C82556AD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46C1CC3-71C2-4EB8-BABE-1EF5C5F2B1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B98-45F4-A574-517C82556AD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5505A8E-59DC-4842-9F04-E796BAA7A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B98-45F4-A574-517C82556AD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B745047-62F4-4AF7-9DF1-20037F30DD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BB98-45F4-A574-517C82556AD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B9A8A86-9E23-468B-9522-2B7698F5E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B98-45F4-A574-517C82556AD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CF14748-D14A-4A5B-9D68-CEFDA83BC6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B98-45F4-A574-517C82556AD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B9623E6-31E6-4DDD-90EF-EFD261436F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B98-45F4-A574-517C82556AD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7D4E1D7-54E2-41A5-9D7A-699693997C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B98-45F4-A574-517C82556AD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82DA65F-837D-40D4-B3BE-614F59BEF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BB98-45F4-A574-517C82556AD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B666F29-3178-48F5-B7C3-EFB5B32577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BB98-45F4-A574-517C82556AD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28570D8-C966-45FE-AE07-3FAA98F8EE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BB98-45F4-A574-517C82556AD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33579B1-71BC-4C66-88A0-D9D9393F6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B98-45F4-A574-517C82556AD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07C5481-37CB-4369-A812-94EC5E73FC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B98-45F4-A574-517C82556AD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5ABE5E0-874F-4013-9E7C-9DD8A1C06A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B98-45F4-A574-517C82556AD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D29450F-F3A1-446F-B15B-FE7338FAED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B98-45F4-A574-517C82556AD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B763F31-58CD-4723-BC16-D1FFFECA8E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FCD6B40-F35C-4B3D-BDD7-8F38756CAB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658-4173-887D-D0A79A793F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CE744F9-015D-4BA0-A8C2-DD1F0F3798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D97-4426-B978-F975CACE417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50DDF8D-07A0-4872-9C78-12B2EDA238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D97-4426-B978-F975CACE417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8E37969-C85F-4BE4-B789-94F3400B5B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D97-4426-B978-F975CACE417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512CD27-4CCA-4525-AA89-A47F1E6CB2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D97-4426-B978-F975CACE417B}"/>
                </c:ext>
              </c:extLst>
            </c:dLbl>
            <c:dLbl>
              <c:idx val="28"/>
              <c:layout>
                <c:manualLayout>
                  <c:x val="-2.3803506800549638E-4"/>
                  <c:y val="-1.07469209376241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7597CD8-CAE6-45F3-8A36-7C81DB7B4622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đồ'!$E$10:$AF$10,'Vẽ Biểu đồ'!$AO$10)</c:f>
              <c:numCache>
                <c:formatCode>_(* #,##0_);_(* \(#,##0\);_(* "-"??_);_(@_)</c:formatCode>
                <c:ptCount val="29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1245</c:v>
                </c:pt>
                <c:pt idx="25">
                  <c:v>1245</c:v>
                </c:pt>
                <c:pt idx="26">
                  <c:v>1245</c:v>
                </c:pt>
                <c:pt idx="27">
                  <c:v>1185</c:v>
                </c:pt>
                <c:pt idx="28">
                  <c:v>1185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23">
                    <c:v> 1,268 </c:v>
                  </c:pt>
                  <c:pt idx="24">
                    <c:v> 1,245 </c:v>
                  </c:pt>
                  <c:pt idx="26">
                    <c:v> 1,245 </c:v>
                  </c:pt>
                  <c:pt idx="27">
                    <c:v> 1,185 </c:v>
                  </c:pt>
                  <c:pt idx="29">
                    <c:v> 1,185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BB98-45F4-A574-517C82556AD3}"/>
            </c:ext>
          </c:extLst>
        </c:ser>
        <c:ser>
          <c:idx val="1"/>
          <c:order val="3"/>
          <c:tx>
            <c:strRef>
              <c:f>'Vẽ Biểu đồ'!$D$11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827354B-398C-4C46-8FA1-6DB2A3167F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556DD5-CE54-4385-9E4E-73BA550A17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0871B86-85CB-48EA-823E-D70ACA932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DD0EF2-045A-49E6-98E9-373C0D38FF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C2D3EAE-B89C-4944-9B10-2D67E75A88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5AAA915-308A-4BB1-B5C6-4285146FB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895F26A-2EF6-4098-86DC-73CA2DC21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6675685-53D1-4979-8DF2-6DA5E87057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ED9D1AB-5998-429A-9A67-8F3A288E63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5E148E5-A7A3-4CB7-A6D6-B43AABE4D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886B163-B200-492A-9A9D-574443159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E13BF40-1D1E-4C6D-B346-0D112CD789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C73F2B1-079A-46B1-B3F5-0600F670CB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3CE102E-9E50-4CEC-9187-A0DC5CA422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DC7EAAA-75C7-409F-9362-EFA1EC21CA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814-46B0-9772-0AB88141E4EF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E68F16E9-99EC-4855-9D9D-DE33487BC5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D814-46B0-9772-0AB88141E4EF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ABD7C8E8-EFBB-404F-AF69-F288C7349E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D814-46B0-9772-0AB88141E4EF}"/>
                </c:ext>
              </c:extLst>
            </c:dLbl>
            <c:dLbl>
              <c:idx val="17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705B57D3-F770-41E6-9AB9-853DE3B27B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4847CF5-C02B-4412-9421-760019C955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B4E64AF-BD2E-4C41-87CC-3E89C65CD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36E38EB-E57D-49E5-8307-7B211CBDBD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A118933-B698-4716-858E-51EE7465D3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1849171-4CC9-4B1E-974B-E5DDF814C8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658-4173-887D-D0A79A793F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66A5C92-F2B4-4F71-A0E3-88101215CF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D97-4426-B978-F975CACE417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29E8EA0-9855-4B52-9CD8-733F162A56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D97-4426-B978-F975CACE417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BF5B672-F813-48A5-AD11-14F01A17EE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D97-4426-B978-F975CACE417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9114E43-B199-42EF-99C7-6F21047F18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D97-4426-B978-F975CACE417B}"/>
                </c:ext>
              </c:extLst>
            </c:dLbl>
            <c:dLbl>
              <c:idx val="28"/>
              <c:layout>
                <c:manualLayout>
                  <c:x val="0"/>
                  <c:y val="-2.38379022646007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FFD90BB-A04A-4ED4-A9E8-2B12B8D724B5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đồ'!$E$11:$AF$11,'Vẽ Biểu đồ'!$AO$11)</c:f>
              <c:numCache>
                <c:formatCode>_(* #,##0_);_(* \(#,##0\);_(* "-"??_);_(@_)</c:formatCode>
                <c:ptCount val="29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1290</c:v>
                </c:pt>
                <c:pt idx="25">
                  <c:v>1290</c:v>
                </c:pt>
                <c:pt idx="26">
                  <c:v>1290</c:v>
                </c:pt>
                <c:pt idx="27">
                  <c:v>1290</c:v>
                </c:pt>
                <c:pt idx="28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đồ'!$E$24:$AO$24</c15:f>
                <c15:dlblRangeCache>
                  <c:ptCount val="37"/>
                  <c:pt idx="0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3">
                    <c:v> 1,304 </c:v>
                  </c:pt>
                  <c:pt idx="24">
                    <c:v> 1,290 </c:v>
                  </c:pt>
                  <c:pt idx="29">
                    <c:v> 1,290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D814-46B0-9772-0AB88141E4EF}"/>
            </c:ext>
          </c:extLst>
        </c:ser>
        <c:ser>
          <c:idx val="2"/>
          <c:order val="4"/>
          <c:tx>
            <c:strRef>
              <c:f>'Vẽ Biểu đồ'!$D$12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A62CF7E-F723-4C80-9CDA-05DE79C190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36AB52-DF4B-4127-AB2D-22A182545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31C5F3-B9CC-4137-8C34-B62F18F24C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D9ABD24-1DD7-423D-AB8B-16A556C1B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58D2324-EE9D-4621-A068-7E360C9480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5044CA-B1FD-48D5-A58A-442136285D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206D972-C288-402E-A067-0DD2032061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F0F5C36-FEDD-43F1-A880-318B9BDDE8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32FADCD-8212-4A5A-BBD4-E2534D3DA9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ADA0921-E035-440D-8725-8CFD2FD116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0328774-C36A-44A8-96DA-0F9D68CB1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B0FD1A3-6A50-478A-A6C1-E3332803EE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B52E7FD-3DC5-469F-978E-5ED62C4B73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487D260-068B-4BA6-A4C4-CCF553435F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7D2CD95-6A8D-48EC-9003-D2FB29D4EB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814-46B0-9772-0AB88141E4EF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FF1D6EBB-4768-4074-B264-256208B035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D814-46B0-9772-0AB88141E4EF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285D9573-15B1-4A6C-B86E-38F04F7DA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D814-46B0-9772-0AB88141E4EF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E3179F21-2190-47D0-A0B0-CF8310FB9E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132F57A-5274-48CC-8F39-821B21645A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681DB76-18D3-4D9A-8B2F-5CD4945DD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BF2D5FF-5395-4C1C-8306-18A39FAE7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3FAF196-3F8D-48CE-9CC3-290B39BD17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930BD52-AFE5-41F8-9AE0-2A59436749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3A8AC53-42CD-4782-8DA6-5D0C309328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658-4173-887D-D0A79A793F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AEFD552-8376-423A-A56F-323D268951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D97-4426-B978-F975CACE417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BFF7AD1-8FE8-420D-B232-8FBD760E16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D97-4426-B978-F975CACE417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CD5588E-7835-49BC-9BD1-3CB114C0ED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D97-4426-B978-F975CACE417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DC6CC96-50FE-4149-9F2A-4E57E78A78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D97-4426-B978-F975CACE417B}"/>
                </c:ext>
              </c:extLst>
            </c:dLbl>
            <c:dLbl>
              <c:idx val="28"/>
              <c:layout>
                <c:manualLayout>
                  <c:x val="-1.7907812757146556E-16"/>
                  <c:y val="-1.98649185538339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2057FC2-5C5D-46EE-95A3-EFC7128801B0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6C9-465F-A2F4-AF2DDC49DC18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đồ'!$E$12:$AF$12,'Vẽ Biểu đồ'!$AO$12)</c:f>
              <c:numCache>
                <c:formatCode>_(* #,##0_);_(* \(#,##0\);_(* "-"??_);_(@_)</c:formatCode>
                <c:ptCount val="29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1280</c:v>
                </c:pt>
                <c:pt idx="28">
                  <c:v>1350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đồ'!$E$25:$AO$25</c15:f>
                <c15:dlblRangeCache>
                  <c:ptCount val="37"/>
                  <c:pt idx="0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24">
                    <c:v> 1,160 </c:v>
                  </c:pt>
                  <c:pt idx="26">
                    <c:v> 1,160 </c:v>
                  </c:pt>
                  <c:pt idx="27">
                    <c:v> 1,280 </c:v>
                  </c:pt>
                  <c:pt idx="28">
                    <c:v> 1,380 </c:v>
                  </c:pt>
                  <c:pt idx="29">
                    <c:v> 1,350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D814-46B0-9772-0AB88141E4EF}"/>
            </c:ext>
          </c:extLst>
        </c:ser>
        <c:ser>
          <c:idx val="3"/>
          <c:order val="5"/>
          <c:tx>
            <c:strRef>
              <c:f>'Vẽ Biểu đồ'!$D$13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6C9-465F-A2F4-AF2DDC49DC18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3-D814-46B0-9772-0AB88141E4EF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129CCE3-5811-47CE-BDB5-7647DB8091EF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51101998886833"/>
                      <c:h val="0.11615765472675635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đồ'!$E$13:$AO$13</c15:sqref>
                  </c15:fullRef>
                </c:ext>
              </c:extLst>
              <c:f>('Vẽ Biểu đồ'!$E$13:$AF$13,'Vẽ Biểu đồ'!$AO$13)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1190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đồ'!$E$26:$AO$26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1,194 </c:v>
                  </c:pt>
                  <c:pt idx="28">
                    <c:v> 1,216 </c:v>
                  </c:pt>
                  <c:pt idx="29">
                    <c:v> 1,190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4-D814-46B0-9772-0AB88141E4EF}"/>
            </c:ext>
          </c:extLst>
        </c:ser>
        <c:ser>
          <c:idx val="6"/>
          <c:order val="6"/>
          <c:tx>
            <c:strRef>
              <c:f>'Vẽ Biểu đồ'!$D$17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đồ'!$E$14:$AO$14</c15:sqref>
                    </c15:fullRef>
                  </c:ext>
                </c:extLst>
                <c:f>('Vẽ Biểu đồ'!$E$14:$AF$14,'Vẽ Biểu đồ'!$AO$14)</c:f>
                <c:numCache>
                  <c:formatCode>General</c:formatCode>
                  <c:ptCount val="29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427.5</c:v>
                  </c:pt>
                  <c:pt idx="24">
                    <c:v>355</c:v>
                  </c:pt>
                  <c:pt idx="25">
                    <c:v>320</c:v>
                  </c:pt>
                  <c:pt idx="26">
                    <c:v>51</c:v>
                  </c:pt>
                  <c:pt idx="27">
                    <c:v>86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đồ'!$E$14:$AO$14</c15:sqref>
                    </c15:fullRef>
                  </c:ext>
                </c:extLst>
                <c:f>('Vẽ Biểu đồ'!$E$14:$AF$14,'Vẽ Biểu đồ'!$AO$14)</c:f>
                <c:numCache>
                  <c:formatCode>General</c:formatCode>
                  <c:ptCount val="29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427.5</c:v>
                  </c:pt>
                  <c:pt idx="24">
                    <c:v>355</c:v>
                  </c:pt>
                  <c:pt idx="25">
                    <c:v>320</c:v>
                  </c:pt>
                  <c:pt idx="26">
                    <c:v>51</c:v>
                  </c:pt>
                  <c:pt idx="27">
                    <c:v>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đồ'!$E$17:$AF$17,'Vẽ Biểu đồ'!$AO$17)</c:f>
              <c:numCache>
                <c:formatCode>_(* #,##0_);_(* \(#,##0\);_(* "-"??_);_(@_)</c:formatCode>
                <c:ptCount val="29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814-46B0-9772-0AB88141E4EF}"/>
            </c:ext>
          </c:extLst>
        </c:ser>
        <c:ser>
          <c:idx val="7"/>
          <c:order val="9"/>
          <c:tx>
            <c:strRef>
              <c:f>'Vẽ Biểu đồ'!$D$18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771FBC5-C0A6-4C22-9DDC-5FC49B866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09E00C-CDCD-4380-AC88-6C2377F499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AAD3BDD-1A33-4CEC-B8DC-2B6864C554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DAEA9B-2B6E-4D00-A210-D0BF689D2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0E4A8EB-63A5-4D62-AF68-291E311732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BDA273D-0F34-42D5-B385-EE8626E8F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5A66FA4-C07A-4BC7-A8A3-1835B21218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CE1D2A7-51F1-4858-8D2C-C5F776A45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9DE0739-9926-47DD-B4DE-96AE2C8C1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61DCA3F-386F-419C-A6A6-53447564B2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44454DC-44D5-4CAB-B2EA-4754C4AC6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13A7027-BD9A-460E-93B8-CE22FFDD31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A1D866B-7D37-4383-9BD0-C5032AFCD8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DDE6E39-934A-4A2D-B408-67B661DAC5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8C19E35-07CC-462F-BA05-E56E57EF1A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87C5AC7-8CB9-4A65-AB4F-984A789960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DBB454A-C936-4739-82C8-3CDAD80C0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6B74B0F-FB7B-4C7B-89E6-DED8905403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B522CFE-FECE-480D-8ED1-8509468EF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6E490FB-4E8D-49F5-BAED-B41458A282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96877D4-0D4A-4561-B1CE-F22B085DCD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B0CB5CF-A688-416D-BE42-C7A9D7B14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B50189B-7426-4766-A02B-98C2E06081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BC55BA0-D1E9-46AF-B532-DFCA0609D1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58-4173-887D-D0A79A793F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5550584-628C-4708-94A9-5A395A6DB9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D97-4426-B978-F975CACE417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3802916-CCE0-42A5-805D-6671451C8C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D97-4426-B978-F975CACE417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DA1CA96-E8C2-48C3-9AB5-3367E2719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D97-4426-B978-F975CACE417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73896EB-751A-4EAD-8F23-D442D233DC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D97-4426-B978-F975CACE417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658-4173-887D-D0A79A793F31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đồ'!$E$18:$AF$18,'Vẽ Biểu đồ'!$AO$18)</c:f>
              <c:numCache>
                <c:formatCode>_(* #,##0_);_(* \(#,##0\);_(* "-"??_);_(@_)</c:formatCode>
                <c:ptCount val="29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986.25</c:v>
                </c:pt>
                <c:pt idx="24">
                  <c:v>982.5</c:v>
                </c:pt>
                <c:pt idx="25">
                  <c:v>1000</c:v>
                </c:pt>
                <c:pt idx="26">
                  <c:v>1134.5</c:v>
                </c:pt>
                <c:pt idx="27">
                  <c:v>1237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đồ'!$E$15:$AO$15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+55.3%</c:v>
                  </c:pt>
                  <c:pt idx="24">
                    <c:v>+44.1%</c:v>
                  </c:pt>
                  <c:pt idx="25">
                    <c:v>+38.1%</c:v>
                  </c:pt>
                  <c:pt idx="26">
                    <c:v>+4.6%</c:v>
                  </c:pt>
                  <c:pt idx="27">
                    <c:v>+7.2%</c:v>
                  </c:pt>
                  <c:pt idx="28">
                    <c:v>+13.5%</c:v>
                  </c:pt>
                  <c:pt idx="29">
                    <c:v>+13.4%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38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MBF01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đồ'!$D$100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đồ'!$E$100:$AO$100</c15:sqref>
                  </c15:fullRef>
                </c:ext>
              </c:extLst>
              <c:f>('Vẽ Biểu đồ'!$E$100:$AF$100,'Vẽ Biểu đồ'!$AO$100)</c:f>
              <c:numCache>
                <c:formatCode>_(* #,##0_);_(* \(#,##0\);_(* "-"??_);_(@_)</c:formatCode>
                <c:ptCount val="29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8-4C7A-ACC6-45C713076D1E}"/>
            </c:ext>
          </c:extLst>
        </c:ser>
        <c:ser>
          <c:idx val="4"/>
          <c:order val="5"/>
          <c:tx>
            <c:strRef>
              <c:f>'Vẽ Biểu đồ'!$D$101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đồ'!$E$101:$AO$101</c15:sqref>
                  </c15:fullRef>
                </c:ext>
              </c:extLst>
              <c:f>('Vẽ Biểu đồ'!$E$101:$AF$101,'Vẽ Biểu đồ'!$AO$101)</c:f>
              <c:numCache>
                <c:formatCode>_(* #,##0_);_(* \(#,##0\);_(* "-"??_);_(@_)</c:formatCode>
                <c:ptCount val="29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đồ'!$D$92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2C2734B-0710-4995-B4DA-9F86E797DB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4D7441-02D3-4A50-8728-F7AEE909B5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B0F1E59-6A31-40C7-9DA1-E6A895BAFC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CE826D5-CD0E-4E2A-96CA-C4DCD0EC4B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1854706-5FF8-4AE2-BEFA-888D9C192F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64C384-FA94-4E25-86D1-D9533CCC8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AE76F3E-E6B3-4554-8ED6-A4B52F58F7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32F8576-F65C-49DB-8CD4-F447F8DAC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54B3BE5-8E3B-46FD-B123-E55987CD79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A0B8D34-790E-481D-B584-59BC37B12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4B9FAF5-75A7-44FF-AA86-0ED8ECA3ED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DA815E4-D1CF-4E74-B91E-87E8B5BA4A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1813075-CDC2-461B-8E8D-5E2F93338A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25DC8D9-ED4B-4AB1-810D-D2FD54046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E169453-9BB3-44E4-BC4B-E768F24FF2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8979120-5D4C-4300-AFE2-721552ED01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6ADD51A-A38F-4D91-AB8E-726DD1724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AC20958-F680-45B2-B4AF-07E9DD8AA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A9D520F-B21E-49B6-B767-FD13053C87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9CC1B31-6DAC-4E6C-853F-26E7708915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149BADC-6A50-468E-A079-1BC51CD266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D9836D3-0FE8-438B-A124-9F747EA5A1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7CBF101-A4D0-40F1-874E-E3FA5A149A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E08D4FA-430D-4DC8-8583-0DEA939914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EB-4898-A113-A23567AE08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5184804-A2C7-4C84-ADB0-8AB75E6C3D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4BF-4F39-841B-F46285616EC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E55A79D-E81A-4F05-9DA1-5360F6D753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4BF-4F39-841B-F46285616EC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F698A0A-E382-4CA7-8D88-3E8D73D284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4BF-4F39-841B-F46285616EC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19FC9AF-41EC-4662-B70A-CA9FC4A5FB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4BF-4F39-841B-F46285616EC9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09840E3-2832-44D8-8EEF-56C835CCEB2F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đồ'!$E$92:$AO$92</c15:sqref>
                  </c15:fullRef>
                </c:ext>
              </c:extLst>
              <c:f>('Vẽ Biểu đồ'!$E$92:$AF$92,'Vẽ Biểu đồ'!$AO$92)</c:f>
              <c:numCache>
                <c:formatCode>_(* #,##0_);_(* \(#,##0\);_(* "-"??_);_(@_)</c:formatCode>
                <c:ptCount val="29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1325</c:v>
                </c:pt>
                <c:pt idx="25">
                  <c:v>1325</c:v>
                </c:pt>
                <c:pt idx="26">
                  <c:v>1325</c:v>
                </c:pt>
                <c:pt idx="27">
                  <c:v>1266</c:v>
                </c:pt>
                <c:pt idx="28">
                  <c:v>1266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đồ'!$E$104:$AO$104</c15:f>
                <c15:dlblRangeCache>
                  <c:ptCount val="37"/>
                  <c:pt idx="0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23">
                    <c:v> 1,368 </c:v>
                  </c:pt>
                  <c:pt idx="24">
                    <c:v> 1,325 </c:v>
                  </c:pt>
                  <c:pt idx="26">
                    <c:v> 1,325 </c:v>
                  </c:pt>
                  <c:pt idx="27">
                    <c:v> 1,266 </c:v>
                  </c:pt>
                  <c:pt idx="29">
                    <c:v> 1,266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EA8-4C7A-ACC6-45C713076D1E}"/>
            </c:ext>
          </c:extLst>
        </c:ser>
        <c:ser>
          <c:idx val="2"/>
          <c:order val="1"/>
          <c:tx>
            <c:strRef>
              <c:f>'Vẽ Biểu đồ'!$D$93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09788D1-7481-4AA9-99A1-98F59854E8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B3710A-6551-4C59-AF5C-7C92573D46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CA4F29-3B3E-47CD-BF7F-549D20FAE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745679-0F01-4983-BDBE-D0FCE9352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F349AAD-C1E2-4026-AFD4-463562982E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CEBC0C8-0268-4804-AB78-A3968122AA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28FE6CA-3044-4919-97FB-9C266C063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2B98A9A-D07C-4AEE-8527-3694C1B4A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58F3AED-30C3-45BF-8F64-EE2C573FEE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BDD6408-48E4-4385-A2C6-0A5E011EE0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3116D74-0134-4B3E-95BB-824642AAB4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F937C3F-C1FB-4737-A18B-E85935A281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628DF3D-ECFA-449E-84A6-B22A1EBD43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429EE1A-65BA-4E97-B003-70A5D8245D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E5A7639-7CDF-433C-85D9-3522779A32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7DEF50A-3E27-4A61-BD8A-0F07F91A1F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D73DE7C-24F8-4E64-B970-06507140C1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B665609-5EA5-4E51-8EF9-BB071E8A3D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2AC657E-C7DE-4099-BC52-F3C20BA69A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BE0FE8D-A300-40AC-A368-F8E23459EB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313978D-0286-4E5A-A653-4A6472700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DD1FFF1-CC92-4E36-B5ED-6C848EA93C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D2973AD-C1EE-438C-B290-F90690BEB2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A7ADC6E-15D2-4ED7-8395-A26185EC22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EB-4898-A113-A23567AE08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7741291-0281-4E13-8AA6-D695BCF47C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4BF-4F39-841B-F46285616EC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F4CCC43-7AAF-46EE-B054-85AD1DBECA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4BF-4F39-841B-F46285616EC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3C5F25C-F71F-4B43-8709-096E45B511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4BF-4F39-841B-F46285616EC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CA0E3F3-2388-495D-93CC-467DC1523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4BF-4F39-841B-F46285616EC9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196C273-1F1E-4E09-8B69-57BEE9602A59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F53-4463-8A1B-1FB504415EB1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đồ'!$E$93:$AO$93</c15:sqref>
                  </c15:fullRef>
                </c:ext>
              </c:extLst>
              <c:f>('Vẽ Biểu đồ'!$E$93:$AF$93,'Vẽ Biểu đồ'!$AO$93)</c:f>
              <c:numCache>
                <c:formatCode>_(* #,##0_);_(* \(#,##0\);_(* "-"??_);_(@_)</c:formatCode>
                <c:ptCount val="29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1300</c:v>
                </c:pt>
                <c:pt idx="28">
                  <c:v>1350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đồ'!$E$105:$AO$105</c15:f>
                <c15:dlblRangeCache>
                  <c:ptCount val="37"/>
                  <c:pt idx="0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6">
                    <c:v> 1,200 </c:v>
                  </c:pt>
                  <c:pt idx="27">
                    <c:v> 1,300 </c:v>
                  </c:pt>
                  <c:pt idx="28">
                    <c:v> 1,370 </c:v>
                  </c:pt>
                  <c:pt idx="29">
                    <c:v> 1,350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EA8-4C7A-ACC6-45C713076D1E}"/>
            </c:ext>
          </c:extLst>
        </c:ser>
        <c:ser>
          <c:idx val="3"/>
          <c:order val="2"/>
          <c:tx>
            <c:strRef>
              <c:f>'Vẽ Biểu đồ'!$D$94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953CC5A-2A0F-4BC6-B6DA-4FF62D466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B369053-DB69-4A09-91BC-64DC6AA197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EB59BE-BE49-4CE7-AF0C-0816094F9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376B05B-655E-4530-BD73-65335D4DA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A92006F-06D6-49B8-8925-76425F6BC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2EE04B3-5CDF-4A2A-AE7C-C7ED3D8AE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CB2A5CB-C739-49AD-89EC-75D7890ECA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0E3521-7CB3-4D02-842A-3FBCFD7076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9ABB392-DAE9-482C-A02E-149D10800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D47EC29-ABF5-4563-A4E0-60FE2C228A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B2128A8-F7D3-431C-B04F-549E5F433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ED79273-5A3D-4ABB-81D2-2B0108B31E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1B06C9A-9871-4942-ABD0-8D4A0EE654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D8E296-C8CD-4EC8-859B-5D5B0632F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DE243E1-368E-42C9-9E5B-4EC42B19E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F19681F-9D03-4D3A-915C-4A0711599D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01C9018-0A54-47FF-AA7B-1BF9DC9E0C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13C32F4-90F6-44E2-A2C3-7A4727BFB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65E9F06-D6C4-4086-A940-D708AB9A34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85E5CC0-6000-4259-A33E-34061C99E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D9CF13F-6F6B-4B38-8664-91EE2A0F29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5F7DB51-BFC6-43A8-ACFC-4072671537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58705F2-D6C1-47E6-998D-255EF8FF00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87564C2-E94C-43E5-9D1A-74715351C1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EB-4898-A113-A23567AE08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539AD57-66C6-4CAB-9EC6-519800253E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4BF-4F39-841B-F46285616EC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A865207-E3D0-47E7-A5D5-78978F979E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4BF-4F39-841B-F46285616EC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0B4CD69-E744-4F5B-B4B0-368B26D58A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4BF-4F39-841B-F46285616EC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DD75EF5-5CFE-47E4-A072-2A4DC8EC73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4BF-4F39-841B-F46285616EC9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AE4F79B-7D49-4099-AC04-6B79810CED96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4179307157925"/>
                      <c:h val="7.25621178846648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đồ'!$E$94:$AO$94</c15:sqref>
                  </c15:fullRef>
                </c:ext>
              </c:extLst>
              <c:f>('Vẽ Biểu đồ'!$E$94:$AF$94,'Vẽ Biểu đồ'!$AO$94)</c:f>
              <c:numCache>
                <c:formatCode>_(* #,##0_);_(* \(#,##0\);_(* "-"??_);_(@_)</c:formatCode>
                <c:ptCount val="29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1470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đồ'!$E$86:$AO$86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803 </c:v>
                  </c:pt>
                  <c:pt idx="24">
                    <c:v> 800 </c:v>
                  </c:pt>
                  <c:pt idx="25">
                    <c:v> 800 </c:v>
                  </c:pt>
                  <c:pt idx="26">
                    <c:v> 1,331 </c:v>
                  </c:pt>
                  <c:pt idx="27">
                    <c:v> 1,590 </c:v>
                  </c:pt>
                  <c:pt idx="28">
                    <c:v> 1,523 </c:v>
                  </c:pt>
                  <c:pt idx="29">
                    <c:v> 1,470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EA8-4C7A-ACC6-45C713076D1E}"/>
            </c:ext>
          </c:extLst>
        </c:ser>
        <c:ser>
          <c:idx val="6"/>
          <c:order val="3"/>
          <c:tx>
            <c:strRef>
              <c:f>'Vẽ Biểu đồ'!$D$98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đồ'!$E$36:$AF$36,'Vẽ Biểu đồ'!$AO$36)</c:f>
                <c:numCache>
                  <c:formatCode>General</c:formatCode>
                  <c:ptCount val="29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đồ'!$E$95:$AO$95</c15:sqref>
                    </c15:fullRef>
                  </c:ext>
                </c:extLst>
                <c:f>('Vẽ Biểu đồ'!$E$95:$AF$95,'Vẽ Biểu đồ'!$AO$95)</c:f>
                <c:numCache>
                  <c:formatCode>General</c:formatCode>
                  <c:ptCount val="29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397.5</c:v>
                  </c:pt>
                  <c:pt idx="24">
                    <c:v>400</c:v>
                  </c:pt>
                  <c:pt idx="25">
                    <c:v>400</c:v>
                  </c:pt>
                  <c:pt idx="26">
                    <c:v>-131</c:v>
                  </c:pt>
                  <c:pt idx="27">
                    <c:v>-290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đồ'!$E$98:$AO$98</c15:sqref>
                  </c15:fullRef>
                </c:ext>
              </c:extLst>
              <c:f>('Vẽ Biểu đồ'!$E$98:$AF$98,'Vẽ Biểu đồ'!$AO$98)</c:f>
              <c:numCache>
                <c:formatCode>_(* #,##0_);_(* \(#,##0\);_(* "-"??_);_(@_)</c:formatCode>
                <c:ptCount val="29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EA8-4C7A-ACC6-45C713076D1E}"/>
            </c:ext>
          </c:extLst>
        </c:ser>
        <c:ser>
          <c:idx val="7"/>
          <c:order val="6"/>
          <c:tx>
            <c:strRef>
              <c:f>'Vẽ Biểu đồ'!$D$99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4B4F346-578D-478C-8BF4-A3CBF6E7DC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FC8A23-7EFD-4B16-8738-89218C2F99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7B6C449-58F2-46D2-8C17-1E0605ED9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DF0C400-D227-4A5D-97BF-786A9BDB83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85FD33E-6FD8-4863-BE06-082FE08A15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2CD0CEF-CDE6-41C8-9C2B-751BFF51A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A17673-7AEE-443D-B81C-5D2B34B88E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70CEC3-FDE9-4485-AC22-AA3D7774D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E67B985-7337-4DCA-B7A0-6194A13B41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A6FF334-12B4-430B-B2CF-B408F32AD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70B8F89-4440-43F2-8784-E934C6CF44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A65E8F6-44AA-4FA5-8CF6-38F9B87E9F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636BFAC-F5D5-458C-ABEC-04066B5AF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B87EA38-A03E-42C0-BA50-06229D595A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448FAF0-5689-4AA1-A2B7-0812B43EAA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D853142-E1AE-429C-B863-C7C4FDB566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0887A5C-1E3C-4833-861B-847CE670F5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ACE1536-CF8B-4149-8460-4DAE60A6D1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FA5A1AD-90D9-4BF3-AFD5-5A09FE8E61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C9E7371-6FE5-42DC-A885-F669279479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7E9BCB5-7EC9-427E-BCF9-852B151B54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9B06928-E865-4952-8166-DDBBD7895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379004A-8968-429F-B961-9E7CF21C74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CDDBAE6-4A41-496D-A5C9-1FC13B3FCF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EB-4898-A113-A23567AE08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B3EAFBF-1E26-42A3-99E9-9B0DEEEE9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4BF-4F39-841B-F46285616EC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97E3118-7692-43F6-B019-46D986E2F6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44BF-4F39-841B-F46285616EC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4531B6F6-CBFA-4182-A237-C9230A3EDD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4BF-4F39-841B-F46285616EC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62367E5-F6D1-40A7-B577-051B28653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4BF-4F39-841B-F46285616EC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CEB-4898-A113-A23567AE080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đồ'!$E$99:$AO$99</c15:sqref>
                  </c15:fullRef>
                </c:ext>
              </c:extLst>
              <c:f>('Vẽ Biểu đồ'!$E$99:$AF$99,'Vẽ Biểu đồ'!$AO$99)</c:f>
              <c:numCache>
                <c:formatCode>_(* #,##0_);_(* \(#,##0\);_(* "-"??_);_(@_)</c:formatCode>
                <c:ptCount val="29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1001.25</c:v>
                </c:pt>
                <c:pt idx="24">
                  <c:v>1000</c:v>
                </c:pt>
                <c:pt idx="25">
                  <c:v>1000</c:v>
                </c:pt>
                <c:pt idx="26">
                  <c:v>1265.5</c:v>
                </c:pt>
                <c:pt idx="27">
                  <c:v>1445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đồ'!$E$96:$AO$96</c15:f>
                <c15:dlblRangeCache>
                  <c:ptCount val="37"/>
                  <c:pt idx="0">
                    <c:v>+43.6%</c:v>
                  </c:pt>
                  <c:pt idx="1">
                    <c:v>+35.9%</c:v>
                  </c:pt>
                  <c:pt idx="2">
                    <c:v>+37.1%</c:v>
                  </c:pt>
                  <c:pt idx="3">
                    <c:v>+40.3%</c:v>
                  </c:pt>
                  <c:pt idx="4">
                    <c:v>+37.5%</c:v>
                  </c:pt>
                  <c:pt idx="5">
                    <c:v>+35.0%</c:v>
                  </c:pt>
                  <c:pt idx="6">
                    <c:v>+35.0%</c:v>
                  </c:pt>
                  <c:pt idx="7">
                    <c:v>+37.2%</c:v>
                  </c:pt>
                  <c:pt idx="8">
                    <c:v>+39.5%</c:v>
                  </c:pt>
                  <c:pt idx="9">
                    <c:v>+39.9%</c:v>
                  </c:pt>
                  <c:pt idx="10">
                    <c:v>+38.6%</c:v>
                  </c:pt>
                  <c:pt idx="11">
                    <c:v>+41.2%</c:v>
                  </c:pt>
                  <c:pt idx="12">
                    <c:v>+43.6%</c:v>
                  </c:pt>
                  <c:pt idx="13">
                    <c:v>+41.6%</c:v>
                  </c:pt>
                  <c:pt idx="14">
                    <c:v>+39.5%</c:v>
                  </c:pt>
                  <c:pt idx="15">
                    <c:v>+40.2%</c:v>
                  </c:pt>
                  <c:pt idx="16">
                    <c:v>+44.7%</c:v>
                  </c:pt>
                  <c:pt idx="17">
                    <c:v>+50.1%</c:v>
                  </c:pt>
                  <c:pt idx="18">
                    <c:v>+50.1%</c:v>
                  </c:pt>
                  <c:pt idx="19">
                    <c:v>+50.9%</c:v>
                  </c:pt>
                  <c:pt idx="20">
                    <c:v>+48.8%</c:v>
                  </c:pt>
                  <c:pt idx="21">
                    <c:v>+50.3%</c:v>
                  </c:pt>
                  <c:pt idx="22">
                    <c:v>+49.1%</c:v>
                  </c:pt>
                  <c:pt idx="23">
                    <c:v>+49.5%</c:v>
                  </c:pt>
                  <c:pt idx="24">
                    <c:v>+50.0%</c:v>
                  </c:pt>
                  <c:pt idx="25">
                    <c:v>+50.0%</c:v>
                  </c:pt>
                  <c:pt idx="26">
                    <c:v>-9.8%</c:v>
                  </c:pt>
                  <c:pt idx="27">
                    <c:v>-18.2%</c:v>
                  </c:pt>
                  <c:pt idx="28">
                    <c:v>-10.0%</c:v>
                  </c:pt>
                  <c:pt idx="29">
                    <c:v>-8.2%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60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PCF01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đồ'!$D$80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đồ'!$E$80:$AF$80,'Vẽ Biểu đồ'!$AO$80)</c:f>
              <c:numCache>
                <c:formatCode>_(* #,##0_);_(* \(#,##0\);_(* "-"??_);_(@_)</c:formatCode>
                <c:ptCount val="2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E-4D7A-9F7C-6D011FA25BA9}"/>
            </c:ext>
          </c:extLst>
        </c:ser>
        <c:ser>
          <c:idx val="4"/>
          <c:order val="5"/>
          <c:tx>
            <c:strRef>
              <c:f>'Vẽ Biểu đồ'!$D$81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đồ'!$E$81:$AF$81,'Vẽ Biểu đồ'!$AO$81)</c:f>
              <c:numCache>
                <c:formatCode>_(* #,##0_);_(* \(#,##0\);_(* "-"??_);_(@_)</c:formatCode>
                <c:ptCount val="29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đồ'!$D$72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DFDA0F4-9759-401B-8BDF-A8F58A10F9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AADC3E3-0A4D-4330-9486-88FC7EAF6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01E5838-CB51-4BDD-982D-7B4887C1B1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27142E2-AEC2-4517-AFE6-505A870353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AA4C5E9-516F-4138-A4D6-071F449179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94715B4-3289-43BF-A747-125295FB1D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4AE-4D7A-9F7C-6D011FA25BA9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C877400-F4E7-467B-82CF-EBD19E441615}" type="CELLRANGE">
                      <a:rPr lang="en-US"/>
                      <a:pPr>
                        <a:defRPr sz="105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72201640807208E-2"/>
                      <c:h val="3.61405090562065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02491A7-82AE-4314-A66B-D20467CEC7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A1784D7-B069-49B6-B50E-E3F6F25291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81ED589-E9B9-4F8D-ABFC-F643AF871D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796FBB3-1B10-420A-88BC-FB7C66596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2A279A6-D722-4015-8B77-78995679BE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57E-4DC9-B8BF-1DE5F544B0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6CEEE16-82E4-46C5-B379-5E6882319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823-4AFF-89F1-DAC1E7DC501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B0E37BC-4F06-4373-BC54-D87823943E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823-4AFF-89F1-DAC1E7DC501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67B2E99-CE3F-41F3-BCE8-07A3937FA0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823-4AFF-89F1-DAC1E7DC501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FC498E7-CBCC-44BC-A1ED-2E53B13996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823-4AFF-89F1-DAC1E7DC5011}"/>
                </c:ext>
              </c:extLst>
            </c:dLbl>
            <c:dLbl>
              <c:idx val="28"/>
              <c:layout>
                <c:manualLayout>
                  <c:x val="0"/>
                  <c:y val="-2.43370431354926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9018F0B-CB7B-4D95-AFDF-FEE80D1EFD4F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đồ'!$E$72:$AF$72,'Vẽ Biểu đồ'!$AO$72)</c:f>
              <c:numCache>
                <c:formatCode>_(* #,##0_);_(* \(#,##0\);_(* "-"??_);_(@_)</c:formatCode>
                <c:ptCount val="2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1325</c:v>
                </c:pt>
                <c:pt idx="25">
                  <c:v>1325</c:v>
                </c:pt>
                <c:pt idx="26">
                  <c:v>1325</c:v>
                </c:pt>
                <c:pt idx="27">
                  <c:v>1266</c:v>
                </c:pt>
                <c:pt idx="28">
                  <c:v>1266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đồ'!$E$84:$AO$84</c15:f>
                <c15:dlblRangeCache>
                  <c:ptCount val="37"/>
                  <c:pt idx="12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23">
                    <c:v> 1,368 </c:v>
                  </c:pt>
                  <c:pt idx="24">
                    <c:v> 1,325 </c:v>
                  </c:pt>
                  <c:pt idx="26">
                    <c:v> 1,325 </c:v>
                  </c:pt>
                  <c:pt idx="27">
                    <c:v> 1,266 </c:v>
                  </c:pt>
                  <c:pt idx="29">
                    <c:v> 1,266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A4AE-4D7A-9F7C-6D011FA25BA9}"/>
            </c:ext>
          </c:extLst>
        </c:ser>
        <c:ser>
          <c:idx val="2"/>
          <c:order val="1"/>
          <c:tx>
            <c:strRef>
              <c:f>'Vẽ Biểu đồ'!$D$73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DE20B09-565B-4613-AA14-0EC22391EC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11B0496-E73B-46C4-AFA8-51D15F29B0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4425BD2-4DC6-412A-B89D-4657462AFF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46D8C1F-6BDA-4F86-99F9-E03AD77662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E2FD12D-4BD0-4287-8DA3-CF1F3451AE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E257164-48EF-444E-B5AD-FFAF92480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D606B76-0C48-42CA-AEC5-3E22272155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2AA8D87-9DBA-4584-8D3A-CA606D5AF6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07369A8-6AF6-49CC-9D2A-90817A3C32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22BD72C-E786-4B4C-86E4-4758D2326A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286C78A-59D0-4126-8BD2-3036123E5B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221D63A-2596-44C1-BAED-B18D9E5DF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57E-4DC9-B8BF-1DE5F544B0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C40DE6AB-49F9-443A-BAB2-77D8F6B40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823-4AFF-89F1-DAC1E7DC501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A944527-433D-4067-BF4F-17061A782D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823-4AFF-89F1-DAC1E7DC501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3E9D862-0DFA-41FB-B61B-71B3C681A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823-4AFF-89F1-DAC1E7DC501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F74A09A-8A08-4114-9392-9C01F9256C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823-4AFF-89F1-DAC1E7DC5011}"/>
                </c:ext>
              </c:extLst>
            </c:dLbl>
            <c:dLbl>
              <c:idx val="28"/>
              <c:layout>
                <c:manualLayout>
                  <c:x val="-4.8972733868284562E-3"/>
                  <c:y val="1.0140434639788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44D8558-A37B-49E4-BEEE-0DDFEA8BAAC2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96C-4A50-B309-DB7495C4568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đồ'!$E$73:$AO$73</c15:sqref>
                  </c15:fullRef>
                </c:ext>
              </c:extLst>
              <c:f>('Vẽ Biểu đồ'!$E$73:$AF$73,'Vẽ Biểu đồ'!$AO$73)</c:f>
              <c:numCache>
                <c:formatCode>_(* #,##0_);_(* \(#,##0\);_(* "-"??_);_(@_)</c:formatCode>
                <c:ptCount val="2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1400</c:v>
                </c:pt>
                <c:pt idx="28">
                  <c:v>1450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đồ'!$E$85:$AO$85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6">
                    <c:v> 1,300 </c:v>
                  </c:pt>
                  <c:pt idx="27">
                    <c:v> 1,400 </c:v>
                  </c:pt>
                  <c:pt idx="28">
                    <c:v> 1,470 </c:v>
                  </c:pt>
                  <c:pt idx="29">
                    <c:v> 1,450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A4AE-4D7A-9F7C-6D011FA25BA9}"/>
            </c:ext>
          </c:extLst>
        </c:ser>
        <c:ser>
          <c:idx val="3"/>
          <c:order val="2"/>
          <c:tx>
            <c:strRef>
              <c:f>'Vẽ Biểu đồ'!$D$74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1AA7149-D065-418C-B256-6D784B2F33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E3E1AC-7AE3-4556-B9E4-31CDE46810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020236D-69B8-486D-BFB7-B3BB4402FA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DE2F929-FC9B-4A32-B837-4E043F440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8B4FDF-25B4-4D14-B26A-F9F1A54CAC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BF00A5F-E553-484B-85E1-641B219D37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9B6DCBB-2B34-4871-A68C-880864A766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D9E3167-EC6B-41DE-8A71-D1331E5384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97D72CC-D2C3-457D-B1EB-8663F1B4B3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0F6DD3B-FDEB-4CEE-B9C8-9CD77155D4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36717CB-6EFC-4713-BEDF-BC0471664E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89C4B3C-27AF-438A-82C6-27AE64A313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E1A91CD-8316-4828-A048-BECBEE2305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0865D7E-1211-4B30-BE07-E8CF704D02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D36699A-5616-427D-B0C4-182F7F4E60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B710152-0262-4F90-BF7E-CA95B89BEB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3E25F9D-3EE7-4741-AF2F-F7D1895F39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2F93ABB-D79A-445E-BDBE-B4D1FC9CA3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4EB68D5-1FEE-4D60-8289-E774F4053B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308A48F-DD66-4BE0-9729-54C15F73E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80A3B49-E6CF-4094-A00F-0988200306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0F29FBF-C7AA-45C1-8461-376562F90B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1DB7687-4AEC-4567-994A-8D7EFFF3E7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B9BDA8D-330A-4E9F-A0BF-571497DF4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57E-4DC9-B8BF-1DE5F544B0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528A34C-7A27-4CA0-B72A-2813575EDE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823-4AFF-89F1-DAC1E7DC501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A24299A-0B86-4B76-9FA2-2011017716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823-4AFF-89F1-DAC1E7DC501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80F3CF8-C8B6-40AB-B444-495B291E10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823-4AFF-89F1-DAC1E7DC501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CE6C836-D96C-4D0F-833A-6448DF8BDE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823-4AFF-89F1-DAC1E7DC5011}"/>
                </c:ext>
              </c:extLst>
            </c:dLbl>
            <c:dLbl>
              <c:idx val="28"/>
              <c:layout>
                <c:manualLayout>
                  <c:x val="-6.1044080651631626E-3"/>
                  <c:y val="-4.867408627098530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9E8B0F9-FECD-463E-BCB8-2EFEEAE5CA9A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5334172787929"/>
                      <c:h val="0.101695173530931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đồ'!$E$74:$AO$74</c15:sqref>
                  </c15:fullRef>
                </c:ext>
              </c:extLst>
              <c:f>('Vẽ Biểu đồ'!$E$74:$AF$74,'Vẽ Biểu đồ'!$AO$74)</c:f>
              <c:numCache>
                <c:formatCode>_(* #,##0_);_(* \(#,##0\);_(* "-"??_);_(@_)</c:formatCode>
                <c:ptCount val="29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1470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đồ'!$E$86:$AO$86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803 </c:v>
                  </c:pt>
                  <c:pt idx="24">
                    <c:v> 800 </c:v>
                  </c:pt>
                  <c:pt idx="25">
                    <c:v> 800 </c:v>
                  </c:pt>
                  <c:pt idx="26">
                    <c:v> 1,331 </c:v>
                  </c:pt>
                  <c:pt idx="27">
                    <c:v> 1,590 </c:v>
                  </c:pt>
                  <c:pt idx="28">
                    <c:v> 1,523 </c:v>
                  </c:pt>
                  <c:pt idx="29">
                    <c:v> 1,470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A4AE-4D7A-9F7C-6D011FA25BA9}"/>
            </c:ext>
          </c:extLst>
        </c:ser>
        <c:ser>
          <c:idx val="6"/>
          <c:order val="3"/>
          <c:tx>
            <c:strRef>
              <c:f>'Vẽ Biểu đồ'!$D$78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đồ'!$E$36:$AF$36,'Vẽ Biểu đồ'!$AO$36)</c:f>
                <c:numCache>
                  <c:formatCode>General</c:formatCode>
                  <c:ptCount val="29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đồ'!$E$75:$AO$75</c15:sqref>
                    </c15:fullRef>
                  </c:ext>
                </c:extLst>
                <c:f>('Vẽ Biểu đồ'!$E$75:$AF$75,'Vẽ Biểu đồ'!$AO$75)</c:f>
                <c:numCache>
                  <c:formatCode>General</c:formatCode>
                  <c:ptCount val="29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497.5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-31</c:v>
                  </c:pt>
                  <c:pt idx="27">
                    <c:v>-190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đồ'!$E$78:$AO$78</c15:sqref>
                  </c15:fullRef>
                </c:ext>
              </c:extLst>
              <c:f>('Vẽ Biểu đồ'!$E$78:$AF$78,'Vẽ Biểu đồ'!$AO$78)</c:f>
              <c:numCache>
                <c:formatCode>_(* #,##0_);_(* \(#,##0\);_(* "-"??_);_(@_)</c:formatCode>
                <c:ptCount val="2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4AE-4D7A-9F7C-6D011FA25BA9}"/>
            </c:ext>
          </c:extLst>
        </c:ser>
        <c:ser>
          <c:idx val="7"/>
          <c:order val="6"/>
          <c:tx>
            <c:strRef>
              <c:f>'Vẽ Biểu đồ'!$D$79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7A0D2D6-5C26-447A-B8E7-595840FD83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2968440-8E8B-44A3-ADE2-D32106AB01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0A5C1FA-ACCF-4293-A35C-821DB2458E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50DEDBB-88D8-4075-B1B9-9352669280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565FDB3-F494-4392-91B2-9F86386946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BCE9BC2-3E60-4A1C-9F17-9EFC45763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7CE8F8D-3103-40A2-8FF4-94DD4A5D5D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4FE81BD-6C06-4DAC-9267-66ED9AC3AC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CD48BDB-9917-4473-888B-D61AF3EC75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A07867D-0A3F-4CE8-8B34-FB2D29BA55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FF9DFD9-B9D6-4343-A337-6BA9C078BC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B251FE2-E5E8-4E68-93F6-3E2452C83F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57E-4DC9-B8BF-1DE5F544B0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4340684-2607-4BDB-8EE9-22AB8257F1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823-4AFF-89F1-DAC1E7DC501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E8B4166-88B2-4180-B974-ED277E79E0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823-4AFF-89F1-DAC1E7DC501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30C1372-39C9-478F-B94E-DDB8C4081F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823-4AFF-89F1-DAC1E7DC501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635FBC9-2CCE-439E-813C-64E17B5179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823-4AFF-89F1-DAC1E7DC501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57E-4DC9-B8BF-1DE5F544B066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đồ'!$E$79:$AO$79</c15:sqref>
                  </c15:fullRef>
                </c:ext>
              </c:extLst>
              <c:f>('Vẽ Biểu đồ'!$E$79:$AF$79,'Vẽ Biểu đồ'!$AO$79)</c:f>
              <c:numCache>
                <c:formatCode>_(* #,##0_);_(* \(#,##0\);_(* "-"??_);_(@_)</c:formatCode>
                <c:ptCount val="2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1051.25</c:v>
                </c:pt>
                <c:pt idx="24">
                  <c:v>1050</c:v>
                </c:pt>
                <c:pt idx="25">
                  <c:v>1050</c:v>
                </c:pt>
                <c:pt idx="26">
                  <c:v>1315.5</c:v>
                </c:pt>
                <c:pt idx="27">
                  <c:v>1495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đồ'!$E$76:$AO$76</c15:f>
                <c15:dlblRangeCache>
                  <c:ptCount val="37"/>
                  <c:pt idx="12">
                    <c:v>+48.9%</c:v>
                  </c:pt>
                  <c:pt idx="13">
                    <c:v>+52.5%</c:v>
                  </c:pt>
                  <c:pt idx="14">
                    <c:v>+50.7%</c:v>
                  </c:pt>
                  <c:pt idx="15">
                    <c:v>+51.4%</c:v>
                  </c:pt>
                  <c:pt idx="16">
                    <c:v>+56.3%</c:v>
                  </c:pt>
                  <c:pt idx="17">
                    <c:v>+62.1%</c:v>
                  </c:pt>
                  <c:pt idx="18">
                    <c:v>+62.1%</c:v>
                  </c:pt>
                  <c:pt idx="19">
                    <c:v>+63.2%</c:v>
                  </c:pt>
                  <c:pt idx="20">
                    <c:v>+61.1%</c:v>
                  </c:pt>
                  <c:pt idx="21">
                    <c:v>+62.7%</c:v>
                  </c:pt>
                  <c:pt idx="22">
                    <c:v>+61.5%</c:v>
                  </c:pt>
                  <c:pt idx="23">
                    <c:v>+62.0%</c:v>
                  </c:pt>
                  <c:pt idx="24">
                    <c:v>+62.5%</c:v>
                  </c:pt>
                  <c:pt idx="25">
                    <c:v>+62.5%</c:v>
                  </c:pt>
                  <c:pt idx="26">
                    <c:v>-2.3%</c:v>
                  </c:pt>
                  <c:pt idx="27">
                    <c:v>-11.9%</c:v>
                  </c:pt>
                  <c:pt idx="28">
                    <c:v>-3.5%</c:v>
                  </c:pt>
                  <c:pt idx="29">
                    <c:v>-1.4%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60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iSS1084G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đồ'!$D$61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đồ'!$E$61:$AO$61</c15:sqref>
                  </c15:fullRef>
                </c:ext>
              </c:extLst>
              <c:f>('Vẽ Biểu đồ'!$E$61:$AF$61,'Vẽ Biểu đồ'!$AO$61)</c:f>
              <c:numCache>
                <c:formatCode>_(* #,##0_);_(* \(#,##0\);_(* "-"??_);_(@_)</c:formatCode>
                <c:ptCount val="29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6-4AFE-B517-60F0D45F1E6D}"/>
            </c:ext>
          </c:extLst>
        </c:ser>
        <c:ser>
          <c:idx val="4"/>
          <c:order val="6"/>
          <c:tx>
            <c:strRef>
              <c:f>'Vẽ Biểu đồ'!$D$62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đồ'!$E$62:$AO$62</c15:sqref>
                  </c15:fullRef>
                </c:ext>
              </c:extLst>
              <c:f>('Vẽ Biểu đồ'!$E$62:$AF$62,'Vẽ Biểu đồ'!$AO$62)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đồ'!$D$52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D9DF3F6-E684-4693-B6D5-1B560DD5F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B31CA50-66ED-4E34-900A-5F346DF1DA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56D1C3-C4E8-48EE-A55A-0061DBC727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488059-36D7-4510-A684-5F30F354B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C1E9330-2B2C-4ACF-BEB9-4C50C07307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3D16852-D4D6-4D6F-81FA-EF0629AD36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FD18048-AC45-485F-82DB-B7C780D9E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E1EB2F9-18D8-403A-B046-AD0A958B0E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993E2F6-CD6B-4C8F-963D-D39431422D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97BEC6F-C738-47D8-AF02-CD6D9992D1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404FB5D-8CED-46E3-BCD8-A3D8F0CD6E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AF30814-3F3C-4278-AD01-599D9EBC09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E4B939C-77CE-440F-A898-672D2C376D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5CFAD4D-BA40-4537-8B37-0CD2057772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DBFDA2F-A4C7-4F5A-BADD-68619B7BC2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3883E34-6D9F-4B29-A324-D938C0BF01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EBF91DA-F819-407B-9E87-BB26C9626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59A48E9-4FD9-4776-8302-EAE2EF0917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FA208D0-95A6-4FCA-B802-38B251156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F289D22-063A-4E3D-9F89-A42F0D90E8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9FE3028-3544-4154-994E-B82CEE935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0FCA734-7C6B-4D8F-A13C-AEC12F5346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8C5FD89-5688-4EBB-ACBA-4B879424D9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D256C20-EA8B-4379-9E46-CEC2BC25A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461-46C8-8C51-305FDD0A15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1B3B707-A0EE-43AC-AB5C-2FE2058EBB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FCE-49D2-8F15-28877AE9933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61EEE65-C784-4CAC-BFE8-53D0BFB55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FCE-49D2-8F15-28877AE9933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2738295-5678-4255-8B50-26DF128D32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FCE-49D2-8F15-28877AE9933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237C59A-55CE-4C5C-8ACA-489269C01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FCE-49D2-8F15-28877AE99330}"/>
                </c:ext>
              </c:extLst>
            </c:dLbl>
            <c:dLbl>
              <c:idx val="28"/>
              <c:layout>
                <c:manualLayout>
                  <c:x val="-1.2375178151664908E-3"/>
                  <c:y val="-1.7870639672989349E-2"/>
                </c:manualLayout>
              </c:layout>
              <c:tx>
                <c:rich>
                  <a:bodyPr/>
                  <a:lstStyle/>
                  <a:p>
                    <a:fld id="{517FEB76-BE86-4852-805B-A6DC58E88F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đồ'!$E$52:$AF$52,'Vẽ Biểu đồ'!$AO$52)</c:f>
              <c:numCache>
                <c:formatCode>_(* #,##0_);_(* \(#,##0\);_(* "-"??_);_(@_)</c:formatCode>
                <c:ptCount val="29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1270</c:v>
                </c:pt>
                <c:pt idx="25">
                  <c:v>1270</c:v>
                </c:pt>
                <c:pt idx="26">
                  <c:v>1270</c:v>
                </c:pt>
                <c:pt idx="27">
                  <c:v>1270</c:v>
                </c:pt>
                <c:pt idx="28">
                  <c:v>1270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đồ'!$E$63:$AO$63</c15:f>
                <c15:dlblRangeCache>
                  <c:ptCount val="37"/>
                  <c:pt idx="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23">
                    <c:v> 1,348 </c:v>
                  </c:pt>
                  <c:pt idx="24">
                    <c:v> 1,270 </c:v>
                  </c:pt>
                  <c:pt idx="29">
                    <c:v> 1,270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1B96-4AFE-B517-60F0D45F1E6D}"/>
            </c:ext>
          </c:extLst>
        </c:ser>
        <c:ser>
          <c:idx val="1"/>
          <c:order val="1"/>
          <c:tx>
            <c:strRef>
              <c:f>'Vẽ Biểu đồ'!$D$53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8FF1407-7397-4168-9B09-01123CA73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0054050-1C35-44DD-9E24-22C377D9FA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84AF233-9227-48A3-8EB0-983C86CA6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BE84BC6-59CF-4525-9992-8103BFD561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019F729-784B-4E3A-B96C-D62C0BDD92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8D9186D-4E5C-4110-9C9B-0F84D1126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BF14957-C5F4-49BA-8006-38150ADF30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40666B7-20CA-4201-A543-8EA9447282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3B8271C-B188-4627-99BA-DB1DC4F15B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B5D4DBB-2AB3-4AE9-A831-A36AFEEE8D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6F0D1D8-F909-4242-B063-8B4D59CF0B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B1FB142-059B-456A-AE9C-4BC64FF4E3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1F6DE58-1B80-43EC-8290-0209633B7E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7FA8C0C-2BE9-40B7-84E4-216DEDD765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D6D818A-8CA9-4DB1-B725-600307F918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8EC53BE-8170-4B19-B7EF-7F6BB77311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12FF543-5CB3-41E4-B87C-578F9ED05A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C07D504-660E-4249-843A-9D15F37C8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8C0BAE3-EB18-4AE4-BBFF-AB6AFFA79F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B90D8E3-D891-4776-A347-81A8264DF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ADC24E7-6995-427C-8465-F92E3DEE6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F0F37AA-78CF-438B-BA9F-14770CD731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FF1A3D0-1FFA-4E20-9003-7FEA644B7B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E574969-5A23-483C-9E7C-FECE862CD7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461-46C8-8C51-305FDD0A15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6E15F20-6E78-4751-8A1A-D1E1ED43F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FCE-49D2-8F15-28877AE9933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276C8E3-A647-41D0-9491-179858060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FCE-49D2-8F15-28877AE9933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EA98211-D5B5-4E4B-A66C-F512B7693D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FCE-49D2-8F15-28877AE9933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522E7EA-439E-4819-BE74-0BFB441334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FCE-49D2-8F15-28877AE99330}"/>
                </c:ext>
              </c:extLst>
            </c:dLbl>
            <c:dLbl>
              <c:idx val="28"/>
              <c:layout>
                <c:manualLayout>
                  <c:x val="-4.820120803795633E-8"/>
                  <c:y val="5.33116184309346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381106F8-96FC-48BA-A387-039D713DD62A}" type="CELLRANGE">
                      <a:rPr lang="en-US"/>
                      <a:pPr>
                        <a:defRPr sz="10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452701658065974E-2"/>
                      <c:h val="3.916315051876665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đồ'!$E$53:$AF$53,'Vẽ Biểu đồ'!$AO$53)</c:f>
              <c:numCache>
                <c:formatCode>_(* #,##0_);_(* \(#,##0\);_(* "-"??_);_(@_)</c:formatCode>
                <c:ptCount val="29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1128</c:v>
                </c:pt>
                <c:pt idx="25">
                  <c:v>1128</c:v>
                </c:pt>
                <c:pt idx="26">
                  <c:v>1128</c:v>
                </c:pt>
                <c:pt idx="27">
                  <c:v>1128</c:v>
                </c:pt>
                <c:pt idx="28">
                  <c:v>1128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đồ'!$E$64:$AO$64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24">
                    <c:v> 1,128 </c:v>
                  </c:pt>
                  <c:pt idx="29">
                    <c:v> 1,128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1B96-4AFE-B517-60F0D45F1E6D}"/>
            </c:ext>
          </c:extLst>
        </c:ser>
        <c:ser>
          <c:idx val="2"/>
          <c:order val="2"/>
          <c:tx>
            <c:strRef>
              <c:f>'Vẽ Biểu đồ'!$D$54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61BC7B5-5910-4FB7-ABAC-094CC08D72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0E4B24-BBCA-4E42-8F6E-D99D387BF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3AF8766-3A3A-478C-AE15-B946E6DA7F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62C42D-A3B5-49F6-83B2-12B1B80775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0614809-639E-451B-BE24-21469EB5F4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DB3389-0CD3-4FE2-89A5-B997081537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C40CD7-EB74-4F0B-8DD8-512DB58774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7F83371-5738-4F82-A3D6-B902B34F5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E5B7FAD-0607-411D-BFAA-EFC66B527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BF6A069-A4A7-47E9-9BEE-1579F356FB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6D533ED-021D-4448-A2E0-53BA3F72D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CC45626-6DA5-423C-98B9-1454F8DD53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A2C1625-E9A0-43DD-BBA4-D657341DA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063B3E1-3416-424A-8F52-86E63A835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2EC76C4-01C0-45DA-A4F8-DD8E0EC0EB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DC2ED77-8BAE-4E00-9BDF-9D0B91E1E4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3FA3AC2-2C4A-4047-AF6B-7C86F1B367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E53AFD3-8042-46E4-8576-6C9FC078D2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A919061-0420-4B3F-B9B4-B04F4C93E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BC43CB0-C3DD-408E-816E-676452162F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B765961-E26E-48B4-A186-E0CBEA2980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E96ECD6-FDF6-4DBF-8D19-42B5F4A8A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9092EE7-C0FC-4353-8247-BD0E5B2E8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72C13B5-5B99-470D-A871-01500F2CB4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61-46C8-8C51-305FDD0A15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FA90B1E-3E58-4A3F-B3BA-E1DB7CD26F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FCE-49D2-8F15-28877AE9933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AC4DE9B-DCE7-4B11-AC6F-73A845C1E6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FCE-49D2-8F15-28877AE9933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DD1ADC8-883A-4E2E-9876-AD792B570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FCE-49D2-8F15-28877AE9933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27E2158-7AF8-4C59-9C8B-B4C4DD98D0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FCE-49D2-8F15-28877AE99330}"/>
                </c:ext>
              </c:extLst>
            </c:dLbl>
            <c:dLbl>
              <c:idx val="28"/>
              <c:layout>
                <c:manualLayout>
                  <c:x val="-1.2243106841642703E-3"/>
                  <c:y val="3.65055647032389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A2B22D8-664D-4BBA-9083-34C3CB05D8CB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C58-462A-8D96-7660D2D0DE2B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đồ'!$E$54:$AF$54,'Vẽ Biểu đồ'!$AO$54)</c:f>
              <c:numCache>
                <c:formatCode>_(* #,##0_);_(* \(#,##0\);_(* "-"??_);_(@_)</c:formatCode>
                <c:ptCount val="29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1370</c:v>
                </c:pt>
                <c:pt idx="28">
                  <c:v>1440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đồ'!$E$65:$AO$65</c15:f>
                <c15:dlblRangeCache>
                  <c:ptCount val="37"/>
                  <c:pt idx="0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24">
                    <c:v> 1,250 </c:v>
                  </c:pt>
                  <c:pt idx="26">
                    <c:v> 1,250 </c:v>
                  </c:pt>
                  <c:pt idx="27">
                    <c:v> 1,370 </c:v>
                  </c:pt>
                  <c:pt idx="28">
                    <c:v> 1,470 </c:v>
                  </c:pt>
                  <c:pt idx="29">
                    <c:v> 1,440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1B96-4AFE-B517-60F0D45F1E6D}"/>
            </c:ext>
          </c:extLst>
        </c:ser>
        <c:ser>
          <c:idx val="3"/>
          <c:order val="3"/>
          <c:tx>
            <c:strRef>
              <c:f>'Vẽ Biểu đồ'!$D$55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B49945D-3EFE-446B-9071-019786CCFB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17D143-8E47-4745-B90C-5E4679014D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6A7AC8-F9FE-4F09-994E-28935A1DE9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FD4CE3A-7205-4EB4-BAD8-9C6A6ECD11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A8131A3-93CF-4D68-90C1-D8EF024CC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E3F5996-A21A-4E64-B495-14BA8DB98C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3B74769-B9E6-4E15-B209-CE9576DFA8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C70566F-FC1E-4089-AFC1-07FE62CB35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C98A19-F4FB-45C9-BDA7-9E09DBC606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4FCB8CB-16D1-47BF-8B0F-5B3E1F9ACD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59240DE-1C44-48CA-B24E-E15BB8AB93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DD0B7EB-76B2-4C33-B944-CE930433E2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8FBE5C1-5720-4E02-8C14-3007F9BA68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02D87D8-D490-416D-9E0F-48D102243E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E707532-2BA0-44DD-BAC4-93C746A914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E80AFDB-2CA1-4688-806E-A1B320865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BE956BF-528D-4D64-A596-BD53EAD9D5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15733C6-10DF-4E5F-A3BD-96C8642F5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02D34F7-B8C1-475B-99CF-A15D5B6308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29B7989-A929-42D9-A95C-FC6576BA11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5A18449-E5E8-4807-BC12-26C301D5C6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069E94B-CB81-47C2-BEC6-320F0BF8B4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37E676F-DF37-4B66-96EA-9BE67D9A82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4FF768D-8E8B-407C-B1FA-E5D68C634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461-46C8-8C51-305FDD0A15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BBCFFEE-AA57-4302-9B4F-5CF15574FE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FCE-49D2-8F15-28877AE9933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85108DB-CB70-41A3-ACFF-5D464F80FE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FCE-49D2-8F15-28877AE9933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B7BE9AA-F191-484F-9491-E0BE9DB6C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FCE-49D2-8F15-28877AE9933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CCF4810-BFBE-422A-BF65-A66D8C61E0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FCE-49D2-8F15-28877AE99330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C6BA3A2-C455-4201-9041-E9D85B8C6B5B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73143007331778E-2"/>
                      <c:h val="7.46430504308267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đồ'!$E$55:$AF$55,'Vẽ Biểu đồ'!$AO$55)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1190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đồ'!$E$66:$AO$66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1,194 </c:v>
                  </c:pt>
                  <c:pt idx="28">
                    <c:v> 1,216 </c:v>
                  </c:pt>
                  <c:pt idx="29">
                    <c:v> 1,190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1B96-4AFE-B517-60F0D45F1E6D}"/>
            </c:ext>
          </c:extLst>
        </c:ser>
        <c:ser>
          <c:idx val="6"/>
          <c:order val="4"/>
          <c:tx>
            <c:strRef>
              <c:f>'Vẽ Biểu đồ'!$D$59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đồ'!$E$36:$AF$36,'Vẽ Biểu đồ'!$AO$36)</c:f>
                <c:numCache>
                  <c:formatCode>General</c:formatCode>
                  <c:ptCount val="29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đồ'!$E$56:$AO$56</c15:sqref>
                    </c15:fullRef>
                  </c:ext>
                </c:extLst>
                <c:f>('Vẽ Biểu đồ'!$E$56:$AF$56,'Vẽ Biểu đồ'!$AO$56)</c:f>
                <c:numCache>
                  <c:formatCode>General</c:formatCode>
                  <c:ptCount val="29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517.5</c:v>
                  </c:pt>
                  <c:pt idx="24">
                    <c:v>445</c:v>
                  </c:pt>
                  <c:pt idx="25">
                    <c:v>410</c:v>
                  </c:pt>
                  <c:pt idx="26">
                    <c:v>141</c:v>
                  </c:pt>
                  <c:pt idx="27">
                    <c:v>176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đồ'!$E$59:$AO$59</c15:sqref>
                  </c15:fullRef>
                </c:ext>
              </c:extLst>
              <c:f>('Vẽ Biểu đồ'!$E$59:$AF$59,'Vẽ Biểu đồ'!$AO$59)</c:f>
              <c:numCache>
                <c:formatCode>_(* #,##0_);_(* \(#,##0\);_(* "-"??_);_(@_)</c:formatCode>
                <c:ptCount val="29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B96-4AFE-B517-60F0D45F1E6D}"/>
            </c:ext>
          </c:extLst>
        </c:ser>
        <c:ser>
          <c:idx val="7"/>
          <c:order val="7"/>
          <c:tx>
            <c:strRef>
              <c:f>'Vẽ Biểu đồ'!$D$60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4D4FC18-77BD-4351-B99B-54AADEE1E3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851ACB-A023-47A6-A357-74C1F055E5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8B2DA00-68A7-46C3-BB9B-D058D7C59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278021-1AAC-4502-82C9-9310A6734F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153B1A5-8C19-4869-9890-FE1B68403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0101879-6238-481E-A5B2-13BE6FBCA5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9DC927-073F-4236-ABF0-95A10CD6B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4806559-8B75-4C4A-B138-A069FD6A13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18A3ACF-746D-414C-8305-DE808F96A2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3AF02B8-664A-49BB-B453-62C9D3BB2E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13FF367-FFDD-424B-8DE7-61C8BCDAF5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18570CA-9E53-49F3-98D0-3A8A8BC6F1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5FF91B6-BF02-43A6-B516-EFC32DEFC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217A7ED-DE01-4C07-B0E2-323295F61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B1C6FC8-0163-4677-AE0C-1ABA2ABE84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8DAC304-9246-4BED-B6EC-8A8F09D06C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6E7A2C6-8A4C-4085-8DA8-FDE89A75E5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9521A30-C838-4AC5-9B6D-C2FC2A1768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A377290-C42E-4297-8A35-7D36846F8D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5750B9E-F1F8-4C32-B68F-5FFE627343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FB578D1-8BDC-4C82-BA3D-0064D38BA3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5911826-334F-43A0-9F73-32ADE3802E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92E4CD7-C2BC-4358-9732-AE46C52A40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3D61D8D-499E-4F4C-A59F-6BA6CF9BDA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61-46C8-8C51-305FDD0A15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0C13361-6D80-4166-A5B2-FF42C605DE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FCE-49D2-8F15-28877AE9933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8295AB3-D287-42C4-B1C2-4D6054DC7B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FCE-49D2-8F15-28877AE9933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7B0CA5B-1C98-4CD3-ACE3-1EF1D9B48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FCE-49D2-8F15-28877AE9933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B2DE7E6-F989-4FCB-9F17-116ABDAD82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FCE-49D2-8F15-28877AE9933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461-46C8-8C51-305FDD0A1529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đồ'!$E$60:$AO$60</c15:sqref>
                  </c15:fullRef>
                </c:ext>
              </c:extLst>
              <c:f>('Vẽ Biểu đồ'!$E$60:$AF$60,'Vẽ Biểu đồ'!$AO$60)</c:f>
              <c:numCache>
                <c:formatCode>_(* #,##0_);_(* \(#,##0\);_(* "-"??_);_(@_)</c:formatCode>
                <c:ptCount val="29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1031.25</c:v>
                </c:pt>
                <c:pt idx="24">
                  <c:v>1027.5</c:v>
                </c:pt>
                <c:pt idx="25">
                  <c:v>1045</c:v>
                </c:pt>
                <c:pt idx="26">
                  <c:v>1179.5</c:v>
                </c:pt>
                <c:pt idx="27">
                  <c:v>1282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+44.1%</c:v>
                  </c:pt>
                  <c:pt idx="1">
                    <c:v>+42.0%</c:v>
                  </c:pt>
                  <c:pt idx="2">
                    <c:v>+42.6%</c:v>
                  </c:pt>
                  <c:pt idx="3">
                    <c:v>+42.6%</c:v>
                  </c:pt>
                  <c:pt idx="4">
                    <c:v>+47.6%</c:v>
                  </c:pt>
                  <c:pt idx="5">
                    <c:v>+46.3%</c:v>
                  </c:pt>
                  <c:pt idx="6">
                    <c:v>+46.7%</c:v>
                  </c:pt>
                  <c:pt idx="7">
                    <c:v>+49.5%</c:v>
                  </c:pt>
                  <c:pt idx="8">
                    <c:v>+59.1%</c:v>
                  </c:pt>
                  <c:pt idx="9">
                    <c:v>+64.1%</c:v>
                  </c:pt>
                  <c:pt idx="10">
                    <c:v>+66.1%</c:v>
                  </c:pt>
                  <c:pt idx="11">
                    <c:v>+64.5%</c:v>
                  </c:pt>
                  <c:pt idx="12">
                    <c:v>+59.4%</c:v>
                  </c:pt>
                  <c:pt idx="13">
                    <c:v>+52.4%</c:v>
                  </c:pt>
                  <c:pt idx="14">
                    <c:v>+60.4%</c:v>
                  </c:pt>
                  <c:pt idx="15">
                    <c:v>+75.2%</c:v>
                  </c:pt>
                  <c:pt idx="16">
                    <c:v>+71.4%</c:v>
                  </c:pt>
                  <c:pt idx="17">
                    <c:v>+65.9%</c:v>
                  </c:pt>
                  <c:pt idx="18">
                    <c:v>+67.1%</c:v>
                  </c:pt>
                  <c:pt idx="19">
                    <c:v>+64.8%</c:v>
                  </c:pt>
                  <c:pt idx="20">
                    <c:v>+67.3%</c:v>
                  </c:pt>
                  <c:pt idx="21">
                    <c:v>+68.4%</c:v>
                  </c:pt>
                  <c:pt idx="22">
                    <c:v>+67.5%</c:v>
                  </c:pt>
                  <c:pt idx="23">
                    <c:v>+67.0%</c:v>
                  </c:pt>
                  <c:pt idx="24">
                    <c:v>+55.3%</c:v>
                  </c:pt>
                  <c:pt idx="25">
                    <c:v>+48.8%</c:v>
                  </c:pt>
                  <c:pt idx="26">
                    <c:v>+12.7%</c:v>
                  </c:pt>
                  <c:pt idx="27">
                    <c:v>+14.7%</c:v>
                  </c:pt>
                  <c:pt idx="28">
                    <c:v>+20.9%</c:v>
                  </c:pt>
                  <c:pt idx="29">
                    <c:v>+21.0%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iSS01G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đồ'!$D$41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đồ'!$E$41:$AO$41</c15:sqref>
                  </c15:fullRef>
                </c:ext>
              </c:extLst>
              <c:f>('Vẽ Biểu đồ'!$E$41:$AF$41,'Vẽ Biểu đồ'!$AO$41)</c:f>
              <c:numCache>
                <c:formatCode>_(* #,##0_);_(* \(#,##0\);_(* "-"??_);_(@_)</c:formatCode>
                <c:ptCount val="29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1190</c:v>
                </c:pt>
                <c:pt idx="25">
                  <c:v>1190</c:v>
                </c:pt>
                <c:pt idx="26">
                  <c:v>1190</c:v>
                </c:pt>
                <c:pt idx="27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5-4F8D-9630-E32551AC36DC}"/>
            </c:ext>
          </c:extLst>
        </c:ser>
        <c:ser>
          <c:idx val="4"/>
          <c:order val="6"/>
          <c:tx>
            <c:strRef>
              <c:f>'Vẽ Biểu đồ'!$D$42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đồ'!$E$42:$AO$42</c15:sqref>
                  </c15:fullRef>
                </c:ext>
              </c:extLst>
              <c:f>('Vẽ Biểu đồ'!$E$42:$AF$42,'Vẽ Biểu đồ'!$AO$42)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đồ'!$D$32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8D49C77-4196-4151-9E78-DDE1786EE3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88EA9C8-FF0A-4BCB-8C71-52640F26CD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75CE7BD-04F6-4C0D-B5E4-12F8B268BF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7905F09-F097-47E0-8CA2-35CA430800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786B8B7-19BE-4198-A542-78B690CF5E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7651C46-8843-4906-AE5C-7D15247844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C224ECE-ACE1-4367-BAD2-CA5A1B6924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C8B0A2F-F194-47F1-8485-1182F71C42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D42EE29-FF76-4FA8-A190-E491BBF814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E0A352D-A9BC-4CEA-9C53-DFBA0157C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5DE6C1A-41D7-4AB3-8E36-3262FC3AE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1756408-E955-4556-B4A8-C6E00D7DD6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77C-4DBF-BE90-84AD3FCFFFC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D9B-4318-B735-8E329DFFFAE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D9B-4318-B735-8E329DFFFAE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D9B-4318-B735-8E329DFFFAE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D9B-4318-B735-8E329DFFFAEB}"/>
                </c:ext>
              </c:extLst>
            </c:dLbl>
            <c:dLbl>
              <c:idx val="28"/>
              <c:layout>
                <c:manualLayout>
                  <c:x val="-1.7907812757146556E-16"/>
                  <c:y val="4.96623041525976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B4D32F8-B72C-4D5B-B899-953C896EB394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đồ'!$E$32:$AO$32</c15:sqref>
                  </c15:fullRef>
                </c:ext>
              </c:extLst>
              <c:f>('Vẽ Biểu đồ'!$E$32:$AF$32,'Vẽ Biểu đồ'!$AO$32)</c:f>
              <c:numCache>
                <c:formatCode>_(* #,##0_);_(* \(#,##0\);_(* "-"??_);_(@_)</c:formatCode>
                <c:ptCount val="2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1230</c:v>
                </c:pt>
                <c:pt idx="20">
                  <c:v>1230</c:v>
                </c:pt>
                <c:pt idx="21">
                  <c:v>1230</c:v>
                </c:pt>
                <c:pt idx="22">
                  <c:v>1230</c:v>
                </c:pt>
                <c:pt idx="23">
                  <c:v>1230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đồ'!$E$43:$AO$43</c15:f>
                <c15:dlblRangeCache>
                  <c:ptCount val="37"/>
                  <c:pt idx="12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8">
                    <c:v> 1,228 </c:v>
                  </c:pt>
                  <c:pt idx="19">
                    <c:v> 1,230 </c:v>
                  </c:pt>
                  <c:pt idx="23">
                    <c:v> 1,230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6D5-4F8D-9630-E32551AC36DC}"/>
            </c:ext>
          </c:extLst>
        </c:ser>
        <c:ser>
          <c:idx val="1"/>
          <c:order val="1"/>
          <c:tx>
            <c:strRef>
              <c:f>'Vẽ Biểu đồ'!$D$33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EF3A47B-95A0-475D-A936-1EF6E7DF15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E63FDFF-DBB0-4F8B-A3ED-7EFB4A833F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C7BDAA-8649-4A90-83EA-963D23C8A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38CB7F-8E6F-4B9D-BBB7-6C5D0F115E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2E57E5-E2CF-4784-A5B8-DFD7423F00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4F471F7-14CD-467E-B775-5AFA16E55A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59C0B80-4ABC-408A-A155-715F3E043B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86F8155-FCA5-4C58-88E4-34A34677E9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902E645-75EA-4727-9632-E68B7B3D59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D8B4CA5-2C62-4C7F-9D54-7ADE0E80A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585D38F-A012-4FAA-9F65-A8521B330A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B83ABE5-EE65-408D-A3F0-CDFD48B5A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8BC8C74-339B-4607-A59F-DC9B2C8861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5FE182C-6CC2-4069-B930-CF36C4D583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77C2264-F8E8-49E8-A66E-501CD30D66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39883B6-B39F-4B4E-A3B8-85BF6A8BD7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E953314-7128-43BD-8C8D-1879FCBB1B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051F35D-C340-4BDC-B8E2-15C4772AD0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7C61BE6-2CF4-4E9F-A4ED-AE11475160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BF6D8FD-77FE-4137-86F7-093401EF98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FDA6ED8-1DB2-43A2-A3C5-5DB87AC344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FF61711-612C-47D7-B765-398BE766F6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56D74AA-3CBC-4BF5-BD56-1762846C0E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BB85351-0D34-42A7-92F2-62F475F27A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77C-4DBF-BE90-84AD3FCFFFC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8582FC9-F413-4882-B76C-97C92F9202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D9B-4318-B735-8E329DFFFAE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59BB7ED-8890-490E-89D2-D51F9778C0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D9B-4318-B735-8E329DFFFAE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E258FEE-382A-403B-B1B0-911CBB3364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D9B-4318-B735-8E329DFFFAE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F6F4A63-EAC5-47BC-9EA3-EB6A336DD9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D9B-4318-B735-8E329DFFFAEB}"/>
                </c:ext>
              </c:extLst>
            </c:dLbl>
            <c:dLbl>
              <c:idx val="28"/>
              <c:layout>
                <c:manualLayout>
                  <c:x val="-4.3456110626361443E-5"/>
                  <c:y val="-5.9072098560043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FB2D631-EB54-4458-86FD-AA9131F60423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32692349292141"/>
                      <c:h val="5.91433463696229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đồ'!$E$33:$AO$33</c15:sqref>
                  </c15:fullRef>
                </c:ext>
              </c:extLst>
              <c:f>('Vẽ Biểu đồ'!$E$33:$AF$33,'Vẽ Biểu đồ'!$AO$33)</c:f>
              <c:numCache>
                <c:formatCode>_(* #,##0_);_(* \(#,##0\);_(* "-"??_);_(@_)</c:formatCode>
                <c:ptCount val="29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1128</c:v>
                </c:pt>
                <c:pt idx="25">
                  <c:v>1128</c:v>
                </c:pt>
                <c:pt idx="26">
                  <c:v>1128</c:v>
                </c:pt>
                <c:pt idx="27">
                  <c:v>1128</c:v>
                </c:pt>
                <c:pt idx="28">
                  <c:v>1128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đồ'!$E$44:$AO$44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24">
                    <c:v> 1,128 </c:v>
                  </c:pt>
                  <c:pt idx="29">
                    <c:v> 1,128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6D5-4F8D-9630-E32551AC36DC}"/>
            </c:ext>
          </c:extLst>
        </c:ser>
        <c:ser>
          <c:idx val="2"/>
          <c:order val="2"/>
          <c:tx>
            <c:strRef>
              <c:f>'Vẽ Biểu đồ'!$D$34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BEABDCA-EEA5-4EE1-B2F2-C89FFE8A6E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75C2591-BB7F-462B-BDC4-2E9EDCE907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74BF00-D97F-4470-9040-1476AEEB4D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F3C2EE-9BC9-4523-A936-354E97E9B5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912FF33-DFFF-4066-BD03-128330106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AAC22E3-AA48-473B-89BD-9D1AEDFFA4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456183D-BBAE-44C9-948D-3F8844AF6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73BF060-5966-4EEE-9F86-544F3FDAE1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8D485B5-7B8C-4551-9254-DCBE20D2D7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A9EAA58-DFB2-46F5-A012-2D5CA2851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BD3D4E1-6E5C-455C-ABEC-308F2CD708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8EBD1CC-0923-40EC-B466-FC6200CBE5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1CEB95E-C843-447E-9348-F8C9F26CEB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87BA97E-2AE0-436E-BDD9-E1A73574A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FFDF43C-1058-4DC9-9C9E-F2A806BFA5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0FF098B-5E25-4F86-B5BB-EF60D29658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0CCF98C-402C-408F-8F84-456F0E7E53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BF27CF6-DAFA-43A7-8B1C-6690DDC4D9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0D8DA93-6530-48CA-9394-119199C87C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43BD5D4-646E-4B9E-ACCF-0AD02FE05B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E1A67AF-4A74-454D-A4D9-8F69C02EBE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5943705-48A3-4E5B-9E97-AC45BF18D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6C20755-A80C-492E-9E75-EA8C4B9770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6C3723D-0F99-406C-A00D-641EAE024C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7C-4DBF-BE90-84AD3FCFFFC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2D04584-EE24-4B4A-A81D-DC4DB2FA2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D9B-4318-B735-8E329DFFFAE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5DFCB9F-F976-4F9A-85AE-6A925F555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D9B-4318-B735-8E329DFFFAE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2F0D257-07F2-49C1-9284-BF0DE00116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D9B-4318-B735-8E329DFFFAE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5535648-F908-4F12-AF14-495EB3164E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D9B-4318-B735-8E329DFFFAEB}"/>
                </c:ext>
              </c:extLst>
            </c:dLbl>
            <c:dLbl>
              <c:idx val="28"/>
              <c:layout>
                <c:manualLayout>
                  <c:x val="-3.6630040151715663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237C9F-F39D-45C4-9CB4-106191DF21D8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8D7-44CF-A8FE-9E906AE1339B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đồ'!$E$34:$AF$34,'Vẽ Biểu đồ'!$AO$34)</c:f>
              <c:numCache>
                <c:formatCode>_(* #,##0_);_(* \(#,##0\);_(* "-"??_);_(@_)</c:formatCode>
                <c:ptCount val="29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1190</c:v>
                </c:pt>
                <c:pt idx="25">
                  <c:v>1190</c:v>
                </c:pt>
                <c:pt idx="26">
                  <c:v>1190</c:v>
                </c:pt>
                <c:pt idx="27">
                  <c:v>1310</c:v>
                </c:pt>
                <c:pt idx="28">
                  <c:v>1380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đồ'!$E$45:$AO$45</c15:f>
                <c15:dlblRangeCache>
                  <c:ptCount val="37"/>
                  <c:pt idx="0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24">
                    <c:v> 1,190 </c:v>
                  </c:pt>
                  <c:pt idx="26">
                    <c:v> 1,190 </c:v>
                  </c:pt>
                  <c:pt idx="27">
                    <c:v> 1,310 </c:v>
                  </c:pt>
                  <c:pt idx="28">
                    <c:v> 1,410 </c:v>
                  </c:pt>
                  <c:pt idx="29">
                    <c:v> 1,380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6D5-4F8D-9630-E32551AC36DC}"/>
            </c:ext>
          </c:extLst>
        </c:ser>
        <c:ser>
          <c:idx val="3"/>
          <c:order val="3"/>
          <c:tx>
            <c:strRef>
              <c:f>'Vẽ Biểu đồ'!$D$35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8290298-FC5E-4ACB-90B7-0A4F0A27AA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EFA442-0E9B-41E0-8EE3-CE8A8C5314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AD1CB30-974E-497B-9316-33A1E40F77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9C95E6-A53F-4EE7-BF2B-452001DAB0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6313DBC-09A7-4E83-AA4B-32601A4C10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262B95F-5A90-4662-8CF9-C88C26AE8D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10044C4-3008-400A-878E-960091F2CD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C25D796-739D-4632-99F3-33A741EDA6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A4CA3A0-A0A7-4D82-9B58-344299A26D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27FBB42-E6B8-4001-81D3-CF439581D8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0E591B0-2F91-476A-A872-FEFDF3F32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89CFBDB-7825-493A-9369-554B3C88D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6C9A05E-AD2A-4FEF-A750-59FD34A91F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233F403-6FA0-4FCA-9F3D-46123E1072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4FDC63E-FE7A-4C44-9445-4D95AA813D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37FF481-661D-4C68-BDAC-A93B91D5B2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3A1A733-18BF-44CB-8BB0-26E3DA5EF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CCE2E8E-2388-48ED-8275-2A5B679CA4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84CD3E4-6D82-4693-823D-0A572F39E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1A1B9AA-F823-4570-BE20-3E23CD5BA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5851832-CA28-4494-B58D-7556534145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1EDD811-9B38-44A0-A91E-E7881D151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7504BAB-B7DD-4042-93AE-E6238E4CAD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3D4F0C7-16CD-4B20-8821-8F61755E5B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77C-4DBF-BE90-84AD3FCFFFC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AD717AE-2AEC-4941-AD7B-55F3167623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D9B-4318-B735-8E329DFFFAE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D222321-21D1-4051-A6B7-19EE05DFE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D9B-4318-B735-8E329DFFFAE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902695B-733C-4A67-A746-33887510E6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4D9B-4318-B735-8E329DFFFAE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1ADD2D1-2AB1-4567-9FC4-E417F15924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D9B-4318-B735-8E329DFFFAEB}"/>
                </c:ext>
              </c:extLst>
            </c:dLbl>
            <c:dLbl>
              <c:idx val="28"/>
              <c:layout>
                <c:manualLayout>
                  <c:x val="-7.3260080303431327E-3"/>
                  <c:y val="-1.48986912457792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5F2DDEC-C5D5-452E-8F5E-8A81DFD3A953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670895337207396E-2"/>
                      <c:h val="9.69666264623593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đồ'!$E$35:$AF$35,'Vẽ Biểu đồ'!$AO$35)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1190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đồ'!$E$46:$AO$46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1,194 </c:v>
                  </c:pt>
                  <c:pt idx="28">
                    <c:v> 1,216 </c:v>
                  </c:pt>
                  <c:pt idx="29">
                    <c:v> 1,190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6D5-4F8D-9630-E32551AC36DC}"/>
            </c:ext>
          </c:extLst>
        </c:ser>
        <c:ser>
          <c:idx val="6"/>
          <c:order val="4"/>
          <c:tx>
            <c:strRef>
              <c:f>'Vẽ Biểu đồ'!$D$39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đồ'!$E$36:$AF$36,'Vẽ Biểu đồ'!$AO$36)</c:f>
                <c:numCache>
                  <c:formatCode>General</c:formatCode>
                  <c:ptCount val="29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đồ'!$E$36:$AF$36,'Vẽ Biểu đồ'!$AO$36)</c:f>
                <c:numCache>
                  <c:formatCode>General</c:formatCode>
                  <c:ptCount val="29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đồ'!$E$39:$AO$39</c15:sqref>
                  </c15:fullRef>
                </c:ext>
              </c:extLst>
              <c:f>('Vẽ Biểu đồ'!$E$39:$AF$39,'Vẽ Biểu đồ'!$AO$39)</c:f>
              <c:numCache>
                <c:formatCode>_(* #,##0_);_(* \(#,##0\);_(* "-"??_);_(@_)</c:formatCode>
                <c:ptCount val="29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1190</c:v>
                </c:pt>
                <c:pt idx="25">
                  <c:v>1190</c:v>
                </c:pt>
                <c:pt idx="26">
                  <c:v>1190</c:v>
                </c:pt>
                <c:pt idx="27">
                  <c:v>1310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6D5-4F8D-9630-E32551AC36DC}"/>
            </c:ext>
          </c:extLst>
        </c:ser>
        <c:ser>
          <c:idx val="7"/>
          <c:order val="7"/>
          <c:tx>
            <c:strRef>
              <c:f>'Vẽ Biểu đồ'!$D$40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A5DDCCE-891C-4EA8-8910-06D449DB4F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5D289D-963E-49F4-8806-69BC51E6A2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F8F17D-918E-49DC-B01D-6D15543254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EC9566-1B67-428B-9387-B1C63650B6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73C828B-2418-4CF6-86C2-16960196EE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048D0CE-C440-4709-A8C6-F5F4D7C76B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B211773-FCD7-45E0-A2F1-26589BF2D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A0EE95A-51AE-4FCA-9B8C-8CD13AB8E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5E3DF4D-C987-4795-9CA7-E1BA3F4C08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C042199-102C-4773-9EC7-2F7E0A3747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1C51BE1-7831-4485-B806-2F59CBA37A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F12A423-64E9-4C60-B267-720CAD69AF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0DC0FBC-A596-4B8E-81CB-AA8FA23EF4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5AA758C-2A9B-442E-BC5E-DD1964E741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76C2B1E-00B8-4ECF-9E0B-AD31F87959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6D4D7C0-BCFF-42A4-AFA3-F03440E350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FB7BE05-160C-427B-AC9D-EE6A7B9FEF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5E93E78-F87A-42AC-81F0-5F233E16F2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8114776-7E7A-4278-9E5F-6FF2AED47A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7A264FC-999D-494E-B14C-27CE5A303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AFFAEF4-AC92-4A2F-930C-660FBCF336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BACB1D9-93A5-40F5-88CC-AEEE80A468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A081682-005B-40A6-9952-022A8EC27C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5FF3115-469C-40B3-8366-2FE96D6E0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77C-4DBF-BE90-84AD3FCFFFC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C1DC5B7-E727-4A88-8952-2D28BCA049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4D9B-4318-B735-8E329DFFFAE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8CF1739-1506-4171-A7FD-B9459367E4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4D9B-4318-B735-8E329DFFFAE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26F2B55-4E23-4249-AFEE-189B60B33E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4D9B-4318-B735-8E329DFFFAE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35D78FB-B7A3-405E-9BB3-F2B0D8F7E4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4D9B-4318-B735-8E329DFFFAE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77C-4DBF-BE90-84AD3FCFFFC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đồ'!$E$40:$AO$40</c15:sqref>
                  </c15:fullRef>
                </c:ext>
              </c:extLst>
              <c:f>('Vẽ Biểu đồ'!$E$40:$AF$40,'Vẽ Biểu đồ'!$AO$40)</c:f>
              <c:numCache>
                <c:formatCode>_(* #,##0_);_(* \(#,##0\);_(* "-"??_);_(@_)</c:formatCode>
                <c:ptCount val="29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1001.25</c:v>
                </c:pt>
                <c:pt idx="24">
                  <c:v>997.5</c:v>
                </c:pt>
                <c:pt idx="25">
                  <c:v>1015</c:v>
                </c:pt>
                <c:pt idx="26">
                  <c:v>1149.5</c:v>
                </c:pt>
                <c:pt idx="27">
                  <c:v>1252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đồ'!$E$37:$AO$37</c15:f>
                <c15:dlblRangeCache>
                  <c:ptCount val="37"/>
                  <c:pt idx="0">
                    <c:v>+37.6%</c:v>
                  </c:pt>
                  <c:pt idx="1">
                    <c:v>+35.7%</c:v>
                  </c:pt>
                  <c:pt idx="2">
                    <c:v>+36.2%</c:v>
                  </c:pt>
                  <c:pt idx="3">
                    <c:v>+36.2%</c:v>
                  </c:pt>
                  <c:pt idx="4">
                    <c:v>+41.2%</c:v>
                  </c:pt>
                  <c:pt idx="5">
                    <c:v>+40.0%</c:v>
                  </c:pt>
                  <c:pt idx="6">
                    <c:v>+40.4%</c:v>
                  </c:pt>
                  <c:pt idx="7">
                    <c:v>+43.0%</c:v>
                  </c:pt>
                  <c:pt idx="8">
                    <c:v>+52.3%</c:v>
                  </c:pt>
                  <c:pt idx="9">
                    <c:v>+57.1%</c:v>
                  </c:pt>
                  <c:pt idx="10">
                    <c:v>+59.0%</c:v>
                  </c:pt>
                  <c:pt idx="11">
                    <c:v>+57.2%</c:v>
                  </c:pt>
                  <c:pt idx="12">
                    <c:v>+52.2%</c:v>
                  </c:pt>
                  <c:pt idx="13">
                    <c:v>+50.0%</c:v>
                  </c:pt>
                  <c:pt idx="14">
                    <c:v>+53.1%</c:v>
                  </c:pt>
                  <c:pt idx="15">
                    <c:v>+67.3%</c:v>
                  </c:pt>
                  <c:pt idx="16">
                    <c:v>+63.7%</c:v>
                  </c:pt>
                  <c:pt idx="17">
                    <c:v>+58.5%</c:v>
                  </c:pt>
                  <c:pt idx="18">
                    <c:v>+59.6%</c:v>
                  </c:pt>
                  <c:pt idx="19">
                    <c:v>+57.2%</c:v>
                  </c:pt>
                  <c:pt idx="20">
                    <c:v>+59.6%</c:v>
                  </c:pt>
                  <c:pt idx="21">
                    <c:v>+60.6%</c:v>
                  </c:pt>
                  <c:pt idx="22">
                    <c:v>+59.7%</c:v>
                  </c:pt>
                  <c:pt idx="23">
                    <c:v>+59.2%</c:v>
                  </c:pt>
                  <c:pt idx="24">
                    <c:v>+47.8%</c:v>
                  </c:pt>
                  <c:pt idx="25">
                    <c:v>+41.7%</c:v>
                  </c:pt>
                  <c:pt idx="26">
                    <c:v>+7.3%</c:v>
                  </c:pt>
                  <c:pt idx="27">
                    <c:v>+9.7%</c:v>
                  </c:pt>
                  <c:pt idx="28">
                    <c:v>+16.0%</c:v>
                  </c:pt>
                  <c:pt idx="29">
                    <c:v>+16.0%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4505600784096278"/>
          <c:h val="0.89287902497992155"/>
        </c:manualLayout>
      </c:layout>
      <c:areaChart>
        <c:grouping val="standard"/>
        <c:varyColors val="0"/>
        <c:ser>
          <c:idx val="5"/>
          <c:order val="7"/>
          <c:tx>
            <c:strRef>
              <c:f>'Vẽ Biểu đồ'!$D$19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đồ'!$E$1:$AO$2</c15:sqref>
                  </c15:fullRef>
                </c:ext>
              </c:extLst>
              <c:f>'Vẽ Biểu đồ'!$E$1:$AO$2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đồ'!$E$19:$AO$19</c15:sqref>
                  </c15:fullRef>
                </c:ext>
              </c:extLst>
              <c:f>('Vẽ Biểu đồ'!$E$19:$AG$19,'Vẽ Biểu đồ'!$AO$19)</c:f>
              <c:numCache>
                <c:formatCode>_(* #,##0_);_(* \(#,##0\);_(* "-"??_);_(@_)</c:formatCode>
                <c:ptCount val="30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1280</c:v>
                </c:pt>
                <c:pt idx="28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6-40AD-9FBA-DD500C2B3FEA}"/>
            </c:ext>
          </c:extLst>
        </c:ser>
        <c:ser>
          <c:idx val="4"/>
          <c:order val="8"/>
          <c:tx>
            <c:strRef>
              <c:f>'Vẽ Biểu đồ'!$D$20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đồ'!$E$1:$AO$2</c15:sqref>
                  </c15:fullRef>
                </c:ext>
              </c:extLst>
              <c:f>'Vẽ Biểu đồ'!$E$1:$AO$2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đồ'!$E$20:$AO$20</c15:sqref>
                  </c15:fullRef>
                </c:ext>
              </c:extLst>
              <c:f>('Vẽ Biểu đồ'!$E$20:$AG$20,'Vẽ Biểu đồ'!$AO$20)</c:f>
              <c:numCache>
                <c:formatCode>_(* #,##0_);_(* \(#,##0\);_(* "-"??_);_(@_)</c:formatCode>
                <c:ptCount val="30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6-40AD-9FBA-DD500C2B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66-40AD-9FBA-DD500C2B3FE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689750F-4F80-4744-8F4D-8E2D7AE88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F66-40AD-9FBA-DD500C2B3F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8235BD-0C5A-416C-A2C6-C0A37003B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F66-40AD-9FBA-DD500C2B3F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96ADA4-DBDC-4583-864A-CB61AB8A20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F66-40AD-9FBA-DD500C2B3F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843A0DC-7C37-4570-9D4E-E15D5BC232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F66-40AD-9FBA-DD500C2B3F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F9AE627-9EDF-40B2-85AD-7B028DD796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F66-40AD-9FBA-DD500C2B3F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5D7FBA7-3BEB-4F0F-8E3C-8DA457B2A7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F66-40AD-9FBA-DD500C2B3FE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02DFB71-9827-4FD2-8465-726E262B13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F66-40AD-9FBA-DD500C2B3FE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B6D40A3-6B0C-4E4A-8153-AF8D4E57C7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F66-40AD-9FBA-DD500C2B3FE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FB92624-269D-448B-BF8B-1DE1F0FC05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F66-40AD-9FBA-DD500C2B3FE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77D7DE6-4ABF-4B6E-B61A-AB9E02D6B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F66-40AD-9FBA-DD500C2B3FE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E2390A6-6069-4909-9FFC-4768E03F0D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F66-40AD-9FBA-DD500C2B3FE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91992DD-B849-435C-882A-B48A736226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F66-40AD-9FBA-DD500C2B3FEA}"/>
                </c:ext>
              </c:extLst>
            </c:dLbl>
            <c:dLbl>
              <c:idx val="12"/>
              <c:layout>
                <c:manualLayout>
                  <c:x val="-1.0449698510122705E-2"/>
                  <c:y val="-1.2467191601049869E-2"/>
                </c:manualLayout>
              </c:layout>
              <c:tx>
                <c:rich>
                  <a:bodyPr/>
                  <a:lstStyle/>
                  <a:p>
                    <a:fld id="{A4F9B65C-0166-48DD-AD53-2B787DD5C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F66-40AD-9FBA-DD500C2B3FEA}"/>
                </c:ext>
              </c:extLst>
            </c:dLbl>
            <c:dLbl>
              <c:idx val="13"/>
              <c:layout>
                <c:manualLayout>
                  <c:x val="-1.2473346864795332E-2"/>
                  <c:y val="-2.3786434227267332E-2"/>
                </c:manualLayout>
              </c:layout>
              <c:tx>
                <c:rich>
                  <a:bodyPr/>
                  <a:lstStyle/>
                  <a:p>
                    <a:fld id="{B9E7B7FD-49A9-45B9-A9BC-7767293CE7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F66-40AD-9FBA-DD500C2B3FEA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E5389B5D-9B8B-45E5-B9A7-A5B5B887A9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F66-40AD-9FBA-DD500C2B3FE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60D60B0-676E-4C9E-AF20-CC11FB773E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F66-40AD-9FBA-DD500C2B3FE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F66-40AD-9FBA-DD500C2B3FE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F66-40AD-9FBA-DD500C2B3FE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9F5333E-522E-47C1-B1B6-1F06C262D3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F66-40AD-9FBA-DD500C2B3FE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F66-40AD-9FBA-DD500C2B3FE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E41EE14-F3D4-4F68-87A4-1B897BA5C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F66-40AD-9FBA-DD500C2B3FE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0D8F32A-8454-4FD3-AC9A-E42486E029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F66-40AD-9FBA-DD500C2B3FE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84274E9-EF0C-465F-A5A0-522FB804E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F66-40AD-9FBA-DD500C2B3FEA}"/>
                </c:ext>
              </c:extLst>
            </c:dLbl>
            <c:dLbl>
              <c:idx val="23"/>
              <c:layout>
                <c:manualLayout>
                  <c:x val="-3.6649789439388854E-2"/>
                  <c:y val="2.4995618647038167E-2"/>
                </c:manualLayout>
              </c:layout>
              <c:tx>
                <c:rich>
                  <a:bodyPr/>
                  <a:lstStyle/>
                  <a:p>
                    <a:fld id="{373BB879-371A-4CC5-871A-FDE0AD5912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9F66-40AD-9FBA-DD500C2B3FE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B2D1060-C1F0-4DD1-98CF-D22E41190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F66-40AD-9FBA-DD500C2B3FE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60EB9AB-02FD-4081-BBB3-5804DF9A09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F66-40AD-9FBA-DD500C2B3FEA}"/>
                </c:ext>
              </c:extLst>
            </c:dLbl>
            <c:dLbl>
              <c:idx val="26"/>
              <c:layout>
                <c:manualLayout>
                  <c:x val="-1.5232844352436057E-2"/>
                  <c:y val="2.9376971608832809E-2"/>
                </c:manualLayout>
              </c:layout>
              <c:tx>
                <c:rich>
                  <a:bodyPr/>
                  <a:lstStyle/>
                  <a:p>
                    <a:fld id="{5B2BD8C3-B82C-4FB8-AB44-58DEF37FE4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9F66-40AD-9FBA-DD500C2B3FEA}"/>
                </c:ext>
              </c:extLst>
            </c:dLbl>
            <c:dLbl>
              <c:idx val="27"/>
              <c:layout>
                <c:manualLayout>
                  <c:x val="-1.5232844352435899E-2"/>
                  <c:y val="3.3758324570627329E-2"/>
                </c:manualLayout>
              </c:layout>
              <c:tx>
                <c:rich>
                  <a:bodyPr/>
                  <a:lstStyle/>
                  <a:p>
                    <a:fld id="{A7F3ACE1-EFBA-4E00-BF0F-CB4C5432AE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9F66-40AD-9FBA-DD500C2B3FEA}"/>
                </c:ext>
              </c:extLst>
            </c:dLbl>
            <c:dLbl>
              <c:idx val="28"/>
              <c:layout>
                <c:manualLayout>
                  <c:x val="-5.5943204639009913E-3"/>
                  <c:y val="3.1049342814048697E-2"/>
                </c:manualLayout>
              </c:layout>
              <c:tx>
                <c:rich>
                  <a:bodyPr/>
                  <a:lstStyle/>
                  <a:p>
                    <a:fld id="{4DEE8958-7E28-40CD-9B90-722F31503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A72-49F0-968D-928B9606F2C2}"/>
                </c:ext>
              </c:extLst>
            </c:dLbl>
            <c:dLbl>
              <c:idx val="29"/>
              <c:layout>
                <c:manualLayout>
                  <c:x val="1.0700008337778321E-3"/>
                  <c:y val="3.29722924905879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F37736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33A2398C-8504-49EC-B499-2D61FC24C86A}" type="CELLRANGE">
                      <a:rPr lang="en-US"/>
                      <a:pPr>
                        <a:defRPr sz="1200" b="1">
                          <a:solidFill>
                            <a:srgbClr val="F37736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37736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F66-40AD-9FBA-DD500C2B3F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đồ'!$E$8:$AG$8,'Vẽ Biểu đồ'!$AO$8)</c:f>
              <c:numCache>
                <c:formatCode>_(* #,##0_);_(* \(#,##0\);_(* "-"??_);_(@_)</c:formatCode>
                <c:ptCount val="30"/>
                <c:pt idx="0">
                  <c:v>1162</c:v>
                </c:pt>
                <c:pt idx="1">
                  <c:v>1162</c:v>
                </c:pt>
                <c:pt idx="2">
                  <c:v>1162</c:v>
                </c:pt>
                <c:pt idx="3">
                  <c:v>1162</c:v>
                </c:pt>
                <c:pt idx="4">
                  <c:v>1162</c:v>
                </c:pt>
                <c:pt idx="5">
                  <c:v>1162.8864999999998</c:v>
                </c:pt>
                <c:pt idx="6">
                  <c:v>1176.184</c:v>
                </c:pt>
                <c:pt idx="7">
                  <c:v>1187.7085</c:v>
                </c:pt>
                <c:pt idx="8">
                  <c:v>1203.9610000000002</c:v>
                </c:pt>
                <c:pt idx="9">
                  <c:v>1222.42975</c:v>
                </c:pt>
                <c:pt idx="10">
                  <c:v>1242.5237500000001</c:v>
                </c:pt>
                <c:pt idx="11">
                  <c:v>1251.3887500000001</c:v>
                </c:pt>
                <c:pt idx="12">
                  <c:v>1249.5418749999999</c:v>
                </c:pt>
                <c:pt idx="13">
                  <c:v>1225.409374999999</c:v>
                </c:pt>
                <c:pt idx="14">
                  <c:v>1200.2918749999992</c:v>
                </c:pt>
                <c:pt idx="15">
                  <c:v>1179.5818000000002</c:v>
                </c:pt>
                <c:pt idx="16">
                  <c:v>1180.6849999999999</c:v>
                </c:pt>
                <c:pt idx="17">
                  <c:v>1183.6400000000001</c:v>
                </c:pt>
                <c:pt idx="18">
                  <c:v>1183.6400000000001</c:v>
                </c:pt>
                <c:pt idx="19">
                  <c:v>1175.002</c:v>
                </c:pt>
                <c:pt idx="20">
                  <c:v>1162</c:v>
                </c:pt>
                <c:pt idx="21">
                  <c:v>1162</c:v>
                </c:pt>
                <c:pt idx="22">
                  <c:v>1162</c:v>
                </c:pt>
                <c:pt idx="23">
                  <c:v>1063.5</c:v>
                </c:pt>
                <c:pt idx="24">
                  <c:v>1043.8</c:v>
                </c:pt>
                <c:pt idx="25">
                  <c:v>1014.25</c:v>
                </c:pt>
                <c:pt idx="26">
                  <c:v>1025.33125</c:v>
                </c:pt>
                <c:pt idx="27">
                  <c:v>1182.6849999999999</c:v>
                </c:pt>
                <c:pt idx="28">
                  <c:v>1182.6849999999999</c:v>
                </c:pt>
                <c:pt idx="29">
                  <c:v>1182.6849999999999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1,162 </c:v>
                  </c:pt>
                  <c:pt idx="4">
                    <c:v> 1,162 </c:v>
                  </c:pt>
                  <c:pt idx="5">
                    <c:v> 1,163 </c:v>
                  </c:pt>
                  <c:pt idx="6">
                    <c:v> 1,176 </c:v>
                  </c:pt>
                  <c:pt idx="7">
                    <c:v> 1,188 </c:v>
                  </c:pt>
                  <c:pt idx="8">
                    <c:v> 1,204 </c:v>
                  </c:pt>
                  <c:pt idx="9">
                    <c:v> 1,222 </c:v>
                  </c:pt>
                  <c:pt idx="10">
                    <c:v> 1,243 </c:v>
                  </c:pt>
                  <c:pt idx="11">
                    <c:v> 1,251 </c:v>
                  </c:pt>
                  <c:pt idx="12">
                    <c:v> 1,250 </c:v>
                  </c:pt>
                  <c:pt idx="13">
                    <c:v> 1,225 </c:v>
                  </c:pt>
                  <c:pt idx="14">
                    <c:v> 1,200 </c:v>
                  </c:pt>
                  <c:pt idx="15">
                    <c:v> 1,180 </c:v>
                  </c:pt>
                  <c:pt idx="16">
                    <c:v> 1,181 </c:v>
                  </c:pt>
                  <c:pt idx="17">
                    <c:v> 1,184 </c:v>
                  </c:pt>
                  <c:pt idx="18">
                    <c:v> 1,184 </c:v>
                  </c:pt>
                  <c:pt idx="19">
                    <c:v> 1,175 </c:v>
                  </c:pt>
                  <c:pt idx="20">
                    <c:v> 1,162 </c:v>
                  </c:pt>
                  <c:pt idx="22">
                    <c:v> 1,162 </c:v>
                  </c:pt>
                  <c:pt idx="23">
                    <c:v> 1,064 </c:v>
                  </c:pt>
                  <c:pt idx="24">
                    <c:v> 1,044 </c:v>
                  </c:pt>
                  <c:pt idx="25">
                    <c:v> 1,014 </c:v>
                  </c:pt>
                  <c:pt idx="26">
                    <c:v> 1,025 </c:v>
                  </c:pt>
                  <c:pt idx="27">
                    <c:v> 1,183 </c:v>
                  </c:pt>
                  <c:pt idx="29">
                    <c:v> 1,183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9F66-40AD-9FBA-DD500C2B3FEA}"/>
            </c:ext>
          </c:extLst>
        </c:ser>
        <c:ser>
          <c:idx val="9"/>
          <c:order val="1"/>
          <c:tx>
            <c:strRef>
              <c:f>'Vẽ Biểu đồ'!$D$9</c:f>
              <c:strCache>
                <c:ptCount val="1"/>
                <c:pt idx="0">
                  <c:v>SHEPLEY (NIAGARA NON-US)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9F66-40AD-9FBA-DD500C2B3FE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F66-40AD-9FBA-DD500C2B3F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F66-40AD-9FBA-DD500C2B3F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F66-40AD-9FBA-DD500C2B3F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F66-40AD-9FBA-DD500C2B3F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F66-40AD-9FBA-DD500C2B3F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F66-40AD-9FBA-DD500C2B3FE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F66-40AD-9FBA-DD500C2B3FE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F66-40AD-9FBA-DD500C2B3FE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F66-40AD-9FBA-DD500C2B3FE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F66-40AD-9FBA-DD500C2B3FE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F66-40AD-9FBA-DD500C2B3FE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F66-40AD-9FBA-DD500C2B3FE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F66-40AD-9FBA-DD500C2B3FE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F66-40AD-9FBA-DD500C2B3FE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F66-40AD-9FBA-DD500C2B3FE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F66-40AD-9FBA-DD500C2B3FE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F66-40AD-9FBA-DD500C2B3FE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F66-40AD-9FBA-DD500C2B3FE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F66-40AD-9FBA-DD500C2B3FE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F66-40AD-9FBA-DD500C2B3FE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F66-40AD-9FBA-DD500C2B3FE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F66-40AD-9FBA-DD500C2B3FE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F66-40AD-9FBA-DD500C2B3FE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9F66-40AD-9FBA-DD500C2B3FEA}"/>
                </c:ext>
              </c:extLst>
            </c:dLbl>
            <c:dLbl>
              <c:idx val="24"/>
              <c:layout>
                <c:manualLayout>
                  <c:x val="-1.9516233369826459E-2"/>
                  <c:y val="-4.2521030494216613E-2"/>
                </c:manualLayout>
              </c:layout>
              <c:tx>
                <c:rich>
                  <a:bodyPr/>
                  <a:lstStyle/>
                  <a:p>
                    <a:fld id="{63D0E7F4-708F-42B8-AFD1-17388DE43E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9F66-40AD-9FBA-DD500C2B3FEA}"/>
                </c:ext>
              </c:extLst>
            </c:dLbl>
            <c:dLbl>
              <c:idx val="25"/>
              <c:layout>
                <c:manualLayout>
                  <c:x val="-2.3799622387217018E-2"/>
                  <c:y val="1.4436558009113214E-2"/>
                </c:manualLayout>
              </c:layout>
              <c:tx>
                <c:rich>
                  <a:bodyPr/>
                  <a:lstStyle/>
                  <a:p>
                    <a:fld id="{95757E79-6905-4C39-ABE8-9510A31522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9F66-40AD-9FBA-DD500C2B3FEA}"/>
                </c:ext>
              </c:extLst>
            </c:dLbl>
            <c:dLbl>
              <c:idx val="26"/>
              <c:layout>
                <c:manualLayout>
                  <c:x val="-4.6287414728517454E-2"/>
                  <c:y val="-1.579297741255695E-2"/>
                </c:manualLayout>
              </c:layout>
              <c:tx>
                <c:rich>
                  <a:bodyPr/>
                  <a:lstStyle/>
                  <a:p>
                    <a:fld id="{13C10D76-0D0E-43FF-8BF0-5B3ADE7B8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9F66-40AD-9FBA-DD500C2B3FEA}"/>
                </c:ext>
              </c:extLst>
            </c:dLbl>
            <c:dLbl>
              <c:idx val="27"/>
              <c:layout>
                <c:manualLayout>
                  <c:x val="-7.73691357200242E-3"/>
                  <c:y val="2.758061689449702E-2"/>
                </c:manualLayout>
              </c:layout>
              <c:tx>
                <c:rich>
                  <a:bodyPr/>
                  <a:lstStyle/>
                  <a:p>
                    <a:fld id="{B97AAB9A-3946-4FDD-B5DD-6331DABA34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9F66-40AD-9FBA-DD500C2B3FE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57E9096-6426-4700-85CB-E63F2B1411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A72-49F0-968D-928B9606F2C2}"/>
                </c:ext>
              </c:extLst>
            </c:dLbl>
            <c:dLbl>
              <c:idx val="29"/>
              <c:layout>
                <c:manualLayout>
                  <c:x val="-8.5667780347812757E-3"/>
                  <c:y val="4.381352961794602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rgbClr val="721F33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E13C8AE-12E7-47BE-8EC9-237651DF73EF}" type="CELLRANGE">
                      <a:rPr lang="en-US"/>
                      <a:pPr>
                        <a:defRPr sz="1300" b="1">
                          <a:solidFill>
                            <a:srgbClr val="721F33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721F33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9F66-40AD-9FBA-DD500C2B3F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721F33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đồ'!$E$9:$AG$9,'Vẽ Biểu đồ'!$AO$9)</c:f>
              <c:numCache>
                <c:formatCode>_(* #,##0_);_(* \(#,##0\);_(* "-"??_);_(@_)</c:formatCode>
                <c:ptCount val="30"/>
                <c:pt idx="23">
                  <c:v>1063.5</c:v>
                </c:pt>
                <c:pt idx="24">
                  <c:v>1083.2</c:v>
                </c:pt>
                <c:pt idx="25">
                  <c:v>1053.6500000000001</c:v>
                </c:pt>
                <c:pt idx="26">
                  <c:v>1064.73125</c:v>
                </c:pt>
                <c:pt idx="27">
                  <c:v>1112.75</c:v>
                </c:pt>
                <c:pt idx="28">
                  <c:v>1112.75</c:v>
                </c:pt>
                <c:pt idx="29">
                  <c:v>1112.75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23">
                    <c:v> 1,064 </c:v>
                  </c:pt>
                  <c:pt idx="24">
                    <c:v> 1,083 </c:v>
                  </c:pt>
                  <c:pt idx="25">
                    <c:v> 1,054 </c:v>
                  </c:pt>
                  <c:pt idx="26">
                    <c:v> 1,065 </c:v>
                  </c:pt>
                  <c:pt idx="27">
                    <c:v> 1,113 </c:v>
                  </c:pt>
                  <c:pt idx="29">
                    <c:v> 1,113 </c:v>
                  </c:pt>
                  <c:pt idx="36">
                    <c:v>SHEPLEY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9F66-40AD-9FBA-DD500C2B3FEA}"/>
            </c:ext>
          </c:extLst>
        </c:ser>
        <c:ser>
          <c:idx val="8"/>
          <c:order val="2"/>
          <c:tx>
            <c:strRef>
              <c:f>'Vẽ Biểu đồ'!$D$10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9F66-40AD-9FBA-DD500C2B3FE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551C066-A94C-49E8-8711-97AEC0C532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9F66-40AD-9FBA-DD500C2B3F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8595924-4F4E-41A9-889B-E82E4EB2A9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9F66-40AD-9FBA-DD500C2B3F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A06DB6F-33BB-4C53-B100-47899C1D7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9F66-40AD-9FBA-DD500C2B3F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CF2F166-0B2A-4D50-AA23-E9F41E0913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F66-40AD-9FBA-DD500C2B3F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2DFDEA3-2474-4FC5-BCAF-61A7FB6A14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9F66-40AD-9FBA-DD500C2B3F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42CC7EE-8E96-45FB-9AE8-6AB10E09D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F66-40AD-9FBA-DD500C2B3FE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ACF6AE0-1CEA-41B3-A591-21298B39BD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9F66-40AD-9FBA-DD500C2B3FE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C3D4EF4-DDEB-456C-9586-39487A1B6E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9F66-40AD-9FBA-DD500C2B3FEA}"/>
                </c:ext>
              </c:extLst>
            </c:dLbl>
            <c:dLbl>
              <c:idx val="8"/>
              <c:layout>
                <c:manualLayout>
                  <c:x val="-2.7136802816648188E-2"/>
                  <c:y val="-4.2530790623758453E-2"/>
                </c:manualLayout>
              </c:layout>
              <c:tx>
                <c:rich>
                  <a:bodyPr/>
                  <a:lstStyle/>
                  <a:p>
                    <a:fld id="{8C62F4AD-E856-4386-B94A-3AB52FFF09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9F66-40AD-9FBA-DD500C2B3FE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CDD3DEA-5F8C-4F53-8E50-3AF8DCD663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9F66-40AD-9FBA-DD500C2B3FE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EFD76FF-39C8-4F0B-AF97-A02DFE952E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9F66-40AD-9FBA-DD500C2B3FE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7C9F5EA-BCD8-41BC-9424-9FCFA74B7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9F66-40AD-9FBA-DD500C2B3FE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9B24F97-00BD-4C8F-BE33-EF26EE256B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9F66-40AD-9FBA-DD500C2B3FE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6FC0ADF-4BBA-4DED-BA7F-1FED4644F2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9F66-40AD-9FBA-DD500C2B3FE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7A45E2C-E222-49E0-8F3D-8E18BE3D11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9F66-40AD-9FBA-DD500C2B3FE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6AA95F1-E51B-4DB5-B637-DC238096DB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9F66-40AD-9FBA-DD500C2B3FE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629C22C-C183-48B3-9300-04F69BA195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9F66-40AD-9FBA-DD500C2B3FE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4771B3E-F5B0-4E92-8CB3-1AE286E272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9F66-40AD-9FBA-DD500C2B3FE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A0CB5E2-F8BD-4F4A-AF06-6303899630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F66-40AD-9FBA-DD500C2B3FE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8E9A1D3-CBE8-4764-8FDB-87553C889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F66-40AD-9FBA-DD500C2B3FE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FA32C67-F4BC-49BB-9006-6450CC807D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F66-40AD-9FBA-DD500C2B3FE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B8BC6F5-0617-4E2D-8921-3D73E6B5E8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F66-40AD-9FBA-DD500C2B3FE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480BA30-4889-4A4B-89AA-48C8C036E0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F66-40AD-9FBA-DD500C2B3FE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F5D648E-608E-4BCA-B242-704F5BD97A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F66-40AD-9FBA-DD500C2B3FE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D1E26B9-8244-4917-9F20-D49182F55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F66-40AD-9FBA-DD500C2B3FE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53ED497-99DC-4C42-BF95-97154179E8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F66-40AD-9FBA-DD500C2B3FE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50705A2-87B5-480E-93D0-E8CD6CA6C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F66-40AD-9FBA-DD500C2B3FEA}"/>
                </c:ext>
              </c:extLst>
            </c:dLbl>
            <c:dLbl>
              <c:idx val="27"/>
              <c:layout>
                <c:manualLayout>
                  <c:x val="-1.2020311131490474E-2"/>
                  <c:y val="1.8566118149258452E-2"/>
                </c:manualLayout>
              </c:layout>
              <c:tx>
                <c:rich>
                  <a:bodyPr/>
                  <a:lstStyle/>
                  <a:p>
                    <a:fld id="{F8A72B2B-3706-4008-A60A-194F226975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9F66-40AD-9FBA-DD500C2B3FEA}"/>
                </c:ext>
              </c:extLst>
            </c:dLbl>
            <c:dLbl>
              <c:idx val="28"/>
              <c:layout>
                <c:manualLayout>
                  <c:x val="-6.6649957387968682E-3"/>
                  <c:y val="1.2044817927170829E-2"/>
                </c:manualLayout>
              </c:layout>
              <c:tx>
                <c:rich>
                  <a:bodyPr/>
                  <a:lstStyle/>
                  <a:p>
                    <a:fld id="{5CE33398-9932-44E2-9E34-C45B50DF8A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EA72-49F0-968D-928B9606F2C2}"/>
                </c:ext>
              </c:extLst>
            </c:dLbl>
            <c:dLbl>
              <c:idx val="29"/>
              <c:layout>
                <c:manualLayout>
                  <c:x val="-2.9713903341110887E-4"/>
                  <c:y val="-6.572029442691903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98044CA-0C4B-4CA0-BE99-0A55039C6F91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9F66-40AD-9FBA-DD500C2B3F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đồ'!$E$10:$AG$10,'Vẽ Biểu đồ'!$AO$10)</c:f>
              <c:numCache>
                <c:formatCode>_(* #,##0_);_(* \(#,##0\);_(* "-"??_);_(@_)</c:formatCode>
                <c:ptCount val="30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1245</c:v>
                </c:pt>
                <c:pt idx="25">
                  <c:v>1245</c:v>
                </c:pt>
                <c:pt idx="26">
                  <c:v>1245</c:v>
                </c:pt>
                <c:pt idx="27">
                  <c:v>1185</c:v>
                </c:pt>
                <c:pt idx="28">
                  <c:v>1185</c:v>
                </c:pt>
                <c:pt idx="29">
                  <c:v>1185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23">
                    <c:v> 1,268 </c:v>
                  </c:pt>
                  <c:pt idx="24">
                    <c:v> 1,245 </c:v>
                  </c:pt>
                  <c:pt idx="26">
                    <c:v> 1,245 </c:v>
                  </c:pt>
                  <c:pt idx="27">
                    <c:v> 1,185 </c:v>
                  </c:pt>
                  <c:pt idx="29">
                    <c:v> 1,185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D-9F66-40AD-9FBA-DD500C2B3FEA}"/>
            </c:ext>
          </c:extLst>
        </c:ser>
        <c:ser>
          <c:idx val="1"/>
          <c:order val="3"/>
          <c:tx>
            <c:strRef>
              <c:f>'Vẽ Biểu đồ'!$D$11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9F66-40AD-9FBA-DD500C2B3FE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19E683F-4F28-45EB-81C6-D6CC3B7EF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F66-40AD-9FBA-DD500C2B3F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75C357F-425B-48F5-9A7E-B996A9AED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9F66-40AD-9FBA-DD500C2B3F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0950CD-74B6-4DCA-B7E5-9B23509F2E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9F66-40AD-9FBA-DD500C2B3F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8D3D16-5D86-4CD5-AE2C-4C6FE6C50C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9F66-40AD-9FBA-DD500C2B3F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870F135-67CD-4A41-B881-A269E790F4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9F66-40AD-9FBA-DD500C2B3F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8C9F9A8-21DC-4660-A28D-98957B49AF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9F66-40AD-9FBA-DD500C2B3FE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4822F40-38B4-4D3A-9C74-B7A6F295F6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9F66-40AD-9FBA-DD500C2B3FE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99B5F9A-A835-4EC8-9301-513AC926F1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9F66-40AD-9FBA-DD500C2B3FE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1A2AB49-2E52-4527-A9F4-A749FEBB95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9F66-40AD-9FBA-DD500C2B3FE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977B1A2-1B0C-4A14-A5FF-E5E784C9A0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9F66-40AD-9FBA-DD500C2B3FE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BCF199A-1129-4729-847D-112FA7BE2E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9F66-40AD-9FBA-DD500C2B3FE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F16445B-3E39-4A98-A602-C3977ED215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9F66-40AD-9FBA-DD500C2B3FE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9F66-40AD-9FBA-DD500C2B3FE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35D8CDD-CC16-4946-B9B0-4EFB222413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9F66-40AD-9FBA-DD500C2B3FE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E76E1B6-4997-4D5D-8D0D-16166F2B6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9F66-40AD-9FBA-DD500C2B3FEA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E2727D1B-7535-430E-817A-6600A2F509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9F66-40AD-9FBA-DD500C2B3FEA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984F8705-4EA5-4CE3-B61B-A2F87005F7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9F66-40AD-9FBA-DD500C2B3FEA}"/>
                </c:ext>
              </c:extLst>
            </c:dLbl>
            <c:dLbl>
              <c:idx val="17"/>
              <c:layout>
                <c:manualLayout>
                  <c:x val="-3.1964757478849519E-2"/>
                  <c:y val="-2.2665872069924532E-2"/>
                </c:manualLayout>
              </c:layout>
              <c:tx>
                <c:rich>
                  <a:bodyPr/>
                  <a:lstStyle/>
                  <a:p>
                    <a:fld id="{8A8AE01C-451F-4BD6-A9ED-4BB750299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1-9F66-40AD-9FBA-DD500C2B3FE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9F66-40AD-9FBA-DD500C2B3FE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611830B-7A78-4246-9DA1-6ECE1263D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9F66-40AD-9FBA-DD500C2B3FE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12E7301-5132-4AB6-A459-DDEA6A0E34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9F66-40AD-9FBA-DD500C2B3FE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3364D6A-9186-4181-A018-9D36D2206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9F66-40AD-9FBA-DD500C2B3FE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6D6C9FF-C2B3-46F6-BC28-57AF6630A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9F66-40AD-9FBA-DD500C2B3FE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91CB50E-CAC9-4DB3-A3CE-EA0E770720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9F66-40AD-9FBA-DD500C2B3FE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CC1CD253-3208-4BC1-90CF-7453D28AE1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9F66-40AD-9FBA-DD500C2B3FE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70CA783-07B1-4CBD-B2C2-6B7CBD2345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9F66-40AD-9FBA-DD500C2B3FE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7772C9B-0300-4C1B-A689-E956D50374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9F66-40AD-9FBA-DD500C2B3FE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2C57258-5145-4A0B-BE12-53E4394A8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9F66-40AD-9FBA-DD500C2B3FE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F103376-C038-42AB-A257-01D65BD1C0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A72-49F0-968D-928B9606F2C2}"/>
                </c:ext>
              </c:extLst>
            </c:dLbl>
            <c:dLbl>
              <c:idx val="29"/>
              <c:layout>
                <c:manualLayout>
                  <c:x val="-1.6062708815214599E-2"/>
                  <c:y val="-3.04098669448653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4B19EC2-08F8-4CA4-8B9F-4A4FB9B0061C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9F66-40AD-9FBA-DD500C2B3F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đồ'!$E$11:$AG$11,'Vẽ Biểu đồ'!$AO$11)</c:f>
              <c:numCache>
                <c:formatCode>_(* #,##0_);_(* \(#,##0\);_(* "-"??_);_(@_)</c:formatCode>
                <c:ptCount val="30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1290</c:v>
                </c:pt>
                <c:pt idx="25">
                  <c:v>1290</c:v>
                </c:pt>
                <c:pt idx="26">
                  <c:v>1290</c:v>
                </c:pt>
                <c:pt idx="27">
                  <c:v>1290</c:v>
                </c:pt>
                <c:pt idx="28">
                  <c:v>1290</c:v>
                </c:pt>
                <c:pt idx="29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đồ'!$E$24:$AO$24</c15:f>
                <c15:dlblRangeCache>
                  <c:ptCount val="37"/>
                  <c:pt idx="0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3">
                    <c:v> 1,304 </c:v>
                  </c:pt>
                  <c:pt idx="24">
                    <c:v> 1,290 </c:v>
                  </c:pt>
                  <c:pt idx="29">
                    <c:v> 1,290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C-9F66-40AD-9FBA-DD500C2B3FEA}"/>
            </c:ext>
          </c:extLst>
        </c:ser>
        <c:ser>
          <c:idx val="2"/>
          <c:order val="4"/>
          <c:tx>
            <c:strRef>
              <c:f>'Vẽ Biểu đồ'!$D$12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E-9F66-40AD-9FBA-DD500C2B3FE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758E94B-0FA9-4EF0-BAB7-3C5C94B514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9F66-40AD-9FBA-DD500C2B3FE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8382228027480035E-2"/>
                      <c:h val="6.71831545490663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80-9F66-40AD-9FBA-DD500C2B3F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50BEAD9-63E3-4B44-ABBF-B4CCF5A12A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9F66-40AD-9FBA-DD500C2B3F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EC8C7A5-070F-4E56-9566-36B5EC675F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9F66-40AD-9FBA-DD500C2B3F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87FDCE8-AE4E-4FDE-8D2E-DA0FB74471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9F66-40AD-9FBA-DD500C2B3F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D6DD182-175B-40FA-ABEF-6A97DDD297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9F66-40AD-9FBA-DD500C2B3FE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EF3A121-59C7-49A2-95EC-1C12A9DF0E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9F66-40AD-9FBA-DD500C2B3FE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9F66-40AD-9FBA-DD500C2B3FE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97BF77A-1A22-4F9E-912C-8E22394CA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9F66-40AD-9FBA-DD500C2B3FE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9F66-40AD-9FBA-DD500C2B3FE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2EF7B14-F68E-4BDB-B353-E3BC932EBA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9F66-40AD-9FBA-DD500C2B3FE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EC9DD26-0E32-4D47-A754-18393CEB9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9F66-40AD-9FBA-DD500C2B3FE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9B14F12-10F1-4BFC-93A3-A7E33494A4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9F66-40AD-9FBA-DD500C2B3FE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C986023-002B-4ECB-9833-90A543138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9F66-40AD-9FBA-DD500C2B3FE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8EB3459-5424-454F-BC43-0C0F7FB356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9F66-40AD-9FBA-DD500C2B3FEA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E66EDA75-49EB-4777-A569-58892B22D7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9F66-40AD-9FBA-DD500C2B3FEA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E6F14DAC-0AEF-4CEF-A7DB-44B1BD2D01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9F66-40AD-9FBA-DD500C2B3FEA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337C2478-71E2-44A7-87EB-4A2951B321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9F66-40AD-9FBA-DD500C2B3FE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952287A-472B-43F8-88BF-819CA366D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9F66-40AD-9FBA-DD500C2B3FE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7345C52-A0BD-4F0E-B4AC-523C864F29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9F66-40AD-9FBA-DD500C2B3FE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755BB9E-F519-4FC1-A01C-32853F7AF8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9F66-40AD-9FBA-DD500C2B3FE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CAAB01F-9AEB-429D-9533-A6B05282CA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9F66-40AD-9FBA-DD500C2B3FE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126AEFF-5627-4AED-AEDA-97132BD824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9F66-40AD-9FBA-DD500C2B3FE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1184B39-46C1-44CF-959D-2F2B7AF62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9F66-40AD-9FBA-DD500C2B3FE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191BAED-1F4E-498E-94A4-1D9C9FE3FF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9F66-40AD-9FBA-DD500C2B3FE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A2F15DC-E65C-47C3-B8D8-139F91989A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9F66-40AD-9FBA-DD500C2B3FE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5AB87D8-535A-40D1-8D19-F0F6EE7187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9F66-40AD-9FBA-DD500C2B3FE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EAFE002-D34D-4291-B54B-9F8C2537F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9F66-40AD-9FBA-DD500C2B3FE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D206AE2-99CE-4781-A78B-800A57592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A72-49F0-968D-928B9606F2C2}"/>
                </c:ext>
              </c:extLst>
            </c:dLbl>
            <c:dLbl>
              <c:idx val="29"/>
              <c:layout>
                <c:manualLayout>
                  <c:x val="-1.4991861560866957E-2"/>
                  <c:y val="-4.177119815858980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A6D5952-7E49-4C20-9925-9F2A165224A3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9F66-40AD-9FBA-DD500C2B3FEA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đồ'!$E$12:$AG$12,'Vẽ Biểu đồ'!$AO$12)</c:f>
              <c:numCache>
                <c:formatCode>_(* #,##0_);_(* \(#,##0\);_(* "-"??_);_(@_)</c:formatCode>
                <c:ptCount val="30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1280</c:v>
                </c:pt>
                <c:pt idx="28">
                  <c:v>1380</c:v>
                </c:pt>
                <c:pt idx="29">
                  <c:v>1350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đồ'!$E$25:$AO$25</c15:f>
                <c15:dlblRangeCache>
                  <c:ptCount val="37"/>
                  <c:pt idx="0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24">
                    <c:v> 1,160 </c:v>
                  </c:pt>
                  <c:pt idx="26">
                    <c:v> 1,160 </c:v>
                  </c:pt>
                  <c:pt idx="27">
                    <c:v> 1,280 </c:v>
                  </c:pt>
                  <c:pt idx="28">
                    <c:v> 1,380 </c:v>
                  </c:pt>
                  <c:pt idx="29">
                    <c:v> 1,350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B-9F66-40AD-9FBA-DD500C2B3FEA}"/>
            </c:ext>
          </c:extLst>
        </c:ser>
        <c:ser>
          <c:idx val="3"/>
          <c:order val="5"/>
          <c:tx>
            <c:strRef>
              <c:f>'Vẽ Biểu đồ'!$D$13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D-9F66-40AD-9FBA-DD500C2B3FEA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9E-9F66-40AD-9FBA-DD500C2B3FEA}"/>
                </c:ext>
              </c:extLst>
            </c:dLbl>
            <c:dLbl>
              <c:idx val="26"/>
              <c:layout>
                <c:manualLayout>
                  <c:x val="-4.3074872965474534E-2"/>
                  <c:y val="-1.292499123729407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7-4B39-818D-717E2511812D}"/>
                </c:ext>
              </c:extLst>
            </c:dLbl>
            <c:dLbl>
              <c:idx val="27"/>
              <c:layout>
                <c:manualLayout>
                  <c:x val="-1.7373013064851971E-2"/>
                  <c:y val="-2.29875111764875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1C2-4CDF-950B-6AEFABEC839F}"/>
                </c:ext>
              </c:extLst>
            </c:dLbl>
            <c:dLbl>
              <c:idx val="28"/>
              <c:layout>
                <c:manualLayout>
                  <c:x val="-3.4529699141092377E-3"/>
                  <c:y val="-2.7127774186597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A72-49F0-968D-928B9606F2C2}"/>
                </c:ext>
              </c:extLst>
            </c:dLbl>
            <c:dLbl>
              <c:idx val="29"/>
              <c:layout>
                <c:manualLayout>
                  <c:x val="-2.141687770350933E-3"/>
                  <c:y val="-4.5550527903469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97DE086-E722-4CCE-B51F-577E34810EDF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952387601511256E-2"/>
                      <c:h val="8.767880749922031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D-9F66-40AD-9FBA-DD500C2B3F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đồ'!$E$13:$AO$13</c15:sqref>
                  </c15:fullRef>
                </c:ext>
              </c:extLst>
              <c:f>('Vẽ Biểu đồ'!$E$13:$AG$13,'Vẽ Biểu đồ'!$AO$13)</c:f>
              <c:numCache>
                <c:formatCode>_(* #,##0_);_(* \(#,##0\);_(* "-"??_);_(@_)</c:formatCode>
                <c:ptCount val="30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  <c:pt idx="29">
                  <c:v>1190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đồ'!$E$26:$AO$26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1,194 </c:v>
                  </c:pt>
                  <c:pt idx="28">
                    <c:v> 1,216 </c:v>
                  </c:pt>
                  <c:pt idx="29">
                    <c:v> 1,190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F-9F66-40AD-9FBA-DD500C2B3FEA}"/>
            </c:ext>
          </c:extLst>
        </c:ser>
        <c:ser>
          <c:idx val="6"/>
          <c:order val="6"/>
          <c:tx>
            <c:strRef>
              <c:f>'Vẽ Biểu đồ'!$D$17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đồ'!$E$14:$AO$14</c15:sqref>
                    </c15:fullRef>
                  </c:ext>
                </c:extLst>
                <c:f>('Vẽ Biểu đồ'!$E$14:$AG$14,'Vẽ Biểu đồ'!$AO$14)</c:f>
                <c:numCache>
                  <c:formatCode>General</c:formatCode>
                  <c:ptCount val="30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427.5</c:v>
                  </c:pt>
                  <c:pt idx="24">
                    <c:v>355</c:v>
                  </c:pt>
                  <c:pt idx="25">
                    <c:v>320</c:v>
                  </c:pt>
                  <c:pt idx="26">
                    <c:v>51</c:v>
                  </c:pt>
                  <c:pt idx="27">
                    <c:v>86</c:v>
                  </c:pt>
                  <c:pt idx="28">
                    <c:v>164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đồ'!$E$14:$AO$14</c15:sqref>
                    </c15:fullRef>
                  </c:ext>
                </c:extLst>
                <c:f>('Vẽ Biểu đồ'!$E$14:$AG$14,'Vẽ Biểu đồ'!$AO$14)</c:f>
                <c:numCache>
                  <c:formatCode>General</c:formatCode>
                  <c:ptCount val="30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427.5</c:v>
                  </c:pt>
                  <c:pt idx="24">
                    <c:v>355</c:v>
                  </c:pt>
                  <c:pt idx="25">
                    <c:v>320</c:v>
                  </c:pt>
                  <c:pt idx="26">
                    <c:v>51</c:v>
                  </c:pt>
                  <c:pt idx="27">
                    <c:v>86</c:v>
                  </c:pt>
                  <c:pt idx="28">
                    <c:v>164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đồ'!$E$17:$AG$17,'Vẽ Biểu đồ'!$AO$17)</c:f>
              <c:numCache>
                <c:formatCode>_(* #,##0_);_(* \(#,##0\);_(* "-"??_);_(@_)</c:formatCode>
                <c:ptCount val="30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1280</c:v>
                </c:pt>
                <c:pt idx="28">
                  <c:v>1380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F66-40AD-9FBA-DD500C2B3FEA}"/>
            </c:ext>
          </c:extLst>
        </c:ser>
        <c:ser>
          <c:idx val="7"/>
          <c:order val="9"/>
          <c:tx>
            <c:strRef>
              <c:f>'Vẽ Biểu đồ'!$D$18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2DC9C02-C174-4F9C-8749-D497B0FA34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9F66-40AD-9FBA-DD500C2B3F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3B4EF8A-90FC-463D-B64D-782C46987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9F66-40AD-9FBA-DD500C2B3F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263E2A2-1686-4544-90EC-AD62BC3AC5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9F66-40AD-9FBA-DD500C2B3F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5F03E3-DA90-442B-AA16-861C934FC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9F66-40AD-9FBA-DD500C2B3F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CFF50D9-2607-4CCD-8A7A-02BD4270EB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9F66-40AD-9FBA-DD500C2B3F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07432E7-DFB9-41FD-AF8E-DF1190E3C1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9F66-40AD-9FBA-DD500C2B3FE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A1B84E9-40F0-4A12-8BB8-234DE0E5DD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9F66-40AD-9FBA-DD500C2B3FE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0D9C77D-C00A-4002-8C79-AF237519E2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9F66-40AD-9FBA-DD500C2B3FE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C93B235-3765-4583-9539-566AE346B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9F66-40AD-9FBA-DD500C2B3FE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D4C361D-56A4-4DF3-A7C9-295C06FF18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9F66-40AD-9FBA-DD500C2B3FE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EFFC207-855A-408B-822E-7F0FC46D7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9F66-40AD-9FBA-DD500C2B3FE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039A097-7AF1-46D6-A713-D0BB65A6F0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9F66-40AD-9FBA-DD500C2B3FE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76DEC7F-87C2-487E-BEEC-C21F2676D4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9F66-40AD-9FBA-DD500C2B3FE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37B70AF-5F60-4373-8D46-DBEDEF918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9F66-40AD-9FBA-DD500C2B3FE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743A188-DCEA-44E6-9EAC-580DE1097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9F66-40AD-9FBA-DD500C2B3FE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FB7E4D9-878F-4C03-A668-927A51B485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9F66-40AD-9FBA-DD500C2B3FE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8C9815E-8419-487E-902C-5BD7B12A3A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9F66-40AD-9FBA-DD500C2B3FE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CC8ED78-9816-45C1-A208-4A1D662D2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9F66-40AD-9FBA-DD500C2B3FE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7B319D5-D667-40B6-8FC2-012AF1E261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9F66-40AD-9FBA-DD500C2B3FE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6DD44B9-179D-4824-ACFD-505543126D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9F66-40AD-9FBA-DD500C2B3FE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BA5E49C-D93E-4C74-8BD6-529B7EF85D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9F66-40AD-9FBA-DD500C2B3FE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C3DE307-DF3B-40AA-9695-32AA6221BF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9F66-40AD-9FBA-DD500C2B3FE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BEF32B2-6F72-4827-96B9-301357E67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9F66-40AD-9FBA-DD500C2B3FE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7F17ACB-1A22-431C-9BA8-893B8788A6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9F66-40AD-9FBA-DD500C2B3FE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B63E8D5-8023-443C-8A5E-C9B083E881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9F66-40AD-9FBA-DD500C2B3FE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2BBED2A-2AF2-4169-8F6C-6FD8D9CB12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9F66-40AD-9FBA-DD500C2B3FE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FD9A720-2C81-4663-AB5C-C0CEEA10F2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9F66-40AD-9FBA-DD500C2B3FE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33A5C16-EDFB-4A50-BE1D-FFF8C45CCC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9F66-40AD-9FBA-DD500C2B3FE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C7B29FE-CEBC-4EF3-BB56-E4DDBA1FC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A72-49F0-968D-928B9606F2C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9F66-40AD-9FBA-DD500C2B3FEA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đồ'!$E$18:$AG$18,'Vẽ Biểu đồ'!$AO$18)</c:f>
              <c:numCache>
                <c:formatCode>_(* #,##0_);_(* \(#,##0\);_(* "-"??_);_(@_)</c:formatCode>
                <c:ptCount val="30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986.25</c:v>
                </c:pt>
                <c:pt idx="24">
                  <c:v>982.5</c:v>
                </c:pt>
                <c:pt idx="25">
                  <c:v>1000</c:v>
                </c:pt>
                <c:pt idx="26">
                  <c:v>1134.5</c:v>
                </c:pt>
                <c:pt idx="27">
                  <c:v>1237</c:v>
                </c:pt>
                <c:pt idx="28">
                  <c:v>1298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đồ'!$E$15:$AO$15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+55.3%</c:v>
                  </c:pt>
                  <c:pt idx="24">
                    <c:v>+44.1%</c:v>
                  </c:pt>
                  <c:pt idx="25">
                    <c:v>+38.1%</c:v>
                  </c:pt>
                  <c:pt idx="26">
                    <c:v>+4.6%</c:v>
                  </c:pt>
                  <c:pt idx="27">
                    <c:v>+7.2%</c:v>
                  </c:pt>
                  <c:pt idx="28">
                    <c:v>+13.5%</c:v>
                  </c:pt>
                  <c:pt idx="29">
                    <c:v>+13.4%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BE-9F66-40AD-9FBA-DD500C2B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0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457908985432509E-3"/>
          <c:y val="0"/>
          <c:w val="0.93221857290968935"/>
          <c:h val="0.89338168969188925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đồ'!$D$41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đồ'!$E$41:$AO$41</c15:sqref>
                  </c15:fullRef>
                </c:ext>
              </c:extLst>
              <c:f>('Vẽ Biểu đồ'!$E$41:$AG$41,'Vẽ Biểu đồ'!$AO$41)</c:f>
              <c:numCache>
                <c:formatCode>_(* #,##0_);_(* \(#,##0\);_(* "-"??_);_(@_)</c:formatCode>
                <c:ptCount val="30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1190</c:v>
                </c:pt>
                <c:pt idx="25">
                  <c:v>1190</c:v>
                </c:pt>
                <c:pt idx="26">
                  <c:v>1190</c:v>
                </c:pt>
                <c:pt idx="27">
                  <c:v>1310</c:v>
                </c:pt>
                <c:pt idx="28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2-4676-A533-7A884CAE9864}"/>
            </c:ext>
          </c:extLst>
        </c:ser>
        <c:ser>
          <c:idx val="4"/>
          <c:order val="6"/>
          <c:tx>
            <c:strRef>
              <c:f>'Vẽ Biểu đồ'!$D$42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đồ'!$E$42:$AO$42</c15:sqref>
                  </c15:fullRef>
                </c:ext>
              </c:extLst>
              <c:f>('Vẽ Biểu đồ'!$E$42:$AG$42,'Vẽ Biểu đồ'!$AO$42)</c:f>
              <c:numCache>
                <c:formatCode>_(* #,##0_);_(* \(#,##0\);_(* "-"??_);_(@_)</c:formatCode>
                <c:ptCount val="30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2-4676-A533-7A884CAE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đồ'!$D$32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E2-4676-A533-7A884CAE98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DE2-4676-A533-7A884CAE98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DE2-4676-A533-7A884CAE98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DE2-4676-A533-7A884CAE98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DE2-4676-A533-7A884CAE98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DE2-4676-A533-7A884CAE986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DE2-4676-A533-7A884CAE986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DE2-4676-A533-7A884CAE986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DE2-4676-A533-7A884CAE986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DE2-4676-A533-7A884CAE986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DE2-4676-A533-7A884CAE986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DE2-4676-A533-7A884CAE986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DE2-4676-A533-7A884CAE986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9F6993A-6541-46F8-8B9B-3DC973370D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DE2-4676-A533-7A884CAE986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27EEE98-47B3-442D-9DD6-A6F94EAA4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DE2-4676-A533-7A884CAE986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8DBB7CE-7657-4994-B89E-2CADF1D87E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DE2-4676-A533-7A884CAE986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5D397EF-E562-457A-8A81-C8DE47A97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DE2-4676-A533-7A884CAE986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3B17082-84EC-4FBE-9A80-10FC18770F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DE2-4676-A533-7A884CAE986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4A9AD6E-DDA2-432A-B4E8-40FEA9CD40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DE2-4676-A533-7A884CAE986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32BA50E-A759-462D-8F53-CCD7BFC90D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DE2-4676-A533-7A884CAE986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61678EB-287C-477E-8E05-7B16C832F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DE2-4676-A533-7A884CAE986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9090ADD-2BD9-4B0B-8AF0-EC6B2FBF46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DE2-4676-A533-7A884CAE986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388CC36-96FE-49F5-954C-DDDFD40B4D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DE2-4676-A533-7A884CAE986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C1B6592-1E75-49C2-8FAA-DD8C0E9B4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DE2-4676-A533-7A884CAE986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066A2B5-D7F1-4511-ABB0-117B901BB8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DE2-4676-A533-7A884CAE986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DE2-4676-A533-7A884CAE986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DE2-4676-A533-7A884CAE986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DE2-4676-A533-7A884CAE986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DE2-4676-A533-7A884CAE986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FF-4D66-BF3C-52239F9B8868}"/>
                </c:ext>
              </c:extLst>
            </c:dLbl>
            <c:dLbl>
              <c:idx val="29"/>
              <c:layout>
                <c:manualLayout>
                  <c:x val="-0.4090636511607984"/>
                  <c:y val="6.904209648212578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382E325-43D9-4EEA-9F48-0C131776BE11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DE2-4676-A533-7A884CAE98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đồ'!$E$32:$AO$32</c15:sqref>
                  </c15:fullRef>
                </c:ext>
              </c:extLst>
              <c:f>('Vẽ Biểu đồ'!$E$32:$AG$32,'Vẽ Biểu đồ'!$AO$32)</c:f>
              <c:numCache>
                <c:formatCode>_(* #,##0_);_(* \(#,##0\);_(* "-"??_);_(@_)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1230</c:v>
                </c:pt>
                <c:pt idx="20">
                  <c:v>1230</c:v>
                </c:pt>
                <c:pt idx="21">
                  <c:v>1230</c:v>
                </c:pt>
                <c:pt idx="22">
                  <c:v>1230</c:v>
                </c:pt>
                <c:pt idx="23">
                  <c:v>1230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đồ'!$E$43:$AO$43</c15:f>
                <c15:dlblRangeCache>
                  <c:ptCount val="37"/>
                  <c:pt idx="12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8">
                    <c:v> 1,228 </c:v>
                  </c:pt>
                  <c:pt idx="19">
                    <c:v> 1,230 </c:v>
                  </c:pt>
                  <c:pt idx="23">
                    <c:v> 1,230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9DE2-4676-A533-7A884CAE9864}"/>
            </c:ext>
          </c:extLst>
        </c:ser>
        <c:ser>
          <c:idx val="1"/>
          <c:order val="1"/>
          <c:tx>
            <c:strRef>
              <c:f>'Vẽ Biểu đồ'!$D$33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9DE2-4676-A533-7A884CAE98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28659F2-0148-4EF8-9446-A28CB4E124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DE2-4676-A533-7A884CAE98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0862FA-4514-4388-BC2B-F3938C9F4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DE2-4676-A533-7A884CAE98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24C861-DFBD-4CCD-B7BE-F730BC0DD7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DE2-4676-A533-7A884CAE98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28FA8D-BACE-472F-923F-E11E149CE1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DE2-4676-A533-7A884CAE98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844D1F1-4A15-4440-9998-485E752C28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DE2-4676-A533-7A884CAE986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5FB4064-B12B-4F5D-A38C-3E0388DD3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DE2-4676-A533-7A884CAE986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0DADB5F-F04E-4073-8FA9-3FD9726F75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DE2-4676-A533-7A884CAE986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4D1DB7F-B083-4A4E-A5D3-A2D35A7F3D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DE2-4676-A533-7A884CAE986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0223CB0-1D80-4D7E-AAF8-7F03AB288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DE2-4676-A533-7A884CAE986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60211A6-6FF7-41BE-8DBE-95BA3FFCAA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DE2-4676-A533-7A884CAE986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7692C15-AB9D-4B49-A455-5A090ED075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DE2-4676-A533-7A884CAE986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93BDD8A-7E00-40B4-BD91-7BFD6889B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DE2-4676-A533-7A884CAE986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588E9A8-A7CB-4DFB-B2DE-43CFB338E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DE2-4676-A533-7A884CAE986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7EDB4CC-32A5-4C22-86AE-8EDFFF5C4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DE2-4676-A533-7A884CAE986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D8D00FF-14D7-4571-91C0-395E000109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DE2-4676-A533-7A884CAE986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FE8CC31-D9BA-4DFF-A1B0-C683918F1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DE2-4676-A533-7A884CAE986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FDF5262-CADA-4234-99BC-90C8E20785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DE2-4676-A533-7A884CAE986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9EE1205-5F8C-4CE8-A518-C1D797254A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DE2-4676-A533-7A884CAE986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B4875E2-7B4A-45C6-99DC-768F79CAA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DE2-4676-A533-7A884CAE986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9C6BFB4-9589-40EB-84D0-1216663B9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DE2-4676-A533-7A884CAE986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0C364CC-6A7B-495A-ACBB-EF0F10C051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DE2-4676-A533-7A884CAE986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AAB8091-D6C4-4B18-BA44-20DC64687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DE2-4676-A533-7A884CAE986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2AE9578-492B-411C-A1C0-8F39C80F4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DE2-4676-A533-7A884CAE986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10BAE43-BD73-45E4-B280-89C95714B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DE2-4676-A533-7A884CAE9864}"/>
                </c:ext>
              </c:extLst>
            </c:dLbl>
            <c:dLbl>
              <c:idx val="24"/>
              <c:layout>
                <c:manualLayout>
                  <c:x val="-1.9516233369826459E-2"/>
                  <c:y val="1.4190353143841516E-2"/>
                </c:manualLayout>
              </c:layout>
              <c:tx>
                <c:rich>
                  <a:bodyPr/>
                  <a:lstStyle/>
                  <a:p>
                    <a:fld id="{2045CC15-BF4D-44DF-9024-08444CC93B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9DE2-4676-A533-7A884CAE986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4091646-04C5-4623-8E25-A5A439BE85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9DE2-4676-A533-7A884CAE986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A2B10FE-D886-4049-9DD8-43F1BF5EAF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9DE2-4676-A533-7A884CAE9864}"/>
                </c:ext>
              </c:extLst>
            </c:dLbl>
            <c:dLbl>
              <c:idx val="27"/>
              <c:layout>
                <c:manualLayout>
                  <c:x val="-1.5232844352435899E-2"/>
                  <c:y val="2.2803617571059431E-2"/>
                </c:manualLayout>
              </c:layout>
              <c:tx>
                <c:rich>
                  <a:bodyPr/>
                  <a:lstStyle/>
                  <a:p>
                    <a:fld id="{3A2853F2-C876-4FEE-A90C-4C510F6005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9DE2-4676-A533-7A884CAE986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19E3CE0-0D85-4212-92B4-7933213253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BFF-4D66-BF3C-52239F9B8868}"/>
                </c:ext>
              </c:extLst>
            </c:dLbl>
            <c:dLbl>
              <c:idx val="29"/>
              <c:layout>
                <c:manualLayout>
                  <c:x val="-2.1851186296394554E-3"/>
                  <c:y val="7.680725955767156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7062BB8-16E3-4DA6-9116-DC4A4F01ABBD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776396300500994E-2"/>
                      <c:h val="5.914328538390065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9DE2-4676-A533-7A884CAE98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đồ'!$E$33:$AO$33</c15:sqref>
                  </c15:fullRef>
                </c:ext>
              </c:extLst>
              <c:f>('Vẽ Biểu đồ'!$E$33:$AG$33,'Vẽ Biểu đồ'!$AO$33)</c:f>
              <c:numCache>
                <c:formatCode>_(* #,##0_);_(* \(#,##0\);_(* "-"??_);_(@_)</c:formatCode>
                <c:ptCount val="30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1128</c:v>
                </c:pt>
                <c:pt idx="25">
                  <c:v>1128</c:v>
                </c:pt>
                <c:pt idx="26">
                  <c:v>1128</c:v>
                </c:pt>
                <c:pt idx="27">
                  <c:v>1128</c:v>
                </c:pt>
                <c:pt idx="28">
                  <c:v>1128</c:v>
                </c:pt>
                <c:pt idx="29">
                  <c:v>1128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đồ'!$E$44:$AO$44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24">
                    <c:v> 1,128 </c:v>
                  </c:pt>
                  <c:pt idx="29">
                    <c:v> 1,128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F-9DE2-4676-A533-7A884CAE9864}"/>
            </c:ext>
          </c:extLst>
        </c:ser>
        <c:ser>
          <c:idx val="2"/>
          <c:order val="2"/>
          <c:tx>
            <c:strRef>
              <c:f>'Vẽ Biểu đồ'!$D$34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9DE2-4676-A533-7A884CAE98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03D45A4-8DB2-4595-A2AC-8B71584008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9DE2-4676-A533-7A884CAE98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44C22B6-AEDA-4E87-B6EF-EBB3524FF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9DE2-4676-A533-7A884CAE98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B83ACD-9C43-4501-B97B-4531DCDCD1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DE2-4676-A533-7A884CAE98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B6949FF-B515-4C89-B73E-054E3207B9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9DE2-4676-A533-7A884CAE98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2853829-024C-4A18-B26E-C6BFEC059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DE2-4676-A533-7A884CAE986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6AE35A0-D654-4000-BDE5-17D33AE010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9DE2-4676-A533-7A884CAE986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D69F9FF-8CE6-4DC2-BA5F-312400E0FE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9DE2-4676-A533-7A884CAE986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CCCE342-0F87-46C1-ABF7-CF069897D4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9DE2-4676-A533-7A884CAE986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8C4462D-5B2F-41AB-938A-981EDB489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9DE2-4676-A533-7A884CAE986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CF199A7-F414-4557-9B44-DCFA78524A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9DE2-4676-A533-7A884CAE986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6ED6569-F1DF-4193-87CD-756906CB3C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9DE2-4676-A533-7A884CAE986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EE29662-0810-42ED-90D9-01503FA9C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9DE2-4676-A533-7A884CAE986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F0B344A-1FA9-4445-8F19-6249969B3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9DE2-4676-A533-7A884CAE986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B959156-BDCC-4547-B0B3-056FED641E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9DE2-4676-A533-7A884CAE986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132FC79-4F30-4B7E-BF55-0A7969D5A4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9DE2-4676-A533-7A884CAE986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F78BFC5-23BE-4457-9575-7B59B53F0A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9DE2-4676-A533-7A884CAE986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4CB60C4-0CD4-460F-9F48-CAC1EF024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9DE2-4676-A533-7A884CAE986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EDA9766-41D4-479D-833B-E32EA3DC8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DE2-4676-A533-7A884CAE986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F53561F-4CC4-4530-871A-A5985A8B5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DE2-4676-A533-7A884CAE986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4C2FCBD-39F2-4F16-8484-EA57A3B3E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DE2-4676-A533-7A884CAE986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44B1205-8A6B-4C81-AE4B-B154CE15B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DE2-4676-A533-7A884CAE986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948FD32-0735-4A63-9113-60BBB134A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DE2-4676-A533-7A884CAE986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E435C87-066E-4E10-B386-31F49636F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DE2-4676-A533-7A884CAE986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AEB9007-BE21-4080-8D19-226207D2CB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DE2-4676-A533-7A884CAE986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B77A0AD-3913-4B87-B6B4-1C0E05F9B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DE2-4676-A533-7A884CAE986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DF55529-AC18-4A61-9C1B-BE391D52B0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DE2-4676-A533-7A884CAE986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1AFB1CB-975A-4CEF-865C-2166617D22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9DE2-4676-A533-7A884CAE986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E46BE33-D2C9-45C6-AC98-05C84B0C37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9DE2-4676-A533-7A884CAE986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BA09BD8-83DE-4FF5-B8E2-EB46A4325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BFF-4D66-BF3C-52239F9B8868}"/>
                </c:ext>
              </c:extLst>
            </c:dLbl>
            <c:dLbl>
              <c:idx val="29"/>
              <c:layout>
                <c:manualLayout>
                  <c:x val="-3.6630040151715663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D0BC0EF-E612-4C08-8CFE-8A6DC182A77A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9DE2-4676-A533-7A884CAE9864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đồ'!$E$34:$AG$34,'Vẽ Biểu đồ'!$AO$34)</c:f>
              <c:numCache>
                <c:formatCode>_(* #,##0_);_(* \(#,##0\);_(* "-"??_);_(@_)</c:formatCode>
                <c:ptCount val="30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1190</c:v>
                </c:pt>
                <c:pt idx="25">
                  <c:v>1190</c:v>
                </c:pt>
                <c:pt idx="26">
                  <c:v>1190</c:v>
                </c:pt>
                <c:pt idx="27">
                  <c:v>1310</c:v>
                </c:pt>
                <c:pt idx="28">
                  <c:v>1410</c:v>
                </c:pt>
                <c:pt idx="29">
                  <c:v>1380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đồ'!$E$45:$AO$45</c15:f>
                <c15:dlblRangeCache>
                  <c:ptCount val="37"/>
                  <c:pt idx="0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24">
                    <c:v> 1,190 </c:v>
                  </c:pt>
                  <c:pt idx="26">
                    <c:v> 1,190 </c:v>
                  </c:pt>
                  <c:pt idx="27">
                    <c:v> 1,310 </c:v>
                  </c:pt>
                  <c:pt idx="28">
                    <c:v> 1,410 </c:v>
                  </c:pt>
                  <c:pt idx="29">
                    <c:v> 1,380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E-9DE2-4676-A533-7A884CAE9864}"/>
            </c:ext>
          </c:extLst>
        </c:ser>
        <c:ser>
          <c:idx val="3"/>
          <c:order val="3"/>
          <c:tx>
            <c:strRef>
              <c:f>'Vẽ Biểu đồ'!$D$35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9DE2-4676-A533-7A884CAE98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0DAB8FA-7281-4CD5-88B9-7B97595305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9DE2-4676-A533-7A884CAE98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7CCA79-DC6A-47F3-A976-4D2A197D3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9DE2-4676-A533-7A884CAE98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19A625D-4EE8-48B3-B069-2BF2AAB8A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9DE2-4676-A533-7A884CAE98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49B81E8-AA58-4AD0-BBAF-5FD38CF58C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9DE2-4676-A533-7A884CAE98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FA8227F-E400-4FE9-95F4-3A80334CE4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9DE2-4676-A533-7A884CAE986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607102B-5397-4ACE-83B8-EF0DC7A86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9DE2-4676-A533-7A884CAE986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20333E-7A33-487F-875B-D963D7784A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9DE2-4676-A533-7A884CAE986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34FE683-EAC1-4CA1-B438-A1AB24BD78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9DE2-4676-A533-7A884CAE986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7624853-E225-400D-AA41-6EB305B9E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9DE2-4676-A533-7A884CAE986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AB7E608-F829-40A4-ABB0-5C51A65FA2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9DE2-4676-A533-7A884CAE986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D4D1C1B-CD9C-4C22-AB7B-33C256986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9DE2-4676-A533-7A884CAE986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5C3DF2B-9A55-4FD6-8CBE-27F2A10B09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9DE2-4676-A533-7A884CAE986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E7A8D49-9B62-4DB5-A476-26585032C9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9DE2-4676-A533-7A884CAE986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18B9074-4A0E-406A-B9B8-61C79C0137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9DE2-4676-A533-7A884CAE986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188A20F-037E-4416-A420-BF2E6A4435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9DE2-4676-A533-7A884CAE986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1165817-CBE6-448B-8FAD-1F4FF1698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9DE2-4676-A533-7A884CAE986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52A9A42-E52D-44ED-8C4E-00DB08BAD6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9DE2-4676-A533-7A884CAE986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6405F4D-96B3-423C-A7DB-F40DECD73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9DE2-4676-A533-7A884CAE986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A50BEB7-CA58-4A6F-8C6C-E96FCA7139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9DE2-4676-A533-7A884CAE986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6DE7893-ED5F-40C9-BBA4-0DF4825FA5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9DE2-4676-A533-7A884CAE986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D37E3B2-88E2-4EEE-B15C-0BE01115D5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9DE2-4676-A533-7A884CAE986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7A2485F-A7FC-4F42-A799-0885CD9B03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9DE2-4676-A533-7A884CAE986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473DA07-E1D8-4493-B92D-B4FC8E1FC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9DE2-4676-A533-7A884CAE986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4F3E28E-8297-41BD-AF3C-8003C35DCF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9DE2-4676-A533-7A884CAE986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E2DD93B-1CBD-4EA5-9F99-99E66DC5F5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9DE2-4676-A533-7A884CAE986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151AA49-4F55-477D-87C1-17F04273C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9DE2-4676-A533-7A884CAE9864}"/>
                </c:ext>
              </c:extLst>
            </c:dLbl>
            <c:dLbl>
              <c:idx val="26"/>
              <c:layout>
                <c:manualLayout>
                  <c:x val="-1.3092682362782873E-2"/>
                  <c:y val="2.4554641630029031E-2"/>
                </c:manualLayout>
              </c:layout>
              <c:tx>
                <c:rich>
                  <a:bodyPr/>
                  <a:lstStyle/>
                  <a:p>
                    <a:fld id="{C0A03599-5379-4413-9FDC-66B3EF2441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B-9DE2-4676-A533-7A884CAE986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76F44B4-CF64-4CAF-80BA-8303F408A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9DE2-4676-A533-7A884CAE986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7D6FDF5-C1F5-4829-9E6C-56802DD159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BFF-4D66-BF3C-52239F9B8868}"/>
                </c:ext>
              </c:extLst>
            </c:dLbl>
            <c:dLbl>
              <c:idx val="29"/>
              <c:layout>
                <c:manualLayout>
                  <c:x val="-8.3968758916700571E-3"/>
                  <c:y val="-5.79649806371103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1F6F1EA-C267-420A-913E-A40D07D3E93F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670895337207396E-2"/>
                      <c:h val="9.69666264623593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9DE2-4676-A533-7A884CAE98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đồ'!$E$35:$AG$35,'Vẽ Biểu đồ'!$AO$35)</c:f>
              <c:numCache>
                <c:formatCode>_(* #,##0_);_(* \(#,##0\);_(* "-"??_);_(@_)</c:formatCode>
                <c:ptCount val="30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  <c:pt idx="29">
                  <c:v>1190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đồ'!$E$46:$AO$46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1,194 </c:v>
                  </c:pt>
                  <c:pt idx="28">
                    <c:v> 1,216 </c:v>
                  </c:pt>
                  <c:pt idx="29">
                    <c:v> 1,190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D-9DE2-4676-A533-7A884CAE9864}"/>
            </c:ext>
          </c:extLst>
        </c:ser>
        <c:ser>
          <c:idx val="6"/>
          <c:order val="4"/>
          <c:tx>
            <c:strRef>
              <c:f>'Vẽ Biểu đồ'!$D$39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đồ'!$E$36:$AG$36,'Vẽ Biểu đồ'!$AO$36)</c:f>
                <c:numCache>
                  <c:formatCode>General</c:formatCode>
                  <c:ptCount val="30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đồ'!$E$36:$AG$36,'Vẽ Biểu đồ'!$AO$36)</c:f>
                <c:numCache>
                  <c:formatCode>General</c:formatCode>
                  <c:ptCount val="30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đồ'!$E$39:$AO$39</c15:sqref>
                  </c15:fullRef>
                </c:ext>
              </c:extLst>
              <c:f>('Vẽ Biểu đồ'!$E$39:$AG$39,'Vẽ Biểu đồ'!$AO$39)</c:f>
              <c:numCache>
                <c:formatCode>_(* #,##0_);_(* \(#,##0\);_(* "-"??_);_(@_)</c:formatCode>
                <c:ptCount val="30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1190</c:v>
                </c:pt>
                <c:pt idx="25">
                  <c:v>1190</c:v>
                </c:pt>
                <c:pt idx="26">
                  <c:v>1190</c:v>
                </c:pt>
                <c:pt idx="27">
                  <c:v>1310</c:v>
                </c:pt>
                <c:pt idx="28">
                  <c:v>1410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DE2-4676-A533-7A884CAE9864}"/>
            </c:ext>
          </c:extLst>
        </c:ser>
        <c:ser>
          <c:idx val="7"/>
          <c:order val="7"/>
          <c:tx>
            <c:strRef>
              <c:f>'Vẽ Biểu đồ'!$D$40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CDF549F-1DDF-4EC4-8489-9DEBA4ED29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9DE2-4676-A533-7A884CAE98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22A0A8-4728-4376-A8D1-6C0644A03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9DE2-4676-A533-7A884CAE98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4D2D6C6-1349-4E45-9968-788CC1F553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9DE2-4676-A533-7A884CAE98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B14310-D44B-4CBB-8BBE-9020A9C55E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9DE2-4676-A533-7A884CAE98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4C30B3B-7C9E-4A29-85ED-6D0B1F81A9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9DE2-4676-A533-7A884CAE986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01F4B26-446C-4276-A380-4F89523595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9DE2-4676-A533-7A884CAE986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FF7E8CB-A5B2-4B10-9D63-BF32BADB48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9DE2-4676-A533-7A884CAE986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CACF38B-FCE2-46A1-A3BC-19023D482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9DE2-4676-A533-7A884CAE986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BD36C0D-F175-420E-964D-355AB144F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9DE2-4676-A533-7A884CAE986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44BBDD0-CB1A-425A-9107-4D3F75F18E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9DE2-4676-A533-7A884CAE986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DA3EE3C-14E3-4249-A17B-DA0690959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9DE2-4676-A533-7A884CAE986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23CFC8B-1CBB-4076-8879-82DB51871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9DE2-4676-A533-7A884CAE986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AE9F68F-53EC-4236-AA7A-2AAD46ECA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9DE2-4676-A533-7A884CAE986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7CB6FFF-5FBA-4CEB-A245-039537718C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9DE2-4676-A533-7A884CAE986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260A69B-A2B7-471F-B53C-8E891BA4E5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9DE2-4676-A533-7A884CAE986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6C5C838-E0D4-4FB3-9981-1AE40B464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9DE2-4676-A533-7A884CAE986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5B91D55-F2AC-423B-ACEA-14C36E033D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9DE2-4676-A533-7A884CAE986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4B41097-C81D-408A-B0FF-E5559EC825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9DE2-4676-A533-7A884CAE986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C2746AF-477E-463B-BEBD-9FD7BCEC23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9DE2-4676-A533-7A884CAE986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5DA2B97-D230-4178-BEAD-619EBA93C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9DE2-4676-A533-7A884CAE986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3AAFF2A-BAC3-4700-A11A-2316EA5369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9DE2-4676-A533-7A884CAE986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4274C68-2D5C-4C23-8D54-EE04813119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9DE2-4676-A533-7A884CAE986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E5F79C3-691B-43A1-A683-F82074920D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9DE2-4676-A533-7A884CAE986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8A8FACF-E120-4325-8EB8-99ABBFBD91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9DE2-4676-A533-7A884CAE986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E2BEB85-ED8C-4378-88A4-44A5AC0B3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9DE2-4676-A533-7A884CAE986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00F10B1-EC65-44BC-97F1-0FDFB0409E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9DE2-4676-A533-7A884CAE986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8E83C2E-AFB9-4BB9-8D00-6ABE810BF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9DE2-4676-A533-7A884CAE986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5F92A8B-AAB5-4C43-80A7-3646EC79A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9DE2-4676-A533-7A884CAE986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2BD9621-ADFF-4D53-835D-F8115D05CF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BFF-4D66-BF3C-52239F9B886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9DE2-4676-A533-7A884CAE9864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đồ'!$E$40:$AO$40</c15:sqref>
                  </c15:fullRef>
                </c:ext>
              </c:extLst>
              <c:f>('Vẽ Biểu đồ'!$E$40:$AG$40,'Vẽ Biểu đồ'!$AO$40)</c:f>
              <c:numCache>
                <c:formatCode>_(* #,##0_);_(* \(#,##0\);_(* "-"??_);_(@_)</c:formatCode>
                <c:ptCount val="30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1001.25</c:v>
                </c:pt>
                <c:pt idx="24">
                  <c:v>997.5</c:v>
                </c:pt>
                <c:pt idx="25">
                  <c:v>1015</c:v>
                </c:pt>
                <c:pt idx="26">
                  <c:v>1149.5</c:v>
                </c:pt>
                <c:pt idx="27">
                  <c:v>1252</c:v>
                </c:pt>
                <c:pt idx="28">
                  <c:v>1313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đồ'!$E$37:$AO$37</c15:f>
                <c15:dlblRangeCache>
                  <c:ptCount val="37"/>
                  <c:pt idx="0">
                    <c:v>+37.6%</c:v>
                  </c:pt>
                  <c:pt idx="1">
                    <c:v>+35.7%</c:v>
                  </c:pt>
                  <c:pt idx="2">
                    <c:v>+36.2%</c:v>
                  </c:pt>
                  <c:pt idx="3">
                    <c:v>+36.2%</c:v>
                  </c:pt>
                  <c:pt idx="4">
                    <c:v>+41.2%</c:v>
                  </c:pt>
                  <c:pt idx="5">
                    <c:v>+40.0%</c:v>
                  </c:pt>
                  <c:pt idx="6">
                    <c:v>+40.4%</c:v>
                  </c:pt>
                  <c:pt idx="7">
                    <c:v>+43.0%</c:v>
                  </c:pt>
                  <c:pt idx="8">
                    <c:v>+52.3%</c:v>
                  </c:pt>
                  <c:pt idx="9">
                    <c:v>+57.1%</c:v>
                  </c:pt>
                  <c:pt idx="10">
                    <c:v>+59.0%</c:v>
                  </c:pt>
                  <c:pt idx="11">
                    <c:v>+57.2%</c:v>
                  </c:pt>
                  <c:pt idx="12">
                    <c:v>+52.2%</c:v>
                  </c:pt>
                  <c:pt idx="13">
                    <c:v>+50.0%</c:v>
                  </c:pt>
                  <c:pt idx="14">
                    <c:v>+53.1%</c:v>
                  </c:pt>
                  <c:pt idx="15">
                    <c:v>+67.3%</c:v>
                  </c:pt>
                  <c:pt idx="16">
                    <c:v>+63.7%</c:v>
                  </c:pt>
                  <c:pt idx="17">
                    <c:v>+58.5%</c:v>
                  </c:pt>
                  <c:pt idx="18">
                    <c:v>+59.6%</c:v>
                  </c:pt>
                  <c:pt idx="19">
                    <c:v>+57.2%</c:v>
                  </c:pt>
                  <c:pt idx="20">
                    <c:v>+59.6%</c:v>
                  </c:pt>
                  <c:pt idx="21">
                    <c:v>+60.6%</c:v>
                  </c:pt>
                  <c:pt idx="22">
                    <c:v>+59.7%</c:v>
                  </c:pt>
                  <c:pt idx="23">
                    <c:v>+59.2%</c:v>
                  </c:pt>
                  <c:pt idx="24">
                    <c:v>+47.8%</c:v>
                  </c:pt>
                  <c:pt idx="25">
                    <c:v>+41.7%</c:v>
                  </c:pt>
                  <c:pt idx="26">
                    <c:v>+7.3%</c:v>
                  </c:pt>
                  <c:pt idx="27">
                    <c:v>+9.7%</c:v>
                  </c:pt>
                  <c:pt idx="28">
                    <c:v>+16.0%</c:v>
                  </c:pt>
                  <c:pt idx="29">
                    <c:v>+16.0%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C-9DE2-4676-A533-7A884CAE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542362717381988E-3"/>
          <c:y val="0"/>
          <c:w val="0.94185619819881805"/>
          <c:h val="0.89338168969188925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đồ'!$D$61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đồ'!$E$61:$AO$61</c15:sqref>
                  </c15:fullRef>
                </c:ext>
              </c:extLst>
              <c:f>('Vẽ Biểu đồ'!$E$61:$AG$61,'Vẽ Biểu đồ'!$AO$61)</c:f>
              <c:numCache>
                <c:formatCode>_(* #,##0_);_(* \(#,##0\);_(* "-"??_);_(@_)</c:formatCode>
                <c:ptCount val="30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1370</c:v>
                </c:pt>
                <c:pt idx="28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C-415B-9277-2AD93BA57A8A}"/>
            </c:ext>
          </c:extLst>
        </c:ser>
        <c:ser>
          <c:idx val="4"/>
          <c:order val="6"/>
          <c:tx>
            <c:strRef>
              <c:f>'Vẽ Biểu đồ'!$D$62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đồ'!$E$62:$AO$62</c15:sqref>
                  </c15:fullRef>
                </c:ext>
              </c:extLst>
              <c:f>('Vẽ Biểu đồ'!$E$62:$AG$62,'Vẽ Biểu đồ'!$AO$62)</c:f>
              <c:numCache>
                <c:formatCode>_(* #,##0_);_(* \(#,##0\);_(* "-"??_);_(@_)</c:formatCode>
                <c:ptCount val="30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C-415B-9277-2AD93BA57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đồ'!$D$52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AC-415B-9277-2AD93BA57A8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C0F1EEE-B1B5-45AD-BF91-AE476938FC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7AC-415B-9277-2AD93BA57A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E8A6901-5EAD-48E7-93FB-95CDFF7063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7AC-415B-9277-2AD93BA57A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D4C8F4-EE1E-4A30-B2C1-AEB38604E6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7AC-415B-9277-2AD93BA57A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A3D38C3-DC26-4547-A624-929608DAE3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7AC-415B-9277-2AD93BA57A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9F6B548-624B-41EA-B053-2268042C73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7AC-415B-9277-2AD93BA57A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E34ACC0-6D2B-4E72-94E6-8139A10ACF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7AC-415B-9277-2AD93BA57A8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08DE7B2-F37D-454B-90D3-D7CFE7D631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7AC-415B-9277-2AD93BA57A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DDAB930-A9C0-4290-A3CD-4EFA516F9C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7AC-415B-9277-2AD93BA57A8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093AA7B-71B4-4261-B42E-1420F20517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7AC-415B-9277-2AD93BA57A8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1CDAD23-2DD7-4662-9C38-A022E52687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7AC-415B-9277-2AD93BA57A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726A4CF-0620-4A3B-861C-DB90630966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7AC-415B-9277-2AD93BA57A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2A2BA91-3B6F-4A16-A5B7-C0999BCC0C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7AC-415B-9277-2AD93BA57A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666964B-2044-46AE-AD48-3A6C388C4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7AC-415B-9277-2AD93BA57A8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FE8EAF0-9360-4FBB-B900-B47E25D59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7AC-415B-9277-2AD93BA57A8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C2AD642-F668-40B0-93C9-232A36966C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7AC-415B-9277-2AD93BA57A8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C693450-F208-4DCB-9444-2D184F3E8C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7AC-415B-9277-2AD93BA57A8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3F77A46-2836-4AEC-8005-6CC1762C56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7AC-415B-9277-2AD93BA57A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A0F978D-5AFD-4DC5-8857-091F0F203B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7AC-415B-9277-2AD93BA57A8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AC45E40-11EA-428F-8564-065B28E4B9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7AC-415B-9277-2AD93BA57A8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637D73D-8A7D-4854-80AA-B334048E95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7AC-415B-9277-2AD93BA57A8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7324A28-AE05-47C8-9680-B108A5D3B3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07AC-415B-9277-2AD93BA57A8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D5DCD16-5B32-4A23-B9F9-A0684C973B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7AC-415B-9277-2AD93BA57A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E148F00-48E9-4407-B2C7-D51AF76438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7AC-415B-9277-2AD93BA57A8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0E372F5-8546-4EDE-A7AF-F4A4E1D82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07AC-415B-9277-2AD93BA57A8A}"/>
                </c:ext>
              </c:extLst>
            </c:dLbl>
            <c:dLbl>
              <c:idx val="24"/>
              <c:layout>
                <c:manualLayout>
                  <c:x val="-2.5941316895912298E-2"/>
                  <c:y val="5.4715762273901812E-2"/>
                </c:manualLayout>
              </c:layout>
              <c:tx>
                <c:rich>
                  <a:bodyPr/>
                  <a:lstStyle/>
                  <a:p>
                    <a:fld id="{5E581040-9839-47BA-9320-9B4D7CCFDC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07AC-415B-9277-2AD93BA57A8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61B99AC-9C46-40F7-BEC6-9D04F61558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7AC-415B-9277-2AD93BA57A8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638FBAA-56A2-4679-9719-00D70A748E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7AC-415B-9277-2AD93BA57A8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0CCE998-5A0F-45D7-890F-DE29DDF8E0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07AC-415B-9277-2AD93BA57A8A}"/>
                </c:ext>
              </c:extLst>
            </c:dLbl>
            <c:dLbl>
              <c:idx val="28"/>
              <c:layout>
                <c:manualLayout>
                  <c:x val="-1.0951214396725773E-2"/>
                  <c:y val="-1.2033150360564026E-2"/>
                </c:manualLayout>
              </c:layout>
              <c:tx>
                <c:rich>
                  <a:bodyPr/>
                  <a:lstStyle/>
                  <a:p>
                    <a:fld id="{5199BD41-89A1-4B46-8CFF-B35A15E678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837-4327-B07D-7504E1C90EAB}"/>
                </c:ext>
              </c:extLst>
            </c:dLbl>
            <c:dLbl>
              <c:idx val="29"/>
              <c:layout>
                <c:manualLayout>
                  <c:x val="-1.2375178151664908E-3"/>
                  <c:y val="-1.7870639672989349E-2"/>
                </c:manualLayout>
              </c:layout>
              <c:tx>
                <c:rich>
                  <a:bodyPr/>
                  <a:lstStyle/>
                  <a:p>
                    <a:fld id="{F52F2BF2-2262-41DB-A8DC-2F3E1DAF8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7AC-415B-9277-2AD93BA57A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đồ'!$E$52:$AG$52,'Vẽ Biểu đồ'!$AO$52)</c:f>
              <c:numCache>
                <c:formatCode>_(* #,##0_);_(* \(#,##0\);_(* "-"??_);_(@_)</c:formatCode>
                <c:ptCount val="30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1270</c:v>
                </c:pt>
                <c:pt idx="25">
                  <c:v>1270</c:v>
                </c:pt>
                <c:pt idx="26">
                  <c:v>1270</c:v>
                </c:pt>
                <c:pt idx="27">
                  <c:v>1270</c:v>
                </c:pt>
                <c:pt idx="28">
                  <c:v>1270</c:v>
                </c:pt>
                <c:pt idx="29">
                  <c:v>1270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đồ'!$E$63:$AO$63</c15:f>
                <c15:dlblRangeCache>
                  <c:ptCount val="37"/>
                  <c:pt idx="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23">
                    <c:v> 1,348 </c:v>
                  </c:pt>
                  <c:pt idx="24">
                    <c:v> 1,270 </c:v>
                  </c:pt>
                  <c:pt idx="29">
                    <c:v> 1,270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07AC-415B-9277-2AD93BA57A8A}"/>
            </c:ext>
          </c:extLst>
        </c:ser>
        <c:ser>
          <c:idx val="1"/>
          <c:order val="1"/>
          <c:tx>
            <c:strRef>
              <c:f>'Vẽ Biểu đồ'!$D$53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07AC-415B-9277-2AD93BA57A8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63934AF-C36F-424C-BB05-7274E87E35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7AC-415B-9277-2AD93BA57A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B7753A-913B-4F97-A8B7-8A7C03CDEB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7AC-415B-9277-2AD93BA57A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B8ED75-35C1-4481-BA55-CC62452FA5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7AC-415B-9277-2AD93BA57A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DC20D2-E61E-4E24-B224-86DC168606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7AC-415B-9277-2AD93BA57A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E7B6685-4D37-43DF-B7AA-F7A087C149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07AC-415B-9277-2AD93BA57A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38367CC-BDA5-48F4-8F14-5CCF8A3D9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07AC-415B-9277-2AD93BA57A8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8EB9072-9436-4F48-9C7B-CD93780E1C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7AC-415B-9277-2AD93BA57A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EC9C107-7B85-412E-A514-31243E21FE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7AC-415B-9277-2AD93BA57A8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D183377-332A-4D3C-9A57-B8F465901C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7AC-415B-9277-2AD93BA57A8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7B82F31-2D67-42FB-A19D-826702B272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7AC-415B-9277-2AD93BA57A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7ACD0D2-9BE1-42D4-B717-BEC08C6D8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7AC-415B-9277-2AD93BA57A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FDAF41C-3423-4832-975B-50AD945A4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7AC-415B-9277-2AD93BA57A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0D559B8-58C9-4580-A1B4-EB5E8ADA3F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7AC-415B-9277-2AD93BA57A8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9D50511-C4B8-47E3-9818-CB55F632EE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7AC-415B-9277-2AD93BA57A8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D4F8B02-549B-4FBC-B9A0-F22F40EF64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7AC-415B-9277-2AD93BA57A8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69FC5B8-148C-4EF0-847B-12FB847EC9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7AC-415B-9277-2AD93BA57A8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50ED5B5-F84F-4D0C-B459-7E8DCCB17C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7AC-415B-9277-2AD93BA57A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075EDCC-528A-4B0C-BD48-66F9CD9EC9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07AC-415B-9277-2AD93BA57A8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EAFF951-BAFE-4D35-AED8-4447C8C1F4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7AC-415B-9277-2AD93BA57A8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814A4B8-85F3-4F6D-83FA-9B5CE4F88D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07AC-415B-9277-2AD93BA57A8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ADD3D12-68AF-431F-AD6D-4E881C0157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07AC-415B-9277-2AD93BA57A8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DA580F5-674A-4140-BEC7-2831B62ED6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7AC-415B-9277-2AD93BA57A8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07AC-415B-9277-2AD93BA57A8A}"/>
                </c:ext>
              </c:extLst>
            </c:dLbl>
            <c:dLbl>
              <c:idx val="23"/>
              <c:layout>
                <c:manualLayout>
                  <c:x val="-3.7720636693736334E-2"/>
                  <c:y val="-2.2416020671834624E-2"/>
                </c:manualLayout>
              </c:layout>
              <c:tx>
                <c:rich>
                  <a:bodyPr/>
                  <a:lstStyle/>
                  <a:p>
                    <a:fld id="{65A3E29E-587D-4260-B03F-32F38418D9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07AC-415B-9277-2AD93BA57A8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541D778-74C0-441A-901E-FC12597E9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07AC-415B-9277-2AD93BA57A8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B6133A8-CF26-4F0D-985E-6486474BEB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7AC-415B-9277-2AD93BA57A8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CAA3165-5A50-4AB2-BB88-07608B36DB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7AC-415B-9277-2AD93BA57A8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7A4928C-71DA-4425-BFB5-34564E261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07AC-415B-9277-2AD93BA57A8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949A90F-AE56-4E2E-964F-020C4D4E4C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837-4327-B07D-7504E1C90EAB}"/>
                </c:ext>
              </c:extLst>
            </c:dLbl>
            <c:dLbl>
              <c:idx val="29"/>
              <c:layout>
                <c:manualLayout>
                  <c:x val="-4.216611374241716E-8"/>
                  <c:y val="5.9539457793800965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337E27D-C45F-40B7-8FC3-DAF4DAB38B94}" type="CELLRANGE">
                      <a:rPr lang="en-US"/>
                      <a:pPr>
                        <a:defRPr sz="10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452701658065974E-2"/>
                      <c:h val="3.916315051876665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07AC-415B-9277-2AD93BA57A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đồ'!$E$53:$AG$53,'Vẽ Biểu đồ'!$AO$53)</c:f>
              <c:numCache>
                <c:formatCode>_(* #,##0_);_(* \(#,##0\);_(* "-"??_);_(@_)</c:formatCode>
                <c:ptCount val="30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1128</c:v>
                </c:pt>
                <c:pt idx="25">
                  <c:v>1128</c:v>
                </c:pt>
                <c:pt idx="26">
                  <c:v>1128</c:v>
                </c:pt>
                <c:pt idx="27">
                  <c:v>1128</c:v>
                </c:pt>
                <c:pt idx="28">
                  <c:v>1128</c:v>
                </c:pt>
                <c:pt idx="29">
                  <c:v>1128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đồ'!$E$64:$AO$64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24">
                    <c:v> 1,128 </c:v>
                  </c:pt>
                  <c:pt idx="29">
                    <c:v> 1,128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F-07AC-415B-9277-2AD93BA57A8A}"/>
            </c:ext>
          </c:extLst>
        </c:ser>
        <c:ser>
          <c:idx val="2"/>
          <c:order val="2"/>
          <c:tx>
            <c:strRef>
              <c:f>'Vẽ Biểu đồ'!$D$54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07AC-415B-9277-2AD93BA57A8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A33FAFD-A628-484D-9B98-8ACD0CE5C8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07AC-415B-9277-2AD93BA57A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1D2662-BD42-41C7-9D2C-127CA56C4A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7AC-415B-9277-2AD93BA57A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9F3AB3C-7BFF-40DC-8263-B2D3EBC38E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7AC-415B-9277-2AD93BA57A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A7EBF47-F8F8-430E-96BB-85F92386B6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7AC-415B-9277-2AD93BA57A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D28BA4D-E46C-49AB-8DBF-DCE0000141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7AC-415B-9277-2AD93BA57A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5DAD837-4F66-4656-9754-7818492730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7AC-415B-9277-2AD93BA57A8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AC5591F-94E5-45C0-AEE8-C499018938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7AC-415B-9277-2AD93BA57A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136B900-C751-43FC-90D0-1D6C3D60DA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7AC-415B-9277-2AD93BA57A8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740F8BF-8F72-4206-955B-824F58863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7AC-415B-9277-2AD93BA57A8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22E7813-5760-4655-B801-3D80FD64E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7AC-415B-9277-2AD93BA57A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870CAE9-4C8B-4C95-A941-C3362F467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7AC-415B-9277-2AD93BA57A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1B77493-0F7E-470B-BCEB-18B1597CF2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7AC-415B-9277-2AD93BA57A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4D7D3B0-A7F4-452D-938E-BF067D5577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7AC-415B-9277-2AD93BA57A8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DC03A82-2441-4875-9B5F-F42C67CAE7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7AC-415B-9277-2AD93BA57A8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085FEAB-54A4-44F2-8369-2DD3F364D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7AC-415B-9277-2AD93BA57A8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2C3AC62-4D24-43B3-88E2-5752A5444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7AC-415B-9277-2AD93BA57A8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529AE87-52CB-4BC0-9671-FEFCED4348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7AC-415B-9277-2AD93BA57A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C4EE5F6-5B86-430F-90E4-241B3F9206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7AC-415B-9277-2AD93BA57A8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D8A167E-F89C-42B6-BC87-82D9291850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7AC-415B-9277-2AD93BA57A8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2886097-6999-4AAF-9267-1C22DA4CF6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07AC-415B-9277-2AD93BA57A8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D834D6A-B885-48D5-8CAB-D87CFEACC6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07AC-415B-9277-2AD93BA57A8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AFA6506-6C01-4192-AB5D-DE8C424A88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7AC-415B-9277-2AD93BA57A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DD4CF85-BC67-4080-8577-D7A67C32DC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7AC-415B-9277-2AD93BA57A8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022F7E9-6F0E-4708-903D-F040F03DEF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7AC-415B-9277-2AD93BA57A8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6EF0C65-4FFF-494D-97C2-FFC455E39F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7AC-415B-9277-2AD93BA57A8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86262B5-2ACA-4B9F-AD34-FE005E6BA6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7AC-415B-9277-2AD93BA57A8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BE76CA8-9D83-457B-A5EA-8B9335F3B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07AC-415B-9277-2AD93BA57A8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67BBE60-926C-4AAC-89EE-D944A0921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07AC-415B-9277-2AD93BA57A8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D6B0475-C2DE-4838-8A34-E28A4F1CAB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837-4327-B07D-7504E1C90EAB}"/>
                </c:ext>
              </c:extLst>
            </c:dLbl>
            <c:dLbl>
              <c:idx val="2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F9469BA-F31B-4518-9EDE-AD3FE642C403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07AC-415B-9277-2AD93BA57A8A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đồ'!$E$54:$AG$54,'Vẽ Biểu đồ'!$AO$54)</c:f>
              <c:numCache>
                <c:formatCode>_(* #,##0_);_(* \(#,##0\);_(* "-"??_);_(@_)</c:formatCode>
                <c:ptCount val="30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1370</c:v>
                </c:pt>
                <c:pt idx="28">
                  <c:v>1470</c:v>
                </c:pt>
                <c:pt idx="29">
                  <c:v>1440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đồ'!$E$65:$AO$65</c15:f>
                <c15:dlblRangeCache>
                  <c:ptCount val="37"/>
                  <c:pt idx="0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24">
                    <c:v> 1,250 </c:v>
                  </c:pt>
                  <c:pt idx="26">
                    <c:v> 1,250 </c:v>
                  </c:pt>
                  <c:pt idx="27">
                    <c:v> 1,370 </c:v>
                  </c:pt>
                  <c:pt idx="28">
                    <c:v> 1,470 </c:v>
                  </c:pt>
                  <c:pt idx="29">
                    <c:v> 1,440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E-07AC-415B-9277-2AD93BA57A8A}"/>
            </c:ext>
          </c:extLst>
        </c:ser>
        <c:ser>
          <c:idx val="3"/>
          <c:order val="3"/>
          <c:tx>
            <c:strRef>
              <c:f>'Vẽ Biểu đồ'!$D$55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07AC-415B-9277-2AD93BA57A8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6869285-DB57-46EA-AEAD-DC0B39BDF2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07AC-415B-9277-2AD93BA57A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37CDBF-9F68-4A00-97FF-FB83C566A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07AC-415B-9277-2AD93BA57A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DD5FE0B-916E-42A7-B5B1-47E2926B07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07AC-415B-9277-2AD93BA57A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5DC468E-F96F-42B4-879C-29368677D8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07AC-415B-9277-2AD93BA57A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8AC00D-0646-4913-B01D-B53877678C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07AC-415B-9277-2AD93BA57A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B00EECC-BCC4-4C64-97F5-063C7D9B32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07AC-415B-9277-2AD93BA57A8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F620B0-D3CC-4B9B-8191-ED5E3FB4B3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07AC-415B-9277-2AD93BA57A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8FE6123-25A1-443F-9055-7F8D36B8AB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07AC-415B-9277-2AD93BA57A8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9EEBF2A-4359-4345-89BB-89A4CC291C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07AC-415B-9277-2AD93BA57A8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1868FED-D5EF-40D6-977C-388D0F8BC2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07AC-415B-9277-2AD93BA57A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73005F2-B029-45B8-AB42-CAE1D4DFAC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07AC-415B-9277-2AD93BA57A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FAE3940-BAD3-46E8-82AB-F301CCDB9B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07AC-415B-9277-2AD93BA57A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C13B693-B774-4281-B7C2-4DB1878E30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07AC-415B-9277-2AD93BA57A8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0E7C2EE-475A-483B-BB35-BE4D3C9627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07AC-415B-9277-2AD93BA57A8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F624D3B-1931-495B-BC6E-1D79ACD00B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07AC-415B-9277-2AD93BA57A8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354330D-FEEA-4D20-B0D6-C33E84831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07AC-415B-9277-2AD93BA57A8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46E6FFF-6EDC-4CD7-9AA1-5B24F066DF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07AC-415B-9277-2AD93BA57A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23BAA32-1286-49B5-81C2-56CFE00723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07AC-415B-9277-2AD93BA57A8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5FB73DD-9E5B-4180-8693-06D23A7907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07AC-415B-9277-2AD93BA57A8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503012D-6EF9-4504-9ABF-6A9453D84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07AC-415B-9277-2AD93BA57A8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4AD696D-6156-4905-AF02-2453B8C4B0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07AC-415B-9277-2AD93BA57A8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43E96B7-34A5-4C7E-96CD-18AF35CED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07AC-415B-9277-2AD93BA57A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45A0A4B-9D74-4F42-9A83-3028019DA3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07AC-415B-9277-2AD93BA57A8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FFF6B85-715C-461A-8B58-E2D867D57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07AC-415B-9277-2AD93BA57A8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8553FA7-C852-4AF3-8470-9EB21BDE1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07AC-415B-9277-2AD93BA57A8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696213D-D3A6-4A95-B678-2C56A1BDE5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07AC-415B-9277-2AD93BA57A8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F2FDC07-344A-42EF-ACBA-3F0BF25795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07AC-415B-9277-2AD93BA57A8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BF7FC5C-73A2-44B4-A780-FA72B6CC41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07AC-415B-9277-2AD93BA57A8A}"/>
                </c:ext>
              </c:extLst>
            </c:dLbl>
            <c:dLbl>
              <c:idx val="28"/>
              <c:layout>
                <c:manualLayout>
                  <c:x val="-1.2852231468688751E-2"/>
                  <c:y val="-2.1526208158432893E-2"/>
                </c:manualLayout>
              </c:layout>
              <c:tx>
                <c:rich>
                  <a:bodyPr/>
                  <a:lstStyle/>
                  <a:p>
                    <a:fld id="{A3001D9F-4D48-4681-BBFD-C11B909D87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7837-4327-B07D-7504E1C90EAB}"/>
                </c:ext>
              </c:extLst>
            </c:dLbl>
            <c:dLbl>
              <c:idx val="29"/>
              <c:layout>
                <c:manualLayout>
                  <c:x val="-2.677548222643491E-4"/>
                  <c:y val="-4.305072133984543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F4E38A6-90C2-4AA1-99DA-4471BA649F6E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911494001912487E-2"/>
                      <c:h val="0.1069428801219027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0-07AC-415B-9277-2AD93BA57A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đồ'!$E$55:$AG$55,'Vẽ Biểu đồ'!$AO$55)</c:f>
              <c:numCache>
                <c:formatCode>_(* #,##0_);_(* \(#,##0\);_(* "-"??_);_(@_)</c:formatCode>
                <c:ptCount val="30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  <c:pt idx="29">
                  <c:v>1190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đồ'!$E$66:$AO$66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1,194 </c:v>
                  </c:pt>
                  <c:pt idx="28">
                    <c:v> 1,216 </c:v>
                  </c:pt>
                  <c:pt idx="29">
                    <c:v> 1,190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D-07AC-415B-9277-2AD93BA57A8A}"/>
            </c:ext>
          </c:extLst>
        </c:ser>
        <c:ser>
          <c:idx val="6"/>
          <c:order val="4"/>
          <c:tx>
            <c:strRef>
              <c:f>'Vẽ Biểu đồ'!$D$59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đồ'!$E$36:$AG$36,'Vẽ Biểu đồ'!$AO$36)</c:f>
                <c:numCache>
                  <c:formatCode>General</c:formatCode>
                  <c:ptCount val="30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đồ'!$E$56:$AO$56</c15:sqref>
                    </c15:fullRef>
                  </c:ext>
                </c:extLst>
                <c:f>('Vẽ Biểu đồ'!$E$56:$AG$56,'Vẽ Biểu đồ'!$AO$56)</c:f>
                <c:numCache>
                  <c:formatCode>General</c:formatCode>
                  <c:ptCount val="30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517.5</c:v>
                  </c:pt>
                  <c:pt idx="24">
                    <c:v>445</c:v>
                  </c:pt>
                  <c:pt idx="25">
                    <c:v>410</c:v>
                  </c:pt>
                  <c:pt idx="26">
                    <c:v>141</c:v>
                  </c:pt>
                  <c:pt idx="27">
                    <c:v>176</c:v>
                  </c:pt>
                  <c:pt idx="28">
                    <c:v>254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đồ'!$E$59:$AO$59</c15:sqref>
                  </c15:fullRef>
                </c:ext>
              </c:extLst>
              <c:f>('Vẽ Biểu đồ'!$E$59:$AG$59,'Vẽ Biểu đồ'!$AO$59)</c:f>
              <c:numCache>
                <c:formatCode>_(* #,##0_);_(* \(#,##0\);_(* "-"??_);_(@_)</c:formatCode>
                <c:ptCount val="30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1370</c:v>
                </c:pt>
                <c:pt idx="28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7AC-415B-9277-2AD93BA57A8A}"/>
            </c:ext>
          </c:extLst>
        </c:ser>
        <c:ser>
          <c:idx val="7"/>
          <c:order val="7"/>
          <c:tx>
            <c:strRef>
              <c:f>'Vẽ Biểu đồ'!$D$60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DABDF30-2BC5-490A-9556-300ABD7EA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07AC-415B-9277-2AD93BA57A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4974C9-28C0-4008-B843-8FEC64A4D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07AC-415B-9277-2AD93BA57A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38CD71D-C067-4597-9ABC-29A9B6CA6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07AC-415B-9277-2AD93BA57A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75E94A7-D815-4D0F-83C9-304C52EBD7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07AC-415B-9277-2AD93BA57A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C71B42B-1BA6-42B6-A30C-4E4A32DCC5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07AC-415B-9277-2AD93BA57A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FB66AFC-ACA5-4709-8883-FF143EB1AF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07AC-415B-9277-2AD93BA57A8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DD4A81C-8344-44E6-B274-C72B33C4B3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07AC-415B-9277-2AD93BA57A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8DBBF7-71EE-42C5-B491-F11A30A1F6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07AC-415B-9277-2AD93BA57A8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3B56963-AE10-4170-AC6B-B98476BDB3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07AC-415B-9277-2AD93BA57A8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3FF9BD4-A42F-4791-BE7C-B759615686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07AC-415B-9277-2AD93BA57A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A56DF67-069B-4C3D-BCDB-A7E7E23955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07AC-415B-9277-2AD93BA57A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9385169-1377-4BF9-8BB1-5CF3EA4F99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07AC-415B-9277-2AD93BA57A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4B4F912-AC75-4D29-9655-C82F729E9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07AC-415B-9277-2AD93BA57A8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107B402-DDFF-431C-890D-A1C30F30DE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07AC-415B-9277-2AD93BA57A8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8E7F9FE-57FA-4A29-B364-C2897904F1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07AC-415B-9277-2AD93BA57A8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1AC081E-4D4C-43B6-AE14-405B302E3E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07AC-415B-9277-2AD93BA57A8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E4AA29B-BC86-4145-9C55-A13FF75C94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07AC-415B-9277-2AD93BA57A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B5807E4-FB95-4BF4-A75C-B2192ECCFA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07AC-415B-9277-2AD93BA57A8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93459ED-83FA-4567-BCB6-8CC3A6733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07AC-415B-9277-2AD93BA57A8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2B6D419-BF90-44E3-AEA4-76FB69C6D7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07AC-415B-9277-2AD93BA57A8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6E83ED0-08E1-40DD-8A11-8A7B6CF656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07AC-415B-9277-2AD93BA57A8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EE3BC4F-C111-4A08-A13F-2CBBD5A31A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07AC-415B-9277-2AD93BA57A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9A71842-D785-4E62-B3B5-A2F2D229C4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07AC-415B-9277-2AD93BA57A8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009DB35-CC18-4D4D-ACB3-89C4ED381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07AC-415B-9277-2AD93BA57A8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6791E05-A9E4-43A5-8AFD-D7E0B38D33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07AC-415B-9277-2AD93BA57A8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E611B95-EBA0-4C7A-BEEE-2DFF808FAC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07AC-415B-9277-2AD93BA57A8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47AEE5E-2736-4F5E-94A5-DA052A8E8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07AC-415B-9277-2AD93BA57A8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79E7CB8-31C7-4ECC-A586-31FC5B15D4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07AC-415B-9277-2AD93BA57A8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0C1BE26-C3B7-4542-9394-3484C7B926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837-4327-B07D-7504E1C90EA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07AC-415B-9277-2AD93BA57A8A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đồ'!$E$60:$AO$60</c15:sqref>
                  </c15:fullRef>
                </c:ext>
              </c:extLst>
              <c:f>('Vẽ Biểu đồ'!$E$60:$AG$60,'Vẽ Biểu đồ'!$AO$60)</c:f>
              <c:numCache>
                <c:formatCode>_(* #,##0_);_(* \(#,##0\);_(* "-"??_);_(@_)</c:formatCode>
                <c:ptCount val="30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1031.25</c:v>
                </c:pt>
                <c:pt idx="24">
                  <c:v>1027.5</c:v>
                </c:pt>
                <c:pt idx="25">
                  <c:v>1045</c:v>
                </c:pt>
                <c:pt idx="26">
                  <c:v>1179.5</c:v>
                </c:pt>
                <c:pt idx="27">
                  <c:v>1282</c:v>
                </c:pt>
                <c:pt idx="28">
                  <c:v>1343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+44.1%</c:v>
                  </c:pt>
                  <c:pt idx="1">
                    <c:v>+42.0%</c:v>
                  </c:pt>
                  <c:pt idx="2">
                    <c:v>+42.6%</c:v>
                  </c:pt>
                  <c:pt idx="3">
                    <c:v>+42.6%</c:v>
                  </c:pt>
                  <c:pt idx="4">
                    <c:v>+47.6%</c:v>
                  </c:pt>
                  <c:pt idx="5">
                    <c:v>+46.3%</c:v>
                  </c:pt>
                  <c:pt idx="6">
                    <c:v>+46.7%</c:v>
                  </c:pt>
                  <c:pt idx="7">
                    <c:v>+49.5%</c:v>
                  </c:pt>
                  <c:pt idx="8">
                    <c:v>+59.1%</c:v>
                  </c:pt>
                  <c:pt idx="9">
                    <c:v>+64.1%</c:v>
                  </c:pt>
                  <c:pt idx="10">
                    <c:v>+66.1%</c:v>
                  </c:pt>
                  <c:pt idx="11">
                    <c:v>+64.5%</c:v>
                  </c:pt>
                  <c:pt idx="12">
                    <c:v>+59.4%</c:v>
                  </c:pt>
                  <c:pt idx="13">
                    <c:v>+52.4%</c:v>
                  </c:pt>
                  <c:pt idx="14">
                    <c:v>+60.4%</c:v>
                  </c:pt>
                  <c:pt idx="15">
                    <c:v>+75.2%</c:v>
                  </c:pt>
                  <c:pt idx="16">
                    <c:v>+71.4%</c:v>
                  </c:pt>
                  <c:pt idx="17">
                    <c:v>+65.9%</c:v>
                  </c:pt>
                  <c:pt idx="18">
                    <c:v>+67.1%</c:v>
                  </c:pt>
                  <c:pt idx="19">
                    <c:v>+64.8%</c:v>
                  </c:pt>
                  <c:pt idx="20">
                    <c:v>+67.3%</c:v>
                  </c:pt>
                  <c:pt idx="21">
                    <c:v>+68.4%</c:v>
                  </c:pt>
                  <c:pt idx="22">
                    <c:v>+67.5%</c:v>
                  </c:pt>
                  <c:pt idx="23">
                    <c:v>+67.0%</c:v>
                  </c:pt>
                  <c:pt idx="24">
                    <c:v>+55.3%</c:v>
                  </c:pt>
                  <c:pt idx="25">
                    <c:v>+48.8%</c:v>
                  </c:pt>
                  <c:pt idx="26">
                    <c:v>+12.7%</c:v>
                  </c:pt>
                  <c:pt idx="27">
                    <c:v>+14.7%</c:v>
                  </c:pt>
                  <c:pt idx="28">
                    <c:v>+20.9%</c:v>
                  </c:pt>
                  <c:pt idx="29">
                    <c:v>+21.0%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C-07AC-415B-9277-2AD93BA57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066853408349255E-3"/>
          <c:y val="0"/>
          <c:w val="0.93686388583161118"/>
          <c:h val="0.89778090560948087"/>
        </c:manualLayout>
      </c:layout>
      <c:areaChart>
        <c:grouping val="standard"/>
        <c:varyColors val="0"/>
        <c:ser>
          <c:idx val="5"/>
          <c:order val="2"/>
          <c:tx>
            <c:strRef>
              <c:f>'Vẽ Biểu đồ'!$D$80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đồ'!$E$80:$AG$80,'Vẽ Biểu đồ'!$AO$80)</c:f>
              <c:numCache>
                <c:formatCode>_(* #,##0_);_(* \(#,##0\);_(* "-"??_);_(@_)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1400</c:v>
                </c:pt>
                <c:pt idx="28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7-4B73-AE35-56AF0D5BB61D}"/>
            </c:ext>
          </c:extLst>
        </c:ser>
        <c:ser>
          <c:idx val="4"/>
          <c:order val="5"/>
          <c:tx>
            <c:strRef>
              <c:f>'Vẽ Biểu đồ'!$D$81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đồ'!$E$81:$AG$81,'Vẽ Biểu đồ'!$AO$81)</c:f>
              <c:numCache>
                <c:formatCode>_(* #,##0_);_(* \(#,##0\);_(* "-"??_);_(@_)</c:formatCode>
                <c:ptCount val="30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7-4B73-AE35-56AF0D5BB61D}"/>
            </c:ext>
          </c:extLst>
        </c:ser>
        <c:ser>
          <c:idx val="8"/>
          <c:order val="6"/>
          <c:tx>
            <c:strRef>
              <c:f>'Vẽ Biểu đồ'!$D$83</c:f>
              <c:strCache>
                <c:ptCount val="1"/>
                <c:pt idx="0">
                  <c:v>Giá chính phẩm-Area-Âm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đồ'!$E$83:$AO$83</c15:sqref>
                  </c15:fullRef>
                </c:ext>
              </c:extLst>
              <c:f>('Vẽ Biểu đồ'!$E$83:$AG$83,'Vẽ Biểu đồ'!$AO$83)</c:f>
              <c:numCache>
                <c:formatCode>_(* #,##0_);_(* \(#,##0\);_(* "-"??_);_(@_)</c:formatCode>
                <c:ptCount val="30"/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CF17-4B73-AE35-56AF0D5BB61D}"/>
            </c:ext>
          </c:extLst>
        </c:ser>
        <c:ser>
          <c:idx val="0"/>
          <c:order val="7"/>
          <c:tx>
            <c:strRef>
              <c:f>'Vẽ Biểu đồ'!$D$82</c:f>
              <c:strCache>
                <c:ptCount val="1"/>
                <c:pt idx="0">
                  <c:v>Giá duyệt-Area-Âm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đồ'!$E$82:$AG$82,'Vẽ Biểu đồ'!$AO$82)</c:f>
              <c:numCache>
                <c:formatCode>_(* #,##0_);_(* \(#,##0\);_(* "-"??_);_(@_)</c:formatCode>
                <c:ptCount val="30"/>
                <c:pt idx="26">
                  <c:v>1300</c:v>
                </c:pt>
                <c:pt idx="27">
                  <c:v>1400</c:v>
                </c:pt>
                <c:pt idx="28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CF17-4B73-AE35-56AF0D5BB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đồ'!$D$72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17-4B73-AE35-56AF0D5BB61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F17-4B73-AE35-56AF0D5BB6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F17-4B73-AE35-56AF0D5BB6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F17-4B73-AE35-56AF0D5BB6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F17-4B73-AE35-56AF0D5BB6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F17-4B73-AE35-56AF0D5BB6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F17-4B73-AE35-56AF0D5BB6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F17-4B73-AE35-56AF0D5BB6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F17-4B73-AE35-56AF0D5BB6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F17-4B73-AE35-56AF0D5BB6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F17-4B73-AE35-56AF0D5BB6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F17-4B73-AE35-56AF0D5BB6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F17-4B73-AE35-56AF0D5BB6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8ABCBDA-2455-498A-9B94-FDBD7C1FD2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F17-4B73-AE35-56AF0D5BB6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9EA8783-FBC4-419D-806A-586DBCE59A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F17-4B73-AE35-56AF0D5BB6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656ED79-77C8-4071-B4C6-0AF65D0BED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F17-4B73-AE35-56AF0D5BB6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7DB2C81-E1F3-488A-A6B1-8063AA635D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F17-4B73-AE35-56AF0D5BB6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9507DEC-E10A-4A61-836E-A8412E84CB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F17-4B73-AE35-56AF0D5BB6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3C498C4-5413-4622-BE53-20C1DB209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F17-4B73-AE35-56AF0D5BB61D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4036CE7-BB52-4B5D-88BF-05FB53686316}" type="CELLRANGE">
                      <a:rPr lang="en-US"/>
                      <a:pPr>
                        <a:defRPr sz="105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72201640807208E-2"/>
                      <c:h val="3.61405090562065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F17-4B73-AE35-56AF0D5BB6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66952FD-5B26-4025-BFA0-8CA3A627E8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CF17-4B73-AE35-56AF0D5BB6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C762E7B-CA9A-4B60-B9B0-23865476B8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CF17-4B73-AE35-56AF0D5BB61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A16227A-9116-4FD0-BFAE-EA78EA22D5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F17-4B73-AE35-56AF0D5BB61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3D6E4BB-059B-4BF5-B369-800E36EA5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F17-4B73-AE35-56AF0D5BB61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1BB2CC6-DA6A-4BE1-95D5-8904D684DD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CF17-4B73-AE35-56AF0D5BB61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7A8B529-B17A-4F7E-92F0-C80FE1B23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CF17-4B73-AE35-56AF0D5BB61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9F08E1D-C9E9-46D6-8CED-9F8AF29A9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F17-4B73-AE35-56AF0D5BB61D}"/>
                </c:ext>
              </c:extLst>
            </c:dLbl>
            <c:dLbl>
              <c:idx val="26"/>
              <c:layout>
                <c:manualLayout>
                  <c:x val="-4.2885043826782598E-2"/>
                  <c:y val="-2.0750417113432444E-2"/>
                </c:manualLayout>
              </c:layout>
              <c:tx>
                <c:rich>
                  <a:bodyPr/>
                  <a:lstStyle/>
                  <a:p>
                    <a:fld id="{80AD7E3D-28BC-4621-9E89-081EC3993C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CF17-4B73-AE35-56AF0D5BB61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F17-4B73-AE35-56AF0D5BB61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51687B5-5C11-461A-985D-1D64C03580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C30-4C44-8C31-EC0A4DF17024}"/>
                </c:ext>
              </c:extLst>
            </c:dLbl>
            <c:dLbl>
              <c:idx val="2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29750DF-4DB9-42C6-B710-18C8047C19EE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F17-4B73-AE35-56AF0D5BB6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đồ'!$E$72:$AG$72,'Vẽ Biểu đồ'!$AO$72)</c:f>
              <c:numCache>
                <c:formatCode>_(* #,##0_);_(* \(#,##0\);_(* "-"??_);_(@_)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1325</c:v>
                </c:pt>
                <c:pt idx="25">
                  <c:v>1325</c:v>
                </c:pt>
                <c:pt idx="26">
                  <c:v>1325</c:v>
                </c:pt>
                <c:pt idx="27">
                  <c:v>1266</c:v>
                </c:pt>
                <c:pt idx="28">
                  <c:v>1266</c:v>
                </c:pt>
                <c:pt idx="29">
                  <c:v>1266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đồ'!$E$84:$AO$84</c15:f>
                <c15:dlblRangeCache>
                  <c:ptCount val="37"/>
                  <c:pt idx="12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23">
                    <c:v> 1,368 </c:v>
                  </c:pt>
                  <c:pt idx="24">
                    <c:v> 1,325 </c:v>
                  </c:pt>
                  <c:pt idx="26">
                    <c:v> 1,325 </c:v>
                  </c:pt>
                  <c:pt idx="27">
                    <c:v> 1,266 </c:v>
                  </c:pt>
                  <c:pt idx="29">
                    <c:v> 1,266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CF17-4B73-AE35-56AF0D5BB61D}"/>
            </c:ext>
          </c:extLst>
        </c:ser>
        <c:ser>
          <c:idx val="2"/>
          <c:order val="1"/>
          <c:tx>
            <c:strRef>
              <c:f>'Vẽ Biểu đồ'!$D$73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CF17-4B73-AE35-56AF0D5BB61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F17-4B73-AE35-56AF0D5BB6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F17-4B73-AE35-56AF0D5BB6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F17-4B73-AE35-56AF0D5BB6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F17-4B73-AE35-56AF0D5BB6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F17-4B73-AE35-56AF0D5BB6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F17-4B73-AE35-56AF0D5BB6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F17-4B73-AE35-56AF0D5BB6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F17-4B73-AE35-56AF0D5BB6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F17-4B73-AE35-56AF0D5BB6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F17-4B73-AE35-56AF0D5BB6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F17-4B73-AE35-56AF0D5BB6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F17-4B73-AE35-56AF0D5BB6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578F697-BB60-4393-BC59-F89DC1771A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F17-4B73-AE35-56AF0D5BB6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4B6E4E0-C8CB-4E76-B04B-1EBD2D44DC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F17-4B73-AE35-56AF0D5BB6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275053D-3A8C-448E-BF18-D983DE7488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F17-4B73-AE35-56AF0D5BB6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4BD874E-A73C-497C-9949-1E45B62745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F17-4B73-AE35-56AF0D5BB6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3CCF309-1CB9-44EE-B77B-3CC5B8CA63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F17-4B73-AE35-56AF0D5BB6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48B3EA9-B8EF-4A0B-BC2D-A547B5EA91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F17-4B73-AE35-56AF0D5BB6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7116D09-C1B2-4B09-AF7D-9149BFD0B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F17-4B73-AE35-56AF0D5BB6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DF79ED4-DC8E-4651-B0AC-640E2358BD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F17-4B73-AE35-56AF0D5BB6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80C8467-88ED-40A8-918D-76EAE62907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F17-4B73-AE35-56AF0D5BB61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2E39FD5-962A-40FB-BD73-05EA46C8F6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F17-4B73-AE35-56AF0D5BB61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F370E22-8848-48E4-86B9-4B72F8A713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CF17-4B73-AE35-56AF0D5BB61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AF4EBE6-775C-4702-8DDF-AB9CD6D414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CF17-4B73-AE35-56AF0D5BB61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EBA396B-1C27-48C3-A638-EF7FE7217D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CF17-4B73-AE35-56AF0D5BB61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76CA50D-7493-43E7-A3D1-CEC1863748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CF17-4B73-AE35-56AF0D5BB61D}"/>
                </c:ext>
              </c:extLst>
            </c:dLbl>
            <c:dLbl>
              <c:idx val="26"/>
              <c:layout>
                <c:manualLayout>
                  <c:x val="-3.4305158305256878E-2"/>
                  <c:y val="2.1543841887878421E-2"/>
                </c:manualLayout>
              </c:layout>
              <c:tx>
                <c:rich>
                  <a:bodyPr/>
                  <a:lstStyle/>
                  <a:p>
                    <a:fld id="{D4C3553C-B2B5-4DAA-BAAE-B10C11CB76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CF17-4B73-AE35-56AF0D5BB61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440F8CA-86AE-4795-B943-B115EFA626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CF17-4B73-AE35-56AF0D5BB61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6C59AA5-9179-4447-9ABD-4577C12B58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C30-4C44-8C31-EC0A4DF17024}"/>
                </c:ext>
              </c:extLst>
            </c:dLbl>
            <c:dLbl>
              <c:idx val="2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E502945-3F48-4EE2-B90C-D1A09CC760EF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CF17-4B73-AE35-56AF0D5BB61D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đồ'!$E$73:$AO$73</c15:sqref>
                  </c15:fullRef>
                </c:ext>
              </c:extLst>
              <c:f>('Vẽ Biểu đồ'!$E$73:$AG$73,'Vẽ Biểu đồ'!$AO$73)</c:f>
              <c:numCache>
                <c:formatCode>_(* #,##0_);_(* \(#,##0\);_(* "-"??_);_(@_)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1400</c:v>
                </c:pt>
                <c:pt idx="28">
                  <c:v>1470</c:v>
                </c:pt>
                <c:pt idx="29">
                  <c:v>1450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đồ'!$E$85:$AO$85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6">
                    <c:v> 1,300 </c:v>
                  </c:pt>
                  <c:pt idx="27">
                    <c:v> 1,400 </c:v>
                  </c:pt>
                  <c:pt idx="28">
                    <c:v> 1,470 </c:v>
                  </c:pt>
                  <c:pt idx="29">
                    <c:v> 1,450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F-CF17-4B73-AE35-56AF0D5BB61D}"/>
            </c:ext>
          </c:extLst>
        </c:ser>
        <c:ser>
          <c:idx val="3"/>
          <c:order val="3"/>
          <c:tx>
            <c:strRef>
              <c:f>'Vẽ Biểu đồ'!$D$74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CF17-4B73-AE35-56AF0D5BB61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335BF2A-D680-4A42-9B3E-5C9E26D9AD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CF17-4B73-AE35-56AF0D5BB6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C051A5-317E-4A13-B626-6A66C7E9E7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CF17-4B73-AE35-56AF0D5BB6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6129FF3-484B-4AA2-BCBE-09CCB5146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CF17-4B73-AE35-56AF0D5BB6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6D4F62F-8D70-4B41-B7B3-2FCB585AD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CF17-4B73-AE35-56AF0D5BB6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4154C52-288A-4F75-ABAE-F310774FA5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F17-4B73-AE35-56AF0D5BB6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005563-0C89-443C-B41F-CC7A0D460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CF17-4B73-AE35-56AF0D5BB6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C89222-C0F9-4F64-A85F-0582E0BC52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CF17-4B73-AE35-56AF0D5BB6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96308B2-0905-48D4-8AF0-91B81A3DB9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CF17-4B73-AE35-56AF0D5BB6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AF3EE1C-9831-4640-A60A-D56914A490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CF17-4B73-AE35-56AF0D5BB6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5CC391B-9A5B-4E8D-B001-E02BD1FA5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CF17-4B73-AE35-56AF0D5BB6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F501101-5D72-48B9-8832-EC8ACA653D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CF17-4B73-AE35-56AF0D5BB6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AE1C807-AB11-46E0-88CB-98AAB19ED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CF17-4B73-AE35-56AF0D5BB6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D62F6DA-157D-4002-8D4A-EAA9559EC7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CF17-4B73-AE35-56AF0D5BB6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7B6FB3A-6EDF-4DA5-9428-E0139EB5C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CF17-4B73-AE35-56AF0D5BB6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C12DB9D-B404-4F8D-9FD1-A97BA4F14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CF17-4B73-AE35-56AF0D5BB6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E6AF27C-9A7C-47EB-8AB1-D82FA7DC3E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CF17-4B73-AE35-56AF0D5BB6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A4DDF95-6FFC-439F-8F08-E5C3FADCD2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CF17-4B73-AE35-56AF0D5BB6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191ED3E-0902-48D5-88FA-E1119E3C6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CF17-4B73-AE35-56AF0D5BB6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14DB285-1DAF-4245-A292-5B48F02832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CF17-4B73-AE35-56AF0D5BB6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6B0A6E2-80A8-4520-B32A-A32DA90F5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CF17-4B73-AE35-56AF0D5BB6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5136878-1564-46CD-946D-CE8CF62425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CF17-4B73-AE35-56AF0D5BB61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FBA9BB9-6C05-4C49-B502-D0E52CDE3B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CF17-4B73-AE35-56AF0D5BB61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42724A2-179E-4FC7-A039-F50C932EEC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CF17-4B73-AE35-56AF0D5BB61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F1214EB-AF2A-4B3E-AA3F-2915C09654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CF17-4B73-AE35-56AF0D5BB61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A5BB4D6-AD74-4055-A0A1-E2E0236661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CF17-4B73-AE35-56AF0D5BB61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DAAE09B-9A9E-46D0-8110-36ED1583B3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CF17-4B73-AE35-56AF0D5BB61D}"/>
                </c:ext>
              </c:extLst>
            </c:dLbl>
            <c:dLbl>
              <c:idx val="26"/>
              <c:layout>
                <c:manualLayout>
                  <c:x val="-4.1754200886116928E-2"/>
                  <c:y val="-5.0450523250721031E-2"/>
                </c:manualLayout>
              </c:layout>
              <c:tx>
                <c:rich>
                  <a:bodyPr/>
                  <a:lstStyle/>
                  <a:p>
                    <a:fld id="{06C5ADEF-493A-4401-A30C-D5A66823B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CF17-4B73-AE35-56AF0D5BB61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A08CAE4-8A15-4190-BC0D-5DC78AA1B0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CF17-4B73-AE35-56AF0D5BB61D}"/>
                </c:ext>
              </c:extLst>
            </c:dLbl>
            <c:dLbl>
              <c:idx val="28"/>
              <c:layout>
                <c:manualLayout>
                  <c:x val="-1.6251024104142104E-2"/>
                  <c:y val="-1.6364190107298487E-2"/>
                </c:manualLayout>
              </c:layout>
              <c:tx>
                <c:rich>
                  <a:bodyPr/>
                  <a:lstStyle/>
                  <a:p>
                    <a:fld id="{C68F2B50-5885-4DCB-A1B5-76FEC5F471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9C30-4C44-8C31-EC0A4DF17024}"/>
                </c:ext>
              </c:extLst>
            </c:dLbl>
            <c:dLbl>
              <c:idx val="29"/>
              <c:layout>
                <c:manualLayout>
                  <c:x val="-4.2670725766678734E-3"/>
                  <c:y val="1.07593026311589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AF1DDEE-F55A-4011-9989-BC4BAEB346F1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47751525405041E-2"/>
                      <c:h val="0.1016951453188160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CF17-4B73-AE35-56AF0D5BB6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đồ'!$E$74:$AO$74</c15:sqref>
                  </c15:fullRef>
                </c:ext>
              </c:extLst>
              <c:f>('Vẽ Biểu đồ'!$E$74:$AG$74,'Vẽ Biểu đồ'!$AO$74)</c:f>
              <c:numCache>
                <c:formatCode>_(* #,##0_);_(* \(#,##0\);_(* "-"??_);_(@_)</c:formatCode>
                <c:ptCount val="30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  <c:pt idx="29">
                  <c:v>1470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đồ'!$E$86:$AO$86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803 </c:v>
                  </c:pt>
                  <c:pt idx="24">
                    <c:v> 800 </c:v>
                  </c:pt>
                  <c:pt idx="25">
                    <c:v> 800 </c:v>
                  </c:pt>
                  <c:pt idx="26">
                    <c:v> 1,331 </c:v>
                  </c:pt>
                  <c:pt idx="27">
                    <c:v> 1,590 </c:v>
                  </c:pt>
                  <c:pt idx="28">
                    <c:v> 1,523 </c:v>
                  </c:pt>
                  <c:pt idx="29">
                    <c:v> 1,470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E-CF17-4B73-AE35-56AF0D5BB61D}"/>
            </c:ext>
          </c:extLst>
        </c:ser>
        <c:ser>
          <c:idx val="6"/>
          <c:order val="4"/>
          <c:tx>
            <c:strRef>
              <c:f>'Vẽ Biểu đồ'!$D$78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đồ'!$E$36:$AG$36,'Vẽ Biểu đồ'!$AO$36)</c:f>
                <c:numCache>
                  <c:formatCode>General</c:formatCode>
                  <c:ptCount val="30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đồ'!$E$75:$AO$75</c15:sqref>
                    </c15:fullRef>
                  </c:ext>
                </c:extLst>
                <c:f>('Vẽ Biểu đồ'!$E$75:$AG$75,'Vẽ Biểu đồ'!$AO$75)</c:f>
                <c:numCache>
                  <c:formatCode>General</c:formatCode>
                  <c:ptCount val="30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497.5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-31</c:v>
                  </c:pt>
                  <c:pt idx="27">
                    <c:v>-190</c:v>
                  </c:pt>
                  <c:pt idx="28">
                    <c:v>-53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đồ'!$E$78:$AO$78</c15:sqref>
                  </c15:fullRef>
                </c:ext>
              </c:extLst>
              <c:f>('Vẽ Biểu đồ'!$E$78:$AG$78,'Vẽ Biểu đồ'!$AO$78)</c:f>
              <c:numCache>
                <c:formatCode>_(* #,##0_);_(* \(#,##0\);_(* "-"??_);_(@_)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1400</c:v>
                </c:pt>
                <c:pt idx="28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F17-4B73-AE35-56AF0D5BB61D}"/>
            </c:ext>
          </c:extLst>
        </c:ser>
        <c:ser>
          <c:idx val="7"/>
          <c:order val="8"/>
          <c:tx>
            <c:strRef>
              <c:f>'Vẽ Biểu đồ'!$D$79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CF17-4B73-AE35-56AF0D5BB6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CF17-4B73-AE35-56AF0D5BB6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CF17-4B73-AE35-56AF0D5BB6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CF17-4B73-AE35-56AF0D5BB6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CF17-4B73-AE35-56AF0D5BB6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CF17-4B73-AE35-56AF0D5BB6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CF17-4B73-AE35-56AF0D5BB6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CF17-4B73-AE35-56AF0D5BB6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CF17-4B73-AE35-56AF0D5BB6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CF17-4B73-AE35-56AF0D5BB6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CF17-4B73-AE35-56AF0D5BB6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CF17-4B73-AE35-56AF0D5BB6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A369C52-B067-4020-8BDC-EE5E041AC5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CF17-4B73-AE35-56AF0D5BB6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9804671-517D-4C11-8A0E-0D04E4903F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CF17-4B73-AE35-56AF0D5BB6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E481DAE-A057-474C-B45D-044B89F292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CF17-4B73-AE35-56AF0D5BB6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CA0B5F6-7B38-47FD-919A-E647435EB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CF17-4B73-AE35-56AF0D5BB6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E313DB1-EC1D-4F58-A35F-C261F5A313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CF17-4B73-AE35-56AF0D5BB6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6F22AF3-3410-45C3-8AD0-20E9097D9A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CF17-4B73-AE35-56AF0D5BB6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F9ADC0A-1161-4CC5-BDD8-3C42775F9A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CF17-4B73-AE35-56AF0D5BB6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BDFCB6B-B011-4C7B-8F36-D88CF72B7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CF17-4B73-AE35-56AF0D5BB6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CCC8D46-7AD9-4E40-9C91-D095FE1534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CF17-4B73-AE35-56AF0D5BB61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1DB0F08-A58A-4670-BB1F-429641B314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CF17-4B73-AE35-56AF0D5BB61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65EEB84-E68A-4BC8-8FAA-73CCEBCC9C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CF17-4B73-AE35-56AF0D5BB61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29EEA14-D61B-412A-8BB3-5DD754738B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CF17-4B73-AE35-56AF0D5BB61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CAA5DD7-676A-49C7-BC23-7000F0B531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CF17-4B73-AE35-56AF0D5BB61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439D54E-BD9A-4DDC-98F5-5F46CA692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CF17-4B73-AE35-56AF0D5BB61D}"/>
                </c:ext>
              </c:extLst>
            </c:dLbl>
            <c:dLbl>
              <c:idx val="26"/>
              <c:layout>
                <c:manualLayout>
                  <c:x val="3.5895805660267482E-2"/>
                  <c:y val="-4.307860029826034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2EE87A3-EDCC-4B8B-9BB8-CDD0FEA4F137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CF17-4B73-AE35-56AF0D5BB61D}"/>
                </c:ext>
              </c:extLst>
            </c:dLbl>
            <c:dLbl>
              <c:idx val="2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04E0331-88BC-4AA0-84BD-924BFF0FDCC1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CF17-4B73-AE35-56AF0D5BB61D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86FD0A3-F80E-4A11-9D75-3B790020BFF2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C30-4C44-8C31-EC0A4DF1702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CF17-4B73-AE35-56AF0D5BB61D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đồ'!$E$79:$AO$79</c15:sqref>
                  </c15:fullRef>
                </c:ext>
              </c:extLst>
              <c:f>('Vẽ Biểu đồ'!$E$79:$AG$79,'Vẽ Biểu đồ'!$AO$79)</c:f>
              <c:numCache>
                <c:formatCode>_(* #,##0_);_(* \(#,##0\);_(* "-"??_);_(@_)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1051.25</c:v>
                </c:pt>
                <c:pt idx="24">
                  <c:v>1050</c:v>
                </c:pt>
                <c:pt idx="25">
                  <c:v>1050</c:v>
                </c:pt>
                <c:pt idx="26">
                  <c:v>1315.5</c:v>
                </c:pt>
                <c:pt idx="27">
                  <c:v>1495</c:v>
                </c:pt>
                <c:pt idx="28">
                  <c:v>1496.5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đồ'!$E$76:$AO$76</c15:f>
                <c15:dlblRangeCache>
                  <c:ptCount val="37"/>
                  <c:pt idx="12">
                    <c:v>+48.9%</c:v>
                  </c:pt>
                  <c:pt idx="13">
                    <c:v>+52.5%</c:v>
                  </c:pt>
                  <c:pt idx="14">
                    <c:v>+50.7%</c:v>
                  </c:pt>
                  <c:pt idx="15">
                    <c:v>+51.4%</c:v>
                  </c:pt>
                  <c:pt idx="16">
                    <c:v>+56.3%</c:v>
                  </c:pt>
                  <c:pt idx="17">
                    <c:v>+62.1%</c:v>
                  </c:pt>
                  <c:pt idx="18">
                    <c:v>+62.1%</c:v>
                  </c:pt>
                  <c:pt idx="19">
                    <c:v>+63.2%</c:v>
                  </c:pt>
                  <c:pt idx="20">
                    <c:v>+61.1%</c:v>
                  </c:pt>
                  <c:pt idx="21">
                    <c:v>+62.7%</c:v>
                  </c:pt>
                  <c:pt idx="22">
                    <c:v>+61.5%</c:v>
                  </c:pt>
                  <c:pt idx="23">
                    <c:v>+62.0%</c:v>
                  </c:pt>
                  <c:pt idx="24">
                    <c:v>+62.5%</c:v>
                  </c:pt>
                  <c:pt idx="25">
                    <c:v>+62.5%</c:v>
                  </c:pt>
                  <c:pt idx="26">
                    <c:v>-2.3%</c:v>
                  </c:pt>
                  <c:pt idx="27">
                    <c:v>-11.9%</c:v>
                  </c:pt>
                  <c:pt idx="28">
                    <c:v>-3.5%</c:v>
                  </c:pt>
                  <c:pt idx="29">
                    <c:v>-1.4%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D-CF17-4B73-AE35-56AF0D5BB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6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4418917550980697"/>
          <c:h val="0.89338168969188925"/>
        </c:manualLayout>
      </c:layout>
      <c:areaChart>
        <c:grouping val="standard"/>
        <c:varyColors val="0"/>
        <c:ser>
          <c:idx val="5"/>
          <c:order val="2"/>
          <c:tx>
            <c:strRef>
              <c:f>'Vẽ Biểu đồ'!$D$100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đồ'!$E$100:$AO$100</c15:sqref>
                  </c15:fullRef>
                </c:ext>
              </c:extLst>
              <c:f>('Vẽ Biểu đồ'!$E$100:$AG$100,'Vẽ Biểu đồ'!$AO$100)</c:f>
              <c:numCache>
                <c:formatCode>_(* #,##0_);_(* \(#,##0\);_(* "-"??_);_(@_)</c:formatCode>
                <c:ptCount val="30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1300</c:v>
                </c:pt>
                <c:pt idx="28">
                  <c:v>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F-4B78-BD9B-5C6C6630A647}"/>
            </c:ext>
          </c:extLst>
        </c:ser>
        <c:ser>
          <c:idx val="4"/>
          <c:order val="5"/>
          <c:tx>
            <c:strRef>
              <c:f>'Vẽ Biểu đồ'!$D$101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đồ'!$E$101:$AO$101</c15:sqref>
                  </c15:fullRef>
                </c:ext>
              </c:extLst>
              <c:f>('Vẽ Biểu đồ'!$E$101:$AG$101,'Vẽ Biểu đồ'!$AO$101)</c:f>
              <c:numCache>
                <c:formatCode>_(* #,##0_);_(* \(#,##0\);_(* "-"??_);_(@_)</c:formatCode>
                <c:ptCount val="30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F-4B78-BD9B-5C6C6630A647}"/>
            </c:ext>
          </c:extLst>
        </c:ser>
        <c:ser>
          <c:idx val="8"/>
          <c:order val="6"/>
          <c:tx>
            <c:strRef>
              <c:f>'Vẽ Biểu đồ'!$D$103</c:f>
              <c:strCache>
                <c:ptCount val="1"/>
                <c:pt idx="0">
                  <c:v>Giá chính phẩm-Area-Âm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đồ'!$E$103:$AO$103</c15:sqref>
                  </c15:fullRef>
                </c:ext>
              </c:extLst>
              <c:f>('Vẽ Biểu đồ'!$E$103:$AG$103,'Vẽ Biểu đồ'!$AO$103)</c:f>
              <c:numCache>
                <c:formatCode>_(* #,##0_);_(* \(#,##0\);_(* "-"??_);_(@_)</c:formatCode>
                <c:ptCount val="30"/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05CF-4B78-BD9B-5C6C6630A647}"/>
            </c:ext>
          </c:extLst>
        </c:ser>
        <c:ser>
          <c:idx val="0"/>
          <c:order val="7"/>
          <c:tx>
            <c:strRef>
              <c:f>'Vẽ Biểu đồ'!$D$102</c:f>
              <c:strCache>
                <c:ptCount val="1"/>
                <c:pt idx="0">
                  <c:v>Giá duyệt-Area-Âm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đồ'!$E$102:$AO$102</c15:sqref>
                  </c15:fullRef>
                </c:ext>
              </c:extLst>
              <c:f>('Vẽ Biểu đồ'!$E$102:$AG$102,'Vẽ Biểu đồ'!$AO$102)</c:f>
              <c:numCache>
                <c:formatCode>_(* #,##0_);_(* \(#,##0\);_(* "-"??_);_(@_)</c:formatCode>
                <c:ptCount val="30"/>
                <c:pt idx="26">
                  <c:v>1200</c:v>
                </c:pt>
                <c:pt idx="27">
                  <c:v>1300</c:v>
                </c:pt>
                <c:pt idx="28">
                  <c:v>1370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05CF-4B78-BD9B-5C6C6630A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đồ'!$D$92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CF-4B78-BD9B-5C6C6630A64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B16ED3B-74E5-45AD-858A-9384D833F1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5CF-4B78-BD9B-5C6C6630A64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054C90-7B75-493F-B218-AC867D4AE1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5CF-4B78-BD9B-5C6C6630A64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5CF7B94-5DC7-45EC-9E02-8E16CB596C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5CF-4B78-BD9B-5C6C6630A64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55CE7BB-DED5-4029-8515-F48FD99BA5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5CF-4B78-BD9B-5C6C6630A6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7969277-84C5-499F-AD0E-5F8EC19432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5CF-4B78-BD9B-5C6C6630A64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7CB391D-21FC-47B6-9018-9FA1BF6E9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5CF-4B78-BD9B-5C6C6630A64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16BB7B1-113F-4FA6-A899-66E3746DC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5CF-4B78-BD9B-5C6C6630A64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C74D5AA-3690-4E20-8AAB-29E60654D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5CF-4B78-BD9B-5C6C6630A64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8C7C540-DAB7-4563-842E-C61D36CF2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5CF-4B78-BD9B-5C6C6630A64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99375FE-9300-4141-9BD7-E24DD188B1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5CF-4B78-BD9B-5C6C6630A64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D5B5552-2076-455D-A357-21C536B028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5CF-4B78-BD9B-5C6C6630A64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08C6212-3EE0-4E70-A7EB-504AA3054F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5CF-4B78-BD9B-5C6C6630A64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BC55EEF-0E50-4B00-90CC-2ECE6B2FF8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5CF-4B78-BD9B-5C6C6630A64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AD0910E-3AC1-4150-B164-FDF2F6FE3E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5CF-4B78-BD9B-5C6C6630A64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7781B51-BC2A-440B-9145-62EC7F3175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5CF-4B78-BD9B-5C6C6630A64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D70F825-9622-4ECB-A6F5-D3A3FF5935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5CF-4B78-BD9B-5C6C6630A64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3035F82-CB2D-4D57-A771-825F2AB57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5CF-4B78-BD9B-5C6C6630A64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E86DC34-5CA1-4191-A46E-538AD6B5A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5CF-4B78-BD9B-5C6C6630A64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491F836-F586-4848-9D2A-5AF917D53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5CF-4B78-BD9B-5C6C6630A64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88A9387-9A9A-4D35-AAAD-237701B97E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5CF-4B78-BD9B-5C6C6630A64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0D565CF-0195-4634-9882-6650690ED6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5CF-4B78-BD9B-5C6C6630A64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779208B-9D75-4FB5-A2E4-0E4C39A0A9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5CF-4B78-BD9B-5C6C6630A64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4ACA08D-8DD8-4C3A-AA60-9A8C5D2913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5CF-4B78-BD9B-5C6C6630A64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C7E162F-C7E5-470C-B10E-9DFA046EB3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5CF-4B78-BD9B-5C6C6630A64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CF4B5B2-3CC2-44D5-A8CA-7C1F879BAC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5CF-4B78-BD9B-5C6C6630A64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39B1A14-2D5A-4207-AC6F-30CF7F52FC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5CF-4B78-BD9B-5C6C6630A647}"/>
                </c:ext>
              </c:extLst>
            </c:dLbl>
            <c:dLbl>
              <c:idx val="26"/>
              <c:layout>
                <c:manualLayout>
                  <c:x val="-4.5447366111344978E-2"/>
                  <c:y val="2.7196645703913006E-2"/>
                </c:manualLayout>
              </c:layout>
              <c:tx>
                <c:rich>
                  <a:bodyPr/>
                  <a:lstStyle/>
                  <a:p>
                    <a:fld id="{796F54FC-2F48-4C07-98A2-0348B83AD0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05CF-4B78-BD9B-5C6C6630A64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D0352DA-031B-49E0-8E73-54363F82D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05CF-4B78-BD9B-5C6C6630A64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D1F79B5-AA3A-4106-A395-1859DFEC9A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8CF-490A-BBC8-F9B0C2B33AA1}"/>
                </c:ext>
              </c:extLst>
            </c:dLbl>
            <c:dLbl>
              <c:idx val="2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CC077C26-2408-49E7-A95C-D24C18972514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5CF-4B78-BD9B-5C6C6630A6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đồ'!$E$92:$AO$92</c15:sqref>
                  </c15:fullRef>
                </c:ext>
              </c:extLst>
              <c:f>('Vẽ Biểu đồ'!$E$92:$AG$92,'Vẽ Biểu đồ'!$AO$92)</c:f>
              <c:numCache>
                <c:formatCode>_(* #,##0_);_(* \(#,##0\);_(* "-"??_);_(@_)</c:formatCode>
                <c:ptCount val="30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1325</c:v>
                </c:pt>
                <c:pt idx="25">
                  <c:v>1325</c:v>
                </c:pt>
                <c:pt idx="26">
                  <c:v>1325</c:v>
                </c:pt>
                <c:pt idx="27">
                  <c:v>1266</c:v>
                </c:pt>
                <c:pt idx="28">
                  <c:v>1266</c:v>
                </c:pt>
                <c:pt idx="29">
                  <c:v>1266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đồ'!$E$104:$AO$104</c15:f>
                <c15:dlblRangeCache>
                  <c:ptCount val="37"/>
                  <c:pt idx="0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23">
                    <c:v> 1,368 </c:v>
                  </c:pt>
                  <c:pt idx="24">
                    <c:v> 1,325 </c:v>
                  </c:pt>
                  <c:pt idx="26">
                    <c:v> 1,325 </c:v>
                  </c:pt>
                  <c:pt idx="27">
                    <c:v> 1,266 </c:v>
                  </c:pt>
                  <c:pt idx="29">
                    <c:v> 1,266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05CF-4B78-BD9B-5C6C6630A647}"/>
            </c:ext>
          </c:extLst>
        </c:ser>
        <c:ser>
          <c:idx val="2"/>
          <c:order val="1"/>
          <c:tx>
            <c:strRef>
              <c:f>'Vẽ Biểu đồ'!$D$93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05CF-4B78-BD9B-5C6C6630A64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95FC54B-4766-496A-8E39-AD23515FAE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5CF-4B78-BD9B-5C6C6630A64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43D1D8-6346-4416-A81D-95A847361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5CF-4B78-BD9B-5C6C6630A64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7A97421-E974-443D-9003-922A30778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5CF-4B78-BD9B-5C6C6630A64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083B67E-DA2F-4DFB-9A5F-82D9251396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5CF-4B78-BD9B-5C6C6630A6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2B30F28-496E-4E46-97D5-76A9B38B3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5CF-4B78-BD9B-5C6C6630A64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D211DC8-ADD5-4429-8484-4C36A0645E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5CF-4B78-BD9B-5C6C6630A64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2898054-093E-4387-A0E3-40D2F85501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5CF-4B78-BD9B-5C6C6630A64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683BDF8-D03A-41B4-BCDF-92B4CCF7EA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5CF-4B78-BD9B-5C6C6630A64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F6EA9D4-2B61-4052-8051-E9CD9E3EB9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5CF-4B78-BD9B-5C6C6630A64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F0E0A34-A397-42A1-B9D6-D0B75CBF8B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5CF-4B78-BD9B-5C6C6630A64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81EF5DA-5266-46C7-BDF1-FDDF5681DB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5CF-4B78-BD9B-5C6C6630A64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17640A0-47B5-405D-824C-CBC7D64C6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5CF-4B78-BD9B-5C6C6630A64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75443B1-1CE9-4701-899E-B51126ED5A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5CF-4B78-BD9B-5C6C6630A64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1BEA538-67BB-44DB-B5B2-0C055261D2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5CF-4B78-BD9B-5C6C6630A64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E69AF2A-1044-4C2E-9904-E8BE839F00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5CF-4B78-BD9B-5C6C6630A64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F671E91-81B3-4DEB-B4A9-55F024EAA4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5CF-4B78-BD9B-5C6C6630A64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8B8D24B-94CD-435C-84EC-4A5D15B1F9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5CF-4B78-BD9B-5C6C6630A64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8888411-7B1F-40A4-AE3C-AFDFB50A9C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5CF-4B78-BD9B-5C6C6630A64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8878B0C-1BC3-4AF7-8C6F-8D83275E6D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5CF-4B78-BD9B-5C6C6630A64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065F0F5-E18F-4AB5-AFFC-3E4B78D13F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5CF-4B78-BD9B-5C6C6630A647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05CF-4B78-BD9B-5C6C6630A64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598534D-97EC-4723-80AC-A3F3CC94C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5CF-4B78-BD9B-5C6C6630A64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6B35D61-CCD3-4894-A779-7EBD674D30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5CF-4B78-BD9B-5C6C6630A64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9EA6514-162E-427C-82A0-06284EFE9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5CF-4B78-BD9B-5C6C6630A64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B1B3182-9F6B-48EB-B7F6-5903071170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5CF-4B78-BD9B-5C6C6630A64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A3CA523-765C-4BD1-A938-2EA3B0A69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5CF-4B78-BD9B-5C6C6630A647}"/>
                </c:ext>
              </c:extLst>
            </c:dLbl>
            <c:dLbl>
              <c:idx val="26"/>
              <c:layout>
                <c:manualLayout>
                  <c:x val="-2.928148024815893E-2"/>
                  <c:y val="-1.6762486677544906E-2"/>
                </c:manualLayout>
              </c:layout>
              <c:tx>
                <c:rich>
                  <a:bodyPr/>
                  <a:lstStyle/>
                  <a:p>
                    <a:fld id="{90EC7C74-951B-47A2-9888-B22F3BCD0C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05CF-4B78-BD9B-5C6C6630A64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155A992-DAB7-4054-9D2E-6945E3B226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5CF-4B78-BD9B-5C6C6630A64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C0360F7-E920-423D-A766-AA00DBBF55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8CF-490A-BBC8-F9B0C2B33AA1}"/>
                </c:ext>
              </c:extLst>
            </c:dLbl>
            <c:dLbl>
              <c:idx val="2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46BC022-EAAD-4861-A4FA-B018A107853F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05CF-4B78-BD9B-5C6C6630A64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đồ'!$E$93:$AO$93</c15:sqref>
                  </c15:fullRef>
                </c:ext>
              </c:extLst>
              <c:f>('Vẽ Biểu đồ'!$E$93:$AG$93,'Vẽ Biểu đồ'!$AO$93)</c:f>
              <c:numCache>
                <c:formatCode>_(* #,##0_);_(* \(#,##0\);_(* "-"??_);_(@_)</c:formatCode>
                <c:ptCount val="30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1300</c:v>
                </c:pt>
                <c:pt idx="28">
                  <c:v>1370</c:v>
                </c:pt>
                <c:pt idx="29">
                  <c:v>1350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đồ'!$E$105:$AO$105</c15:f>
                <c15:dlblRangeCache>
                  <c:ptCount val="37"/>
                  <c:pt idx="0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6">
                    <c:v> 1,200 </c:v>
                  </c:pt>
                  <c:pt idx="27">
                    <c:v> 1,300 </c:v>
                  </c:pt>
                  <c:pt idx="28">
                    <c:v> 1,370 </c:v>
                  </c:pt>
                  <c:pt idx="29">
                    <c:v> 1,350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F-05CF-4B78-BD9B-5C6C6630A647}"/>
            </c:ext>
          </c:extLst>
        </c:ser>
        <c:ser>
          <c:idx val="3"/>
          <c:order val="3"/>
          <c:tx>
            <c:strRef>
              <c:f>'Vẽ Biểu đồ'!$D$94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9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05CF-4B78-BD9B-5C6C6630A64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26C85C3-3877-4428-8BCB-1DDC135F97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05CF-4B78-BD9B-5C6C6630A64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5222B7-A81B-4171-9609-32BF4FA149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5CF-4B78-BD9B-5C6C6630A64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81980F-283F-49B3-91E4-20692AD31B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5CF-4B78-BD9B-5C6C6630A64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44DCDEB-1D6A-4DF6-B1DE-4A7FA9EE49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5CF-4B78-BD9B-5C6C6630A6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379EAC-EBEC-4ED6-B651-611D13FCDE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5CF-4B78-BD9B-5C6C6630A64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FD4F24D-DCBD-4C6B-9E37-FD8362F4F2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5CF-4B78-BD9B-5C6C6630A64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7C91FB9-AAA0-4D5B-BB69-10D90F4305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5CF-4B78-BD9B-5C6C6630A64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59EDE96-95AE-4840-B886-FB03258FBE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5CF-4B78-BD9B-5C6C6630A64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A9BF62F-71D3-423F-962D-CFB5EEC7C6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5CF-4B78-BD9B-5C6C6630A64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2732CC8-A74F-406B-8A0F-EBBB501137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5CF-4B78-BD9B-5C6C6630A64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C98002B-99B0-4E1E-BAD2-D25EA79C8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5CF-4B78-BD9B-5C6C6630A64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6344BA4-5794-43DF-85BF-E0138C406F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5CF-4B78-BD9B-5C6C6630A64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3339A9B-262F-4217-8D9C-7AA99408C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5CF-4B78-BD9B-5C6C6630A64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DE8DBE5-F2A3-4F5C-B417-1426F196D0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5CF-4B78-BD9B-5C6C6630A64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49C8613-849E-4576-B0FB-73965077E6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5CF-4B78-BD9B-5C6C6630A64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DE7684F-24A1-4AF7-B280-35088EC0D8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5CF-4B78-BD9B-5C6C6630A64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27F75D7-6B39-41CE-BE76-29B6406B7D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5CF-4B78-BD9B-5C6C6630A64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3AE6959-C3AB-4FDC-9F4D-BB4BDE7A98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5CF-4B78-BD9B-5C6C6630A64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1EE7C50-6A59-4C78-BA9F-A23AC339D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5CF-4B78-BD9B-5C6C6630A64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8D8CD8F-915B-416F-931F-A94A241054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05CF-4B78-BD9B-5C6C6630A64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2ECE4CF-4AF4-40C9-BAB6-6E57B6283F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05CF-4B78-BD9B-5C6C6630A64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BC219AC-0123-4437-9CE0-4A18476A18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5CF-4B78-BD9B-5C6C6630A64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4AEF5BA-25AD-478F-8347-F5650F958F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5CF-4B78-BD9B-5C6C6630A64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BCF6B45-79EB-4858-B88E-59BCC7B10A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5CF-4B78-BD9B-5C6C6630A64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7FB19BB-911E-48C9-896C-52C9A94ADE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5CF-4B78-BD9B-5C6C6630A64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AA1BFA8-A86C-4904-8B06-46D6DA368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5CF-4B78-BD9B-5C6C6630A647}"/>
                </c:ext>
              </c:extLst>
            </c:dLbl>
            <c:dLbl>
              <c:idx val="26"/>
              <c:layout>
                <c:manualLayout>
                  <c:x val="-4.3005602885279715E-2"/>
                  <c:y val="-4.3421341127574814E-2"/>
                </c:manualLayout>
              </c:layout>
              <c:tx>
                <c:rich>
                  <a:bodyPr/>
                  <a:lstStyle/>
                  <a:p>
                    <a:fld id="{E4A7AAE0-87C3-4D68-9E05-550151D1E8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05CF-4B78-BD9B-5C6C6630A64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CB9602B-8468-4D1F-A29B-CEDEFA4D9B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05CF-4B78-BD9B-5C6C6630A64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5161648-09BC-434C-B6A3-8CCEFF46A2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8CF-490A-BBC8-F9B0C2B33AA1}"/>
                </c:ext>
              </c:extLst>
            </c:dLbl>
            <c:dLbl>
              <c:idx val="29"/>
              <c:layout>
                <c:manualLayout>
                  <c:x val="0"/>
                  <c:y val="1.50732975238560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181AC7C-8D1C-47EC-8141-F8AAA1179CEF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4179307157925"/>
                      <c:h val="7.25621178846648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05CF-4B78-BD9B-5C6C6630A6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đồ'!$E$94:$AO$94</c15:sqref>
                  </c15:fullRef>
                </c:ext>
              </c:extLst>
              <c:f>('Vẽ Biểu đồ'!$E$94:$AG$94,'Vẽ Biểu đồ'!$AO$94)</c:f>
              <c:numCache>
                <c:formatCode>_(* #,##0_);_(* \(#,##0\);_(* "-"??_);_(@_)</c:formatCode>
                <c:ptCount val="30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  <c:pt idx="29">
                  <c:v>1470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đồ'!$E$86:$AO$86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803 </c:v>
                  </c:pt>
                  <c:pt idx="24">
                    <c:v> 800 </c:v>
                  </c:pt>
                  <c:pt idx="25">
                    <c:v> 800 </c:v>
                  </c:pt>
                  <c:pt idx="26">
                    <c:v> 1,331 </c:v>
                  </c:pt>
                  <c:pt idx="27">
                    <c:v> 1,590 </c:v>
                  </c:pt>
                  <c:pt idx="28">
                    <c:v> 1,523 </c:v>
                  </c:pt>
                  <c:pt idx="29">
                    <c:v> 1,470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E-05CF-4B78-BD9B-5C6C6630A647}"/>
            </c:ext>
          </c:extLst>
        </c:ser>
        <c:ser>
          <c:idx val="6"/>
          <c:order val="4"/>
          <c:tx>
            <c:strRef>
              <c:f>'Vẽ Biểu đồ'!$D$98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đồ'!$E$36:$AG$36,'Vẽ Biểu đồ'!$AO$36)</c:f>
                <c:numCache>
                  <c:formatCode>General</c:formatCode>
                  <c:ptCount val="30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đồ'!$E$95:$AO$95</c15:sqref>
                    </c15:fullRef>
                  </c:ext>
                </c:extLst>
                <c:f>('Vẽ Biểu đồ'!$E$95:$AG$95,'Vẽ Biểu đồ'!$AO$95)</c:f>
                <c:numCache>
                  <c:formatCode>General</c:formatCode>
                  <c:ptCount val="30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397.5</c:v>
                  </c:pt>
                  <c:pt idx="24">
                    <c:v>400</c:v>
                  </c:pt>
                  <c:pt idx="25">
                    <c:v>400</c:v>
                  </c:pt>
                  <c:pt idx="26">
                    <c:v>-131</c:v>
                  </c:pt>
                  <c:pt idx="27">
                    <c:v>-290</c:v>
                  </c:pt>
                  <c:pt idx="28">
                    <c:v>-153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đồ'!$E$98:$AO$98</c15:sqref>
                  </c15:fullRef>
                </c:ext>
              </c:extLst>
              <c:f>('Vẽ Biểu đồ'!$E$98:$AG$98,'Vẽ Biểu đồ'!$AO$98)</c:f>
              <c:numCache>
                <c:formatCode>_(* #,##0_);_(* \(#,##0\);_(* "-"??_);_(@_)</c:formatCode>
                <c:ptCount val="30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1300</c:v>
                </c:pt>
                <c:pt idx="28">
                  <c:v>1370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05CF-4B78-BD9B-5C6C6630A647}"/>
            </c:ext>
          </c:extLst>
        </c:ser>
        <c:ser>
          <c:idx val="7"/>
          <c:order val="8"/>
          <c:tx>
            <c:strRef>
              <c:f>'Vẽ Biểu đồ'!$D$99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13C8638-93B1-477C-BAEC-00C4F12A58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05CF-4B78-BD9B-5C6C6630A64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AA5B3C1-24DD-4D80-9438-7D0A31F2C5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05CF-4B78-BD9B-5C6C6630A64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944AAB-786E-43C1-A439-9819938151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05CF-4B78-BD9B-5C6C6630A64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7FF956C-A8C2-495B-A5E8-F86E57E39F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05CF-4B78-BD9B-5C6C6630A6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FCFF738-6D6C-4D71-93CF-B647753AC7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05CF-4B78-BD9B-5C6C6630A64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75FB63E-9415-41F8-9933-95967A77EC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05CF-4B78-BD9B-5C6C6630A64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E0D4D96-A512-4AE5-AF23-8EB51307F4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05CF-4B78-BD9B-5C6C6630A64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93C75E4-0FA8-478A-9DC3-453F18E995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05CF-4B78-BD9B-5C6C6630A64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63D60D6-A056-45C8-B42D-68532D3752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05CF-4B78-BD9B-5C6C6630A64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5D13480-C49D-4487-9B74-64BD94DE2F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05CF-4B78-BD9B-5C6C6630A64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CE66628-DCD8-4EB4-87A3-9D21591F26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05CF-4B78-BD9B-5C6C6630A64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9189C38-3AE3-4EF8-8634-9E2FC15CB3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05CF-4B78-BD9B-5C6C6630A64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F8A7115-98FE-4987-B373-8D80521ED2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05CF-4B78-BD9B-5C6C6630A64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A6082B7-B95A-4377-8FD1-207C051CEE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05CF-4B78-BD9B-5C6C6630A64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1E51197-5721-4DD6-BD9A-6DF159067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05CF-4B78-BD9B-5C6C6630A64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23D2632-9C7F-4725-81C5-3971AE01D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05CF-4B78-BD9B-5C6C6630A64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83EA764-CE86-4A17-8414-D54B7DD852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05CF-4B78-BD9B-5C6C6630A64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67BC466-ADCA-4930-B9EF-87F275D372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05CF-4B78-BD9B-5C6C6630A64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9D6296C-52C5-491B-80C8-EA1B6FC847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05CF-4B78-BD9B-5C6C6630A64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3A007C6-A812-48F3-8AEB-46CBD6A928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05CF-4B78-BD9B-5C6C6630A64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B40F2B8-883E-455D-BA98-AC7D4E9BC4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05CF-4B78-BD9B-5C6C6630A64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FD8A5B9-4DC4-4E95-87A5-92B41EF333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05CF-4B78-BD9B-5C6C6630A64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6644B0F-BB5D-4992-B8AA-59A45E756E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05CF-4B78-BD9B-5C6C6630A64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F78B121-2710-4606-A556-664C76A0A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05CF-4B78-BD9B-5C6C6630A64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8D4CF4A-8753-47D6-9047-A35AE0BADD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05CF-4B78-BD9B-5C6C6630A64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B7069C2-84D1-49D4-8A81-FDDDAE2113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05CF-4B78-BD9B-5C6C6630A647}"/>
                </c:ext>
              </c:extLst>
            </c:dLbl>
            <c:dLbl>
              <c:idx val="26"/>
              <c:layout>
                <c:manualLayout>
                  <c:x val="-2.3837336505199532E-2"/>
                  <c:y val="1.493354154061066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9F86993-630D-449B-9078-33899BE14969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05CF-4B78-BD9B-5C6C6630A647}"/>
                </c:ext>
              </c:extLst>
            </c:dLbl>
            <c:dLbl>
              <c:idx val="2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B780AD7-1386-43EB-8CDA-551026572A49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05CF-4B78-BD9B-5C6C6630A647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F8E2ADE-1866-4C3A-8CB9-813BFA37C9DD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8CF-490A-BBC8-F9B0C2B33AA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05CF-4B78-BD9B-5C6C6630A647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đồ'!$E$99:$AO$99</c15:sqref>
                  </c15:fullRef>
                </c:ext>
              </c:extLst>
              <c:f>('Vẽ Biểu đồ'!$E$99:$AG$99,'Vẽ Biểu đồ'!$AO$99)</c:f>
              <c:numCache>
                <c:formatCode>_(* #,##0_);_(* \(#,##0\);_(* "-"??_);_(@_)</c:formatCode>
                <c:ptCount val="30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1001.25</c:v>
                </c:pt>
                <c:pt idx="24">
                  <c:v>1000</c:v>
                </c:pt>
                <c:pt idx="25">
                  <c:v>1000</c:v>
                </c:pt>
                <c:pt idx="26">
                  <c:v>1265.5</c:v>
                </c:pt>
                <c:pt idx="27">
                  <c:v>1445</c:v>
                </c:pt>
                <c:pt idx="28">
                  <c:v>1446.5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đồ'!$E$96:$AO$96</c15:f>
                <c15:dlblRangeCache>
                  <c:ptCount val="37"/>
                  <c:pt idx="0">
                    <c:v>+43.6%</c:v>
                  </c:pt>
                  <c:pt idx="1">
                    <c:v>+35.9%</c:v>
                  </c:pt>
                  <c:pt idx="2">
                    <c:v>+37.1%</c:v>
                  </c:pt>
                  <c:pt idx="3">
                    <c:v>+40.3%</c:v>
                  </c:pt>
                  <c:pt idx="4">
                    <c:v>+37.5%</c:v>
                  </c:pt>
                  <c:pt idx="5">
                    <c:v>+35.0%</c:v>
                  </c:pt>
                  <c:pt idx="6">
                    <c:v>+35.0%</c:v>
                  </c:pt>
                  <c:pt idx="7">
                    <c:v>+37.2%</c:v>
                  </c:pt>
                  <c:pt idx="8">
                    <c:v>+39.5%</c:v>
                  </c:pt>
                  <c:pt idx="9">
                    <c:v>+39.9%</c:v>
                  </c:pt>
                  <c:pt idx="10">
                    <c:v>+38.6%</c:v>
                  </c:pt>
                  <c:pt idx="11">
                    <c:v>+41.2%</c:v>
                  </c:pt>
                  <c:pt idx="12">
                    <c:v>+43.6%</c:v>
                  </c:pt>
                  <c:pt idx="13">
                    <c:v>+41.6%</c:v>
                  </c:pt>
                  <c:pt idx="14">
                    <c:v>+39.5%</c:v>
                  </c:pt>
                  <c:pt idx="15">
                    <c:v>+40.2%</c:v>
                  </c:pt>
                  <c:pt idx="16">
                    <c:v>+44.7%</c:v>
                  </c:pt>
                  <c:pt idx="17">
                    <c:v>+50.1%</c:v>
                  </c:pt>
                  <c:pt idx="18">
                    <c:v>+50.1%</c:v>
                  </c:pt>
                  <c:pt idx="19">
                    <c:v>+50.9%</c:v>
                  </c:pt>
                  <c:pt idx="20">
                    <c:v>+48.8%</c:v>
                  </c:pt>
                  <c:pt idx="21">
                    <c:v>+50.3%</c:v>
                  </c:pt>
                  <c:pt idx="22">
                    <c:v>+49.1%</c:v>
                  </c:pt>
                  <c:pt idx="23">
                    <c:v>+49.5%</c:v>
                  </c:pt>
                  <c:pt idx="24">
                    <c:v>+50.0%</c:v>
                  </c:pt>
                  <c:pt idx="25">
                    <c:v>+50.0%</c:v>
                  </c:pt>
                  <c:pt idx="26">
                    <c:v>-9.8%</c:v>
                  </c:pt>
                  <c:pt idx="27">
                    <c:v>-18.2%</c:v>
                  </c:pt>
                  <c:pt idx="28">
                    <c:v>-10.0%</c:v>
                  </c:pt>
                  <c:pt idx="29">
                    <c:v>-8.2%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D-05CF-4B78-BD9B-5C6C6630A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6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4505600784096278"/>
          <c:h val="0.89853985293058836"/>
        </c:manualLayout>
      </c:layout>
      <c:areaChart>
        <c:grouping val="standard"/>
        <c:varyColors val="0"/>
        <c:ser>
          <c:idx val="5"/>
          <c:order val="7"/>
          <c:tx>
            <c:strRef>
              <c:f>'Vẽ Biểu đồ'!$D$19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đồ'!$E$1:$AO$2</c15:sqref>
                  </c15:fullRef>
                </c:ext>
              </c:extLst>
              <c:f>'Vẽ Biểu đồ'!$E$1:$AO$2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đồ'!$E$19:$AO$19</c15:sqref>
                  </c15:fullRef>
                </c:ext>
              </c:extLst>
              <c:f>('Vẽ Biểu đồ'!$E$19:$AH$19,'Vẽ Biểu đồ'!$AO$19)</c:f>
              <c:numCache>
                <c:formatCode>_(* #,##0_);_(* \(#,##0\);_(* "-"??_);_(@_)</c:formatCode>
                <c:ptCount val="31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1280</c:v>
                </c:pt>
                <c:pt idx="28">
                  <c:v>1380</c:v>
                </c:pt>
                <c:pt idx="29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A-4EEE-B866-E480C35C5BC3}"/>
            </c:ext>
          </c:extLst>
        </c:ser>
        <c:ser>
          <c:idx val="4"/>
          <c:order val="8"/>
          <c:tx>
            <c:strRef>
              <c:f>'Vẽ Biểu đồ'!$D$20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đồ'!$E$1:$AO$2</c15:sqref>
                  </c15:fullRef>
                </c:ext>
              </c:extLst>
              <c:f>'Vẽ Biểu đồ'!$E$1:$AO$2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đồ'!$E$20:$AO$20</c15:sqref>
                  </c15:fullRef>
                </c:ext>
              </c:extLst>
              <c:f>('Vẽ Biểu đồ'!$E$20:$AH$20,'Vẽ Biểu đồ'!$AO$20)</c:f>
              <c:numCache>
                <c:formatCode>_(* #,##0_);_(* \(#,##0\);_(* "-"??_);_(@_)</c:formatCode>
                <c:ptCount val="31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  <c:pt idx="29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A-4EEE-B866-E480C35C5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0A-4EEE-B866-E480C35C5BC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836CD64-D6E5-436D-94E0-CCD023C012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20A-4EEE-B866-E480C35C5B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F8BAA00-A61D-404C-A5C9-18B3AD7E8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20A-4EEE-B866-E480C35C5B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387BE1A-92E3-46D9-9FC9-36DC3DFC5A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20A-4EEE-B866-E480C35C5B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AF80801-4B3F-4E28-B35C-6C7DDAABE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20A-4EEE-B866-E480C35C5BC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98D760-B01C-4423-9FDD-6D165A81A9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20A-4EEE-B866-E480C35C5BC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C3FB0D7-9D8D-4AAC-9759-24418737C7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20A-4EEE-B866-E480C35C5BC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C91D6DB-BCAC-40B2-844A-9329AAA143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20A-4EEE-B866-E480C35C5BC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3EC737B-3509-430C-B26E-D07B6F670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20A-4EEE-B866-E480C35C5BC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54CD74F-18B1-4EE7-8D21-581F932CC3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20A-4EEE-B866-E480C35C5BC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4AAB4FF-397F-41A9-BECF-03633E9DA5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20A-4EEE-B866-E480C35C5BC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4FADA92-F9D7-4B20-8D64-748A1C9E9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20A-4EEE-B866-E480C35C5BC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66ACFA5-7B94-4FD8-A01A-F7C80C8F5B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20A-4EEE-B866-E480C35C5BC3}"/>
                </c:ext>
              </c:extLst>
            </c:dLbl>
            <c:dLbl>
              <c:idx val="12"/>
              <c:layout>
                <c:manualLayout>
                  <c:x val="-1.0449698510122705E-2"/>
                  <c:y val="-1.2467191601049869E-2"/>
                </c:manualLayout>
              </c:layout>
              <c:tx>
                <c:rich>
                  <a:bodyPr/>
                  <a:lstStyle/>
                  <a:p>
                    <a:fld id="{A8DA3FBE-581A-4599-BB41-75D039928E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20A-4EEE-B866-E480C35C5BC3}"/>
                </c:ext>
              </c:extLst>
            </c:dLbl>
            <c:dLbl>
              <c:idx val="13"/>
              <c:layout>
                <c:manualLayout>
                  <c:x val="-1.2473346864795332E-2"/>
                  <c:y val="-2.3786434227267332E-2"/>
                </c:manualLayout>
              </c:layout>
              <c:tx>
                <c:rich>
                  <a:bodyPr/>
                  <a:lstStyle/>
                  <a:p>
                    <a:fld id="{C22DB824-1811-471E-AD2C-8F7BEC9340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20A-4EEE-B866-E480C35C5BC3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129E5D70-D281-49E2-8F1E-7889D6E037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20A-4EEE-B866-E480C35C5BC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D51AE42-233D-4630-B5C1-68AA6A5BB3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20A-4EEE-B866-E480C35C5BC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20A-4EEE-B866-E480C35C5BC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20A-4EEE-B866-E480C35C5BC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09A601D-9E05-4109-A244-AA3BBEA655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20A-4EEE-B866-E480C35C5BC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20A-4EEE-B866-E480C35C5BC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3B3D593-4195-4C9D-80D7-83D409BC0D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20A-4EEE-B866-E480C35C5BC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631A0C5-A070-468D-AE05-20C896009B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20A-4EEE-B866-E480C35C5BC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0D9D907-708D-473F-AD6D-0CDCA70CC0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20A-4EEE-B866-E480C35C5BC3}"/>
                </c:ext>
              </c:extLst>
            </c:dLbl>
            <c:dLbl>
              <c:idx val="23"/>
              <c:layout>
                <c:manualLayout>
                  <c:x val="-3.6649789439388854E-2"/>
                  <c:y val="2.4995618647038167E-2"/>
                </c:manualLayout>
              </c:layout>
              <c:tx>
                <c:rich>
                  <a:bodyPr/>
                  <a:lstStyle/>
                  <a:p>
                    <a:fld id="{BB836478-B719-4A48-8FA8-09AA938EFE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920A-4EEE-B866-E480C35C5BC3}"/>
                </c:ext>
              </c:extLst>
            </c:dLbl>
            <c:dLbl>
              <c:idx val="24"/>
              <c:layout>
                <c:manualLayout>
                  <c:x val="-2.6999153763904934E-2"/>
                  <c:y val="-2.8913324708926262E-2"/>
                </c:manualLayout>
              </c:layout>
              <c:tx>
                <c:rich>
                  <a:bodyPr/>
                  <a:lstStyle/>
                  <a:p>
                    <a:fld id="{AC3484C4-E5FD-4874-B7D6-F95B938EA2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920A-4EEE-B866-E480C35C5BC3}"/>
                </c:ext>
              </c:extLst>
            </c:dLbl>
            <c:dLbl>
              <c:idx val="25"/>
              <c:layout>
                <c:manualLayout>
                  <c:x val="-3.3400210764664852E-2"/>
                  <c:y val="6.8405902786155812E-2"/>
                </c:manualLayout>
              </c:layout>
              <c:tx>
                <c:rich>
                  <a:bodyPr/>
                  <a:lstStyle/>
                  <a:p>
                    <a:fld id="{A92D4340-AB55-4522-8347-82560EE174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920A-4EEE-B866-E480C35C5BC3}"/>
                </c:ext>
              </c:extLst>
            </c:dLbl>
            <c:dLbl>
              <c:idx val="26"/>
              <c:layout>
                <c:manualLayout>
                  <c:x val="-1.5232844352436057E-2"/>
                  <c:y val="2.9376971608832809E-2"/>
                </c:manualLayout>
              </c:layout>
              <c:tx>
                <c:rich>
                  <a:bodyPr/>
                  <a:lstStyle/>
                  <a:p>
                    <a:fld id="{695FFCBE-78A9-45CC-A59A-9D18A9D2BD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920A-4EEE-B866-E480C35C5BC3}"/>
                </c:ext>
              </c:extLst>
            </c:dLbl>
            <c:dLbl>
              <c:idx val="27"/>
              <c:layout>
                <c:manualLayout>
                  <c:x val="-1.5232844352435899E-2"/>
                  <c:y val="3.3758324570627329E-2"/>
                </c:manualLayout>
              </c:layout>
              <c:tx>
                <c:rich>
                  <a:bodyPr/>
                  <a:lstStyle/>
                  <a:p>
                    <a:fld id="{8CCA1D54-ECE9-4EB8-B60B-A64C0EA05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920A-4EEE-B866-E480C35C5BC3}"/>
                </c:ext>
              </c:extLst>
            </c:dLbl>
            <c:dLbl>
              <c:idx val="28"/>
              <c:layout>
                <c:manualLayout>
                  <c:x val="-5.5943204639009913E-3"/>
                  <c:y val="3.1049342814048697E-2"/>
                </c:manualLayout>
              </c:layout>
              <c:tx>
                <c:rich>
                  <a:bodyPr/>
                  <a:lstStyle/>
                  <a:p>
                    <a:fld id="{AA378ECB-8D8E-47E5-8644-3CD92931EA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920A-4EEE-B866-E480C35C5BC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BAE6F381-E647-4C4A-8169-9C975071F1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AE0-438F-B302-1BFDF85905FF}"/>
                </c:ext>
              </c:extLst>
            </c:dLbl>
            <c:dLbl>
              <c:idx val="30"/>
              <c:layout>
                <c:manualLayout>
                  <c:x val="1.0700008337778321E-3"/>
                  <c:y val="3.29722924905879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F37736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764CC3C-B144-4B8B-BB07-47037DD8C81F}" type="CELLRANGE">
                      <a:rPr lang="en-US"/>
                      <a:pPr>
                        <a:defRPr sz="1200" b="1">
                          <a:solidFill>
                            <a:srgbClr val="F37736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37736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20A-4EEE-B866-E480C35C5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đồ'!$E$8:$AH$8,'Vẽ Biểu đồ'!$AO$8)</c:f>
              <c:numCache>
                <c:formatCode>_(* #,##0_);_(* \(#,##0\);_(* "-"??_);_(@_)</c:formatCode>
                <c:ptCount val="31"/>
                <c:pt idx="0">
                  <c:v>1162</c:v>
                </c:pt>
                <c:pt idx="1">
                  <c:v>1162</c:v>
                </c:pt>
                <c:pt idx="2">
                  <c:v>1162</c:v>
                </c:pt>
                <c:pt idx="3">
                  <c:v>1162</c:v>
                </c:pt>
                <c:pt idx="4">
                  <c:v>1162</c:v>
                </c:pt>
                <c:pt idx="5">
                  <c:v>1162.8864999999998</c:v>
                </c:pt>
                <c:pt idx="6">
                  <c:v>1176.184</c:v>
                </c:pt>
                <c:pt idx="7">
                  <c:v>1187.7085</c:v>
                </c:pt>
                <c:pt idx="8">
                  <c:v>1203.9610000000002</c:v>
                </c:pt>
                <c:pt idx="9">
                  <c:v>1222.42975</c:v>
                </c:pt>
                <c:pt idx="10">
                  <c:v>1242.5237500000001</c:v>
                </c:pt>
                <c:pt idx="11">
                  <c:v>1251.3887500000001</c:v>
                </c:pt>
                <c:pt idx="12">
                  <c:v>1249.5418749999999</c:v>
                </c:pt>
                <c:pt idx="13">
                  <c:v>1225.409374999999</c:v>
                </c:pt>
                <c:pt idx="14">
                  <c:v>1200.2918749999992</c:v>
                </c:pt>
                <c:pt idx="15">
                  <c:v>1179.5818000000002</c:v>
                </c:pt>
                <c:pt idx="16">
                  <c:v>1180.6849999999999</c:v>
                </c:pt>
                <c:pt idx="17">
                  <c:v>1183.6400000000001</c:v>
                </c:pt>
                <c:pt idx="18">
                  <c:v>1183.6400000000001</c:v>
                </c:pt>
                <c:pt idx="19">
                  <c:v>1175.002</c:v>
                </c:pt>
                <c:pt idx="20">
                  <c:v>1162</c:v>
                </c:pt>
                <c:pt idx="21">
                  <c:v>1162</c:v>
                </c:pt>
                <c:pt idx="22">
                  <c:v>1162</c:v>
                </c:pt>
                <c:pt idx="23">
                  <c:v>1063.5</c:v>
                </c:pt>
                <c:pt idx="24">
                  <c:v>1043.8</c:v>
                </c:pt>
                <c:pt idx="25">
                  <c:v>1014.25</c:v>
                </c:pt>
                <c:pt idx="26">
                  <c:v>1025.33125</c:v>
                </c:pt>
                <c:pt idx="27">
                  <c:v>1182.6849999999999</c:v>
                </c:pt>
                <c:pt idx="28">
                  <c:v>1182.6849999999999</c:v>
                </c:pt>
                <c:pt idx="29">
                  <c:v>1182.6849999999999</c:v>
                </c:pt>
                <c:pt idx="30">
                  <c:v>1182.6849999999999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1,162 </c:v>
                  </c:pt>
                  <c:pt idx="4">
                    <c:v> 1,162 </c:v>
                  </c:pt>
                  <c:pt idx="5">
                    <c:v> 1,163 </c:v>
                  </c:pt>
                  <c:pt idx="6">
                    <c:v> 1,176 </c:v>
                  </c:pt>
                  <c:pt idx="7">
                    <c:v> 1,188 </c:v>
                  </c:pt>
                  <c:pt idx="8">
                    <c:v> 1,204 </c:v>
                  </c:pt>
                  <c:pt idx="9">
                    <c:v> 1,222 </c:v>
                  </c:pt>
                  <c:pt idx="10">
                    <c:v> 1,243 </c:v>
                  </c:pt>
                  <c:pt idx="11">
                    <c:v> 1,251 </c:v>
                  </c:pt>
                  <c:pt idx="12">
                    <c:v> 1,250 </c:v>
                  </c:pt>
                  <c:pt idx="13">
                    <c:v> 1,225 </c:v>
                  </c:pt>
                  <c:pt idx="14">
                    <c:v> 1,200 </c:v>
                  </c:pt>
                  <c:pt idx="15">
                    <c:v> 1,180 </c:v>
                  </c:pt>
                  <c:pt idx="16">
                    <c:v> 1,181 </c:v>
                  </c:pt>
                  <c:pt idx="17">
                    <c:v> 1,184 </c:v>
                  </c:pt>
                  <c:pt idx="18">
                    <c:v> 1,184 </c:v>
                  </c:pt>
                  <c:pt idx="19">
                    <c:v> 1,175 </c:v>
                  </c:pt>
                  <c:pt idx="20">
                    <c:v> 1,162 </c:v>
                  </c:pt>
                  <c:pt idx="22">
                    <c:v> 1,162 </c:v>
                  </c:pt>
                  <c:pt idx="23">
                    <c:v> 1,064 </c:v>
                  </c:pt>
                  <c:pt idx="24">
                    <c:v> 1,044 </c:v>
                  </c:pt>
                  <c:pt idx="25">
                    <c:v> 1,014 </c:v>
                  </c:pt>
                  <c:pt idx="26">
                    <c:v> 1,025 </c:v>
                  </c:pt>
                  <c:pt idx="27">
                    <c:v> 1,183 </c:v>
                  </c:pt>
                  <c:pt idx="29">
                    <c:v> 1,183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8-920A-4EEE-B866-E480C35C5BC3}"/>
            </c:ext>
          </c:extLst>
        </c:ser>
        <c:ser>
          <c:idx val="9"/>
          <c:order val="1"/>
          <c:tx>
            <c:strRef>
              <c:f>'Vẽ Biểu đồ'!$D$9</c:f>
              <c:strCache>
                <c:ptCount val="1"/>
                <c:pt idx="0">
                  <c:v>SHEPLEY (NIAGARA NON-US)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920A-4EEE-B866-E480C35C5BC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20A-4EEE-B866-E480C35C5B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20A-4EEE-B866-E480C35C5B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20A-4EEE-B866-E480C35C5B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20A-4EEE-B866-E480C35C5BC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20A-4EEE-B866-E480C35C5BC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20A-4EEE-B866-E480C35C5BC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20A-4EEE-B866-E480C35C5BC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20A-4EEE-B866-E480C35C5BC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20A-4EEE-B866-E480C35C5BC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20A-4EEE-B866-E480C35C5BC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20A-4EEE-B866-E480C35C5BC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20A-4EEE-B866-E480C35C5BC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20A-4EEE-B866-E480C35C5BC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20A-4EEE-B866-E480C35C5BC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20A-4EEE-B866-E480C35C5BC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20A-4EEE-B866-E480C35C5BC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920A-4EEE-B866-E480C35C5BC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920A-4EEE-B866-E480C35C5BC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920A-4EEE-B866-E480C35C5BC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920A-4EEE-B866-E480C35C5BC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920A-4EEE-B866-E480C35C5BC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920A-4EEE-B866-E480C35C5BC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920A-4EEE-B866-E480C35C5BC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920A-4EEE-B866-E480C35C5BC3}"/>
                </c:ext>
              </c:extLst>
            </c:dLbl>
            <c:dLbl>
              <c:idx val="24"/>
              <c:layout>
                <c:manualLayout>
                  <c:x val="-2.4997722345226705E-2"/>
                  <c:y val="-2.2766459606236657E-2"/>
                </c:manualLayout>
              </c:layout>
              <c:tx>
                <c:rich>
                  <a:bodyPr/>
                  <a:lstStyle/>
                  <a:p>
                    <a:fld id="{B224559F-FD7D-4F92-AEA2-F02B984B4B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920A-4EEE-B866-E480C35C5BC3}"/>
                </c:ext>
              </c:extLst>
            </c:dLbl>
            <c:dLbl>
              <c:idx val="25"/>
              <c:layout>
                <c:manualLayout>
                  <c:x val="3.0268068850547343E-2"/>
                  <c:y val="4.156506071258001E-2"/>
                </c:manualLayout>
              </c:layout>
              <c:tx>
                <c:rich>
                  <a:bodyPr/>
                  <a:lstStyle/>
                  <a:p>
                    <a:fld id="{3C8034FB-F38A-4C6E-B0C7-3FC7BA1D88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920A-4EEE-B866-E480C35C5BC3}"/>
                </c:ext>
              </c:extLst>
            </c:dLbl>
            <c:dLbl>
              <c:idx val="26"/>
              <c:layout>
                <c:manualLayout>
                  <c:x val="1.7541678717186811E-2"/>
                  <c:y val="1.4215428772527685E-2"/>
                </c:manualLayout>
              </c:layout>
              <c:tx>
                <c:rich>
                  <a:bodyPr/>
                  <a:lstStyle/>
                  <a:p>
                    <a:fld id="{6B93DE0F-D0D0-4D64-9BA4-8329AE3119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920A-4EEE-B866-E480C35C5BC3}"/>
                </c:ext>
              </c:extLst>
            </c:dLbl>
            <c:dLbl>
              <c:idx val="27"/>
              <c:layout>
                <c:manualLayout>
                  <c:x val="-2.1897462867604731E-2"/>
                  <c:y val="-2.5794724850868738E-2"/>
                </c:manualLayout>
              </c:layout>
              <c:tx>
                <c:rich>
                  <a:bodyPr/>
                  <a:lstStyle/>
                  <a:p>
                    <a:fld id="{A7423500-E2DB-4516-BD70-AD14DB31A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920A-4EEE-B866-E480C35C5BC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5F248AC-48CA-4A5B-B924-3EEFF06B76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920A-4EEE-B866-E480C35C5BC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DBC6960A-DA5C-4A4C-8FE3-0493BFFA8D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AE0-438F-B302-1BFDF85905FF}"/>
                </c:ext>
              </c:extLst>
            </c:dLbl>
            <c:dLbl>
              <c:idx val="30"/>
              <c:layout>
                <c:manualLayout>
                  <c:x val="-8.5668118564433456E-3"/>
                  <c:y val="2.821055135098404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rgbClr val="721F33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659CF46-48E6-422D-A6F2-E6AC67FF4219}" type="CELLRANGE">
                      <a:rPr lang="en-US"/>
                      <a:pPr>
                        <a:defRPr sz="1300" b="1">
                          <a:solidFill>
                            <a:srgbClr val="721F33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721F33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920A-4EEE-B866-E480C35C5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721F33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đồ'!$E$9:$AH$9,'Vẽ Biểu đồ'!$AO$9)</c:f>
              <c:numCache>
                <c:formatCode>_(* #,##0_);_(* \(#,##0\);_(* "-"??_);_(@_)</c:formatCode>
                <c:ptCount val="31"/>
                <c:pt idx="23">
                  <c:v>1063.5</c:v>
                </c:pt>
                <c:pt idx="24">
                  <c:v>1083.2</c:v>
                </c:pt>
                <c:pt idx="25">
                  <c:v>1053.6500000000001</c:v>
                </c:pt>
                <c:pt idx="26">
                  <c:v>1064.73125</c:v>
                </c:pt>
                <c:pt idx="27">
                  <c:v>1112.75</c:v>
                </c:pt>
                <c:pt idx="28">
                  <c:v>1112.75</c:v>
                </c:pt>
                <c:pt idx="29">
                  <c:v>1112.75</c:v>
                </c:pt>
                <c:pt idx="30">
                  <c:v>1112.75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23">
                    <c:v> 1,064 </c:v>
                  </c:pt>
                  <c:pt idx="24">
                    <c:v> 1,083 </c:v>
                  </c:pt>
                  <c:pt idx="25">
                    <c:v> 1,054 </c:v>
                  </c:pt>
                  <c:pt idx="26">
                    <c:v> 1,065 </c:v>
                  </c:pt>
                  <c:pt idx="27">
                    <c:v> 1,113 </c:v>
                  </c:pt>
                  <c:pt idx="29">
                    <c:v> 1,113 </c:v>
                  </c:pt>
                  <c:pt idx="36">
                    <c:v>SHEPLEY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F-920A-4EEE-B866-E480C35C5BC3}"/>
            </c:ext>
          </c:extLst>
        </c:ser>
        <c:ser>
          <c:idx val="8"/>
          <c:order val="2"/>
          <c:tx>
            <c:strRef>
              <c:f>'Vẽ Biểu đồ'!$D$10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920A-4EEE-B866-E480C35C5BC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AF92FFF-EBC7-4223-81DD-731213FFE0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920A-4EEE-B866-E480C35C5B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DD92B8-1951-447E-B1BC-4B7C5533AE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20A-4EEE-B866-E480C35C5B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CFB1CE-C262-4DFB-938F-6F62A32CA2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20A-4EEE-B866-E480C35C5B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7C0E609-F26D-49C3-B869-9870797CAB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20A-4EEE-B866-E480C35C5BC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8D86802-BB17-4DF9-8DCC-8359D7DEC0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20A-4EEE-B866-E480C35C5BC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D542A7-37B8-434C-82FE-D5CF9D1578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20A-4EEE-B866-E480C35C5BC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3F6D562-B517-4F3A-AD72-B08FBFA0BC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20A-4EEE-B866-E480C35C5BC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BF62101-AD2E-4D33-B5D4-52947E105A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20A-4EEE-B866-E480C35C5BC3}"/>
                </c:ext>
              </c:extLst>
            </c:dLbl>
            <c:dLbl>
              <c:idx val="8"/>
              <c:layout>
                <c:manualLayout>
                  <c:x val="-2.7136802816648188E-2"/>
                  <c:y val="-4.2530790623758453E-2"/>
                </c:manualLayout>
              </c:layout>
              <c:tx>
                <c:rich>
                  <a:bodyPr/>
                  <a:lstStyle/>
                  <a:p>
                    <a:fld id="{A46B7FCF-41F6-44D3-A893-831186D877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920A-4EEE-B866-E480C35C5BC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28106BA-FD8D-4E5A-AE3E-B5DC02DB38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920A-4EEE-B866-E480C35C5BC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FC7FE52-0790-461C-A931-047907C583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920A-4EEE-B866-E480C35C5BC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79C2809-77AC-4269-B7C6-15CFDF6D7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920A-4EEE-B866-E480C35C5BC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8FCAF2F-D304-444F-B20E-4439DCD2E3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920A-4EEE-B866-E480C35C5BC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33E7C25-C632-4A54-832A-EEA3ED8FD0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920A-4EEE-B866-E480C35C5BC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BFA1919-3E15-460B-8C3B-52749C0CEF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20A-4EEE-B866-E480C35C5BC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751A52F-5C5F-4375-B00D-1E58211AF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1-920A-4EEE-B866-E480C35C5BC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7773291-024F-4F2B-9838-7CC547ABFD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2-920A-4EEE-B866-E480C35C5BC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72E1D12-8849-44DA-92F9-54516F6C4F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920A-4EEE-B866-E480C35C5BC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7477636-9A01-437B-B5E7-274AAC37EA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920A-4EEE-B866-E480C35C5BC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3443A98-B1E3-460A-85A5-BBEDD78382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920A-4EEE-B866-E480C35C5BC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D30F7E0-D510-47E9-9135-BC8F1DC0E9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920A-4EEE-B866-E480C35C5BC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404D8B2-068B-4C2C-A03D-477A6FBA73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920A-4EEE-B866-E480C35C5BC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21105A2-BE9C-4D54-80C9-7D7BB722E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920A-4EEE-B866-E480C35C5BC3}"/>
                </c:ext>
              </c:extLst>
            </c:dLbl>
            <c:dLbl>
              <c:idx val="23"/>
              <c:layout>
                <c:manualLayout>
                  <c:x val="-3.9843131543823372E-2"/>
                  <c:y val="-1.8132815868909014E-2"/>
                </c:manualLayout>
              </c:layout>
              <c:tx>
                <c:rich>
                  <a:bodyPr/>
                  <a:lstStyle/>
                  <a:p>
                    <a:fld id="{20D3BAA6-B4E7-4BB8-9FE5-07A975BB45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920A-4EEE-B866-E480C35C5BC3}"/>
                </c:ext>
              </c:extLst>
            </c:dLbl>
            <c:dLbl>
              <c:idx val="24"/>
              <c:layout>
                <c:manualLayout>
                  <c:x val="-2.8069485245564803E-2"/>
                  <c:y val="-5.0474342388960779E-2"/>
                </c:manualLayout>
              </c:layout>
              <c:tx>
                <c:rich>
                  <a:bodyPr/>
                  <a:lstStyle/>
                  <a:p>
                    <a:fld id="{A773504E-6475-4C27-A600-863F841737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920A-4EEE-B866-E480C35C5BC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17A19B2-ADE9-46A8-A584-5557F57AA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920A-4EEE-B866-E480C35C5BC3}"/>
                </c:ext>
              </c:extLst>
            </c:dLbl>
            <c:dLbl>
              <c:idx val="26"/>
              <c:layout>
                <c:manualLayout>
                  <c:x val="-2.6999153763904934E-2"/>
                  <c:y val="-2.0288917636912481E-2"/>
                </c:manualLayout>
              </c:layout>
              <c:tx>
                <c:rich>
                  <a:bodyPr/>
                  <a:lstStyle/>
                  <a:p>
                    <a:fld id="{F880DB44-14A9-473A-B144-D0B5FC5EDB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C-920A-4EEE-B866-E480C35C5BC3}"/>
                </c:ext>
              </c:extLst>
            </c:dLbl>
            <c:dLbl>
              <c:idx val="27"/>
              <c:layout>
                <c:manualLayout>
                  <c:x val="-1.2020311131490474E-2"/>
                  <c:y val="1.8566118149258452E-2"/>
                </c:manualLayout>
              </c:layout>
              <c:tx>
                <c:rich>
                  <a:bodyPr/>
                  <a:lstStyle/>
                  <a:p>
                    <a:fld id="{E469C3F3-3B4E-4E21-9CD1-67FA15774D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D-920A-4EEE-B866-E480C35C5BC3}"/>
                </c:ext>
              </c:extLst>
            </c:dLbl>
            <c:dLbl>
              <c:idx val="28"/>
              <c:layout>
                <c:manualLayout>
                  <c:x val="-6.6649625641029527E-3"/>
                  <c:y val="-3.0479129953516876E-3"/>
                </c:manualLayout>
              </c:layout>
              <c:tx>
                <c:rich>
                  <a:bodyPr/>
                  <a:lstStyle/>
                  <a:p>
                    <a:fld id="{113441E4-A07F-46D9-B4F7-A8E628CA8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920A-4EEE-B866-E480C35C5BC3}"/>
                </c:ext>
              </c:extLst>
            </c:dLbl>
            <c:dLbl>
              <c:idx val="29"/>
              <c:layout>
                <c:manualLayout>
                  <c:x val="-2.3098967150967677E-2"/>
                  <c:y val="1.4191792026886078E-2"/>
                </c:manualLayout>
              </c:layout>
              <c:tx>
                <c:rich>
                  <a:bodyPr/>
                  <a:lstStyle/>
                  <a:p>
                    <a:fld id="{4D397A22-365D-41D9-A5E8-7000EAC70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1AE0-438F-B302-1BFDF85905FF}"/>
                </c:ext>
              </c:extLst>
            </c:dLbl>
            <c:dLbl>
              <c:idx val="30"/>
              <c:layout>
                <c:manualLayout>
                  <c:x val="-1.498663728562964E-3"/>
                  <c:y val="2.1005041387941933E-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323C90C-25BD-49AB-B212-50EAF6B75DF8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920A-4EEE-B866-E480C35C5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đồ'!$E$10:$AH$10,'Vẽ Biểu đồ'!$AO$10)</c:f>
              <c:numCache>
                <c:formatCode>_(* #,##0_);_(* \(#,##0\);_(* "-"??_);_(@_)</c:formatCode>
                <c:ptCount val="31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1245</c:v>
                </c:pt>
                <c:pt idx="25">
                  <c:v>1245</c:v>
                </c:pt>
                <c:pt idx="26">
                  <c:v>1245</c:v>
                </c:pt>
                <c:pt idx="27">
                  <c:v>1185</c:v>
                </c:pt>
                <c:pt idx="28">
                  <c:v>1185</c:v>
                </c:pt>
                <c:pt idx="29">
                  <c:v>1185</c:v>
                </c:pt>
                <c:pt idx="30">
                  <c:v>1185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23">
                    <c:v> 1,268 </c:v>
                  </c:pt>
                  <c:pt idx="24">
                    <c:v> 1,245 </c:v>
                  </c:pt>
                  <c:pt idx="26">
                    <c:v> 1,245 </c:v>
                  </c:pt>
                  <c:pt idx="27">
                    <c:v> 1,185 </c:v>
                  </c:pt>
                  <c:pt idx="29">
                    <c:v> 1,185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6-920A-4EEE-B866-E480C35C5BC3}"/>
            </c:ext>
          </c:extLst>
        </c:ser>
        <c:ser>
          <c:idx val="1"/>
          <c:order val="3"/>
          <c:tx>
            <c:strRef>
              <c:f>'Vẽ Biểu đồ'!$D$11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8-920A-4EEE-B866-E480C35C5BC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B1AD504-B38D-4842-B265-FB6EC9AD4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920A-4EEE-B866-E480C35C5B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EADFC5-F14D-4C02-92D0-015F18F251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920A-4EEE-B866-E480C35C5B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E795E1-C2AE-409E-8C03-E1D7EF1A9E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920A-4EEE-B866-E480C35C5B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52F3428-883D-4CFB-B91E-42E679C04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920A-4EEE-B866-E480C35C5BC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E015F2D-9527-48A8-AEEB-C33B09519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920A-4EEE-B866-E480C35C5BC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FCBA72E-DAB0-40F6-BB59-6DAC4DA520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920A-4EEE-B866-E480C35C5BC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BF9DA5-F95C-4495-A663-C711A777DD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920A-4EEE-B866-E480C35C5BC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FBDEF04-5004-454C-A3B8-FF48D181A7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920A-4EEE-B866-E480C35C5BC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3DF8E15-124C-4B1B-8476-79FFD7D69F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920A-4EEE-B866-E480C35C5BC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D3A1593-8436-4CB9-9305-DA381C1C74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920A-4EEE-B866-E480C35C5BC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007C15B-9731-4C1D-9151-86CA8D848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920A-4EEE-B866-E480C35C5BC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5AE0473-AC9A-4FD1-94B3-F6409C15B7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920A-4EEE-B866-E480C35C5B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920A-4EEE-B866-E480C35C5BC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E69BAC4-8C08-4AAD-AD27-4FB97B191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920A-4EEE-B866-E480C35C5BC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38757B6-429F-4BE2-826D-12B025A9D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920A-4EEE-B866-E480C35C5BC3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073534D4-8D10-424C-AA77-F8365AEF1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920A-4EEE-B866-E480C35C5BC3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1DD4DF85-0380-4E57-A4B0-649F512DEF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920A-4EEE-B866-E480C35C5BC3}"/>
                </c:ext>
              </c:extLst>
            </c:dLbl>
            <c:dLbl>
              <c:idx val="17"/>
              <c:layout>
                <c:manualLayout>
                  <c:x val="-3.1964757478849519E-2"/>
                  <c:y val="-2.2665872069924532E-2"/>
                </c:manualLayout>
              </c:layout>
              <c:tx>
                <c:rich>
                  <a:bodyPr/>
                  <a:lstStyle/>
                  <a:p>
                    <a:fld id="{FD7A97FF-D9F2-4B4B-AB86-1A70D2AA3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920A-4EEE-B866-E480C35C5BC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920A-4EEE-B866-E480C35C5BC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8AC125E-A8F0-48F3-A35A-F7FA4BF3A4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920A-4EEE-B866-E480C35C5BC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647082D-7488-428B-B6DC-D7285FB499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920A-4EEE-B866-E480C35C5BC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606D387-447A-47E6-AB4D-82B0CBB2E5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920A-4EEE-B866-E480C35C5BC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C6BE3AB-3364-473D-AB9B-D26A5C0500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920A-4EEE-B866-E480C35C5BC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E637747-D1A5-47DC-8278-D610AC31E7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920A-4EEE-B866-E480C35C5BC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281770C-C928-41E6-B7E1-62CA38D057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920A-4EEE-B866-E480C35C5BC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D801CEE-835D-41FA-8D4E-B1805CFD7A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920A-4EEE-B866-E480C35C5BC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6147DED-C230-428C-8FFE-E391FC807F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920A-4EEE-B866-E480C35C5BC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5F882AF-783C-4F56-A342-E158B2B249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920A-4EEE-B866-E480C35C5BC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42933EC-DB5B-427F-B65D-E7B9719D62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920A-4EEE-B866-E480C35C5BC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8B67C7C-773A-47A5-A352-E67D6621A6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AE0-438F-B302-1BFDF85905FF}"/>
                </c:ext>
              </c:extLst>
            </c:dLbl>
            <c:dLbl>
              <c:idx val="30"/>
              <c:layout>
                <c:manualLayout>
                  <c:x val="-1.6062708815214599E-2"/>
                  <c:y val="-3.04098669448653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44A627D-9AE6-4742-99B6-CEE254A51BD5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920A-4EEE-B866-E480C35C5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đồ'!$E$11:$AH$11,'Vẽ Biểu đồ'!$AO$11)</c:f>
              <c:numCache>
                <c:formatCode>_(* #,##0_);_(* \(#,##0\);_(* "-"??_);_(@_)</c:formatCode>
                <c:ptCount val="31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1290</c:v>
                </c:pt>
                <c:pt idx="25">
                  <c:v>1290</c:v>
                </c:pt>
                <c:pt idx="26">
                  <c:v>1290</c:v>
                </c:pt>
                <c:pt idx="27">
                  <c:v>1290</c:v>
                </c:pt>
                <c:pt idx="28">
                  <c:v>1290</c:v>
                </c:pt>
                <c:pt idx="29">
                  <c:v>1290</c:v>
                </c:pt>
                <c:pt idx="30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đồ'!$E$24:$AO$24</c15:f>
                <c15:dlblRangeCache>
                  <c:ptCount val="37"/>
                  <c:pt idx="0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3">
                    <c:v> 1,304 </c:v>
                  </c:pt>
                  <c:pt idx="24">
                    <c:v> 1,290 </c:v>
                  </c:pt>
                  <c:pt idx="29">
                    <c:v> 1,290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D-920A-4EEE-B866-E480C35C5BC3}"/>
            </c:ext>
          </c:extLst>
        </c:ser>
        <c:ser>
          <c:idx val="2"/>
          <c:order val="4"/>
          <c:tx>
            <c:strRef>
              <c:f>'Vẽ Biểu đồ'!$D$12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F-920A-4EEE-B866-E480C35C5BC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AEACFB8-1AB8-4AD3-B50F-7501C24801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920A-4EEE-B866-E480C35C5BC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8382228027480035E-2"/>
                      <c:h val="6.71831545490663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A1-920A-4EEE-B866-E480C35C5B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D228DA-6F83-4A2E-8A0D-C4579E5B66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920A-4EEE-B866-E480C35C5B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0BE1007-F3BC-496D-843D-5C0260D4F5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920A-4EEE-B866-E480C35C5BC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5C3CA60-B975-4581-A5F6-E049CD4029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920A-4EEE-B866-E480C35C5BC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93B1733-3FE5-4B5B-B766-59C168B977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920A-4EEE-B866-E480C35C5BC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9E14377-AEF3-44C1-AA6B-554BC7756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920A-4EEE-B866-E480C35C5BC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920A-4EEE-B866-E480C35C5BC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65C3158-7E6C-4A71-A52F-5998E69905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920A-4EEE-B866-E480C35C5BC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920A-4EEE-B866-E480C35C5BC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AC416FC-BD46-4AB1-928E-46D79651D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920A-4EEE-B866-E480C35C5BC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FDB51D4-4C68-4E15-BCD9-B622B646A2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920A-4EEE-B866-E480C35C5BC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2956251-E7F7-43D5-AC69-1470FF11FF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920A-4EEE-B866-E480C35C5BC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548AA4E-0102-4408-BBE7-5DC7FAFE49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920A-4EEE-B866-E480C35C5BC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C5A8976-21E9-4440-93EC-CB51217B4F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920A-4EEE-B866-E480C35C5BC3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83F8A010-0F69-4143-ADBB-13162161BD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F-920A-4EEE-B866-E480C35C5BC3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BABA6530-6AA6-403A-8CC4-F4F137148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0-920A-4EEE-B866-E480C35C5BC3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3918FED5-93D9-4F7C-82E9-6FBFA96DD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1-920A-4EEE-B866-E480C35C5BC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F5BB6D5-A95E-4D43-BD78-7CFFE20D7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920A-4EEE-B866-E480C35C5BC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2C89E22-2DAC-4565-84DB-2781239447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920A-4EEE-B866-E480C35C5BC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95464A3-972C-4939-A83B-126A19EF9F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920A-4EEE-B866-E480C35C5BC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D1332D0-B3AD-4152-8F85-6DF2D156E1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920A-4EEE-B866-E480C35C5BC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54BC24C-B875-40A3-BE26-673E05918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920A-4EEE-B866-E480C35C5BC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7173F55-C353-44E5-AE26-DF6765212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920A-4EEE-B866-E480C35C5BC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AE92181-1AE7-49EA-929D-B2E8BA906C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920A-4EEE-B866-E480C35C5BC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2BF046A-C1D3-460A-8E30-DC63798CFC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920A-4EEE-B866-E480C35C5BC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F3ADC8A-B63F-4D33-8DC3-309561EA8C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920A-4EEE-B866-E480C35C5BC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FD397EF-0ADA-4BAC-9901-FFF0EA8087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920A-4EEE-B866-E480C35C5BC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121C3A5-0354-4BF2-8D6F-C86C98A5F5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920A-4EEE-B866-E480C35C5BC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203C46B-4908-4F28-9757-5526C9B28A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AE0-438F-B302-1BFDF85905FF}"/>
                </c:ext>
              </c:extLst>
            </c:dLbl>
            <c:dLbl>
              <c:idx val="30"/>
              <c:layout>
                <c:manualLayout>
                  <c:x val="-7.7828149504598843E-3"/>
                  <c:y val="-4.177153423614889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A1C3392-5854-4874-8A80-E97943DA3C21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F-920A-4EEE-B866-E480C35C5BC3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đồ'!$E$12:$AH$12,'Vẽ Biểu đồ'!$AO$12)</c:f>
              <c:numCache>
                <c:formatCode>_(* #,##0_);_(* \(#,##0\);_(* "-"??_);_(@_)</c:formatCode>
                <c:ptCount val="31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1280</c:v>
                </c:pt>
                <c:pt idx="28">
                  <c:v>1380</c:v>
                </c:pt>
                <c:pt idx="29">
                  <c:v>1350</c:v>
                </c:pt>
                <c:pt idx="30">
                  <c:v>1350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đồ'!$E$25:$AO$25</c15:f>
                <c15:dlblRangeCache>
                  <c:ptCount val="37"/>
                  <c:pt idx="0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24">
                    <c:v> 1,160 </c:v>
                  </c:pt>
                  <c:pt idx="26">
                    <c:v> 1,160 </c:v>
                  </c:pt>
                  <c:pt idx="27">
                    <c:v> 1,280 </c:v>
                  </c:pt>
                  <c:pt idx="28">
                    <c:v> 1,380 </c:v>
                  </c:pt>
                  <c:pt idx="29">
                    <c:v> 1,350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C4-920A-4EEE-B866-E480C35C5BC3}"/>
            </c:ext>
          </c:extLst>
        </c:ser>
        <c:ser>
          <c:idx val="3"/>
          <c:order val="5"/>
          <c:tx>
            <c:strRef>
              <c:f>'Vẽ Biểu đồ'!$D$13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6-920A-4EEE-B866-E480C35C5BC3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C7-920A-4EEE-B866-E480C35C5BC3}"/>
                </c:ext>
              </c:extLst>
            </c:dLbl>
            <c:dLbl>
              <c:idx val="26"/>
              <c:layout>
                <c:manualLayout>
                  <c:x val="-4.3074872965474534E-2"/>
                  <c:y val="-1.292499123729407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920A-4EEE-B866-E480C35C5BC3}"/>
                </c:ext>
              </c:extLst>
            </c:dLbl>
            <c:dLbl>
              <c:idx val="27"/>
              <c:layout>
                <c:manualLayout>
                  <c:x val="-2.2179012217784854E-2"/>
                  <c:y val="-2.9797220189151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920A-4EEE-B866-E480C35C5BC3}"/>
                </c:ext>
              </c:extLst>
            </c:dLbl>
            <c:dLbl>
              <c:idx val="2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920A-4EEE-B866-E480C35C5BC3}"/>
                </c:ext>
              </c:extLst>
            </c:dLbl>
            <c:dLbl>
              <c:idx val="2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0F2E-4500-ABEE-EBC44077C549}"/>
                </c:ext>
              </c:extLst>
            </c:dLbl>
            <c:dLbl>
              <c:idx val="30"/>
              <c:layout>
                <c:manualLayout>
                  <c:x val="-2.141687770350933E-3"/>
                  <c:y val="-4.5550527903469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4C98D82-58A1-4789-8FC3-29ADC6DC29FC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952387601511256E-2"/>
                      <c:h val="8.767880749922031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6-920A-4EEE-B866-E480C35C5B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đồ'!$E$13:$AO$13</c15:sqref>
                  </c15:fullRef>
                </c:ext>
              </c:extLst>
              <c:f>('Vẽ Biểu đồ'!$E$13:$AH$13,'Vẽ Biểu đồ'!$AO$13)</c:f>
              <c:numCache>
                <c:formatCode>_(* #,##0_);_(* \(#,##0\);_(* "-"??_);_(@_)</c:formatCode>
                <c:ptCount val="31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  <c:pt idx="29">
                  <c:v>1190</c:v>
                </c:pt>
                <c:pt idx="30">
                  <c:v>1190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đồ'!$E$26:$AO$26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1,194 </c:v>
                  </c:pt>
                  <c:pt idx="28">
                    <c:v> 1,216 </c:v>
                  </c:pt>
                  <c:pt idx="29">
                    <c:v> 1,190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CB-920A-4EEE-B866-E480C35C5BC3}"/>
            </c:ext>
          </c:extLst>
        </c:ser>
        <c:ser>
          <c:idx val="6"/>
          <c:order val="6"/>
          <c:tx>
            <c:strRef>
              <c:f>'Vẽ Biểu đồ'!$D$17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đồ'!$E$14:$AO$14</c15:sqref>
                    </c15:fullRef>
                  </c:ext>
                </c:extLst>
                <c:f>('Vẽ Biểu đồ'!$E$14:$AH$14,'Vẽ Biểu đồ'!$AO$14)</c:f>
                <c:numCache>
                  <c:formatCode>General</c:formatCode>
                  <c:ptCount val="31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427.5</c:v>
                  </c:pt>
                  <c:pt idx="24">
                    <c:v>355</c:v>
                  </c:pt>
                  <c:pt idx="25">
                    <c:v>320</c:v>
                  </c:pt>
                  <c:pt idx="26">
                    <c:v>51</c:v>
                  </c:pt>
                  <c:pt idx="27">
                    <c:v>86</c:v>
                  </c:pt>
                  <c:pt idx="28">
                    <c:v>164</c:v>
                  </c:pt>
                  <c:pt idx="29">
                    <c:v>160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đồ'!$E$14:$AO$14</c15:sqref>
                    </c15:fullRef>
                  </c:ext>
                </c:extLst>
                <c:f>('Vẽ Biểu đồ'!$E$14:$AH$14,'Vẽ Biểu đồ'!$AO$14)</c:f>
                <c:numCache>
                  <c:formatCode>General</c:formatCode>
                  <c:ptCount val="31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427.5</c:v>
                  </c:pt>
                  <c:pt idx="24">
                    <c:v>355</c:v>
                  </c:pt>
                  <c:pt idx="25">
                    <c:v>320</c:v>
                  </c:pt>
                  <c:pt idx="26">
                    <c:v>51</c:v>
                  </c:pt>
                  <c:pt idx="27">
                    <c:v>86</c:v>
                  </c:pt>
                  <c:pt idx="28">
                    <c:v>164</c:v>
                  </c:pt>
                  <c:pt idx="29">
                    <c:v>160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đồ'!$E$17:$AH$17,'Vẽ Biểu đồ'!$AO$17)</c:f>
              <c:numCache>
                <c:formatCode>_(* #,##0_);_(* \(#,##0\);_(* "-"??_);_(@_)</c:formatCode>
                <c:ptCount val="31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1160</c:v>
                </c:pt>
                <c:pt idx="25">
                  <c:v>1160</c:v>
                </c:pt>
                <c:pt idx="26">
                  <c:v>1160</c:v>
                </c:pt>
                <c:pt idx="27">
                  <c:v>1280</c:v>
                </c:pt>
                <c:pt idx="28">
                  <c:v>1380</c:v>
                </c:pt>
                <c:pt idx="29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20A-4EEE-B866-E480C35C5BC3}"/>
            </c:ext>
          </c:extLst>
        </c:ser>
        <c:ser>
          <c:idx val="7"/>
          <c:order val="9"/>
          <c:tx>
            <c:strRef>
              <c:f>'Vẽ Biểu đồ'!$D$18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E86D332-48F3-4CC3-B5DA-316F6D055D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920A-4EEE-B866-E480C35C5B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8AC61B-3557-40D3-97B2-C5B92E8775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920A-4EEE-B866-E480C35C5B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FDC29B-21E3-41EB-B560-79B01A05B3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920A-4EEE-B866-E480C35C5B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B5549EF-53D6-4CD0-B78F-69B5327836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920A-4EEE-B866-E480C35C5BC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0C7ED42-46D2-45FF-8E74-3CCF6D320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920A-4EEE-B866-E480C35C5BC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E0A4A0F-3011-4B7D-A97A-7F4E816AF3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920A-4EEE-B866-E480C35C5BC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5CE0976-0244-4A43-A1EF-7491FFB6F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920A-4EEE-B866-E480C35C5BC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42AFC80-8C42-40C9-9AC1-FCF9071ABB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920A-4EEE-B866-E480C35C5BC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8002BA1-6D96-4033-A23C-A6F000B218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920A-4EEE-B866-E480C35C5BC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52D467D-3908-4829-B736-B21926359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920A-4EEE-B866-E480C35C5BC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1E093D1-4358-4320-B84C-3544B746FB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920A-4EEE-B866-E480C35C5BC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DA5E2FC-2368-4719-8A65-3308B5CCFA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920A-4EEE-B866-E480C35C5BC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E40DB27-59A1-4D5C-909F-A94F3D857A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920A-4EEE-B866-E480C35C5BC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53BDC85-3F3F-4C6E-8D08-C3BC646A63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920A-4EEE-B866-E480C35C5BC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DB7D22B-45E2-4C0E-879D-41722C8419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920A-4EEE-B866-E480C35C5BC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44D5DFA-2F4F-47DC-97F4-7AC67F9B82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920A-4EEE-B866-E480C35C5BC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5DC1900-C248-4582-8E9C-AA434BBF30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920A-4EEE-B866-E480C35C5BC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47E1880-615C-4816-A506-BB31533EC3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920A-4EEE-B866-E480C35C5BC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E304323-3E6E-4EAE-9E3C-B7ED180F25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920A-4EEE-B866-E480C35C5BC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3D86D14-00FB-46E2-BB42-3B9E9D7D73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920A-4EEE-B866-E480C35C5BC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5C9B94E-D0C7-44A2-B991-6FC8B0FD6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920A-4EEE-B866-E480C35C5BC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B6E2FE8-3018-40C2-9C63-3F0120BFF2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920A-4EEE-B866-E480C35C5BC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821B24D-3C34-41B8-ADCA-0960508B17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920A-4EEE-B866-E480C35C5BC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0F29C0F-78C5-4C66-9B7E-8DA59F0EA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920A-4EEE-B866-E480C35C5BC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94E4EB8-63C0-4EB1-B52E-7C7C192A7D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920A-4EEE-B866-E480C35C5BC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D45CB50-DCB3-4A18-BD4C-55162E912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920A-4EEE-B866-E480C35C5BC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1EE5086-3FB4-4F17-9E28-4EB8275D91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920A-4EEE-B866-E480C35C5BC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B4639B2-D219-4901-AB8D-0D3DDCCB4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920A-4EEE-B866-E480C35C5BC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FA21211-00AA-4108-AE27-A80C57ED3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920A-4EEE-B866-E480C35C5BC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42EAD3E-598D-4D48-8402-7C7D038F54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AE0-438F-B302-1BFDF85905F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920A-4EEE-B866-E480C35C5BC3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đồ'!$E$18:$AH$18,'Vẽ Biểu đồ'!$AO$18)</c:f>
              <c:numCache>
                <c:formatCode>_(* #,##0_);_(* \(#,##0\);_(* "-"??_);_(@_)</c:formatCode>
                <c:ptCount val="31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986.25</c:v>
                </c:pt>
                <c:pt idx="24">
                  <c:v>982.5</c:v>
                </c:pt>
                <c:pt idx="25">
                  <c:v>1000</c:v>
                </c:pt>
                <c:pt idx="26">
                  <c:v>1134.5</c:v>
                </c:pt>
                <c:pt idx="27">
                  <c:v>1237</c:v>
                </c:pt>
                <c:pt idx="28">
                  <c:v>1298</c:v>
                </c:pt>
                <c:pt idx="29">
                  <c:v>1270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đồ'!$E$15:$AO$15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+55.3%</c:v>
                  </c:pt>
                  <c:pt idx="24">
                    <c:v>+44.1%</c:v>
                  </c:pt>
                  <c:pt idx="25">
                    <c:v>+38.1%</c:v>
                  </c:pt>
                  <c:pt idx="26">
                    <c:v>+4.6%</c:v>
                  </c:pt>
                  <c:pt idx="27">
                    <c:v>+7.2%</c:v>
                  </c:pt>
                  <c:pt idx="28">
                    <c:v>+13.5%</c:v>
                  </c:pt>
                  <c:pt idx="29">
                    <c:v>+13.4%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F2-920A-4EEE-B866-E480C35C5BC3}"/>
            </c:ext>
          </c:extLst>
        </c:ser>
        <c:ser>
          <c:idx val="10"/>
          <c:order val="10"/>
          <c:tx>
            <c:v>Đơn giá vốn</c:v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8-920A-4EEE-B866-E480C35C5BC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A5BA352-0EB4-4AA6-A07E-9018CC95E4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920A-4EEE-B866-E480C35C5B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86A7B8-8F20-4D06-8D87-D7C7005433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920A-4EEE-B866-E480C35C5BC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F97AAF5-CAD2-4666-AA79-897D8CEAC7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920A-4EEE-B866-E480C35C5BC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1E1A4E5-4D6D-4048-8DA4-3EDD2E7CB6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920A-4EEE-B866-E480C35C5BC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B6601F-9D44-41D5-BF65-D294CDC6F8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920A-4EEE-B866-E480C35C5BC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DD69C59-DA84-4A36-A4F0-62DBD1E840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920A-4EEE-B866-E480C35C5BC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C633827-4329-4A6E-8477-629499C988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920A-4EEE-B866-E480C35C5BC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C401F69-053A-4CDF-AED8-997527E8EE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920A-4EEE-B866-E480C35C5BC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89BCD2E-DF75-4BE2-9768-043E044094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920A-4EEE-B866-E480C35C5BC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84E55E7-469B-4027-A25B-E396F756E4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920A-4EEE-B866-E480C35C5BC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3DA88D7-76D4-4C24-BD0E-D991F9DEF5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920A-4EEE-B866-E480C35C5BC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F5FD2B4-02F0-421F-9C18-A241429220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920A-4EEE-B866-E480C35C5BC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7EC5DE3-1D31-4005-8CC7-86B0EB7968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0-920A-4EEE-B866-E480C35C5BC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1174CD7-7468-46A8-B85F-A4937B511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920A-4EEE-B866-E480C35C5BC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A8E923A-0C17-42FE-85CD-3C52EB0DE6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02-920A-4EEE-B866-E480C35C5BC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334A34B-6DB8-4FAB-B491-5CBFFE5F52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920A-4EEE-B866-E480C35C5BC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7A87511-EAE8-4A8F-AE26-A38F72CB5A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920A-4EEE-B866-E480C35C5BC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56B5E96-63C9-46F8-9290-5342E9FA2D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920A-4EEE-B866-E480C35C5BC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63089FA-88EF-4895-B640-DA6F2890FB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920A-4EEE-B866-E480C35C5BC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5AC2737-BC5E-4F08-A10A-645CEC6ED8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920A-4EEE-B866-E480C35C5BC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4C68C33-95C7-44EF-8E59-79DF36E151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920A-4EEE-B866-E480C35C5BC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B620C83-C8AF-46D9-8F43-CA49593C6D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920A-4EEE-B866-E480C35C5BC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636B395-D11C-4AA2-B05E-F058C6E6B9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920A-4EEE-B866-E480C35C5BC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1A8FAB2-EB74-4C37-88C1-6A473C04A6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920A-4EEE-B866-E480C35C5BC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36D032A-21E7-4C8D-AD88-98E86957E2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920A-4EEE-B866-E480C35C5BC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55FC471-63E6-482A-A3A8-ED01D68277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920A-4EEE-B866-E480C35C5BC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B3EEA42-6FC7-4623-B073-8A73779A91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920A-4EEE-B866-E480C35C5BC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840D88F-5CF2-4DEB-B161-96C7763A2F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920A-4EEE-B866-E480C35C5BC3}"/>
                </c:ext>
              </c:extLst>
            </c:dLbl>
            <c:dLbl>
              <c:idx val="28"/>
              <c:layout>
                <c:manualLayout>
                  <c:x val="-2.1013303883204753E-2"/>
                  <c:y val="1.5092712376024149E-2"/>
                </c:manualLayout>
              </c:layout>
              <c:tx>
                <c:rich>
                  <a:bodyPr/>
                  <a:lstStyle/>
                  <a:p>
                    <a:fld id="{DB69ACC1-1AE4-4155-A944-26FDE6484C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10-920A-4EEE-B866-E480C35C5BC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02C2EB18-BDD4-4630-85A8-B3F770BF90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AE0-438F-B302-1BFDF85905FF}"/>
                </c:ext>
              </c:extLst>
            </c:dLbl>
            <c:dLbl>
              <c:idx val="30"/>
              <c:layout>
                <c:manualLayout>
                  <c:x val="-3.0665418339903957E-3"/>
                  <c:y val="-2.1561017680034496E-3"/>
                </c:manualLayout>
              </c:layout>
              <c:tx>
                <c:rich>
                  <a:bodyPr/>
                  <a:lstStyle/>
                  <a:p>
                    <a:fld id="{DAA1F0A1-C3B4-456F-B6F7-1ED0752CCD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18-920A-4EEE-B866-E480C35C5BC3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đồ'!$E$16:$AO$16</c15:sqref>
                  </c15:fullRef>
                </c:ext>
              </c:extLst>
              <c:f>('Vẽ Biểu đồ'!$E$16:$AH$16,'Vẽ Biểu đồ'!$AO$16)</c:f>
              <c:numCache>
                <c:formatCode>_(* #,##0_);_(* \(#,##0\);_(* "-"??_);_(@_)</c:formatCode>
                <c:ptCount val="31"/>
                <c:pt idx="0">
                  <c:v>938.00332713685475</c:v>
                </c:pt>
                <c:pt idx="1">
                  <c:v>982.91020787382229</c:v>
                </c:pt>
                <c:pt idx="2">
                  <c:v>970.37666742732642</c:v>
                </c:pt>
                <c:pt idx="3">
                  <c:v>957.76248295128426</c:v>
                </c:pt>
                <c:pt idx="4">
                  <c:v>996.74617835286244</c:v>
                </c:pt>
                <c:pt idx="5">
                  <c:v>973.77247896855715</c:v>
                </c:pt>
                <c:pt idx="6">
                  <c:v>969.69530539039147</c:v>
                </c:pt>
                <c:pt idx="7">
                  <c:v>1006.8708459332037</c:v>
                </c:pt>
                <c:pt idx="8">
                  <c:v>1018.6404734495525</c:v>
                </c:pt>
                <c:pt idx="9">
                  <c:v>1010.041069863276</c:v>
                </c:pt>
                <c:pt idx="10">
                  <c:v>940.8759784658605</c:v>
                </c:pt>
                <c:pt idx="11">
                  <c:v>994.95995124537069</c:v>
                </c:pt>
                <c:pt idx="12">
                  <c:v>1022.644790155671</c:v>
                </c:pt>
                <c:pt idx="13">
                  <c:v>997.57029815164424</c:v>
                </c:pt>
                <c:pt idx="14">
                  <c:v>1038.2328000052635</c:v>
                </c:pt>
                <c:pt idx="15">
                  <c:v>1049.2389361117994</c:v>
                </c:pt>
                <c:pt idx="16">
                  <c:v>1056.23470956606</c:v>
                </c:pt>
                <c:pt idx="17">
                  <c:v>1083.9796017724277</c:v>
                </c:pt>
                <c:pt idx="18">
                  <c:v>1101.0137162728529</c:v>
                </c:pt>
                <c:pt idx="19">
                  <c:v>1067.6642432947524</c:v>
                </c:pt>
                <c:pt idx="20">
                  <c:v>1027.2023803315501</c:v>
                </c:pt>
                <c:pt idx="21">
                  <c:v>1013.6475053597588</c:v>
                </c:pt>
                <c:pt idx="22">
                  <c:v>1015.4108007764045</c:v>
                </c:pt>
                <c:pt idx="23">
                  <c:v>1001.3639836863899</c:v>
                </c:pt>
                <c:pt idx="24">
                  <c:v>1007.3787472796128</c:v>
                </c:pt>
                <c:pt idx="25">
                  <c:v>1069.4554881667314</c:v>
                </c:pt>
                <c:pt idx="26">
                  <c:v>980.27493497737328</c:v>
                </c:pt>
                <c:pt idx="27">
                  <c:v>961.49281011981623</c:v>
                </c:pt>
                <c:pt idx="28">
                  <c:v>944.59824629902755</c:v>
                </c:pt>
                <c:pt idx="29">
                  <c:v>944.59824629902755</c:v>
                </c:pt>
                <c:pt idx="30">
                  <c:v>944.59824629902755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đồ'!$E$27:$AO$27</c15:f>
                <c15:dlblRangeCache>
                  <c:ptCount val="37"/>
                  <c:pt idx="0">
                    <c:v> 938 </c:v>
                  </c:pt>
                  <c:pt idx="1">
                    <c:v> 983 </c:v>
                  </c:pt>
                  <c:pt idx="2">
                    <c:v> 970 </c:v>
                  </c:pt>
                  <c:pt idx="3">
                    <c:v> 958 </c:v>
                  </c:pt>
                  <c:pt idx="4">
                    <c:v> 997 </c:v>
                  </c:pt>
                  <c:pt idx="5">
                    <c:v> 974 </c:v>
                  </c:pt>
                  <c:pt idx="6">
                    <c:v> 970 </c:v>
                  </c:pt>
                  <c:pt idx="7">
                    <c:v> 1,007 </c:v>
                  </c:pt>
                  <c:pt idx="8">
                    <c:v> 1,019 </c:v>
                  </c:pt>
                  <c:pt idx="9">
                    <c:v> 1,010 </c:v>
                  </c:pt>
                  <c:pt idx="10">
                    <c:v> 941 </c:v>
                  </c:pt>
                  <c:pt idx="11">
                    <c:v> 995 </c:v>
                  </c:pt>
                  <c:pt idx="12">
                    <c:v> 1,023 </c:v>
                  </c:pt>
                  <c:pt idx="13">
                    <c:v> 998 </c:v>
                  </c:pt>
                  <c:pt idx="14">
                    <c:v> 1,038 </c:v>
                  </c:pt>
                  <c:pt idx="15">
                    <c:v> 1,049 </c:v>
                  </c:pt>
                  <c:pt idx="16">
                    <c:v> 1,056 </c:v>
                  </c:pt>
                  <c:pt idx="17">
                    <c:v> 1,084 </c:v>
                  </c:pt>
                  <c:pt idx="18">
                    <c:v> 1,101 </c:v>
                  </c:pt>
                  <c:pt idx="19">
                    <c:v> 1,068 </c:v>
                  </c:pt>
                  <c:pt idx="20">
                    <c:v> 1,027 </c:v>
                  </c:pt>
                  <c:pt idx="21">
                    <c:v> 1,014 </c:v>
                  </c:pt>
                  <c:pt idx="22">
                    <c:v> 1,015 </c:v>
                  </c:pt>
                  <c:pt idx="23">
                    <c:v> 1,001 </c:v>
                  </c:pt>
                  <c:pt idx="24">
                    <c:v> 1,007 </c:v>
                  </c:pt>
                  <c:pt idx="25">
                    <c:v> 1,069 </c:v>
                  </c:pt>
                  <c:pt idx="26">
                    <c:v> 980 </c:v>
                  </c:pt>
                  <c:pt idx="27">
                    <c:v> 961 </c:v>
                  </c:pt>
                  <c:pt idx="28">
                    <c:v> 945 </c:v>
                  </c:pt>
                  <c:pt idx="29">
                    <c:v> 945 </c:v>
                  </c:pt>
                  <c:pt idx="36">
                    <c:v>Giá vốn (*)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F3-920A-4EEE-B866-E480C35C5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0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540562921152897E-3"/>
          <c:y val="0"/>
          <c:w val="0.93221857290968935"/>
          <c:h val="0.89867447191975247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đồ'!$D$41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đồ'!$E$41:$AO$41</c15:sqref>
                  </c15:fullRef>
                </c:ext>
              </c:extLst>
              <c:f>('Vẽ Biểu đồ'!$E$41:$AH$41,'Vẽ Biểu đồ'!$AO$41)</c:f>
              <c:numCache>
                <c:formatCode>_(* #,##0_);_(* \(#,##0\);_(* "-"??_);_(@_)</c:formatCode>
                <c:ptCount val="31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1190</c:v>
                </c:pt>
                <c:pt idx="25">
                  <c:v>1190</c:v>
                </c:pt>
                <c:pt idx="26">
                  <c:v>1190</c:v>
                </c:pt>
                <c:pt idx="27">
                  <c:v>1310</c:v>
                </c:pt>
                <c:pt idx="28">
                  <c:v>1410</c:v>
                </c:pt>
                <c:pt idx="29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6-48CF-8CA2-B60D8C6E9ACE}"/>
            </c:ext>
          </c:extLst>
        </c:ser>
        <c:ser>
          <c:idx val="4"/>
          <c:order val="6"/>
          <c:tx>
            <c:strRef>
              <c:f>'Vẽ Biểu đồ'!$D$42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đồ'!$E$42:$AO$42</c15:sqref>
                  </c15:fullRef>
                </c:ext>
              </c:extLst>
              <c:f>('Vẽ Biểu đồ'!$E$42:$AH$42,'Vẽ Biểu đồ'!$AO$42)</c:f>
              <c:numCache>
                <c:formatCode>_(* #,##0_);_(* \(#,##0\);_(* "-"??_);_(@_)</c:formatCode>
                <c:ptCount val="31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  <c:pt idx="29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6-48CF-8CA2-B60D8C6E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đồ'!$D$32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6-48CF-8CA2-B60D8C6E9A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376-48CF-8CA2-B60D8C6E9A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376-48CF-8CA2-B60D8C6E9AC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376-48CF-8CA2-B60D8C6E9AC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376-48CF-8CA2-B60D8C6E9AC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376-48CF-8CA2-B60D8C6E9AC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376-48CF-8CA2-B60D8C6E9AC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376-48CF-8CA2-B60D8C6E9AC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376-48CF-8CA2-B60D8C6E9AC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376-48CF-8CA2-B60D8C6E9AC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376-48CF-8CA2-B60D8C6E9AC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376-48CF-8CA2-B60D8C6E9AC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376-48CF-8CA2-B60D8C6E9AC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3FC3AEC-21FF-4D87-9741-ED42D2365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376-48CF-8CA2-B60D8C6E9AC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9D4262F-51A9-45F6-8301-BE5219632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376-48CF-8CA2-B60D8C6E9AC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08E9D3E-810A-4A04-A4E9-07559BBFD5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376-48CF-8CA2-B60D8C6E9AC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A537023-7C44-4E7D-9F87-3B68EFEF1B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376-48CF-8CA2-B60D8C6E9AC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712F0C1-1911-472F-A2B1-8E583D835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376-48CF-8CA2-B60D8C6E9AC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E471F42-214D-43D2-B1C5-E7AA01D544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376-48CF-8CA2-B60D8C6E9AC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5EA669C-3A9A-42CA-96AB-E8F9486024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376-48CF-8CA2-B60D8C6E9AC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64779B5-783B-4404-A000-C5A87D3445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376-48CF-8CA2-B60D8C6E9AC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962A339-4DA4-4B12-8AB9-EAB491DAFE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376-48CF-8CA2-B60D8C6E9AC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51F199C-6E2E-4993-A312-EC3CC296B2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376-48CF-8CA2-B60D8C6E9AC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ECA4B14-EDE4-4CA5-AC23-AE6BBA8ED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376-48CF-8CA2-B60D8C6E9ACE}"/>
                </c:ext>
              </c:extLst>
            </c:dLbl>
            <c:dLbl>
              <c:idx val="23"/>
              <c:layout>
                <c:manualLayout>
                  <c:x val="-4.2560822785364182E-2"/>
                  <c:y val="3.8494738000328703E-2"/>
                </c:manualLayout>
              </c:layout>
              <c:tx>
                <c:rich>
                  <a:bodyPr/>
                  <a:lstStyle/>
                  <a:p>
                    <a:fld id="{AEEC7B86-F040-4468-AE6D-267D7D0ADA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F376-48CF-8CA2-B60D8C6E9AC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376-48CF-8CA2-B60D8C6E9AC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376-48CF-8CA2-B60D8C6E9AC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376-48CF-8CA2-B60D8C6E9AC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376-48CF-8CA2-B60D8C6E9AC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376-48CF-8CA2-B60D8C6E9AC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B50-4A6C-A7B5-D8848374E588}"/>
                </c:ext>
              </c:extLst>
            </c:dLbl>
            <c:dLbl>
              <c:idx val="30"/>
              <c:layout>
                <c:manualLayout>
                  <c:x val="-0.4090636511607984"/>
                  <c:y val="6.904209648212578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4CAEFCA-DE17-4AB8-9087-98F6E8C9166A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376-48CF-8CA2-B60D8C6E9A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đồ'!$E$32:$AO$32</c15:sqref>
                  </c15:fullRef>
                </c:ext>
              </c:extLst>
              <c:f>('Vẽ Biểu đồ'!$E$32:$AH$32,'Vẽ Biểu đồ'!$AO$32)</c:f>
              <c:numCache>
                <c:formatCode>_(* #,##0_);_(* \(#,##0\);_(* "-"??_);_(@_)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1230</c:v>
                </c:pt>
                <c:pt idx="20">
                  <c:v>1230</c:v>
                </c:pt>
                <c:pt idx="21">
                  <c:v>1230</c:v>
                </c:pt>
                <c:pt idx="22">
                  <c:v>1230</c:v>
                </c:pt>
                <c:pt idx="23">
                  <c:v>1230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đồ'!$E$43:$AO$43</c15:f>
                <c15:dlblRangeCache>
                  <c:ptCount val="37"/>
                  <c:pt idx="12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8">
                    <c:v> 1,228 </c:v>
                  </c:pt>
                  <c:pt idx="19">
                    <c:v> 1,230 </c:v>
                  </c:pt>
                  <c:pt idx="23">
                    <c:v> 1,230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1-F376-48CF-8CA2-B60D8C6E9ACE}"/>
            </c:ext>
          </c:extLst>
        </c:ser>
        <c:ser>
          <c:idx val="1"/>
          <c:order val="1"/>
          <c:tx>
            <c:strRef>
              <c:f>'Vẽ Biểu đồ'!$D$33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F376-48CF-8CA2-B60D8C6E9A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9E52255-4429-4A78-8A5C-8C635D75AD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376-48CF-8CA2-B60D8C6E9A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E28A45-4239-4DE1-B357-38D05F9924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376-48CF-8CA2-B60D8C6E9AC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192C44A-904B-4535-B508-11D80B0F96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376-48CF-8CA2-B60D8C6E9AC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67E793-FA24-47D7-89C0-9CE8F30362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376-48CF-8CA2-B60D8C6E9AC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0B8D0D-66BE-4AE7-9D69-DB561B07F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376-48CF-8CA2-B60D8C6E9AC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3E59C9-5132-4555-BBB3-7521607F54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376-48CF-8CA2-B60D8C6E9AC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352F069-7A9F-49AC-8C47-9D7BA9DE65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376-48CF-8CA2-B60D8C6E9AC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805E3A8-82F0-4EAF-8167-5192207F4C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376-48CF-8CA2-B60D8C6E9AC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E5C731F-79D4-44C3-ACCE-C59FC879D4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376-48CF-8CA2-B60D8C6E9AC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D61DF95-E03B-4828-9D1F-0F0077985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376-48CF-8CA2-B60D8C6E9AC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BFADCE3-E99C-4788-B882-46452FDE35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376-48CF-8CA2-B60D8C6E9AC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BA17233-17F0-44E9-81C5-6BA3BE4CDF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376-48CF-8CA2-B60D8C6E9AC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2273256-C2DB-44B7-8D03-F8D146F21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376-48CF-8CA2-B60D8C6E9AC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95CBE18-4223-4D9C-8F01-6D669901B1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376-48CF-8CA2-B60D8C6E9AC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22EC962-C0D2-4CF3-88D1-6521F878EA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376-48CF-8CA2-B60D8C6E9AC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F1EC83F-A16C-4BC6-B5CE-2232A9FFD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376-48CF-8CA2-B60D8C6E9AC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6470293-14DE-4F77-ADAA-6860F12EC9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376-48CF-8CA2-B60D8C6E9AC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1D9DB02-3183-443A-AF84-63DC0EDC7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376-48CF-8CA2-B60D8C6E9AC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6FEF593-FD45-49F0-B412-8FA8A1D829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376-48CF-8CA2-B60D8C6E9AC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C70E1D1-9771-4DD4-A8D2-21CCF605CA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376-48CF-8CA2-B60D8C6E9AC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071DDEE-2F4F-4EF6-BE5D-1AFE0131AF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376-48CF-8CA2-B60D8C6E9AC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86F9605-DC17-42C0-9584-2EA358249B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376-48CF-8CA2-B60D8C6E9AC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D69F7DC-44B6-4B0C-A28F-B172A8AE5A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376-48CF-8CA2-B60D8C6E9AC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CA361CF-DCFA-4C26-8313-2FFD53DFB0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376-48CF-8CA2-B60D8C6E9ACE}"/>
                </c:ext>
              </c:extLst>
            </c:dLbl>
            <c:dLbl>
              <c:idx val="24"/>
              <c:layout>
                <c:manualLayout>
                  <c:x val="-1.9516233369826459E-2"/>
                  <c:y val="1.4190353143841516E-2"/>
                </c:manualLayout>
              </c:layout>
              <c:tx>
                <c:rich>
                  <a:bodyPr/>
                  <a:lstStyle/>
                  <a:p>
                    <a:fld id="{DDBB9510-1D8E-461C-B6C3-90356C0642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F376-48CF-8CA2-B60D8C6E9AC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6F49D46-941F-4B05-8126-72714E27B9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376-48CF-8CA2-B60D8C6E9AC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C19FA65-04B3-4415-B101-A34A5B1B92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376-48CF-8CA2-B60D8C6E9ACE}"/>
                </c:ext>
              </c:extLst>
            </c:dLbl>
            <c:dLbl>
              <c:idx val="27"/>
              <c:layout>
                <c:manualLayout>
                  <c:x val="-1.5232844352435899E-2"/>
                  <c:y val="2.2803617571059431E-2"/>
                </c:manualLayout>
              </c:layout>
              <c:tx>
                <c:rich>
                  <a:bodyPr/>
                  <a:lstStyle/>
                  <a:p>
                    <a:fld id="{5E38F028-A160-463A-9011-993F6255E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F376-48CF-8CA2-B60D8C6E9AC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C3939BA-B9DF-43C0-8F33-D244B39ED9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376-48CF-8CA2-B60D8C6E9AC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FBDA345-14FB-4275-B25C-A8E97CB7E3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B50-4A6C-A7B5-D8848374E588}"/>
                </c:ext>
              </c:extLst>
            </c:dLbl>
            <c:dLbl>
              <c:idx val="30"/>
              <c:layout>
                <c:manualLayout>
                  <c:x val="-5.8099455162711009E-3"/>
                  <c:y val="7.680653544405032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2054605-CD14-41E9-99FD-5FAF8B862BA2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776373157791981E-2"/>
                      <c:h val="8.59071321520932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F376-48CF-8CA2-B60D8C6E9A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đồ'!$E$33:$AO$33</c15:sqref>
                  </c15:fullRef>
                </c:ext>
              </c:extLst>
              <c:f>('Vẽ Biểu đồ'!$E$33:$AH$33,'Vẽ Biểu đồ'!$AO$33)</c:f>
              <c:numCache>
                <c:formatCode>_(* #,##0_);_(* \(#,##0\);_(* "-"??_);_(@_)</c:formatCode>
                <c:ptCount val="31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1128</c:v>
                </c:pt>
                <c:pt idx="25">
                  <c:v>1128</c:v>
                </c:pt>
                <c:pt idx="26">
                  <c:v>1128</c:v>
                </c:pt>
                <c:pt idx="27">
                  <c:v>1128</c:v>
                </c:pt>
                <c:pt idx="28">
                  <c:v>1128</c:v>
                </c:pt>
                <c:pt idx="29">
                  <c:v>1128</c:v>
                </c:pt>
                <c:pt idx="30">
                  <c:v>1128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đồ'!$E$44:$AO$44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24">
                    <c:v> 1,128 </c:v>
                  </c:pt>
                  <c:pt idx="29">
                    <c:v> 1,128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1-F376-48CF-8CA2-B60D8C6E9ACE}"/>
            </c:ext>
          </c:extLst>
        </c:ser>
        <c:ser>
          <c:idx val="2"/>
          <c:order val="2"/>
          <c:tx>
            <c:strRef>
              <c:f>'Vẽ Biểu đồ'!$D$34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F376-48CF-8CA2-B60D8C6E9A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645D061-5ABD-4B70-B0B0-2FE7EB0CB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376-48CF-8CA2-B60D8C6E9A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3673E3-BB7C-4B9F-B9E5-CA4CAE2150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376-48CF-8CA2-B60D8C6E9AC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4F3D3C-F1DA-4A74-B928-012B9A1AAB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376-48CF-8CA2-B60D8C6E9AC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C76E001-336B-41F1-89E2-327EF91E71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376-48CF-8CA2-B60D8C6E9AC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6F846EC-8EF6-49A8-8610-9D8006BF4A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376-48CF-8CA2-B60D8C6E9AC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683794E-01B6-4025-8F96-2E415FB1F9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376-48CF-8CA2-B60D8C6E9AC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715134-483C-41D2-8991-54EB708320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376-48CF-8CA2-B60D8C6E9AC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A72751E-4A10-4A12-907C-69A871AED0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376-48CF-8CA2-B60D8C6E9AC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7FF4A58-496C-45FA-B091-F97235F132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376-48CF-8CA2-B60D8C6E9AC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4EC16D9-6718-4628-9791-EB5F9684C5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376-48CF-8CA2-B60D8C6E9AC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57E1987-77D9-4616-8391-C3CB07306E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376-48CF-8CA2-B60D8C6E9AC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3AB3C69-1F49-4FB0-8983-7036E1004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376-48CF-8CA2-B60D8C6E9AC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8D16234-A014-46C9-B681-8C759ADB53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376-48CF-8CA2-B60D8C6E9AC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A6E0501-C90C-422D-BE45-6396519EA2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376-48CF-8CA2-B60D8C6E9AC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70083A8-CCCE-4112-8903-44736EA327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376-48CF-8CA2-B60D8C6E9AC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A091184-E396-44E8-BFFC-C9F085258B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376-48CF-8CA2-B60D8C6E9AC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A8709AE-D03B-4ED1-BF43-C25C4C8B11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376-48CF-8CA2-B60D8C6E9AC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8F73077-DA0C-42AA-B532-79E6F56E50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376-48CF-8CA2-B60D8C6E9AC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B909F55-9CE5-4C5B-BB2D-65BF82F4F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376-48CF-8CA2-B60D8C6E9AC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281D5E0-903E-4825-B937-367C4CDB0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376-48CF-8CA2-B60D8C6E9AC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17EB450-D0E7-4FD4-BF22-0D93887DF2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376-48CF-8CA2-B60D8C6E9AC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E8EF8B4-9A18-424B-BBD8-C5167BAD7D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376-48CF-8CA2-B60D8C6E9AC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C851F35-5A7E-4B79-B73A-9A6C4AD0AA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376-48CF-8CA2-B60D8C6E9AC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91454C1-E8BC-4F39-AE08-9D2BE53F25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376-48CF-8CA2-B60D8C6E9AC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B860AFF-9105-475B-8D06-0D4A894F92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376-48CF-8CA2-B60D8C6E9AC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F4B139E-35A1-44B9-A26F-25DB50C2ED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376-48CF-8CA2-B60D8C6E9AC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26EB0C4-3F48-434A-AA35-34CF76ADD1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376-48CF-8CA2-B60D8C6E9ACE}"/>
                </c:ext>
              </c:extLst>
            </c:dLbl>
            <c:dLbl>
              <c:idx val="27"/>
              <c:layout>
                <c:manualLayout>
                  <c:x val="-3.0795370348171463E-2"/>
                  <c:y val="-4.4221410683892822E-3"/>
                </c:manualLayout>
              </c:layout>
              <c:tx>
                <c:rich>
                  <a:bodyPr/>
                  <a:lstStyle/>
                  <a:p>
                    <a:fld id="{98CE8137-0895-44A7-8CD6-F2E9AC491F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F-F376-48CF-8CA2-B60D8C6E9AC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ABEA96D-5792-4D61-A586-D1B08308BF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376-48CF-8CA2-B60D8C6E9AC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7663301-5243-44F9-85BA-997C628DB9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B50-4A6C-A7B5-D8848374E588}"/>
                </c:ext>
              </c:extLst>
            </c:dLbl>
            <c:dLbl>
              <c:idx val="30"/>
              <c:layout>
                <c:manualLayout>
                  <c:x val="-3.6630040151715663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B575BA3-03AA-4EFF-93F8-5EDFC95A14BA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F376-48CF-8CA2-B60D8C6E9ACE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đồ'!$E$34:$AH$34,'Vẽ Biểu đồ'!$AO$34)</c:f>
              <c:numCache>
                <c:formatCode>_(* #,##0_);_(* \(#,##0\);_(* "-"??_);_(@_)</c:formatCode>
                <c:ptCount val="31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1190</c:v>
                </c:pt>
                <c:pt idx="25">
                  <c:v>1190</c:v>
                </c:pt>
                <c:pt idx="26">
                  <c:v>1190</c:v>
                </c:pt>
                <c:pt idx="27">
                  <c:v>1310</c:v>
                </c:pt>
                <c:pt idx="28">
                  <c:v>1410</c:v>
                </c:pt>
                <c:pt idx="29">
                  <c:v>1380</c:v>
                </c:pt>
                <c:pt idx="30">
                  <c:v>1380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đồ'!$E$45:$AO$45</c15:f>
                <c15:dlblRangeCache>
                  <c:ptCount val="37"/>
                  <c:pt idx="0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24">
                    <c:v> 1,190 </c:v>
                  </c:pt>
                  <c:pt idx="26">
                    <c:v> 1,190 </c:v>
                  </c:pt>
                  <c:pt idx="27">
                    <c:v> 1,310 </c:v>
                  </c:pt>
                  <c:pt idx="28">
                    <c:v> 1,410 </c:v>
                  </c:pt>
                  <c:pt idx="29">
                    <c:v> 1,380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1-F376-48CF-8CA2-B60D8C6E9ACE}"/>
            </c:ext>
          </c:extLst>
        </c:ser>
        <c:ser>
          <c:idx val="3"/>
          <c:order val="3"/>
          <c:tx>
            <c:strRef>
              <c:f>'Vẽ Biểu đồ'!$D$35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F376-48CF-8CA2-B60D8C6E9A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E3EAF4B-D297-4497-B4E5-FAB498EFC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376-48CF-8CA2-B60D8C6E9A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DFC211D-2B4D-43B1-AF95-013EA0584F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376-48CF-8CA2-B60D8C6E9AC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24EA2FF-4A6D-4FF2-833C-B60FC983ED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376-48CF-8CA2-B60D8C6E9AC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2B33525-189E-4437-BD80-E09672FBE3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376-48CF-8CA2-B60D8C6E9AC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0763351-6B31-4ED3-8536-44DB2C93A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376-48CF-8CA2-B60D8C6E9AC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61A7B64-875C-412F-983A-072C8ADE2E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376-48CF-8CA2-B60D8C6E9AC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EAA58E7-2A63-4C59-87B2-B33F1FC247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376-48CF-8CA2-B60D8C6E9AC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DDE2F7-4CBD-4898-8912-59E6658781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376-48CF-8CA2-B60D8C6E9AC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7CB289D-7B99-40E3-8D7B-4FECFD75B9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376-48CF-8CA2-B60D8C6E9AC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2C91B28-BBB7-49ED-900B-221762F4B8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376-48CF-8CA2-B60D8C6E9AC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3A23B04-5250-4D5A-BCAB-5CF8E6092D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376-48CF-8CA2-B60D8C6E9AC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F209C52-F909-4C1A-A4F8-D473382FDF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376-48CF-8CA2-B60D8C6E9AC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09C0272-3474-4E4C-A428-8499756E0D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376-48CF-8CA2-B60D8C6E9AC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6B5E595-C05B-4F60-AC70-8A04CA91E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376-48CF-8CA2-B60D8C6E9AC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7872C8A-E930-4CB9-893D-FADB3EBD7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376-48CF-8CA2-B60D8C6E9AC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B2B52A2-28D4-465D-BD6B-75F52F4A59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376-48CF-8CA2-B60D8C6E9AC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BA5092B-4391-4DEB-8183-E7FF8F5F9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376-48CF-8CA2-B60D8C6E9AC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74D3EA7-6A7A-4163-83D5-5C124DAC55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376-48CF-8CA2-B60D8C6E9AC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EC82BE9-7C94-4D4E-AE32-31BE7CA754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376-48CF-8CA2-B60D8C6E9AC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7D2D7D2-2B56-4091-B673-A92244AA0E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376-48CF-8CA2-B60D8C6E9AC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8EC5E74-6D93-422A-A7E5-9E3DC48D1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376-48CF-8CA2-B60D8C6E9AC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2CBC734-532F-4C4A-AF79-73B559113B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376-48CF-8CA2-B60D8C6E9AC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0D281A7-F82A-46B1-B7DB-74CD681543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376-48CF-8CA2-B60D8C6E9AC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1DC0357-9D86-4C74-A5FE-978089E205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376-48CF-8CA2-B60D8C6E9AC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688C536-C0B0-4E20-B64F-91668F44F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376-48CF-8CA2-B60D8C6E9AC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5ED19D4-12F6-4F8C-B2E5-2C22F562C3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376-48CF-8CA2-B60D8C6E9ACE}"/>
                </c:ext>
              </c:extLst>
            </c:dLbl>
            <c:dLbl>
              <c:idx val="26"/>
              <c:layout>
                <c:manualLayout>
                  <c:x val="-1.3092682362782873E-2"/>
                  <c:y val="2.4554641630029031E-2"/>
                </c:manualLayout>
              </c:layout>
              <c:tx>
                <c:rich>
                  <a:bodyPr/>
                  <a:lstStyle/>
                  <a:p>
                    <a:fld id="{01299F30-2056-41AB-A849-09018C8294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F376-48CF-8CA2-B60D8C6E9AC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824663B-7596-46A9-A790-369CC5D3AB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F376-48CF-8CA2-B60D8C6E9AC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5FAB374-735C-45B2-8C91-3C06F9BE5A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376-48CF-8CA2-B60D8C6E9AC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7067A8A-DEF4-45E9-BDDD-27B82C0D8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B50-4A6C-A7B5-D8848374E588}"/>
                </c:ext>
              </c:extLst>
            </c:dLbl>
            <c:dLbl>
              <c:idx val="30"/>
              <c:layout>
                <c:manualLayout>
                  <c:x val="-8.3968951466973536E-3"/>
                  <c:y val="-2.674052138985311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F5CCF30-8A6E-4887-A07F-81F548824E7D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670895337207396E-2"/>
                      <c:h val="9.69666264623593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F376-48CF-8CA2-B60D8C6E9A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đồ'!$E$35:$AH$35,'Vẽ Biểu đồ'!$AO$35)</c:f>
              <c:numCache>
                <c:formatCode>_(* #,##0_);_(* \(#,##0\);_(* "-"??_);_(@_)</c:formatCode>
                <c:ptCount val="31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  <c:pt idx="29">
                  <c:v>1190</c:v>
                </c:pt>
                <c:pt idx="30">
                  <c:v>1190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đồ'!$E$46:$AO$46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1,194 </c:v>
                  </c:pt>
                  <c:pt idx="28">
                    <c:v> 1,216 </c:v>
                  </c:pt>
                  <c:pt idx="29">
                    <c:v> 1,190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1-F376-48CF-8CA2-B60D8C6E9ACE}"/>
            </c:ext>
          </c:extLst>
        </c:ser>
        <c:ser>
          <c:idx val="6"/>
          <c:order val="4"/>
          <c:tx>
            <c:strRef>
              <c:f>'Vẽ Biểu đồ'!$D$39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đồ'!$E$36:$AH$36,'Vẽ Biểu đồ'!$AO$36)</c:f>
                <c:numCache>
                  <c:formatCode>General</c:formatCode>
                  <c:ptCount val="31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  <c:pt idx="29">
                    <c:v>190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đồ'!$E$36:$AH$36,'Vẽ Biểu đồ'!$AO$36)</c:f>
                <c:numCache>
                  <c:formatCode>General</c:formatCode>
                  <c:ptCount val="31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  <c:pt idx="29">
                    <c:v>190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đồ'!$E$39:$AO$39</c15:sqref>
                  </c15:fullRef>
                </c:ext>
              </c:extLst>
              <c:f>('Vẽ Biểu đồ'!$E$39:$AH$39,'Vẽ Biểu đồ'!$AO$39)</c:f>
              <c:numCache>
                <c:formatCode>_(* #,##0_);_(* \(#,##0\);_(* "-"??_);_(@_)</c:formatCode>
                <c:ptCount val="31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1190</c:v>
                </c:pt>
                <c:pt idx="25">
                  <c:v>1190</c:v>
                </c:pt>
                <c:pt idx="26">
                  <c:v>1190</c:v>
                </c:pt>
                <c:pt idx="27">
                  <c:v>1310</c:v>
                </c:pt>
                <c:pt idx="28">
                  <c:v>1410</c:v>
                </c:pt>
                <c:pt idx="29">
                  <c:v>1380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376-48CF-8CA2-B60D8C6E9ACE}"/>
            </c:ext>
          </c:extLst>
        </c:ser>
        <c:ser>
          <c:idx val="7"/>
          <c:order val="7"/>
          <c:tx>
            <c:strRef>
              <c:f>'Vẽ Biểu đồ'!$D$40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88DCEE8-ADD5-4587-A8A8-6CD80B7FA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376-48CF-8CA2-B60D8C6E9A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809612-3660-446C-BF38-B69AA3D9B5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376-48CF-8CA2-B60D8C6E9AC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F1C445-9693-4D31-A928-75467030CB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376-48CF-8CA2-B60D8C6E9AC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47039E-7197-4B95-9CD0-2A1C3054CF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376-48CF-8CA2-B60D8C6E9AC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EBB951-660D-44B3-8957-18F3C90297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376-48CF-8CA2-B60D8C6E9AC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E0CBAA9-6423-472B-9B98-F3A325955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376-48CF-8CA2-B60D8C6E9AC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A81C3C-3C2A-44A3-8608-46C57A1F60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376-48CF-8CA2-B60D8C6E9AC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9CE9866-6F9E-495F-972E-BB37BEFA46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376-48CF-8CA2-B60D8C6E9AC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53CCB6B-88EA-44D0-8E2F-2F52A325CB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376-48CF-8CA2-B60D8C6E9AC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AD8F0A7-C962-4410-8444-487A033EB1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376-48CF-8CA2-B60D8C6E9AC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C07F213-B4A6-49C6-9541-F5935CE7D6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376-48CF-8CA2-B60D8C6E9AC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CAC23CD-40D5-4607-A8FC-8987F668B9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376-48CF-8CA2-B60D8C6E9AC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D03AD74-B4DE-41E4-9E9C-480D3B7552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376-48CF-8CA2-B60D8C6E9AC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C927931-6467-44E3-A93F-08C667FF2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376-48CF-8CA2-B60D8C6E9AC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05F7408-6317-459B-B982-8B64895F4F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F376-48CF-8CA2-B60D8C6E9AC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D65E9D7-40BC-4793-AF46-09A7C489C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376-48CF-8CA2-B60D8C6E9AC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27D2C52-37A7-4B2E-83D4-9363E00F4F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376-48CF-8CA2-B60D8C6E9AC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DC90C19-AD2D-49FB-8440-599D16C77C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376-48CF-8CA2-B60D8C6E9AC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DD82552-63D5-4D75-9990-0623AC1AC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376-48CF-8CA2-B60D8C6E9AC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849E698-DBBA-47AD-B67E-7C7FD8535B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376-48CF-8CA2-B60D8C6E9AC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7319209-12DA-4148-BAC4-9FBDBCB84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376-48CF-8CA2-B60D8C6E9AC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B488965-FA89-42D4-B03E-E6C4FD1803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376-48CF-8CA2-B60D8C6E9AC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7388FB7-FDDB-4767-8401-82C7942A55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376-48CF-8CA2-B60D8C6E9AC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B5831B1-4A44-447C-B741-D5BB5983CA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376-48CF-8CA2-B60D8C6E9AC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5388468-A553-4016-B91F-3E5DDD0503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376-48CF-8CA2-B60D8C6E9AC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83BD1FA-0749-45C5-B27E-748F456F66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376-48CF-8CA2-B60D8C6E9AC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5F12A9B-4EFF-4A6B-ABE5-7E07AE7C95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376-48CF-8CA2-B60D8C6E9AC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1098555-A680-463F-B56C-62600DDBAE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376-48CF-8CA2-B60D8C6E9AC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FC94B5C-39B2-4424-893D-E4EC40DBA0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376-48CF-8CA2-B60D8C6E9AC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EB876AE-EC49-468D-96A4-F8B7338F36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B50-4A6C-A7B5-D8848374E58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376-48CF-8CA2-B60D8C6E9ACE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đồ'!$E$40:$AO$40</c15:sqref>
                  </c15:fullRef>
                </c:ext>
              </c:extLst>
              <c:f>('Vẽ Biểu đồ'!$E$40:$AH$40,'Vẽ Biểu đồ'!$AO$40)</c:f>
              <c:numCache>
                <c:formatCode>_(* #,##0_);_(* \(#,##0\);_(* "-"??_);_(@_)</c:formatCode>
                <c:ptCount val="31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1001.25</c:v>
                </c:pt>
                <c:pt idx="24">
                  <c:v>997.5</c:v>
                </c:pt>
                <c:pt idx="25">
                  <c:v>1015</c:v>
                </c:pt>
                <c:pt idx="26">
                  <c:v>1149.5</c:v>
                </c:pt>
                <c:pt idx="27">
                  <c:v>1252</c:v>
                </c:pt>
                <c:pt idx="28">
                  <c:v>1313</c:v>
                </c:pt>
                <c:pt idx="29">
                  <c:v>1285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đồ'!$E$37:$AO$37</c15:f>
                <c15:dlblRangeCache>
                  <c:ptCount val="37"/>
                  <c:pt idx="0">
                    <c:v>+37.6%</c:v>
                  </c:pt>
                  <c:pt idx="1">
                    <c:v>+35.7%</c:v>
                  </c:pt>
                  <c:pt idx="2">
                    <c:v>+36.2%</c:v>
                  </c:pt>
                  <c:pt idx="3">
                    <c:v>+36.2%</c:v>
                  </c:pt>
                  <c:pt idx="4">
                    <c:v>+41.2%</c:v>
                  </c:pt>
                  <c:pt idx="5">
                    <c:v>+40.0%</c:v>
                  </c:pt>
                  <c:pt idx="6">
                    <c:v>+40.4%</c:v>
                  </c:pt>
                  <c:pt idx="7">
                    <c:v>+43.0%</c:v>
                  </c:pt>
                  <c:pt idx="8">
                    <c:v>+52.3%</c:v>
                  </c:pt>
                  <c:pt idx="9">
                    <c:v>+57.1%</c:v>
                  </c:pt>
                  <c:pt idx="10">
                    <c:v>+59.0%</c:v>
                  </c:pt>
                  <c:pt idx="11">
                    <c:v>+57.2%</c:v>
                  </c:pt>
                  <c:pt idx="12">
                    <c:v>+52.2%</c:v>
                  </c:pt>
                  <c:pt idx="13">
                    <c:v>+50.0%</c:v>
                  </c:pt>
                  <c:pt idx="14">
                    <c:v>+53.1%</c:v>
                  </c:pt>
                  <c:pt idx="15">
                    <c:v>+67.3%</c:v>
                  </c:pt>
                  <c:pt idx="16">
                    <c:v>+63.7%</c:v>
                  </c:pt>
                  <c:pt idx="17">
                    <c:v>+58.5%</c:v>
                  </c:pt>
                  <c:pt idx="18">
                    <c:v>+59.6%</c:v>
                  </c:pt>
                  <c:pt idx="19">
                    <c:v>+57.2%</c:v>
                  </c:pt>
                  <c:pt idx="20">
                    <c:v>+59.6%</c:v>
                  </c:pt>
                  <c:pt idx="21">
                    <c:v>+60.6%</c:v>
                  </c:pt>
                  <c:pt idx="22">
                    <c:v>+59.7%</c:v>
                  </c:pt>
                  <c:pt idx="23">
                    <c:v>+59.2%</c:v>
                  </c:pt>
                  <c:pt idx="24">
                    <c:v>+47.8%</c:v>
                  </c:pt>
                  <c:pt idx="25">
                    <c:v>+41.7%</c:v>
                  </c:pt>
                  <c:pt idx="26">
                    <c:v>+7.3%</c:v>
                  </c:pt>
                  <c:pt idx="27">
                    <c:v>+9.7%</c:v>
                  </c:pt>
                  <c:pt idx="28">
                    <c:v>+16.0%</c:v>
                  </c:pt>
                  <c:pt idx="29">
                    <c:v>+16.0%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1-F376-48CF-8CA2-B60D8C6E9ACE}"/>
            </c:ext>
          </c:extLst>
        </c:ser>
        <c:ser>
          <c:idx val="8"/>
          <c:order val="8"/>
          <c:tx>
            <c:v>Đơn giá vốn</c:v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F-F376-48CF-8CA2-B60D8C6E9A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353761E-6E4C-42FB-9BF8-EC6E9F9BB3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376-48CF-8CA2-B60D8C6E9A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AD6AC4-F6B7-4D25-A036-06CF8D742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376-48CF-8CA2-B60D8C6E9AC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E4EAD2-892C-4521-ADA6-DD3029403B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376-48CF-8CA2-B60D8C6E9AC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101F38E-318F-433D-8A6C-9819D55ECE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376-48CF-8CA2-B60D8C6E9AC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90EFA60-330F-490B-AD23-7D077C2154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376-48CF-8CA2-B60D8C6E9AC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9C0BF62-0EA5-4B8F-BF7A-ADB074667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376-48CF-8CA2-B60D8C6E9AC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798142-D0B6-4424-9CD5-D0355D3580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376-48CF-8CA2-B60D8C6E9AC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0B97BD8-9AB7-43C9-BA71-68CFF4F07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376-48CF-8CA2-B60D8C6E9AC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93B043A-A4B8-41C9-857D-92D0BCA9E0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376-48CF-8CA2-B60D8C6E9AC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EA91DF9-A698-4880-8088-908B8B173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376-48CF-8CA2-B60D8C6E9AC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A23A5A8-55F8-4577-91CF-ADC37B822C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376-48CF-8CA2-B60D8C6E9AC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8ACA8F7-8B47-4F91-9981-ACD23C6C9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376-48CF-8CA2-B60D8C6E9AC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37561ED-7FFF-4570-8CD9-324A91088B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376-48CF-8CA2-B60D8C6E9AC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B9EAB5D-F1C1-4A66-AE6C-38CE54CFC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376-48CF-8CA2-B60D8C6E9AC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AADB71B-DD0D-493E-8F1C-7CC9FF16D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376-48CF-8CA2-B60D8C6E9AC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E492E50-9ACE-4EC9-8E51-8E29C20308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376-48CF-8CA2-B60D8C6E9AC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9F83692-09E4-400A-9C37-F0C177F3FC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376-48CF-8CA2-B60D8C6E9AC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C772C5D-9E1B-4477-8ADA-E5765D6E9A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376-48CF-8CA2-B60D8C6E9AC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79BD6EE-9BE0-48D6-AF54-F748CE6D6A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4-F376-48CF-8CA2-B60D8C6E9AC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C8082A7-BF6F-42F1-BFEE-9C1E0A5D50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5-F376-48CF-8CA2-B60D8C6E9AC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28B5CBD-5B85-4B35-AD8E-71FD8653A6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6-F376-48CF-8CA2-B60D8C6E9AC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2889439-C638-4EC3-8E98-12BA226D1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7-F376-48CF-8CA2-B60D8C6E9AC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ECAAF76-AB48-470E-8FAB-A8F7EDA5D9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376-48CF-8CA2-B60D8C6E9AC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69C1F3D-C45F-4A0B-A7FA-AD4DF43AC3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376-48CF-8CA2-B60D8C6E9AC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DDEF48A-79D2-4E87-BAC2-584CEA4B2F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376-48CF-8CA2-B60D8C6E9AC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767292F-4624-4D02-BAB2-5A4AFF24B5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B-F376-48CF-8CA2-B60D8C6E9AC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2876CDE-4A79-4F51-BF3E-34D736FE28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376-48CF-8CA2-B60D8C6E9AC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A6452C5-A35A-4762-8517-AC8DA4B7A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376-48CF-8CA2-B60D8C6E9AC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4FB7E91-B765-4CE8-A9DA-17A3F7B285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376-48CF-8CA2-B60D8C6E9AC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9D75E50-EB30-48C3-9814-253DD588C7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B50-4A6C-A7B5-D8848374E588}"/>
                </c:ext>
              </c:extLst>
            </c:dLbl>
            <c:dLbl>
              <c:idx val="30"/>
              <c:layout>
                <c:manualLayout>
                  <c:x val="-2.8778809163889211E-3"/>
                  <c:y val="-4.3066322136089581E-3"/>
                </c:manualLayout>
              </c:layout>
              <c:tx>
                <c:rich>
                  <a:bodyPr/>
                  <a:lstStyle/>
                  <a:p>
                    <a:fld id="{A592A0AA-4B74-4829-8AC3-DA70281953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F-F376-48CF-8CA2-B60D8C6E9ACE}"/>
                </c:ext>
              </c:extLst>
            </c:dLbl>
            <c:spPr>
              <a:solidFill>
                <a:schemeClr val="bg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đồ'!$E$30:$AO$31</c15:sqref>
                  </c15:fullRef>
                </c:ext>
              </c:extLst>
              <c:f>'Vẽ Biểu đồ'!$E$30:$AO$31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đồ'!$E$38:$AO$38</c15:sqref>
                  </c15:fullRef>
                </c:ext>
              </c:extLst>
              <c:f>('Vẽ Biểu đồ'!$E$38:$AH$38,'Vẽ Biểu đồ'!$AO$38)</c:f>
              <c:numCache>
                <c:formatCode>_(* #,##0_);_(* \(#,##0\);_(* "-"??_);_(@_)</c:formatCode>
                <c:ptCount val="31"/>
                <c:pt idx="0">
                  <c:v>886.70564275321146</c:v>
                </c:pt>
                <c:pt idx="1">
                  <c:v>885.79972438191623</c:v>
                </c:pt>
                <c:pt idx="2">
                  <c:v>915.00612466032806</c:v>
                </c:pt>
                <c:pt idx="3">
                  <c:v>901.2628188129338</c:v>
                </c:pt>
                <c:pt idx="4">
                  <c:v>965.18473589398957</c:v>
                </c:pt>
                <c:pt idx="5">
                  <c:v>923.78267572677441</c:v>
                </c:pt>
                <c:pt idx="6">
                  <c:v>936.21245036745893</c:v>
                </c:pt>
                <c:pt idx="7">
                  <c:v>967.70903056655038</c:v>
                </c:pt>
                <c:pt idx="8">
                  <c:v>991.40085891641297</c:v>
                </c:pt>
                <c:pt idx="9">
                  <c:v>992.49663175557214</c:v>
                </c:pt>
                <c:pt idx="10">
                  <c:v>988.01898244140193</c:v>
                </c:pt>
                <c:pt idx="11">
                  <c:v>991.71030510641947</c:v>
                </c:pt>
                <c:pt idx="12">
                  <c:v>1034.4601127165529</c:v>
                </c:pt>
                <c:pt idx="13">
                  <c:v>1000.0932804513247</c:v>
                </c:pt>
                <c:pt idx="14">
                  <c:v>1002.2785516733181</c:v>
                </c:pt>
                <c:pt idx="15">
                  <c:v>981.76308363958833</c:v>
                </c:pt>
                <c:pt idx="16">
                  <c:v>1003.0014874386915</c:v>
                </c:pt>
                <c:pt idx="17">
                  <c:v>1042.2982406523388</c:v>
                </c:pt>
                <c:pt idx="18">
                  <c:v>1023.29515652016</c:v>
                </c:pt>
                <c:pt idx="19">
                  <c:v>1013.4721671420641</c:v>
                </c:pt>
                <c:pt idx="20">
                  <c:v>1009.1954896253499</c:v>
                </c:pt>
                <c:pt idx="21">
                  <c:v>1005.1392870463301</c:v>
                </c:pt>
                <c:pt idx="22">
                  <c:v>1035.5053982558945</c:v>
                </c:pt>
                <c:pt idx="23">
                  <c:v>1034.0874036790649</c:v>
                </c:pt>
                <c:pt idx="24">
                  <c:v>1037.3374543763573</c:v>
                </c:pt>
                <c:pt idx="25">
                  <c:v>1030.7233636239453</c:v>
                </c:pt>
                <c:pt idx="26">
                  <c:v>1014.7347856197222</c:v>
                </c:pt>
                <c:pt idx="27">
                  <c:v>974.46754435877665</c:v>
                </c:pt>
                <c:pt idx="28">
                  <c:v>1005.2865696483146</c:v>
                </c:pt>
                <c:pt idx="29">
                  <c:v>1005.2865696483146</c:v>
                </c:pt>
                <c:pt idx="30">
                  <c:v>1005.2865696483146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đồ'!$E$47:$AO$47</c15:f>
                <c15:dlblRangeCache>
                  <c:ptCount val="37"/>
                  <c:pt idx="0">
                    <c:v> 887 </c:v>
                  </c:pt>
                  <c:pt idx="1">
                    <c:v> 886 </c:v>
                  </c:pt>
                  <c:pt idx="2">
                    <c:v> 915 </c:v>
                  </c:pt>
                  <c:pt idx="3">
                    <c:v> 901 </c:v>
                  </c:pt>
                  <c:pt idx="4">
                    <c:v> 965 </c:v>
                  </c:pt>
                  <c:pt idx="5">
                    <c:v> 924 </c:v>
                  </c:pt>
                  <c:pt idx="6">
                    <c:v> 936 </c:v>
                  </c:pt>
                  <c:pt idx="7">
                    <c:v> 968 </c:v>
                  </c:pt>
                  <c:pt idx="8">
                    <c:v> 991 </c:v>
                  </c:pt>
                  <c:pt idx="9">
                    <c:v> 992 </c:v>
                  </c:pt>
                  <c:pt idx="10">
                    <c:v> 988 </c:v>
                  </c:pt>
                  <c:pt idx="11">
                    <c:v> 992 </c:v>
                  </c:pt>
                  <c:pt idx="12">
                    <c:v> 1,034 </c:v>
                  </c:pt>
                  <c:pt idx="13">
                    <c:v> 1,000 </c:v>
                  </c:pt>
                  <c:pt idx="14">
                    <c:v> 1,002 </c:v>
                  </c:pt>
                  <c:pt idx="15">
                    <c:v> 982 </c:v>
                  </c:pt>
                  <c:pt idx="16">
                    <c:v> 1,003 </c:v>
                  </c:pt>
                  <c:pt idx="17">
                    <c:v> 1,042 </c:v>
                  </c:pt>
                  <c:pt idx="18">
                    <c:v> 1,023 </c:v>
                  </c:pt>
                  <c:pt idx="19">
                    <c:v> 1,013 </c:v>
                  </c:pt>
                  <c:pt idx="20">
                    <c:v> 1,009 </c:v>
                  </c:pt>
                  <c:pt idx="21">
                    <c:v> 1,005 </c:v>
                  </c:pt>
                  <c:pt idx="22">
                    <c:v> 1,036 </c:v>
                  </c:pt>
                  <c:pt idx="23">
                    <c:v> 1,034 </c:v>
                  </c:pt>
                  <c:pt idx="24">
                    <c:v> 1,037 </c:v>
                  </c:pt>
                  <c:pt idx="25">
                    <c:v> 1,031 </c:v>
                  </c:pt>
                  <c:pt idx="26">
                    <c:v> 1,015 </c:v>
                  </c:pt>
                  <c:pt idx="27">
                    <c:v> 974 </c:v>
                  </c:pt>
                  <c:pt idx="28">
                    <c:v> 1,005 </c:v>
                  </c:pt>
                  <c:pt idx="29">
                    <c:v> 1,005 </c:v>
                  </c:pt>
                  <c:pt idx="36">
                    <c:v>Giá vốn (*)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C0-F376-48CF-8CA2-B60D8C6E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542362717381988E-3"/>
          <c:y val="0"/>
          <c:w val="0.94185619819881805"/>
          <c:h val="0.89888587803016518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đồ'!$D$61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đồ'!$E$61:$AO$61</c15:sqref>
                  </c15:fullRef>
                </c:ext>
              </c:extLst>
              <c:f>('Vẽ Biểu đồ'!$E$61:$AH$61,'Vẽ Biểu đồ'!$AO$61)</c:f>
              <c:numCache>
                <c:formatCode>_(* #,##0_);_(* \(#,##0\);_(* "-"??_);_(@_)</c:formatCode>
                <c:ptCount val="31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1370</c:v>
                </c:pt>
                <c:pt idx="28">
                  <c:v>1470</c:v>
                </c:pt>
                <c:pt idx="29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7-4559-B072-06E695FE0DA7}"/>
            </c:ext>
          </c:extLst>
        </c:ser>
        <c:ser>
          <c:idx val="4"/>
          <c:order val="6"/>
          <c:tx>
            <c:strRef>
              <c:f>'Vẽ Biểu đồ'!$D$62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đồ'!$E$62:$AO$62</c15:sqref>
                  </c15:fullRef>
                </c:ext>
              </c:extLst>
              <c:f>('Vẽ Biểu đồ'!$E$62:$AH$62,'Vẽ Biểu đồ'!$AO$62)</c:f>
              <c:numCache>
                <c:formatCode>_(* #,##0_);_(* \(#,##0\);_(* "-"??_);_(@_)</c:formatCode>
                <c:ptCount val="31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  <c:pt idx="29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7-4559-B072-06E695FE0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đồ'!$D$52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97-4559-B072-06E695FE0DA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46E47E2-3EC7-43D5-8ABB-792685259D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97-4559-B072-06E695FE0D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683E1CE-46DE-4582-9216-BDE61FC826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97-4559-B072-06E695FE0D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227AA61-9308-4445-A057-9923EA4BC0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97-4559-B072-06E695FE0D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15B950-CDBA-4ACC-A0CD-0E2BA44450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97-4559-B072-06E695FE0D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C08093-AC1B-4384-91B9-49C6C2B331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97-4559-B072-06E695FE0DA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0763CD1-F8D0-492C-A208-463D39619F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97-4559-B072-06E695FE0DA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EBBD152-73E6-41C8-89F6-F2DB5FBB74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97-4559-B072-06E695FE0DA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73F3A1D-71BC-4374-A44A-B077E08880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97-4559-B072-06E695FE0DA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5382572-4FF6-412F-BA8B-3E785C8A55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97-4559-B072-06E695FE0DA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49933A3-D40C-45B0-88F2-B033CDDC8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97-4559-B072-06E695FE0DA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A180E00-2AEF-4131-831F-E870ACDCB6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97-4559-B072-06E695FE0DA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9E504C5-BE7F-47C1-9554-D467C04ED6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97-4559-B072-06E695FE0DA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7860B41-EA11-4424-8AD6-AE6AD16DC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C97-4559-B072-06E695FE0DA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81C8950-E0D1-408B-80FE-CD49DF9BF0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97-4559-B072-06E695FE0DA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843CD45-3D0D-4691-8F00-7FF609F2E4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C97-4559-B072-06E695FE0D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F589097-5AC0-4DDF-B9BA-BD55B435C3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C97-4559-B072-06E695FE0DA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D82E427-E553-480F-AD57-1409E8E685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C97-4559-B072-06E695FE0DA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43427DF-1249-40CA-A658-20590D0021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C97-4559-B072-06E695FE0DA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02BDF8A-CFFB-46C7-AD33-DBEB6D47C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DC97-4559-B072-06E695FE0DA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6CAD3F6-6AF7-41A7-9C04-B54C41C1A0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DC97-4559-B072-06E695FE0D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93EFA2E-EE34-4B40-98F9-28BDF5F51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DC97-4559-B072-06E695FE0DA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582D9C8-FDED-4068-9295-2CED47E1F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97-4559-B072-06E695FE0DA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6B4B90F-AB2C-4115-90D6-1E8FE7167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97-4559-B072-06E695FE0DA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B077F83-CA95-4E50-98B7-A3B18E8AC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DC97-4559-B072-06E695FE0DA7}"/>
                </c:ext>
              </c:extLst>
            </c:dLbl>
            <c:dLbl>
              <c:idx val="24"/>
              <c:layout>
                <c:manualLayout>
                  <c:x val="-2.5941316895912298E-2"/>
                  <c:y val="5.4715762273901812E-2"/>
                </c:manualLayout>
              </c:layout>
              <c:tx>
                <c:rich>
                  <a:bodyPr/>
                  <a:lstStyle/>
                  <a:p>
                    <a:fld id="{358A674A-7079-4363-98BB-39B125412B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DC97-4559-B072-06E695FE0DA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75A14D6-73FE-4D01-B6DE-DDC83F278F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97-4559-B072-06E695FE0DA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45E048A1-B35E-46F3-AA87-2E391302C2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97-4559-B072-06E695FE0DA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F9D8963-F2F7-49C8-AA77-3ABA2EF776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DC97-4559-B072-06E695FE0DA7}"/>
                </c:ext>
              </c:extLst>
            </c:dLbl>
            <c:dLbl>
              <c:idx val="28"/>
              <c:layout>
                <c:manualLayout>
                  <c:x val="-1.0951214396725773E-2"/>
                  <c:y val="-1.2033150360564026E-2"/>
                </c:manualLayout>
              </c:layout>
              <c:tx>
                <c:rich>
                  <a:bodyPr/>
                  <a:lstStyle/>
                  <a:p>
                    <a:fld id="{BFFF7430-30DC-4ED0-AFBF-416687B41F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DC97-4559-B072-06E695FE0DA7}"/>
                </c:ext>
              </c:extLst>
            </c:dLbl>
            <c:dLbl>
              <c:idx val="29"/>
              <c:layout>
                <c:manualLayout>
                  <c:x val="-2.6912040310567285E-2"/>
                  <c:y val="-1.8723538082021953E-2"/>
                </c:manualLayout>
              </c:layout>
              <c:tx>
                <c:rich>
                  <a:bodyPr/>
                  <a:lstStyle/>
                  <a:p>
                    <a:fld id="{762EC04D-F3D9-4FB9-96E0-2E38CEC6C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17F-4608-B6D0-950C6AA931F9}"/>
                </c:ext>
              </c:extLst>
            </c:dLbl>
            <c:dLbl>
              <c:idx val="30"/>
              <c:layout>
                <c:manualLayout>
                  <c:x val="-4.8701546352041651E-3"/>
                  <c:y val="-1.7870691238940205E-2"/>
                </c:manualLayout>
              </c:layout>
              <c:tx>
                <c:rich>
                  <a:bodyPr/>
                  <a:lstStyle/>
                  <a:p>
                    <a:fld id="{533078A2-6868-4B56-A02E-4F9F89D7C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C97-4559-B072-06E695FE0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đồ'!$E$52:$AH$52,'Vẽ Biểu đồ'!$AO$52)</c:f>
              <c:numCache>
                <c:formatCode>_(* #,##0_);_(* \(#,##0\);_(* "-"??_);_(@_)</c:formatCode>
                <c:ptCount val="31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1270</c:v>
                </c:pt>
                <c:pt idx="25">
                  <c:v>1270</c:v>
                </c:pt>
                <c:pt idx="26">
                  <c:v>1270</c:v>
                </c:pt>
                <c:pt idx="27">
                  <c:v>1270</c:v>
                </c:pt>
                <c:pt idx="28">
                  <c:v>1270</c:v>
                </c:pt>
                <c:pt idx="29">
                  <c:v>1270</c:v>
                </c:pt>
                <c:pt idx="30">
                  <c:v>1270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đồ'!$E$63:$AO$63</c15:f>
                <c15:dlblRangeCache>
                  <c:ptCount val="37"/>
                  <c:pt idx="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23">
                    <c:v> 1,348 </c:v>
                  </c:pt>
                  <c:pt idx="24">
                    <c:v> 1,270 </c:v>
                  </c:pt>
                  <c:pt idx="29">
                    <c:v> 1,270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1-DC97-4559-B072-06E695FE0DA7}"/>
            </c:ext>
          </c:extLst>
        </c:ser>
        <c:ser>
          <c:idx val="1"/>
          <c:order val="1"/>
          <c:tx>
            <c:strRef>
              <c:f>'Vẽ Biểu đồ'!$D$53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DC97-4559-B072-06E695FE0DA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380022E-0DC1-45C7-AFFC-A95A09D24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97-4559-B072-06E695FE0D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5F02332-6396-4C0B-A211-383E5CA8AB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97-4559-B072-06E695FE0D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281796-C5AF-40A5-BEBA-3A58FF9D48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97-4559-B072-06E695FE0D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E5F912-ECAE-4843-9F10-882EA79B0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97-4559-B072-06E695FE0D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410A1C1-9B15-4FC0-B66F-3D31D58480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DC97-4559-B072-06E695FE0DA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93D49D-5773-477E-B676-17E39AEE73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DC97-4559-B072-06E695FE0DA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1DABD79-2DE6-4783-9C1E-193255954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97-4559-B072-06E695FE0DA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1E6318B-678D-4FD3-9564-59CB9840E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97-4559-B072-06E695FE0DA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3098307-0BDB-473A-B078-77670A7280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97-4559-B072-06E695FE0DA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7C6919B-9CB4-475D-BA69-C3E388D61D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97-4559-B072-06E695FE0DA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D776B96-F587-42ED-8ED2-9DD3C86F5F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97-4559-B072-06E695FE0DA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B3EE415-4883-44B1-8933-BFD3E0DE3D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97-4559-B072-06E695FE0DA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D0CC231-0D34-4DD6-BC0C-A51205A6C1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97-4559-B072-06E695FE0DA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520284C-A8B0-47DC-81DE-3D15A20B01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97-4559-B072-06E695FE0DA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FB845DD-BD71-47C2-A8CB-67DBCF5622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97-4559-B072-06E695FE0D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C371DF0-9E2E-4871-A57C-9033885ED3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97-4559-B072-06E695FE0DA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C54DFF6-5592-43E4-ABA8-C6875A3B0F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97-4559-B072-06E695FE0DA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76A31BA-E374-4CF4-9FED-59DBC37DD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DC97-4559-B072-06E695FE0DA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2AAE98F-D454-4868-8CA8-E93D157072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97-4559-B072-06E695FE0DA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78695C8-8748-4650-A999-7BF0ED4F76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DC97-4559-B072-06E695FE0D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718F40D-18E9-41CC-8A32-7B9C8C1677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DC97-4559-B072-06E695FE0DA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D15D4FE-AD23-4AD0-BB48-5C404D01AE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97-4559-B072-06E695FE0DA7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DC97-4559-B072-06E695FE0DA7}"/>
                </c:ext>
              </c:extLst>
            </c:dLbl>
            <c:dLbl>
              <c:idx val="23"/>
              <c:layout>
                <c:manualLayout>
                  <c:x val="-3.7720636693736334E-2"/>
                  <c:y val="-2.2416020671834624E-2"/>
                </c:manualLayout>
              </c:layout>
              <c:tx>
                <c:rich>
                  <a:bodyPr/>
                  <a:lstStyle/>
                  <a:p>
                    <a:fld id="{F7FF35D1-1515-4150-9EBE-766E901AB5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DC97-4559-B072-06E695FE0DA7}"/>
                </c:ext>
              </c:extLst>
            </c:dLbl>
            <c:dLbl>
              <c:idx val="24"/>
              <c:layout>
                <c:manualLayout>
                  <c:x val="-3.320665725415535E-2"/>
                  <c:y val="1.6343630838100313E-2"/>
                </c:manualLayout>
              </c:layout>
              <c:tx>
                <c:rich>
                  <a:bodyPr/>
                  <a:lstStyle/>
                  <a:p>
                    <a:fld id="{7DBC584D-B3FF-4535-A533-334723CD5F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DC97-4559-B072-06E695FE0DA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4256440-0862-4A84-B53B-5278542F13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97-4559-B072-06E695FE0DA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B713D69-975F-4413-B50D-1E6ADCB4F2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97-4559-B072-06E695FE0DA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15FF44F-97F2-4FB2-968F-4F12A01EE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DC97-4559-B072-06E695FE0DA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F104C2B-190F-4629-81EC-6962CEA84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97-4559-B072-06E695FE0DA7}"/>
                </c:ext>
              </c:extLst>
            </c:dLbl>
            <c:dLbl>
              <c:idx val="29"/>
              <c:layout>
                <c:manualLayout>
                  <c:x val="-2.4490263695242105E-2"/>
                  <c:y val="3.0255990788903491E-2"/>
                </c:manualLayout>
              </c:layout>
              <c:tx>
                <c:rich>
                  <a:bodyPr/>
                  <a:lstStyle/>
                  <a:p>
                    <a:fld id="{93CCA39E-68FF-4671-86BB-D1B40CE6D2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17F-4608-B6D0-950C6AA931F9}"/>
                </c:ext>
              </c:extLst>
            </c:dLbl>
            <c:dLbl>
              <c:idx val="30"/>
              <c:layout>
                <c:manualLayout>
                  <c:x val="-6.6598999483834798E-3"/>
                  <c:y val="3.600957645023705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6D1A755-D1BB-4185-88DB-29D6BFC6E4F4}" type="CELLRANGE">
                      <a:rPr lang="en-US"/>
                      <a:pPr>
                        <a:defRPr sz="10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132901761299015E-2"/>
                      <c:h val="6.81055615781716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DC97-4559-B072-06E695FE0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đồ'!$E$53:$AH$53,'Vẽ Biểu đồ'!$AO$53)</c:f>
              <c:numCache>
                <c:formatCode>_(* #,##0_);_(* \(#,##0\);_(* "-"??_);_(@_)</c:formatCode>
                <c:ptCount val="31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1128</c:v>
                </c:pt>
                <c:pt idx="25">
                  <c:v>1128</c:v>
                </c:pt>
                <c:pt idx="26">
                  <c:v>1128</c:v>
                </c:pt>
                <c:pt idx="27">
                  <c:v>1128</c:v>
                </c:pt>
                <c:pt idx="28">
                  <c:v>1128</c:v>
                </c:pt>
                <c:pt idx="29">
                  <c:v>1128</c:v>
                </c:pt>
                <c:pt idx="30">
                  <c:v>1128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đồ'!$E$64:$AO$64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24">
                    <c:v> 1,128 </c:v>
                  </c:pt>
                  <c:pt idx="29">
                    <c:v> 1,128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1-DC97-4559-B072-06E695FE0DA7}"/>
            </c:ext>
          </c:extLst>
        </c:ser>
        <c:ser>
          <c:idx val="2"/>
          <c:order val="2"/>
          <c:tx>
            <c:strRef>
              <c:f>'Vẽ Biểu đồ'!$D$54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DC97-4559-B072-06E695FE0DA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06FB685-B9F9-45A7-9E79-EBAE91DE3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97-4559-B072-06E695FE0D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3530FB-D0C3-4AB1-8D1C-A61B6344B1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97-4559-B072-06E695FE0D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F678D5A-2CB4-4906-8AD5-AF59AB6298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97-4559-B072-06E695FE0D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6D406F3-0B4B-4BA1-98ED-3559C75CDC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97-4559-B072-06E695FE0D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8C9AD07-C588-45C4-8D58-6D14C2D3E3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97-4559-B072-06E695FE0DA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B5FD8BD-4F2A-44AF-9617-8CDE833505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97-4559-B072-06E695FE0DA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4439C82-A2F2-46CA-A876-DD9B7CA4D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97-4559-B072-06E695FE0DA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A55627E-F51C-4847-9A47-B36909B3D9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97-4559-B072-06E695FE0DA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7233694-1487-4FE3-BD8C-531470E6FA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97-4559-B072-06E695FE0DA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131CB47-2BFB-479A-A7AE-84E7143E22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97-4559-B072-06E695FE0DA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7E750C8-E88C-4CE5-A534-2F328C870D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97-4559-B072-06E695FE0DA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C016E07-4173-47C5-8114-DB86D6739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97-4559-B072-06E695FE0DA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C8053AD-51D8-439C-803E-BAD3A26929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97-4559-B072-06E695FE0DA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360152D-E41B-495B-9FC7-C9853D87E9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97-4559-B072-06E695FE0DA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1E2BDAE-33C1-4EDE-A67A-1549A02782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97-4559-B072-06E695FE0D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9CD4DB4-7AEB-4AB8-9100-C932D978D8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97-4559-B072-06E695FE0DA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46F22FB-1074-4C73-81AD-76DE6F2C6F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97-4559-B072-06E695FE0DA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D2761F8-3648-4895-83E6-D7EA9F06A6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97-4559-B072-06E695FE0DA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284711E-D26B-43A0-B44A-EE1E4894AF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97-4559-B072-06E695FE0DA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CE9E51B-C3DC-4715-8EEF-94004AD37A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97-4559-B072-06E695FE0D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267A2A1-C1FC-4158-92E6-46633FB985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97-4559-B072-06E695FE0DA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0F624D4-E835-4102-85FE-984452C28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97-4559-B072-06E695FE0DA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9391319-63CE-45BE-9C13-E3E07BF007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97-4559-B072-06E695FE0DA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507E260-3828-4986-BF92-D3B2CE27D6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97-4559-B072-06E695FE0D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FE0CF93-ECC3-40A0-84E3-4F92B15F5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97-4559-B072-06E695FE0DA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F9AE2AD-B529-427E-8277-D46870C7E8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97-4559-B072-06E695FE0DA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9968E35-27CC-48B7-B59B-A2E3BD6C4A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97-4559-B072-06E695FE0DA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F2C5E3C-DCFA-4516-9CB4-85B7B90AD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97-4559-B072-06E695FE0DA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732454F-8F87-4EA0-BAD7-BE178C94F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97-4559-B072-06E695FE0DA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99FBE13-9B8A-49A2-8EA2-003310F949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17F-4608-B6D0-950C6AA931F9}"/>
                </c:ext>
              </c:extLst>
            </c:dLbl>
            <c:dLbl>
              <c:idx val="30"/>
              <c:layout>
                <c:manualLayout>
                  <c:x val="-4.8435532306500047E-3"/>
                  <c:y val="4.27181310172981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CD893C8-9590-4E06-8DD5-EE4B0A5D1AB6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DC97-4559-B072-06E695FE0DA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đồ'!$E$54:$AH$54,'Vẽ Biểu đồ'!$AO$54)</c:f>
              <c:numCache>
                <c:formatCode>_(* #,##0_);_(* \(#,##0\);_(* "-"??_);_(@_)</c:formatCode>
                <c:ptCount val="31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1370</c:v>
                </c:pt>
                <c:pt idx="28">
                  <c:v>1470</c:v>
                </c:pt>
                <c:pt idx="29">
                  <c:v>1440</c:v>
                </c:pt>
                <c:pt idx="30">
                  <c:v>1440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đồ'!$E$65:$AO$65</c15:f>
                <c15:dlblRangeCache>
                  <c:ptCount val="37"/>
                  <c:pt idx="0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24">
                    <c:v> 1,250 </c:v>
                  </c:pt>
                  <c:pt idx="26">
                    <c:v> 1,250 </c:v>
                  </c:pt>
                  <c:pt idx="27">
                    <c:v> 1,370 </c:v>
                  </c:pt>
                  <c:pt idx="28">
                    <c:v> 1,470 </c:v>
                  </c:pt>
                  <c:pt idx="29">
                    <c:v> 1,440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1-DC97-4559-B072-06E695FE0DA7}"/>
            </c:ext>
          </c:extLst>
        </c:ser>
        <c:ser>
          <c:idx val="3"/>
          <c:order val="3"/>
          <c:tx>
            <c:strRef>
              <c:f>'Vẽ Biểu đồ'!$D$55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DC97-4559-B072-06E695FE0DA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A908E2C-C93D-4056-877C-9CC7630C8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97-4559-B072-06E695FE0D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58883E-ADEA-4EFE-B3AC-7C527714D5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97-4559-B072-06E695FE0D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373B9CF-CD83-4577-BB70-9908CB08E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97-4559-B072-06E695FE0D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DE49783-6135-4698-A20D-DC656C85E4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97-4559-B072-06E695FE0D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A6EE796-7815-4246-91B2-9D3C7374CC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97-4559-B072-06E695FE0DA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64C69C9-187A-4722-853B-5B151FAC5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97-4559-B072-06E695FE0DA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2D1C2D6-59A7-498B-8521-6EF03C56D1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97-4559-B072-06E695FE0DA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BFE5330-E449-4150-826F-B0577632F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97-4559-B072-06E695FE0DA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61BA549-4C77-47BD-B343-8BC7ED53C0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97-4559-B072-06E695FE0DA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FAB566E-A8F3-40CB-ACA1-042B31A84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97-4559-B072-06E695FE0DA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7E008EE-E8BC-49BA-973B-CABE83B26E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97-4559-B072-06E695FE0DA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F48C314-8CBD-46AD-83BD-68E30DEDAD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97-4559-B072-06E695FE0DA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622E276-84FE-4F9F-801A-59C4549D53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97-4559-B072-06E695FE0DA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5CBC455-9481-4013-985F-65C3E5F861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97-4559-B072-06E695FE0DA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2F69932-65CA-48E8-B1E1-11C5674B8F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97-4559-B072-06E695FE0D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F87813B-CBA9-414D-AFD5-61ACAE79E9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97-4559-B072-06E695FE0DA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8203C7C-25E9-4735-BE24-191BCD1FD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97-4559-B072-06E695FE0DA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D61A79C-97D6-432C-9DEE-5BF5B4A85A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97-4559-B072-06E695FE0DA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1AA1E5D-D540-4233-A05D-E3D6D6E13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97-4559-B072-06E695FE0DA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D98065B-A464-4DE3-AFE9-53F60129AC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97-4559-B072-06E695FE0D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F33DC8C-0313-48E1-B969-FB555B9BF4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97-4559-B072-06E695FE0DA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F6168D8-798A-4461-9408-DE03D98320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C97-4559-B072-06E695FE0DA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2D7AF08-826D-45B4-86F7-7D6F5F5656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C97-4559-B072-06E695FE0DA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9CB47DE-8B8F-435C-8C9C-3D24490D9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C97-4559-B072-06E695FE0D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297E09C-FE1E-4A0C-8E9F-35133F5597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C97-4559-B072-06E695FE0DA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0BFE5EB-8BAE-4B33-852F-B9A412485E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C97-4559-B072-06E695FE0DA7}"/>
                </c:ext>
              </c:extLst>
            </c:dLbl>
            <c:dLbl>
              <c:idx val="26"/>
              <c:layout>
                <c:manualLayout>
                  <c:x val="-3.4177370156542201E-2"/>
                  <c:y val="-4.5430956735541227E-2"/>
                </c:manualLayout>
              </c:layout>
              <c:tx>
                <c:rich>
                  <a:bodyPr/>
                  <a:lstStyle/>
                  <a:p>
                    <a:fld id="{6D27EAEB-E7C8-4171-B7AF-DE306285D6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DC97-4559-B072-06E695FE0DA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D0F8888-AECB-4270-B9EC-A68FA51E16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DC97-4559-B072-06E695FE0DA7}"/>
                </c:ext>
              </c:extLst>
            </c:dLbl>
            <c:dLbl>
              <c:idx val="28"/>
              <c:layout>
                <c:manualLayout>
                  <c:x val="-1.2852231468688751E-2"/>
                  <c:y val="-2.1526208158432893E-2"/>
                </c:manualLayout>
              </c:layout>
              <c:tx>
                <c:rich>
                  <a:bodyPr/>
                  <a:lstStyle/>
                  <a:p>
                    <a:fld id="{D4E69D3A-E56F-4109-8D65-4080BA4C6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0-DC97-4559-B072-06E695FE0DA7}"/>
                </c:ext>
              </c:extLst>
            </c:dLbl>
            <c:dLbl>
              <c:idx val="29"/>
              <c:layout>
                <c:manualLayout>
                  <c:x val="-2.5701152002904605E-2"/>
                  <c:y val="2.3176222524833357E-2"/>
                </c:manualLayout>
              </c:layout>
              <c:tx>
                <c:rich>
                  <a:bodyPr/>
                  <a:lstStyle/>
                  <a:p>
                    <a:fld id="{B1F9B4D7-955E-4951-A574-8E44556F3B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117F-4608-B6D0-950C6AA931F9}"/>
                </c:ext>
              </c:extLst>
            </c:dLbl>
            <c:dLbl>
              <c:idx val="30"/>
              <c:layout>
                <c:manualLayout>
                  <c:x val="-2.677548222643491E-4"/>
                  <c:y val="-4.305072133984543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A19000F-D00C-4C23-82FB-EDD0E405222B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911494001912487E-2"/>
                      <c:h val="0.1069428801219027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DC97-4559-B072-06E695FE0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đồ'!$E$55:$AH$55,'Vẽ Biểu đồ'!$AO$55)</c:f>
              <c:numCache>
                <c:formatCode>_(* #,##0_);_(* \(#,##0\);_(* "-"??_);_(@_)</c:formatCode>
                <c:ptCount val="31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  <c:pt idx="28">
                  <c:v>1216</c:v>
                </c:pt>
                <c:pt idx="29">
                  <c:v>1190</c:v>
                </c:pt>
                <c:pt idx="30">
                  <c:v>1190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đồ'!$E$66:$AO$66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1,194 </c:v>
                  </c:pt>
                  <c:pt idx="28">
                    <c:v> 1,216 </c:v>
                  </c:pt>
                  <c:pt idx="29">
                    <c:v> 1,190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1-DC97-4559-B072-06E695FE0DA7}"/>
            </c:ext>
          </c:extLst>
        </c:ser>
        <c:ser>
          <c:idx val="6"/>
          <c:order val="4"/>
          <c:tx>
            <c:strRef>
              <c:f>'Vẽ Biểu đồ'!$D$59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đồ'!$E$36:$AH$36,'Vẽ Biểu đồ'!$AO$36)</c:f>
                <c:numCache>
                  <c:formatCode>General</c:formatCode>
                  <c:ptCount val="31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  <c:pt idx="29">
                    <c:v>190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đồ'!$E$56:$AO$56</c15:sqref>
                    </c15:fullRef>
                  </c:ext>
                </c:extLst>
                <c:f>('Vẽ Biểu đồ'!$E$56:$AH$56,'Vẽ Biểu đồ'!$AO$56)</c:f>
                <c:numCache>
                  <c:formatCode>General</c:formatCode>
                  <c:ptCount val="31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517.5</c:v>
                  </c:pt>
                  <c:pt idx="24">
                    <c:v>445</c:v>
                  </c:pt>
                  <c:pt idx="25">
                    <c:v>410</c:v>
                  </c:pt>
                  <c:pt idx="26">
                    <c:v>141</c:v>
                  </c:pt>
                  <c:pt idx="27">
                    <c:v>176</c:v>
                  </c:pt>
                  <c:pt idx="28">
                    <c:v>254</c:v>
                  </c:pt>
                  <c:pt idx="29">
                    <c:v>250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đồ'!$E$59:$AO$59</c15:sqref>
                  </c15:fullRef>
                </c:ext>
              </c:extLst>
              <c:f>('Vẽ Biểu đồ'!$E$59:$AH$59,'Vẽ Biểu đồ'!$AO$59)</c:f>
              <c:numCache>
                <c:formatCode>_(* #,##0_);_(* \(#,##0\);_(* "-"??_);_(@_)</c:formatCode>
                <c:ptCount val="31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1250</c:v>
                </c:pt>
                <c:pt idx="25">
                  <c:v>1250</c:v>
                </c:pt>
                <c:pt idx="26">
                  <c:v>1250</c:v>
                </c:pt>
                <c:pt idx="27">
                  <c:v>1370</c:v>
                </c:pt>
                <c:pt idx="28">
                  <c:v>1470</c:v>
                </c:pt>
                <c:pt idx="29">
                  <c:v>1440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C97-4559-B072-06E695FE0DA7}"/>
            </c:ext>
          </c:extLst>
        </c:ser>
        <c:ser>
          <c:idx val="7"/>
          <c:order val="7"/>
          <c:tx>
            <c:strRef>
              <c:f>'Vẽ Biểu đồ'!$D$60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776A1022-79B6-48A9-8AA0-B659816D1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C97-4559-B072-06E695FE0D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BBA8138-A837-4D87-B013-4608F3E991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C97-4559-B072-06E695FE0D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F9B905D-1233-43A2-A4EA-342150D7CB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C97-4559-B072-06E695FE0D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0CE3C86-4EAB-407A-8D66-F0C8CD051A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C97-4559-B072-06E695FE0D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CD0274D-6DDF-4B3E-8577-0E11927AA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C97-4559-B072-06E695FE0DA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9381042-C914-4EF6-8ED4-8C045516A6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C97-4559-B072-06E695FE0DA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3EAD93D-29D2-45D1-A4AF-3D5853FCC0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C97-4559-B072-06E695FE0DA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2D4488D-AA02-48E0-9358-A011711FF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C97-4559-B072-06E695FE0DA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0E5DCDD-EBD8-4741-A6E0-2B94CCDECB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C97-4559-B072-06E695FE0DA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6457956-08AC-4B48-A676-0E39AEA0CE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C97-4559-B072-06E695FE0DA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D0F1914-2797-40A4-96AF-CC12D8AE3F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C97-4559-B072-06E695FE0DA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245EEA5-6FB0-40DE-8C83-B17A8AF06A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C97-4559-B072-06E695FE0DA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DB10BDF-B889-47B5-A498-8A468EFCC4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C97-4559-B072-06E695FE0DA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D33C5E3-C4BE-4097-ABA5-494BEBF959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C97-4559-B072-06E695FE0DA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81FEAB3-4FC4-4E3D-BF97-640BA2A3D9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DC97-4559-B072-06E695FE0D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FB90687-0EAA-433D-8C82-5D49537C4C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C97-4559-B072-06E695FE0DA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0D529CA-629D-401B-9E07-DFFFF7F1FE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C97-4559-B072-06E695FE0DA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4310D97-5F55-4A2E-A782-23BB8996E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C97-4559-B072-06E695FE0DA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74CA0DA-BA59-4BCF-8D33-640F43C8E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C97-4559-B072-06E695FE0DA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488B89E-4BF3-4C85-A0A7-DE1CC0B0AE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C97-4559-B072-06E695FE0D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B8134D2-9381-4186-A0DA-C1D5E4EA2C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C97-4559-B072-06E695FE0DA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FF7A6C4-A976-491A-BC76-2852BFEF4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C97-4559-B072-06E695FE0DA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B1FBB42-483A-4898-8645-416FE349F7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C97-4559-B072-06E695FE0DA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12A725F-2944-4458-B194-712470D68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C97-4559-B072-06E695FE0D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4D3524B-8A53-4026-BC03-624CED4A5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C97-4559-B072-06E695FE0DA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B729757-93B4-40C7-8C9D-767B2B77C8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C97-4559-B072-06E695FE0DA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22EB789-AFDB-4245-B2F9-576925C2C7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C97-4559-B072-06E695FE0DA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82C3A11-CB59-424E-B83B-8B765C3E74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C97-4559-B072-06E695FE0DA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67685EC-F815-42F2-9AD1-3E211FB0F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C97-4559-B072-06E695FE0DA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C6AA5EF-4BB9-45A2-8DCE-3441D97568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17F-4608-B6D0-950C6AA931F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C97-4559-B072-06E695FE0DA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đồ'!$E$60:$AO$60</c15:sqref>
                  </c15:fullRef>
                </c:ext>
              </c:extLst>
              <c:f>('Vẽ Biểu đồ'!$E$60:$AH$60,'Vẽ Biểu đồ'!$AO$60)</c:f>
              <c:numCache>
                <c:formatCode>_(* #,##0_);_(* \(#,##0\);_(* "-"??_);_(@_)</c:formatCode>
                <c:ptCount val="31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1031.25</c:v>
                </c:pt>
                <c:pt idx="24">
                  <c:v>1027.5</c:v>
                </c:pt>
                <c:pt idx="25">
                  <c:v>1045</c:v>
                </c:pt>
                <c:pt idx="26">
                  <c:v>1179.5</c:v>
                </c:pt>
                <c:pt idx="27">
                  <c:v>1282</c:v>
                </c:pt>
                <c:pt idx="28">
                  <c:v>1343</c:v>
                </c:pt>
                <c:pt idx="29">
                  <c:v>1315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+44.1%</c:v>
                  </c:pt>
                  <c:pt idx="1">
                    <c:v>+42.0%</c:v>
                  </c:pt>
                  <c:pt idx="2">
                    <c:v>+42.6%</c:v>
                  </c:pt>
                  <c:pt idx="3">
                    <c:v>+42.6%</c:v>
                  </c:pt>
                  <c:pt idx="4">
                    <c:v>+47.6%</c:v>
                  </c:pt>
                  <c:pt idx="5">
                    <c:v>+46.3%</c:v>
                  </c:pt>
                  <c:pt idx="6">
                    <c:v>+46.7%</c:v>
                  </c:pt>
                  <c:pt idx="7">
                    <c:v>+49.5%</c:v>
                  </c:pt>
                  <c:pt idx="8">
                    <c:v>+59.1%</c:v>
                  </c:pt>
                  <c:pt idx="9">
                    <c:v>+64.1%</c:v>
                  </c:pt>
                  <c:pt idx="10">
                    <c:v>+66.1%</c:v>
                  </c:pt>
                  <c:pt idx="11">
                    <c:v>+64.5%</c:v>
                  </c:pt>
                  <c:pt idx="12">
                    <c:v>+59.4%</c:v>
                  </c:pt>
                  <c:pt idx="13">
                    <c:v>+52.4%</c:v>
                  </c:pt>
                  <c:pt idx="14">
                    <c:v>+60.4%</c:v>
                  </c:pt>
                  <c:pt idx="15">
                    <c:v>+75.2%</c:v>
                  </c:pt>
                  <c:pt idx="16">
                    <c:v>+71.4%</c:v>
                  </c:pt>
                  <c:pt idx="17">
                    <c:v>+65.9%</c:v>
                  </c:pt>
                  <c:pt idx="18">
                    <c:v>+67.1%</c:v>
                  </c:pt>
                  <c:pt idx="19">
                    <c:v>+64.8%</c:v>
                  </c:pt>
                  <c:pt idx="20">
                    <c:v>+67.3%</c:v>
                  </c:pt>
                  <c:pt idx="21">
                    <c:v>+68.4%</c:v>
                  </c:pt>
                  <c:pt idx="22">
                    <c:v>+67.5%</c:v>
                  </c:pt>
                  <c:pt idx="23">
                    <c:v>+67.0%</c:v>
                  </c:pt>
                  <c:pt idx="24">
                    <c:v>+55.3%</c:v>
                  </c:pt>
                  <c:pt idx="25">
                    <c:v>+48.8%</c:v>
                  </c:pt>
                  <c:pt idx="26">
                    <c:v>+12.7%</c:v>
                  </c:pt>
                  <c:pt idx="27">
                    <c:v>+14.7%</c:v>
                  </c:pt>
                  <c:pt idx="28">
                    <c:v>+20.9%</c:v>
                  </c:pt>
                  <c:pt idx="29">
                    <c:v>+21.0%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1-DC97-4559-B072-06E695FE0DA7}"/>
            </c:ext>
          </c:extLst>
        </c:ser>
        <c:ser>
          <c:idx val="8"/>
          <c:order val="8"/>
          <c:tx>
            <c:v>Đơn giá vốn</c:v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F-DC97-4559-B072-06E695FE0DA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21DFC9A-6082-44FD-B953-F5187A1ECE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C97-4559-B072-06E695FE0DA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C5D5274-EABA-4EA9-AC4D-030E735133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C97-4559-B072-06E695FE0DA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89A593-54C1-472C-A646-8BE8E7176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C97-4559-B072-06E695FE0DA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16AF93-F294-448E-9E0E-6300031A24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C97-4559-B072-06E695FE0D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0F44D4-CB38-4556-B289-C4510EEA6D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C97-4559-B072-06E695FE0DA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14F77B2-C1D3-4CEB-95AC-88B7A313A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C97-4559-B072-06E695FE0DA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E36429A-2231-42E9-B993-D352B2A044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C97-4559-B072-06E695FE0DA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ACC9A08-BE25-432C-B9CD-A3F38BF816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C97-4559-B072-06E695FE0DA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75C6C2F-3E71-4D8D-8AF6-DF053516BB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C97-4559-B072-06E695FE0DA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51A7EA8-445D-44C0-A377-22E2EC4F92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C97-4559-B072-06E695FE0DA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084190A-C0F5-4BEE-933F-D38A9C2ECE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C97-4559-B072-06E695FE0DA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83F9394-62F3-4231-80E0-92FCAB546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C97-4559-B072-06E695FE0DA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77F26E5-DFBC-495E-8162-A514D2E003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E-DC97-4559-B072-06E695FE0DA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C042E7E-C595-4C0E-88C0-491F3F6575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F-DC97-4559-B072-06E695FE0DA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1BE941D-3FA4-4970-B509-EFBE4C5EC2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0-DC97-4559-B072-06E695FE0D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1C3E6F7-AC31-4B25-9700-9345B57DB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1-DC97-4559-B072-06E695FE0DA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C00F10F-FDE6-49B5-8FD4-0BD3B9D4D0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2-DC97-4559-B072-06E695FE0DA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A52B9B7-267B-4674-A605-70F09778F2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3-DC97-4559-B072-06E695FE0DA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E816367-C99C-4D28-BA9D-96EB444AF7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C97-4559-B072-06E695FE0DA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9E28D43-DAE5-438D-B4B2-C184738F00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C97-4559-B072-06E695FE0D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C087EC8-8820-4BE2-92C1-73DB4B5EDD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C97-4559-B072-06E695FE0DA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F4DE32C-0A7A-4ADD-BEF3-2FADAC27D6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C97-4559-B072-06E695FE0DA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A2FEE70-784C-45EC-82D8-411504C2C4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C97-4559-B072-06E695FE0DA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B9C86D8-8050-4CBB-B695-077542F968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C97-4559-B072-06E695FE0D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60A093F-6FBE-4D29-BE36-0DF79C635E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C97-4559-B072-06E695FE0DA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F3357B8-1EB0-4752-97E6-120F0B19B2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C97-4559-B072-06E695FE0DA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933498E-F991-44FB-8EE8-769D1290B9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C97-4559-B072-06E695FE0DA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03FC6EB-FA1F-4F44-A9CF-2E80D2066C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D-DC97-4559-B072-06E695FE0DA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5A76235-2954-48D3-8A3C-C83F15F681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E-DC97-4559-B072-06E695FE0DA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9EFD3EF-A887-4F87-A72C-1F9A0A8C3C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17F-4608-B6D0-950C6AA931F9}"/>
                </c:ext>
              </c:extLst>
            </c:dLbl>
            <c:dLbl>
              <c:idx val="30"/>
              <c:layout>
                <c:manualLayout>
                  <c:x val="5.7611582283903021E-3"/>
                  <c:y val="0"/>
                </c:manualLayout>
              </c:layout>
              <c:tx>
                <c:rich>
                  <a:bodyPr/>
                  <a:lstStyle/>
                  <a:p>
                    <a:fld id="{20FC5303-1A92-48FA-A7EC-2D39C43805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F-DC97-4559-B072-06E695FE0DA7}"/>
                </c:ext>
              </c:extLst>
            </c:dLbl>
            <c:spPr>
              <a:solidFill>
                <a:schemeClr val="bg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đồ'!$E$50:$AO$51</c15:sqref>
                  </c15:fullRef>
                </c:ext>
              </c:extLst>
              <c:f>'Vẽ Biểu đồ'!$E$50:$AO$51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đồ'!$E$58:$AO$58</c15:sqref>
                  </c15:fullRef>
                </c:ext>
              </c:extLst>
              <c:f>('Vẽ Biểu đồ'!$E$58:$AH$58,'Vẽ Biểu đồ'!$AO$58)</c:f>
              <c:numCache>
                <c:formatCode>_(* #,##0_);_(* \(#,##0\);_(* "-"??_);_(@_)</c:formatCode>
                <c:ptCount val="31"/>
                <c:pt idx="0">
                  <c:v>880.33848704787545</c:v>
                </c:pt>
                <c:pt idx="1">
                  <c:v>947.31179982774756</c:v>
                </c:pt>
                <c:pt idx="2">
                  <c:v>966.27318467960504</c:v>
                </c:pt>
                <c:pt idx="3">
                  <c:v>980.77936302072919</c:v>
                </c:pt>
                <c:pt idx="4">
                  <c:v>967.82250073020077</c:v>
                </c:pt>
                <c:pt idx="5">
                  <c:v>1011.9356512580744</c:v>
                </c:pt>
                <c:pt idx="6">
                  <c:v>1089.0598357671304</c:v>
                </c:pt>
                <c:pt idx="7">
                  <c:v>1264.8473525085633</c:v>
                </c:pt>
                <c:pt idx="8">
                  <c:v>1218.9628015433689</c:v>
                </c:pt>
                <c:pt idx="9">
                  <c:v>1139.3975516123485</c:v>
                </c:pt>
                <c:pt idx="10">
                  <c:v>1090.7278051641201</c:v>
                </c:pt>
                <c:pt idx="11">
                  <c:v>1040.6405733521958</c:v>
                </c:pt>
                <c:pt idx="12">
                  <c:v>1062.0596535020959</c:v>
                </c:pt>
                <c:pt idx="13">
                  <c:v>1050.5399345350836</c:v>
                </c:pt>
                <c:pt idx="14">
                  <c:v>1043.8236805863789</c:v>
                </c:pt>
                <c:pt idx="15">
                  <c:v>1037.9359024671041</c:v>
                </c:pt>
                <c:pt idx="16">
                  <c:v>1079.6748003962055</c:v>
                </c:pt>
                <c:pt idx="17">
                  <c:v>1084.8367854862827</c:v>
                </c:pt>
                <c:pt idx="18">
                  <c:v>1106.8757753560922</c:v>
                </c:pt>
                <c:pt idx="19">
                  <c:v>1128.0026608964822</c:v>
                </c:pt>
                <c:pt idx="20">
                  <c:v>1128.9923021456009</c:v>
                </c:pt>
                <c:pt idx="21">
                  <c:v>1204.4535160023672</c:v>
                </c:pt>
                <c:pt idx="22">
                  <c:v>1165.3419666004643</c:v>
                </c:pt>
                <c:pt idx="23">
                  <c:v>1056.9766258906379</c:v>
                </c:pt>
                <c:pt idx="24">
                  <c:v>1088.6035323142667</c:v>
                </c:pt>
                <c:pt idx="25">
                  <c:v>1116.9493384675891</c:v>
                </c:pt>
                <c:pt idx="26">
                  <c:v>1107.3320452331352</c:v>
                </c:pt>
                <c:pt idx="27">
                  <c:v>1054.3268308156362</c:v>
                </c:pt>
                <c:pt idx="28">
                  <c:v>1136.4181322148222</c:v>
                </c:pt>
                <c:pt idx="29">
                  <c:v>1136.4181322148222</c:v>
                </c:pt>
                <c:pt idx="30">
                  <c:v>1136.4181322148222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đồ'!$E$67:$AO$67</c15:f>
                <c15:dlblRangeCache>
                  <c:ptCount val="37"/>
                  <c:pt idx="0">
                    <c:v> 880 </c:v>
                  </c:pt>
                  <c:pt idx="1">
                    <c:v> 947 </c:v>
                  </c:pt>
                  <c:pt idx="2">
                    <c:v> 966 </c:v>
                  </c:pt>
                  <c:pt idx="3">
                    <c:v> 981 </c:v>
                  </c:pt>
                  <c:pt idx="4">
                    <c:v> 968 </c:v>
                  </c:pt>
                  <c:pt idx="5">
                    <c:v> 1,012 </c:v>
                  </c:pt>
                  <c:pt idx="6">
                    <c:v> 1,089 </c:v>
                  </c:pt>
                  <c:pt idx="7">
                    <c:v> 1,265 </c:v>
                  </c:pt>
                  <c:pt idx="8">
                    <c:v> 1,219 </c:v>
                  </c:pt>
                  <c:pt idx="9">
                    <c:v> 1,139 </c:v>
                  </c:pt>
                  <c:pt idx="10">
                    <c:v> 1,091 </c:v>
                  </c:pt>
                  <c:pt idx="11">
                    <c:v> 1,041 </c:v>
                  </c:pt>
                  <c:pt idx="12">
                    <c:v> 1,062 </c:v>
                  </c:pt>
                  <c:pt idx="13">
                    <c:v> 1,051 </c:v>
                  </c:pt>
                  <c:pt idx="14">
                    <c:v> 1,044 </c:v>
                  </c:pt>
                  <c:pt idx="15">
                    <c:v> 1,038 </c:v>
                  </c:pt>
                  <c:pt idx="16">
                    <c:v> 1,080 </c:v>
                  </c:pt>
                  <c:pt idx="17">
                    <c:v> 1,085 </c:v>
                  </c:pt>
                  <c:pt idx="18">
                    <c:v> 1,107 </c:v>
                  </c:pt>
                  <c:pt idx="19">
                    <c:v> 1,128 </c:v>
                  </c:pt>
                  <c:pt idx="20">
                    <c:v> 1,129 </c:v>
                  </c:pt>
                  <c:pt idx="21">
                    <c:v> 1,204 </c:v>
                  </c:pt>
                  <c:pt idx="22">
                    <c:v> 1,165 </c:v>
                  </c:pt>
                  <c:pt idx="23">
                    <c:v> 1,057 </c:v>
                  </c:pt>
                  <c:pt idx="24">
                    <c:v> 1,089 </c:v>
                  </c:pt>
                  <c:pt idx="25">
                    <c:v> 1,117 </c:v>
                  </c:pt>
                  <c:pt idx="26">
                    <c:v> 1,107 </c:v>
                  </c:pt>
                  <c:pt idx="27">
                    <c:v> 1,054 </c:v>
                  </c:pt>
                  <c:pt idx="28">
                    <c:v> 1,136 </c:v>
                  </c:pt>
                  <c:pt idx="29">
                    <c:v> 1,136 </c:v>
                  </c:pt>
                  <c:pt idx="36">
                    <c:v>Giá vốn (*)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C0-DC97-4559-B072-06E695FE0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3686388583161118"/>
          <c:h val="0.89778090560948087"/>
        </c:manualLayout>
      </c:layout>
      <c:areaChart>
        <c:grouping val="standard"/>
        <c:varyColors val="0"/>
        <c:ser>
          <c:idx val="5"/>
          <c:order val="2"/>
          <c:tx>
            <c:strRef>
              <c:f>'Vẽ Biểu đồ'!$D$80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đồ'!$E$80:$AH$80,'Vẽ Biểu đồ'!$AO$80)</c:f>
              <c:numCache>
                <c:formatCode>_(* #,##0_);_(* \(#,##0\);_(* "-"??_);_(@_)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1400</c:v>
                </c:pt>
                <c:pt idx="28">
                  <c:v>1470</c:v>
                </c:pt>
                <c:pt idx="29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2-469B-BD59-72A81532C58C}"/>
            </c:ext>
          </c:extLst>
        </c:ser>
        <c:ser>
          <c:idx val="4"/>
          <c:order val="5"/>
          <c:tx>
            <c:strRef>
              <c:f>'Vẽ Biểu đồ'!$D$81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đồ'!$E$81:$AH$81,'Vẽ Biểu đồ'!$AO$81)</c:f>
              <c:numCache>
                <c:formatCode>_(* #,##0_);_(* \(#,##0\);_(* "-"??_);_(@_)</c:formatCode>
                <c:ptCount val="31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  <c:pt idx="29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2-469B-BD59-72A81532C58C}"/>
            </c:ext>
          </c:extLst>
        </c:ser>
        <c:ser>
          <c:idx val="8"/>
          <c:order val="6"/>
          <c:tx>
            <c:strRef>
              <c:f>'Vẽ Biểu đồ'!$D$83</c:f>
              <c:strCache>
                <c:ptCount val="1"/>
                <c:pt idx="0">
                  <c:v>Giá chính phẩm-Area-Âm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đồ'!$E$83:$AO$83</c15:sqref>
                  </c15:fullRef>
                </c:ext>
              </c:extLst>
              <c:f>('Vẽ Biểu đồ'!$E$83:$AH$83,'Vẽ Biểu đồ'!$AO$83)</c:f>
              <c:numCache>
                <c:formatCode>_(* #,##0_);_(* \(#,##0\);_(* "-"??_);_(@_)</c:formatCode>
                <c:ptCount val="31"/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  <c:pt idx="29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2-469B-BD59-72A81532C58C}"/>
            </c:ext>
          </c:extLst>
        </c:ser>
        <c:ser>
          <c:idx val="0"/>
          <c:order val="7"/>
          <c:tx>
            <c:strRef>
              <c:f>'Vẽ Biểu đồ'!$D$82</c:f>
              <c:strCache>
                <c:ptCount val="1"/>
                <c:pt idx="0">
                  <c:v>Giá duyệt-Area-Âm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đồ'!$E$82:$AH$82,'Vẽ Biểu đồ'!$AO$82)</c:f>
              <c:numCache>
                <c:formatCode>_(* #,##0_);_(* \(#,##0\);_(* "-"??_);_(@_)</c:formatCode>
                <c:ptCount val="31"/>
                <c:pt idx="26">
                  <c:v>1300</c:v>
                </c:pt>
                <c:pt idx="27">
                  <c:v>1400</c:v>
                </c:pt>
                <c:pt idx="28">
                  <c:v>1470</c:v>
                </c:pt>
                <c:pt idx="29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2-469B-BD59-72A81532C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đồ'!$D$72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E2-469B-BD59-72A81532C58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E2-469B-BD59-72A81532C5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3E2-469B-BD59-72A81532C5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3E2-469B-BD59-72A81532C5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3E2-469B-BD59-72A81532C5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3E2-469B-BD59-72A81532C5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3E2-469B-BD59-72A81532C5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3E2-469B-BD59-72A81532C5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3E2-469B-BD59-72A81532C5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3E2-469B-BD59-72A81532C5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3E2-469B-BD59-72A81532C5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3E2-469B-BD59-72A81532C5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3E2-469B-BD59-72A81532C5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F3EA4EB-A76B-4309-BCF4-C22799373A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3E2-469B-BD59-72A81532C5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A773130-AEA4-4E92-9F97-2D7F5FC5DD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3E2-469B-BD59-72A81532C58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6812853-9A1C-4C2A-A4C4-FF95CE35E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3E2-469B-BD59-72A81532C58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9971805-AF9B-4B86-8DC8-AF8197B7E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3E2-469B-BD59-72A81532C58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BD7FE8A-F9EB-4238-B1D1-FCCF828060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3E2-469B-BD59-72A81532C58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DC5B3B7-1144-42AA-A650-5340194D30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3E2-469B-BD59-72A81532C58C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A8E2203-2446-461D-BF6C-F7418274A38A}" type="CELLRANGE">
                      <a:rPr lang="en-US"/>
                      <a:pPr>
                        <a:defRPr sz="105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72201640807208E-2"/>
                      <c:h val="3.61405090562065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C3E2-469B-BD59-72A81532C58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03F647D-5CFA-49B9-908B-8447A84B72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C3E2-469B-BD59-72A81532C58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2D200F7-0156-4900-B9AA-0C649D684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C3E2-469B-BD59-72A81532C58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5C3CC89-187B-4D74-8DC5-4BEE505DA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3E2-469B-BD59-72A81532C58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FAAB3F6-774B-46AB-A26F-31E06788DC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3E2-469B-BD59-72A81532C58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43E75B9-64F9-427B-A029-F2A2025EEB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C3E2-469B-BD59-72A81532C58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F1BC2C1-D2A8-4264-9648-16BABCA382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C3E2-469B-BD59-72A81532C58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28DE3D1-F5B4-4D55-B1E9-96B12BF0E1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3E2-469B-BD59-72A81532C58C}"/>
                </c:ext>
              </c:extLst>
            </c:dLbl>
            <c:dLbl>
              <c:idx val="26"/>
              <c:layout>
                <c:manualLayout>
                  <c:x val="-4.2885043826782598E-2"/>
                  <c:y val="-2.0750417113432444E-2"/>
                </c:manualLayout>
              </c:layout>
              <c:tx>
                <c:rich>
                  <a:bodyPr/>
                  <a:lstStyle/>
                  <a:p>
                    <a:fld id="{66D95B68-AF3F-4985-BF8A-6F801D9224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C3E2-469B-BD59-72A81532C58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3E2-469B-BD59-72A81532C58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20F5575-15AA-4392-ABFD-D1280C0A1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3E2-469B-BD59-72A81532C58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D15F604-0812-4727-9000-6984A73FEA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193-4D71-B810-F5BBF80BEBDE}"/>
                </c:ext>
              </c:extLst>
            </c:dLbl>
            <c:dLbl>
              <c:idx val="3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92D6EDD-072B-4776-862A-5DB58A7CA2DA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3E2-469B-BD59-72A81532C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đồ'!$E$72:$AH$72,'Vẽ Biểu đồ'!$AO$72)</c:f>
              <c:numCache>
                <c:formatCode>_(* #,##0_);_(* \(#,##0\);_(* "-"??_);_(@_)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1325</c:v>
                </c:pt>
                <c:pt idx="25">
                  <c:v>1325</c:v>
                </c:pt>
                <c:pt idx="26">
                  <c:v>1325</c:v>
                </c:pt>
                <c:pt idx="27">
                  <c:v>1266</c:v>
                </c:pt>
                <c:pt idx="28">
                  <c:v>1266</c:v>
                </c:pt>
                <c:pt idx="29">
                  <c:v>1266</c:v>
                </c:pt>
                <c:pt idx="30">
                  <c:v>1266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đồ'!$E$84:$AO$84</c15:f>
                <c15:dlblRangeCache>
                  <c:ptCount val="37"/>
                  <c:pt idx="12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23">
                    <c:v> 1,368 </c:v>
                  </c:pt>
                  <c:pt idx="24">
                    <c:v> 1,325 </c:v>
                  </c:pt>
                  <c:pt idx="26">
                    <c:v> 1,325 </c:v>
                  </c:pt>
                  <c:pt idx="27">
                    <c:v> 1,266 </c:v>
                  </c:pt>
                  <c:pt idx="29">
                    <c:v> 1,266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C3E2-469B-BD59-72A81532C58C}"/>
            </c:ext>
          </c:extLst>
        </c:ser>
        <c:ser>
          <c:idx val="2"/>
          <c:order val="1"/>
          <c:tx>
            <c:strRef>
              <c:f>'Vẽ Biểu đồ'!$D$73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C3E2-469B-BD59-72A81532C58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3E2-469B-BD59-72A81532C5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3E2-469B-BD59-72A81532C5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3E2-469B-BD59-72A81532C5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3E2-469B-BD59-72A81532C5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3E2-469B-BD59-72A81532C5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3E2-469B-BD59-72A81532C5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3E2-469B-BD59-72A81532C5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3E2-469B-BD59-72A81532C5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3E2-469B-BD59-72A81532C5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3E2-469B-BD59-72A81532C5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3E2-469B-BD59-72A81532C5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3E2-469B-BD59-72A81532C5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9929222-8E9A-4FC2-B82E-F640DF3EF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C3E2-469B-BD59-72A81532C5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9679926-766A-4CC5-A592-B8F720E20D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C3E2-469B-BD59-72A81532C58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04A4C2F-2C93-44CF-9E58-CADC63EE6A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C3E2-469B-BD59-72A81532C58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65CB1E7-699B-4FF9-86A4-69ACC2FD74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C3E2-469B-BD59-72A81532C58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01EE9F3-2AB2-4000-BD07-CB173EDB0B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C3E2-469B-BD59-72A81532C58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F18F1E2-DDB9-4E38-989A-25E5C4DF42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C3E2-469B-BD59-72A81532C58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89C587A-E4FC-4E16-B20D-79F2438125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C3E2-469B-BD59-72A81532C58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30D25AF-EA9B-4C43-98D3-EE00B2EE94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C3E2-469B-BD59-72A81532C58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AB09B3F-F5DC-44B6-895E-71CA2D4C8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C3E2-469B-BD59-72A81532C58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8AB0586-2BA0-4C26-A909-7C3B78F3A3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C3E2-469B-BD59-72A81532C58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25F9DD3-19FF-4007-AEC7-8287EF6B0F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C3E2-469B-BD59-72A81532C58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C601EFA-BA2A-42A6-BB59-DB52ED4568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C3E2-469B-BD59-72A81532C58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82DFC8F-1326-430A-80F3-F0CBB091C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C3E2-469B-BD59-72A81532C58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5C43A3D-02AB-461B-BEBB-6A0BCDA8D1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3E2-469B-BD59-72A81532C58C}"/>
                </c:ext>
              </c:extLst>
            </c:dLbl>
            <c:dLbl>
              <c:idx val="26"/>
              <c:layout>
                <c:manualLayout>
                  <c:x val="-3.4305158305256878E-2"/>
                  <c:y val="2.1543841887878421E-2"/>
                </c:manualLayout>
              </c:layout>
              <c:tx>
                <c:rich>
                  <a:bodyPr/>
                  <a:lstStyle/>
                  <a:p>
                    <a:fld id="{408047C9-19CE-4D9D-9B7A-13967A87E4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C3E2-469B-BD59-72A81532C58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40C0D0C-3E1F-4F63-9D94-AC5F50F28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C3E2-469B-BD59-72A81532C58C}"/>
                </c:ext>
              </c:extLst>
            </c:dLbl>
            <c:dLbl>
              <c:idx val="28"/>
              <c:layout>
                <c:manualLayout>
                  <c:x val="-2.9968674700147847E-2"/>
                  <c:y val="9.0806519193065687E-3"/>
                </c:manualLayout>
              </c:layout>
              <c:tx>
                <c:rich>
                  <a:bodyPr/>
                  <a:lstStyle/>
                  <a:p>
                    <a:fld id="{77254C8D-E667-4564-BC93-E0255A91F8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C3E2-469B-BD59-72A81532C58C}"/>
                </c:ext>
              </c:extLst>
            </c:dLbl>
            <c:dLbl>
              <c:idx val="29"/>
              <c:layout>
                <c:manualLayout>
                  <c:x val="-2.6404516770345481E-2"/>
                  <c:y val="2.2701629798266523E-2"/>
                </c:manualLayout>
              </c:layout>
              <c:tx>
                <c:rich>
                  <a:bodyPr/>
                  <a:lstStyle/>
                  <a:p>
                    <a:fld id="{9D394DE4-D79F-4282-A5C8-12340B485C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193-4D71-B810-F5BBF80BEBDE}"/>
                </c:ext>
              </c:extLst>
            </c:dLbl>
            <c:dLbl>
              <c:idx val="3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AE55677-72C9-46D7-903B-165E99A4C9EF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C3E2-469B-BD59-72A81532C58C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đồ'!$E$73:$AO$73</c15:sqref>
                  </c15:fullRef>
                </c:ext>
              </c:extLst>
              <c:f>('Vẽ Biểu đồ'!$E$73:$AH$73,'Vẽ Biểu đồ'!$AO$73)</c:f>
              <c:numCache>
                <c:formatCode>_(* #,##0_);_(* \(#,##0\);_(* "-"??_);_(@_)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1400</c:v>
                </c:pt>
                <c:pt idx="28">
                  <c:v>1470</c:v>
                </c:pt>
                <c:pt idx="29">
                  <c:v>1450</c:v>
                </c:pt>
                <c:pt idx="30">
                  <c:v>1450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đồ'!$E$85:$AO$85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6">
                    <c:v> 1,300 </c:v>
                  </c:pt>
                  <c:pt idx="27">
                    <c:v> 1,400 </c:v>
                  </c:pt>
                  <c:pt idx="28">
                    <c:v> 1,470 </c:v>
                  </c:pt>
                  <c:pt idx="29">
                    <c:v> 1,450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1-C3E2-469B-BD59-72A81532C58C}"/>
            </c:ext>
          </c:extLst>
        </c:ser>
        <c:ser>
          <c:idx val="3"/>
          <c:order val="3"/>
          <c:tx>
            <c:strRef>
              <c:f>'Vẽ Biểu đồ'!$D$74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C3E2-469B-BD59-72A81532C58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656DB1A-1B72-4460-88EE-CC067AA6D9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C3E2-469B-BD59-72A81532C5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C216E3-3262-4139-8F44-1281C50EB6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C3E2-469B-BD59-72A81532C5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1FAB0D-AE4A-4008-98F5-3408D1E50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C3E2-469B-BD59-72A81532C5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36B6469-E536-421D-9C1B-77239B905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C3E2-469B-BD59-72A81532C5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3284B22-DE75-404B-9BBC-AEA647E081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C3E2-469B-BD59-72A81532C5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2FDB02-160A-4635-AE35-D7CC028DF6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C3E2-469B-BD59-72A81532C5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2663744-712B-4C6F-8952-9A4F34106D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C3E2-469B-BD59-72A81532C5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A9CEF8F-6458-4532-8849-FAD90E2BB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C3E2-469B-BD59-72A81532C5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A2901FC-C7BD-413D-967F-F8EE777108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C3E2-469B-BD59-72A81532C5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D683FE5-187C-47D9-8448-8409EE336F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C3E2-469B-BD59-72A81532C5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2769B95-D0AB-4813-8F5A-703261FDB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C3E2-469B-BD59-72A81532C5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F33F203-3A2D-4402-A701-B164289F1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C3E2-469B-BD59-72A81532C5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814EEDC-72D5-423B-8716-825B2C7E4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C3E2-469B-BD59-72A81532C5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37F9C0A-6F4B-4736-9A81-1386D479A2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C3E2-469B-BD59-72A81532C58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3440BFD-7B07-41E7-A036-4F0776CCCC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C3E2-469B-BD59-72A81532C58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A868FBD-78C9-4394-939F-1A5841A17D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C3E2-469B-BD59-72A81532C58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9ABE731-3753-40A1-B749-BF19095966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C3E2-469B-BD59-72A81532C58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AD46E35-556D-4C1F-90F2-89747D638C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C3E2-469B-BD59-72A81532C58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3A00900-1862-408F-963F-637FE17D3F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C3E2-469B-BD59-72A81532C58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4909526-F722-4734-B146-361EED948E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C3E2-469B-BD59-72A81532C58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F07FE7F-16F2-4904-A56D-EAAD56932D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C3E2-469B-BD59-72A81532C58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E249A6A-A3AC-44F9-B821-D3C821BE1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C3E2-469B-BD59-72A81532C58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5870F3C-1CE3-4786-9B41-A671BE090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C3E2-469B-BD59-72A81532C58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7627779-86F3-4D95-B475-07D1DE7A9C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C3E2-469B-BD59-72A81532C58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C6A8E1F7-4A76-4339-A131-6DD138EC01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C3E2-469B-BD59-72A81532C58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14B9585-76AC-43FD-8804-37BE4C9F1B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C3E2-469B-BD59-72A81532C58C}"/>
                </c:ext>
              </c:extLst>
            </c:dLbl>
            <c:dLbl>
              <c:idx val="26"/>
              <c:layout>
                <c:manualLayout>
                  <c:x val="-4.1754200886116928E-2"/>
                  <c:y val="-5.0450523250721031E-2"/>
                </c:manualLayout>
              </c:layout>
              <c:tx>
                <c:rich>
                  <a:bodyPr/>
                  <a:lstStyle/>
                  <a:p>
                    <a:fld id="{432CF9AE-AE73-4489-B73F-3F65BD5F3E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C3E2-469B-BD59-72A81532C58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DD308E8-4F17-4CC3-841F-2F20FC4708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C3E2-469B-BD59-72A81532C58C}"/>
                </c:ext>
              </c:extLst>
            </c:dLbl>
            <c:dLbl>
              <c:idx val="28"/>
              <c:layout>
                <c:manualLayout>
                  <c:x val="-1.6251024104142104E-2"/>
                  <c:y val="-1.6364190107298487E-2"/>
                </c:manualLayout>
              </c:layout>
              <c:tx>
                <c:rich>
                  <a:bodyPr/>
                  <a:lstStyle/>
                  <a:p>
                    <a:fld id="{40DD17A1-074D-4288-956E-5804222404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C3E2-469B-BD59-72A81532C58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2798D2D-B9CA-41EB-B131-AAB890852C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8193-4D71-B810-F5BBF80BEBDE}"/>
                </c:ext>
              </c:extLst>
            </c:dLbl>
            <c:dLbl>
              <c:idx val="30"/>
              <c:layout>
                <c:manualLayout>
                  <c:x val="-7.8311846419031588E-3"/>
                  <c:y val="-3.66380635569107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DD59905-2AA0-4DAC-8F65-CB2F4BEF90C7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47751525405041E-2"/>
                      <c:h val="0.1016951453188160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C3E2-469B-BD59-72A81532C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đồ'!$E$74:$AO$74</c15:sqref>
                  </c15:fullRef>
                </c:ext>
              </c:extLst>
              <c:f>('Vẽ Biểu đồ'!$E$74:$AH$74,'Vẽ Biểu đồ'!$AO$74)</c:f>
              <c:numCache>
                <c:formatCode>_(* #,##0_);_(* \(#,##0\);_(* "-"??_);_(@_)</c:formatCode>
                <c:ptCount val="31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  <c:pt idx="29">
                  <c:v>1470</c:v>
                </c:pt>
                <c:pt idx="30">
                  <c:v>1470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đồ'!$E$86:$AO$86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803 </c:v>
                  </c:pt>
                  <c:pt idx="24">
                    <c:v> 800 </c:v>
                  </c:pt>
                  <c:pt idx="25">
                    <c:v> 800 </c:v>
                  </c:pt>
                  <c:pt idx="26">
                    <c:v> 1,331 </c:v>
                  </c:pt>
                  <c:pt idx="27">
                    <c:v> 1,590 </c:v>
                  </c:pt>
                  <c:pt idx="28">
                    <c:v> 1,523 </c:v>
                  </c:pt>
                  <c:pt idx="29">
                    <c:v> 1,470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8-C3E2-469B-BD59-72A81532C58C}"/>
            </c:ext>
          </c:extLst>
        </c:ser>
        <c:ser>
          <c:idx val="6"/>
          <c:order val="4"/>
          <c:tx>
            <c:strRef>
              <c:f>'Vẽ Biểu đồ'!$D$78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đồ'!$E$36:$AH$36,'Vẽ Biểu đồ'!$AO$36)</c:f>
                <c:numCache>
                  <c:formatCode>General</c:formatCode>
                  <c:ptCount val="31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  <c:pt idx="29">
                    <c:v>190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đồ'!$E$75:$AO$75</c15:sqref>
                    </c15:fullRef>
                  </c:ext>
                </c:extLst>
                <c:f>('Vẽ Biểu đồ'!$E$75:$AH$75,'Vẽ Biểu đồ'!$AO$75)</c:f>
                <c:numCache>
                  <c:formatCode>General</c:formatCode>
                  <c:ptCount val="31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497.5</c:v>
                  </c:pt>
                  <c:pt idx="24">
                    <c:v>500</c:v>
                  </c:pt>
                  <c:pt idx="25">
                    <c:v>500</c:v>
                  </c:pt>
                  <c:pt idx="26">
                    <c:v>-31</c:v>
                  </c:pt>
                  <c:pt idx="27">
                    <c:v>-190</c:v>
                  </c:pt>
                  <c:pt idx="28">
                    <c:v>-53</c:v>
                  </c:pt>
                  <c:pt idx="29">
                    <c:v>-20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đồ'!$E$78:$AO$78</c15:sqref>
                  </c15:fullRef>
                </c:ext>
              </c:extLst>
              <c:f>('Vẽ Biểu đồ'!$E$78:$AH$78,'Vẽ Biểu đồ'!$AO$78)</c:f>
              <c:numCache>
                <c:formatCode>_(* #,##0_);_(* \(#,##0\);_(* "-"??_);_(@_)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1400</c:v>
                </c:pt>
                <c:pt idx="28">
                  <c:v>1470</c:v>
                </c:pt>
                <c:pt idx="29">
                  <c:v>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C3E2-469B-BD59-72A81532C58C}"/>
            </c:ext>
          </c:extLst>
        </c:ser>
        <c:ser>
          <c:idx val="7"/>
          <c:order val="8"/>
          <c:tx>
            <c:strRef>
              <c:f>'Vẽ Biểu đồ'!$D$79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C3E2-469B-BD59-72A81532C5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C3E2-469B-BD59-72A81532C5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C3E2-469B-BD59-72A81532C5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C3E2-469B-BD59-72A81532C5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C3E2-469B-BD59-72A81532C5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C3E2-469B-BD59-72A81532C5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C3E2-469B-BD59-72A81532C5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C3E2-469B-BD59-72A81532C5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C3E2-469B-BD59-72A81532C5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C3E2-469B-BD59-72A81532C5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C3E2-469B-BD59-72A81532C5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C3E2-469B-BD59-72A81532C5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B222C47-9873-4D51-8681-1E633A0525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C3E2-469B-BD59-72A81532C5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494C35E-367E-4FA2-A2F4-64E8A96245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C3E2-469B-BD59-72A81532C58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675736F-FFED-4A30-9682-6C3386D7DE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C3E2-469B-BD59-72A81532C58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FA6E990-2C50-427A-924F-B764751C37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C3E2-469B-BD59-72A81532C58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BC0C0EE-2255-482B-B971-8E9E6FEA1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C3E2-469B-BD59-72A81532C58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4A01B33-6A6D-4576-A29B-51CF7D290C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C3E2-469B-BD59-72A81532C58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4C4A40E-AA8F-4AF7-990A-D1808A541B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C3E2-469B-BD59-72A81532C58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E9BB022-61AD-4E0A-8329-77A853D06C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C3E2-469B-BD59-72A81532C58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77AB5A0-7D89-408E-AE4E-9787DFCD1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C3E2-469B-BD59-72A81532C58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9CBCB95-C2BB-41C4-976F-98635581F9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C3E2-469B-BD59-72A81532C58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EA4AAD7-AB51-400D-8315-38572AF3F0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C3E2-469B-BD59-72A81532C58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B5D35F8-5011-4B57-B0D7-0B954B42ED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C3E2-469B-BD59-72A81532C58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CFE1021E-237D-4425-863C-D27AD082F8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C3E2-469B-BD59-72A81532C58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BB2B21C-B611-4F87-9DFF-5A25899CE0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C3E2-469B-BD59-72A81532C58C}"/>
                </c:ext>
              </c:extLst>
            </c:dLbl>
            <c:dLbl>
              <c:idx val="26"/>
              <c:layout>
                <c:manualLayout>
                  <c:x val="-1.0976525432432158E-3"/>
                  <c:y val="-6.486029062185103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93DE7B9-381A-4254-91CA-239C805523D5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4-C3E2-469B-BD59-72A81532C58C}"/>
                </c:ext>
              </c:extLst>
            </c:dLbl>
            <c:dLbl>
              <c:idx val="2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C58CA3E-270D-488E-8761-F0A7E37BAA7F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C3E2-469B-BD59-72A81532C58C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F9C0ACE-4D53-459B-9495-D47F8B1D7D4A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C3E2-469B-BD59-72A81532C58C}"/>
                </c:ext>
              </c:extLst>
            </c:dLbl>
            <c:dLbl>
              <c:idx val="2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A66D6BF-2DE8-4E71-9C03-7378AF1BBD2C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193-4D71-B810-F5BBF80BEBD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C3E2-469B-BD59-72A81532C58C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đồ'!$E$79:$AO$79</c15:sqref>
                  </c15:fullRef>
                </c:ext>
              </c:extLst>
              <c:f>('Vẽ Biểu đồ'!$E$79:$AH$79,'Vẽ Biểu đồ'!$AO$79)</c:f>
              <c:numCache>
                <c:formatCode>_(* #,##0_);_(* \(#,##0\);_(* "-"??_);_(@_)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1051.25</c:v>
                </c:pt>
                <c:pt idx="24">
                  <c:v>1050</c:v>
                </c:pt>
                <c:pt idx="25">
                  <c:v>1050</c:v>
                </c:pt>
                <c:pt idx="26">
                  <c:v>1315.5</c:v>
                </c:pt>
                <c:pt idx="27">
                  <c:v>1495</c:v>
                </c:pt>
                <c:pt idx="28">
                  <c:v>1496.5</c:v>
                </c:pt>
                <c:pt idx="29">
                  <c:v>1460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đồ'!$E$76:$AO$76</c15:f>
                <c15:dlblRangeCache>
                  <c:ptCount val="37"/>
                  <c:pt idx="12">
                    <c:v>+48.9%</c:v>
                  </c:pt>
                  <c:pt idx="13">
                    <c:v>+52.5%</c:v>
                  </c:pt>
                  <c:pt idx="14">
                    <c:v>+50.7%</c:v>
                  </c:pt>
                  <c:pt idx="15">
                    <c:v>+51.4%</c:v>
                  </c:pt>
                  <c:pt idx="16">
                    <c:v>+56.3%</c:v>
                  </c:pt>
                  <c:pt idx="17">
                    <c:v>+62.1%</c:v>
                  </c:pt>
                  <c:pt idx="18">
                    <c:v>+62.1%</c:v>
                  </c:pt>
                  <c:pt idx="19">
                    <c:v>+63.2%</c:v>
                  </c:pt>
                  <c:pt idx="20">
                    <c:v>+61.1%</c:v>
                  </c:pt>
                  <c:pt idx="21">
                    <c:v>+62.7%</c:v>
                  </c:pt>
                  <c:pt idx="22">
                    <c:v>+61.5%</c:v>
                  </c:pt>
                  <c:pt idx="23">
                    <c:v>+62.0%</c:v>
                  </c:pt>
                  <c:pt idx="24">
                    <c:v>+62.5%</c:v>
                  </c:pt>
                  <c:pt idx="25">
                    <c:v>+62.5%</c:v>
                  </c:pt>
                  <c:pt idx="26">
                    <c:v>-2.3%</c:v>
                  </c:pt>
                  <c:pt idx="27">
                    <c:v>-11.9%</c:v>
                  </c:pt>
                  <c:pt idx="28">
                    <c:v>-3.5%</c:v>
                  </c:pt>
                  <c:pt idx="29">
                    <c:v>-1.4%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F-C3E2-469B-BD59-72A81532C58C}"/>
            </c:ext>
          </c:extLst>
        </c:ser>
        <c:ser>
          <c:idx val="9"/>
          <c:order val="9"/>
          <c:tx>
            <c:v>Đơn giá vốn</c:v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5-C3E2-469B-BD59-72A81532C58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C3E2-469B-BD59-72A81532C5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C3E2-469B-BD59-72A81532C5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C3E2-469B-BD59-72A81532C5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C3E2-469B-BD59-72A81532C5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C3E2-469B-BD59-72A81532C5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C3E2-469B-BD59-72A81532C5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C3E2-469B-BD59-72A81532C5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C3E2-469B-BD59-72A81532C5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C3E2-469B-BD59-72A81532C5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C3E2-469B-BD59-72A81532C5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C3E2-469B-BD59-72A81532C5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C3E2-469B-BD59-72A81532C5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ACF0F95-E4DE-4BAD-9F81-ADBA6FDB75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C3E2-469B-BD59-72A81532C5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5779686-B2D5-41FC-A531-3D0E66FFC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C3E2-469B-BD59-72A81532C58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A65B6EB-9DA7-47D0-ABCB-C6B4A1D916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1-C3E2-469B-BD59-72A81532C58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8720DA4-95C7-4835-BF7F-E908AEC3D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0-C3E2-469B-BD59-72A81532C58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089FF9A-0CAB-487B-A4F6-D19C1FC08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1-C3E2-469B-BD59-72A81532C58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9D3FD35-10D5-4042-8969-41F63F2DC2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2-C3E2-469B-BD59-72A81532C58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AAA589B-51A0-421E-A2AC-EFC8EC1BF4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3-C3E2-469B-BD59-72A81532C58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A7C1C5D-FC76-461C-B8F0-D46763F380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4-C3E2-469B-BD59-72A81532C58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DCD0B03-1D78-46A6-AFF8-328AFF680A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5-C3E2-469B-BD59-72A81532C58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9CFD693-4ECE-4AF4-9F92-EE78D34572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6-C3E2-469B-BD59-72A81532C58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10570A6-0298-484D-8D0E-D0AC6038F9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7-C3E2-469B-BD59-72A81532C58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2949C6E-BA29-446A-A3A0-C4CCB9A123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8-C3E2-469B-BD59-72A81532C58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D5665FF-A70C-48FB-8DE1-6FF4C593D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9-C3E2-469B-BD59-72A81532C58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196A2BB-8CBB-4EEE-87FE-C17A4E876B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C3E2-469B-BD59-72A81532C58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9C5EAF9-28DD-4767-8F45-D4AECFC8E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C3E2-469B-BD59-72A81532C58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C35EF50-71D4-47EA-961B-898AC531C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C3E2-469B-BD59-72A81532C58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287212B-0AD2-4B2A-AF34-2273B3F459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C3E2-469B-BD59-72A81532C58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A3B5855-A562-4438-AA86-9FE0462B5F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193-4D71-B810-F5BBF80BEBD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BED03C9-DC76-4A9D-976E-AEEDEE5AB6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5-C3E2-469B-BD59-72A81532C58C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đồ'!$E$70:$AO$71</c15:sqref>
                  </c15:fullRef>
                </c:ext>
              </c:extLst>
              <c:f>'Vẽ Biểu đồ'!$E$70:$AO$71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đồ'!$E$77:$AO$77</c15:sqref>
                  </c15:fullRef>
                </c:ext>
              </c:extLst>
              <c:f>('Vẽ Biểu đồ'!$E$77:$AH$77,'Vẽ Biểu đồ'!$AO$77)</c:f>
              <c:numCache>
                <c:formatCode>_(* #,##0_);_(* \(#,##0\);_(* "-"??_);_(@_)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1096.9942524368221</c:v>
                </c:pt>
                <c:pt idx="13">
                  <c:v>1118.3928672932527</c:v>
                </c:pt>
                <c:pt idx="14">
                  <c:v>1113.4584653401475</c:v>
                </c:pt>
                <c:pt idx="15">
                  <c:v>1099.6693828881585</c:v>
                </c:pt>
                <c:pt idx="16">
                  <c:v>1094.368110770663</c:v>
                </c:pt>
                <c:pt idx="17">
                  <c:v>1088.3353579825598</c:v>
                </c:pt>
                <c:pt idx="18">
                  <c:v>1078.9456475758248</c:v>
                </c:pt>
                <c:pt idx="19">
                  <c:v>1074.1117347329705</c:v>
                </c:pt>
                <c:pt idx="20">
                  <c:v>1072.0847063273393</c:v>
                </c:pt>
                <c:pt idx="21">
                  <c:v>1071.436921215829</c:v>
                </c:pt>
                <c:pt idx="22">
                  <c:v>1071.6418128274754</c:v>
                </c:pt>
                <c:pt idx="23">
                  <c:v>1072.3390147166267</c:v>
                </c:pt>
                <c:pt idx="24">
                  <c:v>1076.0452590420332</c:v>
                </c:pt>
                <c:pt idx="25">
                  <c:v>1085.9707950757868</c:v>
                </c:pt>
                <c:pt idx="26">
                  <c:v>1074.8070454956419</c:v>
                </c:pt>
                <c:pt idx="27">
                  <c:v>1072.1750345867849</c:v>
                </c:pt>
                <c:pt idx="28">
                  <c:v>1074.3160789931267</c:v>
                </c:pt>
                <c:pt idx="29">
                  <c:v>1074.3160789931267</c:v>
                </c:pt>
                <c:pt idx="30">
                  <c:v>1074.3160789931267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đồ'!$E$87:$AO$87</c15:f>
                <c15:dlblRangeCache>
                  <c:ptCount val="37"/>
                  <c:pt idx="12">
                    <c:v> 1,097 </c:v>
                  </c:pt>
                  <c:pt idx="13">
                    <c:v> 1,118 </c:v>
                  </c:pt>
                  <c:pt idx="14">
                    <c:v> 1,113 </c:v>
                  </c:pt>
                  <c:pt idx="15">
                    <c:v> 1,100 </c:v>
                  </c:pt>
                  <c:pt idx="16">
                    <c:v> 1,094 </c:v>
                  </c:pt>
                  <c:pt idx="17">
                    <c:v> 1,088 </c:v>
                  </c:pt>
                  <c:pt idx="18">
                    <c:v> 1,079 </c:v>
                  </c:pt>
                  <c:pt idx="19">
                    <c:v> 1,074 </c:v>
                  </c:pt>
                  <c:pt idx="20">
                    <c:v> 1,072 </c:v>
                  </c:pt>
                  <c:pt idx="21">
                    <c:v> 1,071 </c:v>
                  </c:pt>
                  <c:pt idx="22">
                    <c:v> 1,072 </c:v>
                  </c:pt>
                  <c:pt idx="23">
                    <c:v> 1,072 </c:v>
                  </c:pt>
                  <c:pt idx="24">
                    <c:v> 1,076 </c:v>
                  </c:pt>
                  <c:pt idx="25">
                    <c:v> 1,086 </c:v>
                  </c:pt>
                  <c:pt idx="26">
                    <c:v> 1,075 </c:v>
                  </c:pt>
                  <c:pt idx="27">
                    <c:v> 1,072 </c:v>
                  </c:pt>
                  <c:pt idx="28">
                    <c:v> 1,074 </c:v>
                  </c:pt>
                  <c:pt idx="29">
                    <c:v> 1,074 </c:v>
                  </c:pt>
                  <c:pt idx="36">
                    <c:v>Giá vốn (*)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0-C3E2-469B-BD59-72A81532C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6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4418917550980697"/>
          <c:h val="0.89338168969188925"/>
        </c:manualLayout>
      </c:layout>
      <c:areaChart>
        <c:grouping val="standard"/>
        <c:varyColors val="0"/>
        <c:ser>
          <c:idx val="5"/>
          <c:order val="2"/>
          <c:tx>
            <c:strRef>
              <c:f>'Vẽ Biểu đồ'!$D$100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đồ'!$E$100:$AO$100</c15:sqref>
                  </c15:fullRef>
                </c:ext>
              </c:extLst>
              <c:f>('Vẽ Biểu đồ'!$E$100:$AH$100,'Vẽ Biểu đồ'!$AO$100)</c:f>
              <c:numCache>
                <c:formatCode>_(* #,##0_);_(* \(#,##0\);_(* "-"??_);_(@_)</c:formatCode>
                <c:ptCount val="31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1300</c:v>
                </c:pt>
                <c:pt idx="28">
                  <c:v>1370</c:v>
                </c:pt>
                <c:pt idx="29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2-4F9B-8D66-406F77F50193}"/>
            </c:ext>
          </c:extLst>
        </c:ser>
        <c:ser>
          <c:idx val="4"/>
          <c:order val="5"/>
          <c:tx>
            <c:strRef>
              <c:f>'Vẽ Biểu đồ'!$D$101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đồ'!$E$101:$AO$101</c15:sqref>
                  </c15:fullRef>
                </c:ext>
              </c:extLst>
              <c:f>('Vẽ Biểu đồ'!$E$101:$AH$101,'Vẽ Biểu đồ'!$AO$101)</c:f>
              <c:numCache>
                <c:formatCode>_(* #,##0_);_(* \(#,##0\);_(* "-"??_);_(@_)</c:formatCode>
                <c:ptCount val="31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  <c:pt idx="29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2-4F9B-8D66-406F77F50193}"/>
            </c:ext>
          </c:extLst>
        </c:ser>
        <c:ser>
          <c:idx val="8"/>
          <c:order val="6"/>
          <c:tx>
            <c:strRef>
              <c:f>'Vẽ Biểu đồ'!$D$103</c:f>
              <c:strCache>
                <c:ptCount val="1"/>
                <c:pt idx="0">
                  <c:v>Giá chính phẩm-Area-Âm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đồ'!$E$103:$AO$103</c15:sqref>
                  </c15:fullRef>
                </c:ext>
              </c:extLst>
              <c:f>('Vẽ Biểu đồ'!$E$103:$AH$103,'Vẽ Biểu đồ'!$AO$103)</c:f>
              <c:numCache>
                <c:formatCode>_(* #,##0_);_(* \(#,##0\);_(* "-"??_);_(@_)</c:formatCode>
                <c:ptCount val="31"/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  <c:pt idx="29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C2-4F9B-8D66-406F77F50193}"/>
            </c:ext>
          </c:extLst>
        </c:ser>
        <c:ser>
          <c:idx val="0"/>
          <c:order val="7"/>
          <c:tx>
            <c:strRef>
              <c:f>'Vẽ Biểu đồ'!$D$102</c:f>
              <c:strCache>
                <c:ptCount val="1"/>
                <c:pt idx="0">
                  <c:v>Giá duyệt-Area-Âm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đồ'!$E$102:$AO$102</c15:sqref>
                  </c15:fullRef>
                </c:ext>
              </c:extLst>
              <c:f>('Vẽ Biểu đồ'!$E$102:$AH$102,'Vẽ Biểu đồ'!$AO$102)</c:f>
              <c:numCache>
                <c:formatCode>_(* #,##0_);_(* \(#,##0\);_(* "-"??_);_(@_)</c:formatCode>
                <c:ptCount val="31"/>
                <c:pt idx="26">
                  <c:v>1200</c:v>
                </c:pt>
                <c:pt idx="27">
                  <c:v>1300</c:v>
                </c:pt>
                <c:pt idx="28">
                  <c:v>1370</c:v>
                </c:pt>
                <c:pt idx="29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C2-4F9B-8D66-406F77F50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đồ'!$D$92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C2-4F9B-8D66-406F77F501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F91C443-8ECA-42CB-8FA5-969FAF69FB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6C2-4F9B-8D66-406F77F501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483CB4-F3AE-419E-A3A5-CAF472D8BC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6C2-4F9B-8D66-406F77F501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AF4621-97DF-4C9F-9420-8FC3CB9047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6C2-4F9B-8D66-406F77F501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D2B6AC1-C171-499A-9BD7-AE5CF1FE8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6C2-4F9B-8D66-406F77F501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A844ED4-D744-4EE5-AE25-31EBAF2755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6C2-4F9B-8D66-406F77F501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067DB2-2C96-4158-98F4-5B06D575DF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6C2-4F9B-8D66-406F77F501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A29116D-ABEC-42BF-AB1C-D8AD8F892E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6C2-4F9B-8D66-406F77F501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0760DA4-000E-417B-97DC-88DB070290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6C2-4F9B-8D66-406F77F501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E10C651-BE6E-4C5A-90D7-B73349FF16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6C2-4F9B-8D66-406F77F501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4ECA965-B6D9-4B43-ADA6-189ED94973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6C2-4F9B-8D66-406F77F501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1730EE7-4545-45AB-B2DD-ACC827E48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6C2-4F9B-8D66-406F77F501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6ACF109-31AD-4B91-99BC-DF092BEA7D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6C2-4F9B-8D66-406F77F501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71FF99F-3D68-41C5-98F8-BF5244D272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6C2-4F9B-8D66-406F77F501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B57E268-DFA5-4F6F-A6A3-6BC4DE52A2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6C2-4F9B-8D66-406F77F501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B8DC1CA-E4DF-480D-A7D4-C3105CD0C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6C2-4F9B-8D66-406F77F501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1945188-EFA1-433D-8B29-38C3C32299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6C2-4F9B-8D66-406F77F501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40229A6-CD26-4B35-9389-00EA7F1F1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6C2-4F9B-8D66-406F77F501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8BEE77E-90CA-4C2A-A5D5-5953FFFD85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6C2-4F9B-8D66-406F77F5019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A803FBC-898A-4BD8-8F0D-BA7DCA7D7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6C2-4F9B-8D66-406F77F501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DC6ECDA-116E-4A32-9968-72BD9948B7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6C2-4F9B-8D66-406F77F501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94B3FC0-82AB-490B-8624-3D8CF25C96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6C2-4F9B-8D66-406F77F5019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AE511B1-A66C-4109-B60D-E5F1A9945B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6C2-4F9B-8D66-406F77F5019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5558591-CC46-464B-8905-A8E4A4E712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6C2-4F9B-8D66-406F77F5019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43433A5-7C8C-45B4-8B15-2DBEE8D774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6C2-4F9B-8D66-406F77F5019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EE4BE3F-AFC0-4BAF-80CC-92FAA018F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6C2-4F9B-8D66-406F77F5019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E155EEA-9C78-4172-B802-98E01D3A06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6C2-4F9B-8D66-406F77F50193}"/>
                </c:ext>
              </c:extLst>
            </c:dLbl>
            <c:dLbl>
              <c:idx val="26"/>
              <c:layout>
                <c:manualLayout>
                  <c:x val="-4.5447366111344978E-2"/>
                  <c:y val="2.7196645703913006E-2"/>
                </c:manualLayout>
              </c:layout>
              <c:tx>
                <c:rich>
                  <a:bodyPr/>
                  <a:lstStyle/>
                  <a:p>
                    <a:fld id="{D31A51AA-0246-4891-B1DF-189918C1C8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46C2-4F9B-8D66-406F77F5019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85E6229-5AAF-425F-B9E9-353AC8096D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46C2-4F9B-8D66-406F77F5019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8397CF5-8326-4AF6-BDF4-DA6C7ED206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6C2-4F9B-8D66-406F77F5019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70DEF4D-1AE6-488A-AA5D-98396AD3EF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8B-4C5D-993F-9C97CF188EF9}"/>
                </c:ext>
              </c:extLst>
            </c:dLbl>
            <c:dLbl>
              <c:idx val="3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13540E7-9707-4DCC-B097-1430A4D21D31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6C2-4F9B-8D66-406F77F501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đồ'!$E$92:$AO$92</c15:sqref>
                  </c15:fullRef>
                </c:ext>
              </c:extLst>
              <c:f>('Vẽ Biểu đồ'!$E$92:$AH$92,'Vẽ Biểu đồ'!$AO$92)</c:f>
              <c:numCache>
                <c:formatCode>_(* #,##0_);_(* \(#,##0\);_(* "-"??_);_(@_)</c:formatCode>
                <c:ptCount val="31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1325</c:v>
                </c:pt>
                <c:pt idx="25">
                  <c:v>1325</c:v>
                </c:pt>
                <c:pt idx="26">
                  <c:v>1325</c:v>
                </c:pt>
                <c:pt idx="27">
                  <c:v>1266</c:v>
                </c:pt>
                <c:pt idx="28">
                  <c:v>1266</c:v>
                </c:pt>
                <c:pt idx="29">
                  <c:v>1266</c:v>
                </c:pt>
                <c:pt idx="30">
                  <c:v>1266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đồ'!$E$104:$AO$104</c15:f>
                <c15:dlblRangeCache>
                  <c:ptCount val="37"/>
                  <c:pt idx="0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23">
                    <c:v> 1,368 </c:v>
                  </c:pt>
                  <c:pt idx="24">
                    <c:v> 1,325 </c:v>
                  </c:pt>
                  <c:pt idx="26">
                    <c:v> 1,325 </c:v>
                  </c:pt>
                  <c:pt idx="27">
                    <c:v> 1,266 </c:v>
                  </c:pt>
                  <c:pt idx="29">
                    <c:v> 1,266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46C2-4F9B-8D66-406F77F50193}"/>
            </c:ext>
          </c:extLst>
        </c:ser>
        <c:ser>
          <c:idx val="2"/>
          <c:order val="1"/>
          <c:tx>
            <c:strRef>
              <c:f>'Vẽ Biểu đồ'!$D$93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46C2-4F9B-8D66-406F77F501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0F8503C-ED3B-461F-8B24-EE863554FF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6C2-4F9B-8D66-406F77F501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A611B6-8092-4714-8C1B-AAB89F0BE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46C2-4F9B-8D66-406F77F501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2277C12-F2BD-451B-A369-EBDCF46BB9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6C2-4F9B-8D66-406F77F501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481833-8608-43E5-BB00-29AF93078C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6C2-4F9B-8D66-406F77F501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5D7B1EF-E936-422D-B58A-E024FD822B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46C2-4F9B-8D66-406F77F501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F87DD74-C3AE-4876-AEF8-578E27B924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6C2-4F9B-8D66-406F77F501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AB1D6D1-A1A6-4E8D-8112-B75F1FE633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46C2-4F9B-8D66-406F77F501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A72DB08-5C15-4B1F-92EA-D21EC49E3F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6C2-4F9B-8D66-406F77F501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E523BD3-ED26-4AC8-B1CC-0ED7EE0BF2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46C2-4F9B-8D66-406F77F501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F9283DE-8459-4973-A1C1-54E3E6BD5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6C2-4F9B-8D66-406F77F501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34221C5-D97C-4EBA-988B-87D4D7D41E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46C2-4F9B-8D66-406F77F501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72F67A1-140C-4888-BFF9-540F1AF4D1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46C2-4F9B-8D66-406F77F501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7D1B124-0E0C-41C4-82E4-4E4FBD9544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46C2-4F9B-8D66-406F77F501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3C12FA2-AE27-4761-9E88-3B97BB731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46C2-4F9B-8D66-406F77F501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ACCD0FA-0E4D-4971-A6EF-6D2C2E29B7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46C2-4F9B-8D66-406F77F501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D1ECC68-63F5-4410-86C2-C1A1E4B834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46C2-4F9B-8D66-406F77F501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61DE228-58F7-4500-9FA3-C37D8D787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46C2-4F9B-8D66-406F77F501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1FE74BE-03F7-4AD3-BEA7-AAA10FE5A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46C2-4F9B-8D66-406F77F5019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02AB882-2817-4F3D-88BF-6F002B983A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46C2-4F9B-8D66-406F77F501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B08606D-920D-49FA-A208-DA0C77D83A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46C2-4F9B-8D66-406F77F5019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46C2-4F9B-8D66-406F77F5019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CF115B5-9AA6-4E62-8F57-2E0DF4426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46C2-4F9B-8D66-406F77F5019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FE7C124-5CAF-4B3B-92D5-411E193826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46C2-4F9B-8D66-406F77F5019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07602C9-3148-4DB5-B006-50281271EA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46C2-4F9B-8D66-406F77F5019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96E38A6-9B29-40B7-BE1A-0BFBDA6EDB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46C2-4F9B-8D66-406F77F5019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368B183-32DE-4B0F-900F-5117D2FCD3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46C2-4F9B-8D66-406F77F50193}"/>
                </c:ext>
              </c:extLst>
            </c:dLbl>
            <c:dLbl>
              <c:idx val="26"/>
              <c:layout>
                <c:manualLayout>
                  <c:x val="-2.928148024815893E-2"/>
                  <c:y val="-1.6762486677544906E-2"/>
                </c:manualLayout>
              </c:layout>
              <c:tx>
                <c:rich>
                  <a:bodyPr/>
                  <a:lstStyle/>
                  <a:p>
                    <a:fld id="{1B78B6F4-1241-427B-A0C5-B9EFA32958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46C2-4F9B-8D66-406F77F5019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8AF83DF-44B9-4C35-AF90-96841CBCD3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46C2-4F9B-8D66-406F77F5019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E631221-80A1-4C4C-B69D-35A0BFFCDF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46C2-4F9B-8D66-406F77F50193}"/>
                </c:ext>
              </c:extLst>
            </c:dLbl>
            <c:dLbl>
              <c:idx val="29"/>
              <c:layout>
                <c:manualLayout>
                  <c:x val="-2.0722101162213971E-2"/>
                  <c:y val="6.7249507498849609E-3"/>
                </c:manualLayout>
              </c:layout>
              <c:tx>
                <c:rich>
                  <a:bodyPr/>
                  <a:lstStyle/>
                  <a:p>
                    <a:fld id="{528EAC2C-DCC5-43BD-A251-F258126B5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BD8B-4C5D-993F-9C97CF188EF9}"/>
                </c:ext>
              </c:extLst>
            </c:dLbl>
            <c:dLbl>
              <c:idx val="3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3C9F3E1-B382-4EAB-B6DE-35FFB46A0625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46C2-4F9B-8D66-406F77F50193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đồ'!$E$93:$AO$93</c15:sqref>
                  </c15:fullRef>
                </c:ext>
              </c:extLst>
              <c:f>('Vẽ Biểu đồ'!$E$93:$AH$93,'Vẽ Biểu đồ'!$AO$93)</c:f>
              <c:numCache>
                <c:formatCode>_(* #,##0_);_(* \(#,##0\);_(* "-"??_);_(@_)</c:formatCode>
                <c:ptCount val="31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1300</c:v>
                </c:pt>
                <c:pt idx="28">
                  <c:v>1370</c:v>
                </c:pt>
                <c:pt idx="29">
                  <c:v>1350</c:v>
                </c:pt>
                <c:pt idx="30">
                  <c:v>1350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đồ'!$E$105:$AO$105</c15:f>
                <c15:dlblRangeCache>
                  <c:ptCount val="37"/>
                  <c:pt idx="0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6">
                    <c:v> 1,200 </c:v>
                  </c:pt>
                  <c:pt idx="27">
                    <c:v> 1,300 </c:v>
                  </c:pt>
                  <c:pt idx="28">
                    <c:v> 1,370 </c:v>
                  </c:pt>
                  <c:pt idx="29">
                    <c:v> 1,350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1-46C2-4F9B-8D66-406F77F50193}"/>
            </c:ext>
          </c:extLst>
        </c:ser>
        <c:ser>
          <c:idx val="3"/>
          <c:order val="3"/>
          <c:tx>
            <c:strRef>
              <c:f>'Vẽ Biểu đồ'!$D$94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3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46C2-4F9B-8D66-406F77F501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28A8E12-7FC7-4A61-85D1-5FC3F77352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46C2-4F9B-8D66-406F77F501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89DC8A-3063-4FBE-81AC-A843B3519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46C2-4F9B-8D66-406F77F501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390250E-43E9-4D51-8574-4AD63DC84D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46C2-4F9B-8D66-406F77F501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D1E6F99-6B5F-4A08-8F89-7241C23425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46C2-4F9B-8D66-406F77F501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1647977-F3C8-40A0-B4A5-16C55A139C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46C2-4F9B-8D66-406F77F501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0ACB59C-58F0-4DFE-B7C0-18E35A4934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46C2-4F9B-8D66-406F77F501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3FBE03F-1BC4-49BC-ADB2-8B3BE7B78D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46C2-4F9B-8D66-406F77F501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36AFB11-B65C-42F7-A01B-19D1986AED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46C2-4F9B-8D66-406F77F501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5FF2CA0-D553-40E8-9C6B-F66B8E4390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46C2-4F9B-8D66-406F77F501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F8737D8-FB1E-4885-B1A2-61D238693D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46C2-4F9B-8D66-406F77F501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610C03B-EA1E-4C7F-A9FC-674A68B893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46C2-4F9B-8D66-406F77F501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820AEC2-CFF1-4A83-9548-C645835413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46C2-4F9B-8D66-406F77F501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CA024DF-2823-4EF9-9843-C222A34909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46C2-4F9B-8D66-406F77F501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CAE82B3-6617-4C08-9EFE-F1B80548BF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46C2-4F9B-8D66-406F77F501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A0E424A-52E4-47BF-83B7-8481B19A1B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46C2-4F9B-8D66-406F77F501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3589EFA-2EAC-4A7A-B288-857E0B2517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46C2-4F9B-8D66-406F77F501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F4155F2-7E90-410D-8DBF-0A51FC8F5B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46C2-4F9B-8D66-406F77F501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5418AFD-2AB2-439D-A850-3A79E7CD0B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46C2-4F9B-8D66-406F77F5019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2333083-3F95-4744-95FB-739E22B178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46C2-4F9B-8D66-406F77F501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7E91144-BF36-4E37-9C5A-46CDF711D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46C2-4F9B-8D66-406F77F501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3F987DE-7AAA-4679-B55A-C6CB0AD670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46C2-4F9B-8D66-406F77F5019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CA0F0B1-926D-4E78-AFA6-D73E93A89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46C2-4F9B-8D66-406F77F5019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FB9D28E-4E18-41BF-A523-CA77F133FF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46C2-4F9B-8D66-406F77F5019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47ECA3E-8038-4437-8159-AE687E828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46C2-4F9B-8D66-406F77F5019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715D351-4C47-4AA7-901A-A8F0FE06D6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46C2-4F9B-8D66-406F77F5019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11CFCF2-34F9-4016-9C4D-4D9C5EC253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46C2-4F9B-8D66-406F77F50193}"/>
                </c:ext>
              </c:extLst>
            </c:dLbl>
            <c:dLbl>
              <c:idx val="26"/>
              <c:layout>
                <c:manualLayout>
                  <c:x val="-4.3005602885279715E-2"/>
                  <c:y val="-4.3421341127574814E-2"/>
                </c:manualLayout>
              </c:layout>
              <c:tx>
                <c:rich>
                  <a:bodyPr/>
                  <a:lstStyle/>
                  <a:p>
                    <a:fld id="{523EF44D-98CB-4F12-88EF-D6912DD3DB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46C2-4F9B-8D66-406F77F5019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002F592-E29C-4103-A8D5-CC73BC6FE8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F-46C2-4F9B-8D66-406F77F5019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702C6C3-31E5-45DE-BA5D-C2FF91F3C8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46C2-4F9B-8D66-406F77F5019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DCB8C69-52BA-4342-A2BC-98CFABFA15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BD8B-4C5D-993F-9C97CF188EF9}"/>
                </c:ext>
              </c:extLst>
            </c:dLbl>
            <c:dLbl>
              <c:idx val="30"/>
              <c:layout>
                <c:manualLayout>
                  <c:x val="-4.7363070521338576E-8"/>
                  <c:y val="6.106643598261659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6CBB761-7D38-4026-BEBD-2E4057A0235C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41795067950848"/>
                      <c:h val="0.1129117465826747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46C2-4F9B-8D66-406F77F501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đồ'!$E$94:$AO$94</c15:sqref>
                  </c15:fullRef>
                </c:ext>
              </c:extLst>
              <c:f>('Vẽ Biểu đồ'!$E$94:$AH$94,'Vẽ Biểu đồ'!$AO$94)</c:f>
              <c:numCache>
                <c:formatCode>_(* #,##0_);_(* \(#,##0\);_(* "-"??_);_(@_)</c:formatCode>
                <c:ptCount val="31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802.5</c:v>
                </c:pt>
                <c:pt idx="24">
                  <c:v>800</c:v>
                </c:pt>
                <c:pt idx="25">
                  <c:v>800</c:v>
                </c:pt>
                <c:pt idx="26">
                  <c:v>1331</c:v>
                </c:pt>
                <c:pt idx="27">
                  <c:v>1590</c:v>
                </c:pt>
                <c:pt idx="28">
                  <c:v>1523</c:v>
                </c:pt>
                <c:pt idx="29">
                  <c:v>1470</c:v>
                </c:pt>
                <c:pt idx="30">
                  <c:v>1470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đồ'!$E$86:$AO$86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803 </c:v>
                  </c:pt>
                  <c:pt idx="24">
                    <c:v> 800 </c:v>
                  </c:pt>
                  <c:pt idx="25">
                    <c:v> 800 </c:v>
                  </c:pt>
                  <c:pt idx="26">
                    <c:v> 1,331 </c:v>
                  </c:pt>
                  <c:pt idx="27">
                    <c:v> 1,590 </c:v>
                  </c:pt>
                  <c:pt idx="28">
                    <c:v> 1,523 </c:v>
                  </c:pt>
                  <c:pt idx="29">
                    <c:v> 1,470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8-46C2-4F9B-8D66-406F77F50193}"/>
            </c:ext>
          </c:extLst>
        </c:ser>
        <c:ser>
          <c:idx val="6"/>
          <c:order val="4"/>
          <c:tx>
            <c:strRef>
              <c:f>'Vẽ Biểu đồ'!$D$98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đồ'!$E$36:$AO$36</c15:sqref>
                    </c15:fullRef>
                  </c:ext>
                </c:extLst>
                <c:f>('Vẽ Biểu đồ'!$E$36:$AH$36,'Vẽ Biểu đồ'!$AO$36)</c:f>
                <c:numCache>
                  <c:formatCode>General</c:formatCode>
                  <c:ptCount val="31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457.5</c:v>
                  </c:pt>
                  <c:pt idx="24">
                    <c:v>385</c:v>
                  </c:pt>
                  <c:pt idx="25">
                    <c:v>350</c:v>
                  </c:pt>
                  <c:pt idx="26">
                    <c:v>81</c:v>
                  </c:pt>
                  <c:pt idx="27">
                    <c:v>116</c:v>
                  </c:pt>
                  <c:pt idx="28">
                    <c:v>194</c:v>
                  </c:pt>
                  <c:pt idx="29">
                    <c:v>190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đồ'!$E$95:$AO$95</c15:sqref>
                    </c15:fullRef>
                  </c:ext>
                </c:extLst>
                <c:f>('Vẽ Biểu đồ'!$E$95:$AH$95,'Vẽ Biểu đồ'!$AO$95)</c:f>
                <c:numCache>
                  <c:formatCode>General</c:formatCode>
                  <c:ptCount val="31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397.5</c:v>
                  </c:pt>
                  <c:pt idx="24">
                    <c:v>400</c:v>
                  </c:pt>
                  <c:pt idx="25">
                    <c:v>400</c:v>
                  </c:pt>
                  <c:pt idx="26">
                    <c:v>-131</c:v>
                  </c:pt>
                  <c:pt idx="27">
                    <c:v>-290</c:v>
                  </c:pt>
                  <c:pt idx="28">
                    <c:v>-153</c:v>
                  </c:pt>
                  <c:pt idx="29">
                    <c:v>-120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đồ'!$E$98:$AO$98</c15:sqref>
                  </c15:fullRef>
                </c:ext>
              </c:extLst>
              <c:f>('Vẽ Biểu đồ'!$E$98:$AH$98,'Vẽ Biểu đồ'!$AO$98)</c:f>
              <c:numCache>
                <c:formatCode>_(* #,##0_);_(* \(#,##0\);_(* "-"??_);_(@_)</c:formatCode>
                <c:ptCount val="31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1300</c:v>
                </c:pt>
                <c:pt idx="28">
                  <c:v>1370</c:v>
                </c:pt>
                <c:pt idx="29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46C2-4F9B-8D66-406F77F50193}"/>
            </c:ext>
          </c:extLst>
        </c:ser>
        <c:ser>
          <c:idx val="7"/>
          <c:order val="8"/>
          <c:tx>
            <c:strRef>
              <c:f>'Vẽ Biểu đồ'!$D$99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61D6424-9A25-4F53-BB70-F5FDCA8308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46C2-4F9B-8D66-406F77F501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5E896E-D107-4279-95CA-FEECE29464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46C2-4F9B-8D66-406F77F501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CDFEB4B-9CDA-444C-B245-798EFDA338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46C2-4F9B-8D66-406F77F501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63430F8-CC12-4193-8F52-E0476CBB6A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46C2-4F9B-8D66-406F77F501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3BD082-12BF-4CC0-9606-7F383D389B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46C2-4F9B-8D66-406F77F501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CFF8B97-007C-48E9-8400-F2577086C3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46C2-4F9B-8D66-406F77F501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922D1B0-EA9D-4CD4-AD8C-2E60C59776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46C2-4F9B-8D66-406F77F501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9B89D75-1DF0-4802-90E7-96BADF2A4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46C2-4F9B-8D66-406F77F501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015C231-2EAD-43FB-9BE6-B7AFE9E28E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46C2-4F9B-8D66-406F77F501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C081DE1-50B7-4CBC-8D20-43A6BEC3E9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46C2-4F9B-8D66-406F77F501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0DC4A2A-3250-422E-9743-8D7A06434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46C2-4F9B-8D66-406F77F501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7E17910-C576-4561-AFFA-587E602353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46C2-4F9B-8D66-406F77F501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06EAC6E-9B9E-41CF-B371-87200962A6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46C2-4F9B-8D66-406F77F501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56FBF72-3F20-48FA-8085-102C890D40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46C2-4F9B-8D66-406F77F501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4AB3CE5-C3AA-415F-9FBA-55C31D0783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46C2-4F9B-8D66-406F77F501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9A1C222-54BD-44DD-AAC2-9317DEF440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46C2-4F9B-8D66-406F77F501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D8C6C36-53CC-467B-8CB3-74FDA9FC58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46C2-4F9B-8D66-406F77F501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FCA885B-8BFC-4EC0-9409-F006C96167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46C2-4F9B-8D66-406F77F5019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D6E87FA-FF43-436B-A092-9F9DCAC43C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46C2-4F9B-8D66-406F77F501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C770D7D-83AA-4F07-9094-21D3A347DA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46C2-4F9B-8D66-406F77F501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753128F-8AD7-4914-BAB5-94F40B4843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46C2-4F9B-8D66-406F77F5019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C154681-1915-473A-BC2F-AD235B5CED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46C2-4F9B-8D66-406F77F5019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1CE3DF0-7673-4332-AA4D-EF0B82EDA8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46C2-4F9B-8D66-406F77F5019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DA94C61-2DB7-4E54-8867-6FD808D426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46C2-4F9B-8D66-406F77F5019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ABCB74E-49CF-4AE6-8201-81D182E514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46C2-4F9B-8D66-406F77F5019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DD6E807-0653-40D4-BA6B-03EC43133F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46C2-4F9B-8D66-406F77F50193}"/>
                </c:ext>
              </c:extLst>
            </c:dLbl>
            <c:dLbl>
              <c:idx val="26"/>
              <c:layout>
                <c:manualLayout>
                  <c:x val="-2.3837336505199532E-2"/>
                  <c:y val="1.493354154061066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60F412A-B370-4668-97EB-60673F11D741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4-46C2-4F9B-8D66-406F77F50193}"/>
                </c:ext>
              </c:extLst>
            </c:dLbl>
            <c:dLbl>
              <c:idx val="2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AB6D2B5-4B2D-4F1D-9ACD-8014347459E2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46C2-4F9B-8D66-406F77F50193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C2018594-603E-40D4-BB0D-DF109838433B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46C2-4F9B-8D66-406F77F50193}"/>
                </c:ext>
              </c:extLst>
            </c:dLbl>
            <c:dLbl>
              <c:idx val="2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5EAADC5-2FD3-4D5B-92D4-3078F35D3376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D8B-4C5D-993F-9C97CF188EF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46C2-4F9B-8D66-406F77F50193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đồ'!$E$99:$AO$99</c15:sqref>
                  </c15:fullRef>
                </c:ext>
              </c:extLst>
              <c:f>('Vẽ Biểu đồ'!$E$99:$AH$99,'Vẽ Biểu đồ'!$AO$99)</c:f>
              <c:numCache>
                <c:formatCode>_(* #,##0_);_(* \(#,##0\);_(* "-"??_);_(@_)</c:formatCode>
                <c:ptCount val="31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1001.25</c:v>
                </c:pt>
                <c:pt idx="24">
                  <c:v>1000</c:v>
                </c:pt>
                <c:pt idx="25">
                  <c:v>1000</c:v>
                </c:pt>
                <c:pt idx="26">
                  <c:v>1265.5</c:v>
                </c:pt>
                <c:pt idx="27">
                  <c:v>1445</c:v>
                </c:pt>
                <c:pt idx="28">
                  <c:v>1446.5</c:v>
                </c:pt>
                <c:pt idx="29">
                  <c:v>1410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đồ'!$E$96:$AO$96</c15:f>
                <c15:dlblRangeCache>
                  <c:ptCount val="37"/>
                  <c:pt idx="0">
                    <c:v>+43.6%</c:v>
                  </c:pt>
                  <c:pt idx="1">
                    <c:v>+35.9%</c:v>
                  </c:pt>
                  <c:pt idx="2">
                    <c:v>+37.1%</c:v>
                  </c:pt>
                  <c:pt idx="3">
                    <c:v>+40.3%</c:v>
                  </c:pt>
                  <c:pt idx="4">
                    <c:v>+37.5%</c:v>
                  </c:pt>
                  <c:pt idx="5">
                    <c:v>+35.0%</c:v>
                  </c:pt>
                  <c:pt idx="6">
                    <c:v>+35.0%</c:v>
                  </c:pt>
                  <c:pt idx="7">
                    <c:v>+37.2%</c:v>
                  </c:pt>
                  <c:pt idx="8">
                    <c:v>+39.5%</c:v>
                  </c:pt>
                  <c:pt idx="9">
                    <c:v>+39.9%</c:v>
                  </c:pt>
                  <c:pt idx="10">
                    <c:v>+38.6%</c:v>
                  </c:pt>
                  <c:pt idx="11">
                    <c:v>+41.2%</c:v>
                  </c:pt>
                  <c:pt idx="12">
                    <c:v>+43.6%</c:v>
                  </c:pt>
                  <c:pt idx="13">
                    <c:v>+41.6%</c:v>
                  </c:pt>
                  <c:pt idx="14">
                    <c:v>+39.5%</c:v>
                  </c:pt>
                  <c:pt idx="15">
                    <c:v>+40.2%</c:v>
                  </c:pt>
                  <c:pt idx="16">
                    <c:v>+44.7%</c:v>
                  </c:pt>
                  <c:pt idx="17">
                    <c:v>+50.1%</c:v>
                  </c:pt>
                  <c:pt idx="18">
                    <c:v>+50.1%</c:v>
                  </c:pt>
                  <c:pt idx="19">
                    <c:v>+50.9%</c:v>
                  </c:pt>
                  <c:pt idx="20">
                    <c:v>+48.8%</c:v>
                  </c:pt>
                  <c:pt idx="21">
                    <c:v>+50.3%</c:v>
                  </c:pt>
                  <c:pt idx="22">
                    <c:v>+49.1%</c:v>
                  </c:pt>
                  <c:pt idx="23">
                    <c:v>+49.5%</c:v>
                  </c:pt>
                  <c:pt idx="24">
                    <c:v>+50.0%</c:v>
                  </c:pt>
                  <c:pt idx="25">
                    <c:v>+50.0%</c:v>
                  </c:pt>
                  <c:pt idx="26">
                    <c:v>-9.8%</c:v>
                  </c:pt>
                  <c:pt idx="27">
                    <c:v>-18.2%</c:v>
                  </c:pt>
                  <c:pt idx="28">
                    <c:v>-10.0%</c:v>
                  </c:pt>
                  <c:pt idx="29">
                    <c:v>-8.2%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F-46C2-4F9B-8D66-406F77F50193}"/>
            </c:ext>
          </c:extLst>
        </c:ser>
        <c:ser>
          <c:idx val="9"/>
          <c:order val="9"/>
          <c:tx>
            <c:v>Đơn giá vốn</c:v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solidFill>
                  <a:schemeClr val="bg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8-46C2-4F9B-8D66-406F77F50193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8575" cap="rnd">
                <a:solidFill>
                  <a:schemeClr val="bg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4-46C2-4F9B-8D66-406F77F501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05DE1CE-7BFD-4DAA-AFFB-ACF483E14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46C2-4F9B-8D66-406F77F501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2337A4-DF54-4C97-962E-4A24B381A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46C2-4F9B-8D66-406F77F501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1F6B1D-ED02-4012-8EEE-8E4F018B81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46C2-4F9B-8D66-406F77F501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D8BDF4F-2F22-4306-BE75-E4652840EC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46C2-4F9B-8D66-406F77F501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C208EC1-3184-450B-B042-2449FB8F3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46C2-4F9B-8D66-406F77F501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4F4E7F9-1717-4C44-9069-EC2A4AF5E5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46C2-4F9B-8D66-406F77F501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1D9DAF-5646-45D3-BB8E-6353B346DA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46C2-4F9B-8D66-406F77F501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85D7E5C-C499-4A1E-8A3B-DA634AAF30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46C2-4F9B-8D66-406F77F501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7DBA73C-BC37-4521-9C5F-37C75E007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46C2-4F9B-8D66-406F77F501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41240EF-CF40-4E77-A6E8-88044F7B75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46C2-4F9B-8D66-406F77F501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ECC0B38-F939-4993-AA58-BE1A2822F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46C2-4F9B-8D66-406F77F501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22A14F4-CD8F-44E4-8BBD-D1091C76EA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46C2-4F9B-8D66-406F77F501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AE211B0-05DE-4031-9D3D-604943995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46C2-4F9B-8D66-406F77F501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B8D746E-1E0F-4219-A061-146532A5F4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46C2-4F9B-8D66-406F77F501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0EBB44C-33DB-412B-A4A9-08CC1237F8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E-46C2-4F9B-8D66-406F77F501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BA41DF4-BC34-4EAE-8F6D-64F2C2A39F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F-46C2-4F9B-8D66-406F77F501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FEFB10B-02FA-4641-B3CD-ED04C1567A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0-46C2-4F9B-8D66-406F77F501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F77795D-92D1-4678-9B95-B15EF2470E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1-46C2-4F9B-8D66-406F77F5019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B8D01DA-5BBF-4E68-84DA-7C402E2827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2-46C2-4F9B-8D66-406F77F501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4207896-97AA-47DC-9330-96B937F4DE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3-46C2-4F9B-8D66-406F77F501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D283EAF-A811-441C-89A8-EE3BE11F8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4-46C2-4F9B-8D66-406F77F5019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34F22EF-FE65-4A18-86EA-CD7D743536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5-46C2-4F9B-8D66-406F77F5019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DDBFF07-CB50-4EE5-BF56-5E384407A5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46C2-4F9B-8D66-406F77F5019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D81892C-D5D2-48DE-8E0B-4ED68415D3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46C2-4F9B-8D66-406F77F5019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978BAFC-05C0-4387-BEA0-53BC2E9F95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46C2-4F9B-8D66-406F77F5019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29E0285-2456-446F-A543-AEC10E6B0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46C2-4F9B-8D66-406F77F5019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7477507-14A7-410F-867C-2D10CFFC5C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46C2-4F9B-8D66-406F77F5019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1C5417C-6FF8-4EF9-9F66-C6800C791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46C2-4F9B-8D66-406F77F5019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4D5C91E-635E-4038-9C0E-DBA7ABEDBD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46C2-4F9B-8D66-406F77F5019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02005B2-8C6B-4CDE-ACF0-EE10AB4EF9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BD8B-4C5D-993F-9C97CF188EF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563693E1-997A-4F88-86D2-CBB64A25A7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4-46C2-4F9B-8D66-406F77F50193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đồ'!$E$90:$AO$91</c15:sqref>
                  </c15:fullRef>
                </c:ext>
              </c:extLst>
              <c:f>'Vẽ Biểu đồ'!$E$90:$AO$91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đồ'!$E$97:$AO$97</c15:sqref>
                  </c15:fullRef>
                </c:ext>
              </c:extLst>
              <c:f>('Vẽ Biểu đồ'!$E$97:$AH$97,'Vẽ Biểu đồ'!$AO$97)</c:f>
              <c:numCache>
                <c:formatCode>_(* #,##0_);_(* \(#,##0\);_(* "-"??_);_(@_)</c:formatCode>
                <c:ptCount val="31"/>
                <c:pt idx="0">
                  <c:v>1123.8393754760991</c:v>
                </c:pt>
                <c:pt idx="1">
                  <c:v>1117.8292480151383</c:v>
                </c:pt>
                <c:pt idx="2">
                  <c:v>1111.4054725034264</c:v>
                </c:pt>
                <c:pt idx="3">
                  <c:v>1093.6880444221808</c:v>
                </c:pt>
                <c:pt idx="4">
                  <c:v>1050.0814018200961</c:v>
                </c:pt>
                <c:pt idx="5">
                  <c:v>1042.5247208062397</c:v>
                </c:pt>
                <c:pt idx="6">
                  <c:v>1069.2339644704725</c:v>
                </c:pt>
                <c:pt idx="7">
                  <c:v>1098.7138539281395</c:v>
                </c:pt>
                <c:pt idx="8">
                  <c:v>1127.6713208816282</c:v>
                </c:pt>
                <c:pt idx="9">
                  <c:v>1107.0609906609538</c:v>
                </c:pt>
                <c:pt idx="10">
                  <c:v>1101.3855329215878</c:v>
                </c:pt>
                <c:pt idx="11">
                  <c:v>1098.4579145921905</c:v>
                </c:pt>
                <c:pt idx="12">
                  <c:v>1111.8974726968577</c:v>
                </c:pt>
                <c:pt idx="13">
                  <c:v>1107.9584072086077</c:v>
                </c:pt>
                <c:pt idx="14">
                  <c:v>1102.408106787519</c:v>
                </c:pt>
                <c:pt idx="15">
                  <c:v>1084.7284615901749</c:v>
                </c:pt>
                <c:pt idx="16">
                  <c:v>1065.7134394500224</c:v>
                </c:pt>
                <c:pt idx="17">
                  <c:v>1057.1325986536951</c:v>
                </c:pt>
                <c:pt idx="18">
                  <c:v>1051.6461622980135</c:v>
                </c:pt>
                <c:pt idx="19">
                  <c:v>1038.665856293441</c:v>
                </c:pt>
                <c:pt idx="20">
                  <c:v>1033.0949685737933</c:v>
                </c:pt>
                <c:pt idx="21">
                  <c:v>1031.7990420682265</c:v>
                </c:pt>
                <c:pt idx="22">
                  <c:v>1036.4719998006608</c:v>
                </c:pt>
                <c:pt idx="23">
                  <c:v>1064.2414146189392</c:v>
                </c:pt>
                <c:pt idx="24">
                  <c:v>1114.7989042377815</c:v>
                </c:pt>
                <c:pt idx="25">
                  <c:v>1151.5792892767151</c:v>
                </c:pt>
                <c:pt idx="26">
                  <c:v>1158.7230112217621</c:v>
                </c:pt>
                <c:pt idx="27">
                  <c:v>1140.8443491093581</c:v>
                </c:pt>
                <c:pt idx="28">
                  <c:v>1168.8201094912893</c:v>
                </c:pt>
                <c:pt idx="29">
                  <c:v>1168.8201094912893</c:v>
                </c:pt>
                <c:pt idx="30">
                  <c:v>1168.8201094912893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đồ'!$E$107:$AO$107</c15:f>
                <c15:dlblRangeCache>
                  <c:ptCount val="37"/>
                  <c:pt idx="0">
                    <c:v> 1,124 </c:v>
                  </c:pt>
                  <c:pt idx="1">
                    <c:v> 1,118 </c:v>
                  </c:pt>
                  <c:pt idx="2">
                    <c:v> 1,111 </c:v>
                  </c:pt>
                  <c:pt idx="3">
                    <c:v> 1,094 </c:v>
                  </c:pt>
                  <c:pt idx="4">
                    <c:v> 1,050 </c:v>
                  </c:pt>
                  <c:pt idx="5">
                    <c:v> 1,043 </c:v>
                  </c:pt>
                  <c:pt idx="6">
                    <c:v> 1,069 </c:v>
                  </c:pt>
                  <c:pt idx="7">
                    <c:v> 1,099 </c:v>
                  </c:pt>
                  <c:pt idx="8">
                    <c:v> 1,128 </c:v>
                  </c:pt>
                  <c:pt idx="9">
                    <c:v> 1,107 </c:v>
                  </c:pt>
                  <c:pt idx="10">
                    <c:v> 1,101 </c:v>
                  </c:pt>
                  <c:pt idx="11">
                    <c:v> 1,098 </c:v>
                  </c:pt>
                  <c:pt idx="12">
                    <c:v> 1,112 </c:v>
                  </c:pt>
                  <c:pt idx="13">
                    <c:v> 1,108 </c:v>
                  </c:pt>
                  <c:pt idx="14">
                    <c:v> 1,102 </c:v>
                  </c:pt>
                  <c:pt idx="15">
                    <c:v> 1,085 </c:v>
                  </c:pt>
                  <c:pt idx="16">
                    <c:v> 1,066 </c:v>
                  </c:pt>
                  <c:pt idx="17">
                    <c:v> 1,057 </c:v>
                  </c:pt>
                  <c:pt idx="18">
                    <c:v> 1,052 </c:v>
                  </c:pt>
                  <c:pt idx="19">
                    <c:v> 1,039 </c:v>
                  </c:pt>
                  <c:pt idx="20">
                    <c:v> 1,033 </c:v>
                  </c:pt>
                  <c:pt idx="21">
                    <c:v> 1,032 </c:v>
                  </c:pt>
                  <c:pt idx="22">
                    <c:v> 1,036 </c:v>
                  </c:pt>
                  <c:pt idx="23">
                    <c:v> 1,064 </c:v>
                  </c:pt>
                  <c:pt idx="24">
                    <c:v> 1,115 </c:v>
                  </c:pt>
                  <c:pt idx="25">
                    <c:v> 1,152 </c:v>
                  </c:pt>
                  <c:pt idx="26">
                    <c:v> 1,159 </c:v>
                  </c:pt>
                  <c:pt idx="27">
                    <c:v> 1,141 </c:v>
                  </c:pt>
                  <c:pt idx="28">
                    <c:v> 1,169 </c:v>
                  </c:pt>
                  <c:pt idx="29">
                    <c:v> 1,169 </c:v>
                  </c:pt>
                  <c:pt idx="36">
                    <c:v>Giá vốn (*)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C5-46C2-4F9B-8D66-406F77F50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6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chemeClr val="accent2"/>
                </a:solidFill>
              </a:rPr>
              <a:t>GIÁ</a:t>
            </a:r>
            <a:r>
              <a:rPr lang="en-US" sz="2200" b="1" baseline="0">
                <a:solidFill>
                  <a:schemeClr val="accent2"/>
                </a:solidFill>
              </a:rPr>
              <a:t> BÁN EXW - rPET</a:t>
            </a:r>
            <a:endParaRPr lang="en-US" sz="22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38177499905373352"/>
          <c:y val="8.1549430620163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5831227353177313"/>
          <c:w val="0.95521071223181508"/>
          <c:h val="0.73040854311590808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'Chart-Price-BCKQKD'!$B$5:$AL$5</c15:sqref>
                  </c15:fullRef>
                </c:ext>
              </c:extLst>
              <c:f>'Chart-Price-BCKQKD'!$B$5:$AC$5</c:f>
              <c:numCache>
                <c:formatCode>_(* #,##0_);_(* \(#,##0\);_(* "-"??_);_(@_)</c:formatCode>
                <c:ptCount val="28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48-4277-AA2B-B99BA2B2BC91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'Chart-Price-BCKQKD'!$B$6:$AL$6</c15:sqref>
                  </c15:fullRef>
                </c:ext>
              </c:extLst>
              <c:f>'Chart-Price-BCKQKD'!$B$6:$AC$6</c:f>
              <c:numCache>
                <c:formatCode>_(* #,##0_);_(* \(#,##0\);_(* "-"??_);_(@_)</c:formatCode>
                <c:ptCount val="28"/>
                <c:pt idx="0">
                  <c:v>252.73412989049052</c:v>
                </c:pt>
                <c:pt idx="1">
                  <c:v>291.60755101603411</c:v>
                </c:pt>
                <c:pt idx="2">
                  <c:v>286.40488498504646</c:v>
                </c:pt>
                <c:pt idx="3">
                  <c:v>258.42418091399895</c:v>
                </c:pt>
                <c:pt idx="4">
                  <c:v>262.36914661221795</c:v>
                </c:pt>
                <c:pt idx="5">
                  <c:v>293.6153117457734</c:v>
                </c:pt>
                <c:pt idx="6">
                  <c:v>246.07321652307519</c:v>
                </c:pt>
                <c:pt idx="7">
                  <c:v>277.48186138485221</c:v>
                </c:pt>
                <c:pt idx="8">
                  <c:v>337.36944977788789</c:v>
                </c:pt>
                <c:pt idx="9">
                  <c:v>369.47685333707909</c:v>
                </c:pt>
                <c:pt idx="10">
                  <c:v>469.32320809203043</c:v>
                </c:pt>
                <c:pt idx="11">
                  <c:v>485.45873270898687</c:v>
                </c:pt>
                <c:pt idx="12">
                  <c:v>396.78209631948903</c:v>
                </c:pt>
                <c:pt idx="13">
                  <c:v>429.57870151252519</c:v>
                </c:pt>
                <c:pt idx="14">
                  <c:v>417.85223052467677</c:v>
                </c:pt>
                <c:pt idx="15">
                  <c:v>470.66571476676268</c:v>
                </c:pt>
                <c:pt idx="16">
                  <c:v>469.62417562706719</c:v>
                </c:pt>
                <c:pt idx="17">
                  <c:v>419.67599144720793</c:v>
                </c:pt>
                <c:pt idx="18">
                  <c:v>408.54686978392283</c:v>
                </c:pt>
                <c:pt idx="19">
                  <c:v>418.43714262740264</c:v>
                </c:pt>
                <c:pt idx="20">
                  <c:v>435.32547407396282</c:v>
                </c:pt>
                <c:pt idx="21">
                  <c:v>450.40278960295745</c:v>
                </c:pt>
                <c:pt idx="22">
                  <c:v>457.37081187900981</c:v>
                </c:pt>
                <c:pt idx="23">
                  <c:v>481.95277975993213</c:v>
                </c:pt>
                <c:pt idx="24">
                  <c:v>312.91497587321464</c:v>
                </c:pt>
                <c:pt idx="25">
                  <c:v>284.04326028401238</c:v>
                </c:pt>
                <c:pt idx="26">
                  <c:v>5.9543065541411124</c:v>
                </c:pt>
                <c:pt idx="27">
                  <c:v>-43.054640619248858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'Chart-Price-BCKQKD'!$A$3</c:f>
              <c:strCache>
                <c:ptCount val="1"/>
                <c:pt idx="0">
                  <c:v>Giá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3648-4277-AA2B-B99BA2B2BC91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648-4277-AA2B-B99BA2B2BC91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3648-4277-AA2B-B99BA2B2BC91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648-4277-AA2B-B99BA2B2BC91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648-4277-AA2B-B99BA2B2BC91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3648-4277-AA2B-B99BA2B2BC91}"/>
                </c:ext>
              </c:extLst>
            </c:dLbl>
            <c:dLbl>
              <c:idx val="23"/>
              <c:layout>
                <c:manualLayout>
                  <c:x val="-4.8351097869560079E-2"/>
                  <c:y val="-1.961222715674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A6D-4750-A628-CF480132F1DD}"/>
                </c:ext>
              </c:extLst>
            </c:dLbl>
            <c:dLbl>
              <c:idx val="26"/>
              <c:layout>
                <c:manualLayout>
                  <c:x val="-2.4076834221586148E-3"/>
                  <c:y val="1.8316248100652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A6D-4750-A628-CF480132F1DD}"/>
                </c:ext>
              </c:extLst>
            </c:dLbl>
            <c:dLbl>
              <c:idx val="27"/>
              <c:layout>
                <c:manualLayout>
                  <c:x val="-1.1956977852193489E-3"/>
                  <c:y val="-1.67865739131354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4F0-4B9E-81A1-CC541A34C2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'Chart-Price-BCKQKD'!$B$3:$AL$3</c15:sqref>
                  </c15:fullRef>
                </c:ext>
              </c:extLst>
              <c:f>'Chart-Price-BCKQKD'!$B$3:$AC$3</c:f>
              <c:numCache>
                <c:formatCode>_(* #,##0_);_(* \(#,##0\);_(* "-"??_);_(@_)</c:formatCode>
                <c:ptCount val="28"/>
                <c:pt idx="0">
                  <c:v>1182.7341298904905</c:v>
                </c:pt>
                <c:pt idx="1">
                  <c:v>1234.9408843493675</c:v>
                </c:pt>
                <c:pt idx="2">
                  <c:v>1226.4048849850465</c:v>
                </c:pt>
                <c:pt idx="3">
                  <c:v>1198.424180913999</c:v>
                </c:pt>
                <c:pt idx="4">
                  <c:v>1204.3691466122179</c:v>
                </c:pt>
                <c:pt idx="5">
                  <c:v>1243.6153117457734</c:v>
                </c:pt>
                <c:pt idx="6">
                  <c:v>1193.5732165230752</c:v>
                </c:pt>
                <c:pt idx="7">
                  <c:v>1207.4818613848522</c:v>
                </c:pt>
                <c:pt idx="8">
                  <c:v>1217.3694497778879</c:v>
                </c:pt>
                <c:pt idx="9">
                  <c:v>1231.9768533370791</c:v>
                </c:pt>
                <c:pt idx="10">
                  <c:v>1321.3232080920304</c:v>
                </c:pt>
                <c:pt idx="11">
                  <c:v>1315.4587327089869</c:v>
                </c:pt>
                <c:pt idx="12">
                  <c:v>1224.782096319489</c:v>
                </c:pt>
                <c:pt idx="13">
                  <c:v>1269.5787015125252</c:v>
                </c:pt>
                <c:pt idx="14">
                  <c:v>1240.8522305246768</c:v>
                </c:pt>
                <c:pt idx="15">
                  <c:v>1235.6657147667627</c:v>
                </c:pt>
                <c:pt idx="16">
                  <c:v>1251.6241756270672</c:v>
                </c:pt>
                <c:pt idx="17">
                  <c:v>1227.1759914472079</c:v>
                </c:pt>
                <c:pt idx="18">
                  <c:v>1210.5468697839228</c:v>
                </c:pt>
                <c:pt idx="19">
                  <c:v>1213.4371426274026</c:v>
                </c:pt>
                <c:pt idx="20">
                  <c:v>1218.3254740739628</c:v>
                </c:pt>
                <c:pt idx="21">
                  <c:v>1222.4027896029575</c:v>
                </c:pt>
                <c:pt idx="22">
                  <c:v>1227.3708118790098</c:v>
                </c:pt>
                <c:pt idx="23">
                  <c:v>1254.4527797599321</c:v>
                </c:pt>
                <c:pt idx="24">
                  <c:v>1117.9149758732146</c:v>
                </c:pt>
                <c:pt idx="25">
                  <c:v>1124.0432602840124</c:v>
                </c:pt>
                <c:pt idx="26">
                  <c:v>1114.9543065541411</c:v>
                </c:pt>
                <c:pt idx="27">
                  <c:v>1150.9453593807511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48-4277-AA2B-B99BA2B2BC91}"/>
            </c:ext>
          </c:extLst>
        </c:ser>
        <c:ser>
          <c:idx val="3"/>
          <c:order val="1"/>
          <c:tx>
            <c:strRef>
              <c:f>'Chart-Price-BCKQKD'!$A$4</c:f>
              <c:strCache>
                <c:ptCount val="1"/>
                <c:pt idx="0">
                  <c:v>Giá kế hoạch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3648-4277-AA2B-B99BA2B2BC91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3648-4277-AA2B-B99BA2B2BC91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648-4277-AA2B-B99BA2B2BC91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3648-4277-AA2B-B99BA2B2BC91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3648-4277-AA2B-B99BA2B2BC91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648-4277-AA2B-B99BA2B2BC91}"/>
                </c:ext>
              </c:extLst>
            </c:dLbl>
            <c:dLbl>
              <c:idx val="24"/>
              <c:layout>
                <c:manualLayout>
                  <c:x val="-1.7443978290449826E-2"/>
                  <c:y val="-7.2996397219059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A6D-4750-A628-CF480132F1DD}"/>
                </c:ext>
              </c:extLst>
            </c:dLbl>
            <c:dLbl>
              <c:idx val="27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4F0-4B9E-81A1-CC541A34C2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'Chart-Price-BCKQKD'!$B$4:$AL$4</c15:sqref>
                  </c15:fullRef>
                </c:ext>
              </c:extLst>
              <c:f>'Chart-Price-BCKQKD'!$B$4:$AC$4</c:f>
              <c:numCache>
                <c:formatCode>_(* #,##0_);_(* \(#,##0\);_(* "-"??_);_(@_)</c:formatCode>
                <c:ptCount val="28"/>
                <c:pt idx="0">
                  <c:v>1180.9667866323907</c:v>
                </c:pt>
                <c:pt idx="1">
                  <c:v>1199.7013809910641</c:v>
                </c:pt>
                <c:pt idx="2">
                  <c:v>1179.0985801217037</c:v>
                </c:pt>
                <c:pt idx="3">
                  <c:v>1200.4389513108613</c:v>
                </c:pt>
                <c:pt idx="4">
                  <c:v>1207.9269681742044</c:v>
                </c:pt>
                <c:pt idx="5">
                  <c:v>1204.3674796747966</c:v>
                </c:pt>
                <c:pt idx="6">
                  <c:v>1254.6012676056339</c:v>
                </c:pt>
                <c:pt idx="7">
                  <c:v>1259.3826199740597</c:v>
                </c:pt>
                <c:pt idx="8">
                  <c:v>1263.7258939893484</c:v>
                </c:pt>
                <c:pt idx="9">
                  <c:v>1274.3542384562372</c:v>
                </c:pt>
                <c:pt idx="10">
                  <c:v>1261.3793019282402</c:v>
                </c:pt>
                <c:pt idx="11">
                  <c:v>1262.2590667311413</c:v>
                </c:pt>
                <c:pt idx="12">
                  <c:v>1262.3936634028478</c:v>
                </c:pt>
                <c:pt idx="13">
                  <c:v>1262.4865162143126</c:v>
                </c:pt>
                <c:pt idx="14">
                  <c:v>1281.4274794843393</c:v>
                </c:pt>
                <c:pt idx="15">
                  <c:v>1277.287898512589</c:v>
                </c:pt>
                <c:pt idx="16">
                  <c:v>1278.1904921580881</c:v>
                </c:pt>
                <c:pt idx="17">
                  <c:v>1269.824865003445</c:v>
                </c:pt>
                <c:pt idx="18">
                  <c:v>1291.0692763217255</c:v>
                </c:pt>
                <c:pt idx="19">
                  <c:v>1312.723643450312</c:v>
                </c:pt>
                <c:pt idx="20">
                  <c:v>1305.6954905040463</c:v>
                </c:pt>
                <c:pt idx="21">
                  <c:v>1308.2516255567853</c:v>
                </c:pt>
                <c:pt idx="22">
                  <c:v>1318.955257049731</c:v>
                </c:pt>
                <c:pt idx="23">
                  <c:v>1313.8679149899906</c:v>
                </c:pt>
                <c:pt idx="24">
                  <c:v>1120.5942753515076</c:v>
                </c:pt>
                <c:pt idx="25">
                  <c:v>1120.7764032368477</c:v>
                </c:pt>
                <c:pt idx="26">
                  <c:v>1122.2414622465203</c:v>
                </c:pt>
                <c:pt idx="27">
                  <c:v>1121.9134816835192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48-4277-AA2B-B99BA2B2BC91}"/>
            </c:ext>
          </c:extLst>
        </c:ser>
        <c:ser>
          <c:idx val="4"/>
          <c:order val="2"/>
          <c:tx>
            <c:strRef>
              <c:f>'Chart-Price-BCKQKD'!$A$5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6"/>
              <c:layout>
                <c:manualLayout>
                  <c:x val="-1.7200551181744374E-2"/>
                  <c:y val="4.37734668088455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A6D-4750-A628-CF480132F1DD}"/>
                </c:ext>
              </c:extLst>
            </c:dLbl>
            <c:dLbl>
              <c:idx val="27"/>
              <c:layout>
                <c:manualLayout>
                  <c:x val="5.3792424141828176E-3"/>
                  <c:y val="-7.518061105853511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4F0-4B9E-81A1-CC541A34C2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'Chart-Price-BCKQKD'!$B$5:$AL$5</c15:sqref>
                  </c15:fullRef>
                </c:ext>
              </c:extLst>
              <c:f>'Chart-Price-BCKQKD'!$B$5:$AC$5</c:f>
              <c:numCache>
                <c:formatCode>_(* #,##0_);_(* \(#,##0\);_(* "-"??_);_(@_)</c:formatCode>
                <c:ptCount val="28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48-4277-AA2B-B99BA2B2BC91}"/>
            </c:ext>
          </c:extLst>
        </c:ser>
        <c:ser>
          <c:idx val="5"/>
          <c:order val="5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03F59E6-FC95-4A00-ADB4-D97EC59DBF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5E1FBB-161D-48AA-9764-816414C559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A16346-7539-4D16-8CFD-935A62FC66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C3FE57-8ECD-4316-AC00-F95691B2DE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B18E5E6-2007-4552-953A-1322BB3D0E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BEBB53B-DD14-42C5-B007-3D76AE9640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255363-5D96-4EB7-AB25-BD027001C3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4793E98-D750-4AC2-8B54-5B82AA41FB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D996967-E829-40F2-B375-A47948B7E4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1A5C6FE-3150-4C7F-84C0-B68D446979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39CE892-8215-4E30-9331-3E1BF6B141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70241EB-D907-4C9F-B1CA-6FB85F5810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A33AA20-71E5-477A-BAD6-5A9639753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ADDDDB9-B124-42DC-BB65-033011B92B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BE02059-ED92-4CAC-B8AD-D6BE4C1CB4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FFE126F-2237-461A-8C9C-E711A614AA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4A7535B-2587-45DE-965F-89CFF527A1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3273EDC-97A3-42AA-B1A8-FAD3387652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5C7CCE9-6195-45B0-BE39-2B0750BDAD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D698900-26F1-4E82-9714-2D6E57C7D5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CF7843A-957F-4AD4-BFBD-B9B3BF7D1E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230A978-FC69-46B6-9B17-E091CF59A6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BD1A0EB-6C4C-4500-B41E-49A242818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C1A0205-C19B-46E8-88FF-C1C751279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449-4034-837B-A0D88F5C249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936F92C-600A-45F7-96B7-B3146998EE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A6D-4750-A628-CF480132F1D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6D42A7A-1230-4795-9826-345F52C89D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A6D-4750-A628-CF480132F1D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0D0B738-4168-4F81-9AC2-E97CC9F7C6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A6D-4750-A628-CF480132F1DD}"/>
                </c:ext>
              </c:extLst>
            </c:dLbl>
            <c:dLbl>
              <c:idx val="27"/>
              <c:layout>
                <c:manualLayout>
                  <c:x val="-3.542538212475628E-2"/>
                  <c:y val="-2.5083685294356711E-2"/>
                </c:manualLayout>
              </c:layout>
              <c:tx>
                <c:rich>
                  <a:bodyPr/>
                  <a:lstStyle/>
                  <a:p>
                    <a:fld id="{EA8C921C-FF8A-4BB9-9EE3-210B62886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4F0-4B9E-81A1-CC541A34C2D4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'Chart-Price-BCKQKD'!$B$8:$AL$8</c15:sqref>
                  </c15:fullRef>
                </c:ext>
              </c:extLst>
              <c:f>'Chart-Price-BCKQKD'!$B$8:$AC$8</c:f>
              <c:numCache>
                <c:formatCode>_(* #,##0_);_(* \(#,##0\);_(* "-"??_);_(@_)</c:formatCode>
                <c:ptCount val="28"/>
                <c:pt idx="0">
                  <c:v>1056.3670649452451</c:v>
                </c:pt>
                <c:pt idx="1">
                  <c:v>1089.1371088413505</c:v>
                </c:pt>
                <c:pt idx="2">
                  <c:v>1083.2024424925232</c:v>
                </c:pt>
                <c:pt idx="3">
                  <c:v>1069.2120904569995</c:v>
                </c:pt>
                <c:pt idx="4">
                  <c:v>1073.1845733061091</c:v>
                </c:pt>
                <c:pt idx="5">
                  <c:v>1096.8076558728867</c:v>
                </c:pt>
                <c:pt idx="6">
                  <c:v>1070.5366082615376</c:v>
                </c:pt>
                <c:pt idx="7">
                  <c:v>1068.740930692426</c:v>
                </c:pt>
                <c:pt idx="8">
                  <c:v>1048.6847248889439</c:v>
                </c:pt>
                <c:pt idx="9">
                  <c:v>1047.2384266685394</c:v>
                </c:pt>
                <c:pt idx="10">
                  <c:v>1086.6616040460153</c:v>
                </c:pt>
                <c:pt idx="11">
                  <c:v>1072.7293663544933</c:v>
                </c:pt>
                <c:pt idx="12">
                  <c:v>1026.3910481597445</c:v>
                </c:pt>
                <c:pt idx="13">
                  <c:v>1054.7893507562626</c:v>
                </c:pt>
                <c:pt idx="14">
                  <c:v>1031.9261152623385</c:v>
                </c:pt>
                <c:pt idx="15">
                  <c:v>1000.3328573833813</c:v>
                </c:pt>
                <c:pt idx="16">
                  <c:v>1016.8120878135336</c:v>
                </c:pt>
                <c:pt idx="17">
                  <c:v>1017.337995723604</c:v>
                </c:pt>
                <c:pt idx="18">
                  <c:v>1006.2734348919614</c:v>
                </c:pt>
                <c:pt idx="19">
                  <c:v>1004.2185713137013</c:v>
                </c:pt>
                <c:pt idx="20">
                  <c:v>1000.6627370369814</c:v>
                </c:pt>
                <c:pt idx="21">
                  <c:v>997.20139480147873</c:v>
                </c:pt>
                <c:pt idx="22">
                  <c:v>998.6854059395049</c:v>
                </c:pt>
                <c:pt idx="23">
                  <c:v>1013.4763898799661</c:v>
                </c:pt>
                <c:pt idx="24">
                  <c:v>961.45748793660732</c:v>
                </c:pt>
                <c:pt idx="25">
                  <c:v>982.02163014200619</c:v>
                </c:pt>
                <c:pt idx="26">
                  <c:v>1111.9771532770706</c:v>
                </c:pt>
                <c:pt idx="27">
                  <c:v>1172.4726796903756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'Chart-Price-BCKQKD'!$B$6:$AL$6</c15:f>
                <c15:dlblRangeCache>
                  <c:ptCount val="37"/>
                  <c:pt idx="0">
                    <c:v> 253 </c:v>
                  </c:pt>
                  <c:pt idx="1">
                    <c:v> 292 </c:v>
                  </c:pt>
                  <c:pt idx="2">
                    <c:v> 286 </c:v>
                  </c:pt>
                  <c:pt idx="3">
                    <c:v> 258 </c:v>
                  </c:pt>
                  <c:pt idx="4">
                    <c:v> 262 </c:v>
                  </c:pt>
                  <c:pt idx="5">
                    <c:v> 294 </c:v>
                  </c:pt>
                  <c:pt idx="6">
                    <c:v> 246 </c:v>
                  </c:pt>
                  <c:pt idx="7">
                    <c:v> 277 </c:v>
                  </c:pt>
                  <c:pt idx="8">
                    <c:v> 337 </c:v>
                  </c:pt>
                  <c:pt idx="9">
                    <c:v> 369 </c:v>
                  </c:pt>
                  <c:pt idx="10">
                    <c:v> 469 </c:v>
                  </c:pt>
                  <c:pt idx="11">
                    <c:v> 485 </c:v>
                  </c:pt>
                  <c:pt idx="12">
                    <c:v> 397 </c:v>
                  </c:pt>
                  <c:pt idx="13">
                    <c:v> 430 </c:v>
                  </c:pt>
                  <c:pt idx="14">
                    <c:v> 418 </c:v>
                  </c:pt>
                  <c:pt idx="15">
                    <c:v> 471 </c:v>
                  </c:pt>
                  <c:pt idx="16">
                    <c:v> 470 </c:v>
                  </c:pt>
                  <c:pt idx="17">
                    <c:v> 420 </c:v>
                  </c:pt>
                  <c:pt idx="18">
                    <c:v> 409 </c:v>
                  </c:pt>
                  <c:pt idx="19">
                    <c:v> 418 </c:v>
                  </c:pt>
                  <c:pt idx="20">
                    <c:v> 435 </c:v>
                  </c:pt>
                  <c:pt idx="21">
                    <c:v> 450 </c:v>
                  </c:pt>
                  <c:pt idx="22">
                    <c:v> 457 </c:v>
                  </c:pt>
                  <c:pt idx="23">
                    <c:v> 482 </c:v>
                  </c:pt>
                  <c:pt idx="24">
                    <c:v> 313 </c:v>
                  </c:pt>
                  <c:pt idx="25">
                    <c:v> 284 </c:v>
                  </c:pt>
                  <c:pt idx="26">
                    <c:v> 6 </c:v>
                  </c:pt>
                  <c:pt idx="27">
                    <c:v> (43)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648-4277-AA2B-B99BA2B2BC91}"/>
            </c:ext>
          </c:extLst>
        </c:ser>
        <c:ser>
          <c:idx val="6"/>
          <c:order val="6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A11B39BF-6292-47FF-9A27-81AB7AEDA6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D88CC4-4514-463C-980F-A54C4142BD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DD9B3AA-08CF-4AC8-9992-22A2C5AB5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D15174-A4A6-4E0A-9C10-8D81E1B97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7EF0EF-0CC6-40D5-A2D2-AB46B1FD7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4B26199-B747-428A-ABD5-06BED6A3E3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EA0CFF5-1E3A-4E89-9AB2-2869E26354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DC00FD8-02A4-493F-B515-FB6AFAA64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25C2087-3408-42FD-9910-577BB7C416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AFB8ED3-5D06-44B5-946B-A770B2126C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2B230CF-768D-48E4-BFA7-45D23A1518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E89C188-6DF7-48BF-8BBA-14BC806DE2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61A0A0E-EAB8-4CDF-9DC1-FDE216F673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B18A834-C2BE-4201-BBC6-EFC2DC2394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20C138B-F335-47FE-B3C8-AC6990C8CE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3912CA8-6053-4032-8155-54827EBE5C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7EA44C3-A835-4C37-B6B4-39041E326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94C8845-2F21-4A6E-B0B1-1ED2075AFF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95EBFEB-DE74-4A83-9597-C2F7749A8C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7E90610-41B7-4598-81A6-BF3759A315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5A5DEC8-AD53-4F25-A1E6-BA01332504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DECE841-034A-4D9C-8437-7351124E34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4782D83-E021-454F-88AF-90C666353E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6BF93EF-94CD-476D-90A8-32260FEDF5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449-4034-837B-A0D88F5C249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8541BF3-1B6C-4127-A35A-35905FED0C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A6D-4750-A628-CF480132F1D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B4A7AB1-C2FD-4EF9-88A6-6E6E055F5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A6D-4750-A628-CF480132F1DD}"/>
                </c:ext>
              </c:extLst>
            </c:dLbl>
            <c:dLbl>
              <c:idx val="26"/>
              <c:layout>
                <c:manualLayout>
                  <c:x val="-8.7660473231439048E-3"/>
                  <c:y val="0.10184091861629789"/>
                </c:manualLayout>
              </c:layout>
              <c:tx>
                <c:rich>
                  <a:bodyPr/>
                  <a:lstStyle/>
                  <a:p>
                    <a:fld id="{00AE6CD6-B75B-495F-9640-C7EE210AA1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A6D-4750-A628-CF480132F1DD}"/>
                </c:ext>
              </c:extLst>
            </c:dLbl>
            <c:dLbl>
              <c:idx val="27"/>
              <c:layout>
                <c:manualLayout>
                  <c:x val="-1.3068488239102016E-2"/>
                  <c:y val="-6.4358944203752474E-2"/>
                </c:manualLayout>
              </c:layout>
              <c:tx>
                <c:rich>
                  <a:bodyPr/>
                  <a:lstStyle/>
                  <a:p>
                    <a:fld id="{243F733D-71F9-489A-89FC-883DE779B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4F0-4B9E-81A1-CC541A34C2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'Chart-Price-BCKQKD'!$B$8:$AL$8</c15:sqref>
                  </c15:fullRef>
                </c:ext>
              </c:extLst>
              <c:f>'Chart-Price-BCKQKD'!$B$8:$AC$8</c:f>
              <c:numCache>
                <c:formatCode>_(* #,##0_);_(* \(#,##0\);_(* "-"??_);_(@_)</c:formatCode>
                <c:ptCount val="28"/>
                <c:pt idx="0">
                  <c:v>1056.3670649452451</c:v>
                </c:pt>
                <c:pt idx="1">
                  <c:v>1089.1371088413505</c:v>
                </c:pt>
                <c:pt idx="2">
                  <c:v>1083.2024424925232</c:v>
                </c:pt>
                <c:pt idx="3">
                  <c:v>1069.2120904569995</c:v>
                </c:pt>
                <c:pt idx="4">
                  <c:v>1073.1845733061091</c:v>
                </c:pt>
                <c:pt idx="5">
                  <c:v>1096.8076558728867</c:v>
                </c:pt>
                <c:pt idx="6">
                  <c:v>1070.5366082615376</c:v>
                </c:pt>
                <c:pt idx="7">
                  <c:v>1068.740930692426</c:v>
                </c:pt>
                <c:pt idx="8">
                  <c:v>1048.6847248889439</c:v>
                </c:pt>
                <c:pt idx="9">
                  <c:v>1047.2384266685394</c:v>
                </c:pt>
                <c:pt idx="10">
                  <c:v>1086.6616040460153</c:v>
                </c:pt>
                <c:pt idx="11">
                  <c:v>1072.7293663544933</c:v>
                </c:pt>
                <c:pt idx="12">
                  <c:v>1026.3910481597445</c:v>
                </c:pt>
                <c:pt idx="13">
                  <c:v>1054.7893507562626</c:v>
                </c:pt>
                <c:pt idx="14">
                  <c:v>1031.9261152623385</c:v>
                </c:pt>
                <c:pt idx="15">
                  <c:v>1000.3328573833813</c:v>
                </c:pt>
                <c:pt idx="16">
                  <c:v>1016.8120878135336</c:v>
                </c:pt>
                <c:pt idx="17">
                  <c:v>1017.337995723604</c:v>
                </c:pt>
                <c:pt idx="18">
                  <c:v>1006.2734348919614</c:v>
                </c:pt>
                <c:pt idx="19">
                  <c:v>1004.2185713137013</c:v>
                </c:pt>
                <c:pt idx="20">
                  <c:v>1000.6627370369814</c:v>
                </c:pt>
                <c:pt idx="21">
                  <c:v>997.20139480147873</c:v>
                </c:pt>
                <c:pt idx="22">
                  <c:v>998.6854059395049</c:v>
                </c:pt>
                <c:pt idx="23">
                  <c:v>1013.4763898799661</c:v>
                </c:pt>
                <c:pt idx="24">
                  <c:v>961.45748793660732</c:v>
                </c:pt>
                <c:pt idx="25">
                  <c:v>982.02163014200619</c:v>
                </c:pt>
                <c:pt idx="26">
                  <c:v>1111.9771532770706</c:v>
                </c:pt>
                <c:pt idx="27">
                  <c:v>1172.4726796903756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'Chart-Price-BCKQKD'!$B$7:$AL$7</c15:f>
                <c15:dlblRangeCache>
                  <c:ptCount val="37"/>
                  <c:pt idx="0">
                    <c:v>27.2%</c:v>
                  </c:pt>
                  <c:pt idx="1">
                    <c:v>30.9%</c:v>
                  </c:pt>
                  <c:pt idx="2">
                    <c:v>30.5%</c:v>
                  </c:pt>
                  <c:pt idx="3">
                    <c:v>27.5%</c:v>
                  </c:pt>
                  <c:pt idx="4">
                    <c:v>27.9%</c:v>
                  </c:pt>
                  <c:pt idx="5">
                    <c:v>30.9%</c:v>
                  </c:pt>
                  <c:pt idx="6">
                    <c:v>26.0%</c:v>
                  </c:pt>
                  <c:pt idx="7">
                    <c:v>29.8%</c:v>
                  </c:pt>
                  <c:pt idx="8">
                    <c:v>38.3%</c:v>
                  </c:pt>
                  <c:pt idx="9">
                    <c:v>42.8%</c:v>
                  </c:pt>
                  <c:pt idx="10">
                    <c:v>55.1%</c:v>
                  </c:pt>
                  <c:pt idx="11">
                    <c:v>58.5%</c:v>
                  </c:pt>
                  <c:pt idx="12">
                    <c:v>47.9%</c:v>
                  </c:pt>
                  <c:pt idx="13">
                    <c:v>51.1%</c:v>
                  </c:pt>
                  <c:pt idx="14">
                    <c:v>50.8%</c:v>
                  </c:pt>
                  <c:pt idx="15">
                    <c:v>61.5%</c:v>
                  </c:pt>
                  <c:pt idx="16">
                    <c:v>60.1%</c:v>
                  </c:pt>
                  <c:pt idx="17">
                    <c:v>52.0%</c:v>
                  </c:pt>
                  <c:pt idx="18">
                    <c:v>50.9%</c:v>
                  </c:pt>
                  <c:pt idx="19">
                    <c:v>52.6%</c:v>
                  </c:pt>
                  <c:pt idx="20">
                    <c:v>55.6%</c:v>
                  </c:pt>
                  <c:pt idx="21">
                    <c:v>58.3%</c:v>
                  </c:pt>
                  <c:pt idx="22">
                    <c:v>59.4%</c:v>
                  </c:pt>
                  <c:pt idx="23">
                    <c:v>62.4%</c:v>
                  </c:pt>
                  <c:pt idx="24">
                    <c:v>38.9%</c:v>
                  </c:pt>
                  <c:pt idx="25">
                    <c:v>33.8%</c:v>
                  </c:pt>
                  <c:pt idx="26">
                    <c:v>0.5%</c:v>
                  </c:pt>
                  <c:pt idx="27">
                    <c:v>-3.6%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  <c:max val="1350"/>
          <c:min val="7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1864317381792845"/>
          <c:y val="8.3873696413087909E-2"/>
          <c:w val="0.35871420176289709"/>
          <c:h val="4.915504301892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7445835351972543E-2"/>
          <c:w val="0.95521071223181508"/>
          <c:h val="0.79105401618036997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'Chart-Price-BCKQKD'!$B$5:$AL$5</c15:sqref>
                  </c15:fullRef>
                </c:ext>
              </c:extLst>
              <c:f>'Chart-Price-BCKQKD'!$B$5:$AC$5</c:f>
              <c:numCache>
                <c:formatCode>_(* #,##0_);_(* \(#,##0\);_(* "-"??_);_(@_)</c:formatCode>
                <c:ptCount val="28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5-44EC-9FB2-E5340A643D8B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'Chart-Price-BCKQKD'!$B$6:$AL$6</c15:sqref>
                  </c15:fullRef>
                </c:ext>
              </c:extLst>
              <c:f>'Chart-Price-BCKQKD'!$B$6:$AC$6</c:f>
              <c:numCache>
                <c:formatCode>_(* #,##0_);_(* \(#,##0\);_(* "-"??_);_(@_)</c:formatCode>
                <c:ptCount val="28"/>
                <c:pt idx="0">
                  <c:v>252.73412989049052</c:v>
                </c:pt>
                <c:pt idx="1">
                  <c:v>291.60755101603411</c:v>
                </c:pt>
                <c:pt idx="2">
                  <c:v>286.40488498504646</c:v>
                </c:pt>
                <c:pt idx="3">
                  <c:v>258.42418091399895</c:v>
                </c:pt>
                <c:pt idx="4">
                  <c:v>262.36914661221795</c:v>
                </c:pt>
                <c:pt idx="5">
                  <c:v>293.6153117457734</c:v>
                </c:pt>
                <c:pt idx="6">
                  <c:v>246.07321652307519</c:v>
                </c:pt>
                <c:pt idx="7">
                  <c:v>277.48186138485221</c:v>
                </c:pt>
                <c:pt idx="8">
                  <c:v>337.36944977788789</c:v>
                </c:pt>
                <c:pt idx="9">
                  <c:v>369.47685333707909</c:v>
                </c:pt>
                <c:pt idx="10">
                  <c:v>469.32320809203043</c:v>
                </c:pt>
                <c:pt idx="11">
                  <c:v>485.45873270898687</c:v>
                </c:pt>
                <c:pt idx="12">
                  <c:v>396.78209631948903</c:v>
                </c:pt>
                <c:pt idx="13">
                  <c:v>429.57870151252519</c:v>
                </c:pt>
                <c:pt idx="14">
                  <c:v>417.85223052467677</c:v>
                </c:pt>
                <c:pt idx="15">
                  <c:v>470.66571476676268</c:v>
                </c:pt>
                <c:pt idx="16">
                  <c:v>469.62417562706719</c:v>
                </c:pt>
                <c:pt idx="17">
                  <c:v>419.67599144720793</c:v>
                </c:pt>
                <c:pt idx="18">
                  <c:v>408.54686978392283</c:v>
                </c:pt>
                <c:pt idx="19">
                  <c:v>418.43714262740264</c:v>
                </c:pt>
                <c:pt idx="20">
                  <c:v>435.32547407396282</c:v>
                </c:pt>
                <c:pt idx="21">
                  <c:v>450.40278960295745</c:v>
                </c:pt>
                <c:pt idx="22">
                  <c:v>457.37081187900981</c:v>
                </c:pt>
                <c:pt idx="23">
                  <c:v>481.95277975993213</c:v>
                </c:pt>
                <c:pt idx="24">
                  <c:v>312.91497587321464</c:v>
                </c:pt>
                <c:pt idx="25">
                  <c:v>284.04326028401238</c:v>
                </c:pt>
                <c:pt idx="26">
                  <c:v>5.9543065541411124</c:v>
                </c:pt>
                <c:pt idx="27">
                  <c:v>-43.054640619248858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5-44EC-9FB2-E5340A64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'Chart-Price-BCKQKD'!$A$3</c:f>
              <c:strCache>
                <c:ptCount val="1"/>
                <c:pt idx="0">
                  <c:v>Giá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B5-44EC-9FB2-E5340A643D8B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B5-44EC-9FB2-E5340A643D8B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B5-44EC-9FB2-E5340A643D8B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B5-44EC-9FB2-E5340A643D8B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B5-44EC-9FB2-E5340A643D8B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B5-44EC-9FB2-E5340A643D8B}"/>
                </c:ext>
              </c:extLst>
            </c:dLbl>
            <c:dLbl>
              <c:idx val="23"/>
              <c:layout>
                <c:manualLayout>
                  <c:x val="-4.8351097869560079E-2"/>
                  <c:y val="-1.961222715674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B5-44EC-9FB2-E5340A643D8B}"/>
                </c:ext>
              </c:extLst>
            </c:dLbl>
            <c:dLbl>
              <c:idx val="26"/>
              <c:layout>
                <c:manualLayout>
                  <c:x val="-2.4076834221586148E-3"/>
                  <c:y val="1.8316248100652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B5-44EC-9FB2-E5340A643D8B}"/>
                </c:ext>
              </c:extLst>
            </c:dLbl>
            <c:dLbl>
              <c:idx val="27"/>
              <c:layout>
                <c:manualLayout>
                  <c:x val="-1.1956977852193489E-3"/>
                  <c:y val="-1.67865739131354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B5-44EC-9FB2-E5340A643D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'Chart-Price-BCKQKD'!$B$3:$AL$3</c15:sqref>
                  </c15:fullRef>
                </c:ext>
              </c:extLst>
              <c:f>'Chart-Price-BCKQKD'!$B$3:$AC$3</c:f>
              <c:numCache>
                <c:formatCode>_(* #,##0_);_(* \(#,##0\);_(* "-"??_);_(@_)</c:formatCode>
                <c:ptCount val="28"/>
                <c:pt idx="0">
                  <c:v>1182.7341298904905</c:v>
                </c:pt>
                <c:pt idx="1">
                  <c:v>1234.9408843493675</c:v>
                </c:pt>
                <c:pt idx="2">
                  <c:v>1226.4048849850465</c:v>
                </c:pt>
                <c:pt idx="3">
                  <c:v>1198.424180913999</c:v>
                </c:pt>
                <c:pt idx="4">
                  <c:v>1204.3691466122179</c:v>
                </c:pt>
                <c:pt idx="5">
                  <c:v>1243.6153117457734</c:v>
                </c:pt>
                <c:pt idx="6">
                  <c:v>1193.5732165230752</c:v>
                </c:pt>
                <c:pt idx="7">
                  <c:v>1207.4818613848522</c:v>
                </c:pt>
                <c:pt idx="8">
                  <c:v>1217.3694497778879</c:v>
                </c:pt>
                <c:pt idx="9">
                  <c:v>1231.9768533370791</c:v>
                </c:pt>
                <c:pt idx="10">
                  <c:v>1321.3232080920304</c:v>
                </c:pt>
                <c:pt idx="11">
                  <c:v>1315.4587327089869</c:v>
                </c:pt>
                <c:pt idx="12">
                  <c:v>1224.782096319489</c:v>
                </c:pt>
                <c:pt idx="13">
                  <c:v>1269.5787015125252</c:v>
                </c:pt>
                <c:pt idx="14">
                  <c:v>1240.8522305246768</c:v>
                </c:pt>
                <c:pt idx="15">
                  <c:v>1235.6657147667627</c:v>
                </c:pt>
                <c:pt idx="16">
                  <c:v>1251.6241756270672</c:v>
                </c:pt>
                <c:pt idx="17">
                  <c:v>1227.1759914472079</c:v>
                </c:pt>
                <c:pt idx="18">
                  <c:v>1210.5468697839228</c:v>
                </c:pt>
                <c:pt idx="19">
                  <c:v>1213.4371426274026</c:v>
                </c:pt>
                <c:pt idx="20">
                  <c:v>1218.3254740739628</c:v>
                </c:pt>
                <c:pt idx="21">
                  <c:v>1222.4027896029575</c:v>
                </c:pt>
                <c:pt idx="22">
                  <c:v>1227.3708118790098</c:v>
                </c:pt>
                <c:pt idx="23">
                  <c:v>1254.4527797599321</c:v>
                </c:pt>
                <c:pt idx="24">
                  <c:v>1117.9149758732146</c:v>
                </c:pt>
                <c:pt idx="25">
                  <c:v>1124.0432602840124</c:v>
                </c:pt>
                <c:pt idx="26">
                  <c:v>1114.9543065541411</c:v>
                </c:pt>
                <c:pt idx="27">
                  <c:v>1150.9453593807511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EB5-44EC-9FB2-E5340A643D8B}"/>
            </c:ext>
          </c:extLst>
        </c:ser>
        <c:ser>
          <c:idx val="3"/>
          <c:order val="1"/>
          <c:tx>
            <c:strRef>
              <c:f>'Chart-Price-BCKQKD'!$A$4</c:f>
              <c:strCache>
                <c:ptCount val="1"/>
                <c:pt idx="0">
                  <c:v>Giá kế hoạch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B5-44EC-9FB2-E5340A643D8B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B5-44EC-9FB2-E5340A643D8B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EB5-44EC-9FB2-E5340A643D8B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EB5-44EC-9FB2-E5340A643D8B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EB5-44EC-9FB2-E5340A643D8B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EB5-44EC-9FB2-E5340A643D8B}"/>
                </c:ext>
              </c:extLst>
            </c:dLbl>
            <c:dLbl>
              <c:idx val="24"/>
              <c:layout>
                <c:manualLayout>
                  <c:x val="-1.7443978290449826E-2"/>
                  <c:y val="-7.2996397219059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EB5-44EC-9FB2-E5340A643D8B}"/>
                </c:ext>
              </c:extLst>
            </c:dLbl>
            <c:dLbl>
              <c:idx val="27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EB5-44EC-9FB2-E5340A643D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'Chart-Price-BCKQKD'!$B$4:$AL$4</c15:sqref>
                  </c15:fullRef>
                </c:ext>
              </c:extLst>
              <c:f>'Chart-Price-BCKQKD'!$B$4:$AC$4</c:f>
              <c:numCache>
                <c:formatCode>_(* #,##0_);_(* \(#,##0\);_(* "-"??_);_(@_)</c:formatCode>
                <c:ptCount val="28"/>
                <c:pt idx="0">
                  <c:v>1180.9667866323907</c:v>
                </c:pt>
                <c:pt idx="1">
                  <c:v>1199.7013809910641</c:v>
                </c:pt>
                <c:pt idx="2">
                  <c:v>1179.0985801217037</c:v>
                </c:pt>
                <c:pt idx="3">
                  <c:v>1200.4389513108613</c:v>
                </c:pt>
                <c:pt idx="4">
                  <c:v>1207.9269681742044</c:v>
                </c:pt>
                <c:pt idx="5">
                  <c:v>1204.3674796747966</c:v>
                </c:pt>
                <c:pt idx="6">
                  <c:v>1254.6012676056339</c:v>
                </c:pt>
                <c:pt idx="7">
                  <c:v>1259.3826199740597</c:v>
                </c:pt>
                <c:pt idx="8">
                  <c:v>1263.7258939893484</c:v>
                </c:pt>
                <c:pt idx="9">
                  <c:v>1274.3542384562372</c:v>
                </c:pt>
                <c:pt idx="10">
                  <c:v>1261.3793019282402</c:v>
                </c:pt>
                <c:pt idx="11">
                  <c:v>1262.2590667311413</c:v>
                </c:pt>
                <c:pt idx="12">
                  <c:v>1262.3936634028478</c:v>
                </c:pt>
                <c:pt idx="13">
                  <c:v>1262.4865162143126</c:v>
                </c:pt>
                <c:pt idx="14">
                  <c:v>1281.4274794843393</c:v>
                </c:pt>
                <c:pt idx="15">
                  <c:v>1277.287898512589</c:v>
                </c:pt>
                <c:pt idx="16">
                  <c:v>1278.1904921580881</c:v>
                </c:pt>
                <c:pt idx="17">
                  <c:v>1269.824865003445</c:v>
                </c:pt>
                <c:pt idx="18">
                  <c:v>1291.0692763217255</c:v>
                </c:pt>
                <c:pt idx="19">
                  <c:v>1312.723643450312</c:v>
                </c:pt>
                <c:pt idx="20">
                  <c:v>1305.6954905040463</c:v>
                </c:pt>
                <c:pt idx="21">
                  <c:v>1308.2516255567853</c:v>
                </c:pt>
                <c:pt idx="22">
                  <c:v>1318.955257049731</c:v>
                </c:pt>
                <c:pt idx="23">
                  <c:v>1313.8679149899906</c:v>
                </c:pt>
                <c:pt idx="24">
                  <c:v>1120.5942753515076</c:v>
                </c:pt>
                <c:pt idx="25">
                  <c:v>1120.7764032368477</c:v>
                </c:pt>
                <c:pt idx="26">
                  <c:v>1122.2414622465203</c:v>
                </c:pt>
                <c:pt idx="27">
                  <c:v>1121.9134816835192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EB5-44EC-9FB2-E5340A643D8B}"/>
            </c:ext>
          </c:extLst>
        </c:ser>
        <c:ser>
          <c:idx val="4"/>
          <c:order val="2"/>
          <c:tx>
            <c:strRef>
              <c:f>'Chart-Price-BCKQKD'!$A$5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6"/>
              <c:layout>
                <c:manualLayout>
                  <c:x val="-1.7200551181744374E-2"/>
                  <c:y val="4.37734668088455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EB5-44EC-9FB2-E5340A643D8B}"/>
                </c:ext>
              </c:extLst>
            </c:dLbl>
            <c:dLbl>
              <c:idx val="27"/>
              <c:layout>
                <c:manualLayout>
                  <c:x val="5.3792424141828176E-3"/>
                  <c:y val="-7.518061105853511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EB5-44EC-9FB2-E5340A643D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'Chart-Price-BCKQKD'!$B$5:$AL$5</c15:sqref>
                  </c15:fullRef>
                </c:ext>
              </c:extLst>
              <c:f>'Chart-Price-BCKQKD'!$B$5:$AC$5</c:f>
              <c:numCache>
                <c:formatCode>_(* #,##0_);_(* \(#,##0\);_(* "-"??_);_(@_)</c:formatCode>
                <c:ptCount val="28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EB5-44EC-9FB2-E5340A643D8B}"/>
            </c:ext>
          </c:extLst>
        </c:ser>
        <c:ser>
          <c:idx val="5"/>
          <c:order val="5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A4C8F5C1-7000-4F50-9387-0CBCF5F2A7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EB5-44EC-9FB2-E5340A643D8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6AF543A-6146-4AF7-A42C-71F07423D5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EB5-44EC-9FB2-E5340A643D8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A2C49D-4011-49AB-ABAF-8B9F0C16AB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EB5-44EC-9FB2-E5340A643D8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D7DC9D2-F74E-4F50-9EE2-7417962C3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EB5-44EC-9FB2-E5340A643D8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C708000-3D41-469C-BB26-A8FE09AEB7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EB5-44EC-9FB2-E5340A643D8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C8C3FB6-9B84-47DC-BE3B-8B6FA98E44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EB5-44EC-9FB2-E5340A643D8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8B2C1BD-4BDC-482F-848E-A2DC0459B6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EB5-44EC-9FB2-E5340A643D8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765A70C-89D2-4F11-80EB-EC104A5369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EB5-44EC-9FB2-E5340A643D8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B5DD8E1-7D7B-4F08-A8F7-EEB5FD9107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EB5-44EC-9FB2-E5340A643D8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46822CB-35BD-4465-BB60-7D1256F672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EB5-44EC-9FB2-E5340A643D8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BA6B3B4-535F-4851-8036-0A64A889C0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EB5-44EC-9FB2-E5340A643D8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7265EB3-61E7-4AE2-9957-61806BDEB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EB5-44EC-9FB2-E5340A643D8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4F4A267-7CDA-410A-8CC6-D36DACCCEC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EB5-44EC-9FB2-E5340A643D8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2727ED4-007B-4B5C-91EA-49E8FC4DB4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EB5-44EC-9FB2-E5340A643D8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248D77E-2A2B-4B0A-BCFD-790FD77D9E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EB5-44EC-9FB2-E5340A643D8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623EC91-7C8D-471F-805D-06995EB459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EB5-44EC-9FB2-E5340A643D8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7E84451-9662-415C-B35F-C24273AEDD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EB5-44EC-9FB2-E5340A643D8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40E530F-88EB-4AB8-BBE1-332609D95C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EB5-44EC-9FB2-E5340A643D8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9980BDB-7201-4BEA-97CA-64B36DD0E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EB5-44EC-9FB2-E5340A643D8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4E3DDA3-1F68-4B00-8D0B-4640C823BE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EB5-44EC-9FB2-E5340A643D8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5FBDD6A-07B9-4480-A737-32CD1743DD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EB5-44EC-9FB2-E5340A643D8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5BB1083-307F-4F9B-B1F2-838452C1CB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EB5-44EC-9FB2-E5340A643D8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229FE5C-6A4A-405A-891F-E7D920F4F0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EB5-44EC-9FB2-E5340A643D8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760A1A0-1968-40FF-946D-C464A12FE9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EB5-44EC-9FB2-E5340A643D8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EFEFF33-F7A3-43BB-AD2A-22D48975A5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EB5-44EC-9FB2-E5340A643D8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9D9D4AE-BF16-4218-A320-5F9CEAACEA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EB5-44EC-9FB2-E5340A643D8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2599A2F-A89A-4FDC-BED6-436372875C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EB5-44EC-9FB2-E5340A643D8B}"/>
                </c:ext>
              </c:extLst>
            </c:dLbl>
            <c:dLbl>
              <c:idx val="27"/>
              <c:layout>
                <c:manualLayout>
                  <c:x val="-3.542538212475628E-2"/>
                  <c:y val="-2.5083685294356711E-2"/>
                </c:manualLayout>
              </c:layout>
              <c:tx>
                <c:rich>
                  <a:bodyPr/>
                  <a:lstStyle/>
                  <a:p>
                    <a:fld id="{B5BE1B1F-8A38-4D71-AF95-486C28783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AEB5-44EC-9FB2-E5340A643D8B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'Chart-Price-BCKQKD'!$B$8:$AL$8</c15:sqref>
                  </c15:fullRef>
                </c:ext>
              </c:extLst>
              <c:f>'Chart-Price-BCKQKD'!$B$8:$AC$8</c:f>
              <c:numCache>
                <c:formatCode>_(* #,##0_);_(* \(#,##0\);_(* "-"??_);_(@_)</c:formatCode>
                <c:ptCount val="28"/>
                <c:pt idx="0">
                  <c:v>1056.3670649452451</c:v>
                </c:pt>
                <c:pt idx="1">
                  <c:v>1089.1371088413505</c:v>
                </c:pt>
                <c:pt idx="2">
                  <c:v>1083.2024424925232</c:v>
                </c:pt>
                <c:pt idx="3">
                  <c:v>1069.2120904569995</c:v>
                </c:pt>
                <c:pt idx="4">
                  <c:v>1073.1845733061091</c:v>
                </c:pt>
                <c:pt idx="5">
                  <c:v>1096.8076558728867</c:v>
                </c:pt>
                <c:pt idx="6">
                  <c:v>1070.5366082615376</c:v>
                </c:pt>
                <c:pt idx="7">
                  <c:v>1068.740930692426</c:v>
                </c:pt>
                <c:pt idx="8">
                  <c:v>1048.6847248889439</c:v>
                </c:pt>
                <c:pt idx="9">
                  <c:v>1047.2384266685394</c:v>
                </c:pt>
                <c:pt idx="10">
                  <c:v>1086.6616040460153</c:v>
                </c:pt>
                <c:pt idx="11">
                  <c:v>1072.7293663544933</c:v>
                </c:pt>
                <c:pt idx="12">
                  <c:v>1026.3910481597445</c:v>
                </c:pt>
                <c:pt idx="13">
                  <c:v>1054.7893507562626</c:v>
                </c:pt>
                <c:pt idx="14">
                  <c:v>1031.9261152623385</c:v>
                </c:pt>
                <c:pt idx="15">
                  <c:v>1000.3328573833813</c:v>
                </c:pt>
                <c:pt idx="16">
                  <c:v>1016.8120878135336</c:v>
                </c:pt>
                <c:pt idx="17">
                  <c:v>1017.337995723604</c:v>
                </c:pt>
                <c:pt idx="18">
                  <c:v>1006.2734348919614</c:v>
                </c:pt>
                <c:pt idx="19">
                  <c:v>1004.2185713137013</c:v>
                </c:pt>
                <c:pt idx="20">
                  <c:v>1000.6627370369814</c:v>
                </c:pt>
                <c:pt idx="21">
                  <c:v>997.20139480147873</c:v>
                </c:pt>
                <c:pt idx="22">
                  <c:v>998.6854059395049</c:v>
                </c:pt>
                <c:pt idx="23">
                  <c:v>1013.4763898799661</c:v>
                </c:pt>
                <c:pt idx="24">
                  <c:v>961.45748793660732</c:v>
                </c:pt>
                <c:pt idx="25">
                  <c:v>982.02163014200619</c:v>
                </c:pt>
                <c:pt idx="26">
                  <c:v>1111.9771532770706</c:v>
                </c:pt>
                <c:pt idx="27">
                  <c:v>1172.4726796903756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'Chart-Price-BCKQKD'!$B$6:$AL$6</c15:f>
                <c15:dlblRangeCache>
                  <c:ptCount val="37"/>
                  <c:pt idx="0">
                    <c:v> 253 </c:v>
                  </c:pt>
                  <c:pt idx="1">
                    <c:v> 292 </c:v>
                  </c:pt>
                  <c:pt idx="2">
                    <c:v> 286 </c:v>
                  </c:pt>
                  <c:pt idx="3">
                    <c:v> 258 </c:v>
                  </c:pt>
                  <c:pt idx="4">
                    <c:v> 262 </c:v>
                  </c:pt>
                  <c:pt idx="5">
                    <c:v> 294 </c:v>
                  </c:pt>
                  <c:pt idx="6">
                    <c:v> 246 </c:v>
                  </c:pt>
                  <c:pt idx="7">
                    <c:v> 277 </c:v>
                  </c:pt>
                  <c:pt idx="8">
                    <c:v> 337 </c:v>
                  </c:pt>
                  <c:pt idx="9">
                    <c:v> 369 </c:v>
                  </c:pt>
                  <c:pt idx="10">
                    <c:v> 469 </c:v>
                  </c:pt>
                  <c:pt idx="11">
                    <c:v> 485 </c:v>
                  </c:pt>
                  <c:pt idx="12">
                    <c:v> 397 </c:v>
                  </c:pt>
                  <c:pt idx="13">
                    <c:v> 430 </c:v>
                  </c:pt>
                  <c:pt idx="14">
                    <c:v> 418 </c:v>
                  </c:pt>
                  <c:pt idx="15">
                    <c:v> 471 </c:v>
                  </c:pt>
                  <c:pt idx="16">
                    <c:v> 470 </c:v>
                  </c:pt>
                  <c:pt idx="17">
                    <c:v> 420 </c:v>
                  </c:pt>
                  <c:pt idx="18">
                    <c:v> 409 </c:v>
                  </c:pt>
                  <c:pt idx="19">
                    <c:v> 418 </c:v>
                  </c:pt>
                  <c:pt idx="20">
                    <c:v> 435 </c:v>
                  </c:pt>
                  <c:pt idx="21">
                    <c:v> 450 </c:v>
                  </c:pt>
                  <c:pt idx="22">
                    <c:v> 457 </c:v>
                  </c:pt>
                  <c:pt idx="23">
                    <c:v> 482 </c:v>
                  </c:pt>
                  <c:pt idx="24">
                    <c:v> 313 </c:v>
                  </c:pt>
                  <c:pt idx="25">
                    <c:v> 284 </c:v>
                  </c:pt>
                  <c:pt idx="26">
                    <c:v> 6 </c:v>
                  </c:pt>
                  <c:pt idx="27">
                    <c:v> (43)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4-AEB5-44EC-9FB2-E5340A643D8B}"/>
            </c:ext>
          </c:extLst>
        </c:ser>
        <c:ser>
          <c:idx val="6"/>
          <c:order val="6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9AA60DE-BD89-478D-AEE6-6EA98B8E99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EB5-44EC-9FB2-E5340A643D8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4C458A-D400-4938-8ADA-4DD8394ABE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EB5-44EC-9FB2-E5340A643D8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A6BD5D-A4FE-4AA6-9D98-7921774458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EB5-44EC-9FB2-E5340A643D8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330FDA9-55D5-414B-9FB3-AA10899FF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EB5-44EC-9FB2-E5340A643D8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765F62B-7E37-4471-9E0C-993FD6C1A8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EB5-44EC-9FB2-E5340A643D8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22EA5D1-BDC5-4403-A2AE-3F95FF677D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EB5-44EC-9FB2-E5340A643D8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E5C8AA2-9045-480B-8C7F-31664134E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EB5-44EC-9FB2-E5340A643D8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0324598-4FA0-45D3-93C1-60C517BF61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EB5-44EC-9FB2-E5340A643D8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18C4AFA-06E6-4CD1-8A75-A774E7EAB8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EB5-44EC-9FB2-E5340A643D8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6299A49-7253-43FA-9E78-DF6F6C273E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EB5-44EC-9FB2-E5340A643D8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196FAED-673F-429C-917F-FB25FF1A37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EB5-44EC-9FB2-E5340A643D8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5E6C093-321D-474C-8B86-491C3DEFA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EB5-44EC-9FB2-E5340A643D8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3F5400D-5744-4E08-AF26-57B1F0A766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AEB5-44EC-9FB2-E5340A643D8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59A64DE-946A-44AE-B4D2-989912890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EB5-44EC-9FB2-E5340A643D8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D4027B1-A621-48CD-A6CD-36458C611A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EB5-44EC-9FB2-E5340A643D8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2227B39-F64D-4167-9600-50CEE3AF1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EB5-44EC-9FB2-E5340A643D8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272DEC7-4794-41BB-89A0-4AF63A4805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EB5-44EC-9FB2-E5340A643D8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59E14BC-B257-4481-BD87-77AC5BCF3D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EB5-44EC-9FB2-E5340A643D8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6D794EB-FC6E-4988-A0E5-C8E509E794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EB5-44EC-9FB2-E5340A643D8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CDBC84D-8E0E-4ECC-A7AF-574602377B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EB5-44EC-9FB2-E5340A643D8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10C6147-2905-4D2A-BB94-DAD64CE236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EB5-44EC-9FB2-E5340A643D8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A33C790-7809-43A5-8BB5-F85243A3DA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EB5-44EC-9FB2-E5340A643D8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E74E469-2BF7-4884-845E-6912C257A6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EB5-44EC-9FB2-E5340A643D8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6D09FEC-7E0E-446A-BE6E-8BAB2349EC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EB5-44EC-9FB2-E5340A643D8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B183515-68F8-4DB1-881E-2AEF431628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EB5-44EC-9FB2-E5340A643D8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8F07518-5E12-402D-9478-5035FAA161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EB5-44EC-9FB2-E5340A643D8B}"/>
                </c:ext>
              </c:extLst>
            </c:dLbl>
            <c:dLbl>
              <c:idx val="26"/>
              <c:layout>
                <c:manualLayout>
                  <c:x val="-8.7660473231439048E-3"/>
                  <c:y val="0.10184091861629789"/>
                </c:manualLayout>
              </c:layout>
              <c:tx>
                <c:rich>
                  <a:bodyPr/>
                  <a:lstStyle/>
                  <a:p>
                    <a:fld id="{646A6C47-7B7D-4A40-A99B-4D36F455E1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AEB5-44EC-9FB2-E5340A643D8B}"/>
                </c:ext>
              </c:extLst>
            </c:dLbl>
            <c:dLbl>
              <c:idx val="27"/>
              <c:layout>
                <c:manualLayout>
                  <c:x val="-1.3068488239102016E-2"/>
                  <c:y val="-6.4358944203752474E-2"/>
                </c:manualLayout>
              </c:layout>
              <c:tx>
                <c:rich>
                  <a:bodyPr/>
                  <a:lstStyle/>
                  <a:p>
                    <a:fld id="{B9DD6192-4A9F-4F42-8BFE-672FA8CFA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AEB5-44EC-9FB2-E5340A643D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'Chart-Price-BCKQKD'!$B$1:$AL$2</c15:sqref>
                  </c15:fullRef>
                </c:ext>
              </c:extLst>
              <c:f>'Chart-Price-BCKQKD'!$B$1:$AL$2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'Chart-Price-BCKQKD'!$B$8:$AL$8</c15:sqref>
                  </c15:fullRef>
                </c:ext>
              </c:extLst>
              <c:f>'Chart-Price-BCKQKD'!$B$8:$AC$8</c:f>
              <c:numCache>
                <c:formatCode>_(* #,##0_);_(* \(#,##0\);_(* "-"??_);_(@_)</c:formatCode>
                <c:ptCount val="28"/>
                <c:pt idx="0">
                  <c:v>1056.3670649452451</c:v>
                </c:pt>
                <c:pt idx="1">
                  <c:v>1089.1371088413505</c:v>
                </c:pt>
                <c:pt idx="2">
                  <c:v>1083.2024424925232</c:v>
                </c:pt>
                <c:pt idx="3">
                  <c:v>1069.2120904569995</c:v>
                </c:pt>
                <c:pt idx="4">
                  <c:v>1073.1845733061091</c:v>
                </c:pt>
                <c:pt idx="5">
                  <c:v>1096.8076558728867</c:v>
                </c:pt>
                <c:pt idx="6">
                  <c:v>1070.5366082615376</c:v>
                </c:pt>
                <c:pt idx="7">
                  <c:v>1068.740930692426</c:v>
                </c:pt>
                <c:pt idx="8">
                  <c:v>1048.6847248889439</c:v>
                </c:pt>
                <c:pt idx="9">
                  <c:v>1047.2384266685394</c:v>
                </c:pt>
                <c:pt idx="10">
                  <c:v>1086.6616040460153</c:v>
                </c:pt>
                <c:pt idx="11">
                  <c:v>1072.7293663544933</c:v>
                </c:pt>
                <c:pt idx="12">
                  <c:v>1026.3910481597445</c:v>
                </c:pt>
                <c:pt idx="13">
                  <c:v>1054.7893507562626</c:v>
                </c:pt>
                <c:pt idx="14">
                  <c:v>1031.9261152623385</c:v>
                </c:pt>
                <c:pt idx="15">
                  <c:v>1000.3328573833813</c:v>
                </c:pt>
                <c:pt idx="16">
                  <c:v>1016.8120878135336</c:v>
                </c:pt>
                <c:pt idx="17">
                  <c:v>1017.337995723604</c:v>
                </c:pt>
                <c:pt idx="18">
                  <c:v>1006.2734348919614</c:v>
                </c:pt>
                <c:pt idx="19">
                  <c:v>1004.2185713137013</c:v>
                </c:pt>
                <c:pt idx="20">
                  <c:v>1000.6627370369814</c:v>
                </c:pt>
                <c:pt idx="21">
                  <c:v>997.20139480147873</c:v>
                </c:pt>
                <c:pt idx="22">
                  <c:v>998.6854059395049</c:v>
                </c:pt>
                <c:pt idx="23">
                  <c:v>1013.4763898799661</c:v>
                </c:pt>
                <c:pt idx="24">
                  <c:v>961.45748793660732</c:v>
                </c:pt>
                <c:pt idx="25">
                  <c:v>982.02163014200619</c:v>
                </c:pt>
                <c:pt idx="26">
                  <c:v>1111.9771532770706</c:v>
                </c:pt>
                <c:pt idx="27">
                  <c:v>1172.4726796903756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'Chart-Price-BCKQKD'!$B$7:$AL$7</c15:f>
                <c15:dlblRangeCache>
                  <c:ptCount val="37"/>
                  <c:pt idx="0">
                    <c:v>27.2%</c:v>
                  </c:pt>
                  <c:pt idx="1">
                    <c:v>30.9%</c:v>
                  </c:pt>
                  <c:pt idx="2">
                    <c:v>30.5%</c:v>
                  </c:pt>
                  <c:pt idx="3">
                    <c:v>27.5%</c:v>
                  </c:pt>
                  <c:pt idx="4">
                    <c:v>27.9%</c:v>
                  </c:pt>
                  <c:pt idx="5">
                    <c:v>30.9%</c:v>
                  </c:pt>
                  <c:pt idx="6">
                    <c:v>26.0%</c:v>
                  </c:pt>
                  <c:pt idx="7">
                    <c:v>29.8%</c:v>
                  </c:pt>
                  <c:pt idx="8">
                    <c:v>38.3%</c:v>
                  </c:pt>
                  <c:pt idx="9">
                    <c:v>42.8%</c:v>
                  </c:pt>
                  <c:pt idx="10">
                    <c:v>55.1%</c:v>
                  </c:pt>
                  <c:pt idx="11">
                    <c:v>58.5%</c:v>
                  </c:pt>
                  <c:pt idx="12">
                    <c:v>47.9%</c:v>
                  </c:pt>
                  <c:pt idx="13">
                    <c:v>51.1%</c:v>
                  </c:pt>
                  <c:pt idx="14">
                    <c:v>50.8%</c:v>
                  </c:pt>
                  <c:pt idx="15">
                    <c:v>61.5%</c:v>
                  </c:pt>
                  <c:pt idx="16">
                    <c:v>60.1%</c:v>
                  </c:pt>
                  <c:pt idx="17">
                    <c:v>52.0%</c:v>
                  </c:pt>
                  <c:pt idx="18">
                    <c:v>50.9%</c:v>
                  </c:pt>
                  <c:pt idx="19">
                    <c:v>52.6%</c:v>
                  </c:pt>
                  <c:pt idx="20">
                    <c:v>55.6%</c:v>
                  </c:pt>
                  <c:pt idx="21">
                    <c:v>58.3%</c:v>
                  </c:pt>
                  <c:pt idx="22">
                    <c:v>59.4%</c:v>
                  </c:pt>
                  <c:pt idx="23">
                    <c:v>62.4%</c:v>
                  </c:pt>
                  <c:pt idx="24">
                    <c:v>38.9%</c:v>
                  </c:pt>
                  <c:pt idx="25">
                    <c:v>33.8%</c:v>
                  </c:pt>
                  <c:pt idx="26">
                    <c:v>0.5%</c:v>
                  </c:pt>
                  <c:pt idx="27">
                    <c:v>-3.6%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1-AEB5-44EC-9FB2-E5340A64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  <c:max val="1350"/>
          <c:min val="7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1864313057507382"/>
          <c:y val="2.5653544209500893E-2"/>
          <c:w val="0.35871420176289709"/>
          <c:h val="4.915504301892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chemeClr val="accent2"/>
                </a:solidFill>
              </a:rPr>
              <a:t>GIÁ</a:t>
            </a:r>
            <a:r>
              <a:rPr lang="en-US" sz="2200" b="1" baseline="0">
                <a:solidFill>
                  <a:schemeClr val="accent2"/>
                </a:solidFill>
              </a:rPr>
              <a:t> BÁN EXW rPET và GIÁ CHAI B0</a:t>
            </a:r>
            <a:endParaRPr lang="en-US" sz="22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31444526660549693"/>
          <c:y val="1.055307134822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5831227353177313"/>
          <c:w val="0.97403801955354741"/>
          <c:h val="0.71711701144667195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'Chart-Price-BCKQKD-B0'!$B$5:$AL$5</c15:sqref>
                  </c15:fullRef>
                </c:ext>
              </c:extLst>
              <c:f>'Chart-Price-BCKQKD-B0'!$B$5:$AC$5</c:f>
              <c:numCache>
                <c:formatCode>_(* #,##0_);_(* \(#,##0\);_(* "-"??_);_(@_)</c:formatCode>
                <c:ptCount val="28"/>
                <c:pt idx="0">
                  <c:v>454.25950671247932</c:v>
                </c:pt>
                <c:pt idx="1">
                  <c:v>453.36515148112693</c:v>
                </c:pt>
                <c:pt idx="2">
                  <c:v>456.81634770150117</c:v>
                </c:pt>
                <c:pt idx="3">
                  <c:v>488.10694551710827</c:v>
                </c:pt>
                <c:pt idx="4">
                  <c:v>507.6113288524088</c:v>
                </c:pt>
                <c:pt idx="5">
                  <c:v>502.55195099883798</c:v>
                </c:pt>
                <c:pt idx="6">
                  <c:v>449.44163474762649</c:v>
                </c:pt>
                <c:pt idx="7">
                  <c:v>460.38474938971746</c:v>
                </c:pt>
                <c:pt idx="8">
                  <c:v>476.3985295767223</c:v>
                </c:pt>
                <c:pt idx="9">
                  <c:v>463.24687500673917</c:v>
                </c:pt>
                <c:pt idx="10">
                  <c:v>477.21481195090115</c:v>
                </c:pt>
                <c:pt idx="11">
                  <c:v>470.36678970390926</c:v>
                </c:pt>
                <c:pt idx="12">
                  <c:v>480.89111023000731</c:v>
                </c:pt>
                <c:pt idx="13">
                  <c:v>480.85759859917755</c:v>
                </c:pt>
                <c:pt idx="14">
                  <c:v>493.5636552159383</c:v>
                </c:pt>
                <c:pt idx="15">
                  <c:v>508.89826576912344</c:v>
                </c:pt>
                <c:pt idx="16">
                  <c:v>498.34061717195397</c:v>
                </c:pt>
                <c:pt idx="17">
                  <c:v>516.36068833808736</c:v>
                </c:pt>
                <c:pt idx="18">
                  <c:v>522.336781192628</c:v>
                </c:pt>
                <c:pt idx="19">
                  <c:v>472.27438351942357</c:v>
                </c:pt>
                <c:pt idx="20">
                  <c:v>380.29552975264011</c:v>
                </c:pt>
                <c:pt idx="21">
                  <c:v>364.60900926289651</c:v>
                </c:pt>
                <c:pt idx="22">
                  <c:v>367.03538279109983</c:v>
                </c:pt>
                <c:pt idx="23">
                  <c:v>367.30198558030338</c:v>
                </c:pt>
                <c:pt idx="24">
                  <c:v>377.82148593129432</c:v>
                </c:pt>
                <c:pt idx="25">
                  <c:v>373.67359715909436</c:v>
                </c:pt>
                <c:pt idx="26">
                  <c:v>366.23902802612628</c:v>
                </c:pt>
                <c:pt idx="27">
                  <c:v>385.70025485453419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5-4DB1-B121-8C7558A9D260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'Chart-Price-BCKQKD-B0'!$B$6:$AL$6</c15:sqref>
                  </c15:fullRef>
                </c:ext>
              </c:extLst>
              <c:f>'Chart-Price-BCKQKD-B0'!$B$6:$AC$6</c:f>
              <c:numCache>
                <c:formatCode>_(* #,##0_);_(* \(#,##0\);_(* "-"??_);_(@_)</c:formatCode>
                <c:ptCount val="28"/>
                <c:pt idx="0">
                  <c:v>728.47462317801114</c:v>
                </c:pt>
                <c:pt idx="1">
                  <c:v>781.57573286824049</c:v>
                </c:pt>
                <c:pt idx="2">
                  <c:v>769.58853728354529</c:v>
                </c:pt>
                <c:pt idx="3">
                  <c:v>710.31723539689074</c:v>
                </c:pt>
                <c:pt idx="4">
                  <c:v>696.75781775980909</c:v>
                </c:pt>
                <c:pt idx="5">
                  <c:v>741.06336074693536</c:v>
                </c:pt>
                <c:pt idx="6">
                  <c:v>744.13158177544869</c:v>
                </c:pt>
                <c:pt idx="7">
                  <c:v>747.09711199513481</c:v>
                </c:pt>
                <c:pt idx="8">
                  <c:v>740.97092020116565</c:v>
                </c:pt>
                <c:pt idx="9">
                  <c:v>768.72997833033992</c:v>
                </c:pt>
                <c:pt idx="10">
                  <c:v>844.10839614112933</c:v>
                </c:pt>
                <c:pt idx="11">
                  <c:v>845.09194300507761</c:v>
                </c:pt>
                <c:pt idx="12">
                  <c:v>743.89098608948166</c:v>
                </c:pt>
                <c:pt idx="13">
                  <c:v>788.72110291334764</c:v>
                </c:pt>
                <c:pt idx="14">
                  <c:v>747.28857530873847</c:v>
                </c:pt>
                <c:pt idx="15">
                  <c:v>726.76744899763924</c:v>
                </c:pt>
                <c:pt idx="16">
                  <c:v>753.28355845511328</c:v>
                </c:pt>
                <c:pt idx="17">
                  <c:v>710.81530310912058</c:v>
                </c:pt>
                <c:pt idx="18">
                  <c:v>688.21008859129483</c:v>
                </c:pt>
                <c:pt idx="19">
                  <c:v>741.16275910797913</c:v>
                </c:pt>
                <c:pt idx="20">
                  <c:v>838.02994432132277</c:v>
                </c:pt>
                <c:pt idx="21">
                  <c:v>857.79378034006095</c:v>
                </c:pt>
                <c:pt idx="22">
                  <c:v>860.33542908790992</c:v>
                </c:pt>
                <c:pt idx="23">
                  <c:v>887.15079417962875</c:v>
                </c:pt>
                <c:pt idx="24">
                  <c:v>740.09348994192032</c:v>
                </c:pt>
                <c:pt idx="25">
                  <c:v>750.36966312491802</c:v>
                </c:pt>
                <c:pt idx="26">
                  <c:v>748.71527852801478</c:v>
                </c:pt>
                <c:pt idx="27">
                  <c:v>765.24510452621689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A5-4DB1-B121-8C7558A9D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'Chart-Price-BCKQKD-B0'!$A$3</c:f>
              <c:strCache>
                <c:ptCount val="1"/>
                <c:pt idx="0">
                  <c:v>Giá bán EXW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'Chart-Price-BCKQKD-B0'!$B$3:$AL$3</c15:sqref>
                  </c15:fullRef>
                </c:ext>
              </c:extLst>
              <c:f>'Chart-Price-BCKQKD-B0'!$B$3:$AC$3</c:f>
              <c:numCache>
                <c:formatCode>_(* #,##0_);_(* \(#,##0\);_(* "-"??_);_(@_)</c:formatCode>
                <c:ptCount val="28"/>
                <c:pt idx="0">
                  <c:v>1182.7341298904905</c:v>
                </c:pt>
                <c:pt idx="1">
                  <c:v>1234.9408843493675</c:v>
                </c:pt>
                <c:pt idx="2">
                  <c:v>1226.4048849850465</c:v>
                </c:pt>
                <c:pt idx="3">
                  <c:v>1198.424180913999</c:v>
                </c:pt>
                <c:pt idx="4">
                  <c:v>1204.3691466122179</c:v>
                </c:pt>
                <c:pt idx="5">
                  <c:v>1243.6153117457734</c:v>
                </c:pt>
                <c:pt idx="6">
                  <c:v>1193.5732165230752</c:v>
                </c:pt>
                <c:pt idx="7">
                  <c:v>1207.4818613848522</c:v>
                </c:pt>
                <c:pt idx="8">
                  <c:v>1217.3694497778879</c:v>
                </c:pt>
                <c:pt idx="9">
                  <c:v>1231.9768533370791</c:v>
                </c:pt>
                <c:pt idx="10">
                  <c:v>1321.3232080920304</c:v>
                </c:pt>
                <c:pt idx="11">
                  <c:v>1315.4587327089869</c:v>
                </c:pt>
                <c:pt idx="12">
                  <c:v>1224.782096319489</c:v>
                </c:pt>
                <c:pt idx="13">
                  <c:v>1269.5787015125252</c:v>
                </c:pt>
                <c:pt idx="14">
                  <c:v>1240.8522305246768</c:v>
                </c:pt>
                <c:pt idx="15">
                  <c:v>1235.6657147667627</c:v>
                </c:pt>
                <c:pt idx="16">
                  <c:v>1251.6241756270672</c:v>
                </c:pt>
                <c:pt idx="17">
                  <c:v>1227.1759914472079</c:v>
                </c:pt>
                <c:pt idx="18">
                  <c:v>1210.5468697839228</c:v>
                </c:pt>
                <c:pt idx="19">
                  <c:v>1213.4371426274026</c:v>
                </c:pt>
                <c:pt idx="20">
                  <c:v>1218.3254740739628</c:v>
                </c:pt>
                <c:pt idx="21">
                  <c:v>1222.4027896029575</c:v>
                </c:pt>
                <c:pt idx="22">
                  <c:v>1227.3708118790098</c:v>
                </c:pt>
                <c:pt idx="23">
                  <c:v>1254.4527797599321</c:v>
                </c:pt>
                <c:pt idx="24">
                  <c:v>1117.9149758732146</c:v>
                </c:pt>
                <c:pt idx="25">
                  <c:v>1124.0432602840124</c:v>
                </c:pt>
                <c:pt idx="26">
                  <c:v>1114.9543065541411</c:v>
                </c:pt>
                <c:pt idx="27">
                  <c:v>1150.9453593807511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0A5-4DB1-B121-8C7558A9D260}"/>
            </c:ext>
          </c:extLst>
        </c:ser>
        <c:ser>
          <c:idx val="3"/>
          <c:order val="1"/>
          <c:tx>
            <c:strRef>
              <c:f>'Chart-Price-BCKQKD-B0'!$A$4</c:f>
              <c:strCache>
                <c:ptCount val="1"/>
                <c:pt idx="0">
                  <c:v>Giá chai B1 DTR mua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'Chart-Price-BCKQKD-B0'!$B$4:$AL$4</c15:sqref>
                  </c15:fullRef>
                </c:ext>
              </c:extLst>
              <c:f>'Chart-Price-BCKQKD-B0'!$B$4:$AC$4</c:f>
              <c:numCache>
                <c:formatCode>_(* #,##0_);_(* \(#,##0\);_(* "-"??_);_(@_)</c:formatCode>
                <c:ptCount val="28"/>
                <c:pt idx="0">
                  <c:v>666.1857941286039</c:v>
                </c:pt>
                <c:pt idx="1">
                  <c:v>672.59553773969003</c:v>
                </c:pt>
                <c:pt idx="2">
                  <c:v>670.07980243363613</c:v>
                </c:pt>
                <c:pt idx="3">
                  <c:v>711.26752843174052</c:v>
                </c:pt>
                <c:pt idx="4">
                  <c:v>684.76589495790017</c:v>
                </c:pt>
                <c:pt idx="5">
                  <c:v>681.98127973690907</c:v>
                </c:pt>
                <c:pt idx="6">
                  <c:v>643.68356400796733</c:v>
                </c:pt>
                <c:pt idx="7">
                  <c:v>664.71360176750454</c:v>
                </c:pt>
                <c:pt idx="8">
                  <c:v>680.41572266516528</c:v>
                </c:pt>
                <c:pt idx="9">
                  <c:v>663.30397508407145</c:v>
                </c:pt>
                <c:pt idx="10">
                  <c:v>662.42995521494436</c:v>
                </c:pt>
                <c:pt idx="11">
                  <c:v>658.05709912135217</c:v>
                </c:pt>
                <c:pt idx="12">
                  <c:v>673.16228940138978</c:v>
                </c:pt>
                <c:pt idx="13">
                  <c:v>685.68710455801738</c:v>
                </c:pt>
                <c:pt idx="14">
                  <c:v>698.90850095308986</c:v>
                </c:pt>
                <c:pt idx="15">
                  <c:v>710.20899612591404</c:v>
                </c:pt>
                <c:pt idx="16">
                  <c:v>713.12492163074285</c:v>
                </c:pt>
                <c:pt idx="17">
                  <c:v>721.58995319837766</c:v>
                </c:pt>
                <c:pt idx="18">
                  <c:v>727.83190145640049</c:v>
                </c:pt>
                <c:pt idx="19">
                  <c:v>707.86745039585003</c:v>
                </c:pt>
                <c:pt idx="20">
                  <c:v>608.79703849826114</c:v>
                </c:pt>
                <c:pt idx="21">
                  <c:v>570.96674836502893</c:v>
                </c:pt>
                <c:pt idx="22">
                  <c:v>568.77990129606144</c:v>
                </c:pt>
                <c:pt idx="23">
                  <c:v>568.09609014670707</c:v>
                </c:pt>
                <c:pt idx="24">
                  <c:v>584.79832486677731</c:v>
                </c:pt>
                <c:pt idx="25">
                  <c:v>588.18241880636572</c:v>
                </c:pt>
                <c:pt idx="26">
                  <c:v>573.31787975057182</c:v>
                </c:pt>
                <c:pt idx="27">
                  <c:v>577.93774079434604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0A5-4DB1-B121-8C7558A9D260}"/>
            </c:ext>
          </c:extLst>
        </c:ser>
        <c:ser>
          <c:idx val="4"/>
          <c:order val="2"/>
          <c:tx>
            <c:strRef>
              <c:f>'Chart-Price-BCKQKD-B0'!$A$5</c:f>
              <c:strCache>
                <c:ptCount val="1"/>
                <c:pt idx="0">
                  <c:v>Giá chai B0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'Chart-Price-BCKQKD-B0'!$B$5:$AL$5</c15:sqref>
                  </c15:fullRef>
                </c:ext>
              </c:extLst>
              <c:f>'Chart-Price-BCKQKD-B0'!$B$5:$AC$5</c:f>
              <c:numCache>
                <c:formatCode>_(* #,##0_);_(* \(#,##0\);_(* "-"??_);_(@_)</c:formatCode>
                <c:ptCount val="28"/>
                <c:pt idx="0">
                  <c:v>454.25950671247932</c:v>
                </c:pt>
                <c:pt idx="1">
                  <c:v>453.36515148112693</c:v>
                </c:pt>
                <c:pt idx="2">
                  <c:v>456.81634770150117</c:v>
                </c:pt>
                <c:pt idx="3">
                  <c:v>488.10694551710827</c:v>
                </c:pt>
                <c:pt idx="4">
                  <c:v>507.6113288524088</c:v>
                </c:pt>
                <c:pt idx="5">
                  <c:v>502.55195099883798</c:v>
                </c:pt>
                <c:pt idx="6">
                  <c:v>449.44163474762649</c:v>
                </c:pt>
                <c:pt idx="7">
                  <c:v>460.38474938971746</c:v>
                </c:pt>
                <c:pt idx="8">
                  <c:v>476.3985295767223</c:v>
                </c:pt>
                <c:pt idx="9">
                  <c:v>463.24687500673917</c:v>
                </c:pt>
                <c:pt idx="10">
                  <c:v>477.21481195090115</c:v>
                </c:pt>
                <c:pt idx="11">
                  <c:v>470.36678970390926</c:v>
                </c:pt>
                <c:pt idx="12">
                  <c:v>480.89111023000731</c:v>
                </c:pt>
                <c:pt idx="13">
                  <c:v>480.85759859917755</c:v>
                </c:pt>
                <c:pt idx="14">
                  <c:v>493.5636552159383</c:v>
                </c:pt>
                <c:pt idx="15">
                  <c:v>508.89826576912344</c:v>
                </c:pt>
                <c:pt idx="16">
                  <c:v>498.34061717195397</c:v>
                </c:pt>
                <c:pt idx="17">
                  <c:v>516.36068833808736</c:v>
                </c:pt>
                <c:pt idx="18">
                  <c:v>522.336781192628</c:v>
                </c:pt>
                <c:pt idx="19">
                  <c:v>472.27438351942357</c:v>
                </c:pt>
                <c:pt idx="20">
                  <c:v>380.29552975264011</c:v>
                </c:pt>
                <c:pt idx="21">
                  <c:v>364.60900926289651</c:v>
                </c:pt>
                <c:pt idx="22">
                  <c:v>367.03538279109983</c:v>
                </c:pt>
                <c:pt idx="23">
                  <c:v>367.30198558030338</c:v>
                </c:pt>
                <c:pt idx="24">
                  <c:v>377.82148593129432</c:v>
                </c:pt>
                <c:pt idx="25">
                  <c:v>373.67359715909436</c:v>
                </c:pt>
                <c:pt idx="26">
                  <c:v>366.23902802612628</c:v>
                </c:pt>
                <c:pt idx="27">
                  <c:v>385.70025485453419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0A5-4DB1-B121-8C7558A9D260}"/>
            </c:ext>
          </c:extLst>
        </c:ser>
        <c:ser>
          <c:idx val="5"/>
          <c:order val="5"/>
          <c:tx>
            <c:strRef>
              <c:f>'Chart-Price-BCKQKD-B0'!$A$8</c:f>
              <c:strCache>
                <c:ptCount val="1"/>
                <c:pt idx="0">
                  <c:v>Line-Label +/- Giá bán vs chai B0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441B070-228A-4821-9C6D-BD396207D9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0A5-4DB1-B121-8C7558A9D2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D7614E-0EEF-4944-8308-634CBB8B8A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0A5-4DB1-B121-8C7558A9D2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2E4D5B0-5830-48DD-B4F1-101D1EE35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0A5-4DB1-B121-8C7558A9D2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DE995B-E36F-4E65-9288-7000796CF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0A5-4DB1-B121-8C7558A9D2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326C86F-6CC3-42CC-9C8C-390330DFA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0A5-4DB1-B121-8C7558A9D2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AA698A-1908-49D6-9BDA-2DA8C3DE4C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0A5-4DB1-B121-8C7558A9D2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B74AF8-78F8-482A-9EE2-058C950ED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0A5-4DB1-B121-8C7558A9D2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FBCC8A6-31F4-4DCE-99CC-FE77D8EB4C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0A5-4DB1-B121-8C7558A9D2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FFF9D29-4AB7-412D-8CFE-37B7965DDC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0A5-4DB1-B121-8C7558A9D2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68E7703-C83D-412F-924A-8AA777364D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0A5-4DB1-B121-8C7558A9D2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38B2B99-AF7A-4B31-985B-DA8E664EB4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0A5-4DB1-B121-8C7558A9D2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8C7A8D9-2685-4440-B657-079D3D664C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0A5-4DB1-B121-8C7558A9D2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A6B54EB-5072-4B66-99BD-B774956A80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0A5-4DB1-B121-8C7558A9D2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970F451-E669-4B82-A226-FF5749FE06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0A5-4DB1-B121-8C7558A9D2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743B1A5-AA17-4D99-9E8B-B17B8DAA46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0A5-4DB1-B121-8C7558A9D2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C50A454-D1E8-41F2-9514-521F33F3FA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0A5-4DB1-B121-8C7558A9D2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DC2254D-4972-45CA-8375-F6B557BA42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0A5-4DB1-B121-8C7558A9D2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E8369E1-0145-4A12-BC20-654356A02D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0A5-4DB1-B121-8C7558A9D2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92A3793-C704-4371-82E8-1587FA71D1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0A5-4DB1-B121-8C7558A9D26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69D83C5-684F-47C9-8F54-1BFADFCC98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0A5-4DB1-B121-8C7558A9D26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18BB113-BFF3-42BC-90BB-A0A0A83B7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0A5-4DB1-B121-8C7558A9D26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40AF0E3-6E18-4221-9CD4-B01D76343B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0A5-4DB1-B121-8C7558A9D26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7310520-3918-45CD-832F-03D5A6606D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0A5-4DB1-B121-8C7558A9D26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146A4D9-811B-4A7A-86EE-06E3E3C3E3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0A5-4DB1-B121-8C7558A9D26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9FF3065-FB75-4E1C-ACAE-6EE61403B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0A5-4DB1-B121-8C7558A9D26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7460001-814A-42CF-8B49-6A0B62D37E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0A5-4DB1-B121-8C7558A9D26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1BD70D8-4426-4928-AFB5-83B70B09D2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0A5-4DB1-B121-8C7558A9D26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2C2C524-C070-4615-A601-BEC0EA111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0A5-4DB1-B121-8C7558A9D260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'Chart-Price-BCKQKD-B0'!$B$8:$AL$8</c15:sqref>
                  </c15:fullRef>
                </c:ext>
              </c:extLst>
              <c:f>'Chart-Price-BCKQKD-B0'!$B$8:$AC$8</c:f>
              <c:numCache>
                <c:formatCode>_(* #,##0_);_(* \(#,##0\);_(* "-"??_);_(@_)</c:formatCode>
                <c:ptCount val="28"/>
                <c:pt idx="0">
                  <c:v>818.49681830148484</c:v>
                </c:pt>
                <c:pt idx="1">
                  <c:v>844.15301791524712</c:v>
                </c:pt>
                <c:pt idx="2">
                  <c:v>841.61061634327382</c:v>
                </c:pt>
                <c:pt idx="3">
                  <c:v>843.26556321555358</c:v>
                </c:pt>
                <c:pt idx="4">
                  <c:v>855.99023773231329</c:v>
                </c:pt>
                <c:pt idx="5">
                  <c:v>873.08363137230572</c:v>
                </c:pt>
                <c:pt idx="6">
                  <c:v>821.50742563535084</c:v>
                </c:pt>
                <c:pt idx="7">
                  <c:v>833.93330538728492</c:v>
                </c:pt>
                <c:pt idx="8">
                  <c:v>846.88398967730518</c:v>
                </c:pt>
                <c:pt idx="9">
                  <c:v>847.61186417190913</c:v>
                </c:pt>
                <c:pt idx="10">
                  <c:v>899.26901002146587</c:v>
                </c:pt>
                <c:pt idx="11">
                  <c:v>892.91276120644807</c:v>
                </c:pt>
                <c:pt idx="12">
                  <c:v>852.83660327474809</c:v>
                </c:pt>
                <c:pt idx="13">
                  <c:v>875.21815005585131</c:v>
                </c:pt>
                <c:pt idx="14">
                  <c:v>867.20794287030753</c:v>
                </c:pt>
                <c:pt idx="15">
                  <c:v>872.281990267943</c:v>
                </c:pt>
                <c:pt idx="16">
                  <c:v>874.98239639951066</c:v>
                </c:pt>
                <c:pt idx="17">
                  <c:v>871.76833989264765</c:v>
                </c:pt>
                <c:pt idx="18">
                  <c:v>866.44182548827541</c:v>
                </c:pt>
                <c:pt idx="19">
                  <c:v>842.85576307341307</c:v>
                </c:pt>
                <c:pt idx="20">
                  <c:v>799.31050191330155</c:v>
                </c:pt>
                <c:pt idx="21">
                  <c:v>793.50589943292698</c:v>
                </c:pt>
                <c:pt idx="22">
                  <c:v>797.20309733505474</c:v>
                </c:pt>
                <c:pt idx="23">
                  <c:v>810.87738267011775</c:v>
                </c:pt>
                <c:pt idx="24">
                  <c:v>747.86823090225448</c:v>
                </c:pt>
                <c:pt idx="25">
                  <c:v>748.85842872155331</c:v>
                </c:pt>
                <c:pt idx="26">
                  <c:v>740.59666729013361</c:v>
                </c:pt>
                <c:pt idx="27">
                  <c:v>768.3228071176427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'Chart-Price-BCKQKD-B0'!$B$6:$AL$6</c15:f>
                <c15:dlblRangeCache>
                  <c:ptCount val="37"/>
                  <c:pt idx="0">
                    <c:v> 728 </c:v>
                  </c:pt>
                  <c:pt idx="1">
                    <c:v> 782 </c:v>
                  </c:pt>
                  <c:pt idx="2">
                    <c:v> 770 </c:v>
                  </c:pt>
                  <c:pt idx="3">
                    <c:v> 710 </c:v>
                  </c:pt>
                  <c:pt idx="4">
                    <c:v> 697 </c:v>
                  </c:pt>
                  <c:pt idx="5">
                    <c:v> 741 </c:v>
                  </c:pt>
                  <c:pt idx="6">
                    <c:v> 744 </c:v>
                  </c:pt>
                  <c:pt idx="7">
                    <c:v> 747 </c:v>
                  </c:pt>
                  <c:pt idx="8">
                    <c:v> 741 </c:v>
                  </c:pt>
                  <c:pt idx="9">
                    <c:v> 769 </c:v>
                  </c:pt>
                  <c:pt idx="10">
                    <c:v> 844 </c:v>
                  </c:pt>
                  <c:pt idx="11">
                    <c:v> 845 </c:v>
                  </c:pt>
                  <c:pt idx="12">
                    <c:v> 744 </c:v>
                  </c:pt>
                  <c:pt idx="13">
                    <c:v> 789 </c:v>
                  </c:pt>
                  <c:pt idx="14">
                    <c:v> 747 </c:v>
                  </c:pt>
                  <c:pt idx="15">
                    <c:v> 727 </c:v>
                  </c:pt>
                  <c:pt idx="16">
                    <c:v> 753 </c:v>
                  </c:pt>
                  <c:pt idx="17">
                    <c:v> 711 </c:v>
                  </c:pt>
                  <c:pt idx="18">
                    <c:v> 688 </c:v>
                  </c:pt>
                  <c:pt idx="19">
                    <c:v> 741 </c:v>
                  </c:pt>
                  <c:pt idx="20">
                    <c:v> 838 </c:v>
                  </c:pt>
                  <c:pt idx="21">
                    <c:v> 858 </c:v>
                  </c:pt>
                  <c:pt idx="22">
                    <c:v> 860 </c:v>
                  </c:pt>
                  <c:pt idx="23">
                    <c:v> 887 </c:v>
                  </c:pt>
                  <c:pt idx="24">
                    <c:v> 740 </c:v>
                  </c:pt>
                  <c:pt idx="25">
                    <c:v> 750 </c:v>
                  </c:pt>
                  <c:pt idx="26">
                    <c:v> 749 </c:v>
                  </c:pt>
                  <c:pt idx="27">
                    <c:v> 765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4-E0A5-4DB1-B121-8C7558A9D260}"/>
            </c:ext>
          </c:extLst>
        </c:ser>
        <c:ser>
          <c:idx val="6"/>
          <c:order val="6"/>
          <c:tx>
            <c:strRef>
              <c:f>'Chart-Price-BCKQKD-B0'!$A$8</c:f>
              <c:strCache>
                <c:ptCount val="1"/>
                <c:pt idx="0">
                  <c:v>Line-Label +/- Giá bán vs chai B0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C9E296D-2E6E-41C1-B632-612A13149B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0A5-4DB1-B121-8C7558A9D2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F8E459-3784-451A-8545-48FA95FDCF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0A5-4DB1-B121-8C7558A9D2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3796796-546A-4651-B34F-853D3D0ABB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0A5-4DB1-B121-8C7558A9D2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71033DA-D790-41AA-904D-63E37EBE63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0A5-4DB1-B121-8C7558A9D2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6257668-9D4F-47BB-9B82-BC35ED0320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0A5-4DB1-B121-8C7558A9D2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65177AA-4C1E-4F17-A7EF-7BBCA18DBD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0A5-4DB1-B121-8C7558A9D2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BA9D652-FECB-4B70-91D6-23102931E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0A5-4DB1-B121-8C7558A9D2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B89036-BE1E-4A6F-B273-5F9B0B80FF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0A5-4DB1-B121-8C7558A9D2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D1D12E6-FEE3-4706-86B8-5775F57030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0A5-4DB1-B121-8C7558A9D2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E812321-8502-4F73-A6D2-3E9A8062A6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0A5-4DB1-B121-8C7558A9D2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C123B44-6CAC-40F6-BE57-CE86AD4F82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0A5-4DB1-B121-8C7558A9D2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0CACAB6-25BC-41CC-9BFD-72D5BAE0A2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0A5-4DB1-B121-8C7558A9D2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3909BD2-5D78-4E3E-AA85-265A57A62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0A5-4DB1-B121-8C7558A9D2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33C820C-FAA3-4E2B-846E-2C4CE84D98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0A5-4DB1-B121-8C7558A9D2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94A3B80-E4D2-4D11-8DB0-137D7967E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0A5-4DB1-B121-8C7558A9D2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8A1D82A-3294-4CEC-9A2D-FF3C78C5E0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0A5-4DB1-B121-8C7558A9D2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258D8A8-5D4C-42C0-A1FF-87EDD5138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0A5-4DB1-B121-8C7558A9D2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93A4E40-9C6B-4CC3-825C-DB30D98EFA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0A5-4DB1-B121-8C7558A9D2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4B8D8AA-DEE2-46FB-AA95-AB3FA4CCE6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0A5-4DB1-B121-8C7558A9D26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5CBAEDD-827B-444D-9465-B9D5EB331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0A5-4DB1-B121-8C7558A9D26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C0733E6-5865-47CD-A1D4-00CDE4ED83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0A5-4DB1-B121-8C7558A9D26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B0F75C0-AA9D-4E0B-B063-071473E351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0A5-4DB1-B121-8C7558A9D26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0DC4768-8A09-4D97-92CD-33B119B40A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0A5-4DB1-B121-8C7558A9D26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C172A73-08A5-4E5A-AB47-235EC77B1B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0A5-4DB1-B121-8C7558A9D26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FD79FA3-E1C7-423A-AC29-FEBEB8401B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0A5-4DB1-B121-8C7558A9D26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7739483-31DD-4294-A224-47E0D6A559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0A5-4DB1-B121-8C7558A9D26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41E4F18-3676-4B2C-A9F9-C474B41F63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0A5-4DB1-B121-8C7558A9D26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CE40CB1-DCB9-44FB-A047-3439E90395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0A5-4DB1-B121-8C7558A9D2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'Chart-Price-BCKQKD-B0'!$B$8:$AL$8</c15:sqref>
                  </c15:fullRef>
                </c:ext>
              </c:extLst>
              <c:f>'Chart-Price-BCKQKD-B0'!$B$8:$AC$8</c:f>
              <c:numCache>
                <c:formatCode>_(* #,##0_);_(* \(#,##0\);_(* "-"??_);_(@_)</c:formatCode>
                <c:ptCount val="28"/>
                <c:pt idx="0">
                  <c:v>818.49681830148484</c:v>
                </c:pt>
                <c:pt idx="1">
                  <c:v>844.15301791524712</c:v>
                </c:pt>
                <c:pt idx="2">
                  <c:v>841.61061634327382</c:v>
                </c:pt>
                <c:pt idx="3">
                  <c:v>843.26556321555358</c:v>
                </c:pt>
                <c:pt idx="4">
                  <c:v>855.99023773231329</c:v>
                </c:pt>
                <c:pt idx="5">
                  <c:v>873.08363137230572</c:v>
                </c:pt>
                <c:pt idx="6">
                  <c:v>821.50742563535084</c:v>
                </c:pt>
                <c:pt idx="7">
                  <c:v>833.93330538728492</c:v>
                </c:pt>
                <c:pt idx="8">
                  <c:v>846.88398967730518</c:v>
                </c:pt>
                <c:pt idx="9">
                  <c:v>847.61186417190913</c:v>
                </c:pt>
                <c:pt idx="10">
                  <c:v>899.26901002146587</c:v>
                </c:pt>
                <c:pt idx="11">
                  <c:v>892.91276120644807</c:v>
                </c:pt>
                <c:pt idx="12">
                  <c:v>852.83660327474809</c:v>
                </c:pt>
                <c:pt idx="13">
                  <c:v>875.21815005585131</c:v>
                </c:pt>
                <c:pt idx="14">
                  <c:v>867.20794287030753</c:v>
                </c:pt>
                <c:pt idx="15">
                  <c:v>872.281990267943</c:v>
                </c:pt>
                <c:pt idx="16">
                  <c:v>874.98239639951066</c:v>
                </c:pt>
                <c:pt idx="17">
                  <c:v>871.76833989264765</c:v>
                </c:pt>
                <c:pt idx="18">
                  <c:v>866.44182548827541</c:v>
                </c:pt>
                <c:pt idx="19">
                  <c:v>842.85576307341307</c:v>
                </c:pt>
                <c:pt idx="20">
                  <c:v>799.31050191330155</c:v>
                </c:pt>
                <c:pt idx="21">
                  <c:v>793.50589943292698</c:v>
                </c:pt>
                <c:pt idx="22">
                  <c:v>797.20309733505474</c:v>
                </c:pt>
                <c:pt idx="23">
                  <c:v>810.87738267011775</c:v>
                </c:pt>
                <c:pt idx="24">
                  <c:v>747.86823090225448</c:v>
                </c:pt>
                <c:pt idx="25">
                  <c:v>748.85842872155331</c:v>
                </c:pt>
                <c:pt idx="26">
                  <c:v>740.59666729013361</c:v>
                </c:pt>
                <c:pt idx="27">
                  <c:v>768.3228071176427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'Chart-Price-BCKQKD-B0'!$B$7:$AL$7</c15:f>
                <c15:dlblRangeCache>
                  <c:ptCount val="37"/>
                  <c:pt idx="0">
                    <c:v>160.4%</c:v>
                  </c:pt>
                  <c:pt idx="1">
                    <c:v>172.4%</c:v>
                  </c:pt>
                  <c:pt idx="2">
                    <c:v>168.5%</c:v>
                  </c:pt>
                  <c:pt idx="3">
                    <c:v>145.5%</c:v>
                  </c:pt>
                  <c:pt idx="4">
                    <c:v>137.3%</c:v>
                  </c:pt>
                  <c:pt idx="5">
                    <c:v>147.5%</c:v>
                  </c:pt>
                  <c:pt idx="6">
                    <c:v>165.6%</c:v>
                  </c:pt>
                  <c:pt idx="7">
                    <c:v>162.3%</c:v>
                  </c:pt>
                  <c:pt idx="8">
                    <c:v>155.5%</c:v>
                  </c:pt>
                  <c:pt idx="9">
                    <c:v>165.9%</c:v>
                  </c:pt>
                  <c:pt idx="10">
                    <c:v>176.9%</c:v>
                  </c:pt>
                  <c:pt idx="11">
                    <c:v>179.7%</c:v>
                  </c:pt>
                  <c:pt idx="12">
                    <c:v>154.7%</c:v>
                  </c:pt>
                  <c:pt idx="13">
                    <c:v>164.0%</c:v>
                  </c:pt>
                  <c:pt idx="14">
                    <c:v>151.4%</c:v>
                  </c:pt>
                  <c:pt idx="15">
                    <c:v>142.8%</c:v>
                  </c:pt>
                  <c:pt idx="16">
                    <c:v>151.2%</c:v>
                  </c:pt>
                  <c:pt idx="17">
                    <c:v>137.7%</c:v>
                  </c:pt>
                  <c:pt idx="18">
                    <c:v>131.8%</c:v>
                  </c:pt>
                  <c:pt idx="19">
                    <c:v>156.9%</c:v>
                  </c:pt>
                  <c:pt idx="20">
                    <c:v>220.4%</c:v>
                  </c:pt>
                  <c:pt idx="21">
                    <c:v>235.3%</c:v>
                  </c:pt>
                  <c:pt idx="22">
                    <c:v>234.4%</c:v>
                  </c:pt>
                  <c:pt idx="23">
                    <c:v>241.5%</c:v>
                  </c:pt>
                  <c:pt idx="24">
                    <c:v>195.9%</c:v>
                  </c:pt>
                  <c:pt idx="25">
                    <c:v>200.8%</c:v>
                  </c:pt>
                  <c:pt idx="26">
                    <c:v>204.4%</c:v>
                  </c:pt>
                  <c:pt idx="27">
                    <c:v>198.4%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1-E0A5-4DB1-B121-8C7558A9D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25410755620533465"/>
          <c:y val="8.8968293446082009E-2"/>
          <c:w val="0.50660839121972445"/>
          <c:h val="4.915504301892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9990947712560236E-2"/>
          <c:w val="0.99567970986887377"/>
          <c:h val="0.81543832312511999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'Chart-Price-BCKQKD-B0'!$B$5:$AL$5</c15:sqref>
                  </c15:fullRef>
                </c:ext>
              </c:extLst>
              <c:f>'Chart-Price-BCKQKD-B0'!$B$5:$AC$5</c:f>
              <c:numCache>
                <c:formatCode>_(* #,##0_);_(* \(#,##0\);_(* "-"??_);_(@_)</c:formatCode>
                <c:ptCount val="28"/>
                <c:pt idx="0">
                  <c:v>454.25950671247932</c:v>
                </c:pt>
                <c:pt idx="1">
                  <c:v>453.36515148112693</c:v>
                </c:pt>
                <c:pt idx="2">
                  <c:v>456.81634770150117</c:v>
                </c:pt>
                <c:pt idx="3">
                  <c:v>488.10694551710827</c:v>
                </c:pt>
                <c:pt idx="4">
                  <c:v>507.6113288524088</c:v>
                </c:pt>
                <c:pt idx="5">
                  <c:v>502.55195099883798</c:v>
                </c:pt>
                <c:pt idx="6">
                  <c:v>449.44163474762649</c:v>
                </c:pt>
                <c:pt idx="7">
                  <c:v>460.38474938971746</c:v>
                </c:pt>
                <c:pt idx="8">
                  <c:v>476.3985295767223</c:v>
                </c:pt>
                <c:pt idx="9">
                  <c:v>463.24687500673917</c:v>
                </c:pt>
                <c:pt idx="10">
                  <c:v>477.21481195090115</c:v>
                </c:pt>
                <c:pt idx="11">
                  <c:v>470.36678970390926</c:v>
                </c:pt>
                <c:pt idx="12">
                  <c:v>480.89111023000731</c:v>
                </c:pt>
                <c:pt idx="13">
                  <c:v>480.85759859917755</c:v>
                </c:pt>
                <c:pt idx="14">
                  <c:v>493.5636552159383</c:v>
                </c:pt>
                <c:pt idx="15">
                  <c:v>508.89826576912344</c:v>
                </c:pt>
                <c:pt idx="16">
                  <c:v>498.34061717195397</c:v>
                </c:pt>
                <c:pt idx="17">
                  <c:v>516.36068833808736</c:v>
                </c:pt>
                <c:pt idx="18">
                  <c:v>522.336781192628</c:v>
                </c:pt>
                <c:pt idx="19">
                  <c:v>472.27438351942357</c:v>
                </c:pt>
                <c:pt idx="20">
                  <c:v>380.29552975264011</c:v>
                </c:pt>
                <c:pt idx="21">
                  <c:v>364.60900926289651</c:v>
                </c:pt>
                <c:pt idx="22">
                  <c:v>367.03538279109983</c:v>
                </c:pt>
                <c:pt idx="23">
                  <c:v>367.30198558030338</c:v>
                </c:pt>
                <c:pt idx="24">
                  <c:v>377.82148593129432</c:v>
                </c:pt>
                <c:pt idx="25">
                  <c:v>373.67359715909436</c:v>
                </c:pt>
                <c:pt idx="26">
                  <c:v>366.23902802612628</c:v>
                </c:pt>
                <c:pt idx="27">
                  <c:v>385.70025485453419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0-4704-B819-55182C30E103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'Chart-Price-BCKQKD-B0'!$B$6:$AL$6</c15:sqref>
                  </c15:fullRef>
                </c:ext>
              </c:extLst>
              <c:f>'Chart-Price-BCKQKD-B0'!$B$6:$AC$6</c:f>
              <c:numCache>
                <c:formatCode>_(* #,##0_);_(* \(#,##0\);_(* "-"??_);_(@_)</c:formatCode>
                <c:ptCount val="28"/>
                <c:pt idx="0">
                  <c:v>728.47462317801114</c:v>
                </c:pt>
                <c:pt idx="1">
                  <c:v>781.57573286824049</c:v>
                </c:pt>
                <c:pt idx="2">
                  <c:v>769.58853728354529</c:v>
                </c:pt>
                <c:pt idx="3">
                  <c:v>710.31723539689074</c:v>
                </c:pt>
                <c:pt idx="4">
                  <c:v>696.75781775980909</c:v>
                </c:pt>
                <c:pt idx="5">
                  <c:v>741.06336074693536</c:v>
                </c:pt>
                <c:pt idx="6">
                  <c:v>744.13158177544869</c:v>
                </c:pt>
                <c:pt idx="7">
                  <c:v>747.09711199513481</c:v>
                </c:pt>
                <c:pt idx="8">
                  <c:v>740.97092020116565</c:v>
                </c:pt>
                <c:pt idx="9">
                  <c:v>768.72997833033992</c:v>
                </c:pt>
                <c:pt idx="10">
                  <c:v>844.10839614112933</c:v>
                </c:pt>
                <c:pt idx="11">
                  <c:v>845.09194300507761</c:v>
                </c:pt>
                <c:pt idx="12">
                  <c:v>743.89098608948166</c:v>
                </c:pt>
                <c:pt idx="13">
                  <c:v>788.72110291334764</c:v>
                </c:pt>
                <c:pt idx="14">
                  <c:v>747.28857530873847</c:v>
                </c:pt>
                <c:pt idx="15">
                  <c:v>726.76744899763924</c:v>
                </c:pt>
                <c:pt idx="16">
                  <c:v>753.28355845511328</c:v>
                </c:pt>
                <c:pt idx="17">
                  <c:v>710.81530310912058</c:v>
                </c:pt>
                <c:pt idx="18">
                  <c:v>688.21008859129483</c:v>
                </c:pt>
                <c:pt idx="19">
                  <c:v>741.16275910797913</c:v>
                </c:pt>
                <c:pt idx="20">
                  <c:v>838.02994432132277</c:v>
                </c:pt>
                <c:pt idx="21">
                  <c:v>857.79378034006095</c:v>
                </c:pt>
                <c:pt idx="22">
                  <c:v>860.33542908790992</c:v>
                </c:pt>
                <c:pt idx="23">
                  <c:v>887.15079417962875</c:v>
                </c:pt>
                <c:pt idx="24">
                  <c:v>740.09348994192032</c:v>
                </c:pt>
                <c:pt idx="25">
                  <c:v>750.36966312491802</c:v>
                </c:pt>
                <c:pt idx="26">
                  <c:v>748.71527852801478</c:v>
                </c:pt>
                <c:pt idx="27">
                  <c:v>765.24510452621689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0-4704-B819-55182C30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'Chart-Price-BCKQKD-B0'!$A$3</c:f>
              <c:strCache>
                <c:ptCount val="1"/>
                <c:pt idx="0">
                  <c:v>Giá bán EXW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'Chart-Price-BCKQKD-B0'!$B$3:$AL$3</c15:sqref>
                  </c15:fullRef>
                </c:ext>
              </c:extLst>
              <c:f>'Chart-Price-BCKQKD-B0'!$B$3:$AC$3</c:f>
              <c:numCache>
                <c:formatCode>_(* #,##0_);_(* \(#,##0\);_(* "-"??_);_(@_)</c:formatCode>
                <c:ptCount val="28"/>
                <c:pt idx="0">
                  <c:v>1182.7341298904905</c:v>
                </c:pt>
                <c:pt idx="1">
                  <c:v>1234.9408843493675</c:v>
                </c:pt>
                <c:pt idx="2">
                  <c:v>1226.4048849850465</c:v>
                </c:pt>
                <c:pt idx="3">
                  <c:v>1198.424180913999</c:v>
                </c:pt>
                <c:pt idx="4">
                  <c:v>1204.3691466122179</c:v>
                </c:pt>
                <c:pt idx="5">
                  <c:v>1243.6153117457734</c:v>
                </c:pt>
                <c:pt idx="6">
                  <c:v>1193.5732165230752</c:v>
                </c:pt>
                <c:pt idx="7">
                  <c:v>1207.4818613848522</c:v>
                </c:pt>
                <c:pt idx="8">
                  <c:v>1217.3694497778879</c:v>
                </c:pt>
                <c:pt idx="9">
                  <c:v>1231.9768533370791</c:v>
                </c:pt>
                <c:pt idx="10">
                  <c:v>1321.3232080920304</c:v>
                </c:pt>
                <c:pt idx="11">
                  <c:v>1315.4587327089869</c:v>
                </c:pt>
                <c:pt idx="12">
                  <c:v>1224.782096319489</c:v>
                </c:pt>
                <c:pt idx="13">
                  <c:v>1269.5787015125252</c:v>
                </c:pt>
                <c:pt idx="14">
                  <c:v>1240.8522305246768</c:v>
                </c:pt>
                <c:pt idx="15">
                  <c:v>1235.6657147667627</c:v>
                </c:pt>
                <c:pt idx="16">
                  <c:v>1251.6241756270672</c:v>
                </c:pt>
                <c:pt idx="17">
                  <c:v>1227.1759914472079</c:v>
                </c:pt>
                <c:pt idx="18">
                  <c:v>1210.5468697839228</c:v>
                </c:pt>
                <c:pt idx="19">
                  <c:v>1213.4371426274026</c:v>
                </c:pt>
                <c:pt idx="20">
                  <c:v>1218.3254740739628</c:v>
                </c:pt>
                <c:pt idx="21">
                  <c:v>1222.4027896029575</c:v>
                </c:pt>
                <c:pt idx="22">
                  <c:v>1227.3708118790098</c:v>
                </c:pt>
                <c:pt idx="23">
                  <c:v>1254.4527797599321</c:v>
                </c:pt>
                <c:pt idx="24">
                  <c:v>1117.9149758732146</c:v>
                </c:pt>
                <c:pt idx="25">
                  <c:v>1124.0432602840124</c:v>
                </c:pt>
                <c:pt idx="26">
                  <c:v>1114.9543065541411</c:v>
                </c:pt>
                <c:pt idx="27">
                  <c:v>1150.9453593807511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20-4704-B819-55182C30E103}"/>
            </c:ext>
          </c:extLst>
        </c:ser>
        <c:ser>
          <c:idx val="3"/>
          <c:order val="1"/>
          <c:tx>
            <c:strRef>
              <c:f>'Chart-Price-BCKQKD-B0'!$A$4</c:f>
              <c:strCache>
                <c:ptCount val="1"/>
                <c:pt idx="0">
                  <c:v>Giá chai B1 DTR mua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'Chart-Price-BCKQKD-B0'!$B$4:$AL$4</c15:sqref>
                  </c15:fullRef>
                </c:ext>
              </c:extLst>
              <c:f>'Chart-Price-BCKQKD-B0'!$B$4:$AC$4</c:f>
              <c:numCache>
                <c:formatCode>_(* #,##0_);_(* \(#,##0\);_(* "-"??_);_(@_)</c:formatCode>
                <c:ptCount val="28"/>
                <c:pt idx="0">
                  <c:v>666.1857941286039</c:v>
                </c:pt>
                <c:pt idx="1">
                  <c:v>672.59553773969003</c:v>
                </c:pt>
                <c:pt idx="2">
                  <c:v>670.07980243363613</c:v>
                </c:pt>
                <c:pt idx="3">
                  <c:v>711.26752843174052</c:v>
                </c:pt>
                <c:pt idx="4">
                  <c:v>684.76589495790017</c:v>
                </c:pt>
                <c:pt idx="5">
                  <c:v>681.98127973690907</c:v>
                </c:pt>
                <c:pt idx="6">
                  <c:v>643.68356400796733</c:v>
                </c:pt>
                <c:pt idx="7">
                  <c:v>664.71360176750454</c:v>
                </c:pt>
                <c:pt idx="8">
                  <c:v>680.41572266516528</c:v>
                </c:pt>
                <c:pt idx="9">
                  <c:v>663.30397508407145</c:v>
                </c:pt>
                <c:pt idx="10">
                  <c:v>662.42995521494436</c:v>
                </c:pt>
                <c:pt idx="11">
                  <c:v>658.05709912135217</c:v>
                </c:pt>
                <c:pt idx="12">
                  <c:v>673.16228940138978</c:v>
                </c:pt>
                <c:pt idx="13">
                  <c:v>685.68710455801738</c:v>
                </c:pt>
                <c:pt idx="14">
                  <c:v>698.90850095308986</c:v>
                </c:pt>
                <c:pt idx="15">
                  <c:v>710.20899612591404</c:v>
                </c:pt>
                <c:pt idx="16">
                  <c:v>713.12492163074285</c:v>
                </c:pt>
                <c:pt idx="17">
                  <c:v>721.58995319837766</c:v>
                </c:pt>
                <c:pt idx="18">
                  <c:v>727.83190145640049</c:v>
                </c:pt>
                <c:pt idx="19">
                  <c:v>707.86745039585003</c:v>
                </c:pt>
                <c:pt idx="20">
                  <c:v>608.79703849826114</c:v>
                </c:pt>
                <c:pt idx="21">
                  <c:v>570.96674836502893</c:v>
                </c:pt>
                <c:pt idx="22">
                  <c:v>568.77990129606144</c:v>
                </c:pt>
                <c:pt idx="23">
                  <c:v>568.09609014670707</c:v>
                </c:pt>
                <c:pt idx="24">
                  <c:v>584.79832486677731</c:v>
                </c:pt>
                <c:pt idx="25">
                  <c:v>588.18241880636572</c:v>
                </c:pt>
                <c:pt idx="26">
                  <c:v>573.31787975057182</c:v>
                </c:pt>
                <c:pt idx="27">
                  <c:v>577.93774079434604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20-4704-B819-55182C30E103}"/>
            </c:ext>
          </c:extLst>
        </c:ser>
        <c:ser>
          <c:idx val="4"/>
          <c:order val="2"/>
          <c:tx>
            <c:strRef>
              <c:f>'Chart-Price-BCKQKD-B0'!$A$5</c:f>
              <c:strCache>
                <c:ptCount val="1"/>
                <c:pt idx="0">
                  <c:v>Giá chai B0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'Chart-Price-BCKQKD-B0'!$B$5:$AL$5</c15:sqref>
                  </c15:fullRef>
                </c:ext>
              </c:extLst>
              <c:f>'Chart-Price-BCKQKD-B0'!$B$5:$AC$5</c:f>
              <c:numCache>
                <c:formatCode>_(* #,##0_);_(* \(#,##0\);_(* "-"??_);_(@_)</c:formatCode>
                <c:ptCount val="28"/>
                <c:pt idx="0">
                  <c:v>454.25950671247932</c:v>
                </c:pt>
                <c:pt idx="1">
                  <c:v>453.36515148112693</c:v>
                </c:pt>
                <c:pt idx="2">
                  <c:v>456.81634770150117</c:v>
                </c:pt>
                <c:pt idx="3">
                  <c:v>488.10694551710827</c:v>
                </c:pt>
                <c:pt idx="4">
                  <c:v>507.6113288524088</c:v>
                </c:pt>
                <c:pt idx="5">
                  <c:v>502.55195099883798</c:v>
                </c:pt>
                <c:pt idx="6">
                  <c:v>449.44163474762649</c:v>
                </c:pt>
                <c:pt idx="7">
                  <c:v>460.38474938971746</c:v>
                </c:pt>
                <c:pt idx="8">
                  <c:v>476.3985295767223</c:v>
                </c:pt>
                <c:pt idx="9">
                  <c:v>463.24687500673917</c:v>
                </c:pt>
                <c:pt idx="10">
                  <c:v>477.21481195090115</c:v>
                </c:pt>
                <c:pt idx="11">
                  <c:v>470.36678970390926</c:v>
                </c:pt>
                <c:pt idx="12">
                  <c:v>480.89111023000731</c:v>
                </c:pt>
                <c:pt idx="13">
                  <c:v>480.85759859917755</c:v>
                </c:pt>
                <c:pt idx="14">
                  <c:v>493.5636552159383</c:v>
                </c:pt>
                <c:pt idx="15">
                  <c:v>508.89826576912344</c:v>
                </c:pt>
                <c:pt idx="16">
                  <c:v>498.34061717195397</c:v>
                </c:pt>
                <c:pt idx="17">
                  <c:v>516.36068833808736</c:v>
                </c:pt>
                <c:pt idx="18">
                  <c:v>522.336781192628</c:v>
                </c:pt>
                <c:pt idx="19">
                  <c:v>472.27438351942357</c:v>
                </c:pt>
                <c:pt idx="20">
                  <c:v>380.29552975264011</c:v>
                </c:pt>
                <c:pt idx="21">
                  <c:v>364.60900926289651</c:v>
                </c:pt>
                <c:pt idx="22">
                  <c:v>367.03538279109983</c:v>
                </c:pt>
                <c:pt idx="23">
                  <c:v>367.30198558030338</c:v>
                </c:pt>
                <c:pt idx="24">
                  <c:v>377.82148593129432</c:v>
                </c:pt>
                <c:pt idx="25">
                  <c:v>373.67359715909436</c:v>
                </c:pt>
                <c:pt idx="26">
                  <c:v>366.23902802612628</c:v>
                </c:pt>
                <c:pt idx="27">
                  <c:v>385.70025485453419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20-4704-B819-55182C30E103}"/>
            </c:ext>
          </c:extLst>
        </c:ser>
        <c:ser>
          <c:idx val="5"/>
          <c:order val="5"/>
          <c:tx>
            <c:strRef>
              <c:f>'Chart-Price-BCKQKD-B0'!$A$8</c:f>
              <c:strCache>
                <c:ptCount val="1"/>
                <c:pt idx="0">
                  <c:v>Line-Label +/- Giá bán vs chai B0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56EE7EC-653E-45C3-90BE-E2E3BA1C9A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320-4704-B819-55182C30E10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73C9F6-AF91-41DB-8C52-D07118698F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320-4704-B819-55182C30E10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79A490-A755-46BB-9D42-20D4EE2835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320-4704-B819-55182C30E10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5DCEC12-2375-453F-B0E6-5844C90363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320-4704-B819-55182C30E10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71007CA-4C97-495A-B7C6-ADB504684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320-4704-B819-55182C30E10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06D9153-8010-4893-A3BC-320829F4F2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320-4704-B819-55182C30E10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F505109-7A08-46BF-9215-D6FA3FF4C5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320-4704-B819-55182C30E10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9E34100-9C5F-4D35-B321-2535BA24EE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320-4704-B819-55182C30E10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5D6F56C-E78D-4F4C-8879-704CA887D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320-4704-B819-55182C30E10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C8C8728-95F2-4E49-B180-DE05E638FE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320-4704-B819-55182C30E10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AB87F37-F0F5-467F-990D-4AC02288F1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320-4704-B819-55182C30E10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4BEF29D-2668-4081-A436-E96502A734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320-4704-B819-55182C30E10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B072AB5-9880-4DB7-910B-A6EC67B19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320-4704-B819-55182C30E10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BE21677-0C24-423E-B672-A81BECE7CC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320-4704-B819-55182C30E10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91FABCA-7B03-4547-A86B-82C95746E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320-4704-B819-55182C30E10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2586CB8-A30B-48C3-A95C-3B0E52102B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320-4704-B819-55182C30E10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2C8CDE7-6E27-4F2C-9746-17E5A2CC4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320-4704-B819-55182C30E10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68B13D8-1B13-46E4-A9C9-BB791129F4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320-4704-B819-55182C30E10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8DFA5FA-4F77-4C29-8E99-3B4C3AEDDA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320-4704-B819-55182C30E10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BAB339C-B1E9-4EDD-A823-4D0FA0BDDC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320-4704-B819-55182C30E10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6F581C4-2239-4DD0-B0E8-895810ADC1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320-4704-B819-55182C30E10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29B9A02-3DFA-40A8-8CB0-FF3673828C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320-4704-B819-55182C30E10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FD8BF0B-909F-4AFB-A6D0-0587700F0C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320-4704-B819-55182C30E10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027102D-B9C5-4315-8CEC-12B78A9BEF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320-4704-B819-55182C30E10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6E94CD5-B995-4791-8F23-C573AECAEF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320-4704-B819-55182C30E10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0C0FD34-2616-4ADA-A2DB-D44FAF3A4E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320-4704-B819-55182C30E10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79FF1FB-1B7D-4EE3-85A2-9974C2377A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320-4704-B819-55182C30E10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2A65BDA-7DBE-4564-A24C-C7CAB53820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320-4704-B819-55182C30E103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'Chart-Price-BCKQKD-B0'!$B$8:$AL$8</c15:sqref>
                  </c15:fullRef>
                </c:ext>
              </c:extLst>
              <c:f>'Chart-Price-BCKQKD-B0'!$B$8:$AC$8</c:f>
              <c:numCache>
                <c:formatCode>_(* #,##0_);_(* \(#,##0\);_(* "-"??_);_(@_)</c:formatCode>
                <c:ptCount val="28"/>
                <c:pt idx="0">
                  <c:v>818.49681830148484</c:v>
                </c:pt>
                <c:pt idx="1">
                  <c:v>844.15301791524712</c:v>
                </c:pt>
                <c:pt idx="2">
                  <c:v>841.61061634327382</c:v>
                </c:pt>
                <c:pt idx="3">
                  <c:v>843.26556321555358</c:v>
                </c:pt>
                <c:pt idx="4">
                  <c:v>855.99023773231329</c:v>
                </c:pt>
                <c:pt idx="5">
                  <c:v>873.08363137230572</c:v>
                </c:pt>
                <c:pt idx="6">
                  <c:v>821.50742563535084</c:v>
                </c:pt>
                <c:pt idx="7">
                  <c:v>833.93330538728492</c:v>
                </c:pt>
                <c:pt idx="8">
                  <c:v>846.88398967730518</c:v>
                </c:pt>
                <c:pt idx="9">
                  <c:v>847.61186417190913</c:v>
                </c:pt>
                <c:pt idx="10">
                  <c:v>899.26901002146587</c:v>
                </c:pt>
                <c:pt idx="11">
                  <c:v>892.91276120644807</c:v>
                </c:pt>
                <c:pt idx="12">
                  <c:v>852.83660327474809</c:v>
                </c:pt>
                <c:pt idx="13">
                  <c:v>875.21815005585131</c:v>
                </c:pt>
                <c:pt idx="14">
                  <c:v>867.20794287030753</c:v>
                </c:pt>
                <c:pt idx="15">
                  <c:v>872.281990267943</c:v>
                </c:pt>
                <c:pt idx="16">
                  <c:v>874.98239639951066</c:v>
                </c:pt>
                <c:pt idx="17">
                  <c:v>871.76833989264765</c:v>
                </c:pt>
                <c:pt idx="18">
                  <c:v>866.44182548827541</c:v>
                </c:pt>
                <c:pt idx="19">
                  <c:v>842.85576307341307</c:v>
                </c:pt>
                <c:pt idx="20">
                  <c:v>799.31050191330155</c:v>
                </c:pt>
                <c:pt idx="21">
                  <c:v>793.50589943292698</c:v>
                </c:pt>
                <c:pt idx="22">
                  <c:v>797.20309733505474</c:v>
                </c:pt>
                <c:pt idx="23">
                  <c:v>810.87738267011775</c:v>
                </c:pt>
                <c:pt idx="24">
                  <c:v>747.86823090225448</c:v>
                </c:pt>
                <c:pt idx="25">
                  <c:v>748.85842872155331</c:v>
                </c:pt>
                <c:pt idx="26">
                  <c:v>740.59666729013361</c:v>
                </c:pt>
                <c:pt idx="27">
                  <c:v>768.3228071176427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'Chart-Price-BCKQKD-B0'!$B$6:$AL$6</c15:f>
                <c15:dlblRangeCache>
                  <c:ptCount val="37"/>
                  <c:pt idx="0">
                    <c:v> 728 </c:v>
                  </c:pt>
                  <c:pt idx="1">
                    <c:v> 782 </c:v>
                  </c:pt>
                  <c:pt idx="2">
                    <c:v> 770 </c:v>
                  </c:pt>
                  <c:pt idx="3">
                    <c:v> 710 </c:v>
                  </c:pt>
                  <c:pt idx="4">
                    <c:v> 697 </c:v>
                  </c:pt>
                  <c:pt idx="5">
                    <c:v> 741 </c:v>
                  </c:pt>
                  <c:pt idx="6">
                    <c:v> 744 </c:v>
                  </c:pt>
                  <c:pt idx="7">
                    <c:v> 747 </c:v>
                  </c:pt>
                  <c:pt idx="8">
                    <c:v> 741 </c:v>
                  </c:pt>
                  <c:pt idx="9">
                    <c:v> 769 </c:v>
                  </c:pt>
                  <c:pt idx="10">
                    <c:v> 844 </c:v>
                  </c:pt>
                  <c:pt idx="11">
                    <c:v> 845 </c:v>
                  </c:pt>
                  <c:pt idx="12">
                    <c:v> 744 </c:v>
                  </c:pt>
                  <c:pt idx="13">
                    <c:v> 789 </c:v>
                  </c:pt>
                  <c:pt idx="14">
                    <c:v> 747 </c:v>
                  </c:pt>
                  <c:pt idx="15">
                    <c:v> 727 </c:v>
                  </c:pt>
                  <c:pt idx="16">
                    <c:v> 753 </c:v>
                  </c:pt>
                  <c:pt idx="17">
                    <c:v> 711 </c:v>
                  </c:pt>
                  <c:pt idx="18">
                    <c:v> 688 </c:v>
                  </c:pt>
                  <c:pt idx="19">
                    <c:v> 741 </c:v>
                  </c:pt>
                  <c:pt idx="20">
                    <c:v> 838 </c:v>
                  </c:pt>
                  <c:pt idx="21">
                    <c:v> 858 </c:v>
                  </c:pt>
                  <c:pt idx="22">
                    <c:v> 860 </c:v>
                  </c:pt>
                  <c:pt idx="23">
                    <c:v> 887 </c:v>
                  </c:pt>
                  <c:pt idx="24">
                    <c:v> 740 </c:v>
                  </c:pt>
                  <c:pt idx="25">
                    <c:v> 750 </c:v>
                  </c:pt>
                  <c:pt idx="26">
                    <c:v> 749 </c:v>
                  </c:pt>
                  <c:pt idx="27">
                    <c:v> 765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1-5320-4704-B819-55182C30E103}"/>
            </c:ext>
          </c:extLst>
        </c:ser>
        <c:ser>
          <c:idx val="6"/>
          <c:order val="6"/>
          <c:tx>
            <c:strRef>
              <c:f>'Chart-Price-BCKQKD-B0'!$A$8</c:f>
              <c:strCache>
                <c:ptCount val="1"/>
                <c:pt idx="0">
                  <c:v>Line-Label +/- Giá bán vs chai B0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498BF50-372D-436F-AF5F-830350AFD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320-4704-B819-55182C30E10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DD31EB-1A59-4840-9357-BA4691364A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320-4704-B819-55182C30E10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047F87-9584-4ECA-B782-0A70FA6ADB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320-4704-B819-55182C30E10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913953-8BC8-4224-9C34-E15B6A9C92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320-4704-B819-55182C30E10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0EB50AB-6B50-4F3C-93C6-2E08D94BBB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320-4704-B819-55182C30E10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85B1830-0828-4B43-A0B5-DED64E5CD9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320-4704-B819-55182C30E10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071C357-926C-4BEA-B40F-515024ABF9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320-4704-B819-55182C30E10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87F3499-CF0E-4C9E-A8C4-26FAE34792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320-4704-B819-55182C30E10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DE7A988-7F03-4079-BE68-B4A38D3880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320-4704-B819-55182C30E10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71CBE16-6967-4A60-B016-8594459301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320-4704-B819-55182C30E10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3B3C74D-DC52-430E-83A7-C7FF1E55B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320-4704-B819-55182C30E10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BA3D01D-A988-4962-9BA2-039A845BB1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5320-4704-B819-55182C30E10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CCD4531-3C7C-4D98-A9FD-A19CF42F9B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320-4704-B819-55182C30E10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C6D6299-3BA3-4997-94E0-C6333680E8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320-4704-B819-55182C30E10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2C41728-0201-4680-B283-F17377E667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320-4704-B819-55182C30E10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B9B0854-F753-4EFF-BC4F-4FE84A3054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320-4704-B819-55182C30E10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223BCFE-8FB1-4E0C-A83C-B4C4B818A5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320-4704-B819-55182C30E10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510C91D-D01B-4D93-86FE-FD32962915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320-4704-B819-55182C30E10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DF80D74-1EDD-42AE-9E46-1EC7DDAFA4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320-4704-B819-55182C30E10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8C64258-0F5B-4BFD-9A3E-15DE2861D7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320-4704-B819-55182C30E10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3129CCB-34FB-4E98-AF99-973AA7CF3C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320-4704-B819-55182C30E10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823A770-286D-40EF-8985-779781BEB3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320-4704-B819-55182C30E10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B4DA4CE-AAC8-4740-91D1-10212628F1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320-4704-B819-55182C30E10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EDE9F00-C5AF-415D-94C2-2C7D945F13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320-4704-B819-55182C30E10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A4D99BC-B0C2-4861-B604-CD9489856B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320-4704-B819-55182C30E10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CE462F4-0CAD-4B7E-A545-F9B259F6A0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320-4704-B819-55182C30E10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D53FBF6-E23A-4C80-BD32-840972A932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320-4704-B819-55182C30E10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51778E5-5BB2-40DF-BB4B-3F3144AB8A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320-4704-B819-55182C30E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'Chart-Price-BCKQKD-B0'!$B$1:$AL$2</c15:sqref>
                  </c15:fullRef>
                </c:ext>
              </c:extLst>
              <c:f>'Chart-Price-BCKQKD-B0'!$B$1:$AL$2</c:f>
              <c:multiLvlStrCache>
                <c:ptCount val="2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'Chart-Price-BCKQKD-B0'!$B$8:$AL$8</c15:sqref>
                  </c15:fullRef>
                </c:ext>
              </c:extLst>
              <c:f>'Chart-Price-BCKQKD-B0'!$B$8:$AC$8</c:f>
              <c:numCache>
                <c:formatCode>_(* #,##0_);_(* \(#,##0\);_(* "-"??_);_(@_)</c:formatCode>
                <c:ptCount val="28"/>
                <c:pt idx="0">
                  <c:v>818.49681830148484</c:v>
                </c:pt>
                <c:pt idx="1">
                  <c:v>844.15301791524712</c:v>
                </c:pt>
                <c:pt idx="2">
                  <c:v>841.61061634327382</c:v>
                </c:pt>
                <c:pt idx="3">
                  <c:v>843.26556321555358</c:v>
                </c:pt>
                <c:pt idx="4">
                  <c:v>855.99023773231329</c:v>
                </c:pt>
                <c:pt idx="5">
                  <c:v>873.08363137230572</c:v>
                </c:pt>
                <c:pt idx="6">
                  <c:v>821.50742563535084</c:v>
                </c:pt>
                <c:pt idx="7">
                  <c:v>833.93330538728492</c:v>
                </c:pt>
                <c:pt idx="8">
                  <c:v>846.88398967730518</c:v>
                </c:pt>
                <c:pt idx="9">
                  <c:v>847.61186417190913</c:v>
                </c:pt>
                <c:pt idx="10">
                  <c:v>899.26901002146587</c:v>
                </c:pt>
                <c:pt idx="11">
                  <c:v>892.91276120644807</c:v>
                </c:pt>
                <c:pt idx="12">
                  <c:v>852.83660327474809</c:v>
                </c:pt>
                <c:pt idx="13">
                  <c:v>875.21815005585131</c:v>
                </c:pt>
                <c:pt idx="14">
                  <c:v>867.20794287030753</c:v>
                </c:pt>
                <c:pt idx="15">
                  <c:v>872.281990267943</c:v>
                </c:pt>
                <c:pt idx="16">
                  <c:v>874.98239639951066</c:v>
                </c:pt>
                <c:pt idx="17">
                  <c:v>871.76833989264765</c:v>
                </c:pt>
                <c:pt idx="18">
                  <c:v>866.44182548827541</c:v>
                </c:pt>
                <c:pt idx="19">
                  <c:v>842.85576307341307</c:v>
                </c:pt>
                <c:pt idx="20">
                  <c:v>799.31050191330155</c:v>
                </c:pt>
                <c:pt idx="21">
                  <c:v>793.50589943292698</c:v>
                </c:pt>
                <c:pt idx="22">
                  <c:v>797.20309733505474</c:v>
                </c:pt>
                <c:pt idx="23">
                  <c:v>810.87738267011775</c:v>
                </c:pt>
                <c:pt idx="24">
                  <c:v>747.86823090225448</c:v>
                </c:pt>
                <c:pt idx="25">
                  <c:v>748.85842872155331</c:v>
                </c:pt>
                <c:pt idx="26">
                  <c:v>740.59666729013361</c:v>
                </c:pt>
                <c:pt idx="27">
                  <c:v>768.3228071176427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'Chart-Price-BCKQKD-B0'!$B$7:$AL$7</c15:f>
                <c15:dlblRangeCache>
                  <c:ptCount val="37"/>
                  <c:pt idx="0">
                    <c:v>160.4%</c:v>
                  </c:pt>
                  <c:pt idx="1">
                    <c:v>172.4%</c:v>
                  </c:pt>
                  <c:pt idx="2">
                    <c:v>168.5%</c:v>
                  </c:pt>
                  <c:pt idx="3">
                    <c:v>145.5%</c:v>
                  </c:pt>
                  <c:pt idx="4">
                    <c:v>137.3%</c:v>
                  </c:pt>
                  <c:pt idx="5">
                    <c:v>147.5%</c:v>
                  </c:pt>
                  <c:pt idx="6">
                    <c:v>165.6%</c:v>
                  </c:pt>
                  <c:pt idx="7">
                    <c:v>162.3%</c:v>
                  </c:pt>
                  <c:pt idx="8">
                    <c:v>155.5%</c:v>
                  </c:pt>
                  <c:pt idx="9">
                    <c:v>165.9%</c:v>
                  </c:pt>
                  <c:pt idx="10">
                    <c:v>176.9%</c:v>
                  </c:pt>
                  <c:pt idx="11">
                    <c:v>179.7%</c:v>
                  </c:pt>
                  <c:pt idx="12">
                    <c:v>154.7%</c:v>
                  </c:pt>
                  <c:pt idx="13">
                    <c:v>164.0%</c:v>
                  </c:pt>
                  <c:pt idx="14">
                    <c:v>151.4%</c:v>
                  </c:pt>
                  <c:pt idx="15">
                    <c:v>142.8%</c:v>
                  </c:pt>
                  <c:pt idx="16">
                    <c:v>151.2%</c:v>
                  </c:pt>
                  <c:pt idx="17">
                    <c:v>137.7%</c:v>
                  </c:pt>
                  <c:pt idx="18">
                    <c:v>131.8%</c:v>
                  </c:pt>
                  <c:pt idx="19">
                    <c:v>156.9%</c:v>
                  </c:pt>
                  <c:pt idx="20">
                    <c:v>220.4%</c:v>
                  </c:pt>
                  <c:pt idx="21">
                    <c:v>235.3%</c:v>
                  </c:pt>
                  <c:pt idx="22">
                    <c:v>234.4%</c:v>
                  </c:pt>
                  <c:pt idx="23">
                    <c:v>241.5%</c:v>
                  </c:pt>
                  <c:pt idx="24">
                    <c:v>195.9%</c:v>
                  </c:pt>
                  <c:pt idx="25">
                    <c:v>200.8%</c:v>
                  </c:pt>
                  <c:pt idx="26">
                    <c:v>204.4%</c:v>
                  </c:pt>
                  <c:pt idx="27">
                    <c:v>198.4%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5320-4704-B819-55182C30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29771297917769646"/>
          <c:y val="1.44803411550151E-2"/>
          <c:w val="0.40439008987614727"/>
          <c:h val="4.915504301892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chemeClr val="accent2"/>
                </a:solidFill>
              </a:rPr>
              <a:t>GIÁ</a:t>
            </a:r>
            <a:r>
              <a:rPr lang="en-US" sz="2200" b="1" baseline="0">
                <a:solidFill>
                  <a:schemeClr val="accent2"/>
                </a:solidFill>
              </a:rPr>
              <a:t> BÁN EXW - rPET</a:t>
            </a:r>
            <a:endParaRPr lang="en-US" sz="22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38177499905373352"/>
          <c:y val="8.1549430620163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7.4379439638104894E-2"/>
          <c:w val="0.90279235805520597"/>
          <c:h val="0.8010498311995754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-v2'!$B$13:$AM$13</c15:sqref>
                  </c15:fullRef>
                </c:ext>
              </c:extLst>
              <c:f>('Chart-Price-BCKQKD -v2'!$B$13:$AC$13,'Chart-Price-BCKQKD -v2'!$AL$13)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D-41DB-A42D-D449EAEA7CB9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-v2'!$B$10:$AM$10</c15:sqref>
                  </c15:fullRef>
                </c:ext>
              </c:extLst>
              <c:f>('Chart-Price-BCKQKD -v2'!$B$10:$AC$10,'Chart-Price-BCKQKD -v2'!$AL$10)</c:f>
              <c:numCache>
                <c:formatCode>_(* #,##0_);_(* \(#,##0\);_(* "-"??_);_(@_)</c:formatCode>
                <c:ptCount val="29"/>
                <c:pt idx="0">
                  <c:v>252.73412989049052</c:v>
                </c:pt>
                <c:pt idx="1">
                  <c:v>291.60755101603411</c:v>
                </c:pt>
                <c:pt idx="2">
                  <c:v>286.40488498504646</c:v>
                </c:pt>
                <c:pt idx="3">
                  <c:v>258.42418091399895</c:v>
                </c:pt>
                <c:pt idx="4">
                  <c:v>262.36914661221795</c:v>
                </c:pt>
                <c:pt idx="5">
                  <c:v>293.6153117457734</c:v>
                </c:pt>
                <c:pt idx="6">
                  <c:v>246.07321652307519</c:v>
                </c:pt>
                <c:pt idx="7">
                  <c:v>277.48186138485221</c:v>
                </c:pt>
                <c:pt idx="8">
                  <c:v>337.36944977788789</c:v>
                </c:pt>
                <c:pt idx="9">
                  <c:v>369.47685333707909</c:v>
                </c:pt>
                <c:pt idx="10">
                  <c:v>469.32320809203043</c:v>
                </c:pt>
                <c:pt idx="11">
                  <c:v>485.45873270898687</c:v>
                </c:pt>
                <c:pt idx="12">
                  <c:v>396.78209631948903</c:v>
                </c:pt>
                <c:pt idx="13">
                  <c:v>429.57870151252519</c:v>
                </c:pt>
                <c:pt idx="14">
                  <c:v>417.85223052467677</c:v>
                </c:pt>
                <c:pt idx="15">
                  <c:v>470.66571476676268</c:v>
                </c:pt>
                <c:pt idx="16">
                  <c:v>469.62417562706719</c:v>
                </c:pt>
                <c:pt idx="17">
                  <c:v>419.67599144720793</c:v>
                </c:pt>
                <c:pt idx="18">
                  <c:v>408.54686978392283</c:v>
                </c:pt>
                <c:pt idx="19">
                  <c:v>418.43714262740264</c:v>
                </c:pt>
                <c:pt idx="20">
                  <c:v>435.32547407396282</c:v>
                </c:pt>
                <c:pt idx="21">
                  <c:v>450.40278960295745</c:v>
                </c:pt>
                <c:pt idx="22">
                  <c:v>457.37081187900981</c:v>
                </c:pt>
                <c:pt idx="23">
                  <c:v>481.95277975993213</c:v>
                </c:pt>
                <c:pt idx="24">
                  <c:v>312.91497587321464</c:v>
                </c:pt>
                <c:pt idx="25">
                  <c:v>284.04326028401238</c:v>
                </c:pt>
                <c:pt idx="26">
                  <c:v>5.9543065541411124</c:v>
                </c:pt>
                <c:pt idx="27">
                  <c:v>10.945359380751142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D-41DB-A42D-D449EAEA7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 -v2'!$A$4</c:f>
              <c:strCache>
                <c:ptCount val="1"/>
                <c:pt idx="0">
                  <c:v>Giá bán EXW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349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3-090D-41DB-A42D-D449EAEA7CB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818BFC7-FABC-4C00-9A92-4E594E6E36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90D-41DB-A42D-D449EAEA7C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440FC2-9C9A-43B0-AFCC-88FC2C74A8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90D-41DB-A42D-D449EAEA7C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BA8475-DAD7-48B0-A182-275AA2174C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90D-41DB-A42D-D449EAEA7C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08C8C5-BCCA-48D8-AA14-CC484C1F8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090D-41DB-A42D-D449EAEA7CB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40B999C-E4CD-4E0F-A24A-C3D1E410AD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090D-41DB-A42D-D449EAEA7CB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7CDB8D6-F0E8-4CBE-B31A-F62929A63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90D-41DB-A42D-D449EAEA7CB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22A617-6C55-41AA-A7A6-2B9F4F6839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090D-41DB-A42D-D449EAEA7CB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40692F-79D7-4644-8F82-184F98BBBE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090D-41DB-A42D-D449EAEA7CB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640E365-B4BC-47BD-8EFE-2158B1A273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090D-41DB-A42D-D449EAEA7C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D3B50BF-DF2F-4022-905B-181996276A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090D-41DB-A42D-D449EAEA7CB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00F32BE-A779-4ADF-AB3E-71F5C0ACB9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90D-41DB-A42D-D449EAEA7C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14FB8B0-9F36-4FF4-8DEA-C56FC3145E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90D-41DB-A42D-D449EAEA7CB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9F22218-961C-4FC6-B8BC-EFABEFEDD2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090D-41DB-A42D-D449EAEA7CB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0FE3216-9B14-4396-A5D4-B7A896A0BB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090D-41DB-A42D-D449EAEA7CB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9CF53F6-DC08-4833-B83D-B71EB211C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090D-41DB-A42D-D449EAEA7CB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4ACCFE2-D03D-411A-B059-B3C77B0B2C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090D-41DB-A42D-D449EAEA7C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DD894DE-2C90-4CDA-B60C-AA55D1F3CF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090D-41DB-A42D-D449EAEA7C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2CF9066-E8EB-4892-9764-ADCE0BEE4B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090D-41DB-A42D-D449EAEA7CB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34A7703-4E4D-4EBA-AFC6-9AF93FA7B1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090D-41DB-A42D-D449EAEA7CB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7FDDB00-38BD-40F8-BC73-1FFE4FAA2C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090D-41DB-A42D-D449EAEA7CB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57CF3DC-A420-45F7-B503-3DBC62AF8E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090D-41DB-A42D-D449EAEA7CB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1AE8E68-ED0A-4851-9B78-A99D18D186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090D-41DB-A42D-D449EAEA7CB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440D4A7-8990-4529-B9FE-C0547F058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090D-41DB-A42D-D449EAEA7CB9}"/>
                </c:ext>
              </c:extLst>
            </c:dLbl>
            <c:dLbl>
              <c:idx val="23"/>
              <c:layout>
                <c:manualLayout>
                  <c:x val="-4.8351097869560079E-2"/>
                  <c:y val="-1.961222715674954E-2"/>
                </c:manualLayout>
              </c:layout>
              <c:tx>
                <c:rich>
                  <a:bodyPr/>
                  <a:lstStyle/>
                  <a:p>
                    <a:fld id="{13905094-89F8-42F3-AFD0-36B323225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90D-41DB-A42D-D449EAEA7CB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07C8BF8-327F-4361-8F57-FD7F4A734C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090D-41DB-A42D-D449EAEA7CB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6875219-17D2-4DBF-A994-5F15A90390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090D-41DB-A42D-D449EAEA7CB9}"/>
                </c:ext>
              </c:extLst>
            </c:dLbl>
            <c:dLbl>
              <c:idx val="26"/>
              <c:layout>
                <c:manualLayout>
                  <c:x val="-2.4076834221586148E-3"/>
                  <c:y val="1.8316248100652889E-2"/>
                </c:manualLayout>
              </c:layout>
              <c:tx>
                <c:rich>
                  <a:bodyPr/>
                  <a:lstStyle/>
                  <a:p>
                    <a:fld id="{38D4F249-42F1-4E33-B2FF-4604D758EF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90D-41DB-A42D-D449EAEA7CB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3D0121B-F2AB-46EC-94F4-E330CB7560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90D-41DB-A42D-D449EAEA7CB9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3489E11-9F79-4A3E-9E02-D5A6B9F2F2E2}" type="CELLRANGE">
                      <a:rPr lang="en-US"/>
                      <a:pPr>
                        <a:defRPr sz="1300" b="1">
                          <a:solidFill>
                            <a:schemeClr val="accent2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3-090D-41DB-A42D-D449EAEA7C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-v2'!$B$4:$AM$4</c15:sqref>
                  </c15:fullRef>
                </c:ext>
              </c:extLst>
              <c:f>('Chart-Price-BCKQKD -v2'!$B$4:$AC$4,'Chart-Price-BCKQKD -v2'!$AL$4)</c:f>
              <c:numCache>
                <c:formatCode>_(* #,##0_);_(* \(#,##0\);_(* "-"??_);_(@_)</c:formatCode>
                <c:ptCount val="29"/>
                <c:pt idx="0">
                  <c:v>1182.7341298904905</c:v>
                </c:pt>
                <c:pt idx="1">
                  <c:v>1234.9408843493675</c:v>
                </c:pt>
                <c:pt idx="2">
                  <c:v>1226.4048849850465</c:v>
                </c:pt>
                <c:pt idx="3">
                  <c:v>1198.424180913999</c:v>
                </c:pt>
                <c:pt idx="4">
                  <c:v>1204.3691466122179</c:v>
                </c:pt>
                <c:pt idx="5">
                  <c:v>1243.6153117457734</c:v>
                </c:pt>
                <c:pt idx="6">
                  <c:v>1193.5732165230752</c:v>
                </c:pt>
                <c:pt idx="7">
                  <c:v>1207.4818613848522</c:v>
                </c:pt>
                <c:pt idx="8">
                  <c:v>1217.3694497778879</c:v>
                </c:pt>
                <c:pt idx="9">
                  <c:v>1231.9768533370791</c:v>
                </c:pt>
                <c:pt idx="10">
                  <c:v>1321.3232080920304</c:v>
                </c:pt>
                <c:pt idx="11">
                  <c:v>1315.4587327089869</c:v>
                </c:pt>
                <c:pt idx="12">
                  <c:v>1224.782096319489</c:v>
                </c:pt>
                <c:pt idx="13">
                  <c:v>1269.5787015125252</c:v>
                </c:pt>
                <c:pt idx="14">
                  <c:v>1240.8522305246768</c:v>
                </c:pt>
                <c:pt idx="15">
                  <c:v>1235.6657147667627</c:v>
                </c:pt>
                <c:pt idx="16">
                  <c:v>1251.6241756270672</c:v>
                </c:pt>
                <c:pt idx="17">
                  <c:v>1227.1759914472079</c:v>
                </c:pt>
                <c:pt idx="18">
                  <c:v>1210.5468697839228</c:v>
                </c:pt>
                <c:pt idx="19">
                  <c:v>1213.4371426274026</c:v>
                </c:pt>
                <c:pt idx="20">
                  <c:v>1218.3254740739628</c:v>
                </c:pt>
                <c:pt idx="21">
                  <c:v>1222.4027896029575</c:v>
                </c:pt>
                <c:pt idx="22">
                  <c:v>1227.3708118790098</c:v>
                </c:pt>
                <c:pt idx="23">
                  <c:v>1254.4527797599321</c:v>
                </c:pt>
                <c:pt idx="24">
                  <c:v>1117.9149758732146</c:v>
                </c:pt>
                <c:pt idx="25">
                  <c:v>1124.0432602840124</c:v>
                </c:pt>
                <c:pt idx="26">
                  <c:v>1114.9543065541411</c:v>
                </c:pt>
                <c:pt idx="27">
                  <c:v>1150.9453593807511</c:v>
                </c:pt>
                <c:pt idx="28">
                  <c:v>1173.9642665683662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-v2'!$B$7:$AL$7</c15:f>
                <c15:dlblRangeCache>
                  <c:ptCount val="37"/>
                  <c:pt idx="0">
                    <c:v> 1,183 </c:v>
                  </c:pt>
                  <c:pt idx="1">
                    <c:v> 1,235 </c:v>
                  </c:pt>
                  <c:pt idx="2">
                    <c:v> 1,226 </c:v>
                  </c:pt>
                  <c:pt idx="3">
                    <c:v> 1,198 </c:v>
                  </c:pt>
                  <c:pt idx="4">
                    <c:v> 1,204 </c:v>
                  </c:pt>
                  <c:pt idx="5">
                    <c:v> 1,244 </c:v>
                  </c:pt>
                  <c:pt idx="6">
                    <c:v> 1,194 </c:v>
                  </c:pt>
                  <c:pt idx="7">
                    <c:v> 1,207 </c:v>
                  </c:pt>
                  <c:pt idx="8">
                    <c:v> 1,217 </c:v>
                  </c:pt>
                  <c:pt idx="9">
                    <c:v> 1,232 </c:v>
                  </c:pt>
                  <c:pt idx="10">
                    <c:v> 1,321 </c:v>
                  </c:pt>
                  <c:pt idx="11">
                    <c:v> 1,315 </c:v>
                  </c:pt>
                  <c:pt idx="12">
                    <c:v> 1,225 </c:v>
                  </c:pt>
                  <c:pt idx="13">
                    <c:v> 1,270 </c:v>
                  </c:pt>
                  <c:pt idx="14">
                    <c:v> 1,241 </c:v>
                  </c:pt>
                  <c:pt idx="15">
                    <c:v> 1,236 </c:v>
                  </c:pt>
                  <c:pt idx="16">
                    <c:v> 1,252 </c:v>
                  </c:pt>
                  <c:pt idx="17">
                    <c:v> 1,227 </c:v>
                  </c:pt>
                  <c:pt idx="18">
                    <c:v> 1,211 </c:v>
                  </c:pt>
                  <c:pt idx="19">
                    <c:v> 1,213 </c:v>
                  </c:pt>
                  <c:pt idx="20">
                    <c:v> 1,218 </c:v>
                  </c:pt>
                  <c:pt idx="21">
                    <c:v> 1,222 </c:v>
                  </c:pt>
                  <c:pt idx="22">
                    <c:v> 1,227 </c:v>
                  </c:pt>
                  <c:pt idx="23">
                    <c:v> 1,254 </c:v>
                  </c:pt>
                  <c:pt idx="24">
                    <c:v> 1,118 </c:v>
                  </c:pt>
                  <c:pt idx="25">
                    <c:v> 1,124 </c:v>
                  </c:pt>
                  <c:pt idx="26">
                    <c:v> 1,115 </c:v>
                  </c:pt>
                  <c:pt idx="27">
                    <c:v> 1,151 </c:v>
                  </c:pt>
                  <c:pt idx="36">
                    <c:v>Giá thực tế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090D-41DB-A42D-D449EAEA7CB9}"/>
            </c:ext>
          </c:extLst>
        </c:ser>
        <c:ser>
          <c:idx val="3"/>
          <c:order val="1"/>
          <c:tx>
            <c:strRef>
              <c:f>'Chart-Price-BCKQKD -v2'!$A$5</c:f>
              <c:strCache>
                <c:ptCount val="1"/>
                <c:pt idx="0">
                  <c:v>Giá kế hoạch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349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2-090D-41DB-A42D-D449EAEA7CB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CFEB022-F471-4376-90B7-C6FD3064B8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90D-41DB-A42D-D449EAEA7C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35B805-BEE1-48EB-8C1F-D735E144E1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90D-41DB-A42D-D449EAEA7C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A0BF15A-DF47-4905-B64C-EBCE2676B9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90D-41DB-A42D-D449EAEA7C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CEBC1B-5655-419E-9993-37F654707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090D-41DB-A42D-D449EAEA7CB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11E1D28-BF8A-4C99-BD49-D27AB24F0E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090D-41DB-A42D-D449EAEA7CB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3226F50-49A0-4A9E-847A-7C11A1A82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90D-41DB-A42D-D449EAEA7CB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59CF4D5-D14D-4B25-9FF3-D46B5B3DDA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090D-41DB-A42D-D449EAEA7CB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6394ED2-B18C-409D-BE7C-72461EEFA6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090D-41DB-A42D-D449EAEA7CB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062C485-12A5-4340-89AD-23EA13AF7E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090D-41DB-A42D-D449EAEA7C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2C165AB-3C19-40DC-85CC-77A5ADC45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090D-41DB-A42D-D449EAEA7CB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C7A174D-2C8C-4532-9F0E-7F8A60F944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90D-41DB-A42D-D449EAEA7C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D619ACA-5300-44F5-A9E0-576852E34F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90D-41DB-A42D-D449EAEA7CB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881AB55-0660-493B-95B0-BC0D3F33D1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090D-41DB-A42D-D449EAEA7CB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63E0300-F9D2-474F-9539-99773D245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090D-41DB-A42D-D449EAEA7CB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E9CC1B4-524F-40D2-A7E3-04019AABE4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090D-41DB-A42D-D449EAEA7CB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2E3D51F-EEC6-4169-B1D6-0E1523D00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090D-41DB-A42D-D449EAEA7C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51E74AC-EA03-4571-94A9-4DB58DB050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090D-41DB-A42D-D449EAEA7C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6BEAA52-58E0-4707-B5F0-92A0E28983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090D-41DB-A42D-D449EAEA7CB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1753049-C574-4042-8EE3-39CCDB24D9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090D-41DB-A42D-D449EAEA7CB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00293B8-405E-48A6-BF1B-365EEAF478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090D-41DB-A42D-D449EAEA7CB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AF99285-43FE-4EF0-8DB8-287B6FDF2B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090D-41DB-A42D-D449EAEA7CB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B2778E4-9CB4-4F39-8507-5EBB7A66CD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090D-41DB-A42D-D449EAEA7CB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FF02050-9A49-4CD6-B267-79964B007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090D-41DB-A42D-D449EAEA7CB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AC913E3-8959-4A84-A4DC-440CDC89B2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090D-41DB-A42D-D449EAEA7CB9}"/>
                </c:ext>
              </c:extLst>
            </c:dLbl>
            <c:dLbl>
              <c:idx val="24"/>
              <c:layout>
                <c:manualLayout>
                  <c:x val="-1.7443978290449826E-2"/>
                  <c:y val="-7.2996397219059095E-2"/>
                </c:manualLayout>
              </c:layout>
              <c:tx>
                <c:rich>
                  <a:bodyPr/>
                  <a:lstStyle/>
                  <a:p>
                    <a:fld id="{160FBDD0-DACA-42C7-9032-58960370D1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90D-41DB-A42D-D449EAEA7CB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24BEEA6-C76B-44E0-9BFE-12E11E731C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090D-41DB-A42D-D449EAEA7CB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8E57E09-A02F-48B2-9C90-E925ECAC9A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090D-41DB-A42D-D449EAEA7CB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908B840-165C-40C6-8F23-236FE4B7A2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90D-41DB-A42D-D449EAEA7CB9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accent4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912CCF8-39FF-4D79-A4FB-F56C1C221C98}" type="CELLRANGE">
                      <a:rPr lang="en-US"/>
                      <a:pPr>
                        <a:defRPr sz="11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solidFill>
                    <a:schemeClr val="accent4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090D-41DB-A42D-D449EAEA7C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-v2'!$B$5:$AM$5</c15:sqref>
                  </c15:fullRef>
                </c:ext>
              </c:extLst>
              <c:f>('Chart-Price-BCKQKD -v2'!$B$5:$AC$5,'Chart-Price-BCKQKD -v2'!$AL$5)</c:f>
              <c:numCache>
                <c:formatCode>_(* #,##0_);_(* \(#,##0\);_(* "-"??_);_(@_)</c:formatCode>
                <c:ptCount val="29"/>
                <c:pt idx="0">
                  <c:v>1180.9667866323907</c:v>
                </c:pt>
                <c:pt idx="1">
                  <c:v>1199.7013809910641</c:v>
                </c:pt>
                <c:pt idx="2">
                  <c:v>1179.0985801217037</c:v>
                </c:pt>
                <c:pt idx="3">
                  <c:v>1200.4389513108613</c:v>
                </c:pt>
                <c:pt idx="4">
                  <c:v>1207.9269681742044</c:v>
                </c:pt>
                <c:pt idx="5">
                  <c:v>1204.3674796747966</c:v>
                </c:pt>
                <c:pt idx="6">
                  <c:v>1254.6012676056339</c:v>
                </c:pt>
                <c:pt idx="7">
                  <c:v>1259.3826199740597</c:v>
                </c:pt>
                <c:pt idx="8">
                  <c:v>1263.7258939893484</c:v>
                </c:pt>
                <c:pt idx="9">
                  <c:v>1274.3542384562372</c:v>
                </c:pt>
                <c:pt idx="10">
                  <c:v>1261.3793019282402</c:v>
                </c:pt>
                <c:pt idx="11">
                  <c:v>1262.2590667311413</c:v>
                </c:pt>
                <c:pt idx="12">
                  <c:v>1262.3936634028478</c:v>
                </c:pt>
                <c:pt idx="13">
                  <c:v>1262.4865162143126</c:v>
                </c:pt>
                <c:pt idx="14">
                  <c:v>1281.4274794843393</c:v>
                </c:pt>
                <c:pt idx="15">
                  <c:v>1277.287898512589</c:v>
                </c:pt>
                <c:pt idx="16">
                  <c:v>1278.1904921580881</c:v>
                </c:pt>
                <c:pt idx="17">
                  <c:v>1269.824865003445</c:v>
                </c:pt>
                <c:pt idx="18">
                  <c:v>1291.0692763217255</c:v>
                </c:pt>
                <c:pt idx="19">
                  <c:v>1312.723643450312</c:v>
                </c:pt>
                <c:pt idx="20">
                  <c:v>1305.6954905040463</c:v>
                </c:pt>
                <c:pt idx="21">
                  <c:v>1308.2516255567853</c:v>
                </c:pt>
                <c:pt idx="22">
                  <c:v>1318.955257049731</c:v>
                </c:pt>
                <c:pt idx="23">
                  <c:v>1313.8679149899906</c:v>
                </c:pt>
                <c:pt idx="24">
                  <c:v>1120.5942753515076</c:v>
                </c:pt>
                <c:pt idx="25">
                  <c:v>1120.7764032368477</c:v>
                </c:pt>
                <c:pt idx="26">
                  <c:v>1122.2414622465203</c:v>
                </c:pt>
                <c:pt idx="27">
                  <c:v>1121.9134816835192</c:v>
                </c:pt>
                <c:pt idx="28">
                  <c:v>1099.4752120498488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-v2'!$B$8:$AL$8</c15:f>
                <c15:dlblRangeCache>
                  <c:ptCount val="37"/>
                  <c:pt idx="0">
                    <c:v> 1,181 </c:v>
                  </c:pt>
                  <c:pt idx="1">
                    <c:v> 1,200 </c:v>
                  </c:pt>
                  <c:pt idx="2">
                    <c:v> 1,179 </c:v>
                  </c:pt>
                  <c:pt idx="3">
                    <c:v> 1,200 </c:v>
                  </c:pt>
                  <c:pt idx="4">
                    <c:v> 1,208 </c:v>
                  </c:pt>
                  <c:pt idx="5">
                    <c:v> 1,204 </c:v>
                  </c:pt>
                  <c:pt idx="6">
                    <c:v> 1,255 </c:v>
                  </c:pt>
                  <c:pt idx="7">
                    <c:v> 1,259 </c:v>
                  </c:pt>
                  <c:pt idx="8">
                    <c:v> 1,264 </c:v>
                  </c:pt>
                  <c:pt idx="9">
                    <c:v> 1,274 </c:v>
                  </c:pt>
                  <c:pt idx="10">
                    <c:v> 1,261 </c:v>
                  </c:pt>
                  <c:pt idx="11">
                    <c:v> 1,262 </c:v>
                  </c:pt>
                  <c:pt idx="12">
                    <c:v> 1,262 </c:v>
                  </c:pt>
                  <c:pt idx="13">
                    <c:v> 1,262 </c:v>
                  </c:pt>
                  <c:pt idx="14">
                    <c:v> 1,281 </c:v>
                  </c:pt>
                  <c:pt idx="15">
                    <c:v> 1,277 </c:v>
                  </c:pt>
                  <c:pt idx="16">
                    <c:v> 1,278 </c:v>
                  </c:pt>
                  <c:pt idx="17">
                    <c:v> 1,270 </c:v>
                  </c:pt>
                  <c:pt idx="18">
                    <c:v> 1,291 </c:v>
                  </c:pt>
                  <c:pt idx="19">
                    <c:v> 1,313 </c:v>
                  </c:pt>
                  <c:pt idx="20">
                    <c:v> 1,306 </c:v>
                  </c:pt>
                  <c:pt idx="21">
                    <c:v> 1,308 </c:v>
                  </c:pt>
                  <c:pt idx="22">
                    <c:v> 1,319 </c:v>
                  </c:pt>
                  <c:pt idx="23">
                    <c:v> 1,314 </c:v>
                  </c:pt>
                  <c:pt idx="24">
                    <c:v> 1,121 </c:v>
                  </c:pt>
                  <c:pt idx="25">
                    <c:v> 1,121 </c:v>
                  </c:pt>
                  <c:pt idx="26">
                    <c:v> 1,122 </c:v>
                  </c:pt>
                  <c:pt idx="27">
                    <c:v> 1,122 </c:v>
                  </c:pt>
                  <c:pt idx="36">
                    <c:v>Giá kế hoạch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090D-41DB-A42D-D449EAEA7CB9}"/>
            </c:ext>
          </c:extLst>
        </c:ser>
        <c:ser>
          <c:idx val="4"/>
          <c:order val="2"/>
          <c:tx>
            <c:strRef>
              <c:f>'Chart-Price-BCKQKD -v2'!$A$6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349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6-090D-41DB-A42D-D449EAEA7CB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2865FEC-4982-43A6-88D0-7878F35FD5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090D-41DB-A42D-D449EAEA7C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A53D9DD-243D-4991-9AFC-97F79D44C0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090D-41DB-A42D-D449EAEA7C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66CF1C-16EC-4168-8486-2D7205C20E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090D-41DB-A42D-D449EAEA7C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35297EC-F41A-4735-9B76-E4BC3E7EF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090D-41DB-A42D-D449EAEA7CB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BA66DA-071A-47CD-93CD-46D598E6A9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090D-41DB-A42D-D449EAEA7CB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A7D4BF4-24B4-4E97-B286-8AFC31E4E8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090D-41DB-A42D-D449EAEA7CB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CD4AB37-3E0D-4DA9-B571-4C8AC3051D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090D-41DB-A42D-D449EAEA7CB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7CEE731-0FC9-4D67-A302-E988D2F28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090D-41DB-A42D-D449EAEA7CB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D4B5D3F-EB5C-40BB-87AE-3797F02782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090D-41DB-A42D-D449EAEA7C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B04641D-B83F-4449-9F85-91A027DB73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090D-41DB-A42D-D449EAEA7CB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10D93BF-86B3-4A43-AE06-210164981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090D-41DB-A42D-D449EAEA7C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E10C095-42A0-41E0-BA87-88EF0A4741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090D-41DB-A42D-D449EAEA7CB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CDBD82E-C955-4C7B-A8CE-B3EE55E497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090D-41DB-A42D-D449EAEA7CB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EE7024C-A507-419E-88A7-3ED308894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090D-41DB-A42D-D449EAEA7CB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83C9B0C-F3E2-40BA-A2D6-5154CD5B21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090D-41DB-A42D-D449EAEA7CB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77741E6-6CD8-48FD-A7FD-8191646D22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090D-41DB-A42D-D449EAEA7C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A468B30-5A36-4008-A865-4ADE10C62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090D-41DB-A42D-D449EAEA7C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E1CCA5C-2C65-44AC-A3EB-36F12AE432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090D-41DB-A42D-D449EAEA7CB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C77E772-E212-45CE-9967-A547504B88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090D-41DB-A42D-D449EAEA7CB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9100C2B-D855-40A4-A342-05E4C006F2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090D-41DB-A42D-D449EAEA7CB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8495814-BDAD-427E-90E9-40496EA0A7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090D-41DB-A42D-D449EAEA7CB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C35EF9B-521A-4577-B410-E6DDAD4108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090D-41DB-A42D-D449EAEA7CB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E2B851F-DA3C-4CB7-84F3-B0D389AE96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090D-41DB-A42D-D449EAEA7CB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820AA2A-5DA3-40B9-8BCC-3B58C5D4E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090D-41DB-A42D-D449EAEA7CB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E1E88B6-792C-4CA4-AE29-3BF72850BA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090D-41DB-A42D-D449EAEA7CB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4B890CB-9C90-4046-A916-CD23A16AE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090D-41DB-A42D-D449EAEA7CB9}"/>
                </c:ext>
              </c:extLst>
            </c:dLbl>
            <c:dLbl>
              <c:idx val="26"/>
              <c:layout>
                <c:manualLayout>
                  <c:x val="-2.4076834221587904E-3"/>
                  <c:y val="4.6279394678788249E-2"/>
                </c:manualLayout>
              </c:layout>
              <c:tx>
                <c:rich>
                  <a:bodyPr/>
                  <a:lstStyle/>
                  <a:p>
                    <a:fld id="{AC2B3144-E58C-416F-AE9B-F909E6F6CE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90D-41DB-A42D-D449EAEA7CB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A3675CF-AE8D-45AD-9023-0098A8177E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90D-41DB-A42D-D449EAEA7CB9}"/>
                </c:ext>
              </c:extLst>
            </c:dLbl>
            <c:dLbl>
              <c:idx val="2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rgbClr val="FF339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841DD5F-DC50-44FC-800F-C838BE9B353E}" type="CELLRANGE">
                      <a:rPr lang="en-US"/>
                      <a:pPr>
                        <a:defRPr sz="1300" b="1">
                          <a:solidFill>
                            <a:srgbClr val="FF3399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solidFill>
                    <a:srgbClr val="FF3399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339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6-090D-41DB-A42D-D449EAEA7C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-v2'!$B$6:$AM$6</c15:sqref>
                  </c15:fullRef>
                </c:ext>
              </c:extLst>
              <c:f>('Chart-Price-BCKQKD -v2'!$B$6:$AC$6,'Chart-Price-BCKQKD -v2'!$AL$6)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1140</c:v>
                </c:pt>
                <c:pt idx="28">
                  <c:v>1140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-v2'!$B$9:$AL$9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1,140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090D-41DB-A42D-D449EAEA7CB9}"/>
            </c:ext>
          </c:extLst>
        </c:ser>
        <c:ser>
          <c:idx val="5"/>
          <c:order val="5"/>
          <c:tx>
            <c:strRef>
              <c:f>'Chart-Price-BCKQKD -v2'!$A$12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AAC9DE19-40F4-4C68-8734-5C94517C3E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90D-41DB-A42D-D449EAEA7C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51B272-CFB5-4BD3-A066-1B40F0D9ED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90D-41DB-A42D-D449EAEA7C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5C05A33-9DF5-41AE-900D-E1A7A18BE4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90D-41DB-A42D-D449EAEA7C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5ADEA27-BF71-4B3B-916D-3A0645F61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90D-41DB-A42D-D449EAEA7CB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5D52DE2-CB2D-414D-AAC8-BA5A92F51E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90D-41DB-A42D-D449EAEA7CB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6649DEE-B140-4090-86B3-4A52154124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90D-41DB-A42D-D449EAEA7CB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BC75A2F-3865-4827-82CB-0A5DC1578F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90D-41DB-A42D-D449EAEA7CB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7034BB9-8A16-445F-BFB5-0E4CB6931D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90D-41DB-A42D-D449EAEA7CB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1CF0213-4D64-42B1-B835-94299E7251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90D-41DB-A42D-D449EAEA7C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6DA0B6C-E728-45CE-BA3B-A6BAC14071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90D-41DB-A42D-D449EAEA7CB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CD0749A-C38C-421E-A288-DAC3752E6C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90D-41DB-A42D-D449EAEA7C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EB6798B-E507-40C3-8CAD-270D08A5FC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90D-41DB-A42D-D449EAEA7CB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DB72456-75FC-422E-9394-43E994931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90D-41DB-A42D-D449EAEA7CB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AE1BC42-ACD8-4A25-80AA-B1B1BC0F3F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90D-41DB-A42D-D449EAEA7CB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9696DF7-01CF-4658-9F2B-C3A6201AAA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90D-41DB-A42D-D449EAEA7CB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DB0BC71-2CF3-4526-81D1-2444AA340D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90D-41DB-A42D-D449EAEA7C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BFB28E1-8059-4839-9949-ECE894E305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90D-41DB-A42D-D449EAEA7C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DA2C784-C269-4B54-B6B5-043692C12B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90D-41DB-A42D-D449EAEA7CB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2F475A1-FE34-4431-B367-B6BBEE82E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90D-41DB-A42D-D449EAEA7CB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7B5BA50-1A82-47BB-A7FC-EF00C05802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90D-41DB-A42D-D449EAEA7CB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2F97F43-D62A-49DB-8351-CC4D2B299E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90D-41DB-A42D-D449EAEA7CB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3F5B82D-1349-4159-BD99-642D457B74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90D-41DB-A42D-D449EAEA7CB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F0D96E8-6966-40D9-B146-F450450498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90D-41DB-A42D-D449EAEA7CB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FCCB2A7-38A8-477F-BF8E-DD39422402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90D-41DB-A42D-D449EAEA7CB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3429235-4206-4009-A0D6-BEB4A31306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90D-41DB-A42D-D449EAEA7CB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0D56F1E-A999-4CFE-A795-8D5536B0F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90D-41DB-A42D-D449EAEA7CB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15BAE0D-15D7-4574-8C0F-A35A4C8A6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90D-41DB-A42D-D449EAEA7CB9}"/>
                </c:ext>
              </c:extLst>
            </c:dLbl>
            <c:dLbl>
              <c:idx val="27"/>
              <c:layout>
                <c:manualLayout>
                  <c:x val="-2.3322132375419354E-2"/>
                  <c:y val="-5.5155885714587877E-2"/>
                </c:manualLayout>
              </c:layout>
              <c:tx>
                <c:rich>
                  <a:bodyPr/>
                  <a:lstStyle/>
                  <a:p>
                    <a:fld id="{2A3E2A08-2B2A-464F-870E-213D7BDE1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090D-41DB-A42D-D449EAEA7CB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90D-41DB-A42D-D449EAEA7CB9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-v2'!$B$12:$AM$12</c15:sqref>
                  </c15:fullRef>
                </c:ext>
              </c:extLst>
              <c:f>('Chart-Price-BCKQKD -v2'!$B$12:$AC$12,'Chart-Price-BCKQKD -v2'!$AL$12)</c:f>
              <c:numCache>
                <c:formatCode>_(* #,##0_);_(* \(#,##0\);_(* "-"??_);_(@_)</c:formatCode>
                <c:ptCount val="29"/>
                <c:pt idx="0">
                  <c:v>1056.3670649452451</c:v>
                </c:pt>
                <c:pt idx="1">
                  <c:v>1089.1371088413505</c:v>
                </c:pt>
                <c:pt idx="2">
                  <c:v>1083.2024424925232</c:v>
                </c:pt>
                <c:pt idx="3">
                  <c:v>1069.2120904569995</c:v>
                </c:pt>
                <c:pt idx="4">
                  <c:v>1073.1845733061091</c:v>
                </c:pt>
                <c:pt idx="5">
                  <c:v>1096.8076558728867</c:v>
                </c:pt>
                <c:pt idx="6">
                  <c:v>1070.5366082615376</c:v>
                </c:pt>
                <c:pt idx="7">
                  <c:v>1068.740930692426</c:v>
                </c:pt>
                <c:pt idx="8">
                  <c:v>1048.6847248889439</c:v>
                </c:pt>
                <c:pt idx="9">
                  <c:v>1047.2384266685394</c:v>
                </c:pt>
                <c:pt idx="10">
                  <c:v>1086.6616040460153</c:v>
                </c:pt>
                <c:pt idx="11">
                  <c:v>1072.7293663544933</c:v>
                </c:pt>
                <c:pt idx="12">
                  <c:v>1026.3910481597445</c:v>
                </c:pt>
                <c:pt idx="13">
                  <c:v>1054.7893507562626</c:v>
                </c:pt>
                <c:pt idx="14">
                  <c:v>1031.9261152623385</c:v>
                </c:pt>
                <c:pt idx="15">
                  <c:v>1000.3328573833813</c:v>
                </c:pt>
                <c:pt idx="16">
                  <c:v>1016.8120878135336</c:v>
                </c:pt>
                <c:pt idx="17">
                  <c:v>1017.337995723604</c:v>
                </c:pt>
                <c:pt idx="18">
                  <c:v>1006.2734348919614</c:v>
                </c:pt>
                <c:pt idx="19">
                  <c:v>1004.2185713137013</c:v>
                </c:pt>
                <c:pt idx="20">
                  <c:v>1000.6627370369814</c:v>
                </c:pt>
                <c:pt idx="21">
                  <c:v>997.20139480147873</c:v>
                </c:pt>
                <c:pt idx="22">
                  <c:v>998.6854059395049</c:v>
                </c:pt>
                <c:pt idx="23">
                  <c:v>1013.4763898799661</c:v>
                </c:pt>
                <c:pt idx="24">
                  <c:v>961.45748793660732</c:v>
                </c:pt>
                <c:pt idx="25">
                  <c:v>982.02163014200619</c:v>
                </c:pt>
                <c:pt idx="26">
                  <c:v>1111.9771532770706</c:v>
                </c:pt>
                <c:pt idx="27">
                  <c:v>1145.4726796903756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-v2'!$B$10:$AM$10</c15:f>
                <c15:dlblRangeCache>
                  <c:ptCount val="38"/>
                  <c:pt idx="0">
                    <c:v> 253 </c:v>
                  </c:pt>
                  <c:pt idx="1">
                    <c:v> 292 </c:v>
                  </c:pt>
                  <c:pt idx="2">
                    <c:v> 286 </c:v>
                  </c:pt>
                  <c:pt idx="3">
                    <c:v> 258 </c:v>
                  </c:pt>
                  <c:pt idx="4">
                    <c:v> 262 </c:v>
                  </c:pt>
                  <c:pt idx="5">
                    <c:v> 294 </c:v>
                  </c:pt>
                  <c:pt idx="6">
                    <c:v> 246 </c:v>
                  </c:pt>
                  <c:pt idx="7">
                    <c:v> 277 </c:v>
                  </c:pt>
                  <c:pt idx="8">
                    <c:v> 337 </c:v>
                  </c:pt>
                  <c:pt idx="9">
                    <c:v> 369 </c:v>
                  </c:pt>
                  <c:pt idx="10">
                    <c:v> 469 </c:v>
                  </c:pt>
                  <c:pt idx="11">
                    <c:v> 485 </c:v>
                  </c:pt>
                  <c:pt idx="12">
                    <c:v> 397 </c:v>
                  </c:pt>
                  <c:pt idx="13">
                    <c:v> 430 </c:v>
                  </c:pt>
                  <c:pt idx="14">
                    <c:v> 418 </c:v>
                  </c:pt>
                  <c:pt idx="15">
                    <c:v> 471 </c:v>
                  </c:pt>
                  <c:pt idx="16">
                    <c:v> 470 </c:v>
                  </c:pt>
                  <c:pt idx="17">
                    <c:v> 420 </c:v>
                  </c:pt>
                  <c:pt idx="18">
                    <c:v> 409 </c:v>
                  </c:pt>
                  <c:pt idx="19">
                    <c:v> 418 </c:v>
                  </c:pt>
                  <c:pt idx="20">
                    <c:v> 435 </c:v>
                  </c:pt>
                  <c:pt idx="21">
                    <c:v> 450 </c:v>
                  </c:pt>
                  <c:pt idx="22">
                    <c:v> 457 </c:v>
                  </c:pt>
                  <c:pt idx="23">
                    <c:v> 482 </c:v>
                  </c:pt>
                  <c:pt idx="24">
                    <c:v> 313 </c:v>
                  </c:pt>
                  <c:pt idx="25">
                    <c:v> 284 </c:v>
                  </c:pt>
                  <c:pt idx="26">
                    <c:v> 6 </c:v>
                  </c:pt>
                  <c:pt idx="27">
                    <c:v> 11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4-090D-41DB-A42D-D449EAEA7CB9}"/>
            </c:ext>
          </c:extLst>
        </c:ser>
        <c:ser>
          <c:idx val="6"/>
          <c:order val="6"/>
          <c:tx>
            <c:strRef>
              <c:f>'Chart-Price-BCKQKD -v2'!$A$12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276CBCF-6CD9-47B9-A0E3-FCDED39637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90D-41DB-A42D-D449EAEA7C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FD0E584-859A-4EB0-A8EE-7267CEE3E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90D-41DB-A42D-D449EAEA7C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A57F460-DA6B-46E2-83DA-E6EECC94CD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90D-41DB-A42D-D449EAEA7C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B52345-4B14-430F-A4C4-163BAFF77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90D-41DB-A42D-D449EAEA7CB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311098-FB4F-4CE1-B76B-6E64172D06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90D-41DB-A42D-D449EAEA7CB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1F097E-0F17-44BC-9B45-47883F9DA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90D-41DB-A42D-D449EAEA7CB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73779E0-C9E8-4267-AAF8-0F0ED7847B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90D-41DB-A42D-D449EAEA7CB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3B2460-3F6C-4BFA-864C-13A36DC343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90D-41DB-A42D-D449EAEA7CB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D1DD503-156C-4D34-AA06-57A4450B7E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90D-41DB-A42D-D449EAEA7C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E1F3D1F-87CD-4F98-A492-0D21D5ABD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90D-41DB-A42D-D449EAEA7CB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615B8DB-3961-40B3-B1D3-89659F3B2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90D-41DB-A42D-D449EAEA7C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46AA01D-0532-423E-B6CD-8F5AB67687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090D-41DB-A42D-D449EAEA7CB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4FDA90E-69D4-4B59-A379-4986CB9956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090D-41DB-A42D-D449EAEA7CB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D440FA0-D5F4-4518-BAEB-F43A11CA72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090D-41DB-A42D-D449EAEA7CB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690FB67-4504-49DE-8A80-CA4E3F691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90D-41DB-A42D-D449EAEA7CB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773989A-12DC-4EB8-ACF0-C94B0F03F3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90D-41DB-A42D-D449EAEA7C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4E76AAC-B333-47EA-8108-4EA4D18D53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90D-41DB-A42D-D449EAEA7C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B304BC8-1AB9-49F5-B278-370634EA2E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90D-41DB-A42D-D449EAEA7CB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9703412-9439-4827-948C-E0365C14FA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90D-41DB-A42D-D449EAEA7CB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3BA454F-68DB-4712-BC29-7C2A82AA7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90D-41DB-A42D-D449EAEA7CB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2192FED-C307-430E-AE27-AB7450ADF4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90D-41DB-A42D-D449EAEA7CB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A55D96D-0085-4E83-A312-391DF4F834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90D-41DB-A42D-D449EAEA7CB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E64CC5E-1092-4470-8B4F-73191677D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90D-41DB-A42D-D449EAEA7CB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4943020-926C-4449-AA52-ECB67DB0AF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90D-41DB-A42D-D449EAEA7CB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E5FD8DC-7796-473A-A2BC-F409C9A5E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90D-41DB-A42D-D449EAEA7CB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A488909-7F9D-493B-B696-70DF80BE65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90D-41DB-A42D-D449EAEA7CB9}"/>
                </c:ext>
              </c:extLst>
            </c:dLbl>
            <c:dLbl>
              <c:idx val="26"/>
              <c:layout>
                <c:manualLayout>
                  <c:x val="-1.4145293098008887E-2"/>
                  <c:y val="6.9262650212928906E-2"/>
                </c:manualLayout>
              </c:layout>
              <c:tx>
                <c:rich>
                  <a:bodyPr/>
                  <a:lstStyle/>
                  <a:p>
                    <a:fld id="{E45F7181-46BC-461E-A74E-40033D76CB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090D-41DB-A42D-D449EAEA7CB9}"/>
                </c:ext>
              </c:extLst>
            </c:dLbl>
            <c:dLbl>
              <c:idx val="27"/>
              <c:layout>
                <c:manualLayout>
                  <c:x val="-2.2482131143944786E-2"/>
                  <c:y val="-2.4262547303111375E-2"/>
                </c:manualLayout>
              </c:layout>
              <c:tx>
                <c:rich>
                  <a:bodyPr/>
                  <a:lstStyle/>
                  <a:p>
                    <a:fld id="{4E471F60-34D7-44DC-B287-71B866406C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090D-41DB-A42D-D449EAEA7CB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090D-41DB-A42D-D449EAEA7C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-v2'!$B$12:$AM$12</c15:sqref>
                  </c15:fullRef>
                </c:ext>
              </c:extLst>
              <c:f>('Chart-Price-BCKQKD -v2'!$B$12:$AC$12,'Chart-Price-BCKQKD -v2'!$AL$12)</c:f>
              <c:numCache>
                <c:formatCode>_(* #,##0_);_(* \(#,##0\);_(* "-"??_);_(@_)</c:formatCode>
                <c:ptCount val="29"/>
                <c:pt idx="0">
                  <c:v>1056.3670649452451</c:v>
                </c:pt>
                <c:pt idx="1">
                  <c:v>1089.1371088413505</c:v>
                </c:pt>
                <c:pt idx="2">
                  <c:v>1083.2024424925232</c:v>
                </c:pt>
                <c:pt idx="3">
                  <c:v>1069.2120904569995</c:v>
                </c:pt>
                <c:pt idx="4">
                  <c:v>1073.1845733061091</c:v>
                </c:pt>
                <c:pt idx="5">
                  <c:v>1096.8076558728867</c:v>
                </c:pt>
                <c:pt idx="6">
                  <c:v>1070.5366082615376</c:v>
                </c:pt>
                <c:pt idx="7">
                  <c:v>1068.740930692426</c:v>
                </c:pt>
                <c:pt idx="8">
                  <c:v>1048.6847248889439</c:v>
                </c:pt>
                <c:pt idx="9">
                  <c:v>1047.2384266685394</c:v>
                </c:pt>
                <c:pt idx="10">
                  <c:v>1086.6616040460153</c:v>
                </c:pt>
                <c:pt idx="11">
                  <c:v>1072.7293663544933</c:v>
                </c:pt>
                <c:pt idx="12">
                  <c:v>1026.3910481597445</c:v>
                </c:pt>
                <c:pt idx="13">
                  <c:v>1054.7893507562626</c:v>
                </c:pt>
                <c:pt idx="14">
                  <c:v>1031.9261152623385</c:v>
                </c:pt>
                <c:pt idx="15">
                  <c:v>1000.3328573833813</c:v>
                </c:pt>
                <c:pt idx="16">
                  <c:v>1016.8120878135336</c:v>
                </c:pt>
                <c:pt idx="17">
                  <c:v>1017.337995723604</c:v>
                </c:pt>
                <c:pt idx="18">
                  <c:v>1006.2734348919614</c:v>
                </c:pt>
                <c:pt idx="19">
                  <c:v>1004.2185713137013</c:v>
                </c:pt>
                <c:pt idx="20">
                  <c:v>1000.6627370369814</c:v>
                </c:pt>
                <c:pt idx="21">
                  <c:v>997.20139480147873</c:v>
                </c:pt>
                <c:pt idx="22">
                  <c:v>998.6854059395049</c:v>
                </c:pt>
                <c:pt idx="23">
                  <c:v>1013.4763898799661</c:v>
                </c:pt>
                <c:pt idx="24">
                  <c:v>961.45748793660732</c:v>
                </c:pt>
                <c:pt idx="25">
                  <c:v>982.02163014200619</c:v>
                </c:pt>
                <c:pt idx="26">
                  <c:v>1111.9771532770706</c:v>
                </c:pt>
                <c:pt idx="27">
                  <c:v>1145.4726796903756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-v2'!$B$11:$AM$11</c15:f>
                <c15:dlblRangeCache>
                  <c:ptCount val="38"/>
                  <c:pt idx="0">
                    <c:v>27.2%</c:v>
                  </c:pt>
                  <c:pt idx="1">
                    <c:v>30.9%</c:v>
                  </c:pt>
                  <c:pt idx="2">
                    <c:v>30.5%</c:v>
                  </c:pt>
                  <c:pt idx="3">
                    <c:v>27.5%</c:v>
                  </c:pt>
                  <c:pt idx="4">
                    <c:v>27.9%</c:v>
                  </c:pt>
                  <c:pt idx="5">
                    <c:v>30.9%</c:v>
                  </c:pt>
                  <c:pt idx="6">
                    <c:v>26.0%</c:v>
                  </c:pt>
                  <c:pt idx="7">
                    <c:v>29.8%</c:v>
                  </c:pt>
                  <c:pt idx="8">
                    <c:v>38.3%</c:v>
                  </c:pt>
                  <c:pt idx="9">
                    <c:v>42.8%</c:v>
                  </c:pt>
                  <c:pt idx="10">
                    <c:v>55.1%</c:v>
                  </c:pt>
                  <c:pt idx="11">
                    <c:v>58.5%</c:v>
                  </c:pt>
                  <c:pt idx="12">
                    <c:v>47.9%</c:v>
                  </c:pt>
                  <c:pt idx="13">
                    <c:v>51.1%</c:v>
                  </c:pt>
                  <c:pt idx="14">
                    <c:v>50.8%</c:v>
                  </c:pt>
                  <c:pt idx="15">
                    <c:v>61.5%</c:v>
                  </c:pt>
                  <c:pt idx="16">
                    <c:v>60.1%</c:v>
                  </c:pt>
                  <c:pt idx="17">
                    <c:v>52.0%</c:v>
                  </c:pt>
                  <c:pt idx="18">
                    <c:v>50.9%</c:v>
                  </c:pt>
                  <c:pt idx="19">
                    <c:v>52.6%</c:v>
                  </c:pt>
                  <c:pt idx="20">
                    <c:v>55.6%</c:v>
                  </c:pt>
                  <c:pt idx="21">
                    <c:v>58.3%</c:v>
                  </c:pt>
                  <c:pt idx="22">
                    <c:v>59.4%</c:v>
                  </c:pt>
                  <c:pt idx="23">
                    <c:v>62.4%</c:v>
                  </c:pt>
                  <c:pt idx="24">
                    <c:v>38.9%</c:v>
                  </c:pt>
                  <c:pt idx="25">
                    <c:v>33.8%</c:v>
                  </c:pt>
                  <c:pt idx="26">
                    <c:v>0.5%</c:v>
                  </c:pt>
                  <c:pt idx="27">
                    <c:v>1.0%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1-090D-41DB-A42D-D449EAEA7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  <c:max val="1350"/>
          <c:min val="7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2.8815881873880154E-2"/>
          <c:w val="0.88817124502629763"/>
          <c:h val="0.84661338896380012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-v2'!$B$13:$AM$13</c15:sqref>
                  </c15:fullRef>
                </c:ext>
              </c:extLst>
              <c:f>('Chart-Price-BCKQKD -v2'!$B$13:$AC$13,'Chart-Price-BCKQKD -v2'!$AL$13)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1-4AF5-BB71-A7212F7A4C72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-v2'!$B$10:$AM$10</c15:sqref>
                  </c15:fullRef>
                </c:ext>
              </c:extLst>
              <c:f>('Chart-Price-BCKQKD -v2'!$B$10:$AC$10,'Chart-Price-BCKQKD -v2'!$AL$10)</c:f>
              <c:numCache>
                <c:formatCode>_(* #,##0_);_(* \(#,##0\);_(* "-"??_);_(@_)</c:formatCode>
                <c:ptCount val="29"/>
                <c:pt idx="0">
                  <c:v>252.73412989049052</c:v>
                </c:pt>
                <c:pt idx="1">
                  <c:v>291.60755101603411</c:v>
                </c:pt>
                <c:pt idx="2">
                  <c:v>286.40488498504646</c:v>
                </c:pt>
                <c:pt idx="3">
                  <c:v>258.42418091399895</c:v>
                </c:pt>
                <c:pt idx="4">
                  <c:v>262.36914661221795</c:v>
                </c:pt>
                <c:pt idx="5">
                  <c:v>293.6153117457734</c:v>
                </c:pt>
                <c:pt idx="6">
                  <c:v>246.07321652307519</c:v>
                </c:pt>
                <c:pt idx="7">
                  <c:v>277.48186138485221</c:v>
                </c:pt>
                <c:pt idx="8">
                  <c:v>337.36944977788789</c:v>
                </c:pt>
                <c:pt idx="9">
                  <c:v>369.47685333707909</c:v>
                </c:pt>
                <c:pt idx="10">
                  <c:v>469.32320809203043</c:v>
                </c:pt>
                <c:pt idx="11">
                  <c:v>485.45873270898687</c:v>
                </c:pt>
                <c:pt idx="12">
                  <c:v>396.78209631948903</c:v>
                </c:pt>
                <c:pt idx="13">
                  <c:v>429.57870151252519</c:v>
                </c:pt>
                <c:pt idx="14">
                  <c:v>417.85223052467677</c:v>
                </c:pt>
                <c:pt idx="15">
                  <c:v>470.66571476676268</c:v>
                </c:pt>
                <c:pt idx="16">
                  <c:v>469.62417562706719</c:v>
                </c:pt>
                <c:pt idx="17">
                  <c:v>419.67599144720793</c:v>
                </c:pt>
                <c:pt idx="18">
                  <c:v>408.54686978392283</c:v>
                </c:pt>
                <c:pt idx="19">
                  <c:v>418.43714262740264</c:v>
                </c:pt>
                <c:pt idx="20">
                  <c:v>435.32547407396282</c:v>
                </c:pt>
                <c:pt idx="21">
                  <c:v>450.40278960295745</c:v>
                </c:pt>
                <c:pt idx="22">
                  <c:v>457.37081187900981</c:v>
                </c:pt>
                <c:pt idx="23">
                  <c:v>481.95277975993213</c:v>
                </c:pt>
                <c:pt idx="24">
                  <c:v>312.91497587321464</c:v>
                </c:pt>
                <c:pt idx="25">
                  <c:v>284.04326028401238</c:v>
                </c:pt>
                <c:pt idx="26">
                  <c:v>5.9543065541411124</c:v>
                </c:pt>
                <c:pt idx="27">
                  <c:v>10.945359380751142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71-4AF5-BB71-A7212F7A4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 -v2'!$A$4</c:f>
              <c:strCache>
                <c:ptCount val="1"/>
                <c:pt idx="0">
                  <c:v>Giá bán EXW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349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71-4AF5-BB71-A7212F7A4C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E5162C3-DE93-4BBF-946F-D74B81F685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B71-4AF5-BB71-A7212F7A4C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BFD602C-76AE-455F-8828-F1D9CB8C1D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B71-4AF5-BB71-A7212F7A4C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67F0EE7-12B4-447A-8B97-51FB308F61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B71-4AF5-BB71-A7212F7A4C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BE04FC3-3385-461E-85A3-8A668CC6EC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B71-4AF5-BB71-A7212F7A4C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98EE80C-3519-41CA-A3B2-37EDFB5E30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B71-4AF5-BB71-A7212F7A4C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6B5AD61-ED81-4EC0-94F0-8F00835738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B71-4AF5-BB71-A7212F7A4C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3BE77CB-C48C-4CF9-A43B-FA5F31B7DD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B71-4AF5-BB71-A7212F7A4C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4D57452-5D46-42E4-89DC-0E84B30E9F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B71-4AF5-BB71-A7212F7A4C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81C1542-AE45-418B-8140-0295F7CAF2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B71-4AF5-BB71-A7212F7A4C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4D95C9D-3F53-4255-A552-8D6DD09788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B71-4AF5-BB71-A7212F7A4C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B5ED77E-72D5-468E-A6EE-A0B1E18E48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B71-4AF5-BB71-A7212F7A4C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EA9F474-7C9A-48F9-B8E6-420194677A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2B71-4AF5-BB71-A7212F7A4C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9ADA8EB-F51E-469F-B2D5-9AE4DC5446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B71-4AF5-BB71-A7212F7A4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C000456-E8B3-478D-B04F-5647BB6029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B71-4AF5-BB71-A7212F7A4C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E62B031-A798-4218-A115-1D2E97D09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B71-4AF5-BB71-A7212F7A4C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B36F44F-ABDA-40E2-8C81-15EA48CF3D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B71-4AF5-BB71-A7212F7A4C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ABFC851-F5BA-4D9E-A1CD-C31540C116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B71-4AF5-BB71-A7212F7A4C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012A392-0795-4F92-B81D-6D798DA2FF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B71-4AF5-BB71-A7212F7A4C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1C534EF-C477-4FDD-8E6F-B62A7C3693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B71-4AF5-BB71-A7212F7A4C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705ED54-0890-46CE-80B5-7193772B2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B71-4AF5-BB71-A7212F7A4C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C2F2166-89C1-4A89-945D-38301E015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B71-4AF5-BB71-A7212F7A4C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F674CEB-51C7-437A-8002-53B7598D67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B71-4AF5-BB71-A7212F7A4C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EA5427D-CDDE-44BC-8923-1D5B3CE266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B71-4AF5-BB71-A7212F7A4C72}"/>
                </c:ext>
              </c:extLst>
            </c:dLbl>
            <c:dLbl>
              <c:idx val="23"/>
              <c:layout>
                <c:manualLayout>
                  <c:x val="-4.8351097869560079E-2"/>
                  <c:y val="-1.961222715674954E-2"/>
                </c:manualLayout>
              </c:layout>
              <c:tx>
                <c:rich>
                  <a:bodyPr/>
                  <a:lstStyle/>
                  <a:p>
                    <a:fld id="{4310CA1B-C1C6-41BA-B883-291A18CBD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2B71-4AF5-BB71-A7212F7A4C7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17A664F-6EF1-474A-B0FC-ECFA63EF9A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B71-4AF5-BB71-A7212F7A4C7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ECD972C-EADB-44A3-AA30-F822B527C1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B71-4AF5-BB71-A7212F7A4C72}"/>
                </c:ext>
              </c:extLst>
            </c:dLbl>
            <c:dLbl>
              <c:idx val="26"/>
              <c:layout>
                <c:manualLayout>
                  <c:x val="-2.4076834221586148E-3"/>
                  <c:y val="1.8316248100652889E-2"/>
                </c:manualLayout>
              </c:layout>
              <c:tx>
                <c:rich>
                  <a:bodyPr/>
                  <a:lstStyle/>
                  <a:p>
                    <a:fld id="{BEBBB3D7-6F29-4033-91A3-5C97A6A16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2B71-4AF5-BB71-A7212F7A4C7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D1F9CA3-9C83-45AD-A18B-06F8530DD3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2B71-4AF5-BB71-A7212F7A4C72}"/>
                </c:ext>
              </c:extLst>
            </c:dLbl>
            <c:dLbl>
              <c:idx val="28"/>
              <c:layout>
                <c:manualLayout>
                  <c:x val="2.2494020044474396E-2"/>
                  <c:y val="-1.918465590072620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99755BD-E0D7-44EF-B13D-21CC2D4DC4E8}" type="CELLRANGE">
                      <a:rPr lang="en-US"/>
                      <a:pPr>
                        <a:defRPr sz="1300" b="1">
                          <a:solidFill>
                            <a:schemeClr val="accent2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B71-4AF5-BB71-A7212F7A4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-v2'!$B$4:$AM$4</c15:sqref>
                  </c15:fullRef>
                </c:ext>
              </c:extLst>
              <c:f>('Chart-Price-BCKQKD -v2'!$B$4:$AC$4,'Chart-Price-BCKQKD -v2'!$AL$4)</c:f>
              <c:numCache>
                <c:formatCode>_(* #,##0_);_(* \(#,##0\);_(* "-"??_);_(@_)</c:formatCode>
                <c:ptCount val="29"/>
                <c:pt idx="0">
                  <c:v>1182.7341298904905</c:v>
                </c:pt>
                <c:pt idx="1">
                  <c:v>1234.9408843493675</c:v>
                </c:pt>
                <c:pt idx="2">
                  <c:v>1226.4048849850465</c:v>
                </c:pt>
                <c:pt idx="3">
                  <c:v>1198.424180913999</c:v>
                </c:pt>
                <c:pt idx="4">
                  <c:v>1204.3691466122179</c:v>
                </c:pt>
                <c:pt idx="5">
                  <c:v>1243.6153117457734</c:v>
                </c:pt>
                <c:pt idx="6">
                  <c:v>1193.5732165230752</c:v>
                </c:pt>
                <c:pt idx="7">
                  <c:v>1207.4818613848522</c:v>
                </c:pt>
                <c:pt idx="8">
                  <c:v>1217.3694497778879</c:v>
                </c:pt>
                <c:pt idx="9">
                  <c:v>1231.9768533370791</c:v>
                </c:pt>
                <c:pt idx="10">
                  <c:v>1321.3232080920304</c:v>
                </c:pt>
                <c:pt idx="11">
                  <c:v>1315.4587327089869</c:v>
                </c:pt>
                <c:pt idx="12">
                  <c:v>1224.782096319489</c:v>
                </c:pt>
                <c:pt idx="13">
                  <c:v>1269.5787015125252</c:v>
                </c:pt>
                <c:pt idx="14">
                  <c:v>1240.8522305246768</c:v>
                </c:pt>
                <c:pt idx="15">
                  <c:v>1235.6657147667627</c:v>
                </c:pt>
                <c:pt idx="16">
                  <c:v>1251.6241756270672</c:v>
                </c:pt>
                <c:pt idx="17">
                  <c:v>1227.1759914472079</c:v>
                </c:pt>
                <c:pt idx="18">
                  <c:v>1210.5468697839228</c:v>
                </c:pt>
                <c:pt idx="19">
                  <c:v>1213.4371426274026</c:v>
                </c:pt>
                <c:pt idx="20">
                  <c:v>1218.3254740739628</c:v>
                </c:pt>
                <c:pt idx="21">
                  <c:v>1222.4027896029575</c:v>
                </c:pt>
                <c:pt idx="22">
                  <c:v>1227.3708118790098</c:v>
                </c:pt>
                <c:pt idx="23">
                  <c:v>1254.4527797599321</c:v>
                </c:pt>
                <c:pt idx="24">
                  <c:v>1117.9149758732146</c:v>
                </c:pt>
                <c:pt idx="25">
                  <c:v>1124.0432602840124</c:v>
                </c:pt>
                <c:pt idx="26">
                  <c:v>1114.9543065541411</c:v>
                </c:pt>
                <c:pt idx="27">
                  <c:v>1150.9453593807511</c:v>
                </c:pt>
                <c:pt idx="28">
                  <c:v>1173.9642665683662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-v2'!$B$7:$AL$7</c15:f>
                <c15:dlblRangeCache>
                  <c:ptCount val="37"/>
                  <c:pt idx="0">
                    <c:v> 1,183 </c:v>
                  </c:pt>
                  <c:pt idx="1">
                    <c:v> 1,235 </c:v>
                  </c:pt>
                  <c:pt idx="2">
                    <c:v> 1,226 </c:v>
                  </c:pt>
                  <c:pt idx="3">
                    <c:v> 1,198 </c:v>
                  </c:pt>
                  <c:pt idx="4">
                    <c:v> 1,204 </c:v>
                  </c:pt>
                  <c:pt idx="5">
                    <c:v> 1,244 </c:v>
                  </c:pt>
                  <c:pt idx="6">
                    <c:v> 1,194 </c:v>
                  </c:pt>
                  <c:pt idx="7">
                    <c:v> 1,207 </c:v>
                  </c:pt>
                  <c:pt idx="8">
                    <c:v> 1,217 </c:v>
                  </c:pt>
                  <c:pt idx="9">
                    <c:v> 1,232 </c:v>
                  </c:pt>
                  <c:pt idx="10">
                    <c:v> 1,321 </c:v>
                  </c:pt>
                  <c:pt idx="11">
                    <c:v> 1,315 </c:v>
                  </c:pt>
                  <c:pt idx="12">
                    <c:v> 1,225 </c:v>
                  </c:pt>
                  <c:pt idx="13">
                    <c:v> 1,270 </c:v>
                  </c:pt>
                  <c:pt idx="14">
                    <c:v> 1,241 </c:v>
                  </c:pt>
                  <c:pt idx="15">
                    <c:v> 1,236 </c:v>
                  </c:pt>
                  <c:pt idx="16">
                    <c:v> 1,252 </c:v>
                  </c:pt>
                  <c:pt idx="17">
                    <c:v> 1,227 </c:v>
                  </c:pt>
                  <c:pt idx="18">
                    <c:v> 1,211 </c:v>
                  </c:pt>
                  <c:pt idx="19">
                    <c:v> 1,213 </c:v>
                  </c:pt>
                  <c:pt idx="20">
                    <c:v> 1,218 </c:v>
                  </c:pt>
                  <c:pt idx="21">
                    <c:v> 1,222 </c:v>
                  </c:pt>
                  <c:pt idx="22">
                    <c:v> 1,227 </c:v>
                  </c:pt>
                  <c:pt idx="23">
                    <c:v> 1,254 </c:v>
                  </c:pt>
                  <c:pt idx="24">
                    <c:v> 1,118 </c:v>
                  </c:pt>
                  <c:pt idx="25">
                    <c:v> 1,124 </c:v>
                  </c:pt>
                  <c:pt idx="26">
                    <c:v> 1,115 </c:v>
                  </c:pt>
                  <c:pt idx="27">
                    <c:v> 1,151 </c:v>
                  </c:pt>
                  <c:pt idx="36">
                    <c:v>Giá thực tế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2B71-4AF5-BB71-A7212F7A4C72}"/>
            </c:ext>
          </c:extLst>
        </c:ser>
        <c:ser>
          <c:idx val="3"/>
          <c:order val="1"/>
          <c:tx>
            <c:strRef>
              <c:f>'Chart-Price-BCKQKD -v2'!$A$5</c:f>
              <c:strCache>
                <c:ptCount val="1"/>
                <c:pt idx="0">
                  <c:v>Giá kế hoạch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349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2B71-4AF5-BB71-A7212F7A4C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31CD2F5-2327-47AF-9899-EF3CDE7B6E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2B71-4AF5-BB71-A7212F7A4C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391FBB-57F5-4DC0-95C3-471AA58F8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2B71-4AF5-BB71-A7212F7A4C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12C3C10-2CE0-48AA-AFF9-A54CBCF287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2B71-4AF5-BB71-A7212F7A4C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45AE24B-AEC3-4AB8-B5BC-DB84800FB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B71-4AF5-BB71-A7212F7A4C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4DCCD68-5660-4F82-BB61-576906A8C5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B71-4AF5-BB71-A7212F7A4C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8A66A95-70A1-49F9-B256-28DB1B0EA5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2B71-4AF5-BB71-A7212F7A4C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1A1B548-D67F-415B-90C7-0AA65E724F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B71-4AF5-BB71-A7212F7A4C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402DED7-A02B-4084-8BFD-2BBEF4D75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B71-4AF5-BB71-A7212F7A4C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E327A66-43DF-4DA7-9FFC-5EA4CF8552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B71-4AF5-BB71-A7212F7A4C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F8BE513-902B-481B-9467-57DB9C42C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B71-4AF5-BB71-A7212F7A4C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3BA8014-7722-4E5D-ADAF-86404DFDC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2B71-4AF5-BB71-A7212F7A4C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B66D643-E54B-48C4-AAED-33BD30B88B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2B71-4AF5-BB71-A7212F7A4C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7B57B7B-7554-40C0-B2D6-474098979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B71-4AF5-BB71-A7212F7A4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F74AB4D-19EE-4815-A416-CC4A64F5D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B71-4AF5-BB71-A7212F7A4C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5B08856-AFB2-4E58-8B41-B74950B41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B71-4AF5-BB71-A7212F7A4C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BC49F65-A6BE-4C8B-B13B-9240F87BBD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B71-4AF5-BB71-A7212F7A4C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1BC18E5-DFB0-42D6-918E-8649D31B74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B71-4AF5-BB71-A7212F7A4C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D973E24-53DC-41E1-87DB-D38DA78159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B71-4AF5-BB71-A7212F7A4C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9A456BE-3967-4EB3-98FB-7067EB77A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B71-4AF5-BB71-A7212F7A4C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7BD06D9-7404-4B78-A69E-23B070B66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B71-4AF5-BB71-A7212F7A4C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DE4C476-9547-42B1-B3EC-43D24BAA29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B71-4AF5-BB71-A7212F7A4C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55A0E93-73C7-4B3D-9F6C-295522F448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B71-4AF5-BB71-A7212F7A4C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4686BF6-7F2C-4A25-AB3B-42AC0D10DB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B71-4AF5-BB71-A7212F7A4C7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E20DE8C-D685-4941-9391-E943F34B09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B71-4AF5-BB71-A7212F7A4C72}"/>
                </c:ext>
              </c:extLst>
            </c:dLbl>
            <c:dLbl>
              <c:idx val="24"/>
              <c:layout>
                <c:manualLayout>
                  <c:x val="-1.7443978290449826E-2"/>
                  <c:y val="-7.2996397219059095E-2"/>
                </c:manualLayout>
              </c:layout>
              <c:tx>
                <c:rich>
                  <a:bodyPr/>
                  <a:lstStyle/>
                  <a:p>
                    <a:fld id="{606CBFBA-82BD-408E-AADD-B193CD3B4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2B71-4AF5-BB71-A7212F7A4C7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E118BB6-904C-405E-89D4-3EF87C526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B71-4AF5-BB71-A7212F7A4C7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AB8E2D1-DD25-40FB-92B2-6D8D103A7F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B71-4AF5-BB71-A7212F7A4C7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C53C63C-AB6A-442C-AD90-047915A42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2B71-4AF5-BB71-A7212F7A4C72}"/>
                </c:ext>
              </c:extLst>
            </c:dLbl>
            <c:dLbl>
              <c:idx val="28"/>
              <c:layout>
                <c:manualLayout>
                  <c:x val="1.7995216035579353E-2"/>
                  <c:y val="2.398081987590731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886CBDD-E0C4-4599-8F51-2187A8221883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solidFill>
                    <a:schemeClr val="accent4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2B71-4AF5-BB71-A7212F7A4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-v2'!$B$5:$AM$5</c15:sqref>
                  </c15:fullRef>
                </c:ext>
              </c:extLst>
              <c:f>('Chart-Price-BCKQKD -v2'!$B$5:$AC$5,'Chart-Price-BCKQKD -v2'!$AL$5)</c:f>
              <c:numCache>
                <c:formatCode>_(* #,##0_);_(* \(#,##0\);_(* "-"??_);_(@_)</c:formatCode>
                <c:ptCount val="29"/>
                <c:pt idx="0">
                  <c:v>1180.9667866323907</c:v>
                </c:pt>
                <c:pt idx="1">
                  <c:v>1199.7013809910641</c:v>
                </c:pt>
                <c:pt idx="2">
                  <c:v>1179.0985801217037</c:v>
                </c:pt>
                <c:pt idx="3">
                  <c:v>1200.4389513108613</c:v>
                </c:pt>
                <c:pt idx="4">
                  <c:v>1207.9269681742044</c:v>
                </c:pt>
                <c:pt idx="5">
                  <c:v>1204.3674796747966</c:v>
                </c:pt>
                <c:pt idx="6">
                  <c:v>1254.6012676056339</c:v>
                </c:pt>
                <c:pt idx="7">
                  <c:v>1259.3826199740597</c:v>
                </c:pt>
                <c:pt idx="8">
                  <c:v>1263.7258939893484</c:v>
                </c:pt>
                <c:pt idx="9">
                  <c:v>1274.3542384562372</c:v>
                </c:pt>
                <c:pt idx="10">
                  <c:v>1261.3793019282402</c:v>
                </c:pt>
                <c:pt idx="11">
                  <c:v>1262.2590667311413</c:v>
                </c:pt>
                <c:pt idx="12">
                  <c:v>1262.3936634028478</c:v>
                </c:pt>
                <c:pt idx="13">
                  <c:v>1262.4865162143126</c:v>
                </c:pt>
                <c:pt idx="14">
                  <c:v>1281.4274794843393</c:v>
                </c:pt>
                <c:pt idx="15">
                  <c:v>1277.287898512589</c:v>
                </c:pt>
                <c:pt idx="16">
                  <c:v>1278.1904921580881</c:v>
                </c:pt>
                <c:pt idx="17">
                  <c:v>1269.824865003445</c:v>
                </c:pt>
                <c:pt idx="18">
                  <c:v>1291.0692763217255</c:v>
                </c:pt>
                <c:pt idx="19">
                  <c:v>1312.723643450312</c:v>
                </c:pt>
                <c:pt idx="20">
                  <c:v>1305.6954905040463</c:v>
                </c:pt>
                <c:pt idx="21">
                  <c:v>1308.2516255567853</c:v>
                </c:pt>
                <c:pt idx="22">
                  <c:v>1318.955257049731</c:v>
                </c:pt>
                <c:pt idx="23">
                  <c:v>1313.8679149899906</c:v>
                </c:pt>
                <c:pt idx="24">
                  <c:v>1120.5942753515076</c:v>
                </c:pt>
                <c:pt idx="25">
                  <c:v>1120.7764032368477</c:v>
                </c:pt>
                <c:pt idx="26">
                  <c:v>1122.2414622465203</c:v>
                </c:pt>
                <c:pt idx="27">
                  <c:v>1121.9134816835192</c:v>
                </c:pt>
                <c:pt idx="28">
                  <c:v>1099.4752120498488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-v2'!$B$8:$AL$8</c15:f>
                <c15:dlblRangeCache>
                  <c:ptCount val="37"/>
                  <c:pt idx="0">
                    <c:v> 1,181 </c:v>
                  </c:pt>
                  <c:pt idx="1">
                    <c:v> 1,200 </c:v>
                  </c:pt>
                  <c:pt idx="2">
                    <c:v> 1,179 </c:v>
                  </c:pt>
                  <c:pt idx="3">
                    <c:v> 1,200 </c:v>
                  </c:pt>
                  <c:pt idx="4">
                    <c:v> 1,208 </c:v>
                  </c:pt>
                  <c:pt idx="5">
                    <c:v> 1,204 </c:v>
                  </c:pt>
                  <c:pt idx="6">
                    <c:v> 1,255 </c:v>
                  </c:pt>
                  <c:pt idx="7">
                    <c:v> 1,259 </c:v>
                  </c:pt>
                  <c:pt idx="8">
                    <c:v> 1,264 </c:v>
                  </c:pt>
                  <c:pt idx="9">
                    <c:v> 1,274 </c:v>
                  </c:pt>
                  <c:pt idx="10">
                    <c:v> 1,261 </c:v>
                  </c:pt>
                  <c:pt idx="11">
                    <c:v> 1,262 </c:v>
                  </c:pt>
                  <c:pt idx="12">
                    <c:v> 1,262 </c:v>
                  </c:pt>
                  <c:pt idx="13">
                    <c:v> 1,262 </c:v>
                  </c:pt>
                  <c:pt idx="14">
                    <c:v> 1,281 </c:v>
                  </c:pt>
                  <c:pt idx="15">
                    <c:v> 1,277 </c:v>
                  </c:pt>
                  <c:pt idx="16">
                    <c:v> 1,278 </c:v>
                  </c:pt>
                  <c:pt idx="17">
                    <c:v> 1,270 </c:v>
                  </c:pt>
                  <c:pt idx="18">
                    <c:v> 1,291 </c:v>
                  </c:pt>
                  <c:pt idx="19">
                    <c:v> 1,313 </c:v>
                  </c:pt>
                  <c:pt idx="20">
                    <c:v> 1,306 </c:v>
                  </c:pt>
                  <c:pt idx="21">
                    <c:v> 1,308 </c:v>
                  </c:pt>
                  <c:pt idx="22">
                    <c:v> 1,319 </c:v>
                  </c:pt>
                  <c:pt idx="23">
                    <c:v> 1,314 </c:v>
                  </c:pt>
                  <c:pt idx="24">
                    <c:v> 1,121 </c:v>
                  </c:pt>
                  <c:pt idx="25">
                    <c:v> 1,121 </c:v>
                  </c:pt>
                  <c:pt idx="26">
                    <c:v> 1,122 </c:v>
                  </c:pt>
                  <c:pt idx="27">
                    <c:v> 1,122 </c:v>
                  </c:pt>
                  <c:pt idx="36">
                    <c:v>Giá kế hoạch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F-2B71-4AF5-BB71-A7212F7A4C72}"/>
            </c:ext>
          </c:extLst>
        </c:ser>
        <c:ser>
          <c:idx val="4"/>
          <c:order val="2"/>
          <c:tx>
            <c:strRef>
              <c:f>'Chart-Price-BCKQKD -v2'!$A$6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Pt>
            <c:idx val="28"/>
            <c:marker>
              <c:symbol val="none"/>
            </c:marker>
            <c:bubble3D val="0"/>
            <c:spPr>
              <a:ln w="349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2B71-4AF5-BB71-A7212F7A4C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9625FA1-F4FA-4755-8CB2-9AF8A640D7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B71-4AF5-BB71-A7212F7A4C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EBE8D8-58EA-49BB-A4EB-8699515EF7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B71-4AF5-BB71-A7212F7A4C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12C51A3-373A-4FB5-A5A6-76020A4E51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B71-4AF5-BB71-A7212F7A4C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4EB7EFA-1224-4E4D-9B18-805795AD06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B71-4AF5-BB71-A7212F7A4C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725340-EE42-4135-B0C4-E536E53C78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B71-4AF5-BB71-A7212F7A4C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9A772C3-7C85-49CD-9B8E-CD52F8C57A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B71-4AF5-BB71-A7212F7A4C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534AAF5-78BA-4998-BCCF-9410C8EF9D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B71-4AF5-BB71-A7212F7A4C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96F4D4C-46E7-4920-90AC-B23C481DDD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B71-4AF5-BB71-A7212F7A4C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CB23B75-EFC6-4BDD-88FC-2D6DB6B8FD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B71-4AF5-BB71-A7212F7A4C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5961806-1B81-4C18-87F5-F9437CBA4E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B71-4AF5-BB71-A7212F7A4C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7F4EA85-C0F8-4180-BA2C-194F010311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B71-4AF5-BB71-A7212F7A4C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A68FE4C-ACC5-4C65-B457-E7C2922A33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B71-4AF5-BB71-A7212F7A4C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1EF0DAD-394E-479E-97FA-A7F0AA0ED7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2B71-4AF5-BB71-A7212F7A4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B4E471F-0FF1-4FFC-A441-30571EB044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B71-4AF5-BB71-A7212F7A4C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B1A7870-7925-4019-8394-79F99B6F16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B71-4AF5-BB71-A7212F7A4C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7D1E55A-35A6-4E79-9000-A22CE8BE8A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B71-4AF5-BB71-A7212F7A4C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14F7A14-8BB3-492F-B437-D2E403359B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B71-4AF5-BB71-A7212F7A4C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05C3DD5-A6FC-451A-898F-B76722D401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B71-4AF5-BB71-A7212F7A4C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60F5FF1-010D-42D4-B073-5B3F65D628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B71-4AF5-BB71-A7212F7A4C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3417F98-F003-4E16-B354-8CD58E9C60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2B71-4AF5-BB71-A7212F7A4C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8FF7536-C0DE-433E-9423-69DC486476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2B71-4AF5-BB71-A7212F7A4C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4EA6272-E5F0-45E5-8DF2-52A06AB9A0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B71-4AF5-BB71-A7212F7A4C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4E411E3-BD93-4382-A2CA-43AB25955E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B71-4AF5-BB71-A7212F7A4C7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2D01483-D410-46A3-AB29-DB4A0ED9D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B71-4AF5-BB71-A7212F7A4C7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9F34515-D215-4F88-A97D-0DA8B176F7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B71-4AF5-BB71-A7212F7A4C7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865FA1D-DF7F-4B97-A999-AF56041581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B71-4AF5-BB71-A7212F7A4C72}"/>
                </c:ext>
              </c:extLst>
            </c:dLbl>
            <c:dLbl>
              <c:idx val="26"/>
              <c:layout>
                <c:manualLayout>
                  <c:x val="-2.4076834221587904E-3"/>
                  <c:y val="4.6279394678788249E-2"/>
                </c:manualLayout>
              </c:layout>
              <c:tx>
                <c:rich>
                  <a:bodyPr/>
                  <a:lstStyle/>
                  <a:p>
                    <a:fld id="{743E3789-8F52-47A0-BFBF-573EBA83D4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2B71-4AF5-BB71-A7212F7A4C7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B7182A1-907D-48F9-A2A1-2C29192A7A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2B71-4AF5-BB71-A7212F7A4C72}"/>
                </c:ext>
              </c:extLst>
            </c:dLbl>
            <c:dLbl>
              <c:idx val="28"/>
              <c:layout>
                <c:manualLayout>
                  <c:x val="1.0122309020013478E-2"/>
                  <c:y val="-3.597122981386163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rgbClr val="FF339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EEC5B9-9ECC-47DA-ABE9-D77BC9BF2A12}" type="CELLRANGE">
                      <a:rPr lang="en-US"/>
                      <a:pPr>
                        <a:defRPr sz="1300" b="1">
                          <a:solidFill>
                            <a:srgbClr val="FF3399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solidFill>
                    <a:srgbClr val="FF3399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3399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03879775662001"/>
                      <c:h val="5.48441350562010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2B71-4AF5-BB71-A7212F7A4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-v2'!$B$6:$AM$6</c15:sqref>
                  </c15:fullRef>
                </c:ext>
              </c:extLst>
              <c:f>('Chart-Price-BCKQKD -v2'!$B$6:$AC$6,'Chart-Price-BCKQKD -v2'!$AL$6)</c:f>
              <c:numCache>
                <c:formatCode>_(* #,##0_);_(* \(#,##0\);_(* "-"??_);_(@_)</c:formatCode>
                <c:ptCount val="29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772.5</c:v>
                </c:pt>
                <c:pt idx="24">
                  <c:v>805</c:v>
                </c:pt>
                <c:pt idx="25">
                  <c:v>840</c:v>
                </c:pt>
                <c:pt idx="26">
                  <c:v>1109</c:v>
                </c:pt>
                <c:pt idx="27">
                  <c:v>1140</c:v>
                </c:pt>
                <c:pt idx="28">
                  <c:v>1140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-v2'!$B$9:$AL$9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773 </c:v>
                  </c:pt>
                  <c:pt idx="24">
                    <c:v> 805 </c:v>
                  </c:pt>
                  <c:pt idx="25">
                    <c:v> 840 </c:v>
                  </c:pt>
                  <c:pt idx="26">
                    <c:v> 1,109 </c:v>
                  </c:pt>
                  <c:pt idx="27">
                    <c:v> 1,140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E-2B71-4AF5-BB71-A7212F7A4C72}"/>
            </c:ext>
          </c:extLst>
        </c:ser>
        <c:ser>
          <c:idx val="5"/>
          <c:order val="5"/>
          <c:tx>
            <c:strRef>
              <c:f>'Chart-Price-BCKQKD -v2'!$A$12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FFB653A-582E-4F29-B923-8EE1933ADB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B71-4AF5-BB71-A7212F7A4C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CC3B54-3DF3-44CA-849E-3B86ACD848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B71-4AF5-BB71-A7212F7A4C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F4EF89A-3B28-43F8-A0A7-5AC4BBE9F4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B71-4AF5-BB71-A7212F7A4C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3988FFE-0ABD-4FEA-A40E-B7697EEB0B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B71-4AF5-BB71-A7212F7A4C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FEF3BA-1AA8-486D-A563-67BEC5902E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B71-4AF5-BB71-A7212F7A4C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7B0FCC-F5A5-49B0-8619-39FCB21AC0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B71-4AF5-BB71-A7212F7A4C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C55DE26-69B1-477F-AE26-BB2533DB3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B71-4AF5-BB71-A7212F7A4C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70B2DC3-BF90-4D94-A2B9-69A7E232CB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2B71-4AF5-BB71-A7212F7A4C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F7A8390-A98C-4C0A-89BA-83AE9AA309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2B71-4AF5-BB71-A7212F7A4C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90BD48F-0640-4DBB-9633-66094F29A9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2B71-4AF5-BB71-A7212F7A4C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D925D6F-6CC3-4442-9346-A9E34672ED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2B71-4AF5-BB71-A7212F7A4C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CC4DB42-CB30-43A9-9592-C9E57E3C6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2B71-4AF5-BB71-A7212F7A4C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6C1711F-45D0-40E7-A51F-8C3F9EED30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2B71-4AF5-BB71-A7212F7A4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23A2A73-8067-4585-ADF8-A492C9E88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2B71-4AF5-BB71-A7212F7A4C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5075930-65ED-48EC-9E95-6348D40502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2B71-4AF5-BB71-A7212F7A4C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74D6FE5-5FF6-4667-B1AC-862834BA6E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2B71-4AF5-BB71-A7212F7A4C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C0253FB-726E-4485-8C15-6A41C37E5F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2B71-4AF5-BB71-A7212F7A4C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C7115E5-6301-4394-AD16-1E2D926B79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2B71-4AF5-BB71-A7212F7A4C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E1CADEB-FE24-455E-84BD-BB99070904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2B71-4AF5-BB71-A7212F7A4C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64109BE-01C7-46E2-8BD8-94BA33C4C6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2B71-4AF5-BB71-A7212F7A4C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C6B12B0-AF8A-4E9A-A93D-727F85F7AD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2B71-4AF5-BB71-A7212F7A4C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C395283-D359-4CF5-B470-AAD5A2BA28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2B71-4AF5-BB71-A7212F7A4C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26EAF6D-33FD-4B72-937E-49104B16AC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2B71-4AF5-BB71-A7212F7A4C7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CB3B069-7A7D-4DFE-9571-00CB70D43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2B71-4AF5-BB71-A7212F7A4C7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759774E-3F8C-4FFE-9FCD-FE2F664B65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2B71-4AF5-BB71-A7212F7A4C7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FC748E5-CD27-4666-91EA-80E87ACCFE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2B71-4AF5-BB71-A7212F7A4C7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1DA715B-BEA8-4720-9675-73B6347374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2B71-4AF5-BB71-A7212F7A4C72}"/>
                </c:ext>
              </c:extLst>
            </c:dLbl>
            <c:dLbl>
              <c:idx val="27"/>
              <c:layout>
                <c:manualLayout>
                  <c:x val="-2.3322132375419354E-2"/>
                  <c:y val="-5.5155885714587877E-2"/>
                </c:manualLayout>
              </c:layout>
              <c:tx>
                <c:rich>
                  <a:bodyPr/>
                  <a:lstStyle/>
                  <a:p>
                    <a:fld id="{63AD998B-481B-4B7C-93D3-227AEF9B67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A-2B71-4AF5-BB71-A7212F7A4C7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2B71-4AF5-BB71-A7212F7A4C72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-v2'!$B$12:$AM$12</c15:sqref>
                  </c15:fullRef>
                </c:ext>
              </c:extLst>
              <c:f>('Chart-Price-BCKQKD -v2'!$B$12:$AC$12,'Chart-Price-BCKQKD -v2'!$AL$12)</c:f>
              <c:numCache>
                <c:formatCode>_(* #,##0_);_(* \(#,##0\);_(* "-"??_);_(@_)</c:formatCode>
                <c:ptCount val="29"/>
                <c:pt idx="0">
                  <c:v>1056.3670649452451</c:v>
                </c:pt>
                <c:pt idx="1">
                  <c:v>1089.1371088413505</c:v>
                </c:pt>
                <c:pt idx="2">
                  <c:v>1083.2024424925232</c:v>
                </c:pt>
                <c:pt idx="3">
                  <c:v>1069.2120904569995</c:v>
                </c:pt>
                <c:pt idx="4">
                  <c:v>1073.1845733061091</c:v>
                </c:pt>
                <c:pt idx="5">
                  <c:v>1096.8076558728867</c:v>
                </c:pt>
                <c:pt idx="6">
                  <c:v>1070.5366082615376</c:v>
                </c:pt>
                <c:pt idx="7">
                  <c:v>1068.740930692426</c:v>
                </c:pt>
                <c:pt idx="8">
                  <c:v>1048.6847248889439</c:v>
                </c:pt>
                <c:pt idx="9">
                  <c:v>1047.2384266685394</c:v>
                </c:pt>
                <c:pt idx="10">
                  <c:v>1086.6616040460153</c:v>
                </c:pt>
                <c:pt idx="11">
                  <c:v>1072.7293663544933</c:v>
                </c:pt>
                <c:pt idx="12">
                  <c:v>1026.3910481597445</c:v>
                </c:pt>
                <c:pt idx="13">
                  <c:v>1054.7893507562626</c:v>
                </c:pt>
                <c:pt idx="14">
                  <c:v>1031.9261152623385</c:v>
                </c:pt>
                <c:pt idx="15">
                  <c:v>1000.3328573833813</c:v>
                </c:pt>
                <c:pt idx="16">
                  <c:v>1016.8120878135336</c:v>
                </c:pt>
                <c:pt idx="17">
                  <c:v>1017.337995723604</c:v>
                </c:pt>
                <c:pt idx="18">
                  <c:v>1006.2734348919614</c:v>
                </c:pt>
                <c:pt idx="19">
                  <c:v>1004.2185713137013</c:v>
                </c:pt>
                <c:pt idx="20">
                  <c:v>1000.6627370369814</c:v>
                </c:pt>
                <c:pt idx="21">
                  <c:v>997.20139480147873</c:v>
                </c:pt>
                <c:pt idx="22">
                  <c:v>998.6854059395049</c:v>
                </c:pt>
                <c:pt idx="23">
                  <c:v>1013.4763898799661</c:v>
                </c:pt>
                <c:pt idx="24">
                  <c:v>961.45748793660732</c:v>
                </c:pt>
                <c:pt idx="25">
                  <c:v>982.02163014200619</c:v>
                </c:pt>
                <c:pt idx="26">
                  <c:v>1111.9771532770706</c:v>
                </c:pt>
                <c:pt idx="27">
                  <c:v>1145.4726796903756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-v2'!$B$10:$AM$10</c15:f>
                <c15:dlblRangeCache>
                  <c:ptCount val="38"/>
                  <c:pt idx="0">
                    <c:v> 253 </c:v>
                  </c:pt>
                  <c:pt idx="1">
                    <c:v> 292 </c:v>
                  </c:pt>
                  <c:pt idx="2">
                    <c:v> 286 </c:v>
                  </c:pt>
                  <c:pt idx="3">
                    <c:v> 258 </c:v>
                  </c:pt>
                  <c:pt idx="4">
                    <c:v> 262 </c:v>
                  </c:pt>
                  <c:pt idx="5">
                    <c:v> 294 </c:v>
                  </c:pt>
                  <c:pt idx="6">
                    <c:v> 246 </c:v>
                  </c:pt>
                  <c:pt idx="7">
                    <c:v> 277 </c:v>
                  </c:pt>
                  <c:pt idx="8">
                    <c:v> 337 </c:v>
                  </c:pt>
                  <c:pt idx="9">
                    <c:v> 369 </c:v>
                  </c:pt>
                  <c:pt idx="10">
                    <c:v> 469 </c:v>
                  </c:pt>
                  <c:pt idx="11">
                    <c:v> 485 </c:v>
                  </c:pt>
                  <c:pt idx="12">
                    <c:v> 397 </c:v>
                  </c:pt>
                  <c:pt idx="13">
                    <c:v> 430 </c:v>
                  </c:pt>
                  <c:pt idx="14">
                    <c:v> 418 </c:v>
                  </c:pt>
                  <c:pt idx="15">
                    <c:v> 471 </c:v>
                  </c:pt>
                  <c:pt idx="16">
                    <c:v> 470 </c:v>
                  </c:pt>
                  <c:pt idx="17">
                    <c:v> 420 </c:v>
                  </c:pt>
                  <c:pt idx="18">
                    <c:v> 409 </c:v>
                  </c:pt>
                  <c:pt idx="19">
                    <c:v> 418 </c:v>
                  </c:pt>
                  <c:pt idx="20">
                    <c:v> 435 </c:v>
                  </c:pt>
                  <c:pt idx="21">
                    <c:v> 450 </c:v>
                  </c:pt>
                  <c:pt idx="22">
                    <c:v> 457 </c:v>
                  </c:pt>
                  <c:pt idx="23">
                    <c:v> 482 </c:v>
                  </c:pt>
                  <c:pt idx="24">
                    <c:v> 313 </c:v>
                  </c:pt>
                  <c:pt idx="25">
                    <c:v> 284 </c:v>
                  </c:pt>
                  <c:pt idx="26">
                    <c:v> 6 </c:v>
                  </c:pt>
                  <c:pt idx="27">
                    <c:v> 11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C-2B71-4AF5-BB71-A7212F7A4C72}"/>
            </c:ext>
          </c:extLst>
        </c:ser>
        <c:ser>
          <c:idx val="6"/>
          <c:order val="6"/>
          <c:tx>
            <c:strRef>
              <c:f>'Chart-Price-BCKQKD -v2'!$A$12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935662C-11B2-4BCB-B2E5-04556BACB6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2B71-4AF5-BB71-A7212F7A4C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54442A-C636-4E2F-9063-59FCF7E3D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2B71-4AF5-BB71-A7212F7A4C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B45799-0E73-4ECE-834E-0D45A08E0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2B71-4AF5-BB71-A7212F7A4C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0B16BBE-48E6-4BE8-BC98-71F1D19B75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2B71-4AF5-BB71-A7212F7A4C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264715-39C5-4FC6-86D0-CD6105143E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2B71-4AF5-BB71-A7212F7A4C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4CB8D6-D445-47CA-AC6C-C508D42B0E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2B71-4AF5-BB71-A7212F7A4C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2D3F50-303B-46D5-81BB-19312DBB6F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2B71-4AF5-BB71-A7212F7A4C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F531B22-98FD-4C84-A217-B4501EDF0A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2B71-4AF5-BB71-A7212F7A4C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26E92DF-B069-4AD3-B08A-A7A694E6D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2B71-4AF5-BB71-A7212F7A4C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FB25797-86A5-433F-AAD7-565430C06E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2B71-4AF5-BB71-A7212F7A4C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F19E9EC-5B1F-4DB9-96DA-21FD2D7597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2B71-4AF5-BB71-A7212F7A4C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3A7E9BF-07B8-47E9-B519-7029DB332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2B71-4AF5-BB71-A7212F7A4C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D44FB8D-62CB-4B43-B1B4-37FB19C454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2B71-4AF5-BB71-A7212F7A4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2619B8F-4578-45C9-873B-B5C086147C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2B71-4AF5-BB71-A7212F7A4C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F7A5EDD-F249-41D8-9750-65A1DA597C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2B71-4AF5-BB71-A7212F7A4C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5FE14FE-251E-4080-A698-11790CCDE8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2B71-4AF5-BB71-A7212F7A4C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C51C589-71D4-4C70-A137-3F7CEB3D82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2B71-4AF5-BB71-A7212F7A4C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1F96215-857D-4C3D-8816-6E0D4209AA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2B71-4AF5-BB71-A7212F7A4C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E991EE8-C504-46F5-8475-5E999FD04A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2B71-4AF5-BB71-A7212F7A4C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A9AA0C4-955F-4FF1-83A8-6A1849E01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2B71-4AF5-BB71-A7212F7A4C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5677E77-160A-442D-A9E4-F4AEE783D7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2B71-4AF5-BB71-A7212F7A4C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084CC88-4F48-471D-BEDC-03E64264B4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2B71-4AF5-BB71-A7212F7A4C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DD5FB59-F10D-4E15-8014-8E38A915E1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2B71-4AF5-BB71-A7212F7A4C7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74743B7-4266-4DFC-A38A-DF87045F54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2B71-4AF5-BB71-A7212F7A4C7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A9CCF02-CCC8-4D33-879B-DCBDD497C5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2B71-4AF5-BB71-A7212F7A4C7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D71C76A-20EF-44B6-ACAE-964673A5E9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2B71-4AF5-BB71-A7212F7A4C72}"/>
                </c:ext>
              </c:extLst>
            </c:dLbl>
            <c:dLbl>
              <c:idx val="26"/>
              <c:layout>
                <c:manualLayout>
                  <c:x val="-1.4145293098008887E-2"/>
                  <c:y val="6.9262650212928906E-2"/>
                </c:manualLayout>
              </c:layout>
              <c:tx>
                <c:rich>
                  <a:bodyPr/>
                  <a:lstStyle/>
                  <a:p>
                    <a:fld id="{EF3451FC-1CF8-40BF-9A63-52BB2BCA10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7-2B71-4AF5-BB71-A7212F7A4C72}"/>
                </c:ext>
              </c:extLst>
            </c:dLbl>
            <c:dLbl>
              <c:idx val="27"/>
              <c:layout>
                <c:manualLayout>
                  <c:x val="-2.2482131143944786E-2"/>
                  <c:y val="-2.4262547303111375E-2"/>
                </c:manualLayout>
              </c:layout>
              <c:tx>
                <c:rich>
                  <a:bodyPr/>
                  <a:lstStyle/>
                  <a:p>
                    <a:fld id="{CCB221B1-C7F2-4AC1-A200-0DA1390DC3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8-2B71-4AF5-BB71-A7212F7A4C7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2B71-4AF5-BB71-A7212F7A4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'Chart-Price-BCKQKD -v2'!$B$2:$AM$3</c15:sqref>
                  </c15:fullRef>
                </c:ext>
              </c:extLst>
              <c:f>'Chart-Price-BCKQKD -v2'!$B$2:$AM$3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  <c:pt idx="28">
                    <c:v>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'Chart-Price-BCKQKD -v2'!$B$12:$AM$12</c15:sqref>
                  </c15:fullRef>
                </c:ext>
              </c:extLst>
              <c:f>('Chart-Price-BCKQKD -v2'!$B$12:$AC$12,'Chart-Price-BCKQKD -v2'!$AL$12)</c:f>
              <c:numCache>
                <c:formatCode>_(* #,##0_);_(* \(#,##0\);_(* "-"??_);_(@_)</c:formatCode>
                <c:ptCount val="29"/>
                <c:pt idx="0">
                  <c:v>1056.3670649452451</c:v>
                </c:pt>
                <c:pt idx="1">
                  <c:v>1089.1371088413505</c:v>
                </c:pt>
                <c:pt idx="2">
                  <c:v>1083.2024424925232</c:v>
                </c:pt>
                <c:pt idx="3">
                  <c:v>1069.2120904569995</c:v>
                </c:pt>
                <c:pt idx="4">
                  <c:v>1073.1845733061091</c:v>
                </c:pt>
                <c:pt idx="5">
                  <c:v>1096.8076558728867</c:v>
                </c:pt>
                <c:pt idx="6">
                  <c:v>1070.5366082615376</c:v>
                </c:pt>
                <c:pt idx="7">
                  <c:v>1068.740930692426</c:v>
                </c:pt>
                <c:pt idx="8">
                  <c:v>1048.6847248889439</c:v>
                </c:pt>
                <c:pt idx="9">
                  <c:v>1047.2384266685394</c:v>
                </c:pt>
                <c:pt idx="10">
                  <c:v>1086.6616040460153</c:v>
                </c:pt>
                <c:pt idx="11">
                  <c:v>1072.7293663544933</c:v>
                </c:pt>
                <c:pt idx="12">
                  <c:v>1026.3910481597445</c:v>
                </c:pt>
                <c:pt idx="13">
                  <c:v>1054.7893507562626</c:v>
                </c:pt>
                <c:pt idx="14">
                  <c:v>1031.9261152623385</c:v>
                </c:pt>
                <c:pt idx="15">
                  <c:v>1000.3328573833813</c:v>
                </c:pt>
                <c:pt idx="16">
                  <c:v>1016.8120878135336</c:v>
                </c:pt>
                <c:pt idx="17">
                  <c:v>1017.337995723604</c:v>
                </c:pt>
                <c:pt idx="18">
                  <c:v>1006.2734348919614</c:v>
                </c:pt>
                <c:pt idx="19">
                  <c:v>1004.2185713137013</c:v>
                </c:pt>
                <c:pt idx="20">
                  <c:v>1000.6627370369814</c:v>
                </c:pt>
                <c:pt idx="21">
                  <c:v>997.20139480147873</c:v>
                </c:pt>
                <c:pt idx="22">
                  <c:v>998.6854059395049</c:v>
                </c:pt>
                <c:pt idx="23">
                  <c:v>1013.4763898799661</c:v>
                </c:pt>
                <c:pt idx="24">
                  <c:v>961.45748793660732</c:v>
                </c:pt>
                <c:pt idx="25">
                  <c:v>982.02163014200619</c:v>
                </c:pt>
                <c:pt idx="26">
                  <c:v>1111.9771532770706</c:v>
                </c:pt>
                <c:pt idx="27">
                  <c:v>1145.4726796903756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 -v2'!$B$11:$AM$11</c15:f>
                <c15:dlblRangeCache>
                  <c:ptCount val="38"/>
                  <c:pt idx="0">
                    <c:v>27.2%</c:v>
                  </c:pt>
                  <c:pt idx="1">
                    <c:v>30.9%</c:v>
                  </c:pt>
                  <c:pt idx="2">
                    <c:v>30.5%</c:v>
                  </c:pt>
                  <c:pt idx="3">
                    <c:v>27.5%</c:v>
                  </c:pt>
                  <c:pt idx="4">
                    <c:v>27.9%</c:v>
                  </c:pt>
                  <c:pt idx="5">
                    <c:v>30.9%</c:v>
                  </c:pt>
                  <c:pt idx="6">
                    <c:v>26.0%</c:v>
                  </c:pt>
                  <c:pt idx="7">
                    <c:v>29.8%</c:v>
                  </c:pt>
                  <c:pt idx="8">
                    <c:v>38.3%</c:v>
                  </c:pt>
                  <c:pt idx="9">
                    <c:v>42.8%</c:v>
                  </c:pt>
                  <c:pt idx="10">
                    <c:v>55.1%</c:v>
                  </c:pt>
                  <c:pt idx="11">
                    <c:v>58.5%</c:v>
                  </c:pt>
                  <c:pt idx="12">
                    <c:v>47.9%</c:v>
                  </c:pt>
                  <c:pt idx="13">
                    <c:v>51.1%</c:v>
                  </c:pt>
                  <c:pt idx="14">
                    <c:v>50.8%</c:v>
                  </c:pt>
                  <c:pt idx="15">
                    <c:v>61.5%</c:v>
                  </c:pt>
                  <c:pt idx="16">
                    <c:v>60.1%</c:v>
                  </c:pt>
                  <c:pt idx="17">
                    <c:v>52.0%</c:v>
                  </c:pt>
                  <c:pt idx="18">
                    <c:v>50.9%</c:v>
                  </c:pt>
                  <c:pt idx="19">
                    <c:v>52.6%</c:v>
                  </c:pt>
                  <c:pt idx="20">
                    <c:v>55.6%</c:v>
                  </c:pt>
                  <c:pt idx="21">
                    <c:v>58.3%</c:v>
                  </c:pt>
                  <c:pt idx="22">
                    <c:v>59.4%</c:v>
                  </c:pt>
                  <c:pt idx="23">
                    <c:v>62.4%</c:v>
                  </c:pt>
                  <c:pt idx="24">
                    <c:v>38.9%</c:v>
                  </c:pt>
                  <c:pt idx="25">
                    <c:v>33.8%</c:v>
                  </c:pt>
                  <c:pt idx="26">
                    <c:v>0.5%</c:v>
                  </c:pt>
                  <c:pt idx="27">
                    <c:v>1.0%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A-2B71-4AF5-BB71-A7212F7A4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  <c:max val="1350"/>
          <c:min val="7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1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image" Target="../media/image9.png"/><Relationship Id="rId17" Type="http://schemas.openxmlformats.org/officeDocument/2006/relationships/chart" Target="../charts/chart15.xml"/><Relationship Id="rId2" Type="http://schemas.openxmlformats.org/officeDocument/2006/relationships/chart" Target="../charts/chart1.xml"/><Relationship Id="rId16" Type="http://schemas.openxmlformats.org/officeDocument/2006/relationships/chart" Target="../charts/chart14.xml"/><Relationship Id="rId1" Type="http://schemas.openxmlformats.org/officeDocument/2006/relationships/image" Target="../media/image8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3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14</xdr:col>
      <xdr:colOff>239112</xdr:colOff>
      <xdr:row>2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D4E41-2CB4-33D3-93A2-E981F41C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"/>
          <a:ext cx="8773512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967740</xdr:colOff>
      <xdr:row>4</xdr:row>
      <xdr:rowOff>30480</xdr:rowOff>
    </xdr:from>
    <xdr:to>
      <xdr:col>6</xdr:col>
      <xdr:colOff>157555</xdr:colOff>
      <xdr:row>4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53650F-0E03-8FB4-635E-EEBA5C42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640" y="30480"/>
          <a:ext cx="1150620" cy="251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1011667</xdr:colOff>
      <xdr:row>5</xdr:row>
      <xdr:rowOff>64098</xdr:rowOff>
    </xdr:from>
    <xdr:to>
      <xdr:col>9</xdr:col>
      <xdr:colOff>2168139</xdr:colOff>
      <xdr:row>5</xdr:row>
      <xdr:rowOff>338418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0B969-6A88-4878-97E7-870BF3F8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27" y="86958"/>
          <a:ext cx="1150757" cy="251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68580</xdr:rowOff>
    </xdr:from>
    <xdr:to>
      <xdr:col>1</xdr:col>
      <xdr:colOff>613547</xdr:colOff>
      <xdr:row>0</xdr:row>
      <xdr:rowOff>339090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8775E-D194-4226-B744-D7306A7B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twoCellAnchor>
  <xdr:oneCellAnchor>
    <xdr:from>
      <xdr:col>0</xdr:col>
      <xdr:colOff>76200</xdr:colOff>
      <xdr:row>35</xdr:row>
      <xdr:rowOff>68580</xdr:rowOff>
    </xdr:from>
    <xdr:ext cx="1150757" cy="251460"/>
    <xdr:pic>
      <xdr:nvPicPr>
        <xdr:cNvPr id="20" name="Picture 19">
          <a:extLst>
            <a:ext uri="{FF2B5EF4-FFF2-40B4-BE49-F238E27FC236}">
              <a16:creationId xmlns:a16="http://schemas.microsoft.com/office/drawing/2014/main" id="{47D492B9-E014-4AF4-B459-040EDD2E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70</xdr:row>
      <xdr:rowOff>68580</xdr:rowOff>
    </xdr:from>
    <xdr:ext cx="1150757" cy="251460"/>
    <xdr:pic>
      <xdr:nvPicPr>
        <xdr:cNvPr id="21" name="Picture 20">
          <a:extLst>
            <a:ext uri="{FF2B5EF4-FFF2-40B4-BE49-F238E27FC236}">
              <a16:creationId xmlns:a16="http://schemas.microsoft.com/office/drawing/2014/main" id="{AF5AAD02-1944-4AB0-9A34-D5AD25C4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105</xdr:row>
      <xdr:rowOff>68580</xdr:rowOff>
    </xdr:from>
    <xdr:ext cx="1150757" cy="251460"/>
    <xdr:pic>
      <xdr:nvPicPr>
        <xdr:cNvPr id="22" name="Picture 21">
          <a:extLst>
            <a:ext uri="{FF2B5EF4-FFF2-40B4-BE49-F238E27FC236}">
              <a16:creationId xmlns:a16="http://schemas.microsoft.com/office/drawing/2014/main" id="{ADCC20EB-E034-4F58-81E9-9EEDE61D3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140</xdr:row>
      <xdr:rowOff>68580</xdr:rowOff>
    </xdr:from>
    <xdr:ext cx="1150757" cy="251460"/>
    <xdr:pic>
      <xdr:nvPicPr>
        <xdr:cNvPr id="23" name="Picture 22">
          <a:extLst>
            <a:ext uri="{FF2B5EF4-FFF2-40B4-BE49-F238E27FC236}">
              <a16:creationId xmlns:a16="http://schemas.microsoft.com/office/drawing/2014/main" id="{7D4CADCE-32E3-437F-AE74-8A3D9311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</xdr:row>
      <xdr:rowOff>17584</xdr:rowOff>
    </xdr:from>
    <xdr:to>
      <xdr:col>14</xdr:col>
      <xdr:colOff>533399</xdr:colOff>
      <xdr:row>34</xdr:row>
      <xdr:rowOff>124264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2B9453-A327-41B0-8231-756F3B5E3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141</xdr:row>
      <xdr:rowOff>0</xdr:rowOff>
    </xdr:from>
    <xdr:to>
      <xdr:col>14</xdr:col>
      <xdr:colOff>534419</xdr:colOff>
      <xdr:row>173</xdr:row>
      <xdr:rowOff>166059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A19FBF-2508-496E-A72D-4A4E3D72E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14</xdr:col>
      <xdr:colOff>534419</xdr:colOff>
      <xdr:row>138</xdr:row>
      <xdr:rowOff>166059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3CB963-E395-4528-816A-B3DB74B5C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14</xdr:col>
      <xdr:colOff>534419</xdr:colOff>
      <xdr:row>103</xdr:row>
      <xdr:rowOff>166059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9F6E011-8953-450C-889F-E4FF65874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14</xdr:col>
      <xdr:colOff>533399</xdr:colOff>
      <xdr:row>69</xdr:row>
      <xdr:rowOff>106679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8D5D27-4923-4165-99EF-8085BB94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361949</xdr:colOff>
      <xdr:row>6</xdr:row>
      <xdr:rowOff>127634</xdr:rowOff>
    </xdr:from>
    <xdr:to>
      <xdr:col>50</xdr:col>
      <xdr:colOff>572642</xdr:colOff>
      <xdr:row>36</xdr:row>
      <xdr:rowOff>100964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D44D8D1-10A8-4432-B019-C56852A8C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333374</xdr:colOff>
      <xdr:row>37</xdr:row>
      <xdr:rowOff>85725</xdr:rowOff>
    </xdr:from>
    <xdr:to>
      <xdr:col>49</xdr:col>
      <xdr:colOff>534542</xdr:colOff>
      <xdr:row>68</xdr:row>
      <xdr:rowOff>78105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AB55F1-E899-4A19-AAB0-E2193A708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400049</xdr:colOff>
      <xdr:row>70</xdr:row>
      <xdr:rowOff>276225</xdr:rowOff>
    </xdr:from>
    <xdr:to>
      <xdr:col>50</xdr:col>
      <xdr:colOff>601217</xdr:colOff>
      <xdr:row>101</xdr:row>
      <xdr:rowOff>68580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5E0D67C-F770-42BB-B3F3-F36755B44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613409</xdr:colOff>
      <xdr:row>105</xdr:row>
      <xdr:rowOff>278130</xdr:rowOff>
    </xdr:from>
    <xdr:to>
      <xdr:col>52</xdr:col>
      <xdr:colOff>165308</xdr:colOff>
      <xdr:row>136</xdr:row>
      <xdr:rowOff>61184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13543F7-5B2B-4825-A962-FF31FAC25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219074</xdr:colOff>
      <xdr:row>144</xdr:row>
      <xdr:rowOff>148590</xdr:rowOff>
    </xdr:from>
    <xdr:to>
      <xdr:col>53</xdr:col>
      <xdr:colOff>418337</xdr:colOff>
      <xdr:row>175</xdr:row>
      <xdr:rowOff>127635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2F0F237-C6FA-4F4B-9D5F-915693E54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182880</xdr:colOff>
      <xdr:row>139</xdr:row>
      <xdr:rowOff>99060</xdr:rowOff>
    </xdr:from>
    <xdr:to>
      <xdr:col>17</xdr:col>
      <xdr:colOff>499344</xdr:colOff>
      <xdr:row>143</xdr:row>
      <xdr:rowOff>133490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ED52ABF-4BEE-4807-AC80-842133332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736580" y="27371040"/>
          <a:ext cx="1688064" cy="994550"/>
        </a:xfrm>
        <a:prstGeom prst="rect">
          <a:avLst/>
        </a:prstGeom>
      </xdr:spPr>
    </xdr:pic>
    <xdr:clientData/>
  </xdr:twoCellAnchor>
  <xdr:twoCellAnchor>
    <xdr:from>
      <xdr:col>15</xdr:col>
      <xdr:colOff>152400</xdr:colOff>
      <xdr:row>2</xdr:row>
      <xdr:rowOff>28575</xdr:rowOff>
    </xdr:from>
    <xdr:to>
      <xdr:col>32</xdr:col>
      <xdr:colOff>359283</xdr:colOff>
      <xdr:row>33</xdr:row>
      <xdr:rowOff>13335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476BA8-EF1B-40DD-813A-5D5FC9C51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628650</xdr:colOff>
      <xdr:row>36</xdr:row>
      <xdr:rowOff>66675</xdr:rowOff>
    </xdr:from>
    <xdr:to>
      <xdr:col>32</xdr:col>
      <xdr:colOff>144018</xdr:colOff>
      <xdr:row>67</xdr:row>
      <xdr:rowOff>59055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2A85B3-B943-43EE-86AD-947A5DEB0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514350</xdr:colOff>
      <xdr:row>70</xdr:row>
      <xdr:rowOff>304800</xdr:rowOff>
    </xdr:from>
    <xdr:to>
      <xdr:col>33</xdr:col>
      <xdr:colOff>29718</xdr:colOff>
      <xdr:row>101</xdr:row>
      <xdr:rowOff>97155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42CFCA-5039-4CAC-9688-12B45E621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651510</xdr:colOff>
      <xdr:row>107</xdr:row>
      <xdr:rowOff>116205</xdr:rowOff>
    </xdr:from>
    <xdr:to>
      <xdr:col>33</xdr:col>
      <xdr:colOff>322752</xdr:colOff>
      <xdr:row>138</xdr:row>
      <xdr:rowOff>41237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BF1FF44-6970-474E-B9B7-7E65C9064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182880</xdr:colOff>
      <xdr:row>145</xdr:row>
      <xdr:rowOff>154305</xdr:rowOff>
    </xdr:from>
    <xdr:to>
      <xdr:col>32</xdr:col>
      <xdr:colOff>376428</xdr:colOff>
      <xdr:row>176</xdr:row>
      <xdr:rowOff>150494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B4C62D6-0D80-450E-BB5F-190AC645C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0.45457</cdr:x>
      <cdr:y>0.4312</cdr:y>
    </cdr:from>
    <cdr:to>
      <cdr:x>0.67062</cdr:x>
      <cdr:y>0.47642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53D74D-4493-6052-037B-C0C01A127661}"/>
            </a:ext>
          </a:extLst>
        </cdr:cNvPr>
        <cdr:cNvSpPr txBox="1"/>
      </cdr:nvSpPr>
      <cdr:spPr>
        <a:xfrm xmlns:a="http://schemas.openxmlformats.org/drawingml/2006/main">
          <a:off x="5391150" y="2543175"/>
          <a:ext cx="25622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1" kern="1200">
              <a:solidFill>
                <a:srgbClr val="007DC4"/>
              </a:solidFill>
            </a:rPr>
            <a:t>(Chỉ</a:t>
          </a:r>
          <a:r>
            <a:rPr lang="en-US" sz="1100" i="1" kern="1200" baseline="0">
              <a:solidFill>
                <a:srgbClr val="007DC4"/>
              </a:solidFill>
            </a:rPr>
            <a:t> ký hợp đồng sản lượng cả năm 2025)</a:t>
          </a:r>
          <a:endParaRPr lang="en-US" sz="1100" i="1" kern="1200">
            <a:solidFill>
              <a:srgbClr val="007DC4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9.45725E-8</cdr:x>
      <cdr:y>0.79966</cdr:y>
    </cdr:from>
    <cdr:to>
      <cdr:x>0.44229</cdr:x>
      <cdr:y>0.89101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6282FE3-ECAE-3F59-56B5-F533BC61BDD9}"/>
            </a:ext>
          </a:extLst>
        </cdr:cNvPr>
        <cdr:cNvSpPr txBox="1"/>
      </cdr:nvSpPr>
      <cdr:spPr>
        <a:xfrm xmlns:a="http://schemas.openxmlformats.org/drawingml/2006/main">
          <a:off x="1" y="4478655"/>
          <a:ext cx="4676774" cy="511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i="1" kern="1200"/>
            <a:t>(*):</a:t>
          </a:r>
          <a:r>
            <a:rPr lang="en-US" sz="900" i="1" kern="1200" baseline="0"/>
            <a:t> Đơn giá vốn này đã bao gồm các chi phí phân bổ: chi phí bán hàng, chi phí quản lý doanh nghiệp</a:t>
          </a:r>
        </a:p>
        <a:p xmlns:a="http://schemas.openxmlformats.org/drawingml/2006/main">
          <a:r>
            <a:rPr lang="en-US" sz="900" i="1" kern="1200" baseline="0"/>
            <a:t>.chi phí lãi vay</a:t>
          </a:r>
        </a:p>
        <a:p xmlns:a="http://schemas.openxmlformats.org/drawingml/2006/main">
          <a:r>
            <a:rPr lang="en-US" sz="900" i="1" kern="1200" baseline="0"/>
            <a:t>Gía vốn tháng hiện tại tạm cho bằng với tháng trước</a:t>
          </a:r>
          <a:endParaRPr lang="en-US" sz="900" i="1" kern="12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0.45457</cdr:x>
      <cdr:y>0.4312</cdr:y>
    </cdr:from>
    <cdr:to>
      <cdr:x>0.67062</cdr:x>
      <cdr:y>0.47642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53D74D-4493-6052-037B-C0C01A127661}"/>
            </a:ext>
          </a:extLst>
        </cdr:cNvPr>
        <cdr:cNvSpPr txBox="1"/>
      </cdr:nvSpPr>
      <cdr:spPr>
        <a:xfrm xmlns:a="http://schemas.openxmlformats.org/drawingml/2006/main">
          <a:off x="5391150" y="2543175"/>
          <a:ext cx="25622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1" kern="1200">
              <a:solidFill>
                <a:srgbClr val="007DC4"/>
              </a:solidFill>
            </a:rPr>
            <a:t>(Chỉ</a:t>
          </a:r>
          <a:r>
            <a:rPr lang="en-US" sz="1100" i="1" kern="1200" baseline="0">
              <a:solidFill>
                <a:srgbClr val="007DC4"/>
              </a:solidFill>
            </a:rPr>
            <a:t> ký hợp đồng sản lượng cả năm 2025)</a:t>
          </a:r>
          <a:endParaRPr lang="en-US" sz="1100" i="1" kern="1200">
            <a:solidFill>
              <a:srgbClr val="007DC4"/>
            </a:solidFill>
          </a:endParaRPr>
        </a:p>
      </cdr:txBody>
    </cdr:sp>
  </cdr:relSizeAnchor>
  <cdr:relSizeAnchor xmlns:cdr="http://schemas.openxmlformats.org/drawingml/2006/chartDrawing">
    <cdr:from>
      <cdr:x>0</cdr:x>
      <cdr:y>0.81634</cdr:y>
    </cdr:from>
    <cdr:to>
      <cdr:x>0.39354</cdr:x>
      <cdr:y>0.88902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AD1C851-EFB9-9049-3004-66A31CE2F820}"/>
            </a:ext>
          </a:extLst>
        </cdr:cNvPr>
        <cdr:cNvSpPr txBox="1"/>
      </cdr:nvSpPr>
      <cdr:spPr>
        <a:xfrm xmlns:a="http://schemas.openxmlformats.org/drawingml/2006/main">
          <a:off x="0" y="4688885"/>
          <a:ext cx="4136510" cy="4174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(*):</a:t>
          </a:r>
          <a:r>
            <a:rPr lang="en-US" sz="900" i="1" kern="1200" baseline="0"/>
            <a:t> Đơn giá vốn này đã bao gồm các chi phí phân bổ: chi phí bán hàng,</a:t>
          </a:r>
        </a:p>
        <a:p xmlns:a="http://schemas.openxmlformats.org/drawingml/2006/main">
          <a:r>
            <a:rPr lang="en-US" sz="900" i="1" kern="1200" baseline="0"/>
            <a:t> chi phí quản lý doanh nghiệp, chi phí lãi vay</a:t>
          </a:r>
        </a:p>
        <a:p xmlns:a="http://schemas.openxmlformats.org/drawingml/2006/main">
          <a:r>
            <a:rPr lang="en-US" sz="900" i="1" kern="1200" baseline="0"/>
            <a:t>Gía vốn tháng hiện tại tạm cho bằng với tháng trước</a:t>
          </a:r>
          <a:endParaRPr lang="en-US" sz="900" i="1" kern="12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0.00056</cdr:x>
      <cdr:y>0.80697</cdr:y>
    </cdr:from>
    <cdr:to>
      <cdr:x>0.33323</cdr:x>
      <cdr:y>0.87965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FF64204-14E5-E249-EF3E-4F7DA7AC98DC}"/>
            </a:ext>
          </a:extLst>
        </cdr:cNvPr>
        <cdr:cNvSpPr txBox="1"/>
      </cdr:nvSpPr>
      <cdr:spPr>
        <a:xfrm xmlns:a="http://schemas.openxmlformats.org/drawingml/2006/main">
          <a:off x="5861" y="4553077"/>
          <a:ext cx="3489081" cy="410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(*):</a:t>
          </a:r>
          <a:r>
            <a:rPr lang="en-US" sz="900" i="1" kern="1200" baseline="0"/>
            <a:t> Đơn giá vốn này đã bao gồm các chi phí phân bổ: chi phí bán hàng, </a:t>
          </a:r>
        </a:p>
        <a:p xmlns:a="http://schemas.openxmlformats.org/drawingml/2006/main">
          <a:r>
            <a:rPr lang="en-US" sz="900" i="1" kern="1200" baseline="0"/>
            <a:t>chi phí quản lý doanh nghiệp, chi phí lãi vay</a:t>
          </a:r>
        </a:p>
        <a:p xmlns:a="http://schemas.openxmlformats.org/drawingml/2006/main">
          <a:r>
            <a:rPr lang="en-US" sz="900" i="1" kern="1200" baseline="0"/>
            <a:t>Gía vốn tháng hiện tại tạm cho bằng với tháng trước</a:t>
          </a:r>
          <a:endParaRPr lang="en-US" sz="900" i="1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0.82292</cdr:y>
    </cdr:from>
    <cdr:to>
      <cdr:x>0.38837</cdr:x>
      <cdr:y>0.89646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056F60-66CC-C3E4-DD65-4B49728E09B2}"/>
            </a:ext>
          </a:extLst>
        </cdr:cNvPr>
        <cdr:cNvSpPr txBox="1"/>
      </cdr:nvSpPr>
      <cdr:spPr>
        <a:xfrm xmlns:a="http://schemas.openxmlformats.org/drawingml/2006/main">
          <a:off x="0" y="4798060"/>
          <a:ext cx="4666500" cy="4287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(*):</a:t>
          </a:r>
          <a:r>
            <a:rPr lang="en-US" sz="900" i="1" kern="1200" baseline="0"/>
            <a:t> Đơn giá vốn này đã bao gồm các chi phí phân bổ: chi phí bán hàng, chi phí quản lý doanh nghiệp, chi phí lãi vay</a:t>
          </a:r>
        </a:p>
        <a:p xmlns:a="http://schemas.openxmlformats.org/drawingml/2006/main">
          <a:r>
            <a:rPr lang="en-US" sz="900" i="1" kern="1200" baseline="0"/>
            <a:t>Gía vốn tháng hiện tại tạm cho bằng với tháng trước</a:t>
          </a:r>
          <a:endParaRPr lang="en-US" sz="900" i="1" kern="12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0.81945</cdr:y>
    </cdr:from>
    <cdr:to>
      <cdr:x>0.39379</cdr:x>
      <cdr:y>0.8921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F526241-348E-CAE6-99E5-CF74145EA70D}"/>
            </a:ext>
          </a:extLst>
        </cdr:cNvPr>
        <cdr:cNvSpPr txBox="1"/>
      </cdr:nvSpPr>
      <cdr:spPr>
        <a:xfrm xmlns:a="http://schemas.openxmlformats.org/drawingml/2006/main">
          <a:off x="0" y="4836160"/>
          <a:ext cx="4666500" cy="4287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(*):</a:t>
          </a:r>
          <a:r>
            <a:rPr lang="en-US" sz="900" i="1" kern="1200" baseline="0"/>
            <a:t> Đơn giá vốn này đã bao gồm các chi phí phân bổ: chi phí bán hàng, chi phí quản lý doanh nghiệp, chi phí lãi vay</a:t>
          </a:r>
        </a:p>
        <a:p xmlns:a="http://schemas.openxmlformats.org/drawingml/2006/main">
          <a:r>
            <a:rPr lang="en-US" sz="900" i="1" kern="1200" baseline="0"/>
            <a:t>Gía vốn tháng hiện tại tạm cho bằng với tháng trước</a:t>
          </a:r>
          <a:endParaRPr lang="en-US" sz="900" i="1" kern="12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606740</xdr:colOff>
      <xdr:row>9</xdr:row>
      <xdr:rowOff>76283</xdr:rowOff>
    </xdr:from>
    <xdr:to>
      <xdr:col>18</xdr:col>
      <xdr:colOff>243840</xdr:colOff>
      <xdr:row>35</xdr:row>
      <xdr:rowOff>131941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F4FFA-C1B6-102A-35C2-DB653795F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285750</xdr:colOff>
      <xdr:row>12</xdr:row>
      <xdr:rowOff>133350</xdr:rowOff>
    </xdr:from>
    <xdr:to>
      <xdr:col>25</xdr:col>
      <xdr:colOff>47625</xdr:colOff>
      <xdr:row>14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2D9808-3C66-198B-3901-2309EF7D83B8}"/>
            </a:ext>
          </a:extLst>
        </xdr:cNvPr>
        <xdr:cNvSpPr/>
      </xdr:nvSpPr>
      <xdr:spPr>
        <a:xfrm>
          <a:off x="15554325" y="2419350"/>
          <a:ext cx="2505075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Lấy</a:t>
          </a:r>
          <a:r>
            <a:rPr lang="en-US" sz="1100" baseline="0"/>
            <a:t> hạt PET</a:t>
          </a:r>
          <a:endParaRPr lang="en-US" sz="1100"/>
        </a:p>
      </xdr:txBody>
    </xdr:sp>
    <xdr:clientData/>
  </xdr:twoCellAnchor>
  <xdr:twoCellAnchor editAs="oneCell">
    <xdr:from>
      <xdr:col>2</xdr:col>
      <xdr:colOff>480392</xdr:colOff>
      <xdr:row>39</xdr:row>
      <xdr:rowOff>74544</xdr:rowOff>
    </xdr:from>
    <xdr:to>
      <xdr:col>18</xdr:col>
      <xdr:colOff>113682</xdr:colOff>
      <xdr:row>65</xdr:row>
      <xdr:rowOff>132107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B1F793-8B64-4091-9BE2-1362EB680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0.07236</cdr:y>
    </cdr:from>
    <cdr:to>
      <cdr:x>0.10308</cdr:x>
      <cdr:y>0.13167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8336" y="383211"/>
          <a:ext cx="993958" cy="314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0.07236</cdr:y>
    </cdr:from>
    <cdr:to>
      <cdr:x>0.10308</cdr:x>
      <cdr:y>0.13167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8336" y="383211"/>
          <a:ext cx="993958" cy="314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306198</xdr:colOff>
      <xdr:row>9</xdr:row>
      <xdr:rowOff>37541</xdr:rowOff>
    </xdr:from>
    <xdr:to>
      <xdr:col>17</xdr:col>
      <xdr:colOff>608143</xdr:colOff>
      <xdr:row>37</xdr:row>
      <xdr:rowOff>3026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F8103-7E16-4C7F-BA02-40B39B46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431426</xdr:colOff>
      <xdr:row>15</xdr:row>
      <xdr:rowOff>178173</xdr:rowOff>
    </xdr:from>
    <xdr:to>
      <xdr:col>22</xdr:col>
      <xdr:colOff>193301</xdr:colOff>
      <xdr:row>18</xdr:row>
      <xdr:rowOff>25773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C9D0347-D411-46D2-A67F-9EF2BF8EDF68}"/>
            </a:ext>
          </a:extLst>
        </xdr:cNvPr>
        <xdr:cNvSpPr/>
      </xdr:nvSpPr>
      <xdr:spPr>
        <a:xfrm>
          <a:off x="13609544" y="3035673"/>
          <a:ext cx="2496110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Lấy</a:t>
          </a:r>
          <a:r>
            <a:rPr lang="en-US" sz="1100" baseline="0"/>
            <a:t> hạt PET</a:t>
          </a:r>
          <a:endParaRPr lang="en-US" sz="1100"/>
        </a:p>
      </xdr:txBody>
    </xdr:sp>
    <xdr:clientData/>
  </xdr:twoCellAnchor>
  <xdr:twoCellAnchor editAs="oneCell">
    <xdr:from>
      <xdr:col>3</xdr:col>
      <xdr:colOff>22412</xdr:colOff>
      <xdr:row>39</xdr:row>
      <xdr:rowOff>44824</xdr:rowOff>
    </xdr:from>
    <xdr:to>
      <xdr:col>18</xdr:col>
      <xdr:colOff>339597</xdr:colOff>
      <xdr:row>67</xdr:row>
      <xdr:rowOff>2913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3E53C1-6615-471A-9C74-B4FDEF3EB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0.07236</cdr:y>
    </cdr:from>
    <cdr:to>
      <cdr:x>0.10308</cdr:x>
      <cdr:y>0.13167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0489" y="290513"/>
          <a:ext cx="9144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0.02581</cdr:y>
    </cdr:from>
    <cdr:to>
      <cdr:x>0.10308</cdr:x>
      <cdr:y>0.08512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8024" y="136681"/>
          <a:ext cx="990805" cy="314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362228</xdr:colOff>
      <xdr:row>16</xdr:row>
      <xdr:rowOff>121024</xdr:rowOff>
    </xdr:from>
    <xdr:to>
      <xdr:col>19</xdr:col>
      <xdr:colOff>33618</xdr:colOff>
      <xdr:row>44</xdr:row>
      <xdr:rowOff>79113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91181-E9E5-49CD-86EC-1489CB570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123265</xdr:colOff>
      <xdr:row>19</xdr:row>
      <xdr:rowOff>112058</xdr:rowOff>
    </xdr:from>
    <xdr:to>
      <xdr:col>37</xdr:col>
      <xdr:colOff>491549</xdr:colOff>
      <xdr:row>47</xdr:row>
      <xdr:rowOff>73957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07F1A-1826-4D3A-924B-6A727FDEA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0.07236</cdr:y>
    </cdr:from>
    <cdr:to>
      <cdr:x>0.10308</cdr:x>
      <cdr:y>0.13167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0489" y="290513"/>
          <a:ext cx="9144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0.07236</cdr:y>
    </cdr:from>
    <cdr:to>
      <cdr:x>0.10308</cdr:x>
      <cdr:y>0.13167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0489" y="290513"/>
          <a:ext cx="9144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  <v>Discover Niagara Bottling LLC: Quality Bottled Water by IBWA</v>
  </rv>
  <rv s="0">
    <v>1</v>
    <v>5</v>
    <v>Suntory Holdings Limited | LinkedIn</v>
  </rv>
  <rv s="0">
    <v>2</v>
    <v>5</v>
    <v>Unilever plc - WikiCorporates</v>
  </rv>
  <rv s="0">
    <v>3</v>
    <v>5</v>
    <v>iF Design - Outeirinho Turismo e Indústria S.A.</v>
  </rv>
  <rv s="0">
    <v>4</v>
    <v>5</v>
    <v>Coca-Cola logo vector (svg, eps ...</v>
  </rv>
  <rv s="0">
    <v>5</v>
    <v>5</v>
    <v>Logo Lavie file Vector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219D-B1F7-4999-AD4F-46931266B3E1}">
  <dimension ref="A5:O17"/>
  <sheetViews>
    <sheetView showGridLines="0" view="pageLayout" zoomScaleNormal="100" workbookViewId="0">
      <selection activeCell="H27" sqref="H27"/>
    </sheetView>
  </sheetViews>
  <sheetFormatPr defaultRowHeight="14.4" x14ac:dyDescent="0.3"/>
  <sheetData>
    <row r="5" spans="1:15" ht="30.6" customHeight="1" x14ac:dyDescent="0.3">
      <c r="A5" s="598" t="s">
        <v>334</v>
      </c>
      <c r="B5" s="598"/>
      <c r="C5" s="598"/>
      <c r="D5" s="598"/>
      <c r="E5" s="598"/>
      <c r="F5" s="598"/>
      <c r="G5" s="598"/>
      <c r="H5" s="598"/>
      <c r="I5" s="598"/>
      <c r="J5" s="598"/>
      <c r="K5" s="598"/>
      <c r="L5" s="598"/>
      <c r="M5" s="598"/>
      <c r="N5" s="598"/>
      <c r="O5" s="598"/>
    </row>
    <row r="10" spans="1:15" ht="15" thickBot="1" x14ac:dyDescent="0.35"/>
    <row r="11" spans="1:15" ht="26.4" thickBot="1" x14ac:dyDescent="0.55000000000000004">
      <c r="C11" s="381" t="s">
        <v>335</v>
      </c>
      <c r="D11" s="382" t="s">
        <v>336</v>
      </c>
    </row>
    <row r="12" spans="1:15" ht="10.35" customHeight="1" x14ac:dyDescent="0.5">
      <c r="C12" s="380"/>
      <c r="D12" s="379"/>
    </row>
    <row r="13" spans="1:15" ht="15" thickBot="1" x14ac:dyDescent="0.35"/>
    <row r="14" spans="1:15" ht="26.4" thickBot="1" x14ac:dyDescent="0.55000000000000004">
      <c r="C14" s="381" t="s">
        <v>337</v>
      </c>
      <c r="D14" s="382" t="s">
        <v>326</v>
      </c>
    </row>
    <row r="15" spans="1:15" ht="10.35" customHeight="1" x14ac:dyDescent="0.5">
      <c r="C15" s="380"/>
      <c r="D15" s="379"/>
    </row>
    <row r="16" spans="1:15" ht="15" thickBot="1" x14ac:dyDescent="0.35"/>
    <row r="17" spans="3:4" ht="26.4" thickBot="1" x14ac:dyDescent="0.55000000000000004">
      <c r="C17" s="381" t="s">
        <v>383</v>
      </c>
      <c r="D17" s="382" t="s">
        <v>369</v>
      </c>
    </row>
  </sheetData>
  <mergeCells count="1">
    <mergeCell ref="A5:O5"/>
  </mergeCells>
  <hyperlinks>
    <hyperlink ref="C11" location="'Giá công thức'!A1" display="I." xr:uid="{9A445FB0-0D56-4FA2-8144-1BBA1E3E4ACE}"/>
    <hyperlink ref="C14" location="Price!A1" display="II." xr:uid="{27D980F6-3968-4F96-BC2E-FBCAB710BFA3}"/>
    <hyperlink ref="C17" location="'Biểu đồ'!A1" display="III." xr:uid="{1A262CD2-0AE9-46A6-BECC-FFA4967B32D0}"/>
  </hyperlinks>
  <printOptions horizontalCentered="1"/>
  <pageMargins left="0.2" right="0.2" top="0.25" bottom="0.25" header="0.05" footer="0.0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F135-7297-401E-8248-E50EFD55FEF9}">
  <sheetPr>
    <tabColor theme="7" tint="-0.249977111117893"/>
  </sheetPr>
  <dimension ref="A1:AP113"/>
  <sheetViews>
    <sheetView showGridLines="0" zoomScale="115" zoomScaleNormal="115" workbookViewId="0">
      <pane xSplit="6" ySplit="10" topLeftCell="AE11" activePane="bottomRight" state="frozen"/>
      <selection activeCell="D1" sqref="D1"/>
      <selection pane="topRight" activeCell="G1" sqref="G1"/>
      <selection pane="bottomLeft" activeCell="D11" sqref="D11"/>
      <selection pane="bottomRight" activeCell="AJ40" sqref="AJ40"/>
    </sheetView>
  </sheetViews>
  <sheetFormatPr defaultRowHeight="14.4" outlineLevelRow="1" outlineLevelCol="1" x14ac:dyDescent="0.3"/>
  <cols>
    <col min="1" max="1" width="9" customWidth="1" outlineLevel="1"/>
    <col min="2" max="2" width="18.33203125" customWidth="1" outlineLevel="1"/>
    <col min="3" max="3" width="16.109375" style="14" customWidth="1" outlineLevel="1"/>
    <col min="4" max="4" width="6" style="14" customWidth="1"/>
    <col min="5" max="5" width="0.6640625" customWidth="1"/>
    <col min="6" max="6" width="28.109375" style="316" customWidth="1"/>
    <col min="7" max="17" width="8.33203125" customWidth="1"/>
    <col min="18" max="18" width="8.33203125" style="48" customWidth="1"/>
    <col min="19" max="29" width="8.33203125" customWidth="1"/>
    <col min="30" max="30" width="8.33203125" style="48" customWidth="1"/>
    <col min="31" max="41" width="8.33203125" customWidth="1"/>
    <col min="42" max="42" width="8.33203125" style="48" customWidth="1"/>
    <col min="43" max="43" width="1.21875" customWidth="1"/>
  </cols>
  <sheetData>
    <row r="1" spans="1:42" hidden="1" outlineLevel="1" x14ac:dyDescent="0.3">
      <c r="F1"/>
      <c r="G1" s="78">
        <f t="shared" ref="G1:AD1" si="0">DATE(G3,G4,1)</f>
        <v>45292</v>
      </c>
      <c r="H1" s="77">
        <f t="shared" si="0"/>
        <v>45323</v>
      </c>
      <c r="I1" s="77">
        <f t="shared" si="0"/>
        <v>45352</v>
      </c>
      <c r="J1" s="77">
        <f t="shared" si="0"/>
        <v>45383</v>
      </c>
      <c r="K1" s="77">
        <f t="shared" si="0"/>
        <v>45413</v>
      </c>
      <c r="L1" s="77">
        <f t="shared" si="0"/>
        <v>45444</v>
      </c>
      <c r="M1" s="77">
        <f t="shared" si="0"/>
        <v>45474</v>
      </c>
      <c r="N1" s="77">
        <f t="shared" si="0"/>
        <v>45505</v>
      </c>
      <c r="O1" s="77">
        <f t="shared" si="0"/>
        <v>45536</v>
      </c>
      <c r="P1" s="77">
        <f t="shared" si="0"/>
        <v>45566</v>
      </c>
      <c r="Q1" s="77">
        <f t="shared" si="0"/>
        <v>45597</v>
      </c>
      <c r="R1" s="79">
        <f t="shared" si="0"/>
        <v>45627</v>
      </c>
      <c r="S1" s="77">
        <f t="shared" si="0"/>
        <v>45658</v>
      </c>
      <c r="T1" s="77">
        <f t="shared" si="0"/>
        <v>45689</v>
      </c>
      <c r="U1" s="77">
        <f t="shared" si="0"/>
        <v>45717</v>
      </c>
      <c r="V1" s="77">
        <f t="shared" si="0"/>
        <v>45748</v>
      </c>
      <c r="W1" s="77">
        <f t="shared" si="0"/>
        <v>45778</v>
      </c>
      <c r="X1" s="77">
        <f t="shared" si="0"/>
        <v>45809</v>
      </c>
      <c r="Y1" s="77">
        <f t="shared" si="0"/>
        <v>45839</v>
      </c>
      <c r="Z1" s="77">
        <f t="shared" si="0"/>
        <v>45870</v>
      </c>
      <c r="AA1" s="77">
        <f t="shared" si="0"/>
        <v>45901</v>
      </c>
      <c r="AB1" s="77">
        <f t="shared" si="0"/>
        <v>45931</v>
      </c>
      <c r="AC1" s="77">
        <f t="shared" si="0"/>
        <v>45962</v>
      </c>
      <c r="AD1" s="79">
        <f t="shared" si="0"/>
        <v>45992</v>
      </c>
      <c r="AE1" s="77">
        <f t="shared" ref="AE1:AP1" si="1">DATE(AE3,AE4,1)</f>
        <v>46023</v>
      </c>
      <c r="AF1" s="77">
        <f t="shared" si="1"/>
        <v>46054</v>
      </c>
      <c r="AG1" s="77">
        <f t="shared" si="1"/>
        <v>46082</v>
      </c>
      <c r="AH1" s="77">
        <f t="shared" si="1"/>
        <v>46113</v>
      </c>
      <c r="AI1" s="77">
        <f t="shared" si="1"/>
        <v>46143</v>
      </c>
      <c r="AJ1" s="77">
        <f t="shared" si="1"/>
        <v>46174</v>
      </c>
      <c r="AK1" s="77">
        <f t="shared" si="1"/>
        <v>46204</v>
      </c>
      <c r="AL1" s="77">
        <f t="shared" si="1"/>
        <v>46235</v>
      </c>
      <c r="AM1" s="77">
        <f t="shared" si="1"/>
        <v>46266</v>
      </c>
      <c r="AN1" s="77">
        <f t="shared" si="1"/>
        <v>46296</v>
      </c>
      <c r="AO1" s="77">
        <f t="shared" si="1"/>
        <v>46327</v>
      </c>
      <c r="AP1" s="79">
        <f t="shared" si="1"/>
        <v>46357</v>
      </c>
    </row>
    <row r="2" spans="1:42" hidden="1" outlineLevel="1" x14ac:dyDescent="0.3">
      <c r="F2"/>
      <c r="G2" s="78">
        <f t="shared" ref="G2:AD2" si="2">EOMONTH(G1,0)</f>
        <v>45322</v>
      </c>
      <c r="H2" s="77">
        <f t="shared" si="2"/>
        <v>45351</v>
      </c>
      <c r="I2" s="77">
        <f t="shared" si="2"/>
        <v>45382</v>
      </c>
      <c r="J2" s="77">
        <f t="shared" si="2"/>
        <v>45412</v>
      </c>
      <c r="K2" s="77">
        <f t="shared" si="2"/>
        <v>45443</v>
      </c>
      <c r="L2" s="77">
        <f t="shared" si="2"/>
        <v>45473</v>
      </c>
      <c r="M2" s="77">
        <f t="shared" si="2"/>
        <v>45504</v>
      </c>
      <c r="N2" s="77">
        <f t="shared" si="2"/>
        <v>45535</v>
      </c>
      <c r="O2" s="77">
        <f t="shared" si="2"/>
        <v>45565</v>
      </c>
      <c r="P2" s="77">
        <f t="shared" si="2"/>
        <v>45596</v>
      </c>
      <c r="Q2" s="77">
        <f t="shared" si="2"/>
        <v>45626</v>
      </c>
      <c r="R2" s="79">
        <f t="shared" si="2"/>
        <v>45657</v>
      </c>
      <c r="S2" s="77">
        <f t="shared" si="2"/>
        <v>45688</v>
      </c>
      <c r="T2" s="77">
        <f t="shared" si="2"/>
        <v>45716</v>
      </c>
      <c r="U2" s="77">
        <f t="shared" si="2"/>
        <v>45747</v>
      </c>
      <c r="V2" s="77">
        <f t="shared" si="2"/>
        <v>45777</v>
      </c>
      <c r="W2" s="77">
        <f t="shared" si="2"/>
        <v>45808</v>
      </c>
      <c r="X2" s="77">
        <f t="shared" si="2"/>
        <v>45838</v>
      </c>
      <c r="Y2" s="77">
        <f t="shared" si="2"/>
        <v>45869</v>
      </c>
      <c r="Z2" s="77">
        <f t="shared" si="2"/>
        <v>45900</v>
      </c>
      <c r="AA2" s="77">
        <f t="shared" si="2"/>
        <v>45930</v>
      </c>
      <c r="AB2" s="77">
        <f t="shared" si="2"/>
        <v>45961</v>
      </c>
      <c r="AC2" s="77">
        <f t="shared" si="2"/>
        <v>45991</v>
      </c>
      <c r="AD2" s="79">
        <f t="shared" si="2"/>
        <v>46022</v>
      </c>
      <c r="AE2" s="77">
        <f t="shared" ref="AE2:AP2" si="3">EOMONTH(AE1,0)</f>
        <v>46053</v>
      </c>
      <c r="AF2" s="77">
        <f t="shared" si="3"/>
        <v>46081</v>
      </c>
      <c r="AG2" s="77">
        <f t="shared" si="3"/>
        <v>46112</v>
      </c>
      <c r="AH2" s="77">
        <f t="shared" si="3"/>
        <v>46142</v>
      </c>
      <c r="AI2" s="77">
        <f t="shared" si="3"/>
        <v>46173</v>
      </c>
      <c r="AJ2" s="77">
        <f t="shared" si="3"/>
        <v>46203</v>
      </c>
      <c r="AK2" s="77">
        <f t="shared" si="3"/>
        <v>46234</v>
      </c>
      <c r="AL2" s="77">
        <f t="shared" si="3"/>
        <v>46265</v>
      </c>
      <c r="AM2" s="77">
        <f t="shared" si="3"/>
        <v>46295</v>
      </c>
      <c r="AN2" s="77">
        <f t="shared" si="3"/>
        <v>46326</v>
      </c>
      <c r="AO2" s="77">
        <f t="shared" si="3"/>
        <v>46356</v>
      </c>
      <c r="AP2" s="79">
        <f t="shared" si="3"/>
        <v>46387</v>
      </c>
    </row>
    <row r="3" spans="1:42" hidden="1" outlineLevel="1" x14ac:dyDescent="0.3">
      <c r="F3"/>
      <c r="G3" s="72">
        <v>2024</v>
      </c>
      <c r="H3" s="21">
        <v>2024</v>
      </c>
      <c r="I3" s="21">
        <v>2024</v>
      </c>
      <c r="J3" s="21">
        <v>2024</v>
      </c>
      <c r="K3" s="21">
        <v>2024</v>
      </c>
      <c r="L3" s="21">
        <v>2024</v>
      </c>
      <c r="M3" s="21">
        <v>2024</v>
      </c>
      <c r="N3" s="21">
        <v>2024</v>
      </c>
      <c r="O3" s="21">
        <v>2024</v>
      </c>
      <c r="P3" s="21">
        <v>2024</v>
      </c>
      <c r="Q3" s="21">
        <v>2024</v>
      </c>
      <c r="R3" s="73">
        <v>2024</v>
      </c>
      <c r="S3" s="21">
        <v>2025</v>
      </c>
      <c r="T3" s="21">
        <v>2025</v>
      </c>
      <c r="U3" s="21">
        <v>2025</v>
      </c>
      <c r="V3" s="21">
        <v>2025</v>
      </c>
      <c r="W3" s="21">
        <v>2025</v>
      </c>
      <c r="X3" s="21">
        <v>2025</v>
      </c>
      <c r="Y3" s="21">
        <v>2025</v>
      </c>
      <c r="Z3" s="21">
        <v>2025</v>
      </c>
      <c r="AA3" s="21">
        <v>2025</v>
      </c>
      <c r="AB3" s="21">
        <v>2025</v>
      </c>
      <c r="AC3" s="21">
        <v>2025</v>
      </c>
      <c r="AD3" s="73">
        <v>2025</v>
      </c>
      <c r="AE3" s="21">
        <v>2026</v>
      </c>
      <c r="AF3" s="21">
        <v>2026</v>
      </c>
      <c r="AG3" s="21">
        <v>2026</v>
      </c>
      <c r="AH3" s="21">
        <v>2026</v>
      </c>
      <c r="AI3" s="21">
        <v>2026</v>
      </c>
      <c r="AJ3" s="21">
        <v>2026</v>
      </c>
      <c r="AK3" s="21">
        <v>2026</v>
      </c>
      <c r="AL3" s="21">
        <v>2026</v>
      </c>
      <c r="AM3" s="21">
        <v>2026</v>
      </c>
      <c r="AN3" s="21">
        <v>2026</v>
      </c>
      <c r="AO3" s="21">
        <v>2026</v>
      </c>
      <c r="AP3" s="73">
        <v>2026</v>
      </c>
    </row>
    <row r="4" spans="1:42" hidden="1" outlineLevel="1" x14ac:dyDescent="0.3">
      <c r="F4"/>
      <c r="G4" s="72">
        <v>1</v>
      </c>
      <c r="H4" s="21">
        <v>2</v>
      </c>
      <c r="I4" s="21">
        <v>3</v>
      </c>
      <c r="J4" s="21">
        <v>4</v>
      </c>
      <c r="K4" s="21">
        <v>5</v>
      </c>
      <c r="L4" s="21">
        <v>6</v>
      </c>
      <c r="M4" s="21">
        <v>7</v>
      </c>
      <c r="N4" s="21">
        <v>8</v>
      </c>
      <c r="O4" s="21">
        <v>9</v>
      </c>
      <c r="P4" s="21">
        <v>10</v>
      </c>
      <c r="Q4" s="21">
        <v>11</v>
      </c>
      <c r="R4" s="73">
        <v>12</v>
      </c>
      <c r="S4" s="21">
        <v>1</v>
      </c>
      <c r="T4" s="21">
        <v>2</v>
      </c>
      <c r="U4" s="21">
        <v>3</v>
      </c>
      <c r="V4" s="21">
        <v>4</v>
      </c>
      <c r="W4" s="21">
        <v>5</v>
      </c>
      <c r="X4" s="21">
        <v>6</v>
      </c>
      <c r="Y4" s="21">
        <v>7</v>
      </c>
      <c r="Z4" s="21">
        <v>8</v>
      </c>
      <c r="AA4" s="21">
        <v>9</v>
      </c>
      <c r="AB4" s="21">
        <v>10</v>
      </c>
      <c r="AC4" s="21">
        <v>11</v>
      </c>
      <c r="AD4" s="73">
        <v>12</v>
      </c>
      <c r="AE4" s="21">
        <v>1</v>
      </c>
      <c r="AF4" s="21">
        <v>2</v>
      </c>
      <c r="AG4" s="21">
        <v>3</v>
      </c>
      <c r="AH4" s="21">
        <v>4</v>
      </c>
      <c r="AI4" s="21">
        <v>5</v>
      </c>
      <c r="AJ4" s="21">
        <v>6</v>
      </c>
      <c r="AK4" s="21">
        <v>7</v>
      </c>
      <c r="AL4" s="21">
        <v>8</v>
      </c>
      <c r="AM4" s="21">
        <v>9</v>
      </c>
      <c r="AN4" s="21">
        <v>10</v>
      </c>
      <c r="AO4" s="21">
        <v>11</v>
      </c>
      <c r="AP4" s="73">
        <v>12</v>
      </c>
    </row>
    <row r="5" spans="1:42" s="412" customFormat="1" ht="27.6" customHeight="1" collapsed="1" x14ac:dyDescent="0.55000000000000004">
      <c r="F5" s="413"/>
      <c r="G5" s="413" t="s">
        <v>333</v>
      </c>
      <c r="S5" s="413" t="s">
        <v>333</v>
      </c>
      <c r="AE5" s="413" t="s">
        <v>333</v>
      </c>
    </row>
    <row r="6" spans="1:42" hidden="1" x14ac:dyDescent="0.3">
      <c r="F6"/>
      <c r="G6" s="47"/>
      <c r="R6"/>
      <c r="S6" s="47"/>
      <c r="AD6"/>
      <c r="AE6" s="47"/>
      <c r="AP6"/>
    </row>
    <row r="7" spans="1:42" hidden="1" x14ac:dyDescent="0.3">
      <c r="F7"/>
      <c r="G7" s="47"/>
      <c r="R7"/>
      <c r="S7" s="47"/>
      <c r="AD7"/>
      <c r="AE7" s="47"/>
      <c r="AP7"/>
    </row>
    <row r="8" spans="1:42" ht="15.6" customHeight="1" x14ac:dyDescent="0.3">
      <c r="D8" s="596" t="s">
        <v>0</v>
      </c>
      <c r="E8" s="599" t="s">
        <v>1</v>
      </c>
      <c r="F8" s="600"/>
      <c r="G8" s="29">
        <v>2024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85"/>
      <c r="S8" s="30">
        <v>2025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128"/>
      <c r="AE8" s="454">
        <v>2026</v>
      </c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5"/>
    </row>
    <row r="9" spans="1:42" ht="15.6" customHeight="1" x14ac:dyDescent="0.3">
      <c r="D9" s="596"/>
      <c r="E9" s="599"/>
      <c r="F9" s="600"/>
      <c r="G9" s="31">
        <v>1</v>
      </c>
      <c r="H9" s="31">
        <v>2</v>
      </c>
      <c r="I9" s="31">
        <v>3</v>
      </c>
      <c r="J9" s="31">
        <v>4</v>
      </c>
      <c r="K9" s="31">
        <v>5</v>
      </c>
      <c r="L9" s="31">
        <v>6</v>
      </c>
      <c r="M9" s="31">
        <v>7</v>
      </c>
      <c r="N9" s="31">
        <v>8</v>
      </c>
      <c r="O9" s="31">
        <v>9</v>
      </c>
      <c r="P9" s="31">
        <v>10</v>
      </c>
      <c r="Q9" s="31">
        <v>11</v>
      </c>
      <c r="R9" s="87">
        <v>12</v>
      </c>
      <c r="S9" s="32">
        <v>1</v>
      </c>
      <c r="T9" s="32">
        <v>2</v>
      </c>
      <c r="U9" s="32">
        <v>3</v>
      </c>
      <c r="V9" s="32">
        <v>4</v>
      </c>
      <c r="W9" s="32">
        <v>5</v>
      </c>
      <c r="X9" s="32">
        <v>6</v>
      </c>
      <c r="Y9" s="32">
        <v>7</v>
      </c>
      <c r="Z9" s="32">
        <v>8</v>
      </c>
      <c r="AA9" s="32">
        <v>9</v>
      </c>
      <c r="AB9" s="32">
        <v>10</v>
      </c>
      <c r="AC9" s="32">
        <v>11</v>
      </c>
      <c r="AD9" s="129">
        <v>12</v>
      </c>
      <c r="AE9" s="456">
        <v>1</v>
      </c>
      <c r="AF9" s="456">
        <v>2</v>
      </c>
      <c r="AG9" s="456">
        <v>3</v>
      </c>
      <c r="AH9" s="456">
        <v>4</v>
      </c>
      <c r="AI9" s="456">
        <v>5</v>
      </c>
      <c r="AJ9" s="456">
        <v>6</v>
      </c>
      <c r="AK9" s="456">
        <v>7</v>
      </c>
      <c r="AL9" s="456">
        <v>8</v>
      </c>
      <c r="AM9" s="456">
        <v>9</v>
      </c>
      <c r="AN9" s="456">
        <v>10</v>
      </c>
      <c r="AO9" s="456">
        <v>11</v>
      </c>
      <c r="AP9" s="457">
        <v>12</v>
      </c>
    </row>
    <row r="10" spans="1:42" ht="3" customHeight="1" x14ac:dyDescent="0.3"/>
    <row r="11" spans="1:42" s="127" customFormat="1" ht="15.6" customHeight="1" x14ac:dyDescent="0.35">
      <c r="A11" s="127" t="s">
        <v>51</v>
      </c>
      <c r="C11" s="131"/>
      <c r="D11" s="166" t="s">
        <v>2</v>
      </c>
      <c r="E11" s="130" t="s">
        <v>3</v>
      </c>
      <c r="F11" s="317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314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314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314"/>
    </row>
    <row r="12" spans="1:42" s="147" customFormat="1" ht="13.35" customHeight="1" outlineLevel="1" x14ac:dyDescent="0.3">
      <c r="A12" s="147" t="s">
        <v>51</v>
      </c>
      <c r="B12" s="147" t="s">
        <v>15</v>
      </c>
      <c r="D12" s="158"/>
      <c r="E12" s="148"/>
      <c r="F12" s="318" t="s">
        <v>4</v>
      </c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150"/>
      <c r="T12" s="150"/>
      <c r="U12" s="148"/>
      <c r="V12" s="148"/>
      <c r="W12" s="148"/>
      <c r="X12" s="148"/>
      <c r="Y12" s="148"/>
      <c r="Z12" s="148"/>
      <c r="AA12" s="148"/>
      <c r="AB12" s="148"/>
      <c r="AC12" s="148"/>
      <c r="AD12" s="149"/>
      <c r="AE12" s="150"/>
      <c r="AF12" s="150"/>
      <c r="AG12" s="148"/>
      <c r="AH12" s="148"/>
      <c r="AI12" s="148"/>
      <c r="AJ12" s="148"/>
      <c r="AK12" s="148"/>
      <c r="AL12" s="148"/>
      <c r="AM12" s="148"/>
      <c r="AN12" s="148"/>
      <c r="AO12" s="148"/>
      <c r="AP12" s="149"/>
    </row>
    <row r="13" spans="1:42" s="69" customFormat="1" ht="11.4" customHeight="1" outlineLevel="1" x14ac:dyDescent="0.3">
      <c r="A13" s="69" t="s">
        <v>51</v>
      </c>
      <c r="B13" s="69" t="s">
        <v>15</v>
      </c>
      <c r="D13" s="167" t="s">
        <v>5</v>
      </c>
      <c r="E13" s="134"/>
      <c r="F13" s="319" t="s">
        <v>6</v>
      </c>
      <c r="G13" s="135" cm="1">
        <f t="array" ref="G13">INDEX(Price!$L$11:$AY$210,MATCH(1,(Price!$A$11:$A$210=$A13)*(Price!$B$11:$B$210=$B13)*(Price!$D$11:$D$210="gb"),0),MATCH(1,(Price!$L$3:$AY$3=G$3)*(Price!$L$4:$AY$4=G$4),0))</f>
        <v>1200</v>
      </c>
      <c r="H13" s="135" cm="1">
        <f t="array" ref="H13">INDEX(Price!$L$11:$AY$210,MATCH(1,(Price!$A$11:$A$210=$A13)*(Price!$B$11:$B$210=$B13)*(Price!$D$11:$D$210="gb"),0),MATCH(1,(Price!$L$3:$AY$3=H$3)*(Price!$L$4:$AY$4=H$4),0))</f>
        <v>1200</v>
      </c>
      <c r="I13" s="135" cm="1">
        <f t="array" ref="I13">INDEX(Price!$L$11:$AY$210,MATCH(1,(Price!$A$11:$A$210=$A13)*(Price!$B$11:$B$210=$B13)*(Price!$D$11:$D$210="gb"),0),MATCH(1,(Price!$L$3:$AY$3=I$3)*(Price!$L$4:$AY$4=I$4),0))</f>
        <v>1200</v>
      </c>
      <c r="J13" s="135" cm="1">
        <f t="array" ref="J13">INDEX(Price!$L$11:$AY$210,MATCH(1,(Price!$A$11:$A$210=$A13)*(Price!$B$11:$B$210=$B13)*(Price!$D$11:$D$210="gb"),0),MATCH(1,(Price!$L$3:$AY$3=J$3)*(Price!$L$4:$AY$4=J$4),0))</f>
        <v>1200</v>
      </c>
      <c r="K13" s="135" cm="1">
        <f t="array" ref="K13">INDEX(Price!$L$11:$AY$210,MATCH(1,(Price!$A$11:$A$210=$A13)*(Price!$B$11:$B$210=$B13)*(Price!$D$11:$D$210="gb"),0),MATCH(1,(Price!$L$3:$AY$3=K$3)*(Price!$L$4:$AY$4=K$4),0))</f>
        <v>1200</v>
      </c>
      <c r="L13" s="135" cm="1">
        <f t="array" ref="L13">INDEX(Price!$L$11:$AY$210,MATCH(1,(Price!$A$11:$A$210=$A13)*(Price!$B$11:$B$210=$B13)*(Price!$D$11:$D$210="gb"),0),MATCH(1,(Price!$L$3:$AY$3=L$3)*(Price!$L$4:$AY$4=L$4),0))</f>
        <v>1200.8999999999999</v>
      </c>
      <c r="M13" s="135" cm="1">
        <f t="array" ref="M13">INDEX(Price!$L$11:$AY$210,MATCH(1,(Price!$A$11:$A$210=$A13)*(Price!$B$11:$B$210=$B13)*(Price!$D$11:$D$210="gb"),0),MATCH(1,(Price!$L$3:$AY$3=M$3)*(Price!$L$4:$AY$4=M$4),0))</f>
        <v>1214.3999999999999</v>
      </c>
      <c r="N13" s="135" cm="1">
        <f t="array" ref="N13">INDEX(Price!$L$11:$AY$210,MATCH(1,(Price!$A$11:$A$210=$A13)*(Price!$B$11:$B$210=$B13)*(Price!$D$11:$D$210="gb"),0),MATCH(1,(Price!$L$3:$AY$3=N$3)*(Price!$L$4:$AY$4=N$4),0))</f>
        <v>1226.0999999999999</v>
      </c>
      <c r="O13" s="135" cm="1">
        <f t="array" ref="O13">INDEX(Price!$L$11:$AY$210,MATCH(1,(Price!$A$11:$A$210=$A13)*(Price!$B$11:$B$210=$B13)*(Price!$D$11:$D$210="gb"),0),MATCH(1,(Price!$L$3:$AY$3=O$3)*(Price!$L$4:$AY$4=O$4),0))</f>
        <v>1242.6000000000001</v>
      </c>
      <c r="P13" s="135" cm="1">
        <f t="array" ref="P13">INDEX(Price!$L$11:$AY$210,MATCH(1,(Price!$A$11:$A$210=$A13)*(Price!$B$11:$B$210=$B13)*(Price!$D$11:$D$210="gb"),0),MATCH(1,(Price!$L$3:$AY$3=P$3)*(Price!$L$4:$AY$4=P$4),0))</f>
        <v>1261.3499999999999</v>
      </c>
      <c r="Q13" s="135" cm="1">
        <f t="array" ref="Q13">INDEX(Price!$L$11:$AY$210,MATCH(1,(Price!$A$11:$A$210=$A13)*(Price!$B$11:$B$210=$B13)*(Price!$D$11:$D$210="gb"),0),MATCH(1,(Price!$L$3:$AY$3=Q$3)*(Price!$L$4:$AY$4=Q$4),0))</f>
        <v>1281.75</v>
      </c>
      <c r="R13" s="136" cm="1">
        <f t="array" ref="R13">INDEX(Price!$L$11:$AY$210,MATCH(1,(Price!$A$11:$A$210=$A13)*(Price!$B$11:$B$210=$B13)*(Price!$D$11:$D$210="gb"),0),MATCH(1,(Price!$L$3:$AY$3=R$3)*(Price!$L$4:$AY$4=R$4),0))</f>
        <v>1290.75</v>
      </c>
      <c r="S13" s="135" cm="1">
        <f t="array" ref="S13">INDEX(Price!$L$11:$AY$210,MATCH(1,(Price!$A$11:$A$210=$A13)*(Price!$B$11:$B$210=$B13)*(Price!$D$11:$D$210="gb"),0),MATCH(1,(Price!$L$3:$AY$3=S$3)*(Price!$L$4:$AY$4=S$4),0))</f>
        <v>1288.875</v>
      </c>
      <c r="T13" s="135" cm="1">
        <f t="array" ref="T13">INDEX(Price!$L$11:$AY$210,MATCH(1,(Price!$A$11:$A$210=$A13)*(Price!$B$11:$B$210=$B13)*(Price!$D$11:$D$210="gb"),0),MATCH(1,(Price!$L$3:$AY$3=T$3)*(Price!$L$4:$AY$4=T$4),0))</f>
        <v>1264.3749999999991</v>
      </c>
      <c r="U13" s="135" cm="1">
        <f t="array" ref="U13">INDEX(Price!$L$11:$AY$210,MATCH(1,(Price!$A$11:$A$210=$A13)*(Price!$B$11:$B$210=$B13)*(Price!$D$11:$D$210="gb"),0),MATCH(1,(Price!$L$3:$AY$3=U$3)*(Price!$L$4:$AY$4=U$4),0))</f>
        <v>1238.8749999999991</v>
      </c>
      <c r="V13" s="135" cm="1">
        <f t="array" ref="V13">INDEX(Price!$L$11:$AY$210,MATCH(1,(Price!$A$11:$A$210=$A13)*(Price!$B$11:$B$210=$B13)*(Price!$D$11:$D$210="gb"),0),MATCH(1,(Price!$L$3:$AY$3=V$3)*(Price!$L$4:$AY$4=V$4),0))</f>
        <v>1219.8800000000001</v>
      </c>
      <c r="W13" s="135" cm="1">
        <f t="array" ref="W13">INDEX(Price!$L$11:$AY$210,MATCH(1,(Price!$A$11:$A$210=$A13)*(Price!$B$11:$B$210=$B13)*(Price!$D$11:$D$210="gb"),0),MATCH(1,(Price!$L$3:$AY$3=W$3)*(Price!$L$4:$AY$4=W$4),0))</f>
        <v>1221</v>
      </c>
      <c r="X13" s="135" cm="1">
        <f t="array" ref="X13">INDEX(Price!$L$11:$AY$210,MATCH(1,(Price!$A$11:$A$210=$A13)*(Price!$B$11:$B$210=$B13)*(Price!$D$11:$D$210="gb"),0),MATCH(1,(Price!$L$3:$AY$3=X$3)*(Price!$L$4:$AY$4=X$4),0))</f>
        <v>1224</v>
      </c>
      <c r="Y13" s="135" cm="1">
        <f t="array" ref="Y13">INDEX(Price!$L$11:$AY$210,MATCH(1,(Price!$A$11:$A$210=$A13)*(Price!$B$11:$B$210=$B13)*(Price!$D$11:$D$210="gb"),0),MATCH(1,(Price!$L$3:$AY$3=Y$3)*(Price!$L$4:$AY$4=Y$4),0))</f>
        <v>1224</v>
      </c>
      <c r="Z13" s="135" cm="1">
        <f t="array" ref="Z13">INDEX(Price!$L$11:$AY$210,MATCH(1,(Price!$A$11:$A$210=$A13)*(Price!$B$11:$B$210=$B13)*(Price!$D$11:$D$210="gb"),0),MATCH(1,(Price!$L$3:$AY$3=Z$3)*(Price!$L$4:$AY$4=Z$4),0))</f>
        <v>1213.2</v>
      </c>
      <c r="AA13" s="135" cm="1">
        <f t="array" ref="AA13">INDEX(Price!$L$11:$AY$210,MATCH(1,(Price!$A$11:$A$210=$A13)*(Price!$B$11:$B$210=$B13)*(Price!$D$11:$D$210="gb"),0),MATCH(1,(Price!$L$3:$AY$3=AA$3)*(Price!$L$4:$AY$4=AA$4),0))</f>
        <v>1200</v>
      </c>
      <c r="AB13" s="135" cm="1">
        <f t="array" ref="AB13">INDEX(Price!$L$11:$AY$210,MATCH(1,(Price!$A$11:$A$210=$A13)*(Price!$B$11:$B$210=$B13)*(Price!$D$11:$D$210="gb"),0),MATCH(1,(Price!$L$3:$AY$3=AB$3)*(Price!$L$4:$AY$4=AB$4),0))</f>
        <v>1200</v>
      </c>
      <c r="AC13" s="135" cm="1">
        <f t="array" ref="AC13">INDEX(Price!$L$11:$AY$210,MATCH(1,(Price!$A$11:$A$210=$A13)*(Price!$B$11:$B$210=$B13)*(Price!$D$11:$D$210="gb"),0),MATCH(1,(Price!$L$3:$AY$3=AC$3)*(Price!$L$4:$AY$4=AC$4),0))</f>
        <v>1200</v>
      </c>
      <c r="AD13" s="136" cm="1">
        <f t="array" ref="AD13">INDEX(Price!$L$11:$AY$210,MATCH(1,(Price!$A$11:$A$210=$A13)*(Price!$B$11:$B$210=$B13)*(Price!$D$11:$D$210="gb"),0),MATCH(1,(Price!$L$3:$AY$3=AD$3)*(Price!$L$4:$AY$4=AD$4),0))</f>
        <v>1100</v>
      </c>
      <c r="AE13" s="135" cm="1">
        <f t="array" ref="AE13">INDEX(Price!$L$11:$AY$210,MATCH(1,(Price!$A$11:$A$210=$A13)*(Price!$B$11:$B$210=$B13)*(Price!$D$11:$D$210="gb"),0),MATCH(1,(Price!$L$3:$AY$3=AE$3)*(Price!$L$4:$AY$4=AE$4),0))</f>
        <v>1080</v>
      </c>
      <c r="AF13" s="135" cm="1">
        <f t="array" ref="AF13">INDEX(Price!$L$11:$AY$210,MATCH(1,(Price!$A$11:$A$210=$A13)*(Price!$B$11:$B$210=$B13)*(Price!$D$11:$D$210="gb"),0),MATCH(1,(Price!$L$3:$AY$3=AF$3)*(Price!$L$4:$AY$4=AF$4),0))</f>
        <v>1050</v>
      </c>
      <c r="AG13" s="135" cm="1">
        <f t="array" ref="AG13">INDEX(Price!$L$11:$AY$210,MATCH(1,(Price!$A$11:$A$210=$A13)*(Price!$B$11:$B$210=$B13)*(Price!$D$11:$D$210="gb"),0),MATCH(1,(Price!$L$3:$AY$3=AG$3)*(Price!$L$4:$AY$4=AG$4),0))</f>
        <v>1061.25</v>
      </c>
      <c r="AH13" s="135" cm="1">
        <f t="array" ref="AH13">INDEX(Price!$L$11:$AY$210,MATCH(1,(Price!$A$11:$A$210=$A13)*(Price!$B$11:$B$210=$B13)*(Price!$D$11:$D$210="gb"),0),MATCH(1,(Price!$L$3:$AY$3=AH$3)*(Price!$L$4:$AY$4=AH$4),0))</f>
        <v>1221</v>
      </c>
      <c r="AI13" s="135" cm="1">
        <f t="array" ref="AI13">INDEX(Price!$L$11:$AY$210,MATCH(1,(Price!$A$11:$A$210=$A13)*(Price!$B$11:$B$210=$B13)*(Price!$D$11:$D$210="gb"),0),MATCH(1,(Price!$L$3:$AY$3=AI$3)*(Price!$L$4:$AY$4=AI$4),0))</f>
        <v>1221</v>
      </c>
      <c r="AJ13" s="135" cm="1">
        <f t="array" ref="AJ13">INDEX(Price!$L$11:$AY$210,MATCH(1,(Price!$A$11:$A$210=$A13)*(Price!$B$11:$B$210=$B13)*(Price!$D$11:$D$210="gb"),0),MATCH(1,(Price!$L$3:$AY$3=AJ$3)*(Price!$L$4:$AY$4=AJ$4),0))</f>
        <v>1221</v>
      </c>
      <c r="AK13" s="135"/>
      <c r="AL13" s="135"/>
      <c r="AM13" s="135"/>
      <c r="AN13" s="135"/>
      <c r="AO13" s="135"/>
      <c r="AP13" s="136"/>
    </row>
    <row r="14" spans="1:42" s="1" customFormat="1" ht="11.4" customHeight="1" outlineLevel="1" x14ac:dyDescent="0.3">
      <c r="A14" s="1" t="s">
        <v>51</v>
      </c>
      <c r="B14" s="1" t="s">
        <v>15</v>
      </c>
      <c r="C14" s="142" t="s">
        <v>321</v>
      </c>
      <c r="D14" s="168" t="s">
        <v>7</v>
      </c>
      <c r="E14" s="143"/>
      <c r="F14" s="320" t="s">
        <v>8</v>
      </c>
      <c r="G14" s="144" cm="1">
        <f t="array" ref="G14">INDEX(Price!$L$11:$AY$210,MATCH(1,(Price!$A$11:$A$210=$A14)*(Price!$B$11:$B$210=$B14)*(Price!$D$11:$D$210="exw"),0),MATCH(1,(Price!$L$3:$AY$3=G$3)*(Price!$L$4:$AY$4=G$4),0))</f>
        <v>1162</v>
      </c>
      <c r="H14" s="144" cm="1">
        <f t="array" ref="H14">INDEX(Price!$L$11:$AY$210,MATCH(1,(Price!$A$11:$A$210=$A14)*(Price!$B$11:$B$210=$B14)*(Price!$D$11:$D$210="exw"),0),MATCH(1,(Price!$L$3:$AY$3=H$3)*(Price!$L$4:$AY$4=H$4),0))</f>
        <v>1162</v>
      </c>
      <c r="I14" s="144" cm="1">
        <f t="array" ref="I14">INDEX(Price!$L$11:$AY$210,MATCH(1,(Price!$A$11:$A$210=$A14)*(Price!$B$11:$B$210=$B14)*(Price!$D$11:$D$210="exw"),0),MATCH(1,(Price!$L$3:$AY$3=I$3)*(Price!$L$4:$AY$4=I$4),0))</f>
        <v>1162</v>
      </c>
      <c r="J14" s="144" cm="1">
        <f t="array" ref="J14">INDEX(Price!$L$11:$AY$210,MATCH(1,(Price!$A$11:$A$210=$A14)*(Price!$B$11:$B$210=$B14)*(Price!$D$11:$D$210="exw"),0),MATCH(1,(Price!$L$3:$AY$3=J$3)*(Price!$L$4:$AY$4=J$4),0))</f>
        <v>1162</v>
      </c>
      <c r="K14" s="144" cm="1">
        <f t="array" ref="K14">INDEX(Price!$L$11:$AY$210,MATCH(1,(Price!$A$11:$A$210=$A14)*(Price!$B$11:$B$210=$B14)*(Price!$D$11:$D$210="exw"),0),MATCH(1,(Price!$L$3:$AY$3=K$3)*(Price!$L$4:$AY$4=K$4),0))</f>
        <v>1162</v>
      </c>
      <c r="L14" s="144" cm="1">
        <f t="array" ref="L14">INDEX(Price!$L$11:$AY$210,MATCH(1,(Price!$A$11:$A$210=$A14)*(Price!$B$11:$B$210=$B14)*(Price!$D$11:$D$210="exw"),0),MATCH(1,(Price!$L$3:$AY$3=L$3)*(Price!$L$4:$AY$4=L$4),0))</f>
        <v>1162.8864999999998</v>
      </c>
      <c r="M14" s="144" cm="1">
        <f t="array" ref="M14">INDEX(Price!$L$11:$AY$210,MATCH(1,(Price!$A$11:$A$210=$A14)*(Price!$B$11:$B$210=$B14)*(Price!$D$11:$D$210="exw"),0),MATCH(1,(Price!$L$3:$AY$3=M$3)*(Price!$L$4:$AY$4=M$4),0))</f>
        <v>1176.184</v>
      </c>
      <c r="N14" s="144" cm="1">
        <f t="array" ref="N14">INDEX(Price!$L$11:$AY$210,MATCH(1,(Price!$A$11:$A$210=$A14)*(Price!$B$11:$B$210=$B14)*(Price!$D$11:$D$210="exw"),0),MATCH(1,(Price!$L$3:$AY$3=N$3)*(Price!$L$4:$AY$4=N$4),0))</f>
        <v>1187.7085</v>
      </c>
      <c r="O14" s="144" cm="1">
        <f t="array" ref="O14">INDEX(Price!$L$11:$AY$210,MATCH(1,(Price!$A$11:$A$210=$A14)*(Price!$B$11:$B$210=$B14)*(Price!$D$11:$D$210="exw"),0),MATCH(1,(Price!$L$3:$AY$3=O$3)*(Price!$L$4:$AY$4=O$4),0))</f>
        <v>1203.9610000000002</v>
      </c>
      <c r="P14" s="144" cm="1">
        <f t="array" ref="P14">INDEX(Price!$L$11:$AY$210,MATCH(1,(Price!$A$11:$A$210=$A14)*(Price!$B$11:$B$210=$B14)*(Price!$D$11:$D$210="exw"),0),MATCH(1,(Price!$L$3:$AY$3=P$3)*(Price!$L$4:$AY$4=P$4),0))</f>
        <v>1222.42975</v>
      </c>
      <c r="Q14" s="144" cm="1">
        <f t="array" ref="Q14">INDEX(Price!$L$11:$AY$210,MATCH(1,(Price!$A$11:$A$210=$A14)*(Price!$B$11:$B$210=$B14)*(Price!$D$11:$D$210="exw"),0),MATCH(1,(Price!$L$3:$AY$3=Q$3)*(Price!$L$4:$AY$4=Q$4),0))</f>
        <v>1242.5237500000001</v>
      </c>
      <c r="R14" s="145" cm="1">
        <f t="array" ref="R14">INDEX(Price!$L$11:$AY$210,MATCH(1,(Price!$A$11:$A$210=$A14)*(Price!$B$11:$B$210=$B14)*(Price!$D$11:$D$210="exw"),0),MATCH(1,(Price!$L$3:$AY$3=R$3)*(Price!$L$4:$AY$4=R$4),0))</f>
        <v>1251.3887500000001</v>
      </c>
      <c r="S14" s="144" cm="1">
        <f t="array" ref="S14">INDEX(Price!$L$11:$AY$210,MATCH(1,(Price!$A$11:$A$210=$A14)*(Price!$B$11:$B$210=$B14)*(Price!$D$11:$D$210="exw"),0),MATCH(1,(Price!$L$3:$AY$3=S$3)*(Price!$L$4:$AY$4=S$4),0))</f>
        <v>1249.5418749999999</v>
      </c>
      <c r="T14" s="144" cm="1">
        <f t="array" ref="T14">INDEX(Price!$L$11:$AY$210,MATCH(1,(Price!$A$11:$A$210=$A14)*(Price!$B$11:$B$210=$B14)*(Price!$D$11:$D$210="exw"),0),MATCH(1,(Price!$L$3:$AY$3=T$3)*(Price!$L$4:$AY$4=T$4),0))</f>
        <v>1225.409374999999</v>
      </c>
      <c r="U14" s="144" cm="1">
        <f t="array" ref="U14">INDEX(Price!$L$11:$AY$210,MATCH(1,(Price!$A$11:$A$210=$A14)*(Price!$B$11:$B$210=$B14)*(Price!$D$11:$D$210="exw"),0),MATCH(1,(Price!$L$3:$AY$3=U$3)*(Price!$L$4:$AY$4=U$4),0))</f>
        <v>1200.2918749999992</v>
      </c>
      <c r="V14" s="144" cm="1">
        <f t="array" ref="V14">INDEX(Price!$L$11:$AY$210,MATCH(1,(Price!$A$11:$A$210=$A14)*(Price!$B$11:$B$210=$B14)*(Price!$D$11:$D$210="exw"),0),MATCH(1,(Price!$L$3:$AY$3=V$3)*(Price!$L$4:$AY$4=V$4),0))</f>
        <v>1179.5818000000002</v>
      </c>
      <c r="W14" s="144" cm="1">
        <f t="array" ref="W14">INDEX(Price!$L$11:$AY$210,MATCH(1,(Price!$A$11:$A$210=$A14)*(Price!$B$11:$B$210=$B14)*(Price!$D$11:$D$210="exw"),0),MATCH(1,(Price!$L$3:$AY$3=W$3)*(Price!$L$4:$AY$4=W$4),0))</f>
        <v>1180.6849999999999</v>
      </c>
      <c r="X14" s="144" cm="1">
        <f t="array" ref="X14">INDEX(Price!$L$11:$AY$210,MATCH(1,(Price!$A$11:$A$210=$A14)*(Price!$B$11:$B$210=$B14)*(Price!$D$11:$D$210="exw"),0),MATCH(1,(Price!$L$3:$AY$3=X$3)*(Price!$L$4:$AY$4=X$4),0))</f>
        <v>1183.6400000000001</v>
      </c>
      <c r="Y14" s="144" cm="1">
        <f t="array" ref="Y14">INDEX(Price!$L$11:$AY$210,MATCH(1,(Price!$A$11:$A$210=$A14)*(Price!$B$11:$B$210=$B14)*(Price!$D$11:$D$210="exw"),0),MATCH(1,(Price!$L$3:$AY$3=Y$3)*(Price!$L$4:$AY$4=Y$4),0))</f>
        <v>1183.6400000000001</v>
      </c>
      <c r="Z14" s="144" cm="1">
        <f t="array" ref="Z14">INDEX(Price!$L$11:$AY$210,MATCH(1,(Price!$A$11:$A$210=$A14)*(Price!$B$11:$B$210=$B14)*(Price!$D$11:$D$210="exw"),0),MATCH(1,(Price!$L$3:$AY$3=Z$3)*(Price!$L$4:$AY$4=Z$4),0))</f>
        <v>1175.002</v>
      </c>
      <c r="AA14" s="144" cm="1">
        <f t="array" ref="AA14">INDEX(Price!$L$11:$AY$210,MATCH(1,(Price!$A$11:$A$210=$A14)*(Price!$B$11:$B$210=$B14)*(Price!$D$11:$D$210="exw"),0),MATCH(1,(Price!$L$3:$AY$3=AA$3)*(Price!$L$4:$AY$4=AA$4),0))</f>
        <v>1162</v>
      </c>
      <c r="AB14" s="144" cm="1">
        <f t="array" ref="AB14">INDEX(Price!$L$11:$AY$210,MATCH(1,(Price!$A$11:$A$210=$A14)*(Price!$B$11:$B$210=$B14)*(Price!$D$11:$D$210="exw"),0),MATCH(1,(Price!$L$3:$AY$3=AB$3)*(Price!$L$4:$AY$4=AB$4),0))</f>
        <v>1162</v>
      </c>
      <c r="AC14" s="144" cm="1">
        <f t="array" ref="AC14">INDEX(Price!$L$11:$AY$210,MATCH(1,(Price!$A$11:$A$210=$A14)*(Price!$B$11:$B$210=$B14)*(Price!$D$11:$D$210="exw"),0),MATCH(1,(Price!$L$3:$AY$3=AC$3)*(Price!$L$4:$AY$4=AC$4),0))</f>
        <v>1162</v>
      </c>
      <c r="AD14" s="145" cm="1">
        <f t="array" ref="AD14">INDEX(Price!$L$11:$AY$210,MATCH(1,(Price!$A$11:$A$210=$A14)*(Price!$B$11:$B$210=$B14)*(Price!$D$11:$D$210="exw"),0),MATCH(1,(Price!$L$3:$AY$3=AD$3)*(Price!$L$4:$AY$4=AD$4),0))</f>
        <v>1063.5</v>
      </c>
      <c r="AE14" s="144" cm="1">
        <f t="array" ref="AE14">INDEX(Price!$L$11:$AY$210,MATCH(1,(Price!$A$11:$A$210=$A14)*(Price!$B$11:$B$210=$B14)*(Price!$D$11:$D$210="exw"),0),MATCH(1,(Price!$L$3:$AY$3=AE$3)*(Price!$L$4:$AY$4=AE$4),0))</f>
        <v>1043.8</v>
      </c>
      <c r="AF14" s="144" cm="1">
        <f t="array" ref="AF14">INDEX(Price!$L$11:$AY$210,MATCH(1,(Price!$A$11:$A$210=$A14)*(Price!$B$11:$B$210=$B14)*(Price!$D$11:$D$210="exw"),0),MATCH(1,(Price!$L$3:$AY$3=AF$3)*(Price!$L$4:$AY$4=AF$4),0))</f>
        <v>1014.25</v>
      </c>
      <c r="AG14" s="144" cm="1">
        <f t="array" ref="AG14">INDEX(Price!$L$11:$AY$210,MATCH(1,(Price!$A$11:$A$210=$A14)*(Price!$B$11:$B$210=$B14)*(Price!$D$11:$D$210="exw"),0),MATCH(1,(Price!$L$3:$AY$3=AG$3)*(Price!$L$4:$AY$4=AG$4),0))</f>
        <v>1025.33125</v>
      </c>
      <c r="AH14" s="144" cm="1">
        <f t="array" ref="AH14">INDEX(Price!$L$11:$AY$210,MATCH(1,(Price!$A$11:$A$210=$A14)*(Price!$B$11:$B$210=$B14)*(Price!$D$11:$D$210="exw"),0),MATCH(1,(Price!$L$3:$AY$3=AH$3)*(Price!$L$4:$AY$4=AH$4),0))</f>
        <v>1182.6849999999999</v>
      </c>
      <c r="AI14" s="144" cm="1">
        <f t="array" ref="AI14">INDEX(Price!$L$11:$AY$210,MATCH(1,(Price!$A$11:$A$210=$A14)*(Price!$B$11:$B$210=$B14)*(Price!$D$11:$D$210="exw"),0),MATCH(1,(Price!$L$3:$AY$3=AI$3)*(Price!$L$4:$AY$4=AI$4),0))</f>
        <v>1182.6849999999999</v>
      </c>
      <c r="AJ14" s="144" cm="1">
        <f t="array" ref="AJ14">INDEX(Price!$L$11:$AY$210,MATCH(1,(Price!$A$11:$A$210=$A14)*(Price!$B$11:$B$210=$B14)*(Price!$D$11:$D$210="exw"),0),MATCH(1,(Price!$L$3:$AY$3=AJ$3)*(Price!$L$4:$AY$4=AJ$4),0))</f>
        <v>1182.6849999999999</v>
      </c>
      <c r="AK14" s="144"/>
      <c r="AL14" s="144"/>
      <c r="AM14" s="144"/>
      <c r="AN14" s="144"/>
      <c r="AO14" s="144"/>
      <c r="AP14" s="145"/>
    </row>
    <row r="15" spans="1:42" ht="11.4" customHeight="1" outlineLevel="1" x14ac:dyDescent="0.3">
      <c r="A15" t="s">
        <v>51</v>
      </c>
      <c r="B15" t="s">
        <v>15</v>
      </c>
      <c r="C15" s="14" t="s">
        <v>9</v>
      </c>
      <c r="D15" s="169" t="s">
        <v>10</v>
      </c>
      <c r="E15" s="8"/>
      <c r="F15" s="321" t="s">
        <v>11</v>
      </c>
      <c r="G15" s="315" cm="1">
        <f t="array" ref="G15">SUMPRODUCT(General_Data*(Code_General_Data=$C15)*(Year=G$3)*(Month=G$4))</f>
        <v>930</v>
      </c>
      <c r="H15" s="132" cm="1">
        <f t="array" ref="H15">SUMPRODUCT(General_Data*(Code_General_Data=$C15)*(Year=H$3)*(Month=H$4))</f>
        <v>943.33333333333337</v>
      </c>
      <c r="I15" s="132" cm="1">
        <f t="array" ref="I15">SUMPRODUCT(General_Data*(Code_General_Data=$C15)*(Year=I$3)*(Month=I$4))</f>
        <v>940</v>
      </c>
      <c r="J15" s="132" cm="1">
        <f t="array" ref="J15">SUMPRODUCT(General_Data*(Code_General_Data=$C15)*(Year=J$3)*(Month=J$4))</f>
        <v>940</v>
      </c>
      <c r="K15" s="132" cm="1">
        <f t="array" ref="K15">SUMPRODUCT(General_Data*(Code_General_Data=$C15)*(Year=K$3)*(Month=K$4))</f>
        <v>942</v>
      </c>
      <c r="L15" s="132" cm="1">
        <f t="array" ref="L15">SUMPRODUCT(General_Data*(Code_General_Data=$C15)*(Year=L$3)*(Month=L$4))</f>
        <v>950</v>
      </c>
      <c r="M15" s="132" cm="1">
        <f t="array" ref="M15">SUMPRODUCT(General_Data*(Code_General_Data=$C15)*(Year=M$3)*(Month=M$4))</f>
        <v>947.5</v>
      </c>
      <c r="N15" s="132" cm="1">
        <f t="array" ref="N15">SUMPRODUCT(General_Data*(Code_General_Data=$C15)*(Year=N$3)*(Month=N$4))</f>
        <v>930</v>
      </c>
      <c r="O15" s="132" cm="1">
        <f t="array" ref="O15">SUMPRODUCT(General_Data*(Code_General_Data=$C15)*(Year=O$3)*(Month=O$4))</f>
        <v>880</v>
      </c>
      <c r="P15" s="132" cm="1">
        <f t="array" ref="P15">SUMPRODUCT(General_Data*(Code_General_Data=$C15)*(Year=P$3)*(Month=P$4))</f>
        <v>862.5</v>
      </c>
      <c r="Q15" s="132" cm="1">
        <f t="array" ref="Q15">SUMPRODUCT(General_Data*(Code_General_Data=$C15)*(Year=Q$3)*(Month=Q$4))</f>
        <v>852</v>
      </c>
      <c r="R15" s="133" cm="1">
        <f t="array" ref="R15">SUMPRODUCT(General_Data*(Code_General_Data=$C15)*(Year=R$3)*(Month=R$4))</f>
        <v>830</v>
      </c>
      <c r="S15" s="132" cm="1">
        <f t="array" ref="S15">SUMPRODUCT(General_Data*(Code_General_Data=$C15)*(Year=S$3)*(Month=S$4))</f>
        <v>828</v>
      </c>
      <c r="T15" s="132" cm="1">
        <f t="array" ref="T15">SUMPRODUCT(General_Data*(Code_General_Data=$C15)*(Year=T$3)*(Month=T$4))</f>
        <v>840</v>
      </c>
      <c r="U15" s="132" cm="1">
        <f t="array" ref="U15">SUMPRODUCT(General_Data*(Code_General_Data=$C15)*(Year=U$3)*(Month=U$4))</f>
        <v>823</v>
      </c>
      <c r="V15" s="132" cm="1">
        <f t="array" ref="V15">SUMPRODUCT(General_Data*(Code_General_Data=$C15)*(Year=V$3)*(Month=V$4))</f>
        <v>765</v>
      </c>
      <c r="W15" s="132" cm="1">
        <f t="array" ref="W15">SUMPRODUCT(General_Data*(Code_General_Data=$C15)*(Year=W$3)*(Month=W$4))</f>
        <v>782</v>
      </c>
      <c r="X15" s="132" cm="1">
        <f t="array" ref="X15">SUMPRODUCT(General_Data*(Code_General_Data=$C15)*(Year=X$3)*(Month=X$4))</f>
        <v>807.5</v>
      </c>
      <c r="Y15" s="132" cm="1">
        <f t="array" ref="Y15">SUMPRODUCT(General_Data*(Code_General_Data=$C15)*(Year=Y$3)*(Month=Y$4))</f>
        <v>802</v>
      </c>
      <c r="Z15" s="132" cm="1">
        <f t="array" ref="Z15">SUMPRODUCT(General_Data*(Code_General_Data=$C15)*(Year=Z$3)*(Month=Z$4))</f>
        <v>795</v>
      </c>
      <c r="AA15" s="132" cm="1">
        <f t="array" ref="AA15">SUMPRODUCT(General_Data*(Code_General_Data=$C15)*(Year=AA$3)*(Month=AA$4))</f>
        <v>783</v>
      </c>
      <c r="AB15" s="132" cm="1">
        <f t="array" ref="AB15">SUMPRODUCT(General_Data*(Code_General_Data=$C15)*(Year=AB$3)*(Month=AB$4))</f>
        <v>772</v>
      </c>
      <c r="AC15" s="132" cm="1">
        <f t="array" ref="AC15">SUMPRODUCT(General_Data*(Code_General_Data=$C15)*(Year=AC$3)*(Month=AC$4))</f>
        <v>770</v>
      </c>
      <c r="AD15" s="133" cm="1">
        <f t="array" ref="AD15">SUMPRODUCT(General_Data*(Code_General_Data=$C15)*(Year=AD$3)*(Month=AD$4))</f>
        <v>772.5</v>
      </c>
      <c r="AE15" s="132" cm="1">
        <f t="array" ref="AE15">SUMPRODUCT(General_Data*(Code_General_Data=$C15)*(Year=AE$3)*(Month=AE$4))</f>
        <v>805</v>
      </c>
      <c r="AF15" s="132" cm="1">
        <f t="array" ref="AF15">SUMPRODUCT(General_Data*(Code_General_Data=$C15)*(Year=AF$3)*(Month=AF$4))</f>
        <v>840</v>
      </c>
      <c r="AG15" s="132" cm="1">
        <f t="array" ref="AG15">SUMPRODUCT(General_Data*(Code_General_Data=$C15)*(Year=AG$3)*(Month=AG$4))</f>
        <v>1109</v>
      </c>
      <c r="AH15" s="132" cm="1">
        <f t="array" ref="AH15">SUMPRODUCT(General_Data*(Code_General_Data=$C15)*(Year=AH$3)*(Month=AH$4))</f>
        <v>1194</v>
      </c>
      <c r="AI15" s="132" cm="1">
        <f t="array" ref="AI15">SUMPRODUCT(General_Data*(Code_General_Data=$C15)*(Year=AI$3)*(Month=AI$4))</f>
        <v>1216</v>
      </c>
      <c r="AJ15" s="132" cm="1">
        <f t="array" ref="AJ15">SUMPRODUCT(General_Data*(Code_General_Data=$C15)*(Year=AJ$3)*(Month=AJ$4))</f>
        <v>1190</v>
      </c>
      <c r="AK15" s="132"/>
      <c r="AL15" s="132"/>
      <c r="AM15" s="132"/>
      <c r="AN15" s="132"/>
      <c r="AO15" s="132"/>
      <c r="AP15" s="133"/>
    </row>
    <row r="16" spans="1:42" s="151" customFormat="1" ht="11.4" customHeight="1" outlineLevel="1" x14ac:dyDescent="0.3">
      <c r="A16" s="151" t="s">
        <v>51</v>
      </c>
      <c r="B16" s="151" t="s">
        <v>15</v>
      </c>
      <c r="D16" s="170" t="s">
        <v>12</v>
      </c>
      <c r="E16" s="152"/>
      <c r="F16" s="322" t="s">
        <v>406</v>
      </c>
      <c r="G16" s="153">
        <f>IF(G13*G14*G15&lt;&gt;0,G14-G15,0)</f>
        <v>232</v>
      </c>
      <c r="H16" s="153">
        <f t="shared" ref="H16:T16" si="4">IF(H13*H14*H15&lt;&gt;0,H14-H15,0)</f>
        <v>218.66666666666663</v>
      </c>
      <c r="I16" s="153">
        <f t="shared" si="4"/>
        <v>222</v>
      </c>
      <c r="J16" s="153">
        <f t="shared" si="4"/>
        <v>222</v>
      </c>
      <c r="K16" s="153">
        <f t="shared" si="4"/>
        <v>220</v>
      </c>
      <c r="L16" s="153">
        <f t="shared" si="4"/>
        <v>212.88649999999984</v>
      </c>
      <c r="M16" s="153">
        <f t="shared" si="4"/>
        <v>228.68399999999997</v>
      </c>
      <c r="N16" s="153">
        <f t="shared" si="4"/>
        <v>257.70849999999996</v>
      </c>
      <c r="O16" s="153">
        <f t="shared" si="4"/>
        <v>323.96100000000024</v>
      </c>
      <c r="P16" s="153">
        <f t="shared" si="4"/>
        <v>359.92975000000001</v>
      </c>
      <c r="Q16" s="153">
        <f t="shared" si="4"/>
        <v>390.52375000000006</v>
      </c>
      <c r="R16" s="154">
        <f t="shared" si="4"/>
        <v>421.38875000000007</v>
      </c>
      <c r="S16" s="153">
        <f t="shared" si="4"/>
        <v>421.54187499999989</v>
      </c>
      <c r="T16" s="153">
        <f t="shared" si="4"/>
        <v>385.40937499999905</v>
      </c>
      <c r="U16" s="153">
        <f t="shared" ref="U16:AD16" si="5">IF(U13*U14*U15&lt;&gt;0,U14-U15,0)</f>
        <v>377.29187499999921</v>
      </c>
      <c r="V16" s="153">
        <f t="shared" si="5"/>
        <v>414.58180000000016</v>
      </c>
      <c r="W16" s="153">
        <f t="shared" si="5"/>
        <v>398.68499999999995</v>
      </c>
      <c r="X16" s="153">
        <f t="shared" si="5"/>
        <v>376.1400000000001</v>
      </c>
      <c r="Y16" s="153">
        <f t="shared" si="5"/>
        <v>381.6400000000001</v>
      </c>
      <c r="Z16" s="153">
        <f t="shared" si="5"/>
        <v>380.00199999999995</v>
      </c>
      <c r="AA16" s="153">
        <f t="shared" si="5"/>
        <v>379</v>
      </c>
      <c r="AB16" s="153">
        <f t="shared" si="5"/>
        <v>390</v>
      </c>
      <c r="AC16" s="153">
        <f t="shared" si="5"/>
        <v>392</v>
      </c>
      <c r="AD16" s="154">
        <f t="shared" si="5"/>
        <v>291</v>
      </c>
      <c r="AE16" s="153">
        <f t="shared" ref="AE16:AG16" si="6">IF(AE13*AE14*AE15&lt;&gt;0,AE14-AE15,0)</f>
        <v>238.79999999999995</v>
      </c>
      <c r="AF16" s="153">
        <f t="shared" si="6"/>
        <v>174.25</v>
      </c>
      <c r="AG16" s="153">
        <f t="shared" si="6"/>
        <v>-83.668750000000045</v>
      </c>
      <c r="AH16" s="153">
        <f t="shared" ref="AH16:AI16" si="7">IF(AH13*AH14*AH15&lt;&gt;0,AH14-AH15,0)</f>
        <v>-11.315000000000055</v>
      </c>
      <c r="AI16" s="153">
        <f t="shared" si="7"/>
        <v>-33.315000000000055</v>
      </c>
      <c r="AJ16" s="153">
        <f t="shared" ref="AJ16" si="8">IF(AJ13*AJ14*AJ15&lt;&gt;0,AJ14-AJ15,0)</f>
        <v>-7.3150000000000546</v>
      </c>
      <c r="AK16" s="153"/>
      <c r="AL16" s="153"/>
      <c r="AM16" s="153"/>
      <c r="AN16" s="153"/>
      <c r="AO16" s="153"/>
      <c r="AP16" s="154"/>
    </row>
    <row r="17" spans="1:42" s="155" customFormat="1" ht="11.4" customHeight="1" outlineLevel="1" x14ac:dyDescent="0.3">
      <c r="A17" s="155" t="s">
        <v>51</v>
      </c>
      <c r="B17" s="155" t="s">
        <v>15</v>
      </c>
      <c r="D17" s="171" t="s">
        <v>13</v>
      </c>
      <c r="E17" s="156"/>
      <c r="F17" s="323" t="s">
        <v>14</v>
      </c>
      <c r="G17" s="497">
        <f>IFERROR(G16/G15,0)</f>
        <v>0.24946236559139784</v>
      </c>
      <c r="H17" s="497">
        <f t="shared" ref="H17:T17" si="9">IFERROR(H16/H15,0)</f>
        <v>0.23180212014134272</v>
      </c>
      <c r="I17" s="497">
        <f t="shared" si="9"/>
        <v>0.23617021276595745</v>
      </c>
      <c r="J17" s="497">
        <f t="shared" si="9"/>
        <v>0.23617021276595745</v>
      </c>
      <c r="K17" s="497">
        <f t="shared" si="9"/>
        <v>0.23354564755838642</v>
      </c>
      <c r="L17" s="497">
        <f t="shared" si="9"/>
        <v>0.22409105263157877</v>
      </c>
      <c r="M17" s="497">
        <f t="shared" si="9"/>
        <v>0.24135514511873349</v>
      </c>
      <c r="N17" s="497">
        <f t="shared" si="9"/>
        <v>0.2771059139784946</v>
      </c>
      <c r="O17" s="497">
        <f t="shared" si="9"/>
        <v>0.36813750000000028</v>
      </c>
      <c r="P17" s="497">
        <f t="shared" si="9"/>
        <v>0.41730985507246376</v>
      </c>
      <c r="Q17" s="497">
        <f t="shared" si="9"/>
        <v>0.45836120892018789</v>
      </c>
      <c r="R17" s="498">
        <f t="shared" si="9"/>
        <v>0.5076972891566266</v>
      </c>
      <c r="S17" s="497">
        <f t="shared" si="9"/>
        <v>0.50910854468599021</v>
      </c>
      <c r="T17" s="497">
        <f t="shared" si="9"/>
        <v>0.45882068452380836</v>
      </c>
      <c r="U17" s="497">
        <f t="shared" ref="U17:AD17" si="10">IFERROR(U16/U15,0)</f>
        <v>0.4584348420413113</v>
      </c>
      <c r="V17" s="497">
        <f t="shared" si="10"/>
        <v>0.54193699346405244</v>
      </c>
      <c r="W17" s="497">
        <f t="shared" si="10"/>
        <v>0.50982736572890019</v>
      </c>
      <c r="X17" s="497">
        <f t="shared" si="10"/>
        <v>0.46580804953560384</v>
      </c>
      <c r="Y17" s="497">
        <f t="shared" si="10"/>
        <v>0.47586034912718217</v>
      </c>
      <c r="Z17" s="497">
        <f t="shared" si="10"/>
        <v>0.47798993710691817</v>
      </c>
      <c r="AA17" s="497">
        <f t="shared" si="10"/>
        <v>0.48403575989782888</v>
      </c>
      <c r="AB17" s="497">
        <f t="shared" si="10"/>
        <v>0.50518134715025909</v>
      </c>
      <c r="AC17" s="497">
        <f t="shared" si="10"/>
        <v>0.50909090909090904</v>
      </c>
      <c r="AD17" s="498">
        <f t="shared" si="10"/>
        <v>0.37669902912621361</v>
      </c>
      <c r="AE17" s="497">
        <f t="shared" ref="AE17:AF17" si="11">IFERROR(AE16/AE15,0)</f>
        <v>0.29664596273291921</v>
      </c>
      <c r="AF17" s="497">
        <f t="shared" si="11"/>
        <v>0.2074404761904762</v>
      </c>
      <c r="AG17" s="497">
        <f>IFERROR(AG16/AG15,0)</f>
        <v>-7.5445220919747563E-2</v>
      </c>
      <c r="AH17" s="497">
        <f>IFERROR(AH16/AH15,0)</f>
        <v>-9.4765494137353887E-3</v>
      </c>
      <c r="AI17" s="497">
        <f>IFERROR(AI16/AI15,0)</f>
        <v>-2.7397203947368467E-2</v>
      </c>
      <c r="AJ17" s="497">
        <f>IFERROR(AJ16/AJ15,0)</f>
        <v>-6.1470588235294577E-3</v>
      </c>
      <c r="AK17" s="497"/>
      <c r="AL17" s="497"/>
      <c r="AM17" s="497"/>
      <c r="AN17" s="497"/>
      <c r="AO17" s="497"/>
      <c r="AP17" s="498"/>
    </row>
    <row r="18" spans="1:42" s="137" customFormat="1" ht="11.4" customHeight="1" outlineLevel="1" x14ac:dyDescent="0.3">
      <c r="A18" s="137" t="s">
        <v>51</v>
      </c>
      <c r="B18" s="137" t="s">
        <v>15</v>
      </c>
      <c r="C18" s="137" t="s">
        <v>15</v>
      </c>
      <c r="D18" s="172" t="s">
        <v>16</v>
      </c>
      <c r="E18" s="138"/>
      <c r="F18" s="324" t="s">
        <v>202</v>
      </c>
      <c r="G18" s="139" cm="1">
        <f t="array" ref="G18">SUMPRODUCT(General_Data*(Code_General_Data=$C18)*(Year=G$3)*(Month=G$4))</f>
        <v>1250</v>
      </c>
      <c r="H18" s="139" cm="1">
        <f t="array" ref="H18">SUMPRODUCT(General_Data*(Code_General_Data=$C18)*(Year=H$3)*(Month=H$4))</f>
        <v>1250</v>
      </c>
      <c r="I18" s="139" cm="1">
        <f t="array" ref="I18">SUMPRODUCT(General_Data*(Code_General_Data=$C18)*(Year=I$3)*(Month=I$4))</f>
        <v>1250</v>
      </c>
      <c r="J18" s="139" cm="1">
        <f t="array" ref="J18">SUMPRODUCT(General_Data*(Code_General_Data=$C18)*(Year=J$3)*(Month=J$4))</f>
        <v>1250</v>
      </c>
      <c r="K18" s="139" cm="1">
        <f t="array" ref="K18">SUMPRODUCT(General_Data*(Code_General_Data=$C18)*(Year=K$3)*(Month=K$4))</f>
        <v>1300</v>
      </c>
      <c r="L18" s="139" cm="1">
        <f t="array" ref="L18">SUMPRODUCT(General_Data*(Code_General_Data=$C18)*(Year=L$3)*(Month=L$4))</f>
        <v>1300</v>
      </c>
      <c r="M18" s="139" cm="1">
        <f t="array" ref="M18">SUMPRODUCT(General_Data*(Code_General_Data=$C18)*(Year=M$3)*(Month=M$4))</f>
        <v>1300</v>
      </c>
      <c r="N18" s="139" cm="1">
        <f t="array" ref="N18">SUMPRODUCT(General_Data*(Code_General_Data=$C18)*(Year=N$3)*(Month=N$4))</f>
        <v>1300</v>
      </c>
      <c r="O18" s="139" cm="1">
        <f t="array" ref="O18">SUMPRODUCT(General_Data*(Code_General_Data=$C18)*(Year=O$3)*(Month=O$4))</f>
        <v>1310</v>
      </c>
      <c r="P18" s="139" cm="1">
        <f t="array" ref="P18">SUMPRODUCT(General_Data*(Code_General_Data=$C18)*(Year=P$3)*(Month=P$4))</f>
        <v>1325</v>
      </c>
      <c r="Q18" s="139" cm="1">
        <f t="array" ref="Q18">SUMPRODUCT(General_Data*(Code_General_Data=$C18)*(Year=Q$3)*(Month=Q$4))</f>
        <v>1325</v>
      </c>
      <c r="R18" s="140" cm="1">
        <f t="array" ref="R18">SUMPRODUCT(General_Data*(Code_General_Data=$C18)*(Year=R$3)*(Month=R$4))</f>
        <v>1275</v>
      </c>
      <c r="S18" s="139" cm="1">
        <f t="array" ref="S18">SUMPRODUCT(General_Data*(Code_General_Data=$C18)*(Year=S$3)*(Month=S$4))</f>
        <v>1230</v>
      </c>
      <c r="T18" s="139" cm="1">
        <f t="array" ref="T18">SUMPRODUCT(General_Data*(Code_General_Data=$C18)*(Year=T$3)*(Month=T$4))</f>
        <v>1230</v>
      </c>
      <c r="U18" s="139" cm="1">
        <f t="array" ref="U18">SUMPRODUCT(General_Data*(Code_General_Data=$C18)*(Year=U$3)*(Month=U$4))</f>
        <v>1230</v>
      </c>
      <c r="V18" s="139" cm="1">
        <f t="array" ref="V18">SUMPRODUCT(General_Data*(Code_General_Data=$C18)*(Year=V$3)*(Month=V$4))</f>
        <v>1250</v>
      </c>
      <c r="W18" s="139" cm="1">
        <f t="array" ref="W18">SUMPRODUCT(General_Data*(Code_General_Data=$C18)*(Year=W$3)*(Month=W$4))</f>
        <v>1250</v>
      </c>
      <c r="X18" s="139" cm="1">
        <f t="array" ref="X18">SUMPRODUCT(General_Data*(Code_General_Data=$C18)*(Year=X$3)*(Month=X$4))</f>
        <v>1250</v>
      </c>
      <c r="Y18" s="139" cm="1">
        <f t="array" ref="Y18">SUMPRODUCT(General_Data*(Code_General_Data=$C18)*(Year=Y$3)*(Month=Y$4))</f>
        <v>1250</v>
      </c>
      <c r="Z18" s="139" cm="1">
        <f t="array" ref="Z18">SUMPRODUCT(General_Data*(Code_General_Data=$C18)*(Year=Z$3)*(Month=Z$4))</f>
        <v>1220</v>
      </c>
      <c r="AA18" s="139" cm="1">
        <f t="array" ref="AA18">SUMPRODUCT(General_Data*(Code_General_Data=$C18)*(Year=AA$3)*(Month=AA$4))</f>
        <v>1220</v>
      </c>
      <c r="AB18" s="139" cm="1">
        <f t="array" ref="AB18">SUMPRODUCT(General_Data*(Code_General_Data=$C18)*(Year=AB$3)*(Month=AB$4))</f>
        <v>1210</v>
      </c>
      <c r="AC18" s="139" cm="1">
        <f t="array" ref="AC18">SUMPRODUCT(General_Data*(Code_General_Data=$C18)*(Year=AC$3)*(Month=AC$4))</f>
        <v>1200</v>
      </c>
      <c r="AD18" s="140" cm="1">
        <f t="array" ref="AD18">SUMPRODUCT(General_Data*(Code_General_Data=$C18)*(Year=AD$3)*(Month=AD$4))</f>
        <v>1200</v>
      </c>
      <c r="AE18" s="139" cm="1">
        <f t="array" ref="AE18">SUMPRODUCT(General_Data*(Code_General_Data=$C18)*(Year=AE$3)*(Month=AE$4))</f>
        <v>1160</v>
      </c>
      <c r="AF18" s="139" cm="1">
        <f t="array" ref="AF18">SUMPRODUCT(General_Data*(Code_General_Data=$C18)*(Year=AF$3)*(Month=AF$4))</f>
        <v>1160</v>
      </c>
      <c r="AG18" s="139" cm="1">
        <f t="array" ref="AG18">SUMPRODUCT(General_Data*(Code_General_Data=$C18)*(Year=AG$3)*(Month=AG$4))</f>
        <v>1160</v>
      </c>
      <c r="AH18" s="139" cm="1">
        <f t="array" ref="AH18">SUMPRODUCT(General_Data*(Code_General_Data=$C18)*(Year=AH$3)*(Month=AH$4))</f>
        <v>1280</v>
      </c>
      <c r="AI18" s="139" cm="1">
        <f t="array" ref="AI18">SUMPRODUCT(General_Data*(Code_General_Data=$C18)*(Year=AI$3)*(Month=AI$4))</f>
        <v>1380</v>
      </c>
      <c r="AJ18" s="139" cm="1">
        <f t="array" ref="AJ18">SUMPRODUCT(General_Data*(Code_General_Data=$C18)*(Year=AJ$3)*(Month=AJ$4))</f>
        <v>1350</v>
      </c>
      <c r="AK18" s="139"/>
      <c r="AL18" s="139"/>
      <c r="AM18" s="139"/>
      <c r="AN18" s="139"/>
      <c r="AO18" s="139"/>
      <c r="AP18" s="140"/>
    </row>
    <row r="19" spans="1:42" ht="3.6" customHeight="1" x14ac:dyDescent="0.3">
      <c r="D19" s="165"/>
    </row>
    <row r="20" spans="1:42" s="127" customFormat="1" ht="15.6" customHeight="1" x14ac:dyDescent="0.35">
      <c r="A20" s="127" t="s">
        <v>430</v>
      </c>
      <c r="C20" s="131"/>
      <c r="D20" s="166" t="s">
        <v>475</v>
      </c>
      <c r="E20" s="130" t="s">
        <v>476</v>
      </c>
      <c r="F20" s="317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314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314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314"/>
    </row>
    <row r="21" spans="1:42" s="147" customFormat="1" ht="13.35" customHeight="1" outlineLevel="1" x14ac:dyDescent="0.3">
      <c r="A21" s="147" t="s">
        <v>430</v>
      </c>
      <c r="B21" s="147" t="s">
        <v>15</v>
      </c>
      <c r="D21" s="158"/>
      <c r="E21" s="148"/>
      <c r="F21" s="318" t="s">
        <v>4</v>
      </c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9"/>
      <c r="S21" s="150"/>
      <c r="T21" s="150"/>
      <c r="U21" s="148"/>
      <c r="V21" s="148"/>
      <c r="W21" s="148"/>
      <c r="X21" s="148"/>
      <c r="Y21" s="148"/>
      <c r="Z21" s="148"/>
      <c r="AA21" s="148"/>
      <c r="AB21" s="148"/>
      <c r="AC21" s="148"/>
      <c r="AD21" s="149"/>
      <c r="AE21" s="150"/>
      <c r="AF21" s="150"/>
      <c r="AG21" s="148"/>
      <c r="AH21" s="148"/>
      <c r="AI21" s="148"/>
      <c r="AJ21" s="148"/>
      <c r="AK21" s="148"/>
      <c r="AL21" s="148"/>
      <c r="AM21" s="148"/>
      <c r="AN21" s="148"/>
      <c r="AO21" s="148"/>
      <c r="AP21" s="149"/>
    </row>
    <row r="22" spans="1:42" s="69" customFormat="1" ht="11.4" customHeight="1" outlineLevel="1" x14ac:dyDescent="0.3">
      <c r="A22" s="69" t="s">
        <v>430</v>
      </c>
      <c r="B22" s="69" t="s">
        <v>15</v>
      </c>
      <c r="D22" s="167">
        <v>2.1</v>
      </c>
      <c r="E22" s="134"/>
      <c r="F22" s="319" t="s">
        <v>6</v>
      </c>
      <c r="G22" s="135" cm="1">
        <f t="array" ref="G22">INDEX(Price!$L$11:$AY$210,MATCH(1,(Price!$A$11:$A$210=$A22)*(Price!$B$11:$B$210=$B22)*(Price!$D$11:$D$210="gb"),0),MATCH(1,(Price!$L$3:$AY$3=G$3)*(Price!$L$4:$AY$4=G$4),0))</f>
        <v>1200</v>
      </c>
      <c r="H22" s="135" cm="1">
        <f t="array" ref="H22">INDEX(Price!$L$11:$AY$210,MATCH(1,(Price!$A$11:$A$210=$A22)*(Price!$B$11:$B$210=$B22)*(Price!$D$11:$D$210="gb"),0),MATCH(1,(Price!$L$3:$AY$3=H$3)*(Price!$L$4:$AY$4=H$4),0))</f>
        <v>1200</v>
      </c>
      <c r="I22" s="135" cm="1">
        <f t="array" ref="I22">INDEX(Price!$L$11:$AY$210,MATCH(1,(Price!$A$11:$A$210=$A22)*(Price!$B$11:$B$210=$B22)*(Price!$D$11:$D$210="gb"),0),MATCH(1,(Price!$L$3:$AY$3=I$3)*(Price!$L$4:$AY$4=I$4),0))</f>
        <v>1200</v>
      </c>
      <c r="J22" s="135" cm="1">
        <f t="array" ref="J22">INDEX(Price!$L$11:$AY$210,MATCH(1,(Price!$A$11:$A$210=$A22)*(Price!$B$11:$B$210=$B22)*(Price!$D$11:$D$210="gb"),0),MATCH(1,(Price!$L$3:$AY$3=J$3)*(Price!$L$4:$AY$4=J$4),0))</f>
        <v>1200</v>
      </c>
      <c r="K22" s="135" cm="1">
        <f t="array" ref="K22">INDEX(Price!$L$11:$AY$210,MATCH(1,(Price!$A$11:$A$210=$A22)*(Price!$B$11:$B$210=$B22)*(Price!$D$11:$D$210="gb"),0),MATCH(1,(Price!$L$3:$AY$3=K$3)*(Price!$L$4:$AY$4=K$4),0))</f>
        <v>1200</v>
      </c>
      <c r="L22" s="135" cm="1">
        <f t="array" ref="L22">INDEX(Price!$L$11:$AY$210,MATCH(1,(Price!$A$11:$A$210=$A22)*(Price!$B$11:$B$210=$B22)*(Price!$D$11:$D$210="gb"),0),MATCH(1,(Price!$L$3:$AY$3=L$3)*(Price!$L$4:$AY$4=L$4),0))</f>
        <v>1200.8999999999999</v>
      </c>
      <c r="M22" s="135" cm="1">
        <f t="array" ref="M22">INDEX(Price!$L$11:$AY$210,MATCH(1,(Price!$A$11:$A$210=$A22)*(Price!$B$11:$B$210=$B22)*(Price!$D$11:$D$210="gb"),0),MATCH(1,(Price!$L$3:$AY$3=M$3)*(Price!$L$4:$AY$4=M$4),0))</f>
        <v>1214.3999999999999</v>
      </c>
      <c r="N22" s="135" cm="1">
        <f t="array" ref="N22">INDEX(Price!$L$11:$AY$210,MATCH(1,(Price!$A$11:$A$210=$A22)*(Price!$B$11:$B$210=$B22)*(Price!$D$11:$D$210="gb"),0),MATCH(1,(Price!$L$3:$AY$3=N$3)*(Price!$L$4:$AY$4=N$4),0))</f>
        <v>1226.0999999999999</v>
      </c>
      <c r="O22" s="135" cm="1">
        <f t="array" ref="O22">INDEX(Price!$L$11:$AY$210,MATCH(1,(Price!$A$11:$A$210=$A22)*(Price!$B$11:$B$210=$B22)*(Price!$D$11:$D$210="gb"),0),MATCH(1,(Price!$L$3:$AY$3=O$3)*(Price!$L$4:$AY$4=O$4),0))</f>
        <v>1242.6000000000001</v>
      </c>
      <c r="P22" s="135" cm="1">
        <f t="array" ref="P22">INDEX(Price!$L$11:$AY$210,MATCH(1,(Price!$A$11:$A$210=$A22)*(Price!$B$11:$B$210=$B22)*(Price!$D$11:$D$210="gb"),0),MATCH(1,(Price!$L$3:$AY$3=P$3)*(Price!$L$4:$AY$4=P$4),0))</f>
        <v>1261.3499999999999</v>
      </c>
      <c r="Q22" s="135" cm="1">
        <f t="array" ref="Q22">INDEX(Price!$L$11:$AY$210,MATCH(1,(Price!$A$11:$A$210=$A22)*(Price!$B$11:$B$210=$B22)*(Price!$D$11:$D$210="gb"),0),MATCH(1,(Price!$L$3:$AY$3=Q$3)*(Price!$L$4:$AY$4=Q$4),0))</f>
        <v>1281.75</v>
      </c>
      <c r="R22" s="136" cm="1">
        <f t="array" ref="R22">INDEX(Price!$L$11:$AY$210,MATCH(1,(Price!$A$11:$A$210=$A22)*(Price!$B$11:$B$210=$B22)*(Price!$D$11:$D$210="gb"),0),MATCH(1,(Price!$L$3:$AY$3=R$3)*(Price!$L$4:$AY$4=R$4),0))</f>
        <v>1290.75</v>
      </c>
      <c r="S22" s="135" cm="1">
        <f t="array" ref="S22">INDEX(Price!$L$11:$AY$210,MATCH(1,(Price!$A$11:$A$210=$A22)*(Price!$B$11:$B$210=$B22)*(Price!$D$11:$D$210="gb"),0),MATCH(1,(Price!$L$3:$AY$3=S$3)*(Price!$L$4:$AY$4=S$4),0))</f>
        <v>1288.875</v>
      </c>
      <c r="T22" s="135" cm="1">
        <f t="array" ref="T22">INDEX(Price!$L$11:$AY$210,MATCH(1,(Price!$A$11:$A$210=$A22)*(Price!$B$11:$B$210=$B22)*(Price!$D$11:$D$210="gb"),0),MATCH(1,(Price!$L$3:$AY$3=T$3)*(Price!$L$4:$AY$4=T$4),0))</f>
        <v>1264.3749999999991</v>
      </c>
      <c r="U22" s="135" cm="1">
        <f t="array" ref="U22">INDEX(Price!$L$11:$AY$210,MATCH(1,(Price!$A$11:$A$210=$A22)*(Price!$B$11:$B$210=$B22)*(Price!$D$11:$D$210="gb"),0),MATCH(1,(Price!$L$3:$AY$3=U$3)*(Price!$L$4:$AY$4=U$4),0))</f>
        <v>1238.8749999999991</v>
      </c>
      <c r="V22" s="135" cm="1">
        <f t="array" ref="V22">INDEX(Price!$L$11:$AY$210,MATCH(1,(Price!$A$11:$A$210=$A22)*(Price!$B$11:$B$210=$B22)*(Price!$D$11:$D$210="gb"),0),MATCH(1,(Price!$L$3:$AY$3=V$3)*(Price!$L$4:$AY$4=V$4),0))</f>
        <v>1219.8800000000001</v>
      </c>
      <c r="W22" s="135" cm="1">
        <f t="array" ref="W22">INDEX(Price!$L$11:$AY$210,MATCH(1,(Price!$A$11:$A$210=$A22)*(Price!$B$11:$B$210=$B22)*(Price!$D$11:$D$210="gb"),0),MATCH(1,(Price!$L$3:$AY$3=W$3)*(Price!$L$4:$AY$4=W$4),0))</f>
        <v>1221</v>
      </c>
      <c r="X22" s="135" cm="1">
        <f t="array" ref="X22">INDEX(Price!$L$11:$AY$210,MATCH(1,(Price!$A$11:$A$210=$A22)*(Price!$B$11:$B$210=$B22)*(Price!$D$11:$D$210="gb"),0),MATCH(1,(Price!$L$3:$AY$3=X$3)*(Price!$L$4:$AY$4=X$4),0))</f>
        <v>1224</v>
      </c>
      <c r="Y22" s="135" cm="1">
        <f t="array" ref="Y22">INDEX(Price!$L$11:$AY$210,MATCH(1,(Price!$A$11:$A$210=$A22)*(Price!$B$11:$B$210=$B22)*(Price!$D$11:$D$210="gb"),0),MATCH(1,(Price!$L$3:$AY$3=Y$3)*(Price!$L$4:$AY$4=Y$4),0))</f>
        <v>1224</v>
      </c>
      <c r="Z22" s="135" cm="1">
        <f t="array" ref="Z22">INDEX(Price!$L$11:$AY$210,MATCH(1,(Price!$A$11:$A$210=$A22)*(Price!$B$11:$B$210=$B22)*(Price!$D$11:$D$210="gb"),0),MATCH(1,(Price!$L$3:$AY$3=Z$3)*(Price!$L$4:$AY$4=Z$4),0))</f>
        <v>1213.2</v>
      </c>
      <c r="AA22" s="135" cm="1">
        <f t="array" ref="AA22">INDEX(Price!$L$11:$AY$210,MATCH(1,(Price!$A$11:$A$210=$A22)*(Price!$B$11:$B$210=$B22)*(Price!$D$11:$D$210="gb"),0),MATCH(1,(Price!$L$3:$AY$3=AA$3)*(Price!$L$4:$AY$4=AA$4),0))</f>
        <v>1200</v>
      </c>
      <c r="AB22" s="135" cm="1">
        <f t="array" ref="AB22">INDEX(Price!$L$11:$AY$210,MATCH(1,(Price!$A$11:$A$210=$A22)*(Price!$B$11:$B$210=$B22)*(Price!$D$11:$D$210="gb"),0),MATCH(1,(Price!$L$3:$AY$3=AB$3)*(Price!$L$4:$AY$4=AB$4),0))</f>
        <v>1200</v>
      </c>
      <c r="AC22" s="135" cm="1">
        <f t="array" ref="AC22">INDEX(Price!$L$11:$AY$210,MATCH(1,(Price!$A$11:$A$210=$A22)*(Price!$B$11:$B$210=$B22)*(Price!$D$11:$D$210="gb"),0),MATCH(1,(Price!$L$3:$AY$3=AC$3)*(Price!$L$4:$AY$4=AC$4),0))</f>
        <v>1200</v>
      </c>
      <c r="AD22" s="136" cm="1">
        <f t="array" ref="AD22">INDEX(Price!$L$11:$AY$210,MATCH(1,(Price!$A$11:$A$210=$A22)*(Price!$B$11:$B$210=$B22)*(Price!$D$11:$D$210="gb"),0),MATCH(1,(Price!$L$3:$AY$3=AD$3)*(Price!$L$4:$AY$4=AD$4),0))</f>
        <v>1100</v>
      </c>
      <c r="AE22" s="135" cm="1">
        <f t="array" ref="AE22">INDEX(Price!$L$11:$AY$210,MATCH(1,(Price!$A$11:$A$210=$A22)*(Price!$B$11:$B$210=$B22)*(Price!$D$11:$D$210="gb"),0),MATCH(1,(Price!$L$3:$AY$3=AE$3)*(Price!$L$4:$AY$4=AE$4),0))</f>
        <v>1120</v>
      </c>
      <c r="AF22" s="135" cm="1">
        <f t="array" ref="AF22">INDEX(Price!$L$11:$AY$210,MATCH(1,(Price!$A$11:$A$210=$A22)*(Price!$B$11:$B$210=$B22)*(Price!$D$11:$D$210="gb"),0),MATCH(1,(Price!$L$3:$AY$3=AF$3)*(Price!$L$4:$AY$4=AF$4),0))</f>
        <v>1090</v>
      </c>
      <c r="AG22" s="135" cm="1">
        <f t="array" ref="AG22">INDEX(Price!$L$11:$AY$210,MATCH(1,(Price!$A$11:$A$210=$A22)*(Price!$B$11:$B$210=$B22)*(Price!$D$11:$D$210="gb"),0),MATCH(1,(Price!$L$3:$AY$3=AG$3)*(Price!$L$4:$AY$4=AG$4),0))</f>
        <v>1101.25</v>
      </c>
      <c r="AH22" s="135" cm="1">
        <f t="array" ref="AH22">INDEX(Price!$L$11:$AY$210,MATCH(1,(Price!$A$11:$A$210=$A22)*(Price!$B$11:$B$210=$B22)*(Price!$D$11:$D$210="gb"),0),MATCH(1,(Price!$L$3:$AY$3=AH$3)*(Price!$L$4:$AY$4=AH$4),0))</f>
        <v>1150</v>
      </c>
      <c r="AI22" s="135" cm="1">
        <f t="array" ref="AI22">INDEX(Price!$L$11:$AY$210,MATCH(1,(Price!$A$11:$A$210=$A22)*(Price!$B$11:$B$210=$B22)*(Price!$D$11:$D$210="gb"),0),MATCH(1,(Price!$L$3:$AY$3=AI$3)*(Price!$L$4:$AY$4=AI$4),0))</f>
        <v>1150</v>
      </c>
      <c r="AJ22" s="135" cm="1">
        <f t="array" ref="AJ22">INDEX(Price!$L$11:$AY$210,MATCH(1,(Price!$A$11:$A$210=$A22)*(Price!$B$11:$B$210=$B22)*(Price!$D$11:$D$210="gb"),0),MATCH(1,(Price!$L$3:$AY$3=AJ$3)*(Price!$L$4:$AY$4=AJ$4),0))</f>
        <v>1150</v>
      </c>
      <c r="AK22" s="135"/>
      <c r="AL22" s="135"/>
      <c r="AM22" s="135"/>
      <c r="AN22" s="135"/>
      <c r="AO22" s="135"/>
      <c r="AP22" s="136"/>
    </row>
    <row r="23" spans="1:42" s="1" customFormat="1" ht="11.4" customHeight="1" outlineLevel="1" x14ac:dyDescent="0.3">
      <c r="A23" s="1" t="s">
        <v>430</v>
      </c>
      <c r="B23" s="1" t="s">
        <v>15</v>
      </c>
      <c r="C23" s="142" t="s">
        <v>321</v>
      </c>
      <c r="D23" s="168">
        <v>2.2000000000000002</v>
      </c>
      <c r="E23" s="143"/>
      <c r="F23" s="320" t="s">
        <v>8</v>
      </c>
      <c r="G23" s="144" cm="1">
        <f t="array" ref="G23">INDEX(Price!$L$11:$AY$210,MATCH(1,(Price!$A$11:$A$210=$A23)*(Price!$B$11:$B$210=$B23)*(Price!$D$11:$D$210="exw"),0),MATCH(1,(Price!$L$3:$AY$3=G$3)*(Price!$L$4:$AY$4=G$4),0))</f>
        <v>1162</v>
      </c>
      <c r="H23" s="144" cm="1">
        <f t="array" ref="H23">INDEX(Price!$L$11:$AY$210,MATCH(1,(Price!$A$11:$A$210=$A23)*(Price!$B$11:$B$210=$B23)*(Price!$D$11:$D$210="exw"),0),MATCH(1,(Price!$L$3:$AY$3=H$3)*(Price!$L$4:$AY$4=H$4),0))</f>
        <v>1162</v>
      </c>
      <c r="I23" s="144" cm="1">
        <f t="array" ref="I23">INDEX(Price!$L$11:$AY$210,MATCH(1,(Price!$A$11:$A$210=$A23)*(Price!$B$11:$B$210=$B23)*(Price!$D$11:$D$210="exw"),0),MATCH(1,(Price!$L$3:$AY$3=I$3)*(Price!$L$4:$AY$4=I$4),0))</f>
        <v>1162</v>
      </c>
      <c r="J23" s="144" cm="1">
        <f t="array" ref="J23">INDEX(Price!$L$11:$AY$210,MATCH(1,(Price!$A$11:$A$210=$A23)*(Price!$B$11:$B$210=$B23)*(Price!$D$11:$D$210="exw"),0),MATCH(1,(Price!$L$3:$AY$3=J$3)*(Price!$L$4:$AY$4=J$4),0))</f>
        <v>1162</v>
      </c>
      <c r="K23" s="144" cm="1">
        <f t="array" ref="K23">INDEX(Price!$L$11:$AY$210,MATCH(1,(Price!$A$11:$A$210=$A23)*(Price!$B$11:$B$210=$B23)*(Price!$D$11:$D$210="exw"),0),MATCH(1,(Price!$L$3:$AY$3=K$3)*(Price!$L$4:$AY$4=K$4),0))</f>
        <v>1162</v>
      </c>
      <c r="L23" s="144" cm="1">
        <f t="array" ref="L23">INDEX(Price!$L$11:$AY$210,MATCH(1,(Price!$A$11:$A$210=$A23)*(Price!$B$11:$B$210=$B23)*(Price!$D$11:$D$210="exw"),0),MATCH(1,(Price!$L$3:$AY$3=L$3)*(Price!$L$4:$AY$4=L$4),0))</f>
        <v>1162.8864999999998</v>
      </c>
      <c r="M23" s="144" cm="1">
        <f t="array" ref="M23">INDEX(Price!$L$11:$AY$210,MATCH(1,(Price!$A$11:$A$210=$A23)*(Price!$B$11:$B$210=$B23)*(Price!$D$11:$D$210="exw"),0),MATCH(1,(Price!$L$3:$AY$3=M$3)*(Price!$L$4:$AY$4=M$4),0))</f>
        <v>1176.184</v>
      </c>
      <c r="N23" s="144" cm="1">
        <f t="array" ref="N23">INDEX(Price!$L$11:$AY$210,MATCH(1,(Price!$A$11:$A$210=$A23)*(Price!$B$11:$B$210=$B23)*(Price!$D$11:$D$210="exw"),0),MATCH(1,(Price!$L$3:$AY$3=N$3)*(Price!$L$4:$AY$4=N$4),0))</f>
        <v>1187.7085</v>
      </c>
      <c r="O23" s="144" cm="1">
        <f t="array" ref="O23">INDEX(Price!$L$11:$AY$210,MATCH(1,(Price!$A$11:$A$210=$A23)*(Price!$B$11:$B$210=$B23)*(Price!$D$11:$D$210="exw"),0),MATCH(1,(Price!$L$3:$AY$3=O$3)*(Price!$L$4:$AY$4=O$4),0))</f>
        <v>1203.9610000000002</v>
      </c>
      <c r="P23" s="144" cm="1">
        <f t="array" ref="P23">INDEX(Price!$L$11:$AY$210,MATCH(1,(Price!$A$11:$A$210=$A23)*(Price!$B$11:$B$210=$B23)*(Price!$D$11:$D$210="exw"),0),MATCH(1,(Price!$L$3:$AY$3=P$3)*(Price!$L$4:$AY$4=P$4),0))</f>
        <v>1222.42975</v>
      </c>
      <c r="Q23" s="144" cm="1">
        <f t="array" ref="Q23">INDEX(Price!$L$11:$AY$210,MATCH(1,(Price!$A$11:$A$210=$A23)*(Price!$B$11:$B$210=$B23)*(Price!$D$11:$D$210="exw"),0),MATCH(1,(Price!$L$3:$AY$3=Q$3)*(Price!$L$4:$AY$4=Q$4),0))</f>
        <v>1242.5237500000001</v>
      </c>
      <c r="R23" s="145" cm="1">
        <f t="array" ref="R23">INDEX(Price!$L$11:$AY$210,MATCH(1,(Price!$A$11:$A$210=$A23)*(Price!$B$11:$B$210=$B23)*(Price!$D$11:$D$210="exw"),0),MATCH(1,(Price!$L$3:$AY$3=R$3)*(Price!$L$4:$AY$4=R$4),0))</f>
        <v>1251.3887500000001</v>
      </c>
      <c r="S23" s="144" cm="1">
        <f t="array" ref="S23">INDEX(Price!$L$11:$AY$210,MATCH(1,(Price!$A$11:$A$210=$A23)*(Price!$B$11:$B$210=$B23)*(Price!$D$11:$D$210="exw"),0),MATCH(1,(Price!$L$3:$AY$3=S$3)*(Price!$L$4:$AY$4=S$4),0))</f>
        <v>1249.5418749999999</v>
      </c>
      <c r="T23" s="144" cm="1">
        <f t="array" ref="T23">INDEX(Price!$L$11:$AY$210,MATCH(1,(Price!$A$11:$A$210=$A23)*(Price!$B$11:$B$210=$B23)*(Price!$D$11:$D$210="exw"),0),MATCH(1,(Price!$L$3:$AY$3=T$3)*(Price!$L$4:$AY$4=T$4),0))</f>
        <v>1225.409374999999</v>
      </c>
      <c r="U23" s="144" cm="1">
        <f t="array" ref="U23">INDEX(Price!$L$11:$AY$210,MATCH(1,(Price!$A$11:$A$210=$A23)*(Price!$B$11:$B$210=$B23)*(Price!$D$11:$D$210="exw"),0),MATCH(1,(Price!$L$3:$AY$3=U$3)*(Price!$L$4:$AY$4=U$4),0))</f>
        <v>1200.2918749999992</v>
      </c>
      <c r="V23" s="144" cm="1">
        <f t="array" ref="V23">INDEX(Price!$L$11:$AY$210,MATCH(1,(Price!$A$11:$A$210=$A23)*(Price!$B$11:$B$210=$B23)*(Price!$D$11:$D$210="exw"),0),MATCH(1,(Price!$L$3:$AY$3=V$3)*(Price!$L$4:$AY$4=V$4),0))</f>
        <v>1179.5818000000002</v>
      </c>
      <c r="W23" s="144" cm="1">
        <f t="array" ref="W23">INDEX(Price!$L$11:$AY$210,MATCH(1,(Price!$A$11:$A$210=$A23)*(Price!$B$11:$B$210=$B23)*(Price!$D$11:$D$210="exw"),0),MATCH(1,(Price!$L$3:$AY$3=W$3)*(Price!$L$4:$AY$4=W$4),0))</f>
        <v>1180.6849999999999</v>
      </c>
      <c r="X23" s="144" cm="1">
        <f t="array" ref="X23">INDEX(Price!$L$11:$AY$210,MATCH(1,(Price!$A$11:$A$210=$A23)*(Price!$B$11:$B$210=$B23)*(Price!$D$11:$D$210="exw"),0),MATCH(1,(Price!$L$3:$AY$3=X$3)*(Price!$L$4:$AY$4=X$4),0))</f>
        <v>1183.6400000000001</v>
      </c>
      <c r="Y23" s="144" cm="1">
        <f t="array" ref="Y23">INDEX(Price!$L$11:$AY$210,MATCH(1,(Price!$A$11:$A$210=$A23)*(Price!$B$11:$B$210=$B23)*(Price!$D$11:$D$210="exw"),0),MATCH(1,(Price!$L$3:$AY$3=Y$3)*(Price!$L$4:$AY$4=Y$4),0))</f>
        <v>1183.6400000000001</v>
      </c>
      <c r="Z23" s="144" cm="1">
        <f t="array" ref="Z23">INDEX(Price!$L$11:$AY$210,MATCH(1,(Price!$A$11:$A$210=$A23)*(Price!$B$11:$B$210=$B23)*(Price!$D$11:$D$210="exw"),0),MATCH(1,(Price!$L$3:$AY$3=Z$3)*(Price!$L$4:$AY$4=Z$4),0))</f>
        <v>1175.002</v>
      </c>
      <c r="AA23" s="144" cm="1">
        <f t="array" ref="AA23">INDEX(Price!$L$11:$AY$210,MATCH(1,(Price!$A$11:$A$210=$A23)*(Price!$B$11:$B$210=$B23)*(Price!$D$11:$D$210="exw"),0),MATCH(1,(Price!$L$3:$AY$3=AA$3)*(Price!$L$4:$AY$4=AA$4),0))</f>
        <v>1162</v>
      </c>
      <c r="AB23" s="144" cm="1">
        <f t="array" ref="AB23">INDEX(Price!$L$11:$AY$210,MATCH(1,(Price!$A$11:$A$210=$A23)*(Price!$B$11:$B$210=$B23)*(Price!$D$11:$D$210="exw"),0),MATCH(1,(Price!$L$3:$AY$3=AB$3)*(Price!$L$4:$AY$4=AB$4),0))</f>
        <v>1162</v>
      </c>
      <c r="AC23" s="144" cm="1">
        <f t="array" ref="AC23">INDEX(Price!$L$11:$AY$210,MATCH(1,(Price!$A$11:$A$210=$A23)*(Price!$B$11:$B$210=$B23)*(Price!$D$11:$D$210="exw"),0),MATCH(1,(Price!$L$3:$AY$3=AC$3)*(Price!$L$4:$AY$4=AC$4),0))</f>
        <v>1162</v>
      </c>
      <c r="AD23" s="145" cm="1">
        <f t="array" ref="AD23">INDEX(Price!$L$11:$AY$210,MATCH(1,(Price!$A$11:$A$210=$A23)*(Price!$B$11:$B$210=$B23)*(Price!$D$11:$D$210="exw"),0),MATCH(1,(Price!$L$3:$AY$3=AD$3)*(Price!$L$4:$AY$4=AD$4),0))</f>
        <v>1063.5</v>
      </c>
      <c r="AE23" s="144" cm="1">
        <f t="array" ref="AE23">INDEX(Price!$L$11:$AY$210,MATCH(1,(Price!$A$11:$A$210=$A23)*(Price!$B$11:$B$210=$B23)*(Price!$D$11:$D$210="exw"),0),MATCH(1,(Price!$L$3:$AY$3=AE$3)*(Price!$L$4:$AY$4=AE$4),0))</f>
        <v>1083.2</v>
      </c>
      <c r="AF23" s="144" cm="1">
        <f t="array" ref="AF23">INDEX(Price!$L$11:$AY$210,MATCH(1,(Price!$A$11:$A$210=$A23)*(Price!$B$11:$B$210=$B23)*(Price!$D$11:$D$210="exw"),0),MATCH(1,(Price!$L$3:$AY$3=AF$3)*(Price!$L$4:$AY$4=AF$4),0))</f>
        <v>1053.6500000000001</v>
      </c>
      <c r="AG23" s="144" cm="1">
        <f t="array" ref="AG23">INDEX(Price!$L$11:$AY$210,MATCH(1,(Price!$A$11:$A$210=$A23)*(Price!$B$11:$B$210=$B23)*(Price!$D$11:$D$210="exw"),0),MATCH(1,(Price!$L$3:$AY$3=AG$3)*(Price!$L$4:$AY$4=AG$4),0))</f>
        <v>1064.73125</v>
      </c>
      <c r="AH23" s="144" cm="1">
        <f t="array" ref="AH23">INDEX(Price!$L$11:$AY$210,MATCH(1,(Price!$A$11:$A$210=$A23)*(Price!$B$11:$B$210=$B23)*(Price!$D$11:$D$210="exw"),0),MATCH(1,(Price!$L$3:$AY$3=AH$3)*(Price!$L$4:$AY$4=AH$4),0))</f>
        <v>1112.75</v>
      </c>
      <c r="AI23" s="144" cm="1">
        <f t="array" ref="AI23">INDEX(Price!$L$11:$AY$210,MATCH(1,(Price!$A$11:$A$210=$A23)*(Price!$B$11:$B$210=$B23)*(Price!$D$11:$D$210="exw"),0),MATCH(1,(Price!$L$3:$AY$3=AI$3)*(Price!$L$4:$AY$4=AI$4),0))</f>
        <v>1112.75</v>
      </c>
      <c r="AJ23" s="144" cm="1">
        <f t="array" ref="AJ23">INDEX(Price!$L$11:$AY$210,MATCH(1,(Price!$A$11:$A$210=$A23)*(Price!$B$11:$B$210=$B23)*(Price!$D$11:$D$210="exw"),0),MATCH(1,(Price!$L$3:$AY$3=AJ$3)*(Price!$L$4:$AY$4=AJ$4),0))</f>
        <v>1112.75</v>
      </c>
      <c r="AK23" s="144"/>
      <c r="AL23" s="144"/>
      <c r="AM23" s="144"/>
      <c r="AN23" s="144"/>
      <c r="AO23" s="144"/>
      <c r="AP23" s="145"/>
    </row>
    <row r="24" spans="1:42" ht="11.4" customHeight="1" outlineLevel="1" x14ac:dyDescent="0.3">
      <c r="A24" t="s">
        <v>430</v>
      </c>
      <c r="B24" t="s">
        <v>15</v>
      </c>
      <c r="C24" s="14" t="s">
        <v>9</v>
      </c>
      <c r="D24" s="169">
        <v>2.2999999999999998</v>
      </c>
      <c r="E24" s="8"/>
      <c r="F24" s="321" t="s">
        <v>11</v>
      </c>
      <c r="G24" s="315" cm="1">
        <f t="array" ref="G24">SUMPRODUCT(General_Data*(Code_General_Data=$C24)*(Year=G$3)*(Month=G$4))</f>
        <v>930</v>
      </c>
      <c r="H24" s="132" cm="1">
        <f t="array" ref="H24">SUMPRODUCT(General_Data*(Code_General_Data=$C24)*(Year=H$3)*(Month=H$4))</f>
        <v>943.33333333333337</v>
      </c>
      <c r="I24" s="132" cm="1">
        <f t="array" ref="I24">SUMPRODUCT(General_Data*(Code_General_Data=$C24)*(Year=I$3)*(Month=I$4))</f>
        <v>940</v>
      </c>
      <c r="J24" s="132" cm="1">
        <f t="array" ref="J24">SUMPRODUCT(General_Data*(Code_General_Data=$C24)*(Year=J$3)*(Month=J$4))</f>
        <v>940</v>
      </c>
      <c r="K24" s="132" cm="1">
        <f t="array" ref="K24">SUMPRODUCT(General_Data*(Code_General_Data=$C24)*(Year=K$3)*(Month=K$4))</f>
        <v>942</v>
      </c>
      <c r="L24" s="132" cm="1">
        <f t="array" ref="L24">SUMPRODUCT(General_Data*(Code_General_Data=$C24)*(Year=L$3)*(Month=L$4))</f>
        <v>950</v>
      </c>
      <c r="M24" s="132" cm="1">
        <f t="array" ref="M24">SUMPRODUCT(General_Data*(Code_General_Data=$C24)*(Year=M$3)*(Month=M$4))</f>
        <v>947.5</v>
      </c>
      <c r="N24" s="132" cm="1">
        <f t="array" ref="N24">SUMPRODUCT(General_Data*(Code_General_Data=$C24)*(Year=N$3)*(Month=N$4))</f>
        <v>930</v>
      </c>
      <c r="O24" s="132" cm="1">
        <f t="array" ref="O24">SUMPRODUCT(General_Data*(Code_General_Data=$C24)*(Year=O$3)*(Month=O$4))</f>
        <v>880</v>
      </c>
      <c r="P24" s="132" cm="1">
        <f t="array" ref="P24">SUMPRODUCT(General_Data*(Code_General_Data=$C24)*(Year=P$3)*(Month=P$4))</f>
        <v>862.5</v>
      </c>
      <c r="Q24" s="132" cm="1">
        <f t="array" ref="Q24">SUMPRODUCT(General_Data*(Code_General_Data=$C24)*(Year=Q$3)*(Month=Q$4))</f>
        <v>852</v>
      </c>
      <c r="R24" s="133" cm="1">
        <f t="array" ref="R24">SUMPRODUCT(General_Data*(Code_General_Data=$C24)*(Year=R$3)*(Month=R$4))</f>
        <v>830</v>
      </c>
      <c r="S24" s="132" cm="1">
        <f t="array" ref="S24">SUMPRODUCT(General_Data*(Code_General_Data=$C24)*(Year=S$3)*(Month=S$4))</f>
        <v>828</v>
      </c>
      <c r="T24" s="132" cm="1">
        <f t="array" ref="T24">SUMPRODUCT(General_Data*(Code_General_Data=$C24)*(Year=T$3)*(Month=T$4))</f>
        <v>840</v>
      </c>
      <c r="U24" s="132" cm="1">
        <f t="array" ref="U24">SUMPRODUCT(General_Data*(Code_General_Data=$C24)*(Year=U$3)*(Month=U$4))</f>
        <v>823</v>
      </c>
      <c r="V24" s="132" cm="1">
        <f t="array" ref="V24">SUMPRODUCT(General_Data*(Code_General_Data=$C24)*(Year=V$3)*(Month=V$4))</f>
        <v>765</v>
      </c>
      <c r="W24" s="132" cm="1">
        <f t="array" ref="W24">SUMPRODUCT(General_Data*(Code_General_Data=$C24)*(Year=W$3)*(Month=W$4))</f>
        <v>782</v>
      </c>
      <c r="X24" s="132" cm="1">
        <f t="array" ref="X24">SUMPRODUCT(General_Data*(Code_General_Data=$C24)*(Year=X$3)*(Month=X$4))</f>
        <v>807.5</v>
      </c>
      <c r="Y24" s="132" cm="1">
        <f t="array" ref="Y24">SUMPRODUCT(General_Data*(Code_General_Data=$C24)*(Year=Y$3)*(Month=Y$4))</f>
        <v>802</v>
      </c>
      <c r="Z24" s="132" cm="1">
        <f t="array" ref="Z24">SUMPRODUCT(General_Data*(Code_General_Data=$C24)*(Year=Z$3)*(Month=Z$4))</f>
        <v>795</v>
      </c>
      <c r="AA24" s="132" cm="1">
        <f t="array" ref="AA24">SUMPRODUCT(General_Data*(Code_General_Data=$C24)*(Year=AA$3)*(Month=AA$4))</f>
        <v>783</v>
      </c>
      <c r="AB24" s="132" cm="1">
        <f t="array" ref="AB24">SUMPRODUCT(General_Data*(Code_General_Data=$C24)*(Year=AB$3)*(Month=AB$4))</f>
        <v>772</v>
      </c>
      <c r="AC24" s="132" cm="1">
        <f t="array" ref="AC24">SUMPRODUCT(General_Data*(Code_General_Data=$C24)*(Year=AC$3)*(Month=AC$4))</f>
        <v>770</v>
      </c>
      <c r="AD24" s="133" cm="1">
        <f t="array" ref="AD24">SUMPRODUCT(General_Data*(Code_General_Data=$C24)*(Year=AD$3)*(Month=AD$4))</f>
        <v>772.5</v>
      </c>
      <c r="AE24" s="132" cm="1">
        <f t="array" ref="AE24">SUMPRODUCT(General_Data*(Code_General_Data=$C24)*(Year=AE$3)*(Month=AE$4))</f>
        <v>805</v>
      </c>
      <c r="AF24" s="132" cm="1">
        <f t="array" ref="AF24">SUMPRODUCT(General_Data*(Code_General_Data=$C24)*(Year=AF$3)*(Month=AF$4))</f>
        <v>840</v>
      </c>
      <c r="AG24" s="132" cm="1">
        <f t="array" ref="AG24">SUMPRODUCT(General_Data*(Code_General_Data=$C24)*(Year=AG$3)*(Month=AG$4))</f>
        <v>1109</v>
      </c>
      <c r="AH24" s="132" cm="1">
        <f t="array" ref="AH24">SUMPRODUCT(General_Data*(Code_General_Data=$C24)*(Year=AH$3)*(Month=AH$4))</f>
        <v>1194</v>
      </c>
      <c r="AI24" s="132" cm="1">
        <f t="array" ref="AI24">SUMPRODUCT(General_Data*(Code_General_Data=$C24)*(Year=AI$3)*(Month=AI$4))</f>
        <v>1216</v>
      </c>
      <c r="AJ24" s="132" cm="1">
        <f t="array" ref="AJ24">SUMPRODUCT(General_Data*(Code_General_Data=$C24)*(Year=AJ$3)*(Month=AJ$4))</f>
        <v>1190</v>
      </c>
      <c r="AK24" s="132"/>
      <c r="AL24" s="132"/>
      <c r="AM24" s="132"/>
      <c r="AN24" s="132"/>
      <c r="AO24" s="132"/>
      <c r="AP24" s="133"/>
    </row>
    <row r="25" spans="1:42" s="151" customFormat="1" ht="11.4" customHeight="1" outlineLevel="1" x14ac:dyDescent="0.3">
      <c r="A25" s="151" t="s">
        <v>430</v>
      </c>
      <c r="B25" s="151" t="s">
        <v>15</v>
      </c>
      <c r="D25" s="170">
        <v>2.4</v>
      </c>
      <c r="E25" s="152"/>
      <c r="F25" s="322" t="s">
        <v>406</v>
      </c>
      <c r="G25" s="153">
        <f>IF(G22*G23*G24&lt;&gt;0,G23-G24,0)</f>
        <v>232</v>
      </c>
      <c r="H25" s="153">
        <f t="shared" ref="H25:AD25" si="12">IF(H22*H23*H24&lt;&gt;0,H23-H24,0)</f>
        <v>218.66666666666663</v>
      </c>
      <c r="I25" s="153">
        <f t="shared" si="12"/>
        <v>222</v>
      </c>
      <c r="J25" s="153">
        <f t="shared" si="12"/>
        <v>222</v>
      </c>
      <c r="K25" s="153">
        <f t="shared" si="12"/>
        <v>220</v>
      </c>
      <c r="L25" s="153">
        <f t="shared" si="12"/>
        <v>212.88649999999984</v>
      </c>
      <c r="M25" s="153">
        <f t="shared" si="12"/>
        <v>228.68399999999997</v>
      </c>
      <c r="N25" s="153">
        <f t="shared" si="12"/>
        <v>257.70849999999996</v>
      </c>
      <c r="O25" s="153">
        <f t="shared" si="12"/>
        <v>323.96100000000024</v>
      </c>
      <c r="P25" s="153">
        <f t="shared" si="12"/>
        <v>359.92975000000001</v>
      </c>
      <c r="Q25" s="153">
        <f t="shared" si="12"/>
        <v>390.52375000000006</v>
      </c>
      <c r="R25" s="154">
        <f t="shared" si="12"/>
        <v>421.38875000000007</v>
      </c>
      <c r="S25" s="153">
        <f t="shared" si="12"/>
        <v>421.54187499999989</v>
      </c>
      <c r="T25" s="153">
        <f t="shared" si="12"/>
        <v>385.40937499999905</v>
      </c>
      <c r="U25" s="153">
        <f t="shared" si="12"/>
        <v>377.29187499999921</v>
      </c>
      <c r="V25" s="153">
        <f t="shared" si="12"/>
        <v>414.58180000000016</v>
      </c>
      <c r="W25" s="153">
        <f t="shared" si="12"/>
        <v>398.68499999999995</v>
      </c>
      <c r="X25" s="153">
        <f t="shared" si="12"/>
        <v>376.1400000000001</v>
      </c>
      <c r="Y25" s="153">
        <f t="shared" si="12"/>
        <v>381.6400000000001</v>
      </c>
      <c r="Z25" s="153">
        <f t="shared" si="12"/>
        <v>380.00199999999995</v>
      </c>
      <c r="AA25" s="153">
        <f t="shared" si="12"/>
        <v>379</v>
      </c>
      <c r="AB25" s="153">
        <f t="shared" si="12"/>
        <v>390</v>
      </c>
      <c r="AC25" s="153">
        <f t="shared" si="12"/>
        <v>392</v>
      </c>
      <c r="AD25" s="154">
        <f t="shared" si="12"/>
        <v>291</v>
      </c>
      <c r="AE25" s="153">
        <f t="shared" ref="AE25:AG25" si="13">IF(AE22*AE23*AE24&lt;&gt;0,AE23-AE24,0)</f>
        <v>278.20000000000005</v>
      </c>
      <c r="AF25" s="153">
        <f t="shared" si="13"/>
        <v>213.65000000000009</v>
      </c>
      <c r="AG25" s="153">
        <f t="shared" si="13"/>
        <v>-44.268749999999955</v>
      </c>
      <c r="AH25" s="153">
        <f>IF(AH22*AH23*AH24&lt;&gt;0,AH23-AH24,0)</f>
        <v>-81.25</v>
      </c>
      <c r="AI25" s="153">
        <f>IF(AI22*AI23*AI24&lt;&gt;0,AI23-AI24,0)</f>
        <v>-103.25</v>
      </c>
      <c r="AJ25" s="153">
        <f>IF(AJ22*AJ23*AJ24&lt;&gt;0,AJ23-AJ24,0)</f>
        <v>-77.25</v>
      </c>
      <c r="AK25" s="153"/>
      <c r="AL25" s="153"/>
      <c r="AM25" s="153"/>
      <c r="AN25" s="153"/>
      <c r="AO25" s="153"/>
      <c r="AP25" s="154"/>
    </row>
    <row r="26" spans="1:42" s="155" customFormat="1" ht="11.4" customHeight="1" outlineLevel="1" x14ac:dyDescent="0.3">
      <c r="A26" s="155" t="s">
        <v>430</v>
      </c>
      <c r="B26" s="155" t="s">
        <v>15</v>
      </c>
      <c r="D26" s="171">
        <v>2.5</v>
      </c>
      <c r="E26" s="156"/>
      <c r="F26" s="323" t="s">
        <v>14</v>
      </c>
      <c r="G26" s="497">
        <f>IFERROR(G25/G24,0)</f>
        <v>0.24946236559139784</v>
      </c>
      <c r="H26" s="497">
        <f t="shared" ref="H26:AD26" si="14">IFERROR(H25/H24,0)</f>
        <v>0.23180212014134272</v>
      </c>
      <c r="I26" s="497">
        <f t="shared" si="14"/>
        <v>0.23617021276595745</v>
      </c>
      <c r="J26" s="497">
        <f t="shared" si="14"/>
        <v>0.23617021276595745</v>
      </c>
      <c r="K26" s="497">
        <f t="shared" si="14"/>
        <v>0.23354564755838642</v>
      </c>
      <c r="L26" s="497">
        <f t="shared" si="14"/>
        <v>0.22409105263157877</v>
      </c>
      <c r="M26" s="497">
        <f t="shared" si="14"/>
        <v>0.24135514511873349</v>
      </c>
      <c r="N26" s="497">
        <f t="shared" si="14"/>
        <v>0.2771059139784946</v>
      </c>
      <c r="O26" s="497">
        <f t="shared" si="14"/>
        <v>0.36813750000000028</v>
      </c>
      <c r="P26" s="497">
        <f t="shared" si="14"/>
        <v>0.41730985507246376</v>
      </c>
      <c r="Q26" s="497">
        <f t="shared" si="14"/>
        <v>0.45836120892018789</v>
      </c>
      <c r="R26" s="498">
        <f t="shared" si="14"/>
        <v>0.5076972891566266</v>
      </c>
      <c r="S26" s="497">
        <f t="shared" si="14"/>
        <v>0.50910854468599021</v>
      </c>
      <c r="T26" s="497">
        <f t="shared" si="14"/>
        <v>0.45882068452380836</v>
      </c>
      <c r="U26" s="497">
        <f t="shared" si="14"/>
        <v>0.4584348420413113</v>
      </c>
      <c r="V26" s="497">
        <f t="shared" si="14"/>
        <v>0.54193699346405244</v>
      </c>
      <c r="W26" s="497">
        <f t="shared" si="14"/>
        <v>0.50982736572890019</v>
      </c>
      <c r="X26" s="497">
        <f t="shared" si="14"/>
        <v>0.46580804953560384</v>
      </c>
      <c r="Y26" s="497">
        <f t="shared" si="14"/>
        <v>0.47586034912718217</v>
      </c>
      <c r="Z26" s="497">
        <f t="shared" si="14"/>
        <v>0.47798993710691817</v>
      </c>
      <c r="AA26" s="497">
        <f t="shared" si="14"/>
        <v>0.48403575989782888</v>
      </c>
      <c r="AB26" s="497">
        <f t="shared" si="14"/>
        <v>0.50518134715025909</v>
      </c>
      <c r="AC26" s="497">
        <f t="shared" si="14"/>
        <v>0.50909090909090904</v>
      </c>
      <c r="AD26" s="498">
        <f t="shared" si="14"/>
        <v>0.37669902912621361</v>
      </c>
      <c r="AE26" s="497">
        <f t="shared" ref="AE26:AG26" si="15">IFERROR(AE25/AE24,0)</f>
        <v>0.34559006211180132</v>
      </c>
      <c r="AF26" s="497">
        <f t="shared" si="15"/>
        <v>0.25434523809523818</v>
      </c>
      <c r="AG26" s="497">
        <f t="shared" si="15"/>
        <v>-3.9917718665464341E-2</v>
      </c>
      <c r="AH26" s="497">
        <f>IFERROR(AH25/AH24,0)</f>
        <v>-6.8048576214405354E-2</v>
      </c>
      <c r="AI26" s="497">
        <f>IFERROR(AI25/AI24,0)</f>
        <v>-8.4909539473684209E-2</v>
      </c>
      <c r="AJ26" s="497">
        <f>IFERROR(AJ25/AJ24,0)</f>
        <v>-6.4915966386554627E-2</v>
      </c>
      <c r="AK26" s="497"/>
      <c r="AL26" s="497"/>
      <c r="AM26" s="497"/>
      <c r="AN26" s="497"/>
      <c r="AO26" s="497"/>
      <c r="AP26" s="498"/>
    </row>
    <row r="27" spans="1:42" s="137" customFormat="1" ht="11.4" customHeight="1" outlineLevel="1" x14ac:dyDescent="0.3">
      <c r="A27" s="137" t="s">
        <v>430</v>
      </c>
      <c r="B27" s="137" t="s">
        <v>15</v>
      </c>
      <c r="C27" s="137" t="s">
        <v>15</v>
      </c>
      <c r="D27" s="172">
        <v>2.6</v>
      </c>
      <c r="E27" s="138"/>
      <c r="F27" s="324" t="s">
        <v>202</v>
      </c>
      <c r="G27" s="139" cm="1">
        <f t="array" ref="G27">SUMPRODUCT(General_Data*(Code_General_Data=$C27)*(Year=G$3)*(Month=G$4))</f>
        <v>1250</v>
      </c>
      <c r="H27" s="139" cm="1">
        <f t="array" ref="H27">SUMPRODUCT(General_Data*(Code_General_Data=$C27)*(Year=H$3)*(Month=H$4))</f>
        <v>1250</v>
      </c>
      <c r="I27" s="139" cm="1">
        <f t="array" ref="I27">SUMPRODUCT(General_Data*(Code_General_Data=$C27)*(Year=I$3)*(Month=I$4))</f>
        <v>1250</v>
      </c>
      <c r="J27" s="139" cm="1">
        <f t="array" ref="J27">SUMPRODUCT(General_Data*(Code_General_Data=$C27)*(Year=J$3)*(Month=J$4))</f>
        <v>1250</v>
      </c>
      <c r="K27" s="139" cm="1">
        <f t="array" ref="K27">SUMPRODUCT(General_Data*(Code_General_Data=$C27)*(Year=K$3)*(Month=K$4))</f>
        <v>1300</v>
      </c>
      <c r="L27" s="139" cm="1">
        <f t="array" ref="L27">SUMPRODUCT(General_Data*(Code_General_Data=$C27)*(Year=L$3)*(Month=L$4))</f>
        <v>1300</v>
      </c>
      <c r="M27" s="139" cm="1">
        <f t="array" ref="M27">SUMPRODUCT(General_Data*(Code_General_Data=$C27)*(Year=M$3)*(Month=M$4))</f>
        <v>1300</v>
      </c>
      <c r="N27" s="139" cm="1">
        <f t="array" ref="N27">SUMPRODUCT(General_Data*(Code_General_Data=$C27)*(Year=N$3)*(Month=N$4))</f>
        <v>1300</v>
      </c>
      <c r="O27" s="139" cm="1">
        <f t="array" ref="O27">SUMPRODUCT(General_Data*(Code_General_Data=$C27)*(Year=O$3)*(Month=O$4))</f>
        <v>1310</v>
      </c>
      <c r="P27" s="139" cm="1">
        <f t="array" ref="P27">SUMPRODUCT(General_Data*(Code_General_Data=$C27)*(Year=P$3)*(Month=P$4))</f>
        <v>1325</v>
      </c>
      <c r="Q27" s="139" cm="1">
        <f t="array" ref="Q27">SUMPRODUCT(General_Data*(Code_General_Data=$C27)*(Year=Q$3)*(Month=Q$4))</f>
        <v>1325</v>
      </c>
      <c r="R27" s="140" cm="1">
        <f t="array" ref="R27">SUMPRODUCT(General_Data*(Code_General_Data=$C27)*(Year=R$3)*(Month=R$4))</f>
        <v>1275</v>
      </c>
      <c r="S27" s="139" cm="1">
        <f t="array" ref="S27">SUMPRODUCT(General_Data*(Code_General_Data=$C27)*(Year=S$3)*(Month=S$4))</f>
        <v>1230</v>
      </c>
      <c r="T27" s="139" cm="1">
        <f t="array" ref="T27">SUMPRODUCT(General_Data*(Code_General_Data=$C27)*(Year=T$3)*(Month=T$4))</f>
        <v>1230</v>
      </c>
      <c r="U27" s="139" cm="1">
        <f t="array" ref="U27">SUMPRODUCT(General_Data*(Code_General_Data=$C27)*(Year=U$3)*(Month=U$4))</f>
        <v>1230</v>
      </c>
      <c r="V27" s="139" cm="1">
        <f t="array" ref="V27">SUMPRODUCT(General_Data*(Code_General_Data=$C27)*(Year=V$3)*(Month=V$4))</f>
        <v>1250</v>
      </c>
      <c r="W27" s="139" cm="1">
        <f t="array" ref="W27">SUMPRODUCT(General_Data*(Code_General_Data=$C27)*(Year=W$3)*(Month=W$4))</f>
        <v>1250</v>
      </c>
      <c r="X27" s="139" cm="1">
        <f t="array" ref="X27">SUMPRODUCT(General_Data*(Code_General_Data=$C27)*(Year=X$3)*(Month=X$4))</f>
        <v>1250</v>
      </c>
      <c r="Y27" s="139" cm="1">
        <f t="array" ref="Y27">SUMPRODUCT(General_Data*(Code_General_Data=$C27)*(Year=Y$3)*(Month=Y$4))</f>
        <v>1250</v>
      </c>
      <c r="Z27" s="139" cm="1">
        <f t="array" ref="Z27">SUMPRODUCT(General_Data*(Code_General_Data=$C27)*(Year=Z$3)*(Month=Z$4))</f>
        <v>1220</v>
      </c>
      <c r="AA27" s="139" cm="1">
        <f t="array" ref="AA27">SUMPRODUCT(General_Data*(Code_General_Data=$C27)*(Year=AA$3)*(Month=AA$4))</f>
        <v>1220</v>
      </c>
      <c r="AB27" s="139" cm="1">
        <f t="array" ref="AB27">SUMPRODUCT(General_Data*(Code_General_Data=$C27)*(Year=AB$3)*(Month=AB$4))</f>
        <v>1210</v>
      </c>
      <c r="AC27" s="139" cm="1">
        <f t="array" ref="AC27">SUMPRODUCT(General_Data*(Code_General_Data=$C27)*(Year=AC$3)*(Month=AC$4))</f>
        <v>1200</v>
      </c>
      <c r="AD27" s="140" cm="1">
        <f t="array" ref="AD27">SUMPRODUCT(General_Data*(Code_General_Data=$C27)*(Year=AD$3)*(Month=AD$4))</f>
        <v>1200</v>
      </c>
      <c r="AE27" s="139" cm="1">
        <f t="array" ref="AE27">SUMPRODUCT(General_Data*(Code_General_Data=$C27)*(Year=AE$3)*(Month=AE$4))</f>
        <v>1160</v>
      </c>
      <c r="AF27" s="139" cm="1">
        <f t="array" ref="AF27">SUMPRODUCT(General_Data*(Code_General_Data=$C27)*(Year=AF$3)*(Month=AF$4))</f>
        <v>1160</v>
      </c>
      <c r="AG27" s="139" cm="1">
        <f t="array" ref="AG27">SUMPRODUCT(General_Data*(Code_General_Data=$C27)*(Year=AG$3)*(Month=AG$4))</f>
        <v>1160</v>
      </c>
      <c r="AH27" s="139" cm="1">
        <f t="array" ref="AH27">SUMPRODUCT(General_Data*(Code_General_Data=$C27)*(Year=AH$3)*(Month=AH$4))</f>
        <v>1280</v>
      </c>
      <c r="AI27" s="139" cm="1">
        <f t="array" ref="AI27">SUMPRODUCT(General_Data*(Code_General_Data=$C27)*(Year=AI$3)*(Month=AI$4))</f>
        <v>1380</v>
      </c>
      <c r="AJ27" s="139" cm="1">
        <f t="array" ref="AJ27">SUMPRODUCT(General_Data*(Code_General_Data=$C27)*(Year=AJ$3)*(Month=AJ$4))</f>
        <v>1350</v>
      </c>
      <c r="AK27" s="139"/>
      <c r="AL27" s="139"/>
      <c r="AM27" s="139"/>
      <c r="AN27" s="139"/>
      <c r="AO27" s="139"/>
      <c r="AP27" s="140"/>
    </row>
    <row r="28" spans="1:42" ht="3.6" customHeight="1" x14ac:dyDescent="0.3">
      <c r="D28" s="165"/>
    </row>
    <row r="29" spans="1:42" s="127" customFormat="1" ht="15.6" customHeight="1" x14ac:dyDescent="0.35">
      <c r="A29" s="127" t="s">
        <v>353</v>
      </c>
      <c r="C29" s="131"/>
      <c r="D29" s="157">
        <v>3</v>
      </c>
      <c r="E29" s="130" t="s">
        <v>351</v>
      </c>
      <c r="F29" s="317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314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314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314"/>
    </row>
    <row r="30" spans="1:42" s="147" customFormat="1" ht="13.35" customHeight="1" outlineLevel="1" x14ac:dyDescent="0.3">
      <c r="A30" s="147" t="s">
        <v>353</v>
      </c>
      <c r="B30" s="147" t="s">
        <v>30</v>
      </c>
      <c r="D30" s="158"/>
      <c r="E30" s="148"/>
      <c r="F30" s="318" t="s">
        <v>29</v>
      </c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9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9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9"/>
    </row>
    <row r="31" spans="1:42" s="69" customFormat="1" ht="11.4" customHeight="1" outlineLevel="1" x14ac:dyDescent="0.3">
      <c r="A31" s="69" t="s">
        <v>353</v>
      </c>
      <c r="B31" s="69" t="s">
        <v>30</v>
      </c>
      <c r="D31" s="159">
        <v>3.1</v>
      </c>
      <c r="E31" s="134"/>
      <c r="F31" s="319" t="s">
        <v>367</v>
      </c>
      <c r="G31" s="135" cm="1">
        <f t="array" ref="G31">INDEX(Price!$L$11:$AY$210,MATCH(1,(Price!$A$11:$A$210=$A31)*(Price!$B$11:$B$210=$B31)*(Price!$D$11:$D$210="gb"),0),MATCH(1,(Price!$L$3:$AY$3=G$3)*(Price!$L$4:$AY$4=G$4),0))</f>
        <v>0</v>
      </c>
      <c r="H31" s="135" cm="1">
        <f t="array" ref="H31">INDEX(Price!$L$11:$AY$210,MATCH(1,(Price!$A$11:$A$210=$A31)*(Price!$B$11:$B$210=$B31)*(Price!$D$11:$D$210="gb"),0),MATCH(1,(Price!$L$3:$AY$3=H$3)*(Price!$L$4:$AY$4=H$4),0))</f>
        <v>0</v>
      </c>
      <c r="I31" s="135" cm="1">
        <f t="array" ref="I31">INDEX(Price!$L$11:$AY$210,MATCH(1,(Price!$A$11:$A$210=$A31)*(Price!$B$11:$B$210=$B31)*(Price!$D$11:$D$210="gb"),0),MATCH(1,(Price!$L$3:$AY$3=I$3)*(Price!$L$4:$AY$4=I$4),0))</f>
        <v>0</v>
      </c>
      <c r="J31" s="135" cm="1">
        <f t="array" ref="J31">INDEX(Price!$L$11:$AY$210,MATCH(1,(Price!$A$11:$A$210=$A31)*(Price!$B$11:$B$210=$B31)*(Price!$D$11:$D$210="gb"),0),MATCH(1,(Price!$L$3:$AY$3=J$3)*(Price!$L$4:$AY$4=J$4),0))</f>
        <v>0</v>
      </c>
      <c r="K31" s="135" cm="1">
        <f t="array" ref="K31">INDEX(Price!$L$11:$AY$210,MATCH(1,(Price!$A$11:$A$210=$A31)*(Price!$B$11:$B$210=$B31)*(Price!$D$11:$D$210="gb"),0),MATCH(1,(Price!$L$3:$AY$3=K$3)*(Price!$L$4:$AY$4=K$4),0))</f>
        <v>0</v>
      </c>
      <c r="L31" s="135" cm="1">
        <f t="array" ref="L31">INDEX(Price!$L$11:$AY$210,MATCH(1,(Price!$A$11:$A$210=$A31)*(Price!$B$11:$B$210=$B31)*(Price!$D$11:$D$210="gb"),0),MATCH(1,(Price!$L$3:$AY$3=L$3)*(Price!$L$4:$AY$4=L$4),0))</f>
        <v>0</v>
      </c>
      <c r="M31" s="135" cm="1">
        <f t="array" ref="M31">INDEX(Price!$L$11:$AY$210,MATCH(1,(Price!$A$11:$A$210=$A31)*(Price!$B$11:$B$210=$B31)*(Price!$D$11:$D$210="gb"),0),MATCH(1,(Price!$L$3:$AY$3=M$3)*(Price!$L$4:$AY$4=M$4),0))</f>
        <v>0</v>
      </c>
      <c r="N31" s="135" cm="1">
        <f t="array" ref="N31">INDEX(Price!$L$11:$AY$210,MATCH(1,(Price!$A$11:$A$210=$A31)*(Price!$B$11:$B$210=$B31)*(Price!$D$11:$D$210="gb"),0),MATCH(1,(Price!$L$3:$AY$3=N$3)*(Price!$L$4:$AY$4=N$4),0))</f>
        <v>0</v>
      </c>
      <c r="O31" s="135" cm="1">
        <f t="array" ref="O31">INDEX(Price!$L$11:$AY$210,MATCH(1,(Price!$A$11:$A$210=$A31)*(Price!$B$11:$B$210=$B31)*(Price!$D$11:$D$210="gb"),0),MATCH(1,(Price!$L$3:$AY$3=O$3)*(Price!$L$4:$AY$4=O$4),0))</f>
        <v>0</v>
      </c>
      <c r="P31" s="135"/>
      <c r="Q31" s="135"/>
      <c r="R31" s="136"/>
      <c r="S31" s="135" cm="1">
        <f t="array" ref="S31">INDEX(Price!$L$11:$AY$210,MATCH(1,(Price!$A$11:$A$210=$A31)*(Price!$B$11:$B$210=$B31)*(Price!$D$11:$D$210="gb"),0),MATCH(1,(Price!$L$3:$AY$3=S$3)*(Price!$L$4:$AY$4=S$4),0))</f>
        <v>1250</v>
      </c>
      <c r="T31" s="135" cm="1">
        <f t="array" ref="T31">INDEX(Price!$L$11:$AY$210,MATCH(1,(Price!$A$11:$A$210=$A31)*(Price!$B$11:$B$210=$B31)*(Price!$D$11:$D$210="gb"),0),MATCH(1,(Price!$L$3:$AY$3=T$3)*(Price!$L$4:$AY$4=T$4),0))</f>
        <v>1250</v>
      </c>
      <c r="U31" s="135" cm="1">
        <f t="array" ref="U31">INDEX(Price!$L$11:$AY$210,MATCH(1,(Price!$A$11:$A$210=$A31)*(Price!$B$11:$B$210=$B31)*(Price!$D$11:$D$210="gb"),0),MATCH(1,(Price!$L$3:$AY$3=U$3)*(Price!$L$4:$AY$4=U$4),0))</f>
        <v>1250</v>
      </c>
      <c r="V31" s="135" cm="1">
        <f t="array" ref="V31">INDEX(Price!$L$11:$AY$210,MATCH(1,(Price!$A$11:$A$210=$A31)*(Price!$B$11:$B$210=$B31)*(Price!$D$11:$D$210="gb"),0),MATCH(1,(Price!$L$3:$AY$3=V$3)*(Price!$L$4:$AY$4=V$4),0))</f>
        <v>1250</v>
      </c>
      <c r="W31" s="135" cm="1">
        <f t="array" ref="W31">INDEX(Price!$L$11:$AY$210,MATCH(1,(Price!$A$11:$A$210=$A31)*(Price!$B$11:$B$210=$B31)*(Price!$D$11:$D$210="gb"),0),MATCH(1,(Price!$L$3:$AY$3=W$3)*(Price!$L$4:$AY$4=W$4),0))</f>
        <v>1250</v>
      </c>
      <c r="X31" s="135" cm="1">
        <f t="array" ref="X31">INDEX(Price!$L$11:$AY$210,MATCH(1,(Price!$A$11:$A$210=$A31)*(Price!$B$11:$B$210=$B31)*(Price!$D$11:$D$210="gb"),0),MATCH(1,(Price!$L$3:$AY$3=X$3)*(Price!$L$4:$AY$4=X$4),0))</f>
        <v>1250</v>
      </c>
      <c r="Y31" s="135" cm="1">
        <f t="array" ref="Y31">INDEX(Price!$L$11:$AY$210,MATCH(1,(Price!$A$11:$A$210=$A31)*(Price!$B$11:$B$210=$B31)*(Price!$D$11:$D$210="gb"),0),MATCH(1,(Price!$L$3:$AY$3=Y$3)*(Price!$L$4:$AY$4=Y$4),0))</f>
        <v>1250</v>
      </c>
      <c r="Z31" s="135" cm="1">
        <f t="array" ref="Z31">INDEX(Price!$L$11:$AY$210,MATCH(1,(Price!$A$11:$A$210=$A31)*(Price!$B$11:$B$210=$B31)*(Price!$D$11:$D$210="gb"),0),MATCH(1,(Price!$L$3:$AY$3=Z$3)*(Price!$L$4:$AY$4=Z$4),0))</f>
        <v>1250</v>
      </c>
      <c r="AA31" s="135" cm="1">
        <f t="array" ref="AA31">INDEX(Price!$L$11:$AY$210,MATCH(1,(Price!$A$11:$A$210=$A31)*(Price!$B$11:$B$210=$B31)*(Price!$D$11:$D$210="gb"),0),MATCH(1,(Price!$L$3:$AY$3=AA$3)*(Price!$L$4:$AY$4=AA$4),0))</f>
        <v>1250</v>
      </c>
      <c r="AB31" s="135" cm="1">
        <f t="array" ref="AB31">INDEX(Price!$L$11:$AY$210,MATCH(1,(Price!$A$11:$A$210=$A31)*(Price!$B$11:$B$210=$B31)*(Price!$D$11:$D$210="gb"),0),MATCH(1,(Price!$L$3:$AY$3=AB$3)*(Price!$L$4:$AY$4=AB$4),0))</f>
        <v>1250</v>
      </c>
      <c r="AC31" s="135" cm="1">
        <f t="array" ref="AC31">INDEX(Price!$L$11:$AY$210,MATCH(1,(Price!$A$11:$A$210=$A31)*(Price!$B$11:$B$210=$B31)*(Price!$D$11:$D$210="gb"),0),MATCH(1,(Price!$L$3:$AY$3=AC$3)*(Price!$L$4:$AY$4=AC$4),0))</f>
        <v>1250</v>
      </c>
      <c r="AD31" s="136" cm="1">
        <f t="array" ref="AD31">INDEX(Price!$L$11:$AY$210,MATCH(1,(Price!$A$11:$A$210=$A31)*(Price!$B$11:$B$210=$B31)*(Price!$D$11:$D$210="gb"),0),MATCH(1,(Price!$L$3:$AY$3=AD$3)*(Price!$L$4:$AY$4=AD$4),0))</f>
        <v>1250</v>
      </c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6"/>
    </row>
    <row r="32" spans="1:42" s="1" customFormat="1" ht="11.4" customHeight="1" outlineLevel="1" x14ac:dyDescent="0.3">
      <c r="A32" s="1" t="s">
        <v>353</v>
      </c>
      <c r="B32" s="1" t="s">
        <v>30</v>
      </c>
      <c r="C32" s="142" t="s">
        <v>321</v>
      </c>
      <c r="D32" s="160">
        <v>3.2</v>
      </c>
      <c r="E32" s="143"/>
      <c r="F32" s="320" t="s">
        <v>8</v>
      </c>
      <c r="G32" s="144" cm="1">
        <f t="array" ref="G32">INDEX(Price!$L$11:$AY$210,MATCH(1,(Price!$A$11:$A$210=$A32)*(Price!$B$11:$B$210=$B32)*(Price!$D$11:$D$210="exw"),0),MATCH(1,(Price!$L$3:$AY$3=G$3)*(Price!$L$4:$AY$4=G$4),0))</f>
        <v>0</v>
      </c>
      <c r="H32" s="144" cm="1">
        <f t="array" ref="H32">INDEX(Price!$L$11:$AY$210,MATCH(1,(Price!$A$11:$A$210=$A32)*(Price!$B$11:$B$210=$B32)*(Price!$D$11:$D$210="exw"),0),MATCH(1,(Price!$L$3:$AY$3=H$3)*(Price!$L$4:$AY$4=H$4),0))</f>
        <v>0</v>
      </c>
      <c r="I32" s="144" cm="1">
        <f t="array" ref="I32">INDEX(Price!$L$11:$AY$210,MATCH(1,(Price!$A$11:$A$210=$A32)*(Price!$B$11:$B$210=$B32)*(Price!$D$11:$D$210="exw"),0),MATCH(1,(Price!$L$3:$AY$3=I$3)*(Price!$L$4:$AY$4=I$4),0))</f>
        <v>0</v>
      </c>
      <c r="J32" s="144" cm="1">
        <f t="array" ref="J32">INDEX(Price!$L$11:$AY$210,MATCH(1,(Price!$A$11:$A$210=$A32)*(Price!$B$11:$B$210=$B32)*(Price!$D$11:$D$210="exw"),0),MATCH(1,(Price!$L$3:$AY$3=J$3)*(Price!$L$4:$AY$4=J$4),0))</f>
        <v>0</v>
      </c>
      <c r="K32" s="144" cm="1">
        <f t="array" ref="K32">INDEX(Price!$L$11:$AY$210,MATCH(1,(Price!$A$11:$A$210=$A32)*(Price!$B$11:$B$210=$B32)*(Price!$D$11:$D$210="exw"),0),MATCH(1,(Price!$L$3:$AY$3=K$3)*(Price!$L$4:$AY$4=K$4),0))</f>
        <v>0</v>
      </c>
      <c r="L32" s="144" cm="1">
        <f t="array" ref="L32">INDEX(Price!$L$11:$AY$210,MATCH(1,(Price!$A$11:$A$210=$A32)*(Price!$B$11:$B$210=$B32)*(Price!$D$11:$D$210="exw"),0),MATCH(1,(Price!$L$3:$AY$3=L$3)*(Price!$L$4:$AY$4=L$4),0))</f>
        <v>0</v>
      </c>
      <c r="M32" s="144" cm="1">
        <f t="array" ref="M32">INDEX(Price!$L$11:$AY$210,MATCH(1,(Price!$A$11:$A$210=$A32)*(Price!$B$11:$B$210=$B32)*(Price!$D$11:$D$210="exw"),0),MATCH(1,(Price!$L$3:$AY$3=M$3)*(Price!$L$4:$AY$4=M$4),0))</f>
        <v>0</v>
      </c>
      <c r="N32" s="144" cm="1">
        <f t="array" ref="N32">INDEX(Price!$L$11:$AY$210,MATCH(1,(Price!$A$11:$A$210=$A32)*(Price!$B$11:$B$210=$B32)*(Price!$D$11:$D$210="exw"),0),MATCH(1,(Price!$L$3:$AY$3=N$3)*(Price!$L$4:$AY$4=N$4),0))</f>
        <v>0</v>
      </c>
      <c r="O32" s="144" cm="1">
        <f t="array" ref="O32">INDEX(Price!$L$11:$AY$210,MATCH(1,(Price!$A$11:$A$210=$A32)*(Price!$B$11:$B$210=$B32)*(Price!$D$11:$D$210="exw"),0),MATCH(1,(Price!$L$3:$AY$3=O$3)*(Price!$L$4:$AY$4=O$4),0))</f>
        <v>0</v>
      </c>
      <c r="P32" s="144"/>
      <c r="Q32" s="144"/>
      <c r="R32" s="145"/>
      <c r="S32" s="144" cm="1">
        <f t="array" ref="S32">INDEX(Price!$L$11:$AY$210,MATCH(1,(Price!$A$11:$A$210=$A32)*(Price!$B$11:$B$210=$B32)*(Price!$D$11:$D$210="exw"),0),MATCH(1,(Price!$L$3:$AY$3=S$3)*(Price!$L$4:$AY$4=S$4),0))</f>
        <v>1230</v>
      </c>
      <c r="T32" s="144" cm="1">
        <f t="array" ref="T32">INDEX(Price!$L$11:$AY$210,MATCH(1,(Price!$A$11:$A$210=$A32)*(Price!$B$11:$B$210=$B32)*(Price!$D$11:$D$210="exw"),0),MATCH(1,(Price!$L$3:$AY$3=T$3)*(Price!$L$4:$AY$4=T$4),0))</f>
        <v>1230</v>
      </c>
      <c r="U32" s="144" cm="1">
        <f t="array" ref="U32">INDEX(Price!$L$11:$AY$210,MATCH(1,(Price!$A$11:$A$210=$A32)*(Price!$B$11:$B$210=$B32)*(Price!$D$11:$D$210="exw"),0),MATCH(1,(Price!$L$3:$AY$3=U$3)*(Price!$L$4:$AY$4=U$4),0))</f>
        <v>1230</v>
      </c>
      <c r="V32" s="144" cm="1">
        <f t="array" ref="V32">INDEX(Price!$L$11:$AY$210,MATCH(1,(Price!$A$11:$A$210=$A32)*(Price!$B$11:$B$210=$B32)*(Price!$D$11:$D$210="exw"),0),MATCH(1,(Price!$L$3:$AY$3=V$3)*(Price!$L$4:$AY$4=V$4),0))</f>
        <v>1228</v>
      </c>
      <c r="W32" s="144" cm="1">
        <f t="array" ref="W32">INDEX(Price!$L$11:$AY$210,MATCH(1,(Price!$A$11:$A$210=$A32)*(Price!$B$11:$B$210=$B32)*(Price!$D$11:$D$210="exw"),0),MATCH(1,(Price!$L$3:$AY$3=W$3)*(Price!$L$4:$AY$4=W$4),0))</f>
        <v>1228</v>
      </c>
      <c r="X32" s="144" cm="1">
        <f t="array" ref="X32">INDEX(Price!$L$11:$AY$210,MATCH(1,(Price!$A$11:$A$210=$A32)*(Price!$B$11:$B$210=$B32)*(Price!$D$11:$D$210="exw"),0),MATCH(1,(Price!$L$3:$AY$3=X$3)*(Price!$L$4:$AY$4=X$4),0))</f>
        <v>1228</v>
      </c>
      <c r="Y32" s="144" cm="1">
        <f t="array" ref="Y32">INDEX(Price!$L$11:$AY$210,MATCH(1,(Price!$A$11:$A$210=$A32)*(Price!$B$11:$B$210=$B32)*(Price!$D$11:$D$210="exw"),0),MATCH(1,(Price!$L$3:$AY$3=Y$3)*(Price!$L$4:$AY$4=Y$4),0))</f>
        <v>1228</v>
      </c>
      <c r="Z32" s="144" cm="1">
        <f t="array" ref="Z32">INDEX(Price!$L$11:$AY$210,MATCH(1,(Price!$A$11:$A$210=$A32)*(Price!$B$11:$B$210=$B32)*(Price!$D$11:$D$210="exw"),0),MATCH(1,(Price!$L$3:$AY$3=Z$3)*(Price!$L$4:$AY$4=Z$4),0))</f>
        <v>1230</v>
      </c>
      <c r="AA32" s="144" cm="1">
        <f t="array" ref="AA32">INDEX(Price!$L$11:$AY$210,MATCH(1,(Price!$A$11:$A$210=$A32)*(Price!$B$11:$B$210=$B32)*(Price!$D$11:$D$210="exw"),0),MATCH(1,(Price!$L$3:$AY$3=AA$3)*(Price!$L$4:$AY$4=AA$4),0))</f>
        <v>1230</v>
      </c>
      <c r="AB32" s="144" cm="1">
        <f t="array" ref="AB32">INDEX(Price!$L$11:$AY$210,MATCH(1,(Price!$A$11:$A$210=$A32)*(Price!$B$11:$B$210=$B32)*(Price!$D$11:$D$210="exw"),0),MATCH(1,(Price!$L$3:$AY$3=AB$3)*(Price!$L$4:$AY$4=AB$4),0))</f>
        <v>1230</v>
      </c>
      <c r="AC32" s="144" cm="1">
        <f t="array" ref="AC32">INDEX(Price!$L$11:$AY$210,MATCH(1,(Price!$A$11:$A$210=$A32)*(Price!$B$11:$B$210=$B32)*(Price!$D$11:$D$210="exw"),0),MATCH(1,(Price!$L$3:$AY$3=AC$3)*(Price!$L$4:$AY$4=AC$4),0))</f>
        <v>1230</v>
      </c>
      <c r="AD32" s="145" cm="1">
        <f t="array" ref="AD32">INDEX(Price!$L$11:$AY$210,MATCH(1,(Price!$A$11:$A$210=$A32)*(Price!$B$11:$B$210=$B32)*(Price!$D$11:$D$210="exw"),0),MATCH(1,(Price!$L$3:$AY$3=AD$3)*(Price!$L$4:$AY$4=AD$4),0))</f>
        <v>1230</v>
      </c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5"/>
    </row>
    <row r="33" spans="1:42" ht="11.4" customHeight="1" outlineLevel="1" x14ac:dyDescent="0.3">
      <c r="A33" t="s">
        <v>353</v>
      </c>
      <c r="B33" t="s">
        <v>30</v>
      </c>
      <c r="C33" s="14" t="s">
        <v>9</v>
      </c>
      <c r="D33" s="161">
        <v>3.3</v>
      </c>
      <c r="E33" s="8"/>
      <c r="F33" s="321" t="s">
        <v>11</v>
      </c>
      <c r="G33" s="315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3"/>
      <c r="S33" s="132" cm="1">
        <f t="array" ref="S33">SUMPRODUCT(General_Data*(Code_General_Data=$C33)*(Year=S$3)*(Month=S$4))</f>
        <v>828</v>
      </c>
      <c r="T33" s="132" cm="1">
        <f t="array" ref="T33">SUMPRODUCT(General_Data*(Code_General_Data=$C33)*(Year=T$3)*(Month=T$4))</f>
        <v>840</v>
      </c>
      <c r="U33" s="132" cm="1">
        <f t="array" ref="U33">SUMPRODUCT(General_Data*(Code_General_Data=$C33)*(Year=U$3)*(Month=U$4))</f>
        <v>823</v>
      </c>
      <c r="V33" s="132" cm="1">
        <f t="array" ref="V33">SUMPRODUCT(General_Data*(Code_General_Data=$C33)*(Year=V$3)*(Month=V$4))</f>
        <v>765</v>
      </c>
      <c r="W33" s="132" cm="1">
        <f t="array" ref="W33">SUMPRODUCT(General_Data*(Code_General_Data=$C33)*(Year=W$3)*(Month=W$4))</f>
        <v>782</v>
      </c>
      <c r="X33" s="132" cm="1">
        <f t="array" ref="X33">SUMPRODUCT(General_Data*(Code_General_Data=$C33)*(Year=X$3)*(Month=X$4))</f>
        <v>807.5</v>
      </c>
      <c r="Y33" s="132" cm="1">
        <f t="array" ref="Y33">SUMPRODUCT(General_Data*(Code_General_Data=$C33)*(Year=Y$3)*(Month=Y$4))</f>
        <v>802</v>
      </c>
      <c r="Z33" s="132" cm="1">
        <f t="array" ref="Z33">SUMPRODUCT(General_Data*(Code_General_Data=$C33)*(Year=Z$3)*(Month=Z$4))</f>
        <v>795</v>
      </c>
      <c r="AA33" s="132" cm="1">
        <f t="array" ref="AA33">SUMPRODUCT(General_Data*(Code_General_Data=$C33)*(Year=AA$3)*(Month=AA$4))</f>
        <v>783</v>
      </c>
      <c r="AB33" s="132" cm="1">
        <f t="array" ref="AB33">SUMPRODUCT(General_Data*(Code_General_Data=$C33)*(Year=AB$3)*(Month=AB$4))</f>
        <v>772</v>
      </c>
      <c r="AC33" s="132" cm="1">
        <f t="array" ref="AC33">SUMPRODUCT(General_Data*(Code_General_Data=$C33)*(Year=AC$3)*(Month=AC$4))</f>
        <v>770</v>
      </c>
      <c r="AD33" s="133" cm="1">
        <f t="array" ref="AD33">SUMPRODUCT(General_Data*(Code_General_Data=$C33)*(Year=AD$3)*(Month=AD$4))</f>
        <v>772.5</v>
      </c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3"/>
    </row>
    <row r="34" spans="1:42" s="151" customFormat="1" ht="11.4" customHeight="1" outlineLevel="1" x14ac:dyDescent="0.3">
      <c r="A34" s="151" t="s">
        <v>353</v>
      </c>
      <c r="B34" s="151" t="s">
        <v>30</v>
      </c>
      <c r="D34" s="162">
        <v>3.4</v>
      </c>
      <c r="E34" s="152"/>
      <c r="F34" s="322" t="s">
        <v>406</v>
      </c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4"/>
      <c r="S34" s="153">
        <f t="shared" ref="S34:AD34" si="16">IF(S31*S32*S33&lt;&gt;0,S32-S33,0)</f>
        <v>402</v>
      </c>
      <c r="T34" s="153">
        <f t="shared" si="16"/>
        <v>390</v>
      </c>
      <c r="U34" s="153">
        <f t="shared" si="16"/>
        <v>407</v>
      </c>
      <c r="V34" s="153">
        <f t="shared" si="16"/>
        <v>463</v>
      </c>
      <c r="W34" s="153">
        <f t="shared" si="16"/>
        <v>446</v>
      </c>
      <c r="X34" s="153">
        <f t="shared" si="16"/>
        <v>420.5</v>
      </c>
      <c r="Y34" s="153">
        <f t="shared" si="16"/>
        <v>426</v>
      </c>
      <c r="Z34" s="153">
        <f t="shared" si="16"/>
        <v>435</v>
      </c>
      <c r="AA34" s="153">
        <f t="shared" si="16"/>
        <v>447</v>
      </c>
      <c r="AB34" s="153">
        <f t="shared" si="16"/>
        <v>458</v>
      </c>
      <c r="AC34" s="153">
        <f t="shared" si="16"/>
        <v>460</v>
      </c>
      <c r="AD34" s="154">
        <f t="shared" si="16"/>
        <v>457.5</v>
      </c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4"/>
    </row>
    <row r="35" spans="1:42" s="155" customFormat="1" ht="11.4" customHeight="1" outlineLevel="1" x14ac:dyDescent="0.3">
      <c r="A35" s="155" t="s">
        <v>353</v>
      </c>
      <c r="B35" s="155" t="s">
        <v>30</v>
      </c>
      <c r="D35" s="163">
        <v>3.5</v>
      </c>
      <c r="E35" s="156"/>
      <c r="F35" s="323" t="s">
        <v>14</v>
      </c>
      <c r="G35" s="497"/>
      <c r="H35" s="497"/>
      <c r="I35" s="497"/>
      <c r="J35" s="497"/>
      <c r="K35" s="497"/>
      <c r="L35" s="497"/>
      <c r="M35" s="497"/>
      <c r="N35" s="497"/>
      <c r="O35" s="497"/>
      <c r="P35" s="497"/>
      <c r="Q35" s="497"/>
      <c r="R35" s="498"/>
      <c r="S35" s="497">
        <f t="shared" ref="S35:AD35" si="17">IFERROR(S34/S33,0)</f>
        <v>0.48550724637681159</v>
      </c>
      <c r="T35" s="497">
        <f t="shared" si="17"/>
        <v>0.4642857142857143</v>
      </c>
      <c r="U35" s="497">
        <f t="shared" si="17"/>
        <v>0.49453219927095993</v>
      </c>
      <c r="V35" s="497">
        <f t="shared" si="17"/>
        <v>0.6052287581699346</v>
      </c>
      <c r="W35" s="497">
        <f t="shared" si="17"/>
        <v>0.57033248081841437</v>
      </c>
      <c r="X35" s="497">
        <f t="shared" si="17"/>
        <v>0.52074303405572753</v>
      </c>
      <c r="Y35" s="497">
        <f t="shared" si="17"/>
        <v>0.53117206982543641</v>
      </c>
      <c r="Z35" s="497">
        <f t="shared" si="17"/>
        <v>0.54716981132075471</v>
      </c>
      <c r="AA35" s="497">
        <f t="shared" si="17"/>
        <v>0.57088122605363989</v>
      </c>
      <c r="AB35" s="497">
        <f t="shared" si="17"/>
        <v>0.59326424870466321</v>
      </c>
      <c r="AC35" s="497">
        <f t="shared" si="17"/>
        <v>0.59740259740259738</v>
      </c>
      <c r="AD35" s="498">
        <f t="shared" si="17"/>
        <v>0.59223300970873782</v>
      </c>
      <c r="AE35" s="497"/>
      <c r="AF35" s="497"/>
      <c r="AG35" s="497"/>
      <c r="AH35" s="497"/>
      <c r="AI35" s="497"/>
      <c r="AJ35" s="497"/>
      <c r="AK35" s="497"/>
      <c r="AL35" s="497"/>
      <c r="AM35" s="497"/>
      <c r="AN35" s="497"/>
      <c r="AO35" s="497"/>
      <c r="AP35" s="498"/>
    </row>
    <row r="36" spans="1:42" s="137" customFormat="1" ht="11.4" customHeight="1" outlineLevel="1" x14ac:dyDescent="0.3">
      <c r="A36" s="137" t="s">
        <v>353</v>
      </c>
      <c r="B36" s="137" t="s">
        <v>30</v>
      </c>
      <c r="C36" s="137" t="s">
        <v>30</v>
      </c>
      <c r="D36" s="164">
        <v>3.6</v>
      </c>
      <c r="E36" s="138"/>
      <c r="F36" s="324" t="s">
        <v>202</v>
      </c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40"/>
      <c r="S36" s="139" cm="1">
        <f t="array" ref="S36">SUMPRODUCT(General_Data*(Code_General_Data=$C36)*(Year=S$3)*(Month=S$4))</f>
        <v>1260</v>
      </c>
      <c r="T36" s="139" cm="1">
        <f t="array" ref="T36">SUMPRODUCT(General_Data*(Code_General_Data=$C36)*(Year=T$3)*(Month=T$4))</f>
        <v>1260</v>
      </c>
      <c r="U36" s="139" cm="1">
        <f t="array" ref="U36">SUMPRODUCT(General_Data*(Code_General_Data=$C36)*(Year=U$3)*(Month=U$4))</f>
        <v>1260</v>
      </c>
      <c r="V36" s="139" cm="1">
        <f t="array" ref="V36">SUMPRODUCT(General_Data*(Code_General_Data=$C36)*(Year=V$3)*(Month=V$4))</f>
        <v>1280</v>
      </c>
      <c r="W36" s="139" cm="1">
        <f t="array" ref="W36">SUMPRODUCT(General_Data*(Code_General_Data=$C36)*(Year=W$3)*(Month=W$4))</f>
        <v>1280</v>
      </c>
      <c r="X36" s="139" cm="1">
        <f t="array" ref="X36">SUMPRODUCT(General_Data*(Code_General_Data=$C36)*(Year=X$3)*(Month=X$4))</f>
        <v>1280</v>
      </c>
      <c r="Y36" s="139" cm="1">
        <f t="array" ref="Y36">SUMPRODUCT(General_Data*(Code_General_Data=$C36)*(Year=Y$3)*(Month=Y$4))</f>
        <v>1280</v>
      </c>
      <c r="Z36" s="139" cm="1">
        <f t="array" ref="Z36">SUMPRODUCT(General_Data*(Code_General_Data=$C36)*(Year=Z$3)*(Month=Z$4))</f>
        <v>1250</v>
      </c>
      <c r="AA36" s="139" cm="1">
        <f t="array" ref="AA36">SUMPRODUCT(General_Data*(Code_General_Data=$C36)*(Year=AA$3)*(Month=AA$4))</f>
        <v>1250</v>
      </c>
      <c r="AB36" s="139" cm="1">
        <f t="array" ref="AB36">SUMPRODUCT(General_Data*(Code_General_Data=$C36)*(Year=AB$3)*(Month=AB$4))</f>
        <v>1240</v>
      </c>
      <c r="AC36" s="139" cm="1">
        <f t="array" ref="AC36">SUMPRODUCT(General_Data*(Code_General_Data=$C36)*(Year=AC$3)*(Month=AC$4))</f>
        <v>1230</v>
      </c>
      <c r="AD36" s="140" cm="1">
        <f t="array" ref="AD36">SUMPRODUCT(General_Data*(Code_General_Data=$C36)*(Year=AD$3)*(Month=AD$4))</f>
        <v>1230</v>
      </c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40"/>
    </row>
    <row r="37" spans="1:42" ht="3.6" customHeight="1" x14ac:dyDescent="0.3">
      <c r="D37" s="165"/>
    </row>
    <row r="38" spans="1:42" s="127" customFormat="1" ht="15.6" customHeight="1" x14ac:dyDescent="0.35">
      <c r="A38" s="127" t="s">
        <v>63</v>
      </c>
      <c r="C38" s="131"/>
      <c r="D38" s="166" t="s">
        <v>368</v>
      </c>
      <c r="E38" s="130" t="s">
        <v>18</v>
      </c>
      <c r="F38" s="317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314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314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314"/>
    </row>
    <row r="39" spans="1:42" s="147" customFormat="1" ht="13.35" customHeight="1" outlineLevel="1" x14ac:dyDescent="0.3">
      <c r="A39" s="147" t="s">
        <v>63</v>
      </c>
      <c r="B39" s="147" t="s">
        <v>15</v>
      </c>
      <c r="D39" s="158"/>
      <c r="E39" s="148"/>
      <c r="F39" s="318" t="s">
        <v>4</v>
      </c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9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9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9"/>
    </row>
    <row r="40" spans="1:42" s="69" customFormat="1" ht="11.4" customHeight="1" outlineLevel="1" x14ac:dyDescent="0.3">
      <c r="A40" s="69" t="s">
        <v>63</v>
      </c>
      <c r="B40" s="69" t="s">
        <v>15</v>
      </c>
      <c r="D40" s="167">
        <v>4.0999999999999996</v>
      </c>
      <c r="E40" s="134"/>
      <c r="F40" s="319" t="s">
        <v>19</v>
      </c>
      <c r="G40" s="135" cm="1">
        <f t="array" ref="G40">INDEX(Price!$L$11:$AY$210,MATCH(1,(Price!$A$11:$A$210=$A40)*(Price!$B$11:$B$210=$B40)*(Price!$D$11:$D$210="gb"),0),MATCH(1,(Price!$L$3:$AY$3=G$3)*(Price!$L$4:$AY$4=G$4),0))</f>
        <v>1320</v>
      </c>
      <c r="H40" s="135" cm="1">
        <f t="array" ref="H40">INDEX(Price!$L$11:$AY$210,MATCH(1,(Price!$A$11:$A$210=$A40)*(Price!$B$11:$B$210=$B40)*(Price!$D$11:$D$210="gb"),0),MATCH(1,(Price!$L$3:$AY$3=H$3)*(Price!$L$4:$AY$4=H$4),0))</f>
        <v>1320</v>
      </c>
      <c r="I40" s="135" cm="1">
        <f t="array" ref="I40">INDEX(Price!$L$11:$AY$210,MATCH(1,(Price!$A$11:$A$210=$A40)*(Price!$B$11:$B$210=$B40)*(Price!$D$11:$D$210="gb"),0),MATCH(1,(Price!$L$3:$AY$3=I$3)*(Price!$L$4:$AY$4=I$4),0))</f>
        <v>1320</v>
      </c>
      <c r="J40" s="135" cm="1">
        <f t="array" ref="J40">INDEX(Price!$L$11:$AY$210,MATCH(1,(Price!$A$11:$A$210=$A40)*(Price!$B$11:$B$210=$B40)*(Price!$D$11:$D$210="gb"),0),MATCH(1,(Price!$L$3:$AY$3=J$3)*(Price!$L$4:$AY$4=J$4),0))</f>
        <v>1320</v>
      </c>
      <c r="K40" s="135" cm="1">
        <f t="array" ref="K40">INDEX(Price!$L$11:$AY$210,MATCH(1,(Price!$A$11:$A$210=$A40)*(Price!$B$11:$B$210=$B40)*(Price!$D$11:$D$210="gb"),0),MATCH(1,(Price!$L$3:$AY$3=K$3)*(Price!$L$4:$AY$4=K$4),0))</f>
        <v>1320</v>
      </c>
      <c r="L40" s="135" cm="1">
        <f t="array" ref="L40">INDEX(Price!$L$11:$AY$210,MATCH(1,(Price!$A$11:$A$210=$A40)*(Price!$B$11:$B$210=$B40)*(Price!$D$11:$D$210="gb"),0),MATCH(1,(Price!$L$3:$AY$3=L$3)*(Price!$L$4:$AY$4=L$4),0))</f>
        <v>1320</v>
      </c>
      <c r="M40" s="135" cm="1">
        <f t="array" ref="M40">INDEX(Price!$L$11:$AY$210,MATCH(1,(Price!$A$11:$A$210=$A40)*(Price!$B$11:$B$210=$B40)*(Price!$D$11:$D$210="gb"),0),MATCH(1,(Price!$L$3:$AY$3=M$3)*(Price!$L$4:$AY$4=M$4),0))</f>
        <v>1320</v>
      </c>
      <c r="N40" s="135" cm="1">
        <f t="array" ref="N40">INDEX(Price!$L$11:$AY$210,MATCH(1,(Price!$A$11:$A$210=$A40)*(Price!$B$11:$B$210=$B40)*(Price!$D$11:$D$210="gb"),0),MATCH(1,(Price!$L$3:$AY$3=N$3)*(Price!$L$4:$AY$4=N$4),0))</f>
        <v>1320</v>
      </c>
      <c r="O40" s="135" cm="1">
        <f t="array" ref="O40">INDEX(Price!$L$11:$AY$210,MATCH(1,(Price!$A$11:$A$210=$A40)*(Price!$B$11:$B$210=$B40)*(Price!$D$11:$D$210="gb"),0),MATCH(1,(Price!$L$3:$AY$3=O$3)*(Price!$L$4:$AY$4=O$4),0))</f>
        <v>1320</v>
      </c>
      <c r="P40" s="135" cm="1">
        <f t="array" ref="P40">INDEX(Price!$L$11:$AY$210,MATCH(1,(Price!$A$11:$A$210=$A40)*(Price!$B$11:$B$210=$B40)*(Price!$D$11:$D$210="gb"),0),MATCH(1,(Price!$L$3:$AY$3=P$3)*(Price!$L$4:$AY$4=P$4),0))</f>
        <v>1300</v>
      </c>
      <c r="Q40" s="135" cm="1">
        <f t="array" ref="Q40">INDEX(Price!$L$11:$AY$210,MATCH(1,(Price!$A$11:$A$210=$A40)*(Price!$B$11:$B$210=$B40)*(Price!$D$11:$D$210="gb"),0),MATCH(1,(Price!$L$3:$AY$3=Q$3)*(Price!$L$4:$AY$4=Q$4),0))</f>
        <v>1300</v>
      </c>
      <c r="R40" s="136" cm="1">
        <f t="array" ref="R40">INDEX(Price!$L$11:$AY$210,MATCH(1,(Price!$A$11:$A$210=$A40)*(Price!$B$11:$B$210=$B40)*(Price!$D$11:$D$210="gb"),0),MATCH(1,(Price!$L$3:$AY$3=R$3)*(Price!$L$4:$AY$4=R$4),0))</f>
        <v>1300</v>
      </c>
      <c r="S40" s="135" cm="1">
        <f t="array" ref="S40">INDEX(Price!$L$11:$AY$210,MATCH(1,(Price!$A$11:$A$210=$A40)*(Price!$B$11:$B$210=$B40)*(Price!$D$11:$D$210="gb"),0),MATCH(1,(Price!$L$3:$AY$3=S$3)*(Price!$L$4:$AY$4=S$4),0))</f>
        <v>1300</v>
      </c>
      <c r="T40" s="135" cm="1">
        <f t="array" ref="T40">INDEX(Price!$L$11:$AY$210,MATCH(1,(Price!$A$11:$A$210=$A40)*(Price!$B$11:$B$210=$B40)*(Price!$D$11:$D$210="gb"),0),MATCH(1,(Price!$L$3:$AY$3=T$3)*(Price!$L$4:$AY$4=T$4),0))</f>
        <v>1300</v>
      </c>
      <c r="U40" s="135" cm="1">
        <f t="array" ref="U40">INDEX(Price!$L$11:$AY$210,MATCH(1,(Price!$A$11:$A$210=$A40)*(Price!$B$11:$B$210=$B40)*(Price!$D$11:$D$210="gb"),0),MATCH(1,(Price!$L$3:$AY$3=U$3)*(Price!$L$4:$AY$4=U$4),0))</f>
        <v>1300</v>
      </c>
      <c r="V40" s="135" cm="1">
        <f t="array" ref="V40">INDEX(Price!$L$11:$AY$210,MATCH(1,(Price!$A$11:$A$210=$A40)*(Price!$B$11:$B$210=$B40)*(Price!$D$11:$D$210="gb"),0),MATCH(1,(Price!$L$3:$AY$3=V$3)*(Price!$L$4:$AY$4=V$4),0))</f>
        <v>1250</v>
      </c>
      <c r="W40" s="135" cm="1">
        <f t="array" ref="W40">INDEX(Price!$L$11:$AY$210,MATCH(1,(Price!$A$11:$A$210=$A40)*(Price!$B$11:$B$210=$B40)*(Price!$D$11:$D$210="gb"),0),MATCH(1,(Price!$L$3:$AY$3=W$3)*(Price!$L$4:$AY$4=W$4),0))</f>
        <v>1250</v>
      </c>
      <c r="X40" s="135" cm="1">
        <f t="array" ref="X40">INDEX(Price!$L$11:$AY$210,MATCH(1,(Price!$A$11:$A$210=$A40)*(Price!$B$11:$B$210=$B40)*(Price!$D$11:$D$210="gb"),0),MATCH(1,(Price!$L$3:$AY$3=X$3)*(Price!$L$4:$AY$4=X$4),0))</f>
        <v>1250</v>
      </c>
      <c r="Y40" s="135" cm="1">
        <f t="array" ref="Y40">INDEX(Price!$L$11:$AY$210,MATCH(1,(Price!$A$11:$A$210=$A40)*(Price!$B$11:$B$210=$B40)*(Price!$D$11:$D$210="gb"),0),MATCH(1,(Price!$L$3:$AY$3=Y$3)*(Price!$L$4:$AY$4=Y$4),0))</f>
        <v>1280</v>
      </c>
      <c r="Z40" s="135" cm="1">
        <f t="array" ref="Z40">INDEX(Price!$L$11:$AY$210,MATCH(1,(Price!$A$11:$A$210=$A40)*(Price!$B$11:$B$210=$B40)*(Price!$D$11:$D$210="gb"),0),MATCH(1,(Price!$L$3:$AY$3=Z$3)*(Price!$L$4:$AY$4=Z$4),0))</f>
        <v>1280</v>
      </c>
      <c r="AA40" s="135" cm="1">
        <f t="array" ref="AA40">INDEX(Price!$L$11:$AY$210,MATCH(1,(Price!$A$11:$A$210=$A40)*(Price!$B$11:$B$210=$B40)*(Price!$D$11:$D$210="gb"),0),MATCH(1,(Price!$L$3:$AY$3=AA$3)*(Price!$L$4:$AY$4=AA$4),0))</f>
        <v>1280</v>
      </c>
      <c r="AB40" s="135" cm="1">
        <f t="array" ref="AB40">INDEX(Price!$L$11:$AY$210,MATCH(1,(Price!$A$11:$A$210=$A40)*(Price!$B$11:$B$210=$B40)*(Price!$D$11:$D$210="gb"),0),MATCH(1,(Price!$L$3:$AY$3=AB$3)*(Price!$L$4:$AY$4=AB$4),0))</f>
        <v>1280</v>
      </c>
      <c r="AC40" s="135" cm="1">
        <f t="array" ref="AC40">INDEX(Price!$L$11:$AY$210,MATCH(1,(Price!$A$11:$A$210=$A40)*(Price!$B$11:$B$210=$B40)*(Price!$D$11:$D$210="gb"),0),MATCH(1,(Price!$L$3:$AY$3=AC$3)*(Price!$L$4:$AY$4=AC$4),0))</f>
        <v>1280</v>
      </c>
      <c r="AD40" s="136" cm="1">
        <f t="array" ref="AD40">INDEX(Price!$L$11:$AY$210,MATCH(1,(Price!$A$11:$A$210=$A40)*(Price!$B$11:$B$210=$B40)*(Price!$D$11:$D$210="gb"),0),MATCH(1,(Price!$L$3:$AY$3=AD$3)*(Price!$L$4:$AY$4=AD$4),0))</f>
        <v>1280</v>
      </c>
      <c r="AE40" s="135" cm="1">
        <f t="array" ref="AE40">INDEX(Price!$L$11:$AY$210,MATCH(1,(Price!$A$11:$A$210=$A40)*(Price!$B$11:$B$210=$B40)*(Price!$D$11:$D$210="gb"),0),MATCH(1,(Price!$L$3:$AY$3=AE$3)*(Price!$L$4:$AY$4=AE$4),0))</f>
        <v>1250</v>
      </c>
      <c r="AF40" s="135" cm="1">
        <f t="array" ref="AF40">INDEX(Price!$L$11:$AY$210,MATCH(1,(Price!$A$11:$A$210=$A40)*(Price!$B$11:$B$210=$B40)*(Price!$D$11:$D$210="gb"),0),MATCH(1,(Price!$L$3:$AY$3=AF$3)*(Price!$L$4:$AY$4=AF$4),0))</f>
        <v>1250</v>
      </c>
      <c r="AG40" s="135" cm="1">
        <f t="array" ref="AG40">INDEX(Price!$L$11:$AY$210,MATCH(1,(Price!$A$11:$A$210=$A40)*(Price!$B$11:$B$210=$B40)*(Price!$D$11:$D$210="gb"),0),MATCH(1,(Price!$L$3:$AY$3=AG$3)*(Price!$L$4:$AY$4=AG$4),0))</f>
        <v>1250</v>
      </c>
      <c r="AH40" s="135" cm="1">
        <f t="array" ref="AH40">INDEX(Price!$L$11:$AY$210,MATCH(1,(Price!$A$11:$A$210=$A40)*(Price!$B$11:$B$210=$B40)*(Price!$D$11:$D$210="gb"),0),MATCH(1,(Price!$L$3:$AY$3=AH$3)*(Price!$L$4:$AY$4=AH$4),0))</f>
        <v>1191</v>
      </c>
      <c r="AI40" s="135" cm="1">
        <f t="array" ref="AI40">INDEX(Price!$L$11:$AY$210,MATCH(1,(Price!$A$11:$A$210=$A40)*(Price!$B$11:$B$210=$B40)*(Price!$D$11:$D$210="gb"),0),MATCH(1,(Price!$L$3:$AY$3=AI$3)*(Price!$L$4:$AY$4=AI$4),0))</f>
        <v>1191</v>
      </c>
      <c r="AJ40" s="135" cm="1">
        <f t="array" ref="AJ40">INDEX(Price!$L$11:$AY$210,MATCH(1,(Price!$A$11:$A$210=$A40)*(Price!$B$11:$B$210=$B40)*(Price!$D$11:$D$210="gb"),0),MATCH(1,(Price!$L$3:$AY$3=AJ$3)*(Price!$L$4:$AY$4=AJ$4),0))</f>
        <v>1191</v>
      </c>
      <c r="AK40" s="135"/>
      <c r="AL40" s="135"/>
      <c r="AM40" s="135"/>
      <c r="AN40" s="135"/>
      <c r="AO40" s="135"/>
      <c r="AP40" s="136"/>
    </row>
    <row r="41" spans="1:42" s="1" customFormat="1" ht="11.4" customHeight="1" outlineLevel="1" x14ac:dyDescent="0.3">
      <c r="A41" s="1" t="s">
        <v>63</v>
      </c>
      <c r="B41" s="1" t="s">
        <v>15</v>
      </c>
      <c r="C41" s="142" t="s">
        <v>321</v>
      </c>
      <c r="D41" s="168">
        <v>4.2</v>
      </c>
      <c r="E41" s="143"/>
      <c r="F41" s="320" t="s">
        <v>8</v>
      </c>
      <c r="G41" s="144" cm="1">
        <f t="array" ref="G41">INDEX(Price!$L$11:$AY$210,MATCH(1,(Price!$A$11:$A$210=$A41)*(Price!$B$11:$B$210=$B41)*(Price!$D$11:$D$210="exw"),0),MATCH(1,(Price!$L$3:$AY$3=G$3)*(Price!$L$4:$AY$4=G$4),0))</f>
        <v>1307.795918367347</v>
      </c>
      <c r="H41" s="144" cm="1">
        <f t="array" ref="H41">INDEX(Price!$L$11:$AY$210,MATCH(1,(Price!$A$11:$A$210=$A41)*(Price!$B$11:$B$210=$B41)*(Price!$D$11:$D$210="exw"),0),MATCH(1,(Price!$L$3:$AY$3=H$3)*(Price!$L$4:$AY$4=H$4),0))</f>
        <v>1307.795918367347</v>
      </c>
      <c r="I41" s="144" cm="1">
        <f t="array" ref="I41">INDEX(Price!$L$11:$AY$210,MATCH(1,(Price!$A$11:$A$210=$A41)*(Price!$B$11:$B$210=$B41)*(Price!$D$11:$D$210="exw"),0),MATCH(1,(Price!$L$3:$AY$3=I$3)*(Price!$L$4:$AY$4=I$4),0))</f>
        <v>1307.795918367347</v>
      </c>
      <c r="J41" s="144" cm="1">
        <f t="array" ref="J41">INDEX(Price!$L$11:$AY$210,MATCH(1,(Price!$A$11:$A$210=$A41)*(Price!$B$11:$B$210=$B41)*(Price!$D$11:$D$210="exw"),0),MATCH(1,(Price!$L$3:$AY$3=J$3)*(Price!$L$4:$AY$4=J$4),0))</f>
        <v>1307.795918367347</v>
      </c>
      <c r="K41" s="144" cm="1">
        <f t="array" ref="K41">INDEX(Price!$L$11:$AY$210,MATCH(1,(Price!$A$11:$A$210=$A41)*(Price!$B$11:$B$210=$B41)*(Price!$D$11:$D$210="exw"),0),MATCH(1,(Price!$L$3:$AY$3=K$3)*(Price!$L$4:$AY$4=K$4),0))</f>
        <v>1307.795918367347</v>
      </c>
      <c r="L41" s="144" cm="1">
        <f t="array" ref="L41">INDEX(Price!$L$11:$AY$210,MATCH(1,(Price!$A$11:$A$210=$A41)*(Price!$B$11:$B$210=$B41)*(Price!$D$11:$D$210="exw"),0),MATCH(1,(Price!$L$3:$AY$3=L$3)*(Price!$L$4:$AY$4=L$4),0))</f>
        <v>1307.795918367347</v>
      </c>
      <c r="M41" s="144" cm="1">
        <f t="array" ref="M41">INDEX(Price!$L$11:$AY$210,MATCH(1,(Price!$A$11:$A$210=$A41)*(Price!$B$11:$B$210=$B41)*(Price!$D$11:$D$210="exw"),0),MATCH(1,(Price!$L$3:$AY$3=M$3)*(Price!$L$4:$AY$4=M$4),0))</f>
        <v>1308.04</v>
      </c>
      <c r="N41" s="144" cm="1">
        <f t="array" ref="N41">INDEX(Price!$L$11:$AY$210,MATCH(1,(Price!$A$11:$A$210=$A41)*(Price!$B$11:$B$210=$B41)*(Price!$D$11:$D$210="exw"),0),MATCH(1,(Price!$L$3:$AY$3=N$3)*(Price!$L$4:$AY$4=N$4),0))</f>
        <v>1308.04</v>
      </c>
      <c r="O41" s="144" cm="1">
        <f t="array" ref="O41">INDEX(Price!$L$11:$AY$210,MATCH(1,(Price!$A$11:$A$210=$A41)*(Price!$B$11:$B$210=$B41)*(Price!$D$11:$D$210="exw"),0),MATCH(1,(Price!$L$3:$AY$3=O$3)*(Price!$L$4:$AY$4=O$4),0))</f>
        <v>1308.04</v>
      </c>
      <c r="P41" s="144" cm="1">
        <f t="array" ref="P41">INDEX(Price!$L$11:$AY$210,MATCH(1,(Price!$A$11:$A$210=$A41)*(Price!$B$11:$B$210=$B41)*(Price!$D$11:$D$210="exw"),0),MATCH(1,(Price!$L$3:$AY$3=P$3)*(Price!$L$4:$AY$4=P$4),0))</f>
        <v>1288.04</v>
      </c>
      <c r="Q41" s="144" cm="1">
        <f t="array" ref="Q41">INDEX(Price!$L$11:$AY$210,MATCH(1,(Price!$A$11:$A$210=$A41)*(Price!$B$11:$B$210=$B41)*(Price!$D$11:$D$210="exw"),0),MATCH(1,(Price!$L$3:$AY$3=Q$3)*(Price!$L$4:$AY$4=Q$4),0))</f>
        <v>1288.04</v>
      </c>
      <c r="R41" s="145" cm="1">
        <f t="array" ref="R41">INDEX(Price!$L$11:$AY$210,MATCH(1,(Price!$A$11:$A$210=$A41)*(Price!$B$11:$B$210=$B41)*(Price!$D$11:$D$210="exw"),0),MATCH(1,(Price!$L$3:$AY$3=R$3)*(Price!$L$4:$AY$4=R$4),0))</f>
        <v>1288.04</v>
      </c>
      <c r="S41" s="144" cm="1">
        <f t="array" ref="S41">INDEX(Price!$L$11:$AY$210,MATCH(1,(Price!$A$11:$A$210=$A41)*(Price!$B$11:$B$210=$B41)*(Price!$D$11:$D$210="exw"),0),MATCH(1,(Price!$L$3:$AY$3=S$3)*(Price!$L$4:$AY$4=S$4),0))</f>
        <v>1288.04</v>
      </c>
      <c r="T41" s="144" cm="1">
        <f t="array" ref="T41">INDEX(Price!$L$11:$AY$210,MATCH(1,(Price!$A$11:$A$210=$A41)*(Price!$B$11:$B$210=$B41)*(Price!$D$11:$D$210="exw"),0),MATCH(1,(Price!$L$3:$AY$3=T$3)*(Price!$L$4:$AY$4=T$4),0))</f>
        <v>1288.04</v>
      </c>
      <c r="U41" s="144" cm="1">
        <f t="array" ref="U41">INDEX(Price!$L$11:$AY$210,MATCH(1,(Price!$A$11:$A$210=$A41)*(Price!$B$11:$B$210=$B41)*(Price!$D$11:$D$210="exw"),0),MATCH(1,(Price!$L$3:$AY$3=U$3)*(Price!$L$4:$AY$4=U$4),0))</f>
        <v>1288.04</v>
      </c>
      <c r="V41" s="144" cm="1">
        <f t="array" ref="V41">INDEX(Price!$L$11:$AY$210,MATCH(1,(Price!$A$11:$A$210=$A41)*(Price!$B$11:$B$210=$B41)*(Price!$D$11:$D$210="exw"),0),MATCH(1,(Price!$L$3:$AY$3=V$3)*(Price!$L$4:$AY$4=V$4),0))</f>
        <v>1238.04</v>
      </c>
      <c r="W41" s="144" cm="1">
        <f t="array" ref="W41">INDEX(Price!$L$11:$AY$210,MATCH(1,(Price!$A$11:$A$210=$A41)*(Price!$B$11:$B$210=$B41)*(Price!$D$11:$D$210="exw"),0),MATCH(1,(Price!$L$3:$AY$3=W$3)*(Price!$L$4:$AY$4=W$4),0))</f>
        <v>1238.04</v>
      </c>
      <c r="X41" s="144" cm="1">
        <f t="array" ref="X41">INDEX(Price!$L$11:$AY$210,MATCH(1,(Price!$A$11:$A$210=$A41)*(Price!$B$11:$B$210=$B41)*(Price!$D$11:$D$210="exw"),0),MATCH(1,(Price!$L$3:$AY$3=X$3)*(Price!$L$4:$AY$4=X$4),0))</f>
        <v>1238.04</v>
      </c>
      <c r="Y41" s="144" cm="1">
        <f t="array" ref="Y41">INDEX(Price!$L$11:$AY$210,MATCH(1,(Price!$A$11:$A$210=$A41)*(Price!$B$11:$B$210=$B41)*(Price!$D$11:$D$210="exw"),0),MATCH(1,(Price!$L$3:$AY$3=Y$3)*(Price!$L$4:$AY$4=Y$4),0))</f>
        <v>1268.04</v>
      </c>
      <c r="Z41" s="144" cm="1">
        <f t="array" ref="Z41">INDEX(Price!$L$11:$AY$210,MATCH(1,(Price!$A$11:$A$210=$A41)*(Price!$B$11:$B$210=$B41)*(Price!$D$11:$D$210="exw"),0),MATCH(1,(Price!$L$3:$AY$3=Z$3)*(Price!$L$4:$AY$4=Z$4),0))</f>
        <v>1268.04</v>
      </c>
      <c r="AA41" s="144" cm="1">
        <f t="array" ref="AA41">INDEX(Price!$L$11:$AY$210,MATCH(1,(Price!$A$11:$A$210=$A41)*(Price!$B$11:$B$210=$B41)*(Price!$D$11:$D$210="exw"),0),MATCH(1,(Price!$L$3:$AY$3=AA$3)*(Price!$L$4:$AY$4=AA$4),0))</f>
        <v>1268.04</v>
      </c>
      <c r="AB41" s="144" cm="1">
        <f t="array" ref="AB41">INDEX(Price!$L$11:$AY$210,MATCH(1,(Price!$A$11:$A$210=$A41)*(Price!$B$11:$B$210=$B41)*(Price!$D$11:$D$210="exw"),0),MATCH(1,(Price!$L$3:$AY$3=AB$3)*(Price!$L$4:$AY$4=AB$4),0))</f>
        <v>1268.04</v>
      </c>
      <c r="AC41" s="144" cm="1">
        <f t="array" ref="AC41">INDEX(Price!$L$11:$AY$210,MATCH(1,(Price!$A$11:$A$210=$A41)*(Price!$B$11:$B$210=$B41)*(Price!$D$11:$D$210="exw"),0),MATCH(1,(Price!$L$3:$AY$3=AC$3)*(Price!$L$4:$AY$4=AC$4),0))</f>
        <v>1268.04</v>
      </c>
      <c r="AD41" s="145" cm="1">
        <f t="array" ref="AD41">INDEX(Price!$L$11:$AY$210,MATCH(1,(Price!$A$11:$A$210=$A41)*(Price!$B$11:$B$210=$B41)*(Price!$D$11:$D$210="exw"),0),MATCH(1,(Price!$L$3:$AY$3=AD$3)*(Price!$L$4:$AY$4=AD$4),0))</f>
        <v>1268.04</v>
      </c>
      <c r="AE41" s="144" cm="1">
        <f t="array" ref="AE41">INDEX(Price!$L$11:$AY$210,MATCH(1,(Price!$A$11:$A$210=$A41)*(Price!$B$11:$B$210=$B41)*(Price!$D$11:$D$210="exw"),0),MATCH(1,(Price!$L$3:$AY$3=AE$3)*(Price!$L$4:$AY$4=AE$4),0))</f>
        <v>1245</v>
      </c>
      <c r="AF41" s="144" cm="1">
        <f t="array" ref="AF41">INDEX(Price!$L$11:$AY$210,MATCH(1,(Price!$A$11:$A$210=$A41)*(Price!$B$11:$B$210=$B41)*(Price!$D$11:$D$210="exw"),0),MATCH(1,(Price!$L$3:$AY$3=AF$3)*(Price!$L$4:$AY$4=AF$4),0))</f>
        <v>1245</v>
      </c>
      <c r="AG41" s="144" cm="1">
        <f t="array" ref="AG41">INDEX(Price!$L$11:$AY$210,MATCH(1,(Price!$A$11:$A$210=$A41)*(Price!$B$11:$B$210=$B41)*(Price!$D$11:$D$210="exw"),0),MATCH(1,(Price!$L$3:$AY$3=AG$3)*(Price!$L$4:$AY$4=AG$4),0))</f>
        <v>1245</v>
      </c>
      <c r="AH41" s="144" cm="1">
        <f t="array" ref="AH41">INDEX(Price!$L$11:$AY$210,MATCH(1,(Price!$A$11:$A$210=$A41)*(Price!$B$11:$B$210=$B41)*(Price!$D$11:$D$210="exw"),0),MATCH(1,(Price!$L$3:$AY$3=AH$3)*(Price!$L$4:$AY$4=AH$4),0))</f>
        <v>1185</v>
      </c>
      <c r="AI41" s="144" cm="1">
        <f t="array" ref="AI41">INDEX(Price!$L$11:$AY$210,MATCH(1,(Price!$A$11:$A$210=$A41)*(Price!$B$11:$B$210=$B41)*(Price!$D$11:$D$210="exw"),0),MATCH(1,(Price!$L$3:$AY$3=AI$3)*(Price!$L$4:$AY$4=AI$4),0))</f>
        <v>1185</v>
      </c>
      <c r="AJ41" s="144" cm="1">
        <f t="array" ref="AJ41">INDEX(Price!$L$11:$AY$210,MATCH(1,(Price!$A$11:$A$210=$A41)*(Price!$B$11:$B$210=$B41)*(Price!$D$11:$D$210="exw"),0),MATCH(1,(Price!$L$3:$AY$3=AJ$3)*(Price!$L$4:$AY$4=AJ$4),0))</f>
        <v>1185</v>
      </c>
      <c r="AK41" s="144"/>
      <c r="AL41" s="144"/>
      <c r="AM41" s="144"/>
      <c r="AN41" s="144"/>
      <c r="AO41" s="144"/>
      <c r="AP41" s="145"/>
    </row>
    <row r="42" spans="1:42" ht="11.4" customHeight="1" outlineLevel="1" x14ac:dyDescent="0.3">
      <c r="A42" t="s">
        <v>63</v>
      </c>
      <c r="B42" t="s">
        <v>15</v>
      </c>
      <c r="C42" s="14" t="s">
        <v>9</v>
      </c>
      <c r="D42" s="169">
        <v>4.3</v>
      </c>
      <c r="E42" s="8"/>
      <c r="F42" s="321" t="s">
        <v>11</v>
      </c>
      <c r="G42" s="315" cm="1">
        <f t="array" ref="G42">SUMPRODUCT(General_Data*(Code_General_Data=$C42)*(Year=G$3)*(Month=G$4))</f>
        <v>930</v>
      </c>
      <c r="H42" s="132" cm="1">
        <f t="array" ref="H42">SUMPRODUCT(General_Data*(Code_General_Data=$C42)*(Year=H$3)*(Month=H$4))</f>
        <v>943.33333333333337</v>
      </c>
      <c r="I42" s="132" cm="1">
        <f t="array" ref="I42">SUMPRODUCT(General_Data*(Code_General_Data=$C42)*(Year=I$3)*(Month=I$4))</f>
        <v>940</v>
      </c>
      <c r="J42" s="132" cm="1">
        <f t="array" ref="J42">SUMPRODUCT(General_Data*(Code_General_Data=$C42)*(Year=J$3)*(Month=J$4))</f>
        <v>940</v>
      </c>
      <c r="K42" s="132" cm="1">
        <f t="array" ref="K42">SUMPRODUCT(General_Data*(Code_General_Data=$C42)*(Year=K$3)*(Month=K$4))</f>
        <v>942</v>
      </c>
      <c r="L42" s="132" cm="1">
        <f t="array" ref="L42">SUMPRODUCT(General_Data*(Code_General_Data=$C42)*(Year=L$3)*(Month=L$4))</f>
        <v>950</v>
      </c>
      <c r="M42" s="132" cm="1">
        <f t="array" ref="M42">SUMPRODUCT(General_Data*(Code_General_Data=$C42)*(Year=M$3)*(Month=M$4))</f>
        <v>947.5</v>
      </c>
      <c r="N42" s="132" cm="1">
        <f t="array" ref="N42">SUMPRODUCT(General_Data*(Code_General_Data=$C42)*(Year=N$3)*(Month=N$4))</f>
        <v>930</v>
      </c>
      <c r="O42" s="132" cm="1">
        <f t="array" ref="O42">SUMPRODUCT(General_Data*(Code_General_Data=$C42)*(Year=O$3)*(Month=O$4))</f>
        <v>880</v>
      </c>
      <c r="P42" s="132" cm="1">
        <f t="array" ref="P42">SUMPRODUCT(General_Data*(Code_General_Data=$C42)*(Year=P$3)*(Month=P$4))</f>
        <v>862.5</v>
      </c>
      <c r="Q42" s="132" cm="1">
        <f t="array" ref="Q42">SUMPRODUCT(General_Data*(Code_General_Data=$C42)*(Year=Q$3)*(Month=Q$4))</f>
        <v>852</v>
      </c>
      <c r="R42" s="133" cm="1">
        <f t="array" ref="R42">SUMPRODUCT(General_Data*(Code_General_Data=$C42)*(Year=R$3)*(Month=R$4))</f>
        <v>830</v>
      </c>
      <c r="S42" s="132" cm="1">
        <f t="array" ref="S42">SUMPRODUCT(General_Data*(Code_General_Data=$C42)*(Year=S$3)*(Month=S$4))</f>
        <v>828</v>
      </c>
      <c r="T42" s="132" cm="1">
        <f t="array" ref="T42">SUMPRODUCT(General_Data*(Code_General_Data=$C42)*(Year=T$3)*(Month=T$4))</f>
        <v>840</v>
      </c>
      <c r="U42" s="132" cm="1">
        <f t="array" ref="U42">SUMPRODUCT(General_Data*(Code_General_Data=$C42)*(Year=U$3)*(Month=U$4))</f>
        <v>823</v>
      </c>
      <c r="V42" s="132" cm="1">
        <f t="array" ref="V42">SUMPRODUCT(General_Data*(Code_General_Data=$C42)*(Year=V$3)*(Month=V$4))</f>
        <v>765</v>
      </c>
      <c r="W42" s="132" cm="1">
        <f t="array" ref="W42">SUMPRODUCT(General_Data*(Code_General_Data=$C42)*(Year=W$3)*(Month=W$4))</f>
        <v>782</v>
      </c>
      <c r="X42" s="132" cm="1">
        <f t="array" ref="X42">SUMPRODUCT(General_Data*(Code_General_Data=$C42)*(Year=X$3)*(Month=X$4))</f>
        <v>807.5</v>
      </c>
      <c r="Y42" s="132" cm="1">
        <f t="array" ref="Y42">SUMPRODUCT(General_Data*(Code_General_Data=$C42)*(Year=Y$3)*(Month=Y$4))</f>
        <v>802</v>
      </c>
      <c r="Z42" s="132" cm="1">
        <f t="array" ref="Z42">SUMPRODUCT(General_Data*(Code_General_Data=$C42)*(Year=Z$3)*(Month=Z$4))</f>
        <v>795</v>
      </c>
      <c r="AA42" s="132" cm="1">
        <f t="array" ref="AA42">SUMPRODUCT(General_Data*(Code_General_Data=$C42)*(Year=AA$3)*(Month=AA$4))</f>
        <v>783</v>
      </c>
      <c r="AB42" s="132" cm="1">
        <f t="array" ref="AB42">SUMPRODUCT(General_Data*(Code_General_Data=$C42)*(Year=AB$3)*(Month=AB$4))</f>
        <v>772</v>
      </c>
      <c r="AC42" s="132" cm="1">
        <f t="array" ref="AC42">SUMPRODUCT(General_Data*(Code_General_Data=$C42)*(Year=AC$3)*(Month=AC$4))</f>
        <v>770</v>
      </c>
      <c r="AD42" s="133" cm="1">
        <f t="array" ref="AD42">SUMPRODUCT(General_Data*(Code_General_Data=$C42)*(Year=AD$3)*(Month=AD$4))</f>
        <v>772.5</v>
      </c>
      <c r="AE42" s="132" cm="1">
        <f t="array" ref="AE42">SUMPRODUCT(General_Data*(Code_General_Data=$C42)*(Year=AE$3)*(Month=AE$4))</f>
        <v>805</v>
      </c>
      <c r="AF42" s="132" cm="1">
        <f t="array" ref="AF42">SUMPRODUCT(General_Data*(Code_General_Data=$C42)*(Year=AF$3)*(Month=AF$4))</f>
        <v>840</v>
      </c>
      <c r="AG42" s="132" cm="1">
        <f t="array" ref="AG42">SUMPRODUCT(General_Data*(Code_General_Data=$C42)*(Year=AG$3)*(Month=AG$4))</f>
        <v>1109</v>
      </c>
      <c r="AH42" s="132" cm="1">
        <f t="array" ref="AH42">SUMPRODUCT(General_Data*(Code_General_Data=$C42)*(Year=AH$3)*(Month=AH$4))</f>
        <v>1194</v>
      </c>
      <c r="AI42" s="132" cm="1">
        <f t="array" ref="AI42">SUMPRODUCT(General_Data*(Code_General_Data=$C42)*(Year=AI$3)*(Month=AI$4))</f>
        <v>1216</v>
      </c>
      <c r="AJ42" s="132" cm="1">
        <f t="array" ref="AJ42">SUMPRODUCT(General_Data*(Code_General_Data=$C42)*(Year=AJ$3)*(Month=AJ$4))</f>
        <v>1190</v>
      </c>
      <c r="AK42" s="132"/>
      <c r="AL42" s="132"/>
      <c r="AM42" s="132"/>
      <c r="AN42" s="132"/>
      <c r="AO42" s="132"/>
      <c r="AP42" s="133"/>
    </row>
    <row r="43" spans="1:42" s="151" customFormat="1" ht="11.4" customHeight="1" outlineLevel="1" x14ac:dyDescent="0.3">
      <c r="A43" s="151" t="s">
        <v>63</v>
      </c>
      <c r="B43" s="151" t="s">
        <v>15</v>
      </c>
      <c r="D43" s="170">
        <v>4.4000000000000004</v>
      </c>
      <c r="E43" s="152"/>
      <c r="F43" s="322" t="s">
        <v>406</v>
      </c>
      <c r="G43" s="153">
        <f t="shared" ref="G43:AD43" si="18">IF(G40*G41*G42&lt;&gt;0,G41-G42,0)</f>
        <v>377.79591836734699</v>
      </c>
      <c r="H43" s="153">
        <f t="shared" si="18"/>
        <v>364.46258503401361</v>
      </c>
      <c r="I43" s="153">
        <f t="shared" si="18"/>
        <v>367.79591836734699</v>
      </c>
      <c r="J43" s="153">
        <f t="shared" si="18"/>
        <v>367.79591836734699</v>
      </c>
      <c r="K43" s="153">
        <f t="shared" si="18"/>
        <v>365.79591836734699</v>
      </c>
      <c r="L43" s="153">
        <f t="shared" si="18"/>
        <v>357.79591836734699</v>
      </c>
      <c r="M43" s="153">
        <f t="shared" si="18"/>
        <v>360.53999999999996</v>
      </c>
      <c r="N43" s="153">
        <f t="shared" si="18"/>
        <v>378.03999999999996</v>
      </c>
      <c r="O43" s="153">
        <f t="shared" si="18"/>
        <v>428.03999999999996</v>
      </c>
      <c r="P43" s="153">
        <f t="shared" si="18"/>
        <v>425.53999999999996</v>
      </c>
      <c r="Q43" s="153">
        <f t="shared" si="18"/>
        <v>436.03999999999996</v>
      </c>
      <c r="R43" s="154">
        <f t="shared" si="18"/>
        <v>458.03999999999996</v>
      </c>
      <c r="S43" s="153">
        <f t="shared" si="18"/>
        <v>460.03999999999996</v>
      </c>
      <c r="T43" s="153">
        <f t="shared" si="18"/>
        <v>448.03999999999996</v>
      </c>
      <c r="U43" s="153">
        <f t="shared" si="18"/>
        <v>465.03999999999996</v>
      </c>
      <c r="V43" s="153">
        <f t="shared" si="18"/>
        <v>473.03999999999996</v>
      </c>
      <c r="W43" s="153">
        <f t="shared" si="18"/>
        <v>456.03999999999996</v>
      </c>
      <c r="X43" s="153">
        <f t="shared" si="18"/>
        <v>430.53999999999996</v>
      </c>
      <c r="Y43" s="153">
        <f t="shared" si="18"/>
        <v>466.03999999999996</v>
      </c>
      <c r="Z43" s="153">
        <f t="shared" si="18"/>
        <v>473.03999999999996</v>
      </c>
      <c r="AA43" s="153">
        <f t="shared" si="18"/>
        <v>485.03999999999996</v>
      </c>
      <c r="AB43" s="153">
        <f t="shared" si="18"/>
        <v>496.03999999999996</v>
      </c>
      <c r="AC43" s="153">
        <f t="shared" si="18"/>
        <v>498.03999999999996</v>
      </c>
      <c r="AD43" s="154">
        <f t="shared" si="18"/>
        <v>495.53999999999996</v>
      </c>
      <c r="AE43" s="153">
        <f t="shared" ref="AE43:AG43" si="19">IF(AE40*AE41*AE42&lt;&gt;0,AE41-AE42,0)</f>
        <v>440</v>
      </c>
      <c r="AF43" s="153">
        <f t="shared" si="19"/>
        <v>405</v>
      </c>
      <c r="AG43" s="153">
        <f t="shared" si="19"/>
        <v>136</v>
      </c>
      <c r="AH43" s="153">
        <f t="shared" ref="AH43:AI43" si="20">IF(AH40*AH41*AH42&lt;&gt;0,AH41-AH42,0)</f>
        <v>-9</v>
      </c>
      <c r="AI43" s="153">
        <f t="shared" si="20"/>
        <v>-31</v>
      </c>
      <c r="AJ43" s="153">
        <f t="shared" ref="AJ43" si="21">IF(AJ40*AJ41*AJ42&lt;&gt;0,AJ41-AJ42,0)</f>
        <v>-5</v>
      </c>
      <c r="AK43" s="153"/>
      <c r="AL43" s="153"/>
      <c r="AM43" s="153"/>
      <c r="AN43" s="153"/>
      <c r="AO43" s="153"/>
      <c r="AP43" s="154"/>
    </row>
    <row r="44" spans="1:42" s="155" customFormat="1" ht="11.4" customHeight="1" outlineLevel="1" x14ac:dyDescent="0.3">
      <c r="A44" s="155" t="s">
        <v>63</v>
      </c>
      <c r="B44" s="155" t="s">
        <v>15</v>
      </c>
      <c r="D44" s="171">
        <v>4.5</v>
      </c>
      <c r="E44" s="156"/>
      <c r="F44" s="323" t="s">
        <v>14</v>
      </c>
      <c r="G44" s="497">
        <f t="shared" ref="G44:AD44" si="22">IFERROR(G43/G42,0)</f>
        <v>0.40623217028746988</v>
      </c>
      <c r="H44" s="497">
        <f t="shared" si="22"/>
        <v>0.38635609720920172</v>
      </c>
      <c r="I44" s="497">
        <f t="shared" si="22"/>
        <v>0.39127225358228401</v>
      </c>
      <c r="J44" s="497">
        <f t="shared" si="22"/>
        <v>0.39127225358228401</v>
      </c>
      <c r="K44" s="497">
        <f t="shared" si="22"/>
        <v>0.38831838467871233</v>
      </c>
      <c r="L44" s="497">
        <f t="shared" si="22"/>
        <v>0.37662728249194422</v>
      </c>
      <c r="M44" s="497">
        <f t="shared" si="22"/>
        <v>0.38051715039577833</v>
      </c>
      <c r="N44" s="497">
        <f t="shared" si="22"/>
        <v>0.40649462365591393</v>
      </c>
      <c r="O44" s="497">
        <f t="shared" si="22"/>
        <v>0.48640909090909085</v>
      </c>
      <c r="P44" s="497">
        <f t="shared" si="22"/>
        <v>0.49337971014492749</v>
      </c>
      <c r="Q44" s="497">
        <f t="shared" si="22"/>
        <v>0.5117840375586854</v>
      </c>
      <c r="R44" s="498">
        <f t="shared" si="22"/>
        <v>0.55185542168674695</v>
      </c>
      <c r="S44" s="497">
        <f t="shared" si="22"/>
        <v>0.55560386473429946</v>
      </c>
      <c r="T44" s="497">
        <f t="shared" si="22"/>
        <v>0.53338095238095229</v>
      </c>
      <c r="U44" s="497">
        <f t="shared" si="22"/>
        <v>0.56505467800729037</v>
      </c>
      <c r="V44" s="497">
        <f t="shared" si="22"/>
        <v>0.61835294117647055</v>
      </c>
      <c r="W44" s="497">
        <f t="shared" si="22"/>
        <v>0.58317135549872123</v>
      </c>
      <c r="X44" s="497">
        <f t="shared" si="22"/>
        <v>0.53317647058823525</v>
      </c>
      <c r="Y44" s="497">
        <f t="shared" si="22"/>
        <v>0.58109725685785529</v>
      </c>
      <c r="Z44" s="497">
        <f t="shared" si="22"/>
        <v>0.59501886792452829</v>
      </c>
      <c r="AA44" s="497">
        <f t="shared" si="22"/>
        <v>0.61946360153256697</v>
      </c>
      <c r="AB44" s="497">
        <f t="shared" si="22"/>
        <v>0.64253886010362693</v>
      </c>
      <c r="AC44" s="497">
        <f t="shared" si="22"/>
        <v>0.64680519480519472</v>
      </c>
      <c r="AD44" s="498">
        <f t="shared" si="22"/>
        <v>0.64147572815533971</v>
      </c>
      <c r="AE44" s="497">
        <f t="shared" ref="AE44:AG44" si="23">IFERROR(AE43/AE42,0)</f>
        <v>0.54658385093167705</v>
      </c>
      <c r="AF44" s="497">
        <f t="shared" si="23"/>
        <v>0.48214285714285715</v>
      </c>
      <c r="AG44" s="497">
        <f t="shared" si="23"/>
        <v>0.12263300270513977</v>
      </c>
      <c r="AH44" s="497">
        <f t="shared" ref="AH44:AI44" si="24">IFERROR(AH43/AH42,0)</f>
        <v>-7.537688442211055E-3</v>
      </c>
      <c r="AI44" s="497">
        <f t="shared" si="24"/>
        <v>-2.5493421052631578E-2</v>
      </c>
      <c r="AJ44" s="497">
        <f t="shared" ref="AJ44" si="25">IFERROR(AJ43/AJ42,0)</f>
        <v>-4.2016806722689074E-3</v>
      </c>
      <c r="AK44" s="497"/>
      <c r="AL44" s="497"/>
      <c r="AM44" s="497"/>
      <c r="AN44" s="497"/>
      <c r="AO44" s="497"/>
      <c r="AP44" s="498"/>
    </row>
    <row r="45" spans="1:42" s="137" customFormat="1" ht="11.4" customHeight="1" outlineLevel="1" x14ac:dyDescent="0.3">
      <c r="A45" s="137" t="s">
        <v>63</v>
      </c>
      <c r="B45" s="137" t="s">
        <v>15</v>
      </c>
      <c r="C45" s="137" t="s">
        <v>15</v>
      </c>
      <c r="D45" s="172">
        <v>4.5999999999999996</v>
      </c>
      <c r="E45" s="138"/>
      <c r="F45" s="324" t="s">
        <v>202</v>
      </c>
      <c r="G45" s="139" cm="1">
        <f t="array" ref="G45">SUMPRODUCT(General_Data*(Code_General_Data=$C45)*(Year=G$3)*(Month=G$4))</f>
        <v>1250</v>
      </c>
      <c r="H45" s="139" cm="1">
        <f t="array" ref="H45">SUMPRODUCT(General_Data*(Code_General_Data=$C45)*(Year=H$3)*(Month=H$4))</f>
        <v>1250</v>
      </c>
      <c r="I45" s="139" cm="1">
        <f t="array" ref="I45">SUMPRODUCT(General_Data*(Code_General_Data=$C45)*(Year=I$3)*(Month=I$4))</f>
        <v>1250</v>
      </c>
      <c r="J45" s="139" cm="1">
        <f t="array" ref="J45">SUMPRODUCT(General_Data*(Code_General_Data=$C45)*(Year=J$3)*(Month=J$4))</f>
        <v>1250</v>
      </c>
      <c r="K45" s="139" cm="1">
        <f t="array" ref="K45">SUMPRODUCT(General_Data*(Code_General_Data=$C45)*(Year=K$3)*(Month=K$4))</f>
        <v>1300</v>
      </c>
      <c r="L45" s="139" cm="1">
        <f t="array" ref="L45">SUMPRODUCT(General_Data*(Code_General_Data=$C45)*(Year=L$3)*(Month=L$4))</f>
        <v>1300</v>
      </c>
      <c r="M45" s="139" cm="1">
        <f t="array" ref="M45">SUMPRODUCT(General_Data*(Code_General_Data=$C45)*(Year=M$3)*(Month=M$4))</f>
        <v>1300</v>
      </c>
      <c r="N45" s="139" cm="1">
        <f t="array" ref="N45">SUMPRODUCT(General_Data*(Code_General_Data=$C45)*(Year=N$3)*(Month=N$4))</f>
        <v>1300</v>
      </c>
      <c r="O45" s="139" cm="1">
        <f t="array" ref="O45">SUMPRODUCT(General_Data*(Code_General_Data=$C45)*(Year=O$3)*(Month=O$4))</f>
        <v>1310</v>
      </c>
      <c r="P45" s="139" cm="1">
        <f t="array" ref="P45">SUMPRODUCT(General_Data*(Code_General_Data=$C45)*(Year=P$3)*(Month=P$4))</f>
        <v>1325</v>
      </c>
      <c r="Q45" s="139" cm="1">
        <f t="array" ref="Q45">SUMPRODUCT(General_Data*(Code_General_Data=$C45)*(Year=Q$3)*(Month=Q$4))</f>
        <v>1325</v>
      </c>
      <c r="R45" s="140" cm="1">
        <f t="array" ref="R45">SUMPRODUCT(General_Data*(Code_General_Data=$C45)*(Year=R$3)*(Month=R$4))</f>
        <v>1275</v>
      </c>
      <c r="S45" s="139" cm="1">
        <f t="array" ref="S45">SUMPRODUCT(General_Data*(Code_General_Data=$C45)*(Year=S$3)*(Month=S$4))</f>
        <v>1230</v>
      </c>
      <c r="T45" s="139" cm="1">
        <f t="array" ref="T45">SUMPRODUCT(General_Data*(Code_General_Data=$C45)*(Year=T$3)*(Month=T$4))</f>
        <v>1230</v>
      </c>
      <c r="U45" s="139" cm="1">
        <f t="array" ref="U45">SUMPRODUCT(General_Data*(Code_General_Data=$C45)*(Year=U$3)*(Month=U$4))</f>
        <v>1230</v>
      </c>
      <c r="V45" s="139" cm="1">
        <f t="array" ref="V45">SUMPRODUCT(General_Data*(Code_General_Data=$C45)*(Year=V$3)*(Month=V$4))</f>
        <v>1250</v>
      </c>
      <c r="W45" s="139" cm="1">
        <f t="array" ref="W45">SUMPRODUCT(General_Data*(Code_General_Data=$C45)*(Year=W$3)*(Month=W$4))</f>
        <v>1250</v>
      </c>
      <c r="X45" s="139" cm="1">
        <f t="array" ref="X45">SUMPRODUCT(General_Data*(Code_General_Data=$C45)*(Year=X$3)*(Month=X$4))</f>
        <v>1250</v>
      </c>
      <c r="Y45" s="139" cm="1">
        <f t="array" ref="Y45">SUMPRODUCT(General_Data*(Code_General_Data=$C45)*(Year=Y$3)*(Month=Y$4))</f>
        <v>1250</v>
      </c>
      <c r="Z45" s="139" cm="1">
        <f t="array" ref="Z45">SUMPRODUCT(General_Data*(Code_General_Data=$C45)*(Year=Z$3)*(Month=Z$4))</f>
        <v>1220</v>
      </c>
      <c r="AA45" s="139" cm="1">
        <f t="array" ref="AA45">SUMPRODUCT(General_Data*(Code_General_Data=$C45)*(Year=AA$3)*(Month=AA$4))</f>
        <v>1220</v>
      </c>
      <c r="AB45" s="139" cm="1">
        <f t="array" ref="AB45">SUMPRODUCT(General_Data*(Code_General_Data=$C45)*(Year=AB$3)*(Month=AB$4))</f>
        <v>1210</v>
      </c>
      <c r="AC45" s="139" cm="1">
        <f t="array" ref="AC45">SUMPRODUCT(General_Data*(Code_General_Data=$C45)*(Year=AC$3)*(Month=AC$4))</f>
        <v>1200</v>
      </c>
      <c r="AD45" s="140" cm="1">
        <f t="array" ref="AD45">SUMPRODUCT(General_Data*(Code_General_Data=$C45)*(Year=AD$3)*(Month=AD$4))</f>
        <v>1200</v>
      </c>
      <c r="AE45" s="139" cm="1">
        <f t="array" ref="AE45">SUMPRODUCT(General_Data*(Code_General_Data=$C45)*(Year=AE$3)*(Month=AE$4))</f>
        <v>1160</v>
      </c>
      <c r="AF45" s="139" cm="1">
        <f t="array" ref="AF45">SUMPRODUCT(General_Data*(Code_General_Data=$C45)*(Year=AF$3)*(Month=AF$4))</f>
        <v>1160</v>
      </c>
      <c r="AG45" s="139" cm="1">
        <f t="array" ref="AG45">SUMPRODUCT(General_Data*(Code_General_Data=$C45)*(Year=AG$3)*(Month=AG$4))</f>
        <v>1160</v>
      </c>
      <c r="AH45" s="139" cm="1">
        <f t="array" ref="AH45">SUMPRODUCT(General_Data*(Code_General_Data=$C45)*(Year=AH$3)*(Month=AH$4))</f>
        <v>1280</v>
      </c>
      <c r="AI45" s="139" cm="1">
        <f t="array" ref="AI45">SUMPRODUCT(General_Data*(Code_General_Data=$C45)*(Year=AI$3)*(Month=AI$4))</f>
        <v>1380</v>
      </c>
      <c r="AJ45" s="139" cm="1">
        <f t="array" ref="AJ45">SUMPRODUCT(General_Data*(Code_General_Data=$C45)*(Year=AJ$3)*(Month=AJ$4))</f>
        <v>1350</v>
      </c>
      <c r="AK45" s="139"/>
      <c r="AL45" s="139"/>
      <c r="AM45" s="139"/>
      <c r="AN45" s="139"/>
      <c r="AO45" s="139"/>
      <c r="AP45" s="140"/>
    </row>
    <row r="46" spans="1:42" ht="3.75" customHeight="1" x14ac:dyDescent="0.3">
      <c r="A46" t="s">
        <v>63</v>
      </c>
      <c r="D46" s="165"/>
    </row>
    <row r="47" spans="1:42" s="147" customFormat="1" ht="13.35" customHeight="1" outlineLevel="1" x14ac:dyDescent="0.3">
      <c r="A47" s="147" t="s">
        <v>63</v>
      </c>
      <c r="B47" s="147" t="s">
        <v>24</v>
      </c>
      <c r="D47" s="158"/>
      <c r="E47" s="148"/>
      <c r="F47" s="318" t="s">
        <v>23</v>
      </c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9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9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9"/>
    </row>
    <row r="48" spans="1:42" s="69" customFormat="1" ht="11.4" customHeight="1" outlineLevel="1" x14ac:dyDescent="0.3">
      <c r="A48" s="69" t="s">
        <v>63</v>
      </c>
      <c r="B48" s="69" t="s">
        <v>24</v>
      </c>
      <c r="D48" s="159">
        <v>4.7</v>
      </c>
      <c r="E48" s="134"/>
      <c r="F48" s="319" t="s">
        <v>19</v>
      </c>
      <c r="G48" s="135" cm="1">
        <f t="array" ref="G48">INDEX(Price!$L$11:$AY$210,MATCH(1,(Price!$A$11:$A$210=$A48)*(Price!$B$11:$B$210=$B48)*(Price!$D$11:$D$210="gb"),0),MATCH(1,(Price!$L$3:$AY$3=G$3)*(Price!$L$4:$AY$4=G$4),0))</f>
        <v>1500</v>
      </c>
      <c r="H48" s="135" cm="1">
        <f t="array" ref="H48">INDEX(Price!$L$11:$AY$210,MATCH(1,(Price!$A$11:$A$210=$A48)*(Price!$B$11:$B$210=$B48)*(Price!$D$11:$D$210="gb"),0),MATCH(1,(Price!$L$3:$AY$3=H$3)*(Price!$L$4:$AY$4=H$4),0))</f>
        <v>1500</v>
      </c>
      <c r="I48" s="135" cm="1">
        <f t="array" ref="I48">INDEX(Price!$L$11:$AY$210,MATCH(1,(Price!$A$11:$A$210=$A48)*(Price!$B$11:$B$210=$B48)*(Price!$D$11:$D$210="gb"),0),MATCH(1,(Price!$L$3:$AY$3=I$3)*(Price!$L$4:$AY$4=I$4),0))</f>
        <v>1500</v>
      </c>
      <c r="J48" s="135" cm="1">
        <f t="array" ref="J48">INDEX(Price!$L$11:$AY$210,MATCH(1,(Price!$A$11:$A$210=$A48)*(Price!$B$11:$B$210=$B48)*(Price!$D$11:$D$210="gb"),0),MATCH(1,(Price!$L$3:$AY$3=J$3)*(Price!$L$4:$AY$4=J$4),0))</f>
        <v>1430</v>
      </c>
      <c r="K48" s="135" cm="1">
        <f t="array" ref="K48">INDEX(Price!$L$11:$AY$210,MATCH(1,(Price!$A$11:$A$210=$A48)*(Price!$B$11:$B$210=$B48)*(Price!$D$11:$D$210="gb"),0),MATCH(1,(Price!$L$3:$AY$3=K$3)*(Price!$L$4:$AY$4=K$4),0))</f>
        <v>1430</v>
      </c>
      <c r="L48" s="135" cm="1">
        <f t="array" ref="L48">INDEX(Price!$L$11:$AY$210,MATCH(1,(Price!$A$11:$A$210=$A48)*(Price!$B$11:$B$210=$B48)*(Price!$D$11:$D$210="gb"),0),MATCH(1,(Price!$L$3:$AY$3=L$3)*(Price!$L$4:$AY$4=L$4),0))</f>
        <v>1430</v>
      </c>
      <c r="M48" s="135" cm="1">
        <f t="array" ref="M48">INDEX(Price!$L$11:$AY$210,MATCH(1,(Price!$A$11:$A$210=$A48)*(Price!$B$11:$B$210=$B48)*(Price!$D$11:$D$210="gb"),0),MATCH(1,(Price!$L$3:$AY$3=M$3)*(Price!$L$4:$AY$4=M$4),0))</f>
        <v>1430</v>
      </c>
      <c r="N48" s="135" cm="1">
        <f t="array" ref="N48">INDEX(Price!$L$11:$AY$210,MATCH(1,(Price!$A$11:$A$210=$A48)*(Price!$B$11:$B$210=$B48)*(Price!$D$11:$D$210="gb"),0),MATCH(1,(Price!$L$3:$AY$3=N$3)*(Price!$L$4:$AY$4=N$4),0))</f>
        <v>1430</v>
      </c>
      <c r="O48" s="135" cm="1">
        <f t="array" ref="O48">INDEX(Price!$L$11:$AY$210,MATCH(1,(Price!$A$11:$A$210=$A48)*(Price!$B$11:$B$210=$B48)*(Price!$D$11:$D$210="gb"),0),MATCH(1,(Price!$L$3:$AY$3=O$3)*(Price!$L$4:$AY$4=O$4),0))</f>
        <v>1430</v>
      </c>
      <c r="P48" s="135" cm="1">
        <f t="array" ref="P48">INDEX(Price!$L$11:$AY$210,MATCH(1,(Price!$A$11:$A$210=$A48)*(Price!$B$11:$B$210=$B48)*(Price!$D$11:$D$210="gb"),0),MATCH(1,(Price!$L$3:$AY$3=P$3)*(Price!$L$4:$AY$4=P$4),0))</f>
        <v>1430</v>
      </c>
      <c r="Q48" s="135" cm="1">
        <f t="array" ref="Q48">INDEX(Price!$L$11:$AY$210,MATCH(1,(Price!$A$11:$A$210=$A48)*(Price!$B$11:$B$210=$B48)*(Price!$D$11:$D$210="gb"),0),MATCH(1,(Price!$L$3:$AY$3=Q$3)*(Price!$L$4:$AY$4=Q$4),0))</f>
        <v>1430</v>
      </c>
      <c r="R48" s="136" cm="1">
        <f t="array" ref="R48">INDEX(Price!$L$11:$AY$210,MATCH(1,(Price!$A$11:$A$210=$A48)*(Price!$B$11:$B$210=$B48)*(Price!$D$11:$D$210="gb"),0),MATCH(1,(Price!$L$3:$AY$3=R$3)*(Price!$L$4:$AY$4=R$4),0))</f>
        <v>1430</v>
      </c>
      <c r="S48" s="135" cm="1">
        <f t="array" ref="S48">INDEX(Price!$L$11:$AY$210,MATCH(1,(Price!$A$11:$A$210=$A48)*(Price!$B$11:$B$210=$B48)*(Price!$D$11:$D$210="gb"),0),MATCH(1,(Price!$L$3:$AY$3=S$3)*(Price!$L$4:$AY$4=S$4),0))</f>
        <v>1400</v>
      </c>
      <c r="T48" s="135" cm="1">
        <f t="array" ref="T48">INDEX(Price!$L$11:$AY$210,MATCH(1,(Price!$A$11:$A$210=$A48)*(Price!$B$11:$B$210=$B48)*(Price!$D$11:$D$210="gb"),0),MATCH(1,(Price!$L$3:$AY$3=T$3)*(Price!$L$4:$AY$4=T$4),0))</f>
        <v>1400</v>
      </c>
      <c r="U48" s="135" cm="1">
        <f t="array" ref="U48">INDEX(Price!$L$11:$AY$210,MATCH(1,(Price!$A$11:$A$210=$A48)*(Price!$B$11:$B$210=$B48)*(Price!$D$11:$D$210="gb"),0),MATCH(1,(Price!$L$3:$AY$3=U$3)*(Price!$L$4:$AY$4=U$4),0))</f>
        <v>1400</v>
      </c>
      <c r="V48" s="135" cm="1">
        <f t="array" ref="V48">INDEX(Price!$L$11:$AY$210,MATCH(1,(Price!$A$11:$A$210=$A48)*(Price!$B$11:$B$210=$B48)*(Price!$D$11:$D$210="gb"),0),MATCH(1,(Price!$L$3:$AY$3=V$3)*(Price!$L$4:$AY$4=V$4),0))</f>
        <v>1350</v>
      </c>
      <c r="W48" s="135" cm="1">
        <f t="array" ref="W48">INDEX(Price!$L$11:$AY$210,MATCH(1,(Price!$A$11:$A$210=$A48)*(Price!$B$11:$B$210=$B48)*(Price!$D$11:$D$210="gb"),0),MATCH(1,(Price!$L$3:$AY$3=W$3)*(Price!$L$4:$AY$4=W$4),0))</f>
        <v>1350</v>
      </c>
      <c r="X48" s="135" cm="1">
        <f t="array" ref="X48">INDEX(Price!$L$11:$AY$210,MATCH(1,(Price!$A$11:$A$210=$A48)*(Price!$B$11:$B$210=$B48)*(Price!$D$11:$D$210="gb"),0),MATCH(1,(Price!$L$3:$AY$3=X$3)*(Price!$L$4:$AY$4=X$4),0))</f>
        <v>1350</v>
      </c>
      <c r="Y48" s="135" cm="1">
        <f t="array" ref="Y48">INDEX(Price!$L$11:$AY$210,MATCH(1,(Price!$A$11:$A$210=$A48)*(Price!$B$11:$B$210=$B48)*(Price!$D$11:$D$210="gb"),0),MATCH(1,(Price!$L$3:$AY$3=Y$3)*(Price!$L$4:$AY$4=Y$4),0))</f>
        <v>1380</v>
      </c>
      <c r="Z48" s="135" cm="1">
        <f t="array" ref="Z48">INDEX(Price!$L$11:$AY$210,MATCH(1,(Price!$A$11:$A$210=$A48)*(Price!$B$11:$B$210=$B48)*(Price!$D$11:$D$210="gb"),0),MATCH(1,(Price!$L$3:$AY$3=Z$3)*(Price!$L$4:$AY$4=Z$4),0))</f>
        <v>1380</v>
      </c>
      <c r="AA48" s="135" cm="1">
        <f t="array" ref="AA48">INDEX(Price!$L$11:$AY$210,MATCH(1,(Price!$A$11:$A$210=$A48)*(Price!$B$11:$B$210=$B48)*(Price!$D$11:$D$210="gb"),0),MATCH(1,(Price!$L$3:$AY$3=AA$3)*(Price!$L$4:$AY$4=AA$4),0))</f>
        <v>1380</v>
      </c>
      <c r="AB48" s="135" cm="1">
        <f t="array" ref="AB48">INDEX(Price!$L$11:$AY$210,MATCH(1,(Price!$A$11:$A$210=$A48)*(Price!$B$11:$B$210=$B48)*(Price!$D$11:$D$210="gb"),0),MATCH(1,(Price!$L$3:$AY$3=AB$3)*(Price!$L$4:$AY$4=AB$4),0))</f>
        <v>1380</v>
      </c>
      <c r="AC48" s="135" cm="1">
        <f t="array" ref="AC48">INDEX(Price!$L$11:$AY$210,MATCH(1,(Price!$A$11:$A$210=$A48)*(Price!$B$11:$B$210=$B48)*(Price!$D$11:$D$210="gb"),0),MATCH(1,(Price!$L$3:$AY$3=AC$3)*(Price!$L$4:$AY$4=AC$4),0))</f>
        <v>1380</v>
      </c>
      <c r="AD48" s="136" cm="1">
        <f t="array" ref="AD48">INDEX(Price!$L$11:$AY$210,MATCH(1,(Price!$A$11:$A$210=$A48)*(Price!$B$11:$B$210=$B48)*(Price!$D$11:$D$210="gb"),0),MATCH(1,(Price!$L$3:$AY$3=AD$3)*(Price!$L$4:$AY$4=AD$4),0))</f>
        <v>1380</v>
      </c>
      <c r="AE48" s="135" cm="1">
        <f t="array" ref="AE48">INDEX(Price!$L$11:$AY$210,MATCH(1,(Price!$A$11:$A$210=$A48)*(Price!$B$11:$B$210=$B48)*(Price!$D$11:$D$210="gb"),0),MATCH(1,(Price!$L$3:$AY$3=AE$3)*(Price!$L$4:$AY$4=AE$4),0))</f>
        <v>1330</v>
      </c>
      <c r="AF48" s="135" cm="1">
        <f t="array" ref="AF48">INDEX(Price!$L$11:$AY$210,MATCH(1,(Price!$A$11:$A$210=$A48)*(Price!$B$11:$B$210=$B48)*(Price!$D$11:$D$210="gb"),0),MATCH(1,(Price!$L$3:$AY$3=AF$3)*(Price!$L$4:$AY$4=AF$4),0))</f>
        <v>1330</v>
      </c>
      <c r="AG48" s="135" cm="1">
        <f t="array" ref="AG48">INDEX(Price!$L$11:$AY$210,MATCH(1,(Price!$A$11:$A$210=$A48)*(Price!$B$11:$B$210=$B48)*(Price!$D$11:$D$210="gb"),0),MATCH(1,(Price!$L$3:$AY$3=AG$3)*(Price!$L$4:$AY$4=AG$4),0))</f>
        <v>1330</v>
      </c>
      <c r="AH48" s="135" cm="1">
        <f t="array" ref="AH48">INDEX(Price!$L$11:$AY$210,MATCH(1,(Price!$A$11:$A$210=$A48)*(Price!$B$11:$B$210=$B48)*(Price!$D$11:$D$210="gb"),0),MATCH(1,(Price!$L$3:$AY$3=AH$3)*(Price!$L$4:$AY$4=AH$4),0))</f>
        <v>1272</v>
      </c>
      <c r="AI48" s="135" cm="1">
        <f t="array" ref="AI48">INDEX(Price!$L$11:$AY$210,MATCH(1,(Price!$A$11:$A$210=$A48)*(Price!$B$11:$B$210=$B48)*(Price!$D$11:$D$210="gb"),0),MATCH(1,(Price!$L$3:$AY$3=AI$3)*(Price!$L$4:$AY$4=AI$4),0))</f>
        <v>1272</v>
      </c>
      <c r="AJ48" s="135" cm="1">
        <f t="array" ref="AJ48">INDEX(Price!$L$11:$AY$210,MATCH(1,(Price!$A$11:$A$210=$A48)*(Price!$B$11:$B$210=$B48)*(Price!$D$11:$D$210="gb"),0),MATCH(1,(Price!$L$3:$AY$3=AJ$3)*(Price!$L$4:$AY$4=AJ$4),0))</f>
        <v>1272</v>
      </c>
      <c r="AK48" s="135"/>
      <c r="AL48" s="135"/>
      <c r="AM48" s="135"/>
      <c r="AN48" s="135"/>
      <c r="AO48" s="135"/>
      <c r="AP48" s="136"/>
    </row>
    <row r="49" spans="1:42" s="1" customFormat="1" ht="11.4" customHeight="1" outlineLevel="1" x14ac:dyDescent="0.3">
      <c r="A49" s="1" t="s">
        <v>63</v>
      </c>
      <c r="B49" s="1" t="s">
        <v>24</v>
      </c>
      <c r="C49" s="142" t="s">
        <v>321</v>
      </c>
      <c r="D49" s="160">
        <v>4.8</v>
      </c>
      <c r="E49" s="143"/>
      <c r="F49" s="320" t="s">
        <v>8</v>
      </c>
      <c r="G49" s="144" cm="1">
        <f t="array" ref="G49">INDEX(Price!$L$11:$AY$210,MATCH(1,(Price!$A$11:$A$210=$A49)*(Price!$B$11:$B$210=$B49)*(Price!$D$11:$D$210="exw"),0),MATCH(1,(Price!$L$3:$AY$3=G$3)*(Price!$L$4:$AY$4=G$4),0))</f>
        <v>1487.795918367347</v>
      </c>
      <c r="H49" s="144" cm="1">
        <f t="array" ref="H49">INDEX(Price!$L$11:$AY$210,MATCH(1,(Price!$A$11:$A$210=$A49)*(Price!$B$11:$B$210=$B49)*(Price!$D$11:$D$210="exw"),0),MATCH(1,(Price!$L$3:$AY$3=H$3)*(Price!$L$4:$AY$4=H$4),0))</f>
        <v>1487.795918367347</v>
      </c>
      <c r="I49" s="144" cm="1">
        <f t="array" ref="I49">INDEX(Price!$L$11:$AY$210,MATCH(1,(Price!$A$11:$A$210=$A49)*(Price!$B$11:$B$210=$B49)*(Price!$D$11:$D$210="exw"),0),MATCH(1,(Price!$L$3:$AY$3=I$3)*(Price!$L$4:$AY$4=I$4),0))</f>
        <v>1487.795918367347</v>
      </c>
      <c r="J49" s="144" cm="1">
        <f t="array" ref="J49">INDEX(Price!$L$11:$AY$210,MATCH(1,(Price!$A$11:$A$210=$A49)*(Price!$B$11:$B$210=$B49)*(Price!$D$11:$D$210="exw"),0),MATCH(1,(Price!$L$3:$AY$3=J$3)*(Price!$L$4:$AY$4=J$4),0))</f>
        <v>1417.795918367347</v>
      </c>
      <c r="K49" s="144" cm="1">
        <f t="array" ref="K49">INDEX(Price!$L$11:$AY$210,MATCH(1,(Price!$A$11:$A$210=$A49)*(Price!$B$11:$B$210=$B49)*(Price!$D$11:$D$210="exw"),0),MATCH(1,(Price!$L$3:$AY$3=K$3)*(Price!$L$4:$AY$4=K$4),0))</f>
        <v>1417.795918367347</v>
      </c>
      <c r="L49" s="144" cm="1">
        <f t="array" ref="L49">INDEX(Price!$L$11:$AY$210,MATCH(1,(Price!$A$11:$A$210=$A49)*(Price!$B$11:$B$210=$B49)*(Price!$D$11:$D$210="exw"),0),MATCH(1,(Price!$L$3:$AY$3=L$3)*(Price!$L$4:$AY$4=L$4),0))</f>
        <v>1417.795918367347</v>
      </c>
      <c r="M49" s="144" cm="1">
        <f t="array" ref="M49">INDEX(Price!$L$11:$AY$210,MATCH(1,(Price!$A$11:$A$210=$A49)*(Price!$B$11:$B$210=$B49)*(Price!$D$11:$D$210="exw"),0),MATCH(1,(Price!$L$3:$AY$3=M$3)*(Price!$L$4:$AY$4=M$4),0))</f>
        <v>1418.04</v>
      </c>
      <c r="N49" s="144" cm="1">
        <f t="array" ref="N49">INDEX(Price!$L$11:$AY$210,MATCH(1,(Price!$A$11:$A$210=$A49)*(Price!$B$11:$B$210=$B49)*(Price!$D$11:$D$210="exw"),0),MATCH(1,(Price!$L$3:$AY$3=N$3)*(Price!$L$4:$AY$4=N$4),0))</f>
        <v>1418.04</v>
      </c>
      <c r="O49" s="144" cm="1">
        <f t="array" ref="O49">INDEX(Price!$L$11:$AY$210,MATCH(1,(Price!$A$11:$A$210=$A49)*(Price!$B$11:$B$210=$B49)*(Price!$D$11:$D$210="exw"),0),MATCH(1,(Price!$L$3:$AY$3=O$3)*(Price!$L$4:$AY$4=O$4),0))</f>
        <v>1418.04</v>
      </c>
      <c r="P49" s="144" cm="1">
        <f t="array" ref="P49">INDEX(Price!$L$11:$AY$210,MATCH(1,(Price!$A$11:$A$210=$A49)*(Price!$B$11:$B$210=$B49)*(Price!$D$11:$D$210="exw"),0),MATCH(1,(Price!$L$3:$AY$3=P$3)*(Price!$L$4:$AY$4=P$4),0))</f>
        <v>1418.04</v>
      </c>
      <c r="Q49" s="144" cm="1">
        <f t="array" ref="Q49">INDEX(Price!$L$11:$AY$210,MATCH(1,(Price!$A$11:$A$210=$A49)*(Price!$B$11:$B$210=$B49)*(Price!$D$11:$D$210="exw"),0),MATCH(1,(Price!$L$3:$AY$3=Q$3)*(Price!$L$4:$AY$4=Q$4),0))</f>
        <v>1418.04</v>
      </c>
      <c r="R49" s="145" cm="1">
        <f t="array" ref="R49">INDEX(Price!$L$11:$AY$210,MATCH(1,(Price!$A$11:$A$210=$A49)*(Price!$B$11:$B$210=$B49)*(Price!$D$11:$D$210="exw"),0),MATCH(1,(Price!$L$3:$AY$3=R$3)*(Price!$L$4:$AY$4=R$4),0))</f>
        <v>1418.04</v>
      </c>
      <c r="S49" s="144" cm="1">
        <f t="array" ref="S49">INDEX(Price!$L$11:$AY$210,MATCH(1,(Price!$A$11:$A$210=$A49)*(Price!$B$11:$B$210=$B49)*(Price!$D$11:$D$210="exw"),0),MATCH(1,(Price!$L$3:$AY$3=S$3)*(Price!$L$4:$AY$4=S$4),0))</f>
        <v>1388.04</v>
      </c>
      <c r="T49" s="144" cm="1">
        <f t="array" ref="T49">INDEX(Price!$L$11:$AY$210,MATCH(1,(Price!$A$11:$A$210=$A49)*(Price!$B$11:$B$210=$B49)*(Price!$D$11:$D$210="exw"),0),MATCH(1,(Price!$L$3:$AY$3=T$3)*(Price!$L$4:$AY$4=T$4),0))</f>
        <v>1388.04</v>
      </c>
      <c r="U49" s="144" cm="1">
        <f t="array" ref="U49">INDEX(Price!$L$11:$AY$210,MATCH(1,(Price!$A$11:$A$210=$A49)*(Price!$B$11:$B$210=$B49)*(Price!$D$11:$D$210="exw"),0),MATCH(1,(Price!$L$3:$AY$3=U$3)*(Price!$L$4:$AY$4=U$4),0))</f>
        <v>1388.04</v>
      </c>
      <c r="V49" s="144" cm="1">
        <f t="array" ref="V49">INDEX(Price!$L$11:$AY$210,MATCH(1,(Price!$A$11:$A$210=$A49)*(Price!$B$11:$B$210=$B49)*(Price!$D$11:$D$210="exw"),0),MATCH(1,(Price!$L$3:$AY$3=V$3)*(Price!$L$4:$AY$4=V$4),0))</f>
        <v>1338.04</v>
      </c>
      <c r="W49" s="144" cm="1">
        <f t="array" ref="W49">INDEX(Price!$L$11:$AY$210,MATCH(1,(Price!$A$11:$A$210=$A49)*(Price!$B$11:$B$210=$B49)*(Price!$D$11:$D$210="exw"),0),MATCH(1,(Price!$L$3:$AY$3=W$3)*(Price!$L$4:$AY$4=W$4),0))</f>
        <v>1338.04</v>
      </c>
      <c r="X49" s="144" cm="1">
        <f t="array" ref="X49">INDEX(Price!$L$11:$AY$210,MATCH(1,(Price!$A$11:$A$210=$A49)*(Price!$B$11:$B$210=$B49)*(Price!$D$11:$D$210="exw"),0),MATCH(1,(Price!$L$3:$AY$3=X$3)*(Price!$L$4:$AY$4=X$4),0))</f>
        <v>1338.04</v>
      </c>
      <c r="Y49" s="144" cm="1">
        <f t="array" ref="Y49">INDEX(Price!$L$11:$AY$210,MATCH(1,(Price!$A$11:$A$210=$A49)*(Price!$B$11:$B$210=$B49)*(Price!$D$11:$D$210="exw"),0),MATCH(1,(Price!$L$3:$AY$3=Y$3)*(Price!$L$4:$AY$4=Y$4),0))</f>
        <v>1368.04</v>
      </c>
      <c r="Z49" s="144" cm="1">
        <f t="array" ref="Z49">INDEX(Price!$L$11:$AY$210,MATCH(1,(Price!$A$11:$A$210=$A49)*(Price!$B$11:$B$210=$B49)*(Price!$D$11:$D$210="exw"),0),MATCH(1,(Price!$L$3:$AY$3=Z$3)*(Price!$L$4:$AY$4=Z$4),0))</f>
        <v>1368.04</v>
      </c>
      <c r="AA49" s="144" cm="1">
        <f t="array" ref="AA49">INDEX(Price!$L$11:$AY$210,MATCH(1,(Price!$A$11:$A$210=$A49)*(Price!$B$11:$B$210=$B49)*(Price!$D$11:$D$210="exw"),0),MATCH(1,(Price!$L$3:$AY$3=AA$3)*(Price!$L$4:$AY$4=AA$4),0))</f>
        <v>1368.04</v>
      </c>
      <c r="AB49" s="144" cm="1">
        <f t="array" ref="AB49">INDEX(Price!$L$11:$AY$210,MATCH(1,(Price!$A$11:$A$210=$A49)*(Price!$B$11:$B$210=$B49)*(Price!$D$11:$D$210="exw"),0),MATCH(1,(Price!$L$3:$AY$3=AB$3)*(Price!$L$4:$AY$4=AB$4),0))</f>
        <v>1368.04</v>
      </c>
      <c r="AC49" s="144" cm="1">
        <f t="array" ref="AC49">INDEX(Price!$L$11:$AY$210,MATCH(1,(Price!$A$11:$A$210=$A49)*(Price!$B$11:$B$210=$B49)*(Price!$D$11:$D$210="exw"),0),MATCH(1,(Price!$L$3:$AY$3=AC$3)*(Price!$L$4:$AY$4=AC$4),0))</f>
        <v>1368.04</v>
      </c>
      <c r="AD49" s="145" cm="1">
        <f t="array" ref="AD49">INDEX(Price!$L$11:$AY$210,MATCH(1,(Price!$A$11:$A$210=$A49)*(Price!$B$11:$B$210=$B49)*(Price!$D$11:$D$210="exw"),0),MATCH(1,(Price!$L$3:$AY$3=AD$3)*(Price!$L$4:$AY$4=AD$4),0))</f>
        <v>1368.04</v>
      </c>
      <c r="AE49" s="144" cm="1">
        <f t="array" ref="AE49">INDEX(Price!$L$11:$AY$210,MATCH(1,(Price!$A$11:$A$210=$A49)*(Price!$B$11:$B$210=$B49)*(Price!$D$11:$D$210="exw"),0),MATCH(1,(Price!$L$3:$AY$3=AE$3)*(Price!$L$4:$AY$4=AE$4),0))</f>
        <v>1325</v>
      </c>
      <c r="AF49" s="144" cm="1">
        <f t="array" ref="AF49">INDEX(Price!$L$11:$AY$210,MATCH(1,(Price!$A$11:$A$210=$A49)*(Price!$B$11:$B$210=$B49)*(Price!$D$11:$D$210="exw"),0),MATCH(1,(Price!$L$3:$AY$3=AF$3)*(Price!$L$4:$AY$4=AF$4),0))</f>
        <v>1325</v>
      </c>
      <c r="AG49" s="144" cm="1">
        <f t="array" ref="AG49">INDEX(Price!$L$11:$AY$210,MATCH(1,(Price!$A$11:$A$210=$A49)*(Price!$B$11:$B$210=$B49)*(Price!$D$11:$D$210="exw"),0),MATCH(1,(Price!$L$3:$AY$3=AG$3)*(Price!$L$4:$AY$4=AG$4),0))</f>
        <v>1325</v>
      </c>
      <c r="AH49" s="144" cm="1">
        <f t="array" ref="AH49">INDEX(Price!$L$11:$AY$210,MATCH(1,(Price!$A$11:$A$210=$A49)*(Price!$B$11:$B$210=$B49)*(Price!$D$11:$D$210="exw"),0),MATCH(1,(Price!$L$3:$AY$3=AH$3)*(Price!$L$4:$AY$4=AH$4),0))</f>
        <v>1266</v>
      </c>
      <c r="AI49" s="144" cm="1">
        <f t="array" ref="AI49">INDEX(Price!$L$11:$AY$210,MATCH(1,(Price!$A$11:$A$210=$A49)*(Price!$B$11:$B$210=$B49)*(Price!$D$11:$D$210="exw"),0),MATCH(1,(Price!$L$3:$AY$3=AI$3)*(Price!$L$4:$AY$4=AI$4),0))</f>
        <v>1266</v>
      </c>
      <c r="AJ49" s="144" cm="1">
        <f t="array" ref="AJ49">INDEX(Price!$L$11:$AY$210,MATCH(1,(Price!$A$11:$A$210=$A49)*(Price!$B$11:$B$210=$B49)*(Price!$D$11:$D$210="exw"),0),MATCH(1,(Price!$L$3:$AY$3=AJ$3)*(Price!$L$4:$AY$4=AJ$4),0))</f>
        <v>1266</v>
      </c>
      <c r="AK49" s="144"/>
      <c r="AL49" s="144"/>
      <c r="AM49" s="144"/>
      <c r="AN49" s="144"/>
      <c r="AO49" s="144"/>
      <c r="AP49" s="145"/>
    </row>
    <row r="50" spans="1:42" ht="11.4" customHeight="1" outlineLevel="1" x14ac:dyDescent="0.3">
      <c r="A50" t="s">
        <v>63</v>
      </c>
      <c r="B50" t="s">
        <v>24</v>
      </c>
      <c r="C50" s="14" t="s">
        <v>21</v>
      </c>
      <c r="D50" s="161">
        <v>4.9000000000000004</v>
      </c>
      <c r="E50" s="8"/>
      <c r="F50" s="321" t="s">
        <v>11</v>
      </c>
      <c r="G50" s="315" cm="1">
        <f t="array" ref="G50">SUMPRODUCT(General_Data*(Code_General_Data=$C50)*(Year=G$3)*(Month=G$4))</f>
        <v>940</v>
      </c>
      <c r="H50" s="132" cm="1">
        <f t="array" ref="H50">SUMPRODUCT(General_Data*(Code_General_Data=$C50)*(Year=H$3)*(Month=H$4))</f>
        <v>993.33333333333337</v>
      </c>
      <c r="I50" s="132" cm="1">
        <f t="array" ref="I50">SUMPRODUCT(General_Data*(Code_General_Data=$C50)*(Year=I$3)*(Month=I$4))</f>
        <v>985</v>
      </c>
      <c r="J50" s="132" cm="1">
        <f t="array" ref="J50">SUMPRODUCT(General_Data*(Code_General_Data=$C50)*(Year=J$3)*(Month=J$4))</f>
        <v>962.5</v>
      </c>
      <c r="K50" s="132" cm="1">
        <f t="array" ref="K50">SUMPRODUCT(General_Data*(Code_General_Data=$C50)*(Year=K$3)*(Month=K$4))</f>
        <v>982</v>
      </c>
      <c r="L50" s="132" cm="1">
        <f t="array" ref="L50">SUMPRODUCT(General_Data*(Code_General_Data=$C50)*(Year=L$3)*(Month=L$4))</f>
        <v>1000</v>
      </c>
      <c r="M50" s="132" cm="1">
        <f t="array" ref="M50">SUMPRODUCT(General_Data*(Code_General_Data=$C50)*(Year=M$3)*(Month=M$4))</f>
        <v>1000</v>
      </c>
      <c r="N50" s="132" cm="1">
        <f t="array" ref="N50">SUMPRODUCT(General_Data*(Code_General_Data=$C50)*(Year=N$3)*(Month=N$4))</f>
        <v>984</v>
      </c>
      <c r="O50" s="132" cm="1">
        <f t="array" ref="O50">SUMPRODUCT(General_Data*(Code_General_Data=$C50)*(Year=O$3)*(Month=O$4))</f>
        <v>967.5</v>
      </c>
      <c r="P50" s="132" cm="1">
        <f t="array" ref="P50">SUMPRODUCT(General_Data*(Code_General_Data=$C50)*(Year=P$3)*(Month=P$4))</f>
        <v>965</v>
      </c>
      <c r="Q50" s="132" cm="1">
        <f t="array" ref="Q50">SUMPRODUCT(General_Data*(Code_General_Data=$C50)*(Year=Q$3)*(Month=Q$4))</f>
        <v>974</v>
      </c>
      <c r="R50" s="133" cm="1">
        <f t="array" ref="R50">SUMPRODUCT(General_Data*(Code_General_Data=$C50)*(Year=R$3)*(Month=R$4))</f>
        <v>956</v>
      </c>
      <c r="S50" s="132" cm="1">
        <f t="array" ref="S50">SUMPRODUCT(General_Data*(Code_General_Data=$C50)*(Year=S$3)*(Month=S$4))</f>
        <v>940</v>
      </c>
      <c r="T50" s="132" cm="1">
        <f t="array" ref="T50">SUMPRODUCT(General_Data*(Code_General_Data=$C50)*(Year=T$3)*(Month=T$4))</f>
        <v>918</v>
      </c>
      <c r="U50" s="132" cm="1">
        <f t="array" ref="U50">SUMPRODUCT(General_Data*(Code_General_Data=$C50)*(Year=U$3)*(Month=U$4))</f>
        <v>896</v>
      </c>
      <c r="V50" s="132" cm="1">
        <f t="array" ref="V50">SUMPRODUCT(General_Data*(Code_General_Data=$C50)*(Year=V$3)*(Month=V$4))</f>
        <v>891.5</v>
      </c>
      <c r="W50" s="132" cm="1">
        <f t="array" ref="W50">SUMPRODUCT(General_Data*(Code_General_Data=$C50)*(Year=W$3)*(Month=W$4))</f>
        <v>864</v>
      </c>
      <c r="X50" s="132" cm="1">
        <f t="array" ref="X50">SUMPRODUCT(General_Data*(Code_General_Data=$C50)*(Year=X$3)*(Month=X$4))</f>
        <v>833</v>
      </c>
      <c r="Y50" s="132" cm="1">
        <f t="array" ref="Y50">SUMPRODUCT(General_Data*(Code_General_Data=$C50)*(Year=Y$3)*(Month=Y$4))</f>
        <v>833</v>
      </c>
      <c r="Z50" s="132" cm="1">
        <f t="array" ref="Z50">SUMPRODUCT(General_Data*(Code_General_Data=$C50)*(Year=Z$3)*(Month=Z$4))</f>
        <v>815</v>
      </c>
      <c r="AA50" s="132" cm="1">
        <f t="array" ref="AA50">SUMPRODUCT(General_Data*(Code_General_Data=$C50)*(Year=AA$3)*(Month=AA$4))</f>
        <v>813</v>
      </c>
      <c r="AB50" s="132" cm="1">
        <f t="array" ref="AB50">SUMPRODUCT(General_Data*(Code_General_Data=$C50)*(Year=AB$3)*(Month=AB$4))</f>
        <v>805</v>
      </c>
      <c r="AC50" s="132" cm="1">
        <f t="array" ref="AC50">SUMPRODUCT(General_Data*(Code_General_Data=$C50)*(Year=AC$3)*(Month=AC$4))</f>
        <v>805</v>
      </c>
      <c r="AD50" s="133" cm="1">
        <f t="array" ref="AD50">SUMPRODUCT(General_Data*(Code_General_Data=$C50)*(Year=AD$3)*(Month=AD$4))</f>
        <v>802.5</v>
      </c>
      <c r="AE50" s="132" cm="1">
        <f t="array" ref="AE50">SUMPRODUCT(General_Data*(Code_General_Data=$C50)*(Year=AE$3)*(Month=AE$4))</f>
        <v>800</v>
      </c>
      <c r="AF50" s="132" cm="1">
        <f t="array" ref="AF50">SUMPRODUCT(General_Data*(Code_General_Data=$C50)*(Year=AF$3)*(Month=AF$4))</f>
        <v>800</v>
      </c>
      <c r="AG50" s="132" cm="1">
        <f t="array" ref="AG50">SUMPRODUCT(General_Data*(Code_General_Data=$C50)*(Year=AG$3)*(Month=AG$4))</f>
        <v>1331</v>
      </c>
      <c r="AH50" s="132" cm="1">
        <f t="array" ref="AH50">SUMPRODUCT(General_Data*(Code_General_Data=$C50)*(Year=AH$3)*(Month=AH$4))</f>
        <v>1590</v>
      </c>
      <c r="AI50" s="132" cm="1">
        <f t="array" ref="AI50">SUMPRODUCT(General_Data*(Code_General_Data=$C50)*(Year=AI$3)*(Month=AI$4))</f>
        <v>1523</v>
      </c>
      <c r="AJ50" s="132" cm="1">
        <f t="array" ref="AJ50">SUMPRODUCT(General_Data*(Code_General_Data=$C50)*(Year=AJ$3)*(Month=AJ$4))</f>
        <v>1470</v>
      </c>
      <c r="AK50" s="132"/>
      <c r="AL50" s="132"/>
      <c r="AM50" s="132"/>
      <c r="AN50" s="132"/>
      <c r="AO50" s="132"/>
      <c r="AP50" s="133"/>
    </row>
    <row r="51" spans="1:42" s="151" customFormat="1" ht="11.4" customHeight="1" outlineLevel="1" x14ac:dyDescent="0.3">
      <c r="A51" s="151" t="s">
        <v>63</v>
      </c>
      <c r="B51" s="151" t="s">
        <v>24</v>
      </c>
      <c r="D51" s="162">
        <v>4.0999999999999996</v>
      </c>
      <c r="E51" s="152"/>
      <c r="F51" s="322" t="s">
        <v>406</v>
      </c>
      <c r="G51" s="153">
        <f t="shared" ref="G51:AD51" si="26">IF(G48*G49*G50&lt;&gt;0,G49-G50,0)</f>
        <v>547.79591836734699</v>
      </c>
      <c r="H51" s="153">
        <f t="shared" si="26"/>
        <v>494.46258503401361</v>
      </c>
      <c r="I51" s="153">
        <f t="shared" si="26"/>
        <v>502.79591836734699</v>
      </c>
      <c r="J51" s="153">
        <f t="shared" si="26"/>
        <v>455.29591836734699</v>
      </c>
      <c r="K51" s="153">
        <f t="shared" si="26"/>
        <v>435.79591836734699</v>
      </c>
      <c r="L51" s="153">
        <f t="shared" si="26"/>
        <v>417.79591836734699</v>
      </c>
      <c r="M51" s="153">
        <f t="shared" si="26"/>
        <v>418.03999999999996</v>
      </c>
      <c r="N51" s="153">
        <f t="shared" si="26"/>
        <v>434.03999999999996</v>
      </c>
      <c r="O51" s="153">
        <f t="shared" si="26"/>
        <v>450.53999999999996</v>
      </c>
      <c r="P51" s="153">
        <f t="shared" si="26"/>
        <v>453.03999999999996</v>
      </c>
      <c r="Q51" s="153">
        <f t="shared" si="26"/>
        <v>444.03999999999996</v>
      </c>
      <c r="R51" s="154">
        <f t="shared" si="26"/>
        <v>462.03999999999996</v>
      </c>
      <c r="S51" s="153">
        <f t="shared" si="26"/>
        <v>448.03999999999996</v>
      </c>
      <c r="T51" s="153">
        <f t="shared" si="26"/>
        <v>470.03999999999996</v>
      </c>
      <c r="U51" s="153">
        <f t="shared" si="26"/>
        <v>492.03999999999996</v>
      </c>
      <c r="V51" s="153">
        <f t="shared" si="26"/>
        <v>446.53999999999996</v>
      </c>
      <c r="W51" s="153">
        <f t="shared" si="26"/>
        <v>474.03999999999996</v>
      </c>
      <c r="X51" s="153">
        <f t="shared" si="26"/>
        <v>505.03999999999996</v>
      </c>
      <c r="Y51" s="153">
        <f t="shared" si="26"/>
        <v>535.04</v>
      </c>
      <c r="Z51" s="153">
        <f t="shared" si="26"/>
        <v>553.04</v>
      </c>
      <c r="AA51" s="153">
        <f t="shared" si="26"/>
        <v>555.04</v>
      </c>
      <c r="AB51" s="153">
        <f t="shared" si="26"/>
        <v>563.04</v>
      </c>
      <c r="AC51" s="153">
        <f t="shared" si="26"/>
        <v>563.04</v>
      </c>
      <c r="AD51" s="154">
        <f t="shared" si="26"/>
        <v>565.54</v>
      </c>
      <c r="AE51" s="153">
        <f t="shared" ref="AE51:AG51" si="27">IF(AE48*AE49*AE50&lt;&gt;0,AE49-AE50,0)</f>
        <v>525</v>
      </c>
      <c r="AF51" s="153">
        <f t="shared" si="27"/>
        <v>525</v>
      </c>
      <c r="AG51" s="153">
        <f t="shared" si="27"/>
        <v>-6</v>
      </c>
      <c r="AH51" s="153">
        <f t="shared" ref="AH51:AI51" si="28">IF(AH48*AH49*AH50&lt;&gt;0,AH49-AH50,0)</f>
        <v>-324</v>
      </c>
      <c r="AI51" s="153">
        <f t="shared" si="28"/>
        <v>-257</v>
      </c>
      <c r="AJ51" s="153">
        <f t="shared" ref="AJ51" si="29">IF(AJ48*AJ49*AJ50&lt;&gt;0,AJ49-AJ50,0)</f>
        <v>-204</v>
      </c>
      <c r="AK51" s="153"/>
      <c r="AL51" s="153"/>
      <c r="AM51" s="153"/>
      <c r="AN51" s="153"/>
      <c r="AO51" s="153"/>
      <c r="AP51" s="154"/>
    </row>
    <row r="52" spans="1:42" s="155" customFormat="1" ht="11.4" customHeight="1" outlineLevel="1" x14ac:dyDescent="0.3">
      <c r="A52" s="155" t="s">
        <v>63</v>
      </c>
      <c r="B52" s="155" t="s">
        <v>24</v>
      </c>
      <c r="D52" s="163">
        <v>4.1100000000000003</v>
      </c>
      <c r="E52" s="156"/>
      <c r="F52" s="323" t="s">
        <v>14</v>
      </c>
      <c r="G52" s="497">
        <f t="shared" ref="G52:AD52" si="30">IFERROR(G51/G50,0)</f>
        <v>0.58276161528441173</v>
      </c>
      <c r="H52" s="497">
        <f t="shared" si="30"/>
        <v>0.49778112587316803</v>
      </c>
      <c r="I52" s="497">
        <f t="shared" si="30"/>
        <v>0.51045270900238271</v>
      </c>
      <c r="J52" s="497">
        <f t="shared" si="30"/>
        <v>0.47303472038165922</v>
      </c>
      <c r="K52" s="497">
        <f t="shared" si="30"/>
        <v>0.44378403092397861</v>
      </c>
      <c r="L52" s="497">
        <f t="shared" si="30"/>
        <v>0.41779591836734697</v>
      </c>
      <c r="M52" s="497">
        <f t="shared" si="30"/>
        <v>0.41803999999999997</v>
      </c>
      <c r="N52" s="497">
        <f t="shared" si="30"/>
        <v>0.4410975609756097</v>
      </c>
      <c r="O52" s="497">
        <f t="shared" si="30"/>
        <v>0.46567441860465114</v>
      </c>
      <c r="P52" s="497">
        <f t="shared" si="30"/>
        <v>0.46947150259067355</v>
      </c>
      <c r="Q52" s="497">
        <f t="shared" si="30"/>
        <v>0.45589322381930181</v>
      </c>
      <c r="R52" s="498">
        <f t="shared" si="30"/>
        <v>0.48330543933054387</v>
      </c>
      <c r="S52" s="497">
        <f t="shared" si="30"/>
        <v>0.47663829787234041</v>
      </c>
      <c r="T52" s="497">
        <f t="shared" si="30"/>
        <v>0.51202614379084965</v>
      </c>
      <c r="U52" s="497">
        <f t="shared" si="30"/>
        <v>0.54915178571428569</v>
      </c>
      <c r="V52" s="497">
        <f t="shared" si="30"/>
        <v>0.50088614694335387</v>
      </c>
      <c r="W52" s="497">
        <f t="shared" si="30"/>
        <v>0.54865740740740732</v>
      </c>
      <c r="X52" s="497">
        <f t="shared" si="30"/>
        <v>0.60629051620648255</v>
      </c>
      <c r="Y52" s="497">
        <f t="shared" si="30"/>
        <v>0.64230492196878752</v>
      </c>
      <c r="Z52" s="497">
        <f t="shared" si="30"/>
        <v>0.67857668711656438</v>
      </c>
      <c r="AA52" s="497">
        <f t="shared" si="30"/>
        <v>0.6827060270602705</v>
      </c>
      <c r="AB52" s="497">
        <f t="shared" si="30"/>
        <v>0.6994285714285714</v>
      </c>
      <c r="AC52" s="497">
        <f t="shared" si="30"/>
        <v>0.6994285714285714</v>
      </c>
      <c r="AD52" s="498">
        <f t="shared" si="30"/>
        <v>0.70472274143302172</v>
      </c>
      <c r="AE52" s="497">
        <f t="shared" ref="AE52:AG52" si="31">IFERROR(AE51/AE50,0)</f>
        <v>0.65625</v>
      </c>
      <c r="AF52" s="497">
        <f t="shared" si="31"/>
        <v>0.65625</v>
      </c>
      <c r="AG52" s="497">
        <f t="shared" si="31"/>
        <v>-4.5078888054094664E-3</v>
      </c>
      <c r="AH52" s="497">
        <f t="shared" ref="AH52:AI52" si="32">IFERROR(AH51/AH50,0)</f>
        <v>-0.20377358490566039</v>
      </c>
      <c r="AI52" s="497">
        <f t="shared" si="32"/>
        <v>-0.16874589625738673</v>
      </c>
      <c r="AJ52" s="497">
        <f t="shared" ref="AJ52" si="33">IFERROR(AJ51/AJ50,0)</f>
        <v>-0.13877551020408163</v>
      </c>
      <c r="AK52" s="497"/>
      <c r="AL52" s="497"/>
      <c r="AM52" s="497"/>
      <c r="AN52" s="497"/>
      <c r="AO52" s="497"/>
      <c r="AP52" s="498"/>
    </row>
    <row r="53" spans="1:42" s="137" customFormat="1" ht="11.4" customHeight="1" outlineLevel="1" x14ac:dyDescent="0.3">
      <c r="A53" s="137" t="s">
        <v>63</v>
      </c>
      <c r="B53" s="137" t="s">
        <v>24</v>
      </c>
      <c r="C53" s="137" t="s">
        <v>24</v>
      </c>
      <c r="D53" s="164">
        <v>4.12</v>
      </c>
      <c r="E53" s="138"/>
      <c r="F53" s="324" t="s">
        <v>202</v>
      </c>
      <c r="G53" s="139" cm="1">
        <f t="array" ref="G53">SUMPRODUCT(General_Data*(Code_General_Data=$C53)*(Year=G$3)*(Month=G$4))</f>
        <v>1350</v>
      </c>
      <c r="H53" s="139" cm="1">
        <f t="array" ref="H53">SUMPRODUCT(General_Data*(Code_General_Data=$C53)*(Year=H$3)*(Month=H$4))</f>
        <v>1350</v>
      </c>
      <c r="I53" s="139" cm="1">
        <f t="array" ref="I53">SUMPRODUCT(General_Data*(Code_General_Data=$C53)*(Year=I$3)*(Month=I$4))</f>
        <v>1350</v>
      </c>
      <c r="J53" s="139" cm="1">
        <f t="array" ref="J53">SUMPRODUCT(General_Data*(Code_General_Data=$C53)*(Year=J$3)*(Month=J$4))</f>
        <v>1350</v>
      </c>
      <c r="K53" s="139" cm="1">
        <f t="array" ref="K53">SUMPRODUCT(General_Data*(Code_General_Data=$C53)*(Year=K$3)*(Month=K$4))</f>
        <v>1350</v>
      </c>
      <c r="L53" s="139" cm="1">
        <f t="array" ref="L53">SUMPRODUCT(General_Data*(Code_General_Data=$C53)*(Year=L$3)*(Month=L$4))</f>
        <v>1350</v>
      </c>
      <c r="M53" s="139" cm="1">
        <f t="array" ref="M53">SUMPRODUCT(General_Data*(Code_General_Data=$C53)*(Year=M$3)*(Month=M$4))</f>
        <v>1350</v>
      </c>
      <c r="N53" s="139" cm="1">
        <f t="array" ref="N53">SUMPRODUCT(General_Data*(Code_General_Data=$C53)*(Year=N$3)*(Month=N$4))</f>
        <v>1350</v>
      </c>
      <c r="O53" s="139" cm="1">
        <f t="array" ref="O53">SUMPRODUCT(General_Data*(Code_General_Data=$C53)*(Year=O$3)*(Month=O$4))</f>
        <v>1350</v>
      </c>
      <c r="P53" s="139" cm="1">
        <f t="array" ref="P53">SUMPRODUCT(General_Data*(Code_General_Data=$C53)*(Year=P$3)*(Month=P$4))</f>
        <v>1350</v>
      </c>
      <c r="Q53" s="139" cm="1">
        <f t="array" ref="Q53">SUMPRODUCT(General_Data*(Code_General_Data=$C53)*(Year=Q$3)*(Month=Q$4))</f>
        <v>1350</v>
      </c>
      <c r="R53" s="140" cm="1">
        <f t="array" ref="R53">SUMPRODUCT(General_Data*(Code_General_Data=$C53)*(Year=R$3)*(Month=R$4))</f>
        <v>1350</v>
      </c>
      <c r="S53" s="139" cm="1">
        <f t="array" ref="S53">SUMPRODUCT(General_Data*(Code_General_Data=$C53)*(Year=S$3)*(Month=S$4))</f>
        <v>1350</v>
      </c>
      <c r="T53" s="139" cm="1">
        <f t="array" ref="T53">SUMPRODUCT(General_Data*(Code_General_Data=$C53)*(Year=T$3)*(Month=T$4))</f>
        <v>1300</v>
      </c>
      <c r="U53" s="139" cm="1">
        <f t="array" ref="U53">SUMPRODUCT(General_Data*(Code_General_Data=$C53)*(Year=U$3)*(Month=U$4))</f>
        <v>1250</v>
      </c>
      <c r="V53" s="139" cm="1">
        <f t="array" ref="V53">SUMPRODUCT(General_Data*(Code_General_Data=$C53)*(Year=V$3)*(Month=V$4))</f>
        <v>1250</v>
      </c>
      <c r="W53" s="139" cm="1">
        <f t="array" ref="W53">SUMPRODUCT(General_Data*(Code_General_Data=$C53)*(Year=W$3)*(Month=W$4))</f>
        <v>1250</v>
      </c>
      <c r="X53" s="139" cm="1">
        <f t="array" ref="X53">SUMPRODUCT(General_Data*(Code_General_Data=$C53)*(Year=X$3)*(Month=X$4))</f>
        <v>1250</v>
      </c>
      <c r="Y53" s="139" cm="1">
        <f t="array" ref="Y53">SUMPRODUCT(General_Data*(Code_General_Data=$C53)*(Year=Y$3)*(Month=Y$4))</f>
        <v>1250</v>
      </c>
      <c r="Z53" s="139" cm="1">
        <f t="array" ref="Z53">SUMPRODUCT(General_Data*(Code_General_Data=$C53)*(Year=Z$3)*(Month=Z$4))</f>
        <v>1230</v>
      </c>
      <c r="AA53" s="139" cm="1">
        <f t="array" ref="AA53">SUMPRODUCT(General_Data*(Code_General_Data=$C53)*(Year=AA$3)*(Month=AA$4))</f>
        <v>1210</v>
      </c>
      <c r="AB53" s="139" cm="1">
        <f t="array" ref="AB53">SUMPRODUCT(General_Data*(Code_General_Data=$C53)*(Year=AB$3)*(Month=AB$4))</f>
        <v>1210</v>
      </c>
      <c r="AC53" s="139" cm="1">
        <f t="array" ref="AC53">SUMPRODUCT(General_Data*(Code_General_Data=$C53)*(Year=AC$3)*(Month=AC$4))</f>
        <v>1200</v>
      </c>
      <c r="AD53" s="140" cm="1">
        <f t="array" ref="AD53">SUMPRODUCT(General_Data*(Code_General_Data=$C53)*(Year=AD$3)*(Month=AD$4))</f>
        <v>1200</v>
      </c>
      <c r="AE53" s="139" cm="1">
        <f t="array" ref="AE53">SUMPRODUCT(General_Data*(Code_General_Data=$C53)*(Year=AE$3)*(Month=AE$4))</f>
        <v>1200</v>
      </c>
      <c r="AF53" s="139" cm="1">
        <f t="array" ref="AF53">SUMPRODUCT(General_Data*(Code_General_Data=$C53)*(Year=AF$3)*(Month=AF$4))</f>
        <v>1200</v>
      </c>
      <c r="AG53" s="139" cm="1">
        <f t="array" ref="AG53">SUMPRODUCT(General_Data*(Code_General_Data=$C53)*(Year=AG$3)*(Month=AG$4))</f>
        <v>1200</v>
      </c>
      <c r="AH53" s="139" cm="1">
        <f t="array" ref="AH53">SUMPRODUCT(General_Data*(Code_General_Data=$C53)*(Year=AH$3)*(Month=AH$4))</f>
        <v>1300</v>
      </c>
      <c r="AI53" s="139" cm="1">
        <f t="array" ref="AI53">SUMPRODUCT(General_Data*(Code_General_Data=$C53)*(Year=AI$3)*(Month=AI$4))</f>
        <v>1370</v>
      </c>
      <c r="AJ53" s="139" cm="1">
        <f t="array" ref="AJ53">SUMPRODUCT(General_Data*(Code_General_Data=$C53)*(Year=AJ$3)*(Month=AJ$4))</f>
        <v>1350</v>
      </c>
      <c r="AK53" s="139"/>
      <c r="AL53" s="139"/>
      <c r="AM53" s="139"/>
      <c r="AN53" s="139"/>
      <c r="AO53" s="139"/>
      <c r="AP53" s="140"/>
    </row>
    <row r="54" spans="1:42" ht="3.75" customHeight="1" x14ac:dyDescent="0.3">
      <c r="A54" t="s">
        <v>63</v>
      </c>
      <c r="D54" s="165"/>
    </row>
    <row r="55" spans="1:42" s="147" customFormat="1" ht="13.35" customHeight="1" outlineLevel="1" x14ac:dyDescent="0.3">
      <c r="A55" s="147" t="s">
        <v>63</v>
      </c>
      <c r="B55" s="147" t="s">
        <v>22</v>
      </c>
      <c r="D55" s="158"/>
      <c r="E55" s="148"/>
      <c r="F55" s="318" t="s">
        <v>20</v>
      </c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9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9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9"/>
    </row>
    <row r="56" spans="1:42" s="69" customFormat="1" ht="11.4" customHeight="1" outlineLevel="1" x14ac:dyDescent="0.3">
      <c r="A56" s="69" t="s">
        <v>63</v>
      </c>
      <c r="B56" s="69" t="s">
        <v>22</v>
      </c>
      <c r="D56" s="167">
        <v>4.13</v>
      </c>
      <c r="E56" s="134"/>
      <c r="F56" s="319" t="s">
        <v>19</v>
      </c>
      <c r="G56" s="135" cm="1">
        <f t="array" ref="G56">INDEX(Price!$L$11:$AY$210,MATCH(1,(Price!$A$11:$A$210=$A56)*(Price!$B$11:$B$210=$B56)*(Price!$D$11:$D$210="gb"),0),MATCH(1,(Price!$L$3:$AY$3=G$3)*(Price!$L$4:$AY$4=G$4),0))</f>
        <v>0</v>
      </c>
      <c r="H56" s="135" cm="1">
        <f t="array" ref="H56">INDEX(Price!$L$11:$AY$210,MATCH(1,(Price!$A$11:$A$210=$A56)*(Price!$B$11:$B$210=$B56)*(Price!$D$11:$D$210="gb"),0),MATCH(1,(Price!$L$3:$AY$3=H$3)*(Price!$L$4:$AY$4=H$4),0))</f>
        <v>0</v>
      </c>
      <c r="I56" s="135" cm="1">
        <f t="array" ref="I56">INDEX(Price!$L$11:$AY$210,MATCH(1,(Price!$A$11:$A$210=$A56)*(Price!$B$11:$B$210=$B56)*(Price!$D$11:$D$210="gb"),0),MATCH(1,(Price!$L$3:$AY$3=I$3)*(Price!$L$4:$AY$4=I$4),0))</f>
        <v>0</v>
      </c>
      <c r="J56" s="135" cm="1">
        <f t="array" ref="J56">INDEX(Price!$L$11:$AY$210,MATCH(1,(Price!$A$11:$A$210=$A56)*(Price!$B$11:$B$210=$B56)*(Price!$D$11:$D$210="gb"),0),MATCH(1,(Price!$L$3:$AY$3=J$3)*(Price!$L$4:$AY$4=J$4),0))</f>
        <v>0</v>
      </c>
      <c r="K56" s="135" cm="1">
        <f t="array" ref="K56">INDEX(Price!$L$11:$AY$210,MATCH(1,(Price!$A$11:$A$210=$A56)*(Price!$B$11:$B$210=$B56)*(Price!$D$11:$D$210="gb"),0),MATCH(1,(Price!$L$3:$AY$3=K$3)*(Price!$L$4:$AY$4=K$4),0))</f>
        <v>0</v>
      </c>
      <c r="L56" s="135" cm="1">
        <f t="array" ref="L56">INDEX(Price!$L$11:$AY$210,MATCH(1,(Price!$A$11:$A$210=$A56)*(Price!$B$11:$B$210=$B56)*(Price!$D$11:$D$210="gb"),0),MATCH(1,(Price!$L$3:$AY$3=L$3)*(Price!$L$4:$AY$4=L$4),0))</f>
        <v>0</v>
      </c>
      <c r="M56" s="135" cm="1">
        <f t="array" ref="M56">INDEX(Price!$L$11:$AY$210,MATCH(1,(Price!$A$11:$A$210=$A56)*(Price!$B$11:$B$210=$B56)*(Price!$D$11:$D$210="gb"),0),MATCH(1,(Price!$L$3:$AY$3=M$3)*(Price!$L$4:$AY$4=M$4),0))</f>
        <v>0</v>
      </c>
      <c r="N56" s="135" cm="1">
        <f t="array" ref="N56">INDEX(Price!$L$11:$AY$210,MATCH(1,(Price!$A$11:$A$210=$A56)*(Price!$B$11:$B$210=$B56)*(Price!$D$11:$D$210="gb"),0),MATCH(1,(Price!$L$3:$AY$3=N$3)*(Price!$L$4:$AY$4=N$4),0))</f>
        <v>0</v>
      </c>
      <c r="O56" s="135" cm="1">
        <f t="array" ref="O56">INDEX(Price!$L$11:$AY$210,MATCH(1,(Price!$A$11:$A$210=$A56)*(Price!$B$11:$B$210=$B56)*(Price!$D$11:$D$210="gb"),0),MATCH(1,(Price!$L$3:$AY$3=O$3)*(Price!$L$4:$AY$4=O$4),0))</f>
        <v>0</v>
      </c>
      <c r="P56" s="135" cm="1">
        <f t="array" ref="P56">INDEX(Price!$L$11:$AY$210,MATCH(1,(Price!$A$11:$A$210=$A56)*(Price!$B$11:$B$210=$B56)*(Price!$D$11:$D$210="gb"),0),MATCH(1,(Price!$L$3:$AY$3=P$3)*(Price!$L$4:$AY$4=P$4),0))</f>
        <v>0</v>
      </c>
      <c r="Q56" s="135" cm="1">
        <f t="array" ref="Q56">INDEX(Price!$L$11:$AY$210,MATCH(1,(Price!$A$11:$A$210=$A56)*(Price!$B$11:$B$210=$B56)*(Price!$D$11:$D$210="gb"),0),MATCH(1,(Price!$L$3:$AY$3=Q$3)*(Price!$L$4:$AY$4=Q$4),0))</f>
        <v>0</v>
      </c>
      <c r="R56" s="136" cm="1">
        <f t="array" ref="R56">INDEX(Price!$L$11:$AY$210,MATCH(1,(Price!$A$11:$A$210=$A56)*(Price!$B$11:$B$210=$B56)*(Price!$D$11:$D$210="gb"),0),MATCH(1,(Price!$L$3:$AY$3=R$3)*(Price!$L$4:$AY$4=R$4),0))</f>
        <v>0</v>
      </c>
      <c r="S56" s="135" cm="1">
        <f t="array" ref="S56">INDEX(Price!$L$11:$AY$210,MATCH(1,(Price!$A$11:$A$210=$A56)*(Price!$B$11:$B$210=$B56)*(Price!$D$11:$D$210="gb"),0),MATCH(1,(Price!$L$3:$AY$3=S$3)*(Price!$L$4:$AY$4=S$4),0))</f>
        <v>1400</v>
      </c>
      <c r="T56" s="135" cm="1">
        <f t="array" ref="T56">INDEX(Price!$L$11:$AY$210,MATCH(1,(Price!$A$11:$A$210=$A56)*(Price!$B$11:$B$210=$B56)*(Price!$D$11:$D$210="gb"),0),MATCH(1,(Price!$L$3:$AY$3=T$3)*(Price!$L$4:$AY$4=T$4),0))</f>
        <v>1400</v>
      </c>
      <c r="U56" s="135" cm="1">
        <f t="array" ref="U56">INDEX(Price!$L$11:$AY$210,MATCH(1,(Price!$A$11:$A$210=$A56)*(Price!$B$11:$B$210=$B56)*(Price!$D$11:$D$210="gb"),0),MATCH(1,(Price!$L$3:$AY$3=U$3)*(Price!$L$4:$AY$4=U$4),0))</f>
        <v>1400</v>
      </c>
      <c r="V56" s="135" cm="1">
        <f t="array" ref="V56">INDEX(Price!$L$11:$AY$210,MATCH(1,(Price!$A$11:$A$210=$A56)*(Price!$B$11:$B$210=$B56)*(Price!$D$11:$D$210="gb"),0),MATCH(1,(Price!$L$3:$AY$3=V$3)*(Price!$L$4:$AY$4=V$4),0))</f>
        <v>1350</v>
      </c>
      <c r="W56" s="135" cm="1">
        <f t="array" ref="W56">INDEX(Price!$L$11:$AY$210,MATCH(1,(Price!$A$11:$A$210=$A56)*(Price!$B$11:$B$210=$B56)*(Price!$D$11:$D$210="gb"),0),MATCH(1,(Price!$L$3:$AY$3=W$3)*(Price!$L$4:$AY$4=W$4),0))</f>
        <v>1350</v>
      </c>
      <c r="X56" s="135" cm="1">
        <f t="array" ref="X56">INDEX(Price!$L$11:$AY$210,MATCH(1,(Price!$A$11:$A$210=$A56)*(Price!$B$11:$B$210=$B56)*(Price!$D$11:$D$210="gb"),0),MATCH(1,(Price!$L$3:$AY$3=X$3)*(Price!$L$4:$AY$4=X$4),0))</f>
        <v>1350</v>
      </c>
      <c r="Y56" s="135" cm="1">
        <f t="array" ref="Y56">INDEX(Price!$L$11:$AY$210,MATCH(1,(Price!$A$11:$A$210=$A56)*(Price!$B$11:$B$210=$B56)*(Price!$D$11:$D$210="gb"),0),MATCH(1,(Price!$L$3:$AY$3=Y$3)*(Price!$L$4:$AY$4=Y$4),0))</f>
        <v>1380</v>
      </c>
      <c r="Z56" s="135" cm="1">
        <f t="array" ref="Z56">INDEX(Price!$L$11:$AY$210,MATCH(1,(Price!$A$11:$A$210=$A56)*(Price!$B$11:$B$210=$B56)*(Price!$D$11:$D$210="gb"),0),MATCH(1,(Price!$L$3:$AY$3=Z$3)*(Price!$L$4:$AY$4=Z$4),0))</f>
        <v>1380</v>
      </c>
      <c r="AA56" s="135" cm="1">
        <f t="array" ref="AA56">INDEX(Price!$L$11:$AY$210,MATCH(1,(Price!$A$11:$A$210=$A56)*(Price!$B$11:$B$210=$B56)*(Price!$D$11:$D$210="gb"),0),MATCH(1,(Price!$L$3:$AY$3=AA$3)*(Price!$L$4:$AY$4=AA$4),0))</f>
        <v>1380</v>
      </c>
      <c r="AB56" s="135" cm="1">
        <f t="array" ref="AB56">INDEX(Price!$L$11:$AY$210,MATCH(1,(Price!$A$11:$A$210=$A56)*(Price!$B$11:$B$210=$B56)*(Price!$D$11:$D$210="gb"),0),MATCH(1,(Price!$L$3:$AY$3=AB$3)*(Price!$L$4:$AY$4=AB$4),0))</f>
        <v>1380</v>
      </c>
      <c r="AC56" s="135" cm="1">
        <f t="array" ref="AC56">INDEX(Price!$L$11:$AY$210,MATCH(1,(Price!$A$11:$A$210=$A56)*(Price!$B$11:$B$210=$B56)*(Price!$D$11:$D$210="gb"),0),MATCH(1,(Price!$L$3:$AY$3=AC$3)*(Price!$L$4:$AY$4=AC$4),0))</f>
        <v>1380</v>
      </c>
      <c r="AD56" s="136" cm="1">
        <f t="array" ref="AD56">INDEX(Price!$L$11:$AY$210,MATCH(1,(Price!$A$11:$A$210=$A56)*(Price!$B$11:$B$210=$B56)*(Price!$D$11:$D$210="gb"),0),MATCH(1,(Price!$L$3:$AY$3=AD$3)*(Price!$L$4:$AY$4=AD$4),0))</f>
        <v>1380</v>
      </c>
      <c r="AE56" s="135" cm="1">
        <f t="array" ref="AE56">INDEX(Price!$L$11:$AY$210,MATCH(1,(Price!$A$11:$A$210=$A56)*(Price!$B$11:$B$210=$B56)*(Price!$D$11:$D$210="gb"),0),MATCH(1,(Price!$L$3:$AY$3=AE$3)*(Price!$L$4:$AY$4=AE$4),0))</f>
        <v>1330</v>
      </c>
      <c r="AF56" s="135" cm="1">
        <f t="array" ref="AF56">INDEX(Price!$L$11:$AY$210,MATCH(1,(Price!$A$11:$A$210=$A56)*(Price!$B$11:$B$210=$B56)*(Price!$D$11:$D$210="gb"),0),MATCH(1,(Price!$L$3:$AY$3=AF$3)*(Price!$L$4:$AY$4=AF$4),0))</f>
        <v>1330</v>
      </c>
      <c r="AG56" s="135" cm="1">
        <f t="array" ref="AG56">INDEX(Price!$L$11:$AY$210,MATCH(1,(Price!$A$11:$A$210=$A56)*(Price!$B$11:$B$210=$B56)*(Price!$D$11:$D$210="gb"),0),MATCH(1,(Price!$L$3:$AY$3=AG$3)*(Price!$L$4:$AY$4=AG$4),0))</f>
        <v>1330</v>
      </c>
      <c r="AH56" s="135" cm="1">
        <f t="array" ref="AH56">INDEX(Price!$L$11:$AY$210,MATCH(1,(Price!$A$11:$A$210=$A56)*(Price!$B$11:$B$210=$B56)*(Price!$D$11:$D$210="gb"),0),MATCH(1,(Price!$L$3:$AY$3=AH$3)*(Price!$L$4:$AY$4=AH$4),0))</f>
        <v>1272</v>
      </c>
      <c r="AI56" s="135" cm="1">
        <f t="array" ref="AI56">INDEX(Price!$L$11:$AY$210,MATCH(1,(Price!$A$11:$A$210=$A56)*(Price!$B$11:$B$210=$B56)*(Price!$D$11:$D$210="gb"),0),MATCH(1,(Price!$L$3:$AY$3=AI$3)*(Price!$L$4:$AY$4=AI$4),0))</f>
        <v>1272</v>
      </c>
      <c r="AJ56" s="135" cm="1">
        <f t="array" ref="AJ56">INDEX(Price!$L$11:$AY$210,MATCH(1,(Price!$A$11:$A$210=$A56)*(Price!$B$11:$B$210=$B56)*(Price!$D$11:$D$210="gb"),0),MATCH(1,(Price!$L$3:$AY$3=AJ$3)*(Price!$L$4:$AY$4=AJ$4),0))</f>
        <v>1272</v>
      </c>
      <c r="AK56" s="135"/>
      <c r="AL56" s="135"/>
      <c r="AM56" s="135"/>
      <c r="AN56" s="135"/>
      <c r="AO56" s="135"/>
      <c r="AP56" s="136"/>
    </row>
    <row r="57" spans="1:42" s="1" customFormat="1" ht="11.4" customHeight="1" outlineLevel="1" x14ac:dyDescent="0.3">
      <c r="A57" s="1" t="s">
        <v>63</v>
      </c>
      <c r="B57" s="1" t="s">
        <v>22</v>
      </c>
      <c r="C57" s="142" t="s">
        <v>321</v>
      </c>
      <c r="D57" s="168">
        <v>4.1399999999999997</v>
      </c>
      <c r="E57" s="143"/>
      <c r="F57" s="320" t="s">
        <v>8</v>
      </c>
      <c r="G57" s="144" cm="1">
        <f t="array" ref="G57">INDEX(Price!$L$11:$AY$210,MATCH(1,(Price!$A$11:$A$210=$A57)*(Price!$B$11:$B$210=$B57)*(Price!$D$11:$D$210="exw"),0),MATCH(1,(Price!$L$3:$AY$3=G$3)*(Price!$L$4:$AY$4=G$4),0))</f>
        <v>0</v>
      </c>
      <c r="H57" s="144" cm="1">
        <f t="array" ref="H57">INDEX(Price!$L$11:$AY$210,MATCH(1,(Price!$A$11:$A$210=$A57)*(Price!$B$11:$B$210=$B57)*(Price!$D$11:$D$210="exw"),0),MATCH(1,(Price!$L$3:$AY$3=H$3)*(Price!$L$4:$AY$4=H$4),0))</f>
        <v>0</v>
      </c>
      <c r="I57" s="144" cm="1">
        <f t="array" ref="I57">INDEX(Price!$L$11:$AY$210,MATCH(1,(Price!$A$11:$A$210=$A57)*(Price!$B$11:$B$210=$B57)*(Price!$D$11:$D$210="exw"),0),MATCH(1,(Price!$L$3:$AY$3=I$3)*(Price!$L$4:$AY$4=I$4),0))</f>
        <v>0</v>
      </c>
      <c r="J57" s="144" cm="1">
        <f t="array" ref="J57">INDEX(Price!$L$11:$AY$210,MATCH(1,(Price!$A$11:$A$210=$A57)*(Price!$B$11:$B$210=$B57)*(Price!$D$11:$D$210="exw"),0),MATCH(1,(Price!$L$3:$AY$3=J$3)*(Price!$L$4:$AY$4=J$4),0))</f>
        <v>0</v>
      </c>
      <c r="K57" s="144" cm="1">
        <f t="array" ref="K57">INDEX(Price!$L$11:$AY$210,MATCH(1,(Price!$A$11:$A$210=$A57)*(Price!$B$11:$B$210=$B57)*(Price!$D$11:$D$210="exw"),0),MATCH(1,(Price!$L$3:$AY$3=K$3)*(Price!$L$4:$AY$4=K$4),0))</f>
        <v>0</v>
      </c>
      <c r="L57" s="144" cm="1">
        <f t="array" ref="L57">INDEX(Price!$L$11:$AY$210,MATCH(1,(Price!$A$11:$A$210=$A57)*(Price!$B$11:$B$210=$B57)*(Price!$D$11:$D$210="exw"),0),MATCH(1,(Price!$L$3:$AY$3=L$3)*(Price!$L$4:$AY$4=L$4),0))</f>
        <v>0</v>
      </c>
      <c r="M57" s="144" cm="1">
        <f t="array" ref="M57">INDEX(Price!$L$11:$AY$210,MATCH(1,(Price!$A$11:$A$210=$A57)*(Price!$B$11:$B$210=$B57)*(Price!$D$11:$D$210="exw"),0),MATCH(1,(Price!$L$3:$AY$3=M$3)*(Price!$L$4:$AY$4=M$4),0))</f>
        <v>0</v>
      </c>
      <c r="N57" s="144" cm="1">
        <f t="array" ref="N57">INDEX(Price!$L$11:$AY$210,MATCH(1,(Price!$A$11:$A$210=$A57)*(Price!$B$11:$B$210=$B57)*(Price!$D$11:$D$210="exw"),0),MATCH(1,(Price!$L$3:$AY$3=N$3)*(Price!$L$4:$AY$4=N$4),0))</f>
        <v>0</v>
      </c>
      <c r="O57" s="144" cm="1">
        <f t="array" ref="O57">INDEX(Price!$L$11:$AY$210,MATCH(1,(Price!$A$11:$A$210=$A57)*(Price!$B$11:$B$210=$B57)*(Price!$D$11:$D$210="exw"),0),MATCH(1,(Price!$L$3:$AY$3=O$3)*(Price!$L$4:$AY$4=O$4),0))</f>
        <v>0</v>
      </c>
      <c r="P57" s="144" cm="1">
        <f t="array" ref="P57">INDEX(Price!$L$11:$AY$210,MATCH(1,(Price!$A$11:$A$210=$A57)*(Price!$B$11:$B$210=$B57)*(Price!$D$11:$D$210="exw"),0),MATCH(1,(Price!$L$3:$AY$3=P$3)*(Price!$L$4:$AY$4=P$4),0))</f>
        <v>0</v>
      </c>
      <c r="Q57" s="144" cm="1">
        <f t="array" ref="Q57">INDEX(Price!$L$11:$AY$210,MATCH(1,(Price!$A$11:$A$210=$A57)*(Price!$B$11:$B$210=$B57)*(Price!$D$11:$D$210="exw"),0),MATCH(1,(Price!$L$3:$AY$3=Q$3)*(Price!$L$4:$AY$4=Q$4),0))</f>
        <v>0</v>
      </c>
      <c r="R57" s="145" cm="1">
        <f t="array" ref="R57">INDEX(Price!$L$11:$AY$210,MATCH(1,(Price!$A$11:$A$210=$A57)*(Price!$B$11:$B$210=$B57)*(Price!$D$11:$D$210="exw"),0),MATCH(1,(Price!$L$3:$AY$3=R$3)*(Price!$L$4:$AY$4=R$4),0))</f>
        <v>0</v>
      </c>
      <c r="S57" s="144" cm="1">
        <f t="array" ref="S57">INDEX(Price!$L$11:$AY$210,MATCH(1,(Price!$A$11:$A$210=$A57)*(Price!$B$11:$B$210=$B57)*(Price!$D$11:$D$210="exw"),0),MATCH(1,(Price!$L$3:$AY$3=S$3)*(Price!$L$4:$AY$4=S$4),0))</f>
        <v>1388.04</v>
      </c>
      <c r="T57" s="144" cm="1">
        <f t="array" ref="T57">INDEX(Price!$L$11:$AY$210,MATCH(1,(Price!$A$11:$A$210=$A57)*(Price!$B$11:$B$210=$B57)*(Price!$D$11:$D$210="exw"),0),MATCH(1,(Price!$L$3:$AY$3=T$3)*(Price!$L$4:$AY$4=T$4),0))</f>
        <v>1388.04</v>
      </c>
      <c r="U57" s="144" cm="1">
        <f t="array" ref="U57">INDEX(Price!$L$11:$AY$210,MATCH(1,(Price!$A$11:$A$210=$A57)*(Price!$B$11:$B$210=$B57)*(Price!$D$11:$D$210="exw"),0),MATCH(1,(Price!$L$3:$AY$3=U$3)*(Price!$L$4:$AY$4=U$4),0))</f>
        <v>1388.04</v>
      </c>
      <c r="V57" s="144" cm="1">
        <f t="array" ref="V57">INDEX(Price!$L$11:$AY$210,MATCH(1,(Price!$A$11:$A$210=$A57)*(Price!$B$11:$B$210=$B57)*(Price!$D$11:$D$210="exw"),0),MATCH(1,(Price!$L$3:$AY$3=V$3)*(Price!$L$4:$AY$4=V$4),0))</f>
        <v>1338.04</v>
      </c>
      <c r="W57" s="144" cm="1">
        <f t="array" ref="W57">INDEX(Price!$L$11:$AY$210,MATCH(1,(Price!$A$11:$A$210=$A57)*(Price!$B$11:$B$210=$B57)*(Price!$D$11:$D$210="exw"),0),MATCH(1,(Price!$L$3:$AY$3=W$3)*(Price!$L$4:$AY$4=W$4),0))</f>
        <v>1338.04</v>
      </c>
      <c r="X57" s="144" cm="1">
        <f t="array" ref="X57">INDEX(Price!$L$11:$AY$210,MATCH(1,(Price!$A$11:$A$210=$A57)*(Price!$B$11:$B$210=$B57)*(Price!$D$11:$D$210="exw"),0),MATCH(1,(Price!$L$3:$AY$3=X$3)*(Price!$L$4:$AY$4=X$4),0))</f>
        <v>1338.04</v>
      </c>
      <c r="Y57" s="144" cm="1">
        <f t="array" ref="Y57">INDEX(Price!$L$11:$AY$210,MATCH(1,(Price!$A$11:$A$210=$A57)*(Price!$B$11:$B$210=$B57)*(Price!$D$11:$D$210="exw"),0),MATCH(1,(Price!$L$3:$AY$3=Y$3)*(Price!$L$4:$AY$4=Y$4),0))</f>
        <v>1368.04</v>
      </c>
      <c r="Z57" s="144" cm="1">
        <f t="array" ref="Z57">INDEX(Price!$L$11:$AY$210,MATCH(1,(Price!$A$11:$A$210=$A57)*(Price!$B$11:$B$210=$B57)*(Price!$D$11:$D$210="exw"),0),MATCH(1,(Price!$L$3:$AY$3=Z$3)*(Price!$L$4:$AY$4=Z$4),0))</f>
        <v>1368.04</v>
      </c>
      <c r="AA57" s="144" cm="1">
        <f t="array" ref="AA57">INDEX(Price!$L$11:$AY$210,MATCH(1,(Price!$A$11:$A$210=$A57)*(Price!$B$11:$B$210=$B57)*(Price!$D$11:$D$210="exw"),0),MATCH(1,(Price!$L$3:$AY$3=AA$3)*(Price!$L$4:$AY$4=AA$4),0))</f>
        <v>1368.04</v>
      </c>
      <c r="AB57" s="144" cm="1">
        <f t="array" ref="AB57">INDEX(Price!$L$11:$AY$210,MATCH(1,(Price!$A$11:$A$210=$A57)*(Price!$B$11:$B$210=$B57)*(Price!$D$11:$D$210="exw"),0),MATCH(1,(Price!$L$3:$AY$3=AB$3)*(Price!$L$4:$AY$4=AB$4),0))</f>
        <v>1368.04</v>
      </c>
      <c r="AC57" s="144" cm="1">
        <f t="array" ref="AC57">INDEX(Price!$L$11:$AY$210,MATCH(1,(Price!$A$11:$A$210=$A57)*(Price!$B$11:$B$210=$B57)*(Price!$D$11:$D$210="exw"),0),MATCH(1,(Price!$L$3:$AY$3=AC$3)*(Price!$L$4:$AY$4=AC$4),0))</f>
        <v>1368.04</v>
      </c>
      <c r="AD57" s="145" cm="1">
        <f t="array" ref="AD57">INDEX(Price!$L$11:$AY$210,MATCH(1,(Price!$A$11:$A$210=$A57)*(Price!$B$11:$B$210=$B57)*(Price!$D$11:$D$210="exw"),0),MATCH(1,(Price!$L$3:$AY$3=AD$3)*(Price!$L$4:$AY$4=AD$4),0))</f>
        <v>1368.04</v>
      </c>
      <c r="AE57" s="144" cm="1">
        <f t="array" ref="AE57">INDEX(Price!$L$11:$AY$210,MATCH(1,(Price!$A$11:$A$210=$A57)*(Price!$B$11:$B$210=$B57)*(Price!$D$11:$D$210="exw"),0),MATCH(1,(Price!$L$3:$AY$3=AE$3)*(Price!$L$4:$AY$4=AE$4),0))</f>
        <v>1325</v>
      </c>
      <c r="AF57" s="144" cm="1">
        <f t="array" ref="AF57">INDEX(Price!$L$11:$AY$210,MATCH(1,(Price!$A$11:$A$210=$A57)*(Price!$B$11:$B$210=$B57)*(Price!$D$11:$D$210="exw"),0),MATCH(1,(Price!$L$3:$AY$3=AF$3)*(Price!$L$4:$AY$4=AF$4),0))</f>
        <v>1325</v>
      </c>
      <c r="AG57" s="144" cm="1">
        <f t="array" ref="AG57">INDEX(Price!$L$11:$AY$210,MATCH(1,(Price!$A$11:$A$210=$A57)*(Price!$B$11:$B$210=$B57)*(Price!$D$11:$D$210="exw"),0),MATCH(1,(Price!$L$3:$AY$3=AG$3)*(Price!$L$4:$AY$4=AG$4),0))</f>
        <v>1325</v>
      </c>
      <c r="AH57" s="144" cm="1">
        <f t="array" ref="AH57">INDEX(Price!$L$11:$AY$210,MATCH(1,(Price!$A$11:$A$210=$A57)*(Price!$B$11:$B$210=$B57)*(Price!$D$11:$D$210="exw"),0),MATCH(1,(Price!$L$3:$AY$3=AH$3)*(Price!$L$4:$AY$4=AH$4),0))</f>
        <v>1266</v>
      </c>
      <c r="AI57" s="144" cm="1">
        <f t="array" ref="AI57">INDEX(Price!$L$11:$AY$210,MATCH(1,(Price!$A$11:$A$210=$A57)*(Price!$B$11:$B$210=$B57)*(Price!$D$11:$D$210="exw"),0),MATCH(1,(Price!$L$3:$AY$3=AI$3)*(Price!$L$4:$AY$4=AI$4),0))</f>
        <v>1266</v>
      </c>
      <c r="AJ57" s="144" cm="1">
        <f t="array" ref="AJ57">INDEX(Price!$L$11:$AY$210,MATCH(1,(Price!$A$11:$A$210=$A57)*(Price!$B$11:$B$210=$B57)*(Price!$D$11:$D$210="exw"),0),MATCH(1,(Price!$L$3:$AY$3=AJ$3)*(Price!$L$4:$AY$4=AJ$4),0))</f>
        <v>1266</v>
      </c>
      <c r="AK57" s="144"/>
      <c r="AL57" s="144"/>
      <c r="AM57" s="144"/>
      <c r="AN57" s="144"/>
      <c r="AO57" s="144"/>
      <c r="AP57" s="145"/>
    </row>
    <row r="58" spans="1:42" ht="11.4" customHeight="1" outlineLevel="1" x14ac:dyDescent="0.3">
      <c r="A58" t="s">
        <v>63</v>
      </c>
      <c r="B58" t="s">
        <v>22</v>
      </c>
      <c r="C58" s="14" t="s">
        <v>21</v>
      </c>
      <c r="D58" s="169">
        <v>4.1500000000000004</v>
      </c>
      <c r="E58" s="8"/>
      <c r="F58" s="321" t="s">
        <v>11</v>
      </c>
      <c r="G58" s="315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3"/>
      <c r="S58" s="132" cm="1">
        <f t="array" ref="S58">SUMPRODUCT(General_Data*(Code_General_Data=$C58)*(Year=S$3)*(Month=S$4))</f>
        <v>940</v>
      </c>
      <c r="T58" s="132" cm="1">
        <f t="array" ref="T58">SUMPRODUCT(General_Data*(Code_General_Data=$C58)*(Year=T$3)*(Month=T$4))</f>
        <v>918</v>
      </c>
      <c r="U58" s="132" cm="1">
        <f t="array" ref="U58">SUMPRODUCT(General_Data*(Code_General_Data=$C58)*(Year=U$3)*(Month=U$4))</f>
        <v>896</v>
      </c>
      <c r="V58" s="132" cm="1">
        <f t="array" ref="V58">SUMPRODUCT(General_Data*(Code_General_Data=$C58)*(Year=V$3)*(Month=V$4))</f>
        <v>891.5</v>
      </c>
      <c r="W58" s="132" cm="1">
        <f t="array" ref="W58">SUMPRODUCT(General_Data*(Code_General_Data=$C58)*(Year=W$3)*(Month=W$4))</f>
        <v>864</v>
      </c>
      <c r="X58" s="132" cm="1">
        <f t="array" ref="X58">SUMPRODUCT(General_Data*(Code_General_Data=$C58)*(Year=X$3)*(Month=X$4))</f>
        <v>833</v>
      </c>
      <c r="Y58" s="132" cm="1">
        <f t="array" ref="Y58">SUMPRODUCT(General_Data*(Code_General_Data=$C58)*(Year=Y$3)*(Month=Y$4))</f>
        <v>833</v>
      </c>
      <c r="Z58" s="132" cm="1">
        <f t="array" ref="Z58">SUMPRODUCT(General_Data*(Code_General_Data=$C58)*(Year=Z$3)*(Month=Z$4))</f>
        <v>815</v>
      </c>
      <c r="AA58" s="132" cm="1">
        <f t="array" ref="AA58">SUMPRODUCT(General_Data*(Code_General_Data=$C58)*(Year=AA$3)*(Month=AA$4))</f>
        <v>813</v>
      </c>
      <c r="AB58" s="132" cm="1">
        <f t="array" ref="AB58">SUMPRODUCT(General_Data*(Code_General_Data=$C58)*(Year=AB$3)*(Month=AB$4))</f>
        <v>805</v>
      </c>
      <c r="AC58" s="132" cm="1">
        <f t="array" ref="AC58">SUMPRODUCT(General_Data*(Code_General_Data=$C58)*(Year=AC$3)*(Month=AC$4))</f>
        <v>805</v>
      </c>
      <c r="AD58" s="133" cm="1">
        <f t="array" ref="AD58">SUMPRODUCT(General_Data*(Code_General_Data=$C58)*(Year=AD$3)*(Month=AD$4))</f>
        <v>802.5</v>
      </c>
      <c r="AE58" s="132" cm="1">
        <f t="array" ref="AE58">SUMPRODUCT(General_Data*(Code_General_Data=$C58)*(Year=AE$3)*(Month=AE$4))</f>
        <v>800</v>
      </c>
      <c r="AF58" s="132" cm="1">
        <f t="array" ref="AF58">SUMPRODUCT(General_Data*(Code_General_Data=$C58)*(Year=AF$3)*(Month=AF$4))</f>
        <v>800</v>
      </c>
      <c r="AG58" s="132" cm="1">
        <f t="array" ref="AG58">SUMPRODUCT(General_Data*(Code_General_Data=$C58)*(Year=AG$3)*(Month=AG$4))</f>
        <v>1331</v>
      </c>
      <c r="AH58" s="132" cm="1">
        <f t="array" ref="AH58">SUMPRODUCT(General_Data*(Code_General_Data=$C58)*(Year=AH$3)*(Month=AH$4))</f>
        <v>1590</v>
      </c>
      <c r="AI58" s="132" cm="1">
        <f t="array" ref="AI58">SUMPRODUCT(General_Data*(Code_General_Data=$C58)*(Year=AI$3)*(Month=AI$4))</f>
        <v>1523</v>
      </c>
      <c r="AJ58" s="132" cm="1">
        <f t="array" ref="AJ58">SUMPRODUCT(General_Data*(Code_General_Data=$C58)*(Year=AJ$3)*(Month=AJ$4))</f>
        <v>1470</v>
      </c>
      <c r="AK58" s="132"/>
      <c r="AL58" s="132"/>
      <c r="AM58" s="132"/>
      <c r="AN58" s="132"/>
      <c r="AO58" s="132"/>
      <c r="AP58" s="133"/>
    </row>
    <row r="59" spans="1:42" s="151" customFormat="1" ht="11.4" customHeight="1" outlineLevel="1" x14ac:dyDescent="0.3">
      <c r="A59" s="151" t="s">
        <v>63</v>
      </c>
      <c r="B59" s="151" t="s">
        <v>22</v>
      </c>
      <c r="D59" s="170">
        <v>4.16</v>
      </c>
      <c r="E59" s="152"/>
      <c r="F59" s="322" t="s">
        <v>406</v>
      </c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4"/>
      <c r="S59" s="153">
        <f t="shared" ref="S59:AD59" si="34">IF(S56*S57*S58&lt;&gt;0,S57-S58,0)</f>
        <v>448.03999999999996</v>
      </c>
      <c r="T59" s="153">
        <f t="shared" si="34"/>
        <v>470.03999999999996</v>
      </c>
      <c r="U59" s="153">
        <f t="shared" si="34"/>
        <v>492.03999999999996</v>
      </c>
      <c r="V59" s="153">
        <f t="shared" si="34"/>
        <v>446.53999999999996</v>
      </c>
      <c r="W59" s="153">
        <f t="shared" si="34"/>
        <v>474.03999999999996</v>
      </c>
      <c r="X59" s="153">
        <f t="shared" si="34"/>
        <v>505.03999999999996</v>
      </c>
      <c r="Y59" s="153">
        <f t="shared" si="34"/>
        <v>535.04</v>
      </c>
      <c r="Z59" s="153">
        <f t="shared" si="34"/>
        <v>553.04</v>
      </c>
      <c r="AA59" s="153">
        <f t="shared" si="34"/>
        <v>555.04</v>
      </c>
      <c r="AB59" s="153">
        <f t="shared" si="34"/>
        <v>563.04</v>
      </c>
      <c r="AC59" s="153">
        <f t="shared" si="34"/>
        <v>563.04</v>
      </c>
      <c r="AD59" s="154">
        <f t="shared" si="34"/>
        <v>565.54</v>
      </c>
      <c r="AE59" s="153">
        <f t="shared" ref="AE59:AG59" si="35">IF(AE56*AE57*AE58&lt;&gt;0,AE57-AE58,0)</f>
        <v>525</v>
      </c>
      <c r="AF59" s="153">
        <f t="shared" si="35"/>
        <v>525</v>
      </c>
      <c r="AG59" s="153">
        <f t="shared" si="35"/>
        <v>-6</v>
      </c>
      <c r="AH59" s="153">
        <f t="shared" ref="AH59:AI59" si="36">IF(AH56*AH57*AH58&lt;&gt;0,AH57-AH58,0)</f>
        <v>-324</v>
      </c>
      <c r="AI59" s="153">
        <f t="shared" si="36"/>
        <v>-257</v>
      </c>
      <c r="AJ59" s="153">
        <f t="shared" ref="AJ59" si="37">IF(AJ56*AJ57*AJ58&lt;&gt;0,AJ57-AJ58,0)</f>
        <v>-204</v>
      </c>
      <c r="AK59" s="153"/>
      <c r="AL59" s="153"/>
      <c r="AM59" s="153"/>
      <c r="AN59" s="153"/>
      <c r="AO59" s="153"/>
      <c r="AP59" s="154"/>
    </row>
    <row r="60" spans="1:42" s="155" customFormat="1" ht="11.4" customHeight="1" outlineLevel="1" x14ac:dyDescent="0.3">
      <c r="A60" s="155" t="s">
        <v>63</v>
      </c>
      <c r="B60" s="155" t="s">
        <v>22</v>
      </c>
      <c r="D60" s="171">
        <v>4.17</v>
      </c>
      <c r="E60" s="156"/>
      <c r="F60" s="323" t="s">
        <v>14</v>
      </c>
      <c r="G60" s="497"/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8"/>
      <c r="S60" s="497">
        <f t="shared" ref="S60:AD60" si="38">IFERROR(S59/S58,0)</f>
        <v>0.47663829787234041</v>
      </c>
      <c r="T60" s="497">
        <f t="shared" si="38"/>
        <v>0.51202614379084965</v>
      </c>
      <c r="U60" s="497">
        <f t="shared" si="38"/>
        <v>0.54915178571428569</v>
      </c>
      <c r="V60" s="497">
        <f t="shared" si="38"/>
        <v>0.50088614694335387</v>
      </c>
      <c r="W60" s="497">
        <f t="shared" si="38"/>
        <v>0.54865740740740732</v>
      </c>
      <c r="X60" s="497">
        <f>IFERROR(X59/X58,0)</f>
        <v>0.60629051620648255</v>
      </c>
      <c r="Y60" s="497">
        <f t="shared" si="38"/>
        <v>0.64230492196878752</v>
      </c>
      <c r="Z60" s="497">
        <f t="shared" si="38"/>
        <v>0.67857668711656438</v>
      </c>
      <c r="AA60" s="497">
        <f t="shared" si="38"/>
        <v>0.6827060270602705</v>
      </c>
      <c r="AB60" s="497">
        <f t="shared" si="38"/>
        <v>0.6994285714285714</v>
      </c>
      <c r="AC60" s="497">
        <f t="shared" si="38"/>
        <v>0.6994285714285714</v>
      </c>
      <c r="AD60" s="498">
        <f t="shared" si="38"/>
        <v>0.70472274143302172</v>
      </c>
      <c r="AE60" s="497">
        <f t="shared" ref="AE60:AG60" si="39">IFERROR(AE59/AE58,0)</f>
        <v>0.65625</v>
      </c>
      <c r="AF60" s="497">
        <f t="shared" si="39"/>
        <v>0.65625</v>
      </c>
      <c r="AG60" s="497">
        <f t="shared" si="39"/>
        <v>-4.5078888054094664E-3</v>
      </c>
      <c r="AH60" s="497">
        <f t="shared" ref="AH60:AI60" si="40">IFERROR(AH59/AH58,0)</f>
        <v>-0.20377358490566039</v>
      </c>
      <c r="AI60" s="497">
        <f t="shared" si="40"/>
        <v>-0.16874589625738673</v>
      </c>
      <c r="AJ60" s="497">
        <f t="shared" ref="AJ60" si="41">IFERROR(AJ59/AJ58,0)</f>
        <v>-0.13877551020408163</v>
      </c>
      <c r="AK60" s="497"/>
      <c r="AL60" s="497"/>
      <c r="AM60" s="497"/>
      <c r="AN60" s="497"/>
      <c r="AO60" s="497"/>
      <c r="AP60" s="498"/>
    </row>
    <row r="61" spans="1:42" s="137" customFormat="1" ht="11.4" customHeight="1" outlineLevel="1" x14ac:dyDescent="0.3">
      <c r="A61" s="137" t="s">
        <v>63</v>
      </c>
      <c r="B61" s="137" t="s">
        <v>22</v>
      </c>
      <c r="C61" s="137" t="s">
        <v>22</v>
      </c>
      <c r="D61" s="172">
        <v>4.18</v>
      </c>
      <c r="E61" s="138"/>
      <c r="F61" s="324" t="s">
        <v>202</v>
      </c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40"/>
      <c r="S61" s="139" cm="1">
        <f t="array" ref="S61">SUMPRODUCT(General_Data*(Code_General_Data=$C61)*(Year=S$3)*(Month=S$4))</f>
        <v>1400</v>
      </c>
      <c r="T61" s="139" cm="1">
        <f t="array" ref="T61">SUMPRODUCT(General_Data*(Code_General_Data=$C61)*(Year=T$3)*(Month=T$4))</f>
        <v>1400</v>
      </c>
      <c r="U61" s="139" cm="1">
        <f t="array" ref="U61">SUMPRODUCT(General_Data*(Code_General_Data=$C61)*(Year=U$3)*(Month=U$4))</f>
        <v>1350</v>
      </c>
      <c r="V61" s="139" cm="1">
        <f t="array" ref="V61">SUMPRODUCT(General_Data*(Code_General_Data=$C61)*(Year=V$3)*(Month=V$4))</f>
        <v>1350</v>
      </c>
      <c r="W61" s="139" cm="1">
        <f t="array" ref="W61">SUMPRODUCT(General_Data*(Code_General_Data=$C61)*(Year=W$3)*(Month=W$4))</f>
        <v>1350</v>
      </c>
      <c r="X61" s="139" cm="1">
        <f t="array" ref="X61">SUMPRODUCT(General_Data*(Code_General_Data=$C61)*(Year=X$3)*(Month=X$4))</f>
        <v>1350</v>
      </c>
      <c r="Y61" s="139" cm="1">
        <f t="array" ref="Y61">SUMPRODUCT(General_Data*(Code_General_Data=$C61)*(Year=Y$3)*(Month=Y$4))</f>
        <v>1350</v>
      </c>
      <c r="Z61" s="139" cm="1">
        <f t="array" ref="Z61">SUMPRODUCT(General_Data*(Code_General_Data=$C61)*(Year=Z$3)*(Month=Z$4))</f>
        <v>1330</v>
      </c>
      <c r="AA61" s="139" cm="1">
        <f t="array" ref="AA61">SUMPRODUCT(General_Data*(Code_General_Data=$C61)*(Year=AA$3)*(Month=AA$4))</f>
        <v>1310</v>
      </c>
      <c r="AB61" s="139" cm="1">
        <f t="array" ref="AB61">SUMPRODUCT(General_Data*(Code_General_Data=$C61)*(Year=AB$3)*(Month=AB$4))</f>
        <v>1310</v>
      </c>
      <c r="AC61" s="139" cm="1">
        <f t="array" ref="AC61">SUMPRODUCT(General_Data*(Code_General_Data=$C61)*(Year=AC$3)*(Month=AC$4))</f>
        <v>1300</v>
      </c>
      <c r="AD61" s="140" cm="1">
        <f t="array" ref="AD61">SUMPRODUCT(General_Data*(Code_General_Data=$C61)*(Year=AD$3)*(Month=AD$4))</f>
        <v>1300</v>
      </c>
      <c r="AE61" s="139" cm="1">
        <f t="array" ref="AE61">SUMPRODUCT(General_Data*(Code_General_Data=$C61)*(Year=AE$3)*(Month=AE$4))</f>
        <v>1300</v>
      </c>
      <c r="AF61" s="139" cm="1">
        <f t="array" ref="AF61">SUMPRODUCT(General_Data*(Code_General_Data=$C61)*(Year=AF$3)*(Month=AF$4))</f>
        <v>1300</v>
      </c>
      <c r="AG61" s="139" cm="1">
        <f t="array" ref="AG61">SUMPRODUCT(General_Data*(Code_General_Data=$C61)*(Year=AG$3)*(Month=AG$4))</f>
        <v>1300</v>
      </c>
      <c r="AH61" s="139" cm="1">
        <f t="array" ref="AH61">SUMPRODUCT(General_Data*(Code_General_Data=$C61)*(Year=AH$3)*(Month=AH$4))</f>
        <v>1400</v>
      </c>
      <c r="AI61" s="139" cm="1">
        <f t="array" ref="AI61">SUMPRODUCT(General_Data*(Code_General_Data=$C61)*(Year=AI$3)*(Month=AI$4))</f>
        <v>1470</v>
      </c>
      <c r="AJ61" s="139" cm="1">
        <f t="array" ref="AJ61">SUMPRODUCT(General_Data*(Code_General_Data=$C61)*(Year=AJ$3)*(Month=AJ$4))</f>
        <v>1450</v>
      </c>
      <c r="AK61" s="139"/>
      <c r="AL61" s="139"/>
      <c r="AM61" s="139"/>
      <c r="AN61" s="139"/>
      <c r="AO61" s="139"/>
      <c r="AP61" s="140"/>
    </row>
    <row r="62" spans="1:42" ht="3.75" customHeight="1" x14ac:dyDescent="0.3">
      <c r="A62" t="s">
        <v>63</v>
      </c>
      <c r="D62" s="165"/>
    </row>
    <row r="63" spans="1:42" s="147" customFormat="1" ht="14.4" customHeight="1" outlineLevel="1" x14ac:dyDescent="0.3">
      <c r="A63" s="147" t="s">
        <v>63</v>
      </c>
      <c r="B63" s="147" t="s">
        <v>64</v>
      </c>
      <c r="D63" s="306">
        <v>4.1900000000000004</v>
      </c>
      <c r="E63" s="148"/>
      <c r="F63" s="318" t="s">
        <v>405</v>
      </c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9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9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9"/>
    </row>
    <row r="64" spans="1:42" s="69" customFormat="1" ht="12" customHeight="1" outlineLevel="1" x14ac:dyDescent="0.3">
      <c r="A64" s="69" t="s">
        <v>63</v>
      </c>
      <c r="B64" s="69" t="s">
        <v>64</v>
      </c>
      <c r="D64" s="167">
        <v>4.2</v>
      </c>
      <c r="E64" s="134"/>
      <c r="F64" s="319" t="s">
        <v>19</v>
      </c>
      <c r="G64" s="135" cm="1">
        <f t="array" ref="G64">INDEX(Price!$L$11:$AY$210,MATCH(1,(Price!$A$11:$A$210=$A64)*(Price!$B$11:$B$210=$B64)*(Price!$D$11:$D$210="gb"),0),MATCH(1,(Price!$L$3:$AY$3=G$3)*(Price!$L$4:$AY$4=G$4),0))</f>
        <v>1450</v>
      </c>
      <c r="H64" s="135" cm="1">
        <f t="array" ref="H64">INDEX(Price!$L$11:$AY$210,MATCH(1,(Price!$A$11:$A$210=$A64)*(Price!$B$11:$B$210=$B64)*(Price!$D$11:$D$210="gb"),0),MATCH(1,(Price!$L$3:$AY$3=H$3)*(Price!$L$4:$AY$4=H$4),0))</f>
        <v>1450</v>
      </c>
      <c r="I64" s="135" cm="1">
        <f t="array" ref="I64">INDEX(Price!$L$11:$AY$210,MATCH(1,(Price!$A$11:$A$210=$A64)*(Price!$B$11:$B$210=$B64)*(Price!$D$11:$D$210="gb"),0),MATCH(1,(Price!$L$3:$AY$3=I$3)*(Price!$L$4:$AY$4=I$4),0))</f>
        <v>1450</v>
      </c>
      <c r="J64" s="135" cm="1">
        <f t="array" ref="J64">INDEX(Price!$L$11:$AY$210,MATCH(1,(Price!$A$11:$A$210=$A64)*(Price!$B$11:$B$210=$B64)*(Price!$D$11:$D$210="gb"),0),MATCH(1,(Price!$L$3:$AY$3=J$3)*(Price!$L$4:$AY$4=J$4),0))</f>
        <v>1380</v>
      </c>
      <c r="K64" s="135" cm="1">
        <f t="array" ref="K64">INDEX(Price!$L$11:$AY$210,MATCH(1,(Price!$A$11:$A$210=$A64)*(Price!$B$11:$B$210=$B64)*(Price!$D$11:$D$210="gb"),0),MATCH(1,(Price!$L$3:$AY$3=K$3)*(Price!$L$4:$AY$4=K$4),0))</f>
        <v>1380</v>
      </c>
      <c r="L64" s="135" cm="1">
        <f t="array" ref="L64">INDEX(Price!$L$11:$AY$210,MATCH(1,(Price!$A$11:$A$210=$A64)*(Price!$B$11:$B$210=$B64)*(Price!$D$11:$D$210="gb"),0),MATCH(1,(Price!$L$3:$AY$3=L$3)*(Price!$L$4:$AY$4=L$4),0))</f>
        <v>1380</v>
      </c>
      <c r="M64" s="135" cm="1">
        <f t="array" ref="M64">INDEX(Price!$L$11:$AY$210,MATCH(1,(Price!$A$11:$A$210=$A64)*(Price!$B$11:$B$210=$B64)*(Price!$D$11:$D$210="gb"),0),MATCH(1,(Price!$L$3:$AY$3=M$3)*(Price!$L$4:$AY$4=M$4),0))</f>
        <v>1380</v>
      </c>
      <c r="N64" s="135" cm="1">
        <f t="array" ref="N64">INDEX(Price!$L$11:$AY$210,MATCH(1,(Price!$A$11:$A$210=$A64)*(Price!$B$11:$B$210=$B64)*(Price!$D$11:$D$210="gb"),0),MATCH(1,(Price!$L$3:$AY$3=N$3)*(Price!$L$4:$AY$4=N$4),0))</f>
        <v>1380</v>
      </c>
      <c r="O64" s="135" cm="1">
        <f t="array" ref="O64">INDEX(Price!$L$11:$AY$210,MATCH(1,(Price!$A$11:$A$210=$A64)*(Price!$B$11:$B$210=$B64)*(Price!$D$11:$D$210="gb"),0),MATCH(1,(Price!$L$3:$AY$3=O$3)*(Price!$L$4:$AY$4=O$4),0))</f>
        <v>1380</v>
      </c>
      <c r="P64" s="135" cm="1">
        <f t="array" ref="P64">INDEX(Price!$L$11:$AY$210,MATCH(1,(Price!$A$11:$A$210=$A64)*(Price!$B$11:$B$210=$B64)*(Price!$D$11:$D$210="gb"),0),MATCH(1,(Price!$L$3:$AY$3=P$3)*(Price!$L$4:$AY$4=P$4),0))</f>
        <v>1380</v>
      </c>
      <c r="Q64" s="135" cm="1">
        <f t="array" ref="Q64">INDEX(Price!$L$11:$AY$210,MATCH(1,(Price!$A$11:$A$210=$A64)*(Price!$B$11:$B$210=$B64)*(Price!$D$11:$D$210="gb"),0),MATCH(1,(Price!$L$3:$AY$3=Q$3)*(Price!$L$4:$AY$4=Q$4),0))</f>
        <v>1380</v>
      </c>
      <c r="R64" s="136" cm="1">
        <f t="array" ref="R64">INDEX(Price!$L$11:$AY$210,MATCH(1,(Price!$A$11:$A$210=$A64)*(Price!$B$11:$B$210=$B64)*(Price!$D$11:$D$210="gb"),0),MATCH(1,(Price!$L$3:$AY$3=R$3)*(Price!$L$4:$AY$4=R$4),0))</f>
        <v>1380</v>
      </c>
      <c r="S64" s="135" cm="1">
        <f t="array" ref="S64">INDEX(Price!$L$11:$AY$210,MATCH(1,(Price!$A$11:$A$210=$A64)*(Price!$B$11:$B$210=$B64)*(Price!$D$11:$D$210="gb"),0),MATCH(1,(Price!$L$3:$AY$3=S$3)*(Price!$L$4:$AY$4=S$4),0))</f>
        <v>1350</v>
      </c>
      <c r="T64" s="135" cm="1">
        <f t="array" ref="T64">INDEX(Price!$L$11:$AY$210,MATCH(1,(Price!$A$11:$A$210=$A64)*(Price!$B$11:$B$210=$B64)*(Price!$D$11:$D$210="gb"),0),MATCH(1,(Price!$L$3:$AY$3=T$3)*(Price!$L$4:$AY$4=T$4),0))</f>
        <v>1350</v>
      </c>
      <c r="U64" s="135" cm="1">
        <f t="array" ref="U64">INDEX(Price!$L$11:$AY$210,MATCH(1,(Price!$A$11:$A$210=$A64)*(Price!$B$11:$B$210=$B64)*(Price!$D$11:$D$210="gb"),0),MATCH(1,(Price!$L$3:$AY$3=U$3)*(Price!$L$4:$AY$4=U$4),0))</f>
        <v>1350</v>
      </c>
      <c r="V64" s="135" cm="1">
        <f t="array" ref="V64">INDEX(Price!$L$11:$AY$210,MATCH(1,(Price!$A$11:$A$210=$A64)*(Price!$B$11:$B$210=$B64)*(Price!$D$11:$D$210="gb"),0),MATCH(1,(Price!$L$3:$AY$3=V$3)*(Price!$L$4:$AY$4=V$4),0))</f>
        <v>1300</v>
      </c>
      <c r="W64" s="135" cm="1">
        <f t="array" ref="W64">INDEX(Price!$L$11:$AY$210,MATCH(1,(Price!$A$11:$A$210=$A64)*(Price!$B$11:$B$210=$B64)*(Price!$D$11:$D$210="gb"),0),MATCH(1,(Price!$L$3:$AY$3=W$3)*(Price!$L$4:$AY$4=W$4),0))</f>
        <v>1300</v>
      </c>
      <c r="X64" s="135" cm="1">
        <f t="array" ref="X64">INDEX(Price!$L$11:$AY$210,MATCH(1,(Price!$A$11:$A$210=$A64)*(Price!$B$11:$B$210=$B64)*(Price!$D$11:$D$210="gb"),0),MATCH(1,(Price!$L$3:$AY$3=X$3)*(Price!$L$4:$AY$4=X$4),0))</f>
        <v>1300</v>
      </c>
      <c r="Y64" s="135" cm="1">
        <f t="array" ref="Y64">INDEX(Price!$L$11:$AY$210,MATCH(1,(Price!$A$11:$A$210=$A64)*(Price!$B$11:$B$210=$B64)*(Price!$D$11:$D$210="gb"),0),MATCH(1,(Price!$L$3:$AY$3=Y$3)*(Price!$L$4:$AY$4=Y$4),0))</f>
        <v>1330</v>
      </c>
      <c r="Z64" s="135" cm="1">
        <f t="array" ref="Z64">INDEX(Price!$L$11:$AY$210,MATCH(1,(Price!$A$11:$A$210=$A64)*(Price!$B$11:$B$210=$B64)*(Price!$D$11:$D$210="gb"),0),MATCH(1,(Price!$L$3:$AY$3=Z$3)*(Price!$L$4:$AY$4=Z$4),0))</f>
        <v>1330</v>
      </c>
      <c r="AA64" s="135" cm="1">
        <f t="array" ref="AA64">INDEX(Price!$L$11:$AY$210,MATCH(1,(Price!$A$11:$A$210=$A64)*(Price!$B$11:$B$210=$B64)*(Price!$D$11:$D$210="gb"),0),MATCH(1,(Price!$L$3:$AY$3=AA$3)*(Price!$L$4:$AY$4=AA$4),0))</f>
        <v>1330</v>
      </c>
      <c r="AB64" s="135" cm="1">
        <f t="array" ref="AB64">INDEX(Price!$L$11:$AY$210,MATCH(1,(Price!$A$11:$A$210=$A64)*(Price!$B$11:$B$210=$B64)*(Price!$D$11:$D$210="gb"),0),MATCH(1,(Price!$L$3:$AY$3=AB$3)*(Price!$L$4:$AY$4=AB$4),0))</f>
        <v>1330</v>
      </c>
      <c r="AC64" s="135" cm="1">
        <f t="array" ref="AC64">INDEX(Price!$L$11:$AY$210,MATCH(1,(Price!$A$11:$A$210=$A64)*(Price!$B$11:$B$210=$B64)*(Price!$D$11:$D$210="gb"),0),MATCH(1,(Price!$L$3:$AY$3=AC$3)*(Price!$L$4:$AY$4=AC$4),0))</f>
        <v>1330</v>
      </c>
      <c r="AD64" s="136" cm="1">
        <f t="array" ref="AD64">INDEX(Price!$L$11:$AY$210,MATCH(1,(Price!$A$11:$A$210=$A64)*(Price!$B$11:$B$210=$B64)*(Price!$D$11:$D$210="gb"),0),MATCH(1,(Price!$L$3:$AY$3=AD$3)*(Price!$L$4:$AY$4=AD$4),0))</f>
        <v>1330</v>
      </c>
      <c r="AE64" s="135" cm="1">
        <f t="array" ref="AE64">INDEX(Price!$L$11:$AY$210,MATCH(1,(Price!$A$11:$A$210=$A64)*(Price!$B$11:$B$210=$B64)*(Price!$D$11:$D$210="gb"),0),MATCH(1,(Price!$L$3:$AY$3=AE$3)*(Price!$L$4:$AY$4=AE$4),0))</f>
        <v>1280</v>
      </c>
      <c r="AF64" s="135" cm="1">
        <f t="array" ref="AF64">INDEX(Price!$L$11:$AY$210,MATCH(1,(Price!$A$11:$A$210=$A64)*(Price!$B$11:$B$210=$B64)*(Price!$D$11:$D$210="gb"),0),MATCH(1,(Price!$L$3:$AY$3=AF$3)*(Price!$L$4:$AY$4=AF$4),0))</f>
        <v>1280</v>
      </c>
      <c r="AG64" s="135" cm="1">
        <f t="array" ref="AG64">INDEX(Price!$L$11:$AY$210,MATCH(1,(Price!$A$11:$A$210=$A64)*(Price!$B$11:$B$210=$B64)*(Price!$D$11:$D$210="gb"),0),MATCH(1,(Price!$L$3:$AY$3=AG$3)*(Price!$L$4:$AY$4=AG$4),0))</f>
        <v>1280</v>
      </c>
      <c r="AH64" s="135" cm="1">
        <f t="array" ref="AH64">INDEX(Price!$L$11:$AY$210,MATCH(1,(Price!$A$11:$A$210=$A64)*(Price!$B$11:$B$210=$B64)*(Price!$D$11:$D$210="gb"),0),MATCH(1,(Price!$L$3:$AY$3=AH$3)*(Price!$L$4:$AY$4=AH$4),0))</f>
        <v>0</v>
      </c>
      <c r="AI64" s="135" cm="1">
        <f t="array" ref="AI64">INDEX(Price!$L$11:$AY$210,MATCH(1,(Price!$A$11:$A$210=$A64)*(Price!$B$11:$B$210=$B64)*(Price!$D$11:$D$210="gb"),0),MATCH(1,(Price!$L$3:$AY$3=AI$3)*(Price!$L$4:$AY$4=AI$4),0))</f>
        <v>0</v>
      </c>
      <c r="AJ64" s="135" cm="1">
        <f t="array" ref="AJ64">INDEX(Price!$L$11:$AY$210,MATCH(1,(Price!$A$11:$A$210=$A64)*(Price!$B$11:$B$210=$B64)*(Price!$D$11:$D$210="gb"),0),MATCH(1,(Price!$L$3:$AY$3=AJ$3)*(Price!$L$4:$AY$4=AJ$4),0))</f>
        <v>0</v>
      </c>
      <c r="AK64" s="135"/>
      <c r="AL64" s="135"/>
      <c r="AM64" s="135"/>
      <c r="AN64" s="135"/>
      <c r="AO64" s="135"/>
      <c r="AP64" s="136"/>
    </row>
    <row r="65" spans="1:42" s="1" customFormat="1" ht="12" customHeight="1" outlineLevel="1" x14ac:dyDescent="0.3">
      <c r="A65" s="1" t="s">
        <v>63</v>
      </c>
      <c r="B65" s="1" t="s">
        <v>64</v>
      </c>
      <c r="C65" s="142" t="s">
        <v>321</v>
      </c>
      <c r="D65" s="168">
        <v>4.21</v>
      </c>
      <c r="E65" s="143"/>
      <c r="F65" s="320" t="s">
        <v>8</v>
      </c>
      <c r="G65" s="144" cm="1">
        <f t="array" ref="G65">INDEX(Price!$L$11:$AY$210,MATCH(1,(Price!$A$11:$A$210=$A65)*(Price!$B$11:$B$210=$B65)*(Price!$D$11:$D$210="exw"),0),MATCH(1,(Price!$L$3:$AY$3=G$3)*(Price!$L$4:$AY$4=G$4),0))</f>
        <v>1437.795918367347</v>
      </c>
      <c r="H65" s="144" cm="1">
        <f t="array" ref="H65">INDEX(Price!$L$11:$AY$210,MATCH(1,(Price!$A$11:$A$210=$A65)*(Price!$B$11:$B$210=$B65)*(Price!$D$11:$D$210="exw"),0),MATCH(1,(Price!$L$3:$AY$3=H$3)*(Price!$L$4:$AY$4=H$4),0))</f>
        <v>1437.795918367347</v>
      </c>
      <c r="I65" s="144" cm="1">
        <f t="array" ref="I65">INDEX(Price!$L$11:$AY$210,MATCH(1,(Price!$A$11:$A$210=$A65)*(Price!$B$11:$B$210=$B65)*(Price!$D$11:$D$210="exw"),0),MATCH(1,(Price!$L$3:$AY$3=I$3)*(Price!$L$4:$AY$4=I$4),0))</f>
        <v>1437.795918367347</v>
      </c>
      <c r="J65" s="144" cm="1">
        <f t="array" ref="J65">INDEX(Price!$L$11:$AY$210,MATCH(1,(Price!$A$11:$A$210=$A65)*(Price!$B$11:$B$210=$B65)*(Price!$D$11:$D$210="exw"),0),MATCH(1,(Price!$L$3:$AY$3=J$3)*(Price!$L$4:$AY$4=J$4),0))</f>
        <v>1367.795918367347</v>
      </c>
      <c r="K65" s="144" cm="1">
        <f t="array" ref="K65">INDEX(Price!$L$11:$AY$210,MATCH(1,(Price!$A$11:$A$210=$A65)*(Price!$B$11:$B$210=$B65)*(Price!$D$11:$D$210="exw"),0),MATCH(1,(Price!$L$3:$AY$3=K$3)*(Price!$L$4:$AY$4=K$4),0))</f>
        <v>1367.795918367347</v>
      </c>
      <c r="L65" s="144" cm="1">
        <f t="array" ref="L65">INDEX(Price!$L$11:$AY$210,MATCH(1,(Price!$A$11:$A$210=$A65)*(Price!$B$11:$B$210=$B65)*(Price!$D$11:$D$210="exw"),0),MATCH(1,(Price!$L$3:$AY$3=L$3)*(Price!$L$4:$AY$4=L$4),0))</f>
        <v>1367.795918367347</v>
      </c>
      <c r="M65" s="144" cm="1">
        <f t="array" ref="M65">INDEX(Price!$L$11:$AY$210,MATCH(1,(Price!$A$11:$A$210=$A65)*(Price!$B$11:$B$210=$B65)*(Price!$D$11:$D$210="exw"),0),MATCH(1,(Price!$L$3:$AY$3=M$3)*(Price!$L$4:$AY$4=M$4),0))</f>
        <v>1368.04</v>
      </c>
      <c r="N65" s="144" cm="1">
        <f t="array" ref="N65">INDEX(Price!$L$11:$AY$210,MATCH(1,(Price!$A$11:$A$210=$A65)*(Price!$B$11:$B$210=$B65)*(Price!$D$11:$D$210="exw"),0),MATCH(1,(Price!$L$3:$AY$3=N$3)*(Price!$L$4:$AY$4=N$4),0))</f>
        <v>1368.04</v>
      </c>
      <c r="O65" s="144" cm="1">
        <f t="array" ref="O65">INDEX(Price!$L$11:$AY$210,MATCH(1,(Price!$A$11:$A$210=$A65)*(Price!$B$11:$B$210=$B65)*(Price!$D$11:$D$210="exw"),0),MATCH(1,(Price!$L$3:$AY$3=O$3)*(Price!$L$4:$AY$4=O$4),0))</f>
        <v>1368.04</v>
      </c>
      <c r="P65" s="144" cm="1">
        <f t="array" ref="P65">INDEX(Price!$L$11:$AY$210,MATCH(1,(Price!$A$11:$A$210=$A65)*(Price!$B$11:$B$210=$B65)*(Price!$D$11:$D$210="exw"),0),MATCH(1,(Price!$L$3:$AY$3=P$3)*(Price!$L$4:$AY$4=P$4),0))</f>
        <v>1368.04</v>
      </c>
      <c r="Q65" s="144" cm="1">
        <f t="array" ref="Q65">INDEX(Price!$L$11:$AY$210,MATCH(1,(Price!$A$11:$A$210=$A65)*(Price!$B$11:$B$210=$B65)*(Price!$D$11:$D$210="exw"),0),MATCH(1,(Price!$L$3:$AY$3=Q$3)*(Price!$L$4:$AY$4=Q$4),0))</f>
        <v>1368.04</v>
      </c>
      <c r="R65" s="145" cm="1">
        <f t="array" ref="R65">INDEX(Price!$L$11:$AY$210,MATCH(1,(Price!$A$11:$A$210=$A65)*(Price!$B$11:$B$210=$B65)*(Price!$D$11:$D$210="exw"),0),MATCH(1,(Price!$L$3:$AY$3=R$3)*(Price!$L$4:$AY$4=R$4),0))</f>
        <v>1368.04</v>
      </c>
      <c r="S65" s="144" cm="1">
        <f t="array" ref="S65">INDEX(Price!$L$11:$AY$210,MATCH(1,(Price!$A$11:$A$210=$A65)*(Price!$B$11:$B$210=$B65)*(Price!$D$11:$D$210="exw"),0),MATCH(1,(Price!$L$3:$AY$3=S$3)*(Price!$L$4:$AY$4=S$4),0))</f>
        <v>1338.04</v>
      </c>
      <c r="T65" s="144" cm="1">
        <f t="array" ref="T65">INDEX(Price!$L$11:$AY$210,MATCH(1,(Price!$A$11:$A$210=$A65)*(Price!$B$11:$B$210=$B65)*(Price!$D$11:$D$210="exw"),0),MATCH(1,(Price!$L$3:$AY$3=T$3)*(Price!$L$4:$AY$4=T$4),0))</f>
        <v>1338.04</v>
      </c>
      <c r="U65" s="144" cm="1">
        <f t="array" ref="U65">INDEX(Price!$L$11:$AY$210,MATCH(1,(Price!$A$11:$A$210=$A65)*(Price!$B$11:$B$210=$B65)*(Price!$D$11:$D$210="exw"),0),MATCH(1,(Price!$L$3:$AY$3=U$3)*(Price!$L$4:$AY$4=U$4),0))</f>
        <v>1338.04</v>
      </c>
      <c r="V65" s="144" cm="1">
        <f t="array" ref="V65">INDEX(Price!$L$11:$AY$210,MATCH(1,(Price!$A$11:$A$210=$A65)*(Price!$B$11:$B$210=$B65)*(Price!$D$11:$D$210="exw"),0),MATCH(1,(Price!$L$3:$AY$3=V$3)*(Price!$L$4:$AY$4=V$4),0))</f>
        <v>1288.04</v>
      </c>
      <c r="W65" s="144" cm="1">
        <f t="array" ref="W65">INDEX(Price!$L$11:$AY$210,MATCH(1,(Price!$A$11:$A$210=$A65)*(Price!$B$11:$B$210=$B65)*(Price!$D$11:$D$210="exw"),0),MATCH(1,(Price!$L$3:$AY$3=W$3)*(Price!$L$4:$AY$4=W$4),0))</f>
        <v>1288.04</v>
      </c>
      <c r="X65" s="144" cm="1">
        <f t="array" ref="X65">INDEX(Price!$L$11:$AY$210,MATCH(1,(Price!$A$11:$A$210=$A65)*(Price!$B$11:$B$210=$B65)*(Price!$D$11:$D$210="exw"),0),MATCH(1,(Price!$L$3:$AY$3=X$3)*(Price!$L$4:$AY$4=X$4),0))</f>
        <v>1288.04</v>
      </c>
      <c r="Y65" s="144" cm="1">
        <f t="array" ref="Y65">INDEX(Price!$L$11:$AY$210,MATCH(1,(Price!$A$11:$A$210=$A65)*(Price!$B$11:$B$210=$B65)*(Price!$D$11:$D$210="exw"),0),MATCH(1,(Price!$L$3:$AY$3=Y$3)*(Price!$L$4:$AY$4=Y$4),0))</f>
        <v>1318.04</v>
      </c>
      <c r="Z65" s="144" cm="1">
        <f t="array" ref="Z65">INDEX(Price!$L$11:$AY$210,MATCH(1,(Price!$A$11:$A$210=$A65)*(Price!$B$11:$B$210=$B65)*(Price!$D$11:$D$210="exw"),0),MATCH(1,(Price!$L$3:$AY$3=Z$3)*(Price!$L$4:$AY$4=Z$4),0))</f>
        <v>1318.04</v>
      </c>
      <c r="AA65" s="144" cm="1">
        <f t="array" ref="AA65">INDEX(Price!$L$11:$AY$210,MATCH(1,(Price!$A$11:$A$210=$A65)*(Price!$B$11:$B$210=$B65)*(Price!$D$11:$D$210="exw"),0),MATCH(1,(Price!$L$3:$AY$3=AA$3)*(Price!$L$4:$AY$4=AA$4),0))</f>
        <v>1318.04</v>
      </c>
      <c r="AB65" s="144" cm="1">
        <f t="array" ref="AB65">INDEX(Price!$L$11:$AY$210,MATCH(1,(Price!$A$11:$A$210=$A65)*(Price!$B$11:$B$210=$B65)*(Price!$D$11:$D$210="exw"),0),MATCH(1,(Price!$L$3:$AY$3=AB$3)*(Price!$L$4:$AY$4=AB$4),0))</f>
        <v>1318.04</v>
      </c>
      <c r="AC65" s="144" cm="1">
        <f t="array" ref="AC65">INDEX(Price!$L$11:$AY$210,MATCH(1,(Price!$A$11:$A$210=$A65)*(Price!$B$11:$B$210=$B65)*(Price!$D$11:$D$210="exw"),0),MATCH(1,(Price!$L$3:$AY$3=AC$3)*(Price!$L$4:$AY$4=AC$4),0))</f>
        <v>1318.04</v>
      </c>
      <c r="AD65" s="145" cm="1">
        <f t="array" ref="AD65">INDEX(Price!$L$11:$AY$210,MATCH(1,(Price!$A$11:$A$210=$A65)*(Price!$B$11:$B$210=$B65)*(Price!$D$11:$D$210="exw"),0),MATCH(1,(Price!$L$3:$AY$3=AD$3)*(Price!$L$4:$AY$4=AD$4),0))</f>
        <v>1318.04</v>
      </c>
      <c r="AE65" s="144" cm="1">
        <f t="array" ref="AE65">INDEX(Price!$L$11:$AY$210,MATCH(1,(Price!$A$11:$A$210=$A65)*(Price!$B$11:$B$210=$B65)*(Price!$D$11:$D$210="exw"),0),MATCH(1,(Price!$L$3:$AY$3=AE$3)*(Price!$L$4:$AY$4=AE$4),0))</f>
        <v>1275</v>
      </c>
      <c r="AF65" s="144" cm="1">
        <f t="array" ref="AF65">INDEX(Price!$L$11:$AY$210,MATCH(1,(Price!$A$11:$A$210=$A65)*(Price!$B$11:$B$210=$B65)*(Price!$D$11:$D$210="exw"),0),MATCH(1,(Price!$L$3:$AY$3=AF$3)*(Price!$L$4:$AY$4=AF$4),0))</f>
        <v>1275</v>
      </c>
      <c r="AG65" s="144" cm="1">
        <f t="array" ref="AG65">INDEX(Price!$L$11:$AY$210,MATCH(1,(Price!$A$11:$A$210=$A65)*(Price!$B$11:$B$210=$B65)*(Price!$D$11:$D$210="exw"),0),MATCH(1,(Price!$L$3:$AY$3=AG$3)*(Price!$L$4:$AY$4=AG$4),0))</f>
        <v>1275</v>
      </c>
      <c r="AH65" s="144" cm="1">
        <f t="array" ref="AH65">INDEX(Price!$L$11:$AY$210,MATCH(1,(Price!$A$11:$A$210=$A65)*(Price!$B$11:$B$210=$B65)*(Price!$D$11:$D$210="exw"),0),MATCH(1,(Price!$L$3:$AY$3=AH$3)*(Price!$L$4:$AY$4=AH$4),0))</f>
        <v>0</v>
      </c>
      <c r="AI65" s="144" cm="1">
        <f t="array" ref="AI65">INDEX(Price!$L$11:$AY$210,MATCH(1,(Price!$A$11:$A$210=$A65)*(Price!$B$11:$B$210=$B65)*(Price!$D$11:$D$210="exw"),0),MATCH(1,(Price!$L$3:$AY$3=AI$3)*(Price!$L$4:$AY$4=AI$4),0))</f>
        <v>0</v>
      </c>
      <c r="AJ65" s="144" cm="1">
        <f t="array" ref="AJ65">INDEX(Price!$L$11:$AY$210,MATCH(1,(Price!$A$11:$A$210=$A65)*(Price!$B$11:$B$210=$B65)*(Price!$D$11:$D$210="exw"),0),MATCH(1,(Price!$L$3:$AY$3=AJ$3)*(Price!$L$4:$AY$4=AJ$4),0))</f>
        <v>0</v>
      </c>
      <c r="AK65" s="144"/>
      <c r="AL65" s="144"/>
      <c r="AM65" s="144"/>
      <c r="AN65" s="144"/>
      <c r="AO65" s="144"/>
      <c r="AP65" s="145"/>
    </row>
    <row r="66" spans="1:42" ht="12" customHeight="1" outlineLevel="1" x14ac:dyDescent="0.3">
      <c r="A66" t="s">
        <v>63</v>
      </c>
      <c r="B66" t="s">
        <v>64</v>
      </c>
      <c r="C66" s="14" t="s">
        <v>21</v>
      </c>
      <c r="D66" s="169">
        <v>4.22</v>
      </c>
      <c r="E66" s="8"/>
      <c r="F66" s="321" t="s">
        <v>11</v>
      </c>
      <c r="G66" s="315" cm="1">
        <f t="array" ref="G66">SUMPRODUCT(General_Data*(Code_General_Data=$C66)*(Year=G$3)*(Month=G$4))</f>
        <v>940</v>
      </c>
      <c r="H66" s="132" cm="1">
        <f t="array" ref="H66">SUMPRODUCT(General_Data*(Code_General_Data=$C66)*(Year=H$3)*(Month=H$4))</f>
        <v>993.33333333333337</v>
      </c>
      <c r="I66" s="132" cm="1">
        <f t="array" ref="I66">SUMPRODUCT(General_Data*(Code_General_Data=$C66)*(Year=I$3)*(Month=I$4))</f>
        <v>985</v>
      </c>
      <c r="J66" s="132" cm="1">
        <f t="array" ref="J66">SUMPRODUCT(General_Data*(Code_General_Data=$C66)*(Year=J$3)*(Month=J$4))</f>
        <v>962.5</v>
      </c>
      <c r="K66" s="132" cm="1">
        <f t="array" ref="K66">SUMPRODUCT(General_Data*(Code_General_Data=$C66)*(Year=K$3)*(Month=K$4))</f>
        <v>982</v>
      </c>
      <c r="L66" s="132" cm="1">
        <f t="array" ref="L66">SUMPRODUCT(General_Data*(Code_General_Data=$C66)*(Year=L$3)*(Month=L$4))</f>
        <v>1000</v>
      </c>
      <c r="M66" s="132" cm="1">
        <f t="array" ref="M66">SUMPRODUCT(General_Data*(Code_General_Data=$C66)*(Year=M$3)*(Month=M$4))</f>
        <v>1000</v>
      </c>
      <c r="N66" s="132" cm="1">
        <f t="array" ref="N66">SUMPRODUCT(General_Data*(Code_General_Data=$C66)*(Year=N$3)*(Month=N$4))</f>
        <v>984</v>
      </c>
      <c r="O66" s="132" cm="1">
        <f t="array" ref="O66">SUMPRODUCT(General_Data*(Code_General_Data=$C66)*(Year=O$3)*(Month=O$4))</f>
        <v>967.5</v>
      </c>
      <c r="P66" s="132" cm="1">
        <f t="array" ref="P66">SUMPRODUCT(General_Data*(Code_General_Data=$C66)*(Year=P$3)*(Month=P$4))</f>
        <v>965</v>
      </c>
      <c r="Q66" s="132" cm="1">
        <f t="array" ref="Q66">SUMPRODUCT(General_Data*(Code_General_Data=$C66)*(Year=Q$3)*(Month=Q$4))</f>
        <v>974</v>
      </c>
      <c r="R66" s="133" cm="1">
        <f t="array" ref="R66">SUMPRODUCT(General_Data*(Code_General_Data=$C66)*(Year=R$3)*(Month=R$4))</f>
        <v>956</v>
      </c>
      <c r="S66" s="132" cm="1">
        <f t="array" ref="S66">SUMPRODUCT(General_Data*(Code_General_Data=$C66)*(Year=S$3)*(Month=S$4))</f>
        <v>940</v>
      </c>
      <c r="T66" s="132" cm="1">
        <f t="array" ref="T66">SUMPRODUCT(General_Data*(Code_General_Data=$C66)*(Year=T$3)*(Month=T$4))</f>
        <v>918</v>
      </c>
      <c r="U66" s="132" cm="1">
        <f t="array" ref="U66">SUMPRODUCT(General_Data*(Code_General_Data=$C66)*(Year=U$3)*(Month=U$4))</f>
        <v>896</v>
      </c>
      <c r="V66" s="132" cm="1">
        <f t="array" ref="V66">SUMPRODUCT(General_Data*(Code_General_Data=$C66)*(Year=V$3)*(Month=V$4))</f>
        <v>891.5</v>
      </c>
      <c r="W66" s="132" cm="1">
        <f t="array" ref="W66">SUMPRODUCT(General_Data*(Code_General_Data=$C66)*(Year=W$3)*(Month=W$4))</f>
        <v>864</v>
      </c>
      <c r="X66" s="132" cm="1">
        <f t="array" ref="X66">SUMPRODUCT(General_Data*(Code_General_Data=$C66)*(Year=X$3)*(Month=X$4))</f>
        <v>833</v>
      </c>
      <c r="Y66" s="132" cm="1">
        <f t="array" ref="Y66">SUMPRODUCT(General_Data*(Code_General_Data=$C66)*(Year=Y$3)*(Month=Y$4))</f>
        <v>833</v>
      </c>
      <c r="Z66" s="132" cm="1">
        <f t="array" ref="Z66">SUMPRODUCT(General_Data*(Code_General_Data=$C66)*(Year=Z$3)*(Month=Z$4))</f>
        <v>815</v>
      </c>
      <c r="AA66" s="132" cm="1">
        <f t="array" ref="AA66">SUMPRODUCT(General_Data*(Code_General_Data=$C66)*(Year=AA$3)*(Month=AA$4))</f>
        <v>813</v>
      </c>
      <c r="AB66" s="132" cm="1">
        <f t="array" ref="AB66">SUMPRODUCT(General_Data*(Code_General_Data=$C66)*(Year=AB$3)*(Month=AB$4))</f>
        <v>805</v>
      </c>
      <c r="AC66" s="132" cm="1">
        <f t="array" ref="AC66">SUMPRODUCT(General_Data*(Code_General_Data=$C66)*(Year=AC$3)*(Month=AC$4))</f>
        <v>805</v>
      </c>
      <c r="AD66" s="133" cm="1">
        <f t="array" ref="AD66">SUMPRODUCT(General_Data*(Code_General_Data=$C66)*(Year=AD$3)*(Month=AD$4))</f>
        <v>802.5</v>
      </c>
      <c r="AE66" s="132" cm="1">
        <f t="array" ref="AE66">SUMPRODUCT(General_Data*(Code_General_Data=$C66)*(Year=AE$3)*(Month=AE$4))</f>
        <v>800</v>
      </c>
      <c r="AF66" s="132" cm="1">
        <f t="array" ref="AF66">SUMPRODUCT(General_Data*(Code_General_Data=$C66)*(Year=AF$3)*(Month=AF$4))</f>
        <v>800</v>
      </c>
      <c r="AG66" s="132" cm="1">
        <f t="array" ref="AG66">SUMPRODUCT(General_Data*(Code_General_Data=$C66)*(Year=AG$3)*(Month=AG$4))</f>
        <v>1331</v>
      </c>
      <c r="AH66" s="132" cm="1">
        <f t="array" ref="AH66">SUMPRODUCT(General_Data*(Code_General_Data=$C66)*(Year=AH$3)*(Month=AH$4))</f>
        <v>1590</v>
      </c>
      <c r="AI66" s="132" cm="1">
        <f t="array" ref="AI66">SUMPRODUCT(General_Data*(Code_General_Data=$C66)*(Year=AI$3)*(Month=AI$4))</f>
        <v>1523</v>
      </c>
      <c r="AJ66" s="132" cm="1">
        <f t="array" ref="AJ66">SUMPRODUCT(General_Data*(Code_General_Data=$C66)*(Year=AJ$3)*(Month=AJ$4))</f>
        <v>1470</v>
      </c>
      <c r="AK66" s="132"/>
      <c r="AL66" s="132"/>
      <c r="AM66" s="132"/>
      <c r="AN66" s="132"/>
      <c r="AO66" s="132"/>
      <c r="AP66" s="133"/>
    </row>
    <row r="67" spans="1:42" s="151" customFormat="1" ht="12" customHeight="1" outlineLevel="1" x14ac:dyDescent="0.3">
      <c r="A67" s="151" t="s">
        <v>63</v>
      </c>
      <c r="B67" s="151" t="s">
        <v>64</v>
      </c>
      <c r="D67" s="170">
        <v>4.2300000000000004</v>
      </c>
      <c r="E67" s="152"/>
      <c r="F67" s="322" t="s">
        <v>406</v>
      </c>
      <c r="G67" s="153">
        <f t="shared" ref="G67:AD67" si="42">IF(G64*G65*G66&lt;&gt;0,G65-G66,0)</f>
        <v>497.79591836734699</v>
      </c>
      <c r="H67" s="153">
        <f t="shared" si="42"/>
        <v>444.46258503401361</v>
      </c>
      <c r="I67" s="153">
        <f t="shared" si="42"/>
        <v>452.79591836734699</v>
      </c>
      <c r="J67" s="153">
        <f t="shared" si="42"/>
        <v>405.29591836734699</v>
      </c>
      <c r="K67" s="153">
        <f t="shared" si="42"/>
        <v>385.79591836734699</v>
      </c>
      <c r="L67" s="153">
        <f t="shared" si="42"/>
        <v>367.79591836734699</v>
      </c>
      <c r="M67" s="153">
        <f t="shared" si="42"/>
        <v>368.03999999999996</v>
      </c>
      <c r="N67" s="153">
        <f t="shared" si="42"/>
        <v>384.03999999999996</v>
      </c>
      <c r="O67" s="153">
        <f t="shared" si="42"/>
        <v>400.53999999999996</v>
      </c>
      <c r="P67" s="153">
        <f t="shared" si="42"/>
        <v>403.03999999999996</v>
      </c>
      <c r="Q67" s="153">
        <f t="shared" si="42"/>
        <v>394.03999999999996</v>
      </c>
      <c r="R67" s="154">
        <f t="shared" si="42"/>
        <v>412.03999999999996</v>
      </c>
      <c r="S67" s="153">
        <f t="shared" si="42"/>
        <v>398.03999999999996</v>
      </c>
      <c r="T67" s="153">
        <f t="shared" si="42"/>
        <v>420.03999999999996</v>
      </c>
      <c r="U67" s="153">
        <f t="shared" si="42"/>
        <v>442.03999999999996</v>
      </c>
      <c r="V67" s="153">
        <f t="shared" si="42"/>
        <v>396.53999999999996</v>
      </c>
      <c r="W67" s="153">
        <f t="shared" si="42"/>
        <v>424.03999999999996</v>
      </c>
      <c r="X67" s="153">
        <f t="shared" si="42"/>
        <v>455.03999999999996</v>
      </c>
      <c r="Y67" s="153">
        <f t="shared" si="42"/>
        <v>485.03999999999996</v>
      </c>
      <c r="Z67" s="153">
        <f t="shared" si="42"/>
        <v>503.03999999999996</v>
      </c>
      <c r="AA67" s="153">
        <f t="shared" si="42"/>
        <v>505.03999999999996</v>
      </c>
      <c r="AB67" s="153">
        <f t="shared" si="42"/>
        <v>513.04</v>
      </c>
      <c r="AC67" s="153">
        <f t="shared" si="42"/>
        <v>513.04</v>
      </c>
      <c r="AD67" s="154">
        <f t="shared" si="42"/>
        <v>515.54</v>
      </c>
      <c r="AE67" s="153">
        <f t="shared" ref="AE67:AG67" si="43">IF(AE64*AE65*AE66&lt;&gt;0,AE65-AE66,0)</f>
        <v>475</v>
      </c>
      <c r="AF67" s="153">
        <f t="shared" si="43"/>
        <v>475</v>
      </c>
      <c r="AG67" s="153">
        <f t="shared" si="43"/>
        <v>-56</v>
      </c>
      <c r="AH67" s="153">
        <f t="shared" ref="AH67:AI67" si="44">IF(AH64*AH65*AH66&lt;&gt;0,AH65-AH66,0)</f>
        <v>0</v>
      </c>
      <c r="AI67" s="153">
        <f t="shared" si="44"/>
        <v>0</v>
      </c>
      <c r="AJ67" s="153">
        <f t="shared" ref="AJ67" si="45">IF(AJ64*AJ65*AJ66&lt;&gt;0,AJ65-AJ66,0)</f>
        <v>0</v>
      </c>
      <c r="AK67" s="153"/>
      <c r="AL67" s="153"/>
      <c r="AM67" s="153"/>
      <c r="AN67" s="153"/>
      <c r="AO67" s="153"/>
      <c r="AP67" s="154"/>
    </row>
    <row r="68" spans="1:42" s="155" customFormat="1" ht="12" customHeight="1" outlineLevel="1" x14ac:dyDescent="0.3">
      <c r="A68" s="155" t="s">
        <v>63</v>
      </c>
      <c r="B68" s="155" t="s">
        <v>64</v>
      </c>
      <c r="D68" s="171">
        <v>4.24</v>
      </c>
      <c r="E68" s="156"/>
      <c r="F68" s="323" t="s">
        <v>14</v>
      </c>
      <c r="G68" s="497">
        <f t="shared" ref="G68:AD68" si="46">IFERROR(G67/G66,0)</f>
        <v>0.52957012592270958</v>
      </c>
      <c r="H68" s="497">
        <f t="shared" si="46"/>
        <v>0.44744555540336939</v>
      </c>
      <c r="I68" s="497">
        <f t="shared" si="46"/>
        <v>0.45969128768258577</v>
      </c>
      <c r="J68" s="497">
        <f t="shared" si="46"/>
        <v>0.42108666843360726</v>
      </c>
      <c r="K68" s="497">
        <f t="shared" si="46"/>
        <v>0.3928675339789684</v>
      </c>
      <c r="L68" s="497">
        <f t="shared" si="46"/>
        <v>0.36779591836734699</v>
      </c>
      <c r="M68" s="497">
        <f t="shared" si="46"/>
        <v>0.36803999999999998</v>
      </c>
      <c r="N68" s="497">
        <f t="shared" si="46"/>
        <v>0.39028455284552843</v>
      </c>
      <c r="O68" s="497">
        <f t="shared" si="46"/>
        <v>0.41399483204134363</v>
      </c>
      <c r="P68" s="497">
        <f t="shared" si="46"/>
        <v>0.41765803108808286</v>
      </c>
      <c r="Q68" s="497">
        <f t="shared" si="46"/>
        <v>0.40455852156057492</v>
      </c>
      <c r="R68" s="498">
        <f t="shared" si="46"/>
        <v>0.43100418410041835</v>
      </c>
      <c r="S68" s="497">
        <f t="shared" si="46"/>
        <v>0.42344680851063826</v>
      </c>
      <c r="T68" s="497">
        <f t="shared" si="46"/>
        <v>0.45755991285403047</v>
      </c>
      <c r="U68" s="497">
        <f t="shared" si="46"/>
        <v>0.49334821428571424</v>
      </c>
      <c r="V68" s="497">
        <f t="shared" si="46"/>
        <v>0.44480089736399325</v>
      </c>
      <c r="W68" s="497">
        <f t="shared" si="46"/>
        <v>0.49078703703703702</v>
      </c>
      <c r="X68" s="497">
        <f t="shared" si="46"/>
        <v>0.54626650660264098</v>
      </c>
      <c r="Y68" s="497">
        <f t="shared" si="46"/>
        <v>0.58228091236494595</v>
      </c>
      <c r="Z68" s="497">
        <f t="shared" si="46"/>
        <v>0.61722699386503066</v>
      </c>
      <c r="AA68" s="497">
        <f t="shared" si="46"/>
        <v>0.6212054120541205</v>
      </c>
      <c r="AB68" s="497">
        <f t="shared" si="46"/>
        <v>0.63731677018633537</v>
      </c>
      <c r="AC68" s="497">
        <f t="shared" si="46"/>
        <v>0.63731677018633537</v>
      </c>
      <c r="AD68" s="498">
        <f t="shared" si="46"/>
        <v>0.64241744548286595</v>
      </c>
      <c r="AE68" s="497">
        <f t="shared" ref="AE68:AG68" si="47">IFERROR(AE67/AE66,0)</f>
        <v>0.59375</v>
      </c>
      <c r="AF68" s="497">
        <f t="shared" si="47"/>
        <v>0.59375</v>
      </c>
      <c r="AG68" s="497">
        <f t="shared" si="47"/>
        <v>-4.2073628850488355E-2</v>
      </c>
      <c r="AH68" s="497">
        <f t="shared" ref="AH68:AI68" si="48">IFERROR(AH67/AH66,0)</f>
        <v>0</v>
      </c>
      <c r="AI68" s="497">
        <f t="shared" si="48"/>
        <v>0</v>
      </c>
      <c r="AJ68" s="497">
        <f t="shared" ref="AJ68" si="49">IFERROR(AJ67/AJ66,0)</f>
        <v>0</v>
      </c>
      <c r="AK68" s="497"/>
      <c r="AL68" s="497"/>
      <c r="AM68" s="497"/>
      <c r="AN68" s="497"/>
      <c r="AO68" s="497"/>
      <c r="AP68" s="498"/>
    </row>
    <row r="69" spans="1:42" s="137" customFormat="1" ht="12" customHeight="1" outlineLevel="1" x14ac:dyDescent="0.3">
      <c r="A69" s="137" t="s">
        <v>63</v>
      </c>
      <c r="B69" s="137" t="s">
        <v>64</v>
      </c>
      <c r="C69" s="137" t="s">
        <v>64</v>
      </c>
      <c r="D69" s="172">
        <v>4.25</v>
      </c>
      <c r="E69" s="138"/>
      <c r="F69" s="324" t="s">
        <v>202</v>
      </c>
      <c r="G69" s="139" cm="1">
        <f t="array" ref="G69">SUMPRODUCT(General_Data*(Code_General_Data=$C69)*(Year=G$3)*(Month=G$4))</f>
        <v>1350</v>
      </c>
      <c r="H69" s="139" cm="1">
        <f t="array" ref="H69">SUMPRODUCT(General_Data*(Code_General_Data=$C69)*(Year=H$3)*(Month=H$4))</f>
        <v>1350</v>
      </c>
      <c r="I69" s="139" cm="1">
        <f t="array" ref="I69">SUMPRODUCT(General_Data*(Code_General_Data=$C69)*(Year=I$3)*(Month=I$4))</f>
        <v>1350</v>
      </c>
      <c r="J69" s="139" cm="1">
        <f t="array" ref="J69">SUMPRODUCT(General_Data*(Code_General_Data=$C69)*(Year=J$3)*(Month=J$4))</f>
        <v>1350</v>
      </c>
      <c r="K69" s="139" cm="1">
        <f t="array" ref="K69">SUMPRODUCT(General_Data*(Code_General_Data=$C69)*(Year=K$3)*(Month=K$4))</f>
        <v>1350</v>
      </c>
      <c r="L69" s="139" cm="1">
        <f t="array" ref="L69">SUMPRODUCT(General_Data*(Code_General_Data=$C69)*(Year=L$3)*(Month=L$4))</f>
        <v>1350</v>
      </c>
      <c r="M69" s="139" cm="1">
        <f t="array" ref="M69">SUMPRODUCT(General_Data*(Code_General_Data=$C69)*(Year=M$3)*(Month=M$4))</f>
        <v>1350</v>
      </c>
      <c r="N69" s="139" cm="1">
        <f t="array" ref="N69">SUMPRODUCT(General_Data*(Code_General_Data=$C69)*(Year=N$3)*(Month=N$4))</f>
        <v>1350</v>
      </c>
      <c r="O69" s="139" cm="1">
        <f t="array" ref="O69">SUMPRODUCT(General_Data*(Code_General_Data=$C69)*(Year=O$3)*(Month=O$4))</f>
        <v>1350</v>
      </c>
      <c r="P69" s="139" cm="1">
        <f t="array" ref="P69">SUMPRODUCT(General_Data*(Code_General_Data=$C69)*(Year=P$3)*(Month=P$4))</f>
        <v>1350</v>
      </c>
      <c r="Q69" s="139" cm="1">
        <f t="array" ref="Q69">SUMPRODUCT(General_Data*(Code_General_Data=$C69)*(Year=Q$3)*(Month=Q$4))</f>
        <v>1350</v>
      </c>
      <c r="R69" s="140" cm="1">
        <f t="array" ref="R69">SUMPRODUCT(General_Data*(Code_General_Data=$C69)*(Year=R$3)*(Month=R$4))</f>
        <v>1350</v>
      </c>
      <c r="S69" s="139" cm="1">
        <f t="array" ref="S69">SUMPRODUCT(General_Data*(Code_General_Data=$C69)*(Year=S$3)*(Month=S$4))</f>
        <v>1350</v>
      </c>
      <c r="T69" s="139" cm="1">
        <f t="array" ref="T69">SUMPRODUCT(General_Data*(Code_General_Data=$C69)*(Year=T$3)*(Month=T$4))</f>
        <v>1350</v>
      </c>
      <c r="U69" s="139" cm="1">
        <f t="array" ref="U69">SUMPRODUCT(General_Data*(Code_General_Data=$C69)*(Year=U$3)*(Month=U$4))</f>
        <v>1300</v>
      </c>
      <c r="V69" s="139" cm="1">
        <f t="array" ref="V69">SUMPRODUCT(General_Data*(Code_General_Data=$C69)*(Year=V$3)*(Month=V$4))</f>
        <v>1300</v>
      </c>
      <c r="W69" s="139" cm="1">
        <f t="array" ref="W69">SUMPRODUCT(General_Data*(Code_General_Data=$C69)*(Year=W$3)*(Month=W$4))</f>
        <v>1300</v>
      </c>
      <c r="X69" s="139" cm="1">
        <f t="array" ref="X69">SUMPRODUCT(General_Data*(Code_General_Data=$C69)*(Year=X$3)*(Month=X$4))</f>
        <v>1300</v>
      </c>
      <c r="Y69" s="139" cm="1">
        <f t="array" ref="Y69">SUMPRODUCT(General_Data*(Code_General_Data=$C69)*(Year=Y$3)*(Month=Y$4))</f>
        <v>1300</v>
      </c>
      <c r="Z69" s="139" cm="1">
        <f t="array" ref="Z69">SUMPRODUCT(General_Data*(Code_General_Data=$C69)*(Year=Z$3)*(Month=Z$4))</f>
        <v>1280</v>
      </c>
      <c r="AA69" s="139" cm="1">
        <f t="array" ref="AA69">SUMPRODUCT(General_Data*(Code_General_Data=$C69)*(Year=AA$3)*(Month=AA$4))</f>
        <v>1260</v>
      </c>
      <c r="AB69" s="139" cm="1">
        <f t="array" ref="AB69">SUMPRODUCT(General_Data*(Code_General_Data=$C69)*(Year=AB$3)*(Month=AB$4))</f>
        <v>1260</v>
      </c>
      <c r="AC69" s="139" cm="1">
        <f t="array" ref="AC69">SUMPRODUCT(General_Data*(Code_General_Data=$C69)*(Year=AC$3)*(Month=AC$4))</f>
        <v>1250</v>
      </c>
      <c r="AD69" s="140" cm="1">
        <f t="array" ref="AD69">SUMPRODUCT(General_Data*(Code_General_Data=$C69)*(Year=AD$3)*(Month=AD$4))</f>
        <v>1250</v>
      </c>
      <c r="AE69" s="139" cm="1">
        <f t="array" ref="AE69">SUMPRODUCT(General_Data*(Code_General_Data=$C69)*(Year=AE$3)*(Month=AE$4))</f>
        <v>1250</v>
      </c>
      <c r="AF69" s="139" cm="1">
        <f t="array" ref="AF69">SUMPRODUCT(General_Data*(Code_General_Data=$C69)*(Year=AF$3)*(Month=AF$4))</f>
        <v>1250</v>
      </c>
      <c r="AG69" s="139" cm="1">
        <f t="array" ref="AG69">SUMPRODUCT(General_Data*(Code_General_Data=$C69)*(Year=AG$3)*(Month=AG$4))</f>
        <v>1250</v>
      </c>
      <c r="AH69" s="139" cm="1">
        <f t="array" ref="AH69">SUMPRODUCT(General_Data*(Code_General_Data=$C69)*(Year=AH$3)*(Month=AH$4))</f>
        <v>1350</v>
      </c>
      <c r="AI69" s="139" cm="1">
        <f t="array" ref="AI69">SUMPRODUCT(General_Data*(Code_General_Data=$C69)*(Year=AI$3)*(Month=AI$4))</f>
        <v>1420</v>
      </c>
      <c r="AJ69" s="139" cm="1">
        <f t="array" ref="AJ69">SUMPRODUCT(General_Data*(Code_General_Data=$C69)*(Year=AJ$3)*(Month=AJ$4))</f>
        <v>1400</v>
      </c>
      <c r="AK69" s="139"/>
      <c r="AL69" s="139"/>
      <c r="AM69" s="139"/>
      <c r="AN69" s="139"/>
      <c r="AO69" s="139"/>
      <c r="AP69" s="140"/>
    </row>
    <row r="70" spans="1:42" ht="3.6" customHeight="1" x14ac:dyDescent="0.3">
      <c r="D70" s="165"/>
    </row>
    <row r="71" spans="1:42" s="127" customFormat="1" ht="15.6" customHeight="1" x14ac:dyDescent="0.35">
      <c r="A71" s="127" t="s">
        <v>39</v>
      </c>
      <c r="C71" s="131"/>
      <c r="D71" s="166" t="s">
        <v>474</v>
      </c>
      <c r="E71" s="130" t="s">
        <v>25</v>
      </c>
      <c r="F71" s="317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314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314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314"/>
    </row>
    <row r="72" spans="1:42" s="147" customFormat="1" ht="13.35" customHeight="1" outlineLevel="1" x14ac:dyDescent="0.3">
      <c r="A72" s="147" t="s">
        <v>39</v>
      </c>
      <c r="B72" s="147" t="s">
        <v>28</v>
      </c>
      <c r="D72" s="158"/>
      <c r="E72" s="148"/>
      <c r="F72" s="318" t="s">
        <v>26</v>
      </c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9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9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9"/>
    </row>
    <row r="73" spans="1:42" s="69" customFormat="1" ht="11.4" customHeight="1" outlineLevel="1" x14ac:dyDescent="0.3">
      <c r="A73" s="69" t="s">
        <v>39</v>
      </c>
      <c r="B73" s="69" t="s">
        <v>28</v>
      </c>
      <c r="D73" s="167">
        <v>5.0999999999999996</v>
      </c>
      <c r="E73" s="134"/>
      <c r="F73" s="319" t="s">
        <v>27</v>
      </c>
      <c r="G73" s="135" cm="1">
        <f t="array" ref="G73">INDEX(Price!$L$11:$AY$210,MATCH(1,(Price!$A$11:$A$210=$A73)*(Price!$B$11:$B$210=$B73)*(Price!$D$11:$D$210="gb"),0),MATCH(1,(Price!$L$3:$AY$3=G$3)*(Price!$L$4:$AY$4=G$4),0))</f>
        <v>1366.5</v>
      </c>
      <c r="H73" s="135" cm="1">
        <f t="array" ref="H73">INDEX(Price!$L$11:$AY$210,MATCH(1,(Price!$A$11:$A$210=$A73)*(Price!$B$11:$B$210=$B73)*(Price!$D$11:$D$210="gb"),0),MATCH(1,(Price!$L$3:$AY$3=H$3)*(Price!$L$4:$AY$4=H$4),0))</f>
        <v>1374</v>
      </c>
      <c r="I73" s="135" cm="1">
        <f t="array" ref="I73">INDEX(Price!$L$11:$AY$210,MATCH(1,(Price!$A$11:$A$210=$A73)*(Price!$B$11:$B$210=$B73)*(Price!$D$11:$D$210="gb"),0),MATCH(1,(Price!$L$3:$AY$3=I$3)*(Price!$L$4:$AY$4=I$4),0))</f>
        <v>1386.5</v>
      </c>
      <c r="J73" s="135" cm="1">
        <f t="array" ref="J73">INDEX(Price!$L$11:$AY$210,MATCH(1,(Price!$A$11:$A$210=$A73)*(Price!$B$11:$B$210=$B73)*(Price!$D$11:$D$210="gb"),0),MATCH(1,(Price!$L$3:$AY$3=J$3)*(Price!$L$4:$AY$4=J$4),0))</f>
        <v>1389</v>
      </c>
      <c r="K73" s="135" cm="1">
        <f t="array" ref="K73">INDEX(Price!$L$11:$AY$210,MATCH(1,(Price!$A$11:$A$210=$A73)*(Price!$B$11:$B$210=$B73)*(Price!$D$11:$D$210="gb"),0),MATCH(1,(Price!$L$3:$AY$3=K$3)*(Price!$L$4:$AY$4=K$4),0))</f>
        <v>1393</v>
      </c>
      <c r="L73" s="135" cm="1">
        <f t="array" ref="L73">INDEX(Price!$L$11:$AY$210,MATCH(1,(Price!$A$11:$A$210=$A73)*(Price!$B$11:$B$210=$B73)*(Price!$D$11:$D$210="gb"),0),MATCH(1,(Price!$L$3:$AY$3=L$3)*(Price!$L$4:$AY$4=L$4),0))</f>
        <v>1408</v>
      </c>
      <c r="M73" s="135" cm="1">
        <f t="array" ref="M73">INDEX(Price!$L$11:$AY$210,MATCH(1,(Price!$A$11:$A$210=$A73)*(Price!$B$11:$B$210=$B73)*(Price!$D$11:$D$210="gb"),0),MATCH(1,(Price!$L$3:$AY$3=M$3)*(Price!$L$4:$AY$4=M$4),0))</f>
        <v>1424</v>
      </c>
      <c r="N73" s="135" cm="1">
        <f t="array" ref="N73">INDEX(Price!$L$11:$AY$210,MATCH(1,(Price!$A$11:$A$210=$A73)*(Price!$B$11:$B$210=$B73)*(Price!$D$11:$D$210="gb"),0),MATCH(1,(Price!$L$3:$AY$3=N$3)*(Price!$L$4:$AY$4=N$4),0))</f>
        <v>1435</v>
      </c>
      <c r="O73" s="135" cm="1">
        <f t="array" ref="O73">INDEX(Price!$L$11:$AY$210,MATCH(1,(Price!$A$11:$A$210=$A73)*(Price!$B$11:$B$210=$B73)*(Price!$D$11:$D$210="gb"),0),MATCH(1,(Price!$L$3:$AY$3=O$3)*(Price!$L$4:$AY$4=O$4),0))</f>
        <v>1455</v>
      </c>
      <c r="P73" s="135" cm="1">
        <f t="array" ref="P73">INDEX(Price!$L$11:$AY$210,MATCH(1,(Price!$A$11:$A$210=$A73)*(Price!$B$11:$B$210=$B73)*(Price!$D$11:$D$210="gb"),0),MATCH(1,(Price!$L$3:$AY$3=P$3)*(Price!$L$4:$AY$4=P$4),0))</f>
        <v>1482.75</v>
      </c>
      <c r="Q73" s="135" cm="1">
        <f t="array" ref="Q73">INDEX(Price!$L$11:$AY$210,MATCH(1,(Price!$A$11:$A$210=$A73)*(Price!$B$11:$B$210=$B73)*(Price!$D$11:$D$210="gb"),0),MATCH(1,(Price!$L$3:$AY$3=Q$3)*(Price!$L$4:$AY$4=Q$4),0))</f>
        <v>1500.25</v>
      </c>
      <c r="R73" s="136" cm="1">
        <f t="array" ref="R73">INDEX(Price!$L$11:$AY$210,MATCH(1,(Price!$A$11:$A$210=$A73)*(Price!$B$11:$B$210=$B73)*(Price!$D$11:$D$210="gb"),0),MATCH(1,(Price!$L$3:$AY$3=R$3)*(Price!$L$4:$AY$4=R$4),0))</f>
        <v>1504</v>
      </c>
      <c r="S73" s="135" cm="1">
        <f t="array" ref="S73">INDEX(Price!$L$11:$AY$210,MATCH(1,(Price!$A$11:$A$210=$A73)*(Price!$B$11:$B$210=$B73)*(Price!$D$11:$D$210="gb"),0),MATCH(1,(Price!$L$3:$AY$3=S$3)*(Price!$L$4:$AY$4=S$4),0))</f>
        <v>1452.903125</v>
      </c>
      <c r="T73" s="135" cm="1">
        <f t="array" ref="T73">INDEX(Price!$L$11:$AY$210,MATCH(1,(Price!$A$11:$A$210=$A73)*(Price!$B$11:$B$210=$B73)*(Price!$D$11:$D$210="gb"),0),MATCH(1,(Price!$L$3:$AY$3=T$3)*(Price!$L$4:$AY$4=T$4),0))</f>
        <v>1415.1447916666652</v>
      </c>
      <c r="U73" s="135" cm="1">
        <f t="array" ref="U73">INDEX(Price!$L$11:$AY$210,MATCH(1,(Price!$A$11:$A$210=$A73)*(Price!$B$11:$B$210=$B73)*(Price!$D$11:$D$210="gb"),0),MATCH(1,(Price!$L$3:$AY$3=U$3)*(Price!$L$4:$AY$4=U$4),0))</f>
        <v>1380.0541666666652</v>
      </c>
      <c r="V73" s="135" cm="1">
        <f t="array" ref="V73">INDEX(Price!$L$11:$AY$210,MATCH(1,(Price!$A$11:$A$210=$A73)*(Price!$B$11:$B$210=$B73)*(Price!$D$11:$D$210="gb"),0),MATCH(1,(Price!$L$3:$AY$3=V$3)*(Price!$L$4:$AY$4=V$4),0))</f>
        <v>1380.875</v>
      </c>
      <c r="W73" s="135" cm="1">
        <f t="array" ref="W73">INDEX(Price!$L$11:$AY$210,MATCH(1,(Price!$A$11:$A$210=$A73)*(Price!$B$11:$B$210=$B73)*(Price!$D$11:$D$210="gb"),0),MATCH(1,(Price!$L$3:$AY$3=W$3)*(Price!$L$4:$AY$4=W$4),0))</f>
        <v>1385.8</v>
      </c>
      <c r="X73" s="135" cm="1">
        <f t="array" ref="X73">INDEX(Price!$L$11:$AY$210,MATCH(1,(Price!$A$11:$A$210=$A73)*(Price!$B$11:$B$210=$B73)*(Price!$D$11:$D$210="gb"),0),MATCH(1,(Price!$L$3:$AY$3=X$3)*(Price!$L$4:$AY$4=X$4),0))</f>
        <v>1385.8</v>
      </c>
      <c r="Y73" s="135" cm="1">
        <f t="array" ref="Y73">INDEX(Price!$L$11:$AY$210,MATCH(1,(Price!$A$11:$A$210=$A73)*(Price!$B$11:$B$210=$B73)*(Price!$D$11:$D$210="gb"),0),MATCH(1,(Price!$L$3:$AY$3=Y$3)*(Price!$L$4:$AY$4=Y$4),0))</f>
        <v>1385.8</v>
      </c>
      <c r="Z73" s="135" cm="1">
        <f t="array" ref="Z73">INDEX(Price!$L$11:$AY$210,MATCH(1,(Price!$A$11:$A$210=$A73)*(Price!$B$11:$B$210=$B73)*(Price!$D$11:$D$210="gb"),0),MATCH(1,(Price!$L$3:$AY$3=Z$3)*(Price!$L$4:$AY$4=Z$4),0))</f>
        <v>1368.07</v>
      </c>
      <c r="AA73" s="135" cm="1">
        <f t="array" ref="AA73">INDEX(Price!$L$11:$AY$210,MATCH(1,(Price!$A$11:$A$210=$A73)*(Price!$B$11:$B$210=$B73)*(Price!$D$11:$D$210="gb"),0),MATCH(1,(Price!$L$3:$AY$3=AA$3)*(Price!$L$4:$AY$4=AA$4),0))</f>
        <v>1336.5574999999999</v>
      </c>
      <c r="AB73" s="135" cm="1">
        <f t="array" ref="AB73">INDEX(Price!$L$11:$AY$210,MATCH(1,(Price!$A$11:$A$210=$A73)*(Price!$B$11:$B$210=$B73)*(Price!$D$11:$D$210="gb"),0),MATCH(1,(Price!$L$3:$AY$3=AB$3)*(Price!$L$4:$AY$4=AB$4),0))</f>
        <v>1336.9775</v>
      </c>
      <c r="AC73" s="135" cm="1">
        <f t="array" ref="AC73">INDEX(Price!$L$11:$AY$210,MATCH(1,(Price!$A$11:$A$210=$A73)*(Price!$B$11:$B$210=$B73)*(Price!$D$11:$D$210="gb"),0),MATCH(1,(Price!$L$3:$AY$3=AC$3)*(Price!$L$4:$AY$4=AC$4),0))</f>
        <v>1337.3150000000001</v>
      </c>
      <c r="AD73" s="136" cm="1">
        <f t="array" ref="AD73">INDEX(Price!$L$11:$AY$210,MATCH(1,(Price!$A$11:$A$210=$A73)*(Price!$B$11:$B$210=$B73)*(Price!$D$11:$D$210="gb"),0),MATCH(1,(Price!$L$3:$AY$3=AD$3)*(Price!$L$4:$AY$4=AD$4),0))</f>
        <v>1337.496875</v>
      </c>
      <c r="AE73" s="135" cm="1">
        <f t="array" ref="AE73">INDEX(Price!$L$11:$AY$210,MATCH(1,(Price!$A$11:$A$210=$A73)*(Price!$B$11:$B$210=$B73)*(Price!$D$11:$D$210="gb"),0),MATCH(1,(Price!$L$3:$AY$3=AE$3)*(Price!$L$4:$AY$4=AE$4),0))</f>
        <v>1225</v>
      </c>
      <c r="AF73" s="135" cm="1">
        <f t="array" ref="AF73">INDEX(Price!$L$11:$AY$210,MATCH(1,(Price!$A$11:$A$210=$A73)*(Price!$B$11:$B$210=$B73)*(Price!$D$11:$D$210="gb"),0),MATCH(1,(Price!$L$3:$AY$3=AF$3)*(Price!$L$4:$AY$4=AF$4),0))</f>
        <v>1225</v>
      </c>
      <c r="AG73" s="135" cm="1">
        <f t="array" ref="AG73">INDEX(Price!$L$11:$AY$210,MATCH(1,(Price!$A$11:$A$210=$A73)*(Price!$B$11:$B$210=$B73)*(Price!$D$11:$D$210="gb"),0),MATCH(1,(Price!$L$3:$AY$3=AG$3)*(Price!$L$4:$AY$4=AG$4),0))</f>
        <v>1225</v>
      </c>
      <c r="AH73" s="135" cm="1">
        <f t="array" ref="AH73">INDEX(Price!$L$11:$AY$210,MATCH(1,(Price!$A$11:$A$210=$A73)*(Price!$B$11:$B$210=$B73)*(Price!$D$11:$D$210="gb"),0),MATCH(1,(Price!$L$3:$AY$3=AH$3)*(Price!$L$4:$AY$4=AH$4),0))</f>
        <v>1233</v>
      </c>
      <c r="AI73" s="135" cm="1">
        <f t="array" ref="AI73">INDEX(Price!$L$11:$AY$210,MATCH(1,(Price!$A$11:$A$210=$A73)*(Price!$B$11:$B$210=$B73)*(Price!$D$11:$D$210="gb"),0),MATCH(1,(Price!$L$3:$AY$3=AI$3)*(Price!$L$4:$AY$4=AI$4),0))</f>
        <v>1233</v>
      </c>
      <c r="AJ73" s="135" cm="1">
        <f t="array" ref="AJ73">INDEX(Price!$L$11:$AY$210,MATCH(1,(Price!$A$11:$A$210=$A73)*(Price!$B$11:$B$210=$B73)*(Price!$D$11:$D$210="gb"),0),MATCH(1,(Price!$L$3:$AY$3=AJ$3)*(Price!$L$4:$AY$4=AJ$4),0))</f>
        <v>1233</v>
      </c>
      <c r="AK73" s="135"/>
      <c r="AL73" s="135"/>
      <c r="AM73" s="135"/>
      <c r="AN73" s="135"/>
      <c r="AO73" s="135"/>
      <c r="AP73" s="136"/>
    </row>
    <row r="74" spans="1:42" s="1" customFormat="1" ht="11.4" customHeight="1" outlineLevel="1" x14ac:dyDescent="0.3">
      <c r="A74" s="1" t="s">
        <v>39</v>
      </c>
      <c r="B74" s="1" t="s">
        <v>28</v>
      </c>
      <c r="C74" s="142" t="s">
        <v>321</v>
      </c>
      <c r="D74" s="168">
        <v>5.2</v>
      </c>
      <c r="E74" s="143"/>
      <c r="F74" s="320" t="s">
        <v>8</v>
      </c>
      <c r="G74" s="144" cm="1">
        <f t="array" ref="G74">INDEX(Price!$L$11:$AY$210,MATCH(1,(Price!$A$11:$A$210=$A74)*(Price!$B$11:$B$210=$B74)*(Price!$D$11:$D$210="exw"),0),MATCH(1,(Price!$L$3:$AY$3=G$3)*(Price!$L$4:$AY$4=G$4),0))</f>
        <v>1340</v>
      </c>
      <c r="H74" s="144" cm="1">
        <f t="array" ref="H74">INDEX(Price!$L$11:$AY$210,MATCH(1,(Price!$A$11:$A$210=$A74)*(Price!$B$11:$B$210=$B74)*(Price!$D$11:$D$210="exw"),0),MATCH(1,(Price!$L$3:$AY$3=H$3)*(Price!$L$4:$AY$4=H$4),0))</f>
        <v>1347.5</v>
      </c>
      <c r="I74" s="144" cm="1">
        <f t="array" ref="I74">INDEX(Price!$L$11:$AY$210,MATCH(1,(Price!$A$11:$A$210=$A74)*(Price!$B$11:$B$210=$B74)*(Price!$D$11:$D$210="exw"),0),MATCH(1,(Price!$L$3:$AY$3=I$3)*(Price!$L$4:$AY$4=I$4),0))</f>
        <v>1360</v>
      </c>
      <c r="J74" s="144" cm="1">
        <f t="array" ref="J74">INDEX(Price!$L$11:$AY$210,MATCH(1,(Price!$A$11:$A$210=$A74)*(Price!$B$11:$B$210=$B74)*(Price!$D$11:$D$210="exw"),0),MATCH(1,(Price!$L$3:$AY$3=J$3)*(Price!$L$4:$AY$4=J$4),0))</f>
        <v>1362.5</v>
      </c>
      <c r="K74" s="144" cm="1">
        <f t="array" ref="K74">INDEX(Price!$L$11:$AY$210,MATCH(1,(Price!$A$11:$A$210=$A74)*(Price!$B$11:$B$210=$B74)*(Price!$D$11:$D$210="exw"),0),MATCH(1,(Price!$L$3:$AY$3=K$3)*(Price!$L$4:$AY$4=K$4),0))</f>
        <v>1366.5</v>
      </c>
      <c r="L74" s="144" cm="1">
        <f t="array" ref="L74">INDEX(Price!$L$11:$AY$210,MATCH(1,(Price!$A$11:$A$210=$A74)*(Price!$B$11:$B$210=$B74)*(Price!$D$11:$D$210="exw"),0),MATCH(1,(Price!$L$3:$AY$3=L$3)*(Price!$L$4:$AY$4=L$4),0))</f>
        <v>1381.5</v>
      </c>
      <c r="M74" s="144" cm="1">
        <f t="array" ref="M74">INDEX(Price!$L$11:$AY$210,MATCH(1,(Price!$A$11:$A$210=$A74)*(Price!$B$11:$B$210=$B74)*(Price!$D$11:$D$210="exw"),0),MATCH(1,(Price!$L$3:$AY$3=M$3)*(Price!$L$4:$AY$4=M$4),0))</f>
        <v>1397.5</v>
      </c>
      <c r="N74" s="144" cm="1">
        <f t="array" ref="N74">INDEX(Price!$L$11:$AY$210,MATCH(1,(Price!$A$11:$A$210=$A74)*(Price!$B$11:$B$210=$B74)*(Price!$D$11:$D$210="exw"),0),MATCH(1,(Price!$L$3:$AY$3=N$3)*(Price!$L$4:$AY$4=N$4),0))</f>
        <v>1408.5</v>
      </c>
      <c r="O74" s="144" cm="1">
        <f t="array" ref="O74">INDEX(Price!$L$11:$AY$210,MATCH(1,(Price!$A$11:$A$210=$A74)*(Price!$B$11:$B$210=$B74)*(Price!$D$11:$D$210="exw"),0),MATCH(1,(Price!$L$3:$AY$3=O$3)*(Price!$L$4:$AY$4=O$4),0))</f>
        <v>1428.5</v>
      </c>
      <c r="P74" s="144" cm="1">
        <f t="array" ref="P74">INDEX(Price!$L$11:$AY$210,MATCH(1,(Price!$A$11:$A$210=$A74)*(Price!$B$11:$B$210=$B74)*(Price!$D$11:$D$210="exw"),0),MATCH(1,(Price!$L$3:$AY$3=P$3)*(Price!$L$4:$AY$4=P$4),0))</f>
        <v>1456.25</v>
      </c>
      <c r="Q74" s="144" cm="1">
        <f t="array" ref="Q74">INDEX(Price!$L$11:$AY$210,MATCH(1,(Price!$A$11:$A$210=$A74)*(Price!$B$11:$B$210=$B74)*(Price!$D$11:$D$210="exw"),0),MATCH(1,(Price!$L$3:$AY$3=Q$3)*(Price!$L$4:$AY$4=Q$4),0))</f>
        <v>1473.75</v>
      </c>
      <c r="R74" s="145" cm="1">
        <f t="array" ref="R74">INDEX(Price!$L$11:$AY$210,MATCH(1,(Price!$A$11:$A$210=$A74)*(Price!$B$11:$B$210=$B74)*(Price!$D$11:$D$210="exw"),0),MATCH(1,(Price!$L$3:$AY$3=R$3)*(Price!$L$4:$AY$4=R$4),0))</f>
        <v>1477.5</v>
      </c>
      <c r="S74" s="144" cm="1">
        <f t="array" ref="S74">INDEX(Price!$L$11:$AY$210,MATCH(1,(Price!$A$11:$A$210=$A74)*(Price!$B$11:$B$210=$B74)*(Price!$D$11:$D$210="exw"),0),MATCH(1,(Price!$L$3:$AY$3=S$3)*(Price!$L$4:$AY$4=S$4),0))</f>
        <v>1426.403125</v>
      </c>
      <c r="T74" s="144" cm="1">
        <f t="array" ref="T74">INDEX(Price!$L$11:$AY$210,MATCH(1,(Price!$A$11:$A$210=$A74)*(Price!$B$11:$B$210=$B74)*(Price!$D$11:$D$210="exw"),0),MATCH(1,(Price!$L$3:$AY$3=T$3)*(Price!$L$4:$AY$4=T$4),0))</f>
        <v>1388.6447916666652</v>
      </c>
      <c r="U74" s="144" cm="1">
        <f t="array" ref="U74">INDEX(Price!$L$11:$AY$210,MATCH(1,(Price!$A$11:$A$210=$A74)*(Price!$B$11:$B$210=$B74)*(Price!$D$11:$D$210="exw"),0),MATCH(1,(Price!$L$3:$AY$3=U$3)*(Price!$L$4:$AY$4=U$4),0))</f>
        <v>1353.5541666666652</v>
      </c>
      <c r="V74" s="144" cm="1">
        <f t="array" ref="V74">INDEX(Price!$L$11:$AY$210,MATCH(1,(Price!$A$11:$A$210=$A74)*(Price!$B$11:$B$210=$B74)*(Price!$D$11:$D$210="exw"),0),MATCH(1,(Price!$L$3:$AY$3=V$3)*(Price!$L$4:$AY$4=V$4),0))</f>
        <v>1354.375</v>
      </c>
      <c r="W74" s="144" cm="1">
        <f t="array" ref="W74">INDEX(Price!$L$11:$AY$210,MATCH(1,(Price!$A$11:$A$210=$A74)*(Price!$B$11:$B$210=$B74)*(Price!$D$11:$D$210="exw"),0),MATCH(1,(Price!$L$3:$AY$3=W$3)*(Price!$L$4:$AY$4=W$4),0))</f>
        <v>1359.3</v>
      </c>
      <c r="X74" s="144" cm="1">
        <f t="array" ref="X74">INDEX(Price!$L$11:$AY$210,MATCH(1,(Price!$A$11:$A$210=$A74)*(Price!$B$11:$B$210=$B74)*(Price!$D$11:$D$210="exw"),0),MATCH(1,(Price!$L$3:$AY$3=X$3)*(Price!$L$4:$AY$4=X$4),0))</f>
        <v>1359.3</v>
      </c>
      <c r="Y74" s="144" cm="1">
        <f t="array" ref="Y74">INDEX(Price!$L$11:$AY$210,MATCH(1,(Price!$A$11:$A$210=$A74)*(Price!$B$11:$B$210=$B74)*(Price!$D$11:$D$210="exw"),0),MATCH(1,(Price!$L$3:$AY$3=Y$3)*(Price!$L$4:$AY$4=Y$4),0))</f>
        <v>1359.3</v>
      </c>
      <c r="Z74" s="144" cm="1">
        <f t="array" ref="Z74">INDEX(Price!$L$11:$AY$210,MATCH(1,(Price!$A$11:$A$210=$A74)*(Price!$B$11:$B$210=$B74)*(Price!$D$11:$D$210="exw"),0),MATCH(1,(Price!$L$3:$AY$3=Z$3)*(Price!$L$4:$AY$4=Z$4),0))</f>
        <v>1341.57</v>
      </c>
      <c r="AA74" s="144" cm="1">
        <f t="array" ref="AA74">INDEX(Price!$L$11:$AY$210,MATCH(1,(Price!$A$11:$A$210=$A74)*(Price!$B$11:$B$210=$B74)*(Price!$D$11:$D$210="exw"),0),MATCH(1,(Price!$L$3:$AY$3=AA$3)*(Price!$L$4:$AY$4=AA$4),0))</f>
        <v>1310.0574999999999</v>
      </c>
      <c r="AB74" s="144" cm="1">
        <f t="array" ref="AB74">INDEX(Price!$L$11:$AY$210,MATCH(1,(Price!$A$11:$A$210=$A74)*(Price!$B$11:$B$210=$B74)*(Price!$D$11:$D$210="exw"),0),MATCH(1,(Price!$L$3:$AY$3=AB$3)*(Price!$L$4:$AY$4=AB$4),0))</f>
        <v>1310.4775</v>
      </c>
      <c r="AC74" s="144" cm="1">
        <f t="array" ref="AC74">INDEX(Price!$L$11:$AY$210,MATCH(1,(Price!$A$11:$A$210=$A74)*(Price!$B$11:$B$210=$B74)*(Price!$D$11:$D$210="exw"),0),MATCH(1,(Price!$L$3:$AY$3=AC$3)*(Price!$L$4:$AY$4=AC$4),0))</f>
        <v>1310.8150000000001</v>
      </c>
      <c r="AD74" s="145" cm="1">
        <f t="array" ref="AD74">INDEX(Price!$L$11:$AY$210,MATCH(1,(Price!$A$11:$A$210=$A74)*(Price!$B$11:$B$210=$B74)*(Price!$D$11:$D$210="exw"),0),MATCH(1,(Price!$L$3:$AY$3=AD$3)*(Price!$L$4:$AY$4=AD$4),0))</f>
        <v>1310.996875</v>
      </c>
      <c r="AE74" s="144" cm="1">
        <f t="array" ref="AE74">INDEX(Price!$L$11:$AY$210,MATCH(1,(Price!$A$11:$A$210=$A74)*(Price!$B$11:$B$210=$B74)*(Price!$D$11:$D$210="exw"),0),MATCH(1,(Price!$L$3:$AY$3=AE$3)*(Price!$L$4:$AY$4=AE$4),0))</f>
        <v>1128</v>
      </c>
      <c r="AF74" s="144" cm="1">
        <f t="array" ref="AF74">INDEX(Price!$L$11:$AY$210,MATCH(1,(Price!$A$11:$A$210=$A74)*(Price!$B$11:$B$210=$B74)*(Price!$D$11:$D$210="exw"),0),MATCH(1,(Price!$L$3:$AY$3=AF$3)*(Price!$L$4:$AY$4=AF$4),0))</f>
        <v>1128</v>
      </c>
      <c r="AG74" s="144" cm="1">
        <f t="array" ref="AG74">INDEX(Price!$L$11:$AY$210,MATCH(1,(Price!$A$11:$A$210=$A74)*(Price!$B$11:$B$210=$B74)*(Price!$D$11:$D$210="exw"),0),MATCH(1,(Price!$L$3:$AY$3=AG$3)*(Price!$L$4:$AY$4=AG$4),0))</f>
        <v>1128</v>
      </c>
      <c r="AH74" s="144" cm="1">
        <f t="array" ref="AH74">INDEX(Price!$L$11:$AY$210,MATCH(1,(Price!$A$11:$A$210=$A74)*(Price!$B$11:$B$210=$B74)*(Price!$D$11:$D$210="exw"),0),MATCH(1,(Price!$L$3:$AY$3=AH$3)*(Price!$L$4:$AY$4=AH$4),0))</f>
        <v>1128</v>
      </c>
      <c r="AI74" s="144" cm="1">
        <f t="array" ref="AI74">INDEX(Price!$L$11:$AY$210,MATCH(1,(Price!$A$11:$A$210=$A74)*(Price!$B$11:$B$210=$B74)*(Price!$D$11:$D$210="exw"),0),MATCH(1,(Price!$L$3:$AY$3=AI$3)*(Price!$L$4:$AY$4=AI$4),0))</f>
        <v>1128</v>
      </c>
      <c r="AJ74" s="144" cm="1">
        <f t="array" ref="AJ74">INDEX(Price!$L$11:$AY$210,MATCH(1,(Price!$A$11:$A$210=$A74)*(Price!$B$11:$B$210=$B74)*(Price!$D$11:$D$210="exw"),0),MATCH(1,(Price!$L$3:$AY$3=AJ$3)*(Price!$L$4:$AY$4=AJ$4),0))</f>
        <v>1128</v>
      </c>
      <c r="AK74" s="144"/>
      <c r="AL74" s="144"/>
      <c r="AM74" s="144"/>
      <c r="AN74" s="144"/>
      <c r="AO74" s="144"/>
      <c r="AP74" s="145"/>
    </row>
    <row r="75" spans="1:42" ht="11.4" customHeight="1" outlineLevel="1" x14ac:dyDescent="0.3">
      <c r="A75" t="s">
        <v>39</v>
      </c>
      <c r="B75" t="s">
        <v>28</v>
      </c>
      <c r="C75" s="14" t="s">
        <v>9</v>
      </c>
      <c r="D75" s="169">
        <v>5.3</v>
      </c>
      <c r="E75" s="8"/>
      <c r="F75" s="321" t="s">
        <v>11</v>
      </c>
      <c r="G75" s="315" cm="1">
        <f t="array" ref="G75">SUMPRODUCT(General_Data*(Code_General_Data=$C75)*(Year=G$3)*(Month=G$4))</f>
        <v>930</v>
      </c>
      <c r="H75" s="132" cm="1">
        <f t="array" ref="H75">SUMPRODUCT(General_Data*(Code_General_Data=$C75)*(Year=H$3)*(Month=H$4))</f>
        <v>943.33333333333337</v>
      </c>
      <c r="I75" s="132" cm="1">
        <f t="array" ref="I75">SUMPRODUCT(General_Data*(Code_General_Data=$C75)*(Year=I$3)*(Month=I$4))</f>
        <v>940</v>
      </c>
      <c r="J75" s="132" cm="1">
        <f t="array" ref="J75">SUMPRODUCT(General_Data*(Code_General_Data=$C75)*(Year=J$3)*(Month=J$4))</f>
        <v>940</v>
      </c>
      <c r="K75" s="132" cm="1">
        <f t="array" ref="K75">SUMPRODUCT(General_Data*(Code_General_Data=$C75)*(Year=K$3)*(Month=K$4))</f>
        <v>942</v>
      </c>
      <c r="L75" s="132" cm="1">
        <f t="array" ref="L75">SUMPRODUCT(General_Data*(Code_General_Data=$C75)*(Year=L$3)*(Month=L$4))</f>
        <v>950</v>
      </c>
      <c r="M75" s="132" cm="1">
        <f t="array" ref="M75">SUMPRODUCT(General_Data*(Code_General_Data=$C75)*(Year=M$3)*(Month=M$4))</f>
        <v>947.5</v>
      </c>
      <c r="N75" s="132" cm="1">
        <f t="array" ref="N75">SUMPRODUCT(General_Data*(Code_General_Data=$C75)*(Year=N$3)*(Month=N$4))</f>
        <v>930</v>
      </c>
      <c r="O75" s="132" cm="1">
        <f t="array" ref="O75">SUMPRODUCT(General_Data*(Code_General_Data=$C75)*(Year=O$3)*(Month=O$4))</f>
        <v>880</v>
      </c>
      <c r="P75" s="132" cm="1">
        <f t="array" ref="P75">SUMPRODUCT(General_Data*(Code_General_Data=$C75)*(Year=P$3)*(Month=P$4))</f>
        <v>862.5</v>
      </c>
      <c r="Q75" s="132" cm="1">
        <f t="array" ref="Q75">SUMPRODUCT(General_Data*(Code_General_Data=$C75)*(Year=Q$3)*(Month=Q$4))</f>
        <v>852</v>
      </c>
      <c r="R75" s="133" cm="1">
        <f t="array" ref="R75">SUMPRODUCT(General_Data*(Code_General_Data=$C75)*(Year=R$3)*(Month=R$4))</f>
        <v>830</v>
      </c>
      <c r="S75" s="132" cm="1">
        <f t="array" ref="S75">SUMPRODUCT(General_Data*(Code_General_Data=$C75)*(Year=S$3)*(Month=S$4))</f>
        <v>828</v>
      </c>
      <c r="T75" s="132" cm="1">
        <f t="array" ref="T75">SUMPRODUCT(General_Data*(Code_General_Data=$C75)*(Year=T$3)*(Month=T$4))</f>
        <v>840</v>
      </c>
      <c r="U75" s="132" cm="1">
        <f t="array" ref="U75">SUMPRODUCT(General_Data*(Code_General_Data=$C75)*(Year=U$3)*(Month=U$4))</f>
        <v>823</v>
      </c>
      <c r="V75" s="132" cm="1">
        <f t="array" ref="V75">SUMPRODUCT(General_Data*(Code_General_Data=$C75)*(Year=V$3)*(Month=V$4))</f>
        <v>765</v>
      </c>
      <c r="W75" s="132" cm="1">
        <f t="array" ref="W75">SUMPRODUCT(General_Data*(Code_General_Data=$C75)*(Year=W$3)*(Month=W$4))</f>
        <v>782</v>
      </c>
      <c r="X75" s="132" cm="1">
        <f t="array" ref="X75">SUMPRODUCT(General_Data*(Code_General_Data=$C75)*(Year=X$3)*(Month=X$4))</f>
        <v>807.5</v>
      </c>
      <c r="Y75" s="132" cm="1">
        <f t="array" ref="Y75">SUMPRODUCT(General_Data*(Code_General_Data=$C75)*(Year=Y$3)*(Month=Y$4))</f>
        <v>802</v>
      </c>
      <c r="Z75" s="132" cm="1">
        <f t="array" ref="Z75">SUMPRODUCT(General_Data*(Code_General_Data=$C75)*(Year=Z$3)*(Month=Z$4))</f>
        <v>795</v>
      </c>
      <c r="AA75" s="132" cm="1">
        <f t="array" ref="AA75">SUMPRODUCT(General_Data*(Code_General_Data=$C75)*(Year=AA$3)*(Month=AA$4))</f>
        <v>783</v>
      </c>
      <c r="AB75" s="132" cm="1">
        <f t="array" ref="AB75">SUMPRODUCT(General_Data*(Code_General_Data=$C75)*(Year=AB$3)*(Month=AB$4))</f>
        <v>772</v>
      </c>
      <c r="AC75" s="132" cm="1">
        <f t="array" ref="AC75">SUMPRODUCT(General_Data*(Code_General_Data=$C75)*(Year=AC$3)*(Month=AC$4))</f>
        <v>770</v>
      </c>
      <c r="AD75" s="133" cm="1">
        <f t="array" ref="AD75">SUMPRODUCT(General_Data*(Code_General_Data=$C75)*(Year=AD$3)*(Month=AD$4))</f>
        <v>772.5</v>
      </c>
      <c r="AE75" s="132" cm="1">
        <f t="array" ref="AE75">SUMPRODUCT(General_Data*(Code_General_Data=$C75)*(Year=AE$3)*(Month=AE$4))</f>
        <v>805</v>
      </c>
      <c r="AF75" s="132" cm="1">
        <f t="array" ref="AF75">SUMPRODUCT(General_Data*(Code_General_Data=$C75)*(Year=AF$3)*(Month=AF$4))</f>
        <v>840</v>
      </c>
      <c r="AG75" s="132" cm="1">
        <f t="array" ref="AG75">SUMPRODUCT(General_Data*(Code_General_Data=$C75)*(Year=AG$3)*(Month=AG$4))</f>
        <v>1109</v>
      </c>
      <c r="AH75" s="132" cm="1">
        <f t="array" ref="AH75">SUMPRODUCT(General_Data*(Code_General_Data=$C75)*(Year=AH$3)*(Month=AH$4))</f>
        <v>1194</v>
      </c>
      <c r="AI75" s="132" cm="1">
        <f t="array" ref="AI75">SUMPRODUCT(General_Data*(Code_General_Data=$C75)*(Year=AI$3)*(Month=AI$4))</f>
        <v>1216</v>
      </c>
      <c r="AJ75" s="132" cm="1">
        <f t="array" ref="AJ75">SUMPRODUCT(General_Data*(Code_General_Data=$C75)*(Year=AJ$3)*(Month=AJ$4))</f>
        <v>1190</v>
      </c>
      <c r="AK75" s="132"/>
      <c r="AL75" s="132"/>
      <c r="AM75" s="132"/>
      <c r="AN75" s="132"/>
      <c r="AO75" s="132"/>
      <c r="AP75" s="133"/>
    </row>
    <row r="76" spans="1:42" s="151" customFormat="1" ht="11.4" customHeight="1" outlineLevel="1" x14ac:dyDescent="0.3">
      <c r="A76" s="151" t="s">
        <v>39</v>
      </c>
      <c r="B76" s="151" t="s">
        <v>28</v>
      </c>
      <c r="D76" s="170">
        <v>5.4</v>
      </c>
      <c r="E76" s="152"/>
      <c r="F76" s="322" t="s">
        <v>406</v>
      </c>
      <c r="G76" s="153">
        <f t="shared" ref="G76:AD76" si="50">IF(G73*G74*G75&lt;&gt;0,G74-G75,0)</f>
        <v>410</v>
      </c>
      <c r="H76" s="153">
        <f t="shared" si="50"/>
        <v>404.16666666666663</v>
      </c>
      <c r="I76" s="153">
        <f t="shared" si="50"/>
        <v>420</v>
      </c>
      <c r="J76" s="153">
        <f t="shared" si="50"/>
        <v>422.5</v>
      </c>
      <c r="K76" s="153">
        <f t="shared" si="50"/>
        <v>424.5</v>
      </c>
      <c r="L76" s="153">
        <f t="shared" si="50"/>
        <v>431.5</v>
      </c>
      <c r="M76" s="153">
        <f t="shared" si="50"/>
        <v>450</v>
      </c>
      <c r="N76" s="153">
        <f t="shared" si="50"/>
        <v>478.5</v>
      </c>
      <c r="O76" s="153">
        <f t="shared" si="50"/>
        <v>548.5</v>
      </c>
      <c r="P76" s="153">
        <f t="shared" si="50"/>
        <v>593.75</v>
      </c>
      <c r="Q76" s="153">
        <f t="shared" si="50"/>
        <v>621.75</v>
      </c>
      <c r="R76" s="154">
        <f t="shared" si="50"/>
        <v>647.5</v>
      </c>
      <c r="S76" s="153">
        <f t="shared" si="50"/>
        <v>598.40312500000005</v>
      </c>
      <c r="T76" s="153">
        <f t="shared" si="50"/>
        <v>548.64479166666524</v>
      </c>
      <c r="U76" s="153">
        <f t="shared" si="50"/>
        <v>530.5541666666652</v>
      </c>
      <c r="V76" s="153">
        <f t="shared" si="50"/>
        <v>589.375</v>
      </c>
      <c r="W76" s="153">
        <f t="shared" si="50"/>
        <v>577.29999999999995</v>
      </c>
      <c r="X76" s="153">
        <f t="shared" si="50"/>
        <v>551.79999999999995</v>
      </c>
      <c r="Y76" s="153">
        <f t="shared" si="50"/>
        <v>557.29999999999995</v>
      </c>
      <c r="Z76" s="153">
        <f t="shared" si="50"/>
        <v>546.56999999999994</v>
      </c>
      <c r="AA76" s="153">
        <f t="shared" si="50"/>
        <v>527.05749999999989</v>
      </c>
      <c r="AB76" s="153">
        <f t="shared" si="50"/>
        <v>538.47749999999996</v>
      </c>
      <c r="AC76" s="153">
        <f t="shared" si="50"/>
        <v>540.81500000000005</v>
      </c>
      <c r="AD76" s="154">
        <f t="shared" si="50"/>
        <v>538.49687500000005</v>
      </c>
      <c r="AE76" s="153">
        <f t="shared" ref="AE76:AH76" si="51">IF(AE73*AE74*AE75&lt;&gt;0,AE74-AE75,0)</f>
        <v>323</v>
      </c>
      <c r="AF76" s="153">
        <f t="shared" si="51"/>
        <v>288</v>
      </c>
      <c r="AG76" s="153">
        <f t="shared" si="51"/>
        <v>19</v>
      </c>
      <c r="AH76" s="153">
        <f t="shared" si="51"/>
        <v>-66</v>
      </c>
      <c r="AI76" s="153">
        <f t="shared" ref="AI76:AJ76" si="52">IF(AI73*AI74*AI75&lt;&gt;0,AI74-AI75,0)</f>
        <v>-88</v>
      </c>
      <c r="AJ76" s="153">
        <f t="shared" si="52"/>
        <v>-62</v>
      </c>
      <c r="AK76" s="153"/>
      <c r="AL76" s="153"/>
      <c r="AM76" s="153"/>
      <c r="AN76" s="153"/>
      <c r="AO76" s="153"/>
      <c r="AP76" s="154"/>
    </row>
    <row r="77" spans="1:42" s="155" customFormat="1" ht="11.4" customHeight="1" outlineLevel="1" x14ac:dyDescent="0.3">
      <c r="A77" s="155" t="s">
        <v>39</v>
      </c>
      <c r="B77" s="155" t="s">
        <v>28</v>
      </c>
      <c r="D77" s="171">
        <v>5.5</v>
      </c>
      <c r="E77" s="156"/>
      <c r="F77" s="323" t="s">
        <v>14</v>
      </c>
      <c r="G77" s="497">
        <f t="shared" ref="G77:AD77" si="53">IFERROR(G76/G75,0)</f>
        <v>0.44086021505376344</v>
      </c>
      <c r="H77" s="497">
        <f t="shared" si="53"/>
        <v>0.42844522968197873</v>
      </c>
      <c r="I77" s="497">
        <f t="shared" si="53"/>
        <v>0.44680851063829785</v>
      </c>
      <c r="J77" s="497">
        <f t="shared" si="53"/>
        <v>0.44946808510638298</v>
      </c>
      <c r="K77" s="497">
        <f t="shared" si="53"/>
        <v>0.45063694267515925</v>
      </c>
      <c r="L77" s="497">
        <f t="shared" si="53"/>
        <v>0.45421052631578945</v>
      </c>
      <c r="M77" s="497">
        <f t="shared" si="53"/>
        <v>0.47493403693931396</v>
      </c>
      <c r="N77" s="497">
        <f t="shared" si="53"/>
        <v>0.51451612903225807</v>
      </c>
      <c r="O77" s="497">
        <f t="shared" si="53"/>
        <v>0.62329545454545454</v>
      </c>
      <c r="P77" s="497">
        <f t="shared" si="53"/>
        <v>0.68840579710144922</v>
      </c>
      <c r="Q77" s="497">
        <f t="shared" si="53"/>
        <v>0.72975352112676062</v>
      </c>
      <c r="R77" s="498">
        <f t="shared" si="53"/>
        <v>0.78012048192771088</v>
      </c>
      <c r="S77" s="497">
        <f t="shared" si="53"/>
        <v>0.72270908816425128</v>
      </c>
      <c r="T77" s="497">
        <f t="shared" si="53"/>
        <v>0.65314856150793477</v>
      </c>
      <c r="U77" s="497">
        <f t="shared" si="53"/>
        <v>0.64465876873227845</v>
      </c>
      <c r="V77" s="497">
        <f t="shared" si="53"/>
        <v>0.77042483660130723</v>
      </c>
      <c r="W77" s="497">
        <f t="shared" si="53"/>
        <v>0.73823529411764699</v>
      </c>
      <c r="X77" s="497">
        <f t="shared" si="53"/>
        <v>0.68334365325077395</v>
      </c>
      <c r="Y77" s="497">
        <f t="shared" si="53"/>
        <v>0.69488778054862832</v>
      </c>
      <c r="Z77" s="497">
        <f t="shared" si="53"/>
        <v>0.68750943396226405</v>
      </c>
      <c r="AA77" s="497">
        <f t="shared" si="53"/>
        <v>0.67312579821200502</v>
      </c>
      <c r="AB77" s="497">
        <f t="shared" si="53"/>
        <v>0.69750971502590664</v>
      </c>
      <c r="AC77" s="497">
        <f t="shared" si="53"/>
        <v>0.7023571428571429</v>
      </c>
      <c r="AD77" s="498">
        <f t="shared" si="53"/>
        <v>0.69708333333333339</v>
      </c>
      <c r="AE77" s="497">
        <f t="shared" ref="AE77:AH77" si="54">IFERROR(AE76/AE75,0)</f>
        <v>0.40124223602484471</v>
      </c>
      <c r="AF77" s="497">
        <f t="shared" si="54"/>
        <v>0.34285714285714286</v>
      </c>
      <c r="AG77" s="497">
        <f t="shared" si="54"/>
        <v>1.7132551848512173E-2</v>
      </c>
      <c r="AH77" s="497">
        <f t="shared" si="54"/>
        <v>-5.5276381909547742E-2</v>
      </c>
      <c r="AI77" s="497">
        <f t="shared" ref="AI77:AJ77" si="55">IFERROR(AI76/AI75,0)</f>
        <v>-7.2368421052631582E-2</v>
      </c>
      <c r="AJ77" s="497">
        <f t="shared" si="55"/>
        <v>-5.2100840336134456E-2</v>
      </c>
      <c r="AK77" s="497"/>
      <c r="AL77" s="497"/>
      <c r="AM77" s="497"/>
      <c r="AN77" s="497"/>
      <c r="AO77" s="497"/>
      <c r="AP77" s="498"/>
    </row>
    <row r="78" spans="1:42" s="137" customFormat="1" ht="11.4" customHeight="1" outlineLevel="1" x14ac:dyDescent="0.3">
      <c r="A78" s="137" t="s">
        <v>39</v>
      </c>
      <c r="B78" s="137" t="s">
        <v>28</v>
      </c>
      <c r="C78" s="137" t="s">
        <v>28</v>
      </c>
      <c r="D78" s="172">
        <v>5.6</v>
      </c>
      <c r="E78" s="138"/>
      <c r="F78" s="324" t="s">
        <v>202</v>
      </c>
      <c r="G78" s="139" cm="1">
        <f t="array" ref="G78">SUMPRODUCT(General_Data*(Code_General_Data=$C78)*(Year=G$3)*(Month=G$4))</f>
        <v>1340</v>
      </c>
      <c r="H78" s="139" cm="1">
        <f t="array" ref="H78">SUMPRODUCT(General_Data*(Code_General_Data=$C78)*(Year=H$3)*(Month=H$4))</f>
        <v>1340</v>
      </c>
      <c r="I78" s="139" cm="1">
        <f t="array" ref="I78">SUMPRODUCT(General_Data*(Code_General_Data=$C78)*(Year=I$3)*(Month=I$4))</f>
        <v>1340</v>
      </c>
      <c r="J78" s="139" cm="1">
        <f t="array" ref="J78">SUMPRODUCT(General_Data*(Code_General_Data=$C78)*(Year=J$3)*(Month=J$4))</f>
        <v>1340</v>
      </c>
      <c r="K78" s="139" cm="1">
        <f t="array" ref="K78">SUMPRODUCT(General_Data*(Code_General_Data=$C78)*(Year=K$3)*(Month=K$4))</f>
        <v>1390</v>
      </c>
      <c r="L78" s="139" cm="1">
        <f t="array" ref="L78">SUMPRODUCT(General_Data*(Code_General_Data=$C78)*(Year=L$3)*(Month=L$4))</f>
        <v>1390</v>
      </c>
      <c r="M78" s="139" cm="1">
        <f t="array" ref="M78">SUMPRODUCT(General_Data*(Code_General_Data=$C78)*(Year=M$3)*(Month=M$4))</f>
        <v>1390</v>
      </c>
      <c r="N78" s="139" cm="1">
        <f t="array" ref="N78">SUMPRODUCT(General_Data*(Code_General_Data=$C78)*(Year=N$3)*(Month=N$4))</f>
        <v>1390</v>
      </c>
      <c r="O78" s="139" cm="1">
        <f t="array" ref="O78">SUMPRODUCT(General_Data*(Code_General_Data=$C78)*(Year=O$3)*(Month=O$4))</f>
        <v>1400</v>
      </c>
      <c r="P78" s="139" cm="1">
        <f t="array" ref="P78">SUMPRODUCT(General_Data*(Code_General_Data=$C78)*(Year=P$3)*(Month=P$4))</f>
        <v>1415</v>
      </c>
      <c r="Q78" s="139" cm="1">
        <f t="array" ref="Q78">SUMPRODUCT(General_Data*(Code_General_Data=$C78)*(Year=Q$3)*(Month=Q$4))</f>
        <v>1415</v>
      </c>
      <c r="R78" s="140" cm="1">
        <f t="array" ref="R78">SUMPRODUCT(General_Data*(Code_General_Data=$C78)*(Year=R$3)*(Month=R$4))</f>
        <v>1365</v>
      </c>
      <c r="S78" s="139" cm="1">
        <f t="array" ref="S78">SUMPRODUCT(General_Data*(Code_General_Data=$C78)*(Year=S$3)*(Month=S$4))</f>
        <v>1320</v>
      </c>
      <c r="T78" s="139" cm="1">
        <f t="array" ref="T78">SUMPRODUCT(General_Data*(Code_General_Data=$C78)*(Year=T$3)*(Month=T$4))</f>
        <v>1280</v>
      </c>
      <c r="U78" s="139" cm="1">
        <f t="array" ref="U78">SUMPRODUCT(General_Data*(Code_General_Data=$C78)*(Year=U$3)*(Month=U$4))</f>
        <v>1320</v>
      </c>
      <c r="V78" s="139" cm="1">
        <f t="array" ref="V78">SUMPRODUCT(General_Data*(Code_General_Data=$C78)*(Year=V$3)*(Month=V$4))</f>
        <v>1340</v>
      </c>
      <c r="W78" s="139" cm="1">
        <f t="array" ref="W78">SUMPRODUCT(General_Data*(Code_General_Data=$C78)*(Year=W$3)*(Month=W$4))</f>
        <v>1340</v>
      </c>
      <c r="X78" s="139" cm="1">
        <f t="array" ref="X78">SUMPRODUCT(General_Data*(Code_General_Data=$C78)*(Year=X$3)*(Month=X$4))</f>
        <v>1340</v>
      </c>
      <c r="Y78" s="139" cm="1">
        <f t="array" ref="Y78">SUMPRODUCT(General_Data*(Code_General_Data=$C78)*(Year=Y$3)*(Month=Y$4))</f>
        <v>1340</v>
      </c>
      <c r="Z78" s="139" cm="1">
        <f t="array" ref="Z78">SUMPRODUCT(General_Data*(Code_General_Data=$C78)*(Year=Z$3)*(Month=Z$4))</f>
        <v>1310</v>
      </c>
      <c r="AA78" s="139" cm="1">
        <f t="array" ref="AA78">SUMPRODUCT(General_Data*(Code_General_Data=$C78)*(Year=AA$3)*(Month=AA$4))</f>
        <v>1310</v>
      </c>
      <c r="AB78" s="139" cm="1">
        <f t="array" ref="AB78">SUMPRODUCT(General_Data*(Code_General_Data=$C78)*(Year=AB$3)*(Month=AB$4))</f>
        <v>1300</v>
      </c>
      <c r="AC78" s="139" cm="1">
        <f t="array" ref="AC78">SUMPRODUCT(General_Data*(Code_General_Data=$C78)*(Year=AC$3)*(Month=AC$4))</f>
        <v>1290</v>
      </c>
      <c r="AD78" s="140" cm="1">
        <f t="array" ref="AD78">SUMPRODUCT(General_Data*(Code_General_Data=$C78)*(Year=AD$3)*(Month=AD$4))</f>
        <v>1290</v>
      </c>
      <c r="AE78" s="139" cm="1">
        <f t="array" ref="AE78">SUMPRODUCT(General_Data*(Code_General_Data=$C78)*(Year=AE$3)*(Month=AE$4))</f>
        <v>1250</v>
      </c>
      <c r="AF78" s="139" cm="1">
        <f t="array" ref="AF78">SUMPRODUCT(General_Data*(Code_General_Data=$C78)*(Year=AF$3)*(Month=AF$4))</f>
        <v>1250</v>
      </c>
      <c r="AG78" s="139" cm="1">
        <f t="array" ref="AG78">SUMPRODUCT(General_Data*(Code_General_Data=$C78)*(Year=AG$3)*(Month=AG$4))</f>
        <v>1250</v>
      </c>
      <c r="AH78" s="139" cm="1">
        <f t="array" ref="AH78">SUMPRODUCT(General_Data*(Code_General_Data=$C78)*(Year=AH$3)*(Month=AH$4))</f>
        <v>1370</v>
      </c>
      <c r="AI78" s="139" cm="1">
        <f t="array" ref="AI78">SUMPRODUCT(General_Data*(Code_General_Data=$C78)*(Year=AI$3)*(Month=AI$4))</f>
        <v>1470</v>
      </c>
      <c r="AJ78" s="139" cm="1">
        <f t="array" ref="AJ78">SUMPRODUCT(General_Data*(Code_General_Data=$C78)*(Year=AJ$3)*(Month=AJ$4))</f>
        <v>1440</v>
      </c>
      <c r="AK78" s="139"/>
      <c r="AL78" s="139"/>
      <c r="AM78" s="139"/>
      <c r="AN78" s="139"/>
      <c r="AO78" s="139"/>
      <c r="AP78" s="140"/>
    </row>
    <row r="79" spans="1:42" ht="3.6" customHeight="1" x14ac:dyDescent="0.3">
      <c r="A79" t="s">
        <v>39</v>
      </c>
      <c r="D79" s="165"/>
    </row>
    <row r="80" spans="1:42" s="147" customFormat="1" ht="13.35" customHeight="1" outlineLevel="1" x14ac:dyDescent="0.3">
      <c r="A80" s="147" t="s">
        <v>39</v>
      </c>
      <c r="B80" s="147" t="s">
        <v>30</v>
      </c>
      <c r="D80" s="158"/>
      <c r="E80" s="148"/>
      <c r="F80" s="318" t="s">
        <v>29</v>
      </c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9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9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9"/>
    </row>
    <row r="81" spans="1:42" s="69" customFormat="1" ht="11.4" customHeight="1" outlineLevel="1" x14ac:dyDescent="0.3">
      <c r="A81" s="69" t="s">
        <v>39</v>
      </c>
      <c r="B81" s="69" t="s">
        <v>30</v>
      </c>
      <c r="D81" s="167">
        <v>5.7</v>
      </c>
      <c r="E81" s="134"/>
      <c r="F81" s="319" t="s">
        <v>27</v>
      </c>
      <c r="G81" s="135" cm="1">
        <f t="array" ref="G81">INDEX(Price!$L$11:$AY$210,MATCH(1,(Price!$A$11:$A$210=$A81)*(Price!$B$11:$B$210=$B81)*(Price!$D$11:$D$210="gb"),0),MATCH(1,(Price!$L$3:$AY$3=G$3)*(Price!$L$4:$AY$4=G$4),0))</f>
        <v>1346.5</v>
      </c>
      <c r="H81" s="135" cm="1">
        <f t="array" ref="H81">INDEX(Price!$L$11:$AY$210,MATCH(1,(Price!$A$11:$A$210=$A81)*(Price!$B$11:$B$210=$B81)*(Price!$D$11:$D$210="gb"),0),MATCH(1,(Price!$L$3:$AY$3=H$3)*(Price!$L$4:$AY$4=H$4),0))</f>
        <v>1354</v>
      </c>
      <c r="I81" s="135" cm="1">
        <f t="array" ref="I81">INDEX(Price!$L$11:$AY$210,MATCH(1,(Price!$A$11:$A$210=$A81)*(Price!$B$11:$B$210=$B81)*(Price!$D$11:$D$210="gb"),0),MATCH(1,(Price!$L$3:$AY$3=I$3)*(Price!$L$4:$AY$4=I$4),0))</f>
        <v>1366.5</v>
      </c>
      <c r="J81" s="135" cm="1">
        <f t="array" ref="J81">INDEX(Price!$L$11:$AY$210,MATCH(1,(Price!$A$11:$A$210=$A81)*(Price!$B$11:$B$210=$B81)*(Price!$D$11:$D$210="gb"),0),MATCH(1,(Price!$L$3:$AY$3=J$3)*(Price!$L$4:$AY$4=J$4),0))</f>
        <v>1369</v>
      </c>
      <c r="K81" s="135" cm="1">
        <f t="array" ref="K81">INDEX(Price!$L$11:$AY$210,MATCH(1,(Price!$A$11:$A$210=$A81)*(Price!$B$11:$B$210=$B81)*(Price!$D$11:$D$210="gb"),0),MATCH(1,(Price!$L$3:$AY$3=K$3)*(Price!$L$4:$AY$4=K$4),0))</f>
        <v>1373</v>
      </c>
      <c r="L81" s="135" cm="1">
        <f t="array" ref="L81">INDEX(Price!$L$11:$AY$210,MATCH(1,(Price!$A$11:$A$210=$A81)*(Price!$B$11:$B$210=$B81)*(Price!$D$11:$D$210="gb"),0),MATCH(1,(Price!$L$3:$AY$3=L$3)*(Price!$L$4:$AY$4=L$4),0))</f>
        <v>1388</v>
      </c>
      <c r="M81" s="135" cm="1">
        <f t="array" ref="M81">INDEX(Price!$L$11:$AY$210,MATCH(1,(Price!$A$11:$A$210=$A81)*(Price!$B$11:$B$210=$B81)*(Price!$D$11:$D$210="gb"),0),MATCH(1,(Price!$L$3:$AY$3=M$3)*(Price!$L$4:$AY$4=M$4),0))</f>
        <v>1404</v>
      </c>
      <c r="N81" s="135" cm="1">
        <f t="array" ref="N81">INDEX(Price!$L$11:$AY$210,MATCH(1,(Price!$A$11:$A$210=$A81)*(Price!$B$11:$B$210=$B81)*(Price!$D$11:$D$210="gb"),0),MATCH(1,(Price!$L$3:$AY$3=N$3)*(Price!$L$4:$AY$4=N$4),0))</f>
        <v>1415</v>
      </c>
      <c r="O81" s="135" cm="1">
        <f t="array" ref="O81">INDEX(Price!$L$11:$AY$210,MATCH(1,(Price!$A$11:$A$210=$A81)*(Price!$B$11:$B$210=$B81)*(Price!$D$11:$D$210="gb"),0),MATCH(1,(Price!$L$3:$AY$3=O$3)*(Price!$L$4:$AY$4=O$4),0))</f>
        <v>1435</v>
      </c>
      <c r="P81" s="135" cm="1">
        <f t="array" ref="P81">INDEX(Price!$L$11:$AY$210,MATCH(1,(Price!$A$11:$A$210=$A81)*(Price!$B$11:$B$210=$B81)*(Price!$D$11:$D$210="gb"),0),MATCH(1,(Price!$L$3:$AY$3=P$3)*(Price!$L$4:$AY$4=P$4),0))</f>
        <v>1462.75</v>
      </c>
      <c r="Q81" s="135" cm="1">
        <f t="array" ref="Q81">INDEX(Price!$L$11:$AY$210,MATCH(1,(Price!$A$11:$A$210=$A81)*(Price!$B$11:$B$210=$B81)*(Price!$D$11:$D$210="gb"),0),MATCH(1,(Price!$L$3:$AY$3=Q$3)*(Price!$L$4:$AY$4=Q$4),0))</f>
        <v>1480.25</v>
      </c>
      <c r="R81" s="136" cm="1">
        <f t="array" ref="R81">INDEX(Price!$L$11:$AY$210,MATCH(1,(Price!$A$11:$A$210=$A81)*(Price!$B$11:$B$210=$B81)*(Price!$D$11:$D$210="gb"),0),MATCH(1,(Price!$L$3:$AY$3=R$3)*(Price!$L$4:$AY$4=R$4),0))</f>
        <v>1484</v>
      </c>
      <c r="S81" s="135" cm="1">
        <f t="array" ref="S81">INDEX(Price!$L$11:$AY$210,MATCH(1,(Price!$A$11:$A$210=$A81)*(Price!$B$11:$B$210=$B81)*(Price!$D$11:$D$210="gb"),0),MATCH(1,(Price!$L$3:$AY$3=S$3)*(Price!$L$4:$AY$4=S$4),0))</f>
        <v>1452.903125</v>
      </c>
      <c r="T81" s="135" cm="1">
        <f t="array" ref="T81">INDEX(Price!$L$11:$AY$210,MATCH(1,(Price!$A$11:$A$210=$A81)*(Price!$B$11:$B$210=$B81)*(Price!$D$11:$D$210="gb"),0),MATCH(1,(Price!$L$3:$AY$3=T$3)*(Price!$L$4:$AY$4=T$4),0))</f>
        <v>1415.1447916666652</v>
      </c>
      <c r="U81" s="135" cm="1">
        <f t="array" ref="U81">INDEX(Price!$L$11:$AY$210,MATCH(1,(Price!$A$11:$A$210=$A81)*(Price!$B$11:$B$210=$B81)*(Price!$D$11:$D$210="gb"),0),MATCH(1,(Price!$L$3:$AY$3=U$3)*(Price!$L$4:$AY$4=U$4),0))</f>
        <v>1380.0541666666652</v>
      </c>
      <c r="V81" s="135" cm="1">
        <f t="array" ref="V81">INDEX(Price!$L$11:$AY$210,MATCH(1,(Price!$A$11:$A$210=$A81)*(Price!$B$11:$B$210=$B81)*(Price!$D$11:$D$210="gb"),0),MATCH(1,(Price!$L$3:$AY$3=V$3)*(Price!$L$4:$AY$4=V$4),0))</f>
        <v>1380.875</v>
      </c>
      <c r="W81" s="135" cm="1">
        <f t="array" ref="W81">INDEX(Price!$L$11:$AY$210,MATCH(1,(Price!$A$11:$A$210=$A81)*(Price!$B$11:$B$210=$B81)*(Price!$D$11:$D$210="gb"),0),MATCH(1,(Price!$L$3:$AY$3=W$3)*(Price!$L$4:$AY$4=W$4),0))</f>
        <v>1385.8</v>
      </c>
      <c r="X81" s="135" cm="1">
        <f t="array" ref="X81">INDEX(Price!$L$11:$AY$210,MATCH(1,(Price!$A$11:$A$210=$A81)*(Price!$B$11:$B$210=$B81)*(Price!$D$11:$D$210="gb"),0),MATCH(1,(Price!$L$3:$AY$3=X$3)*(Price!$L$4:$AY$4=X$4),0))</f>
        <v>1385.8</v>
      </c>
      <c r="Y81" s="135" cm="1">
        <f t="array" ref="Y81">INDEX(Price!$L$11:$AY$210,MATCH(1,(Price!$A$11:$A$210=$A81)*(Price!$B$11:$B$210=$B81)*(Price!$D$11:$D$210="gb"),0),MATCH(1,(Price!$L$3:$AY$3=Y$3)*(Price!$L$4:$AY$4=Y$4),0))</f>
        <v>1385.8</v>
      </c>
      <c r="Z81" s="135" cm="1">
        <f t="array" ref="Z81">INDEX(Price!$L$11:$AY$210,MATCH(1,(Price!$A$11:$A$210=$A81)*(Price!$B$11:$B$210=$B81)*(Price!$D$11:$D$210="gb"),0),MATCH(1,(Price!$L$3:$AY$3=Z$3)*(Price!$L$4:$AY$4=Z$4),0))</f>
        <v>1368.07</v>
      </c>
      <c r="AA81" s="135" cm="1">
        <f t="array" ref="AA81">INDEX(Price!$L$11:$AY$210,MATCH(1,(Price!$A$11:$A$210=$A81)*(Price!$B$11:$B$210=$B81)*(Price!$D$11:$D$210="gb"),0),MATCH(1,(Price!$L$3:$AY$3=AA$3)*(Price!$L$4:$AY$4=AA$4),0))</f>
        <v>1336.5574999999999</v>
      </c>
      <c r="AB81" s="135" cm="1">
        <f t="array" ref="AB81">INDEX(Price!$L$11:$AY$210,MATCH(1,(Price!$A$11:$A$210=$A81)*(Price!$B$11:$B$210=$B81)*(Price!$D$11:$D$210="gb"),0),MATCH(1,(Price!$L$3:$AY$3=AB$3)*(Price!$L$4:$AY$4=AB$4),0))</f>
        <v>1336.9775</v>
      </c>
      <c r="AC81" s="135" cm="1">
        <f t="array" ref="AC81">INDEX(Price!$L$11:$AY$210,MATCH(1,(Price!$A$11:$A$210=$A81)*(Price!$B$11:$B$210=$B81)*(Price!$D$11:$D$210="gb"),0),MATCH(1,(Price!$L$3:$AY$3=AC$3)*(Price!$L$4:$AY$4=AC$4),0))</f>
        <v>1337.3150000000001</v>
      </c>
      <c r="AD81" s="136" cm="1">
        <f t="array" ref="AD81">INDEX(Price!$L$11:$AY$210,MATCH(1,(Price!$A$11:$A$210=$A81)*(Price!$B$11:$B$210=$B81)*(Price!$D$11:$D$210="gb"),0),MATCH(1,(Price!$L$3:$AY$3=AD$3)*(Price!$L$4:$AY$4=AD$4),0))</f>
        <v>1337.496875</v>
      </c>
      <c r="AE81" s="135" cm="1">
        <f t="array" ref="AE81">INDEX(Price!$L$11:$AY$210,MATCH(1,(Price!$A$11:$A$210=$A81)*(Price!$B$11:$B$210=$B81)*(Price!$D$11:$D$210="gb"),0),MATCH(1,(Price!$L$3:$AY$3=AE$3)*(Price!$L$4:$AY$4=AE$4),0))</f>
        <v>1225</v>
      </c>
      <c r="AF81" s="135" cm="1">
        <f t="array" ref="AF81">INDEX(Price!$L$11:$AY$210,MATCH(1,(Price!$A$11:$A$210=$A81)*(Price!$B$11:$B$210=$B81)*(Price!$D$11:$D$210="gb"),0),MATCH(1,(Price!$L$3:$AY$3=AF$3)*(Price!$L$4:$AY$4=AF$4),0))</f>
        <v>1225</v>
      </c>
      <c r="AG81" s="135" cm="1">
        <f t="array" ref="AG81">INDEX(Price!$L$11:$AY$210,MATCH(1,(Price!$A$11:$A$210=$A81)*(Price!$B$11:$B$210=$B81)*(Price!$D$11:$D$210="gb"),0),MATCH(1,(Price!$L$3:$AY$3=AG$3)*(Price!$L$4:$AY$4=AG$4),0))</f>
        <v>1225</v>
      </c>
      <c r="AH81" s="135" cm="1">
        <f t="array" ref="AH81">INDEX(Price!$L$11:$AY$210,MATCH(1,(Price!$A$11:$A$210=$A81)*(Price!$B$11:$B$210=$B81)*(Price!$D$11:$D$210="gb"),0),MATCH(1,(Price!$L$3:$AY$3=AH$3)*(Price!$L$4:$AY$4=AH$4),0))</f>
        <v>1233</v>
      </c>
      <c r="AI81" s="135" cm="1">
        <f t="array" ref="AI81">INDEX(Price!$L$11:$AY$210,MATCH(1,(Price!$A$11:$A$210=$A81)*(Price!$B$11:$B$210=$B81)*(Price!$D$11:$D$210="gb"),0),MATCH(1,(Price!$L$3:$AY$3=AI$3)*(Price!$L$4:$AY$4=AI$4),0))</f>
        <v>1233</v>
      </c>
      <c r="AJ81" s="135" cm="1">
        <f t="array" ref="AJ81">INDEX(Price!$L$11:$AY$210,MATCH(1,(Price!$A$11:$A$210=$A81)*(Price!$B$11:$B$210=$B81)*(Price!$D$11:$D$210="gb"),0),MATCH(1,(Price!$L$3:$AY$3=AJ$3)*(Price!$L$4:$AY$4=AJ$4),0))</f>
        <v>1233</v>
      </c>
      <c r="AK81" s="135"/>
      <c r="AL81" s="135"/>
      <c r="AM81" s="135"/>
      <c r="AN81" s="135"/>
      <c r="AO81" s="135"/>
      <c r="AP81" s="136"/>
    </row>
    <row r="82" spans="1:42" s="1" customFormat="1" ht="11.4" customHeight="1" outlineLevel="1" x14ac:dyDescent="0.3">
      <c r="A82" s="1" t="s">
        <v>39</v>
      </c>
      <c r="B82" s="1" t="s">
        <v>30</v>
      </c>
      <c r="C82" s="142" t="s">
        <v>321</v>
      </c>
      <c r="D82" s="168">
        <v>5.8</v>
      </c>
      <c r="E82" s="143"/>
      <c r="F82" s="320" t="s">
        <v>8</v>
      </c>
      <c r="G82" s="144" cm="1">
        <f t="array" ref="G82">INDEX(Price!$L$11:$AY$210,MATCH(1,(Price!$A$11:$A$210=$A82)*(Price!$B$11:$B$210=$B82)*(Price!$D$11:$D$210="exw"),0),MATCH(1,(Price!$L$3:$AY$3=G$3)*(Price!$L$4:$AY$4=G$4),0))</f>
        <v>1320</v>
      </c>
      <c r="H82" s="144" cm="1">
        <f t="array" ref="H82">INDEX(Price!$L$11:$AY$210,MATCH(1,(Price!$A$11:$A$210=$A82)*(Price!$B$11:$B$210=$B82)*(Price!$D$11:$D$210="exw"),0),MATCH(1,(Price!$L$3:$AY$3=H$3)*(Price!$L$4:$AY$4=H$4),0))</f>
        <v>1327.5</v>
      </c>
      <c r="I82" s="144" cm="1">
        <f t="array" ref="I82">INDEX(Price!$L$11:$AY$210,MATCH(1,(Price!$A$11:$A$210=$A82)*(Price!$B$11:$B$210=$B82)*(Price!$D$11:$D$210="exw"),0),MATCH(1,(Price!$L$3:$AY$3=I$3)*(Price!$L$4:$AY$4=I$4),0))</f>
        <v>1340</v>
      </c>
      <c r="J82" s="144" cm="1">
        <f t="array" ref="J82">INDEX(Price!$L$11:$AY$210,MATCH(1,(Price!$A$11:$A$210=$A82)*(Price!$B$11:$B$210=$B82)*(Price!$D$11:$D$210="exw"),0),MATCH(1,(Price!$L$3:$AY$3=J$3)*(Price!$L$4:$AY$4=J$4),0))</f>
        <v>1342.5</v>
      </c>
      <c r="K82" s="144" cm="1">
        <f t="array" ref="K82">INDEX(Price!$L$11:$AY$210,MATCH(1,(Price!$A$11:$A$210=$A82)*(Price!$B$11:$B$210=$B82)*(Price!$D$11:$D$210="exw"),0),MATCH(1,(Price!$L$3:$AY$3=K$3)*(Price!$L$4:$AY$4=K$4),0))</f>
        <v>1346.5</v>
      </c>
      <c r="L82" s="144" cm="1">
        <f t="array" ref="L82">INDEX(Price!$L$11:$AY$210,MATCH(1,(Price!$A$11:$A$210=$A82)*(Price!$B$11:$B$210=$B82)*(Price!$D$11:$D$210="exw"),0),MATCH(1,(Price!$L$3:$AY$3=L$3)*(Price!$L$4:$AY$4=L$4),0))</f>
        <v>1361.5</v>
      </c>
      <c r="M82" s="144" cm="1">
        <f t="array" ref="M82">INDEX(Price!$L$11:$AY$210,MATCH(1,(Price!$A$11:$A$210=$A82)*(Price!$B$11:$B$210=$B82)*(Price!$D$11:$D$210="exw"),0),MATCH(1,(Price!$L$3:$AY$3=M$3)*(Price!$L$4:$AY$4=M$4),0))</f>
        <v>1377.5</v>
      </c>
      <c r="N82" s="144" cm="1">
        <f t="array" ref="N82">INDEX(Price!$L$11:$AY$210,MATCH(1,(Price!$A$11:$A$210=$A82)*(Price!$B$11:$B$210=$B82)*(Price!$D$11:$D$210="exw"),0),MATCH(1,(Price!$L$3:$AY$3=N$3)*(Price!$L$4:$AY$4=N$4),0))</f>
        <v>1388.5</v>
      </c>
      <c r="O82" s="144" cm="1">
        <f t="array" ref="O82">INDEX(Price!$L$11:$AY$210,MATCH(1,(Price!$A$11:$A$210=$A82)*(Price!$B$11:$B$210=$B82)*(Price!$D$11:$D$210="exw"),0),MATCH(1,(Price!$L$3:$AY$3=O$3)*(Price!$L$4:$AY$4=O$4),0))</f>
        <v>1408.5</v>
      </c>
      <c r="P82" s="144" cm="1">
        <f t="array" ref="P82">INDEX(Price!$L$11:$AY$210,MATCH(1,(Price!$A$11:$A$210=$A82)*(Price!$B$11:$B$210=$B82)*(Price!$D$11:$D$210="exw"),0),MATCH(1,(Price!$L$3:$AY$3=P$3)*(Price!$L$4:$AY$4=P$4),0))</f>
        <v>1436.25</v>
      </c>
      <c r="Q82" s="144" cm="1">
        <f t="array" ref="Q82">INDEX(Price!$L$11:$AY$210,MATCH(1,(Price!$A$11:$A$210=$A82)*(Price!$B$11:$B$210=$B82)*(Price!$D$11:$D$210="exw"),0),MATCH(1,(Price!$L$3:$AY$3=Q$3)*(Price!$L$4:$AY$4=Q$4),0))</f>
        <v>1453.75</v>
      </c>
      <c r="R82" s="145" cm="1">
        <f t="array" ref="R82">INDEX(Price!$L$11:$AY$210,MATCH(1,(Price!$A$11:$A$210=$A82)*(Price!$B$11:$B$210=$B82)*(Price!$D$11:$D$210="exw"),0),MATCH(1,(Price!$L$3:$AY$3=R$3)*(Price!$L$4:$AY$4=R$4),0))</f>
        <v>1457.5</v>
      </c>
      <c r="S82" s="144" cm="1">
        <f t="array" ref="S82">INDEX(Price!$L$11:$AY$210,MATCH(1,(Price!$A$11:$A$210=$A82)*(Price!$B$11:$B$210=$B82)*(Price!$D$11:$D$210="exw"),0),MATCH(1,(Price!$L$3:$AY$3=S$3)*(Price!$L$4:$AY$4=S$4),0))</f>
        <v>1426.403125</v>
      </c>
      <c r="T82" s="144" cm="1">
        <f t="array" ref="T82">INDEX(Price!$L$11:$AY$210,MATCH(1,(Price!$A$11:$A$210=$A82)*(Price!$B$11:$B$210=$B82)*(Price!$D$11:$D$210="exw"),0),MATCH(1,(Price!$L$3:$AY$3=T$3)*(Price!$L$4:$AY$4=T$4),0))</f>
        <v>1388.6447916666652</v>
      </c>
      <c r="U82" s="144" cm="1">
        <f t="array" ref="U82">INDEX(Price!$L$11:$AY$210,MATCH(1,(Price!$A$11:$A$210=$A82)*(Price!$B$11:$B$210=$B82)*(Price!$D$11:$D$210="exw"),0),MATCH(1,(Price!$L$3:$AY$3=U$3)*(Price!$L$4:$AY$4=U$4),0))</f>
        <v>1353.5541666666652</v>
      </c>
      <c r="V82" s="144" cm="1">
        <f t="array" ref="V82">INDEX(Price!$L$11:$AY$210,MATCH(1,(Price!$A$11:$A$210=$A82)*(Price!$B$11:$B$210=$B82)*(Price!$D$11:$D$210="exw"),0),MATCH(1,(Price!$L$3:$AY$3=V$3)*(Price!$L$4:$AY$4=V$4),0))</f>
        <v>1354.375</v>
      </c>
      <c r="W82" s="144" cm="1">
        <f t="array" ref="W82">INDEX(Price!$L$11:$AY$210,MATCH(1,(Price!$A$11:$A$210=$A82)*(Price!$B$11:$B$210=$B82)*(Price!$D$11:$D$210="exw"),0),MATCH(1,(Price!$L$3:$AY$3=W$3)*(Price!$L$4:$AY$4=W$4),0))</f>
        <v>1359.3</v>
      </c>
      <c r="X82" s="144" cm="1">
        <f t="array" ref="X82">INDEX(Price!$L$11:$AY$210,MATCH(1,(Price!$A$11:$A$210=$A82)*(Price!$B$11:$B$210=$B82)*(Price!$D$11:$D$210="exw"),0),MATCH(1,(Price!$L$3:$AY$3=X$3)*(Price!$L$4:$AY$4=X$4),0))</f>
        <v>1359.3</v>
      </c>
      <c r="Y82" s="144" cm="1">
        <f t="array" ref="Y82">INDEX(Price!$L$11:$AY$210,MATCH(1,(Price!$A$11:$A$210=$A82)*(Price!$B$11:$B$210=$B82)*(Price!$D$11:$D$210="exw"),0),MATCH(1,(Price!$L$3:$AY$3=Y$3)*(Price!$L$4:$AY$4=Y$4),0))</f>
        <v>1359.3</v>
      </c>
      <c r="Z82" s="144" cm="1">
        <f t="array" ref="Z82">INDEX(Price!$L$11:$AY$210,MATCH(1,(Price!$A$11:$A$210=$A82)*(Price!$B$11:$B$210=$B82)*(Price!$D$11:$D$210="exw"),0),MATCH(1,(Price!$L$3:$AY$3=Z$3)*(Price!$L$4:$AY$4=Z$4),0))</f>
        <v>1341.57</v>
      </c>
      <c r="AA82" s="144" cm="1">
        <f t="array" ref="AA82">INDEX(Price!$L$11:$AY$210,MATCH(1,(Price!$A$11:$A$210=$A82)*(Price!$B$11:$B$210=$B82)*(Price!$D$11:$D$210="exw"),0),MATCH(1,(Price!$L$3:$AY$3=AA$3)*(Price!$L$4:$AY$4=AA$4),0))</f>
        <v>1310.0574999999999</v>
      </c>
      <c r="AB82" s="144" cm="1">
        <f t="array" ref="AB82">INDEX(Price!$L$11:$AY$210,MATCH(1,(Price!$A$11:$A$210=$A82)*(Price!$B$11:$B$210=$B82)*(Price!$D$11:$D$210="exw"),0),MATCH(1,(Price!$L$3:$AY$3=AB$3)*(Price!$L$4:$AY$4=AB$4),0))</f>
        <v>1310.4775</v>
      </c>
      <c r="AC82" s="144" cm="1">
        <f t="array" ref="AC82">INDEX(Price!$L$11:$AY$210,MATCH(1,(Price!$A$11:$A$210=$A82)*(Price!$B$11:$B$210=$B82)*(Price!$D$11:$D$210="exw"),0),MATCH(1,(Price!$L$3:$AY$3=AC$3)*(Price!$L$4:$AY$4=AC$4),0))</f>
        <v>1310.8150000000001</v>
      </c>
      <c r="AD82" s="145" cm="1">
        <f t="array" ref="AD82">INDEX(Price!$L$11:$AY$210,MATCH(1,(Price!$A$11:$A$210=$A82)*(Price!$B$11:$B$210=$B82)*(Price!$D$11:$D$210="exw"),0),MATCH(1,(Price!$L$3:$AY$3=AD$3)*(Price!$L$4:$AY$4=AD$4),0))</f>
        <v>1310.996875</v>
      </c>
      <c r="AE82" s="144" cm="1">
        <f t="array" ref="AE82">INDEX(Price!$L$11:$AY$210,MATCH(1,(Price!$A$11:$A$210=$A82)*(Price!$B$11:$B$210=$B82)*(Price!$D$11:$D$210="exw"),0),MATCH(1,(Price!$L$3:$AY$3=AE$3)*(Price!$L$4:$AY$4=AE$4),0))</f>
        <v>1128</v>
      </c>
      <c r="AF82" s="144" cm="1">
        <f t="array" ref="AF82">INDEX(Price!$L$11:$AY$210,MATCH(1,(Price!$A$11:$A$210=$A82)*(Price!$B$11:$B$210=$B82)*(Price!$D$11:$D$210="exw"),0),MATCH(1,(Price!$L$3:$AY$3=AF$3)*(Price!$L$4:$AY$4=AF$4),0))</f>
        <v>1128</v>
      </c>
      <c r="AG82" s="144" cm="1">
        <f t="array" ref="AG82">INDEX(Price!$L$11:$AY$210,MATCH(1,(Price!$A$11:$A$210=$A82)*(Price!$B$11:$B$210=$B82)*(Price!$D$11:$D$210="exw"),0),MATCH(1,(Price!$L$3:$AY$3=AG$3)*(Price!$L$4:$AY$4=AG$4),0))</f>
        <v>1128</v>
      </c>
      <c r="AH82" s="144" cm="1">
        <f t="array" ref="AH82">INDEX(Price!$L$11:$AY$210,MATCH(1,(Price!$A$11:$A$210=$A82)*(Price!$B$11:$B$210=$B82)*(Price!$D$11:$D$210="exw"),0),MATCH(1,(Price!$L$3:$AY$3=AH$3)*(Price!$L$4:$AY$4=AH$4),0))</f>
        <v>1128</v>
      </c>
      <c r="AI82" s="144" cm="1">
        <f t="array" ref="AI82">INDEX(Price!$L$11:$AY$210,MATCH(1,(Price!$A$11:$A$210=$A82)*(Price!$B$11:$B$210=$B82)*(Price!$D$11:$D$210="exw"),0),MATCH(1,(Price!$L$3:$AY$3=AI$3)*(Price!$L$4:$AY$4=AI$4),0))</f>
        <v>1128</v>
      </c>
      <c r="AJ82" s="144" cm="1">
        <f t="array" ref="AJ82">INDEX(Price!$L$11:$AY$210,MATCH(1,(Price!$A$11:$A$210=$A82)*(Price!$B$11:$B$210=$B82)*(Price!$D$11:$D$210="exw"),0),MATCH(1,(Price!$L$3:$AY$3=AJ$3)*(Price!$L$4:$AY$4=AJ$4),0))</f>
        <v>1128</v>
      </c>
      <c r="AK82" s="144"/>
      <c r="AL82" s="144"/>
      <c r="AM82" s="144"/>
      <c r="AN82" s="144"/>
      <c r="AO82" s="144"/>
      <c r="AP82" s="145"/>
    </row>
    <row r="83" spans="1:42" ht="11.4" customHeight="1" outlineLevel="1" x14ac:dyDescent="0.3">
      <c r="A83" t="s">
        <v>39</v>
      </c>
      <c r="B83" t="s">
        <v>30</v>
      </c>
      <c r="C83" s="14" t="s">
        <v>9</v>
      </c>
      <c r="D83" s="169">
        <v>5.9</v>
      </c>
      <c r="E83" s="8"/>
      <c r="F83" s="321" t="s">
        <v>11</v>
      </c>
      <c r="G83" s="315" cm="1">
        <f t="array" ref="G83">SUMPRODUCT(General_Data*(Code_General_Data=$C83)*(Year=G$3)*(Month=G$4))</f>
        <v>930</v>
      </c>
      <c r="H83" s="132" cm="1">
        <f t="array" ref="H83">SUMPRODUCT(General_Data*(Code_General_Data=$C83)*(Year=H$3)*(Month=H$4))</f>
        <v>943.33333333333337</v>
      </c>
      <c r="I83" s="132" cm="1">
        <f t="array" ref="I83">SUMPRODUCT(General_Data*(Code_General_Data=$C83)*(Year=I$3)*(Month=I$4))</f>
        <v>940</v>
      </c>
      <c r="J83" s="132" cm="1">
        <f t="array" ref="J83">SUMPRODUCT(General_Data*(Code_General_Data=$C83)*(Year=J$3)*(Month=J$4))</f>
        <v>940</v>
      </c>
      <c r="K83" s="132" cm="1">
        <f t="array" ref="K83">SUMPRODUCT(General_Data*(Code_General_Data=$C83)*(Year=K$3)*(Month=K$4))</f>
        <v>942</v>
      </c>
      <c r="L83" s="132" cm="1">
        <f t="array" ref="L83">SUMPRODUCT(General_Data*(Code_General_Data=$C83)*(Year=L$3)*(Month=L$4))</f>
        <v>950</v>
      </c>
      <c r="M83" s="132" cm="1">
        <f t="array" ref="M83">SUMPRODUCT(General_Data*(Code_General_Data=$C83)*(Year=M$3)*(Month=M$4))</f>
        <v>947.5</v>
      </c>
      <c r="N83" s="132" cm="1">
        <f t="array" ref="N83">SUMPRODUCT(General_Data*(Code_General_Data=$C83)*(Year=N$3)*(Month=N$4))</f>
        <v>930</v>
      </c>
      <c r="O83" s="132" cm="1">
        <f t="array" ref="O83">SUMPRODUCT(General_Data*(Code_General_Data=$C83)*(Year=O$3)*(Month=O$4))</f>
        <v>880</v>
      </c>
      <c r="P83" s="132" cm="1">
        <f t="array" ref="P83">SUMPRODUCT(General_Data*(Code_General_Data=$C83)*(Year=P$3)*(Month=P$4))</f>
        <v>862.5</v>
      </c>
      <c r="Q83" s="132" cm="1">
        <f t="array" ref="Q83">SUMPRODUCT(General_Data*(Code_General_Data=$C83)*(Year=Q$3)*(Month=Q$4))</f>
        <v>852</v>
      </c>
      <c r="R83" s="133" cm="1">
        <f t="array" ref="R83">SUMPRODUCT(General_Data*(Code_General_Data=$C83)*(Year=R$3)*(Month=R$4))</f>
        <v>830</v>
      </c>
      <c r="S83" s="132" cm="1">
        <f t="array" ref="S83">SUMPRODUCT(General_Data*(Code_General_Data=$C83)*(Year=S$3)*(Month=S$4))</f>
        <v>828</v>
      </c>
      <c r="T83" s="132" cm="1">
        <f t="array" ref="T83">SUMPRODUCT(General_Data*(Code_General_Data=$C83)*(Year=T$3)*(Month=T$4))</f>
        <v>840</v>
      </c>
      <c r="U83" s="132" cm="1">
        <f t="array" ref="U83">SUMPRODUCT(General_Data*(Code_General_Data=$C83)*(Year=U$3)*(Month=U$4))</f>
        <v>823</v>
      </c>
      <c r="V83" s="132" cm="1">
        <f t="array" ref="V83">SUMPRODUCT(General_Data*(Code_General_Data=$C83)*(Year=V$3)*(Month=V$4))</f>
        <v>765</v>
      </c>
      <c r="W83" s="132" cm="1">
        <f t="array" ref="W83">SUMPRODUCT(General_Data*(Code_General_Data=$C83)*(Year=W$3)*(Month=W$4))</f>
        <v>782</v>
      </c>
      <c r="X83" s="132" cm="1">
        <f t="array" ref="X83">SUMPRODUCT(General_Data*(Code_General_Data=$C83)*(Year=X$3)*(Month=X$4))</f>
        <v>807.5</v>
      </c>
      <c r="Y83" s="132" cm="1">
        <f t="array" ref="Y83">SUMPRODUCT(General_Data*(Code_General_Data=$C83)*(Year=Y$3)*(Month=Y$4))</f>
        <v>802</v>
      </c>
      <c r="Z83" s="132" cm="1">
        <f t="array" ref="Z83">SUMPRODUCT(General_Data*(Code_General_Data=$C83)*(Year=Z$3)*(Month=Z$4))</f>
        <v>795</v>
      </c>
      <c r="AA83" s="132" cm="1">
        <f t="array" ref="AA83">SUMPRODUCT(General_Data*(Code_General_Data=$C83)*(Year=AA$3)*(Month=AA$4))</f>
        <v>783</v>
      </c>
      <c r="AB83" s="132" cm="1">
        <f t="array" ref="AB83">SUMPRODUCT(General_Data*(Code_General_Data=$C83)*(Year=AB$3)*(Month=AB$4))</f>
        <v>772</v>
      </c>
      <c r="AC83" s="132" cm="1">
        <f t="array" ref="AC83">SUMPRODUCT(General_Data*(Code_General_Data=$C83)*(Year=AC$3)*(Month=AC$4))</f>
        <v>770</v>
      </c>
      <c r="AD83" s="133" cm="1">
        <f t="array" ref="AD83">SUMPRODUCT(General_Data*(Code_General_Data=$C83)*(Year=AD$3)*(Month=AD$4))</f>
        <v>772.5</v>
      </c>
      <c r="AE83" s="132" cm="1">
        <f t="array" ref="AE83">SUMPRODUCT(General_Data*(Code_General_Data=$C83)*(Year=AE$3)*(Month=AE$4))</f>
        <v>805</v>
      </c>
      <c r="AF83" s="132" cm="1">
        <f t="array" ref="AF83">SUMPRODUCT(General_Data*(Code_General_Data=$C83)*(Year=AF$3)*(Month=AF$4))</f>
        <v>840</v>
      </c>
      <c r="AG83" s="132" cm="1">
        <f t="array" ref="AG83">SUMPRODUCT(General_Data*(Code_General_Data=$C83)*(Year=AG$3)*(Month=AG$4))</f>
        <v>1109</v>
      </c>
      <c r="AH83" s="132" cm="1">
        <f t="array" ref="AH83">SUMPRODUCT(General_Data*(Code_General_Data=$C83)*(Year=AH$3)*(Month=AH$4))</f>
        <v>1194</v>
      </c>
      <c r="AI83" s="132" cm="1">
        <f t="array" ref="AI83">SUMPRODUCT(General_Data*(Code_General_Data=$C83)*(Year=AI$3)*(Month=AI$4))</f>
        <v>1216</v>
      </c>
      <c r="AJ83" s="132" cm="1">
        <f t="array" ref="AJ83">SUMPRODUCT(General_Data*(Code_General_Data=$C83)*(Year=AJ$3)*(Month=AJ$4))</f>
        <v>1190</v>
      </c>
      <c r="AK83" s="132"/>
      <c r="AL83" s="132"/>
      <c r="AM83" s="132"/>
      <c r="AN83" s="132"/>
      <c r="AO83" s="132"/>
      <c r="AP83" s="133"/>
    </row>
    <row r="84" spans="1:42" s="151" customFormat="1" ht="11.4" customHeight="1" outlineLevel="1" x14ac:dyDescent="0.3">
      <c r="A84" s="151" t="s">
        <v>39</v>
      </c>
      <c r="B84" s="151" t="s">
        <v>30</v>
      </c>
      <c r="D84" s="170">
        <v>5.0999999999999996</v>
      </c>
      <c r="E84" s="152"/>
      <c r="F84" s="322" t="s">
        <v>406</v>
      </c>
      <c r="G84" s="153">
        <f t="shared" ref="G84:AD84" si="56">IF(G81*G82*G83&lt;&gt;0,G82-G83,0)</f>
        <v>390</v>
      </c>
      <c r="H84" s="153">
        <f t="shared" si="56"/>
        <v>384.16666666666663</v>
      </c>
      <c r="I84" s="153">
        <f t="shared" si="56"/>
        <v>400</v>
      </c>
      <c r="J84" s="153">
        <f t="shared" si="56"/>
        <v>402.5</v>
      </c>
      <c r="K84" s="153">
        <f t="shared" si="56"/>
        <v>404.5</v>
      </c>
      <c r="L84" s="153">
        <f t="shared" si="56"/>
        <v>411.5</v>
      </c>
      <c r="M84" s="153">
        <f t="shared" si="56"/>
        <v>430</v>
      </c>
      <c r="N84" s="153">
        <f t="shared" si="56"/>
        <v>458.5</v>
      </c>
      <c r="O84" s="153">
        <f t="shared" si="56"/>
        <v>528.5</v>
      </c>
      <c r="P84" s="153">
        <f t="shared" si="56"/>
        <v>573.75</v>
      </c>
      <c r="Q84" s="153">
        <f t="shared" si="56"/>
        <v>601.75</v>
      </c>
      <c r="R84" s="154">
        <f t="shared" si="56"/>
        <v>627.5</v>
      </c>
      <c r="S84" s="153">
        <f t="shared" si="56"/>
        <v>598.40312500000005</v>
      </c>
      <c r="T84" s="153">
        <f t="shared" si="56"/>
        <v>548.64479166666524</v>
      </c>
      <c r="U84" s="153">
        <f t="shared" si="56"/>
        <v>530.5541666666652</v>
      </c>
      <c r="V84" s="153">
        <f t="shared" si="56"/>
        <v>589.375</v>
      </c>
      <c r="W84" s="153">
        <f t="shared" si="56"/>
        <v>577.29999999999995</v>
      </c>
      <c r="X84" s="153">
        <f t="shared" si="56"/>
        <v>551.79999999999995</v>
      </c>
      <c r="Y84" s="153">
        <f t="shared" si="56"/>
        <v>557.29999999999995</v>
      </c>
      <c r="Z84" s="153">
        <f t="shared" si="56"/>
        <v>546.56999999999994</v>
      </c>
      <c r="AA84" s="153">
        <f t="shared" si="56"/>
        <v>527.05749999999989</v>
      </c>
      <c r="AB84" s="153">
        <f t="shared" si="56"/>
        <v>538.47749999999996</v>
      </c>
      <c r="AC84" s="153">
        <f t="shared" si="56"/>
        <v>540.81500000000005</v>
      </c>
      <c r="AD84" s="154">
        <f t="shared" si="56"/>
        <v>538.49687500000005</v>
      </c>
      <c r="AE84" s="153">
        <f t="shared" ref="AE84:AH84" si="57">IF(AE81*AE82*AE83&lt;&gt;0,AE82-AE83,0)</f>
        <v>323</v>
      </c>
      <c r="AF84" s="153">
        <f t="shared" si="57"/>
        <v>288</v>
      </c>
      <c r="AG84" s="153">
        <f t="shared" si="57"/>
        <v>19</v>
      </c>
      <c r="AH84" s="153">
        <f t="shared" si="57"/>
        <v>-66</v>
      </c>
      <c r="AI84" s="153">
        <f t="shared" ref="AI84:AJ84" si="58">IF(AI81*AI82*AI83&lt;&gt;0,AI82-AI83,0)</f>
        <v>-88</v>
      </c>
      <c r="AJ84" s="153">
        <f t="shared" si="58"/>
        <v>-62</v>
      </c>
      <c r="AK84" s="153"/>
      <c r="AL84" s="153"/>
      <c r="AM84" s="153"/>
      <c r="AN84" s="153"/>
      <c r="AO84" s="153"/>
      <c r="AP84" s="154"/>
    </row>
    <row r="85" spans="1:42" s="155" customFormat="1" ht="11.4" customHeight="1" outlineLevel="1" x14ac:dyDescent="0.3">
      <c r="A85" s="155" t="s">
        <v>39</v>
      </c>
      <c r="B85" s="155" t="s">
        <v>30</v>
      </c>
      <c r="D85" s="163">
        <v>5.1100000000000003</v>
      </c>
      <c r="E85" s="156"/>
      <c r="F85" s="323" t="s">
        <v>14</v>
      </c>
      <c r="G85" s="497">
        <f t="shared" ref="G85:AD85" si="59">IFERROR(G84/G83,0)</f>
        <v>0.41935483870967744</v>
      </c>
      <c r="H85" s="497">
        <f t="shared" si="59"/>
        <v>0.40724381625441691</v>
      </c>
      <c r="I85" s="497">
        <f t="shared" si="59"/>
        <v>0.42553191489361702</v>
      </c>
      <c r="J85" s="497">
        <f t="shared" si="59"/>
        <v>0.42819148936170215</v>
      </c>
      <c r="K85" s="497">
        <f t="shared" si="59"/>
        <v>0.4294055201698514</v>
      </c>
      <c r="L85" s="497">
        <f t="shared" si="59"/>
        <v>0.43315789473684213</v>
      </c>
      <c r="M85" s="497">
        <f t="shared" si="59"/>
        <v>0.45382585751978893</v>
      </c>
      <c r="N85" s="497">
        <f t="shared" si="59"/>
        <v>0.49301075268817202</v>
      </c>
      <c r="O85" s="497">
        <f t="shared" si="59"/>
        <v>0.60056818181818183</v>
      </c>
      <c r="P85" s="497">
        <f t="shared" si="59"/>
        <v>0.66521739130434787</v>
      </c>
      <c r="Q85" s="497">
        <f t="shared" si="59"/>
        <v>0.70627934272300474</v>
      </c>
      <c r="R85" s="498">
        <f t="shared" si="59"/>
        <v>0.75602409638554213</v>
      </c>
      <c r="S85" s="497">
        <f t="shared" si="59"/>
        <v>0.72270908816425128</v>
      </c>
      <c r="T85" s="497">
        <f t="shared" si="59"/>
        <v>0.65314856150793477</v>
      </c>
      <c r="U85" s="497">
        <f t="shared" si="59"/>
        <v>0.64465876873227845</v>
      </c>
      <c r="V85" s="497">
        <f t="shared" si="59"/>
        <v>0.77042483660130723</v>
      </c>
      <c r="W85" s="497">
        <f t="shared" si="59"/>
        <v>0.73823529411764699</v>
      </c>
      <c r="X85" s="497">
        <f t="shared" si="59"/>
        <v>0.68334365325077395</v>
      </c>
      <c r="Y85" s="497">
        <f t="shared" si="59"/>
        <v>0.69488778054862832</v>
      </c>
      <c r="Z85" s="497">
        <f t="shared" si="59"/>
        <v>0.68750943396226405</v>
      </c>
      <c r="AA85" s="497">
        <f t="shared" si="59"/>
        <v>0.67312579821200502</v>
      </c>
      <c r="AB85" s="497">
        <f t="shared" si="59"/>
        <v>0.69750971502590664</v>
      </c>
      <c r="AC85" s="497">
        <f t="shared" si="59"/>
        <v>0.7023571428571429</v>
      </c>
      <c r="AD85" s="498">
        <f t="shared" si="59"/>
        <v>0.69708333333333339</v>
      </c>
      <c r="AE85" s="497">
        <f t="shared" ref="AE85:AH85" si="60">IFERROR(AE84/AE83,0)</f>
        <v>0.40124223602484471</v>
      </c>
      <c r="AF85" s="497">
        <f t="shared" si="60"/>
        <v>0.34285714285714286</v>
      </c>
      <c r="AG85" s="497">
        <f t="shared" si="60"/>
        <v>1.7132551848512173E-2</v>
      </c>
      <c r="AH85" s="497">
        <f t="shared" si="60"/>
        <v>-5.5276381909547742E-2</v>
      </c>
      <c r="AI85" s="497">
        <f t="shared" ref="AI85:AJ85" si="61">IFERROR(AI84/AI83,0)</f>
        <v>-7.2368421052631582E-2</v>
      </c>
      <c r="AJ85" s="497">
        <f t="shared" si="61"/>
        <v>-5.2100840336134456E-2</v>
      </c>
      <c r="AK85" s="497"/>
      <c r="AL85" s="497"/>
      <c r="AM85" s="497"/>
      <c r="AN85" s="497"/>
      <c r="AO85" s="497"/>
      <c r="AP85" s="498"/>
    </row>
    <row r="86" spans="1:42" s="137" customFormat="1" ht="11.4" customHeight="1" outlineLevel="1" x14ac:dyDescent="0.3">
      <c r="A86" s="137" t="s">
        <v>39</v>
      </c>
      <c r="B86" s="137" t="s">
        <v>30</v>
      </c>
      <c r="C86" s="137" t="s">
        <v>30</v>
      </c>
      <c r="D86" s="164">
        <v>5.12</v>
      </c>
      <c r="E86" s="138"/>
      <c r="F86" s="324" t="s">
        <v>202</v>
      </c>
      <c r="G86" s="139" cm="1">
        <f t="array" ref="G86">SUMPRODUCT(General_Data*(Code_General_Data=$C86)*(Year=G$3)*(Month=G$4))</f>
        <v>1280</v>
      </c>
      <c r="H86" s="139" cm="1">
        <f t="array" ref="H86">SUMPRODUCT(General_Data*(Code_General_Data=$C86)*(Year=H$3)*(Month=H$4))</f>
        <v>1280</v>
      </c>
      <c r="I86" s="139" cm="1">
        <f t="array" ref="I86">SUMPRODUCT(General_Data*(Code_General_Data=$C86)*(Year=I$3)*(Month=I$4))</f>
        <v>1280</v>
      </c>
      <c r="J86" s="139" cm="1">
        <f t="array" ref="J86">SUMPRODUCT(General_Data*(Code_General_Data=$C86)*(Year=J$3)*(Month=J$4))</f>
        <v>1280</v>
      </c>
      <c r="K86" s="139" cm="1">
        <f t="array" ref="K86">SUMPRODUCT(General_Data*(Code_General_Data=$C86)*(Year=K$3)*(Month=K$4))</f>
        <v>1330</v>
      </c>
      <c r="L86" s="139" cm="1">
        <f t="array" ref="L86">SUMPRODUCT(General_Data*(Code_General_Data=$C86)*(Year=L$3)*(Month=L$4))</f>
        <v>1330</v>
      </c>
      <c r="M86" s="139" cm="1">
        <f t="array" ref="M86">SUMPRODUCT(General_Data*(Code_General_Data=$C86)*(Year=M$3)*(Month=M$4))</f>
        <v>1330</v>
      </c>
      <c r="N86" s="139" cm="1">
        <f t="array" ref="N86">SUMPRODUCT(General_Data*(Code_General_Data=$C86)*(Year=N$3)*(Month=N$4))</f>
        <v>1330</v>
      </c>
      <c r="O86" s="139" cm="1">
        <f t="array" ref="O86">SUMPRODUCT(General_Data*(Code_General_Data=$C86)*(Year=O$3)*(Month=O$4))</f>
        <v>1340</v>
      </c>
      <c r="P86" s="139" cm="1">
        <f t="array" ref="P86">SUMPRODUCT(General_Data*(Code_General_Data=$C86)*(Year=P$3)*(Month=P$4))</f>
        <v>1355</v>
      </c>
      <c r="Q86" s="139" cm="1">
        <f t="array" ref="Q86">SUMPRODUCT(General_Data*(Code_General_Data=$C86)*(Year=Q$3)*(Month=Q$4))</f>
        <v>1355</v>
      </c>
      <c r="R86" s="140" cm="1">
        <f t="array" ref="R86">SUMPRODUCT(General_Data*(Code_General_Data=$C86)*(Year=R$3)*(Month=R$4))</f>
        <v>1305</v>
      </c>
      <c r="S86" s="139" cm="1">
        <f t="array" ref="S86">SUMPRODUCT(General_Data*(Code_General_Data=$C86)*(Year=S$3)*(Month=S$4))</f>
        <v>1260</v>
      </c>
      <c r="T86" s="139" cm="1">
        <f t="array" ref="T86">SUMPRODUCT(General_Data*(Code_General_Data=$C86)*(Year=T$3)*(Month=T$4))</f>
        <v>1260</v>
      </c>
      <c r="U86" s="139" cm="1">
        <f t="array" ref="U86">SUMPRODUCT(General_Data*(Code_General_Data=$C86)*(Year=U$3)*(Month=U$4))</f>
        <v>1260</v>
      </c>
      <c r="V86" s="139" cm="1">
        <f t="array" ref="V86">SUMPRODUCT(General_Data*(Code_General_Data=$C86)*(Year=V$3)*(Month=V$4))</f>
        <v>1280</v>
      </c>
      <c r="W86" s="139" cm="1">
        <f t="array" ref="W86">SUMPRODUCT(General_Data*(Code_General_Data=$C86)*(Year=W$3)*(Month=W$4))</f>
        <v>1280</v>
      </c>
      <c r="X86" s="139" cm="1">
        <f t="array" ref="X86">SUMPRODUCT(General_Data*(Code_General_Data=$C86)*(Year=X$3)*(Month=X$4))</f>
        <v>1280</v>
      </c>
      <c r="Y86" s="139" cm="1">
        <f t="array" ref="Y86">SUMPRODUCT(General_Data*(Code_General_Data=$C86)*(Year=Y$3)*(Month=Y$4))</f>
        <v>1280</v>
      </c>
      <c r="Z86" s="139" cm="1">
        <f t="array" ref="Z86">SUMPRODUCT(General_Data*(Code_General_Data=$C86)*(Year=Z$3)*(Month=Z$4))</f>
        <v>1250</v>
      </c>
      <c r="AA86" s="139" cm="1">
        <f t="array" ref="AA86">SUMPRODUCT(General_Data*(Code_General_Data=$C86)*(Year=AA$3)*(Month=AA$4))</f>
        <v>1250</v>
      </c>
      <c r="AB86" s="139" cm="1">
        <f t="array" ref="AB86">SUMPRODUCT(General_Data*(Code_General_Data=$C86)*(Year=AB$3)*(Month=AB$4))</f>
        <v>1240</v>
      </c>
      <c r="AC86" s="139" cm="1">
        <f t="array" ref="AC86">SUMPRODUCT(General_Data*(Code_General_Data=$C86)*(Year=AC$3)*(Month=AC$4))</f>
        <v>1230</v>
      </c>
      <c r="AD86" s="140" cm="1">
        <f t="array" ref="AD86">SUMPRODUCT(General_Data*(Code_General_Data=$C86)*(Year=AD$3)*(Month=AD$4))</f>
        <v>1230</v>
      </c>
      <c r="AE86" s="139" cm="1">
        <f t="array" ref="AE86">SUMPRODUCT(General_Data*(Code_General_Data=$C86)*(Year=AE$3)*(Month=AE$4))</f>
        <v>1190</v>
      </c>
      <c r="AF86" s="139" cm="1">
        <f t="array" ref="AF86">SUMPRODUCT(General_Data*(Code_General_Data=$C86)*(Year=AF$3)*(Month=AF$4))</f>
        <v>1190</v>
      </c>
      <c r="AG86" s="139" cm="1">
        <f t="array" ref="AG86">SUMPRODUCT(General_Data*(Code_General_Data=$C86)*(Year=AG$3)*(Month=AG$4))</f>
        <v>1190</v>
      </c>
      <c r="AH86" s="139" cm="1">
        <f t="array" ref="AH86">SUMPRODUCT(General_Data*(Code_General_Data=$C86)*(Year=AH$3)*(Month=AH$4))</f>
        <v>1310</v>
      </c>
      <c r="AI86" s="139" cm="1">
        <f t="array" ref="AI86">SUMPRODUCT(General_Data*(Code_General_Data=$C86)*(Year=AI$3)*(Month=AI$4))</f>
        <v>1410</v>
      </c>
      <c r="AJ86" s="139" cm="1">
        <f t="array" ref="AJ86">SUMPRODUCT(General_Data*(Code_General_Data=$C86)*(Year=AJ$3)*(Month=AJ$4))</f>
        <v>1380</v>
      </c>
      <c r="AK86" s="139"/>
      <c r="AL86" s="139"/>
      <c r="AM86" s="139"/>
      <c r="AN86" s="139"/>
      <c r="AO86" s="139"/>
      <c r="AP86" s="140"/>
    </row>
    <row r="87" spans="1:42" ht="3.6" customHeight="1" x14ac:dyDescent="0.3">
      <c r="D87" s="165"/>
    </row>
    <row r="88" spans="1:42" s="127" customFormat="1" ht="15.6" customHeight="1" x14ac:dyDescent="0.35">
      <c r="A88" s="127" t="s">
        <v>61</v>
      </c>
      <c r="C88" s="131"/>
      <c r="D88" s="157">
        <v>6</v>
      </c>
      <c r="E88" s="130" t="s">
        <v>31</v>
      </c>
      <c r="F88" s="317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314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314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314"/>
    </row>
    <row r="89" spans="1:42" s="147" customFormat="1" ht="13.35" customHeight="1" outlineLevel="1" x14ac:dyDescent="0.3">
      <c r="A89" s="147" t="s">
        <v>61</v>
      </c>
      <c r="B89" s="147" t="s">
        <v>34</v>
      </c>
      <c r="D89" s="158"/>
      <c r="E89" s="148"/>
      <c r="F89" s="318" t="s">
        <v>32</v>
      </c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9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  <c r="AC89" s="148"/>
      <c r="AD89" s="149"/>
      <c r="AE89" s="148"/>
      <c r="AF89" s="148"/>
      <c r="AG89" s="148"/>
      <c r="AH89" s="148"/>
      <c r="AI89" s="148"/>
      <c r="AJ89" s="148"/>
      <c r="AK89" s="148"/>
      <c r="AL89" s="148"/>
      <c r="AM89" s="148"/>
      <c r="AN89" s="148"/>
      <c r="AO89" s="148"/>
      <c r="AP89" s="149"/>
    </row>
    <row r="90" spans="1:42" s="69" customFormat="1" ht="11.4" customHeight="1" outlineLevel="1" x14ac:dyDescent="0.3">
      <c r="A90" s="69" t="s">
        <v>61</v>
      </c>
      <c r="B90" s="69" t="s">
        <v>34</v>
      </c>
      <c r="D90" s="159">
        <v>6.1</v>
      </c>
      <c r="E90" s="134"/>
      <c r="F90" s="319" t="s">
        <v>33</v>
      </c>
      <c r="G90" s="135" cm="1">
        <f t="array" ref="G90">INDEX(Price!$L$11:$AY$210,MATCH(1,(Price!$A$11:$A$210=$A90)*(Price!$B$11:$B$210=$B90)*(Price!$D$11:$D$210="gb"),0),MATCH(1,(Price!$L$3:$AY$3=G$3)*(Price!$L$4:$AY$4=G$4),0))</f>
        <v>1250</v>
      </c>
      <c r="H90" s="135" cm="1">
        <f t="array" ref="H90">INDEX(Price!$L$11:$AY$210,MATCH(1,(Price!$A$11:$A$210=$A90)*(Price!$B$11:$B$210=$B90)*(Price!$D$11:$D$210="gb"),0),MATCH(1,(Price!$L$3:$AY$3=H$3)*(Price!$L$4:$AY$4=H$4),0))</f>
        <v>1250</v>
      </c>
      <c r="I90" s="135" cm="1">
        <f t="array" ref="I90">INDEX(Price!$L$11:$AY$210,MATCH(1,(Price!$A$11:$A$210=$A90)*(Price!$B$11:$B$210=$B90)*(Price!$D$11:$D$210="gb"),0),MATCH(1,(Price!$L$3:$AY$3=I$3)*(Price!$L$4:$AY$4=I$4),0))</f>
        <v>1250</v>
      </c>
      <c r="J90" s="135" cm="1">
        <f t="array" ref="J90">INDEX(Price!$L$11:$AY$210,MATCH(1,(Price!$A$11:$A$210=$A90)*(Price!$B$11:$B$210=$B90)*(Price!$D$11:$D$210="gb"),0),MATCH(1,(Price!$L$3:$AY$3=J$3)*(Price!$L$4:$AY$4=J$4),0))</f>
        <v>1250</v>
      </c>
      <c r="K90" s="135" cm="1">
        <f t="array" ref="K90">INDEX(Price!$L$11:$AY$210,MATCH(1,(Price!$A$11:$A$210=$A90)*(Price!$B$11:$B$210=$B90)*(Price!$D$11:$D$210="gb"),0),MATCH(1,(Price!$L$3:$AY$3=K$3)*(Price!$L$4:$AY$4=K$4),0))</f>
        <v>1250</v>
      </c>
      <c r="L90" s="135" cm="1">
        <f t="array" ref="L90">INDEX(Price!$L$11:$AY$210,MATCH(1,(Price!$A$11:$A$210=$A90)*(Price!$B$11:$B$210=$B90)*(Price!$D$11:$D$210="gb"),0),MATCH(1,(Price!$L$3:$AY$3=L$3)*(Price!$L$4:$AY$4=L$4),0))</f>
        <v>1250</v>
      </c>
      <c r="M90" s="135" cm="1">
        <f t="array" ref="M90">INDEX(Price!$L$11:$AY$210,MATCH(1,(Price!$A$11:$A$210=$A90)*(Price!$B$11:$B$210=$B90)*(Price!$D$11:$D$210="gb"),0),MATCH(1,(Price!$L$3:$AY$3=M$3)*(Price!$L$4:$AY$4=M$4),0))</f>
        <v>1330</v>
      </c>
      <c r="N90" s="135" cm="1">
        <f t="array" ref="N90">INDEX(Price!$L$11:$AY$210,MATCH(1,(Price!$A$11:$A$210=$A90)*(Price!$B$11:$B$210=$B90)*(Price!$D$11:$D$210="gb"),0),MATCH(1,(Price!$L$3:$AY$3=N$3)*(Price!$L$4:$AY$4=N$4),0))</f>
        <v>1330</v>
      </c>
      <c r="O90" s="135" cm="1">
        <f t="array" ref="O90">INDEX(Price!$L$11:$AY$210,MATCH(1,(Price!$A$11:$A$210=$A90)*(Price!$B$11:$B$210=$B90)*(Price!$D$11:$D$210="gb"),0),MATCH(1,(Price!$L$3:$AY$3=O$3)*(Price!$L$4:$AY$4=O$4),0))</f>
        <v>1330</v>
      </c>
      <c r="P90" s="135" cm="1">
        <f t="array" ref="P90">INDEX(Price!$L$11:$AY$210,MATCH(1,(Price!$A$11:$A$210=$A90)*(Price!$B$11:$B$210=$B90)*(Price!$D$11:$D$210="gb"),0),MATCH(1,(Price!$L$3:$AY$3=P$3)*(Price!$L$4:$AY$4=P$4),0))</f>
        <v>1330</v>
      </c>
      <c r="Q90" s="135" cm="1">
        <f t="array" ref="Q90">INDEX(Price!$L$11:$AY$210,MATCH(1,(Price!$A$11:$A$210=$A90)*(Price!$B$11:$B$210=$B90)*(Price!$D$11:$D$210="gb"),0),MATCH(1,(Price!$L$3:$AY$3=Q$3)*(Price!$L$4:$AY$4=Q$4),0))</f>
        <v>1330</v>
      </c>
      <c r="R90" s="136" cm="1">
        <f t="array" ref="R90">INDEX(Price!$L$11:$AY$210,MATCH(1,(Price!$A$11:$A$210=$A90)*(Price!$B$11:$B$210=$B90)*(Price!$D$11:$D$210="gb"),0),MATCH(1,(Price!$L$3:$AY$3=R$3)*(Price!$L$4:$AY$4=R$4),0))</f>
        <v>1330</v>
      </c>
      <c r="S90" s="135" cm="1">
        <f t="array" ref="S90">INDEX(Price!$L$11:$AY$210,MATCH(1,(Price!$A$11:$A$210=$A90)*(Price!$B$11:$B$210=$B90)*(Price!$D$11:$D$210="gb"),0),MATCH(1,(Price!$L$3:$AY$3=S$3)*(Price!$L$4:$AY$4=S$4),0))</f>
        <v>1250</v>
      </c>
      <c r="T90" s="135" cm="1">
        <f t="array" ref="T90">INDEX(Price!$L$11:$AY$210,MATCH(1,(Price!$A$11:$A$210=$A90)*(Price!$B$11:$B$210=$B90)*(Price!$D$11:$D$210="gb"),0),MATCH(1,(Price!$L$3:$AY$3=T$3)*(Price!$L$4:$AY$4=T$4),0))</f>
        <v>1250</v>
      </c>
      <c r="U90" s="135" cm="1">
        <f t="array" ref="U90">INDEX(Price!$L$11:$AY$210,MATCH(1,(Price!$A$11:$A$210=$A90)*(Price!$B$11:$B$210=$B90)*(Price!$D$11:$D$210="gb"),0),MATCH(1,(Price!$L$3:$AY$3=U$3)*(Price!$L$4:$AY$4=U$4),0))</f>
        <v>1250</v>
      </c>
      <c r="V90" s="135" cm="1">
        <f t="array" ref="V90">INDEX(Price!$L$11:$AY$210,MATCH(1,(Price!$A$11:$A$210=$A90)*(Price!$B$11:$B$210=$B90)*(Price!$D$11:$D$210="gb"),0),MATCH(1,(Price!$L$3:$AY$3=V$3)*(Price!$L$4:$AY$4=V$4),0))</f>
        <v>1250</v>
      </c>
      <c r="W90" s="135" cm="1">
        <f t="array" ref="W90">INDEX(Price!$L$11:$AY$210,MATCH(1,(Price!$A$11:$A$210=$A90)*(Price!$B$11:$B$210=$B90)*(Price!$D$11:$D$210="gb"),0),MATCH(1,(Price!$L$3:$AY$3=W$3)*(Price!$L$4:$AY$4=W$4),0))</f>
        <v>1250</v>
      </c>
      <c r="X90" s="135" cm="1">
        <f t="array" ref="X90">INDEX(Price!$L$11:$AY$210,MATCH(1,(Price!$A$11:$A$210=$A90)*(Price!$B$11:$B$210=$B90)*(Price!$D$11:$D$210="gb"),0),MATCH(1,(Price!$L$3:$AY$3=X$3)*(Price!$L$4:$AY$4=X$4),0))</f>
        <v>1250</v>
      </c>
      <c r="Y90" s="135" cm="1">
        <f t="array" ref="Y90">INDEX(Price!$L$11:$AY$210,MATCH(1,(Price!$A$11:$A$210=$A90)*(Price!$B$11:$B$210=$B90)*(Price!$D$11:$D$210="gb"),0),MATCH(1,(Price!$L$3:$AY$3=Y$3)*(Price!$L$4:$AY$4=Y$4),0))</f>
        <v>0</v>
      </c>
      <c r="Z90" s="135" cm="1">
        <f t="array" ref="Z90">INDEX(Price!$L$11:$AY$210,MATCH(1,(Price!$A$11:$A$210=$A90)*(Price!$B$11:$B$210=$B90)*(Price!$D$11:$D$210="gb"),0),MATCH(1,(Price!$L$3:$AY$3=Z$3)*(Price!$L$4:$AY$4=Z$4),0))</f>
        <v>1303.8316268486917</v>
      </c>
      <c r="AA90" s="135" cm="1">
        <f t="array" ref="AA90">INDEX(Price!$L$11:$AY$210,MATCH(1,(Price!$A$11:$A$210=$A90)*(Price!$B$11:$B$210=$B90)*(Price!$D$11:$D$210="gb"),0),MATCH(1,(Price!$L$3:$AY$3=AA$3)*(Price!$L$4:$AY$4=AA$4),0))</f>
        <v>1303.8316268486917</v>
      </c>
      <c r="AB90" s="135" cm="1">
        <f t="array" ref="AB90">INDEX(Price!$L$11:$AY$210,MATCH(1,(Price!$A$11:$A$210=$A90)*(Price!$B$11:$B$210=$B90)*(Price!$D$11:$D$210="gb"),0),MATCH(1,(Price!$L$3:$AY$3=AB$3)*(Price!$L$4:$AY$4=AB$4),0))</f>
        <v>1303.8316268486917</v>
      </c>
      <c r="AC90" s="135" cm="1">
        <f t="array" ref="AC90">INDEX(Price!$L$11:$AY$210,MATCH(1,(Price!$A$11:$A$210=$A90)*(Price!$B$11:$B$210=$B90)*(Price!$D$11:$D$210="gb"),0),MATCH(1,(Price!$L$3:$AY$3=AC$3)*(Price!$L$4:$AY$4=AC$4),0))</f>
        <v>1303.8316268486917</v>
      </c>
      <c r="AD90" s="136" cm="1">
        <f t="array" ref="AD90">INDEX(Price!$L$11:$AY$210,MATCH(1,(Price!$A$11:$A$210=$A90)*(Price!$B$11:$B$210=$B90)*(Price!$D$11:$D$210="gb"),0),MATCH(1,(Price!$L$3:$AY$3=AD$3)*(Price!$L$4:$AY$4=AD$4),0))</f>
        <v>1303.8316268486917</v>
      </c>
      <c r="AE90" s="135" cm="1">
        <f t="array" ref="AE90">INDEX(Price!$L$11:$AY$210,MATCH(1,(Price!$A$11:$A$210=$A90)*(Price!$B$11:$B$210=$B90)*(Price!$D$11:$D$210="gb"),0),MATCH(1,(Price!$L$3:$AY$3=AE$3)*(Price!$L$4:$AY$4=AE$4),0))</f>
        <v>1290</v>
      </c>
      <c r="AF90" s="135" cm="1">
        <f t="array" ref="AF90">INDEX(Price!$L$11:$AY$210,MATCH(1,(Price!$A$11:$A$210=$A90)*(Price!$B$11:$B$210=$B90)*(Price!$D$11:$D$210="gb"),0),MATCH(1,(Price!$L$3:$AY$3=AF$3)*(Price!$L$4:$AY$4=AF$4),0))</f>
        <v>1290</v>
      </c>
      <c r="AG90" s="135" cm="1">
        <f t="array" ref="AG90">INDEX(Price!$L$11:$AY$210,MATCH(1,(Price!$A$11:$A$210=$A90)*(Price!$B$11:$B$210=$B90)*(Price!$D$11:$D$210="gb"),0),MATCH(1,(Price!$L$3:$AY$3=AG$3)*(Price!$L$4:$AY$4=AG$4),0))</f>
        <v>1290</v>
      </c>
      <c r="AH90" s="135" cm="1">
        <f t="array" ref="AH90">INDEX(Price!$L$11:$AY$210,MATCH(1,(Price!$A$11:$A$210=$A90)*(Price!$B$11:$B$210=$B90)*(Price!$D$11:$D$210="gb"),0),MATCH(1,(Price!$L$3:$AY$3=AH$3)*(Price!$L$4:$AY$4=AH$4),0))</f>
        <v>1290</v>
      </c>
      <c r="AI90" s="135" cm="1">
        <f t="array" ref="AI90">INDEX(Price!$L$11:$AY$210,MATCH(1,(Price!$A$11:$A$210=$A90)*(Price!$B$11:$B$210=$B90)*(Price!$D$11:$D$210="gb"),0),MATCH(1,(Price!$L$3:$AY$3=AI$3)*(Price!$L$4:$AY$4=AI$4),0))</f>
        <v>1290</v>
      </c>
      <c r="AJ90" s="135" cm="1">
        <f t="array" ref="AJ90">INDEX(Price!$L$11:$AY$210,MATCH(1,(Price!$A$11:$A$210=$A90)*(Price!$B$11:$B$210=$B90)*(Price!$D$11:$D$210="gb"),0),MATCH(1,(Price!$L$3:$AY$3=AJ$3)*(Price!$L$4:$AY$4=AJ$4),0))</f>
        <v>1290</v>
      </c>
      <c r="AK90" s="135"/>
      <c r="AL90" s="135"/>
      <c r="AM90" s="135"/>
      <c r="AN90" s="135"/>
      <c r="AO90" s="135"/>
      <c r="AP90" s="136"/>
    </row>
    <row r="91" spans="1:42" s="1" customFormat="1" ht="11.4" customHeight="1" outlineLevel="1" x14ac:dyDescent="0.3">
      <c r="A91" s="1" t="s">
        <v>61</v>
      </c>
      <c r="B91" s="1" t="s">
        <v>34</v>
      </c>
      <c r="C91" s="142" t="s">
        <v>321</v>
      </c>
      <c r="D91" s="160">
        <v>6.2</v>
      </c>
      <c r="E91" s="143"/>
      <c r="F91" s="320" t="s">
        <v>8</v>
      </c>
      <c r="G91" s="144" cm="1">
        <f t="array" ref="G91">INDEX(Price!$L$11:$AY$210,MATCH(1,(Price!$A$11:$A$210=$A91)*(Price!$B$11:$B$210=$B91)*(Price!$D$11:$D$210="exw"),0),MATCH(1,(Price!$L$3:$AY$3=G$3)*(Price!$L$4:$AY$4=G$4),0))</f>
        <v>1250</v>
      </c>
      <c r="H91" s="144" cm="1">
        <f t="array" ref="H91">INDEX(Price!$L$11:$AY$210,MATCH(1,(Price!$A$11:$A$210=$A91)*(Price!$B$11:$B$210=$B91)*(Price!$D$11:$D$210="exw"),0),MATCH(1,(Price!$L$3:$AY$3=H$3)*(Price!$L$4:$AY$4=H$4),0))</f>
        <v>1250</v>
      </c>
      <c r="I91" s="144" cm="1">
        <f t="array" ref="I91">INDEX(Price!$L$11:$AY$210,MATCH(1,(Price!$A$11:$A$210=$A91)*(Price!$B$11:$B$210=$B91)*(Price!$D$11:$D$210="exw"),0),MATCH(1,(Price!$L$3:$AY$3=I$3)*(Price!$L$4:$AY$4=I$4),0))</f>
        <v>1250</v>
      </c>
      <c r="J91" s="144" cm="1">
        <f t="array" ref="J91">INDEX(Price!$L$11:$AY$210,MATCH(1,(Price!$A$11:$A$210=$A91)*(Price!$B$11:$B$210=$B91)*(Price!$D$11:$D$210="exw"),0),MATCH(1,(Price!$L$3:$AY$3=J$3)*(Price!$L$4:$AY$4=J$4),0))</f>
        <v>1250</v>
      </c>
      <c r="K91" s="144" cm="1">
        <f t="array" ref="K91">INDEX(Price!$L$11:$AY$210,MATCH(1,(Price!$A$11:$A$210=$A91)*(Price!$B$11:$B$210=$B91)*(Price!$D$11:$D$210="exw"),0),MATCH(1,(Price!$L$3:$AY$3=K$3)*(Price!$L$4:$AY$4=K$4),0))</f>
        <v>1250</v>
      </c>
      <c r="L91" s="144" cm="1">
        <f t="array" ref="L91">INDEX(Price!$L$11:$AY$210,MATCH(1,(Price!$A$11:$A$210=$A91)*(Price!$B$11:$B$210=$B91)*(Price!$D$11:$D$210="exw"),0),MATCH(1,(Price!$L$3:$AY$3=L$3)*(Price!$L$4:$AY$4=L$4),0))</f>
        <v>1250</v>
      </c>
      <c r="M91" s="144" cm="1">
        <f t="array" ref="M91">INDEX(Price!$L$11:$AY$210,MATCH(1,(Price!$A$11:$A$210=$A91)*(Price!$B$11:$B$210=$B91)*(Price!$D$11:$D$210="exw"),0),MATCH(1,(Price!$L$3:$AY$3=M$3)*(Price!$L$4:$AY$4=M$4),0))</f>
        <v>1330</v>
      </c>
      <c r="N91" s="144" cm="1">
        <f t="array" ref="N91">INDEX(Price!$L$11:$AY$210,MATCH(1,(Price!$A$11:$A$210=$A91)*(Price!$B$11:$B$210=$B91)*(Price!$D$11:$D$210="exw"),0),MATCH(1,(Price!$L$3:$AY$3=N$3)*(Price!$L$4:$AY$4=N$4),0))</f>
        <v>1330</v>
      </c>
      <c r="O91" s="144" cm="1">
        <f t="array" ref="O91">INDEX(Price!$L$11:$AY$210,MATCH(1,(Price!$A$11:$A$210=$A91)*(Price!$B$11:$B$210=$B91)*(Price!$D$11:$D$210="exw"),0),MATCH(1,(Price!$L$3:$AY$3=O$3)*(Price!$L$4:$AY$4=O$4),0))</f>
        <v>1330</v>
      </c>
      <c r="P91" s="144" cm="1">
        <f t="array" ref="P91">INDEX(Price!$L$11:$AY$210,MATCH(1,(Price!$A$11:$A$210=$A91)*(Price!$B$11:$B$210=$B91)*(Price!$D$11:$D$210="exw"),0),MATCH(1,(Price!$L$3:$AY$3=P$3)*(Price!$L$4:$AY$4=P$4),0))</f>
        <v>1330</v>
      </c>
      <c r="Q91" s="144" cm="1">
        <f t="array" ref="Q91">INDEX(Price!$L$11:$AY$210,MATCH(1,(Price!$A$11:$A$210=$A91)*(Price!$B$11:$B$210=$B91)*(Price!$D$11:$D$210="exw"),0),MATCH(1,(Price!$L$3:$AY$3=Q$3)*(Price!$L$4:$AY$4=Q$4),0))</f>
        <v>1330</v>
      </c>
      <c r="R91" s="145" cm="1">
        <f t="array" ref="R91">INDEX(Price!$L$11:$AY$210,MATCH(1,(Price!$A$11:$A$210=$A91)*(Price!$B$11:$B$210=$B91)*(Price!$D$11:$D$210="exw"),0),MATCH(1,(Price!$L$3:$AY$3=R$3)*(Price!$L$4:$AY$4=R$4),0))</f>
        <v>1330</v>
      </c>
      <c r="S91" s="144" cm="1">
        <f t="array" ref="S91">INDEX(Price!$L$11:$AY$210,MATCH(1,(Price!$A$11:$A$210=$A91)*(Price!$B$11:$B$210=$B91)*(Price!$D$11:$D$210="exw"),0),MATCH(1,(Price!$L$3:$AY$3=S$3)*(Price!$L$4:$AY$4=S$4),0))</f>
        <v>1250</v>
      </c>
      <c r="T91" s="144" cm="1">
        <f t="array" ref="T91">INDEX(Price!$L$11:$AY$210,MATCH(1,(Price!$A$11:$A$210=$A91)*(Price!$B$11:$B$210=$B91)*(Price!$D$11:$D$210="exw"),0),MATCH(1,(Price!$L$3:$AY$3=T$3)*(Price!$L$4:$AY$4=T$4),0))</f>
        <v>1250</v>
      </c>
      <c r="U91" s="144" cm="1">
        <f t="array" ref="U91">INDEX(Price!$L$11:$AY$210,MATCH(1,(Price!$A$11:$A$210=$A91)*(Price!$B$11:$B$210=$B91)*(Price!$D$11:$D$210="exw"),0),MATCH(1,(Price!$L$3:$AY$3=U$3)*(Price!$L$4:$AY$4=U$4),0))</f>
        <v>1250</v>
      </c>
      <c r="V91" s="144" cm="1">
        <f t="array" ref="V91">INDEX(Price!$L$11:$AY$210,MATCH(1,(Price!$A$11:$A$210=$A91)*(Price!$B$11:$B$210=$B91)*(Price!$D$11:$D$210="exw"),0),MATCH(1,(Price!$L$3:$AY$3=V$3)*(Price!$L$4:$AY$4=V$4),0))</f>
        <v>1250</v>
      </c>
      <c r="W91" s="144" cm="1">
        <f t="array" ref="W91">INDEX(Price!$L$11:$AY$210,MATCH(1,(Price!$A$11:$A$210=$A91)*(Price!$B$11:$B$210=$B91)*(Price!$D$11:$D$210="exw"),0),MATCH(1,(Price!$L$3:$AY$3=W$3)*(Price!$L$4:$AY$4=W$4),0))</f>
        <v>1250</v>
      </c>
      <c r="X91" s="144" cm="1">
        <f t="array" ref="X91">INDEX(Price!$L$11:$AY$210,MATCH(1,(Price!$A$11:$A$210=$A91)*(Price!$B$11:$B$210=$B91)*(Price!$D$11:$D$210="exw"),0),MATCH(1,(Price!$L$3:$AY$3=X$3)*(Price!$L$4:$AY$4=X$4),0))</f>
        <v>1250</v>
      </c>
      <c r="Y91" s="144" cm="1">
        <f t="array" ref="Y91">INDEX(Price!$L$11:$AY$210,MATCH(1,(Price!$A$11:$A$210=$A91)*(Price!$B$11:$B$210=$B91)*(Price!$D$11:$D$210="exw"),0),MATCH(1,(Price!$L$3:$AY$3=Y$3)*(Price!$L$4:$AY$4=Y$4),0))</f>
        <v>0</v>
      </c>
      <c r="Z91" s="144" cm="1">
        <f t="array" ref="Z91">INDEX(Price!$L$11:$AY$210,MATCH(1,(Price!$A$11:$A$210=$A91)*(Price!$B$11:$B$210=$B91)*(Price!$D$11:$D$210="exw"),0),MATCH(1,(Price!$L$3:$AY$3=Z$3)*(Price!$L$4:$AY$4=Z$4),0))</f>
        <v>1303.8316268486917</v>
      </c>
      <c r="AA91" s="144" cm="1">
        <f t="array" ref="AA91">INDEX(Price!$L$11:$AY$210,MATCH(1,(Price!$A$11:$A$210=$A91)*(Price!$B$11:$B$210=$B91)*(Price!$D$11:$D$210="exw"),0),MATCH(1,(Price!$L$3:$AY$3=AA$3)*(Price!$L$4:$AY$4=AA$4),0))</f>
        <v>1303.8316268486917</v>
      </c>
      <c r="AB91" s="144" cm="1">
        <f t="array" ref="AB91">INDEX(Price!$L$11:$AY$210,MATCH(1,(Price!$A$11:$A$210=$A91)*(Price!$B$11:$B$210=$B91)*(Price!$D$11:$D$210="exw"),0),MATCH(1,(Price!$L$3:$AY$3=AB$3)*(Price!$L$4:$AY$4=AB$4),0))</f>
        <v>1303.8316268486917</v>
      </c>
      <c r="AC91" s="144" cm="1">
        <f t="array" ref="AC91">INDEX(Price!$L$11:$AY$210,MATCH(1,(Price!$A$11:$A$210=$A91)*(Price!$B$11:$B$210=$B91)*(Price!$D$11:$D$210="exw"),0),MATCH(1,(Price!$L$3:$AY$3=AC$3)*(Price!$L$4:$AY$4=AC$4),0))</f>
        <v>1303.8316268486917</v>
      </c>
      <c r="AD91" s="145" cm="1">
        <f t="array" ref="AD91">INDEX(Price!$L$11:$AY$210,MATCH(1,(Price!$A$11:$A$210=$A91)*(Price!$B$11:$B$210=$B91)*(Price!$D$11:$D$210="exw"),0),MATCH(1,(Price!$L$3:$AY$3=AD$3)*(Price!$L$4:$AY$4=AD$4),0))</f>
        <v>1303.8316268486917</v>
      </c>
      <c r="AE91" s="144" cm="1">
        <f t="array" ref="AE91">INDEX(Price!$L$11:$AY$210,MATCH(1,(Price!$A$11:$A$210=$A91)*(Price!$B$11:$B$210=$B91)*(Price!$D$11:$D$210="exw"),0),MATCH(1,(Price!$L$3:$AY$3=AE$3)*(Price!$L$4:$AY$4=AE$4),0))</f>
        <v>1290</v>
      </c>
      <c r="AF91" s="144" cm="1">
        <f t="array" ref="AF91">INDEX(Price!$L$11:$AY$210,MATCH(1,(Price!$A$11:$A$210=$A91)*(Price!$B$11:$B$210=$B91)*(Price!$D$11:$D$210="exw"),0),MATCH(1,(Price!$L$3:$AY$3=AF$3)*(Price!$L$4:$AY$4=AF$4),0))</f>
        <v>1290</v>
      </c>
      <c r="AG91" s="144" cm="1">
        <f t="array" ref="AG91">INDEX(Price!$L$11:$AY$210,MATCH(1,(Price!$A$11:$A$210=$A91)*(Price!$B$11:$B$210=$B91)*(Price!$D$11:$D$210="exw"),0),MATCH(1,(Price!$L$3:$AY$3=AG$3)*(Price!$L$4:$AY$4=AG$4),0))</f>
        <v>1290</v>
      </c>
      <c r="AH91" s="144" cm="1">
        <f t="array" ref="AH91">INDEX(Price!$L$11:$AY$210,MATCH(1,(Price!$A$11:$A$210=$A91)*(Price!$B$11:$B$210=$B91)*(Price!$D$11:$D$210="exw"),0),MATCH(1,(Price!$L$3:$AY$3=AH$3)*(Price!$L$4:$AY$4=AH$4),0))</f>
        <v>1290</v>
      </c>
      <c r="AI91" s="144" cm="1">
        <f t="array" ref="AI91">INDEX(Price!$L$11:$AY$210,MATCH(1,(Price!$A$11:$A$210=$A91)*(Price!$B$11:$B$210=$B91)*(Price!$D$11:$D$210="exw"),0),MATCH(1,(Price!$L$3:$AY$3=AI$3)*(Price!$L$4:$AY$4=AI$4),0))</f>
        <v>1290</v>
      </c>
      <c r="AJ91" s="144" cm="1">
        <f t="array" ref="AJ91">INDEX(Price!$L$11:$AY$210,MATCH(1,(Price!$A$11:$A$210=$A91)*(Price!$B$11:$B$210=$B91)*(Price!$D$11:$D$210="exw"),0),MATCH(1,(Price!$L$3:$AY$3=AJ$3)*(Price!$L$4:$AY$4=AJ$4),0))</f>
        <v>1290</v>
      </c>
      <c r="AK91" s="144"/>
      <c r="AL91" s="144"/>
      <c r="AM91" s="144"/>
      <c r="AN91" s="144"/>
      <c r="AO91" s="144"/>
      <c r="AP91" s="145"/>
    </row>
    <row r="92" spans="1:42" ht="11.4" customHeight="1" outlineLevel="1" x14ac:dyDescent="0.3">
      <c r="A92" t="s">
        <v>61</v>
      </c>
      <c r="B92" t="s">
        <v>34</v>
      </c>
      <c r="C92" s="14" t="s">
        <v>9</v>
      </c>
      <c r="D92" s="161">
        <v>6.3</v>
      </c>
      <c r="E92" s="8"/>
      <c r="F92" s="321" t="s">
        <v>11</v>
      </c>
      <c r="G92" s="315" cm="1">
        <f t="array" ref="G92">SUMPRODUCT(General_Data*(Code_General_Data=$C92)*(Year=G$3)*(Month=G$4))</f>
        <v>930</v>
      </c>
      <c r="H92" s="132" cm="1">
        <f t="array" ref="H92">SUMPRODUCT(General_Data*(Code_General_Data=$C92)*(Year=H$3)*(Month=H$4))</f>
        <v>943.33333333333337</v>
      </c>
      <c r="I92" s="132" cm="1">
        <f t="array" ref="I92">SUMPRODUCT(General_Data*(Code_General_Data=$C92)*(Year=I$3)*(Month=I$4))</f>
        <v>940</v>
      </c>
      <c r="J92" s="132" cm="1">
        <f t="array" ref="J92">SUMPRODUCT(General_Data*(Code_General_Data=$C92)*(Year=J$3)*(Month=J$4))</f>
        <v>940</v>
      </c>
      <c r="K92" s="132" cm="1">
        <f t="array" ref="K92">SUMPRODUCT(General_Data*(Code_General_Data=$C92)*(Year=K$3)*(Month=K$4))</f>
        <v>942</v>
      </c>
      <c r="L92" s="132" cm="1">
        <f t="array" ref="L92">SUMPRODUCT(General_Data*(Code_General_Data=$C92)*(Year=L$3)*(Month=L$4))</f>
        <v>950</v>
      </c>
      <c r="M92" s="132" cm="1">
        <f t="array" ref="M92">SUMPRODUCT(General_Data*(Code_General_Data=$C92)*(Year=M$3)*(Month=M$4))</f>
        <v>947.5</v>
      </c>
      <c r="N92" s="132" cm="1">
        <f t="array" ref="N92">SUMPRODUCT(General_Data*(Code_General_Data=$C92)*(Year=N$3)*(Month=N$4))</f>
        <v>930</v>
      </c>
      <c r="O92" s="132" cm="1">
        <f t="array" ref="O92">SUMPRODUCT(General_Data*(Code_General_Data=$C92)*(Year=O$3)*(Month=O$4))</f>
        <v>880</v>
      </c>
      <c r="P92" s="132" cm="1">
        <f t="array" ref="P92">SUMPRODUCT(General_Data*(Code_General_Data=$C92)*(Year=P$3)*(Month=P$4))</f>
        <v>862.5</v>
      </c>
      <c r="Q92" s="132" cm="1">
        <f t="array" ref="Q92">SUMPRODUCT(General_Data*(Code_General_Data=$C92)*(Year=Q$3)*(Month=Q$4))</f>
        <v>852</v>
      </c>
      <c r="R92" s="133" cm="1">
        <f t="array" ref="R92">SUMPRODUCT(General_Data*(Code_General_Data=$C92)*(Year=R$3)*(Month=R$4))</f>
        <v>830</v>
      </c>
      <c r="S92" s="132" cm="1">
        <f t="array" ref="S92">SUMPRODUCT(General_Data*(Code_General_Data=$C92)*(Year=S$3)*(Month=S$4))</f>
        <v>828</v>
      </c>
      <c r="T92" s="132" cm="1">
        <f t="array" ref="T92">SUMPRODUCT(General_Data*(Code_General_Data=$C92)*(Year=T$3)*(Month=T$4))</f>
        <v>840</v>
      </c>
      <c r="U92" s="132" cm="1">
        <f t="array" ref="U92">SUMPRODUCT(General_Data*(Code_General_Data=$C92)*(Year=U$3)*(Month=U$4))</f>
        <v>823</v>
      </c>
      <c r="V92" s="132" cm="1">
        <f t="array" ref="V92">SUMPRODUCT(General_Data*(Code_General_Data=$C92)*(Year=V$3)*(Month=V$4))</f>
        <v>765</v>
      </c>
      <c r="W92" s="132" cm="1">
        <f t="array" ref="W92">SUMPRODUCT(General_Data*(Code_General_Data=$C92)*(Year=W$3)*(Month=W$4))</f>
        <v>782</v>
      </c>
      <c r="X92" s="132" cm="1">
        <f t="array" ref="X92">SUMPRODUCT(General_Data*(Code_General_Data=$C92)*(Year=X$3)*(Month=X$4))</f>
        <v>807.5</v>
      </c>
      <c r="Y92" s="132" cm="1">
        <f t="array" ref="Y92">SUMPRODUCT(General_Data*(Code_General_Data=$C92)*(Year=Y$3)*(Month=Y$4))</f>
        <v>802</v>
      </c>
      <c r="Z92" s="132" cm="1">
        <f t="array" ref="Z92">SUMPRODUCT(General_Data*(Code_General_Data=$C92)*(Year=Z$3)*(Month=Z$4))</f>
        <v>795</v>
      </c>
      <c r="AA92" s="132" cm="1">
        <f t="array" ref="AA92">SUMPRODUCT(General_Data*(Code_General_Data=$C92)*(Year=AA$3)*(Month=AA$4))</f>
        <v>783</v>
      </c>
      <c r="AB92" s="132" cm="1">
        <f t="array" ref="AB92">SUMPRODUCT(General_Data*(Code_General_Data=$C92)*(Year=AB$3)*(Month=AB$4))</f>
        <v>772</v>
      </c>
      <c r="AC92" s="132" cm="1">
        <f t="array" ref="AC92">SUMPRODUCT(General_Data*(Code_General_Data=$C92)*(Year=AC$3)*(Month=AC$4))</f>
        <v>770</v>
      </c>
      <c r="AD92" s="133" cm="1">
        <f t="array" ref="AD92">SUMPRODUCT(General_Data*(Code_General_Data=$C92)*(Year=AD$3)*(Month=AD$4))</f>
        <v>772.5</v>
      </c>
      <c r="AE92" s="132" cm="1">
        <f t="array" ref="AE92">SUMPRODUCT(General_Data*(Code_General_Data=$C92)*(Year=AE$3)*(Month=AE$4))</f>
        <v>805</v>
      </c>
      <c r="AF92" s="132" cm="1">
        <f t="array" ref="AF92">SUMPRODUCT(General_Data*(Code_General_Data=$C92)*(Year=AF$3)*(Month=AF$4))</f>
        <v>840</v>
      </c>
      <c r="AG92" s="132" cm="1">
        <f t="array" ref="AG92">SUMPRODUCT(General_Data*(Code_General_Data=$C92)*(Year=AG$3)*(Month=AG$4))</f>
        <v>1109</v>
      </c>
      <c r="AH92" s="132" cm="1">
        <f t="array" ref="AH92">SUMPRODUCT(General_Data*(Code_General_Data=$C92)*(Year=AH$3)*(Month=AH$4))</f>
        <v>1194</v>
      </c>
      <c r="AI92" s="132" cm="1">
        <f t="array" ref="AI92">SUMPRODUCT(General_Data*(Code_General_Data=$C92)*(Year=AI$3)*(Month=AI$4))</f>
        <v>1216</v>
      </c>
      <c r="AJ92" s="132" cm="1">
        <f t="array" ref="AJ92">SUMPRODUCT(General_Data*(Code_General_Data=$C92)*(Year=AJ$3)*(Month=AJ$4))</f>
        <v>1190</v>
      </c>
      <c r="AK92" s="132"/>
      <c r="AL92" s="132"/>
      <c r="AM92" s="132"/>
      <c r="AN92" s="132"/>
      <c r="AO92" s="132"/>
      <c r="AP92" s="133"/>
    </row>
    <row r="93" spans="1:42" s="151" customFormat="1" ht="11.4" customHeight="1" outlineLevel="1" x14ac:dyDescent="0.3">
      <c r="A93" s="151" t="s">
        <v>61</v>
      </c>
      <c r="B93" s="151" t="s">
        <v>34</v>
      </c>
      <c r="D93" s="162">
        <v>6.4</v>
      </c>
      <c r="E93" s="152"/>
      <c r="F93" s="322" t="s">
        <v>406</v>
      </c>
      <c r="G93" s="153">
        <f t="shared" ref="G93:AD93" si="62">IF(G90*G91*G92&lt;&gt;0,G91-G92,0)</f>
        <v>320</v>
      </c>
      <c r="H93" s="153">
        <f t="shared" si="62"/>
        <v>306.66666666666663</v>
      </c>
      <c r="I93" s="153">
        <f t="shared" si="62"/>
        <v>310</v>
      </c>
      <c r="J93" s="153">
        <f t="shared" si="62"/>
        <v>310</v>
      </c>
      <c r="K93" s="153">
        <f t="shared" si="62"/>
        <v>308</v>
      </c>
      <c r="L93" s="153">
        <f t="shared" si="62"/>
        <v>300</v>
      </c>
      <c r="M93" s="153">
        <f t="shared" si="62"/>
        <v>382.5</v>
      </c>
      <c r="N93" s="153">
        <f t="shared" si="62"/>
        <v>400</v>
      </c>
      <c r="O93" s="153">
        <f t="shared" si="62"/>
        <v>450</v>
      </c>
      <c r="P93" s="153">
        <f t="shared" si="62"/>
        <v>467.5</v>
      </c>
      <c r="Q93" s="153">
        <f t="shared" si="62"/>
        <v>478</v>
      </c>
      <c r="R93" s="154">
        <f t="shared" si="62"/>
        <v>500</v>
      </c>
      <c r="S93" s="153">
        <f t="shared" si="62"/>
        <v>422</v>
      </c>
      <c r="T93" s="153">
        <f t="shared" si="62"/>
        <v>410</v>
      </c>
      <c r="U93" s="153">
        <f t="shared" si="62"/>
        <v>427</v>
      </c>
      <c r="V93" s="153">
        <f t="shared" si="62"/>
        <v>485</v>
      </c>
      <c r="W93" s="153">
        <f t="shared" si="62"/>
        <v>468</v>
      </c>
      <c r="X93" s="153">
        <f t="shared" si="62"/>
        <v>442.5</v>
      </c>
      <c r="Y93" s="153">
        <f t="shared" si="62"/>
        <v>0</v>
      </c>
      <c r="Z93" s="153">
        <f t="shared" si="62"/>
        <v>508.83162684869171</v>
      </c>
      <c r="AA93" s="153">
        <f t="shared" si="62"/>
        <v>520.83162684869171</v>
      </c>
      <c r="AB93" s="153">
        <f t="shared" si="62"/>
        <v>531.83162684869171</v>
      </c>
      <c r="AC93" s="153">
        <f t="shared" si="62"/>
        <v>533.83162684869171</v>
      </c>
      <c r="AD93" s="154">
        <f t="shared" si="62"/>
        <v>531.33162684869171</v>
      </c>
      <c r="AE93" s="153">
        <f t="shared" ref="AE93:AH93" si="63">IF(AE90*AE91*AE92&lt;&gt;0,AE91-AE92,0)</f>
        <v>485</v>
      </c>
      <c r="AF93" s="153">
        <f t="shared" si="63"/>
        <v>450</v>
      </c>
      <c r="AG93" s="153">
        <f t="shared" si="63"/>
        <v>181</v>
      </c>
      <c r="AH93" s="153">
        <f t="shared" si="63"/>
        <v>96</v>
      </c>
      <c r="AI93" s="153">
        <f t="shared" ref="AI93:AJ93" si="64">IF(AI90*AI91*AI92&lt;&gt;0,AI91-AI92,0)</f>
        <v>74</v>
      </c>
      <c r="AJ93" s="153">
        <f t="shared" si="64"/>
        <v>100</v>
      </c>
      <c r="AK93" s="153"/>
      <c r="AL93" s="153"/>
      <c r="AM93" s="153"/>
      <c r="AN93" s="153"/>
      <c r="AO93" s="153"/>
      <c r="AP93" s="154"/>
    </row>
    <row r="94" spans="1:42" s="155" customFormat="1" ht="11.4" customHeight="1" outlineLevel="1" x14ac:dyDescent="0.3">
      <c r="A94" s="155" t="s">
        <v>61</v>
      </c>
      <c r="B94" s="155" t="s">
        <v>34</v>
      </c>
      <c r="D94" s="163">
        <v>6.5</v>
      </c>
      <c r="E94" s="156"/>
      <c r="F94" s="323" t="s">
        <v>14</v>
      </c>
      <c r="G94" s="497">
        <f t="shared" ref="G94:AD94" si="65">IFERROR(G93/G92,0)</f>
        <v>0.34408602150537637</v>
      </c>
      <c r="H94" s="497">
        <f t="shared" si="65"/>
        <v>0.32508833922261476</v>
      </c>
      <c r="I94" s="497">
        <f t="shared" si="65"/>
        <v>0.32978723404255317</v>
      </c>
      <c r="J94" s="497">
        <f t="shared" si="65"/>
        <v>0.32978723404255317</v>
      </c>
      <c r="K94" s="497">
        <f t="shared" si="65"/>
        <v>0.32696390658174096</v>
      </c>
      <c r="L94" s="497">
        <f t="shared" si="65"/>
        <v>0.31578947368421051</v>
      </c>
      <c r="M94" s="497">
        <f t="shared" si="65"/>
        <v>0.40369393139841686</v>
      </c>
      <c r="N94" s="497">
        <f t="shared" si="65"/>
        <v>0.43010752688172044</v>
      </c>
      <c r="O94" s="497">
        <f t="shared" si="65"/>
        <v>0.51136363636363635</v>
      </c>
      <c r="P94" s="497">
        <f t="shared" si="65"/>
        <v>0.54202898550724643</v>
      </c>
      <c r="Q94" s="497">
        <f t="shared" si="65"/>
        <v>0.56103286384976525</v>
      </c>
      <c r="R94" s="498">
        <f t="shared" si="65"/>
        <v>0.60240963855421692</v>
      </c>
      <c r="S94" s="497">
        <f t="shared" si="65"/>
        <v>0.50966183574879231</v>
      </c>
      <c r="T94" s="497">
        <f t="shared" si="65"/>
        <v>0.48809523809523808</v>
      </c>
      <c r="U94" s="497">
        <f t="shared" si="65"/>
        <v>0.51883353584447145</v>
      </c>
      <c r="V94" s="497">
        <f t="shared" si="65"/>
        <v>0.63398692810457513</v>
      </c>
      <c r="W94" s="497">
        <f t="shared" si="65"/>
        <v>0.59846547314578002</v>
      </c>
      <c r="X94" s="497">
        <f t="shared" si="65"/>
        <v>0.54798761609907121</v>
      </c>
      <c r="Y94" s="497">
        <f t="shared" si="65"/>
        <v>0</v>
      </c>
      <c r="Z94" s="497">
        <f t="shared" si="65"/>
        <v>0.64003978219961222</v>
      </c>
      <c r="AA94" s="497">
        <f t="shared" si="65"/>
        <v>0.66517449150535335</v>
      </c>
      <c r="AB94" s="497">
        <f t="shared" si="65"/>
        <v>0.68890107104752818</v>
      </c>
      <c r="AC94" s="497">
        <f t="shared" si="65"/>
        <v>0.69328782707622305</v>
      </c>
      <c r="AD94" s="498">
        <f t="shared" si="65"/>
        <v>0.68780793119571748</v>
      </c>
      <c r="AE94" s="497">
        <f t="shared" ref="AE94:AH94" si="66">IFERROR(AE93/AE92,0)</f>
        <v>0.60248447204968947</v>
      </c>
      <c r="AF94" s="497">
        <f t="shared" si="66"/>
        <v>0.5357142857142857</v>
      </c>
      <c r="AG94" s="497">
        <f t="shared" si="66"/>
        <v>0.16321009918845808</v>
      </c>
      <c r="AH94" s="497">
        <f t="shared" si="66"/>
        <v>8.0402010050251257E-2</v>
      </c>
      <c r="AI94" s="497">
        <f t="shared" ref="AI94:AJ94" si="67">IFERROR(AI93/AI92,0)</f>
        <v>6.0855263157894739E-2</v>
      </c>
      <c r="AJ94" s="497">
        <f t="shared" si="67"/>
        <v>8.4033613445378158E-2</v>
      </c>
      <c r="AK94" s="497"/>
      <c r="AL94" s="497"/>
      <c r="AM94" s="497"/>
      <c r="AN94" s="497"/>
      <c r="AO94" s="497"/>
      <c r="AP94" s="498"/>
    </row>
    <row r="95" spans="1:42" s="137" customFormat="1" ht="11.4" customHeight="1" outlineLevel="1" x14ac:dyDescent="0.3">
      <c r="A95" s="137" t="s">
        <v>61</v>
      </c>
      <c r="B95" s="137" t="s">
        <v>34</v>
      </c>
      <c r="C95" s="137" t="s">
        <v>34</v>
      </c>
      <c r="D95" s="164">
        <v>6.6</v>
      </c>
      <c r="E95" s="138"/>
      <c r="F95" s="324" t="s">
        <v>202</v>
      </c>
      <c r="G95" s="139" cm="1">
        <f t="array" ref="G95">SUMPRODUCT(General_Data*(Code_General_Data=$C95)*(Year=G$3)*(Month=G$4))</f>
        <v>1250</v>
      </c>
      <c r="H95" s="139" cm="1">
        <f t="array" ref="H95">SUMPRODUCT(General_Data*(Code_General_Data=$C95)*(Year=H$3)*(Month=H$4))</f>
        <v>1250</v>
      </c>
      <c r="I95" s="139" cm="1">
        <f t="array" ref="I95">SUMPRODUCT(General_Data*(Code_General_Data=$C95)*(Year=I$3)*(Month=I$4))</f>
        <v>1250</v>
      </c>
      <c r="J95" s="139" cm="1">
        <f t="array" ref="J95">SUMPRODUCT(General_Data*(Code_General_Data=$C95)*(Year=J$3)*(Month=J$4))</f>
        <v>1250</v>
      </c>
      <c r="K95" s="139" cm="1">
        <f t="array" ref="K95">SUMPRODUCT(General_Data*(Code_General_Data=$C95)*(Year=K$3)*(Month=K$4))</f>
        <v>1300</v>
      </c>
      <c r="L95" s="139" cm="1">
        <f t="array" ref="L95">SUMPRODUCT(General_Data*(Code_General_Data=$C95)*(Year=L$3)*(Month=L$4))</f>
        <v>1300</v>
      </c>
      <c r="M95" s="139" cm="1">
        <f t="array" ref="M95">SUMPRODUCT(General_Data*(Code_General_Data=$C95)*(Year=M$3)*(Month=M$4))</f>
        <v>1300</v>
      </c>
      <c r="N95" s="139" cm="1">
        <f t="array" ref="N95">SUMPRODUCT(General_Data*(Code_General_Data=$C95)*(Year=N$3)*(Month=N$4))</f>
        <v>1300</v>
      </c>
      <c r="O95" s="139" cm="1">
        <f t="array" ref="O95">SUMPRODUCT(General_Data*(Code_General_Data=$C95)*(Year=O$3)*(Month=O$4))</f>
        <v>1310</v>
      </c>
      <c r="P95" s="139" cm="1">
        <f t="array" ref="P95">SUMPRODUCT(General_Data*(Code_General_Data=$C95)*(Year=P$3)*(Month=P$4))</f>
        <v>1325</v>
      </c>
      <c r="Q95" s="139" cm="1">
        <f t="array" ref="Q95">SUMPRODUCT(General_Data*(Code_General_Data=$C95)*(Year=Q$3)*(Month=Q$4))</f>
        <v>1325</v>
      </c>
      <c r="R95" s="140" cm="1">
        <f t="array" ref="R95">SUMPRODUCT(General_Data*(Code_General_Data=$C95)*(Year=R$3)*(Month=R$4))</f>
        <v>1275</v>
      </c>
      <c r="S95" s="139" cm="1">
        <f t="array" ref="S95">SUMPRODUCT(General_Data*(Code_General_Data=$C95)*(Year=S$3)*(Month=S$4))</f>
        <v>1230</v>
      </c>
      <c r="T95" s="139" cm="1">
        <f t="array" ref="T95">SUMPRODUCT(General_Data*(Code_General_Data=$C95)*(Year=T$3)*(Month=T$4))</f>
        <v>1230</v>
      </c>
      <c r="U95" s="139" cm="1">
        <f t="array" ref="U95">SUMPRODUCT(General_Data*(Code_General_Data=$C95)*(Year=U$3)*(Month=U$4))</f>
        <v>1230</v>
      </c>
      <c r="V95" s="139" cm="1">
        <f t="array" ref="V95">SUMPRODUCT(General_Data*(Code_General_Data=$C95)*(Year=V$3)*(Month=V$4))</f>
        <v>1250</v>
      </c>
      <c r="W95" s="139" cm="1">
        <f t="array" ref="W95">SUMPRODUCT(General_Data*(Code_General_Data=$C95)*(Year=W$3)*(Month=W$4))</f>
        <v>1250</v>
      </c>
      <c r="X95" s="139" cm="1">
        <f t="array" ref="X95">SUMPRODUCT(General_Data*(Code_General_Data=$C95)*(Year=X$3)*(Month=X$4))</f>
        <v>1250</v>
      </c>
      <c r="Y95" s="139" cm="1">
        <f t="array" ref="Y95">SUMPRODUCT(General_Data*(Code_General_Data=$C95)*(Year=Y$3)*(Month=Y$4))</f>
        <v>1250</v>
      </c>
      <c r="Z95" s="139" cm="1">
        <f t="array" ref="Z95">SUMPRODUCT(General_Data*(Code_General_Data=$C95)*(Year=Z$3)*(Month=Z$4))</f>
        <v>1220</v>
      </c>
      <c r="AA95" s="139" cm="1">
        <f t="array" ref="AA95">SUMPRODUCT(General_Data*(Code_General_Data=$C95)*(Year=AA$3)*(Month=AA$4))</f>
        <v>1220</v>
      </c>
      <c r="AB95" s="139" cm="1">
        <f t="array" ref="AB95">SUMPRODUCT(General_Data*(Code_General_Data=$C95)*(Year=AB$3)*(Month=AB$4))</f>
        <v>1210</v>
      </c>
      <c r="AC95" s="139" cm="1">
        <f t="array" ref="AC95">SUMPRODUCT(General_Data*(Code_General_Data=$C95)*(Year=AC$3)*(Month=AC$4))</f>
        <v>1200</v>
      </c>
      <c r="AD95" s="140" cm="1">
        <f t="array" ref="AD95">SUMPRODUCT(General_Data*(Code_General_Data=$C95)*(Year=AD$3)*(Month=AD$4))</f>
        <v>1200</v>
      </c>
      <c r="AE95" s="139" cm="1">
        <f t="array" ref="AE95">SUMPRODUCT(General_Data*(Code_General_Data=$C95)*(Year=AE$3)*(Month=AE$4))</f>
        <v>1160</v>
      </c>
      <c r="AF95" s="139" cm="1">
        <f t="array" ref="AF95">SUMPRODUCT(General_Data*(Code_General_Data=$C95)*(Year=AF$3)*(Month=AF$4))</f>
        <v>1160</v>
      </c>
      <c r="AG95" s="139" cm="1">
        <f t="array" ref="AG95">SUMPRODUCT(General_Data*(Code_General_Data=$C95)*(Year=AG$3)*(Month=AG$4))</f>
        <v>1160</v>
      </c>
      <c r="AH95" s="139" cm="1">
        <f t="array" ref="AH95">SUMPRODUCT(General_Data*(Code_General_Data=$C95)*(Year=AH$3)*(Month=AH$4))</f>
        <v>1280</v>
      </c>
      <c r="AI95" s="139" cm="1">
        <f t="array" ref="AI95">SUMPRODUCT(General_Data*(Code_General_Data=$C95)*(Year=AI$3)*(Month=AI$4))</f>
        <v>1380</v>
      </c>
      <c r="AJ95" s="139" cm="1">
        <f t="array" ref="AJ95">SUMPRODUCT(General_Data*(Code_General_Data=$C95)*(Year=AJ$3)*(Month=AJ$4))</f>
        <v>1350</v>
      </c>
      <c r="AK95" s="139"/>
      <c r="AL95" s="139"/>
      <c r="AM95" s="139"/>
      <c r="AN95" s="139"/>
      <c r="AO95" s="139"/>
      <c r="AP95" s="140"/>
    </row>
    <row r="96" spans="1:42" ht="3.6" customHeight="1" x14ac:dyDescent="0.3">
      <c r="D96" s="165"/>
    </row>
    <row r="97" spans="1:42" s="127" customFormat="1" ht="15.6" customHeight="1" x14ac:dyDescent="0.35">
      <c r="A97" s="127" t="s">
        <v>48</v>
      </c>
      <c r="C97" s="131"/>
      <c r="D97" s="157">
        <v>7</v>
      </c>
      <c r="E97" s="130" t="s">
        <v>35</v>
      </c>
      <c r="F97" s="317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314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314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314"/>
    </row>
    <row r="98" spans="1:42" s="147" customFormat="1" ht="13.35" customHeight="1" outlineLevel="1" x14ac:dyDescent="0.3">
      <c r="A98" s="147" t="s">
        <v>48</v>
      </c>
      <c r="B98" s="147" t="s">
        <v>28</v>
      </c>
      <c r="D98" s="158"/>
      <c r="E98" s="148"/>
      <c r="F98" s="318" t="s">
        <v>26</v>
      </c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9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9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9"/>
    </row>
    <row r="99" spans="1:42" s="69" customFormat="1" ht="11.4" customHeight="1" outlineLevel="1" x14ac:dyDescent="0.3">
      <c r="A99" s="69" t="s">
        <v>48</v>
      </c>
      <c r="B99" s="69" t="s">
        <v>28</v>
      </c>
      <c r="D99" s="159">
        <v>7.1</v>
      </c>
      <c r="E99" s="134"/>
      <c r="F99" s="319" t="s">
        <v>27</v>
      </c>
      <c r="G99" s="135" cm="1">
        <f t="array" ref="G99">INDEX(Price!$L$11:$AY$210,MATCH(1,(Price!$A$11:$A$210=$A99)*(Price!$B$11:$B$210=$B99)*(Price!$D$11:$D$210="gb"),0),MATCH(1,(Price!$L$3:$AY$3=G$3)*(Price!$L$4:$AY$4=G$4),0))</f>
        <v>1325</v>
      </c>
      <c r="H99" s="135" cm="1">
        <f t="array" ref="H99">INDEX(Price!$L$11:$AY$210,MATCH(1,(Price!$A$11:$A$210=$A99)*(Price!$B$11:$B$210=$B99)*(Price!$D$11:$D$210="gb"),0),MATCH(1,(Price!$L$3:$AY$3=H$3)*(Price!$L$4:$AY$4=H$4),0))</f>
        <v>1325</v>
      </c>
      <c r="I99" s="135" cm="1">
        <f t="array" ref="I99">INDEX(Price!$L$11:$AY$210,MATCH(1,(Price!$A$11:$A$210=$A99)*(Price!$B$11:$B$210=$B99)*(Price!$D$11:$D$210="gb"),0),MATCH(1,(Price!$L$3:$AY$3=I$3)*(Price!$L$4:$AY$4=I$4),0))</f>
        <v>1325</v>
      </c>
      <c r="J99" s="135" cm="1">
        <f t="array" ref="J99">INDEX(Price!$L$11:$AY$210,MATCH(1,(Price!$A$11:$A$210=$A99)*(Price!$B$11:$B$210=$B99)*(Price!$D$11:$D$210="gb"),0),MATCH(1,(Price!$L$3:$AY$3=J$3)*(Price!$L$4:$AY$4=J$4),0))</f>
        <v>1325</v>
      </c>
      <c r="K99" s="135" cm="1">
        <f t="array" ref="K99">INDEX(Price!$L$11:$AY$210,MATCH(1,(Price!$A$11:$A$210=$A99)*(Price!$B$11:$B$210=$B99)*(Price!$D$11:$D$210="gb"),0),MATCH(1,(Price!$L$3:$AY$3=K$3)*(Price!$L$4:$AY$4=K$4),0))</f>
        <v>1325</v>
      </c>
      <c r="L99" s="135" cm="1">
        <f t="array" ref="L99">INDEX(Price!$L$11:$AY$210,MATCH(1,(Price!$A$11:$A$210=$A99)*(Price!$B$11:$B$210=$B99)*(Price!$D$11:$D$210="gb"),0),MATCH(1,(Price!$L$3:$AY$3=L$3)*(Price!$L$4:$AY$4=L$4),0))</f>
        <v>1325</v>
      </c>
      <c r="M99" s="135" cm="1">
        <f t="array" ref="M99">INDEX(Price!$L$11:$AY$210,MATCH(1,(Price!$A$11:$A$210=$A99)*(Price!$B$11:$B$210=$B99)*(Price!$D$11:$D$210="gb"),0),MATCH(1,(Price!$L$3:$AY$3=M$3)*(Price!$L$4:$AY$4=M$4),0))</f>
        <v>1325</v>
      </c>
      <c r="N99" s="135" cm="1">
        <f t="array" ref="N99">INDEX(Price!$L$11:$AY$210,MATCH(1,(Price!$A$11:$A$210=$A99)*(Price!$B$11:$B$210=$B99)*(Price!$D$11:$D$210="gb"),0),MATCH(1,(Price!$L$3:$AY$3=N$3)*(Price!$L$4:$AY$4=N$4),0))</f>
        <v>1325</v>
      </c>
      <c r="O99" s="135" cm="1">
        <f t="array" ref="O99">INDEX(Price!$L$11:$AY$210,MATCH(1,(Price!$A$11:$A$210=$A99)*(Price!$B$11:$B$210=$B99)*(Price!$D$11:$D$210="gb"),0),MATCH(1,(Price!$L$3:$AY$3=O$3)*(Price!$L$4:$AY$4=O$4),0))</f>
        <v>1325</v>
      </c>
      <c r="P99" s="135" cm="1">
        <f t="array" ref="P99">INDEX(Price!$L$11:$AY$210,MATCH(1,(Price!$A$11:$A$210=$A99)*(Price!$B$11:$B$210=$B99)*(Price!$D$11:$D$210="gb"),0),MATCH(1,(Price!$L$3:$AY$3=P$3)*(Price!$L$4:$AY$4=P$4),0))</f>
        <v>1325</v>
      </c>
      <c r="Q99" s="135" cm="1">
        <f t="array" ref="Q99">INDEX(Price!$L$11:$AY$210,MATCH(1,(Price!$A$11:$A$210=$A99)*(Price!$B$11:$B$210=$B99)*(Price!$D$11:$D$210="gb"),0),MATCH(1,(Price!$L$3:$AY$3=Q$3)*(Price!$L$4:$AY$4=Q$4),0))</f>
        <v>1325</v>
      </c>
      <c r="R99" s="136" cm="1">
        <f t="array" ref="R99">INDEX(Price!$L$11:$AY$210,MATCH(1,(Price!$A$11:$A$210=$A99)*(Price!$B$11:$B$210=$B99)*(Price!$D$11:$D$210="gb"),0),MATCH(1,(Price!$L$3:$AY$3=R$3)*(Price!$L$4:$AY$4=R$4),0))</f>
        <v>1325</v>
      </c>
      <c r="S99" s="135" cm="1">
        <f t="array" ref="S99">INDEX(Price!$L$11:$AY$210,MATCH(1,(Price!$A$11:$A$210=$A99)*(Price!$B$11:$B$210=$B99)*(Price!$D$11:$D$210="gb"),0),MATCH(1,(Price!$L$3:$AY$3=S$3)*(Price!$L$4:$AY$4=S$4),0))</f>
        <v>1400</v>
      </c>
      <c r="T99" s="135" cm="1">
        <f t="array" ref="T99">INDEX(Price!$L$11:$AY$210,MATCH(1,(Price!$A$11:$A$210=$A99)*(Price!$B$11:$B$210=$B99)*(Price!$D$11:$D$210="gb"),0),MATCH(1,(Price!$L$3:$AY$3=T$3)*(Price!$L$4:$AY$4=T$4),0))</f>
        <v>1400</v>
      </c>
      <c r="U99" s="135" cm="1">
        <f t="array" ref="U99">INDEX(Price!$L$11:$AY$210,MATCH(1,(Price!$A$11:$A$210=$A99)*(Price!$B$11:$B$210=$B99)*(Price!$D$11:$D$210="gb"),0),MATCH(1,(Price!$L$3:$AY$3=U$3)*(Price!$L$4:$AY$4=U$4),0))</f>
        <v>1400</v>
      </c>
      <c r="V99" s="135" cm="1">
        <f t="array" ref="V99">INDEX(Price!$L$11:$AY$210,MATCH(1,(Price!$A$11:$A$210=$A99)*(Price!$B$11:$B$210=$B99)*(Price!$D$11:$D$210="gb"),0),MATCH(1,(Price!$L$3:$AY$3=V$3)*(Price!$L$4:$AY$4=V$4),0))</f>
        <v>1400</v>
      </c>
      <c r="W99" s="135" cm="1">
        <f t="array" ref="W99">INDEX(Price!$L$11:$AY$210,MATCH(1,(Price!$A$11:$A$210=$A99)*(Price!$B$11:$B$210=$B99)*(Price!$D$11:$D$210="gb"),0),MATCH(1,(Price!$L$3:$AY$3=W$3)*(Price!$L$4:$AY$4=W$4),0))</f>
        <v>1400</v>
      </c>
      <c r="X99" s="135" cm="1">
        <f t="array" ref="X99">INDEX(Price!$L$11:$AY$210,MATCH(1,(Price!$A$11:$A$210=$A99)*(Price!$B$11:$B$210=$B99)*(Price!$D$11:$D$210="gb"),0),MATCH(1,(Price!$L$3:$AY$3=X$3)*(Price!$L$4:$AY$4=X$4),0))</f>
        <v>1400</v>
      </c>
      <c r="Y99" s="135" cm="1">
        <f t="array" ref="Y99">INDEX(Price!$L$11:$AY$210,MATCH(1,(Price!$A$11:$A$210=$A99)*(Price!$B$11:$B$210=$B99)*(Price!$D$11:$D$210="gb"),0),MATCH(1,(Price!$L$3:$AY$3=Y$3)*(Price!$L$4:$AY$4=Y$4),0))</f>
        <v>1400</v>
      </c>
      <c r="Z99" s="135" cm="1">
        <f t="array" ref="Z99">INDEX(Price!$L$11:$AY$210,MATCH(1,(Price!$A$11:$A$210=$A99)*(Price!$B$11:$B$210=$B99)*(Price!$D$11:$D$210="gb"),0),MATCH(1,(Price!$L$3:$AY$3=Z$3)*(Price!$L$4:$AY$4=Z$4),0))</f>
        <v>1400</v>
      </c>
      <c r="AA99" s="135" cm="1">
        <f t="array" ref="AA99">INDEX(Price!$L$11:$AY$210,MATCH(1,(Price!$A$11:$A$210=$A99)*(Price!$B$11:$B$210=$B99)*(Price!$D$11:$D$210="gb"),0),MATCH(1,(Price!$L$3:$AY$3=AA$3)*(Price!$L$4:$AY$4=AA$4),0))</f>
        <v>1400</v>
      </c>
      <c r="AB99" s="135" cm="1">
        <f t="array" ref="AB99">INDEX(Price!$L$11:$AY$210,MATCH(1,(Price!$A$11:$A$210=$A99)*(Price!$B$11:$B$210=$B99)*(Price!$D$11:$D$210="gb"),0),MATCH(1,(Price!$L$3:$AY$3=AB$3)*(Price!$L$4:$AY$4=AB$4),0))</f>
        <v>1400</v>
      </c>
      <c r="AC99" s="135" cm="1">
        <f t="array" ref="AC99">INDEX(Price!$L$11:$AY$210,MATCH(1,(Price!$A$11:$A$210=$A99)*(Price!$B$11:$B$210=$B99)*(Price!$D$11:$D$210="gb"),0),MATCH(1,(Price!$L$3:$AY$3=AC$3)*(Price!$L$4:$AY$4=AC$4),0))</f>
        <v>1400</v>
      </c>
      <c r="AD99" s="136" cm="1">
        <f t="array" ref="AD99">INDEX(Price!$L$11:$AY$210,MATCH(1,(Price!$A$11:$A$210=$A99)*(Price!$B$11:$B$210=$B99)*(Price!$D$11:$D$210="gb"),0),MATCH(1,(Price!$L$3:$AY$3=AD$3)*(Price!$L$4:$AY$4=AD$4),0))</f>
        <v>1400</v>
      </c>
      <c r="AE99" s="135" cm="1">
        <f t="array" ref="AE99">INDEX(Price!$L$11:$AY$210,MATCH(1,(Price!$A$11:$A$210=$A99)*(Price!$B$11:$B$210=$B99)*(Price!$D$11:$D$210="gb"),0),MATCH(1,(Price!$L$3:$AY$3=AE$3)*(Price!$L$4:$AY$4=AE$4),0))</f>
        <v>1280</v>
      </c>
      <c r="AF99" s="135" cm="1">
        <f t="array" ref="AF99">INDEX(Price!$L$11:$AY$210,MATCH(1,(Price!$A$11:$A$210=$A99)*(Price!$B$11:$B$210=$B99)*(Price!$D$11:$D$210="gb"),0),MATCH(1,(Price!$L$3:$AY$3=AF$3)*(Price!$L$4:$AY$4=AF$4),0))</f>
        <v>1280</v>
      </c>
      <c r="AG99" s="135" cm="1">
        <f t="array" ref="AG99">INDEX(Price!$L$11:$AY$210,MATCH(1,(Price!$A$11:$A$210=$A99)*(Price!$B$11:$B$210=$B99)*(Price!$D$11:$D$210="gb"),0),MATCH(1,(Price!$L$3:$AY$3=AG$3)*(Price!$L$4:$AY$4=AG$4),0))</f>
        <v>1280</v>
      </c>
      <c r="AH99" s="135" cm="1">
        <f t="array" ref="AH99">INDEX(Price!$L$11:$AY$210,MATCH(1,(Price!$A$11:$A$210=$A99)*(Price!$B$11:$B$210=$B99)*(Price!$D$11:$D$210="gb"),0),MATCH(1,(Price!$L$3:$AY$3=AH$3)*(Price!$L$4:$AY$4=AH$4),0))</f>
        <v>1280</v>
      </c>
      <c r="AI99" s="135" cm="1">
        <f t="array" ref="AI99">INDEX(Price!$L$11:$AY$210,MATCH(1,(Price!$A$11:$A$210=$A99)*(Price!$B$11:$B$210=$B99)*(Price!$D$11:$D$210="gb"),0),MATCH(1,(Price!$L$3:$AY$3=AI$3)*(Price!$L$4:$AY$4=AI$4),0))</f>
        <v>1280</v>
      </c>
      <c r="AJ99" s="135" cm="1">
        <f t="array" ref="AJ99">INDEX(Price!$L$11:$AY$210,MATCH(1,(Price!$A$11:$A$210=$A99)*(Price!$B$11:$B$210=$B99)*(Price!$D$11:$D$210="gb"),0),MATCH(1,(Price!$L$3:$AY$3=AJ$3)*(Price!$L$4:$AY$4=AJ$4),0))</f>
        <v>1280</v>
      </c>
      <c r="AK99" s="135"/>
      <c r="AL99" s="135"/>
      <c r="AM99" s="135"/>
      <c r="AN99" s="135"/>
      <c r="AO99" s="135"/>
      <c r="AP99" s="136"/>
    </row>
    <row r="100" spans="1:42" s="1" customFormat="1" ht="11.4" customHeight="1" outlineLevel="1" x14ac:dyDescent="0.3">
      <c r="A100" s="1" t="s">
        <v>48</v>
      </c>
      <c r="B100" s="1" t="s">
        <v>28</v>
      </c>
      <c r="C100" s="142" t="s">
        <v>321</v>
      </c>
      <c r="D100" s="160">
        <v>7.2</v>
      </c>
      <c r="E100" s="143"/>
      <c r="F100" s="320" t="s">
        <v>8</v>
      </c>
      <c r="G100" s="144" cm="1">
        <f t="array" ref="G100">INDEX(Price!$L$11:$AY$210,MATCH(1,(Price!$A$11:$A$210=$A100)*(Price!$B$11:$B$210=$B100)*(Price!$D$11:$D$210="exw"),0),MATCH(1,(Price!$L$3:$AY$3=G$3)*(Price!$L$4:$AY$4=G$4),0))</f>
        <v>1315</v>
      </c>
      <c r="H100" s="144" cm="1">
        <f t="array" ref="H100">INDEX(Price!$L$11:$AY$210,MATCH(1,(Price!$A$11:$A$210=$A100)*(Price!$B$11:$B$210=$B100)*(Price!$D$11:$D$210="exw"),0),MATCH(1,(Price!$L$3:$AY$3=H$3)*(Price!$L$4:$AY$4=H$4),0))</f>
        <v>1315</v>
      </c>
      <c r="I100" s="144" cm="1">
        <f t="array" ref="I100">INDEX(Price!$L$11:$AY$210,MATCH(1,(Price!$A$11:$A$210=$A100)*(Price!$B$11:$B$210=$B100)*(Price!$D$11:$D$210="exw"),0),MATCH(1,(Price!$L$3:$AY$3=I$3)*(Price!$L$4:$AY$4=I$4),0))</f>
        <v>1315</v>
      </c>
      <c r="J100" s="144" cm="1">
        <f t="array" ref="J100">INDEX(Price!$L$11:$AY$210,MATCH(1,(Price!$A$11:$A$210=$A100)*(Price!$B$11:$B$210=$B100)*(Price!$D$11:$D$210="exw"),0),MATCH(1,(Price!$L$3:$AY$3=J$3)*(Price!$L$4:$AY$4=J$4),0))</f>
        <v>1315</v>
      </c>
      <c r="K100" s="144" cm="1">
        <f t="array" ref="K100">INDEX(Price!$L$11:$AY$210,MATCH(1,(Price!$A$11:$A$210=$A100)*(Price!$B$11:$B$210=$B100)*(Price!$D$11:$D$210="exw"),0),MATCH(1,(Price!$L$3:$AY$3=K$3)*(Price!$L$4:$AY$4=K$4),0))</f>
        <v>1315</v>
      </c>
      <c r="L100" s="144" cm="1">
        <f t="array" ref="L100">INDEX(Price!$L$11:$AY$210,MATCH(1,(Price!$A$11:$A$210=$A100)*(Price!$B$11:$B$210=$B100)*(Price!$D$11:$D$210="exw"),0),MATCH(1,(Price!$L$3:$AY$3=L$3)*(Price!$L$4:$AY$4=L$4),0))</f>
        <v>1315</v>
      </c>
      <c r="M100" s="144" cm="1">
        <f t="array" ref="M100">INDEX(Price!$L$11:$AY$210,MATCH(1,(Price!$A$11:$A$210=$A100)*(Price!$B$11:$B$210=$B100)*(Price!$D$11:$D$210="exw"),0),MATCH(1,(Price!$L$3:$AY$3=M$3)*(Price!$L$4:$AY$4=M$4),0))</f>
        <v>1315</v>
      </c>
      <c r="N100" s="144" cm="1">
        <f t="array" ref="N100">INDEX(Price!$L$11:$AY$210,MATCH(1,(Price!$A$11:$A$210=$A100)*(Price!$B$11:$B$210=$B100)*(Price!$D$11:$D$210="exw"),0),MATCH(1,(Price!$L$3:$AY$3=N$3)*(Price!$L$4:$AY$4=N$4),0))</f>
        <v>1315</v>
      </c>
      <c r="O100" s="144" cm="1">
        <f t="array" ref="O100">INDEX(Price!$L$11:$AY$210,MATCH(1,(Price!$A$11:$A$210=$A100)*(Price!$B$11:$B$210=$B100)*(Price!$D$11:$D$210="exw"),0),MATCH(1,(Price!$L$3:$AY$3=O$3)*(Price!$L$4:$AY$4=O$4),0))</f>
        <v>1315</v>
      </c>
      <c r="P100" s="144" cm="1">
        <f t="array" ref="P100">INDEX(Price!$L$11:$AY$210,MATCH(1,(Price!$A$11:$A$210=$A100)*(Price!$B$11:$B$210=$B100)*(Price!$D$11:$D$210="exw"),0),MATCH(1,(Price!$L$3:$AY$3=P$3)*(Price!$L$4:$AY$4=P$4),0))</f>
        <v>1315</v>
      </c>
      <c r="Q100" s="144" cm="1">
        <f t="array" ref="Q100">INDEX(Price!$L$11:$AY$210,MATCH(1,(Price!$A$11:$A$210=$A100)*(Price!$B$11:$B$210=$B100)*(Price!$D$11:$D$210="exw"),0),MATCH(1,(Price!$L$3:$AY$3=Q$3)*(Price!$L$4:$AY$4=Q$4),0))</f>
        <v>1315</v>
      </c>
      <c r="R100" s="145" cm="1">
        <f t="array" ref="R100">INDEX(Price!$L$11:$AY$210,MATCH(1,(Price!$A$11:$A$210=$A100)*(Price!$B$11:$B$210=$B100)*(Price!$D$11:$D$210="exw"),0),MATCH(1,(Price!$L$3:$AY$3=R$3)*(Price!$L$4:$AY$4=R$4),0))</f>
        <v>1315</v>
      </c>
      <c r="S100" s="144" cm="1">
        <f t="array" ref="S100">INDEX(Price!$L$11:$AY$210,MATCH(1,(Price!$A$11:$A$210=$A100)*(Price!$B$11:$B$210=$B100)*(Price!$D$11:$D$210="exw"),0),MATCH(1,(Price!$L$3:$AY$3=S$3)*(Price!$L$4:$AY$4=S$4),0))</f>
        <v>1348.3</v>
      </c>
      <c r="T100" s="144" cm="1">
        <f t="array" ref="T100">INDEX(Price!$L$11:$AY$210,MATCH(1,(Price!$A$11:$A$210=$A100)*(Price!$B$11:$B$210=$B100)*(Price!$D$11:$D$210="exw"),0),MATCH(1,(Price!$L$3:$AY$3=T$3)*(Price!$L$4:$AY$4=T$4),0))</f>
        <v>1348.3</v>
      </c>
      <c r="U100" s="144" cm="1">
        <f t="array" ref="U100">INDEX(Price!$L$11:$AY$210,MATCH(1,(Price!$A$11:$A$210=$A100)*(Price!$B$11:$B$210=$B100)*(Price!$D$11:$D$210="exw"),0),MATCH(1,(Price!$L$3:$AY$3=U$3)*(Price!$L$4:$AY$4=U$4),0))</f>
        <v>1348.3</v>
      </c>
      <c r="V100" s="144" cm="1">
        <f t="array" ref="V100">INDEX(Price!$L$11:$AY$210,MATCH(1,(Price!$A$11:$A$210=$A100)*(Price!$B$11:$B$210=$B100)*(Price!$D$11:$D$210="exw"),0),MATCH(1,(Price!$L$3:$AY$3=V$3)*(Price!$L$4:$AY$4=V$4),0))</f>
        <v>1348.3</v>
      </c>
      <c r="W100" s="144" cm="1">
        <f t="array" ref="W100">INDEX(Price!$L$11:$AY$210,MATCH(1,(Price!$A$11:$A$210=$A100)*(Price!$B$11:$B$210=$B100)*(Price!$D$11:$D$210="exw"),0),MATCH(1,(Price!$L$3:$AY$3=W$3)*(Price!$L$4:$AY$4=W$4),0))</f>
        <v>1348.3</v>
      </c>
      <c r="X100" s="144" cm="1">
        <f t="array" ref="X100">INDEX(Price!$L$11:$AY$210,MATCH(1,(Price!$A$11:$A$210=$A100)*(Price!$B$11:$B$210=$B100)*(Price!$D$11:$D$210="exw"),0),MATCH(1,(Price!$L$3:$AY$3=X$3)*(Price!$L$4:$AY$4=X$4),0))</f>
        <v>1348.3</v>
      </c>
      <c r="Y100" s="144" cm="1">
        <f t="array" ref="Y100">INDEX(Price!$L$11:$AY$210,MATCH(1,(Price!$A$11:$A$210=$A100)*(Price!$B$11:$B$210=$B100)*(Price!$D$11:$D$210="exw"),0),MATCH(1,(Price!$L$3:$AY$3=Y$3)*(Price!$L$4:$AY$4=Y$4),0))</f>
        <v>1348.3</v>
      </c>
      <c r="Z100" s="144" cm="1">
        <f t="array" ref="Z100">INDEX(Price!$L$11:$AY$210,MATCH(1,(Price!$A$11:$A$210=$A100)*(Price!$B$11:$B$210=$B100)*(Price!$D$11:$D$210="exw"),0),MATCH(1,(Price!$L$3:$AY$3=Z$3)*(Price!$L$4:$AY$4=Z$4),0))</f>
        <v>1348.3</v>
      </c>
      <c r="AA100" s="144" cm="1">
        <f t="array" ref="AA100">INDEX(Price!$L$11:$AY$210,MATCH(1,(Price!$A$11:$A$210=$A100)*(Price!$B$11:$B$210=$B100)*(Price!$D$11:$D$210="exw"),0),MATCH(1,(Price!$L$3:$AY$3=AA$3)*(Price!$L$4:$AY$4=AA$4),0))</f>
        <v>1348.3</v>
      </c>
      <c r="AB100" s="144" cm="1">
        <f t="array" ref="AB100">INDEX(Price!$L$11:$AY$210,MATCH(1,(Price!$A$11:$A$210=$A100)*(Price!$B$11:$B$210=$B100)*(Price!$D$11:$D$210="exw"),0),MATCH(1,(Price!$L$3:$AY$3=AB$3)*(Price!$L$4:$AY$4=AB$4),0))</f>
        <v>1348.3</v>
      </c>
      <c r="AC100" s="144" cm="1">
        <f t="array" ref="AC100">INDEX(Price!$L$11:$AY$210,MATCH(1,(Price!$A$11:$A$210=$A100)*(Price!$B$11:$B$210=$B100)*(Price!$D$11:$D$210="exw"),0),MATCH(1,(Price!$L$3:$AY$3=AC$3)*(Price!$L$4:$AY$4=AC$4),0))</f>
        <v>1348.3</v>
      </c>
      <c r="AD100" s="145" cm="1">
        <f t="array" ref="AD100">INDEX(Price!$L$11:$AY$210,MATCH(1,(Price!$A$11:$A$210=$A100)*(Price!$B$11:$B$210=$B100)*(Price!$D$11:$D$210="exw"),0),MATCH(1,(Price!$L$3:$AY$3=AD$3)*(Price!$L$4:$AY$4=AD$4),0))</f>
        <v>1348.3</v>
      </c>
      <c r="AE100" s="144" cm="1">
        <f t="array" ref="AE100">INDEX(Price!$L$11:$AY$210,MATCH(1,(Price!$A$11:$A$210=$A100)*(Price!$B$11:$B$210=$B100)*(Price!$D$11:$D$210="exw"),0),MATCH(1,(Price!$L$3:$AY$3=AE$3)*(Price!$L$4:$AY$4=AE$4),0))</f>
        <v>1270</v>
      </c>
      <c r="AF100" s="144" cm="1">
        <f t="array" ref="AF100">INDEX(Price!$L$11:$AY$210,MATCH(1,(Price!$A$11:$A$210=$A100)*(Price!$B$11:$B$210=$B100)*(Price!$D$11:$D$210="exw"),0),MATCH(1,(Price!$L$3:$AY$3=AF$3)*(Price!$L$4:$AY$4=AF$4),0))</f>
        <v>1270</v>
      </c>
      <c r="AG100" s="144" cm="1">
        <f t="array" ref="AG100">INDEX(Price!$L$11:$AY$210,MATCH(1,(Price!$A$11:$A$210=$A100)*(Price!$B$11:$B$210=$B100)*(Price!$D$11:$D$210="exw"),0),MATCH(1,(Price!$L$3:$AY$3=AG$3)*(Price!$L$4:$AY$4=AG$4),0))</f>
        <v>1270</v>
      </c>
      <c r="AH100" s="144" cm="1">
        <f t="array" ref="AH100">INDEX(Price!$L$11:$AY$210,MATCH(1,(Price!$A$11:$A$210=$A100)*(Price!$B$11:$B$210=$B100)*(Price!$D$11:$D$210="exw"),0),MATCH(1,(Price!$L$3:$AY$3=AH$3)*(Price!$L$4:$AY$4=AH$4),0))</f>
        <v>1270</v>
      </c>
      <c r="AI100" s="144" cm="1">
        <f t="array" ref="AI100">INDEX(Price!$L$11:$AY$210,MATCH(1,(Price!$A$11:$A$210=$A100)*(Price!$B$11:$B$210=$B100)*(Price!$D$11:$D$210="exw"),0),MATCH(1,(Price!$L$3:$AY$3=AI$3)*(Price!$L$4:$AY$4=AI$4),0))</f>
        <v>1270</v>
      </c>
      <c r="AJ100" s="144" cm="1">
        <f t="array" ref="AJ100">INDEX(Price!$L$11:$AY$210,MATCH(1,(Price!$A$11:$A$210=$A100)*(Price!$B$11:$B$210=$B100)*(Price!$D$11:$D$210="exw"),0),MATCH(1,(Price!$L$3:$AY$3=AJ$3)*(Price!$L$4:$AY$4=AJ$4),0))</f>
        <v>1270</v>
      </c>
      <c r="AK100" s="144"/>
      <c r="AL100" s="144"/>
      <c r="AM100" s="144"/>
      <c r="AN100" s="144"/>
      <c r="AO100" s="144"/>
      <c r="AP100" s="145"/>
    </row>
    <row r="101" spans="1:42" ht="11.4" customHeight="1" outlineLevel="1" x14ac:dyDescent="0.3">
      <c r="A101" t="s">
        <v>48</v>
      </c>
      <c r="B101" t="s">
        <v>28</v>
      </c>
      <c r="C101" s="14" t="s">
        <v>9</v>
      </c>
      <c r="D101" s="161">
        <v>7.3</v>
      </c>
      <c r="E101" s="8"/>
      <c r="F101" s="321" t="s">
        <v>11</v>
      </c>
      <c r="G101" s="315" cm="1">
        <f t="array" ref="G101">SUMPRODUCT(General_Data*(Code_General_Data=$C101)*(Year=G$3)*(Month=G$4))</f>
        <v>930</v>
      </c>
      <c r="H101" s="132" cm="1">
        <f t="array" ref="H101">SUMPRODUCT(General_Data*(Code_General_Data=$C101)*(Year=H$3)*(Month=H$4))</f>
        <v>943.33333333333337</v>
      </c>
      <c r="I101" s="132" cm="1">
        <f t="array" ref="I101">SUMPRODUCT(General_Data*(Code_General_Data=$C101)*(Year=I$3)*(Month=I$4))</f>
        <v>940</v>
      </c>
      <c r="J101" s="132" cm="1">
        <f t="array" ref="J101">SUMPRODUCT(General_Data*(Code_General_Data=$C101)*(Year=J$3)*(Month=J$4))</f>
        <v>940</v>
      </c>
      <c r="K101" s="132" cm="1">
        <f t="array" ref="K101">SUMPRODUCT(General_Data*(Code_General_Data=$C101)*(Year=K$3)*(Month=K$4))</f>
        <v>942</v>
      </c>
      <c r="L101" s="132" cm="1">
        <f t="array" ref="L101">SUMPRODUCT(General_Data*(Code_General_Data=$C101)*(Year=L$3)*(Month=L$4))</f>
        <v>950</v>
      </c>
      <c r="M101" s="132" cm="1">
        <f t="array" ref="M101">SUMPRODUCT(General_Data*(Code_General_Data=$C101)*(Year=M$3)*(Month=M$4))</f>
        <v>947.5</v>
      </c>
      <c r="N101" s="132" cm="1">
        <f t="array" ref="N101">SUMPRODUCT(General_Data*(Code_General_Data=$C101)*(Year=N$3)*(Month=N$4))</f>
        <v>930</v>
      </c>
      <c r="O101" s="132" cm="1">
        <f t="array" ref="O101">SUMPRODUCT(General_Data*(Code_General_Data=$C101)*(Year=O$3)*(Month=O$4))</f>
        <v>880</v>
      </c>
      <c r="P101" s="132" cm="1">
        <f t="array" ref="P101">SUMPRODUCT(General_Data*(Code_General_Data=$C101)*(Year=P$3)*(Month=P$4))</f>
        <v>862.5</v>
      </c>
      <c r="Q101" s="132" cm="1">
        <f t="array" ref="Q101">SUMPRODUCT(General_Data*(Code_General_Data=$C101)*(Year=Q$3)*(Month=Q$4))</f>
        <v>852</v>
      </c>
      <c r="R101" s="133" cm="1">
        <f t="array" ref="R101">SUMPRODUCT(General_Data*(Code_General_Data=$C101)*(Year=R$3)*(Month=R$4))</f>
        <v>830</v>
      </c>
      <c r="S101" s="132" cm="1">
        <f t="array" ref="S101">SUMPRODUCT(General_Data*(Code_General_Data=$C101)*(Year=S$3)*(Month=S$4))</f>
        <v>828</v>
      </c>
      <c r="T101" s="132" cm="1">
        <f t="array" ref="T101">SUMPRODUCT(General_Data*(Code_General_Data=$C101)*(Year=T$3)*(Month=T$4))</f>
        <v>840</v>
      </c>
      <c r="U101" s="132" cm="1">
        <f t="array" ref="U101">SUMPRODUCT(General_Data*(Code_General_Data=$C101)*(Year=U$3)*(Month=U$4))</f>
        <v>823</v>
      </c>
      <c r="V101" s="132" cm="1">
        <f t="array" ref="V101">SUMPRODUCT(General_Data*(Code_General_Data=$C101)*(Year=V$3)*(Month=V$4))</f>
        <v>765</v>
      </c>
      <c r="W101" s="132" cm="1">
        <f t="array" ref="W101">SUMPRODUCT(General_Data*(Code_General_Data=$C101)*(Year=W$3)*(Month=W$4))</f>
        <v>782</v>
      </c>
      <c r="X101" s="132" cm="1">
        <f t="array" ref="X101">SUMPRODUCT(General_Data*(Code_General_Data=$C101)*(Year=X$3)*(Month=X$4))</f>
        <v>807.5</v>
      </c>
      <c r="Y101" s="132" cm="1">
        <f t="array" ref="Y101">SUMPRODUCT(General_Data*(Code_General_Data=$C101)*(Year=Y$3)*(Month=Y$4))</f>
        <v>802</v>
      </c>
      <c r="Z101" s="132" cm="1">
        <f t="array" ref="Z101">SUMPRODUCT(General_Data*(Code_General_Data=$C101)*(Year=Z$3)*(Month=Z$4))</f>
        <v>795</v>
      </c>
      <c r="AA101" s="132" cm="1">
        <f t="array" ref="AA101">SUMPRODUCT(General_Data*(Code_General_Data=$C101)*(Year=AA$3)*(Month=AA$4))</f>
        <v>783</v>
      </c>
      <c r="AB101" s="132" cm="1">
        <f t="array" ref="AB101">SUMPRODUCT(General_Data*(Code_General_Data=$C101)*(Year=AB$3)*(Month=AB$4))</f>
        <v>772</v>
      </c>
      <c r="AC101" s="132" cm="1">
        <f t="array" ref="AC101">SUMPRODUCT(General_Data*(Code_General_Data=$C101)*(Year=AC$3)*(Month=AC$4))</f>
        <v>770</v>
      </c>
      <c r="AD101" s="133" cm="1">
        <f t="array" ref="AD101">SUMPRODUCT(General_Data*(Code_General_Data=$C101)*(Year=AD$3)*(Month=AD$4))</f>
        <v>772.5</v>
      </c>
      <c r="AE101" s="132" cm="1">
        <f t="array" ref="AE101">SUMPRODUCT(General_Data*(Code_General_Data=$C101)*(Year=AE$3)*(Month=AE$4))</f>
        <v>805</v>
      </c>
      <c r="AF101" s="132" cm="1">
        <f t="array" ref="AF101">SUMPRODUCT(General_Data*(Code_General_Data=$C101)*(Year=AF$3)*(Month=AF$4))</f>
        <v>840</v>
      </c>
      <c r="AG101" s="132" cm="1">
        <f t="array" ref="AG101">SUMPRODUCT(General_Data*(Code_General_Data=$C101)*(Year=AG$3)*(Month=AG$4))</f>
        <v>1109</v>
      </c>
      <c r="AH101" s="132" cm="1">
        <f t="array" ref="AH101">SUMPRODUCT(General_Data*(Code_General_Data=$C101)*(Year=AH$3)*(Month=AH$4))</f>
        <v>1194</v>
      </c>
      <c r="AI101" s="132" cm="1">
        <f t="array" ref="AI101">SUMPRODUCT(General_Data*(Code_General_Data=$C101)*(Year=AI$3)*(Month=AI$4))</f>
        <v>1216</v>
      </c>
      <c r="AJ101" s="132" cm="1">
        <f t="array" ref="AJ101">SUMPRODUCT(General_Data*(Code_General_Data=$C101)*(Year=AJ$3)*(Month=AJ$4))</f>
        <v>1190</v>
      </c>
      <c r="AK101" s="132"/>
      <c r="AL101" s="132"/>
      <c r="AM101" s="132"/>
      <c r="AN101" s="132"/>
      <c r="AO101" s="132"/>
      <c r="AP101" s="133"/>
    </row>
    <row r="102" spans="1:42" s="151" customFormat="1" ht="11.4" customHeight="1" outlineLevel="1" x14ac:dyDescent="0.3">
      <c r="A102" s="151" t="s">
        <v>48</v>
      </c>
      <c r="B102" s="151" t="s">
        <v>28</v>
      </c>
      <c r="D102" s="162">
        <v>7.4</v>
      </c>
      <c r="E102" s="152"/>
      <c r="F102" s="322" t="s">
        <v>406</v>
      </c>
      <c r="G102" s="153">
        <f t="shared" ref="G102:AD102" si="68">IF(G99*G100*G101&lt;&gt;0,G100-G101,0)</f>
        <v>385</v>
      </c>
      <c r="H102" s="153">
        <f t="shared" si="68"/>
        <v>371.66666666666663</v>
      </c>
      <c r="I102" s="153">
        <f t="shared" si="68"/>
        <v>375</v>
      </c>
      <c r="J102" s="153">
        <f t="shared" si="68"/>
        <v>375</v>
      </c>
      <c r="K102" s="153">
        <f t="shared" si="68"/>
        <v>373</v>
      </c>
      <c r="L102" s="153">
        <f t="shared" si="68"/>
        <v>365</v>
      </c>
      <c r="M102" s="153">
        <f t="shared" si="68"/>
        <v>367.5</v>
      </c>
      <c r="N102" s="153">
        <f t="shared" si="68"/>
        <v>385</v>
      </c>
      <c r="O102" s="153">
        <f t="shared" si="68"/>
        <v>435</v>
      </c>
      <c r="P102" s="153">
        <f t="shared" si="68"/>
        <v>452.5</v>
      </c>
      <c r="Q102" s="153">
        <f t="shared" si="68"/>
        <v>463</v>
      </c>
      <c r="R102" s="154">
        <f t="shared" si="68"/>
        <v>485</v>
      </c>
      <c r="S102" s="153">
        <f t="shared" si="68"/>
        <v>520.29999999999995</v>
      </c>
      <c r="T102" s="153">
        <f t="shared" si="68"/>
        <v>508.29999999999995</v>
      </c>
      <c r="U102" s="153">
        <f t="shared" si="68"/>
        <v>525.29999999999995</v>
      </c>
      <c r="V102" s="153">
        <f t="shared" si="68"/>
        <v>583.29999999999995</v>
      </c>
      <c r="W102" s="153">
        <f t="shared" si="68"/>
        <v>566.29999999999995</v>
      </c>
      <c r="X102" s="153">
        <f t="shared" si="68"/>
        <v>540.79999999999995</v>
      </c>
      <c r="Y102" s="153">
        <f t="shared" si="68"/>
        <v>546.29999999999995</v>
      </c>
      <c r="Z102" s="153">
        <f t="shared" si="68"/>
        <v>553.29999999999995</v>
      </c>
      <c r="AA102" s="153">
        <f t="shared" si="68"/>
        <v>565.29999999999995</v>
      </c>
      <c r="AB102" s="153">
        <f t="shared" si="68"/>
        <v>576.29999999999995</v>
      </c>
      <c r="AC102" s="153">
        <f t="shared" si="68"/>
        <v>578.29999999999995</v>
      </c>
      <c r="AD102" s="154">
        <f t="shared" si="68"/>
        <v>575.79999999999995</v>
      </c>
      <c r="AE102" s="153">
        <f t="shared" ref="AE102:AH102" si="69">IF(AE99*AE100*AE101&lt;&gt;0,AE100-AE101,0)</f>
        <v>465</v>
      </c>
      <c r="AF102" s="153">
        <f t="shared" si="69"/>
        <v>430</v>
      </c>
      <c r="AG102" s="153">
        <f t="shared" si="69"/>
        <v>161</v>
      </c>
      <c r="AH102" s="153">
        <f t="shared" si="69"/>
        <v>76</v>
      </c>
      <c r="AI102" s="153">
        <f t="shared" ref="AI102:AJ102" si="70">IF(AI99*AI100*AI101&lt;&gt;0,AI100-AI101,0)</f>
        <v>54</v>
      </c>
      <c r="AJ102" s="153">
        <f t="shared" si="70"/>
        <v>80</v>
      </c>
      <c r="AK102" s="153"/>
      <c r="AL102" s="153"/>
      <c r="AM102" s="153"/>
      <c r="AN102" s="153"/>
      <c r="AO102" s="153"/>
      <c r="AP102" s="154"/>
    </row>
    <row r="103" spans="1:42" s="155" customFormat="1" ht="11.4" customHeight="1" outlineLevel="1" x14ac:dyDescent="0.3">
      <c r="A103" s="155" t="s">
        <v>48</v>
      </c>
      <c r="B103" s="155" t="s">
        <v>28</v>
      </c>
      <c r="D103" s="163">
        <v>7.5</v>
      </c>
      <c r="E103" s="156"/>
      <c r="F103" s="323" t="s">
        <v>14</v>
      </c>
      <c r="G103" s="497">
        <f t="shared" ref="G103:AD103" si="71">IFERROR(G102/G101,0)</f>
        <v>0.41397849462365593</v>
      </c>
      <c r="H103" s="497">
        <f t="shared" si="71"/>
        <v>0.39399293286219078</v>
      </c>
      <c r="I103" s="497">
        <f t="shared" si="71"/>
        <v>0.39893617021276595</v>
      </c>
      <c r="J103" s="497">
        <f t="shared" si="71"/>
        <v>0.39893617021276595</v>
      </c>
      <c r="K103" s="497">
        <f t="shared" si="71"/>
        <v>0.39596602972399153</v>
      </c>
      <c r="L103" s="497">
        <f t="shared" si="71"/>
        <v>0.38421052631578945</v>
      </c>
      <c r="M103" s="497">
        <f t="shared" si="71"/>
        <v>0.38786279683377306</v>
      </c>
      <c r="N103" s="497">
        <f t="shared" si="71"/>
        <v>0.41397849462365593</v>
      </c>
      <c r="O103" s="497">
        <f t="shared" si="71"/>
        <v>0.49431818181818182</v>
      </c>
      <c r="P103" s="497">
        <f t="shared" si="71"/>
        <v>0.52463768115942033</v>
      </c>
      <c r="Q103" s="497">
        <f t="shared" si="71"/>
        <v>0.54342723004694837</v>
      </c>
      <c r="R103" s="498">
        <f t="shared" si="71"/>
        <v>0.58433734939759041</v>
      </c>
      <c r="S103" s="497">
        <f t="shared" si="71"/>
        <v>0.62838164251207729</v>
      </c>
      <c r="T103" s="497">
        <f t="shared" si="71"/>
        <v>0.60511904761904756</v>
      </c>
      <c r="U103" s="497">
        <f t="shared" si="71"/>
        <v>0.6382746051032806</v>
      </c>
      <c r="V103" s="497">
        <f t="shared" si="71"/>
        <v>0.76248366013071889</v>
      </c>
      <c r="W103" s="497">
        <f t="shared" si="71"/>
        <v>0.72416879795396416</v>
      </c>
      <c r="X103" s="497">
        <f t="shared" si="71"/>
        <v>0.66972136222910206</v>
      </c>
      <c r="Y103" s="497">
        <f t="shared" si="71"/>
        <v>0.68117206982543632</v>
      </c>
      <c r="Z103" s="497">
        <f t="shared" si="71"/>
        <v>0.69597484276729549</v>
      </c>
      <c r="AA103" s="497">
        <f t="shared" si="71"/>
        <v>0.72196679438058742</v>
      </c>
      <c r="AB103" s="497">
        <f t="shared" si="71"/>
        <v>0.74650259067357505</v>
      </c>
      <c r="AC103" s="497">
        <f t="shared" si="71"/>
        <v>0.75103896103896095</v>
      </c>
      <c r="AD103" s="498">
        <f t="shared" si="71"/>
        <v>0.74537216828478958</v>
      </c>
      <c r="AE103" s="497">
        <f t="shared" ref="AE103:AH103" si="72">IFERROR(AE102/AE101,0)</f>
        <v>0.57763975155279501</v>
      </c>
      <c r="AF103" s="497">
        <f t="shared" si="72"/>
        <v>0.51190476190476186</v>
      </c>
      <c r="AG103" s="497">
        <f t="shared" si="72"/>
        <v>0.14517583408476104</v>
      </c>
      <c r="AH103" s="497">
        <f t="shared" si="72"/>
        <v>6.3651591289782247E-2</v>
      </c>
      <c r="AI103" s="497">
        <f t="shared" ref="AI103:AJ103" si="73">IFERROR(AI102/AI101,0)</f>
        <v>4.4407894736842105E-2</v>
      </c>
      <c r="AJ103" s="497">
        <f t="shared" si="73"/>
        <v>6.7226890756302518E-2</v>
      </c>
      <c r="AK103" s="497"/>
      <c r="AL103" s="497"/>
      <c r="AM103" s="497"/>
      <c r="AN103" s="497"/>
      <c r="AO103" s="497"/>
      <c r="AP103" s="498"/>
    </row>
    <row r="104" spans="1:42" s="137" customFormat="1" ht="11.4" customHeight="1" outlineLevel="1" x14ac:dyDescent="0.3">
      <c r="A104" s="137" t="s">
        <v>48</v>
      </c>
      <c r="B104" s="137" t="s">
        <v>28</v>
      </c>
      <c r="C104" s="137" t="s">
        <v>28</v>
      </c>
      <c r="D104" s="164">
        <v>7.6</v>
      </c>
      <c r="E104" s="138"/>
      <c r="F104" s="324" t="s">
        <v>202</v>
      </c>
      <c r="G104" s="139" cm="1">
        <f t="array" ref="G104">SUMPRODUCT(General_Data*(Code_General_Data=$C104)*(Year=G$3)*(Month=G$4))</f>
        <v>1340</v>
      </c>
      <c r="H104" s="139" cm="1">
        <f t="array" ref="H104">SUMPRODUCT(General_Data*(Code_General_Data=$C104)*(Year=H$3)*(Month=H$4))</f>
        <v>1340</v>
      </c>
      <c r="I104" s="139" cm="1">
        <f t="array" ref="I104">SUMPRODUCT(General_Data*(Code_General_Data=$C104)*(Year=I$3)*(Month=I$4))</f>
        <v>1340</v>
      </c>
      <c r="J104" s="139" cm="1">
        <f t="array" ref="J104">SUMPRODUCT(General_Data*(Code_General_Data=$C104)*(Year=J$3)*(Month=J$4))</f>
        <v>1340</v>
      </c>
      <c r="K104" s="139" cm="1">
        <f t="array" ref="K104">SUMPRODUCT(General_Data*(Code_General_Data=$C104)*(Year=K$3)*(Month=K$4))</f>
        <v>1390</v>
      </c>
      <c r="L104" s="139" cm="1">
        <f t="array" ref="L104">SUMPRODUCT(General_Data*(Code_General_Data=$C104)*(Year=L$3)*(Month=L$4))</f>
        <v>1390</v>
      </c>
      <c r="M104" s="139" cm="1">
        <f t="array" ref="M104">SUMPRODUCT(General_Data*(Code_General_Data=$C104)*(Year=M$3)*(Month=M$4))</f>
        <v>1390</v>
      </c>
      <c r="N104" s="139" cm="1">
        <f t="array" ref="N104">SUMPRODUCT(General_Data*(Code_General_Data=$C104)*(Year=N$3)*(Month=N$4))</f>
        <v>1390</v>
      </c>
      <c r="O104" s="139" cm="1">
        <f t="array" ref="O104">SUMPRODUCT(General_Data*(Code_General_Data=$C104)*(Year=O$3)*(Month=O$4))</f>
        <v>1400</v>
      </c>
      <c r="P104" s="139" cm="1">
        <f t="array" ref="P104">SUMPRODUCT(General_Data*(Code_General_Data=$C104)*(Year=P$3)*(Month=P$4))</f>
        <v>1415</v>
      </c>
      <c r="Q104" s="139" cm="1">
        <f t="array" ref="Q104">SUMPRODUCT(General_Data*(Code_General_Data=$C104)*(Year=Q$3)*(Month=Q$4))</f>
        <v>1415</v>
      </c>
      <c r="R104" s="140" cm="1">
        <f t="array" ref="R104">SUMPRODUCT(General_Data*(Code_General_Data=$C104)*(Year=R$3)*(Month=R$4))</f>
        <v>1365</v>
      </c>
      <c r="S104" s="139" cm="1">
        <f t="array" ref="S104">SUMPRODUCT(General_Data*(Code_General_Data=$C104)*(Year=S$3)*(Month=S$4))</f>
        <v>1320</v>
      </c>
      <c r="T104" s="139" cm="1">
        <f t="array" ref="T104">SUMPRODUCT(General_Data*(Code_General_Data=$C104)*(Year=T$3)*(Month=T$4))</f>
        <v>1280</v>
      </c>
      <c r="U104" s="139" cm="1">
        <f t="array" ref="U104">SUMPRODUCT(General_Data*(Code_General_Data=$C104)*(Year=U$3)*(Month=U$4))</f>
        <v>1320</v>
      </c>
      <c r="V104" s="139" cm="1">
        <f t="array" ref="V104">SUMPRODUCT(General_Data*(Code_General_Data=$C104)*(Year=V$3)*(Month=V$4))</f>
        <v>1340</v>
      </c>
      <c r="W104" s="139" cm="1">
        <f t="array" ref="W104">SUMPRODUCT(General_Data*(Code_General_Data=$C104)*(Year=W$3)*(Month=W$4))</f>
        <v>1340</v>
      </c>
      <c r="X104" s="139" cm="1">
        <f t="array" ref="X104">SUMPRODUCT(General_Data*(Code_General_Data=$C104)*(Year=X$3)*(Month=X$4))</f>
        <v>1340</v>
      </c>
      <c r="Y104" s="139" cm="1">
        <f t="array" ref="Y104">SUMPRODUCT(General_Data*(Code_General_Data=$C104)*(Year=Y$3)*(Month=Y$4))</f>
        <v>1340</v>
      </c>
      <c r="Z104" s="139" cm="1">
        <f t="array" ref="Z104">SUMPRODUCT(General_Data*(Code_General_Data=$C104)*(Year=Z$3)*(Month=Z$4))</f>
        <v>1310</v>
      </c>
      <c r="AA104" s="139" cm="1">
        <f t="array" ref="AA104">SUMPRODUCT(General_Data*(Code_General_Data=$C104)*(Year=AA$3)*(Month=AA$4))</f>
        <v>1310</v>
      </c>
      <c r="AB104" s="139" cm="1">
        <f t="array" ref="AB104">SUMPRODUCT(General_Data*(Code_General_Data=$C104)*(Year=AB$3)*(Month=AB$4))</f>
        <v>1300</v>
      </c>
      <c r="AC104" s="139" cm="1">
        <f t="array" ref="AC104">SUMPRODUCT(General_Data*(Code_General_Data=$C104)*(Year=AC$3)*(Month=AC$4))</f>
        <v>1290</v>
      </c>
      <c r="AD104" s="140" cm="1">
        <f t="array" ref="AD104">SUMPRODUCT(General_Data*(Code_General_Data=$C104)*(Year=AD$3)*(Month=AD$4))</f>
        <v>1290</v>
      </c>
      <c r="AE104" s="139" cm="1">
        <f t="array" ref="AE104">SUMPRODUCT(General_Data*(Code_General_Data=$C104)*(Year=AE$3)*(Month=AE$4))</f>
        <v>1250</v>
      </c>
      <c r="AF104" s="139" cm="1">
        <f t="array" ref="AF104">SUMPRODUCT(General_Data*(Code_General_Data=$C104)*(Year=AF$3)*(Month=AF$4))</f>
        <v>1250</v>
      </c>
      <c r="AG104" s="139" cm="1">
        <f t="array" ref="AG104">SUMPRODUCT(General_Data*(Code_General_Data=$C104)*(Year=AG$3)*(Month=AG$4))</f>
        <v>1250</v>
      </c>
      <c r="AH104" s="139" cm="1">
        <f t="array" ref="AH104">SUMPRODUCT(General_Data*(Code_General_Data=$C104)*(Year=AH$3)*(Month=AH$4))</f>
        <v>1370</v>
      </c>
      <c r="AI104" s="139" cm="1">
        <f t="array" ref="AI104">SUMPRODUCT(General_Data*(Code_General_Data=$C104)*(Year=AI$3)*(Month=AI$4))</f>
        <v>1470</v>
      </c>
      <c r="AJ104" s="139" cm="1">
        <f t="array" ref="AJ104">SUMPRODUCT(General_Data*(Code_General_Data=$C104)*(Year=AJ$3)*(Month=AJ$4))</f>
        <v>1440</v>
      </c>
      <c r="AK104" s="139"/>
      <c r="AL104" s="139"/>
      <c r="AM104" s="139"/>
      <c r="AN104" s="139"/>
      <c r="AO104" s="139"/>
      <c r="AP104" s="140"/>
    </row>
    <row r="105" spans="1:42" ht="3.6" customHeight="1" x14ac:dyDescent="0.3">
      <c r="D105" s="165"/>
    </row>
    <row r="106" spans="1:42" s="127" customFormat="1" ht="15.6" customHeight="1" x14ac:dyDescent="0.35">
      <c r="A106" s="127" t="s">
        <v>62</v>
      </c>
      <c r="C106" s="131"/>
      <c r="D106" s="157">
        <v>8</v>
      </c>
      <c r="E106" s="130" t="s">
        <v>36</v>
      </c>
      <c r="F106" s="317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314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314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314"/>
    </row>
    <row r="107" spans="1:42" s="147" customFormat="1" ht="13.35" customHeight="1" outlineLevel="1" x14ac:dyDescent="0.3">
      <c r="A107" s="147" t="s">
        <v>62</v>
      </c>
      <c r="B107" s="147" t="s">
        <v>34</v>
      </c>
      <c r="D107" s="158"/>
      <c r="E107" s="148"/>
      <c r="F107" s="318" t="s">
        <v>32</v>
      </c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9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149"/>
      <c r="AE107" s="148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9"/>
    </row>
    <row r="108" spans="1:42" s="69" customFormat="1" ht="12" customHeight="1" outlineLevel="1" x14ac:dyDescent="0.3">
      <c r="A108" s="69" t="s">
        <v>62</v>
      </c>
      <c r="B108" s="69" t="s">
        <v>34</v>
      </c>
      <c r="D108" s="159">
        <v>8.1</v>
      </c>
      <c r="E108" s="134"/>
      <c r="F108" s="319" t="s">
        <v>27</v>
      </c>
      <c r="G108" s="135" cm="1">
        <f t="array" ref="G108">INDEX(Price!$L$11:$AY$210,MATCH(1,(Price!$A$11:$A$210=$A108)*(Price!$B$11:$B$210=$B108)*(Price!$D$11:$D$210="gb"),0),MATCH(1,(Price!$L$3:$AY$3=G$3)*(Price!$L$4:$AY$4=G$4),0))</f>
        <v>0</v>
      </c>
      <c r="H108" s="135" cm="1">
        <f t="array" ref="H108">INDEX(Price!$L$11:$AY$210,MATCH(1,(Price!$A$11:$A$210=$A108)*(Price!$B$11:$B$210=$B108)*(Price!$D$11:$D$210="gb"),0),MATCH(1,(Price!$L$3:$AY$3=H$3)*(Price!$L$4:$AY$4=H$4),0))</f>
        <v>0</v>
      </c>
      <c r="I108" s="135" cm="1">
        <f t="array" ref="I108">INDEX(Price!$L$11:$AY$210,MATCH(1,(Price!$A$11:$A$210=$A108)*(Price!$B$11:$B$210=$B108)*(Price!$D$11:$D$210="gb"),0),MATCH(1,(Price!$L$3:$AY$3=I$3)*(Price!$L$4:$AY$4=I$4),0))</f>
        <v>0</v>
      </c>
      <c r="J108" s="135" cm="1">
        <f t="array" ref="J108">INDEX(Price!$L$11:$AY$210,MATCH(1,(Price!$A$11:$A$210=$A108)*(Price!$B$11:$B$210=$B108)*(Price!$D$11:$D$210="gb"),0),MATCH(1,(Price!$L$3:$AY$3=J$3)*(Price!$L$4:$AY$4=J$4),0))</f>
        <v>0</v>
      </c>
      <c r="K108" s="135" cm="1">
        <f t="array" ref="K108">INDEX(Price!$L$11:$AY$210,MATCH(1,(Price!$A$11:$A$210=$A108)*(Price!$B$11:$B$210=$B108)*(Price!$D$11:$D$210="gb"),0),MATCH(1,(Price!$L$3:$AY$3=K$3)*(Price!$L$4:$AY$4=K$4),0))</f>
        <v>0</v>
      </c>
      <c r="L108" s="135" cm="1">
        <f t="array" ref="L108">INDEX(Price!$L$11:$AY$210,MATCH(1,(Price!$A$11:$A$210=$A108)*(Price!$B$11:$B$210=$B108)*(Price!$D$11:$D$210="gb"),0),MATCH(1,(Price!$L$3:$AY$3=L$3)*(Price!$L$4:$AY$4=L$4),0))</f>
        <v>0</v>
      </c>
      <c r="M108" s="135" cm="1">
        <f t="array" ref="M108">INDEX(Price!$L$11:$AY$210,MATCH(1,(Price!$A$11:$A$210=$A108)*(Price!$B$11:$B$210=$B108)*(Price!$D$11:$D$210="gb"),0),MATCH(1,(Price!$L$3:$AY$3=M$3)*(Price!$L$4:$AY$4=M$4),0))</f>
        <v>0</v>
      </c>
      <c r="N108" s="135" cm="1">
        <f t="array" ref="N108">INDEX(Price!$L$11:$AY$210,MATCH(1,(Price!$A$11:$A$210=$A108)*(Price!$B$11:$B$210=$B108)*(Price!$D$11:$D$210="gb"),0),MATCH(1,(Price!$L$3:$AY$3=N$3)*(Price!$L$4:$AY$4=N$4),0))</f>
        <v>0</v>
      </c>
      <c r="O108" s="135" cm="1">
        <f t="array" ref="O108">INDEX(Price!$L$11:$AY$210,MATCH(1,(Price!$A$11:$A$210=$A108)*(Price!$B$11:$B$210=$B108)*(Price!$D$11:$D$210="gb"),0),MATCH(1,(Price!$L$3:$AY$3=O$3)*(Price!$L$4:$AY$4=O$4),0))</f>
        <v>0</v>
      </c>
      <c r="P108" s="135" cm="1">
        <f t="array" ref="P108">INDEX(Price!$L$11:$AY$210,MATCH(1,(Price!$A$11:$A$210=$A108)*(Price!$B$11:$B$210=$B108)*(Price!$D$11:$D$210="gb"),0),MATCH(1,(Price!$L$3:$AY$3=P$3)*(Price!$L$4:$AY$4=P$4),0))</f>
        <v>1320</v>
      </c>
      <c r="Q108" s="135" cm="1">
        <f t="array" ref="Q108">INDEX(Price!$L$11:$AY$210,MATCH(1,(Price!$A$11:$A$210=$A108)*(Price!$B$11:$B$210=$B108)*(Price!$D$11:$D$210="gb"),0),MATCH(1,(Price!$L$3:$AY$3=Q$3)*(Price!$L$4:$AY$4=Q$4),0))</f>
        <v>1320</v>
      </c>
      <c r="R108" s="136" cm="1">
        <f t="array" ref="R108">INDEX(Price!$L$11:$AY$210,MATCH(1,(Price!$A$11:$A$210=$A108)*(Price!$B$11:$B$210=$B108)*(Price!$D$11:$D$210="gb"),0),MATCH(1,(Price!$L$3:$AY$3=R$3)*(Price!$L$4:$AY$4=R$4),0))</f>
        <v>1320</v>
      </c>
      <c r="S108" s="135" cm="1">
        <f t="array" ref="S108">INDEX(Price!$L$11:$AY$210,MATCH(1,(Price!$A$11:$A$210=$A108)*(Price!$B$11:$B$210=$B108)*(Price!$D$11:$D$210="gb"),0),MATCH(1,(Price!$L$3:$AY$3=S$3)*(Price!$L$4:$AY$4=S$4),0))</f>
        <v>0</v>
      </c>
      <c r="T108" s="135" cm="1">
        <f t="array" ref="T108">INDEX(Price!$L$11:$AY$210,MATCH(1,(Price!$A$11:$A$210=$A108)*(Price!$B$11:$B$210=$B108)*(Price!$D$11:$D$210="gb"),0),MATCH(1,(Price!$L$3:$AY$3=T$3)*(Price!$L$4:$AY$4=T$4),0))</f>
        <v>0</v>
      </c>
      <c r="U108" s="135" cm="1">
        <f t="array" ref="U108">INDEX(Price!$L$11:$AY$210,MATCH(1,(Price!$A$11:$A$210=$A108)*(Price!$B$11:$B$210=$B108)*(Price!$D$11:$D$210="gb"),0),MATCH(1,(Price!$L$3:$AY$3=U$3)*(Price!$L$4:$AY$4=U$4),0))</f>
        <v>0</v>
      </c>
      <c r="V108" s="135" cm="1">
        <f t="array" ref="V108">INDEX(Price!$L$11:$AY$210,MATCH(1,(Price!$A$11:$A$210=$A108)*(Price!$B$11:$B$210=$B108)*(Price!$D$11:$D$210="gb"),0),MATCH(1,(Price!$L$3:$AY$3=V$3)*(Price!$L$4:$AY$4=V$4),0))</f>
        <v>0</v>
      </c>
      <c r="W108" s="135" cm="1">
        <f t="array" ref="W108">INDEX(Price!$L$11:$AY$210,MATCH(1,(Price!$A$11:$A$210=$A108)*(Price!$B$11:$B$210=$B108)*(Price!$D$11:$D$210="gb"),0),MATCH(1,(Price!$L$3:$AY$3=W$3)*(Price!$L$4:$AY$4=W$4),0))</f>
        <v>0</v>
      </c>
      <c r="X108" s="135" cm="1">
        <f t="array" ref="X108">INDEX(Price!$L$11:$AY$210,MATCH(1,(Price!$A$11:$A$210=$A108)*(Price!$B$11:$B$210=$B108)*(Price!$D$11:$D$210="gb"),0),MATCH(1,(Price!$L$3:$AY$3=X$3)*(Price!$L$4:$AY$4=X$4),0))</f>
        <v>0</v>
      </c>
      <c r="Y108" s="135" cm="1">
        <f t="array" ref="Y108">INDEX(Price!$L$11:$AY$210,MATCH(1,(Price!$A$11:$A$210=$A108)*(Price!$B$11:$B$210=$B108)*(Price!$D$11:$D$210="gb"),0),MATCH(1,(Price!$L$3:$AY$3=Y$3)*(Price!$L$4:$AY$4=Y$4),0))</f>
        <v>0</v>
      </c>
      <c r="Z108" s="135" cm="1">
        <f t="array" ref="Z108">INDEX(Price!$L$11:$AY$210,MATCH(1,(Price!$A$11:$A$210=$A108)*(Price!$B$11:$B$210=$B108)*(Price!$D$11:$D$210="gb"),0),MATCH(1,(Price!$L$3:$AY$3=Z$3)*(Price!$L$4:$AY$4=Z$4),0))</f>
        <v>0</v>
      </c>
      <c r="AA108" s="135" cm="1">
        <f t="array" ref="AA108">INDEX(Price!$L$11:$AY$210,MATCH(1,(Price!$A$11:$A$210=$A108)*(Price!$B$11:$B$210=$B108)*(Price!$D$11:$D$210="gb"),0),MATCH(1,(Price!$L$3:$AY$3=AA$3)*(Price!$L$4:$AY$4=AA$4),0))</f>
        <v>0</v>
      </c>
      <c r="AB108" s="135" cm="1">
        <f t="array" ref="AB108">INDEX(Price!$L$11:$AY$210,MATCH(1,(Price!$A$11:$A$210=$A108)*(Price!$B$11:$B$210=$B108)*(Price!$D$11:$D$210="gb"),0),MATCH(1,(Price!$L$3:$AY$3=AB$3)*(Price!$L$4:$AY$4=AB$4),0))</f>
        <v>0</v>
      </c>
      <c r="AC108" s="135" cm="1">
        <f t="array" ref="AC108">INDEX(Price!$L$11:$AY$210,MATCH(1,(Price!$A$11:$A$210=$A108)*(Price!$B$11:$B$210=$B108)*(Price!$D$11:$D$210="gb"),0),MATCH(1,(Price!$L$3:$AY$3=AC$3)*(Price!$L$4:$AY$4=AC$4),0))</f>
        <v>0</v>
      </c>
      <c r="AD108" s="136" cm="1">
        <f t="array" ref="AD108">INDEX(Price!$L$11:$AY$210,MATCH(1,(Price!$A$11:$A$210=$A108)*(Price!$B$11:$B$210=$B108)*(Price!$D$11:$D$210="gb"),0),MATCH(1,(Price!$L$3:$AY$3=AD$3)*(Price!$L$4:$AY$4=AD$4),0))</f>
        <v>0</v>
      </c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6"/>
    </row>
    <row r="109" spans="1:42" s="1" customFormat="1" ht="12" customHeight="1" outlineLevel="1" x14ac:dyDescent="0.3">
      <c r="A109" s="1" t="s">
        <v>62</v>
      </c>
      <c r="B109" s="1" t="s">
        <v>34</v>
      </c>
      <c r="C109" s="142" t="s">
        <v>321</v>
      </c>
      <c r="D109" s="160">
        <v>8.1999999999999993</v>
      </c>
      <c r="E109" s="143"/>
      <c r="F109" s="320" t="s">
        <v>8</v>
      </c>
      <c r="G109" s="144" cm="1">
        <f t="array" ref="G109">INDEX(Price!$L$11:$AY$210,MATCH(1,(Price!$A$11:$A$210=$A109)*(Price!$B$11:$B$210=$B109)*(Price!$D$11:$D$210="exw"),0),MATCH(1,(Price!$L$3:$AY$3=G$3)*(Price!$L$4:$AY$4=G$4),0))</f>
        <v>0</v>
      </c>
      <c r="H109" s="144" cm="1">
        <f t="array" ref="H109">INDEX(Price!$L$11:$AY$210,MATCH(1,(Price!$A$11:$A$210=$A109)*(Price!$B$11:$B$210=$B109)*(Price!$D$11:$D$210="exw"),0),MATCH(1,(Price!$L$3:$AY$3=H$3)*(Price!$L$4:$AY$4=H$4),0))</f>
        <v>0</v>
      </c>
      <c r="I109" s="144" cm="1">
        <f t="array" ref="I109">INDEX(Price!$L$11:$AY$210,MATCH(1,(Price!$A$11:$A$210=$A109)*(Price!$B$11:$B$210=$B109)*(Price!$D$11:$D$210="exw"),0),MATCH(1,(Price!$L$3:$AY$3=I$3)*(Price!$L$4:$AY$4=I$4),0))</f>
        <v>0</v>
      </c>
      <c r="J109" s="144" cm="1">
        <f t="array" ref="J109">INDEX(Price!$L$11:$AY$210,MATCH(1,(Price!$A$11:$A$210=$A109)*(Price!$B$11:$B$210=$B109)*(Price!$D$11:$D$210="exw"),0),MATCH(1,(Price!$L$3:$AY$3=J$3)*(Price!$L$4:$AY$4=J$4),0))</f>
        <v>0</v>
      </c>
      <c r="K109" s="144" cm="1">
        <f t="array" ref="K109">INDEX(Price!$L$11:$AY$210,MATCH(1,(Price!$A$11:$A$210=$A109)*(Price!$B$11:$B$210=$B109)*(Price!$D$11:$D$210="exw"),0),MATCH(1,(Price!$L$3:$AY$3=K$3)*(Price!$L$4:$AY$4=K$4),0))</f>
        <v>0</v>
      </c>
      <c r="L109" s="144" cm="1">
        <f t="array" ref="L109">INDEX(Price!$L$11:$AY$210,MATCH(1,(Price!$A$11:$A$210=$A109)*(Price!$B$11:$B$210=$B109)*(Price!$D$11:$D$210="exw"),0),MATCH(1,(Price!$L$3:$AY$3=L$3)*(Price!$L$4:$AY$4=L$4),0))</f>
        <v>0</v>
      </c>
      <c r="M109" s="144" cm="1">
        <f t="array" ref="M109">INDEX(Price!$L$11:$AY$210,MATCH(1,(Price!$A$11:$A$210=$A109)*(Price!$B$11:$B$210=$B109)*(Price!$D$11:$D$210="exw"),0),MATCH(1,(Price!$L$3:$AY$3=M$3)*(Price!$L$4:$AY$4=M$4),0))</f>
        <v>0</v>
      </c>
      <c r="N109" s="144" cm="1">
        <f t="array" ref="N109">INDEX(Price!$L$11:$AY$210,MATCH(1,(Price!$A$11:$A$210=$A109)*(Price!$B$11:$B$210=$B109)*(Price!$D$11:$D$210="exw"),0),MATCH(1,(Price!$L$3:$AY$3=N$3)*(Price!$L$4:$AY$4=N$4),0))</f>
        <v>0</v>
      </c>
      <c r="O109" s="144" cm="1">
        <f t="array" ref="O109">INDEX(Price!$L$11:$AY$210,MATCH(1,(Price!$A$11:$A$210=$A109)*(Price!$B$11:$B$210=$B109)*(Price!$D$11:$D$210="exw"),0),MATCH(1,(Price!$L$3:$AY$3=O$3)*(Price!$L$4:$AY$4=O$4),0))</f>
        <v>0</v>
      </c>
      <c r="P109" s="144" cm="1">
        <f t="array" ref="P109">INDEX(Price!$L$11:$AY$210,MATCH(1,(Price!$A$11:$A$210=$A109)*(Price!$B$11:$B$210=$B109)*(Price!$D$11:$D$210="exw"),0),MATCH(1,(Price!$L$3:$AY$3=P$3)*(Price!$L$4:$AY$4=P$4),0))</f>
        <v>1310</v>
      </c>
      <c r="Q109" s="144" cm="1">
        <f t="array" ref="Q109">INDEX(Price!$L$11:$AY$210,MATCH(1,(Price!$A$11:$A$210=$A109)*(Price!$B$11:$B$210=$B109)*(Price!$D$11:$D$210="exw"),0),MATCH(1,(Price!$L$3:$AY$3=Q$3)*(Price!$L$4:$AY$4=Q$4),0))</f>
        <v>1310</v>
      </c>
      <c r="R109" s="145" cm="1">
        <f t="array" ref="R109">INDEX(Price!$L$11:$AY$210,MATCH(1,(Price!$A$11:$A$210=$A109)*(Price!$B$11:$B$210=$B109)*(Price!$D$11:$D$210="exw"),0),MATCH(1,(Price!$L$3:$AY$3=R$3)*(Price!$L$4:$AY$4=R$4),0))</f>
        <v>1310</v>
      </c>
      <c r="S109" s="144" cm="1">
        <f t="array" ref="S109">INDEX(Price!$L$11:$AY$210,MATCH(1,(Price!$A$11:$A$210=$A109)*(Price!$B$11:$B$210=$B109)*(Price!$D$11:$D$210="exw"),0),MATCH(1,(Price!$L$3:$AY$3=S$3)*(Price!$L$4:$AY$4=S$4),0))</f>
        <v>0</v>
      </c>
      <c r="T109" s="144" cm="1">
        <f t="array" ref="T109">INDEX(Price!$L$11:$AY$210,MATCH(1,(Price!$A$11:$A$210=$A109)*(Price!$B$11:$B$210=$B109)*(Price!$D$11:$D$210="exw"),0),MATCH(1,(Price!$L$3:$AY$3=T$3)*(Price!$L$4:$AY$4=T$4),0))</f>
        <v>0</v>
      </c>
      <c r="U109" s="144" cm="1">
        <f t="array" ref="U109">INDEX(Price!$L$11:$AY$210,MATCH(1,(Price!$A$11:$A$210=$A109)*(Price!$B$11:$B$210=$B109)*(Price!$D$11:$D$210="exw"),0),MATCH(1,(Price!$L$3:$AY$3=U$3)*(Price!$L$4:$AY$4=U$4),0))</f>
        <v>0</v>
      </c>
      <c r="V109" s="144" cm="1">
        <f t="array" ref="V109">INDEX(Price!$L$11:$AY$210,MATCH(1,(Price!$A$11:$A$210=$A109)*(Price!$B$11:$B$210=$B109)*(Price!$D$11:$D$210="exw"),0),MATCH(1,(Price!$L$3:$AY$3=V$3)*(Price!$L$4:$AY$4=V$4),0))</f>
        <v>0</v>
      </c>
      <c r="W109" s="144" cm="1">
        <f t="array" ref="W109">INDEX(Price!$L$11:$AY$210,MATCH(1,(Price!$A$11:$A$210=$A109)*(Price!$B$11:$B$210=$B109)*(Price!$D$11:$D$210="exw"),0),MATCH(1,(Price!$L$3:$AY$3=W$3)*(Price!$L$4:$AY$4=W$4),0))</f>
        <v>0</v>
      </c>
      <c r="X109" s="144" cm="1">
        <f t="array" ref="X109">INDEX(Price!$L$11:$AY$210,MATCH(1,(Price!$A$11:$A$210=$A109)*(Price!$B$11:$B$210=$B109)*(Price!$D$11:$D$210="exw"),0),MATCH(1,(Price!$L$3:$AY$3=X$3)*(Price!$L$4:$AY$4=X$4),0))</f>
        <v>0</v>
      </c>
      <c r="Y109" s="144" cm="1">
        <f t="array" ref="Y109">INDEX(Price!$L$11:$AY$210,MATCH(1,(Price!$A$11:$A$210=$A109)*(Price!$B$11:$B$210=$B109)*(Price!$D$11:$D$210="exw"),0),MATCH(1,(Price!$L$3:$AY$3=Y$3)*(Price!$L$4:$AY$4=Y$4),0))</f>
        <v>0</v>
      </c>
      <c r="Z109" s="144" cm="1">
        <f t="array" ref="Z109">INDEX(Price!$L$11:$AY$210,MATCH(1,(Price!$A$11:$A$210=$A109)*(Price!$B$11:$B$210=$B109)*(Price!$D$11:$D$210="exw"),0),MATCH(1,(Price!$L$3:$AY$3=Z$3)*(Price!$L$4:$AY$4=Z$4),0))</f>
        <v>0</v>
      </c>
      <c r="AA109" s="144" cm="1">
        <f t="array" ref="AA109">INDEX(Price!$L$11:$AY$210,MATCH(1,(Price!$A$11:$A$210=$A109)*(Price!$B$11:$B$210=$B109)*(Price!$D$11:$D$210="exw"),0),MATCH(1,(Price!$L$3:$AY$3=AA$3)*(Price!$L$4:$AY$4=AA$4),0))</f>
        <v>0</v>
      </c>
      <c r="AB109" s="144" cm="1">
        <f t="array" ref="AB109">INDEX(Price!$L$11:$AY$210,MATCH(1,(Price!$A$11:$A$210=$A109)*(Price!$B$11:$B$210=$B109)*(Price!$D$11:$D$210="exw"),0),MATCH(1,(Price!$L$3:$AY$3=AB$3)*(Price!$L$4:$AY$4=AB$4),0))</f>
        <v>0</v>
      </c>
      <c r="AC109" s="144" cm="1">
        <f t="array" ref="AC109">INDEX(Price!$L$11:$AY$210,MATCH(1,(Price!$A$11:$A$210=$A109)*(Price!$B$11:$B$210=$B109)*(Price!$D$11:$D$210="exw"),0),MATCH(1,(Price!$L$3:$AY$3=AC$3)*(Price!$L$4:$AY$4=AC$4),0))</f>
        <v>0</v>
      </c>
      <c r="AD109" s="145" cm="1">
        <f t="array" ref="AD109">INDEX(Price!$L$11:$AY$210,MATCH(1,(Price!$A$11:$A$210=$A109)*(Price!$B$11:$B$210=$B109)*(Price!$D$11:$D$210="exw"),0),MATCH(1,(Price!$L$3:$AY$3=AD$3)*(Price!$L$4:$AY$4=AD$4),0))</f>
        <v>0</v>
      </c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5"/>
    </row>
    <row r="110" spans="1:42" ht="12" customHeight="1" outlineLevel="1" x14ac:dyDescent="0.3">
      <c r="A110" t="s">
        <v>62</v>
      </c>
      <c r="B110" t="s">
        <v>34</v>
      </c>
      <c r="C110" s="14" t="s">
        <v>9</v>
      </c>
      <c r="D110" s="161">
        <v>8.3000000000000007</v>
      </c>
      <c r="E110" s="8"/>
      <c r="F110" s="321" t="s">
        <v>11</v>
      </c>
      <c r="G110" s="315"/>
      <c r="H110" s="132"/>
      <c r="I110" s="132"/>
      <c r="J110" s="132"/>
      <c r="K110" s="132"/>
      <c r="L110" s="132"/>
      <c r="M110" s="132"/>
      <c r="N110" s="132"/>
      <c r="O110" s="132"/>
      <c r="P110" s="132" cm="1">
        <f t="array" ref="P110">SUMPRODUCT(General_Data*(Code_General_Data=$C110)*(Year=P$3)*(Month=P$4))</f>
        <v>862.5</v>
      </c>
      <c r="Q110" s="132" cm="1">
        <f t="array" ref="Q110">SUMPRODUCT(General_Data*(Code_General_Data=$C110)*(Year=Q$3)*(Month=Q$4))</f>
        <v>852</v>
      </c>
      <c r="R110" s="133" cm="1">
        <f t="array" ref="R110">SUMPRODUCT(General_Data*(Code_General_Data=$C110)*(Year=R$3)*(Month=R$4))</f>
        <v>830</v>
      </c>
      <c r="S110" s="132" cm="1">
        <f t="array" ref="S110">SUMPRODUCT(General_Data*(Code_General_Data=$C110)*(Year=S$3)*(Month=S$4))</f>
        <v>828</v>
      </c>
      <c r="T110" s="132" cm="1">
        <f t="array" ref="T110">SUMPRODUCT(General_Data*(Code_General_Data=$C110)*(Year=T$3)*(Month=T$4))</f>
        <v>840</v>
      </c>
      <c r="U110" s="132" cm="1">
        <f t="array" ref="U110">SUMPRODUCT(General_Data*(Code_General_Data=$C110)*(Year=U$3)*(Month=U$4))</f>
        <v>823</v>
      </c>
      <c r="V110" s="132" cm="1">
        <f t="array" ref="V110">SUMPRODUCT(General_Data*(Code_General_Data=$C110)*(Year=V$3)*(Month=V$4))</f>
        <v>765</v>
      </c>
      <c r="W110" s="132" cm="1">
        <f t="array" ref="W110">SUMPRODUCT(General_Data*(Code_General_Data=$C110)*(Year=W$3)*(Month=W$4))</f>
        <v>782</v>
      </c>
      <c r="X110" s="132" cm="1">
        <f t="array" ref="X110">SUMPRODUCT(General_Data*(Code_General_Data=$C110)*(Year=X$3)*(Month=X$4))</f>
        <v>807.5</v>
      </c>
      <c r="Y110" s="132" cm="1">
        <f t="array" ref="Y110">SUMPRODUCT(General_Data*(Code_General_Data=$C110)*(Year=Y$3)*(Month=Y$4))</f>
        <v>802</v>
      </c>
      <c r="Z110" s="132" cm="1">
        <f t="array" ref="Z110">SUMPRODUCT(General_Data*(Code_General_Data=$C110)*(Year=Z$3)*(Month=Z$4))</f>
        <v>795</v>
      </c>
      <c r="AA110" s="132" cm="1">
        <f t="array" ref="AA110">SUMPRODUCT(General_Data*(Code_General_Data=$C110)*(Year=AA$3)*(Month=AA$4))</f>
        <v>783</v>
      </c>
      <c r="AB110" s="132" cm="1">
        <f t="array" ref="AB110">SUMPRODUCT(General_Data*(Code_General_Data=$C110)*(Year=AB$3)*(Month=AB$4))</f>
        <v>772</v>
      </c>
      <c r="AC110" s="132" cm="1">
        <f t="array" ref="AC110">SUMPRODUCT(General_Data*(Code_General_Data=$C110)*(Year=AC$3)*(Month=AC$4))</f>
        <v>770</v>
      </c>
      <c r="AD110" s="133" cm="1">
        <f t="array" ref="AD110">SUMPRODUCT(General_Data*(Code_General_Data=$C110)*(Year=AD$3)*(Month=AD$4))</f>
        <v>772.5</v>
      </c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3"/>
    </row>
    <row r="111" spans="1:42" s="151" customFormat="1" ht="12" customHeight="1" outlineLevel="1" x14ac:dyDescent="0.3">
      <c r="A111" s="151" t="s">
        <v>62</v>
      </c>
      <c r="B111" s="151" t="s">
        <v>34</v>
      </c>
      <c r="D111" s="162">
        <v>8.4</v>
      </c>
      <c r="E111" s="152"/>
      <c r="F111" s="322" t="s">
        <v>406</v>
      </c>
      <c r="G111" s="153"/>
      <c r="H111" s="153"/>
      <c r="I111" s="153"/>
      <c r="J111" s="153"/>
      <c r="K111" s="153"/>
      <c r="L111" s="153"/>
      <c r="M111" s="153"/>
      <c r="N111" s="153"/>
      <c r="O111" s="153"/>
      <c r="P111" s="153">
        <f>IF(P108*P109*P110&lt;&gt;0,P109-P110,0)</f>
        <v>447.5</v>
      </c>
      <c r="Q111" s="153">
        <f>IF(Q108*Q109*Q110&lt;&gt;0,Q109-Q110,0)</f>
        <v>458</v>
      </c>
      <c r="R111" s="154">
        <f>IF(R108*R109*R110&lt;&gt;0,R109-R110,0)</f>
        <v>480</v>
      </c>
      <c r="S111" s="153">
        <f t="shared" ref="S111:AD111" si="74">IF(S108*S109*S110&lt;&gt;0,S109-S110,0)</f>
        <v>0</v>
      </c>
      <c r="T111" s="153">
        <f t="shared" si="74"/>
        <v>0</v>
      </c>
      <c r="U111" s="153">
        <f t="shared" si="74"/>
        <v>0</v>
      </c>
      <c r="V111" s="153">
        <f t="shared" si="74"/>
        <v>0</v>
      </c>
      <c r="W111" s="153">
        <f t="shared" si="74"/>
        <v>0</v>
      </c>
      <c r="X111" s="153">
        <f t="shared" si="74"/>
        <v>0</v>
      </c>
      <c r="Y111" s="153">
        <f t="shared" si="74"/>
        <v>0</v>
      </c>
      <c r="Z111" s="153">
        <f t="shared" si="74"/>
        <v>0</v>
      </c>
      <c r="AA111" s="153">
        <f t="shared" si="74"/>
        <v>0</v>
      </c>
      <c r="AB111" s="153">
        <f t="shared" si="74"/>
        <v>0</v>
      </c>
      <c r="AC111" s="153">
        <f t="shared" si="74"/>
        <v>0</v>
      </c>
      <c r="AD111" s="154">
        <f t="shared" si="74"/>
        <v>0</v>
      </c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4"/>
    </row>
    <row r="112" spans="1:42" s="155" customFormat="1" ht="12" customHeight="1" outlineLevel="1" x14ac:dyDescent="0.3">
      <c r="A112" s="155" t="s">
        <v>62</v>
      </c>
      <c r="B112" s="155" t="s">
        <v>34</v>
      </c>
      <c r="D112" s="163">
        <v>8.5</v>
      </c>
      <c r="E112" s="156"/>
      <c r="F112" s="323" t="s">
        <v>14</v>
      </c>
      <c r="G112" s="497"/>
      <c r="H112" s="497"/>
      <c r="I112" s="497"/>
      <c r="J112" s="497"/>
      <c r="K112" s="497"/>
      <c r="L112" s="497"/>
      <c r="M112" s="497"/>
      <c r="N112" s="497"/>
      <c r="O112" s="497"/>
      <c r="P112" s="497">
        <f>IFERROR(P111/P110,0)</f>
        <v>0.51884057971014497</v>
      </c>
      <c r="Q112" s="497">
        <f>IFERROR(Q111/Q110,0)</f>
        <v>0.53755868544600938</v>
      </c>
      <c r="R112" s="498">
        <f>IFERROR(R111/R110,0)</f>
        <v>0.57831325301204817</v>
      </c>
      <c r="S112" s="497">
        <f t="shared" ref="S112:AD112" si="75">IFERROR(S111/S110,0)</f>
        <v>0</v>
      </c>
      <c r="T112" s="497">
        <f t="shared" si="75"/>
        <v>0</v>
      </c>
      <c r="U112" s="497">
        <f t="shared" si="75"/>
        <v>0</v>
      </c>
      <c r="V112" s="497">
        <f t="shared" si="75"/>
        <v>0</v>
      </c>
      <c r="W112" s="497">
        <f t="shared" si="75"/>
        <v>0</v>
      </c>
      <c r="X112" s="497">
        <f t="shared" si="75"/>
        <v>0</v>
      </c>
      <c r="Y112" s="497">
        <f t="shared" si="75"/>
        <v>0</v>
      </c>
      <c r="Z112" s="497">
        <f t="shared" si="75"/>
        <v>0</v>
      </c>
      <c r="AA112" s="497">
        <f t="shared" si="75"/>
        <v>0</v>
      </c>
      <c r="AB112" s="497">
        <f t="shared" si="75"/>
        <v>0</v>
      </c>
      <c r="AC112" s="497">
        <f t="shared" si="75"/>
        <v>0</v>
      </c>
      <c r="AD112" s="498">
        <f t="shared" si="75"/>
        <v>0</v>
      </c>
      <c r="AE112" s="497"/>
      <c r="AF112" s="497"/>
      <c r="AG112" s="497"/>
      <c r="AH112" s="497"/>
      <c r="AI112" s="497"/>
      <c r="AJ112" s="497"/>
      <c r="AK112" s="497"/>
      <c r="AL112" s="497"/>
      <c r="AM112" s="497"/>
      <c r="AN112" s="497"/>
      <c r="AO112" s="497"/>
      <c r="AP112" s="498"/>
    </row>
    <row r="113" spans="1:42" s="137" customFormat="1" ht="12" customHeight="1" outlineLevel="1" x14ac:dyDescent="0.3">
      <c r="A113" s="137" t="s">
        <v>62</v>
      </c>
      <c r="B113" s="137" t="s">
        <v>34</v>
      </c>
      <c r="C113" s="137" t="s">
        <v>34</v>
      </c>
      <c r="D113" s="164">
        <v>8.6</v>
      </c>
      <c r="E113" s="138"/>
      <c r="F113" s="324" t="s">
        <v>202</v>
      </c>
      <c r="G113" s="139"/>
      <c r="H113" s="139"/>
      <c r="I113" s="139"/>
      <c r="J113" s="139"/>
      <c r="K113" s="139"/>
      <c r="L113" s="139"/>
      <c r="M113" s="139"/>
      <c r="N113" s="139"/>
      <c r="O113" s="139"/>
      <c r="P113" s="139" cm="1">
        <f t="array" ref="P113">SUMPRODUCT(General_Data*(Code_General_Data=$C113)*(Year=P$3)*(Month=P$4))</f>
        <v>1325</v>
      </c>
      <c r="Q113" s="139" cm="1">
        <f t="array" ref="Q113">SUMPRODUCT(General_Data*(Code_General_Data=$C113)*(Year=Q$3)*(Month=Q$4))</f>
        <v>1325</v>
      </c>
      <c r="R113" s="140" cm="1">
        <f t="array" ref="R113">SUMPRODUCT(General_Data*(Code_General_Data=$C113)*(Year=R$3)*(Month=R$4))</f>
        <v>1275</v>
      </c>
      <c r="S113" s="139" cm="1">
        <f t="array" ref="S113">SUMPRODUCT(General_Data*(Code_General_Data=$C113)*(Year=S$3)*(Month=S$4))</f>
        <v>1230</v>
      </c>
      <c r="T113" s="139" cm="1">
        <f t="array" ref="T113">SUMPRODUCT(General_Data*(Code_General_Data=$C113)*(Year=T$3)*(Month=T$4))</f>
        <v>1230</v>
      </c>
      <c r="U113" s="139" cm="1">
        <f t="array" ref="U113">SUMPRODUCT(General_Data*(Code_General_Data=$C113)*(Year=U$3)*(Month=U$4))</f>
        <v>1230</v>
      </c>
      <c r="V113" s="139" cm="1">
        <f t="array" ref="V113">SUMPRODUCT(General_Data*(Code_General_Data=$C113)*(Year=V$3)*(Month=V$4))</f>
        <v>1250</v>
      </c>
      <c r="W113" s="139" cm="1">
        <f t="array" ref="W113">SUMPRODUCT(General_Data*(Code_General_Data=$C113)*(Year=W$3)*(Month=W$4))</f>
        <v>1250</v>
      </c>
      <c r="X113" s="139" cm="1">
        <f t="array" ref="X113">SUMPRODUCT(General_Data*(Code_General_Data=$C113)*(Year=X$3)*(Month=X$4))</f>
        <v>1250</v>
      </c>
      <c r="Y113" s="139" cm="1">
        <f t="array" ref="Y113">SUMPRODUCT(General_Data*(Code_General_Data=$C113)*(Year=Y$3)*(Month=Y$4))</f>
        <v>1250</v>
      </c>
      <c r="Z113" s="139" cm="1">
        <f t="array" ref="Z113">SUMPRODUCT(General_Data*(Code_General_Data=$C113)*(Year=Z$3)*(Month=Z$4))</f>
        <v>1220</v>
      </c>
      <c r="AA113" s="139" cm="1">
        <f t="array" ref="AA113">SUMPRODUCT(General_Data*(Code_General_Data=$C113)*(Year=AA$3)*(Month=AA$4))</f>
        <v>1220</v>
      </c>
      <c r="AB113" s="139" cm="1">
        <f t="array" ref="AB113">SUMPRODUCT(General_Data*(Code_General_Data=$C113)*(Year=AB$3)*(Month=AB$4))</f>
        <v>1210</v>
      </c>
      <c r="AC113" s="139" cm="1">
        <f t="array" ref="AC113">SUMPRODUCT(General_Data*(Code_General_Data=$C113)*(Year=AC$3)*(Month=AC$4))</f>
        <v>1200</v>
      </c>
      <c r="AD113" s="140" cm="1">
        <f t="array" ref="AD113">SUMPRODUCT(General_Data*(Code_General_Data=$C113)*(Year=AD$3)*(Month=AD$4))</f>
        <v>1200</v>
      </c>
      <c r="AE113" s="139"/>
      <c r="AF113" s="139"/>
      <c r="AG113" s="139"/>
      <c r="AH113" s="139"/>
      <c r="AI113" s="139"/>
      <c r="AJ113" s="139"/>
      <c r="AK113" s="139"/>
      <c r="AL113" s="139"/>
      <c r="AM113" s="139"/>
      <c r="AN113" s="139"/>
      <c r="AO113" s="139"/>
      <c r="AP113" s="140"/>
    </row>
  </sheetData>
  <mergeCells count="2">
    <mergeCell ref="E8:F9"/>
    <mergeCell ref="D8:D9"/>
  </mergeCells>
  <conditionalFormatting sqref="G17:AP17">
    <cfRule type="cellIs" dxfId="19" priority="14" operator="lessThan">
      <formula>0</formula>
    </cfRule>
  </conditionalFormatting>
  <conditionalFormatting sqref="G26:AP26">
    <cfRule type="cellIs" dxfId="18" priority="13" operator="lessThan">
      <formula>0</formula>
    </cfRule>
  </conditionalFormatting>
  <conditionalFormatting sqref="G35:AP35">
    <cfRule type="cellIs" dxfId="17" priority="12" operator="lessThan">
      <formula>0</formula>
    </cfRule>
  </conditionalFormatting>
  <conditionalFormatting sqref="G44:AP44">
    <cfRule type="cellIs" dxfId="16" priority="11" operator="lessThan">
      <formula>0</formula>
    </cfRule>
  </conditionalFormatting>
  <conditionalFormatting sqref="G52:AP52">
    <cfRule type="cellIs" dxfId="15" priority="10" operator="lessThan">
      <formula>0</formula>
    </cfRule>
  </conditionalFormatting>
  <conditionalFormatting sqref="G60:AP60">
    <cfRule type="cellIs" dxfId="14" priority="9" operator="lessThan">
      <formula>0</formula>
    </cfRule>
  </conditionalFormatting>
  <conditionalFormatting sqref="G68:AP68">
    <cfRule type="cellIs" dxfId="13" priority="8" operator="lessThan">
      <formula>0</formula>
    </cfRule>
  </conditionalFormatting>
  <conditionalFormatting sqref="G77:AP77">
    <cfRule type="cellIs" dxfId="12" priority="7" operator="lessThan">
      <formula>0</formula>
    </cfRule>
  </conditionalFormatting>
  <conditionalFormatting sqref="G85:AP85">
    <cfRule type="cellIs" dxfId="11" priority="6" operator="lessThan">
      <formula>0</formula>
    </cfRule>
  </conditionalFormatting>
  <conditionalFormatting sqref="G94:AP94">
    <cfRule type="cellIs" dxfId="10" priority="3" operator="lessThan">
      <formula>0</formula>
    </cfRule>
  </conditionalFormatting>
  <conditionalFormatting sqref="G103:AP103">
    <cfRule type="cellIs" dxfId="9" priority="2" operator="lessThan">
      <formula>0</formula>
    </cfRule>
  </conditionalFormatting>
  <conditionalFormatting sqref="G112:AP112">
    <cfRule type="cellIs" dxfId="8" priority="1" operator="lessThan">
      <formula>0</formula>
    </cfRule>
  </conditionalFormatting>
  <printOptions horizontalCentered="1"/>
  <pageMargins left="0.2" right="0.2" top="0.2" bottom="0.2" header="0" footer="0.05"/>
  <pageSetup paperSize="9" fitToHeight="0" orientation="landscape" horizontalDpi="300" verticalDpi="300" r:id="rId1"/>
  <headerFooter>
    <oddFooter>&amp;CTrang &amp;P/&amp;N</oddFooter>
  </headerFooter>
  <rowBreaks count="1" manualBreakCount="1">
    <brk id="105" min="3" max="2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8F0D-A836-4713-A12B-371CD554EE1B}">
  <sheetPr>
    <tabColor theme="7" tint="-0.249977111117893"/>
  </sheetPr>
  <dimension ref="A1:BB410"/>
  <sheetViews>
    <sheetView showGridLines="0" zoomScaleNormal="100" workbookViewId="0">
      <pane xSplit="11" ySplit="10" topLeftCell="AJ40" activePane="bottomRight" state="frozen"/>
      <selection activeCell="R42" sqref="R42"/>
      <selection pane="topRight" activeCell="R42" sqref="R42"/>
      <selection pane="bottomLeft" activeCell="R42" sqref="R42"/>
      <selection pane="bottomRight" activeCell="AR121" sqref="AR121"/>
    </sheetView>
  </sheetViews>
  <sheetFormatPr defaultRowHeight="14.4" outlineLevelRow="1" outlineLevelCol="1" x14ac:dyDescent="0.3"/>
  <cols>
    <col min="1" max="1" width="8.88671875" style="93" hidden="1" customWidth="1" outlineLevel="1"/>
    <col min="2" max="2" width="13.33203125" style="93" hidden="1" customWidth="1" outlineLevel="1"/>
    <col min="3" max="3" width="8.88671875" style="93" hidden="1" customWidth="1" outlineLevel="1"/>
    <col min="4" max="4" width="4.77734375" style="92" hidden="1" customWidth="1" outlineLevel="1"/>
    <col min="5" max="5" width="2.33203125" style="93" hidden="1" customWidth="1" outlineLevel="1"/>
    <col min="6" max="6" width="5.109375" style="165" customWidth="1" collapsed="1"/>
    <col min="7" max="7" width="0.6640625" customWidth="1"/>
    <col min="8" max="8" width="2.77734375" customWidth="1"/>
    <col min="9" max="9" width="0.6640625" customWidth="1"/>
    <col min="10" max="10" width="32.33203125" customWidth="1"/>
    <col min="11" max="11" width="0.33203125" customWidth="1"/>
    <col min="12" max="14" width="12.33203125" hidden="1" customWidth="1"/>
    <col min="15" max="15" width="12.6640625" style="47" customWidth="1"/>
    <col min="16" max="25" width="12.6640625" customWidth="1"/>
    <col min="26" max="26" width="12.6640625" style="48" customWidth="1"/>
    <col min="27" max="37" width="12.6640625" customWidth="1"/>
    <col min="38" max="38" width="12.6640625" style="48" customWidth="1"/>
    <col min="39" max="49" width="9.88671875" customWidth="1"/>
    <col min="50" max="50" width="9.88671875" style="48" customWidth="1"/>
    <col min="51" max="51" width="0.77734375" customWidth="1"/>
  </cols>
  <sheetData>
    <row r="1" spans="1:50" s="21" customFormat="1" outlineLevel="1" x14ac:dyDescent="0.3">
      <c r="A1" s="92"/>
      <c r="B1" s="92"/>
      <c r="C1" s="92"/>
      <c r="D1" s="92"/>
      <c r="E1" s="92"/>
      <c r="F1" s="243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  <c r="AM1" s="77">
        <f t="shared" ref="AM1:AX1" si="1">DATE(AM3,AM4,1)</f>
        <v>46023</v>
      </c>
      <c r="AN1" s="77">
        <f t="shared" si="1"/>
        <v>46054</v>
      </c>
      <c r="AO1" s="77">
        <f t="shared" si="1"/>
        <v>46082</v>
      </c>
      <c r="AP1" s="77">
        <f t="shared" si="1"/>
        <v>46113</v>
      </c>
      <c r="AQ1" s="77">
        <f t="shared" si="1"/>
        <v>46143</v>
      </c>
      <c r="AR1" s="77">
        <f t="shared" si="1"/>
        <v>46174</v>
      </c>
      <c r="AS1" s="77">
        <f t="shared" si="1"/>
        <v>46204</v>
      </c>
      <c r="AT1" s="77">
        <f t="shared" si="1"/>
        <v>46235</v>
      </c>
      <c r="AU1" s="77">
        <f t="shared" si="1"/>
        <v>46266</v>
      </c>
      <c r="AV1" s="77">
        <f t="shared" si="1"/>
        <v>46296</v>
      </c>
      <c r="AW1" s="77">
        <f t="shared" si="1"/>
        <v>46327</v>
      </c>
      <c r="AX1" s="79">
        <f t="shared" si="1"/>
        <v>46357</v>
      </c>
    </row>
    <row r="2" spans="1:50" s="21" customFormat="1" outlineLevel="1" x14ac:dyDescent="0.3">
      <c r="A2" s="92"/>
      <c r="B2" s="92"/>
      <c r="C2" s="92"/>
      <c r="D2" s="92"/>
      <c r="E2" s="92"/>
      <c r="F2" s="243"/>
      <c r="L2" s="77">
        <f t="shared" ref="L2:AL2" si="2">EOMONTH(L1,0)</f>
        <v>45230</v>
      </c>
      <c r="M2" s="77">
        <f t="shared" si="2"/>
        <v>45260</v>
      </c>
      <c r="N2" s="77">
        <f t="shared" si="2"/>
        <v>45291</v>
      </c>
      <c r="O2" s="78">
        <f t="shared" si="2"/>
        <v>45322</v>
      </c>
      <c r="P2" s="77">
        <f t="shared" si="2"/>
        <v>45351</v>
      </c>
      <c r="Q2" s="77">
        <f t="shared" si="2"/>
        <v>45382</v>
      </c>
      <c r="R2" s="77">
        <f t="shared" si="2"/>
        <v>45412</v>
      </c>
      <c r="S2" s="77">
        <f t="shared" si="2"/>
        <v>45443</v>
      </c>
      <c r="T2" s="77">
        <f t="shared" si="2"/>
        <v>45473</v>
      </c>
      <c r="U2" s="77">
        <f t="shared" si="2"/>
        <v>45504</v>
      </c>
      <c r="V2" s="77">
        <f t="shared" si="2"/>
        <v>45535</v>
      </c>
      <c r="W2" s="77">
        <f t="shared" si="2"/>
        <v>45565</v>
      </c>
      <c r="X2" s="77">
        <f t="shared" si="2"/>
        <v>45596</v>
      </c>
      <c r="Y2" s="77">
        <f t="shared" si="2"/>
        <v>45626</v>
      </c>
      <c r="Z2" s="79">
        <f t="shared" si="2"/>
        <v>45657</v>
      </c>
      <c r="AA2" s="77">
        <f t="shared" si="2"/>
        <v>45688</v>
      </c>
      <c r="AB2" s="77">
        <f t="shared" si="2"/>
        <v>45716</v>
      </c>
      <c r="AC2" s="77">
        <f t="shared" si="2"/>
        <v>45747</v>
      </c>
      <c r="AD2" s="77">
        <f t="shared" si="2"/>
        <v>45777</v>
      </c>
      <c r="AE2" s="77">
        <f t="shared" si="2"/>
        <v>45808</v>
      </c>
      <c r="AF2" s="77">
        <f t="shared" si="2"/>
        <v>45838</v>
      </c>
      <c r="AG2" s="77">
        <f t="shared" si="2"/>
        <v>45869</v>
      </c>
      <c r="AH2" s="77">
        <f t="shared" si="2"/>
        <v>45900</v>
      </c>
      <c r="AI2" s="77">
        <f t="shared" si="2"/>
        <v>45930</v>
      </c>
      <c r="AJ2" s="77">
        <f t="shared" si="2"/>
        <v>45961</v>
      </c>
      <c r="AK2" s="77">
        <f t="shared" si="2"/>
        <v>45991</v>
      </c>
      <c r="AL2" s="79">
        <f t="shared" si="2"/>
        <v>46022</v>
      </c>
      <c r="AM2" s="77">
        <f t="shared" ref="AM2:AX2" si="3">EOMONTH(AM1,0)</f>
        <v>46053</v>
      </c>
      <c r="AN2" s="77">
        <f t="shared" si="3"/>
        <v>46081</v>
      </c>
      <c r="AO2" s="77">
        <f t="shared" si="3"/>
        <v>46112</v>
      </c>
      <c r="AP2" s="77">
        <f t="shared" si="3"/>
        <v>46142</v>
      </c>
      <c r="AQ2" s="77">
        <f t="shared" si="3"/>
        <v>46173</v>
      </c>
      <c r="AR2" s="77">
        <f t="shared" si="3"/>
        <v>46203</v>
      </c>
      <c r="AS2" s="77">
        <f t="shared" si="3"/>
        <v>46234</v>
      </c>
      <c r="AT2" s="77">
        <f t="shared" si="3"/>
        <v>46265</v>
      </c>
      <c r="AU2" s="77">
        <f t="shared" si="3"/>
        <v>46295</v>
      </c>
      <c r="AV2" s="77">
        <f t="shared" si="3"/>
        <v>46326</v>
      </c>
      <c r="AW2" s="77">
        <f t="shared" si="3"/>
        <v>46356</v>
      </c>
      <c r="AX2" s="79">
        <f t="shared" si="3"/>
        <v>46387</v>
      </c>
    </row>
    <row r="3" spans="1:50" s="21" customFormat="1" outlineLevel="1" x14ac:dyDescent="0.3">
      <c r="A3" s="92"/>
      <c r="B3" s="92"/>
      <c r="C3" s="92"/>
      <c r="D3" s="92"/>
      <c r="E3" s="92"/>
      <c r="F3" s="243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  <c r="AM3" s="21">
        <v>2026</v>
      </c>
      <c r="AN3" s="21">
        <v>2026</v>
      </c>
      <c r="AO3" s="21">
        <v>2026</v>
      </c>
      <c r="AP3" s="21">
        <v>2026</v>
      </c>
      <c r="AQ3" s="21">
        <v>2026</v>
      </c>
      <c r="AR3" s="21">
        <v>2026</v>
      </c>
      <c r="AS3" s="21">
        <v>2026</v>
      </c>
      <c r="AT3" s="21">
        <v>2026</v>
      </c>
      <c r="AU3" s="21">
        <v>2026</v>
      </c>
      <c r="AV3" s="21">
        <v>2026</v>
      </c>
      <c r="AW3" s="21">
        <v>2026</v>
      </c>
      <c r="AX3" s="73">
        <v>2026</v>
      </c>
    </row>
    <row r="4" spans="1:50" s="21" customFormat="1" outlineLevel="1" x14ac:dyDescent="0.3">
      <c r="A4" s="92"/>
      <c r="B4" s="92"/>
      <c r="C4" s="92"/>
      <c r="D4" s="92"/>
      <c r="E4" s="92"/>
      <c r="F4" s="243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  <c r="AM4" s="21">
        <v>1</v>
      </c>
      <c r="AN4" s="21">
        <v>2</v>
      </c>
      <c r="AO4" s="21">
        <v>3</v>
      </c>
      <c r="AP4" s="21">
        <v>4</v>
      </c>
      <c r="AQ4" s="21">
        <v>5</v>
      </c>
      <c r="AR4" s="21">
        <v>6</v>
      </c>
      <c r="AS4" s="21">
        <v>7</v>
      </c>
      <c r="AT4" s="21">
        <v>8</v>
      </c>
      <c r="AU4" s="21">
        <v>9</v>
      </c>
      <c r="AV4" s="21">
        <v>10</v>
      </c>
      <c r="AW4" s="21">
        <v>11</v>
      </c>
      <c r="AX4" s="73">
        <v>12</v>
      </c>
    </row>
    <row r="5" spans="1:50" s="21" customFormat="1" outlineLevel="1" x14ac:dyDescent="0.3">
      <c r="A5" s="92"/>
      <c r="B5" s="92"/>
      <c r="C5" s="92"/>
      <c r="D5" s="92"/>
      <c r="E5" s="92"/>
      <c r="F5" s="243"/>
      <c r="O5" s="72"/>
      <c r="Z5" s="73"/>
      <c r="AL5" s="73"/>
      <c r="AX5" s="73"/>
    </row>
    <row r="6" spans="1:50" s="414" customFormat="1" ht="28.8" x14ac:dyDescent="0.55000000000000004">
      <c r="F6" s="415"/>
      <c r="I6" s="413"/>
      <c r="J6" s="416"/>
      <c r="O6" s="417" t="s">
        <v>338</v>
      </c>
      <c r="AA6" s="417" t="s">
        <v>338</v>
      </c>
      <c r="AM6" s="417" t="s">
        <v>338</v>
      </c>
    </row>
    <row r="7" spans="1:50" x14ac:dyDescent="0.3">
      <c r="O7" s="358"/>
      <c r="Z7"/>
      <c r="AL7"/>
      <c r="AX7"/>
    </row>
    <row r="8" spans="1:50" s="28" customFormat="1" ht="17.399999999999999" x14ac:dyDescent="0.3">
      <c r="A8" s="94"/>
      <c r="B8" s="94"/>
      <c r="C8" s="94"/>
      <c r="D8" s="95"/>
      <c r="E8" s="94"/>
      <c r="F8" s="595" t="s">
        <v>0</v>
      </c>
      <c r="G8" s="596" t="s">
        <v>38</v>
      </c>
      <c r="H8" s="596"/>
      <c r="I8" s="596"/>
      <c r="J8" s="597"/>
      <c r="L8" s="39">
        <v>2023</v>
      </c>
      <c r="M8" s="40"/>
      <c r="N8" s="40"/>
      <c r="O8" s="29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  <c r="AM8" s="454">
        <v>2026</v>
      </c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5"/>
    </row>
    <row r="9" spans="1:50" s="28" customFormat="1" ht="17.399999999999999" x14ac:dyDescent="0.3">
      <c r="A9" s="94" t="s">
        <v>317</v>
      </c>
      <c r="B9" s="94" t="s">
        <v>318</v>
      </c>
      <c r="C9" s="94" t="s">
        <v>319</v>
      </c>
      <c r="D9" s="95" t="s">
        <v>320</v>
      </c>
      <c r="E9" s="94"/>
      <c r="F9" s="595"/>
      <c r="G9" s="596"/>
      <c r="H9" s="596"/>
      <c r="I9" s="596"/>
      <c r="J9" s="597"/>
      <c r="L9" s="38">
        <v>10</v>
      </c>
      <c r="M9" s="38">
        <v>11</v>
      </c>
      <c r="N9" s="38">
        <v>12</v>
      </c>
      <c r="O9" s="31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  <c r="AM9" s="456">
        <v>1</v>
      </c>
      <c r="AN9" s="456">
        <v>2</v>
      </c>
      <c r="AO9" s="456">
        <v>3</v>
      </c>
      <c r="AP9" s="456">
        <v>4</v>
      </c>
      <c r="AQ9" s="456">
        <v>5</v>
      </c>
      <c r="AR9" s="456">
        <v>6</v>
      </c>
      <c r="AS9" s="456">
        <v>7</v>
      </c>
      <c r="AT9" s="456">
        <v>8</v>
      </c>
      <c r="AU9" s="456">
        <v>9</v>
      </c>
      <c r="AV9" s="456">
        <v>10</v>
      </c>
      <c r="AW9" s="456">
        <v>11</v>
      </c>
      <c r="AX9" s="457">
        <v>12</v>
      </c>
    </row>
    <row r="10" spans="1:50" x14ac:dyDescent="0.3">
      <c r="J10" s="316"/>
      <c r="O10"/>
    </row>
    <row r="11" spans="1:50" s="331" customFormat="1" ht="17.399999999999999" x14ac:dyDescent="0.3">
      <c r="A11" s="331" t="s">
        <v>51</v>
      </c>
      <c r="F11" s="332">
        <v>1</v>
      </c>
      <c r="G11" s="359" t="s">
        <v>3</v>
      </c>
      <c r="H11" s="359"/>
      <c r="I11" s="359"/>
      <c r="J11" s="360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4"/>
      <c r="AA11" s="335"/>
      <c r="AB11" s="333"/>
      <c r="AC11" s="335"/>
      <c r="AD11" s="335"/>
      <c r="AE11" s="335"/>
      <c r="AF11" s="335"/>
      <c r="AG11" s="335"/>
      <c r="AH11" s="335"/>
      <c r="AI11" s="335"/>
      <c r="AJ11" s="335"/>
      <c r="AK11" s="335"/>
      <c r="AL11" s="334"/>
      <c r="AM11" s="335"/>
      <c r="AN11" s="333"/>
      <c r="AO11" s="335"/>
      <c r="AP11" s="335"/>
      <c r="AQ11" s="335"/>
      <c r="AR11" s="335"/>
      <c r="AS11" s="335"/>
      <c r="AT11" s="335"/>
      <c r="AU11" s="335"/>
      <c r="AV11" s="335"/>
      <c r="AW11" s="335"/>
      <c r="AX11" s="334"/>
    </row>
    <row r="12" spans="1:50" s="325" customFormat="1" ht="15.6" x14ac:dyDescent="0.3">
      <c r="A12" s="325" t="s">
        <v>51</v>
      </c>
      <c r="B12" s="325" t="s">
        <v>15</v>
      </c>
      <c r="D12" s="325" t="s">
        <v>321</v>
      </c>
      <c r="F12" s="326">
        <v>1.1000000000000001</v>
      </c>
      <c r="G12" s="327"/>
      <c r="H12" s="327" t="s">
        <v>205</v>
      </c>
      <c r="I12" s="327"/>
      <c r="J12" s="361"/>
      <c r="L12" s="327"/>
      <c r="M12" s="327"/>
      <c r="N12" s="327"/>
      <c r="O12" s="329">
        <f t="shared" ref="O12:AC12" si="4">MIN(MAX(SUM(O13:O14),O24),O23)</f>
        <v>1200</v>
      </c>
      <c r="P12" s="329">
        <f t="shared" si="4"/>
        <v>1200</v>
      </c>
      <c r="Q12" s="329">
        <f t="shared" si="4"/>
        <v>1200</v>
      </c>
      <c r="R12" s="329">
        <f t="shared" si="4"/>
        <v>1200</v>
      </c>
      <c r="S12" s="329">
        <f t="shared" si="4"/>
        <v>1200</v>
      </c>
      <c r="T12" s="329">
        <f t="shared" si="4"/>
        <v>1200.8999999999999</v>
      </c>
      <c r="U12" s="329">
        <f t="shared" si="4"/>
        <v>1214.3999999999999</v>
      </c>
      <c r="V12" s="329">
        <f t="shared" si="4"/>
        <v>1226.0999999999999</v>
      </c>
      <c r="W12" s="329">
        <f t="shared" si="4"/>
        <v>1242.6000000000001</v>
      </c>
      <c r="X12" s="329">
        <f t="shared" si="4"/>
        <v>1261.3499999999999</v>
      </c>
      <c r="Y12" s="329">
        <f t="shared" si="4"/>
        <v>1281.75</v>
      </c>
      <c r="Z12" s="330">
        <f t="shared" si="4"/>
        <v>1290.75</v>
      </c>
      <c r="AA12" s="329">
        <f t="shared" si="4"/>
        <v>1288.875</v>
      </c>
      <c r="AB12" s="329">
        <f t="shared" si="4"/>
        <v>1264.3749999999991</v>
      </c>
      <c r="AC12" s="329">
        <f t="shared" si="4"/>
        <v>1238.8749999999991</v>
      </c>
      <c r="AD12" s="329">
        <f>MIN(MAX(SUM(AD13:AD14),AD24),AD23)-0.619999999998981</f>
        <v>1219.8800000000001</v>
      </c>
      <c r="AE12" s="329">
        <f t="shared" ref="AE12:AK12" si="5">MIN(MAX(SUM(AE13:AE14),AE24),AE23)</f>
        <v>1221</v>
      </c>
      <c r="AF12" s="329">
        <f t="shared" si="5"/>
        <v>1224</v>
      </c>
      <c r="AG12" s="329">
        <f t="shared" si="5"/>
        <v>1224</v>
      </c>
      <c r="AH12" s="329">
        <f t="shared" si="5"/>
        <v>1213.2</v>
      </c>
      <c r="AI12" s="329">
        <f t="shared" si="5"/>
        <v>1200</v>
      </c>
      <c r="AJ12" s="329">
        <f t="shared" si="5"/>
        <v>1200</v>
      </c>
      <c r="AK12" s="329">
        <f t="shared" si="5"/>
        <v>1200</v>
      </c>
      <c r="AL12" s="330">
        <v>1100</v>
      </c>
      <c r="AM12" s="329">
        <f t="shared" ref="AM12:AR12" si="6">MIN(MAX(AM24,SUM(AM13:AM16)),AM23)</f>
        <v>1080</v>
      </c>
      <c r="AN12" s="329">
        <f t="shared" si="6"/>
        <v>1050</v>
      </c>
      <c r="AO12" s="329">
        <f t="shared" si="6"/>
        <v>1061.25</v>
      </c>
      <c r="AP12" s="329">
        <f t="shared" si="6"/>
        <v>1221</v>
      </c>
      <c r="AQ12" s="329">
        <f t="shared" si="6"/>
        <v>1221</v>
      </c>
      <c r="AR12" s="329">
        <f t="shared" si="6"/>
        <v>1221</v>
      </c>
      <c r="AS12" s="329"/>
      <c r="AT12" s="329"/>
      <c r="AU12" s="329"/>
      <c r="AV12" s="329"/>
      <c r="AW12" s="329"/>
      <c r="AX12" s="330"/>
    </row>
    <row r="13" spans="1:50" s="340" customFormat="1" outlineLevel="1" x14ac:dyDescent="0.3">
      <c r="A13" s="340" t="s">
        <v>51</v>
      </c>
      <c r="B13" s="340" t="s">
        <v>15</v>
      </c>
      <c r="F13" s="341" t="s">
        <v>324</v>
      </c>
      <c r="G13" s="342"/>
      <c r="H13" s="342" t="s">
        <v>40</v>
      </c>
      <c r="I13" s="342" t="s">
        <v>330</v>
      </c>
      <c r="J13" s="362"/>
      <c r="K13" s="343"/>
      <c r="L13" s="342"/>
      <c r="M13" s="342"/>
      <c r="N13" s="342"/>
      <c r="O13" s="345">
        <f>AVERAGE(L20:N20)</f>
        <v>1296.0416666666667</v>
      </c>
      <c r="P13" s="345">
        <f t="shared" ref="P13:AH13" si="7">AVERAGE(M20:O20)</f>
        <v>1305</v>
      </c>
      <c r="Q13" s="345">
        <f t="shared" si="7"/>
        <v>1313.3333333333333</v>
      </c>
      <c r="R13" s="345">
        <f t="shared" si="7"/>
        <v>1320</v>
      </c>
      <c r="S13" s="345">
        <f t="shared" si="7"/>
        <v>1326</v>
      </c>
      <c r="T13" s="345">
        <f t="shared" si="7"/>
        <v>1334.3333333333333</v>
      </c>
      <c r="U13" s="345">
        <f t="shared" si="7"/>
        <v>1349.3333333333333</v>
      </c>
      <c r="V13" s="345">
        <f t="shared" si="7"/>
        <v>1362.3333333333333</v>
      </c>
      <c r="W13" s="345">
        <f t="shared" si="7"/>
        <v>1380.6666666666667</v>
      </c>
      <c r="X13" s="345">
        <f t="shared" si="7"/>
        <v>1401.5</v>
      </c>
      <c r="Y13" s="345">
        <f t="shared" si="7"/>
        <v>1424.1666666666667</v>
      </c>
      <c r="Z13" s="346">
        <f t="shared" si="7"/>
        <v>1434.1666666666667</v>
      </c>
      <c r="AA13" s="345">
        <f t="shared" si="7"/>
        <v>1432.0833333333333</v>
      </c>
      <c r="AB13" s="345">
        <f t="shared" si="7"/>
        <v>1404.8611111111102</v>
      </c>
      <c r="AC13" s="345">
        <f t="shared" si="7"/>
        <v>1376.5277777777767</v>
      </c>
      <c r="AD13" s="345">
        <f t="shared" si="7"/>
        <v>1356.1111111111102</v>
      </c>
      <c r="AE13" s="345">
        <f t="shared" si="7"/>
        <v>1356.6666666666667</v>
      </c>
      <c r="AF13" s="345">
        <f t="shared" si="7"/>
        <v>1360</v>
      </c>
      <c r="AG13" s="345">
        <f t="shared" si="7"/>
        <v>1360</v>
      </c>
      <c r="AH13" s="345">
        <f t="shared" si="7"/>
        <v>1348</v>
      </c>
      <c r="AI13" s="345">
        <f>AVERAGE(AF20:AH20)</f>
        <v>1326.3333333333333</v>
      </c>
      <c r="AJ13" s="345">
        <f>AVERAGE(AG20:AI20)</f>
        <v>1295.6666666666667</v>
      </c>
      <c r="AK13" s="345">
        <f>AVERAGE(AH20:AJ20)</f>
        <v>1271</v>
      </c>
      <c r="AL13" s="346"/>
      <c r="AM13" s="345"/>
      <c r="AN13" s="345"/>
      <c r="AO13" s="345"/>
      <c r="AP13" s="345"/>
      <c r="AQ13" s="345"/>
      <c r="AR13" s="345"/>
      <c r="AS13" s="345"/>
      <c r="AT13" s="345"/>
      <c r="AU13" s="345"/>
      <c r="AV13" s="345"/>
      <c r="AW13" s="345"/>
      <c r="AX13" s="346"/>
    </row>
    <row r="14" spans="1:50" s="340" customFormat="1" outlineLevel="1" x14ac:dyDescent="0.3">
      <c r="A14" s="340" t="s">
        <v>51</v>
      </c>
      <c r="B14" s="340" t="s">
        <v>15</v>
      </c>
      <c r="F14" s="341" t="s">
        <v>325</v>
      </c>
      <c r="G14" s="342"/>
      <c r="H14" s="342" t="s">
        <v>40</v>
      </c>
      <c r="I14" s="342" t="s">
        <v>327</v>
      </c>
      <c r="J14" s="363"/>
      <c r="K14" s="343"/>
      <c r="L14" s="342"/>
      <c r="M14" s="342"/>
      <c r="N14" s="342"/>
      <c r="O14" s="345">
        <f t="shared" ref="O14:AK14" si="8">-O13*O21</f>
        <v>-129.60416666666669</v>
      </c>
      <c r="P14" s="345">
        <f t="shared" si="8"/>
        <v>-130.5</v>
      </c>
      <c r="Q14" s="345">
        <f t="shared" si="8"/>
        <v>-131.33333333333334</v>
      </c>
      <c r="R14" s="345">
        <f t="shared" si="8"/>
        <v>-132</v>
      </c>
      <c r="S14" s="345">
        <f t="shared" si="8"/>
        <v>-132.6</v>
      </c>
      <c r="T14" s="345">
        <f t="shared" si="8"/>
        <v>-133.43333333333334</v>
      </c>
      <c r="U14" s="345">
        <f t="shared" si="8"/>
        <v>-134.93333333333334</v>
      </c>
      <c r="V14" s="345">
        <f t="shared" si="8"/>
        <v>-136.23333333333332</v>
      </c>
      <c r="W14" s="345">
        <f t="shared" si="8"/>
        <v>-138.06666666666669</v>
      </c>
      <c r="X14" s="345">
        <f t="shared" si="8"/>
        <v>-140.15</v>
      </c>
      <c r="Y14" s="345">
        <f t="shared" si="8"/>
        <v>-142.41666666666669</v>
      </c>
      <c r="Z14" s="346">
        <f t="shared" si="8"/>
        <v>-143.41666666666669</v>
      </c>
      <c r="AA14" s="345">
        <f t="shared" si="8"/>
        <v>-143.20833333333334</v>
      </c>
      <c r="AB14" s="345">
        <f t="shared" si="8"/>
        <v>-140.48611111111103</v>
      </c>
      <c r="AC14" s="345">
        <f t="shared" si="8"/>
        <v>-137.65277777777769</v>
      </c>
      <c r="AD14" s="345">
        <f t="shared" si="8"/>
        <v>-135.61111111111103</v>
      </c>
      <c r="AE14" s="345">
        <f t="shared" si="8"/>
        <v>-135.66666666666669</v>
      </c>
      <c r="AF14" s="345">
        <f t="shared" si="8"/>
        <v>-136</v>
      </c>
      <c r="AG14" s="345">
        <f t="shared" si="8"/>
        <v>-136</v>
      </c>
      <c r="AH14" s="345">
        <f t="shared" si="8"/>
        <v>-134.80000000000001</v>
      </c>
      <c r="AI14" s="345">
        <f t="shared" si="8"/>
        <v>-132.63333333333333</v>
      </c>
      <c r="AJ14" s="345">
        <f t="shared" si="8"/>
        <v>-129.56666666666669</v>
      </c>
      <c r="AK14" s="345">
        <f t="shared" si="8"/>
        <v>-127.10000000000001</v>
      </c>
      <c r="AL14" s="346"/>
      <c r="AM14" s="345"/>
      <c r="AN14" s="345"/>
      <c r="AO14" s="345"/>
      <c r="AP14" s="345"/>
      <c r="AQ14" s="345"/>
      <c r="AR14" s="345"/>
      <c r="AS14" s="345"/>
      <c r="AT14" s="345"/>
      <c r="AU14" s="345"/>
      <c r="AV14" s="345"/>
      <c r="AW14" s="345"/>
      <c r="AX14" s="346"/>
    </row>
    <row r="15" spans="1:50" s="340" customFormat="1" outlineLevel="1" x14ac:dyDescent="0.3">
      <c r="F15" s="341" t="s">
        <v>434</v>
      </c>
      <c r="G15" s="491"/>
      <c r="H15" s="491" t="s">
        <v>40</v>
      </c>
      <c r="I15" s="491" t="s">
        <v>438</v>
      </c>
      <c r="J15" s="492"/>
      <c r="K15" s="343"/>
      <c r="L15" s="491"/>
      <c r="M15" s="491"/>
      <c r="N15" s="491"/>
      <c r="O15" s="493"/>
      <c r="P15" s="493"/>
      <c r="Q15" s="493"/>
      <c r="R15" s="493"/>
      <c r="S15" s="493"/>
      <c r="T15" s="493"/>
      <c r="U15" s="493"/>
      <c r="V15" s="493"/>
      <c r="W15" s="493"/>
      <c r="X15" s="493"/>
      <c r="Y15" s="493"/>
      <c r="Z15" s="494"/>
      <c r="AA15" s="493"/>
      <c r="AB15" s="493"/>
      <c r="AC15" s="493"/>
      <c r="AD15" s="493"/>
      <c r="AE15" s="493"/>
      <c r="AF15" s="493"/>
      <c r="AG15" s="493"/>
      <c r="AH15" s="493"/>
      <c r="AI15" s="493"/>
      <c r="AJ15" s="493"/>
      <c r="AK15" s="493"/>
      <c r="AL15" s="494"/>
      <c r="AM15" s="493">
        <v>1080</v>
      </c>
      <c r="AN15" s="493">
        <f>AM12</f>
        <v>1080</v>
      </c>
      <c r="AO15" s="493">
        <f t="shared" ref="AO15" si="9">AN12</f>
        <v>1050</v>
      </c>
      <c r="AP15" s="513">
        <f>AO12*1.1</f>
        <v>1167.375</v>
      </c>
      <c r="AQ15" s="493">
        <f>AP12</f>
        <v>1221</v>
      </c>
      <c r="AR15" s="493">
        <f>AQ12</f>
        <v>1221</v>
      </c>
      <c r="AS15" s="493"/>
      <c r="AT15" s="493"/>
      <c r="AU15" s="493"/>
      <c r="AV15" s="493"/>
      <c r="AW15" s="493"/>
      <c r="AX15" s="494"/>
    </row>
    <row r="16" spans="1:50" s="340" customFormat="1" outlineLevel="1" x14ac:dyDescent="0.3">
      <c r="F16" s="341" t="s">
        <v>435</v>
      </c>
      <c r="G16" s="491"/>
      <c r="H16" s="491" t="s">
        <v>40</v>
      </c>
      <c r="I16" s="491" t="s">
        <v>439</v>
      </c>
      <c r="J16" s="492"/>
      <c r="K16" s="343"/>
      <c r="L16" s="491"/>
      <c r="M16" s="491"/>
      <c r="N16" s="491"/>
      <c r="O16" s="493"/>
      <c r="P16" s="493"/>
      <c r="Q16" s="493"/>
      <c r="R16" s="493"/>
      <c r="S16" s="493"/>
      <c r="T16" s="493"/>
      <c r="U16" s="493"/>
      <c r="V16" s="493"/>
      <c r="W16" s="493"/>
      <c r="X16" s="493"/>
      <c r="Y16" s="493"/>
      <c r="Z16" s="494"/>
      <c r="AA16" s="493"/>
      <c r="AB16" s="493"/>
      <c r="AC16" s="493"/>
      <c r="AD16" s="493"/>
      <c r="AE16" s="493"/>
      <c r="AF16" s="493"/>
      <c r="AG16" s="493"/>
      <c r="AH16" s="493"/>
      <c r="AI16" s="493"/>
      <c r="AJ16" s="493"/>
      <c r="AK16" s="493"/>
      <c r="AL16" s="494"/>
      <c r="AM16" s="493"/>
      <c r="AN16" s="493">
        <f>AM20-AL20</f>
        <v>-43.75</v>
      </c>
      <c r="AO16" s="493">
        <f>AN20-AM20</f>
        <v>11.25</v>
      </c>
      <c r="AP16" s="493">
        <f>AO20-AN20</f>
        <v>74.75</v>
      </c>
      <c r="AQ16" s="493">
        <f>AP20-AO20</f>
        <v>81.5</v>
      </c>
      <c r="AR16" s="493">
        <f>AQ20-AP20</f>
        <v>41.25</v>
      </c>
      <c r="AS16" s="493"/>
      <c r="AT16" s="493"/>
      <c r="AU16" s="493"/>
      <c r="AV16" s="493"/>
      <c r="AW16" s="493"/>
      <c r="AX16" s="494"/>
    </row>
    <row r="17" spans="1:54" s="94" customFormat="1" outlineLevel="1" x14ac:dyDescent="0.3">
      <c r="A17" s="94" t="s">
        <v>51</v>
      </c>
      <c r="B17" s="94" t="s">
        <v>15</v>
      </c>
      <c r="D17" s="95" t="s">
        <v>161</v>
      </c>
      <c r="F17" s="228" t="s">
        <v>200</v>
      </c>
      <c r="G17" s="229"/>
      <c r="H17" s="229"/>
      <c r="I17" s="229" t="s">
        <v>8</v>
      </c>
      <c r="J17" s="364"/>
      <c r="K17" s="2"/>
      <c r="L17" s="229"/>
      <c r="M17" s="229"/>
      <c r="N17" s="229"/>
      <c r="O17" s="231">
        <f>O12-O18-O19</f>
        <v>1162</v>
      </c>
      <c r="P17" s="231">
        <f t="shared" ref="P17:AQ17" si="10">P12-P18-P19</f>
        <v>1162</v>
      </c>
      <c r="Q17" s="231">
        <f t="shared" si="10"/>
        <v>1162</v>
      </c>
      <c r="R17" s="231">
        <f t="shared" si="10"/>
        <v>1162</v>
      </c>
      <c r="S17" s="231">
        <f t="shared" si="10"/>
        <v>1162</v>
      </c>
      <c r="T17" s="231">
        <f t="shared" si="10"/>
        <v>1162.8864999999998</v>
      </c>
      <c r="U17" s="231">
        <f t="shared" si="10"/>
        <v>1176.184</v>
      </c>
      <c r="V17" s="231">
        <f t="shared" si="10"/>
        <v>1187.7085</v>
      </c>
      <c r="W17" s="231">
        <f t="shared" si="10"/>
        <v>1203.9610000000002</v>
      </c>
      <c r="X17" s="231">
        <f t="shared" si="10"/>
        <v>1222.42975</v>
      </c>
      <c r="Y17" s="231">
        <f t="shared" si="10"/>
        <v>1242.5237500000001</v>
      </c>
      <c r="Z17" s="232">
        <f t="shared" si="10"/>
        <v>1251.3887500000001</v>
      </c>
      <c r="AA17" s="231">
        <f t="shared" si="10"/>
        <v>1249.5418749999999</v>
      </c>
      <c r="AB17" s="231">
        <f t="shared" si="10"/>
        <v>1225.409374999999</v>
      </c>
      <c r="AC17" s="231">
        <f t="shared" si="10"/>
        <v>1200.2918749999992</v>
      </c>
      <c r="AD17" s="231">
        <f t="shared" si="10"/>
        <v>1179.5818000000002</v>
      </c>
      <c r="AE17" s="231">
        <f t="shared" si="10"/>
        <v>1180.6849999999999</v>
      </c>
      <c r="AF17" s="231">
        <f t="shared" si="10"/>
        <v>1183.6400000000001</v>
      </c>
      <c r="AG17" s="231">
        <f t="shared" si="10"/>
        <v>1183.6400000000001</v>
      </c>
      <c r="AH17" s="231">
        <f t="shared" si="10"/>
        <v>1175.002</v>
      </c>
      <c r="AI17" s="231">
        <f t="shared" si="10"/>
        <v>1162</v>
      </c>
      <c r="AJ17" s="231">
        <f t="shared" si="10"/>
        <v>1162</v>
      </c>
      <c r="AK17" s="231">
        <f t="shared" si="10"/>
        <v>1162</v>
      </c>
      <c r="AL17" s="232">
        <f t="shared" si="10"/>
        <v>1063.5</v>
      </c>
      <c r="AM17" s="231">
        <f t="shared" si="10"/>
        <v>1043.8</v>
      </c>
      <c r="AN17" s="231">
        <f t="shared" si="10"/>
        <v>1014.25</v>
      </c>
      <c r="AO17" s="231">
        <f t="shared" si="10"/>
        <v>1025.33125</v>
      </c>
      <c r="AP17" s="231">
        <f t="shared" si="10"/>
        <v>1182.6849999999999</v>
      </c>
      <c r="AQ17" s="231">
        <f t="shared" si="10"/>
        <v>1182.6849999999999</v>
      </c>
      <c r="AR17" s="231">
        <f t="shared" ref="AR17" si="11">AR12-AR18-AR19</f>
        <v>1182.6849999999999</v>
      </c>
      <c r="AS17" s="231"/>
      <c r="AT17" s="231"/>
      <c r="AU17" s="231"/>
      <c r="AV17" s="231"/>
      <c r="AW17" s="231"/>
      <c r="AX17" s="232"/>
    </row>
    <row r="18" spans="1:54" s="181" customFormat="1" x14ac:dyDescent="0.3">
      <c r="A18" s="181" t="s">
        <v>51</v>
      </c>
      <c r="B18" s="181" t="s">
        <v>15</v>
      </c>
      <c r="F18" s="219"/>
      <c r="G18" s="188"/>
      <c r="H18" s="188"/>
      <c r="I18" s="188" t="s">
        <v>49</v>
      </c>
      <c r="J18" s="365"/>
      <c r="K18" s="182"/>
      <c r="L18" s="207"/>
      <c r="M18" s="207"/>
      <c r="N18" s="207"/>
      <c r="O18" s="207">
        <v>20</v>
      </c>
      <c r="P18" s="207">
        <v>20</v>
      </c>
      <c r="Q18" s="207">
        <v>20</v>
      </c>
      <c r="R18" s="207">
        <v>20</v>
      </c>
      <c r="S18" s="207">
        <v>20</v>
      </c>
      <c r="T18" s="207">
        <v>20</v>
      </c>
      <c r="U18" s="207">
        <v>20</v>
      </c>
      <c r="V18" s="207">
        <v>20</v>
      </c>
      <c r="W18" s="207">
        <v>20</v>
      </c>
      <c r="X18" s="207">
        <v>20</v>
      </c>
      <c r="Y18" s="207">
        <v>20</v>
      </c>
      <c r="Z18" s="209">
        <v>20</v>
      </c>
      <c r="AA18" s="207">
        <v>20</v>
      </c>
      <c r="AB18" s="207">
        <v>20</v>
      </c>
      <c r="AC18" s="207">
        <v>20</v>
      </c>
      <c r="AD18" s="207">
        <v>22</v>
      </c>
      <c r="AE18" s="207">
        <v>22</v>
      </c>
      <c r="AF18" s="207">
        <v>22</v>
      </c>
      <c r="AG18" s="207">
        <v>22</v>
      </c>
      <c r="AH18" s="207">
        <v>20</v>
      </c>
      <c r="AI18" s="207">
        <v>20</v>
      </c>
      <c r="AJ18" s="207">
        <v>20</v>
      </c>
      <c r="AK18" s="207">
        <v>20</v>
      </c>
      <c r="AL18" s="209">
        <v>20</v>
      </c>
      <c r="AM18" s="207">
        <v>20</v>
      </c>
      <c r="AN18" s="207">
        <v>20</v>
      </c>
      <c r="AO18" s="207">
        <v>20</v>
      </c>
      <c r="AP18" s="207">
        <v>20</v>
      </c>
      <c r="AQ18" s="207">
        <v>20</v>
      </c>
      <c r="AR18" s="207">
        <v>20</v>
      </c>
      <c r="AS18" s="207"/>
      <c r="AT18" s="207"/>
      <c r="AU18" s="207"/>
      <c r="AV18" s="207"/>
      <c r="AW18" s="207"/>
      <c r="AX18" s="209"/>
    </row>
    <row r="19" spans="1:54" s="181" customFormat="1" x14ac:dyDescent="0.3">
      <c r="A19" s="181" t="s">
        <v>51</v>
      </c>
      <c r="B19" s="181" t="s">
        <v>15</v>
      </c>
      <c r="F19" s="219"/>
      <c r="G19" s="188"/>
      <c r="H19" s="188"/>
      <c r="I19" s="188"/>
      <c r="J19" s="365" t="s">
        <v>501</v>
      </c>
      <c r="K19" s="182"/>
      <c r="L19" s="207"/>
      <c r="M19" s="207"/>
      <c r="N19" s="207"/>
      <c r="O19" s="207">
        <f t="shared" ref="O19:AO19" si="12">O12*O22</f>
        <v>18</v>
      </c>
      <c r="P19" s="207">
        <f t="shared" si="12"/>
        <v>18</v>
      </c>
      <c r="Q19" s="207">
        <f t="shared" si="12"/>
        <v>18</v>
      </c>
      <c r="R19" s="207">
        <f t="shared" si="12"/>
        <v>18</v>
      </c>
      <c r="S19" s="207">
        <f t="shared" si="12"/>
        <v>18</v>
      </c>
      <c r="T19" s="207">
        <f t="shared" si="12"/>
        <v>18.013499999999997</v>
      </c>
      <c r="U19" s="207">
        <f t="shared" si="12"/>
        <v>18.215999999999998</v>
      </c>
      <c r="V19" s="207">
        <f t="shared" si="12"/>
        <v>18.391499999999997</v>
      </c>
      <c r="W19" s="207">
        <f t="shared" si="12"/>
        <v>18.639000000000003</v>
      </c>
      <c r="X19" s="207">
        <f t="shared" si="12"/>
        <v>18.920249999999999</v>
      </c>
      <c r="Y19" s="207">
        <f t="shared" si="12"/>
        <v>19.22625</v>
      </c>
      <c r="Z19" s="209">
        <f t="shared" si="12"/>
        <v>19.361249999999998</v>
      </c>
      <c r="AA19" s="207">
        <f t="shared" si="12"/>
        <v>19.333124999999999</v>
      </c>
      <c r="AB19" s="207">
        <f t="shared" si="12"/>
        <v>18.965624999999985</v>
      </c>
      <c r="AC19" s="207">
        <f t="shared" si="12"/>
        <v>18.583124999999985</v>
      </c>
      <c r="AD19" s="207">
        <f t="shared" si="12"/>
        <v>18.298200000000001</v>
      </c>
      <c r="AE19" s="207">
        <f t="shared" si="12"/>
        <v>18.314999999999998</v>
      </c>
      <c r="AF19" s="207">
        <f t="shared" si="12"/>
        <v>18.36</v>
      </c>
      <c r="AG19" s="207">
        <f t="shared" si="12"/>
        <v>18.36</v>
      </c>
      <c r="AH19" s="207">
        <f t="shared" si="12"/>
        <v>18.198</v>
      </c>
      <c r="AI19" s="207">
        <f t="shared" si="12"/>
        <v>18</v>
      </c>
      <c r="AJ19" s="207">
        <f t="shared" si="12"/>
        <v>18</v>
      </c>
      <c r="AK19" s="207">
        <f t="shared" si="12"/>
        <v>18</v>
      </c>
      <c r="AL19" s="209">
        <f t="shared" si="12"/>
        <v>16.5</v>
      </c>
      <c r="AM19" s="207">
        <f t="shared" si="12"/>
        <v>16.2</v>
      </c>
      <c r="AN19" s="207">
        <f t="shared" si="12"/>
        <v>15.75</v>
      </c>
      <c r="AO19" s="207">
        <f t="shared" si="12"/>
        <v>15.918749999999999</v>
      </c>
      <c r="AP19" s="207">
        <f>AP12*AP22</f>
        <v>18.314999999999998</v>
      </c>
      <c r="AQ19" s="207">
        <f>AQ12*AQ22</f>
        <v>18.314999999999998</v>
      </c>
      <c r="AR19" s="207">
        <f>AR12*AR22</f>
        <v>18.314999999999998</v>
      </c>
      <c r="AS19" s="207"/>
      <c r="AT19" s="207"/>
      <c r="AU19" s="207"/>
      <c r="AV19" s="207"/>
      <c r="AW19" s="207"/>
      <c r="AX19" s="209"/>
    </row>
    <row r="20" spans="1:54" s="183" customFormat="1" x14ac:dyDescent="0.3">
      <c r="A20" s="183" t="s">
        <v>51</v>
      </c>
      <c r="B20" s="183" t="s">
        <v>15</v>
      </c>
      <c r="C20" s="183" t="s">
        <v>43</v>
      </c>
      <c r="F20" s="220"/>
      <c r="G20" s="189"/>
      <c r="H20" s="189"/>
      <c r="I20" s="189"/>
      <c r="J20" s="366" t="s">
        <v>74</v>
      </c>
      <c r="K20" s="184"/>
      <c r="L20" s="201" cm="1">
        <f t="array" ref="L20">SUMPRODUCT(General_Data*(Year=L$3)*(Month=L$4)*(Code_General_Data=$C20))</f>
        <v>1288.125</v>
      </c>
      <c r="M20" s="201" cm="1">
        <f t="array" ref="M20">SUMPRODUCT(General_Data*(Year=M$3)*(Month=M$4)*(Code_General_Data=$C20))</f>
        <v>1300</v>
      </c>
      <c r="N20" s="201" cm="1">
        <f t="array" ref="N20">SUMPRODUCT(General_Data*(Year=N$3)*(Month=N$4)*(Code_General_Data=$C20))</f>
        <v>1300</v>
      </c>
      <c r="O20" s="201" cm="1">
        <f t="array" ref="O20">SUMPRODUCT(General_Data*(Year=O$3)*(Month=O$4)*(Code_General_Data=$C20))</f>
        <v>1315</v>
      </c>
      <c r="P20" s="201" cm="1">
        <f t="array" ref="P20">SUMPRODUCT(General_Data*(Year=P$3)*(Month=P$4)*(Code_General_Data=$C20))</f>
        <v>1325</v>
      </c>
      <c r="Q20" s="201" cm="1">
        <f t="array" ref="Q20">SUMPRODUCT(General_Data*(Year=Q$3)*(Month=Q$4)*(Code_General_Data=$C20))</f>
        <v>1320</v>
      </c>
      <c r="R20" s="201" cm="1">
        <f t="array" ref="R20">SUMPRODUCT(General_Data*(Year=R$3)*(Month=R$4)*(Code_General_Data=$C20))</f>
        <v>1333</v>
      </c>
      <c r="S20" s="201" cm="1">
        <f t="array" ref="S20">SUMPRODUCT(General_Data*(Year=S$3)*(Month=S$4)*(Code_General_Data=$C20))</f>
        <v>1350</v>
      </c>
      <c r="T20" s="201" cm="1">
        <f t="array" ref="T20">SUMPRODUCT(General_Data*(Year=T$3)*(Month=T$4)*(Code_General_Data=$C20))</f>
        <v>1365</v>
      </c>
      <c r="U20" s="201" cm="1">
        <f t="array" ref="U20">SUMPRODUCT(General_Data*(Year=U$3)*(Month=U$4)*(Code_General_Data=$C20))</f>
        <v>1372</v>
      </c>
      <c r="V20" s="201" cm="1">
        <f t="array" ref="V20">SUMPRODUCT(General_Data*(Year=V$3)*(Month=V$4)*(Code_General_Data=$C20))</f>
        <v>1405</v>
      </c>
      <c r="W20" s="201" cm="1">
        <f t="array" ref="W20">SUMPRODUCT(General_Data*(Year=W$3)*(Month=W$4)*(Code_General_Data=$C20))</f>
        <v>1427.5</v>
      </c>
      <c r="X20" s="201" cm="1">
        <f t="array" ref="X20">SUMPRODUCT(General_Data*(Year=X$3)*(Month=X$4)*(Code_General_Data=$C20))</f>
        <v>1440</v>
      </c>
      <c r="Y20" s="201" cm="1">
        <f t="array" ref="Y20">SUMPRODUCT(General_Data*(Year=Y$3)*(Month=Y$4)*(Code_General_Data=$C20))</f>
        <v>1435</v>
      </c>
      <c r="Z20" s="203" cm="1">
        <f t="array" ref="Z20">SUMPRODUCT(General_Data*(Year=Z$3)*(Month=Z$4)*(Code_General_Data=$C20))</f>
        <v>1421.25</v>
      </c>
      <c r="AA20" s="201" cm="1">
        <f t="array" ref="AA20">SUMPRODUCT(General_Data*(Year=AA$3)*(Month=AA$4)*(Code_General_Data=$C20))</f>
        <v>1358.3333333333301</v>
      </c>
      <c r="AB20" s="201" cm="1">
        <f t="array" ref="AB20">SUMPRODUCT(General_Data*(Year=AB$3)*(Month=AB$4)*(Code_General_Data=$C20))</f>
        <v>1350</v>
      </c>
      <c r="AC20" s="201" cm="1">
        <f t="array" ref="AC20">SUMPRODUCT(General_Data*(Year=AC$3)*(Month=AC$4)*(Code_General_Data=$C20))</f>
        <v>1360</v>
      </c>
      <c r="AD20" s="201" cm="1">
        <f t="array" ref="AD20">SUMPRODUCT(General_Data*(Year=AD$3)*(Month=AD$4)*(Code_General_Data=$C20))</f>
        <v>1360</v>
      </c>
      <c r="AE20" s="201" cm="1">
        <f t="array" ref="AE20">SUMPRODUCT(General_Data*(Year=AE$3)*(Month=AE$4)*(Code_General_Data=$C20))</f>
        <v>1360</v>
      </c>
      <c r="AF20" s="201" cm="1">
        <f t="array" ref="AF20">SUMPRODUCT(General_Data*(Year=AF$3)*(Month=AF$4)*(Code_General_Data=$C20))</f>
        <v>1360</v>
      </c>
      <c r="AG20" s="201" cm="1">
        <f t="array" ref="AG20">SUMPRODUCT(General_Data*(Year=AG$3)*(Month=AG$4)*(Code_General_Data=$C20))</f>
        <v>1324</v>
      </c>
      <c r="AH20" s="201" cm="1">
        <f t="array" ref="AH20">SUMPRODUCT(General_Data*(Year=AH$3)*(Month=AH$4)*(Code_General_Data=$C20))</f>
        <v>1295</v>
      </c>
      <c r="AI20" s="201" cm="1">
        <f t="array" ref="AI20">SUMPRODUCT(General_Data*(Year=AI$3)*(Month=AI$4)*(Code_General_Data=$C20))</f>
        <v>1268</v>
      </c>
      <c r="AJ20" s="201" cm="1">
        <f t="array" ref="AJ20">SUMPRODUCT(General_Data*(Year=AJ$3)*(Month=AJ$4)*(Code_General_Data=$C20))</f>
        <v>1250</v>
      </c>
      <c r="AK20" s="201" cm="1">
        <f t="array" ref="AK20">SUMPRODUCT(General_Data*(Year=AK$3)*(Month=AK$4)*(Code_General_Data=$C20))</f>
        <v>1243.75</v>
      </c>
      <c r="AL20" s="203" cm="1">
        <f t="array" ref="AL20">SUMPRODUCT(General_Data*(Year=AL$3)*(Month=AL$4)*(Code_General_Data=$C20))</f>
        <v>1193.75</v>
      </c>
      <c r="AM20" s="201" cm="1">
        <f t="array" ref="AM20">SUMPRODUCT(General_Data*(Year=AM$3)*(Month=AM$4)*(Code_General_Data=$C20))</f>
        <v>1150</v>
      </c>
      <c r="AN20" s="201" cm="1">
        <f t="array" ref="AN20">SUMPRODUCT(General_Data*(Year=AN$3)*(Month=AN$4)*(Code_General_Data=$C20))</f>
        <v>1161.25</v>
      </c>
      <c r="AO20" s="201" cm="1">
        <f t="array" ref="AO20">SUMPRODUCT(General_Data*(Year=AO$3)*(Month=AO$4)*(Code_General_Data=$C20))</f>
        <v>1236</v>
      </c>
      <c r="AP20" s="201" cm="1">
        <f t="array" ref="AP20">SUMPRODUCT(General_Data*(Year=AP$3)*(Month=AP$4)*(Code_General_Data=$C20))</f>
        <v>1317.5</v>
      </c>
      <c r="AQ20" s="201" cm="1">
        <f t="array" ref="AQ20">SUMPRODUCT(General_Data*(Year=AQ$3)*(Month=AQ$4)*(Code_General_Data=$C20))</f>
        <v>1358.75</v>
      </c>
      <c r="AR20" s="201" cm="1">
        <f t="array" ref="AR20">SUMPRODUCT(General_Data*(Year=AR$3)*(Month=AR$4)*(Code_General_Data=$C20))</f>
        <v>0</v>
      </c>
      <c r="AS20" s="201"/>
      <c r="AT20" s="201"/>
      <c r="AU20" s="201"/>
      <c r="AV20" s="201"/>
      <c r="AW20" s="201"/>
      <c r="AX20" s="203"/>
    </row>
    <row r="21" spans="1:54" s="98" customFormat="1" x14ac:dyDescent="0.3">
      <c r="A21" s="98" t="s">
        <v>51</v>
      </c>
      <c r="B21" s="98" t="s">
        <v>15</v>
      </c>
      <c r="F21" s="221"/>
      <c r="G21" s="35"/>
      <c r="H21" s="35"/>
      <c r="I21" s="35"/>
      <c r="J21" s="367" t="s">
        <v>53</v>
      </c>
      <c r="K21" s="34"/>
      <c r="L21" s="35"/>
      <c r="M21" s="35"/>
      <c r="N21" s="35"/>
      <c r="O21" s="205">
        <v>0.1</v>
      </c>
      <c r="P21" s="205">
        <v>0.1</v>
      </c>
      <c r="Q21" s="205">
        <v>0.1</v>
      </c>
      <c r="R21" s="205">
        <v>0.1</v>
      </c>
      <c r="S21" s="205">
        <v>0.1</v>
      </c>
      <c r="T21" s="205">
        <v>0.1</v>
      </c>
      <c r="U21" s="205">
        <v>0.1</v>
      </c>
      <c r="V21" s="205">
        <v>0.1</v>
      </c>
      <c r="W21" s="205">
        <v>0.1</v>
      </c>
      <c r="X21" s="205">
        <v>0.1</v>
      </c>
      <c r="Y21" s="205">
        <v>0.1</v>
      </c>
      <c r="Z21" s="206">
        <v>0.1</v>
      </c>
      <c r="AA21" s="205">
        <v>0.1</v>
      </c>
      <c r="AB21" s="205">
        <v>0.1</v>
      </c>
      <c r="AC21" s="205">
        <v>0.1</v>
      </c>
      <c r="AD21" s="205">
        <v>0.1</v>
      </c>
      <c r="AE21" s="205">
        <v>0.1</v>
      </c>
      <c r="AF21" s="205">
        <v>0.1</v>
      </c>
      <c r="AG21" s="205">
        <v>0.1</v>
      </c>
      <c r="AH21" s="205">
        <v>0.1</v>
      </c>
      <c r="AI21" s="205">
        <v>0.1</v>
      </c>
      <c r="AJ21" s="205">
        <v>0.1</v>
      </c>
      <c r="AK21" s="205">
        <v>0.1</v>
      </c>
      <c r="AL21" s="206">
        <v>0.1</v>
      </c>
      <c r="AM21" s="495" t="s">
        <v>192</v>
      </c>
      <c r="AN21" s="495" t="s">
        <v>192</v>
      </c>
      <c r="AO21" s="495" t="s">
        <v>192</v>
      </c>
      <c r="AP21" s="495" t="s">
        <v>192</v>
      </c>
      <c r="AQ21" s="495" t="s">
        <v>192</v>
      </c>
      <c r="AR21" s="495" t="s">
        <v>192</v>
      </c>
      <c r="AS21" s="495"/>
      <c r="AT21" s="495"/>
      <c r="AU21" s="495"/>
      <c r="AV21" s="495"/>
      <c r="AW21" s="495"/>
      <c r="AX21" s="496"/>
    </row>
    <row r="22" spans="1:54" s="98" customFormat="1" x14ac:dyDescent="0.3">
      <c r="A22" s="98" t="s">
        <v>51</v>
      </c>
      <c r="B22" s="98" t="s">
        <v>15</v>
      </c>
      <c r="F22" s="221"/>
      <c r="G22" s="35"/>
      <c r="H22" s="35"/>
      <c r="I22" s="35"/>
      <c r="J22" s="367" t="s">
        <v>499</v>
      </c>
      <c r="K22" s="34"/>
      <c r="L22" s="35"/>
      <c r="M22" s="35"/>
      <c r="N22" s="35"/>
      <c r="O22" s="205">
        <v>1.4999999999999999E-2</v>
      </c>
      <c r="P22" s="205">
        <v>1.4999999999999999E-2</v>
      </c>
      <c r="Q22" s="205">
        <v>1.4999999999999999E-2</v>
      </c>
      <c r="R22" s="205">
        <v>1.4999999999999999E-2</v>
      </c>
      <c r="S22" s="205">
        <v>1.4999999999999999E-2</v>
      </c>
      <c r="T22" s="205">
        <v>1.4999999999999999E-2</v>
      </c>
      <c r="U22" s="205">
        <v>1.4999999999999999E-2</v>
      </c>
      <c r="V22" s="205">
        <v>1.4999999999999999E-2</v>
      </c>
      <c r="W22" s="205">
        <v>1.4999999999999999E-2</v>
      </c>
      <c r="X22" s="205">
        <v>1.4999999999999999E-2</v>
      </c>
      <c r="Y22" s="205">
        <v>1.4999999999999999E-2</v>
      </c>
      <c r="Z22" s="206">
        <v>1.4999999999999999E-2</v>
      </c>
      <c r="AA22" s="205">
        <v>1.4999999999999999E-2</v>
      </c>
      <c r="AB22" s="205">
        <v>1.4999999999999999E-2</v>
      </c>
      <c r="AC22" s="205">
        <v>1.4999999999999999E-2</v>
      </c>
      <c r="AD22" s="205">
        <v>1.4999999999999999E-2</v>
      </c>
      <c r="AE22" s="205">
        <v>1.4999999999999999E-2</v>
      </c>
      <c r="AF22" s="205">
        <v>1.4999999999999999E-2</v>
      </c>
      <c r="AG22" s="205">
        <v>1.4999999999999999E-2</v>
      </c>
      <c r="AH22" s="205">
        <v>1.4999999999999999E-2</v>
      </c>
      <c r="AI22" s="205">
        <v>1.4999999999999999E-2</v>
      </c>
      <c r="AJ22" s="205">
        <v>1.4999999999999999E-2</v>
      </c>
      <c r="AK22" s="205">
        <v>1.4999999999999999E-2</v>
      </c>
      <c r="AL22" s="206">
        <v>1.4999999999999999E-2</v>
      </c>
      <c r="AM22" s="495">
        <v>1.4999999999999999E-2</v>
      </c>
      <c r="AN22" s="495">
        <v>1.4999999999999999E-2</v>
      </c>
      <c r="AO22" s="495">
        <v>1.4999999999999999E-2</v>
      </c>
      <c r="AP22" s="495">
        <v>1.4999999999999999E-2</v>
      </c>
      <c r="AQ22" s="495">
        <v>1.4999999999999999E-2</v>
      </c>
      <c r="AR22" s="495">
        <v>1.4999999999999999E-2</v>
      </c>
      <c r="AS22" s="495"/>
      <c r="AT22" s="495"/>
      <c r="AU22" s="495"/>
      <c r="AV22" s="495"/>
      <c r="AW22" s="495"/>
      <c r="AX22" s="496"/>
    </row>
    <row r="23" spans="1:54" s="514" customFormat="1" outlineLevel="1" x14ac:dyDescent="0.3">
      <c r="A23" s="514" t="s">
        <v>51</v>
      </c>
      <c r="B23" s="514" t="s">
        <v>15</v>
      </c>
      <c r="F23" s="515" t="s">
        <v>201</v>
      </c>
      <c r="G23" s="516"/>
      <c r="H23" s="516"/>
      <c r="I23" s="516"/>
      <c r="J23" s="517" t="s">
        <v>46</v>
      </c>
      <c r="K23" s="518"/>
      <c r="L23" s="519"/>
      <c r="M23" s="519"/>
      <c r="N23" s="519"/>
      <c r="O23" s="520" cm="1">
        <f t="array" ref="O23">INDEX(Note!$J$3:$J$102,MATCH(1,(Note!$A$3:$A$102=$A23)*(Note!$C$3:$C$102=$B23)*(Note!$E$3:$E$102&lt;=O$1)*(Note!$F$3:$F$102&gt;=O$2),0))</f>
        <v>1600</v>
      </c>
      <c r="P23" s="520" cm="1">
        <f t="array" ref="P23">INDEX(Note!$J$3:$J$102,MATCH(1,(Note!$A$3:$A$102=$A23)*(Note!$C$3:$C$102=$B23)*(Note!$E$3:$E$102&lt;=P$1)*(Note!$F$3:$F$102&gt;=P$2),0))</f>
        <v>1600</v>
      </c>
      <c r="Q23" s="520" cm="1">
        <f t="array" ref="Q23">INDEX(Note!$J$3:$J$102,MATCH(1,(Note!$A$3:$A$102=$A23)*(Note!$C$3:$C$102=$B23)*(Note!$E$3:$E$102&lt;=Q$1)*(Note!$F$3:$F$102&gt;=Q$2),0))</f>
        <v>1600</v>
      </c>
      <c r="R23" s="520" cm="1">
        <f t="array" ref="R23">INDEX(Note!$J$3:$J$102,MATCH(1,(Note!$A$3:$A$102=$A23)*(Note!$C$3:$C$102=$B23)*(Note!$E$3:$E$102&lt;=R$1)*(Note!$F$3:$F$102&gt;=R$2),0))</f>
        <v>1600</v>
      </c>
      <c r="S23" s="520" cm="1">
        <f t="array" ref="S23">INDEX(Note!$J$3:$J$102,MATCH(1,(Note!$A$3:$A$102=$A23)*(Note!$C$3:$C$102=$B23)*(Note!$E$3:$E$102&lt;=S$1)*(Note!$F$3:$F$102&gt;=S$2),0))</f>
        <v>1600</v>
      </c>
      <c r="T23" s="520" cm="1">
        <f t="array" ref="T23">INDEX(Note!$J$3:$J$102,MATCH(1,(Note!$A$3:$A$102=$A23)*(Note!$C$3:$C$102=$B23)*(Note!$E$3:$E$102&lt;=T$1)*(Note!$F$3:$F$102&gt;=T$2),0))</f>
        <v>1600</v>
      </c>
      <c r="U23" s="520" cm="1">
        <f t="array" ref="U23">INDEX(Note!$J$3:$J$102,MATCH(1,(Note!$A$3:$A$102=$A23)*(Note!$C$3:$C$102=$B23)*(Note!$E$3:$E$102&lt;=U$1)*(Note!$F$3:$F$102&gt;=U$2),0))</f>
        <v>1600</v>
      </c>
      <c r="V23" s="520" cm="1">
        <f t="array" ref="V23">INDEX(Note!$J$3:$J$102,MATCH(1,(Note!$A$3:$A$102=$A23)*(Note!$C$3:$C$102=$B23)*(Note!$E$3:$E$102&lt;=V$1)*(Note!$F$3:$F$102&gt;=V$2),0))</f>
        <v>1600</v>
      </c>
      <c r="W23" s="520" cm="1">
        <f t="array" ref="W23">INDEX(Note!$J$3:$J$102,MATCH(1,(Note!$A$3:$A$102=$A23)*(Note!$C$3:$C$102=$B23)*(Note!$E$3:$E$102&lt;=W$1)*(Note!$F$3:$F$102&gt;=W$2),0))</f>
        <v>1600</v>
      </c>
      <c r="X23" s="520" cm="1">
        <f t="array" ref="X23">INDEX(Note!$J$3:$J$102,MATCH(1,(Note!$A$3:$A$102=$A23)*(Note!$C$3:$C$102=$B23)*(Note!$E$3:$E$102&lt;=X$1)*(Note!$F$3:$F$102&gt;=X$2),0))</f>
        <v>1600</v>
      </c>
      <c r="Y23" s="520" cm="1">
        <f t="array" ref="Y23">INDEX(Note!$J$3:$J$102,MATCH(1,(Note!$A$3:$A$102=$A23)*(Note!$C$3:$C$102=$B23)*(Note!$E$3:$E$102&lt;=Y$1)*(Note!$F$3:$F$102&gt;=Y$2),0))</f>
        <v>1600</v>
      </c>
      <c r="Z23" s="521" cm="1">
        <f t="array" ref="Z23">INDEX(Note!$J$3:$J$102,MATCH(1,(Note!$A$3:$A$102=$A23)*(Note!$C$3:$C$102=$B23)*(Note!$E$3:$E$102&lt;=Z$1)*(Note!$F$3:$F$102&gt;=Z$2),0))</f>
        <v>1600</v>
      </c>
      <c r="AA23" s="520" cm="1">
        <f t="array" ref="AA23">INDEX(Note!$J$3:$J$102,MATCH(1,(Note!$A$3:$A$102=$A23)*(Note!$C$3:$C$102=$B23)*(Note!$E$3:$E$102&lt;=AA$1)*(Note!$F$3:$F$102&gt;=AA$2),0))</f>
        <v>1600</v>
      </c>
      <c r="AB23" s="520" cm="1">
        <f t="array" ref="AB23">INDEX(Note!$J$3:$J$102,MATCH(1,(Note!$A$3:$A$102=$A23)*(Note!$C$3:$C$102=$B23)*(Note!$E$3:$E$102&lt;=AB$1)*(Note!$F$3:$F$102&gt;=AB$2),0))</f>
        <v>1600</v>
      </c>
      <c r="AC23" s="520" cm="1">
        <f t="array" ref="AC23">INDEX(Note!$J$3:$J$102,MATCH(1,(Note!$A$3:$A$102=$A23)*(Note!$C$3:$C$102=$B23)*(Note!$E$3:$E$102&lt;=AC$1)*(Note!$F$3:$F$102&gt;=AC$2),0))</f>
        <v>1600</v>
      </c>
      <c r="AD23" s="520" cm="1">
        <f t="array" ref="AD23">INDEX(Note!$J$3:$J$102,MATCH(1,(Note!$A$3:$A$102=$A23)*(Note!$C$3:$C$102=$B23)*(Note!$E$3:$E$102&lt;=AD$1)*(Note!$F$3:$F$102&gt;=AD$2),0))</f>
        <v>1600</v>
      </c>
      <c r="AE23" s="520" cm="1">
        <f t="array" ref="AE23">INDEX(Note!$J$3:$J$102,MATCH(1,(Note!$A$3:$A$102=$A23)*(Note!$C$3:$C$102=$B23)*(Note!$E$3:$E$102&lt;=AE$1)*(Note!$F$3:$F$102&gt;=AE$2),0))</f>
        <v>1600</v>
      </c>
      <c r="AF23" s="520" cm="1">
        <f t="array" ref="AF23">INDEX(Note!$J$3:$J$102,MATCH(1,(Note!$A$3:$A$102=$A23)*(Note!$C$3:$C$102=$B23)*(Note!$E$3:$E$102&lt;=AF$1)*(Note!$F$3:$F$102&gt;=AF$2),0))</f>
        <v>1600</v>
      </c>
      <c r="AG23" s="520" cm="1">
        <f t="array" ref="AG23">INDEX(Note!$J$3:$J$102,MATCH(1,(Note!$A$3:$A$102=$A23)*(Note!$C$3:$C$102=$B23)*(Note!$E$3:$E$102&lt;=AG$1)*(Note!$F$3:$F$102&gt;=AG$2),0))</f>
        <v>1600</v>
      </c>
      <c r="AH23" s="520" cm="1">
        <f t="array" ref="AH23">INDEX(Note!$J$3:$J$102,MATCH(1,(Note!$A$3:$A$102=$A23)*(Note!$C$3:$C$102=$B23)*(Note!$E$3:$E$102&lt;=AH$1)*(Note!$F$3:$F$102&gt;=AH$2),0))</f>
        <v>1600</v>
      </c>
      <c r="AI23" s="520" cm="1">
        <f t="array" ref="AI23">INDEX(Note!$J$3:$J$102,MATCH(1,(Note!$A$3:$A$102=$A23)*(Note!$C$3:$C$102=$B23)*(Note!$E$3:$E$102&lt;=AI$1)*(Note!$F$3:$F$102&gt;=AI$2),0))</f>
        <v>1600</v>
      </c>
      <c r="AJ23" s="520" cm="1">
        <f t="array" ref="AJ23">INDEX(Note!$J$3:$J$102,MATCH(1,(Note!$A$3:$A$102=$A23)*(Note!$C$3:$C$102=$B23)*(Note!$E$3:$E$102&lt;=AJ$1)*(Note!$F$3:$F$102&gt;=AJ$2),0))</f>
        <v>1600</v>
      </c>
      <c r="AK23" s="520" cm="1">
        <f t="array" ref="AK23">INDEX(Note!$J$3:$J$102,MATCH(1,(Note!$A$3:$A$102=$A23)*(Note!$C$3:$C$102=$B23)*(Note!$E$3:$E$102&lt;=AK$1)*(Note!$F$3:$F$102&gt;=AK$2),0))</f>
        <v>1600</v>
      </c>
      <c r="AL23" s="521" cm="1">
        <f t="array" ref="AL23">INDEX(Note!$J$3:$J$102,MATCH(1,(Note!$A$3:$A$102=$A23)*(Note!$C$3:$C$102=$B23)*(Note!$E$3:$E$102&lt;=AL$1)*(Note!$F$3:$F$102&gt;=AL$2),0))</f>
        <v>0</v>
      </c>
      <c r="AM23" s="520" cm="1">
        <f t="array" ref="AM23">INDEX(Note!$J$3:$J$102,MATCH(1,(Note!$A$3:$A$102=$A23)*(Note!$C$3:$C$102=$B23)*(Note!$E$3:$E$102&lt;=AM$1)*(Note!$F$3:$F$102&gt;=AM$2),0))</f>
        <v>1110</v>
      </c>
      <c r="AN23" s="520" cm="1">
        <f t="array" ref="AN23">INDEX(Note!$J$3:$J$102,MATCH(1,(Note!$A$3:$A$102=$A23)*(Note!$C$3:$C$102=$B23)*(Note!$E$3:$E$102&lt;=AN$1)*(Note!$F$3:$F$102&gt;=AN$2),0))</f>
        <v>1110</v>
      </c>
      <c r="AO23" s="520" cm="1">
        <f t="array" ref="AO23">INDEX(Note!$J$3:$J$102,MATCH(1,(Note!$A$3:$A$102=$A23)*(Note!$C$3:$C$102=$B23)*(Note!$E$3:$E$102&lt;=AO$1)*(Note!$F$3:$F$102&gt;=AO$2),0))</f>
        <v>1110</v>
      </c>
      <c r="AP23" s="520" cm="1">
        <f t="array" ref="AP23">INDEX(Note!$J$3:$J$102,MATCH(1,(Note!$A$3:$A$102=$A23)*(Note!$C$3:$C$102=$B23)*(Note!$E$3:$E$102&lt;=AP$1)*(Note!$F$3:$F$102&gt;=AP$2),0))</f>
        <v>1221</v>
      </c>
      <c r="AQ23" s="520" cm="1">
        <f t="array" ref="AQ23">INDEX(Note!$J$3:$J$102,MATCH(1,(Note!$A$3:$A$102=$A23)*(Note!$C$3:$C$102=$B23)*(Note!$E$3:$E$102&lt;=AQ$1)*(Note!$F$3:$F$102&gt;=AQ$2),0))</f>
        <v>1221</v>
      </c>
      <c r="AR23" s="520" cm="1">
        <f t="array" ref="AR23">INDEX(Note!$J$3:$J$102,MATCH(1,(Note!$A$3:$A$102=$A23)*(Note!$C$3:$C$102=$B23)*(Note!$E$3:$E$102&lt;=AR$1)*(Note!$F$3:$F$102&gt;=AR$2),0))</f>
        <v>1221</v>
      </c>
      <c r="AS23" s="520"/>
      <c r="AT23" s="520"/>
      <c r="AU23" s="520"/>
      <c r="AV23" s="520"/>
      <c r="AW23" s="520"/>
      <c r="AX23" s="521"/>
      <c r="BA23" s="561"/>
      <c r="BB23" s="560"/>
    </row>
    <row r="24" spans="1:54" s="522" customFormat="1" outlineLevel="1" x14ac:dyDescent="0.3">
      <c r="A24" s="522" t="s">
        <v>51</v>
      </c>
      <c r="B24" s="522" t="s">
        <v>15</v>
      </c>
      <c r="F24" s="523" t="s">
        <v>216</v>
      </c>
      <c r="G24" s="524"/>
      <c r="H24" s="524"/>
      <c r="I24" s="524"/>
      <c r="J24" s="525" t="s">
        <v>47</v>
      </c>
      <c r="K24" s="526"/>
      <c r="L24" s="527"/>
      <c r="M24" s="527"/>
      <c r="N24" s="527"/>
      <c r="O24" s="528" cm="1">
        <f t="array" ref="O24">INDEX(Note!$K$3:$K$102,MATCH(1,(Note!$A$3:$A$102=$A24)*(Note!$C$3:$C$102=$B24)*(Note!$E$3:$E$102&lt;=O$1)*(Note!$F$3:$F$102&gt;=O$2),0))</f>
        <v>1200</v>
      </c>
      <c r="P24" s="528" cm="1">
        <f t="array" ref="P24">INDEX(Note!$K$3:$K$102,MATCH(1,(Note!$A$3:$A$102=$A24)*(Note!$C$3:$C$102=$B24)*(Note!$E$3:$E$102&lt;=P$1)*(Note!$F$3:$F$102&gt;=P$2),0))</f>
        <v>1200</v>
      </c>
      <c r="Q24" s="528" cm="1">
        <f t="array" ref="Q24">INDEX(Note!$K$3:$K$102,MATCH(1,(Note!$A$3:$A$102=$A24)*(Note!$C$3:$C$102=$B24)*(Note!$E$3:$E$102&lt;=Q$1)*(Note!$F$3:$F$102&gt;=Q$2),0))</f>
        <v>1200</v>
      </c>
      <c r="R24" s="528" cm="1">
        <f t="array" ref="R24">INDEX(Note!$K$3:$K$102,MATCH(1,(Note!$A$3:$A$102=$A24)*(Note!$C$3:$C$102=$B24)*(Note!$E$3:$E$102&lt;=R$1)*(Note!$F$3:$F$102&gt;=R$2),0))</f>
        <v>1200</v>
      </c>
      <c r="S24" s="528" cm="1">
        <f t="array" ref="S24">INDEX(Note!$K$3:$K$102,MATCH(1,(Note!$A$3:$A$102=$A24)*(Note!$C$3:$C$102=$B24)*(Note!$E$3:$E$102&lt;=S$1)*(Note!$F$3:$F$102&gt;=S$2),0))</f>
        <v>1200</v>
      </c>
      <c r="T24" s="528" cm="1">
        <f t="array" ref="T24">INDEX(Note!$K$3:$K$102,MATCH(1,(Note!$A$3:$A$102=$A24)*(Note!$C$3:$C$102=$B24)*(Note!$E$3:$E$102&lt;=T$1)*(Note!$F$3:$F$102&gt;=T$2),0))</f>
        <v>1200</v>
      </c>
      <c r="U24" s="528" cm="1">
        <f t="array" ref="U24">INDEX(Note!$K$3:$K$102,MATCH(1,(Note!$A$3:$A$102=$A24)*(Note!$C$3:$C$102=$B24)*(Note!$E$3:$E$102&lt;=U$1)*(Note!$F$3:$F$102&gt;=U$2),0))</f>
        <v>1200</v>
      </c>
      <c r="V24" s="528" cm="1">
        <f t="array" ref="V24">INDEX(Note!$K$3:$K$102,MATCH(1,(Note!$A$3:$A$102=$A24)*(Note!$C$3:$C$102=$B24)*(Note!$E$3:$E$102&lt;=V$1)*(Note!$F$3:$F$102&gt;=V$2),0))</f>
        <v>1200</v>
      </c>
      <c r="W24" s="528" cm="1">
        <f t="array" ref="W24">INDEX(Note!$K$3:$K$102,MATCH(1,(Note!$A$3:$A$102=$A24)*(Note!$C$3:$C$102=$B24)*(Note!$E$3:$E$102&lt;=W$1)*(Note!$F$3:$F$102&gt;=W$2),0))</f>
        <v>1200</v>
      </c>
      <c r="X24" s="528" cm="1">
        <f t="array" ref="X24">INDEX(Note!$K$3:$K$102,MATCH(1,(Note!$A$3:$A$102=$A24)*(Note!$C$3:$C$102=$B24)*(Note!$E$3:$E$102&lt;=X$1)*(Note!$F$3:$F$102&gt;=X$2),0))</f>
        <v>1200</v>
      </c>
      <c r="Y24" s="528" cm="1">
        <f t="array" ref="Y24">INDEX(Note!$K$3:$K$102,MATCH(1,(Note!$A$3:$A$102=$A24)*(Note!$C$3:$C$102=$B24)*(Note!$E$3:$E$102&lt;=Y$1)*(Note!$F$3:$F$102&gt;=Y$2),0))</f>
        <v>1200</v>
      </c>
      <c r="Z24" s="529" cm="1">
        <f t="array" ref="Z24">INDEX(Note!$K$3:$K$102,MATCH(1,(Note!$A$3:$A$102=$A24)*(Note!$C$3:$C$102=$B24)*(Note!$E$3:$E$102&lt;=Z$1)*(Note!$F$3:$F$102&gt;=Z$2),0))</f>
        <v>1200</v>
      </c>
      <c r="AA24" s="528" cm="1">
        <f t="array" ref="AA24">INDEX(Note!$K$3:$K$102,MATCH(1,(Note!$A$3:$A$102=$A24)*(Note!$C$3:$C$102=$B24)*(Note!$E$3:$E$102&lt;=AA$1)*(Note!$F$3:$F$102&gt;=AA$2),0))</f>
        <v>1200</v>
      </c>
      <c r="AB24" s="528" cm="1">
        <f t="array" ref="AB24">INDEX(Note!$K$3:$K$102,MATCH(1,(Note!$A$3:$A$102=$A24)*(Note!$C$3:$C$102=$B24)*(Note!$E$3:$E$102&lt;=AB$1)*(Note!$F$3:$F$102&gt;=AB$2),0))</f>
        <v>1200</v>
      </c>
      <c r="AC24" s="528" cm="1">
        <f t="array" ref="AC24">INDEX(Note!$K$3:$K$102,MATCH(1,(Note!$A$3:$A$102=$A24)*(Note!$C$3:$C$102=$B24)*(Note!$E$3:$E$102&lt;=AC$1)*(Note!$F$3:$F$102&gt;=AC$2),0))</f>
        <v>1200</v>
      </c>
      <c r="AD24" s="528" cm="1">
        <f t="array" ref="AD24">INDEX(Note!$K$3:$K$102,MATCH(1,(Note!$A$3:$A$102=$A24)*(Note!$C$3:$C$102=$B24)*(Note!$E$3:$E$102&lt;=AD$1)*(Note!$F$3:$F$102&gt;=AD$2),0))</f>
        <v>1200</v>
      </c>
      <c r="AE24" s="528" cm="1">
        <f t="array" ref="AE24">INDEX(Note!$K$3:$K$102,MATCH(1,(Note!$A$3:$A$102=$A24)*(Note!$C$3:$C$102=$B24)*(Note!$E$3:$E$102&lt;=AE$1)*(Note!$F$3:$F$102&gt;=AE$2),0))</f>
        <v>1200</v>
      </c>
      <c r="AF24" s="528" cm="1">
        <f t="array" ref="AF24">INDEX(Note!$K$3:$K$102,MATCH(1,(Note!$A$3:$A$102=$A24)*(Note!$C$3:$C$102=$B24)*(Note!$E$3:$E$102&lt;=AF$1)*(Note!$F$3:$F$102&gt;=AF$2),0))</f>
        <v>1200</v>
      </c>
      <c r="AG24" s="528" cm="1">
        <f t="array" ref="AG24">INDEX(Note!$K$3:$K$102,MATCH(1,(Note!$A$3:$A$102=$A24)*(Note!$C$3:$C$102=$B24)*(Note!$E$3:$E$102&lt;=AG$1)*(Note!$F$3:$F$102&gt;=AG$2),0))</f>
        <v>1200</v>
      </c>
      <c r="AH24" s="528" cm="1">
        <f t="array" ref="AH24">INDEX(Note!$K$3:$K$102,MATCH(1,(Note!$A$3:$A$102=$A24)*(Note!$C$3:$C$102=$B24)*(Note!$E$3:$E$102&lt;=AH$1)*(Note!$F$3:$F$102&gt;=AH$2),0))</f>
        <v>1200</v>
      </c>
      <c r="AI24" s="528" cm="1">
        <f t="array" ref="AI24">INDEX(Note!$K$3:$K$102,MATCH(1,(Note!$A$3:$A$102=$A24)*(Note!$C$3:$C$102=$B24)*(Note!$E$3:$E$102&lt;=AI$1)*(Note!$F$3:$F$102&gt;=AI$2),0))</f>
        <v>1200</v>
      </c>
      <c r="AJ24" s="528" cm="1">
        <f t="array" ref="AJ24">INDEX(Note!$K$3:$K$102,MATCH(1,(Note!$A$3:$A$102=$A24)*(Note!$C$3:$C$102=$B24)*(Note!$E$3:$E$102&lt;=AJ$1)*(Note!$F$3:$F$102&gt;=AJ$2),0))</f>
        <v>1200</v>
      </c>
      <c r="AK24" s="528" cm="1">
        <f t="array" ref="AK24">INDEX(Note!$K$3:$K$102,MATCH(1,(Note!$A$3:$A$102=$A24)*(Note!$C$3:$C$102=$B24)*(Note!$E$3:$E$102&lt;=AK$1)*(Note!$F$3:$F$102&gt;=AK$2),0))</f>
        <v>1200</v>
      </c>
      <c r="AL24" s="529" cm="1">
        <f t="array" ref="AL24">INDEX(Note!$K$3:$K$102,MATCH(1,(Note!$A$3:$A$102=$A24)*(Note!$C$3:$C$102=$B24)*(Note!$E$3:$E$102&lt;=AL$1)*(Note!$F$3:$F$102&gt;=AL$2),0))</f>
        <v>0</v>
      </c>
      <c r="AM24" s="528" cm="1">
        <f t="array" ref="AM24">INDEX(Note!$K$3:$K$102,MATCH(1,(Note!$A$3:$A$102=$A24)*(Note!$C$3:$C$102=$B24)*(Note!$E$3:$E$102&lt;=AM$1)*(Note!$F$3:$F$102&gt;=AM$2),0))</f>
        <v>1050</v>
      </c>
      <c r="AN24" s="528" cm="1">
        <f t="array" ref="AN24">INDEX(Note!$K$3:$K$102,MATCH(1,(Note!$A$3:$A$102=$A24)*(Note!$C$3:$C$102=$B24)*(Note!$E$3:$E$102&lt;=AN$1)*(Note!$F$3:$F$102&gt;=AN$2),0))</f>
        <v>1050</v>
      </c>
      <c r="AO24" s="528" cm="1">
        <f t="array" ref="AO24">INDEX(Note!$K$3:$K$102,MATCH(1,(Note!$A$3:$A$102=$A24)*(Note!$C$3:$C$102=$B24)*(Note!$E$3:$E$102&lt;=AO$1)*(Note!$F$3:$F$102&gt;=AO$2),0))</f>
        <v>1050</v>
      </c>
      <c r="AP24" s="528" cm="1">
        <f t="array" ref="AP24">INDEX(Note!$K$3:$K$102,MATCH(1,(Note!$A$3:$A$102=$A24)*(Note!$C$3:$C$102=$B24)*(Note!$E$3:$E$102&lt;=AP$1)*(Note!$F$3:$F$102&gt;=AP$2),0))</f>
        <v>1155</v>
      </c>
      <c r="AQ24" s="528" cm="1">
        <f t="array" ref="AQ24">INDEX(Note!$K$3:$K$102,MATCH(1,(Note!$A$3:$A$102=$A24)*(Note!$C$3:$C$102=$B24)*(Note!$E$3:$E$102&lt;=AQ$1)*(Note!$F$3:$F$102&gt;=AQ$2),0))</f>
        <v>1155</v>
      </c>
      <c r="AR24" s="528" cm="1">
        <f t="array" ref="AR24">INDEX(Note!$K$3:$K$102,MATCH(1,(Note!$A$3:$A$102=$A24)*(Note!$C$3:$C$102=$B24)*(Note!$E$3:$E$102&lt;=AR$1)*(Note!$F$3:$F$102&gt;=AR$2),0))</f>
        <v>1155</v>
      </c>
      <c r="AS24" s="528"/>
      <c r="AT24" s="528"/>
      <c r="AU24" s="528"/>
      <c r="AV24" s="528"/>
      <c r="AW24" s="528"/>
      <c r="AX24" s="529"/>
      <c r="AZ24" s="563"/>
      <c r="BA24" s="562"/>
    </row>
    <row r="25" spans="1:54" s="185" customFormat="1" outlineLevel="1" x14ac:dyDescent="0.3">
      <c r="A25" s="185" t="s">
        <v>51</v>
      </c>
      <c r="B25" s="185" t="s">
        <v>15</v>
      </c>
      <c r="F25" s="222" t="s">
        <v>217</v>
      </c>
      <c r="G25" s="190"/>
      <c r="H25" s="190"/>
      <c r="I25" s="190"/>
      <c r="J25" s="368" t="s">
        <v>202</v>
      </c>
      <c r="K25" s="186"/>
      <c r="L25" s="199"/>
      <c r="M25" s="199"/>
      <c r="N25" s="199"/>
      <c r="O25" s="310" cm="1">
        <f t="array" ref="O25">SUMPRODUCT(General_Data*(Year=O$3)*(Month=O$4)*(Code_General_Data=$B25))</f>
        <v>1250</v>
      </c>
      <c r="P25" s="310" cm="1">
        <f t="array" ref="P25">SUMPRODUCT(General_Data*(Year=P$3)*(Month=P$4)*(Code_General_Data=$B25))</f>
        <v>1250</v>
      </c>
      <c r="Q25" s="310" cm="1">
        <f t="array" ref="Q25">SUMPRODUCT(General_Data*(Year=Q$3)*(Month=Q$4)*(Code_General_Data=$B25))</f>
        <v>1250</v>
      </c>
      <c r="R25" s="310" cm="1">
        <f t="array" ref="R25">SUMPRODUCT(General_Data*(Year=R$3)*(Month=R$4)*(Code_General_Data=$B25))</f>
        <v>1250</v>
      </c>
      <c r="S25" s="310" cm="1">
        <f t="array" ref="S25">SUMPRODUCT(General_Data*(Year=S$3)*(Month=S$4)*(Code_General_Data=$B25))</f>
        <v>1300</v>
      </c>
      <c r="T25" s="310" cm="1">
        <f t="array" ref="T25">SUMPRODUCT(General_Data*(Year=T$3)*(Month=T$4)*(Code_General_Data=$B25))</f>
        <v>1300</v>
      </c>
      <c r="U25" s="310" cm="1">
        <f t="array" ref="U25">SUMPRODUCT(General_Data*(Year=U$3)*(Month=U$4)*(Code_General_Data=$B25))</f>
        <v>1300</v>
      </c>
      <c r="V25" s="310" cm="1">
        <f t="array" ref="V25">SUMPRODUCT(General_Data*(Year=V$3)*(Month=V$4)*(Code_General_Data=$B25))</f>
        <v>1300</v>
      </c>
      <c r="W25" s="310" cm="1">
        <f t="array" ref="W25">SUMPRODUCT(General_Data*(Year=W$3)*(Month=W$4)*(Code_General_Data=$B25))</f>
        <v>1310</v>
      </c>
      <c r="X25" s="310" cm="1">
        <f t="array" ref="X25">SUMPRODUCT(General_Data*(Year=X$3)*(Month=X$4)*(Code_General_Data=$B25))</f>
        <v>1325</v>
      </c>
      <c r="Y25" s="310" cm="1">
        <f t="array" ref="Y25">SUMPRODUCT(General_Data*(Year=Y$3)*(Month=Y$4)*(Code_General_Data=$B25))</f>
        <v>1325</v>
      </c>
      <c r="Z25" s="311" cm="1">
        <f t="array" ref="Z25">SUMPRODUCT(General_Data*(Year=Z$3)*(Month=Z$4)*(Code_General_Data=$B25))</f>
        <v>1275</v>
      </c>
      <c r="AA25" s="310" cm="1">
        <f t="array" ref="AA25">SUMPRODUCT(General_Data*(Year=AA$3)*(Month=AA$4)*(Code_General_Data=$B25))</f>
        <v>1230</v>
      </c>
      <c r="AB25" s="310" cm="1">
        <f t="array" ref="AB25">SUMPRODUCT(General_Data*(Year=AB$3)*(Month=AB$4)*(Code_General_Data=$B25))</f>
        <v>1230</v>
      </c>
      <c r="AC25" s="310" cm="1">
        <f t="array" ref="AC25">SUMPRODUCT(General_Data*(Year=AC$3)*(Month=AC$4)*(Code_General_Data=$B25))</f>
        <v>1230</v>
      </c>
      <c r="AD25" s="310" cm="1">
        <f t="array" ref="AD25">SUMPRODUCT(General_Data*(Year=AD$3)*(Month=AD$4)*(Code_General_Data=$B25))</f>
        <v>1250</v>
      </c>
      <c r="AE25" s="310" cm="1">
        <f t="array" ref="AE25">SUMPRODUCT(General_Data*(Year=AE$3)*(Month=AE$4)*(Code_General_Data=$B25))</f>
        <v>1250</v>
      </c>
      <c r="AF25" s="310" cm="1">
        <f t="array" ref="AF25">SUMPRODUCT(General_Data*(Year=AF$3)*(Month=AF$4)*(Code_General_Data=$B25))</f>
        <v>1250</v>
      </c>
      <c r="AG25" s="310" cm="1">
        <f t="array" ref="AG25">SUMPRODUCT(General_Data*(Year=AG$3)*(Month=AG$4)*(Code_General_Data=$B25))</f>
        <v>1250</v>
      </c>
      <c r="AH25" s="310" cm="1">
        <f t="array" ref="AH25">SUMPRODUCT(General_Data*(Year=AH$3)*(Month=AH$4)*(Code_General_Data=$B25))</f>
        <v>1220</v>
      </c>
      <c r="AI25" s="310" cm="1">
        <f t="array" ref="AI25">SUMPRODUCT(General_Data*(Year=AI$3)*(Month=AI$4)*(Code_General_Data=$B25))</f>
        <v>1220</v>
      </c>
      <c r="AJ25" s="310" cm="1">
        <f t="array" ref="AJ25">SUMPRODUCT(General_Data*(Year=AJ$3)*(Month=AJ$4)*(Code_General_Data=$B25))</f>
        <v>1210</v>
      </c>
      <c r="AK25" s="310" cm="1">
        <f t="array" ref="AK25">SUMPRODUCT(General_Data*(Year=AK$3)*(Month=AK$4)*(Code_General_Data=$B25))</f>
        <v>1200</v>
      </c>
      <c r="AL25" s="311" cm="1">
        <f t="array" ref="AL25">SUMPRODUCT(General_Data*(Year=AL$3)*(Month=AL$4)*(Code_General_Data=$B25))</f>
        <v>1200</v>
      </c>
      <c r="AM25" s="310" cm="1">
        <f t="array" ref="AM25">SUMPRODUCT(General_Data*(Year=AM$3)*(Month=AM$4)*(Code_General_Data=$B25))</f>
        <v>1160</v>
      </c>
      <c r="AN25" s="310" cm="1">
        <f t="array" ref="AN25">SUMPRODUCT(General_Data*(Year=AN$3)*(Month=AN$4)*(Code_General_Data=$B25))</f>
        <v>1160</v>
      </c>
      <c r="AO25" s="310" cm="1">
        <f t="array" ref="AO25">SUMPRODUCT(General_Data*(Year=AO$3)*(Month=AO$4)*(Code_General_Data=$B25))</f>
        <v>1160</v>
      </c>
      <c r="AP25" s="310" cm="1">
        <f t="array" ref="AP25">SUMPRODUCT(General_Data*(Year=AP$3)*(Month=AP$4)*(Code_General_Data=$B25))</f>
        <v>1280</v>
      </c>
      <c r="AQ25" s="310" cm="1">
        <f t="array" ref="AQ25">SUMPRODUCT(General_Data*(Year=AQ$3)*(Month=AQ$4)*(Code_General_Data=$B25))</f>
        <v>1380</v>
      </c>
      <c r="AR25" s="310" cm="1">
        <f t="array" ref="AR25">SUMPRODUCT(General_Data*(Year=AR$3)*(Month=AR$4)*(Code_General_Data=$B25))</f>
        <v>1350</v>
      </c>
      <c r="AS25" s="310"/>
      <c r="AT25" s="310"/>
      <c r="AU25" s="310"/>
      <c r="AV25" s="310"/>
      <c r="AW25" s="310"/>
      <c r="AX25" s="311"/>
    </row>
    <row r="26" spans="1:54" s="514" customFormat="1" outlineLevel="1" x14ac:dyDescent="0.3">
      <c r="F26" s="515"/>
      <c r="G26" s="516"/>
      <c r="H26" s="516"/>
      <c r="I26" s="516"/>
      <c r="J26" s="517" t="s">
        <v>407</v>
      </c>
      <c r="K26" s="518"/>
      <c r="L26" s="519"/>
      <c r="M26" s="519"/>
      <c r="N26" s="519"/>
      <c r="O26" s="520">
        <f>O23-O18-O19</f>
        <v>1562</v>
      </c>
      <c r="P26" s="520">
        <f t="shared" ref="P26:AK26" si="13">P23-P18-P19</f>
        <v>1562</v>
      </c>
      <c r="Q26" s="520">
        <f t="shared" si="13"/>
        <v>1562</v>
      </c>
      <c r="R26" s="520">
        <f t="shared" si="13"/>
        <v>1562</v>
      </c>
      <c r="S26" s="520">
        <f t="shared" si="13"/>
        <v>1562</v>
      </c>
      <c r="T26" s="520">
        <f t="shared" si="13"/>
        <v>1561.9865</v>
      </c>
      <c r="U26" s="520">
        <f t="shared" si="13"/>
        <v>1561.7840000000001</v>
      </c>
      <c r="V26" s="520">
        <f t="shared" si="13"/>
        <v>1561.6085</v>
      </c>
      <c r="W26" s="520">
        <f t="shared" si="13"/>
        <v>1561.3610000000001</v>
      </c>
      <c r="X26" s="520">
        <f t="shared" si="13"/>
        <v>1561.0797500000001</v>
      </c>
      <c r="Y26" s="520">
        <f t="shared" si="13"/>
        <v>1560.7737500000001</v>
      </c>
      <c r="Z26" s="521">
        <f t="shared" si="13"/>
        <v>1560.6387500000001</v>
      </c>
      <c r="AA26" s="520">
        <f t="shared" si="13"/>
        <v>1560.6668749999999</v>
      </c>
      <c r="AB26" s="520">
        <f t="shared" si="13"/>
        <v>1561.034375</v>
      </c>
      <c r="AC26" s="520">
        <f t="shared" si="13"/>
        <v>1561.4168750000001</v>
      </c>
      <c r="AD26" s="520">
        <f t="shared" si="13"/>
        <v>1559.7018</v>
      </c>
      <c r="AE26" s="520">
        <f t="shared" si="13"/>
        <v>1559.6849999999999</v>
      </c>
      <c r="AF26" s="520">
        <f t="shared" si="13"/>
        <v>1559.64</v>
      </c>
      <c r="AG26" s="520">
        <f t="shared" si="13"/>
        <v>1559.64</v>
      </c>
      <c r="AH26" s="520">
        <f t="shared" si="13"/>
        <v>1561.8019999999999</v>
      </c>
      <c r="AI26" s="520">
        <f t="shared" si="13"/>
        <v>1562</v>
      </c>
      <c r="AJ26" s="520">
        <f t="shared" si="13"/>
        <v>1562</v>
      </c>
      <c r="AK26" s="520">
        <f t="shared" si="13"/>
        <v>1562</v>
      </c>
      <c r="AL26" s="521"/>
      <c r="AM26" s="520">
        <f t="shared" ref="AM26:AP26" si="14">AM23-AM18-AM19</f>
        <v>1073.8</v>
      </c>
      <c r="AN26" s="520">
        <f t="shared" si="14"/>
        <v>1074.25</v>
      </c>
      <c r="AO26" s="520">
        <f t="shared" si="14"/>
        <v>1074.08125</v>
      </c>
      <c r="AP26" s="520">
        <f t="shared" si="14"/>
        <v>1182.6849999999999</v>
      </c>
      <c r="AQ26" s="520">
        <f t="shared" ref="AQ26" si="15">AQ23-AQ18-AQ19</f>
        <v>1182.6849999999999</v>
      </c>
      <c r="AR26" s="520">
        <f t="shared" ref="AR26" si="16">AR23-AR18-AR19</f>
        <v>1182.6849999999999</v>
      </c>
      <c r="AS26" s="520"/>
      <c r="AT26" s="520"/>
      <c r="AU26" s="520"/>
      <c r="AV26" s="520"/>
      <c r="AW26" s="520"/>
      <c r="AX26" s="521"/>
    </row>
    <row r="27" spans="1:54" s="522" customFormat="1" outlineLevel="1" x14ac:dyDescent="0.3">
      <c r="F27" s="523"/>
      <c r="G27" s="524"/>
      <c r="H27" s="524"/>
      <c r="I27" s="524"/>
      <c r="J27" s="525" t="s">
        <v>408</v>
      </c>
      <c r="K27" s="526"/>
      <c r="L27" s="527"/>
      <c r="M27" s="527"/>
      <c r="N27" s="527"/>
      <c r="O27" s="534">
        <f>O24-O18-O19</f>
        <v>1162</v>
      </c>
      <c r="P27" s="534">
        <f t="shared" ref="P27:AK27" si="17">P24-P18-P19</f>
        <v>1162</v>
      </c>
      <c r="Q27" s="534">
        <f t="shared" si="17"/>
        <v>1162</v>
      </c>
      <c r="R27" s="534">
        <f t="shared" si="17"/>
        <v>1162</v>
      </c>
      <c r="S27" s="534">
        <f t="shared" si="17"/>
        <v>1162</v>
      </c>
      <c r="T27" s="534">
        <f t="shared" si="17"/>
        <v>1161.9865</v>
      </c>
      <c r="U27" s="534">
        <f t="shared" si="17"/>
        <v>1161.7840000000001</v>
      </c>
      <c r="V27" s="534">
        <f t="shared" si="17"/>
        <v>1161.6085</v>
      </c>
      <c r="W27" s="534">
        <f t="shared" si="17"/>
        <v>1161.3610000000001</v>
      </c>
      <c r="X27" s="534">
        <f t="shared" si="17"/>
        <v>1161.0797500000001</v>
      </c>
      <c r="Y27" s="534">
        <f t="shared" si="17"/>
        <v>1160.7737500000001</v>
      </c>
      <c r="Z27" s="535">
        <f t="shared" si="17"/>
        <v>1160.6387500000001</v>
      </c>
      <c r="AA27" s="534">
        <f t="shared" si="17"/>
        <v>1160.6668749999999</v>
      </c>
      <c r="AB27" s="534">
        <f t="shared" si="17"/>
        <v>1161.034375</v>
      </c>
      <c r="AC27" s="534">
        <f t="shared" si="17"/>
        <v>1161.4168750000001</v>
      </c>
      <c r="AD27" s="534">
        <f t="shared" si="17"/>
        <v>1159.7018</v>
      </c>
      <c r="AE27" s="534">
        <f t="shared" si="17"/>
        <v>1159.6849999999999</v>
      </c>
      <c r="AF27" s="534">
        <f t="shared" si="17"/>
        <v>1159.6400000000001</v>
      </c>
      <c r="AG27" s="534">
        <f t="shared" si="17"/>
        <v>1159.6400000000001</v>
      </c>
      <c r="AH27" s="534">
        <f t="shared" si="17"/>
        <v>1161.8019999999999</v>
      </c>
      <c r="AI27" s="534">
        <f t="shared" si="17"/>
        <v>1162</v>
      </c>
      <c r="AJ27" s="534">
        <f t="shared" si="17"/>
        <v>1162</v>
      </c>
      <c r="AK27" s="534">
        <f t="shared" si="17"/>
        <v>1162</v>
      </c>
      <c r="AL27" s="535"/>
      <c r="AM27" s="534">
        <f t="shared" ref="AM27:AP27" si="18">AM24-AM18-AM19</f>
        <v>1013.8</v>
      </c>
      <c r="AN27" s="534">
        <f t="shared" si="18"/>
        <v>1014.25</v>
      </c>
      <c r="AO27" s="534">
        <f t="shared" si="18"/>
        <v>1014.08125</v>
      </c>
      <c r="AP27" s="534">
        <f t="shared" si="18"/>
        <v>1116.6849999999999</v>
      </c>
      <c r="AQ27" s="534">
        <f t="shared" ref="AQ27" si="19">AQ24-AQ18-AQ19</f>
        <v>1116.6849999999999</v>
      </c>
      <c r="AR27" s="534">
        <f t="shared" ref="AR27" si="20">AR24-AR18-AR19</f>
        <v>1116.6849999999999</v>
      </c>
      <c r="AS27" s="534"/>
      <c r="AT27" s="534"/>
      <c r="AU27" s="534"/>
      <c r="AV27" s="534"/>
      <c r="AW27" s="534"/>
      <c r="AX27" s="535"/>
    </row>
    <row r="28" spans="1:54" s="93" customFormat="1" x14ac:dyDescent="0.3">
      <c r="D28" s="92"/>
      <c r="F28" s="165"/>
      <c r="G28"/>
      <c r="H28"/>
      <c r="I28"/>
      <c r="J28" s="316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s="48"/>
      <c r="AA28"/>
      <c r="AB28"/>
      <c r="AC28"/>
      <c r="AD28"/>
      <c r="AE28"/>
      <c r="AF28"/>
      <c r="AG28"/>
      <c r="AH28"/>
      <c r="AI28"/>
      <c r="AJ28"/>
      <c r="AK28"/>
      <c r="AL28" s="48"/>
      <c r="AM28"/>
      <c r="AN28"/>
      <c r="AO28"/>
      <c r="AP28"/>
      <c r="AQ28"/>
      <c r="AR28"/>
      <c r="AS28"/>
      <c r="AT28"/>
      <c r="AU28"/>
      <c r="AV28"/>
      <c r="AW28"/>
      <c r="AX28" s="48"/>
    </row>
    <row r="29" spans="1:54" s="331" customFormat="1" ht="17.399999999999999" x14ac:dyDescent="0.3">
      <c r="A29" s="331" t="s">
        <v>430</v>
      </c>
      <c r="F29" s="332">
        <v>2</v>
      </c>
      <c r="G29" s="359" t="s">
        <v>440</v>
      </c>
      <c r="H29" s="359"/>
      <c r="I29" s="359"/>
      <c r="J29" s="360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Y29" s="333"/>
      <c r="Z29" s="334"/>
      <c r="AA29" s="335"/>
      <c r="AB29" s="333"/>
      <c r="AC29" s="335"/>
      <c r="AD29" s="335"/>
      <c r="AE29" s="335"/>
      <c r="AF29" s="335"/>
      <c r="AG29" s="335"/>
      <c r="AH29" s="335"/>
      <c r="AI29" s="335"/>
      <c r="AJ29" s="335"/>
      <c r="AK29" s="335"/>
      <c r="AL29" s="334"/>
      <c r="AM29" s="335"/>
      <c r="AN29" s="333"/>
      <c r="AO29" s="335"/>
      <c r="AP29" s="335"/>
      <c r="AQ29" s="335"/>
      <c r="AR29" s="335"/>
      <c r="AS29" s="335"/>
      <c r="AT29" s="335"/>
      <c r="AU29" s="335"/>
      <c r="AV29" s="335"/>
      <c r="AW29" s="335"/>
      <c r="AX29" s="334"/>
    </row>
    <row r="30" spans="1:54" s="325" customFormat="1" ht="15.6" x14ac:dyDescent="0.3">
      <c r="A30" s="325" t="s">
        <v>430</v>
      </c>
      <c r="B30" s="325" t="s">
        <v>15</v>
      </c>
      <c r="D30" s="325" t="s">
        <v>321</v>
      </c>
      <c r="F30" s="326">
        <v>2.1</v>
      </c>
      <c r="G30" s="327"/>
      <c r="H30" s="327" t="s">
        <v>205</v>
      </c>
      <c r="I30" s="327"/>
      <c r="J30" s="361"/>
      <c r="L30" s="327"/>
      <c r="M30" s="327"/>
      <c r="N30" s="327"/>
      <c r="O30" s="329">
        <f t="shared" ref="O30:AB30" si="21">MIN(MAX(SUM(O31:O32),O42),O41)</f>
        <v>1200</v>
      </c>
      <c r="P30" s="329">
        <f t="shared" si="21"/>
        <v>1200</v>
      </c>
      <c r="Q30" s="329">
        <f t="shared" si="21"/>
        <v>1200</v>
      </c>
      <c r="R30" s="329">
        <f t="shared" si="21"/>
        <v>1200</v>
      </c>
      <c r="S30" s="329">
        <f t="shared" si="21"/>
        <v>1200</v>
      </c>
      <c r="T30" s="329">
        <f t="shared" si="21"/>
        <v>1200.8999999999999</v>
      </c>
      <c r="U30" s="329">
        <f t="shared" si="21"/>
        <v>1214.3999999999999</v>
      </c>
      <c r="V30" s="329">
        <f t="shared" si="21"/>
        <v>1226.0999999999999</v>
      </c>
      <c r="W30" s="329">
        <f t="shared" si="21"/>
        <v>1242.6000000000001</v>
      </c>
      <c r="X30" s="329">
        <f t="shared" si="21"/>
        <v>1261.3499999999999</v>
      </c>
      <c r="Y30" s="329">
        <f t="shared" si="21"/>
        <v>1281.75</v>
      </c>
      <c r="Z30" s="330">
        <f t="shared" si="21"/>
        <v>1290.75</v>
      </c>
      <c r="AA30" s="329">
        <f t="shared" si="21"/>
        <v>1288.875</v>
      </c>
      <c r="AB30" s="329">
        <f t="shared" si="21"/>
        <v>1264.3749999999991</v>
      </c>
      <c r="AC30" s="329">
        <f>MIN(MAX(SUM(AC31:AC32),AC42),AC41)</f>
        <v>1238.8749999999991</v>
      </c>
      <c r="AD30" s="329">
        <f>MIN(MAX(SUM(AD31:AD32),AD42),AD41)-0.619999999998981</f>
        <v>1219.8800000000001</v>
      </c>
      <c r="AE30" s="329">
        <f t="shared" ref="AE30:AH30" si="22">MIN(MAX(SUM(AE31:AE32),AE42),AE41)</f>
        <v>1221</v>
      </c>
      <c r="AF30" s="329">
        <f t="shared" si="22"/>
        <v>1224</v>
      </c>
      <c r="AG30" s="329">
        <f t="shared" si="22"/>
        <v>1224</v>
      </c>
      <c r="AH30" s="329">
        <f t="shared" si="22"/>
        <v>1213.2</v>
      </c>
      <c r="AI30" s="329">
        <f>MIN(MAX(SUM(AI31:AI32),AI42),AI41)</f>
        <v>1200</v>
      </c>
      <c r="AJ30" s="329">
        <f>MIN(MAX(SUM(AJ31:AJ32),AJ42),AJ41)</f>
        <v>1200</v>
      </c>
      <c r="AK30" s="329">
        <f>MIN(MAX(SUM(AK31:AK32),AK42),AK41)</f>
        <v>1200</v>
      </c>
      <c r="AL30" s="330">
        <v>1100</v>
      </c>
      <c r="AM30" s="329">
        <f t="shared" ref="AM30:AO30" si="23">MIN(MAX(AM42,SUM(AM31:AM34)),AM41)</f>
        <v>1120</v>
      </c>
      <c r="AN30" s="329">
        <f t="shared" si="23"/>
        <v>1090</v>
      </c>
      <c r="AO30" s="329">
        <f t="shared" si="23"/>
        <v>1101.25</v>
      </c>
      <c r="AP30" s="329">
        <f>MIN(MAX(AP42,SUM(AP31:AP34)),AP41)</f>
        <v>1150</v>
      </c>
      <c r="AQ30" s="329">
        <f>MIN(MAX(AQ42,SUM(AQ31:AQ34)),AQ41)</f>
        <v>1150</v>
      </c>
      <c r="AR30" s="329">
        <f>MIN(MAX(AR42,SUM(AR31:AR34)),AR41)</f>
        <v>1150</v>
      </c>
      <c r="AS30" s="329"/>
      <c r="AT30" s="329"/>
      <c r="AU30" s="329"/>
      <c r="AV30" s="329"/>
      <c r="AW30" s="329"/>
      <c r="AX30" s="330"/>
    </row>
    <row r="31" spans="1:54" s="340" customFormat="1" outlineLevel="1" x14ac:dyDescent="0.3">
      <c r="A31" s="340" t="s">
        <v>430</v>
      </c>
      <c r="B31" s="340" t="s">
        <v>15</v>
      </c>
      <c r="F31" s="341" t="s">
        <v>441</v>
      </c>
      <c r="G31" s="342"/>
      <c r="H31" s="342" t="s">
        <v>40</v>
      </c>
      <c r="I31" s="342" t="s">
        <v>330</v>
      </c>
      <c r="J31" s="362"/>
      <c r="K31" s="343"/>
      <c r="L31" s="342"/>
      <c r="M31" s="342"/>
      <c r="N31" s="342"/>
      <c r="O31" s="345">
        <v>1296.0416666666667</v>
      </c>
      <c r="P31" s="345">
        <v>1305</v>
      </c>
      <c r="Q31" s="345">
        <v>1313.3333333333333</v>
      </c>
      <c r="R31" s="345">
        <v>1320</v>
      </c>
      <c r="S31" s="345">
        <v>1326</v>
      </c>
      <c r="T31" s="345">
        <v>1334.3333333333333</v>
      </c>
      <c r="U31" s="345">
        <v>1349.3333333333333</v>
      </c>
      <c r="V31" s="345">
        <v>1362.3333333333333</v>
      </c>
      <c r="W31" s="345">
        <v>1380.6666666666667</v>
      </c>
      <c r="X31" s="345">
        <v>1401.5</v>
      </c>
      <c r="Y31" s="345">
        <v>1424.1666666666667</v>
      </c>
      <c r="Z31" s="346">
        <v>1434.1666666666667</v>
      </c>
      <c r="AA31" s="345">
        <v>1432.0833333333333</v>
      </c>
      <c r="AB31" s="345">
        <v>1404.8611111111102</v>
      </c>
      <c r="AC31" s="345">
        <v>1376.5277777777767</v>
      </c>
      <c r="AD31" s="345">
        <v>1356.1111111111102</v>
      </c>
      <c r="AE31" s="345">
        <v>1356.6666666666667</v>
      </c>
      <c r="AF31" s="345">
        <v>1360</v>
      </c>
      <c r="AG31" s="345">
        <v>1360</v>
      </c>
      <c r="AH31" s="345">
        <v>1348</v>
      </c>
      <c r="AI31" s="345">
        <v>1326.3333333333333</v>
      </c>
      <c r="AJ31" s="345">
        <v>1295.6666666666667</v>
      </c>
      <c r="AK31" s="345">
        <v>1271</v>
      </c>
      <c r="AL31" s="346"/>
      <c r="AM31" s="345"/>
      <c r="AN31" s="345"/>
      <c r="AO31" s="345"/>
      <c r="AP31" s="345"/>
      <c r="AQ31" s="345"/>
      <c r="AR31" s="345"/>
      <c r="AS31" s="345"/>
      <c r="AT31" s="345"/>
      <c r="AU31" s="345"/>
      <c r="AV31" s="345"/>
      <c r="AW31" s="345"/>
      <c r="AX31" s="346"/>
    </row>
    <row r="32" spans="1:54" s="340" customFormat="1" outlineLevel="1" x14ac:dyDescent="0.3">
      <c r="A32" s="340" t="s">
        <v>430</v>
      </c>
      <c r="B32" s="340" t="s">
        <v>15</v>
      </c>
      <c r="F32" s="341" t="s">
        <v>442</v>
      </c>
      <c r="G32" s="342"/>
      <c r="H32" s="342" t="s">
        <v>40</v>
      </c>
      <c r="I32" s="342" t="s">
        <v>327</v>
      </c>
      <c r="J32" s="363"/>
      <c r="K32" s="343"/>
      <c r="L32" s="342"/>
      <c r="M32" s="342"/>
      <c r="N32" s="342"/>
      <c r="O32" s="345">
        <v>-129.60416666666669</v>
      </c>
      <c r="P32" s="345">
        <v>-130.5</v>
      </c>
      <c r="Q32" s="345">
        <v>-131.33333333333334</v>
      </c>
      <c r="R32" s="345">
        <v>-132</v>
      </c>
      <c r="S32" s="345">
        <v>-132.6</v>
      </c>
      <c r="T32" s="345">
        <v>-133.43333333333334</v>
      </c>
      <c r="U32" s="345">
        <v>-134.93333333333334</v>
      </c>
      <c r="V32" s="345">
        <v>-136.23333333333332</v>
      </c>
      <c r="W32" s="345">
        <v>-138.06666666666669</v>
      </c>
      <c r="X32" s="345">
        <v>-140.15</v>
      </c>
      <c r="Y32" s="345">
        <v>-142.41666666666669</v>
      </c>
      <c r="Z32" s="346">
        <v>-143.41666666666669</v>
      </c>
      <c r="AA32" s="345">
        <v>-143.20833333333334</v>
      </c>
      <c r="AB32" s="345">
        <v>-140.48611111111103</v>
      </c>
      <c r="AC32" s="345">
        <v>-137.65277777777769</v>
      </c>
      <c r="AD32" s="345">
        <v>-135.61111111111103</v>
      </c>
      <c r="AE32" s="345">
        <v>-135.66666666666669</v>
      </c>
      <c r="AF32" s="345">
        <v>-136</v>
      </c>
      <c r="AG32" s="345">
        <v>-136</v>
      </c>
      <c r="AH32" s="345">
        <v>-134.80000000000001</v>
      </c>
      <c r="AI32" s="345">
        <v>-132.63333333333333</v>
      </c>
      <c r="AJ32" s="345">
        <v>-129.56666666666669</v>
      </c>
      <c r="AK32" s="345">
        <v>-127.10000000000001</v>
      </c>
      <c r="AL32" s="346"/>
      <c r="AM32" s="345"/>
      <c r="AN32" s="345"/>
      <c r="AO32" s="345"/>
      <c r="AP32" s="345"/>
      <c r="AQ32" s="345"/>
      <c r="AR32" s="345"/>
      <c r="AS32" s="345"/>
      <c r="AT32" s="345"/>
      <c r="AU32" s="345"/>
      <c r="AV32" s="345"/>
      <c r="AW32" s="345"/>
      <c r="AX32" s="346"/>
    </row>
    <row r="33" spans="1:50" s="340" customFormat="1" outlineLevel="1" x14ac:dyDescent="0.3">
      <c r="A33" s="340" t="s">
        <v>430</v>
      </c>
      <c r="F33" s="341" t="s">
        <v>443</v>
      </c>
      <c r="G33" s="491"/>
      <c r="H33" s="491" t="s">
        <v>40</v>
      </c>
      <c r="I33" s="491" t="s">
        <v>436</v>
      </c>
      <c r="J33" s="492"/>
      <c r="K33" s="343"/>
      <c r="L33" s="491"/>
      <c r="M33" s="491"/>
      <c r="N33" s="491"/>
      <c r="O33" s="493"/>
      <c r="P33" s="493"/>
      <c r="Q33" s="493"/>
      <c r="R33" s="493"/>
      <c r="S33" s="493"/>
      <c r="T33" s="493"/>
      <c r="U33" s="493"/>
      <c r="V33" s="493"/>
      <c r="W33" s="493"/>
      <c r="X33" s="493"/>
      <c r="Y33" s="493"/>
      <c r="Z33" s="494"/>
      <c r="AA33" s="493"/>
      <c r="AB33" s="493"/>
      <c r="AC33" s="493"/>
      <c r="AD33" s="493"/>
      <c r="AE33" s="493"/>
      <c r="AF33" s="493"/>
      <c r="AG33" s="493"/>
      <c r="AH33" s="493"/>
      <c r="AI33" s="493"/>
      <c r="AJ33" s="493"/>
      <c r="AK33" s="493"/>
      <c r="AL33" s="494"/>
      <c r="AM33" s="493">
        <v>1120</v>
      </c>
      <c r="AN33" s="493">
        <f>AM30</f>
        <v>1120</v>
      </c>
      <c r="AO33" s="493">
        <f t="shared" ref="AO33:AR33" si="24">AN30</f>
        <v>1090</v>
      </c>
      <c r="AP33" s="493">
        <f t="shared" si="24"/>
        <v>1101.25</v>
      </c>
      <c r="AQ33" s="493">
        <f t="shared" si="24"/>
        <v>1150</v>
      </c>
      <c r="AR33" s="493">
        <f t="shared" si="24"/>
        <v>1150</v>
      </c>
      <c r="AS33" s="493"/>
      <c r="AT33" s="493"/>
      <c r="AU33" s="493"/>
      <c r="AV33" s="493"/>
      <c r="AW33" s="493"/>
      <c r="AX33" s="494"/>
    </row>
    <row r="34" spans="1:50" s="340" customFormat="1" outlineLevel="1" x14ac:dyDescent="0.3">
      <c r="A34" s="340" t="s">
        <v>430</v>
      </c>
      <c r="F34" s="341" t="s">
        <v>444</v>
      </c>
      <c r="G34" s="491"/>
      <c r="H34" s="491" t="s">
        <v>40</v>
      </c>
      <c r="I34" s="491" t="s">
        <v>437</v>
      </c>
      <c r="J34" s="492"/>
      <c r="K34" s="343"/>
      <c r="L34" s="491"/>
      <c r="M34" s="491"/>
      <c r="N34" s="491"/>
      <c r="O34" s="493"/>
      <c r="P34" s="493"/>
      <c r="Q34" s="493"/>
      <c r="R34" s="493"/>
      <c r="S34" s="493"/>
      <c r="T34" s="493"/>
      <c r="U34" s="493"/>
      <c r="V34" s="493"/>
      <c r="W34" s="493"/>
      <c r="X34" s="493"/>
      <c r="Y34" s="493"/>
      <c r="Z34" s="494"/>
      <c r="AA34" s="493"/>
      <c r="AB34" s="493"/>
      <c r="AC34" s="493"/>
      <c r="AD34" s="493"/>
      <c r="AE34" s="493"/>
      <c r="AF34" s="493"/>
      <c r="AG34" s="493"/>
      <c r="AH34" s="493"/>
      <c r="AI34" s="493"/>
      <c r="AJ34" s="493"/>
      <c r="AK34" s="493"/>
      <c r="AL34" s="494"/>
      <c r="AM34" s="493"/>
      <c r="AN34" s="493">
        <f>AM38-AL38</f>
        <v>-43.75</v>
      </c>
      <c r="AO34" s="493">
        <f>AN38-AM38</f>
        <v>11.25</v>
      </c>
      <c r="AP34" s="493">
        <f>AO38-AN38</f>
        <v>74.75</v>
      </c>
      <c r="AQ34" s="493">
        <f>AP38-AO38</f>
        <v>81.5</v>
      </c>
      <c r="AR34" s="493">
        <f>AQ38-AP38</f>
        <v>41.25</v>
      </c>
      <c r="AS34" s="493"/>
      <c r="AT34" s="493"/>
      <c r="AU34" s="493"/>
      <c r="AV34" s="493"/>
      <c r="AW34" s="493"/>
      <c r="AX34" s="494"/>
    </row>
    <row r="35" spans="1:50" s="94" customFormat="1" outlineLevel="1" x14ac:dyDescent="0.3">
      <c r="A35" s="94" t="s">
        <v>430</v>
      </c>
      <c r="B35" s="94" t="s">
        <v>15</v>
      </c>
      <c r="D35" s="95" t="s">
        <v>161</v>
      </c>
      <c r="F35" s="228" t="s">
        <v>209</v>
      </c>
      <c r="G35" s="229"/>
      <c r="H35" s="229"/>
      <c r="I35" s="229" t="s">
        <v>8</v>
      </c>
      <c r="J35" s="364"/>
      <c r="K35" s="2"/>
      <c r="L35" s="229"/>
      <c r="M35" s="229"/>
      <c r="N35" s="229"/>
      <c r="O35" s="231">
        <f>O30-O36-O37</f>
        <v>1162</v>
      </c>
      <c r="P35" s="231">
        <f t="shared" ref="P35" si="25">P30-P36-P37</f>
        <v>1162</v>
      </c>
      <c r="Q35" s="231">
        <f t="shared" ref="Q35" si="26">Q30-Q36-Q37</f>
        <v>1162</v>
      </c>
      <c r="R35" s="231">
        <f t="shared" ref="R35" si="27">R30-R36-R37</f>
        <v>1162</v>
      </c>
      <c r="S35" s="231">
        <f t="shared" ref="S35" si="28">S30-S36-S37</f>
        <v>1162</v>
      </c>
      <c r="T35" s="231">
        <f t="shared" ref="T35" si="29">T30-T36-T37</f>
        <v>1162.8864999999998</v>
      </c>
      <c r="U35" s="231">
        <f t="shared" ref="U35" si="30">U30-U36-U37</f>
        <v>1176.184</v>
      </c>
      <c r="V35" s="231">
        <f t="shared" ref="V35" si="31">V30-V36-V37</f>
        <v>1187.7085</v>
      </c>
      <c r="W35" s="231">
        <f t="shared" ref="W35" si="32">W30-W36-W37</f>
        <v>1203.9610000000002</v>
      </c>
      <c r="X35" s="231">
        <f t="shared" ref="X35" si="33">X30-X36-X37</f>
        <v>1222.42975</v>
      </c>
      <c r="Y35" s="231">
        <f t="shared" ref="Y35" si="34">Y30-Y36-Y37</f>
        <v>1242.5237500000001</v>
      </c>
      <c r="Z35" s="232">
        <f t="shared" ref="Z35" si="35">Z30-Z36-Z37</f>
        <v>1251.3887500000001</v>
      </c>
      <c r="AA35" s="231">
        <f t="shared" ref="AA35" si="36">AA30-AA36-AA37</f>
        <v>1249.5418749999999</v>
      </c>
      <c r="AB35" s="231">
        <f t="shared" ref="AB35" si="37">AB30-AB36-AB37</f>
        <v>1225.409374999999</v>
      </c>
      <c r="AC35" s="231">
        <f t="shared" ref="AC35" si="38">AC30-AC36-AC37</f>
        <v>1200.2918749999992</v>
      </c>
      <c r="AD35" s="231">
        <f t="shared" ref="AD35" si="39">AD30-AD36-AD37</f>
        <v>1179.5818000000002</v>
      </c>
      <c r="AE35" s="231">
        <f t="shared" ref="AE35" si="40">AE30-AE36-AE37</f>
        <v>1180.6849999999999</v>
      </c>
      <c r="AF35" s="231">
        <f t="shared" ref="AF35" si="41">AF30-AF36-AF37</f>
        <v>1183.6400000000001</v>
      </c>
      <c r="AG35" s="231">
        <f t="shared" ref="AG35" si="42">AG30-AG36-AG37</f>
        <v>1183.6400000000001</v>
      </c>
      <c r="AH35" s="231">
        <f t="shared" ref="AH35" si="43">AH30-AH36-AH37</f>
        <v>1175.002</v>
      </c>
      <c r="AI35" s="231">
        <f t="shared" ref="AI35" si="44">AI30-AI36-AI37</f>
        <v>1162</v>
      </c>
      <c r="AJ35" s="231">
        <f t="shared" ref="AJ35" si="45">AJ30-AJ36-AJ37</f>
        <v>1162</v>
      </c>
      <c r="AK35" s="231">
        <f t="shared" ref="AK35" si="46">AK30-AK36-AK37</f>
        <v>1162</v>
      </c>
      <c r="AL35" s="232">
        <f t="shared" ref="AL35" si="47">AL30-AL36-AL37</f>
        <v>1063.5</v>
      </c>
      <c r="AM35" s="231">
        <f t="shared" ref="AM35" si="48">AM30-AM36-AM37</f>
        <v>1083.2</v>
      </c>
      <c r="AN35" s="231">
        <f t="shared" ref="AN35" si="49">AN30-AN36-AN37</f>
        <v>1053.6500000000001</v>
      </c>
      <c r="AO35" s="231">
        <f t="shared" ref="AO35" si="50">AO30-AO36-AO37</f>
        <v>1064.73125</v>
      </c>
      <c r="AP35" s="231">
        <f t="shared" ref="AP35:AQ35" si="51">AP30-AP36-AP37</f>
        <v>1112.75</v>
      </c>
      <c r="AQ35" s="231">
        <f t="shared" si="51"/>
        <v>1112.75</v>
      </c>
      <c r="AR35" s="231">
        <f t="shared" ref="AR35" si="52">AR30-AR36-AR37</f>
        <v>1112.75</v>
      </c>
      <c r="AS35" s="231"/>
      <c r="AT35" s="231"/>
      <c r="AU35" s="231"/>
      <c r="AV35" s="231"/>
      <c r="AW35" s="231"/>
      <c r="AX35" s="232"/>
    </row>
    <row r="36" spans="1:50" s="181" customFormat="1" x14ac:dyDescent="0.3">
      <c r="A36" s="181" t="s">
        <v>430</v>
      </c>
      <c r="B36" s="181" t="s">
        <v>15</v>
      </c>
      <c r="F36" s="219"/>
      <c r="G36" s="188"/>
      <c r="H36" s="188"/>
      <c r="I36" s="188" t="s">
        <v>49</v>
      </c>
      <c r="J36" s="365"/>
      <c r="K36" s="182"/>
      <c r="L36" s="207"/>
      <c r="M36" s="207"/>
      <c r="N36" s="207"/>
      <c r="O36" s="207">
        <v>20</v>
      </c>
      <c r="P36" s="207">
        <v>20</v>
      </c>
      <c r="Q36" s="207">
        <v>20</v>
      </c>
      <c r="R36" s="207">
        <v>20</v>
      </c>
      <c r="S36" s="207">
        <v>20</v>
      </c>
      <c r="T36" s="207">
        <v>20</v>
      </c>
      <c r="U36" s="207">
        <v>20</v>
      </c>
      <c r="V36" s="207">
        <v>20</v>
      </c>
      <c r="W36" s="207">
        <v>20</v>
      </c>
      <c r="X36" s="207">
        <v>20</v>
      </c>
      <c r="Y36" s="207">
        <v>20</v>
      </c>
      <c r="Z36" s="209">
        <v>20</v>
      </c>
      <c r="AA36" s="207">
        <v>20</v>
      </c>
      <c r="AB36" s="207">
        <v>20</v>
      </c>
      <c r="AC36" s="207">
        <v>20</v>
      </c>
      <c r="AD36" s="207">
        <v>22</v>
      </c>
      <c r="AE36" s="207">
        <v>22</v>
      </c>
      <c r="AF36" s="207">
        <v>22</v>
      </c>
      <c r="AG36" s="207">
        <v>22</v>
      </c>
      <c r="AH36" s="207">
        <v>20</v>
      </c>
      <c r="AI36" s="207">
        <v>20</v>
      </c>
      <c r="AJ36" s="207">
        <v>20</v>
      </c>
      <c r="AK36" s="207">
        <v>20</v>
      </c>
      <c r="AL36" s="209">
        <v>20</v>
      </c>
      <c r="AM36" s="207">
        <v>20</v>
      </c>
      <c r="AN36" s="207">
        <v>20</v>
      </c>
      <c r="AO36" s="207">
        <v>20</v>
      </c>
      <c r="AP36" s="207">
        <v>20</v>
      </c>
      <c r="AQ36" s="207">
        <v>20</v>
      </c>
      <c r="AR36" s="207">
        <v>20</v>
      </c>
      <c r="AS36" s="207"/>
      <c r="AT36" s="207"/>
      <c r="AU36" s="207"/>
      <c r="AV36" s="207"/>
      <c r="AW36" s="207"/>
      <c r="AX36" s="209"/>
    </row>
    <row r="37" spans="1:50" s="181" customFormat="1" x14ac:dyDescent="0.3">
      <c r="A37" s="181" t="s">
        <v>430</v>
      </c>
      <c r="B37" s="181" t="s">
        <v>15</v>
      </c>
      <c r="F37" s="219"/>
      <c r="G37" s="188"/>
      <c r="H37" s="188"/>
      <c r="I37" s="188"/>
      <c r="J37" s="365" t="s">
        <v>501</v>
      </c>
      <c r="K37" s="182"/>
      <c r="L37" s="207"/>
      <c r="M37" s="207"/>
      <c r="N37" s="207"/>
      <c r="O37" s="207">
        <f t="shared" ref="O37:AO37" si="53">O30*O40</f>
        <v>18</v>
      </c>
      <c r="P37" s="207">
        <f t="shared" si="53"/>
        <v>18</v>
      </c>
      <c r="Q37" s="207">
        <f t="shared" si="53"/>
        <v>18</v>
      </c>
      <c r="R37" s="207">
        <f t="shared" si="53"/>
        <v>18</v>
      </c>
      <c r="S37" s="207">
        <f t="shared" si="53"/>
        <v>18</v>
      </c>
      <c r="T37" s="207">
        <f t="shared" si="53"/>
        <v>18.013499999999997</v>
      </c>
      <c r="U37" s="207">
        <f t="shared" si="53"/>
        <v>18.215999999999998</v>
      </c>
      <c r="V37" s="207">
        <f t="shared" si="53"/>
        <v>18.391499999999997</v>
      </c>
      <c r="W37" s="207">
        <f t="shared" si="53"/>
        <v>18.639000000000003</v>
      </c>
      <c r="X37" s="207">
        <f t="shared" si="53"/>
        <v>18.920249999999999</v>
      </c>
      <c r="Y37" s="207">
        <f t="shared" si="53"/>
        <v>19.22625</v>
      </c>
      <c r="Z37" s="209">
        <f t="shared" si="53"/>
        <v>19.361249999999998</v>
      </c>
      <c r="AA37" s="207">
        <f t="shared" si="53"/>
        <v>19.333124999999999</v>
      </c>
      <c r="AB37" s="207">
        <f t="shared" si="53"/>
        <v>18.965624999999985</v>
      </c>
      <c r="AC37" s="207">
        <f t="shared" si="53"/>
        <v>18.583124999999985</v>
      </c>
      <c r="AD37" s="207">
        <f t="shared" si="53"/>
        <v>18.298200000000001</v>
      </c>
      <c r="AE37" s="207">
        <f t="shared" si="53"/>
        <v>18.314999999999998</v>
      </c>
      <c r="AF37" s="207">
        <f t="shared" si="53"/>
        <v>18.36</v>
      </c>
      <c r="AG37" s="207">
        <f t="shared" si="53"/>
        <v>18.36</v>
      </c>
      <c r="AH37" s="207">
        <f t="shared" si="53"/>
        <v>18.198</v>
      </c>
      <c r="AI37" s="207">
        <f t="shared" si="53"/>
        <v>18</v>
      </c>
      <c r="AJ37" s="207">
        <f t="shared" si="53"/>
        <v>18</v>
      </c>
      <c r="AK37" s="207">
        <f t="shared" si="53"/>
        <v>18</v>
      </c>
      <c r="AL37" s="209">
        <f t="shared" si="53"/>
        <v>16.5</v>
      </c>
      <c r="AM37" s="207">
        <f t="shared" si="53"/>
        <v>16.8</v>
      </c>
      <c r="AN37" s="207">
        <f t="shared" si="53"/>
        <v>16.349999999999998</v>
      </c>
      <c r="AO37" s="207">
        <f t="shared" si="53"/>
        <v>16.518750000000001</v>
      </c>
      <c r="AP37" s="207">
        <f>AP30*AP40</f>
        <v>17.25</v>
      </c>
      <c r="AQ37" s="207">
        <f>AQ30*AQ40</f>
        <v>17.25</v>
      </c>
      <c r="AR37" s="207">
        <f>AR30*AR40</f>
        <v>17.25</v>
      </c>
      <c r="AS37" s="207"/>
      <c r="AT37" s="207"/>
      <c r="AU37" s="207"/>
      <c r="AV37" s="207"/>
      <c r="AW37" s="207"/>
      <c r="AX37" s="209"/>
    </row>
    <row r="38" spans="1:50" s="183" customFormat="1" x14ac:dyDescent="0.3">
      <c r="A38" s="183" t="s">
        <v>430</v>
      </c>
      <c r="B38" s="183" t="s">
        <v>15</v>
      </c>
      <c r="C38" s="183" t="s">
        <v>43</v>
      </c>
      <c r="F38" s="220"/>
      <c r="G38" s="189"/>
      <c r="H38" s="189"/>
      <c r="I38" s="189"/>
      <c r="J38" s="366" t="s">
        <v>74</v>
      </c>
      <c r="K38" s="184"/>
      <c r="L38" s="201">
        <v>1288.125</v>
      </c>
      <c r="M38" s="201">
        <v>1300</v>
      </c>
      <c r="N38" s="201">
        <v>1300</v>
      </c>
      <c r="O38" s="201">
        <v>1315</v>
      </c>
      <c r="P38" s="201">
        <v>1325</v>
      </c>
      <c r="Q38" s="201">
        <v>1320</v>
      </c>
      <c r="R38" s="201">
        <v>1333</v>
      </c>
      <c r="S38" s="201">
        <v>1350</v>
      </c>
      <c r="T38" s="201">
        <v>1365</v>
      </c>
      <c r="U38" s="201">
        <v>1372</v>
      </c>
      <c r="V38" s="201">
        <v>1405</v>
      </c>
      <c r="W38" s="201">
        <v>1427.5</v>
      </c>
      <c r="X38" s="201">
        <v>1440</v>
      </c>
      <c r="Y38" s="201">
        <v>1435</v>
      </c>
      <c r="Z38" s="203">
        <v>1421.25</v>
      </c>
      <c r="AA38" s="201">
        <v>1358.3333333333301</v>
      </c>
      <c r="AB38" s="201">
        <v>1350</v>
      </c>
      <c r="AC38" s="201">
        <v>1360</v>
      </c>
      <c r="AD38" s="201">
        <v>1360</v>
      </c>
      <c r="AE38" s="201">
        <v>1360</v>
      </c>
      <c r="AF38" s="201">
        <v>1360</v>
      </c>
      <c r="AG38" s="201">
        <v>1324</v>
      </c>
      <c r="AH38" s="201">
        <v>1295</v>
      </c>
      <c r="AI38" s="201">
        <v>1268</v>
      </c>
      <c r="AJ38" s="201">
        <v>1250</v>
      </c>
      <c r="AK38" s="201">
        <v>1243.75</v>
      </c>
      <c r="AL38" s="203">
        <v>1193.75</v>
      </c>
      <c r="AM38" s="201" cm="1">
        <f t="array" ref="AM38">SUMPRODUCT(General_Data*(Year=AM$3)*(Month=AM$4)*(Code_General_Data=$C38))</f>
        <v>1150</v>
      </c>
      <c r="AN38" s="201" cm="1">
        <f t="array" ref="AN38">SUMPRODUCT(General_Data*(Year=AN$3)*(Month=AN$4)*(Code_General_Data=$C38))</f>
        <v>1161.25</v>
      </c>
      <c r="AO38" s="201" cm="1">
        <f t="array" ref="AO38">SUMPRODUCT(General_Data*(Year=AO$3)*(Month=AO$4)*(Code_General_Data=$C38))</f>
        <v>1236</v>
      </c>
      <c r="AP38" s="201" cm="1">
        <f t="array" ref="AP38">SUMPRODUCT(General_Data*(Year=AP$3)*(Month=AP$4)*(Code_General_Data=$C38))</f>
        <v>1317.5</v>
      </c>
      <c r="AQ38" s="201" cm="1">
        <f t="array" ref="AQ38">SUMPRODUCT(General_Data*(Year=AQ$3)*(Month=AQ$4)*(Code_General_Data=$C38))</f>
        <v>1358.75</v>
      </c>
      <c r="AR38" s="201" cm="1">
        <f t="array" ref="AR38">SUMPRODUCT(General_Data*(Year=AR$3)*(Month=AR$4)*(Code_General_Data=$C38))</f>
        <v>0</v>
      </c>
      <c r="AS38" s="201"/>
      <c r="AT38" s="201"/>
      <c r="AU38" s="201"/>
      <c r="AV38" s="201"/>
      <c r="AW38" s="201"/>
      <c r="AX38" s="203"/>
    </row>
    <row r="39" spans="1:50" s="98" customFormat="1" x14ac:dyDescent="0.3">
      <c r="A39" s="98" t="s">
        <v>430</v>
      </c>
      <c r="B39" s="98" t="s">
        <v>15</v>
      </c>
      <c r="F39" s="221"/>
      <c r="G39" s="35"/>
      <c r="H39" s="35"/>
      <c r="I39" s="35"/>
      <c r="J39" s="367" t="s">
        <v>53</v>
      </c>
      <c r="K39" s="34"/>
      <c r="L39" s="35"/>
      <c r="M39" s="35"/>
      <c r="N39" s="35"/>
      <c r="O39" s="205">
        <v>0.1</v>
      </c>
      <c r="P39" s="205">
        <v>0.1</v>
      </c>
      <c r="Q39" s="205">
        <v>0.1</v>
      </c>
      <c r="R39" s="205">
        <v>0.1</v>
      </c>
      <c r="S39" s="205">
        <v>0.1</v>
      </c>
      <c r="T39" s="205">
        <v>0.1</v>
      </c>
      <c r="U39" s="205">
        <v>0.1</v>
      </c>
      <c r="V39" s="205">
        <v>0.1</v>
      </c>
      <c r="W39" s="205">
        <v>0.1</v>
      </c>
      <c r="X39" s="205">
        <v>0.1</v>
      </c>
      <c r="Y39" s="205">
        <v>0.1</v>
      </c>
      <c r="Z39" s="206">
        <v>0.1</v>
      </c>
      <c r="AA39" s="205">
        <v>0.1</v>
      </c>
      <c r="AB39" s="205">
        <v>0.1</v>
      </c>
      <c r="AC39" s="205">
        <v>0.1</v>
      </c>
      <c r="AD39" s="205">
        <v>0.1</v>
      </c>
      <c r="AE39" s="205">
        <v>0.1</v>
      </c>
      <c r="AF39" s="205">
        <v>0.1</v>
      </c>
      <c r="AG39" s="205">
        <v>0.1</v>
      </c>
      <c r="AH39" s="205">
        <v>0.1</v>
      </c>
      <c r="AI39" s="205">
        <v>0.1</v>
      </c>
      <c r="AJ39" s="205">
        <v>0.1</v>
      </c>
      <c r="AK39" s="205">
        <v>0.1</v>
      </c>
      <c r="AL39" s="206">
        <v>0.1</v>
      </c>
      <c r="AM39" s="495" t="s">
        <v>192</v>
      </c>
      <c r="AN39" s="495" t="s">
        <v>192</v>
      </c>
      <c r="AO39" s="495" t="s">
        <v>192</v>
      </c>
      <c r="AP39" s="495" t="s">
        <v>192</v>
      </c>
      <c r="AQ39" s="495" t="s">
        <v>192</v>
      </c>
      <c r="AR39" s="495" t="s">
        <v>192</v>
      </c>
      <c r="AS39" s="495"/>
      <c r="AT39" s="495"/>
      <c r="AU39" s="495"/>
      <c r="AV39" s="495"/>
      <c r="AW39" s="495"/>
      <c r="AX39" s="496"/>
    </row>
    <row r="40" spans="1:50" s="98" customFormat="1" x14ac:dyDescent="0.3">
      <c r="A40" s="98" t="s">
        <v>51</v>
      </c>
      <c r="B40" s="98" t="s">
        <v>15</v>
      </c>
      <c r="F40" s="221"/>
      <c r="G40" s="35"/>
      <c r="H40" s="35"/>
      <c r="I40" s="35"/>
      <c r="J40" s="367" t="s">
        <v>499</v>
      </c>
      <c r="K40" s="34"/>
      <c r="L40" s="35"/>
      <c r="M40" s="35"/>
      <c r="N40" s="35"/>
      <c r="O40" s="205">
        <v>1.4999999999999999E-2</v>
      </c>
      <c r="P40" s="205">
        <v>1.4999999999999999E-2</v>
      </c>
      <c r="Q40" s="205">
        <v>1.4999999999999999E-2</v>
      </c>
      <c r="R40" s="205">
        <v>1.4999999999999999E-2</v>
      </c>
      <c r="S40" s="205">
        <v>1.4999999999999999E-2</v>
      </c>
      <c r="T40" s="205">
        <v>1.4999999999999999E-2</v>
      </c>
      <c r="U40" s="205">
        <v>1.4999999999999999E-2</v>
      </c>
      <c r="V40" s="205">
        <v>1.4999999999999999E-2</v>
      </c>
      <c r="W40" s="205">
        <v>1.4999999999999999E-2</v>
      </c>
      <c r="X40" s="205">
        <v>1.4999999999999999E-2</v>
      </c>
      <c r="Y40" s="205">
        <v>1.4999999999999999E-2</v>
      </c>
      <c r="Z40" s="206">
        <v>1.4999999999999999E-2</v>
      </c>
      <c r="AA40" s="205">
        <v>1.4999999999999999E-2</v>
      </c>
      <c r="AB40" s="205">
        <v>1.4999999999999999E-2</v>
      </c>
      <c r="AC40" s="205">
        <v>1.4999999999999999E-2</v>
      </c>
      <c r="AD40" s="205">
        <v>1.4999999999999999E-2</v>
      </c>
      <c r="AE40" s="205">
        <v>1.4999999999999999E-2</v>
      </c>
      <c r="AF40" s="205">
        <v>1.4999999999999999E-2</v>
      </c>
      <c r="AG40" s="205">
        <v>1.4999999999999999E-2</v>
      </c>
      <c r="AH40" s="205">
        <v>1.4999999999999999E-2</v>
      </c>
      <c r="AI40" s="205">
        <v>1.4999999999999999E-2</v>
      </c>
      <c r="AJ40" s="205">
        <v>1.4999999999999999E-2</v>
      </c>
      <c r="AK40" s="205">
        <v>1.4999999999999999E-2</v>
      </c>
      <c r="AL40" s="206">
        <v>1.4999999999999999E-2</v>
      </c>
      <c r="AM40" s="495">
        <v>1.4999999999999999E-2</v>
      </c>
      <c r="AN40" s="495">
        <v>1.4999999999999999E-2</v>
      </c>
      <c r="AO40" s="495">
        <v>1.4999999999999999E-2</v>
      </c>
      <c r="AP40" s="495">
        <v>1.4999999999999999E-2</v>
      </c>
      <c r="AQ40" s="495">
        <v>1.4999999999999999E-2</v>
      </c>
      <c r="AR40" s="495">
        <v>1.4999999999999999E-2</v>
      </c>
      <c r="AS40" s="495"/>
      <c r="AT40" s="495"/>
      <c r="AU40" s="495"/>
      <c r="AV40" s="495"/>
      <c r="AW40" s="495"/>
      <c r="AX40" s="496"/>
    </row>
    <row r="41" spans="1:50" s="514" customFormat="1" outlineLevel="1" x14ac:dyDescent="0.3">
      <c r="A41" s="514" t="s">
        <v>430</v>
      </c>
      <c r="B41" s="514" t="s">
        <v>15</v>
      </c>
      <c r="F41" s="515" t="s">
        <v>210</v>
      </c>
      <c r="G41" s="516"/>
      <c r="H41" s="516"/>
      <c r="I41" s="516"/>
      <c r="J41" s="517" t="s">
        <v>46</v>
      </c>
      <c r="K41" s="518"/>
      <c r="L41" s="519"/>
      <c r="M41" s="519"/>
      <c r="N41" s="519"/>
      <c r="O41" s="520">
        <v>1600</v>
      </c>
      <c r="P41" s="520">
        <v>1600</v>
      </c>
      <c r="Q41" s="520">
        <v>1600</v>
      </c>
      <c r="R41" s="520">
        <v>1600</v>
      </c>
      <c r="S41" s="520">
        <v>1600</v>
      </c>
      <c r="T41" s="520">
        <v>1600</v>
      </c>
      <c r="U41" s="520">
        <v>1600</v>
      </c>
      <c r="V41" s="520">
        <v>1600</v>
      </c>
      <c r="W41" s="520">
        <v>1600</v>
      </c>
      <c r="X41" s="520">
        <v>1600</v>
      </c>
      <c r="Y41" s="520">
        <v>1600</v>
      </c>
      <c r="Z41" s="521">
        <v>1600</v>
      </c>
      <c r="AA41" s="520">
        <v>1600</v>
      </c>
      <c r="AB41" s="520">
        <v>1600</v>
      </c>
      <c r="AC41" s="520">
        <v>1600</v>
      </c>
      <c r="AD41" s="520">
        <v>1600</v>
      </c>
      <c r="AE41" s="520">
        <v>1600</v>
      </c>
      <c r="AF41" s="520">
        <v>1600</v>
      </c>
      <c r="AG41" s="520">
        <v>1600</v>
      </c>
      <c r="AH41" s="520">
        <v>1600</v>
      </c>
      <c r="AI41" s="520">
        <v>1600</v>
      </c>
      <c r="AJ41" s="520">
        <v>1600</v>
      </c>
      <c r="AK41" s="520">
        <v>1600</v>
      </c>
      <c r="AL41" s="521"/>
      <c r="AM41" s="520" cm="1">
        <f t="array" ref="AM41">INDEX(Note!$J$3:$J$102,MATCH(1,(Note!$A$3:$A$102=$A41)*(Note!$C$3:$C$102=$B41)*(Note!$E$3:$E$102&lt;=AM$1)*(Note!$F$3:$F$102&gt;=AM$2),0))</f>
        <v>1150</v>
      </c>
      <c r="AN41" s="520" cm="1">
        <f t="array" ref="AN41">INDEX(Note!$J$3:$J$102,MATCH(1,(Note!$A$3:$A$102=$A41)*(Note!$C$3:$C$102=$B41)*(Note!$E$3:$E$102&lt;=AN$1)*(Note!$F$3:$F$102&gt;=AN$2),0))</f>
        <v>1150</v>
      </c>
      <c r="AO41" s="520" cm="1">
        <f t="array" ref="AO41">INDEX(Note!$J$3:$J$102,MATCH(1,(Note!$A$3:$A$102=$A41)*(Note!$C$3:$C$102=$B41)*(Note!$E$3:$E$102&lt;=AO$1)*(Note!$F$3:$F$102&gt;=AO$2),0))</f>
        <v>1150</v>
      </c>
      <c r="AP41" s="520" cm="1">
        <f t="array" ref="AP41">INDEX(Note!$J$3:$J$102,MATCH(1,(Note!$A$3:$A$102=$A41)*(Note!$C$3:$C$102=$B41)*(Note!$E$3:$E$102&lt;=AP$1)*(Note!$F$3:$F$102&gt;=AP$2),0))</f>
        <v>1150</v>
      </c>
      <c r="AQ41" s="520" cm="1">
        <f t="array" ref="AQ41">INDEX(Note!$J$3:$J$102,MATCH(1,(Note!$A$3:$A$102=$A41)*(Note!$C$3:$C$102=$B41)*(Note!$E$3:$E$102&lt;=AQ$1)*(Note!$F$3:$F$102&gt;=AQ$2),0))</f>
        <v>1150</v>
      </c>
      <c r="AR41" s="520" cm="1">
        <f t="array" ref="AR41">INDEX(Note!$J$3:$J$102,MATCH(1,(Note!$A$3:$A$102=$A41)*(Note!$C$3:$C$102=$B41)*(Note!$E$3:$E$102&lt;=AR$1)*(Note!$F$3:$F$102&gt;=AR$2),0))</f>
        <v>1150</v>
      </c>
      <c r="AS41" s="520"/>
      <c r="AT41" s="520"/>
      <c r="AU41" s="520"/>
      <c r="AV41" s="520"/>
      <c r="AW41" s="520"/>
      <c r="AX41" s="521"/>
    </row>
    <row r="42" spans="1:50" s="522" customFormat="1" outlineLevel="1" x14ac:dyDescent="0.3">
      <c r="A42" s="522" t="s">
        <v>430</v>
      </c>
      <c r="B42" s="522" t="s">
        <v>15</v>
      </c>
      <c r="F42" s="523" t="s">
        <v>211</v>
      </c>
      <c r="G42" s="524"/>
      <c r="H42" s="524"/>
      <c r="I42" s="524"/>
      <c r="J42" s="525" t="s">
        <v>47</v>
      </c>
      <c r="K42" s="526"/>
      <c r="L42" s="527"/>
      <c r="M42" s="527"/>
      <c r="N42" s="527"/>
      <c r="O42" s="528">
        <v>1200</v>
      </c>
      <c r="P42" s="528">
        <v>1200</v>
      </c>
      <c r="Q42" s="528">
        <v>1200</v>
      </c>
      <c r="R42" s="528">
        <v>1200</v>
      </c>
      <c r="S42" s="528">
        <v>1200</v>
      </c>
      <c r="T42" s="528">
        <v>1200</v>
      </c>
      <c r="U42" s="528">
        <v>1200</v>
      </c>
      <c r="V42" s="528">
        <v>1200</v>
      </c>
      <c r="W42" s="528">
        <v>1200</v>
      </c>
      <c r="X42" s="528">
        <v>1200</v>
      </c>
      <c r="Y42" s="528">
        <v>1200</v>
      </c>
      <c r="Z42" s="529">
        <v>1200</v>
      </c>
      <c r="AA42" s="528">
        <v>1200</v>
      </c>
      <c r="AB42" s="528">
        <v>1200</v>
      </c>
      <c r="AC42" s="528">
        <v>1200</v>
      </c>
      <c r="AD42" s="528">
        <v>1200</v>
      </c>
      <c r="AE42" s="528">
        <v>1200</v>
      </c>
      <c r="AF42" s="528">
        <v>1200</v>
      </c>
      <c r="AG42" s="528">
        <v>1200</v>
      </c>
      <c r="AH42" s="528">
        <v>1200</v>
      </c>
      <c r="AI42" s="528">
        <v>1200</v>
      </c>
      <c r="AJ42" s="528">
        <v>1200</v>
      </c>
      <c r="AK42" s="528">
        <v>1200</v>
      </c>
      <c r="AL42" s="529"/>
      <c r="AM42" s="528" cm="1">
        <f t="array" ref="AM42">INDEX(Note!$K$3:$K$102,MATCH(1,(Note!$A$3:$A$102=$A42)*(Note!$C$3:$C$102=$B42)*(Note!$E$3:$E$102&lt;=AM$1)*(Note!$F$3:$F$102&gt;=AM$2),0))</f>
        <v>1090</v>
      </c>
      <c r="AN42" s="528" cm="1">
        <f t="array" ref="AN42">INDEX(Note!$K$3:$K$102,MATCH(1,(Note!$A$3:$A$102=$A42)*(Note!$C$3:$C$102=$B42)*(Note!$E$3:$E$102&lt;=AN$1)*(Note!$F$3:$F$102&gt;=AN$2),0))</f>
        <v>1090</v>
      </c>
      <c r="AO42" s="528" cm="1">
        <f t="array" ref="AO42">INDEX(Note!$K$3:$K$102,MATCH(1,(Note!$A$3:$A$102=$A42)*(Note!$C$3:$C$102=$B42)*(Note!$E$3:$E$102&lt;=AO$1)*(Note!$F$3:$F$102&gt;=AO$2),0))</f>
        <v>1090</v>
      </c>
      <c r="AP42" s="528" cm="1">
        <f t="array" ref="AP42">INDEX(Note!$K$3:$K$102,MATCH(1,(Note!$A$3:$A$102=$A42)*(Note!$C$3:$C$102=$B42)*(Note!$E$3:$E$102&lt;=AP$1)*(Note!$F$3:$F$102&gt;=AP$2),0))</f>
        <v>1090</v>
      </c>
      <c r="AQ42" s="528" cm="1">
        <f t="array" ref="AQ42">INDEX(Note!$K$3:$K$102,MATCH(1,(Note!$A$3:$A$102=$A42)*(Note!$C$3:$C$102=$B42)*(Note!$E$3:$E$102&lt;=AQ$1)*(Note!$F$3:$F$102&gt;=AQ$2),0))</f>
        <v>1090</v>
      </c>
      <c r="AR42" s="528" cm="1">
        <f t="array" ref="AR42">INDEX(Note!$K$3:$K$102,MATCH(1,(Note!$A$3:$A$102=$A42)*(Note!$C$3:$C$102=$B42)*(Note!$E$3:$E$102&lt;=AR$1)*(Note!$F$3:$F$102&gt;=AR$2),0))</f>
        <v>1090</v>
      </c>
      <c r="AS42" s="528"/>
      <c r="AT42" s="528"/>
      <c r="AU42" s="528"/>
      <c r="AV42" s="528"/>
      <c r="AW42" s="528"/>
      <c r="AX42" s="529"/>
    </row>
    <row r="43" spans="1:50" s="185" customFormat="1" outlineLevel="1" x14ac:dyDescent="0.3">
      <c r="A43" s="185" t="s">
        <v>430</v>
      </c>
      <c r="B43" s="185" t="s">
        <v>15</v>
      </c>
      <c r="F43" s="222" t="s">
        <v>212</v>
      </c>
      <c r="G43" s="190"/>
      <c r="H43" s="190"/>
      <c r="I43" s="190"/>
      <c r="J43" s="368" t="s">
        <v>202</v>
      </c>
      <c r="K43" s="186"/>
      <c r="L43" s="199"/>
      <c r="M43" s="199"/>
      <c r="N43" s="199"/>
      <c r="O43" s="310">
        <v>1250</v>
      </c>
      <c r="P43" s="310">
        <v>1250</v>
      </c>
      <c r="Q43" s="310">
        <v>1250</v>
      </c>
      <c r="R43" s="310">
        <v>1250</v>
      </c>
      <c r="S43" s="310">
        <v>1300</v>
      </c>
      <c r="T43" s="310">
        <v>1300</v>
      </c>
      <c r="U43" s="310">
        <v>1300</v>
      </c>
      <c r="V43" s="310">
        <v>1300</v>
      </c>
      <c r="W43" s="310">
        <v>1310</v>
      </c>
      <c r="X43" s="310">
        <v>1325</v>
      </c>
      <c r="Y43" s="310">
        <v>1325</v>
      </c>
      <c r="Z43" s="311">
        <v>1275</v>
      </c>
      <c r="AA43" s="310">
        <v>1230</v>
      </c>
      <c r="AB43" s="310">
        <v>1230</v>
      </c>
      <c r="AC43" s="310">
        <v>1230</v>
      </c>
      <c r="AD43" s="310">
        <v>1250</v>
      </c>
      <c r="AE43" s="310">
        <v>1250</v>
      </c>
      <c r="AF43" s="310">
        <v>1250</v>
      </c>
      <c r="AG43" s="310">
        <v>1250</v>
      </c>
      <c r="AH43" s="310">
        <v>1220</v>
      </c>
      <c r="AI43" s="310">
        <v>1220</v>
      </c>
      <c r="AJ43" s="310">
        <v>1210</v>
      </c>
      <c r="AK43" s="310">
        <v>1200</v>
      </c>
      <c r="AL43" s="311">
        <v>1200</v>
      </c>
      <c r="AM43" s="310" cm="1">
        <f t="array" ref="AM43">SUMPRODUCT(General_Data*(Year=AM$3)*(Month=AM$4)*(Code_General_Data=$B43))</f>
        <v>1160</v>
      </c>
      <c r="AN43" s="310" cm="1">
        <f t="array" ref="AN43">SUMPRODUCT(General_Data*(Year=AN$3)*(Month=AN$4)*(Code_General_Data=$B43))</f>
        <v>1160</v>
      </c>
      <c r="AO43" s="310" cm="1">
        <f t="array" ref="AO43">SUMPRODUCT(General_Data*(Year=AO$3)*(Month=AO$4)*(Code_General_Data=$B43))</f>
        <v>1160</v>
      </c>
      <c r="AP43" s="310" cm="1">
        <f t="array" ref="AP43">SUMPRODUCT(General_Data*(Year=AP$3)*(Month=AP$4)*(Code_General_Data=$B43))</f>
        <v>1280</v>
      </c>
      <c r="AQ43" s="310" cm="1">
        <f t="array" ref="AQ43">SUMPRODUCT(General_Data*(Year=AQ$3)*(Month=AQ$4)*(Code_General_Data=$B43))</f>
        <v>1380</v>
      </c>
      <c r="AR43" s="310" cm="1">
        <f t="array" ref="AR43">SUMPRODUCT(General_Data*(Year=AR$3)*(Month=AR$4)*(Code_General_Data=$B43))</f>
        <v>1350</v>
      </c>
      <c r="AS43" s="310"/>
      <c r="AT43" s="310"/>
      <c r="AU43" s="310"/>
      <c r="AV43" s="310"/>
      <c r="AW43" s="310"/>
      <c r="AX43" s="311"/>
    </row>
    <row r="44" spans="1:50" s="514" customFormat="1" outlineLevel="1" x14ac:dyDescent="0.3">
      <c r="F44" s="515"/>
      <c r="G44" s="516"/>
      <c r="H44" s="516"/>
      <c r="I44" s="516"/>
      <c r="J44" s="517" t="s">
        <v>407</v>
      </c>
      <c r="K44" s="518"/>
      <c r="L44" s="519"/>
      <c r="M44" s="519"/>
      <c r="N44" s="519"/>
      <c r="O44" s="520">
        <f>O41-O36-O37</f>
        <v>1562</v>
      </c>
      <c r="P44" s="520">
        <f t="shared" ref="P44:AK44" si="54">P41-P36-P37</f>
        <v>1562</v>
      </c>
      <c r="Q44" s="520">
        <f t="shared" si="54"/>
        <v>1562</v>
      </c>
      <c r="R44" s="520">
        <f t="shared" si="54"/>
        <v>1562</v>
      </c>
      <c r="S44" s="520">
        <f t="shared" si="54"/>
        <v>1562</v>
      </c>
      <c r="T44" s="520">
        <f t="shared" si="54"/>
        <v>1561.9865</v>
      </c>
      <c r="U44" s="520">
        <f t="shared" si="54"/>
        <v>1561.7840000000001</v>
      </c>
      <c r="V44" s="520">
        <f t="shared" si="54"/>
        <v>1561.6085</v>
      </c>
      <c r="W44" s="520">
        <f t="shared" si="54"/>
        <v>1561.3610000000001</v>
      </c>
      <c r="X44" s="520">
        <f t="shared" si="54"/>
        <v>1561.0797500000001</v>
      </c>
      <c r="Y44" s="520">
        <f t="shared" si="54"/>
        <v>1560.7737500000001</v>
      </c>
      <c r="Z44" s="521">
        <f t="shared" si="54"/>
        <v>1560.6387500000001</v>
      </c>
      <c r="AA44" s="520">
        <f t="shared" si="54"/>
        <v>1560.6668749999999</v>
      </c>
      <c r="AB44" s="520">
        <f t="shared" si="54"/>
        <v>1561.034375</v>
      </c>
      <c r="AC44" s="520">
        <f t="shared" si="54"/>
        <v>1561.4168750000001</v>
      </c>
      <c r="AD44" s="520">
        <f t="shared" si="54"/>
        <v>1559.7018</v>
      </c>
      <c r="AE44" s="520">
        <f t="shared" si="54"/>
        <v>1559.6849999999999</v>
      </c>
      <c r="AF44" s="520">
        <f t="shared" si="54"/>
        <v>1559.64</v>
      </c>
      <c r="AG44" s="520">
        <f t="shared" si="54"/>
        <v>1559.64</v>
      </c>
      <c r="AH44" s="520">
        <f t="shared" si="54"/>
        <v>1561.8019999999999</v>
      </c>
      <c r="AI44" s="520">
        <f t="shared" si="54"/>
        <v>1562</v>
      </c>
      <c r="AJ44" s="520">
        <f t="shared" si="54"/>
        <v>1562</v>
      </c>
      <c r="AK44" s="520">
        <f t="shared" si="54"/>
        <v>1562</v>
      </c>
      <c r="AL44" s="521"/>
      <c r="AM44" s="520">
        <f t="shared" ref="AM44:AP44" si="55">AM41-AM36-AM37</f>
        <v>1113.2</v>
      </c>
      <c r="AN44" s="520">
        <f t="shared" si="55"/>
        <v>1113.6500000000001</v>
      </c>
      <c r="AO44" s="520">
        <f t="shared" si="55"/>
        <v>1113.48125</v>
      </c>
      <c r="AP44" s="520">
        <f t="shared" si="55"/>
        <v>1112.75</v>
      </c>
      <c r="AQ44" s="520">
        <f t="shared" ref="AQ44:AR44" si="56">AQ41-AQ36-AQ37</f>
        <v>1112.75</v>
      </c>
      <c r="AR44" s="520">
        <f t="shared" si="56"/>
        <v>1112.75</v>
      </c>
      <c r="AS44" s="520"/>
      <c r="AT44" s="520"/>
      <c r="AU44" s="520"/>
      <c r="AV44" s="520"/>
      <c r="AW44" s="520"/>
      <c r="AX44" s="521"/>
    </row>
    <row r="45" spans="1:50" s="522" customFormat="1" outlineLevel="1" x14ac:dyDescent="0.3">
      <c r="F45" s="523"/>
      <c r="G45" s="524"/>
      <c r="H45" s="524"/>
      <c r="I45" s="524"/>
      <c r="J45" s="525" t="s">
        <v>408</v>
      </c>
      <c r="K45" s="526"/>
      <c r="L45" s="527"/>
      <c r="M45" s="527"/>
      <c r="N45" s="527"/>
      <c r="O45" s="534">
        <f>O42-O36-O37</f>
        <v>1162</v>
      </c>
      <c r="P45" s="534">
        <f t="shared" ref="P45:AK45" si="57">P42-P36-P37</f>
        <v>1162</v>
      </c>
      <c r="Q45" s="534">
        <f t="shared" si="57"/>
        <v>1162</v>
      </c>
      <c r="R45" s="534">
        <f t="shared" si="57"/>
        <v>1162</v>
      </c>
      <c r="S45" s="534">
        <f t="shared" si="57"/>
        <v>1162</v>
      </c>
      <c r="T45" s="534">
        <f t="shared" si="57"/>
        <v>1161.9865</v>
      </c>
      <c r="U45" s="534">
        <f t="shared" si="57"/>
        <v>1161.7840000000001</v>
      </c>
      <c r="V45" s="534">
        <f t="shared" si="57"/>
        <v>1161.6085</v>
      </c>
      <c r="W45" s="534">
        <f t="shared" si="57"/>
        <v>1161.3610000000001</v>
      </c>
      <c r="X45" s="534">
        <f t="shared" si="57"/>
        <v>1161.0797500000001</v>
      </c>
      <c r="Y45" s="534">
        <f t="shared" si="57"/>
        <v>1160.7737500000001</v>
      </c>
      <c r="Z45" s="535">
        <f t="shared" si="57"/>
        <v>1160.6387500000001</v>
      </c>
      <c r="AA45" s="534">
        <f t="shared" si="57"/>
        <v>1160.6668749999999</v>
      </c>
      <c r="AB45" s="534">
        <f t="shared" si="57"/>
        <v>1161.034375</v>
      </c>
      <c r="AC45" s="534">
        <f t="shared" si="57"/>
        <v>1161.4168750000001</v>
      </c>
      <c r="AD45" s="534">
        <f t="shared" si="57"/>
        <v>1159.7018</v>
      </c>
      <c r="AE45" s="534">
        <f t="shared" si="57"/>
        <v>1159.6849999999999</v>
      </c>
      <c r="AF45" s="534">
        <f t="shared" si="57"/>
        <v>1159.6400000000001</v>
      </c>
      <c r="AG45" s="534">
        <f t="shared" si="57"/>
        <v>1159.6400000000001</v>
      </c>
      <c r="AH45" s="534">
        <f t="shared" si="57"/>
        <v>1161.8019999999999</v>
      </c>
      <c r="AI45" s="534">
        <f t="shared" si="57"/>
        <v>1162</v>
      </c>
      <c r="AJ45" s="534">
        <f t="shared" si="57"/>
        <v>1162</v>
      </c>
      <c r="AK45" s="534">
        <f t="shared" si="57"/>
        <v>1162</v>
      </c>
      <c r="AL45" s="535"/>
      <c r="AM45" s="534">
        <f t="shared" ref="AM45:AP45" si="58">AM42-AM36-AM37</f>
        <v>1053.2</v>
      </c>
      <c r="AN45" s="534">
        <f t="shared" si="58"/>
        <v>1053.6500000000001</v>
      </c>
      <c r="AO45" s="534">
        <f t="shared" si="58"/>
        <v>1053.48125</v>
      </c>
      <c r="AP45" s="534">
        <f t="shared" si="58"/>
        <v>1052.75</v>
      </c>
      <c r="AQ45" s="534">
        <f t="shared" ref="AQ45:AR45" si="59">AQ42-AQ36-AQ37</f>
        <v>1052.75</v>
      </c>
      <c r="AR45" s="534">
        <f t="shared" si="59"/>
        <v>1052.75</v>
      </c>
      <c r="AS45" s="534"/>
      <c r="AT45" s="534"/>
      <c r="AU45" s="534"/>
      <c r="AV45" s="534"/>
      <c r="AW45" s="534"/>
      <c r="AX45" s="535"/>
    </row>
    <row r="46" spans="1:50" s="93" customFormat="1" x14ac:dyDescent="0.3">
      <c r="D46" s="92"/>
      <c r="F46" s="165"/>
      <c r="G46"/>
      <c r="H46"/>
      <c r="I46"/>
      <c r="J46" s="31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s="48"/>
      <c r="AA46"/>
      <c r="AB46"/>
      <c r="AC46"/>
      <c r="AD46"/>
      <c r="AE46"/>
      <c r="AF46"/>
      <c r="AG46"/>
      <c r="AH46"/>
      <c r="AI46"/>
      <c r="AJ46"/>
      <c r="AK46"/>
      <c r="AL46" s="48"/>
      <c r="AM46"/>
      <c r="AN46"/>
      <c r="AO46"/>
      <c r="AP46"/>
      <c r="AQ46"/>
      <c r="AR46"/>
      <c r="AS46"/>
      <c r="AT46"/>
      <c r="AU46"/>
      <c r="AV46"/>
      <c r="AW46"/>
      <c r="AX46" s="48"/>
    </row>
    <row r="47" spans="1:50" s="331" customFormat="1" ht="17.399999999999999" x14ac:dyDescent="0.3">
      <c r="A47" s="398" t="s">
        <v>353</v>
      </c>
      <c r="F47" s="332">
        <v>3</v>
      </c>
      <c r="G47" s="359" t="s">
        <v>351</v>
      </c>
      <c r="H47" s="359"/>
      <c r="I47" s="359"/>
      <c r="J47" s="360"/>
      <c r="L47" s="333"/>
      <c r="M47" s="333"/>
      <c r="N47" s="333"/>
      <c r="O47" s="333"/>
      <c r="P47" s="333"/>
      <c r="Q47" s="333"/>
      <c r="R47" s="333"/>
      <c r="S47" s="333"/>
      <c r="T47" s="333"/>
      <c r="U47" s="333"/>
      <c r="V47" s="333"/>
      <c r="W47" s="333"/>
      <c r="X47" s="333"/>
      <c r="Y47" s="333"/>
      <c r="Z47" s="334"/>
      <c r="AA47" s="335"/>
      <c r="AB47" s="333"/>
      <c r="AC47" s="335"/>
      <c r="AD47" s="335"/>
      <c r="AE47" s="335"/>
      <c r="AF47" s="335"/>
      <c r="AG47" s="335"/>
      <c r="AH47" s="335"/>
      <c r="AI47" s="335"/>
      <c r="AJ47" s="335"/>
      <c r="AK47" s="335"/>
      <c r="AL47" s="334"/>
      <c r="AM47" s="335"/>
      <c r="AN47" s="333"/>
      <c r="AO47" s="335"/>
      <c r="AP47" s="335"/>
      <c r="AQ47" s="335"/>
      <c r="AR47" s="335"/>
      <c r="AS47" s="335"/>
      <c r="AT47" s="335"/>
      <c r="AU47" s="335"/>
      <c r="AV47" s="335"/>
      <c r="AW47" s="335"/>
      <c r="AX47" s="334"/>
    </row>
    <row r="48" spans="1:50" s="325" customFormat="1" ht="15.6" x14ac:dyDescent="0.3">
      <c r="A48" s="399" t="s">
        <v>353</v>
      </c>
      <c r="B48" s="325" t="s">
        <v>30</v>
      </c>
      <c r="D48" s="325" t="s">
        <v>321</v>
      </c>
      <c r="F48" s="338">
        <v>3.1</v>
      </c>
      <c r="G48" s="339"/>
      <c r="H48" s="339" t="s">
        <v>352</v>
      </c>
      <c r="I48" s="339"/>
      <c r="J48" s="373"/>
      <c r="L48" s="339"/>
      <c r="M48" s="339"/>
      <c r="N48" s="339"/>
      <c r="O48" s="329"/>
      <c r="P48" s="329"/>
      <c r="Q48" s="329"/>
      <c r="R48" s="329"/>
      <c r="S48" s="329"/>
      <c r="T48" s="329"/>
      <c r="U48" s="329"/>
      <c r="V48" s="329"/>
      <c r="W48" s="329"/>
      <c r="X48" s="329"/>
      <c r="Y48" s="329"/>
      <c r="Z48" s="330"/>
      <c r="AA48" s="328">
        <v>1250</v>
      </c>
      <c r="AB48" s="329">
        <v>1250</v>
      </c>
      <c r="AC48" s="329">
        <v>1250</v>
      </c>
      <c r="AD48" s="329">
        <v>1250</v>
      </c>
      <c r="AE48" s="329">
        <v>1250</v>
      </c>
      <c r="AF48" s="329">
        <v>1250</v>
      </c>
      <c r="AG48" s="329">
        <v>1250</v>
      </c>
      <c r="AH48" s="329">
        <v>1250</v>
      </c>
      <c r="AI48" s="329">
        <v>1250</v>
      </c>
      <c r="AJ48" s="329">
        <v>1250</v>
      </c>
      <c r="AK48" s="329">
        <v>1250</v>
      </c>
      <c r="AL48" s="330">
        <v>1250</v>
      </c>
      <c r="AM48" s="328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30"/>
    </row>
    <row r="49" spans="1:50" s="94" customFormat="1" outlineLevel="1" x14ac:dyDescent="0.3">
      <c r="A49" s="297" t="s">
        <v>353</v>
      </c>
      <c r="B49" s="297" t="s">
        <v>30</v>
      </c>
      <c r="D49" s="95" t="s">
        <v>161</v>
      </c>
      <c r="F49" s="275" t="s">
        <v>270</v>
      </c>
      <c r="G49" s="276"/>
      <c r="H49" s="276"/>
      <c r="I49" s="276" t="s">
        <v>8</v>
      </c>
      <c r="J49" s="375"/>
      <c r="K49" s="2"/>
      <c r="L49" s="276"/>
      <c r="M49" s="276"/>
      <c r="N49" s="27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7"/>
      <c r="AA49" s="226">
        <f>AA48-AA50</f>
        <v>1230</v>
      </c>
      <c r="AB49" s="226">
        <f>AB48-AB50</f>
        <v>1230</v>
      </c>
      <c r="AC49" s="226">
        <f>AC48-AC50</f>
        <v>1230</v>
      </c>
      <c r="AD49" s="226">
        <f t="shared" ref="AD49:AL49" si="60">AD48-AD50</f>
        <v>1228</v>
      </c>
      <c r="AE49" s="226">
        <f t="shared" si="60"/>
        <v>1228</v>
      </c>
      <c r="AF49" s="226">
        <f t="shared" si="60"/>
        <v>1228</v>
      </c>
      <c r="AG49" s="226">
        <f t="shared" si="60"/>
        <v>1228</v>
      </c>
      <c r="AH49" s="226">
        <f t="shared" si="60"/>
        <v>1230</v>
      </c>
      <c r="AI49" s="226">
        <f t="shared" si="60"/>
        <v>1230</v>
      </c>
      <c r="AJ49" s="226">
        <f t="shared" si="60"/>
        <v>1230</v>
      </c>
      <c r="AK49" s="226">
        <f t="shared" si="60"/>
        <v>1230</v>
      </c>
      <c r="AL49" s="227">
        <f t="shared" si="60"/>
        <v>1230</v>
      </c>
      <c r="AM49" s="226"/>
      <c r="AN49" s="226"/>
      <c r="AO49" s="226"/>
      <c r="AP49" s="226"/>
      <c r="AQ49" s="226"/>
      <c r="AR49" s="226"/>
      <c r="AS49" s="226"/>
      <c r="AT49" s="226"/>
      <c r="AU49" s="226"/>
      <c r="AV49" s="226"/>
      <c r="AW49" s="226"/>
      <c r="AX49" s="227"/>
    </row>
    <row r="50" spans="1:50" s="181" customFormat="1" outlineLevel="1" x14ac:dyDescent="0.3">
      <c r="A50" s="400" t="s">
        <v>353</v>
      </c>
      <c r="B50" s="181" t="s">
        <v>30</v>
      </c>
      <c r="F50" s="219" t="s">
        <v>271</v>
      </c>
      <c r="G50" s="188"/>
      <c r="H50" s="188"/>
      <c r="I50" s="188" t="s">
        <v>49</v>
      </c>
      <c r="J50" s="365"/>
      <c r="K50" s="182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9"/>
      <c r="AA50" s="207">
        <v>20</v>
      </c>
      <c r="AB50" s="207">
        <v>20</v>
      </c>
      <c r="AC50" s="207">
        <v>20</v>
      </c>
      <c r="AD50" s="207">
        <v>22</v>
      </c>
      <c r="AE50" s="207">
        <v>22</v>
      </c>
      <c r="AF50" s="207">
        <v>22</v>
      </c>
      <c r="AG50" s="207">
        <v>22</v>
      </c>
      <c r="AH50" s="207">
        <v>20</v>
      </c>
      <c r="AI50" s="207">
        <v>20</v>
      </c>
      <c r="AJ50" s="207">
        <v>20</v>
      </c>
      <c r="AK50" s="207">
        <v>20</v>
      </c>
      <c r="AL50" s="209">
        <v>20</v>
      </c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9"/>
    </row>
    <row r="51" spans="1:50" s="185" customFormat="1" outlineLevel="1" x14ac:dyDescent="0.3">
      <c r="A51" s="300" t="s">
        <v>353</v>
      </c>
      <c r="B51" s="300" t="s">
        <v>30</v>
      </c>
      <c r="F51" s="283" t="s">
        <v>272</v>
      </c>
      <c r="G51" s="284"/>
      <c r="H51" s="284"/>
      <c r="I51" s="284"/>
      <c r="J51" s="377" t="s">
        <v>202</v>
      </c>
      <c r="K51" s="186"/>
      <c r="L51" s="292"/>
      <c r="M51" s="292"/>
      <c r="N51" s="292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1"/>
      <c r="AA51" s="310" cm="1">
        <f t="array" ref="AA51">SUMPRODUCT(General_Data*(Year=AA$3)*(Month=AA$4)*(Code_General_Data=$B51))</f>
        <v>1260</v>
      </c>
      <c r="AB51" s="310" cm="1">
        <f t="array" ref="AB51">SUMPRODUCT(General_Data*(Year=AB$3)*(Month=AB$4)*(Code_General_Data=$B51))</f>
        <v>1260</v>
      </c>
      <c r="AC51" s="310" cm="1">
        <f t="array" ref="AC51">SUMPRODUCT(General_Data*(Year=AC$3)*(Month=AC$4)*(Code_General_Data=$B51))</f>
        <v>1260</v>
      </c>
      <c r="AD51" s="310" cm="1">
        <f t="array" ref="AD51">SUMPRODUCT(General_Data*(Year=AD$3)*(Month=AD$4)*(Code_General_Data=$B51))</f>
        <v>1280</v>
      </c>
      <c r="AE51" s="310" cm="1">
        <f t="array" ref="AE51">SUMPRODUCT(General_Data*(Year=AE$3)*(Month=AE$4)*(Code_General_Data=$B51))</f>
        <v>1280</v>
      </c>
      <c r="AF51" s="310" cm="1">
        <f t="array" ref="AF51">SUMPRODUCT(General_Data*(Year=AF$3)*(Month=AF$4)*(Code_General_Data=$B51))</f>
        <v>1280</v>
      </c>
      <c r="AG51" s="310" cm="1">
        <f t="array" ref="AG51">SUMPRODUCT(General_Data*(Year=AG$3)*(Month=AG$4)*(Code_General_Data=$B51))</f>
        <v>1280</v>
      </c>
      <c r="AH51" s="310" cm="1">
        <f t="array" ref="AH51">SUMPRODUCT(General_Data*(Year=AH$3)*(Month=AH$4)*(Code_General_Data=$B51))</f>
        <v>1250</v>
      </c>
      <c r="AI51" s="310" cm="1">
        <f t="array" ref="AI51">SUMPRODUCT(General_Data*(Year=AI$3)*(Month=AI$4)*(Code_General_Data=$B51))</f>
        <v>1250</v>
      </c>
      <c r="AJ51" s="310" cm="1">
        <f t="array" ref="AJ51">SUMPRODUCT(General_Data*(Year=AJ$3)*(Month=AJ$4)*(Code_General_Data=$B51))</f>
        <v>1240</v>
      </c>
      <c r="AK51" s="310" cm="1">
        <f t="array" ref="AK51">SUMPRODUCT(General_Data*(Year=AK$3)*(Month=AK$4)*(Code_General_Data=$B51))</f>
        <v>1230</v>
      </c>
      <c r="AL51" s="311" cm="1">
        <f t="array" ref="AL51">SUMPRODUCT(General_Data*(Year=AL$3)*(Month=AL$4)*(Code_General_Data=$B51))</f>
        <v>1230</v>
      </c>
      <c r="AM51" s="310"/>
      <c r="AN51" s="310"/>
      <c r="AO51" s="310"/>
      <c r="AP51" s="310"/>
      <c r="AQ51" s="310"/>
      <c r="AR51" s="310"/>
      <c r="AS51" s="310"/>
      <c r="AT51" s="310"/>
      <c r="AU51" s="310"/>
      <c r="AV51" s="310"/>
      <c r="AW51" s="310"/>
      <c r="AX51" s="311"/>
    </row>
    <row r="52" spans="1:50" s="93" customFormat="1" x14ac:dyDescent="0.3">
      <c r="D52" s="92"/>
      <c r="F52" s="165"/>
      <c r="G52"/>
      <c r="H52"/>
      <c r="I52"/>
      <c r="J52" s="316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 s="48"/>
      <c r="AA52"/>
      <c r="AB52"/>
      <c r="AC52"/>
      <c r="AD52"/>
      <c r="AE52"/>
      <c r="AF52"/>
      <c r="AG52"/>
      <c r="AH52"/>
      <c r="AI52"/>
      <c r="AJ52"/>
      <c r="AK52"/>
      <c r="AL52" s="48"/>
      <c r="AM52"/>
      <c r="AN52"/>
      <c r="AO52"/>
      <c r="AP52"/>
      <c r="AQ52"/>
      <c r="AR52"/>
      <c r="AS52"/>
      <c r="AT52"/>
      <c r="AU52"/>
      <c r="AV52"/>
      <c r="AW52"/>
      <c r="AX52" s="48"/>
    </row>
    <row r="53" spans="1:50" s="331" customFormat="1" ht="17.399999999999999" x14ac:dyDescent="0.3">
      <c r="A53" s="331" t="s">
        <v>63</v>
      </c>
      <c r="F53" s="332">
        <v>4</v>
      </c>
      <c r="G53" s="359" t="s">
        <v>206</v>
      </c>
      <c r="H53" s="359"/>
      <c r="I53" s="359"/>
      <c r="J53" s="360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4"/>
      <c r="AA53" s="335"/>
      <c r="AB53" s="333"/>
      <c r="AC53" s="335"/>
      <c r="AD53" s="335"/>
      <c r="AE53" s="335"/>
      <c r="AF53" s="335"/>
      <c r="AG53" s="335"/>
      <c r="AH53" s="335"/>
      <c r="AI53" s="335"/>
      <c r="AJ53" s="335"/>
      <c r="AK53" s="335"/>
      <c r="AL53" s="334"/>
      <c r="AM53" s="335"/>
      <c r="AN53" s="333"/>
      <c r="AO53" s="335"/>
      <c r="AP53" s="335"/>
      <c r="AQ53" s="335"/>
      <c r="AR53" s="335"/>
      <c r="AS53" s="335"/>
      <c r="AT53" s="335"/>
      <c r="AU53" s="335"/>
      <c r="AV53" s="335"/>
      <c r="AW53" s="335"/>
      <c r="AX53" s="334"/>
    </row>
    <row r="54" spans="1:50" s="325" customFormat="1" ht="15.6" x14ac:dyDescent="0.3">
      <c r="A54" s="325" t="s">
        <v>63</v>
      </c>
      <c r="B54" s="325" t="s">
        <v>15</v>
      </c>
      <c r="D54" s="325" t="s">
        <v>321</v>
      </c>
      <c r="F54" s="326">
        <v>4.0999999999999996</v>
      </c>
      <c r="G54" s="327"/>
      <c r="H54" s="327" t="s">
        <v>207</v>
      </c>
      <c r="I54" s="327"/>
      <c r="J54" s="361"/>
      <c r="L54" s="327"/>
      <c r="M54" s="327"/>
      <c r="N54" s="327"/>
      <c r="O54" s="329">
        <f>ROUND(SUM(O55:O60),-2)+O61</f>
        <v>1320</v>
      </c>
      <c r="P54" s="329">
        <f t="shared" ref="P54:W54" si="61">ROUND(SUM(P55:P60),-2)+P61</f>
        <v>1320</v>
      </c>
      <c r="Q54" s="329">
        <f t="shared" si="61"/>
        <v>1320</v>
      </c>
      <c r="R54" s="329">
        <f t="shared" si="61"/>
        <v>1320</v>
      </c>
      <c r="S54" s="329">
        <f t="shared" si="61"/>
        <v>1320</v>
      </c>
      <c r="T54" s="329">
        <f t="shared" si="61"/>
        <v>1320</v>
      </c>
      <c r="U54" s="329">
        <f t="shared" si="61"/>
        <v>1320</v>
      </c>
      <c r="V54" s="329">
        <f t="shared" si="61"/>
        <v>1320</v>
      </c>
      <c r="W54" s="329">
        <f t="shared" si="61"/>
        <v>1320</v>
      </c>
      <c r="X54" s="329">
        <f>ROUND(SUM(X55:X60),-1)+X61</f>
        <v>1300</v>
      </c>
      <c r="Y54" s="329">
        <f>ROUND(SUM(Y55:Y60),-1)+Y61</f>
        <v>1300</v>
      </c>
      <c r="Z54" s="330">
        <f>ROUND(SUM(Z55:Z60),-1)+Z61</f>
        <v>1300</v>
      </c>
      <c r="AA54" s="328">
        <f t="shared" ref="AA54:AL54" si="62">ROUND(SUM(AA55:AA60),-1)+AA61</f>
        <v>1300</v>
      </c>
      <c r="AB54" s="329">
        <f t="shared" si="62"/>
        <v>1300</v>
      </c>
      <c r="AC54" s="329">
        <f t="shared" si="62"/>
        <v>1300</v>
      </c>
      <c r="AD54" s="329">
        <f>ROUND(SUM(AD55:AD60),-1)+AD61</f>
        <v>1250</v>
      </c>
      <c r="AE54" s="329">
        <f t="shared" si="62"/>
        <v>1250</v>
      </c>
      <c r="AF54" s="329">
        <f t="shared" si="62"/>
        <v>1250</v>
      </c>
      <c r="AG54" s="329">
        <f t="shared" si="62"/>
        <v>1280</v>
      </c>
      <c r="AH54" s="329">
        <f t="shared" si="62"/>
        <v>1280</v>
      </c>
      <c r="AI54" s="329">
        <f t="shared" si="62"/>
        <v>1280</v>
      </c>
      <c r="AJ54" s="329">
        <f t="shared" si="62"/>
        <v>1280</v>
      </c>
      <c r="AK54" s="329">
        <f t="shared" si="62"/>
        <v>1280</v>
      </c>
      <c r="AL54" s="330">
        <f t="shared" si="62"/>
        <v>1280</v>
      </c>
      <c r="AM54" s="328">
        <v>1250</v>
      </c>
      <c r="AN54" s="329">
        <v>1250</v>
      </c>
      <c r="AO54" s="329">
        <v>1250</v>
      </c>
      <c r="AP54" s="329">
        <v>1191</v>
      </c>
      <c r="AQ54" s="329">
        <f>AP54</f>
        <v>1191</v>
      </c>
      <c r="AR54" s="329">
        <f t="shared" ref="AR54:AX54" si="63">AQ54</f>
        <v>1191</v>
      </c>
      <c r="AS54" s="329">
        <f t="shared" si="63"/>
        <v>1191</v>
      </c>
      <c r="AT54" s="329">
        <f t="shared" si="63"/>
        <v>1191</v>
      </c>
      <c r="AU54" s="329">
        <f t="shared" si="63"/>
        <v>1191</v>
      </c>
      <c r="AV54" s="329">
        <f t="shared" si="63"/>
        <v>1191</v>
      </c>
      <c r="AW54" s="329">
        <f t="shared" si="63"/>
        <v>1191</v>
      </c>
      <c r="AX54" s="330">
        <f t="shared" si="63"/>
        <v>1191</v>
      </c>
    </row>
    <row r="55" spans="1:50" s="340" customFormat="1" outlineLevel="1" x14ac:dyDescent="0.3">
      <c r="A55" s="340" t="s">
        <v>63</v>
      </c>
      <c r="B55" s="340" t="s">
        <v>15</v>
      </c>
      <c r="F55" s="341" t="s">
        <v>354</v>
      </c>
      <c r="G55" s="342"/>
      <c r="H55" s="342" t="s">
        <v>40</v>
      </c>
      <c r="I55" s="342" t="s">
        <v>54</v>
      </c>
      <c r="J55" s="362"/>
      <c r="K55" s="343"/>
      <c r="L55" s="342"/>
      <c r="M55" s="342"/>
      <c r="N55" s="342"/>
      <c r="O55" s="345">
        <f>16500/O$62*10^3</f>
        <v>673.46938775510205</v>
      </c>
      <c r="P55" s="345">
        <f t="shared" ref="P55:AC55" si="64">16500/P$62*10^3</f>
        <v>673.46938775510205</v>
      </c>
      <c r="Q55" s="345">
        <f t="shared" si="64"/>
        <v>673.46938775510205</v>
      </c>
      <c r="R55" s="345">
        <f t="shared" si="64"/>
        <v>673.46938775510205</v>
      </c>
      <c r="S55" s="345">
        <f t="shared" si="64"/>
        <v>673.46938775510205</v>
      </c>
      <c r="T55" s="345">
        <f t="shared" si="64"/>
        <v>673.46938775510205</v>
      </c>
      <c r="U55" s="345">
        <f t="shared" si="64"/>
        <v>660</v>
      </c>
      <c r="V55" s="345">
        <f t="shared" si="64"/>
        <v>660</v>
      </c>
      <c r="W55" s="345">
        <f t="shared" si="64"/>
        <v>660</v>
      </c>
      <c r="X55" s="345">
        <f t="shared" si="64"/>
        <v>660</v>
      </c>
      <c r="Y55" s="345">
        <f t="shared" si="64"/>
        <v>660</v>
      </c>
      <c r="Z55" s="346">
        <f t="shared" si="64"/>
        <v>660</v>
      </c>
      <c r="AA55" s="344">
        <f t="shared" si="64"/>
        <v>660</v>
      </c>
      <c r="AB55" s="345">
        <f t="shared" si="64"/>
        <v>660</v>
      </c>
      <c r="AC55" s="345">
        <f t="shared" si="64"/>
        <v>660</v>
      </c>
      <c r="AD55" s="345">
        <f>16800/AD$62*10^3</f>
        <v>672</v>
      </c>
      <c r="AE55" s="345">
        <f>16800/AE$62*10^3</f>
        <v>672</v>
      </c>
      <c r="AF55" s="345">
        <f>16800/AF$62*10^3</f>
        <v>672</v>
      </c>
      <c r="AG55" s="345">
        <f t="shared" ref="AG55:AL55" si="65">16800/AG$62*10^3</f>
        <v>672</v>
      </c>
      <c r="AH55" s="345">
        <f t="shared" si="65"/>
        <v>672</v>
      </c>
      <c r="AI55" s="345">
        <f t="shared" si="65"/>
        <v>672</v>
      </c>
      <c r="AJ55" s="345">
        <f t="shared" si="65"/>
        <v>672</v>
      </c>
      <c r="AK55" s="345">
        <f t="shared" si="65"/>
        <v>672</v>
      </c>
      <c r="AL55" s="346">
        <f t="shared" si="65"/>
        <v>672</v>
      </c>
      <c r="AM55" s="344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6"/>
    </row>
    <row r="56" spans="1:50" s="340" customFormat="1" outlineLevel="1" x14ac:dyDescent="0.3">
      <c r="A56" s="340" t="s">
        <v>63</v>
      </c>
      <c r="B56" s="340" t="s">
        <v>15</v>
      </c>
      <c r="F56" s="341" t="s">
        <v>355</v>
      </c>
      <c r="G56" s="342"/>
      <c r="H56" s="342" t="s">
        <v>40</v>
      </c>
      <c r="I56" s="342" t="s">
        <v>328</v>
      </c>
      <c r="J56" s="363"/>
      <c r="K56" s="343"/>
      <c r="L56" s="342"/>
      <c r="M56" s="342"/>
      <c r="N56" s="342"/>
      <c r="O56" s="345">
        <f t="shared" ref="O56:AE56" si="66">O55*O63</f>
        <v>202.0408163265306</v>
      </c>
      <c r="P56" s="345">
        <f t="shared" si="66"/>
        <v>202.0408163265306</v>
      </c>
      <c r="Q56" s="345">
        <f t="shared" si="66"/>
        <v>202.0408163265306</v>
      </c>
      <c r="R56" s="345">
        <f t="shared" si="66"/>
        <v>202.0408163265306</v>
      </c>
      <c r="S56" s="345">
        <f t="shared" si="66"/>
        <v>202.0408163265306</v>
      </c>
      <c r="T56" s="345">
        <f t="shared" si="66"/>
        <v>202.0408163265306</v>
      </c>
      <c r="U56" s="345">
        <f t="shared" si="66"/>
        <v>198</v>
      </c>
      <c r="V56" s="345">
        <f t="shared" si="66"/>
        <v>198</v>
      </c>
      <c r="W56" s="345">
        <f t="shared" si="66"/>
        <v>198</v>
      </c>
      <c r="X56" s="345">
        <f t="shared" si="66"/>
        <v>198</v>
      </c>
      <c r="Y56" s="345">
        <f t="shared" si="66"/>
        <v>198</v>
      </c>
      <c r="Z56" s="346">
        <f t="shared" si="66"/>
        <v>198</v>
      </c>
      <c r="AA56" s="344">
        <f t="shared" si="66"/>
        <v>198</v>
      </c>
      <c r="AB56" s="345">
        <f t="shared" si="66"/>
        <v>198</v>
      </c>
      <c r="AC56" s="345">
        <f t="shared" si="66"/>
        <v>198</v>
      </c>
      <c r="AD56" s="345">
        <f t="shared" si="66"/>
        <v>201.6</v>
      </c>
      <c r="AE56" s="345">
        <f t="shared" si="66"/>
        <v>201.6</v>
      </c>
      <c r="AF56" s="345">
        <f t="shared" ref="AF56:AL56" si="67">AF55*AF63</f>
        <v>201.6</v>
      </c>
      <c r="AG56" s="345">
        <f t="shared" si="67"/>
        <v>201.6</v>
      </c>
      <c r="AH56" s="345">
        <f t="shared" si="67"/>
        <v>201.6</v>
      </c>
      <c r="AI56" s="345">
        <f t="shared" si="67"/>
        <v>201.6</v>
      </c>
      <c r="AJ56" s="345">
        <f t="shared" si="67"/>
        <v>201.6</v>
      </c>
      <c r="AK56" s="345">
        <f t="shared" si="67"/>
        <v>201.6</v>
      </c>
      <c r="AL56" s="346">
        <f t="shared" si="67"/>
        <v>201.6</v>
      </c>
      <c r="AM56" s="344"/>
      <c r="AN56" s="345"/>
      <c r="AO56" s="345"/>
      <c r="AP56" s="345"/>
      <c r="AQ56" s="345"/>
      <c r="AR56" s="345"/>
      <c r="AS56" s="345"/>
      <c r="AT56" s="345"/>
      <c r="AU56" s="345"/>
      <c r="AV56" s="345"/>
      <c r="AW56" s="345"/>
      <c r="AX56" s="346"/>
    </row>
    <row r="57" spans="1:50" s="340" customFormat="1" outlineLevel="1" x14ac:dyDescent="0.3">
      <c r="A57" s="340" t="s">
        <v>63</v>
      </c>
      <c r="B57" s="340" t="s">
        <v>15</v>
      </c>
      <c r="F57" s="341" t="s">
        <v>356</v>
      </c>
      <c r="G57" s="342"/>
      <c r="H57" s="342" t="s">
        <v>40</v>
      </c>
      <c r="I57" s="342" t="s">
        <v>56</v>
      </c>
      <c r="J57" s="362"/>
      <c r="K57" s="343"/>
      <c r="L57" s="342"/>
      <c r="M57" s="342"/>
      <c r="N57" s="342"/>
      <c r="O57" s="345">
        <f>9193.7/O62*10^3</f>
        <v>375.25306122448984</v>
      </c>
      <c r="P57" s="345">
        <f t="shared" ref="P57:Z57" si="68">9193.7/P62*10^3</f>
        <v>375.25306122448984</v>
      </c>
      <c r="Q57" s="345">
        <f t="shared" si="68"/>
        <v>375.25306122448984</v>
      </c>
      <c r="R57" s="345">
        <f t="shared" si="68"/>
        <v>375.25306122448984</v>
      </c>
      <c r="S57" s="345">
        <f t="shared" si="68"/>
        <v>375.25306122448984</v>
      </c>
      <c r="T57" s="345">
        <f t="shared" si="68"/>
        <v>375.25306122448984</v>
      </c>
      <c r="U57" s="345">
        <f t="shared" si="68"/>
        <v>367.74800000000005</v>
      </c>
      <c r="V57" s="345">
        <f t="shared" si="68"/>
        <v>367.74800000000005</v>
      </c>
      <c r="W57" s="345">
        <f t="shared" si="68"/>
        <v>367.74800000000005</v>
      </c>
      <c r="X57" s="345">
        <f t="shared" si="68"/>
        <v>367.74800000000005</v>
      </c>
      <c r="Y57" s="345">
        <f t="shared" si="68"/>
        <v>367.74800000000005</v>
      </c>
      <c r="Z57" s="346">
        <f t="shared" si="68"/>
        <v>367.74800000000005</v>
      </c>
      <c r="AA57" s="344">
        <f>9193.7/AA62*10^3</f>
        <v>367.74800000000005</v>
      </c>
      <c r="AB57" s="345">
        <f>9193.7/AB62*10^3</f>
        <v>367.74800000000005</v>
      </c>
      <c r="AC57" s="345">
        <f>9193.7/AC62*10^3</f>
        <v>367.74800000000005</v>
      </c>
      <c r="AD57" s="345">
        <f>9377.55821/AD62*10^3</f>
        <v>375.10232839999998</v>
      </c>
      <c r="AE57" s="345">
        <f>9377.55821/AE62*10^3</f>
        <v>375.10232839999998</v>
      </c>
      <c r="AF57" s="345">
        <f>9377.55821/AF62*10^3</f>
        <v>375.10232839999998</v>
      </c>
      <c r="AG57" s="345">
        <f t="shared" ref="AG57:AL57" si="69">9377.55821/AG62*10^3</f>
        <v>375.10232839999998</v>
      </c>
      <c r="AH57" s="345">
        <f t="shared" si="69"/>
        <v>375.10232839999998</v>
      </c>
      <c r="AI57" s="345">
        <f t="shared" si="69"/>
        <v>375.10232839999998</v>
      </c>
      <c r="AJ57" s="345">
        <f t="shared" si="69"/>
        <v>375.10232839999998</v>
      </c>
      <c r="AK57" s="345">
        <f t="shared" si="69"/>
        <v>375.10232839999998</v>
      </c>
      <c r="AL57" s="346">
        <f t="shared" si="69"/>
        <v>375.10232839999998</v>
      </c>
      <c r="AM57" s="344"/>
      <c r="AN57" s="345"/>
      <c r="AO57" s="345"/>
      <c r="AP57" s="345"/>
      <c r="AQ57" s="345"/>
      <c r="AR57" s="345"/>
      <c r="AS57" s="345"/>
      <c r="AT57" s="345"/>
      <c r="AU57" s="345"/>
      <c r="AV57" s="345"/>
      <c r="AW57" s="345"/>
      <c r="AX57" s="346"/>
    </row>
    <row r="58" spans="1:50" s="340" customFormat="1" outlineLevel="1" x14ac:dyDescent="0.3">
      <c r="A58" s="340" t="s">
        <v>63</v>
      </c>
      <c r="B58" s="340" t="s">
        <v>15</v>
      </c>
      <c r="F58" s="341" t="s">
        <v>357</v>
      </c>
      <c r="G58" s="342"/>
      <c r="H58" s="342" t="s">
        <v>40</v>
      </c>
      <c r="I58" s="342" t="s">
        <v>49</v>
      </c>
      <c r="J58" s="362"/>
      <c r="K58" s="343"/>
      <c r="L58" s="342"/>
      <c r="M58" s="342"/>
      <c r="N58" s="342"/>
      <c r="O58" s="345">
        <f>299/O62*10^3</f>
        <v>12.204081632653061</v>
      </c>
      <c r="P58" s="345">
        <f t="shared" ref="P58:Z58" si="70">299/P62*10^3</f>
        <v>12.204081632653061</v>
      </c>
      <c r="Q58" s="345">
        <f t="shared" si="70"/>
        <v>12.204081632653061</v>
      </c>
      <c r="R58" s="345">
        <f t="shared" si="70"/>
        <v>12.204081632653061</v>
      </c>
      <c r="S58" s="345">
        <f t="shared" si="70"/>
        <v>12.204081632653061</v>
      </c>
      <c r="T58" s="345">
        <f t="shared" si="70"/>
        <v>12.204081632653061</v>
      </c>
      <c r="U58" s="345">
        <f t="shared" si="70"/>
        <v>11.96</v>
      </c>
      <c r="V58" s="345">
        <f t="shared" si="70"/>
        <v>11.96</v>
      </c>
      <c r="W58" s="345">
        <f t="shared" si="70"/>
        <v>11.96</v>
      </c>
      <c r="X58" s="345">
        <f t="shared" si="70"/>
        <v>11.96</v>
      </c>
      <c r="Y58" s="345">
        <f t="shared" si="70"/>
        <v>11.96</v>
      </c>
      <c r="Z58" s="346">
        <f t="shared" si="70"/>
        <v>11.96</v>
      </c>
      <c r="AA58" s="344">
        <f t="shared" ref="AA58:AF58" si="71">299/AA62*10^3</f>
        <v>11.96</v>
      </c>
      <c r="AB58" s="345">
        <f t="shared" si="71"/>
        <v>11.96</v>
      </c>
      <c r="AC58" s="345">
        <f t="shared" si="71"/>
        <v>11.96</v>
      </c>
      <c r="AD58" s="345">
        <f t="shared" si="71"/>
        <v>11.96</v>
      </c>
      <c r="AE58" s="345">
        <f t="shared" si="71"/>
        <v>11.96</v>
      </c>
      <c r="AF58" s="345">
        <f t="shared" si="71"/>
        <v>11.96</v>
      </c>
      <c r="AG58" s="345">
        <f t="shared" ref="AG58:AL58" si="72">299/AG62*10^3</f>
        <v>11.96</v>
      </c>
      <c r="AH58" s="345">
        <f t="shared" si="72"/>
        <v>11.96</v>
      </c>
      <c r="AI58" s="345">
        <f t="shared" si="72"/>
        <v>11.96</v>
      </c>
      <c r="AJ58" s="345">
        <f t="shared" si="72"/>
        <v>11.96</v>
      </c>
      <c r="AK58" s="345">
        <f t="shared" si="72"/>
        <v>11.96</v>
      </c>
      <c r="AL58" s="346">
        <f t="shared" si="72"/>
        <v>11.96</v>
      </c>
      <c r="AM58" s="344"/>
      <c r="AN58" s="345"/>
      <c r="AO58" s="345"/>
      <c r="AP58" s="345"/>
      <c r="AQ58" s="345"/>
      <c r="AR58" s="345"/>
      <c r="AS58" s="345"/>
      <c r="AT58" s="345"/>
      <c r="AU58" s="345"/>
      <c r="AV58" s="345"/>
      <c r="AW58" s="345"/>
      <c r="AX58" s="346"/>
    </row>
    <row r="59" spans="1:50" s="340" customFormat="1" outlineLevel="1" x14ac:dyDescent="0.3">
      <c r="A59" s="340" t="s">
        <v>63</v>
      </c>
      <c r="B59" s="340" t="s">
        <v>15</v>
      </c>
      <c r="F59" s="341" t="s">
        <v>445</v>
      </c>
      <c r="G59" s="342"/>
      <c r="H59" s="342" t="s">
        <v>40</v>
      </c>
      <c r="I59" s="342" t="s">
        <v>57</v>
      </c>
      <c r="J59" s="362"/>
      <c r="K59" s="343"/>
      <c r="L59" s="342"/>
      <c r="M59" s="342"/>
      <c r="N59" s="342"/>
      <c r="O59" s="345">
        <f>3295/O62*10^3</f>
        <v>134.48979591836735</v>
      </c>
      <c r="P59" s="345">
        <f t="shared" ref="P59:Z59" si="73">3295/P62*10^3</f>
        <v>134.48979591836735</v>
      </c>
      <c r="Q59" s="345">
        <f t="shared" si="73"/>
        <v>134.48979591836735</v>
      </c>
      <c r="R59" s="345">
        <f t="shared" si="73"/>
        <v>134.48979591836735</v>
      </c>
      <c r="S59" s="345">
        <f t="shared" si="73"/>
        <v>134.48979591836735</v>
      </c>
      <c r="T59" s="345">
        <f t="shared" si="73"/>
        <v>134.48979591836735</v>
      </c>
      <c r="U59" s="345">
        <f t="shared" si="73"/>
        <v>131.80000000000001</v>
      </c>
      <c r="V59" s="345">
        <f t="shared" si="73"/>
        <v>131.80000000000001</v>
      </c>
      <c r="W59" s="345">
        <f t="shared" si="73"/>
        <v>131.80000000000001</v>
      </c>
      <c r="X59" s="345">
        <f t="shared" si="73"/>
        <v>131.80000000000001</v>
      </c>
      <c r="Y59" s="345">
        <f t="shared" si="73"/>
        <v>131.80000000000001</v>
      </c>
      <c r="Z59" s="346">
        <f t="shared" si="73"/>
        <v>131.80000000000001</v>
      </c>
      <c r="AA59" s="344">
        <f t="shared" ref="AA59:AF59" si="74">3295/AA62*10^3</f>
        <v>131.80000000000001</v>
      </c>
      <c r="AB59" s="345">
        <f t="shared" si="74"/>
        <v>131.80000000000001</v>
      </c>
      <c r="AC59" s="345">
        <f t="shared" si="74"/>
        <v>131.80000000000001</v>
      </c>
      <c r="AD59" s="345">
        <f t="shared" si="74"/>
        <v>131.80000000000001</v>
      </c>
      <c r="AE59" s="345">
        <f t="shared" si="74"/>
        <v>131.80000000000001</v>
      </c>
      <c r="AF59" s="345">
        <f t="shared" si="74"/>
        <v>131.80000000000001</v>
      </c>
      <c r="AG59" s="345">
        <f t="shared" ref="AG59:AL59" si="75">3295/AG62*10^3</f>
        <v>131.80000000000001</v>
      </c>
      <c r="AH59" s="345">
        <f t="shared" si="75"/>
        <v>131.80000000000001</v>
      </c>
      <c r="AI59" s="345">
        <f t="shared" si="75"/>
        <v>131.80000000000001</v>
      </c>
      <c r="AJ59" s="345">
        <f t="shared" si="75"/>
        <v>131.80000000000001</v>
      </c>
      <c r="AK59" s="345">
        <f t="shared" si="75"/>
        <v>131.80000000000001</v>
      </c>
      <c r="AL59" s="346">
        <f t="shared" si="75"/>
        <v>131.80000000000001</v>
      </c>
      <c r="AM59" s="344"/>
      <c r="AN59" s="345"/>
      <c r="AO59" s="345"/>
      <c r="AP59" s="345"/>
      <c r="AQ59" s="345"/>
      <c r="AR59" s="345"/>
      <c r="AS59" s="345"/>
      <c r="AT59" s="345"/>
      <c r="AU59" s="345"/>
      <c r="AV59" s="345"/>
      <c r="AW59" s="345"/>
      <c r="AX59" s="346"/>
    </row>
    <row r="60" spans="1:50" s="340" customFormat="1" outlineLevel="1" x14ac:dyDescent="0.3">
      <c r="A60" s="340" t="s">
        <v>63</v>
      </c>
      <c r="B60" s="340" t="s">
        <v>15</v>
      </c>
      <c r="F60" s="341" t="s">
        <v>446</v>
      </c>
      <c r="G60" s="342"/>
      <c r="H60" s="342" t="s">
        <v>40</v>
      </c>
      <c r="I60" s="342" t="s">
        <v>58</v>
      </c>
      <c r="J60" s="362"/>
      <c r="K60" s="343"/>
      <c r="L60" s="342"/>
      <c r="M60" s="342"/>
      <c r="N60" s="342"/>
      <c r="O60" s="345">
        <f t="shared" ref="O60:AE60" si="76">8%/12*SUM(O55:O59)</f>
        <v>9.3163809523809533</v>
      </c>
      <c r="P60" s="345">
        <f t="shared" si="76"/>
        <v>9.3163809523809533</v>
      </c>
      <c r="Q60" s="345">
        <f t="shared" si="76"/>
        <v>9.3163809523809533</v>
      </c>
      <c r="R60" s="345">
        <f t="shared" si="76"/>
        <v>9.3163809523809533</v>
      </c>
      <c r="S60" s="345">
        <f t="shared" si="76"/>
        <v>9.3163809523809533</v>
      </c>
      <c r="T60" s="345">
        <f t="shared" si="76"/>
        <v>9.3163809523809533</v>
      </c>
      <c r="U60" s="345">
        <f t="shared" si="76"/>
        <v>9.1300533333333345</v>
      </c>
      <c r="V60" s="345">
        <f t="shared" si="76"/>
        <v>9.1300533333333345</v>
      </c>
      <c r="W60" s="345">
        <f t="shared" si="76"/>
        <v>9.1300533333333345</v>
      </c>
      <c r="X60" s="345">
        <f t="shared" si="76"/>
        <v>9.1300533333333345</v>
      </c>
      <c r="Y60" s="345">
        <f t="shared" si="76"/>
        <v>9.1300533333333345</v>
      </c>
      <c r="Z60" s="346">
        <f t="shared" si="76"/>
        <v>9.1300533333333345</v>
      </c>
      <c r="AA60" s="344">
        <f t="shared" si="76"/>
        <v>9.1300533333333345</v>
      </c>
      <c r="AB60" s="345">
        <f t="shared" si="76"/>
        <v>9.1300533333333345</v>
      </c>
      <c r="AC60" s="345">
        <f t="shared" si="76"/>
        <v>9.1300533333333345</v>
      </c>
      <c r="AD60" s="345">
        <f t="shared" si="76"/>
        <v>9.2830821893333333</v>
      </c>
      <c r="AE60" s="345">
        <f t="shared" si="76"/>
        <v>9.2830821893333333</v>
      </c>
      <c r="AF60" s="345">
        <f t="shared" ref="AF60:AL60" si="77">8%/12*SUM(AF55:AF59)</f>
        <v>9.2830821893333333</v>
      </c>
      <c r="AG60" s="345">
        <f t="shared" si="77"/>
        <v>9.2830821893333333</v>
      </c>
      <c r="AH60" s="345">
        <f t="shared" si="77"/>
        <v>9.2830821893333333</v>
      </c>
      <c r="AI60" s="345">
        <f t="shared" si="77"/>
        <v>9.2830821893333333</v>
      </c>
      <c r="AJ60" s="345">
        <f t="shared" si="77"/>
        <v>9.2830821893333333</v>
      </c>
      <c r="AK60" s="345">
        <f t="shared" si="77"/>
        <v>9.2830821893333333</v>
      </c>
      <c r="AL60" s="346">
        <f t="shared" si="77"/>
        <v>9.2830821893333333</v>
      </c>
      <c r="AM60" s="344"/>
      <c r="AN60" s="345"/>
      <c r="AO60" s="345"/>
      <c r="AP60" s="345"/>
      <c r="AQ60" s="345"/>
      <c r="AR60" s="345"/>
      <c r="AS60" s="345"/>
      <c r="AT60" s="345"/>
      <c r="AU60" s="345"/>
      <c r="AV60" s="345"/>
      <c r="AW60" s="345"/>
      <c r="AX60" s="346"/>
    </row>
    <row r="61" spans="1:50" s="340" customFormat="1" outlineLevel="1" x14ac:dyDescent="0.3">
      <c r="A61" s="340" t="s">
        <v>63</v>
      </c>
      <c r="B61" s="340" t="s">
        <v>15</v>
      </c>
      <c r="F61" s="341" t="s">
        <v>447</v>
      </c>
      <c r="G61" s="342"/>
      <c r="H61" s="342" t="s">
        <v>40</v>
      </c>
      <c r="I61" s="342" t="s">
        <v>52</v>
      </c>
      <c r="J61" s="362"/>
      <c r="K61" s="343"/>
      <c r="L61" s="342"/>
      <c r="M61" s="342"/>
      <c r="N61" s="342"/>
      <c r="O61" s="345">
        <v>-80</v>
      </c>
      <c r="P61" s="345">
        <v>-80</v>
      </c>
      <c r="Q61" s="345">
        <v>-80</v>
      </c>
      <c r="R61" s="345">
        <v>-80</v>
      </c>
      <c r="S61" s="345">
        <v>-80</v>
      </c>
      <c r="T61" s="345">
        <v>-80</v>
      </c>
      <c r="U61" s="345">
        <v>-80</v>
      </c>
      <c r="V61" s="345">
        <v>-80</v>
      </c>
      <c r="W61" s="345">
        <v>-80</v>
      </c>
      <c r="X61" s="345">
        <v>-80</v>
      </c>
      <c r="Y61" s="345">
        <v>-80</v>
      </c>
      <c r="Z61" s="346">
        <v>-80</v>
      </c>
      <c r="AA61" s="344">
        <v>-80</v>
      </c>
      <c r="AB61" s="345">
        <v>-80</v>
      </c>
      <c r="AC61" s="345">
        <v>-80</v>
      </c>
      <c r="AD61" s="345">
        <v>-150</v>
      </c>
      <c r="AE61" s="345">
        <v>-150</v>
      </c>
      <c r="AF61" s="345">
        <v>-150</v>
      </c>
      <c r="AG61" s="345">
        <v>-120</v>
      </c>
      <c r="AH61" s="345">
        <v>-120</v>
      </c>
      <c r="AI61" s="345">
        <v>-120</v>
      </c>
      <c r="AJ61" s="345">
        <v>-120</v>
      </c>
      <c r="AK61" s="345">
        <v>-120</v>
      </c>
      <c r="AL61" s="346">
        <v>-120</v>
      </c>
      <c r="AM61" s="344"/>
      <c r="AN61" s="345"/>
      <c r="AO61" s="345"/>
      <c r="AP61" s="345"/>
      <c r="AQ61" s="345"/>
      <c r="AR61" s="345"/>
      <c r="AS61" s="345"/>
      <c r="AT61" s="345"/>
      <c r="AU61" s="345"/>
      <c r="AV61" s="345"/>
      <c r="AW61" s="345"/>
      <c r="AX61" s="346"/>
    </row>
    <row r="62" spans="1:50" s="234" customFormat="1" x14ac:dyDescent="0.3">
      <c r="A62" s="234" t="s">
        <v>63</v>
      </c>
      <c r="B62" s="234" t="s">
        <v>15</v>
      </c>
      <c r="F62" s="244"/>
      <c r="G62" s="235"/>
      <c r="H62" s="235"/>
      <c r="I62" s="235"/>
      <c r="J62" s="369" t="s">
        <v>59</v>
      </c>
      <c r="K62" s="236"/>
      <c r="L62" s="235"/>
      <c r="M62" s="235"/>
      <c r="N62" s="235"/>
      <c r="O62" s="238">
        <v>24500</v>
      </c>
      <c r="P62" s="238">
        <v>24500</v>
      </c>
      <c r="Q62" s="238">
        <v>24500</v>
      </c>
      <c r="R62" s="238">
        <v>24500</v>
      </c>
      <c r="S62" s="238">
        <v>24500</v>
      </c>
      <c r="T62" s="238">
        <v>24500</v>
      </c>
      <c r="U62" s="238">
        <v>25000</v>
      </c>
      <c r="V62" s="238">
        <v>25000</v>
      </c>
      <c r="W62" s="238">
        <v>25000</v>
      </c>
      <c r="X62" s="238">
        <v>25000</v>
      </c>
      <c r="Y62" s="238">
        <v>25000</v>
      </c>
      <c r="Z62" s="239">
        <v>25000</v>
      </c>
      <c r="AA62" s="237">
        <v>25000</v>
      </c>
      <c r="AB62" s="238">
        <v>25000</v>
      </c>
      <c r="AC62" s="238">
        <v>25000</v>
      </c>
      <c r="AD62" s="238">
        <v>25000</v>
      </c>
      <c r="AE62" s="238">
        <v>25000</v>
      </c>
      <c r="AF62" s="238">
        <v>25000</v>
      </c>
      <c r="AG62" s="238">
        <v>25000</v>
      </c>
      <c r="AH62" s="238">
        <v>25000</v>
      </c>
      <c r="AI62" s="238">
        <v>25000</v>
      </c>
      <c r="AJ62" s="238">
        <v>25000</v>
      </c>
      <c r="AK62" s="238">
        <v>25000</v>
      </c>
      <c r="AL62" s="239">
        <v>25000</v>
      </c>
      <c r="AM62" s="237"/>
      <c r="AN62" s="238"/>
      <c r="AO62" s="238"/>
      <c r="AP62" s="238"/>
      <c r="AQ62" s="238"/>
      <c r="AR62" s="238"/>
      <c r="AS62" s="238"/>
      <c r="AT62" s="238"/>
      <c r="AU62" s="238"/>
      <c r="AV62" s="238"/>
      <c r="AW62" s="238"/>
      <c r="AX62" s="239"/>
    </row>
    <row r="63" spans="1:50" s="234" customFormat="1" x14ac:dyDescent="0.3">
      <c r="A63" s="234" t="s">
        <v>63</v>
      </c>
      <c r="B63" s="234" t="s">
        <v>15</v>
      </c>
      <c r="F63" s="244"/>
      <c r="G63" s="235"/>
      <c r="H63" s="235"/>
      <c r="I63" s="235"/>
      <c r="J63" s="369" t="s">
        <v>60</v>
      </c>
      <c r="K63" s="236"/>
      <c r="L63" s="235"/>
      <c r="M63" s="235"/>
      <c r="N63" s="235"/>
      <c r="O63" s="241">
        <v>0.3</v>
      </c>
      <c r="P63" s="241">
        <v>0.3</v>
      </c>
      <c r="Q63" s="241">
        <v>0.3</v>
      </c>
      <c r="R63" s="241">
        <v>0.3</v>
      </c>
      <c r="S63" s="241">
        <v>0.3</v>
      </c>
      <c r="T63" s="241">
        <v>0.3</v>
      </c>
      <c r="U63" s="241">
        <v>0.3</v>
      </c>
      <c r="V63" s="241">
        <v>0.3</v>
      </c>
      <c r="W63" s="241">
        <v>0.3</v>
      </c>
      <c r="X63" s="241">
        <v>0.3</v>
      </c>
      <c r="Y63" s="241">
        <v>0.3</v>
      </c>
      <c r="Z63" s="242">
        <v>0.3</v>
      </c>
      <c r="AA63" s="240">
        <v>0.3</v>
      </c>
      <c r="AB63" s="241">
        <v>0.3</v>
      </c>
      <c r="AC63" s="241">
        <v>0.3</v>
      </c>
      <c r="AD63" s="241">
        <v>0.3</v>
      </c>
      <c r="AE63" s="241">
        <v>0.3</v>
      </c>
      <c r="AF63" s="241">
        <v>0.3</v>
      </c>
      <c r="AG63" s="241">
        <v>0.3</v>
      </c>
      <c r="AH63" s="241">
        <v>0.3</v>
      </c>
      <c r="AI63" s="241">
        <v>0.3</v>
      </c>
      <c r="AJ63" s="241">
        <v>0.3</v>
      </c>
      <c r="AK63" s="241">
        <v>0.3</v>
      </c>
      <c r="AL63" s="242">
        <v>0.3</v>
      </c>
      <c r="AM63" s="240"/>
      <c r="AN63" s="241"/>
      <c r="AO63" s="241"/>
      <c r="AP63" s="241"/>
      <c r="AQ63" s="241"/>
      <c r="AR63" s="241"/>
      <c r="AS63" s="241"/>
      <c r="AT63" s="241"/>
      <c r="AU63" s="241"/>
      <c r="AV63" s="241"/>
      <c r="AW63" s="241"/>
      <c r="AX63" s="242"/>
    </row>
    <row r="64" spans="1:50" s="94" customFormat="1" outlineLevel="1" x14ac:dyDescent="0.3">
      <c r="A64" s="94" t="s">
        <v>63</v>
      </c>
      <c r="B64" s="94" t="s">
        <v>15</v>
      </c>
      <c r="D64" s="95" t="s">
        <v>161</v>
      </c>
      <c r="F64" s="223" t="s">
        <v>305</v>
      </c>
      <c r="G64" s="224"/>
      <c r="H64" s="224"/>
      <c r="I64" s="224" t="s">
        <v>8</v>
      </c>
      <c r="J64" s="370"/>
      <c r="K64" s="2"/>
      <c r="L64" s="224"/>
      <c r="M64" s="224"/>
      <c r="N64" s="224"/>
      <c r="O64" s="226">
        <f>O54-O58</f>
        <v>1307.795918367347</v>
      </c>
      <c r="P64" s="226">
        <f t="shared" ref="P64:AL64" si="78">P54-P58</f>
        <v>1307.795918367347</v>
      </c>
      <c r="Q64" s="226">
        <f t="shared" si="78"/>
        <v>1307.795918367347</v>
      </c>
      <c r="R64" s="226">
        <f t="shared" si="78"/>
        <v>1307.795918367347</v>
      </c>
      <c r="S64" s="226">
        <f t="shared" si="78"/>
        <v>1307.795918367347</v>
      </c>
      <c r="T64" s="226">
        <f t="shared" si="78"/>
        <v>1307.795918367347</v>
      </c>
      <c r="U64" s="226">
        <f t="shared" si="78"/>
        <v>1308.04</v>
      </c>
      <c r="V64" s="226">
        <f t="shared" si="78"/>
        <v>1308.04</v>
      </c>
      <c r="W64" s="226">
        <f t="shared" si="78"/>
        <v>1308.04</v>
      </c>
      <c r="X64" s="226">
        <f t="shared" si="78"/>
        <v>1288.04</v>
      </c>
      <c r="Y64" s="226">
        <f t="shared" si="78"/>
        <v>1288.04</v>
      </c>
      <c r="Z64" s="227">
        <f t="shared" si="78"/>
        <v>1288.04</v>
      </c>
      <c r="AA64" s="226">
        <f t="shared" si="78"/>
        <v>1288.04</v>
      </c>
      <c r="AB64" s="226">
        <f t="shared" si="78"/>
        <v>1288.04</v>
      </c>
      <c r="AC64" s="226">
        <f t="shared" si="78"/>
        <v>1288.04</v>
      </c>
      <c r="AD64" s="226">
        <f t="shared" si="78"/>
        <v>1238.04</v>
      </c>
      <c r="AE64" s="226">
        <f t="shared" si="78"/>
        <v>1238.04</v>
      </c>
      <c r="AF64" s="226">
        <f t="shared" si="78"/>
        <v>1238.04</v>
      </c>
      <c r="AG64" s="226">
        <f t="shared" si="78"/>
        <v>1268.04</v>
      </c>
      <c r="AH64" s="226">
        <f t="shared" si="78"/>
        <v>1268.04</v>
      </c>
      <c r="AI64" s="226">
        <f t="shared" si="78"/>
        <v>1268.04</v>
      </c>
      <c r="AJ64" s="226">
        <f t="shared" si="78"/>
        <v>1268.04</v>
      </c>
      <c r="AK64" s="226">
        <f t="shared" si="78"/>
        <v>1268.04</v>
      </c>
      <c r="AL64" s="227">
        <f t="shared" si="78"/>
        <v>1268.04</v>
      </c>
      <c r="AM64" s="226">
        <f>AM54-AM65</f>
        <v>1245</v>
      </c>
      <c r="AN64" s="226">
        <f t="shared" ref="AN64:AP64" si="79">AN54-AN65</f>
        <v>1245</v>
      </c>
      <c r="AO64" s="226">
        <f t="shared" si="79"/>
        <v>1245</v>
      </c>
      <c r="AP64" s="226">
        <f t="shared" si="79"/>
        <v>1185</v>
      </c>
      <c r="AQ64" s="226">
        <f t="shared" ref="AQ64" si="80">AQ54-AQ65</f>
        <v>1185</v>
      </c>
      <c r="AR64" s="226">
        <f t="shared" ref="AR64" si="81">AR54-AR65</f>
        <v>1185</v>
      </c>
      <c r="AS64" s="226">
        <f t="shared" ref="AS64" si="82">AS54-AS65</f>
        <v>1185</v>
      </c>
      <c r="AT64" s="226">
        <f t="shared" ref="AT64" si="83">AT54-AT65</f>
        <v>1185</v>
      </c>
      <c r="AU64" s="226">
        <f t="shared" ref="AU64" si="84">AU54-AU65</f>
        <v>1185</v>
      </c>
      <c r="AV64" s="226">
        <f t="shared" ref="AV64" si="85">AV54-AV65</f>
        <v>1185</v>
      </c>
      <c r="AW64" s="226">
        <f t="shared" ref="AW64" si="86">AW54-AW65</f>
        <v>1185</v>
      </c>
      <c r="AX64" s="227">
        <f t="shared" ref="AX64" si="87">AX54-AX65</f>
        <v>1185</v>
      </c>
    </row>
    <row r="65" spans="1:50" s="181" customFormat="1" outlineLevel="1" x14ac:dyDescent="0.3">
      <c r="A65" s="400"/>
      <c r="F65" s="219" t="s">
        <v>306</v>
      </c>
      <c r="G65" s="188"/>
      <c r="H65" s="188"/>
      <c r="I65" s="188" t="s">
        <v>49</v>
      </c>
      <c r="J65" s="365"/>
      <c r="K65" s="182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9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9"/>
      <c r="AM65" s="207">
        <v>5</v>
      </c>
      <c r="AN65" s="207">
        <v>5</v>
      </c>
      <c r="AO65" s="207">
        <v>5</v>
      </c>
      <c r="AP65" s="207">
        <v>6</v>
      </c>
      <c r="AQ65" s="207">
        <v>6</v>
      </c>
      <c r="AR65" s="207">
        <v>6</v>
      </c>
      <c r="AS65" s="207">
        <v>6</v>
      </c>
      <c r="AT65" s="207">
        <v>6</v>
      </c>
      <c r="AU65" s="207">
        <v>6</v>
      </c>
      <c r="AV65" s="207">
        <v>6</v>
      </c>
      <c r="AW65" s="207">
        <v>6</v>
      </c>
      <c r="AX65" s="209">
        <v>6</v>
      </c>
    </row>
    <row r="66" spans="1:50" s="185" customFormat="1" outlineLevel="1" x14ac:dyDescent="0.3">
      <c r="A66" s="185" t="s">
        <v>63</v>
      </c>
      <c r="B66" s="185" t="s">
        <v>15</v>
      </c>
      <c r="F66" s="222" t="s">
        <v>307</v>
      </c>
      <c r="G66" s="190"/>
      <c r="H66" s="190"/>
      <c r="I66" s="190"/>
      <c r="J66" s="368" t="s">
        <v>202</v>
      </c>
      <c r="K66" s="186"/>
      <c r="L66" s="199"/>
      <c r="M66" s="199"/>
      <c r="N66" s="199"/>
      <c r="O66" s="310" cm="1">
        <f t="array" ref="O66">SUMPRODUCT(General_Data*(Year=O$3)*(Month=O$4)*(Code_General_Data=$B66))</f>
        <v>1250</v>
      </c>
      <c r="P66" s="310" cm="1">
        <f t="array" ref="P66">SUMPRODUCT(General_Data*(Year=P$3)*(Month=P$4)*(Code_General_Data=$B66))</f>
        <v>1250</v>
      </c>
      <c r="Q66" s="310" cm="1">
        <f t="array" ref="Q66">SUMPRODUCT(General_Data*(Year=Q$3)*(Month=Q$4)*(Code_General_Data=$B66))</f>
        <v>1250</v>
      </c>
      <c r="R66" s="310" cm="1">
        <f t="array" ref="R66">SUMPRODUCT(General_Data*(Year=R$3)*(Month=R$4)*(Code_General_Data=$B66))</f>
        <v>1250</v>
      </c>
      <c r="S66" s="310" cm="1">
        <f t="array" ref="S66">SUMPRODUCT(General_Data*(Year=S$3)*(Month=S$4)*(Code_General_Data=$B66))</f>
        <v>1300</v>
      </c>
      <c r="T66" s="310" cm="1">
        <f t="array" ref="T66">SUMPRODUCT(General_Data*(Year=T$3)*(Month=T$4)*(Code_General_Data=$B66))</f>
        <v>1300</v>
      </c>
      <c r="U66" s="310" cm="1">
        <f t="array" ref="U66">SUMPRODUCT(General_Data*(Year=U$3)*(Month=U$4)*(Code_General_Data=$B66))</f>
        <v>1300</v>
      </c>
      <c r="V66" s="310" cm="1">
        <f t="array" ref="V66">SUMPRODUCT(General_Data*(Year=V$3)*(Month=V$4)*(Code_General_Data=$B66))</f>
        <v>1300</v>
      </c>
      <c r="W66" s="310" cm="1">
        <f t="array" ref="W66">SUMPRODUCT(General_Data*(Year=W$3)*(Month=W$4)*(Code_General_Data=$B66))</f>
        <v>1310</v>
      </c>
      <c r="X66" s="310" cm="1">
        <f t="array" ref="X66">SUMPRODUCT(General_Data*(Year=X$3)*(Month=X$4)*(Code_General_Data=$B66))</f>
        <v>1325</v>
      </c>
      <c r="Y66" s="310" cm="1">
        <f t="array" ref="Y66">SUMPRODUCT(General_Data*(Year=Y$3)*(Month=Y$4)*(Code_General_Data=$B66))</f>
        <v>1325</v>
      </c>
      <c r="Z66" s="311" cm="1">
        <f t="array" ref="Z66">SUMPRODUCT(General_Data*(Year=Z$3)*(Month=Z$4)*(Code_General_Data=$B66))</f>
        <v>1275</v>
      </c>
      <c r="AA66" s="310" cm="1">
        <f t="array" ref="AA66">SUMPRODUCT(General_Data*(Year=AA$3)*(Month=AA$4)*(Code_General_Data=$B66))</f>
        <v>1230</v>
      </c>
      <c r="AB66" s="310" cm="1">
        <f t="array" ref="AB66">SUMPRODUCT(General_Data*(Year=AB$3)*(Month=AB$4)*(Code_General_Data=$B66))</f>
        <v>1230</v>
      </c>
      <c r="AC66" s="310" cm="1">
        <f t="array" ref="AC66">SUMPRODUCT(General_Data*(Year=AC$3)*(Month=AC$4)*(Code_General_Data=$B66))</f>
        <v>1230</v>
      </c>
      <c r="AD66" s="310" cm="1">
        <f t="array" ref="AD66">SUMPRODUCT(General_Data*(Year=AD$3)*(Month=AD$4)*(Code_General_Data=$B66))</f>
        <v>1250</v>
      </c>
      <c r="AE66" s="310" cm="1">
        <f t="array" ref="AE66">SUMPRODUCT(General_Data*(Year=AE$3)*(Month=AE$4)*(Code_General_Data=$B66))</f>
        <v>1250</v>
      </c>
      <c r="AF66" s="310" cm="1">
        <f t="array" ref="AF66">SUMPRODUCT(General_Data*(Year=AF$3)*(Month=AF$4)*(Code_General_Data=$B66))</f>
        <v>1250</v>
      </c>
      <c r="AG66" s="310" cm="1">
        <f t="array" ref="AG66">SUMPRODUCT(General_Data*(Year=AG$3)*(Month=AG$4)*(Code_General_Data=$B66))</f>
        <v>1250</v>
      </c>
      <c r="AH66" s="310" cm="1">
        <f t="array" ref="AH66">SUMPRODUCT(General_Data*(Year=AH$3)*(Month=AH$4)*(Code_General_Data=$B66))</f>
        <v>1220</v>
      </c>
      <c r="AI66" s="310" cm="1">
        <f t="array" ref="AI66">SUMPRODUCT(General_Data*(Year=AI$3)*(Month=AI$4)*(Code_General_Data=$B66))</f>
        <v>1220</v>
      </c>
      <c r="AJ66" s="310" cm="1">
        <f t="array" ref="AJ66">SUMPRODUCT(General_Data*(Year=AJ$3)*(Month=AJ$4)*(Code_General_Data=$B66))</f>
        <v>1210</v>
      </c>
      <c r="AK66" s="310" cm="1">
        <f t="array" ref="AK66">SUMPRODUCT(General_Data*(Year=AK$3)*(Month=AK$4)*(Code_General_Data=$B66))</f>
        <v>1200</v>
      </c>
      <c r="AL66" s="311" cm="1">
        <f t="array" ref="AL66">SUMPRODUCT(General_Data*(Year=AL$3)*(Month=AL$4)*(Code_General_Data=$B66))</f>
        <v>1200</v>
      </c>
      <c r="AM66" s="310" cm="1">
        <f t="array" ref="AM66">SUMPRODUCT(General_Data*(Year=AM$3)*(Month=AM$4)*(Code_General_Data=$B66))</f>
        <v>1160</v>
      </c>
      <c r="AN66" s="310" cm="1">
        <f t="array" ref="AN66">SUMPRODUCT(General_Data*(Year=AN$3)*(Month=AN$4)*(Code_General_Data=$B66))</f>
        <v>1160</v>
      </c>
      <c r="AO66" s="310" cm="1">
        <f t="array" ref="AO66">SUMPRODUCT(General_Data*(Year=AO$3)*(Month=AO$4)*(Code_General_Data=$B66))</f>
        <v>1160</v>
      </c>
      <c r="AP66" s="310" cm="1">
        <f t="array" ref="AP66">SUMPRODUCT(General_Data*(Year=AP$3)*(Month=AP$4)*(Code_General_Data=$B66))</f>
        <v>1280</v>
      </c>
      <c r="AQ66" s="310" cm="1">
        <f t="array" ref="AQ66">SUMPRODUCT(General_Data*(Year=AQ$3)*(Month=AQ$4)*(Code_General_Data=$B66))</f>
        <v>1380</v>
      </c>
      <c r="AR66" s="310" cm="1">
        <f t="array" ref="AR66">SUMPRODUCT(General_Data*(Year=AR$3)*(Month=AR$4)*(Code_General_Data=$B66))</f>
        <v>1350</v>
      </c>
      <c r="AS66" s="310"/>
      <c r="AT66" s="310"/>
      <c r="AU66" s="310"/>
      <c r="AV66" s="310"/>
      <c r="AW66" s="310"/>
      <c r="AX66" s="311"/>
    </row>
    <row r="67" spans="1:50" s="185" customFormat="1" x14ac:dyDescent="0.3">
      <c r="F67" s="307"/>
      <c r="G67" s="186"/>
      <c r="H67" s="186"/>
      <c r="I67" s="186"/>
      <c r="J67" s="371"/>
      <c r="K67" s="186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9"/>
      <c r="AA67" s="308"/>
      <c r="AB67" s="308"/>
      <c r="AC67" s="308"/>
      <c r="AD67" s="308"/>
      <c r="AE67" s="308"/>
      <c r="AF67" s="308"/>
      <c r="AG67" s="308"/>
      <c r="AH67" s="308"/>
      <c r="AI67" s="308"/>
      <c r="AJ67" s="308"/>
      <c r="AK67" s="308"/>
      <c r="AL67" s="309"/>
      <c r="AM67" s="308"/>
      <c r="AN67" s="308"/>
      <c r="AO67" s="308"/>
      <c r="AP67" s="308"/>
      <c r="AQ67" s="308"/>
      <c r="AR67" s="308"/>
      <c r="AS67" s="308"/>
      <c r="AT67" s="308"/>
      <c r="AU67" s="308"/>
      <c r="AV67" s="308"/>
      <c r="AW67" s="308"/>
      <c r="AX67" s="309"/>
    </row>
    <row r="68" spans="1:50" s="325" customFormat="1" ht="15.6" x14ac:dyDescent="0.3">
      <c r="A68" s="325" t="s">
        <v>63</v>
      </c>
      <c r="B68" s="325" t="s">
        <v>24</v>
      </c>
      <c r="D68" s="325" t="s">
        <v>321</v>
      </c>
      <c r="F68" s="326">
        <v>4.2</v>
      </c>
      <c r="G68" s="327"/>
      <c r="H68" s="327" t="s">
        <v>208</v>
      </c>
      <c r="I68" s="327"/>
      <c r="J68" s="361"/>
      <c r="L68" s="327"/>
      <c r="M68" s="327"/>
      <c r="N68" s="327"/>
      <c r="O68" s="329">
        <f>ROUND(SUM(O69:O75),-1)</f>
        <v>1500</v>
      </c>
      <c r="P68" s="329">
        <f>ROUND(SUM(P69:P75),-1)</f>
        <v>1500</v>
      </c>
      <c r="Q68" s="329">
        <f>ROUND(SUM(Q69:Q75),-1)</f>
        <v>1500</v>
      </c>
      <c r="R68" s="329">
        <f t="shared" ref="R68:AL68" si="88">ROUND(SUM(R69:R75),-1)</f>
        <v>1430</v>
      </c>
      <c r="S68" s="329">
        <f t="shared" si="88"/>
        <v>1430</v>
      </c>
      <c r="T68" s="329">
        <f t="shared" si="88"/>
        <v>1430</v>
      </c>
      <c r="U68" s="329">
        <f t="shared" si="88"/>
        <v>1430</v>
      </c>
      <c r="V68" s="329">
        <f t="shared" si="88"/>
        <v>1430</v>
      </c>
      <c r="W68" s="329">
        <f t="shared" si="88"/>
        <v>1430</v>
      </c>
      <c r="X68" s="329">
        <f t="shared" si="88"/>
        <v>1430</v>
      </c>
      <c r="Y68" s="329">
        <f t="shared" si="88"/>
        <v>1430</v>
      </c>
      <c r="Z68" s="330">
        <f t="shared" si="88"/>
        <v>1430</v>
      </c>
      <c r="AA68" s="328">
        <f t="shared" si="88"/>
        <v>1400</v>
      </c>
      <c r="AB68" s="329">
        <f t="shared" si="88"/>
        <v>1400</v>
      </c>
      <c r="AC68" s="329">
        <f t="shared" si="88"/>
        <v>1400</v>
      </c>
      <c r="AD68" s="329">
        <f t="shared" si="88"/>
        <v>1350</v>
      </c>
      <c r="AE68" s="329">
        <f t="shared" si="88"/>
        <v>1350</v>
      </c>
      <c r="AF68" s="329">
        <f t="shared" si="88"/>
        <v>1350</v>
      </c>
      <c r="AG68" s="329">
        <f t="shared" si="88"/>
        <v>1380</v>
      </c>
      <c r="AH68" s="329">
        <f t="shared" si="88"/>
        <v>1380</v>
      </c>
      <c r="AI68" s="329">
        <f t="shared" si="88"/>
        <v>1380</v>
      </c>
      <c r="AJ68" s="329">
        <f t="shared" si="88"/>
        <v>1380</v>
      </c>
      <c r="AK68" s="329">
        <f t="shared" si="88"/>
        <v>1380</v>
      </c>
      <c r="AL68" s="330">
        <f t="shared" si="88"/>
        <v>1380</v>
      </c>
      <c r="AM68" s="328">
        <v>1330</v>
      </c>
      <c r="AN68" s="329">
        <v>1330</v>
      </c>
      <c r="AO68" s="329">
        <v>1330</v>
      </c>
      <c r="AP68" s="329">
        <v>1272</v>
      </c>
      <c r="AQ68" s="329">
        <v>1272</v>
      </c>
      <c r="AR68" s="329">
        <v>1272</v>
      </c>
      <c r="AS68" s="329">
        <v>1272</v>
      </c>
      <c r="AT68" s="329">
        <v>1272</v>
      </c>
      <c r="AU68" s="329">
        <v>1272</v>
      </c>
      <c r="AV68" s="329">
        <v>1272</v>
      </c>
      <c r="AW68" s="329">
        <v>1272</v>
      </c>
      <c r="AX68" s="330">
        <v>1272</v>
      </c>
    </row>
    <row r="69" spans="1:50" s="340" customFormat="1" outlineLevel="1" x14ac:dyDescent="0.3">
      <c r="A69" s="340" t="s">
        <v>63</v>
      </c>
      <c r="B69" s="340" t="s">
        <v>24</v>
      </c>
      <c r="F69" s="341" t="s">
        <v>358</v>
      </c>
      <c r="G69" s="342"/>
      <c r="H69" s="342" t="s">
        <v>40</v>
      </c>
      <c r="I69" s="342" t="s">
        <v>54</v>
      </c>
      <c r="J69" s="362"/>
      <c r="K69" s="343"/>
      <c r="L69" s="342"/>
      <c r="M69" s="342"/>
      <c r="N69" s="342"/>
      <c r="O69" s="345">
        <f>22500/O76*10^3</f>
        <v>918.36734693877554</v>
      </c>
      <c r="P69" s="345">
        <f>22500/P76*10^3</f>
        <v>918.36734693877554</v>
      </c>
      <c r="Q69" s="345">
        <f>22500/Q76*10^3</f>
        <v>918.36734693877554</v>
      </c>
      <c r="R69" s="345">
        <f t="shared" ref="R69:Z69" si="89">21000/R76*10^3</f>
        <v>857.14285714285711</v>
      </c>
      <c r="S69" s="345">
        <f t="shared" si="89"/>
        <v>857.14285714285711</v>
      </c>
      <c r="T69" s="345">
        <f t="shared" si="89"/>
        <v>857.14285714285711</v>
      </c>
      <c r="U69" s="345">
        <f t="shared" si="89"/>
        <v>840</v>
      </c>
      <c r="V69" s="345">
        <f t="shared" si="89"/>
        <v>840</v>
      </c>
      <c r="W69" s="345">
        <f t="shared" si="89"/>
        <v>840</v>
      </c>
      <c r="X69" s="345">
        <f t="shared" si="89"/>
        <v>840</v>
      </c>
      <c r="Y69" s="345">
        <f t="shared" si="89"/>
        <v>840</v>
      </c>
      <c r="Z69" s="346">
        <f t="shared" si="89"/>
        <v>840</v>
      </c>
      <c r="AA69" s="344">
        <f t="shared" ref="AA69:AL69" si="90">21000/AA76*10^3</f>
        <v>840</v>
      </c>
      <c r="AB69" s="345">
        <f t="shared" si="90"/>
        <v>840</v>
      </c>
      <c r="AC69" s="345">
        <f t="shared" si="90"/>
        <v>840</v>
      </c>
      <c r="AD69" s="345">
        <f>(21500*75%+24500*25%)/AD76*10^3</f>
        <v>890</v>
      </c>
      <c r="AE69" s="345">
        <f>(21500*75%+24500*25%)/AE76*10^3</f>
        <v>890</v>
      </c>
      <c r="AF69" s="345">
        <f>(21500*75%+24500*25%)/AF76*10^3</f>
        <v>890</v>
      </c>
      <c r="AG69" s="345">
        <f t="shared" si="90"/>
        <v>840</v>
      </c>
      <c r="AH69" s="345">
        <f t="shared" si="90"/>
        <v>840</v>
      </c>
      <c r="AI69" s="345">
        <f t="shared" si="90"/>
        <v>840</v>
      </c>
      <c r="AJ69" s="345">
        <f t="shared" si="90"/>
        <v>840</v>
      </c>
      <c r="AK69" s="345">
        <f t="shared" si="90"/>
        <v>840</v>
      </c>
      <c r="AL69" s="346">
        <f t="shared" si="90"/>
        <v>840</v>
      </c>
      <c r="AM69" s="344"/>
      <c r="AN69" s="345"/>
      <c r="AO69" s="345"/>
      <c r="AP69" s="345"/>
      <c r="AQ69" s="345"/>
      <c r="AR69" s="345"/>
      <c r="AS69" s="345"/>
      <c r="AT69" s="345"/>
      <c r="AU69" s="345"/>
      <c r="AV69" s="345"/>
      <c r="AW69" s="345"/>
      <c r="AX69" s="346"/>
    </row>
    <row r="70" spans="1:50" s="340" customFormat="1" outlineLevel="1" x14ac:dyDescent="0.3">
      <c r="A70" s="340" t="s">
        <v>63</v>
      </c>
      <c r="B70" s="340" t="s">
        <v>24</v>
      </c>
      <c r="F70" s="341" t="s">
        <v>359</v>
      </c>
      <c r="G70" s="342"/>
      <c r="H70" s="342" t="s">
        <v>40</v>
      </c>
      <c r="I70" s="342" t="s">
        <v>329</v>
      </c>
      <c r="J70" s="372"/>
      <c r="K70" s="343"/>
      <c r="L70" s="342"/>
      <c r="M70" s="342"/>
      <c r="N70" s="342"/>
      <c r="O70" s="345">
        <f t="shared" ref="O70:AL70" si="91">O69*O77</f>
        <v>195.33673469387756</v>
      </c>
      <c r="P70" s="345">
        <f t="shared" si="91"/>
        <v>195.33673469387756</v>
      </c>
      <c r="Q70" s="345">
        <f t="shared" si="91"/>
        <v>195.33673469387756</v>
      </c>
      <c r="R70" s="345">
        <f t="shared" si="91"/>
        <v>182.31428571428572</v>
      </c>
      <c r="S70" s="345">
        <f t="shared" si="91"/>
        <v>182.31428571428572</v>
      </c>
      <c r="T70" s="345">
        <f t="shared" si="91"/>
        <v>182.31428571428572</v>
      </c>
      <c r="U70" s="345">
        <f t="shared" si="91"/>
        <v>178.66800000000001</v>
      </c>
      <c r="V70" s="345">
        <f t="shared" si="91"/>
        <v>178.66800000000001</v>
      </c>
      <c r="W70" s="345">
        <f t="shared" si="91"/>
        <v>178.66800000000001</v>
      </c>
      <c r="X70" s="345">
        <f t="shared" si="91"/>
        <v>178.66800000000001</v>
      </c>
      <c r="Y70" s="345">
        <f t="shared" si="91"/>
        <v>178.66800000000001</v>
      </c>
      <c r="Z70" s="346">
        <f t="shared" si="91"/>
        <v>178.66800000000001</v>
      </c>
      <c r="AA70" s="344">
        <f t="shared" si="91"/>
        <v>178.66800000000001</v>
      </c>
      <c r="AB70" s="345">
        <f t="shared" si="91"/>
        <v>178.66800000000001</v>
      </c>
      <c r="AC70" s="345">
        <f t="shared" si="91"/>
        <v>178.66800000000001</v>
      </c>
      <c r="AD70" s="345">
        <f t="shared" si="91"/>
        <v>189.303</v>
      </c>
      <c r="AE70" s="345">
        <f t="shared" si="91"/>
        <v>189.303</v>
      </c>
      <c r="AF70" s="345">
        <f t="shared" si="91"/>
        <v>189.303</v>
      </c>
      <c r="AG70" s="345">
        <f t="shared" si="91"/>
        <v>178.66800000000001</v>
      </c>
      <c r="AH70" s="345">
        <f t="shared" si="91"/>
        <v>178.66800000000001</v>
      </c>
      <c r="AI70" s="345">
        <f t="shared" si="91"/>
        <v>178.66800000000001</v>
      </c>
      <c r="AJ70" s="345">
        <f t="shared" si="91"/>
        <v>178.66800000000001</v>
      </c>
      <c r="AK70" s="345">
        <f t="shared" si="91"/>
        <v>178.66800000000001</v>
      </c>
      <c r="AL70" s="346">
        <f t="shared" si="91"/>
        <v>178.66800000000001</v>
      </c>
      <c r="AM70" s="344"/>
      <c r="AN70" s="345"/>
      <c r="AO70" s="345"/>
      <c r="AP70" s="345"/>
      <c r="AQ70" s="345"/>
      <c r="AR70" s="345"/>
      <c r="AS70" s="345"/>
      <c r="AT70" s="345"/>
      <c r="AU70" s="345"/>
      <c r="AV70" s="345"/>
      <c r="AW70" s="345"/>
      <c r="AX70" s="346"/>
    </row>
    <row r="71" spans="1:50" s="340" customFormat="1" outlineLevel="1" x14ac:dyDescent="0.3">
      <c r="A71" s="340" t="s">
        <v>63</v>
      </c>
      <c r="B71" s="340" t="s">
        <v>24</v>
      </c>
      <c r="F71" s="341" t="s">
        <v>360</v>
      </c>
      <c r="G71" s="342"/>
      <c r="H71" s="342" t="s">
        <v>40</v>
      </c>
      <c r="I71" s="342" t="s">
        <v>56</v>
      </c>
      <c r="J71" s="362"/>
      <c r="K71" s="343"/>
      <c r="L71" s="342"/>
      <c r="M71" s="342"/>
      <c r="N71" s="342"/>
      <c r="O71" s="345">
        <f>8720.586/O76*10^3</f>
        <v>355.94228571428573</v>
      </c>
      <c r="P71" s="345">
        <f t="shared" ref="P71:W71" si="92">8720.586/P76*10^3</f>
        <v>355.94228571428573</v>
      </c>
      <c r="Q71" s="345">
        <f t="shared" si="92"/>
        <v>355.94228571428573</v>
      </c>
      <c r="R71" s="345">
        <f t="shared" si="92"/>
        <v>355.94228571428573</v>
      </c>
      <c r="S71" s="345">
        <f t="shared" si="92"/>
        <v>355.94228571428573</v>
      </c>
      <c r="T71" s="345">
        <f t="shared" si="92"/>
        <v>355.94228571428573</v>
      </c>
      <c r="U71" s="345">
        <f t="shared" si="92"/>
        <v>348.82344000000001</v>
      </c>
      <c r="V71" s="345">
        <f t="shared" si="92"/>
        <v>348.82344000000001</v>
      </c>
      <c r="W71" s="345">
        <f t="shared" si="92"/>
        <v>348.82344000000001</v>
      </c>
      <c r="X71" s="345">
        <f>8720.586/X76*10^3</f>
        <v>348.82344000000001</v>
      </c>
      <c r="Y71" s="345">
        <f>8720.586/Y76*10^3</f>
        <v>348.82344000000001</v>
      </c>
      <c r="Z71" s="346">
        <f>8720.586/Z76*10^3</f>
        <v>348.82344000000001</v>
      </c>
      <c r="AA71" s="344">
        <f t="shared" ref="AA71:AL71" si="93">8720.586/AA76*10^3</f>
        <v>348.82344000000001</v>
      </c>
      <c r="AB71" s="345">
        <f t="shared" si="93"/>
        <v>348.82344000000001</v>
      </c>
      <c r="AC71" s="345">
        <f t="shared" si="93"/>
        <v>348.82344000000001</v>
      </c>
      <c r="AD71" s="345">
        <f>9127.69249949/AD76*10^3</f>
        <v>365.1076999796</v>
      </c>
      <c r="AE71" s="345">
        <f>9127.69249949/AE76*10^3</f>
        <v>365.1076999796</v>
      </c>
      <c r="AF71" s="345">
        <f>9127.69249949/AF76*10^3</f>
        <v>365.1076999796</v>
      </c>
      <c r="AG71" s="345">
        <f t="shared" si="93"/>
        <v>348.82344000000001</v>
      </c>
      <c r="AH71" s="345">
        <f t="shared" si="93"/>
        <v>348.82344000000001</v>
      </c>
      <c r="AI71" s="345">
        <f t="shared" si="93"/>
        <v>348.82344000000001</v>
      </c>
      <c r="AJ71" s="345">
        <f t="shared" si="93"/>
        <v>348.82344000000001</v>
      </c>
      <c r="AK71" s="345">
        <f t="shared" si="93"/>
        <v>348.82344000000001</v>
      </c>
      <c r="AL71" s="346">
        <f t="shared" si="93"/>
        <v>348.82344000000001</v>
      </c>
      <c r="AM71" s="344"/>
      <c r="AN71" s="345"/>
      <c r="AO71" s="345"/>
      <c r="AP71" s="345"/>
      <c r="AQ71" s="345"/>
      <c r="AR71" s="345"/>
      <c r="AS71" s="345"/>
      <c r="AT71" s="345"/>
      <c r="AU71" s="345"/>
      <c r="AV71" s="345"/>
      <c r="AW71" s="345"/>
      <c r="AX71" s="346"/>
    </row>
    <row r="72" spans="1:50" s="340" customFormat="1" outlineLevel="1" x14ac:dyDescent="0.3">
      <c r="A72" s="340" t="s">
        <v>63</v>
      </c>
      <c r="B72" s="340" t="s">
        <v>24</v>
      </c>
      <c r="F72" s="341" t="s">
        <v>361</v>
      </c>
      <c r="G72" s="342"/>
      <c r="H72" s="342" t="s">
        <v>40</v>
      </c>
      <c r="I72" s="342" t="s">
        <v>49</v>
      </c>
      <c r="J72" s="362"/>
      <c r="K72" s="343"/>
      <c r="L72" s="342"/>
      <c r="M72" s="342"/>
      <c r="N72" s="342"/>
      <c r="O72" s="345">
        <f>299/O76*10^3</f>
        <v>12.204081632653061</v>
      </c>
      <c r="P72" s="345">
        <f t="shared" ref="P72:W72" si="94">299/P76*10^3</f>
        <v>12.204081632653061</v>
      </c>
      <c r="Q72" s="345">
        <f t="shared" si="94"/>
        <v>12.204081632653061</v>
      </c>
      <c r="R72" s="345">
        <f t="shared" si="94"/>
        <v>12.204081632653061</v>
      </c>
      <c r="S72" s="345">
        <f t="shared" si="94"/>
        <v>12.204081632653061</v>
      </c>
      <c r="T72" s="345">
        <f t="shared" si="94"/>
        <v>12.204081632653061</v>
      </c>
      <c r="U72" s="345">
        <f t="shared" si="94"/>
        <v>11.96</v>
      </c>
      <c r="V72" s="345">
        <f t="shared" si="94"/>
        <v>11.96</v>
      </c>
      <c r="W72" s="345">
        <f t="shared" si="94"/>
        <v>11.96</v>
      </c>
      <c r="X72" s="345">
        <f>299/X76*10^3</f>
        <v>11.96</v>
      </c>
      <c r="Y72" s="345">
        <f>299/Y76*10^3</f>
        <v>11.96</v>
      </c>
      <c r="Z72" s="346">
        <f>299/Z76*10^3</f>
        <v>11.96</v>
      </c>
      <c r="AA72" s="344">
        <f t="shared" ref="AA72:AL72" si="95">299/AA76*10^3</f>
        <v>11.96</v>
      </c>
      <c r="AB72" s="345">
        <f t="shared" si="95"/>
        <v>11.96</v>
      </c>
      <c r="AC72" s="345">
        <f t="shared" si="95"/>
        <v>11.96</v>
      </c>
      <c r="AD72" s="345">
        <f t="shared" si="95"/>
        <v>11.96</v>
      </c>
      <c r="AE72" s="345">
        <f>299/AE76*10^3</f>
        <v>11.96</v>
      </c>
      <c r="AF72" s="345">
        <f>299/AF76*10^3</f>
        <v>11.96</v>
      </c>
      <c r="AG72" s="345">
        <f t="shared" si="95"/>
        <v>11.96</v>
      </c>
      <c r="AH72" s="345">
        <f t="shared" si="95"/>
        <v>11.96</v>
      </c>
      <c r="AI72" s="345">
        <f t="shared" si="95"/>
        <v>11.96</v>
      </c>
      <c r="AJ72" s="345">
        <f t="shared" si="95"/>
        <v>11.96</v>
      </c>
      <c r="AK72" s="345">
        <f t="shared" si="95"/>
        <v>11.96</v>
      </c>
      <c r="AL72" s="346">
        <f t="shared" si="95"/>
        <v>11.96</v>
      </c>
      <c r="AM72" s="344"/>
      <c r="AN72" s="345"/>
      <c r="AO72" s="345"/>
      <c r="AP72" s="345"/>
      <c r="AQ72" s="345"/>
      <c r="AR72" s="345"/>
      <c r="AS72" s="345"/>
      <c r="AT72" s="345"/>
      <c r="AU72" s="345"/>
      <c r="AV72" s="345"/>
      <c r="AW72" s="345"/>
      <c r="AX72" s="346"/>
    </row>
    <row r="73" spans="1:50" s="340" customFormat="1" outlineLevel="1" x14ac:dyDescent="0.3">
      <c r="A73" s="340" t="s">
        <v>63</v>
      </c>
      <c r="B73" s="340" t="s">
        <v>24</v>
      </c>
      <c r="F73" s="341" t="s">
        <v>448</v>
      </c>
      <c r="G73" s="342"/>
      <c r="H73" s="342" t="s">
        <v>40</v>
      </c>
      <c r="I73" s="342" t="s">
        <v>57</v>
      </c>
      <c r="J73" s="362"/>
      <c r="K73" s="343"/>
      <c r="L73" s="342"/>
      <c r="M73" s="342"/>
      <c r="N73" s="342"/>
      <c r="O73" s="345">
        <f>1248/O76*10^3</f>
        <v>50.938775510204081</v>
      </c>
      <c r="P73" s="345">
        <f t="shared" ref="P73:W73" si="96">1248/P76*10^3</f>
        <v>50.938775510204081</v>
      </c>
      <c r="Q73" s="345">
        <f t="shared" si="96"/>
        <v>50.938775510204081</v>
      </c>
      <c r="R73" s="345">
        <f t="shared" si="96"/>
        <v>50.938775510204081</v>
      </c>
      <c r="S73" s="345">
        <f t="shared" si="96"/>
        <v>50.938775510204081</v>
      </c>
      <c r="T73" s="345">
        <f t="shared" si="96"/>
        <v>50.938775510204081</v>
      </c>
      <c r="U73" s="345">
        <f t="shared" si="96"/>
        <v>49.92</v>
      </c>
      <c r="V73" s="345">
        <f t="shared" si="96"/>
        <v>49.92</v>
      </c>
      <c r="W73" s="345">
        <f t="shared" si="96"/>
        <v>49.92</v>
      </c>
      <c r="X73" s="345">
        <f>1248/X76*10^3</f>
        <v>49.92</v>
      </c>
      <c r="Y73" s="345">
        <f>1248/Y76*10^3</f>
        <v>49.92</v>
      </c>
      <c r="Z73" s="346">
        <f>1248/Z76*10^3</f>
        <v>49.92</v>
      </c>
      <c r="AA73" s="344">
        <f t="shared" ref="AA73:AL73" si="97">1248/AA76*10^3</f>
        <v>49.92</v>
      </c>
      <c r="AB73" s="345">
        <f t="shared" si="97"/>
        <v>49.92</v>
      </c>
      <c r="AC73" s="345">
        <f t="shared" si="97"/>
        <v>49.92</v>
      </c>
      <c r="AD73" s="345">
        <f t="shared" si="97"/>
        <v>49.92</v>
      </c>
      <c r="AE73" s="345">
        <f>1248/AE76*10^3</f>
        <v>49.92</v>
      </c>
      <c r="AF73" s="345">
        <f>1248/AF76*10^3</f>
        <v>49.92</v>
      </c>
      <c r="AG73" s="345">
        <f t="shared" si="97"/>
        <v>49.92</v>
      </c>
      <c r="AH73" s="345">
        <f t="shared" si="97"/>
        <v>49.92</v>
      </c>
      <c r="AI73" s="345">
        <f t="shared" si="97"/>
        <v>49.92</v>
      </c>
      <c r="AJ73" s="345">
        <f t="shared" si="97"/>
        <v>49.92</v>
      </c>
      <c r="AK73" s="345">
        <f t="shared" si="97"/>
        <v>49.92</v>
      </c>
      <c r="AL73" s="346">
        <f t="shared" si="97"/>
        <v>49.92</v>
      </c>
      <c r="AM73" s="344"/>
      <c r="AN73" s="345"/>
      <c r="AO73" s="345"/>
      <c r="AP73" s="345"/>
      <c r="AQ73" s="345"/>
      <c r="AR73" s="345"/>
      <c r="AS73" s="345"/>
      <c r="AT73" s="345"/>
      <c r="AU73" s="345"/>
      <c r="AV73" s="345"/>
      <c r="AW73" s="345"/>
      <c r="AX73" s="346"/>
    </row>
    <row r="74" spans="1:50" s="340" customFormat="1" outlineLevel="1" x14ac:dyDescent="0.3">
      <c r="A74" s="340" t="s">
        <v>63</v>
      </c>
      <c r="B74" s="340" t="s">
        <v>24</v>
      </c>
      <c r="F74" s="341" t="s">
        <v>449</v>
      </c>
      <c r="G74" s="342"/>
      <c r="H74" s="342" t="s">
        <v>40</v>
      </c>
      <c r="I74" s="342" t="s">
        <v>58</v>
      </c>
      <c r="J74" s="362"/>
      <c r="K74" s="343"/>
      <c r="L74" s="342"/>
      <c r="M74" s="342"/>
      <c r="N74" s="342"/>
      <c r="O74" s="345">
        <f t="shared" ref="O74:AL74" si="98">8%*SUM(O69:O73)*2/12</f>
        <v>20.437189659863947</v>
      </c>
      <c r="P74" s="345">
        <f t="shared" si="98"/>
        <v>20.437189659863947</v>
      </c>
      <c r="Q74" s="345">
        <f t="shared" si="98"/>
        <v>20.437189659863947</v>
      </c>
      <c r="R74" s="345">
        <f t="shared" si="98"/>
        <v>19.447230476190473</v>
      </c>
      <c r="S74" s="345">
        <f t="shared" si="98"/>
        <v>19.447230476190473</v>
      </c>
      <c r="T74" s="345">
        <f t="shared" si="98"/>
        <v>19.447230476190473</v>
      </c>
      <c r="U74" s="345">
        <f t="shared" si="98"/>
        <v>19.058285866666669</v>
      </c>
      <c r="V74" s="345">
        <f t="shared" si="98"/>
        <v>19.058285866666669</v>
      </c>
      <c r="W74" s="345">
        <f t="shared" si="98"/>
        <v>19.058285866666669</v>
      </c>
      <c r="X74" s="345">
        <f t="shared" si="98"/>
        <v>19.058285866666669</v>
      </c>
      <c r="Y74" s="345">
        <f t="shared" si="98"/>
        <v>19.058285866666669</v>
      </c>
      <c r="Z74" s="346">
        <f t="shared" si="98"/>
        <v>19.058285866666669</v>
      </c>
      <c r="AA74" s="344">
        <f t="shared" si="98"/>
        <v>19.058285866666669</v>
      </c>
      <c r="AB74" s="345">
        <f t="shared" si="98"/>
        <v>19.058285866666669</v>
      </c>
      <c r="AC74" s="345">
        <f t="shared" si="98"/>
        <v>19.058285866666669</v>
      </c>
      <c r="AD74" s="345">
        <f t="shared" si="98"/>
        <v>20.083875999728001</v>
      </c>
      <c r="AE74" s="345">
        <f t="shared" si="98"/>
        <v>20.083875999728001</v>
      </c>
      <c r="AF74" s="345">
        <f t="shared" si="98"/>
        <v>20.083875999728001</v>
      </c>
      <c r="AG74" s="345">
        <f t="shared" si="98"/>
        <v>19.058285866666669</v>
      </c>
      <c r="AH74" s="345">
        <f t="shared" si="98"/>
        <v>19.058285866666669</v>
      </c>
      <c r="AI74" s="345">
        <f t="shared" si="98"/>
        <v>19.058285866666669</v>
      </c>
      <c r="AJ74" s="345">
        <f t="shared" si="98"/>
        <v>19.058285866666669</v>
      </c>
      <c r="AK74" s="345">
        <f t="shared" si="98"/>
        <v>19.058285866666669</v>
      </c>
      <c r="AL74" s="346">
        <f t="shared" si="98"/>
        <v>19.058285866666669</v>
      </c>
      <c r="AM74" s="344"/>
      <c r="AN74" s="345"/>
      <c r="AO74" s="345"/>
      <c r="AP74" s="345"/>
      <c r="AQ74" s="345"/>
      <c r="AR74" s="345"/>
      <c r="AS74" s="345"/>
      <c r="AT74" s="345"/>
      <c r="AU74" s="345"/>
      <c r="AV74" s="345"/>
      <c r="AW74" s="345"/>
      <c r="AX74" s="346"/>
    </row>
    <row r="75" spans="1:50" s="340" customFormat="1" outlineLevel="1" x14ac:dyDescent="0.3">
      <c r="A75" s="340" t="s">
        <v>63</v>
      </c>
      <c r="B75" s="340" t="s">
        <v>24</v>
      </c>
      <c r="F75" s="341" t="s">
        <v>450</v>
      </c>
      <c r="G75" s="342"/>
      <c r="H75" s="342" t="s">
        <v>40</v>
      </c>
      <c r="I75" s="342" t="s">
        <v>52</v>
      </c>
      <c r="J75" s="362"/>
      <c r="K75" s="343"/>
      <c r="L75" s="342"/>
      <c r="M75" s="342"/>
      <c r="N75" s="342"/>
      <c r="O75" s="345">
        <v>-50</v>
      </c>
      <c r="P75" s="345">
        <v>-50</v>
      </c>
      <c r="Q75" s="345">
        <v>-50</v>
      </c>
      <c r="R75" s="345">
        <v>-50</v>
      </c>
      <c r="S75" s="345">
        <v>-50</v>
      </c>
      <c r="T75" s="345">
        <v>-50</v>
      </c>
      <c r="U75" s="345">
        <v>-20</v>
      </c>
      <c r="V75" s="345">
        <v>-20</v>
      </c>
      <c r="W75" s="345">
        <v>-20</v>
      </c>
      <c r="X75" s="345">
        <v>-20</v>
      </c>
      <c r="Y75" s="345">
        <v>-20</v>
      </c>
      <c r="Z75" s="346">
        <v>-20</v>
      </c>
      <c r="AA75" s="344">
        <v>-50</v>
      </c>
      <c r="AB75" s="345">
        <v>-50</v>
      </c>
      <c r="AC75" s="345">
        <v>-50</v>
      </c>
      <c r="AD75" s="345">
        <v>-180</v>
      </c>
      <c r="AE75" s="345">
        <v>-180</v>
      </c>
      <c r="AF75" s="345">
        <v>-180</v>
      </c>
      <c r="AG75" s="345">
        <v>-70</v>
      </c>
      <c r="AH75" s="345">
        <v>-70</v>
      </c>
      <c r="AI75" s="345">
        <v>-70</v>
      </c>
      <c r="AJ75" s="345">
        <v>-70</v>
      </c>
      <c r="AK75" s="345">
        <v>-70</v>
      </c>
      <c r="AL75" s="346">
        <v>-70</v>
      </c>
      <c r="AM75" s="344"/>
      <c r="AN75" s="345"/>
      <c r="AO75" s="345"/>
      <c r="AP75" s="345"/>
      <c r="AQ75" s="345"/>
      <c r="AR75" s="345"/>
      <c r="AS75" s="345"/>
      <c r="AT75" s="345"/>
      <c r="AU75" s="345"/>
      <c r="AV75" s="345"/>
      <c r="AW75" s="345"/>
      <c r="AX75" s="346"/>
    </row>
    <row r="76" spans="1:50" s="234" customFormat="1" x14ac:dyDescent="0.3">
      <c r="A76" s="234" t="s">
        <v>63</v>
      </c>
      <c r="B76" s="234" t="s">
        <v>24</v>
      </c>
      <c r="F76" s="244"/>
      <c r="G76" s="235"/>
      <c r="H76" s="235"/>
      <c r="I76" s="235"/>
      <c r="J76" s="369" t="s">
        <v>59</v>
      </c>
      <c r="K76" s="236"/>
      <c r="L76" s="235"/>
      <c r="M76" s="235"/>
      <c r="N76" s="235"/>
      <c r="O76" s="238">
        <v>24500</v>
      </c>
      <c r="P76" s="238">
        <v>24500</v>
      </c>
      <c r="Q76" s="238">
        <v>24500</v>
      </c>
      <c r="R76" s="238">
        <v>24500</v>
      </c>
      <c r="S76" s="238">
        <v>24500</v>
      </c>
      <c r="T76" s="238">
        <v>24500</v>
      </c>
      <c r="U76" s="238">
        <v>25000</v>
      </c>
      <c r="V76" s="238">
        <v>25000</v>
      </c>
      <c r="W76" s="238">
        <v>25000</v>
      </c>
      <c r="X76" s="238">
        <v>25000</v>
      </c>
      <c r="Y76" s="238">
        <v>25000</v>
      </c>
      <c r="Z76" s="239">
        <v>25000</v>
      </c>
      <c r="AA76" s="237">
        <v>25000</v>
      </c>
      <c r="AB76" s="238">
        <v>25000</v>
      </c>
      <c r="AC76" s="238">
        <v>25000</v>
      </c>
      <c r="AD76" s="238">
        <v>25000</v>
      </c>
      <c r="AE76" s="238">
        <v>25000</v>
      </c>
      <c r="AF76" s="238">
        <v>25000</v>
      </c>
      <c r="AG76" s="238">
        <v>25000</v>
      </c>
      <c r="AH76" s="238">
        <v>25000</v>
      </c>
      <c r="AI76" s="238">
        <v>25000</v>
      </c>
      <c r="AJ76" s="238">
        <v>25000</v>
      </c>
      <c r="AK76" s="238">
        <v>25000</v>
      </c>
      <c r="AL76" s="239">
        <v>25000</v>
      </c>
      <c r="AM76" s="237"/>
      <c r="AN76" s="238"/>
      <c r="AO76" s="238"/>
      <c r="AP76" s="238"/>
      <c r="AQ76" s="238"/>
      <c r="AR76" s="238"/>
      <c r="AS76" s="238"/>
      <c r="AT76" s="238"/>
      <c r="AU76" s="238"/>
      <c r="AV76" s="238"/>
      <c r="AW76" s="238"/>
      <c r="AX76" s="239"/>
    </row>
    <row r="77" spans="1:50" s="234" customFormat="1" x14ac:dyDescent="0.3">
      <c r="A77" s="234" t="s">
        <v>63</v>
      </c>
      <c r="B77" s="234" t="s">
        <v>24</v>
      </c>
      <c r="F77" s="244"/>
      <c r="G77" s="235"/>
      <c r="H77" s="235"/>
      <c r="I77" s="235"/>
      <c r="J77" s="369" t="s">
        <v>60</v>
      </c>
      <c r="K77" s="236"/>
      <c r="L77" s="235"/>
      <c r="M77" s="235"/>
      <c r="N77" s="235"/>
      <c r="O77" s="241">
        <v>0.2127</v>
      </c>
      <c r="P77" s="241">
        <v>0.2127</v>
      </c>
      <c r="Q77" s="241">
        <v>0.2127</v>
      </c>
      <c r="R77" s="241">
        <v>0.2127</v>
      </c>
      <c r="S77" s="241">
        <v>0.2127</v>
      </c>
      <c r="T77" s="241">
        <v>0.2127</v>
      </c>
      <c r="U77" s="241">
        <v>0.2127</v>
      </c>
      <c r="V77" s="241">
        <v>0.2127</v>
      </c>
      <c r="W77" s="241">
        <v>0.2127</v>
      </c>
      <c r="X77" s="241">
        <v>0.2127</v>
      </c>
      <c r="Y77" s="241">
        <v>0.2127</v>
      </c>
      <c r="Z77" s="242">
        <v>0.2127</v>
      </c>
      <c r="AA77" s="240">
        <v>0.2127</v>
      </c>
      <c r="AB77" s="241">
        <v>0.2127</v>
      </c>
      <c r="AC77" s="241">
        <v>0.2127</v>
      </c>
      <c r="AD77" s="241">
        <v>0.2127</v>
      </c>
      <c r="AE77" s="241">
        <v>0.2127</v>
      </c>
      <c r="AF77" s="241">
        <v>0.2127</v>
      </c>
      <c r="AG77" s="241">
        <v>0.2127</v>
      </c>
      <c r="AH77" s="241">
        <v>0.2127</v>
      </c>
      <c r="AI77" s="241">
        <v>0.2127</v>
      </c>
      <c r="AJ77" s="241">
        <v>0.2127</v>
      </c>
      <c r="AK77" s="241">
        <v>0.2127</v>
      </c>
      <c r="AL77" s="242">
        <v>0.2127</v>
      </c>
      <c r="AM77" s="240"/>
      <c r="AN77" s="241"/>
      <c r="AO77" s="241"/>
      <c r="AP77" s="241"/>
      <c r="AQ77" s="241"/>
      <c r="AR77" s="241"/>
      <c r="AS77" s="241"/>
      <c r="AT77" s="241"/>
      <c r="AU77" s="241"/>
      <c r="AV77" s="241"/>
      <c r="AW77" s="241"/>
      <c r="AX77" s="242"/>
    </row>
    <row r="78" spans="1:50" s="94" customFormat="1" outlineLevel="1" x14ac:dyDescent="0.3">
      <c r="A78" s="94" t="s">
        <v>63</v>
      </c>
      <c r="B78" s="94" t="s">
        <v>24</v>
      </c>
      <c r="D78" s="95" t="s">
        <v>161</v>
      </c>
      <c r="F78" s="223" t="s">
        <v>362</v>
      </c>
      <c r="G78" s="224"/>
      <c r="H78" s="224"/>
      <c r="I78" s="224" t="s">
        <v>8</v>
      </c>
      <c r="J78" s="370"/>
      <c r="K78" s="2"/>
      <c r="L78" s="224"/>
      <c r="M78" s="224"/>
      <c r="N78" s="224"/>
      <c r="O78" s="226">
        <f>O68-O72</f>
        <v>1487.795918367347</v>
      </c>
      <c r="P78" s="226">
        <f t="shared" ref="P78:AL78" si="99">P68-P72</f>
        <v>1487.795918367347</v>
      </c>
      <c r="Q78" s="226">
        <f t="shared" si="99"/>
        <v>1487.795918367347</v>
      </c>
      <c r="R78" s="226">
        <f t="shared" si="99"/>
        <v>1417.795918367347</v>
      </c>
      <c r="S78" s="226">
        <f t="shared" si="99"/>
        <v>1417.795918367347</v>
      </c>
      <c r="T78" s="226">
        <f t="shared" si="99"/>
        <v>1417.795918367347</v>
      </c>
      <c r="U78" s="226">
        <f t="shared" si="99"/>
        <v>1418.04</v>
      </c>
      <c r="V78" s="226">
        <f t="shared" si="99"/>
        <v>1418.04</v>
      </c>
      <c r="W78" s="226">
        <f t="shared" si="99"/>
        <v>1418.04</v>
      </c>
      <c r="X78" s="226">
        <f t="shared" si="99"/>
        <v>1418.04</v>
      </c>
      <c r="Y78" s="226">
        <f t="shared" si="99"/>
        <v>1418.04</v>
      </c>
      <c r="Z78" s="227">
        <f t="shared" si="99"/>
        <v>1418.04</v>
      </c>
      <c r="AA78" s="226">
        <f t="shared" si="99"/>
        <v>1388.04</v>
      </c>
      <c r="AB78" s="226">
        <f t="shared" si="99"/>
        <v>1388.04</v>
      </c>
      <c r="AC78" s="226">
        <f t="shared" si="99"/>
        <v>1388.04</v>
      </c>
      <c r="AD78" s="226">
        <f t="shared" si="99"/>
        <v>1338.04</v>
      </c>
      <c r="AE78" s="226">
        <f t="shared" si="99"/>
        <v>1338.04</v>
      </c>
      <c r="AF78" s="226">
        <f t="shared" si="99"/>
        <v>1338.04</v>
      </c>
      <c r="AG78" s="226">
        <f t="shared" si="99"/>
        <v>1368.04</v>
      </c>
      <c r="AH78" s="226">
        <f t="shared" si="99"/>
        <v>1368.04</v>
      </c>
      <c r="AI78" s="226">
        <f t="shared" si="99"/>
        <v>1368.04</v>
      </c>
      <c r="AJ78" s="226">
        <f t="shared" si="99"/>
        <v>1368.04</v>
      </c>
      <c r="AK78" s="226">
        <f t="shared" si="99"/>
        <v>1368.04</v>
      </c>
      <c r="AL78" s="227">
        <f t="shared" si="99"/>
        <v>1368.04</v>
      </c>
      <c r="AM78" s="226">
        <f>AM68-AM79</f>
        <v>1325</v>
      </c>
      <c r="AN78" s="226">
        <f t="shared" ref="AN78:AP78" si="100">AN68-AN79</f>
        <v>1325</v>
      </c>
      <c r="AO78" s="226">
        <f t="shared" si="100"/>
        <v>1325</v>
      </c>
      <c r="AP78" s="226">
        <f t="shared" si="100"/>
        <v>1266</v>
      </c>
      <c r="AQ78" s="226">
        <f t="shared" ref="AQ78:AX78" si="101">AQ68-AQ79</f>
        <v>1266</v>
      </c>
      <c r="AR78" s="226">
        <f t="shared" si="101"/>
        <v>1266</v>
      </c>
      <c r="AS78" s="226">
        <f t="shared" si="101"/>
        <v>1266</v>
      </c>
      <c r="AT78" s="226">
        <f t="shared" si="101"/>
        <v>1266</v>
      </c>
      <c r="AU78" s="226">
        <f t="shared" si="101"/>
        <v>1266</v>
      </c>
      <c r="AV78" s="226">
        <f t="shared" si="101"/>
        <v>1266</v>
      </c>
      <c r="AW78" s="226">
        <f t="shared" si="101"/>
        <v>1266</v>
      </c>
      <c r="AX78" s="227">
        <f t="shared" si="101"/>
        <v>1266</v>
      </c>
    </row>
    <row r="79" spans="1:50" s="181" customFormat="1" outlineLevel="1" x14ac:dyDescent="0.3">
      <c r="A79" s="400"/>
      <c r="F79" s="219" t="s">
        <v>363</v>
      </c>
      <c r="G79" s="188"/>
      <c r="H79" s="188"/>
      <c r="I79" s="188" t="s">
        <v>497</v>
      </c>
      <c r="J79" s="365"/>
      <c r="K79" s="182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9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  <c r="AK79" s="207"/>
      <c r="AL79" s="209"/>
      <c r="AM79" s="207">
        <v>5</v>
      </c>
      <c r="AN79" s="207">
        <v>5</v>
      </c>
      <c r="AO79" s="207">
        <v>5</v>
      </c>
      <c r="AP79" s="207">
        <v>6</v>
      </c>
      <c r="AQ79" s="207">
        <v>6</v>
      </c>
      <c r="AR79" s="207">
        <v>6</v>
      </c>
      <c r="AS79" s="207">
        <v>6</v>
      </c>
      <c r="AT79" s="207">
        <v>6</v>
      </c>
      <c r="AU79" s="207">
        <v>6</v>
      </c>
      <c r="AV79" s="207">
        <v>6</v>
      </c>
      <c r="AW79" s="207">
        <v>6</v>
      </c>
      <c r="AX79" s="209">
        <v>6</v>
      </c>
    </row>
    <row r="80" spans="1:50" s="185" customFormat="1" outlineLevel="1" x14ac:dyDescent="0.3">
      <c r="A80" s="185" t="s">
        <v>63</v>
      </c>
      <c r="B80" s="185" t="s">
        <v>24</v>
      </c>
      <c r="F80" s="222" t="s">
        <v>484</v>
      </c>
      <c r="G80" s="190"/>
      <c r="H80" s="190"/>
      <c r="I80" s="190"/>
      <c r="J80" s="368" t="s">
        <v>202</v>
      </c>
      <c r="K80" s="186"/>
      <c r="L80" s="199"/>
      <c r="M80" s="199"/>
      <c r="N80" s="199"/>
      <c r="O80" s="310" cm="1">
        <f t="array" ref="O80">SUMPRODUCT(General_Data*(Year=O$3)*(Month=O$4)*(Code_General_Data=$B80))</f>
        <v>1350</v>
      </c>
      <c r="P80" s="310" cm="1">
        <f t="array" ref="P80">SUMPRODUCT(General_Data*(Year=P$3)*(Month=P$4)*(Code_General_Data=$B80))</f>
        <v>1350</v>
      </c>
      <c r="Q80" s="310" cm="1">
        <f t="array" ref="Q80">SUMPRODUCT(General_Data*(Year=Q$3)*(Month=Q$4)*(Code_General_Data=$B80))</f>
        <v>1350</v>
      </c>
      <c r="R80" s="310" cm="1">
        <f t="array" ref="R80">SUMPRODUCT(General_Data*(Year=R$3)*(Month=R$4)*(Code_General_Data=$B80))</f>
        <v>1350</v>
      </c>
      <c r="S80" s="310" cm="1">
        <f t="array" ref="S80">SUMPRODUCT(General_Data*(Year=S$3)*(Month=S$4)*(Code_General_Data=$B80))</f>
        <v>1350</v>
      </c>
      <c r="T80" s="310" cm="1">
        <f t="array" ref="T80">SUMPRODUCT(General_Data*(Year=T$3)*(Month=T$4)*(Code_General_Data=$B80))</f>
        <v>1350</v>
      </c>
      <c r="U80" s="310" cm="1">
        <f t="array" ref="U80">SUMPRODUCT(General_Data*(Year=U$3)*(Month=U$4)*(Code_General_Data=$B80))</f>
        <v>1350</v>
      </c>
      <c r="V80" s="310" cm="1">
        <f t="array" ref="V80">SUMPRODUCT(General_Data*(Year=V$3)*(Month=V$4)*(Code_General_Data=$B80))</f>
        <v>1350</v>
      </c>
      <c r="W80" s="310" cm="1">
        <f t="array" ref="W80">SUMPRODUCT(General_Data*(Year=W$3)*(Month=W$4)*(Code_General_Data=$B80))</f>
        <v>1350</v>
      </c>
      <c r="X80" s="310" cm="1">
        <f t="array" ref="X80">SUMPRODUCT(General_Data*(Year=X$3)*(Month=X$4)*(Code_General_Data=$B80))</f>
        <v>1350</v>
      </c>
      <c r="Y80" s="310" cm="1">
        <f t="array" ref="Y80">SUMPRODUCT(General_Data*(Year=Y$3)*(Month=Y$4)*(Code_General_Data=$B80))</f>
        <v>1350</v>
      </c>
      <c r="Z80" s="311" cm="1">
        <f t="array" ref="Z80">SUMPRODUCT(General_Data*(Year=Z$3)*(Month=Z$4)*(Code_General_Data=$B80))</f>
        <v>1350</v>
      </c>
      <c r="AA80" s="310" cm="1">
        <f t="array" ref="AA80">SUMPRODUCT(General_Data*(Year=AA$3)*(Month=AA$4)*(Code_General_Data=$B80))</f>
        <v>1350</v>
      </c>
      <c r="AB80" s="310" cm="1">
        <f t="array" ref="AB80">SUMPRODUCT(General_Data*(Year=AB$3)*(Month=AB$4)*(Code_General_Data=$B80))</f>
        <v>1300</v>
      </c>
      <c r="AC80" s="310" cm="1">
        <f t="array" ref="AC80">SUMPRODUCT(General_Data*(Year=AC$3)*(Month=AC$4)*(Code_General_Data=$B80))</f>
        <v>1250</v>
      </c>
      <c r="AD80" s="310" cm="1">
        <f t="array" ref="AD80">SUMPRODUCT(General_Data*(Year=AD$3)*(Month=AD$4)*(Code_General_Data=$B80))</f>
        <v>1250</v>
      </c>
      <c r="AE80" s="310" cm="1">
        <f t="array" ref="AE80">SUMPRODUCT(General_Data*(Year=AE$3)*(Month=AE$4)*(Code_General_Data=$B80))</f>
        <v>1250</v>
      </c>
      <c r="AF80" s="310" cm="1">
        <f t="array" ref="AF80">SUMPRODUCT(General_Data*(Year=AF$3)*(Month=AF$4)*(Code_General_Data=$B80))</f>
        <v>1250</v>
      </c>
      <c r="AG80" s="310" cm="1">
        <f t="array" ref="AG80">SUMPRODUCT(General_Data*(Year=AG$3)*(Month=AG$4)*(Code_General_Data=$B80))</f>
        <v>1250</v>
      </c>
      <c r="AH80" s="310" cm="1">
        <f t="array" ref="AH80">SUMPRODUCT(General_Data*(Year=AH$3)*(Month=AH$4)*(Code_General_Data=$B80))</f>
        <v>1230</v>
      </c>
      <c r="AI80" s="310" cm="1">
        <f t="array" ref="AI80">SUMPRODUCT(General_Data*(Year=AI$3)*(Month=AI$4)*(Code_General_Data=$B80))</f>
        <v>1210</v>
      </c>
      <c r="AJ80" s="310" cm="1">
        <f t="array" ref="AJ80">SUMPRODUCT(General_Data*(Year=AJ$3)*(Month=AJ$4)*(Code_General_Data=$B80))</f>
        <v>1210</v>
      </c>
      <c r="AK80" s="310" cm="1">
        <f t="array" ref="AK80">SUMPRODUCT(General_Data*(Year=AK$3)*(Month=AK$4)*(Code_General_Data=$B80))</f>
        <v>1200</v>
      </c>
      <c r="AL80" s="311" cm="1">
        <f t="array" ref="AL80">SUMPRODUCT(General_Data*(Year=AL$3)*(Month=AL$4)*(Code_General_Data=$B80))</f>
        <v>1200</v>
      </c>
      <c r="AM80" s="310" cm="1">
        <f t="array" ref="AM80">SUMPRODUCT(General_Data*(Year=AM$3)*(Month=AM$4)*(Code_General_Data=$B80))</f>
        <v>1200</v>
      </c>
      <c r="AN80" s="310" cm="1">
        <f t="array" ref="AN80">SUMPRODUCT(General_Data*(Year=AN$3)*(Month=AN$4)*(Code_General_Data=$B80))</f>
        <v>1200</v>
      </c>
      <c r="AO80" s="310" cm="1">
        <f t="array" ref="AO80">SUMPRODUCT(General_Data*(Year=AO$3)*(Month=AO$4)*(Code_General_Data=$B80))</f>
        <v>1200</v>
      </c>
      <c r="AP80" s="310" cm="1">
        <f t="array" ref="AP80">SUMPRODUCT(General_Data*(Year=AP$3)*(Month=AP$4)*(Code_General_Data=$B80))</f>
        <v>1300</v>
      </c>
      <c r="AQ80" s="310" cm="1">
        <f t="array" ref="AQ80">SUMPRODUCT(General_Data*(Year=AQ$3)*(Month=AQ$4)*(Code_General_Data=$B80))</f>
        <v>1370</v>
      </c>
      <c r="AR80" s="310" cm="1">
        <f t="array" ref="AR80">SUMPRODUCT(General_Data*(Year=AR$3)*(Month=AR$4)*(Code_General_Data=$B80))</f>
        <v>1350</v>
      </c>
      <c r="AS80" s="310"/>
      <c r="AT80" s="310"/>
      <c r="AU80" s="310"/>
      <c r="AV80" s="310"/>
      <c r="AW80" s="310"/>
      <c r="AX80" s="311"/>
    </row>
    <row r="81" spans="1:50" s="185" customFormat="1" x14ac:dyDescent="0.3">
      <c r="F81" s="307"/>
      <c r="G81" s="186"/>
      <c r="H81" s="186"/>
      <c r="I81" s="186"/>
      <c r="J81" s="371"/>
      <c r="K81" s="186"/>
      <c r="L81" s="308"/>
      <c r="M81" s="308"/>
      <c r="N81" s="308"/>
      <c r="O81" s="308"/>
      <c r="P81" s="308"/>
      <c r="Q81" s="308"/>
      <c r="R81" s="308"/>
      <c r="S81" s="308"/>
      <c r="T81" s="308"/>
      <c r="U81" s="308"/>
      <c r="V81" s="308"/>
      <c r="W81" s="308"/>
      <c r="X81" s="308"/>
      <c r="Y81" s="308"/>
      <c r="Z81" s="309"/>
      <c r="AA81" s="308"/>
      <c r="AB81" s="308"/>
      <c r="AC81" s="308"/>
      <c r="AD81" s="308"/>
      <c r="AE81" s="308"/>
      <c r="AF81" s="308"/>
      <c r="AG81" s="308"/>
      <c r="AH81" s="308"/>
      <c r="AI81" s="308"/>
      <c r="AJ81" s="308"/>
      <c r="AK81" s="308"/>
      <c r="AL81" s="309"/>
      <c r="AM81" s="308"/>
      <c r="AN81" s="308"/>
      <c r="AO81" s="308"/>
      <c r="AP81" s="308"/>
      <c r="AQ81" s="308"/>
      <c r="AR81" s="308"/>
      <c r="AS81" s="308"/>
      <c r="AT81" s="308"/>
      <c r="AU81" s="308"/>
      <c r="AV81" s="308"/>
      <c r="AW81" s="308"/>
      <c r="AX81" s="309"/>
    </row>
    <row r="82" spans="1:50" s="325" customFormat="1" ht="15.6" x14ac:dyDescent="0.3">
      <c r="A82" s="325" t="s">
        <v>63</v>
      </c>
      <c r="B82" s="325" t="s">
        <v>22</v>
      </c>
      <c r="D82" s="325" t="s">
        <v>321</v>
      </c>
      <c r="F82" s="326">
        <v>4.3</v>
      </c>
      <c r="G82" s="327"/>
      <c r="H82" s="327" t="s">
        <v>244</v>
      </c>
      <c r="I82" s="327"/>
      <c r="J82" s="361"/>
      <c r="L82" s="327"/>
      <c r="M82" s="327"/>
      <c r="N82" s="327"/>
      <c r="O82" s="336"/>
      <c r="P82" s="336"/>
      <c r="Q82" s="336"/>
      <c r="R82" s="336"/>
      <c r="S82" s="336"/>
      <c r="T82" s="336"/>
      <c r="U82" s="336"/>
      <c r="V82" s="336"/>
      <c r="W82" s="336"/>
      <c r="X82" s="336"/>
      <c r="Y82" s="336"/>
      <c r="Z82" s="337"/>
      <c r="AA82" s="328">
        <f>AA83</f>
        <v>1400</v>
      </c>
      <c r="AB82" s="329">
        <f t="shared" ref="AB82:AX82" si="102">AB83</f>
        <v>1400</v>
      </c>
      <c r="AC82" s="329">
        <f t="shared" si="102"/>
        <v>1400</v>
      </c>
      <c r="AD82" s="329">
        <f t="shared" si="102"/>
        <v>1350</v>
      </c>
      <c r="AE82" s="329">
        <f t="shared" si="102"/>
        <v>1350</v>
      </c>
      <c r="AF82" s="329">
        <f t="shared" si="102"/>
        <v>1350</v>
      </c>
      <c r="AG82" s="329">
        <f t="shared" si="102"/>
        <v>1380</v>
      </c>
      <c r="AH82" s="329">
        <f t="shared" si="102"/>
        <v>1380</v>
      </c>
      <c r="AI82" s="329">
        <f t="shared" si="102"/>
        <v>1380</v>
      </c>
      <c r="AJ82" s="329">
        <f t="shared" si="102"/>
        <v>1380</v>
      </c>
      <c r="AK82" s="329">
        <f t="shared" si="102"/>
        <v>1380</v>
      </c>
      <c r="AL82" s="330">
        <f t="shared" si="102"/>
        <v>1380</v>
      </c>
      <c r="AM82" s="328">
        <f t="shared" si="102"/>
        <v>1330</v>
      </c>
      <c r="AN82" s="329">
        <f t="shared" si="102"/>
        <v>1330</v>
      </c>
      <c r="AO82" s="329">
        <f t="shared" si="102"/>
        <v>1330</v>
      </c>
      <c r="AP82" s="329">
        <f t="shared" si="102"/>
        <v>1272</v>
      </c>
      <c r="AQ82" s="329">
        <f t="shared" si="102"/>
        <v>1272</v>
      </c>
      <c r="AR82" s="329">
        <f t="shared" si="102"/>
        <v>1272</v>
      </c>
      <c r="AS82" s="329">
        <f t="shared" si="102"/>
        <v>1272</v>
      </c>
      <c r="AT82" s="329">
        <f t="shared" si="102"/>
        <v>1272</v>
      </c>
      <c r="AU82" s="329">
        <f t="shared" si="102"/>
        <v>1272</v>
      </c>
      <c r="AV82" s="329">
        <f t="shared" si="102"/>
        <v>1272</v>
      </c>
      <c r="AW82" s="329">
        <f t="shared" si="102"/>
        <v>1272</v>
      </c>
      <c r="AX82" s="330">
        <f t="shared" si="102"/>
        <v>1272</v>
      </c>
    </row>
    <row r="83" spans="1:50" s="340" customFormat="1" outlineLevel="1" x14ac:dyDescent="0.3">
      <c r="A83" s="340" t="s">
        <v>63</v>
      </c>
      <c r="B83" s="340" t="s">
        <v>22</v>
      </c>
      <c r="F83" s="341" t="s">
        <v>451</v>
      </c>
      <c r="G83" s="342"/>
      <c r="H83" s="342" t="s">
        <v>40</v>
      </c>
      <c r="I83" s="342" t="s">
        <v>245</v>
      </c>
      <c r="J83" s="362"/>
      <c r="K83" s="343"/>
      <c r="L83" s="342"/>
      <c r="M83" s="342"/>
      <c r="N83" s="342"/>
      <c r="O83" s="347"/>
      <c r="P83" s="347"/>
      <c r="Q83" s="347"/>
      <c r="R83" s="347"/>
      <c r="S83" s="347"/>
      <c r="T83" s="347"/>
      <c r="U83" s="347"/>
      <c r="V83" s="347"/>
      <c r="W83" s="347"/>
      <c r="X83" s="347"/>
      <c r="Y83" s="347"/>
      <c r="Z83" s="348"/>
      <c r="AA83" s="344">
        <f t="shared" ref="AA83:AL83" si="103">AA68</f>
        <v>1400</v>
      </c>
      <c r="AB83" s="345">
        <f t="shared" si="103"/>
        <v>1400</v>
      </c>
      <c r="AC83" s="345">
        <f t="shared" si="103"/>
        <v>1400</v>
      </c>
      <c r="AD83" s="345">
        <f t="shared" si="103"/>
        <v>1350</v>
      </c>
      <c r="AE83" s="345">
        <f t="shared" si="103"/>
        <v>1350</v>
      </c>
      <c r="AF83" s="345">
        <f t="shared" si="103"/>
        <v>1350</v>
      </c>
      <c r="AG83" s="345">
        <f t="shared" si="103"/>
        <v>1380</v>
      </c>
      <c r="AH83" s="345">
        <f t="shared" si="103"/>
        <v>1380</v>
      </c>
      <c r="AI83" s="345">
        <f t="shared" si="103"/>
        <v>1380</v>
      </c>
      <c r="AJ83" s="345">
        <f t="shared" si="103"/>
        <v>1380</v>
      </c>
      <c r="AK83" s="345">
        <f t="shared" si="103"/>
        <v>1380</v>
      </c>
      <c r="AL83" s="346">
        <f t="shared" si="103"/>
        <v>1380</v>
      </c>
      <c r="AM83" s="344">
        <f t="shared" ref="AM83:AX83" si="104">AM68</f>
        <v>1330</v>
      </c>
      <c r="AN83" s="345">
        <f t="shared" si="104"/>
        <v>1330</v>
      </c>
      <c r="AO83" s="345">
        <f t="shared" si="104"/>
        <v>1330</v>
      </c>
      <c r="AP83" s="345">
        <f t="shared" si="104"/>
        <v>1272</v>
      </c>
      <c r="AQ83" s="345">
        <f t="shared" si="104"/>
        <v>1272</v>
      </c>
      <c r="AR83" s="345">
        <f t="shared" si="104"/>
        <v>1272</v>
      </c>
      <c r="AS83" s="345">
        <f t="shared" si="104"/>
        <v>1272</v>
      </c>
      <c r="AT83" s="345">
        <f t="shared" si="104"/>
        <v>1272</v>
      </c>
      <c r="AU83" s="345">
        <f t="shared" si="104"/>
        <v>1272</v>
      </c>
      <c r="AV83" s="345">
        <f t="shared" si="104"/>
        <v>1272</v>
      </c>
      <c r="AW83" s="345">
        <f t="shared" si="104"/>
        <v>1272</v>
      </c>
      <c r="AX83" s="346">
        <f t="shared" si="104"/>
        <v>1272</v>
      </c>
    </row>
    <row r="84" spans="1:50" s="94" customFormat="1" outlineLevel="1" x14ac:dyDescent="0.3">
      <c r="A84" s="94" t="s">
        <v>63</v>
      </c>
      <c r="B84" s="94" t="s">
        <v>22</v>
      </c>
      <c r="D84" s="95" t="s">
        <v>161</v>
      </c>
      <c r="F84" s="223" t="s">
        <v>452</v>
      </c>
      <c r="G84" s="224"/>
      <c r="H84" s="224"/>
      <c r="I84" s="224" t="s">
        <v>8</v>
      </c>
      <c r="J84" s="370"/>
      <c r="K84" s="2"/>
      <c r="L84" s="224"/>
      <c r="M84" s="224"/>
      <c r="N84" s="224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7"/>
      <c r="AA84" s="226">
        <f t="shared" ref="AA84:AL84" si="105">AA78</f>
        <v>1388.04</v>
      </c>
      <c r="AB84" s="226">
        <f t="shared" si="105"/>
        <v>1388.04</v>
      </c>
      <c r="AC84" s="226">
        <f t="shared" si="105"/>
        <v>1388.04</v>
      </c>
      <c r="AD84" s="226">
        <f t="shared" si="105"/>
        <v>1338.04</v>
      </c>
      <c r="AE84" s="226">
        <f t="shared" si="105"/>
        <v>1338.04</v>
      </c>
      <c r="AF84" s="226">
        <f t="shared" si="105"/>
        <v>1338.04</v>
      </c>
      <c r="AG84" s="226">
        <f t="shared" si="105"/>
        <v>1368.04</v>
      </c>
      <c r="AH84" s="226">
        <f t="shared" si="105"/>
        <v>1368.04</v>
      </c>
      <c r="AI84" s="226">
        <f t="shared" si="105"/>
        <v>1368.04</v>
      </c>
      <c r="AJ84" s="226">
        <f t="shared" si="105"/>
        <v>1368.04</v>
      </c>
      <c r="AK84" s="226">
        <f t="shared" si="105"/>
        <v>1368.04</v>
      </c>
      <c r="AL84" s="227">
        <f t="shared" si="105"/>
        <v>1368.04</v>
      </c>
      <c r="AM84" s="226">
        <f>AM78</f>
        <v>1325</v>
      </c>
      <c r="AN84" s="226">
        <f t="shared" ref="AN84:AX84" si="106">AN78</f>
        <v>1325</v>
      </c>
      <c r="AO84" s="226">
        <f t="shared" si="106"/>
        <v>1325</v>
      </c>
      <c r="AP84" s="226">
        <f t="shared" si="106"/>
        <v>1266</v>
      </c>
      <c r="AQ84" s="226">
        <f t="shared" si="106"/>
        <v>1266</v>
      </c>
      <c r="AR84" s="226">
        <f t="shared" si="106"/>
        <v>1266</v>
      </c>
      <c r="AS84" s="226">
        <f t="shared" si="106"/>
        <v>1266</v>
      </c>
      <c r="AT84" s="226">
        <f t="shared" si="106"/>
        <v>1266</v>
      </c>
      <c r="AU84" s="226">
        <f t="shared" si="106"/>
        <v>1266</v>
      </c>
      <c r="AV84" s="226">
        <f t="shared" si="106"/>
        <v>1266</v>
      </c>
      <c r="AW84" s="226">
        <f t="shared" si="106"/>
        <v>1266</v>
      </c>
      <c r="AX84" s="227">
        <f t="shared" si="106"/>
        <v>1266</v>
      </c>
    </row>
    <row r="85" spans="1:50" s="185" customFormat="1" outlineLevel="1" x14ac:dyDescent="0.3">
      <c r="A85" s="185" t="s">
        <v>63</v>
      </c>
      <c r="B85" s="185" t="s">
        <v>22</v>
      </c>
      <c r="F85" s="222" t="s">
        <v>453</v>
      </c>
      <c r="G85" s="190"/>
      <c r="H85" s="190"/>
      <c r="I85" s="190"/>
      <c r="J85" s="368" t="s">
        <v>202</v>
      </c>
      <c r="K85" s="186"/>
      <c r="L85" s="199"/>
      <c r="M85" s="199"/>
      <c r="N85" s="199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  <c r="Z85" s="313"/>
      <c r="AA85" s="310" cm="1">
        <f t="array" ref="AA85">SUMPRODUCT(General_Data*(Year=AA$3)*(Month=AA$4)*(Code_General_Data=$B85))</f>
        <v>1400</v>
      </c>
      <c r="AB85" s="310" cm="1">
        <f t="array" ref="AB85">SUMPRODUCT(General_Data*(Year=AB$3)*(Month=AB$4)*(Code_General_Data=$B85))</f>
        <v>1400</v>
      </c>
      <c r="AC85" s="310" cm="1">
        <f t="array" ref="AC85">SUMPRODUCT(General_Data*(Year=AC$3)*(Month=AC$4)*(Code_General_Data=$B85))</f>
        <v>1350</v>
      </c>
      <c r="AD85" s="310" cm="1">
        <f t="array" ref="AD85">SUMPRODUCT(General_Data*(Year=AD$3)*(Month=AD$4)*(Code_General_Data=$B85))</f>
        <v>1350</v>
      </c>
      <c r="AE85" s="310" cm="1">
        <f t="array" ref="AE85">SUMPRODUCT(General_Data*(Year=AE$3)*(Month=AE$4)*(Code_General_Data=$B85))</f>
        <v>1350</v>
      </c>
      <c r="AF85" s="310" cm="1">
        <f t="array" ref="AF85">SUMPRODUCT(General_Data*(Year=AF$3)*(Month=AF$4)*(Code_General_Data=$B85))</f>
        <v>1350</v>
      </c>
      <c r="AG85" s="310" cm="1">
        <f t="array" ref="AG85">SUMPRODUCT(General_Data*(Year=AG$3)*(Month=AG$4)*(Code_General_Data=$B85))</f>
        <v>1350</v>
      </c>
      <c r="AH85" s="310" cm="1">
        <f t="array" ref="AH85">SUMPRODUCT(General_Data*(Year=AH$3)*(Month=AH$4)*(Code_General_Data=$B85))</f>
        <v>1330</v>
      </c>
      <c r="AI85" s="310" cm="1">
        <f t="array" ref="AI85">SUMPRODUCT(General_Data*(Year=AI$3)*(Month=AI$4)*(Code_General_Data=$B85))</f>
        <v>1310</v>
      </c>
      <c r="AJ85" s="310" cm="1">
        <f t="array" ref="AJ85">SUMPRODUCT(General_Data*(Year=AJ$3)*(Month=AJ$4)*(Code_General_Data=$B85))</f>
        <v>1310</v>
      </c>
      <c r="AK85" s="310" cm="1">
        <f t="array" ref="AK85">SUMPRODUCT(General_Data*(Year=AK$3)*(Month=AK$4)*(Code_General_Data=$B85))</f>
        <v>1300</v>
      </c>
      <c r="AL85" s="311" cm="1">
        <f t="array" ref="AL85">SUMPRODUCT(General_Data*(Year=AL$3)*(Month=AL$4)*(Code_General_Data=$B85))</f>
        <v>1300</v>
      </c>
      <c r="AM85" s="310" cm="1">
        <f t="array" ref="AM85">SUMPRODUCT(General_Data*(Year=AM$3)*(Month=AM$4)*(Code_General_Data=$B85))</f>
        <v>1300</v>
      </c>
      <c r="AN85" s="310" cm="1">
        <f t="array" ref="AN85">SUMPRODUCT(General_Data*(Year=AN$3)*(Month=AN$4)*(Code_General_Data=$B85))</f>
        <v>1300</v>
      </c>
      <c r="AO85" s="310" cm="1">
        <f t="array" ref="AO85">SUMPRODUCT(General_Data*(Year=AO$3)*(Month=AO$4)*(Code_General_Data=$B85))</f>
        <v>1300</v>
      </c>
      <c r="AP85" s="310" cm="1">
        <f t="array" ref="AP85">SUMPRODUCT(General_Data*(Year=AP$3)*(Month=AP$4)*(Code_General_Data=$B85))</f>
        <v>1400</v>
      </c>
      <c r="AQ85" s="310" cm="1">
        <f t="array" ref="AQ85">SUMPRODUCT(General_Data*(Year=AQ$3)*(Month=AQ$4)*(Code_General_Data=$B85))</f>
        <v>1470</v>
      </c>
      <c r="AR85" s="310" cm="1">
        <f t="array" ref="AR85">SUMPRODUCT(General_Data*(Year=AR$3)*(Month=AR$4)*(Code_General_Data=$B85))</f>
        <v>1450</v>
      </c>
      <c r="AS85" s="310"/>
      <c r="AT85" s="310"/>
      <c r="AU85" s="310"/>
      <c r="AV85" s="310"/>
      <c r="AW85" s="310"/>
      <c r="AX85" s="311"/>
    </row>
    <row r="86" spans="1:50" s="185" customFormat="1" x14ac:dyDescent="0.3">
      <c r="F86" s="307"/>
      <c r="G86" s="186"/>
      <c r="H86" s="186"/>
      <c r="I86" s="186"/>
      <c r="J86" s="371"/>
      <c r="K86" s="186"/>
      <c r="L86" s="308"/>
      <c r="M86" s="308"/>
      <c r="N86" s="308"/>
      <c r="O86" s="308"/>
      <c r="P86" s="308"/>
      <c r="Q86" s="308"/>
      <c r="R86" s="308"/>
      <c r="S86" s="308"/>
      <c r="T86" s="308"/>
      <c r="U86" s="308"/>
      <c r="V86" s="308"/>
      <c r="W86" s="308"/>
      <c r="X86" s="308"/>
      <c r="Y86" s="308"/>
      <c r="Z86" s="309"/>
      <c r="AA86" s="308"/>
      <c r="AB86" s="308"/>
      <c r="AC86" s="308"/>
      <c r="AD86" s="308"/>
      <c r="AE86" s="308"/>
      <c r="AF86" s="308"/>
      <c r="AG86" s="308"/>
      <c r="AH86" s="308"/>
      <c r="AI86" s="308"/>
      <c r="AJ86" s="308"/>
      <c r="AK86" s="308"/>
      <c r="AL86" s="309"/>
      <c r="AM86" s="308"/>
      <c r="AN86" s="308"/>
      <c r="AO86" s="308"/>
      <c r="AP86" s="308"/>
      <c r="AQ86" s="308"/>
      <c r="AR86" s="308"/>
      <c r="AS86" s="308"/>
      <c r="AT86" s="308"/>
      <c r="AU86" s="308"/>
      <c r="AV86" s="308"/>
      <c r="AW86" s="308"/>
      <c r="AX86" s="309"/>
    </row>
    <row r="87" spans="1:50" s="325" customFormat="1" ht="15.6" x14ac:dyDescent="0.3">
      <c r="A87" s="325" t="s">
        <v>63</v>
      </c>
      <c r="B87" s="325" t="s">
        <v>64</v>
      </c>
      <c r="D87" s="325" t="s">
        <v>321</v>
      </c>
      <c r="F87" s="326">
        <v>4.4000000000000004</v>
      </c>
      <c r="G87" s="327"/>
      <c r="H87" s="327" t="s">
        <v>404</v>
      </c>
      <c r="I87" s="327"/>
      <c r="J87" s="361"/>
      <c r="L87" s="327"/>
      <c r="M87" s="327"/>
      <c r="N87" s="327"/>
      <c r="O87" s="329">
        <f t="shared" ref="O87:Z87" si="107">ROUND(SUM(O88:O89),-1)</f>
        <v>1450</v>
      </c>
      <c r="P87" s="329">
        <f t="shared" si="107"/>
        <v>1450</v>
      </c>
      <c r="Q87" s="329">
        <f t="shared" si="107"/>
        <v>1450</v>
      </c>
      <c r="R87" s="329">
        <f t="shared" si="107"/>
        <v>1380</v>
      </c>
      <c r="S87" s="329">
        <f t="shared" si="107"/>
        <v>1380</v>
      </c>
      <c r="T87" s="329">
        <f t="shared" si="107"/>
        <v>1380</v>
      </c>
      <c r="U87" s="329">
        <f t="shared" si="107"/>
        <v>1380</v>
      </c>
      <c r="V87" s="329">
        <f t="shared" si="107"/>
        <v>1380</v>
      </c>
      <c r="W87" s="329">
        <f t="shared" si="107"/>
        <v>1380</v>
      </c>
      <c r="X87" s="329">
        <f t="shared" si="107"/>
        <v>1380</v>
      </c>
      <c r="Y87" s="329">
        <f t="shared" si="107"/>
        <v>1380</v>
      </c>
      <c r="Z87" s="330">
        <f t="shared" si="107"/>
        <v>1380</v>
      </c>
      <c r="AA87" s="328">
        <f t="shared" ref="AA87:AL87" si="108">ROUND(SUM(AA88:AA89),-1)</f>
        <v>1350</v>
      </c>
      <c r="AB87" s="329">
        <f t="shared" si="108"/>
        <v>1350</v>
      </c>
      <c r="AC87" s="329">
        <f t="shared" si="108"/>
        <v>1350</v>
      </c>
      <c r="AD87" s="329">
        <f t="shared" si="108"/>
        <v>1300</v>
      </c>
      <c r="AE87" s="329">
        <f t="shared" si="108"/>
        <v>1300</v>
      </c>
      <c r="AF87" s="329">
        <f t="shared" si="108"/>
        <v>1300</v>
      </c>
      <c r="AG87" s="329">
        <f t="shared" si="108"/>
        <v>1330</v>
      </c>
      <c r="AH87" s="329">
        <f t="shared" si="108"/>
        <v>1330</v>
      </c>
      <c r="AI87" s="329">
        <f t="shared" si="108"/>
        <v>1330</v>
      </c>
      <c r="AJ87" s="329">
        <f t="shared" si="108"/>
        <v>1330</v>
      </c>
      <c r="AK87" s="329">
        <f t="shared" si="108"/>
        <v>1330</v>
      </c>
      <c r="AL87" s="330">
        <f t="shared" si="108"/>
        <v>1330</v>
      </c>
      <c r="AM87" s="328">
        <f>SUM(AM88:AM89)</f>
        <v>1280</v>
      </c>
      <c r="AN87" s="329">
        <f t="shared" ref="AN87:AO87" si="109">SUM(AN88:AN89)</f>
        <v>1280</v>
      </c>
      <c r="AO87" s="329">
        <f t="shared" si="109"/>
        <v>1280</v>
      </c>
      <c r="AP87" s="499"/>
      <c r="AQ87" s="499"/>
      <c r="AR87" s="499"/>
      <c r="AS87" s="499"/>
      <c r="AT87" s="499"/>
      <c r="AU87" s="499"/>
      <c r="AV87" s="499"/>
      <c r="AW87" s="499"/>
      <c r="AX87" s="500"/>
    </row>
    <row r="88" spans="1:50" s="340" customFormat="1" outlineLevel="1" x14ac:dyDescent="0.3">
      <c r="A88" s="340" t="s">
        <v>63</v>
      </c>
      <c r="B88" s="340" t="s">
        <v>64</v>
      </c>
      <c r="F88" s="341" t="s">
        <v>454</v>
      </c>
      <c r="G88" s="342"/>
      <c r="H88" s="342" t="s">
        <v>40</v>
      </c>
      <c r="I88" s="342" t="s">
        <v>253</v>
      </c>
      <c r="J88" s="362"/>
      <c r="K88" s="343"/>
      <c r="L88" s="342"/>
      <c r="M88" s="342"/>
      <c r="N88" s="342"/>
      <c r="O88" s="345">
        <f t="shared" ref="O88:Z88" si="110">O68</f>
        <v>1500</v>
      </c>
      <c r="P88" s="345">
        <f t="shared" si="110"/>
        <v>1500</v>
      </c>
      <c r="Q88" s="345">
        <f t="shared" si="110"/>
        <v>1500</v>
      </c>
      <c r="R88" s="345">
        <f t="shared" si="110"/>
        <v>1430</v>
      </c>
      <c r="S88" s="345">
        <f t="shared" si="110"/>
        <v>1430</v>
      </c>
      <c r="T88" s="345">
        <f t="shared" si="110"/>
        <v>1430</v>
      </c>
      <c r="U88" s="345">
        <f t="shared" si="110"/>
        <v>1430</v>
      </c>
      <c r="V88" s="345">
        <f t="shared" si="110"/>
        <v>1430</v>
      </c>
      <c r="W88" s="345">
        <f t="shared" si="110"/>
        <v>1430</v>
      </c>
      <c r="X88" s="345">
        <f t="shared" si="110"/>
        <v>1430</v>
      </c>
      <c r="Y88" s="345">
        <f t="shared" si="110"/>
        <v>1430</v>
      </c>
      <c r="Z88" s="346">
        <f t="shared" si="110"/>
        <v>1430</v>
      </c>
      <c r="AA88" s="344">
        <f t="shared" ref="AA88:AL88" si="111">AA82</f>
        <v>1400</v>
      </c>
      <c r="AB88" s="345">
        <f t="shared" si="111"/>
        <v>1400</v>
      </c>
      <c r="AC88" s="345">
        <f t="shared" si="111"/>
        <v>1400</v>
      </c>
      <c r="AD88" s="345">
        <f t="shared" si="111"/>
        <v>1350</v>
      </c>
      <c r="AE88" s="345">
        <f t="shared" si="111"/>
        <v>1350</v>
      </c>
      <c r="AF88" s="345">
        <f t="shared" si="111"/>
        <v>1350</v>
      </c>
      <c r="AG88" s="345">
        <f t="shared" si="111"/>
        <v>1380</v>
      </c>
      <c r="AH88" s="345">
        <f t="shared" si="111"/>
        <v>1380</v>
      </c>
      <c r="AI88" s="345">
        <f t="shared" si="111"/>
        <v>1380</v>
      </c>
      <c r="AJ88" s="345">
        <f t="shared" si="111"/>
        <v>1380</v>
      </c>
      <c r="AK88" s="345">
        <f t="shared" si="111"/>
        <v>1380</v>
      </c>
      <c r="AL88" s="346">
        <f t="shared" si="111"/>
        <v>1380</v>
      </c>
      <c r="AM88" s="344">
        <f t="shared" ref="AM88:AO88" si="112">AM82</f>
        <v>1330</v>
      </c>
      <c r="AN88" s="345">
        <f t="shared" si="112"/>
        <v>1330</v>
      </c>
      <c r="AO88" s="345">
        <f t="shared" si="112"/>
        <v>1330</v>
      </c>
      <c r="AP88" s="501"/>
      <c r="AQ88" s="501"/>
      <c r="AR88" s="501"/>
      <c r="AS88" s="501"/>
      <c r="AT88" s="501"/>
      <c r="AU88" s="501"/>
      <c r="AV88" s="501"/>
      <c r="AW88" s="501"/>
      <c r="AX88" s="502"/>
    </row>
    <row r="89" spans="1:50" s="340" customFormat="1" outlineLevel="1" x14ac:dyDescent="0.3">
      <c r="A89" s="340" t="s">
        <v>63</v>
      </c>
      <c r="B89" s="340" t="s">
        <v>64</v>
      </c>
      <c r="F89" s="341" t="s">
        <v>455</v>
      </c>
      <c r="G89" s="342"/>
      <c r="H89" s="342" t="s">
        <v>40</v>
      </c>
      <c r="I89" s="342" t="s">
        <v>52</v>
      </c>
      <c r="J89" s="362"/>
      <c r="K89" s="343"/>
      <c r="L89" s="342"/>
      <c r="M89" s="342"/>
      <c r="N89" s="342"/>
      <c r="O89" s="345">
        <v>-50</v>
      </c>
      <c r="P89" s="345">
        <v>-50</v>
      </c>
      <c r="Q89" s="345">
        <v>-50</v>
      </c>
      <c r="R89" s="345">
        <v>-50</v>
      </c>
      <c r="S89" s="345">
        <v>-50</v>
      </c>
      <c r="T89" s="345">
        <v>-50</v>
      </c>
      <c r="U89" s="345">
        <v>-50</v>
      </c>
      <c r="V89" s="345">
        <v>-50</v>
      </c>
      <c r="W89" s="345">
        <v>-50</v>
      </c>
      <c r="X89" s="345">
        <v>-50</v>
      </c>
      <c r="Y89" s="345">
        <v>-50</v>
      </c>
      <c r="Z89" s="346">
        <v>-50</v>
      </c>
      <c r="AA89" s="344">
        <v>-50</v>
      </c>
      <c r="AB89" s="345">
        <v>-50</v>
      </c>
      <c r="AC89" s="345">
        <v>-50</v>
      </c>
      <c r="AD89" s="345">
        <v>-50</v>
      </c>
      <c r="AE89" s="345">
        <v>-50</v>
      </c>
      <c r="AF89" s="345">
        <v>-50</v>
      </c>
      <c r="AG89" s="345">
        <v>-50</v>
      </c>
      <c r="AH89" s="345">
        <v>-50</v>
      </c>
      <c r="AI89" s="345">
        <v>-50</v>
      </c>
      <c r="AJ89" s="345">
        <v>-50</v>
      </c>
      <c r="AK89" s="345">
        <v>-50</v>
      </c>
      <c r="AL89" s="346">
        <v>-50</v>
      </c>
      <c r="AM89" s="344">
        <v>-50</v>
      </c>
      <c r="AN89" s="345">
        <v>-50</v>
      </c>
      <c r="AO89" s="345">
        <v>-50</v>
      </c>
      <c r="AP89" s="501"/>
      <c r="AQ89" s="501"/>
      <c r="AR89" s="501"/>
      <c r="AS89" s="501"/>
      <c r="AT89" s="501"/>
      <c r="AU89" s="501"/>
      <c r="AV89" s="501"/>
      <c r="AW89" s="501"/>
      <c r="AX89" s="502"/>
    </row>
    <row r="90" spans="1:50" s="94" customFormat="1" outlineLevel="1" x14ac:dyDescent="0.3">
      <c r="A90" s="94" t="s">
        <v>63</v>
      </c>
      <c r="B90" s="94" t="s">
        <v>64</v>
      </c>
      <c r="D90" s="95" t="s">
        <v>161</v>
      </c>
      <c r="F90" s="223" t="s">
        <v>456</v>
      </c>
      <c r="G90" s="224"/>
      <c r="H90" s="224"/>
      <c r="I90" s="224" t="s">
        <v>8</v>
      </c>
      <c r="J90" s="370"/>
      <c r="K90" s="2"/>
      <c r="L90" s="224"/>
      <c r="M90" s="224"/>
      <c r="N90" s="224"/>
      <c r="O90" s="226">
        <f t="shared" ref="O90:AL90" si="113">O87-O72</f>
        <v>1437.795918367347</v>
      </c>
      <c r="P90" s="226">
        <f t="shared" si="113"/>
        <v>1437.795918367347</v>
      </c>
      <c r="Q90" s="226">
        <f t="shared" si="113"/>
        <v>1437.795918367347</v>
      </c>
      <c r="R90" s="226">
        <f t="shared" si="113"/>
        <v>1367.795918367347</v>
      </c>
      <c r="S90" s="226">
        <f t="shared" si="113"/>
        <v>1367.795918367347</v>
      </c>
      <c r="T90" s="226">
        <f t="shared" si="113"/>
        <v>1367.795918367347</v>
      </c>
      <c r="U90" s="226">
        <f t="shared" si="113"/>
        <v>1368.04</v>
      </c>
      <c r="V90" s="226">
        <f t="shared" si="113"/>
        <v>1368.04</v>
      </c>
      <c r="W90" s="226">
        <f t="shared" si="113"/>
        <v>1368.04</v>
      </c>
      <c r="X90" s="226">
        <f t="shared" si="113"/>
        <v>1368.04</v>
      </c>
      <c r="Y90" s="226">
        <f t="shared" si="113"/>
        <v>1368.04</v>
      </c>
      <c r="Z90" s="227">
        <f t="shared" si="113"/>
        <v>1368.04</v>
      </c>
      <c r="AA90" s="226">
        <f t="shared" si="113"/>
        <v>1338.04</v>
      </c>
      <c r="AB90" s="226">
        <f t="shared" si="113"/>
        <v>1338.04</v>
      </c>
      <c r="AC90" s="226">
        <f t="shared" si="113"/>
        <v>1338.04</v>
      </c>
      <c r="AD90" s="226">
        <f t="shared" si="113"/>
        <v>1288.04</v>
      </c>
      <c r="AE90" s="226">
        <f t="shared" si="113"/>
        <v>1288.04</v>
      </c>
      <c r="AF90" s="226">
        <f t="shared" si="113"/>
        <v>1288.04</v>
      </c>
      <c r="AG90" s="226">
        <f t="shared" si="113"/>
        <v>1318.04</v>
      </c>
      <c r="AH90" s="226">
        <f t="shared" si="113"/>
        <v>1318.04</v>
      </c>
      <c r="AI90" s="226">
        <f t="shared" si="113"/>
        <v>1318.04</v>
      </c>
      <c r="AJ90" s="226">
        <f t="shared" si="113"/>
        <v>1318.04</v>
      </c>
      <c r="AK90" s="226">
        <f t="shared" si="113"/>
        <v>1318.04</v>
      </c>
      <c r="AL90" s="227">
        <f t="shared" si="113"/>
        <v>1318.04</v>
      </c>
      <c r="AM90" s="226">
        <f>AM87-AM79</f>
        <v>1275</v>
      </c>
      <c r="AN90" s="226">
        <f>AN87-AN79</f>
        <v>1275</v>
      </c>
      <c r="AO90" s="226">
        <f t="shared" ref="AO90" si="114">AO87-AO79</f>
        <v>1275</v>
      </c>
      <c r="AP90" s="258"/>
      <c r="AQ90" s="258"/>
      <c r="AR90" s="258"/>
      <c r="AS90" s="258"/>
      <c r="AT90" s="258"/>
      <c r="AU90" s="258"/>
      <c r="AV90" s="258"/>
      <c r="AW90" s="258"/>
      <c r="AX90" s="259"/>
    </row>
    <row r="91" spans="1:50" s="185" customFormat="1" outlineLevel="1" x14ac:dyDescent="0.3">
      <c r="A91" s="185" t="s">
        <v>63</v>
      </c>
      <c r="B91" s="185" t="s">
        <v>64</v>
      </c>
      <c r="F91" s="222" t="s">
        <v>457</v>
      </c>
      <c r="G91" s="190"/>
      <c r="H91" s="190"/>
      <c r="I91" s="190"/>
      <c r="J91" s="368" t="s">
        <v>202</v>
      </c>
      <c r="K91" s="186"/>
      <c r="L91" s="199"/>
      <c r="M91" s="199"/>
      <c r="N91" s="199"/>
      <c r="O91" s="310" cm="1">
        <f t="array" ref="O91">SUMPRODUCT(General_Data*(Year=O$3)*(Month=O$4)*(Code_General_Data=$B91))</f>
        <v>1350</v>
      </c>
      <c r="P91" s="310" cm="1">
        <f t="array" ref="P91">SUMPRODUCT(General_Data*(Year=P$3)*(Month=P$4)*(Code_General_Data=$B91))</f>
        <v>1350</v>
      </c>
      <c r="Q91" s="310" cm="1">
        <f t="array" ref="Q91">SUMPRODUCT(General_Data*(Year=Q$3)*(Month=Q$4)*(Code_General_Data=$B91))</f>
        <v>1350</v>
      </c>
      <c r="R91" s="310" cm="1">
        <f t="array" ref="R91">SUMPRODUCT(General_Data*(Year=R$3)*(Month=R$4)*(Code_General_Data=$B91))</f>
        <v>1350</v>
      </c>
      <c r="S91" s="310" cm="1">
        <f t="array" ref="S91">SUMPRODUCT(General_Data*(Year=S$3)*(Month=S$4)*(Code_General_Data=$B91))</f>
        <v>1350</v>
      </c>
      <c r="T91" s="310" cm="1">
        <f t="array" ref="T91">SUMPRODUCT(General_Data*(Year=T$3)*(Month=T$4)*(Code_General_Data=$B91))</f>
        <v>1350</v>
      </c>
      <c r="U91" s="310" cm="1">
        <f t="array" ref="U91">SUMPRODUCT(General_Data*(Year=U$3)*(Month=U$4)*(Code_General_Data=$B91))</f>
        <v>1350</v>
      </c>
      <c r="V91" s="310" cm="1">
        <f t="array" ref="V91">SUMPRODUCT(General_Data*(Year=V$3)*(Month=V$4)*(Code_General_Data=$B91))</f>
        <v>1350</v>
      </c>
      <c r="W91" s="310" cm="1">
        <f t="array" ref="W91">SUMPRODUCT(General_Data*(Year=W$3)*(Month=W$4)*(Code_General_Data=$B91))</f>
        <v>1350</v>
      </c>
      <c r="X91" s="310" cm="1">
        <f t="array" ref="X91">SUMPRODUCT(General_Data*(Year=X$3)*(Month=X$4)*(Code_General_Data=$B91))</f>
        <v>1350</v>
      </c>
      <c r="Y91" s="310" cm="1">
        <f t="array" ref="Y91">SUMPRODUCT(General_Data*(Year=Y$3)*(Month=Y$4)*(Code_General_Data=$B91))</f>
        <v>1350</v>
      </c>
      <c r="Z91" s="311" cm="1">
        <f t="array" ref="Z91">SUMPRODUCT(General_Data*(Year=Z$3)*(Month=Z$4)*(Code_General_Data=$B91))</f>
        <v>1350</v>
      </c>
      <c r="AA91" s="310" cm="1">
        <f t="array" ref="AA91">SUMPRODUCT(General_Data*(Year=AA$3)*(Month=AA$4)*(Code_General_Data=$B91))</f>
        <v>1350</v>
      </c>
      <c r="AB91" s="310" cm="1">
        <f t="array" ref="AB91">SUMPRODUCT(General_Data*(Year=AB$3)*(Month=AB$4)*(Code_General_Data=$B91))</f>
        <v>1350</v>
      </c>
      <c r="AC91" s="310" cm="1">
        <f t="array" ref="AC91">SUMPRODUCT(General_Data*(Year=AC$3)*(Month=AC$4)*(Code_General_Data=$B91))</f>
        <v>1300</v>
      </c>
      <c r="AD91" s="310" cm="1">
        <f t="array" ref="AD91">SUMPRODUCT(General_Data*(Year=AD$3)*(Month=AD$4)*(Code_General_Data=$B91))</f>
        <v>1300</v>
      </c>
      <c r="AE91" s="310" cm="1">
        <f t="array" ref="AE91">SUMPRODUCT(General_Data*(Year=AE$3)*(Month=AE$4)*(Code_General_Data=$B91))</f>
        <v>1300</v>
      </c>
      <c r="AF91" s="310" cm="1">
        <f t="array" ref="AF91">SUMPRODUCT(General_Data*(Year=AF$3)*(Month=AF$4)*(Code_General_Data=$B91))</f>
        <v>1300</v>
      </c>
      <c r="AG91" s="310" cm="1">
        <f t="array" ref="AG91">SUMPRODUCT(General_Data*(Year=AG$3)*(Month=AG$4)*(Code_General_Data=$B91))</f>
        <v>1300</v>
      </c>
      <c r="AH91" s="310" cm="1">
        <f t="array" ref="AH91">SUMPRODUCT(General_Data*(Year=AH$3)*(Month=AH$4)*(Code_General_Data=$B91))</f>
        <v>1280</v>
      </c>
      <c r="AI91" s="310" cm="1">
        <f t="array" ref="AI91">SUMPRODUCT(General_Data*(Year=AI$3)*(Month=AI$4)*(Code_General_Data=$B91))</f>
        <v>1260</v>
      </c>
      <c r="AJ91" s="310" cm="1">
        <f t="array" ref="AJ91">SUMPRODUCT(General_Data*(Year=AJ$3)*(Month=AJ$4)*(Code_General_Data=$B91))</f>
        <v>1260</v>
      </c>
      <c r="AK91" s="310" cm="1">
        <f t="array" ref="AK91">SUMPRODUCT(General_Data*(Year=AK$3)*(Month=AK$4)*(Code_General_Data=$B91))</f>
        <v>1250</v>
      </c>
      <c r="AL91" s="311" cm="1">
        <f t="array" ref="AL91">SUMPRODUCT(General_Data*(Year=AL$3)*(Month=AL$4)*(Code_General_Data=$B91))</f>
        <v>1250</v>
      </c>
      <c r="AM91" s="310" cm="1">
        <f t="array" ref="AM91">SUMPRODUCT(General_Data*(Year=AM$3)*(Month=AM$4)*(Code_General_Data=$B91))</f>
        <v>1250</v>
      </c>
      <c r="AN91" s="310" cm="1">
        <f t="array" ref="AN91">SUMPRODUCT(General_Data*(Year=AN$3)*(Month=AN$4)*(Code_General_Data=$B91))</f>
        <v>1250</v>
      </c>
      <c r="AO91" s="310" cm="1">
        <f t="array" ref="AO91">SUMPRODUCT(General_Data*(Year=AO$3)*(Month=AO$4)*(Code_General_Data=$B91))</f>
        <v>1250</v>
      </c>
      <c r="AP91" s="503"/>
      <c r="AQ91" s="503"/>
      <c r="AR91" s="503"/>
      <c r="AS91" s="503"/>
      <c r="AT91" s="503"/>
      <c r="AU91" s="503"/>
      <c r="AV91" s="503"/>
      <c r="AW91" s="503"/>
      <c r="AX91" s="504"/>
    </row>
    <row r="92" spans="1:50" s="93" customFormat="1" x14ac:dyDescent="0.3">
      <c r="D92" s="92"/>
      <c r="F92" s="165"/>
      <c r="G92"/>
      <c r="H92"/>
      <c r="I92"/>
      <c r="J92" s="316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 s="48"/>
      <c r="AA92"/>
      <c r="AB92"/>
      <c r="AC92"/>
      <c r="AD92"/>
      <c r="AE92"/>
      <c r="AF92"/>
      <c r="AG92"/>
      <c r="AH92"/>
      <c r="AI92"/>
      <c r="AJ92"/>
      <c r="AK92"/>
      <c r="AL92" s="48"/>
      <c r="AM92"/>
      <c r="AN92"/>
      <c r="AO92"/>
      <c r="AP92"/>
      <c r="AQ92"/>
      <c r="AR92"/>
      <c r="AS92"/>
      <c r="AT92"/>
      <c r="AU92"/>
      <c r="AV92"/>
      <c r="AW92"/>
      <c r="AX92" s="48"/>
    </row>
    <row r="93" spans="1:50" s="331" customFormat="1" ht="17.399999999999999" x14ac:dyDescent="0.3">
      <c r="A93" s="331" t="s">
        <v>39</v>
      </c>
      <c r="F93" s="332">
        <v>5</v>
      </c>
      <c r="G93" s="359" t="s">
        <v>323</v>
      </c>
      <c r="H93" s="359"/>
      <c r="I93" s="359"/>
      <c r="J93" s="360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  <c r="Z93" s="334"/>
      <c r="AA93" s="335"/>
      <c r="AB93" s="333"/>
      <c r="AC93" s="335"/>
      <c r="AD93" s="335"/>
      <c r="AE93" s="335"/>
      <c r="AF93" s="335"/>
      <c r="AG93" s="335"/>
      <c r="AH93" s="335"/>
      <c r="AI93" s="335"/>
      <c r="AJ93" s="335"/>
      <c r="AK93" s="335"/>
      <c r="AL93" s="334"/>
      <c r="AM93" s="335"/>
      <c r="AN93" s="333"/>
      <c r="AO93" s="335"/>
      <c r="AP93" s="335"/>
      <c r="AQ93" s="335"/>
      <c r="AR93" s="335"/>
      <c r="AS93" s="335"/>
      <c r="AT93" s="335"/>
      <c r="AU93" s="335"/>
      <c r="AV93" s="335"/>
      <c r="AW93" s="335"/>
      <c r="AX93" s="334"/>
    </row>
    <row r="94" spans="1:50" s="325" customFormat="1" ht="15.6" x14ac:dyDescent="0.3">
      <c r="A94" s="325" t="s">
        <v>39</v>
      </c>
      <c r="B94" s="325" t="s">
        <v>28</v>
      </c>
      <c r="D94" s="325" t="s">
        <v>321</v>
      </c>
      <c r="F94" s="338">
        <v>5.0999999999999996</v>
      </c>
      <c r="G94" s="339"/>
      <c r="H94" s="339" t="s">
        <v>260</v>
      </c>
      <c r="I94" s="339"/>
      <c r="J94" s="373"/>
      <c r="L94" s="339"/>
      <c r="M94" s="339"/>
      <c r="N94" s="339"/>
      <c r="O94" s="329">
        <f>SUM(O95:O98)</f>
        <v>1366.5</v>
      </c>
      <c r="P94" s="329">
        <f t="shared" ref="P94:Z94" si="115">SUM(P95:P98)</f>
        <v>1374</v>
      </c>
      <c r="Q94" s="329">
        <f t="shared" si="115"/>
        <v>1386.5</v>
      </c>
      <c r="R94" s="329">
        <f t="shared" si="115"/>
        <v>1389</v>
      </c>
      <c r="S94" s="329">
        <f t="shared" si="115"/>
        <v>1393</v>
      </c>
      <c r="T94" s="329">
        <f t="shared" si="115"/>
        <v>1408</v>
      </c>
      <c r="U94" s="329">
        <f t="shared" si="115"/>
        <v>1424</v>
      </c>
      <c r="V94" s="329">
        <f t="shared" si="115"/>
        <v>1435</v>
      </c>
      <c r="W94" s="329">
        <f t="shared" si="115"/>
        <v>1455</v>
      </c>
      <c r="X94" s="329">
        <f t="shared" si="115"/>
        <v>1482.75</v>
      </c>
      <c r="Y94" s="329">
        <f t="shared" si="115"/>
        <v>1500.25</v>
      </c>
      <c r="Z94" s="330">
        <f t="shared" si="115"/>
        <v>1504</v>
      </c>
      <c r="AA94" s="329">
        <f t="shared" ref="AA94:AL94" si="116">MIN(MAX(SUM(AA95,AA96),AA104),AA103)+AA97+AA98</f>
        <v>1452.903125</v>
      </c>
      <c r="AB94" s="329">
        <f t="shared" si="116"/>
        <v>1415.1447916666652</v>
      </c>
      <c r="AC94" s="329">
        <f t="shared" si="116"/>
        <v>1380.0541666666652</v>
      </c>
      <c r="AD94" s="329">
        <f t="shared" si="116"/>
        <v>1380.875</v>
      </c>
      <c r="AE94" s="329">
        <f t="shared" si="116"/>
        <v>1385.8</v>
      </c>
      <c r="AF94" s="329">
        <f t="shared" si="116"/>
        <v>1385.8</v>
      </c>
      <c r="AG94" s="329">
        <f t="shared" si="116"/>
        <v>1385.8</v>
      </c>
      <c r="AH94" s="329">
        <f t="shared" si="116"/>
        <v>1368.07</v>
      </c>
      <c r="AI94" s="329">
        <f t="shared" si="116"/>
        <v>1336.5574999999999</v>
      </c>
      <c r="AJ94" s="329">
        <f t="shared" si="116"/>
        <v>1336.9775</v>
      </c>
      <c r="AK94" s="329">
        <f t="shared" si="116"/>
        <v>1337.3150000000001</v>
      </c>
      <c r="AL94" s="330">
        <f t="shared" si="116"/>
        <v>1337.496875</v>
      </c>
      <c r="AM94" s="329">
        <v>1225</v>
      </c>
      <c r="AN94" s="329">
        <v>1225</v>
      </c>
      <c r="AO94" s="329">
        <v>1225</v>
      </c>
      <c r="AP94" s="329">
        <f>1225+8</f>
        <v>1233</v>
      </c>
      <c r="AQ94" s="329">
        <f t="shared" ref="AQ94:AX94" si="117">1225+8</f>
        <v>1233</v>
      </c>
      <c r="AR94" s="329">
        <f t="shared" si="117"/>
        <v>1233</v>
      </c>
      <c r="AS94" s="329">
        <f t="shared" si="117"/>
        <v>1233</v>
      </c>
      <c r="AT94" s="329">
        <f t="shared" si="117"/>
        <v>1233</v>
      </c>
      <c r="AU94" s="329">
        <f t="shared" si="117"/>
        <v>1233</v>
      </c>
      <c r="AV94" s="329">
        <f t="shared" si="117"/>
        <v>1233</v>
      </c>
      <c r="AW94" s="329">
        <f t="shared" si="117"/>
        <v>1233</v>
      </c>
      <c r="AX94" s="330">
        <f t="shared" si="117"/>
        <v>1233</v>
      </c>
    </row>
    <row r="95" spans="1:50" s="349" customFormat="1" outlineLevel="1" x14ac:dyDescent="0.3">
      <c r="A95" s="349" t="s">
        <v>39</v>
      </c>
      <c r="B95" s="349" t="s">
        <v>28</v>
      </c>
      <c r="F95" s="350" t="s">
        <v>458</v>
      </c>
      <c r="G95" s="351"/>
      <c r="H95" s="351" t="s">
        <v>40</v>
      </c>
      <c r="I95" s="351" t="s">
        <v>332</v>
      </c>
      <c r="J95" s="374"/>
      <c r="K95" s="352"/>
      <c r="L95" s="351"/>
      <c r="M95" s="351"/>
      <c r="N95" s="351"/>
      <c r="O95" s="345">
        <f>(M102+N102)/2</f>
        <v>1300</v>
      </c>
      <c r="P95" s="345">
        <f t="shared" ref="P95:Z95" si="118">(N102+O102)/2</f>
        <v>1307.5</v>
      </c>
      <c r="Q95" s="345">
        <f t="shared" si="118"/>
        <v>1320</v>
      </c>
      <c r="R95" s="345">
        <f t="shared" si="118"/>
        <v>1322.5</v>
      </c>
      <c r="S95" s="345">
        <f t="shared" si="118"/>
        <v>1326.5</v>
      </c>
      <c r="T95" s="345">
        <f t="shared" si="118"/>
        <v>1341.5</v>
      </c>
      <c r="U95" s="345">
        <f t="shared" si="118"/>
        <v>1357.5</v>
      </c>
      <c r="V95" s="345">
        <f t="shared" si="118"/>
        <v>1368.5</v>
      </c>
      <c r="W95" s="345">
        <f t="shared" si="118"/>
        <v>1388.5</v>
      </c>
      <c r="X95" s="345">
        <f t="shared" si="118"/>
        <v>1416.25</v>
      </c>
      <c r="Y95" s="345">
        <f t="shared" si="118"/>
        <v>1433.75</v>
      </c>
      <c r="Z95" s="346">
        <f t="shared" si="118"/>
        <v>1437.5</v>
      </c>
      <c r="AA95" s="344">
        <f t="shared" ref="AA95:AL95" si="119">(Y102+Z102)/2</f>
        <v>1428.125</v>
      </c>
      <c r="AB95" s="345">
        <f t="shared" si="119"/>
        <v>1389.7916666666652</v>
      </c>
      <c r="AC95" s="345">
        <f t="shared" si="119"/>
        <v>1354.1666666666652</v>
      </c>
      <c r="AD95" s="345">
        <f t="shared" si="119"/>
        <v>1355</v>
      </c>
      <c r="AE95" s="345">
        <f t="shared" si="119"/>
        <v>1360</v>
      </c>
      <c r="AF95" s="345">
        <f t="shared" si="119"/>
        <v>1360</v>
      </c>
      <c r="AG95" s="345">
        <f t="shared" si="119"/>
        <v>1360</v>
      </c>
      <c r="AH95" s="345">
        <f t="shared" si="119"/>
        <v>1342</v>
      </c>
      <c r="AI95" s="345">
        <f t="shared" si="119"/>
        <v>1309.5</v>
      </c>
      <c r="AJ95" s="345">
        <f t="shared" si="119"/>
        <v>1281.5</v>
      </c>
      <c r="AK95" s="345">
        <f t="shared" si="119"/>
        <v>1259</v>
      </c>
      <c r="AL95" s="345">
        <f t="shared" si="119"/>
        <v>1246.875</v>
      </c>
      <c r="AM95" s="344"/>
      <c r="AN95" s="345"/>
      <c r="AO95" s="345"/>
      <c r="AP95" s="345"/>
      <c r="AQ95" s="345"/>
      <c r="AR95" s="345"/>
      <c r="AS95" s="345"/>
      <c r="AT95" s="345"/>
      <c r="AU95" s="345"/>
      <c r="AV95" s="345"/>
      <c r="AW95" s="345"/>
      <c r="AX95" s="346"/>
    </row>
    <row r="96" spans="1:50" s="349" customFormat="1" outlineLevel="1" x14ac:dyDescent="0.3">
      <c r="A96" s="349" t="s">
        <v>39</v>
      </c>
      <c r="B96" s="349" t="s">
        <v>28</v>
      </c>
      <c r="F96" s="350" t="s">
        <v>459</v>
      </c>
      <c r="G96" s="351"/>
      <c r="H96" s="351" t="s">
        <v>40</v>
      </c>
      <c r="I96" s="351" t="s">
        <v>267</v>
      </c>
      <c r="J96" s="374"/>
      <c r="K96" s="352"/>
      <c r="L96" s="351"/>
      <c r="M96" s="351"/>
      <c r="N96" s="351"/>
      <c r="O96" s="345">
        <v>50</v>
      </c>
      <c r="P96" s="345">
        <v>50</v>
      </c>
      <c r="Q96" s="345">
        <v>50</v>
      </c>
      <c r="R96" s="345">
        <v>50</v>
      </c>
      <c r="S96" s="345">
        <v>50</v>
      </c>
      <c r="T96" s="345">
        <v>50</v>
      </c>
      <c r="U96" s="345">
        <v>50</v>
      </c>
      <c r="V96" s="345">
        <v>50</v>
      </c>
      <c r="W96" s="345">
        <v>50</v>
      </c>
      <c r="X96" s="345">
        <v>50</v>
      </c>
      <c r="Y96" s="345">
        <v>50</v>
      </c>
      <c r="Z96" s="346">
        <v>50</v>
      </c>
      <c r="AA96" s="344">
        <v>20</v>
      </c>
      <c r="AB96" s="345">
        <v>20</v>
      </c>
      <c r="AC96" s="345">
        <v>20</v>
      </c>
      <c r="AD96" s="345">
        <v>20</v>
      </c>
      <c r="AE96" s="345">
        <v>20</v>
      </c>
      <c r="AF96" s="345">
        <v>20</v>
      </c>
      <c r="AG96" s="345">
        <v>20</v>
      </c>
      <c r="AH96" s="345">
        <v>20</v>
      </c>
      <c r="AI96" s="345">
        <v>20</v>
      </c>
      <c r="AJ96" s="345">
        <v>20</v>
      </c>
      <c r="AK96" s="345">
        <v>20</v>
      </c>
      <c r="AL96" s="345">
        <v>20</v>
      </c>
      <c r="AM96" s="344"/>
      <c r="AN96" s="345"/>
      <c r="AO96" s="345"/>
      <c r="AP96" s="345"/>
      <c r="AQ96" s="345"/>
      <c r="AR96" s="345"/>
      <c r="AS96" s="345"/>
      <c r="AT96" s="345"/>
      <c r="AU96" s="345"/>
      <c r="AV96" s="345"/>
      <c r="AW96" s="345"/>
      <c r="AX96" s="346"/>
    </row>
    <row r="97" spans="1:50" s="349" customFormat="1" outlineLevel="1" x14ac:dyDescent="0.3">
      <c r="A97" s="349" t="s">
        <v>39</v>
      </c>
      <c r="B97" s="349" t="s">
        <v>28</v>
      </c>
      <c r="F97" s="350" t="s">
        <v>460</v>
      </c>
      <c r="G97" s="351"/>
      <c r="H97" s="351" t="s">
        <v>40</v>
      </c>
      <c r="I97" s="353" t="s">
        <v>489</v>
      </c>
      <c r="J97" s="374"/>
      <c r="K97" s="352"/>
      <c r="L97" s="351"/>
      <c r="M97" s="351"/>
      <c r="N97" s="351"/>
      <c r="O97" s="345">
        <f>-IF('Rebate-Suntory'!$E$14="/tấn",'Rebate-Suntory'!$D$14,IF('Rebate-Suntory'!$E$14="giá trị",'Rebate-Suntory'!$D$14*(O95+O96+O98),0))</f>
        <v>-10</v>
      </c>
      <c r="P97" s="345">
        <f>-IF('Rebate-Suntory'!$E$14="/tấn",'Rebate-Suntory'!$D$14,IF('Rebate-Suntory'!$E$14="giá trị",'Rebate-Suntory'!$D$14*(P95+P96+P98),0))</f>
        <v>-10</v>
      </c>
      <c r="Q97" s="345">
        <f>-IF('Rebate-Suntory'!$E$14="/tấn",'Rebate-Suntory'!$D$14,IF('Rebate-Suntory'!$E$14="giá trị",'Rebate-Suntory'!$D$14*(Q95+Q96+Q98),0))</f>
        <v>-10</v>
      </c>
      <c r="R97" s="345">
        <f>-IF('Rebate-Suntory'!$E$14="/tấn",'Rebate-Suntory'!$D$14,IF('Rebate-Suntory'!$E$14="giá trị",'Rebate-Suntory'!$D$14*(R95+R96+R98),0))</f>
        <v>-10</v>
      </c>
      <c r="S97" s="345">
        <f>-IF('Rebate-Suntory'!$E$14="/tấn",'Rebate-Suntory'!$D$14,IF('Rebate-Suntory'!$E$14="giá trị",'Rebate-Suntory'!$D$14*(S95+S96+S98),0))</f>
        <v>-10</v>
      </c>
      <c r="T97" s="345">
        <f>-IF('Rebate-Suntory'!$E$14="/tấn",'Rebate-Suntory'!$D$14,IF('Rebate-Suntory'!$E$14="giá trị",'Rebate-Suntory'!$D$14*(T95+T96+T98),0))</f>
        <v>-10</v>
      </c>
      <c r="U97" s="345">
        <f>-IF('Rebate-Suntory'!$E$14="/tấn",'Rebate-Suntory'!$D$14,IF('Rebate-Suntory'!$E$14="giá trị",'Rebate-Suntory'!$D$14*(U95+U96+U98),0))</f>
        <v>-10</v>
      </c>
      <c r="V97" s="345">
        <f>-IF('Rebate-Suntory'!$E$14="/tấn",'Rebate-Suntory'!$D$14,IF('Rebate-Suntory'!$E$14="giá trị",'Rebate-Suntory'!$D$14*(V95+V96+V98),0))</f>
        <v>-10</v>
      </c>
      <c r="W97" s="345">
        <f>-IF('Rebate-Suntory'!$E$14="/tấn",'Rebate-Suntory'!$D$14,IF('Rebate-Suntory'!$E$14="giá trị",'Rebate-Suntory'!$D$14*(W95+W96+W98),0))</f>
        <v>-10</v>
      </c>
      <c r="X97" s="345">
        <f>-IF('Rebate-Suntory'!$E$14="/tấn",'Rebate-Suntory'!$D$14,IF('Rebate-Suntory'!$E$14="giá trị",'Rebate-Suntory'!$D$14*(X95+X96+X98),0))</f>
        <v>-10</v>
      </c>
      <c r="Y97" s="345">
        <f>-IF('Rebate-Suntory'!$E$14="/tấn",'Rebate-Suntory'!$D$14,IF('Rebate-Suntory'!$E$14="giá trị",'Rebate-Suntory'!$D$14*(Y95+Y96+Y98),0))</f>
        <v>-10</v>
      </c>
      <c r="Z97" s="346">
        <f>-IF('Rebate-Suntory'!$E$14="/tấn",'Rebate-Suntory'!$D$14,IF('Rebate-Suntory'!$E$14="giá trị",'Rebate-Suntory'!$D$14*(Z95+Z96+Z98),0))</f>
        <v>-10</v>
      </c>
      <c r="AA97" s="344">
        <f>-IF('Rebate-Suntory'!$J$14="/tấn",'Rebate-Suntory'!$I$14,IF('Rebate-Suntory'!$J$14="giá trị",'Rebate-Suntory'!$I$14*(AA95+AA96),0))</f>
        <v>-21.721875000000001</v>
      </c>
      <c r="AB97" s="345">
        <f>-IF('Rebate-Suntory'!$J$14="/tấn",'Rebate-Suntory'!$I$14,IF('Rebate-Suntory'!$J$14="giá trị",'Rebate-Suntory'!$I$14*(AB95+AB96),0))</f>
        <v>-21.146874999999977</v>
      </c>
      <c r="AC97" s="345">
        <f>-IF('Rebate-Suntory'!$J$14="/tấn",'Rebate-Suntory'!$I$14,IF('Rebate-Suntory'!$J$14="giá trị",'Rebate-Suntory'!$I$14*(AC95+AC96),0))</f>
        <v>-20.612499999999976</v>
      </c>
      <c r="AD97" s="345">
        <f>-IF('Rebate-Suntory'!$J$14="/tấn",'Rebate-Suntory'!$I$14,IF('Rebate-Suntory'!$J$14="giá trị",'Rebate-Suntory'!$I$14*(AD95+AD96),0))</f>
        <v>-20.625</v>
      </c>
      <c r="AE97" s="345">
        <f>-IF('Rebate-Suntory'!$J$14="/tấn",'Rebate-Suntory'!$I$14,IF('Rebate-Suntory'!$J$14="giá trị",'Rebate-Suntory'!$I$14*(AE95+AE96),0))</f>
        <v>-20.7</v>
      </c>
      <c r="AF97" s="345">
        <f>-IF('Rebate-Suntory'!$J$14="/tấn",'Rebate-Suntory'!$I$14,IF('Rebate-Suntory'!$J$14="giá trị",'Rebate-Suntory'!$I$14*(AF95+AF96),0))</f>
        <v>-20.7</v>
      </c>
      <c r="AG97" s="345">
        <f>-IF('Rebate-Suntory'!$J$14="/tấn",'Rebate-Suntory'!$I$14,IF('Rebate-Suntory'!$J$14="giá trị",'Rebate-Suntory'!$I$14*(AG95+AG96),0))</f>
        <v>-20.7</v>
      </c>
      <c r="AH97" s="345">
        <f>-IF('Rebate-Suntory'!$J$14="/tấn",'Rebate-Suntory'!$I$14,IF('Rebate-Suntory'!$J$14="giá trị",'Rebate-Suntory'!$I$14*(AH95+AH96),0))</f>
        <v>-20.43</v>
      </c>
      <c r="AI97" s="345">
        <f>-IF('Rebate-Suntory'!$J$14="/tấn",'Rebate-Suntory'!$I$14,IF('Rebate-Suntory'!$J$14="giá trị",'Rebate-Suntory'!$I$14*(AI95+AI96),0))</f>
        <v>-19.942499999999999</v>
      </c>
      <c r="AJ97" s="345">
        <f>-IF('Rebate-Suntory'!$J$14="/tấn",'Rebate-Suntory'!$I$14,IF('Rebate-Suntory'!$J$14="giá trị",'Rebate-Suntory'!$I$14*(AJ95+AJ96),0))</f>
        <v>-19.522500000000001</v>
      </c>
      <c r="AK97" s="345">
        <f>-IF('Rebate-Suntory'!$J$14="/tấn",'Rebate-Suntory'!$I$14,IF('Rebate-Suntory'!$J$14="giá trị",'Rebate-Suntory'!$I$14*(AK95+AK96),0))</f>
        <v>-19.184999999999999</v>
      </c>
      <c r="AL97" s="458">
        <f>-IF('Rebate-Suntory'!$J$14="/tấn",'Rebate-Suntory'!$I$14,IF('Rebate-Suntory'!$J$14="giá trị",'Rebate-Suntory'!$I$14*(AL95+AL96),0))</f>
        <v>-19.003125000000001</v>
      </c>
      <c r="AM97" s="345"/>
      <c r="AN97" s="345"/>
      <c r="AO97" s="345"/>
      <c r="AP97" s="345"/>
      <c r="AQ97" s="345"/>
      <c r="AR97" s="345"/>
      <c r="AS97" s="345"/>
      <c r="AT97" s="345"/>
      <c r="AU97" s="345"/>
      <c r="AV97" s="345"/>
      <c r="AW97" s="345"/>
      <c r="AX97" s="346"/>
    </row>
    <row r="98" spans="1:50" s="349" customFormat="1" outlineLevel="1" x14ac:dyDescent="0.3">
      <c r="A98" s="349" t="s">
        <v>39</v>
      </c>
      <c r="B98" s="349" t="s">
        <v>28</v>
      </c>
      <c r="F98" s="350" t="s">
        <v>461</v>
      </c>
      <c r="G98" s="351"/>
      <c r="H98" s="351" t="s">
        <v>40</v>
      </c>
      <c r="I98" s="351" t="s">
        <v>41</v>
      </c>
      <c r="J98" s="374"/>
      <c r="K98" s="352"/>
      <c r="L98" s="351"/>
      <c r="M98" s="351"/>
      <c r="N98" s="351"/>
      <c r="O98" s="345">
        <v>26.5</v>
      </c>
      <c r="P98" s="345">
        <v>26.5</v>
      </c>
      <c r="Q98" s="345">
        <v>26.5</v>
      </c>
      <c r="R98" s="345">
        <v>26.5</v>
      </c>
      <c r="S98" s="345">
        <v>26.5</v>
      </c>
      <c r="T98" s="345">
        <v>26.5</v>
      </c>
      <c r="U98" s="345">
        <v>26.5</v>
      </c>
      <c r="V98" s="345">
        <v>26.5</v>
      </c>
      <c r="W98" s="345">
        <v>26.5</v>
      </c>
      <c r="X98" s="345">
        <v>26.5</v>
      </c>
      <c r="Y98" s="345">
        <v>26.5</v>
      </c>
      <c r="Z98" s="346">
        <v>26.5</v>
      </c>
      <c r="AA98" s="344">
        <v>26.5</v>
      </c>
      <c r="AB98" s="345">
        <v>26.5</v>
      </c>
      <c r="AC98" s="345">
        <v>26.5</v>
      </c>
      <c r="AD98" s="354">
        <v>26.5</v>
      </c>
      <c r="AE98" s="354">
        <v>26.5</v>
      </c>
      <c r="AF98" s="354">
        <v>26.5</v>
      </c>
      <c r="AG98" s="354">
        <v>26.5</v>
      </c>
      <c r="AH98" s="354">
        <v>26.5</v>
      </c>
      <c r="AI98" s="354">
        <v>26.5</v>
      </c>
      <c r="AJ98" s="354">
        <v>26.5</v>
      </c>
      <c r="AK98" s="354">
        <v>26.5</v>
      </c>
      <c r="AL98" s="459">
        <v>26.5</v>
      </c>
      <c r="AM98" s="345"/>
      <c r="AN98" s="345"/>
      <c r="AO98" s="345"/>
      <c r="AP98" s="354"/>
      <c r="AQ98" s="354"/>
      <c r="AR98" s="354"/>
      <c r="AS98" s="354"/>
      <c r="AT98" s="354"/>
      <c r="AU98" s="354"/>
      <c r="AV98" s="354"/>
      <c r="AW98" s="354"/>
      <c r="AX98" s="355"/>
    </row>
    <row r="99" spans="1:50" s="94" customFormat="1" outlineLevel="1" x14ac:dyDescent="0.3">
      <c r="A99" s="94" t="s">
        <v>39</v>
      </c>
      <c r="B99" s="94" t="s">
        <v>28</v>
      </c>
      <c r="D99" s="95" t="s">
        <v>161</v>
      </c>
      <c r="F99" s="275" t="s">
        <v>298</v>
      </c>
      <c r="G99" s="276"/>
      <c r="H99" s="276"/>
      <c r="I99" s="276" t="s">
        <v>8</v>
      </c>
      <c r="J99" s="375"/>
      <c r="K99" s="2"/>
      <c r="L99" s="276"/>
      <c r="M99" s="276"/>
      <c r="N99" s="276"/>
      <c r="O99" s="226">
        <f>O94-O98</f>
        <v>1340</v>
      </c>
      <c r="P99" s="226">
        <f t="shared" ref="P99:AB99" si="120">P94-P98</f>
        <v>1347.5</v>
      </c>
      <c r="Q99" s="226">
        <f t="shared" si="120"/>
        <v>1360</v>
      </c>
      <c r="R99" s="226">
        <f t="shared" si="120"/>
        <v>1362.5</v>
      </c>
      <c r="S99" s="226">
        <f t="shared" si="120"/>
        <v>1366.5</v>
      </c>
      <c r="T99" s="226">
        <f t="shared" si="120"/>
        <v>1381.5</v>
      </c>
      <c r="U99" s="226">
        <f t="shared" si="120"/>
        <v>1397.5</v>
      </c>
      <c r="V99" s="226">
        <f t="shared" si="120"/>
        <v>1408.5</v>
      </c>
      <c r="W99" s="226">
        <f t="shared" si="120"/>
        <v>1428.5</v>
      </c>
      <c r="X99" s="226">
        <f t="shared" si="120"/>
        <v>1456.25</v>
      </c>
      <c r="Y99" s="226">
        <f t="shared" si="120"/>
        <v>1473.75</v>
      </c>
      <c r="Z99" s="227">
        <f t="shared" si="120"/>
        <v>1477.5</v>
      </c>
      <c r="AA99" s="226">
        <f>AA94-AA98</f>
        <v>1426.403125</v>
      </c>
      <c r="AB99" s="226">
        <f t="shared" si="120"/>
        <v>1388.6447916666652</v>
      </c>
      <c r="AC99" s="226">
        <f t="shared" ref="AC99:AH99" si="121">AC94-AC98</f>
        <v>1353.5541666666652</v>
      </c>
      <c r="AD99" s="226">
        <f t="shared" si="121"/>
        <v>1354.375</v>
      </c>
      <c r="AE99" s="226">
        <f t="shared" si="121"/>
        <v>1359.3</v>
      </c>
      <c r="AF99" s="226">
        <f t="shared" si="121"/>
        <v>1359.3</v>
      </c>
      <c r="AG99" s="226">
        <f t="shared" si="121"/>
        <v>1359.3</v>
      </c>
      <c r="AH99" s="226">
        <f t="shared" si="121"/>
        <v>1341.57</v>
      </c>
      <c r="AI99" s="226">
        <f t="shared" ref="AI99:AJ99" si="122">AI94-AI98</f>
        <v>1310.0574999999999</v>
      </c>
      <c r="AJ99" s="226">
        <f t="shared" si="122"/>
        <v>1310.4775</v>
      </c>
      <c r="AK99" s="226">
        <f t="shared" ref="AK99:AL99" si="123">AK94-AK98</f>
        <v>1310.8150000000001</v>
      </c>
      <c r="AL99" s="460">
        <f t="shared" si="123"/>
        <v>1310.996875</v>
      </c>
      <c r="AM99" s="226">
        <f>AM94-AM100-AM101</f>
        <v>1128</v>
      </c>
      <c r="AN99" s="226">
        <f t="shared" ref="AN99:AX99" si="124">AN94-AN100-AN101</f>
        <v>1128</v>
      </c>
      <c r="AO99" s="226">
        <f t="shared" si="124"/>
        <v>1128</v>
      </c>
      <c r="AP99" s="226">
        <f t="shared" si="124"/>
        <v>1128</v>
      </c>
      <c r="AQ99" s="226">
        <f t="shared" si="124"/>
        <v>1128</v>
      </c>
      <c r="AR99" s="226">
        <f t="shared" si="124"/>
        <v>1128</v>
      </c>
      <c r="AS99" s="226">
        <f t="shared" si="124"/>
        <v>1128</v>
      </c>
      <c r="AT99" s="226">
        <f t="shared" si="124"/>
        <v>1128</v>
      </c>
      <c r="AU99" s="226">
        <f t="shared" si="124"/>
        <v>1128</v>
      </c>
      <c r="AV99" s="226">
        <f t="shared" si="124"/>
        <v>1128</v>
      </c>
      <c r="AW99" s="226">
        <f t="shared" si="124"/>
        <v>1128</v>
      </c>
      <c r="AX99" s="227">
        <f t="shared" si="124"/>
        <v>1128</v>
      </c>
    </row>
    <row r="100" spans="1:50" s="181" customFormat="1" outlineLevel="1" x14ac:dyDescent="0.3">
      <c r="A100" s="400"/>
      <c r="F100" s="219"/>
      <c r="G100" s="188"/>
      <c r="H100" s="188"/>
      <c r="I100" s="188" t="s">
        <v>491</v>
      </c>
      <c r="J100" s="365"/>
      <c r="K100" s="182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9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9"/>
      <c r="AM100" s="207">
        <v>25</v>
      </c>
      <c r="AN100" s="207">
        <v>25</v>
      </c>
      <c r="AO100" s="207">
        <v>25</v>
      </c>
      <c r="AP100" s="564">
        <v>33</v>
      </c>
      <c r="AQ100" s="207">
        <v>33</v>
      </c>
      <c r="AR100" s="207">
        <v>33</v>
      </c>
      <c r="AS100" s="207">
        <v>33</v>
      </c>
      <c r="AT100" s="207">
        <v>33</v>
      </c>
      <c r="AU100" s="207">
        <v>33</v>
      </c>
      <c r="AV100" s="207">
        <v>33</v>
      </c>
      <c r="AW100" s="207">
        <v>33</v>
      </c>
      <c r="AX100" s="209">
        <v>33</v>
      </c>
    </row>
    <row r="101" spans="1:50" s="181" customFormat="1" outlineLevel="1" x14ac:dyDescent="0.3">
      <c r="A101" s="400"/>
      <c r="F101" s="219"/>
      <c r="G101" s="188"/>
      <c r="H101" s="188"/>
      <c r="I101" s="188" t="s">
        <v>490</v>
      </c>
      <c r="J101" s="365"/>
      <c r="K101" s="182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9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9"/>
      <c r="AM101" s="207">
        <f>IF('Rebate-Suntory'!$O$14="/tấn",'Rebate-Suntory'!$N$14,IF('Rebate-Suntory'!$O$14="giá trị",'Rebate-Suntory'!$N$14*(AM94-AM100),0))</f>
        <v>72</v>
      </c>
      <c r="AN101" s="207">
        <f>IF('Rebate-Suntory'!$O$14="/tấn",'Rebate-Suntory'!$N$14,IF('Rebate-Suntory'!$O$14="giá trị",'Rebate-Suntory'!$N$14*(AN94-AN100),0))</f>
        <v>72</v>
      </c>
      <c r="AO101" s="207">
        <f>IF('Rebate-Suntory'!$O$14="/tấn",'Rebate-Suntory'!$N$14,IF('Rebate-Suntory'!$O$14="giá trị",'Rebate-Suntory'!$N$14*(AO94-AO100),0))</f>
        <v>72</v>
      </c>
      <c r="AP101" s="207">
        <f>IF('Rebate-Suntory'!$O$14="/tấn",'Rebate-Suntory'!$N$14,IF('Rebate-Suntory'!$O$14="giá trị",'Rebate-Suntory'!$N$14*(AP94-AP100),0))</f>
        <v>72</v>
      </c>
      <c r="AQ101" s="207">
        <f>IF('Rebate-Suntory'!$O$14="/tấn",'Rebate-Suntory'!$N$14,IF('Rebate-Suntory'!$O$14="giá trị",'Rebate-Suntory'!$N$14*(AQ94-AQ100),0))</f>
        <v>72</v>
      </c>
      <c r="AR101" s="207">
        <f>IF('Rebate-Suntory'!$O$14="/tấn",'Rebate-Suntory'!$N$14,IF('Rebate-Suntory'!$O$14="giá trị",'Rebate-Suntory'!$N$14*(AR94-AR100),0))</f>
        <v>72</v>
      </c>
      <c r="AS101" s="207">
        <f>IF('Rebate-Suntory'!$O$14="/tấn",'Rebate-Suntory'!$N$14,IF('Rebate-Suntory'!$O$14="giá trị",'Rebate-Suntory'!$N$14*(AS94-AS100),0))</f>
        <v>72</v>
      </c>
      <c r="AT101" s="207">
        <f>IF('Rebate-Suntory'!$O$14="/tấn",'Rebate-Suntory'!$N$14,IF('Rebate-Suntory'!$O$14="giá trị",'Rebate-Suntory'!$N$14*(AT94-AT100),0))</f>
        <v>72</v>
      </c>
      <c r="AU101" s="207">
        <f>IF('Rebate-Suntory'!$O$14="/tấn",'Rebate-Suntory'!$N$14,IF('Rebate-Suntory'!$O$14="giá trị",'Rebate-Suntory'!$N$14*(AU94-AU100),0))</f>
        <v>72</v>
      </c>
      <c r="AV101" s="207">
        <f>IF('Rebate-Suntory'!$O$14="/tấn",'Rebate-Suntory'!$N$14,IF('Rebate-Suntory'!$O$14="giá trị",'Rebate-Suntory'!$N$14*(AV94-AV100),0))</f>
        <v>72</v>
      </c>
      <c r="AW101" s="207">
        <f>IF('Rebate-Suntory'!$O$14="/tấn",'Rebate-Suntory'!$N$14,IF('Rebate-Suntory'!$O$14="giá trị",'Rebate-Suntory'!$N$14*(AW94-AW100),0))</f>
        <v>72</v>
      </c>
      <c r="AX101" s="209">
        <f>IF('Rebate-Suntory'!$O$14="/tấn",'Rebate-Suntory'!$N$14,IF('Rebate-Suntory'!$O$14="giá trị",'Rebate-Suntory'!$N$14*(AX94-AX100),0))</f>
        <v>72</v>
      </c>
    </row>
    <row r="102" spans="1:50" s="183" customFormat="1" x14ac:dyDescent="0.3">
      <c r="A102" s="183" t="s">
        <v>39</v>
      </c>
      <c r="B102" s="183" t="s">
        <v>28</v>
      </c>
      <c r="C102" s="183" t="s">
        <v>43</v>
      </c>
      <c r="F102" s="277"/>
      <c r="G102" s="278"/>
      <c r="H102" s="278"/>
      <c r="I102" s="278"/>
      <c r="J102" s="376" t="s">
        <v>74</v>
      </c>
      <c r="K102" s="184"/>
      <c r="L102" s="288" cm="1">
        <f t="array" ref="L102">SUMPRODUCT(General_Data*(Year=L$3)*(Month=L$4)*(Code_General_Data=$C102))</f>
        <v>1288.125</v>
      </c>
      <c r="M102" s="288" cm="1">
        <f t="array" ref="M102">SUMPRODUCT(General_Data*(Year=M$3)*(Month=M$4)*(Code_General_Data=$C102))</f>
        <v>1300</v>
      </c>
      <c r="N102" s="288" cm="1">
        <f t="array" ref="N102">SUMPRODUCT(General_Data*(Year=N$3)*(Month=N$4)*(Code_General_Data=$C102))</f>
        <v>1300</v>
      </c>
      <c r="O102" s="201" cm="1">
        <f t="array" ref="O102">SUMPRODUCT(General_Data*(Year=O$3)*(Month=O$4)*(Code_General_Data=$C102))</f>
        <v>1315</v>
      </c>
      <c r="P102" s="201" cm="1">
        <f t="array" ref="P102">SUMPRODUCT(General_Data*(Year=P$3)*(Month=P$4)*(Code_General_Data=$C102))</f>
        <v>1325</v>
      </c>
      <c r="Q102" s="201" cm="1">
        <f t="array" ref="Q102">SUMPRODUCT(General_Data*(Year=Q$3)*(Month=Q$4)*(Code_General_Data=$C102))</f>
        <v>1320</v>
      </c>
      <c r="R102" s="201" cm="1">
        <f t="array" ref="R102">SUMPRODUCT(General_Data*(Year=R$3)*(Month=R$4)*(Code_General_Data=$C102))</f>
        <v>1333</v>
      </c>
      <c r="S102" s="201" cm="1">
        <f t="array" ref="S102">SUMPRODUCT(General_Data*(Year=S$3)*(Month=S$4)*(Code_General_Data=$C102))</f>
        <v>1350</v>
      </c>
      <c r="T102" s="201" cm="1">
        <f t="array" ref="T102">SUMPRODUCT(General_Data*(Year=T$3)*(Month=T$4)*(Code_General_Data=$C102))</f>
        <v>1365</v>
      </c>
      <c r="U102" s="201" cm="1">
        <f t="array" ref="U102">SUMPRODUCT(General_Data*(Year=U$3)*(Month=U$4)*(Code_General_Data=$C102))</f>
        <v>1372</v>
      </c>
      <c r="V102" s="201" cm="1">
        <f t="array" ref="V102">SUMPRODUCT(General_Data*(Year=V$3)*(Month=V$4)*(Code_General_Data=$C102))</f>
        <v>1405</v>
      </c>
      <c r="W102" s="201" cm="1">
        <f t="array" ref="W102">SUMPRODUCT(General_Data*(Year=W$3)*(Month=W$4)*(Code_General_Data=$C102))</f>
        <v>1427.5</v>
      </c>
      <c r="X102" s="201" cm="1">
        <f t="array" ref="X102">SUMPRODUCT(General_Data*(Year=X$3)*(Month=X$4)*(Code_General_Data=$C102))</f>
        <v>1440</v>
      </c>
      <c r="Y102" s="201" cm="1">
        <f t="array" ref="Y102">SUMPRODUCT(General_Data*(Year=Y$3)*(Month=Y$4)*(Code_General_Data=$C102))</f>
        <v>1435</v>
      </c>
      <c r="Z102" s="203" cm="1">
        <f t="array" ref="Z102">SUMPRODUCT(General_Data*(Year=Z$3)*(Month=Z$4)*(Code_General_Data=$C102))</f>
        <v>1421.25</v>
      </c>
      <c r="AA102" s="201" cm="1">
        <f t="array" ref="AA102">SUMPRODUCT(General_Data*(Year=AA$3)*(Month=AA$4)*(Code_General_Data=$C102))</f>
        <v>1358.3333333333301</v>
      </c>
      <c r="AB102" s="201" cm="1">
        <f t="array" ref="AB102">SUMPRODUCT(General_Data*(Year=AB$3)*(Month=AB$4)*(Code_General_Data=$C102))</f>
        <v>1350</v>
      </c>
      <c r="AC102" s="201" cm="1">
        <f t="array" ref="AC102">SUMPRODUCT(General_Data*(Year=AC$3)*(Month=AC$4)*(Code_General_Data=$C102))</f>
        <v>1360</v>
      </c>
      <c r="AD102" s="201" cm="1">
        <f t="array" ref="AD102">SUMPRODUCT(General_Data*(Year=AD$3)*(Month=AD$4)*(Code_General_Data=$C102))</f>
        <v>1360</v>
      </c>
      <c r="AE102" s="201" cm="1">
        <f t="array" ref="AE102">SUMPRODUCT(General_Data*(Year=AE$3)*(Month=AE$4)*(Code_General_Data=$C102))</f>
        <v>1360</v>
      </c>
      <c r="AF102" s="201" cm="1">
        <f t="array" ref="AF102">SUMPRODUCT(General_Data*(Year=AF$3)*(Month=AF$4)*(Code_General_Data=$C102))</f>
        <v>1360</v>
      </c>
      <c r="AG102" s="201" cm="1">
        <f t="array" ref="AG102">SUMPRODUCT(General_Data*(Year=AG$3)*(Month=AG$4)*(Code_General_Data=$C102))</f>
        <v>1324</v>
      </c>
      <c r="AH102" s="201" cm="1">
        <f t="array" ref="AH102">SUMPRODUCT(General_Data*(Year=AH$3)*(Month=AH$4)*(Code_General_Data=$C102))</f>
        <v>1295</v>
      </c>
      <c r="AI102" s="201" cm="1">
        <f t="array" ref="AI102">SUMPRODUCT(General_Data*(Year=AI$3)*(Month=AI$4)*(Code_General_Data=$C102))</f>
        <v>1268</v>
      </c>
      <c r="AJ102" s="201" cm="1">
        <f t="array" ref="AJ102">SUMPRODUCT(General_Data*(Year=AJ$3)*(Month=AJ$4)*(Code_General_Data=$C102))</f>
        <v>1250</v>
      </c>
      <c r="AK102" s="201" cm="1">
        <f t="array" ref="AK102">SUMPRODUCT(General_Data*(Year=AK$3)*(Month=AK$4)*(Code_General_Data=$C102))</f>
        <v>1243.75</v>
      </c>
      <c r="AL102" s="461" cm="1">
        <f t="array" ref="AL102">SUMPRODUCT(General_Data*(Year=AL$3)*(Month=AL$4)*(Code_General_Data=$C102))</f>
        <v>1193.75</v>
      </c>
      <c r="AM102" s="201"/>
      <c r="AN102" s="201"/>
      <c r="AO102" s="201"/>
      <c r="AP102" s="201"/>
      <c r="AQ102" s="201"/>
      <c r="AR102" s="201"/>
      <c r="AS102" s="201"/>
      <c r="AT102" s="201"/>
      <c r="AU102" s="201"/>
      <c r="AV102" s="201"/>
      <c r="AW102" s="201"/>
      <c r="AX102" s="203"/>
    </row>
    <row r="103" spans="1:50" s="514" customFormat="1" outlineLevel="1" x14ac:dyDescent="0.3">
      <c r="A103" s="514" t="s">
        <v>39</v>
      </c>
      <c r="B103" s="514" t="s">
        <v>28</v>
      </c>
      <c r="F103" s="515" t="s">
        <v>299</v>
      </c>
      <c r="G103" s="516"/>
      <c r="H103" s="516"/>
      <c r="I103" s="516"/>
      <c r="J103" s="517" t="s">
        <v>46</v>
      </c>
      <c r="K103" s="518"/>
      <c r="L103" s="519"/>
      <c r="M103" s="519"/>
      <c r="N103" s="519"/>
      <c r="O103" s="530" cm="1">
        <f t="array" ref="O103">INDEX(Note!$J$3:$J$102,MATCH(1,(Note!$A$3:$A$102=$A103)*(Note!$C$3:$C$102=$B103)*(Note!$E$3:$E$102&lt;=O$1)*(Note!$F$3:$F$102&gt;=O$2),0))</f>
        <v>0</v>
      </c>
      <c r="P103" s="530" cm="1">
        <f t="array" ref="P103">INDEX(Note!$J$3:$J$102,MATCH(1,(Note!$A$3:$A$102=$A103)*(Note!$C$3:$C$102=$B103)*(Note!$E$3:$E$102&lt;=P$1)*(Note!$F$3:$F$102&gt;=P$2),0))</f>
        <v>0</v>
      </c>
      <c r="Q103" s="530" cm="1">
        <f t="array" ref="Q103">INDEX(Note!$J$3:$J$102,MATCH(1,(Note!$A$3:$A$102=$A103)*(Note!$C$3:$C$102=$B103)*(Note!$E$3:$E$102&lt;=Q$1)*(Note!$F$3:$F$102&gt;=Q$2),0))</f>
        <v>0</v>
      </c>
      <c r="R103" s="530" cm="1">
        <f t="array" ref="R103">INDEX(Note!$J$3:$J$102,MATCH(1,(Note!$A$3:$A$102=$A103)*(Note!$C$3:$C$102=$B103)*(Note!$E$3:$E$102&lt;=R$1)*(Note!$F$3:$F$102&gt;=R$2),0))</f>
        <v>0</v>
      </c>
      <c r="S103" s="530" cm="1">
        <f t="array" ref="S103">INDEX(Note!$J$3:$J$102,MATCH(1,(Note!$A$3:$A$102=$A103)*(Note!$C$3:$C$102=$B103)*(Note!$E$3:$E$102&lt;=S$1)*(Note!$F$3:$F$102&gt;=S$2),0))</f>
        <v>0</v>
      </c>
      <c r="T103" s="530" cm="1">
        <f t="array" ref="T103">INDEX(Note!$J$3:$J$102,MATCH(1,(Note!$A$3:$A$102=$A103)*(Note!$C$3:$C$102=$B103)*(Note!$E$3:$E$102&lt;=T$1)*(Note!$F$3:$F$102&gt;=T$2),0))</f>
        <v>0</v>
      </c>
      <c r="U103" s="530" cm="1">
        <f t="array" ref="U103">INDEX(Note!$J$3:$J$102,MATCH(1,(Note!$A$3:$A$102=$A103)*(Note!$C$3:$C$102=$B103)*(Note!$E$3:$E$102&lt;=U$1)*(Note!$F$3:$F$102&gt;=U$2),0))</f>
        <v>0</v>
      </c>
      <c r="V103" s="530" cm="1">
        <f t="array" ref="V103">INDEX(Note!$J$3:$J$102,MATCH(1,(Note!$A$3:$A$102=$A103)*(Note!$C$3:$C$102=$B103)*(Note!$E$3:$E$102&lt;=V$1)*(Note!$F$3:$F$102&gt;=V$2),0))</f>
        <v>0</v>
      </c>
      <c r="W103" s="530" cm="1">
        <f t="array" ref="W103">INDEX(Note!$J$3:$J$102,MATCH(1,(Note!$A$3:$A$102=$A103)*(Note!$C$3:$C$102=$B103)*(Note!$E$3:$E$102&lt;=W$1)*(Note!$F$3:$F$102&gt;=W$2),0))</f>
        <v>0</v>
      </c>
      <c r="X103" s="530" cm="1">
        <f t="array" ref="X103">INDEX(Note!$J$3:$J$102,MATCH(1,(Note!$A$3:$A$102=$A103)*(Note!$C$3:$C$102=$B103)*(Note!$E$3:$E$102&lt;=X$1)*(Note!$F$3:$F$102&gt;=X$2),0))</f>
        <v>0</v>
      </c>
      <c r="Y103" s="530" cm="1">
        <f t="array" ref="Y103">INDEX(Note!$J$3:$J$102,MATCH(1,(Note!$A$3:$A$102=$A103)*(Note!$C$3:$C$102=$B103)*(Note!$E$3:$E$102&lt;=Y$1)*(Note!$F$3:$F$102&gt;=Y$2),0))</f>
        <v>0</v>
      </c>
      <c r="Z103" s="531" cm="1">
        <f t="array" ref="Z103">INDEX(Note!$J$3:$J$102,MATCH(1,(Note!$A$3:$A$102=$A103)*(Note!$C$3:$C$102=$B103)*(Note!$E$3:$E$102&lt;=Z$1)*(Note!$F$3:$F$102&gt;=Z$2),0))</f>
        <v>0</v>
      </c>
      <c r="AA103" s="530" cm="1">
        <f t="array" ref="AA103">INDEX(Note!$J$3:$J$102,MATCH(1,(Note!$A$3:$A$102=$A103)*(Note!$C$3:$C$102=$B103)*(Note!$E$3:$E$102&lt;=AA$1)*(Note!$F$3:$F$102&gt;=AA$2),0))</f>
        <v>1550</v>
      </c>
      <c r="AB103" s="530" cm="1">
        <f t="array" ref="AB103">INDEX(Note!$J$3:$J$102,MATCH(1,(Note!$A$3:$A$102=$A103)*(Note!$C$3:$C$102=$B103)*(Note!$E$3:$E$102&lt;=AB$1)*(Note!$F$3:$F$102&gt;=AB$2),0))</f>
        <v>1550</v>
      </c>
      <c r="AC103" s="530" cm="1">
        <f t="array" ref="AC103">INDEX(Note!$J$3:$J$102,MATCH(1,(Note!$A$3:$A$102=$A103)*(Note!$C$3:$C$102=$B103)*(Note!$E$3:$E$102&lt;=AC$1)*(Note!$F$3:$F$102&gt;=AC$2),0))</f>
        <v>1550</v>
      </c>
      <c r="AD103" s="530" cm="1">
        <f t="array" ref="AD103">INDEX(Note!$J$3:$J$102,MATCH(1,(Note!$A$3:$A$102=$A103)*(Note!$C$3:$C$102=$B103)*(Note!$E$3:$E$102&lt;=AD$1)*(Note!$F$3:$F$102&gt;=AD$2),0))</f>
        <v>1550</v>
      </c>
      <c r="AE103" s="530" cm="1">
        <f t="array" ref="AE103">INDEX(Note!$J$3:$J$102,MATCH(1,(Note!$A$3:$A$102=$A103)*(Note!$C$3:$C$102=$B103)*(Note!$E$3:$E$102&lt;=AE$1)*(Note!$F$3:$F$102&gt;=AE$2),0))</f>
        <v>1550</v>
      </c>
      <c r="AF103" s="530" cm="1">
        <f t="array" ref="AF103">INDEX(Note!$J$3:$J$102,MATCH(1,(Note!$A$3:$A$102=$A103)*(Note!$C$3:$C$102=$B103)*(Note!$E$3:$E$102&lt;=AF$1)*(Note!$F$3:$F$102&gt;=AF$2),0))</f>
        <v>1550</v>
      </c>
      <c r="AG103" s="530" cm="1">
        <f t="array" ref="AG103">INDEX(Note!$J$3:$J$102,MATCH(1,(Note!$A$3:$A$102=$A103)*(Note!$C$3:$C$102=$B103)*(Note!$E$3:$E$102&lt;=AG$1)*(Note!$F$3:$F$102&gt;=AG$2),0))</f>
        <v>1550</v>
      </c>
      <c r="AH103" s="530" cm="1">
        <f t="array" ref="AH103">INDEX(Note!$J$3:$J$102,MATCH(1,(Note!$A$3:$A$102=$A103)*(Note!$C$3:$C$102=$B103)*(Note!$E$3:$E$102&lt;=AH$1)*(Note!$F$3:$F$102&gt;=AH$2),0))</f>
        <v>1550</v>
      </c>
      <c r="AI103" s="530" cm="1">
        <f t="array" ref="AI103">INDEX(Note!$J$3:$J$102,MATCH(1,(Note!$A$3:$A$102=$A103)*(Note!$C$3:$C$102=$B103)*(Note!$E$3:$E$102&lt;=AI$1)*(Note!$F$3:$F$102&gt;=AI$2),0))</f>
        <v>1550</v>
      </c>
      <c r="AJ103" s="530" cm="1">
        <f t="array" ref="AJ103">INDEX(Note!$J$3:$J$102,MATCH(1,(Note!$A$3:$A$102=$A103)*(Note!$C$3:$C$102=$B103)*(Note!$E$3:$E$102&lt;=AJ$1)*(Note!$F$3:$F$102&gt;=AJ$2),0))</f>
        <v>1550</v>
      </c>
      <c r="AK103" s="530" cm="1">
        <f t="array" ref="AK103">INDEX(Note!$J$3:$J$102,MATCH(1,(Note!$A$3:$A$102=$A103)*(Note!$C$3:$C$102=$B103)*(Note!$E$3:$E$102&lt;=AK$1)*(Note!$F$3:$F$102&gt;=AK$2),0))</f>
        <v>1550</v>
      </c>
      <c r="AL103" s="532" cm="1">
        <f t="array" ref="AL103">INDEX(Note!$J$3:$J$102,MATCH(1,(Note!$A$3:$A$102=$A103)*(Note!$C$3:$C$102=$B103)*(Note!$E$3:$E$102&lt;=AL$1)*(Note!$F$3:$F$102&gt;=AL$2),0))</f>
        <v>1550</v>
      </c>
      <c r="AM103" s="530"/>
      <c r="AN103" s="530"/>
      <c r="AO103" s="530"/>
      <c r="AP103" s="530"/>
      <c r="AQ103" s="530"/>
      <c r="AR103" s="530"/>
      <c r="AS103" s="530"/>
      <c r="AT103" s="530"/>
      <c r="AU103" s="530"/>
      <c r="AV103" s="530"/>
      <c r="AW103" s="530"/>
      <c r="AX103" s="531"/>
    </row>
    <row r="104" spans="1:50" s="522" customFormat="1" outlineLevel="1" x14ac:dyDescent="0.3">
      <c r="A104" s="522" t="s">
        <v>39</v>
      </c>
      <c r="B104" s="522" t="s">
        <v>28</v>
      </c>
      <c r="F104" s="523" t="s">
        <v>300</v>
      </c>
      <c r="G104" s="524"/>
      <c r="H104" s="524"/>
      <c r="I104" s="524"/>
      <c r="J104" s="525" t="s">
        <v>47</v>
      </c>
      <c r="K104" s="526"/>
      <c r="L104" s="527"/>
      <c r="M104" s="527"/>
      <c r="N104" s="527"/>
      <c r="O104" s="528" cm="1">
        <f t="array" ref="O104">INDEX(Note!$K$3:$K$102,MATCH(1,(Note!$A$3:$A$102=$A104)*(Note!$C$3:$C$102=$B104)*(Note!$E$3:$E$102&lt;=O$1)*(Note!$F$3:$F$102&gt;=O$2),0))</f>
        <v>0</v>
      </c>
      <c r="P104" s="528" cm="1">
        <f t="array" ref="P104">INDEX(Note!$K$3:$K$102,MATCH(1,(Note!$A$3:$A$102=$A104)*(Note!$C$3:$C$102=$B104)*(Note!$E$3:$E$102&lt;=P$1)*(Note!$F$3:$F$102&gt;=P$2),0))</f>
        <v>0</v>
      </c>
      <c r="Q104" s="528" cm="1">
        <f t="array" ref="Q104">INDEX(Note!$K$3:$K$102,MATCH(1,(Note!$A$3:$A$102=$A104)*(Note!$C$3:$C$102=$B104)*(Note!$E$3:$E$102&lt;=Q$1)*(Note!$F$3:$F$102&gt;=Q$2),0))</f>
        <v>0</v>
      </c>
      <c r="R104" s="528" cm="1">
        <f t="array" ref="R104">INDEX(Note!$K$3:$K$102,MATCH(1,(Note!$A$3:$A$102=$A104)*(Note!$C$3:$C$102=$B104)*(Note!$E$3:$E$102&lt;=R$1)*(Note!$F$3:$F$102&gt;=R$2),0))</f>
        <v>0</v>
      </c>
      <c r="S104" s="528" cm="1">
        <f t="array" ref="S104">INDEX(Note!$K$3:$K$102,MATCH(1,(Note!$A$3:$A$102=$A104)*(Note!$C$3:$C$102=$B104)*(Note!$E$3:$E$102&lt;=S$1)*(Note!$F$3:$F$102&gt;=S$2),0))</f>
        <v>0</v>
      </c>
      <c r="T104" s="528" cm="1">
        <f t="array" ref="T104">INDEX(Note!$K$3:$K$102,MATCH(1,(Note!$A$3:$A$102=$A104)*(Note!$C$3:$C$102=$B104)*(Note!$E$3:$E$102&lt;=T$1)*(Note!$F$3:$F$102&gt;=T$2),0))</f>
        <v>0</v>
      </c>
      <c r="U104" s="528" cm="1">
        <f t="array" ref="U104">INDEX(Note!$K$3:$K$102,MATCH(1,(Note!$A$3:$A$102=$A104)*(Note!$C$3:$C$102=$B104)*(Note!$E$3:$E$102&lt;=U$1)*(Note!$F$3:$F$102&gt;=U$2),0))</f>
        <v>0</v>
      </c>
      <c r="V104" s="528" cm="1">
        <f t="array" ref="V104">INDEX(Note!$K$3:$K$102,MATCH(1,(Note!$A$3:$A$102=$A104)*(Note!$C$3:$C$102=$B104)*(Note!$E$3:$E$102&lt;=V$1)*(Note!$F$3:$F$102&gt;=V$2),0))</f>
        <v>0</v>
      </c>
      <c r="W104" s="528" cm="1">
        <f t="array" ref="W104">INDEX(Note!$K$3:$K$102,MATCH(1,(Note!$A$3:$A$102=$A104)*(Note!$C$3:$C$102=$B104)*(Note!$E$3:$E$102&lt;=W$1)*(Note!$F$3:$F$102&gt;=W$2),0))</f>
        <v>0</v>
      </c>
      <c r="X104" s="528" cm="1">
        <f t="array" ref="X104">INDEX(Note!$K$3:$K$102,MATCH(1,(Note!$A$3:$A$102=$A104)*(Note!$C$3:$C$102=$B104)*(Note!$E$3:$E$102&lt;=X$1)*(Note!$F$3:$F$102&gt;=X$2),0))</f>
        <v>0</v>
      </c>
      <c r="Y104" s="528" cm="1">
        <f t="array" ref="Y104">INDEX(Note!$K$3:$K$102,MATCH(1,(Note!$A$3:$A$102=$A104)*(Note!$C$3:$C$102=$B104)*(Note!$E$3:$E$102&lt;=Y$1)*(Note!$F$3:$F$102&gt;=Y$2),0))</f>
        <v>0</v>
      </c>
      <c r="Z104" s="529" cm="1">
        <f t="array" ref="Z104">INDEX(Note!$K$3:$K$102,MATCH(1,(Note!$A$3:$A$102=$A104)*(Note!$C$3:$C$102=$B104)*(Note!$E$3:$E$102&lt;=Z$1)*(Note!$F$3:$F$102&gt;=Z$2),0))</f>
        <v>0</v>
      </c>
      <c r="AA104" s="528" cm="1">
        <f t="array" ref="AA104">INDEX(Note!$K$3:$K$102,MATCH(1,(Note!$A$3:$A$102=$A104)*(Note!$C$3:$C$102=$B104)*(Note!$E$3:$E$102&lt;=AA$1)*(Note!$F$3:$F$102&gt;=AA$2),0))</f>
        <v>1330</v>
      </c>
      <c r="AB104" s="528" cm="1">
        <f t="array" ref="AB104">INDEX(Note!$K$3:$K$102,MATCH(1,(Note!$A$3:$A$102=$A104)*(Note!$C$3:$C$102=$B104)*(Note!$E$3:$E$102&lt;=AB$1)*(Note!$F$3:$F$102&gt;=AB$2),0))</f>
        <v>1330</v>
      </c>
      <c r="AC104" s="528" cm="1">
        <f t="array" ref="AC104">INDEX(Note!$K$3:$K$102,MATCH(1,(Note!$A$3:$A$102=$A104)*(Note!$C$3:$C$102=$B104)*(Note!$E$3:$E$102&lt;=AC$1)*(Note!$F$3:$F$102&gt;=AC$2),0))</f>
        <v>1330</v>
      </c>
      <c r="AD104" s="528" cm="1">
        <f t="array" ref="AD104">INDEX(Note!$K$3:$K$102,MATCH(1,(Note!$A$3:$A$102=$A104)*(Note!$C$3:$C$102=$B104)*(Note!$E$3:$E$102&lt;=AD$1)*(Note!$F$3:$F$102&gt;=AD$2),0))</f>
        <v>1330</v>
      </c>
      <c r="AE104" s="528" cm="1">
        <f t="array" ref="AE104">INDEX(Note!$K$3:$K$102,MATCH(1,(Note!$A$3:$A$102=$A104)*(Note!$C$3:$C$102=$B104)*(Note!$E$3:$E$102&lt;=AE$1)*(Note!$F$3:$F$102&gt;=AE$2),0))</f>
        <v>1330</v>
      </c>
      <c r="AF104" s="528" cm="1">
        <f t="array" ref="AF104">INDEX(Note!$K$3:$K$102,MATCH(1,(Note!$A$3:$A$102=$A104)*(Note!$C$3:$C$102=$B104)*(Note!$E$3:$E$102&lt;=AF$1)*(Note!$F$3:$F$102&gt;=AF$2),0))</f>
        <v>1330</v>
      </c>
      <c r="AG104" s="528" cm="1">
        <f t="array" ref="AG104">INDEX(Note!$K$3:$K$102,MATCH(1,(Note!$A$3:$A$102=$A104)*(Note!$C$3:$C$102=$B104)*(Note!$E$3:$E$102&lt;=AG$1)*(Note!$F$3:$F$102&gt;=AG$2),0))</f>
        <v>1330</v>
      </c>
      <c r="AH104" s="528" cm="1">
        <f t="array" ref="AH104">INDEX(Note!$K$3:$K$102,MATCH(1,(Note!$A$3:$A$102=$A104)*(Note!$C$3:$C$102=$B104)*(Note!$E$3:$E$102&lt;=AH$1)*(Note!$F$3:$F$102&gt;=AH$2),0))</f>
        <v>1330</v>
      </c>
      <c r="AI104" s="528" cm="1">
        <f t="array" ref="AI104">INDEX(Note!$K$3:$K$102,MATCH(1,(Note!$A$3:$A$102=$A104)*(Note!$C$3:$C$102=$B104)*(Note!$E$3:$E$102&lt;=AI$1)*(Note!$F$3:$F$102&gt;=AI$2),0))</f>
        <v>1330</v>
      </c>
      <c r="AJ104" s="528" cm="1">
        <f t="array" ref="AJ104">INDEX(Note!$K$3:$K$102,MATCH(1,(Note!$A$3:$A$102=$A104)*(Note!$C$3:$C$102=$B104)*(Note!$E$3:$E$102&lt;=AJ$1)*(Note!$F$3:$F$102&gt;=AJ$2),0))</f>
        <v>1330</v>
      </c>
      <c r="AK104" s="528" cm="1">
        <f t="array" ref="AK104">INDEX(Note!$K$3:$K$102,MATCH(1,(Note!$A$3:$A$102=$A104)*(Note!$C$3:$C$102=$B104)*(Note!$E$3:$E$102&lt;=AK$1)*(Note!$F$3:$F$102&gt;=AK$2),0))</f>
        <v>1330</v>
      </c>
      <c r="AL104" s="533" cm="1">
        <f t="array" ref="AL104">INDEX(Note!$K$3:$K$102,MATCH(1,(Note!$A$3:$A$102=$A104)*(Note!$C$3:$C$102=$B104)*(Note!$E$3:$E$102&lt;=AL$1)*(Note!$F$3:$F$102&gt;=AL$2),0))</f>
        <v>1330</v>
      </c>
      <c r="AM104" s="528"/>
      <c r="AN104" s="528"/>
      <c r="AO104" s="528"/>
      <c r="AP104" s="528"/>
      <c r="AQ104" s="528"/>
      <c r="AR104" s="528"/>
      <c r="AS104" s="528"/>
      <c r="AT104" s="528"/>
      <c r="AU104" s="528"/>
      <c r="AV104" s="528"/>
      <c r="AW104" s="528"/>
      <c r="AX104" s="529"/>
    </row>
    <row r="105" spans="1:50" s="185" customFormat="1" outlineLevel="1" x14ac:dyDescent="0.3">
      <c r="A105" s="185" t="s">
        <v>39</v>
      </c>
      <c r="B105" s="185" t="s">
        <v>28</v>
      </c>
      <c r="F105" s="283" t="s">
        <v>301</v>
      </c>
      <c r="G105" s="284"/>
      <c r="H105" s="284"/>
      <c r="I105" s="284"/>
      <c r="J105" s="377" t="s">
        <v>202</v>
      </c>
      <c r="K105" s="186"/>
      <c r="L105" s="292"/>
      <c r="M105" s="292"/>
      <c r="N105" s="292"/>
      <c r="O105" s="310" cm="1">
        <f t="array" ref="O105">SUMPRODUCT(General_Data*(Year=O$3)*(Month=O$4)*(Code_General_Data=$B105))</f>
        <v>1340</v>
      </c>
      <c r="P105" s="310" cm="1">
        <f t="array" ref="P105">SUMPRODUCT(General_Data*(Year=P$3)*(Month=P$4)*(Code_General_Data=$B105))</f>
        <v>1340</v>
      </c>
      <c r="Q105" s="310" cm="1">
        <f t="array" ref="Q105">SUMPRODUCT(General_Data*(Year=Q$3)*(Month=Q$4)*(Code_General_Data=$B105))</f>
        <v>1340</v>
      </c>
      <c r="R105" s="310" cm="1">
        <f t="array" ref="R105">SUMPRODUCT(General_Data*(Year=R$3)*(Month=R$4)*(Code_General_Data=$B105))</f>
        <v>1340</v>
      </c>
      <c r="S105" s="310" cm="1">
        <f t="array" ref="S105">SUMPRODUCT(General_Data*(Year=S$3)*(Month=S$4)*(Code_General_Data=$B105))</f>
        <v>1390</v>
      </c>
      <c r="T105" s="310" cm="1">
        <f t="array" ref="T105">SUMPRODUCT(General_Data*(Year=T$3)*(Month=T$4)*(Code_General_Data=$B105))</f>
        <v>1390</v>
      </c>
      <c r="U105" s="310" cm="1">
        <f t="array" ref="U105">SUMPRODUCT(General_Data*(Year=U$3)*(Month=U$4)*(Code_General_Data=$B105))</f>
        <v>1390</v>
      </c>
      <c r="V105" s="310" cm="1">
        <f t="array" ref="V105">SUMPRODUCT(General_Data*(Year=V$3)*(Month=V$4)*(Code_General_Data=$B105))</f>
        <v>1390</v>
      </c>
      <c r="W105" s="310" cm="1">
        <f t="array" ref="W105">SUMPRODUCT(General_Data*(Year=W$3)*(Month=W$4)*(Code_General_Data=$B105))</f>
        <v>1400</v>
      </c>
      <c r="X105" s="310" cm="1">
        <f t="array" ref="X105">SUMPRODUCT(General_Data*(Year=X$3)*(Month=X$4)*(Code_General_Data=$B105))</f>
        <v>1415</v>
      </c>
      <c r="Y105" s="310" cm="1">
        <f t="array" ref="Y105">SUMPRODUCT(General_Data*(Year=Y$3)*(Month=Y$4)*(Code_General_Data=$B105))</f>
        <v>1415</v>
      </c>
      <c r="Z105" s="311" cm="1">
        <f t="array" ref="Z105">SUMPRODUCT(General_Data*(Year=Z$3)*(Month=Z$4)*(Code_General_Data=$B105))</f>
        <v>1365</v>
      </c>
      <c r="AA105" s="310" cm="1">
        <f t="array" ref="AA105">SUMPRODUCT(General_Data*(Year=AA$3)*(Month=AA$4)*(Code_General_Data=$B105))</f>
        <v>1320</v>
      </c>
      <c r="AB105" s="310" cm="1">
        <f t="array" ref="AB105">SUMPRODUCT(General_Data*(Year=AB$3)*(Month=AB$4)*(Code_General_Data=$B105))</f>
        <v>1280</v>
      </c>
      <c r="AC105" s="310" cm="1">
        <f t="array" ref="AC105">SUMPRODUCT(General_Data*(Year=AC$3)*(Month=AC$4)*(Code_General_Data=$B105))</f>
        <v>1320</v>
      </c>
      <c r="AD105" s="310" cm="1">
        <f t="array" ref="AD105">SUMPRODUCT(General_Data*(Year=AD$3)*(Month=AD$4)*(Code_General_Data=$B105))</f>
        <v>1340</v>
      </c>
      <c r="AE105" s="310" cm="1">
        <f t="array" ref="AE105">SUMPRODUCT(General_Data*(Year=AE$3)*(Month=AE$4)*(Code_General_Data=$B105))</f>
        <v>1340</v>
      </c>
      <c r="AF105" s="310" cm="1">
        <f t="array" ref="AF105">SUMPRODUCT(General_Data*(Year=AF$3)*(Month=AF$4)*(Code_General_Data=$B105))</f>
        <v>1340</v>
      </c>
      <c r="AG105" s="310" cm="1">
        <f t="array" ref="AG105">SUMPRODUCT(General_Data*(Year=AG$3)*(Month=AG$4)*(Code_General_Data=$B105))</f>
        <v>1340</v>
      </c>
      <c r="AH105" s="310" cm="1">
        <f t="array" ref="AH105">SUMPRODUCT(General_Data*(Year=AH$3)*(Month=AH$4)*(Code_General_Data=$B105))</f>
        <v>1310</v>
      </c>
      <c r="AI105" s="310" cm="1">
        <f t="array" ref="AI105">SUMPRODUCT(General_Data*(Year=AI$3)*(Month=AI$4)*(Code_General_Data=$B105))</f>
        <v>1310</v>
      </c>
      <c r="AJ105" s="310" cm="1">
        <f t="array" ref="AJ105">SUMPRODUCT(General_Data*(Year=AJ$3)*(Month=AJ$4)*(Code_General_Data=$B105))</f>
        <v>1300</v>
      </c>
      <c r="AK105" s="310" cm="1">
        <f t="array" ref="AK105">SUMPRODUCT(General_Data*(Year=AK$3)*(Month=AK$4)*(Code_General_Data=$B105))</f>
        <v>1290</v>
      </c>
      <c r="AL105" s="462" cm="1">
        <f t="array" ref="AL105">SUMPRODUCT(General_Data*(Year=AL$3)*(Month=AL$4)*(Code_General_Data=$B105))</f>
        <v>1290</v>
      </c>
      <c r="AM105" s="310" cm="1">
        <f t="array" ref="AM105">SUMPRODUCT(General_Data*(Year=AM$3)*(Month=AM$4)*(Code_General_Data=$B105))</f>
        <v>1250</v>
      </c>
      <c r="AN105" s="310" cm="1">
        <f t="array" ref="AN105">SUMPRODUCT(General_Data*(Year=AN$3)*(Month=AN$4)*(Code_General_Data=$B105))</f>
        <v>1250</v>
      </c>
      <c r="AO105" s="310" cm="1">
        <f t="array" ref="AO105">SUMPRODUCT(General_Data*(Year=AO$3)*(Month=AO$4)*(Code_General_Data=$B105))</f>
        <v>1250</v>
      </c>
      <c r="AP105" s="310" cm="1">
        <f t="array" ref="AP105">SUMPRODUCT(General_Data*(Year=AP$3)*(Month=AP$4)*(Code_General_Data=$B105))</f>
        <v>1370</v>
      </c>
      <c r="AQ105" s="310" cm="1">
        <f t="array" ref="AQ105">SUMPRODUCT(General_Data*(Year=AQ$3)*(Month=AQ$4)*(Code_General_Data=$B105))</f>
        <v>1470</v>
      </c>
      <c r="AR105" s="310" cm="1">
        <f t="array" ref="AR105">SUMPRODUCT(General_Data*(Year=AR$3)*(Month=AR$4)*(Code_General_Data=$B105))</f>
        <v>1440</v>
      </c>
      <c r="AS105" s="310"/>
      <c r="AT105" s="310"/>
      <c r="AU105" s="310"/>
      <c r="AV105" s="310"/>
      <c r="AW105" s="310"/>
      <c r="AX105" s="311"/>
    </row>
    <row r="106" spans="1:50" s="514" customFormat="1" outlineLevel="1" x14ac:dyDescent="0.3">
      <c r="F106" s="515"/>
      <c r="G106" s="516"/>
      <c r="H106" s="516"/>
      <c r="I106" s="516"/>
      <c r="J106" s="517" t="s">
        <v>407</v>
      </c>
      <c r="K106" s="518"/>
      <c r="L106" s="519"/>
      <c r="M106" s="519"/>
      <c r="N106" s="519"/>
      <c r="O106" s="520"/>
      <c r="P106" s="520"/>
      <c r="Q106" s="520"/>
      <c r="R106" s="520"/>
      <c r="S106" s="520"/>
      <c r="T106" s="520"/>
      <c r="U106" s="520"/>
      <c r="V106" s="520"/>
      <c r="W106" s="520"/>
      <c r="X106" s="520"/>
      <c r="Y106" s="520"/>
      <c r="Z106" s="521"/>
      <c r="AA106" s="520">
        <f t="shared" ref="AA106:AL106" si="125">AA103+AA97</f>
        <v>1528.278125</v>
      </c>
      <c r="AB106" s="520">
        <f t="shared" si="125"/>
        <v>1528.8531250000001</v>
      </c>
      <c r="AC106" s="520">
        <f t="shared" si="125"/>
        <v>1529.3875</v>
      </c>
      <c r="AD106" s="520">
        <f t="shared" si="125"/>
        <v>1529.375</v>
      </c>
      <c r="AE106" s="520">
        <f t="shared" si="125"/>
        <v>1529.3</v>
      </c>
      <c r="AF106" s="520">
        <f t="shared" si="125"/>
        <v>1529.3</v>
      </c>
      <c r="AG106" s="520">
        <f t="shared" si="125"/>
        <v>1529.3</v>
      </c>
      <c r="AH106" s="520">
        <f t="shared" si="125"/>
        <v>1529.57</v>
      </c>
      <c r="AI106" s="520">
        <f t="shared" si="125"/>
        <v>1530.0574999999999</v>
      </c>
      <c r="AJ106" s="520">
        <f t="shared" si="125"/>
        <v>1530.4775</v>
      </c>
      <c r="AK106" s="520">
        <f t="shared" si="125"/>
        <v>1530.8150000000001</v>
      </c>
      <c r="AL106" s="521">
        <f t="shared" si="125"/>
        <v>1530.996875</v>
      </c>
      <c r="AM106" s="520"/>
      <c r="AN106" s="520"/>
      <c r="AO106" s="520"/>
      <c r="AP106" s="520"/>
      <c r="AQ106" s="520"/>
      <c r="AR106" s="520"/>
      <c r="AS106" s="520"/>
      <c r="AT106" s="520"/>
      <c r="AU106" s="520"/>
      <c r="AV106" s="520"/>
      <c r="AW106" s="520"/>
      <c r="AX106" s="521"/>
    </row>
    <row r="107" spans="1:50" s="522" customFormat="1" outlineLevel="1" x14ac:dyDescent="0.3">
      <c r="F107" s="523"/>
      <c r="G107" s="524"/>
      <c r="H107" s="524"/>
      <c r="I107" s="524"/>
      <c r="J107" s="525" t="s">
        <v>408</v>
      </c>
      <c r="K107" s="526"/>
      <c r="L107" s="527"/>
      <c r="M107" s="527"/>
      <c r="N107" s="527"/>
      <c r="O107" s="534"/>
      <c r="P107" s="534"/>
      <c r="Q107" s="534"/>
      <c r="R107" s="534"/>
      <c r="S107" s="534"/>
      <c r="T107" s="534"/>
      <c r="U107" s="534"/>
      <c r="V107" s="534"/>
      <c r="W107" s="534"/>
      <c r="X107" s="534"/>
      <c r="Y107" s="534"/>
      <c r="Z107" s="535"/>
      <c r="AA107" s="534">
        <f t="shared" ref="AA107:AL107" si="126">AA104+AA97</f>
        <v>1308.278125</v>
      </c>
      <c r="AB107" s="534">
        <f t="shared" si="126"/>
        <v>1308.8531250000001</v>
      </c>
      <c r="AC107" s="534">
        <f t="shared" si="126"/>
        <v>1309.3875</v>
      </c>
      <c r="AD107" s="534">
        <f t="shared" si="126"/>
        <v>1309.375</v>
      </c>
      <c r="AE107" s="534">
        <f t="shared" si="126"/>
        <v>1309.3</v>
      </c>
      <c r="AF107" s="534">
        <f t="shared" si="126"/>
        <v>1309.3</v>
      </c>
      <c r="AG107" s="534">
        <f t="shared" si="126"/>
        <v>1309.3</v>
      </c>
      <c r="AH107" s="534">
        <f t="shared" si="126"/>
        <v>1309.57</v>
      </c>
      <c r="AI107" s="534">
        <f t="shared" si="126"/>
        <v>1310.0574999999999</v>
      </c>
      <c r="AJ107" s="534">
        <f t="shared" si="126"/>
        <v>1310.4775</v>
      </c>
      <c r="AK107" s="534">
        <f t="shared" si="126"/>
        <v>1310.8150000000001</v>
      </c>
      <c r="AL107" s="535">
        <f t="shared" si="126"/>
        <v>1310.996875</v>
      </c>
      <c r="AM107" s="534"/>
      <c r="AN107" s="534"/>
      <c r="AO107" s="534"/>
      <c r="AP107" s="534"/>
      <c r="AQ107" s="534"/>
      <c r="AR107" s="534"/>
      <c r="AS107" s="534"/>
      <c r="AT107" s="534"/>
      <c r="AU107" s="534"/>
      <c r="AV107" s="534"/>
      <c r="AW107" s="534"/>
      <c r="AX107" s="535"/>
    </row>
    <row r="108" spans="1:50" s="185" customFormat="1" x14ac:dyDescent="0.3">
      <c r="F108" s="307"/>
      <c r="G108" s="186"/>
      <c r="H108" s="186"/>
      <c r="I108" s="186"/>
      <c r="J108" s="371"/>
      <c r="K108" s="186"/>
      <c r="L108" s="308"/>
      <c r="M108" s="308"/>
      <c r="N108" s="308"/>
      <c r="O108" s="308"/>
      <c r="P108" s="308"/>
      <c r="Q108" s="308"/>
      <c r="R108" s="308"/>
      <c r="S108" s="308"/>
      <c r="T108" s="308"/>
      <c r="U108" s="308"/>
      <c r="V108" s="308"/>
      <c r="W108" s="308"/>
      <c r="X108" s="308"/>
      <c r="Y108" s="308"/>
      <c r="Z108" s="309"/>
      <c r="AA108" s="308"/>
      <c r="AB108" s="308"/>
      <c r="AC108" s="308"/>
      <c r="AD108" s="308"/>
      <c r="AE108" s="308"/>
      <c r="AF108" s="308"/>
      <c r="AG108" s="308"/>
      <c r="AH108" s="308"/>
      <c r="AI108" s="308"/>
      <c r="AJ108" s="308"/>
      <c r="AK108" s="308"/>
      <c r="AL108" s="463"/>
      <c r="AM108" s="308"/>
      <c r="AN108" s="308"/>
      <c r="AO108" s="308"/>
      <c r="AP108" s="308"/>
      <c r="AQ108" s="308"/>
      <c r="AR108" s="308"/>
      <c r="AS108" s="308"/>
      <c r="AT108" s="308"/>
      <c r="AU108" s="308"/>
      <c r="AV108" s="308"/>
      <c r="AW108" s="308"/>
      <c r="AX108" s="309"/>
    </row>
    <row r="109" spans="1:50" s="325" customFormat="1" ht="15.6" x14ac:dyDescent="0.3">
      <c r="A109" s="325" t="s">
        <v>39</v>
      </c>
      <c r="B109" s="325" t="s">
        <v>30</v>
      </c>
      <c r="D109" s="325" t="s">
        <v>321</v>
      </c>
      <c r="F109" s="338">
        <v>5.2</v>
      </c>
      <c r="G109" s="339"/>
      <c r="H109" s="339" t="s">
        <v>269</v>
      </c>
      <c r="I109" s="339"/>
      <c r="J109" s="373"/>
      <c r="L109" s="339"/>
      <c r="M109" s="339"/>
      <c r="N109" s="339"/>
      <c r="O109" s="329">
        <f t="shared" ref="O109:Z109" si="127">SUM(O110:O113)</f>
        <v>1346.5</v>
      </c>
      <c r="P109" s="329">
        <f t="shared" si="127"/>
        <v>1354</v>
      </c>
      <c r="Q109" s="329">
        <f t="shared" si="127"/>
        <v>1366.5</v>
      </c>
      <c r="R109" s="329">
        <f t="shared" si="127"/>
        <v>1369</v>
      </c>
      <c r="S109" s="329">
        <f t="shared" si="127"/>
        <v>1373</v>
      </c>
      <c r="T109" s="329">
        <f t="shared" si="127"/>
        <v>1388</v>
      </c>
      <c r="U109" s="329">
        <f t="shared" si="127"/>
        <v>1404</v>
      </c>
      <c r="V109" s="329">
        <f t="shared" si="127"/>
        <v>1415</v>
      </c>
      <c r="W109" s="329">
        <f t="shared" si="127"/>
        <v>1435</v>
      </c>
      <c r="X109" s="329">
        <f t="shared" si="127"/>
        <v>1462.75</v>
      </c>
      <c r="Y109" s="329">
        <f t="shared" si="127"/>
        <v>1480.25</v>
      </c>
      <c r="Z109" s="330">
        <f t="shared" si="127"/>
        <v>1484</v>
      </c>
      <c r="AA109" s="328">
        <f t="shared" ref="AA109:AF109" si="128">MIN(MAX(SUM(AA110,AA111),AA119),AA118)+AA112+AA113</f>
        <v>1452.903125</v>
      </c>
      <c r="AB109" s="329">
        <f t="shared" si="128"/>
        <v>1415.1447916666652</v>
      </c>
      <c r="AC109" s="329">
        <f t="shared" si="128"/>
        <v>1380.0541666666652</v>
      </c>
      <c r="AD109" s="329">
        <f t="shared" si="128"/>
        <v>1380.875</v>
      </c>
      <c r="AE109" s="329">
        <f t="shared" si="128"/>
        <v>1385.8</v>
      </c>
      <c r="AF109" s="329">
        <f t="shared" si="128"/>
        <v>1385.8</v>
      </c>
      <c r="AG109" s="329">
        <f t="shared" ref="AG109:AH109" si="129">MIN(MAX(SUM(AG110,AG111),AG119),AG118)+AG112+AG113</f>
        <v>1385.8</v>
      </c>
      <c r="AH109" s="329">
        <f t="shared" si="129"/>
        <v>1368.07</v>
      </c>
      <c r="AI109" s="329">
        <f t="shared" ref="AI109:AJ109" si="130">MIN(MAX(SUM(AI110,AI111),AI119),AI118)+AI112+AI113</f>
        <v>1336.5574999999999</v>
      </c>
      <c r="AJ109" s="329">
        <f t="shared" si="130"/>
        <v>1336.9775</v>
      </c>
      <c r="AK109" s="329">
        <f t="shared" ref="AK109:AL109" si="131">MIN(MAX(SUM(AK110,AK111),AK119),AK118)+AK112+AK113</f>
        <v>1337.3150000000001</v>
      </c>
      <c r="AL109" s="464">
        <f t="shared" si="131"/>
        <v>1337.496875</v>
      </c>
      <c r="AM109" s="329">
        <v>1225</v>
      </c>
      <c r="AN109" s="329">
        <v>1225</v>
      </c>
      <c r="AO109" s="329">
        <v>1225</v>
      </c>
      <c r="AP109" s="329">
        <f>1225+8</f>
        <v>1233</v>
      </c>
      <c r="AQ109" s="329">
        <v>1233</v>
      </c>
      <c r="AR109" s="329">
        <v>1233</v>
      </c>
      <c r="AS109" s="329">
        <v>1233</v>
      </c>
      <c r="AT109" s="329">
        <v>1233</v>
      </c>
      <c r="AU109" s="329">
        <v>1233</v>
      </c>
      <c r="AV109" s="329">
        <v>1233</v>
      </c>
      <c r="AW109" s="329">
        <v>1233</v>
      </c>
      <c r="AX109" s="330">
        <v>1233</v>
      </c>
    </row>
    <row r="110" spans="1:50" s="349" customFormat="1" outlineLevel="1" x14ac:dyDescent="0.3">
      <c r="A110" s="349" t="s">
        <v>39</v>
      </c>
      <c r="B110" s="349" t="s">
        <v>30</v>
      </c>
      <c r="F110" s="350" t="s">
        <v>462</v>
      </c>
      <c r="G110" s="351"/>
      <c r="H110" s="351" t="s">
        <v>40</v>
      </c>
      <c r="I110" s="351" t="s">
        <v>332</v>
      </c>
      <c r="J110" s="374"/>
      <c r="K110" s="352"/>
      <c r="L110" s="351"/>
      <c r="M110" s="351"/>
      <c r="N110" s="351"/>
      <c r="O110" s="345">
        <f t="shared" ref="O110:AL110" si="132">(M117+N117)/2</f>
        <v>1300</v>
      </c>
      <c r="P110" s="345">
        <f t="shared" si="132"/>
        <v>1307.5</v>
      </c>
      <c r="Q110" s="345">
        <f t="shared" si="132"/>
        <v>1320</v>
      </c>
      <c r="R110" s="345">
        <f t="shared" si="132"/>
        <v>1322.5</v>
      </c>
      <c r="S110" s="345">
        <f t="shared" si="132"/>
        <v>1326.5</v>
      </c>
      <c r="T110" s="345">
        <f t="shared" si="132"/>
        <v>1341.5</v>
      </c>
      <c r="U110" s="345">
        <f t="shared" si="132"/>
        <v>1357.5</v>
      </c>
      <c r="V110" s="345">
        <f t="shared" si="132"/>
        <v>1368.5</v>
      </c>
      <c r="W110" s="345">
        <f t="shared" si="132"/>
        <v>1388.5</v>
      </c>
      <c r="X110" s="345">
        <f t="shared" si="132"/>
        <v>1416.25</v>
      </c>
      <c r="Y110" s="345">
        <f t="shared" si="132"/>
        <v>1433.75</v>
      </c>
      <c r="Z110" s="346">
        <f t="shared" si="132"/>
        <v>1437.5</v>
      </c>
      <c r="AA110" s="344">
        <f t="shared" si="132"/>
        <v>1428.125</v>
      </c>
      <c r="AB110" s="345">
        <f t="shared" si="132"/>
        <v>1389.7916666666652</v>
      </c>
      <c r="AC110" s="345">
        <f t="shared" si="132"/>
        <v>1354.1666666666652</v>
      </c>
      <c r="AD110" s="345">
        <f t="shared" si="132"/>
        <v>1355</v>
      </c>
      <c r="AE110" s="345">
        <f t="shared" si="132"/>
        <v>1360</v>
      </c>
      <c r="AF110" s="345">
        <f t="shared" si="132"/>
        <v>1360</v>
      </c>
      <c r="AG110" s="345">
        <f t="shared" si="132"/>
        <v>1360</v>
      </c>
      <c r="AH110" s="345">
        <f t="shared" si="132"/>
        <v>1342</v>
      </c>
      <c r="AI110" s="345">
        <f t="shared" si="132"/>
        <v>1309.5</v>
      </c>
      <c r="AJ110" s="345">
        <f t="shared" si="132"/>
        <v>1281.5</v>
      </c>
      <c r="AK110" s="345">
        <f t="shared" si="132"/>
        <v>1259</v>
      </c>
      <c r="AL110" s="458">
        <f t="shared" si="132"/>
        <v>1246.875</v>
      </c>
      <c r="AM110" s="345"/>
      <c r="AN110" s="345"/>
      <c r="AO110" s="345"/>
      <c r="AP110" s="345"/>
      <c r="AQ110" s="345"/>
      <c r="AR110" s="345"/>
      <c r="AS110" s="345"/>
      <c r="AT110" s="345"/>
      <c r="AU110" s="345"/>
      <c r="AV110" s="345"/>
      <c r="AW110" s="345"/>
      <c r="AX110" s="346"/>
    </row>
    <row r="111" spans="1:50" s="349" customFormat="1" outlineLevel="1" x14ac:dyDescent="0.3">
      <c r="A111" s="349" t="s">
        <v>39</v>
      </c>
      <c r="B111" s="349" t="s">
        <v>30</v>
      </c>
      <c r="F111" s="350" t="s">
        <v>463</v>
      </c>
      <c r="G111" s="351"/>
      <c r="H111" s="351" t="s">
        <v>40</v>
      </c>
      <c r="I111" s="351" t="s">
        <v>268</v>
      </c>
      <c r="J111" s="374"/>
      <c r="K111" s="352"/>
      <c r="L111" s="351"/>
      <c r="M111" s="351"/>
      <c r="N111" s="351"/>
      <c r="O111" s="345">
        <v>30</v>
      </c>
      <c r="P111" s="345">
        <v>30</v>
      </c>
      <c r="Q111" s="345">
        <v>30</v>
      </c>
      <c r="R111" s="345">
        <v>30</v>
      </c>
      <c r="S111" s="345">
        <v>30</v>
      </c>
      <c r="T111" s="345">
        <v>30</v>
      </c>
      <c r="U111" s="345">
        <v>30</v>
      </c>
      <c r="V111" s="345">
        <v>30</v>
      </c>
      <c r="W111" s="345">
        <v>30</v>
      </c>
      <c r="X111" s="345">
        <v>30</v>
      </c>
      <c r="Y111" s="345">
        <v>30</v>
      </c>
      <c r="Z111" s="346">
        <v>30</v>
      </c>
      <c r="AA111" s="344">
        <v>20</v>
      </c>
      <c r="AB111" s="345">
        <v>20</v>
      </c>
      <c r="AC111" s="345">
        <v>20</v>
      </c>
      <c r="AD111" s="345">
        <v>20</v>
      </c>
      <c r="AE111" s="345">
        <v>20</v>
      </c>
      <c r="AF111" s="345">
        <v>20</v>
      </c>
      <c r="AG111" s="345">
        <v>20</v>
      </c>
      <c r="AH111" s="345">
        <v>20</v>
      </c>
      <c r="AI111" s="345">
        <v>20</v>
      </c>
      <c r="AJ111" s="345">
        <v>20</v>
      </c>
      <c r="AK111" s="345">
        <v>20</v>
      </c>
      <c r="AL111" s="458">
        <v>20</v>
      </c>
      <c r="AM111" s="345"/>
      <c r="AN111" s="345"/>
      <c r="AO111" s="345"/>
      <c r="AP111" s="345"/>
      <c r="AQ111" s="345"/>
      <c r="AR111" s="345"/>
      <c r="AS111" s="345"/>
      <c r="AT111" s="345"/>
      <c r="AU111" s="345"/>
      <c r="AV111" s="345"/>
      <c r="AW111" s="345"/>
      <c r="AX111" s="346"/>
    </row>
    <row r="112" spans="1:50" s="349" customFormat="1" outlineLevel="1" x14ac:dyDescent="0.3">
      <c r="A112" s="349" t="s">
        <v>39</v>
      </c>
      <c r="B112" s="349" t="s">
        <v>30</v>
      </c>
      <c r="F112" s="350" t="s">
        <v>464</v>
      </c>
      <c r="G112" s="351"/>
      <c r="H112" s="351" t="s">
        <v>40</v>
      </c>
      <c r="I112" s="353" t="s">
        <v>331</v>
      </c>
      <c r="J112" s="374"/>
      <c r="K112" s="352"/>
      <c r="L112" s="351"/>
      <c r="M112" s="351"/>
      <c r="N112" s="351"/>
      <c r="O112" s="345">
        <f>-IF('Rebate-Suntory'!$E$14="/tấn",'Rebate-Suntory'!$D$14,IF('Rebate-Suntory'!$E$14="giá trị",'Rebate-Suntory'!$D$14*(O110+O111+O113),0))</f>
        <v>-10</v>
      </c>
      <c r="P112" s="345">
        <f>-IF('Rebate-Suntory'!$E$14="/tấn",'Rebate-Suntory'!$D$14,IF('Rebate-Suntory'!$E$14="giá trị",'Rebate-Suntory'!$D$14*(P110+P111+P113),0))</f>
        <v>-10</v>
      </c>
      <c r="Q112" s="345">
        <f>-IF('Rebate-Suntory'!$E$14="/tấn",'Rebate-Suntory'!$D$14,IF('Rebate-Suntory'!$E$14="giá trị",'Rebate-Suntory'!$D$14*(Q110+Q111+Q113),0))</f>
        <v>-10</v>
      </c>
      <c r="R112" s="345">
        <f>-IF('Rebate-Suntory'!$E$14="/tấn",'Rebate-Suntory'!$D$14,IF('Rebate-Suntory'!$E$14="giá trị",'Rebate-Suntory'!$D$14*(R110+R111+R113),0))</f>
        <v>-10</v>
      </c>
      <c r="S112" s="345">
        <f>-IF('Rebate-Suntory'!$E$14="/tấn",'Rebate-Suntory'!$D$14,IF('Rebate-Suntory'!$E$14="giá trị",'Rebate-Suntory'!$D$14*(S110+S111+S113),0))</f>
        <v>-10</v>
      </c>
      <c r="T112" s="345">
        <f>-IF('Rebate-Suntory'!$E$14="/tấn",'Rebate-Suntory'!$D$14,IF('Rebate-Suntory'!$E$14="giá trị",'Rebate-Suntory'!$D$14*(T110+T111+T113),0))</f>
        <v>-10</v>
      </c>
      <c r="U112" s="345">
        <f>-IF('Rebate-Suntory'!$E$14="/tấn",'Rebate-Suntory'!$D$14,IF('Rebate-Suntory'!$E$14="giá trị",'Rebate-Suntory'!$D$14*(U110+U111+U113),0))</f>
        <v>-10</v>
      </c>
      <c r="V112" s="345">
        <f>-IF('Rebate-Suntory'!$E$14="/tấn",'Rebate-Suntory'!$D$14,IF('Rebate-Suntory'!$E$14="giá trị",'Rebate-Suntory'!$D$14*(V110+V111+V113),0))</f>
        <v>-10</v>
      </c>
      <c r="W112" s="345">
        <f>-IF('Rebate-Suntory'!$E$14="/tấn",'Rebate-Suntory'!$D$14,IF('Rebate-Suntory'!$E$14="giá trị",'Rebate-Suntory'!$D$14*(W110+W111+W113),0))</f>
        <v>-10</v>
      </c>
      <c r="X112" s="345">
        <f>-IF('Rebate-Suntory'!$E$14="/tấn",'Rebate-Suntory'!$D$14,IF('Rebate-Suntory'!$E$14="giá trị",'Rebate-Suntory'!$D$14*(X110+X111+X113),0))</f>
        <v>-10</v>
      </c>
      <c r="Y112" s="345">
        <f>-IF('Rebate-Suntory'!$E$14="/tấn",'Rebate-Suntory'!$D$14,IF('Rebate-Suntory'!$E$14="giá trị",'Rebate-Suntory'!$D$14*(Y110+Y111+Y113),0))</f>
        <v>-10</v>
      </c>
      <c r="Z112" s="346">
        <f>-IF('Rebate-Suntory'!$E$14="/tấn",'Rebate-Suntory'!$D$14,IF('Rebate-Suntory'!$E$14="giá trị",'Rebate-Suntory'!$D$14*(Z110+Z111+Z113),0))</f>
        <v>-10</v>
      </c>
      <c r="AA112" s="344">
        <f>-IF('Rebate-Suntory'!$J$14="/tấn",'Rebate-Suntory'!$I$14,IF('Rebate-Suntory'!$J$14="giá trị",'Rebate-Suntory'!$I$14*(AA110+AA111),0))</f>
        <v>-21.721875000000001</v>
      </c>
      <c r="AB112" s="345">
        <f>-IF('Rebate-Suntory'!$J$14="/tấn",'Rebate-Suntory'!$I$14,IF('Rebate-Suntory'!$J$14="giá trị",'Rebate-Suntory'!$I$14*(AB110+AB111),0))</f>
        <v>-21.146874999999977</v>
      </c>
      <c r="AC112" s="345">
        <f>-IF('Rebate-Suntory'!$J$14="/tấn",'Rebate-Suntory'!$I$14,IF('Rebate-Suntory'!$J$14="giá trị",'Rebate-Suntory'!$I$14*(AC110+AC111),0))</f>
        <v>-20.612499999999976</v>
      </c>
      <c r="AD112" s="345">
        <f>-IF('Rebate-Suntory'!$J$14="/tấn",'Rebate-Suntory'!$I$14,IF('Rebate-Suntory'!$J$14="giá trị",'Rebate-Suntory'!$I$14*(AD110+AD111),0))</f>
        <v>-20.625</v>
      </c>
      <c r="AE112" s="345">
        <f>-IF('Rebate-Suntory'!$J$14="/tấn",'Rebate-Suntory'!$I$14,IF('Rebate-Suntory'!$J$14="giá trị",'Rebate-Suntory'!$I$14*(AE110+AE111),0))</f>
        <v>-20.7</v>
      </c>
      <c r="AF112" s="345">
        <f>-IF('Rebate-Suntory'!$J$14="/tấn",'Rebate-Suntory'!$I$14,IF('Rebate-Suntory'!$J$14="giá trị",'Rebate-Suntory'!$I$14*(AF110+AF111),0))</f>
        <v>-20.7</v>
      </c>
      <c r="AG112" s="345">
        <f>-IF('Rebate-Suntory'!$J$14="/tấn",'Rebate-Suntory'!$I$14,IF('Rebate-Suntory'!$J$14="giá trị",'Rebate-Suntory'!$I$14*(AG110+AG111),0))</f>
        <v>-20.7</v>
      </c>
      <c r="AH112" s="345">
        <f>-IF('Rebate-Suntory'!$J$14="/tấn",'Rebate-Suntory'!$I$14,IF('Rebate-Suntory'!$J$14="giá trị",'Rebate-Suntory'!$I$14*(AH110+AH111),0))</f>
        <v>-20.43</v>
      </c>
      <c r="AI112" s="345">
        <f>-IF('Rebate-Suntory'!$J$14="/tấn",'Rebate-Suntory'!$I$14,IF('Rebate-Suntory'!$J$14="giá trị",'Rebate-Suntory'!$I$14*(AI110+AI111),0))</f>
        <v>-19.942499999999999</v>
      </c>
      <c r="AJ112" s="345">
        <f>-IF('Rebate-Suntory'!$J$14="/tấn",'Rebate-Suntory'!$I$14,IF('Rebate-Suntory'!$J$14="giá trị",'Rebate-Suntory'!$I$14*(AJ110+AJ111),0))</f>
        <v>-19.522500000000001</v>
      </c>
      <c r="AK112" s="345">
        <f>-IF('Rebate-Suntory'!$J$14="/tấn",'Rebate-Suntory'!$I$14,IF('Rebate-Suntory'!$J$14="giá trị",'Rebate-Suntory'!$I$14*(AK110+AK111),0))</f>
        <v>-19.184999999999999</v>
      </c>
      <c r="AL112" s="458">
        <f>-IF('Rebate-Suntory'!$J$14="/tấn",'Rebate-Suntory'!$I$14,IF('Rebate-Suntory'!$J$14="giá trị",'Rebate-Suntory'!$I$14*(AL110+AL111),0))</f>
        <v>-19.003125000000001</v>
      </c>
      <c r="AM112" s="345"/>
      <c r="AN112" s="345"/>
      <c r="AO112" s="345"/>
      <c r="AP112" s="345"/>
      <c r="AQ112" s="345"/>
      <c r="AR112" s="345"/>
      <c r="AS112" s="345"/>
      <c r="AT112" s="345"/>
      <c r="AU112" s="345"/>
      <c r="AV112" s="345"/>
      <c r="AW112" s="345"/>
      <c r="AX112" s="346"/>
    </row>
    <row r="113" spans="1:50" s="349" customFormat="1" outlineLevel="1" x14ac:dyDescent="0.3">
      <c r="A113" s="349" t="s">
        <v>39</v>
      </c>
      <c r="B113" s="349" t="s">
        <v>30</v>
      </c>
      <c r="F113" s="350" t="s">
        <v>465</v>
      </c>
      <c r="G113" s="351"/>
      <c r="H113" s="351" t="s">
        <v>40</v>
      </c>
      <c r="I113" s="351" t="s">
        <v>41</v>
      </c>
      <c r="J113" s="374"/>
      <c r="K113" s="352"/>
      <c r="L113" s="351"/>
      <c r="M113" s="351"/>
      <c r="N113" s="351"/>
      <c r="O113" s="345">
        <v>26.5</v>
      </c>
      <c r="P113" s="345">
        <v>26.5</v>
      </c>
      <c r="Q113" s="345">
        <v>26.5</v>
      </c>
      <c r="R113" s="345">
        <v>26.5</v>
      </c>
      <c r="S113" s="345">
        <v>26.5</v>
      </c>
      <c r="T113" s="345">
        <v>26.5</v>
      </c>
      <c r="U113" s="345">
        <v>26.5</v>
      </c>
      <c r="V113" s="345">
        <v>26.5</v>
      </c>
      <c r="W113" s="345">
        <v>26.5</v>
      </c>
      <c r="X113" s="345">
        <v>26.5</v>
      </c>
      <c r="Y113" s="345">
        <v>26.5</v>
      </c>
      <c r="Z113" s="346">
        <v>26.5</v>
      </c>
      <c r="AA113" s="344">
        <v>26.5</v>
      </c>
      <c r="AB113" s="345">
        <v>26.5</v>
      </c>
      <c r="AC113" s="345">
        <v>26.5</v>
      </c>
      <c r="AD113" s="356">
        <v>26.5</v>
      </c>
      <c r="AE113" s="356">
        <v>26.5</v>
      </c>
      <c r="AF113" s="356">
        <v>26.5</v>
      </c>
      <c r="AG113" s="356">
        <v>26.5</v>
      </c>
      <c r="AH113" s="356">
        <v>26.5</v>
      </c>
      <c r="AI113" s="356">
        <v>26.5</v>
      </c>
      <c r="AJ113" s="356">
        <v>26.5</v>
      </c>
      <c r="AK113" s="356">
        <v>26.5</v>
      </c>
      <c r="AL113" s="465">
        <v>26.5</v>
      </c>
      <c r="AM113" s="345"/>
      <c r="AN113" s="345"/>
      <c r="AO113" s="345"/>
      <c r="AP113" s="356"/>
      <c r="AQ113" s="356"/>
      <c r="AR113" s="356"/>
      <c r="AS113" s="356"/>
      <c r="AT113" s="356"/>
      <c r="AU113" s="356"/>
      <c r="AV113" s="356"/>
      <c r="AW113" s="356"/>
      <c r="AX113" s="357"/>
    </row>
    <row r="114" spans="1:50" s="94" customFormat="1" outlineLevel="1" x14ac:dyDescent="0.3">
      <c r="A114" s="94" t="s">
        <v>39</v>
      </c>
      <c r="B114" s="94" t="s">
        <v>30</v>
      </c>
      <c r="D114" s="95" t="s">
        <v>161</v>
      </c>
      <c r="F114" s="275" t="s">
        <v>466</v>
      </c>
      <c r="G114" s="276"/>
      <c r="H114" s="276"/>
      <c r="I114" s="276" t="s">
        <v>8</v>
      </c>
      <c r="J114" s="375"/>
      <c r="K114" s="2"/>
      <c r="L114" s="276"/>
      <c r="M114" s="276"/>
      <c r="N114" s="276"/>
      <c r="O114" s="226">
        <f t="shared" ref="O114:AE114" si="133">O109-O113</f>
        <v>1320</v>
      </c>
      <c r="P114" s="226">
        <f t="shared" si="133"/>
        <v>1327.5</v>
      </c>
      <c r="Q114" s="226">
        <f t="shared" si="133"/>
        <v>1340</v>
      </c>
      <c r="R114" s="226">
        <f t="shared" si="133"/>
        <v>1342.5</v>
      </c>
      <c r="S114" s="226">
        <f t="shared" si="133"/>
        <v>1346.5</v>
      </c>
      <c r="T114" s="226">
        <f t="shared" si="133"/>
        <v>1361.5</v>
      </c>
      <c r="U114" s="226">
        <f t="shared" si="133"/>
        <v>1377.5</v>
      </c>
      <c r="V114" s="226">
        <f t="shared" si="133"/>
        <v>1388.5</v>
      </c>
      <c r="W114" s="226">
        <f t="shared" si="133"/>
        <v>1408.5</v>
      </c>
      <c r="X114" s="226">
        <f t="shared" si="133"/>
        <v>1436.25</v>
      </c>
      <c r="Y114" s="226">
        <f t="shared" si="133"/>
        <v>1453.75</v>
      </c>
      <c r="Z114" s="227">
        <f t="shared" si="133"/>
        <v>1457.5</v>
      </c>
      <c r="AA114" s="226">
        <f t="shared" si="133"/>
        <v>1426.403125</v>
      </c>
      <c r="AB114" s="226">
        <f t="shared" si="133"/>
        <v>1388.6447916666652</v>
      </c>
      <c r="AC114" s="226">
        <f t="shared" si="133"/>
        <v>1353.5541666666652</v>
      </c>
      <c r="AD114" s="226">
        <f t="shared" si="133"/>
        <v>1354.375</v>
      </c>
      <c r="AE114" s="226">
        <f t="shared" si="133"/>
        <v>1359.3</v>
      </c>
      <c r="AF114" s="226">
        <f t="shared" ref="AF114:AG114" si="134">AF109-AF113</f>
        <v>1359.3</v>
      </c>
      <c r="AG114" s="226">
        <f t="shared" si="134"/>
        <v>1359.3</v>
      </c>
      <c r="AH114" s="226">
        <f t="shared" ref="AH114:AI114" si="135">AH109-AH113</f>
        <v>1341.57</v>
      </c>
      <c r="AI114" s="226">
        <f t="shared" si="135"/>
        <v>1310.0574999999999</v>
      </c>
      <c r="AJ114" s="226">
        <f t="shared" ref="AJ114:AK114" si="136">AJ109-AJ113</f>
        <v>1310.4775</v>
      </c>
      <c r="AK114" s="226">
        <f t="shared" si="136"/>
        <v>1310.8150000000001</v>
      </c>
      <c r="AL114" s="460">
        <f t="shared" ref="AL114" si="137">AL109-AL113</f>
        <v>1310.996875</v>
      </c>
      <c r="AM114" s="226">
        <f t="shared" ref="AM114:AX114" si="138">AM109-AM115-AM116</f>
        <v>1128</v>
      </c>
      <c r="AN114" s="226">
        <f t="shared" si="138"/>
        <v>1128</v>
      </c>
      <c r="AO114" s="226">
        <f t="shared" si="138"/>
        <v>1128</v>
      </c>
      <c r="AP114" s="226">
        <f t="shared" si="138"/>
        <v>1128</v>
      </c>
      <c r="AQ114" s="226">
        <f t="shared" si="138"/>
        <v>1128</v>
      </c>
      <c r="AR114" s="226">
        <f t="shared" si="138"/>
        <v>1128</v>
      </c>
      <c r="AS114" s="226">
        <f t="shared" si="138"/>
        <v>1128</v>
      </c>
      <c r="AT114" s="226">
        <f t="shared" si="138"/>
        <v>1128</v>
      </c>
      <c r="AU114" s="226">
        <f t="shared" si="138"/>
        <v>1128</v>
      </c>
      <c r="AV114" s="226">
        <f t="shared" si="138"/>
        <v>1128</v>
      </c>
      <c r="AW114" s="226">
        <f t="shared" si="138"/>
        <v>1128</v>
      </c>
      <c r="AX114" s="227">
        <f t="shared" si="138"/>
        <v>1128</v>
      </c>
    </row>
    <row r="115" spans="1:50" s="181" customFormat="1" outlineLevel="1" x14ac:dyDescent="0.3">
      <c r="A115" s="400"/>
      <c r="F115" s="219"/>
      <c r="G115" s="188"/>
      <c r="H115" s="188"/>
      <c r="I115" s="188" t="s">
        <v>491</v>
      </c>
      <c r="J115" s="365"/>
      <c r="K115" s="182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9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7"/>
      <c r="AK115" s="207"/>
      <c r="AL115" s="209"/>
      <c r="AM115" s="207">
        <v>25</v>
      </c>
      <c r="AN115" s="207">
        <v>25</v>
      </c>
      <c r="AO115" s="207">
        <v>25</v>
      </c>
      <c r="AP115" s="564">
        <v>33</v>
      </c>
      <c r="AQ115" s="207">
        <v>33</v>
      </c>
      <c r="AR115" s="207">
        <v>33</v>
      </c>
      <c r="AS115" s="207">
        <v>33</v>
      </c>
      <c r="AT115" s="207">
        <v>33</v>
      </c>
      <c r="AU115" s="207">
        <v>33</v>
      </c>
      <c r="AV115" s="207">
        <v>33</v>
      </c>
      <c r="AW115" s="207">
        <v>33</v>
      </c>
      <c r="AX115" s="209">
        <v>33</v>
      </c>
    </row>
    <row r="116" spans="1:50" s="181" customFormat="1" outlineLevel="1" x14ac:dyDescent="0.3">
      <c r="A116" s="400"/>
      <c r="F116" s="219"/>
      <c r="G116" s="188"/>
      <c r="H116" s="188"/>
      <c r="I116" s="188" t="s">
        <v>490</v>
      </c>
      <c r="J116" s="365"/>
      <c r="K116" s="182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9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7"/>
      <c r="AK116" s="207"/>
      <c r="AL116" s="209"/>
      <c r="AM116" s="207">
        <f>IF('Rebate-Suntory'!$O$14="/tấn",'Rebate-Suntory'!$N$14,IF('Rebate-Suntory'!$O$14="giá trị",'Rebate-Suntory'!$N$14*(AM109-AM115),0))</f>
        <v>72</v>
      </c>
      <c r="AN116" s="207">
        <f>IF('Rebate-Suntory'!$O$14="/tấn",'Rebate-Suntory'!$N$14,IF('Rebate-Suntory'!$O$14="giá trị",'Rebate-Suntory'!$N$14*(AN109-AN115),0))</f>
        <v>72</v>
      </c>
      <c r="AO116" s="207">
        <f>IF('Rebate-Suntory'!$O$14="/tấn",'Rebate-Suntory'!$N$14,IF('Rebate-Suntory'!$O$14="giá trị",'Rebate-Suntory'!$N$14*(AO109-AO115),0))</f>
        <v>72</v>
      </c>
      <c r="AP116" s="207">
        <f>IF('Rebate-Suntory'!$O$14="/tấn",'Rebate-Suntory'!$N$14,IF('Rebate-Suntory'!$O$14="giá trị",'Rebate-Suntory'!$N$14*(AP109-AP115),0))</f>
        <v>72</v>
      </c>
      <c r="AQ116" s="207">
        <f>IF('Rebate-Suntory'!$O$14="/tấn",'Rebate-Suntory'!$N$14,IF('Rebate-Suntory'!$O$14="giá trị",'Rebate-Suntory'!$N$14*(AQ109-AQ115),0))</f>
        <v>72</v>
      </c>
      <c r="AR116" s="207">
        <f>IF('Rebate-Suntory'!$O$14="/tấn",'Rebate-Suntory'!$N$14,IF('Rebate-Suntory'!$O$14="giá trị",'Rebate-Suntory'!$N$14*(AR109-AR115),0))</f>
        <v>72</v>
      </c>
      <c r="AS116" s="207">
        <f>IF('Rebate-Suntory'!$O$14="/tấn",'Rebate-Suntory'!$N$14,IF('Rebate-Suntory'!$O$14="giá trị",'Rebate-Suntory'!$N$14*(AS109-AS115),0))</f>
        <v>72</v>
      </c>
      <c r="AT116" s="207">
        <f>IF('Rebate-Suntory'!$O$14="/tấn",'Rebate-Suntory'!$N$14,IF('Rebate-Suntory'!$O$14="giá trị",'Rebate-Suntory'!$N$14*(AT109-AT115),0))</f>
        <v>72</v>
      </c>
      <c r="AU116" s="207">
        <f>IF('Rebate-Suntory'!$O$14="/tấn",'Rebate-Suntory'!$N$14,IF('Rebate-Suntory'!$O$14="giá trị",'Rebate-Suntory'!$N$14*(AU109-AU115),0))</f>
        <v>72</v>
      </c>
      <c r="AV116" s="207">
        <f>IF('Rebate-Suntory'!$O$14="/tấn",'Rebate-Suntory'!$N$14,IF('Rebate-Suntory'!$O$14="giá trị",'Rebate-Suntory'!$N$14*(AV109-AV115),0))</f>
        <v>72</v>
      </c>
      <c r="AW116" s="207">
        <f>IF('Rebate-Suntory'!$O$14="/tấn",'Rebate-Suntory'!$N$14,IF('Rebate-Suntory'!$O$14="giá trị",'Rebate-Suntory'!$N$14*(AW109-AW115),0))</f>
        <v>72</v>
      </c>
      <c r="AX116" s="209">
        <f>IF('Rebate-Suntory'!$O$14="/tấn",'Rebate-Suntory'!$N$14,IF('Rebate-Suntory'!$O$14="giá trị",'Rebate-Suntory'!$N$14*(AX109-AX115),0))</f>
        <v>72</v>
      </c>
    </row>
    <row r="117" spans="1:50" s="183" customFormat="1" x14ac:dyDescent="0.3">
      <c r="A117" s="183" t="s">
        <v>39</v>
      </c>
      <c r="B117" s="183" t="s">
        <v>30</v>
      </c>
      <c r="C117" s="183" t="s">
        <v>43</v>
      </c>
      <c r="F117" s="277"/>
      <c r="G117" s="278"/>
      <c r="H117" s="278"/>
      <c r="I117" s="278"/>
      <c r="J117" s="376" t="s">
        <v>74</v>
      </c>
      <c r="K117" s="184"/>
      <c r="L117" s="288" cm="1">
        <f t="array" ref="L117">SUMPRODUCT(General_Data*(Year=L$3)*(Month=L$4)*(Code_General_Data=$C117))</f>
        <v>1288.125</v>
      </c>
      <c r="M117" s="288" cm="1">
        <f t="array" ref="M117">SUMPRODUCT(General_Data*(Year=M$3)*(Month=M$4)*(Code_General_Data=$C117))</f>
        <v>1300</v>
      </c>
      <c r="N117" s="288" cm="1">
        <f t="array" ref="N117">SUMPRODUCT(General_Data*(Year=N$3)*(Month=N$4)*(Code_General_Data=$C117))</f>
        <v>1300</v>
      </c>
      <c r="O117" s="201" cm="1">
        <f t="array" ref="O117">SUMPRODUCT(General_Data*(Year=O$3)*(Month=O$4)*(Code_General_Data=$C117))</f>
        <v>1315</v>
      </c>
      <c r="P117" s="201" cm="1">
        <f t="array" ref="P117">SUMPRODUCT(General_Data*(Year=P$3)*(Month=P$4)*(Code_General_Data=$C117))</f>
        <v>1325</v>
      </c>
      <c r="Q117" s="201" cm="1">
        <f t="array" ref="Q117">SUMPRODUCT(General_Data*(Year=Q$3)*(Month=Q$4)*(Code_General_Data=$C117))</f>
        <v>1320</v>
      </c>
      <c r="R117" s="201" cm="1">
        <f t="array" ref="R117">SUMPRODUCT(General_Data*(Year=R$3)*(Month=R$4)*(Code_General_Data=$C117))</f>
        <v>1333</v>
      </c>
      <c r="S117" s="201" cm="1">
        <f t="array" ref="S117">SUMPRODUCT(General_Data*(Year=S$3)*(Month=S$4)*(Code_General_Data=$C117))</f>
        <v>1350</v>
      </c>
      <c r="T117" s="201" cm="1">
        <f t="array" ref="T117">SUMPRODUCT(General_Data*(Year=T$3)*(Month=T$4)*(Code_General_Data=$C117))</f>
        <v>1365</v>
      </c>
      <c r="U117" s="201" cm="1">
        <f t="array" ref="U117">SUMPRODUCT(General_Data*(Year=U$3)*(Month=U$4)*(Code_General_Data=$C117))</f>
        <v>1372</v>
      </c>
      <c r="V117" s="201" cm="1">
        <f t="array" ref="V117">SUMPRODUCT(General_Data*(Year=V$3)*(Month=V$4)*(Code_General_Data=$C117))</f>
        <v>1405</v>
      </c>
      <c r="W117" s="201" cm="1">
        <f t="array" ref="W117">SUMPRODUCT(General_Data*(Year=W$3)*(Month=W$4)*(Code_General_Data=$C117))</f>
        <v>1427.5</v>
      </c>
      <c r="X117" s="201" cm="1">
        <f t="array" ref="X117">SUMPRODUCT(General_Data*(Year=X$3)*(Month=X$4)*(Code_General_Data=$C117))</f>
        <v>1440</v>
      </c>
      <c r="Y117" s="201" cm="1">
        <f t="array" ref="Y117">SUMPRODUCT(General_Data*(Year=Y$3)*(Month=Y$4)*(Code_General_Data=$C117))</f>
        <v>1435</v>
      </c>
      <c r="Z117" s="203" cm="1">
        <f t="array" ref="Z117">SUMPRODUCT(General_Data*(Year=Z$3)*(Month=Z$4)*(Code_General_Data=$C117))</f>
        <v>1421.25</v>
      </c>
      <c r="AA117" s="201" cm="1">
        <f t="array" ref="AA117">SUMPRODUCT(General_Data*(Year=AA$3)*(Month=AA$4)*(Code_General_Data=$C117))</f>
        <v>1358.3333333333301</v>
      </c>
      <c r="AB117" s="201" cm="1">
        <f t="array" ref="AB117">SUMPRODUCT(General_Data*(Year=AB$3)*(Month=AB$4)*(Code_General_Data=$C117))</f>
        <v>1350</v>
      </c>
      <c r="AC117" s="201" cm="1">
        <f t="array" ref="AC117">SUMPRODUCT(General_Data*(Year=AC$3)*(Month=AC$4)*(Code_General_Data=$C117))</f>
        <v>1360</v>
      </c>
      <c r="AD117" s="201" cm="1">
        <f t="array" ref="AD117">SUMPRODUCT(General_Data*(Year=AD$3)*(Month=AD$4)*(Code_General_Data=$C117))</f>
        <v>1360</v>
      </c>
      <c r="AE117" s="201" cm="1">
        <f t="array" ref="AE117">SUMPRODUCT(General_Data*(Year=AE$3)*(Month=AE$4)*(Code_General_Data=$C117))</f>
        <v>1360</v>
      </c>
      <c r="AF117" s="201" cm="1">
        <f t="array" ref="AF117">SUMPRODUCT(General_Data*(Year=AF$3)*(Month=AF$4)*(Code_General_Data=$C117))</f>
        <v>1360</v>
      </c>
      <c r="AG117" s="201" cm="1">
        <f t="array" ref="AG117">SUMPRODUCT(General_Data*(Year=AG$3)*(Month=AG$4)*(Code_General_Data=$C117))</f>
        <v>1324</v>
      </c>
      <c r="AH117" s="201" cm="1">
        <f t="array" ref="AH117">SUMPRODUCT(General_Data*(Year=AH$3)*(Month=AH$4)*(Code_General_Data=$C117))</f>
        <v>1295</v>
      </c>
      <c r="AI117" s="201" cm="1">
        <f t="array" ref="AI117">SUMPRODUCT(General_Data*(Year=AI$3)*(Month=AI$4)*(Code_General_Data=$C117))</f>
        <v>1268</v>
      </c>
      <c r="AJ117" s="201" cm="1">
        <f t="array" ref="AJ117">SUMPRODUCT(General_Data*(Year=AJ$3)*(Month=AJ$4)*(Code_General_Data=$C117))</f>
        <v>1250</v>
      </c>
      <c r="AK117" s="201" cm="1">
        <f t="array" ref="AK117">SUMPRODUCT(General_Data*(Year=AK$3)*(Month=AK$4)*(Code_General_Data=$C117))</f>
        <v>1243.75</v>
      </c>
      <c r="AL117" s="461" cm="1">
        <f t="array" ref="AL117">SUMPRODUCT(General_Data*(Year=AL$3)*(Month=AL$4)*(Code_General_Data=$C117))</f>
        <v>1193.75</v>
      </c>
      <c r="AM117" s="201"/>
      <c r="AN117" s="201"/>
      <c r="AO117" s="201"/>
      <c r="AP117" s="201"/>
      <c r="AQ117" s="201"/>
      <c r="AR117" s="201"/>
      <c r="AS117" s="201"/>
      <c r="AT117" s="201"/>
      <c r="AU117" s="201"/>
      <c r="AV117" s="201"/>
      <c r="AW117" s="201"/>
      <c r="AX117" s="203"/>
    </row>
    <row r="118" spans="1:50" s="514" customFormat="1" outlineLevel="1" x14ac:dyDescent="0.3">
      <c r="A118" s="514" t="s">
        <v>39</v>
      </c>
      <c r="B118" s="514" t="s">
        <v>30</v>
      </c>
      <c r="F118" s="515" t="s">
        <v>467</v>
      </c>
      <c r="G118" s="516"/>
      <c r="H118" s="516"/>
      <c r="I118" s="516"/>
      <c r="J118" s="517" t="s">
        <v>46</v>
      </c>
      <c r="K118" s="518"/>
      <c r="L118" s="519"/>
      <c r="M118" s="519"/>
      <c r="N118" s="519"/>
      <c r="O118" s="530" cm="1">
        <f t="array" ref="O118">INDEX(Note!$J$3:$J$102,MATCH(1,(Note!$A$3:$A$102=$A118)*(Note!$C$3:$C$102=$B118)*(Note!$E$3:$E$102&lt;=O$1)*(Note!$F$3:$F$102&gt;=O$2),0))</f>
        <v>0</v>
      </c>
      <c r="P118" s="530" cm="1">
        <f t="array" ref="P118">INDEX(Note!$J$3:$J$102,MATCH(1,(Note!$A$3:$A$102=$A118)*(Note!$C$3:$C$102=$B118)*(Note!$E$3:$E$102&lt;=P$1)*(Note!$F$3:$F$102&gt;=P$2),0))</f>
        <v>0</v>
      </c>
      <c r="Q118" s="530" cm="1">
        <f t="array" ref="Q118">INDEX(Note!$J$3:$J$102,MATCH(1,(Note!$A$3:$A$102=$A118)*(Note!$C$3:$C$102=$B118)*(Note!$E$3:$E$102&lt;=Q$1)*(Note!$F$3:$F$102&gt;=Q$2),0))</f>
        <v>0</v>
      </c>
      <c r="R118" s="530" cm="1">
        <f t="array" ref="R118">INDEX(Note!$J$3:$J$102,MATCH(1,(Note!$A$3:$A$102=$A118)*(Note!$C$3:$C$102=$B118)*(Note!$E$3:$E$102&lt;=R$1)*(Note!$F$3:$F$102&gt;=R$2),0))</f>
        <v>0</v>
      </c>
      <c r="S118" s="530" cm="1">
        <f t="array" ref="S118">INDEX(Note!$J$3:$J$102,MATCH(1,(Note!$A$3:$A$102=$A118)*(Note!$C$3:$C$102=$B118)*(Note!$E$3:$E$102&lt;=S$1)*(Note!$F$3:$F$102&gt;=S$2),0))</f>
        <v>0</v>
      </c>
      <c r="T118" s="530" cm="1">
        <f t="array" ref="T118">INDEX(Note!$J$3:$J$102,MATCH(1,(Note!$A$3:$A$102=$A118)*(Note!$C$3:$C$102=$B118)*(Note!$E$3:$E$102&lt;=T$1)*(Note!$F$3:$F$102&gt;=T$2),0))</f>
        <v>0</v>
      </c>
      <c r="U118" s="530" cm="1">
        <f t="array" ref="U118">INDEX(Note!$J$3:$J$102,MATCH(1,(Note!$A$3:$A$102=$A118)*(Note!$C$3:$C$102=$B118)*(Note!$E$3:$E$102&lt;=U$1)*(Note!$F$3:$F$102&gt;=U$2),0))</f>
        <v>0</v>
      </c>
      <c r="V118" s="530" cm="1">
        <f t="array" ref="V118">INDEX(Note!$J$3:$J$102,MATCH(1,(Note!$A$3:$A$102=$A118)*(Note!$C$3:$C$102=$B118)*(Note!$E$3:$E$102&lt;=V$1)*(Note!$F$3:$F$102&gt;=V$2),0))</f>
        <v>0</v>
      </c>
      <c r="W118" s="530" cm="1">
        <f t="array" ref="W118">INDEX(Note!$J$3:$J$102,MATCH(1,(Note!$A$3:$A$102=$A118)*(Note!$C$3:$C$102=$B118)*(Note!$E$3:$E$102&lt;=W$1)*(Note!$F$3:$F$102&gt;=W$2),0))</f>
        <v>0</v>
      </c>
      <c r="X118" s="530" cm="1">
        <f t="array" ref="X118">INDEX(Note!$J$3:$J$102,MATCH(1,(Note!$A$3:$A$102=$A118)*(Note!$C$3:$C$102=$B118)*(Note!$E$3:$E$102&lt;=X$1)*(Note!$F$3:$F$102&gt;=X$2),0))</f>
        <v>0</v>
      </c>
      <c r="Y118" s="530" cm="1">
        <f t="array" ref="Y118">INDEX(Note!$J$3:$J$102,MATCH(1,(Note!$A$3:$A$102=$A118)*(Note!$C$3:$C$102=$B118)*(Note!$E$3:$E$102&lt;=Y$1)*(Note!$F$3:$F$102&gt;=Y$2),0))</f>
        <v>0</v>
      </c>
      <c r="Z118" s="531" cm="1">
        <f t="array" ref="Z118">INDEX(Note!$J$3:$J$102,MATCH(1,(Note!$A$3:$A$102=$A118)*(Note!$C$3:$C$102=$B118)*(Note!$E$3:$E$102&lt;=Z$1)*(Note!$F$3:$F$102&gt;=Z$2),0))</f>
        <v>0</v>
      </c>
      <c r="AA118" s="530" cm="1">
        <f t="array" ref="AA118">INDEX(Note!$J$3:$J$102,MATCH(1,(Note!$A$3:$A$102=$A118)*(Note!$C$3:$C$102=$B118)*(Note!$E$3:$E$102&lt;=AA$1)*(Note!$F$3:$F$102&gt;=AA$2),0))</f>
        <v>1550</v>
      </c>
      <c r="AB118" s="530" cm="1">
        <f t="array" ref="AB118">INDEX(Note!$J$3:$J$102,MATCH(1,(Note!$A$3:$A$102=$A118)*(Note!$C$3:$C$102=$B118)*(Note!$E$3:$E$102&lt;=AB$1)*(Note!$F$3:$F$102&gt;=AB$2),0))</f>
        <v>1550</v>
      </c>
      <c r="AC118" s="530" cm="1">
        <f t="array" ref="AC118">INDEX(Note!$J$3:$J$102,MATCH(1,(Note!$A$3:$A$102=$A118)*(Note!$C$3:$C$102=$B118)*(Note!$E$3:$E$102&lt;=AC$1)*(Note!$F$3:$F$102&gt;=AC$2),0))</f>
        <v>1550</v>
      </c>
      <c r="AD118" s="530" cm="1">
        <f t="array" ref="AD118">INDEX(Note!$J$3:$J$102,MATCH(1,(Note!$A$3:$A$102=$A118)*(Note!$C$3:$C$102=$B118)*(Note!$E$3:$E$102&lt;=AD$1)*(Note!$F$3:$F$102&gt;=AD$2),0))</f>
        <v>1550</v>
      </c>
      <c r="AE118" s="530" cm="1">
        <f t="array" ref="AE118">INDEX(Note!$J$3:$J$102,MATCH(1,(Note!$A$3:$A$102=$A118)*(Note!$C$3:$C$102=$B118)*(Note!$E$3:$E$102&lt;=AE$1)*(Note!$F$3:$F$102&gt;=AE$2),0))</f>
        <v>1550</v>
      </c>
      <c r="AF118" s="530" cm="1">
        <f t="array" ref="AF118">INDEX(Note!$J$3:$J$102,MATCH(1,(Note!$A$3:$A$102=$A118)*(Note!$C$3:$C$102=$B118)*(Note!$E$3:$E$102&lt;=AF$1)*(Note!$F$3:$F$102&gt;=AF$2),0))</f>
        <v>1550</v>
      </c>
      <c r="AG118" s="530" cm="1">
        <f t="array" ref="AG118">INDEX(Note!$J$3:$J$102,MATCH(1,(Note!$A$3:$A$102=$A118)*(Note!$C$3:$C$102=$B118)*(Note!$E$3:$E$102&lt;=AG$1)*(Note!$F$3:$F$102&gt;=AG$2),0))</f>
        <v>1550</v>
      </c>
      <c r="AH118" s="530" cm="1">
        <f t="array" ref="AH118">INDEX(Note!$J$3:$J$102,MATCH(1,(Note!$A$3:$A$102=$A118)*(Note!$C$3:$C$102=$B118)*(Note!$E$3:$E$102&lt;=AH$1)*(Note!$F$3:$F$102&gt;=AH$2),0))</f>
        <v>1550</v>
      </c>
      <c r="AI118" s="530" cm="1">
        <f t="array" ref="AI118">INDEX(Note!$J$3:$J$102,MATCH(1,(Note!$A$3:$A$102=$A118)*(Note!$C$3:$C$102=$B118)*(Note!$E$3:$E$102&lt;=AI$1)*(Note!$F$3:$F$102&gt;=AI$2),0))</f>
        <v>1550</v>
      </c>
      <c r="AJ118" s="530" cm="1">
        <f t="array" ref="AJ118">INDEX(Note!$J$3:$J$102,MATCH(1,(Note!$A$3:$A$102=$A118)*(Note!$C$3:$C$102=$B118)*(Note!$E$3:$E$102&lt;=AJ$1)*(Note!$F$3:$F$102&gt;=AJ$2),0))</f>
        <v>1550</v>
      </c>
      <c r="AK118" s="530" cm="1">
        <f t="array" ref="AK118">INDEX(Note!$J$3:$J$102,MATCH(1,(Note!$A$3:$A$102=$A118)*(Note!$C$3:$C$102=$B118)*(Note!$E$3:$E$102&lt;=AK$1)*(Note!$F$3:$F$102&gt;=AK$2),0))</f>
        <v>1550</v>
      </c>
      <c r="AL118" s="532" cm="1">
        <f t="array" ref="AL118">INDEX(Note!$J$3:$J$102,MATCH(1,(Note!$A$3:$A$102=$A118)*(Note!$C$3:$C$102=$B118)*(Note!$E$3:$E$102&lt;=AL$1)*(Note!$F$3:$F$102&gt;=AL$2),0))</f>
        <v>1550</v>
      </c>
      <c r="AM118" s="530"/>
      <c r="AN118" s="530"/>
      <c r="AO118" s="530"/>
      <c r="AP118" s="530"/>
      <c r="AQ118" s="530"/>
      <c r="AR118" s="530"/>
      <c r="AS118" s="530"/>
      <c r="AT118" s="530"/>
      <c r="AU118" s="530"/>
      <c r="AV118" s="530"/>
      <c r="AW118" s="530"/>
      <c r="AX118" s="531"/>
    </row>
    <row r="119" spans="1:50" s="522" customFormat="1" outlineLevel="1" x14ac:dyDescent="0.3">
      <c r="A119" s="522" t="s">
        <v>39</v>
      </c>
      <c r="B119" s="522" t="s">
        <v>30</v>
      </c>
      <c r="F119" s="523" t="s">
        <v>468</v>
      </c>
      <c r="G119" s="524"/>
      <c r="H119" s="524"/>
      <c r="I119" s="524"/>
      <c r="J119" s="525" t="s">
        <v>47</v>
      </c>
      <c r="K119" s="526"/>
      <c r="L119" s="527"/>
      <c r="M119" s="527"/>
      <c r="N119" s="527"/>
      <c r="O119" s="528" cm="1">
        <f t="array" ref="O119">INDEX(Note!$K$3:$K$102,MATCH(1,(Note!$A$3:$A$102=$A119)*(Note!$C$3:$C$102=$B119)*(Note!$E$3:$E$102&lt;=O$1)*(Note!$F$3:$F$102&gt;=O$2),0))</f>
        <v>0</v>
      </c>
      <c r="P119" s="528" cm="1">
        <f t="array" ref="P119">INDEX(Note!$K$3:$K$102,MATCH(1,(Note!$A$3:$A$102=$A119)*(Note!$C$3:$C$102=$B119)*(Note!$E$3:$E$102&lt;=P$1)*(Note!$F$3:$F$102&gt;=P$2),0))</f>
        <v>0</v>
      </c>
      <c r="Q119" s="528" cm="1">
        <f t="array" ref="Q119">INDEX(Note!$K$3:$K$102,MATCH(1,(Note!$A$3:$A$102=$A119)*(Note!$C$3:$C$102=$B119)*(Note!$E$3:$E$102&lt;=Q$1)*(Note!$F$3:$F$102&gt;=Q$2),0))</f>
        <v>0</v>
      </c>
      <c r="R119" s="528" cm="1">
        <f t="array" ref="R119">INDEX(Note!$K$3:$K$102,MATCH(1,(Note!$A$3:$A$102=$A119)*(Note!$C$3:$C$102=$B119)*(Note!$E$3:$E$102&lt;=R$1)*(Note!$F$3:$F$102&gt;=R$2),0))</f>
        <v>0</v>
      </c>
      <c r="S119" s="528" cm="1">
        <f t="array" ref="S119">INDEX(Note!$K$3:$K$102,MATCH(1,(Note!$A$3:$A$102=$A119)*(Note!$C$3:$C$102=$B119)*(Note!$E$3:$E$102&lt;=S$1)*(Note!$F$3:$F$102&gt;=S$2),0))</f>
        <v>0</v>
      </c>
      <c r="T119" s="528" cm="1">
        <f t="array" ref="T119">INDEX(Note!$K$3:$K$102,MATCH(1,(Note!$A$3:$A$102=$A119)*(Note!$C$3:$C$102=$B119)*(Note!$E$3:$E$102&lt;=T$1)*(Note!$F$3:$F$102&gt;=T$2),0))</f>
        <v>0</v>
      </c>
      <c r="U119" s="528" cm="1">
        <f t="array" ref="U119">INDEX(Note!$K$3:$K$102,MATCH(1,(Note!$A$3:$A$102=$A119)*(Note!$C$3:$C$102=$B119)*(Note!$E$3:$E$102&lt;=U$1)*(Note!$F$3:$F$102&gt;=U$2),0))</f>
        <v>0</v>
      </c>
      <c r="V119" s="528" cm="1">
        <f t="array" ref="V119">INDEX(Note!$K$3:$K$102,MATCH(1,(Note!$A$3:$A$102=$A119)*(Note!$C$3:$C$102=$B119)*(Note!$E$3:$E$102&lt;=V$1)*(Note!$F$3:$F$102&gt;=V$2),0))</f>
        <v>0</v>
      </c>
      <c r="W119" s="528" cm="1">
        <f t="array" ref="W119">INDEX(Note!$K$3:$K$102,MATCH(1,(Note!$A$3:$A$102=$A119)*(Note!$C$3:$C$102=$B119)*(Note!$E$3:$E$102&lt;=W$1)*(Note!$F$3:$F$102&gt;=W$2),0))</f>
        <v>0</v>
      </c>
      <c r="X119" s="528" cm="1">
        <f t="array" ref="X119">INDEX(Note!$K$3:$K$102,MATCH(1,(Note!$A$3:$A$102=$A119)*(Note!$C$3:$C$102=$B119)*(Note!$E$3:$E$102&lt;=X$1)*(Note!$F$3:$F$102&gt;=X$2),0))</f>
        <v>0</v>
      </c>
      <c r="Y119" s="528" cm="1">
        <f t="array" ref="Y119">INDEX(Note!$K$3:$K$102,MATCH(1,(Note!$A$3:$A$102=$A119)*(Note!$C$3:$C$102=$B119)*(Note!$E$3:$E$102&lt;=Y$1)*(Note!$F$3:$F$102&gt;=Y$2),0))</f>
        <v>0</v>
      </c>
      <c r="Z119" s="529" cm="1">
        <f t="array" ref="Z119">INDEX(Note!$K$3:$K$102,MATCH(1,(Note!$A$3:$A$102=$A119)*(Note!$C$3:$C$102=$B119)*(Note!$E$3:$E$102&lt;=Z$1)*(Note!$F$3:$F$102&gt;=Z$2),0))</f>
        <v>0</v>
      </c>
      <c r="AA119" s="528" cm="1">
        <f t="array" ref="AA119">INDEX(Note!$K$3:$K$102,MATCH(1,(Note!$A$3:$A$102=$A119)*(Note!$C$3:$C$102=$B119)*(Note!$E$3:$E$102&lt;=AA$1)*(Note!$F$3:$F$102&gt;=AA$2),0))</f>
        <v>1330</v>
      </c>
      <c r="AB119" s="528" cm="1">
        <f t="array" ref="AB119">INDEX(Note!$K$3:$K$102,MATCH(1,(Note!$A$3:$A$102=$A119)*(Note!$C$3:$C$102=$B119)*(Note!$E$3:$E$102&lt;=AB$1)*(Note!$F$3:$F$102&gt;=AB$2),0))</f>
        <v>1330</v>
      </c>
      <c r="AC119" s="528" cm="1">
        <f t="array" ref="AC119">INDEX(Note!$K$3:$K$102,MATCH(1,(Note!$A$3:$A$102=$A119)*(Note!$C$3:$C$102=$B119)*(Note!$E$3:$E$102&lt;=AC$1)*(Note!$F$3:$F$102&gt;=AC$2),0))</f>
        <v>1330</v>
      </c>
      <c r="AD119" s="528" cm="1">
        <f t="array" ref="AD119">INDEX(Note!$K$3:$K$102,MATCH(1,(Note!$A$3:$A$102=$A119)*(Note!$C$3:$C$102=$B119)*(Note!$E$3:$E$102&lt;=AD$1)*(Note!$F$3:$F$102&gt;=AD$2),0))</f>
        <v>1330</v>
      </c>
      <c r="AE119" s="528" cm="1">
        <f t="array" ref="AE119">INDEX(Note!$K$3:$K$102,MATCH(1,(Note!$A$3:$A$102=$A119)*(Note!$C$3:$C$102=$B119)*(Note!$E$3:$E$102&lt;=AE$1)*(Note!$F$3:$F$102&gt;=AE$2),0))</f>
        <v>1330</v>
      </c>
      <c r="AF119" s="528" cm="1">
        <f t="array" ref="AF119">INDEX(Note!$K$3:$K$102,MATCH(1,(Note!$A$3:$A$102=$A119)*(Note!$C$3:$C$102=$B119)*(Note!$E$3:$E$102&lt;=AF$1)*(Note!$F$3:$F$102&gt;=AF$2),0))</f>
        <v>1330</v>
      </c>
      <c r="AG119" s="528" cm="1">
        <f t="array" ref="AG119">INDEX(Note!$K$3:$K$102,MATCH(1,(Note!$A$3:$A$102=$A119)*(Note!$C$3:$C$102=$B119)*(Note!$E$3:$E$102&lt;=AG$1)*(Note!$F$3:$F$102&gt;=AG$2),0))</f>
        <v>1330</v>
      </c>
      <c r="AH119" s="528" cm="1">
        <f t="array" ref="AH119">INDEX(Note!$K$3:$K$102,MATCH(1,(Note!$A$3:$A$102=$A119)*(Note!$C$3:$C$102=$B119)*(Note!$E$3:$E$102&lt;=AH$1)*(Note!$F$3:$F$102&gt;=AH$2),0))</f>
        <v>1330</v>
      </c>
      <c r="AI119" s="528" cm="1">
        <f t="array" ref="AI119">INDEX(Note!$K$3:$K$102,MATCH(1,(Note!$A$3:$A$102=$A119)*(Note!$C$3:$C$102=$B119)*(Note!$E$3:$E$102&lt;=AI$1)*(Note!$F$3:$F$102&gt;=AI$2),0))</f>
        <v>1330</v>
      </c>
      <c r="AJ119" s="528" cm="1">
        <f t="array" ref="AJ119">INDEX(Note!$K$3:$K$102,MATCH(1,(Note!$A$3:$A$102=$A119)*(Note!$C$3:$C$102=$B119)*(Note!$E$3:$E$102&lt;=AJ$1)*(Note!$F$3:$F$102&gt;=AJ$2),0))</f>
        <v>1330</v>
      </c>
      <c r="AK119" s="528" cm="1">
        <f t="array" ref="AK119">INDEX(Note!$K$3:$K$102,MATCH(1,(Note!$A$3:$A$102=$A119)*(Note!$C$3:$C$102=$B119)*(Note!$E$3:$E$102&lt;=AK$1)*(Note!$F$3:$F$102&gt;=AK$2),0))</f>
        <v>1330</v>
      </c>
      <c r="AL119" s="533" cm="1">
        <f t="array" ref="AL119">INDEX(Note!$K$3:$K$102,MATCH(1,(Note!$A$3:$A$102=$A119)*(Note!$C$3:$C$102=$B119)*(Note!$E$3:$E$102&lt;=AL$1)*(Note!$F$3:$F$102&gt;=AL$2),0))</f>
        <v>1330</v>
      </c>
      <c r="AM119" s="528"/>
      <c r="AN119" s="528"/>
      <c r="AO119" s="528"/>
      <c r="AP119" s="528"/>
      <c r="AQ119" s="528"/>
      <c r="AR119" s="528"/>
      <c r="AS119" s="528"/>
      <c r="AT119" s="528"/>
      <c r="AU119" s="528"/>
      <c r="AV119" s="528"/>
      <c r="AW119" s="528"/>
      <c r="AX119" s="529"/>
    </row>
    <row r="120" spans="1:50" s="185" customFormat="1" outlineLevel="1" x14ac:dyDescent="0.3">
      <c r="A120" s="185" t="s">
        <v>39</v>
      </c>
      <c r="B120" s="185" t="s">
        <v>30</v>
      </c>
      <c r="F120" s="283" t="s">
        <v>469</v>
      </c>
      <c r="G120" s="284"/>
      <c r="H120" s="284"/>
      <c r="I120" s="284"/>
      <c r="J120" s="377" t="s">
        <v>202</v>
      </c>
      <c r="K120" s="186"/>
      <c r="L120" s="292"/>
      <c r="M120" s="292"/>
      <c r="N120" s="292"/>
      <c r="O120" s="310" cm="1">
        <f t="array" ref="O120">SUMPRODUCT(General_Data*(Year=O$3)*(Month=O$4)*(Code_General_Data=$B120))</f>
        <v>1280</v>
      </c>
      <c r="P120" s="310" cm="1">
        <f t="array" ref="P120">SUMPRODUCT(General_Data*(Year=P$3)*(Month=P$4)*(Code_General_Data=$B120))</f>
        <v>1280</v>
      </c>
      <c r="Q120" s="310" cm="1">
        <f t="array" ref="Q120">SUMPRODUCT(General_Data*(Year=Q$3)*(Month=Q$4)*(Code_General_Data=$B120))</f>
        <v>1280</v>
      </c>
      <c r="R120" s="310" cm="1">
        <f t="array" ref="R120">SUMPRODUCT(General_Data*(Year=R$3)*(Month=R$4)*(Code_General_Data=$B120))</f>
        <v>1280</v>
      </c>
      <c r="S120" s="310" cm="1">
        <f t="array" ref="S120">SUMPRODUCT(General_Data*(Year=S$3)*(Month=S$4)*(Code_General_Data=$B120))</f>
        <v>1330</v>
      </c>
      <c r="T120" s="310" cm="1">
        <f t="array" ref="T120">SUMPRODUCT(General_Data*(Year=T$3)*(Month=T$4)*(Code_General_Data=$B120))</f>
        <v>1330</v>
      </c>
      <c r="U120" s="310" cm="1">
        <f t="array" ref="U120">SUMPRODUCT(General_Data*(Year=U$3)*(Month=U$4)*(Code_General_Data=$B120))</f>
        <v>1330</v>
      </c>
      <c r="V120" s="310" cm="1">
        <f t="array" ref="V120">SUMPRODUCT(General_Data*(Year=V$3)*(Month=V$4)*(Code_General_Data=$B120))</f>
        <v>1330</v>
      </c>
      <c r="W120" s="310" cm="1">
        <f t="array" ref="W120">SUMPRODUCT(General_Data*(Year=W$3)*(Month=W$4)*(Code_General_Data=$B120))</f>
        <v>1340</v>
      </c>
      <c r="X120" s="310" cm="1">
        <f t="array" ref="X120">SUMPRODUCT(General_Data*(Year=X$3)*(Month=X$4)*(Code_General_Data=$B120))</f>
        <v>1355</v>
      </c>
      <c r="Y120" s="310" cm="1">
        <f t="array" ref="Y120">SUMPRODUCT(General_Data*(Year=Y$3)*(Month=Y$4)*(Code_General_Data=$B120))</f>
        <v>1355</v>
      </c>
      <c r="Z120" s="311" cm="1">
        <f t="array" ref="Z120">SUMPRODUCT(General_Data*(Year=Z$3)*(Month=Z$4)*(Code_General_Data=$B120))</f>
        <v>1305</v>
      </c>
      <c r="AA120" s="310" cm="1">
        <f t="array" ref="AA120">SUMPRODUCT(General_Data*(Year=AA$3)*(Month=AA$4)*(Code_General_Data=$B120))</f>
        <v>1260</v>
      </c>
      <c r="AB120" s="310" cm="1">
        <f t="array" ref="AB120">SUMPRODUCT(General_Data*(Year=AB$3)*(Month=AB$4)*(Code_General_Data=$B120))</f>
        <v>1260</v>
      </c>
      <c r="AC120" s="310" cm="1">
        <f t="array" ref="AC120">SUMPRODUCT(General_Data*(Year=AC$3)*(Month=AC$4)*(Code_General_Data=$B120))</f>
        <v>1260</v>
      </c>
      <c r="AD120" s="310" cm="1">
        <f t="array" ref="AD120">SUMPRODUCT(General_Data*(Year=AD$3)*(Month=AD$4)*(Code_General_Data=$B120))</f>
        <v>1280</v>
      </c>
      <c r="AE120" s="310" cm="1">
        <f t="array" ref="AE120">SUMPRODUCT(General_Data*(Year=AE$3)*(Month=AE$4)*(Code_General_Data=$B120))</f>
        <v>1280</v>
      </c>
      <c r="AF120" s="310" cm="1">
        <f t="array" ref="AF120">SUMPRODUCT(General_Data*(Year=AF$3)*(Month=AF$4)*(Code_General_Data=$B120))</f>
        <v>1280</v>
      </c>
      <c r="AG120" s="310" cm="1">
        <f t="array" ref="AG120">SUMPRODUCT(General_Data*(Year=AG$3)*(Month=AG$4)*(Code_General_Data=$B120))</f>
        <v>1280</v>
      </c>
      <c r="AH120" s="310" cm="1">
        <f t="array" ref="AH120">SUMPRODUCT(General_Data*(Year=AH$3)*(Month=AH$4)*(Code_General_Data=$B120))</f>
        <v>1250</v>
      </c>
      <c r="AI120" s="310" cm="1">
        <f t="array" ref="AI120">SUMPRODUCT(General_Data*(Year=AI$3)*(Month=AI$4)*(Code_General_Data=$B120))</f>
        <v>1250</v>
      </c>
      <c r="AJ120" s="310" cm="1">
        <f t="array" ref="AJ120">SUMPRODUCT(General_Data*(Year=AJ$3)*(Month=AJ$4)*(Code_General_Data=$B120))</f>
        <v>1240</v>
      </c>
      <c r="AK120" s="310" cm="1">
        <f t="array" ref="AK120">SUMPRODUCT(General_Data*(Year=AK$3)*(Month=AK$4)*(Code_General_Data=$B120))</f>
        <v>1230</v>
      </c>
      <c r="AL120" s="462" cm="1">
        <f t="array" ref="AL120">SUMPRODUCT(General_Data*(Year=AL$3)*(Month=AL$4)*(Code_General_Data=$B120))</f>
        <v>1230</v>
      </c>
      <c r="AM120" s="310" cm="1">
        <f t="array" ref="AM120">SUMPRODUCT(General_Data*(Year=AM$3)*(Month=AM$4)*(Code_General_Data=$B120))</f>
        <v>1190</v>
      </c>
      <c r="AN120" s="310" cm="1">
        <f t="array" ref="AN120">SUMPRODUCT(General_Data*(Year=AN$3)*(Month=AN$4)*(Code_General_Data=$B120))</f>
        <v>1190</v>
      </c>
      <c r="AO120" s="310" cm="1">
        <f t="array" ref="AO120">SUMPRODUCT(General_Data*(Year=AO$3)*(Month=AO$4)*(Code_General_Data=$B120))</f>
        <v>1190</v>
      </c>
      <c r="AP120" s="310" cm="1">
        <f t="array" ref="AP120">SUMPRODUCT(General_Data*(Year=AP$3)*(Month=AP$4)*(Code_General_Data=$B120))</f>
        <v>1310</v>
      </c>
      <c r="AQ120" s="310" cm="1">
        <f t="array" ref="AQ120">SUMPRODUCT(General_Data*(Year=AQ$3)*(Month=AQ$4)*(Code_General_Data=$B120))</f>
        <v>1410</v>
      </c>
      <c r="AR120" s="310" cm="1">
        <f t="array" ref="AR120">SUMPRODUCT(General_Data*(Year=AR$3)*(Month=AR$4)*(Code_General_Data=$B120))</f>
        <v>1380</v>
      </c>
      <c r="AS120" s="310"/>
      <c r="AT120" s="310"/>
      <c r="AU120" s="310"/>
      <c r="AV120" s="310"/>
      <c r="AW120" s="310"/>
      <c r="AX120" s="311"/>
    </row>
    <row r="121" spans="1:50" s="514" customFormat="1" outlineLevel="1" x14ac:dyDescent="0.3">
      <c r="F121" s="515"/>
      <c r="G121" s="516"/>
      <c r="H121" s="516"/>
      <c r="I121" s="516"/>
      <c r="J121" s="517" t="s">
        <v>407</v>
      </c>
      <c r="K121" s="518"/>
      <c r="L121" s="519"/>
      <c r="M121" s="519"/>
      <c r="N121" s="519"/>
      <c r="O121" s="520"/>
      <c r="P121" s="520"/>
      <c r="Q121" s="520"/>
      <c r="R121" s="520"/>
      <c r="S121" s="520"/>
      <c r="T121" s="520"/>
      <c r="U121" s="520"/>
      <c r="V121" s="520"/>
      <c r="W121" s="520"/>
      <c r="X121" s="520"/>
      <c r="Y121" s="520"/>
      <c r="Z121" s="521"/>
      <c r="AA121" s="520">
        <f>AA118+AA112</f>
        <v>1528.278125</v>
      </c>
      <c r="AB121" s="520">
        <f t="shared" ref="AB121:AG121" si="139">AB118+AB112</f>
        <v>1528.8531250000001</v>
      </c>
      <c r="AC121" s="520">
        <f t="shared" si="139"/>
        <v>1529.3875</v>
      </c>
      <c r="AD121" s="520">
        <f t="shared" si="139"/>
        <v>1529.375</v>
      </c>
      <c r="AE121" s="520">
        <f t="shared" si="139"/>
        <v>1529.3</v>
      </c>
      <c r="AF121" s="520">
        <f t="shared" si="139"/>
        <v>1529.3</v>
      </c>
      <c r="AG121" s="520">
        <f t="shared" si="139"/>
        <v>1529.3</v>
      </c>
      <c r="AH121" s="520">
        <f t="shared" ref="AH121:AI121" si="140">AH118+AH112</f>
        <v>1529.57</v>
      </c>
      <c r="AI121" s="520">
        <f t="shared" si="140"/>
        <v>1530.0574999999999</v>
      </c>
      <c r="AJ121" s="520">
        <f t="shared" ref="AJ121:AK121" si="141">AJ118+AJ112</f>
        <v>1530.4775</v>
      </c>
      <c r="AK121" s="520">
        <f t="shared" si="141"/>
        <v>1530.8150000000001</v>
      </c>
      <c r="AL121" s="521">
        <f t="shared" ref="AL121" si="142">AL118+AL112</f>
        <v>1530.996875</v>
      </c>
      <c r="AM121" s="520"/>
      <c r="AN121" s="520"/>
      <c r="AO121" s="520"/>
      <c r="AP121" s="520"/>
      <c r="AQ121" s="520"/>
      <c r="AR121" s="520"/>
      <c r="AS121" s="520"/>
      <c r="AT121" s="520"/>
      <c r="AU121" s="520"/>
      <c r="AV121" s="520"/>
      <c r="AW121" s="520"/>
      <c r="AX121" s="521"/>
    </row>
    <row r="122" spans="1:50" s="522" customFormat="1" outlineLevel="1" x14ac:dyDescent="0.3">
      <c r="F122" s="523"/>
      <c r="G122" s="524"/>
      <c r="H122" s="524"/>
      <c r="I122" s="524"/>
      <c r="J122" s="525" t="s">
        <v>408</v>
      </c>
      <c r="K122" s="526"/>
      <c r="L122" s="527"/>
      <c r="M122" s="527"/>
      <c r="N122" s="527"/>
      <c r="O122" s="534"/>
      <c r="P122" s="534"/>
      <c r="Q122" s="534"/>
      <c r="R122" s="534"/>
      <c r="S122" s="534"/>
      <c r="T122" s="534"/>
      <c r="U122" s="534"/>
      <c r="V122" s="534"/>
      <c r="W122" s="534"/>
      <c r="X122" s="534"/>
      <c r="Y122" s="534"/>
      <c r="Z122" s="535"/>
      <c r="AA122" s="534">
        <f>AA119+AA112</f>
        <v>1308.278125</v>
      </c>
      <c r="AB122" s="534">
        <f t="shared" ref="AB122:AG122" si="143">AB119+AB112</f>
        <v>1308.8531250000001</v>
      </c>
      <c r="AC122" s="534">
        <f t="shared" si="143"/>
        <v>1309.3875</v>
      </c>
      <c r="AD122" s="534">
        <f t="shared" si="143"/>
        <v>1309.375</v>
      </c>
      <c r="AE122" s="534">
        <f t="shared" si="143"/>
        <v>1309.3</v>
      </c>
      <c r="AF122" s="534">
        <f t="shared" si="143"/>
        <v>1309.3</v>
      </c>
      <c r="AG122" s="534">
        <f t="shared" si="143"/>
        <v>1309.3</v>
      </c>
      <c r="AH122" s="534">
        <f t="shared" ref="AH122:AI122" si="144">AH119+AH112</f>
        <v>1309.57</v>
      </c>
      <c r="AI122" s="534">
        <f t="shared" si="144"/>
        <v>1310.0574999999999</v>
      </c>
      <c r="AJ122" s="534">
        <f t="shared" ref="AJ122:AK122" si="145">AJ119+AJ112</f>
        <v>1310.4775</v>
      </c>
      <c r="AK122" s="534">
        <f t="shared" si="145"/>
        <v>1310.8150000000001</v>
      </c>
      <c r="AL122" s="535">
        <f t="shared" ref="AL122" si="146">AL119+AL112</f>
        <v>1310.996875</v>
      </c>
      <c r="AM122" s="534"/>
      <c r="AN122" s="534"/>
      <c r="AO122" s="534"/>
      <c r="AP122" s="534"/>
      <c r="AQ122" s="534"/>
      <c r="AR122" s="534"/>
      <c r="AS122" s="534"/>
      <c r="AT122" s="534"/>
      <c r="AU122" s="534"/>
      <c r="AV122" s="534"/>
      <c r="AW122" s="534"/>
      <c r="AX122" s="535"/>
    </row>
    <row r="123" spans="1:50" s="93" customFormat="1" x14ac:dyDescent="0.3">
      <c r="D123" s="92"/>
      <c r="F123" s="165"/>
      <c r="G123"/>
      <c r="H123"/>
      <c r="I123"/>
      <c r="J123" s="316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 s="48"/>
      <c r="AA123"/>
      <c r="AB123"/>
      <c r="AC123"/>
      <c r="AD123"/>
      <c r="AE123"/>
      <c r="AF123"/>
      <c r="AG123"/>
      <c r="AH123"/>
      <c r="AI123"/>
      <c r="AJ123"/>
      <c r="AK123"/>
      <c r="AL123" s="466"/>
      <c r="AM123"/>
      <c r="AN123"/>
      <c r="AO123"/>
      <c r="AP123"/>
      <c r="AQ123"/>
      <c r="AR123"/>
      <c r="AS123"/>
      <c r="AT123"/>
      <c r="AU123"/>
      <c r="AV123"/>
      <c r="AW123"/>
      <c r="AX123" s="48"/>
    </row>
    <row r="124" spans="1:50" s="331" customFormat="1" ht="17.399999999999999" x14ac:dyDescent="0.3">
      <c r="A124" s="331" t="s">
        <v>61</v>
      </c>
      <c r="F124" s="332">
        <v>6</v>
      </c>
      <c r="G124" s="359" t="s">
        <v>294</v>
      </c>
      <c r="H124" s="359"/>
      <c r="I124" s="359"/>
      <c r="J124" s="360"/>
      <c r="L124" s="333"/>
      <c r="M124" s="333"/>
      <c r="N124" s="333"/>
      <c r="O124" s="333"/>
      <c r="P124" s="333"/>
      <c r="Q124" s="333"/>
      <c r="R124" s="333"/>
      <c r="S124" s="333"/>
      <c r="T124" s="333"/>
      <c r="U124" s="333"/>
      <c r="V124" s="333"/>
      <c r="W124" s="333"/>
      <c r="X124" s="333"/>
      <c r="Y124" s="333"/>
      <c r="Z124" s="334"/>
      <c r="AA124" s="335"/>
      <c r="AB124" s="333"/>
      <c r="AC124" s="335"/>
      <c r="AD124" s="335"/>
      <c r="AE124" s="335"/>
      <c r="AF124" s="335"/>
      <c r="AG124" s="335"/>
      <c r="AH124" s="335"/>
      <c r="AI124" s="335"/>
      <c r="AJ124" s="335"/>
      <c r="AK124" s="335"/>
      <c r="AL124" s="467"/>
      <c r="AM124" s="335"/>
      <c r="AN124" s="333"/>
      <c r="AO124" s="335"/>
      <c r="AP124" s="335"/>
      <c r="AQ124" s="335"/>
      <c r="AR124" s="335"/>
      <c r="AS124" s="335"/>
      <c r="AT124" s="335"/>
      <c r="AU124" s="335"/>
      <c r="AV124" s="335"/>
      <c r="AW124" s="335"/>
      <c r="AX124" s="334"/>
    </row>
    <row r="125" spans="1:50" s="325" customFormat="1" ht="15.6" x14ac:dyDescent="0.3">
      <c r="A125" s="325" t="s">
        <v>61</v>
      </c>
      <c r="B125" s="325" t="s">
        <v>34</v>
      </c>
      <c r="D125" s="325" t="s">
        <v>321</v>
      </c>
      <c r="F125" s="338">
        <v>6.1</v>
      </c>
      <c r="G125" s="339"/>
      <c r="H125" s="339" t="s">
        <v>296</v>
      </c>
      <c r="I125" s="339"/>
      <c r="J125" s="373"/>
      <c r="L125" s="339"/>
      <c r="M125" s="339"/>
      <c r="N125" s="339"/>
      <c r="O125" s="329">
        <v>1250</v>
      </c>
      <c r="P125" s="329">
        <v>1250</v>
      </c>
      <c r="Q125" s="329">
        <v>1250</v>
      </c>
      <c r="R125" s="329">
        <v>1250</v>
      </c>
      <c r="S125" s="329">
        <v>1250</v>
      </c>
      <c r="T125" s="329">
        <v>1250</v>
      </c>
      <c r="U125" s="329">
        <v>1330</v>
      </c>
      <c r="V125" s="329">
        <v>1330</v>
      </c>
      <c r="W125" s="329">
        <v>1330</v>
      </c>
      <c r="X125" s="329">
        <v>1330</v>
      </c>
      <c r="Y125" s="329">
        <v>1330</v>
      </c>
      <c r="Z125" s="330">
        <v>1330</v>
      </c>
      <c r="AA125" s="328">
        <v>1250</v>
      </c>
      <c r="AB125" s="329">
        <v>1250</v>
      </c>
      <c r="AC125" s="329">
        <v>1250</v>
      </c>
      <c r="AD125" s="329">
        <v>1250</v>
      </c>
      <c r="AE125" s="329">
        <v>1250</v>
      </c>
      <c r="AF125" s="329">
        <v>1250</v>
      </c>
      <c r="AG125" s="329"/>
      <c r="AH125" s="329">
        <f>34382.04/26.37</f>
        <v>1303.8316268486917</v>
      </c>
      <c r="AI125" s="329">
        <f t="shared" ref="AI125:AL125" si="147">34382.04/26.37</f>
        <v>1303.8316268486917</v>
      </c>
      <c r="AJ125" s="329">
        <f t="shared" si="147"/>
        <v>1303.8316268486917</v>
      </c>
      <c r="AK125" s="329">
        <f t="shared" si="147"/>
        <v>1303.8316268486917</v>
      </c>
      <c r="AL125" s="464">
        <f t="shared" si="147"/>
        <v>1303.8316268486917</v>
      </c>
      <c r="AM125" s="329">
        <v>1290</v>
      </c>
      <c r="AN125" s="329">
        <v>1290</v>
      </c>
      <c r="AO125" s="329">
        <v>1290</v>
      </c>
      <c r="AP125" s="329">
        <v>1290</v>
      </c>
      <c r="AQ125" s="329">
        <v>1290</v>
      </c>
      <c r="AR125" s="329">
        <v>1290</v>
      </c>
      <c r="AS125" s="329">
        <v>1290</v>
      </c>
      <c r="AT125" s="329">
        <v>1290</v>
      </c>
      <c r="AU125" s="329">
        <v>1290</v>
      </c>
      <c r="AV125" s="329">
        <v>1290</v>
      </c>
      <c r="AW125" s="329">
        <v>1290</v>
      </c>
      <c r="AX125" s="330">
        <v>1290</v>
      </c>
    </row>
    <row r="126" spans="1:50" s="94" customFormat="1" outlineLevel="1" x14ac:dyDescent="0.3">
      <c r="A126" s="94" t="s">
        <v>61</v>
      </c>
      <c r="B126" s="297" t="s">
        <v>34</v>
      </c>
      <c r="D126" s="95" t="s">
        <v>161</v>
      </c>
      <c r="F126" s="275" t="s">
        <v>311</v>
      </c>
      <c r="G126" s="276"/>
      <c r="H126" s="276"/>
      <c r="I126" s="276" t="s">
        <v>8</v>
      </c>
      <c r="J126" s="375"/>
      <c r="K126" s="2"/>
      <c r="L126" s="276"/>
      <c r="M126" s="276"/>
      <c r="N126" s="276"/>
      <c r="O126" s="226">
        <f>O125</f>
        <v>1250</v>
      </c>
      <c r="P126" s="226">
        <f t="shared" ref="P126:AF126" si="148">P125</f>
        <v>1250</v>
      </c>
      <c r="Q126" s="226">
        <f t="shared" si="148"/>
        <v>1250</v>
      </c>
      <c r="R126" s="226">
        <f t="shared" si="148"/>
        <v>1250</v>
      </c>
      <c r="S126" s="226">
        <f t="shared" si="148"/>
        <v>1250</v>
      </c>
      <c r="T126" s="226">
        <f t="shared" si="148"/>
        <v>1250</v>
      </c>
      <c r="U126" s="226">
        <f t="shared" si="148"/>
        <v>1330</v>
      </c>
      <c r="V126" s="226">
        <f t="shared" si="148"/>
        <v>1330</v>
      </c>
      <c r="W126" s="226">
        <f t="shared" si="148"/>
        <v>1330</v>
      </c>
      <c r="X126" s="226">
        <f t="shared" si="148"/>
        <v>1330</v>
      </c>
      <c r="Y126" s="226">
        <f t="shared" si="148"/>
        <v>1330</v>
      </c>
      <c r="Z126" s="227">
        <f t="shared" si="148"/>
        <v>1330</v>
      </c>
      <c r="AA126" s="226">
        <f t="shared" si="148"/>
        <v>1250</v>
      </c>
      <c r="AB126" s="226">
        <f t="shared" si="148"/>
        <v>1250</v>
      </c>
      <c r="AC126" s="226">
        <f t="shared" si="148"/>
        <v>1250</v>
      </c>
      <c r="AD126" s="226">
        <f t="shared" si="148"/>
        <v>1250</v>
      </c>
      <c r="AE126" s="226">
        <f t="shared" si="148"/>
        <v>1250</v>
      </c>
      <c r="AF126" s="226">
        <f t="shared" si="148"/>
        <v>1250</v>
      </c>
      <c r="AG126" s="226"/>
      <c r="AH126" s="226">
        <f>34382.04/26.37</f>
        <v>1303.8316268486917</v>
      </c>
      <c r="AI126" s="226">
        <f>34382.04/26.37</f>
        <v>1303.8316268486917</v>
      </c>
      <c r="AJ126" s="226">
        <f t="shared" ref="AJ126:AL126" si="149">34382.04/26.37</f>
        <v>1303.8316268486917</v>
      </c>
      <c r="AK126" s="226">
        <f t="shared" si="149"/>
        <v>1303.8316268486917</v>
      </c>
      <c r="AL126" s="460">
        <f t="shared" si="149"/>
        <v>1303.8316268486917</v>
      </c>
      <c r="AM126" s="226">
        <f>AM125</f>
        <v>1290</v>
      </c>
      <c r="AN126" s="226">
        <f t="shared" ref="AN126:AX126" si="150">AN125</f>
        <v>1290</v>
      </c>
      <c r="AO126" s="226">
        <f t="shared" si="150"/>
        <v>1290</v>
      </c>
      <c r="AP126" s="226">
        <f t="shared" si="150"/>
        <v>1290</v>
      </c>
      <c r="AQ126" s="226">
        <f t="shared" si="150"/>
        <v>1290</v>
      </c>
      <c r="AR126" s="226">
        <f t="shared" si="150"/>
        <v>1290</v>
      </c>
      <c r="AS126" s="226">
        <f t="shared" si="150"/>
        <v>1290</v>
      </c>
      <c r="AT126" s="226">
        <f t="shared" si="150"/>
        <v>1290</v>
      </c>
      <c r="AU126" s="226">
        <f t="shared" si="150"/>
        <v>1290</v>
      </c>
      <c r="AV126" s="226">
        <f t="shared" si="150"/>
        <v>1290</v>
      </c>
      <c r="AW126" s="226">
        <f t="shared" si="150"/>
        <v>1290</v>
      </c>
      <c r="AX126" s="227">
        <f t="shared" si="150"/>
        <v>1290</v>
      </c>
    </row>
    <row r="127" spans="1:50" s="185" customFormat="1" outlineLevel="1" x14ac:dyDescent="0.3">
      <c r="A127" s="185" t="s">
        <v>61</v>
      </c>
      <c r="B127" s="300" t="s">
        <v>34</v>
      </c>
      <c r="F127" s="283" t="s">
        <v>312</v>
      </c>
      <c r="G127" s="284"/>
      <c r="H127" s="284"/>
      <c r="I127" s="284"/>
      <c r="J127" s="377" t="s">
        <v>202</v>
      </c>
      <c r="K127" s="186"/>
      <c r="L127" s="292"/>
      <c r="M127" s="292"/>
      <c r="N127" s="292"/>
      <c r="O127" s="310" cm="1">
        <f t="array" ref="O127">SUMPRODUCT(General_Data*(Year=O$3)*(Month=O$4)*(Code_General_Data=$B127))</f>
        <v>1250</v>
      </c>
      <c r="P127" s="310" cm="1">
        <f t="array" ref="P127">SUMPRODUCT(General_Data*(Year=P$3)*(Month=P$4)*(Code_General_Data=$B127))</f>
        <v>1250</v>
      </c>
      <c r="Q127" s="310" cm="1">
        <f t="array" ref="Q127">SUMPRODUCT(General_Data*(Year=Q$3)*(Month=Q$4)*(Code_General_Data=$B127))</f>
        <v>1250</v>
      </c>
      <c r="R127" s="310" cm="1">
        <f t="array" ref="R127">SUMPRODUCT(General_Data*(Year=R$3)*(Month=R$4)*(Code_General_Data=$B127))</f>
        <v>1250</v>
      </c>
      <c r="S127" s="310" cm="1">
        <f t="array" ref="S127">SUMPRODUCT(General_Data*(Year=S$3)*(Month=S$4)*(Code_General_Data=$B127))</f>
        <v>1300</v>
      </c>
      <c r="T127" s="310" cm="1">
        <f t="array" ref="T127">SUMPRODUCT(General_Data*(Year=T$3)*(Month=T$4)*(Code_General_Data=$B127))</f>
        <v>1300</v>
      </c>
      <c r="U127" s="310" cm="1">
        <f t="array" ref="U127">SUMPRODUCT(General_Data*(Year=U$3)*(Month=U$4)*(Code_General_Data=$B127))</f>
        <v>1300</v>
      </c>
      <c r="V127" s="310" cm="1">
        <f t="array" ref="V127">SUMPRODUCT(General_Data*(Year=V$3)*(Month=V$4)*(Code_General_Data=$B127))</f>
        <v>1300</v>
      </c>
      <c r="W127" s="310" cm="1">
        <f t="array" ref="W127">SUMPRODUCT(General_Data*(Year=W$3)*(Month=W$4)*(Code_General_Data=$B127))</f>
        <v>1310</v>
      </c>
      <c r="X127" s="310" cm="1">
        <f t="array" ref="X127">SUMPRODUCT(General_Data*(Year=X$3)*(Month=X$4)*(Code_General_Data=$B127))</f>
        <v>1325</v>
      </c>
      <c r="Y127" s="310" cm="1">
        <f t="array" ref="Y127">SUMPRODUCT(General_Data*(Year=Y$3)*(Month=Y$4)*(Code_General_Data=$B127))</f>
        <v>1325</v>
      </c>
      <c r="Z127" s="311" cm="1">
        <f t="array" ref="Z127">SUMPRODUCT(General_Data*(Year=Z$3)*(Month=Z$4)*(Code_General_Data=$B127))</f>
        <v>1275</v>
      </c>
      <c r="AA127" s="310" cm="1">
        <f t="array" ref="AA127">SUMPRODUCT(General_Data*(Year=AA$3)*(Month=AA$4)*(Code_General_Data=$B127))</f>
        <v>1230</v>
      </c>
      <c r="AB127" s="310" cm="1">
        <f t="array" ref="AB127">SUMPRODUCT(General_Data*(Year=AB$3)*(Month=AB$4)*(Code_General_Data=$B127))</f>
        <v>1230</v>
      </c>
      <c r="AC127" s="310" cm="1">
        <f t="array" ref="AC127">SUMPRODUCT(General_Data*(Year=AC$3)*(Month=AC$4)*(Code_General_Data=$B127))</f>
        <v>1230</v>
      </c>
      <c r="AD127" s="310" cm="1">
        <f t="array" ref="AD127">SUMPRODUCT(General_Data*(Year=AD$3)*(Month=AD$4)*(Code_General_Data=$B127))</f>
        <v>1250</v>
      </c>
      <c r="AE127" s="310" cm="1">
        <f t="array" ref="AE127">SUMPRODUCT(General_Data*(Year=AE$3)*(Month=AE$4)*(Code_General_Data=$B127))</f>
        <v>1250</v>
      </c>
      <c r="AF127" s="310" cm="1">
        <f t="array" ref="AF127">SUMPRODUCT(General_Data*(Year=AF$3)*(Month=AF$4)*(Code_General_Data=$B127))</f>
        <v>1250</v>
      </c>
      <c r="AG127" s="310" cm="1">
        <f t="array" ref="AG127">SUMPRODUCT(General_Data*(Year=AG$3)*(Month=AG$4)*(Code_General_Data=$B127))</f>
        <v>1250</v>
      </c>
      <c r="AH127" s="310" cm="1">
        <f t="array" ref="AH127">SUMPRODUCT(General_Data*(Year=AH$3)*(Month=AH$4)*(Code_General_Data=$B127))</f>
        <v>1220</v>
      </c>
      <c r="AI127" s="310" cm="1">
        <f t="array" ref="AI127">SUMPRODUCT(General_Data*(Year=AI$3)*(Month=AI$4)*(Code_General_Data=$B127))</f>
        <v>1220</v>
      </c>
      <c r="AJ127" s="310" cm="1">
        <f t="array" ref="AJ127">SUMPRODUCT(General_Data*(Year=AJ$3)*(Month=AJ$4)*(Code_General_Data=$B127))</f>
        <v>1210</v>
      </c>
      <c r="AK127" s="310" cm="1">
        <f t="array" ref="AK127">SUMPRODUCT(General_Data*(Year=AK$3)*(Month=AK$4)*(Code_General_Data=$B127))</f>
        <v>1200</v>
      </c>
      <c r="AL127" s="462" cm="1">
        <f t="array" ref="AL127">SUMPRODUCT(General_Data*(Year=AL$3)*(Month=AL$4)*(Code_General_Data=$B127))</f>
        <v>1200</v>
      </c>
      <c r="AM127" s="310" cm="1">
        <f t="array" ref="AM127">SUMPRODUCT(General_Data*(Year=AM$3)*(Month=AM$4)*(Code_General_Data=$B127))</f>
        <v>1160</v>
      </c>
      <c r="AN127" s="310" cm="1">
        <f t="array" ref="AN127">SUMPRODUCT(General_Data*(Year=AN$3)*(Month=AN$4)*(Code_General_Data=$B127))</f>
        <v>1160</v>
      </c>
      <c r="AO127" s="310" cm="1">
        <f t="array" ref="AO127">SUMPRODUCT(General_Data*(Year=AO$3)*(Month=AO$4)*(Code_General_Data=$B127))</f>
        <v>1160</v>
      </c>
      <c r="AP127" s="310" cm="1">
        <f t="array" ref="AP127">SUMPRODUCT(General_Data*(Year=AP$3)*(Month=AP$4)*(Code_General_Data=$B127))</f>
        <v>1280</v>
      </c>
      <c r="AQ127" s="310" cm="1">
        <f t="array" ref="AQ127">SUMPRODUCT(General_Data*(Year=AQ$3)*(Month=AQ$4)*(Code_General_Data=$B127))</f>
        <v>1380</v>
      </c>
      <c r="AR127" s="310" cm="1">
        <f t="array" ref="AR127">SUMPRODUCT(General_Data*(Year=AR$3)*(Month=AR$4)*(Code_General_Data=$B127))</f>
        <v>1350</v>
      </c>
      <c r="AS127" s="310"/>
      <c r="AT127" s="310"/>
      <c r="AU127" s="310"/>
      <c r="AV127" s="310"/>
      <c r="AW127" s="310"/>
      <c r="AX127" s="311"/>
    </row>
    <row r="128" spans="1:50" s="93" customFormat="1" x14ac:dyDescent="0.3">
      <c r="D128" s="92"/>
      <c r="F128" s="165"/>
      <c r="G128"/>
      <c r="H128"/>
      <c r="I128"/>
      <c r="J128" s="316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 s="48"/>
      <c r="AA128"/>
      <c r="AB128"/>
      <c r="AC128"/>
      <c r="AD128"/>
      <c r="AE128"/>
      <c r="AF128"/>
      <c r="AG128"/>
      <c r="AH128"/>
      <c r="AI128"/>
      <c r="AJ128"/>
      <c r="AK128"/>
      <c r="AL128" s="466"/>
      <c r="AM128"/>
      <c r="AN128"/>
      <c r="AO128"/>
      <c r="AP128"/>
      <c r="AQ128"/>
      <c r="AR128"/>
      <c r="AS128"/>
      <c r="AT128"/>
      <c r="AU128"/>
      <c r="AV128"/>
      <c r="AW128"/>
      <c r="AX128" s="48"/>
    </row>
    <row r="129" spans="1:50" s="331" customFormat="1" ht="17.399999999999999" x14ac:dyDescent="0.3">
      <c r="A129" s="331" t="s">
        <v>48</v>
      </c>
      <c r="F129" s="332">
        <v>7</v>
      </c>
      <c r="G129" s="359" t="s">
        <v>297</v>
      </c>
      <c r="H129" s="359"/>
      <c r="I129" s="359"/>
      <c r="J129" s="360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4"/>
      <c r="AA129" s="335"/>
      <c r="AB129" s="333"/>
      <c r="AC129" s="335"/>
      <c r="AD129" s="335"/>
      <c r="AE129" s="335"/>
      <c r="AF129" s="335"/>
      <c r="AG129" s="335"/>
      <c r="AH129" s="335"/>
      <c r="AI129" s="335"/>
      <c r="AJ129" s="335"/>
      <c r="AK129" s="335"/>
      <c r="AL129" s="467"/>
      <c r="AM129" s="335"/>
      <c r="AN129" s="333"/>
      <c r="AO129" s="335"/>
      <c r="AP129" s="335"/>
      <c r="AQ129" s="335"/>
      <c r="AR129" s="335"/>
      <c r="AS129" s="335"/>
      <c r="AT129" s="335"/>
      <c r="AU129" s="335"/>
      <c r="AV129" s="335"/>
      <c r="AW129" s="335"/>
      <c r="AX129" s="334"/>
    </row>
    <row r="130" spans="1:50" s="325" customFormat="1" ht="15.6" x14ac:dyDescent="0.3">
      <c r="A130" s="325" t="s">
        <v>48</v>
      </c>
      <c r="B130" s="325" t="s">
        <v>28</v>
      </c>
      <c r="D130" s="325" t="s">
        <v>321</v>
      </c>
      <c r="F130" s="338">
        <v>7.1</v>
      </c>
      <c r="G130" s="339"/>
      <c r="H130" s="339" t="s">
        <v>260</v>
      </c>
      <c r="I130" s="339"/>
      <c r="J130" s="373"/>
      <c r="L130" s="339"/>
      <c r="M130" s="339"/>
      <c r="N130" s="339"/>
      <c r="O130" s="329">
        <v>1325</v>
      </c>
      <c r="P130" s="329">
        <v>1325</v>
      </c>
      <c r="Q130" s="329">
        <v>1325</v>
      </c>
      <c r="R130" s="329">
        <v>1325</v>
      </c>
      <c r="S130" s="329">
        <v>1325</v>
      </c>
      <c r="T130" s="329">
        <v>1325</v>
      </c>
      <c r="U130" s="329">
        <v>1325</v>
      </c>
      <c r="V130" s="329">
        <v>1325</v>
      </c>
      <c r="W130" s="329">
        <v>1325</v>
      </c>
      <c r="X130" s="329">
        <v>1325</v>
      </c>
      <c r="Y130" s="329">
        <v>1325</v>
      </c>
      <c r="Z130" s="330">
        <v>1325</v>
      </c>
      <c r="AA130" s="328">
        <v>1400</v>
      </c>
      <c r="AB130" s="329">
        <v>1400</v>
      </c>
      <c r="AC130" s="329">
        <v>1400</v>
      </c>
      <c r="AD130" s="329">
        <v>1400</v>
      </c>
      <c r="AE130" s="329">
        <v>1400</v>
      </c>
      <c r="AF130" s="329">
        <v>1400</v>
      </c>
      <c r="AG130" s="329">
        <v>1400</v>
      </c>
      <c r="AH130" s="329">
        <v>1400</v>
      </c>
      <c r="AI130" s="329">
        <v>1400</v>
      </c>
      <c r="AJ130" s="329">
        <v>1400</v>
      </c>
      <c r="AK130" s="329">
        <v>1400</v>
      </c>
      <c r="AL130" s="464">
        <v>1400</v>
      </c>
      <c r="AM130" s="329">
        <v>1280</v>
      </c>
      <c r="AN130" s="329">
        <v>1280</v>
      </c>
      <c r="AO130" s="329">
        <v>1280</v>
      </c>
      <c r="AP130" s="329">
        <v>1280</v>
      </c>
      <c r="AQ130" s="329">
        <v>1280</v>
      </c>
      <c r="AR130" s="329">
        <v>1280</v>
      </c>
      <c r="AS130" s="329">
        <v>1280</v>
      </c>
      <c r="AT130" s="329">
        <v>1280</v>
      </c>
      <c r="AU130" s="329">
        <v>1280</v>
      </c>
      <c r="AV130" s="329">
        <v>1280</v>
      </c>
      <c r="AW130" s="329">
        <v>1280</v>
      </c>
      <c r="AX130" s="330">
        <v>1280</v>
      </c>
    </row>
    <row r="131" spans="1:50" s="94" customFormat="1" outlineLevel="1" x14ac:dyDescent="0.3">
      <c r="A131" s="94" t="s">
        <v>48</v>
      </c>
      <c r="B131" s="297" t="s">
        <v>28</v>
      </c>
      <c r="D131" s="95" t="s">
        <v>161</v>
      </c>
      <c r="F131" s="275" t="s">
        <v>364</v>
      </c>
      <c r="G131" s="276"/>
      <c r="H131" s="276"/>
      <c r="I131" s="276" t="s">
        <v>8</v>
      </c>
      <c r="J131" s="375"/>
      <c r="K131" s="2"/>
      <c r="L131" s="276"/>
      <c r="M131" s="276"/>
      <c r="N131" s="276"/>
      <c r="O131" s="226">
        <f>O130-O132-O133</f>
        <v>1315</v>
      </c>
      <c r="P131" s="226">
        <f t="shared" ref="P131:AL131" si="151">P130-P132-P133</f>
        <v>1315</v>
      </c>
      <c r="Q131" s="226">
        <f t="shared" si="151"/>
        <v>1315</v>
      </c>
      <c r="R131" s="226">
        <f t="shared" si="151"/>
        <v>1315</v>
      </c>
      <c r="S131" s="226">
        <f t="shared" si="151"/>
        <v>1315</v>
      </c>
      <c r="T131" s="226">
        <f t="shared" si="151"/>
        <v>1315</v>
      </c>
      <c r="U131" s="226">
        <f t="shared" si="151"/>
        <v>1315</v>
      </c>
      <c r="V131" s="226">
        <f t="shared" si="151"/>
        <v>1315</v>
      </c>
      <c r="W131" s="226">
        <f t="shared" si="151"/>
        <v>1315</v>
      </c>
      <c r="X131" s="226">
        <f t="shared" si="151"/>
        <v>1315</v>
      </c>
      <c r="Y131" s="226">
        <f t="shared" si="151"/>
        <v>1315</v>
      </c>
      <c r="Z131" s="227">
        <f t="shared" si="151"/>
        <v>1315</v>
      </c>
      <c r="AA131" s="226">
        <f t="shared" si="151"/>
        <v>1348.3</v>
      </c>
      <c r="AB131" s="226">
        <f t="shared" si="151"/>
        <v>1348.3</v>
      </c>
      <c r="AC131" s="226">
        <f t="shared" si="151"/>
        <v>1348.3</v>
      </c>
      <c r="AD131" s="226">
        <f t="shared" si="151"/>
        <v>1348.3</v>
      </c>
      <c r="AE131" s="226">
        <f t="shared" si="151"/>
        <v>1348.3</v>
      </c>
      <c r="AF131" s="226">
        <f t="shared" si="151"/>
        <v>1348.3</v>
      </c>
      <c r="AG131" s="226">
        <f t="shared" si="151"/>
        <v>1348.3</v>
      </c>
      <c r="AH131" s="226">
        <f t="shared" si="151"/>
        <v>1348.3</v>
      </c>
      <c r="AI131" s="226">
        <f t="shared" si="151"/>
        <v>1348.3</v>
      </c>
      <c r="AJ131" s="226">
        <f t="shared" si="151"/>
        <v>1348.3</v>
      </c>
      <c r="AK131" s="226">
        <f t="shared" si="151"/>
        <v>1348.3</v>
      </c>
      <c r="AL131" s="460">
        <f t="shared" si="151"/>
        <v>1348.3</v>
      </c>
      <c r="AM131" s="226">
        <f>AM130-AM132</f>
        <v>1270</v>
      </c>
      <c r="AN131" s="226">
        <f t="shared" ref="AN131:AX131" si="152">AN130-AN132</f>
        <v>1270</v>
      </c>
      <c r="AO131" s="226">
        <f t="shared" si="152"/>
        <v>1270</v>
      </c>
      <c r="AP131" s="226">
        <f t="shared" si="152"/>
        <v>1270</v>
      </c>
      <c r="AQ131" s="226">
        <f t="shared" si="152"/>
        <v>1270</v>
      </c>
      <c r="AR131" s="226">
        <f t="shared" si="152"/>
        <v>1270</v>
      </c>
      <c r="AS131" s="226">
        <f t="shared" si="152"/>
        <v>1270</v>
      </c>
      <c r="AT131" s="226">
        <f t="shared" si="152"/>
        <v>1270</v>
      </c>
      <c r="AU131" s="226">
        <f t="shared" si="152"/>
        <v>1270</v>
      </c>
      <c r="AV131" s="226">
        <f t="shared" si="152"/>
        <v>1270</v>
      </c>
      <c r="AW131" s="226">
        <f t="shared" si="152"/>
        <v>1270</v>
      </c>
      <c r="AX131" s="227">
        <f t="shared" si="152"/>
        <v>1270</v>
      </c>
    </row>
    <row r="132" spans="1:50" s="181" customFormat="1" outlineLevel="1" x14ac:dyDescent="0.3">
      <c r="A132" s="181" t="s">
        <v>48</v>
      </c>
      <c r="B132" s="181" t="s">
        <v>28</v>
      </c>
      <c r="F132" s="219" t="s">
        <v>365</v>
      </c>
      <c r="G132" s="188"/>
      <c r="H132" s="188"/>
      <c r="I132" s="188" t="s">
        <v>341</v>
      </c>
      <c r="J132" s="365"/>
      <c r="K132" s="182"/>
      <c r="L132" s="207"/>
      <c r="M132" s="207"/>
      <c r="N132" s="207"/>
      <c r="O132" s="207">
        <v>10</v>
      </c>
      <c r="P132" s="207">
        <v>10</v>
      </c>
      <c r="Q132" s="207">
        <v>10</v>
      </c>
      <c r="R132" s="207">
        <v>10</v>
      </c>
      <c r="S132" s="207">
        <v>10</v>
      </c>
      <c r="T132" s="207">
        <v>10</v>
      </c>
      <c r="U132" s="207">
        <v>10</v>
      </c>
      <c r="V132" s="207">
        <v>10</v>
      </c>
      <c r="W132" s="207">
        <v>10</v>
      </c>
      <c r="X132" s="207">
        <v>10</v>
      </c>
      <c r="Y132" s="207">
        <v>10</v>
      </c>
      <c r="Z132" s="209">
        <v>10</v>
      </c>
      <c r="AA132" s="207">
        <v>10</v>
      </c>
      <c r="AB132" s="207">
        <v>10</v>
      </c>
      <c r="AC132" s="207">
        <v>10</v>
      </c>
      <c r="AD132" s="207">
        <v>10</v>
      </c>
      <c r="AE132" s="207">
        <v>10</v>
      </c>
      <c r="AF132" s="207">
        <v>10</v>
      </c>
      <c r="AG132" s="207">
        <v>10</v>
      </c>
      <c r="AH132" s="207">
        <v>10</v>
      </c>
      <c r="AI132" s="207">
        <v>10</v>
      </c>
      <c r="AJ132" s="207">
        <v>10</v>
      </c>
      <c r="AK132" s="207">
        <v>10</v>
      </c>
      <c r="AL132" s="468">
        <v>10</v>
      </c>
      <c r="AM132" s="207">
        <v>10</v>
      </c>
      <c r="AN132" s="207">
        <v>10</v>
      </c>
      <c r="AO132" s="207">
        <v>10</v>
      </c>
      <c r="AP132" s="207">
        <v>10</v>
      </c>
      <c r="AQ132" s="207">
        <v>10</v>
      </c>
      <c r="AR132" s="207">
        <v>10</v>
      </c>
      <c r="AS132" s="207">
        <v>10</v>
      </c>
      <c r="AT132" s="207">
        <v>10</v>
      </c>
      <c r="AU132" s="207">
        <v>10</v>
      </c>
      <c r="AV132" s="207">
        <v>10</v>
      </c>
      <c r="AW132" s="207">
        <v>10</v>
      </c>
      <c r="AX132" s="209">
        <v>10</v>
      </c>
    </row>
    <row r="133" spans="1:50" s="181" customFormat="1" outlineLevel="1" x14ac:dyDescent="0.3">
      <c r="A133" s="181" t="s">
        <v>48</v>
      </c>
      <c r="B133" s="181" t="s">
        <v>28</v>
      </c>
      <c r="F133" s="219" t="s">
        <v>366</v>
      </c>
      <c r="G133" s="188"/>
      <c r="H133" s="188"/>
      <c r="I133" s="188" t="s">
        <v>342</v>
      </c>
      <c r="J133" s="365"/>
      <c r="K133" s="182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9"/>
      <c r="AA133" s="207">
        <f>(AA130-AA132)*3%</f>
        <v>41.699999999999996</v>
      </c>
      <c r="AB133" s="207">
        <f t="shared" ref="AB133:AL133" si="153">(AB130-AB132)*3%</f>
        <v>41.699999999999996</v>
      </c>
      <c r="AC133" s="207">
        <f t="shared" si="153"/>
        <v>41.699999999999996</v>
      </c>
      <c r="AD133" s="207">
        <f t="shared" si="153"/>
        <v>41.699999999999996</v>
      </c>
      <c r="AE133" s="207">
        <f t="shared" si="153"/>
        <v>41.699999999999996</v>
      </c>
      <c r="AF133" s="207">
        <f t="shared" si="153"/>
        <v>41.699999999999996</v>
      </c>
      <c r="AG133" s="207">
        <f t="shared" si="153"/>
        <v>41.699999999999996</v>
      </c>
      <c r="AH133" s="207">
        <f t="shared" si="153"/>
        <v>41.699999999999996</v>
      </c>
      <c r="AI133" s="207">
        <f t="shared" si="153"/>
        <v>41.699999999999996</v>
      </c>
      <c r="AJ133" s="207">
        <f t="shared" si="153"/>
        <v>41.699999999999996</v>
      </c>
      <c r="AK133" s="207">
        <f t="shared" si="153"/>
        <v>41.699999999999996</v>
      </c>
      <c r="AL133" s="468">
        <f t="shared" si="153"/>
        <v>41.699999999999996</v>
      </c>
      <c r="AM133" s="207"/>
      <c r="AN133" s="207"/>
      <c r="AO133" s="207"/>
      <c r="AP133" s="207"/>
      <c r="AQ133" s="207"/>
      <c r="AR133" s="207"/>
      <c r="AS133" s="207"/>
      <c r="AT133" s="207"/>
      <c r="AU133" s="207"/>
      <c r="AV133" s="207"/>
      <c r="AW133" s="207"/>
      <c r="AX133" s="209"/>
    </row>
    <row r="134" spans="1:50" s="185" customFormat="1" outlineLevel="1" x14ac:dyDescent="0.3">
      <c r="A134" s="185" t="s">
        <v>48</v>
      </c>
      <c r="B134" s="300" t="s">
        <v>28</v>
      </c>
      <c r="F134" s="283" t="s">
        <v>470</v>
      </c>
      <c r="G134" s="284"/>
      <c r="H134" s="284"/>
      <c r="I134" s="284"/>
      <c r="J134" s="377" t="s">
        <v>202</v>
      </c>
      <c r="K134" s="186"/>
      <c r="L134" s="292"/>
      <c r="M134" s="292"/>
      <c r="N134" s="292"/>
      <c r="O134" s="310" cm="1">
        <f t="array" ref="O134">SUMPRODUCT(General_Data*(Year=O$3)*(Month=O$4)*(Code_General_Data=$B134))</f>
        <v>1340</v>
      </c>
      <c r="P134" s="310" cm="1">
        <f t="array" ref="P134">SUMPRODUCT(General_Data*(Year=P$3)*(Month=P$4)*(Code_General_Data=$B134))</f>
        <v>1340</v>
      </c>
      <c r="Q134" s="310" cm="1">
        <f t="array" ref="Q134">SUMPRODUCT(General_Data*(Year=Q$3)*(Month=Q$4)*(Code_General_Data=$B134))</f>
        <v>1340</v>
      </c>
      <c r="R134" s="310" cm="1">
        <f t="array" ref="R134">SUMPRODUCT(General_Data*(Year=R$3)*(Month=R$4)*(Code_General_Data=$B134))</f>
        <v>1340</v>
      </c>
      <c r="S134" s="310" cm="1">
        <f t="array" ref="S134">SUMPRODUCT(General_Data*(Year=S$3)*(Month=S$4)*(Code_General_Data=$B134))</f>
        <v>1390</v>
      </c>
      <c r="T134" s="310" cm="1">
        <f t="array" ref="T134">SUMPRODUCT(General_Data*(Year=T$3)*(Month=T$4)*(Code_General_Data=$B134))</f>
        <v>1390</v>
      </c>
      <c r="U134" s="310" cm="1">
        <f t="array" ref="U134">SUMPRODUCT(General_Data*(Year=U$3)*(Month=U$4)*(Code_General_Data=$B134))</f>
        <v>1390</v>
      </c>
      <c r="V134" s="310" cm="1">
        <f t="array" ref="V134">SUMPRODUCT(General_Data*(Year=V$3)*(Month=V$4)*(Code_General_Data=$B134))</f>
        <v>1390</v>
      </c>
      <c r="W134" s="310" cm="1">
        <f t="array" ref="W134">SUMPRODUCT(General_Data*(Year=W$3)*(Month=W$4)*(Code_General_Data=$B134))</f>
        <v>1400</v>
      </c>
      <c r="X134" s="310" cm="1">
        <f t="array" ref="X134">SUMPRODUCT(General_Data*(Year=X$3)*(Month=X$4)*(Code_General_Data=$B134))</f>
        <v>1415</v>
      </c>
      <c r="Y134" s="310" cm="1">
        <f t="array" ref="Y134">SUMPRODUCT(General_Data*(Year=Y$3)*(Month=Y$4)*(Code_General_Data=$B134))</f>
        <v>1415</v>
      </c>
      <c r="Z134" s="311" cm="1">
        <f t="array" ref="Z134">SUMPRODUCT(General_Data*(Year=Z$3)*(Month=Z$4)*(Code_General_Data=$B134))</f>
        <v>1365</v>
      </c>
      <c r="AA134" s="310" cm="1">
        <f t="array" ref="AA134">SUMPRODUCT(General_Data*(Year=AA$3)*(Month=AA$4)*(Code_General_Data=$B134))</f>
        <v>1320</v>
      </c>
      <c r="AB134" s="310" cm="1">
        <f t="array" ref="AB134">SUMPRODUCT(General_Data*(Year=AB$3)*(Month=AB$4)*(Code_General_Data=$B134))</f>
        <v>1280</v>
      </c>
      <c r="AC134" s="310" cm="1">
        <f t="array" ref="AC134">SUMPRODUCT(General_Data*(Year=AC$3)*(Month=AC$4)*(Code_General_Data=$B134))</f>
        <v>1320</v>
      </c>
      <c r="AD134" s="310" cm="1">
        <f t="array" ref="AD134">SUMPRODUCT(General_Data*(Year=AD$3)*(Month=AD$4)*(Code_General_Data=$B134))</f>
        <v>1340</v>
      </c>
      <c r="AE134" s="310" cm="1">
        <f t="array" ref="AE134">SUMPRODUCT(General_Data*(Year=AE$3)*(Month=AE$4)*(Code_General_Data=$B134))</f>
        <v>1340</v>
      </c>
      <c r="AF134" s="310" cm="1">
        <f t="array" ref="AF134">SUMPRODUCT(General_Data*(Year=AF$3)*(Month=AF$4)*(Code_General_Data=$B134))</f>
        <v>1340</v>
      </c>
      <c r="AG134" s="310" cm="1">
        <f t="array" ref="AG134">SUMPRODUCT(General_Data*(Year=AG$3)*(Month=AG$4)*(Code_General_Data=$B134))</f>
        <v>1340</v>
      </c>
      <c r="AH134" s="310" cm="1">
        <f t="array" ref="AH134">SUMPRODUCT(General_Data*(Year=AH$3)*(Month=AH$4)*(Code_General_Data=$B134))</f>
        <v>1310</v>
      </c>
      <c r="AI134" s="310" cm="1">
        <f t="array" ref="AI134">SUMPRODUCT(General_Data*(Year=AI$3)*(Month=AI$4)*(Code_General_Data=$B134))</f>
        <v>1310</v>
      </c>
      <c r="AJ134" s="310" cm="1">
        <f t="array" ref="AJ134">SUMPRODUCT(General_Data*(Year=AJ$3)*(Month=AJ$4)*(Code_General_Data=$B134))</f>
        <v>1300</v>
      </c>
      <c r="AK134" s="310" cm="1">
        <f t="array" ref="AK134">SUMPRODUCT(General_Data*(Year=AK$3)*(Month=AK$4)*(Code_General_Data=$B134))</f>
        <v>1290</v>
      </c>
      <c r="AL134" s="462" cm="1">
        <f t="array" ref="AL134">SUMPRODUCT(General_Data*(Year=AL$3)*(Month=AL$4)*(Code_General_Data=$B134))</f>
        <v>1290</v>
      </c>
      <c r="AM134" s="310" cm="1">
        <f t="array" ref="AM134">SUMPRODUCT(General_Data*(Year=AM$3)*(Month=AM$4)*(Code_General_Data=$B134))</f>
        <v>1250</v>
      </c>
      <c r="AN134" s="310" cm="1">
        <f t="array" ref="AN134">SUMPRODUCT(General_Data*(Year=AN$3)*(Month=AN$4)*(Code_General_Data=$B134))</f>
        <v>1250</v>
      </c>
      <c r="AO134" s="310" cm="1">
        <f t="array" ref="AO134">SUMPRODUCT(General_Data*(Year=AO$3)*(Month=AO$4)*(Code_General_Data=$B134))</f>
        <v>1250</v>
      </c>
      <c r="AP134" s="310" cm="1">
        <f t="array" ref="AP134">SUMPRODUCT(General_Data*(Year=AP$3)*(Month=AP$4)*(Code_General_Data=$B134))</f>
        <v>1370</v>
      </c>
      <c r="AQ134" s="310" cm="1">
        <f t="array" ref="AQ134">SUMPRODUCT(General_Data*(Year=AQ$3)*(Month=AQ$4)*(Code_General_Data=$B134))</f>
        <v>1470</v>
      </c>
      <c r="AR134" s="310" cm="1">
        <f t="array" ref="AR134">SUMPRODUCT(General_Data*(Year=AR$3)*(Month=AR$4)*(Code_General_Data=$B134))</f>
        <v>1440</v>
      </c>
      <c r="AS134" s="310"/>
      <c r="AT134" s="310"/>
      <c r="AU134" s="310"/>
      <c r="AV134" s="310"/>
      <c r="AW134" s="310"/>
      <c r="AX134" s="311"/>
    </row>
    <row r="135" spans="1:50" s="93" customFormat="1" x14ac:dyDescent="0.3">
      <c r="D135" s="92"/>
      <c r="F135" s="165"/>
      <c r="G135"/>
      <c r="H135"/>
      <c r="I135"/>
      <c r="J135" s="316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  <c r="AM135"/>
      <c r="AN135"/>
      <c r="AO135"/>
      <c r="AP135"/>
      <c r="AQ135"/>
      <c r="AR135"/>
      <c r="AS135"/>
      <c r="AT135"/>
      <c r="AU135"/>
      <c r="AV135"/>
      <c r="AW135"/>
      <c r="AX135" s="48"/>
    </row>
    <row r="136" spans="1:50" s="331" customFormat="1" ht="17.399999999999999" x14ac:dyDescent="0.3">
      <c r="A136" s="331" t="s">
        <v>62</v>
      </c>
      <c r="F136" s="332">
        <v>8</v>
      </c>
      <c r="G136" s="359" t="s">
        <v>310</v>
      </c>
      <c r="H136" s="359"/>
      <c r="I136" s="359"/>
      <c r="J136" s="360"/>
      <c r="L136" s="333"/>
      <c r="M136" s="333"/>
      <c r="N136" s="333"/>
      <c r="O136" s="333"/>
      <c r="P136" s="333"/>
      <c r="Q136" s="333"/>
      <c r="R136" s="333"/>
      <c r="S136" s="333"/>
      <c r="T136" s="333"/>
      <c r="U136" s="333"/>
      <c r="V136" s="333"/>
      <c r="W136" s="333"/>
      <c r="X136" s="333"/>
      <c r="Y136" s="333"/>
      <c r="Z136" s="334"/>
      <c r="AA136" s="335"/>
      <c r="AB136" s="333"/>
      <c r="AC136" s="335"/>
      <c r="AD136" s="335"/>
      <c r="AE136" s="335"/>
      <c r="AF136" s="335"/>
      <c r="AG136" s="335"/>
      <c r="AH136" s="335"/>
      <c r="AI136" s="335"/>
      <c r="AJ136" s="335"/>
      <c r="AK136" s="335"/>
      <c r="AL136" s="334"/>
      <c r="AM136" s="335"/>
      <c r="AN136" s="333"/>
      <c r="AO136" s="335"/>
      <c r="AP136" s="335"/>
      <c r="AQ136" s="335"/>
      <c r="AR136" s="335"/>
      <c r="AS136" s="335"/>
      <c r="AT136" s="335"/>
      <c r="AU136" s="335"/>
      <c r="AV136" s="335"/>
      <c r="AW136" s="335"/>
      <c r="AX136" s="334"/>
    </row>
    <row r="137" spans="1:50" s="325" customFormat="1" ht="15.6" x14ac:dyDescent="0.3">
      <c r="A137" s="325" t="s">
        <v>62</v>
      </c>
      <c r="B137" s="325" t="s">
        <v>34</v>
      </c>
      <c r="D137" s="325" t="s">
        <v>321</v>
      </c>
      <c r="F137" s="338">
        <v>8.1</v>
      </c>
      <c r="G137" s="339"/>
      <c r="H137" s="339" t="s">
        <v>295</v>
      </c>
      <c r="I137" s="339"/>
      <c r="J137" s="373"/>
      <c r="L137" s="339"/>
      <c r="M137" s="339"/>
      <c r="N137" s="33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>
        <v>1320</v>
      </c>
      <c r="Y137" s="329">
        <v>1320</v>
      </c>
      <c r="Z137" s="330">
        <v>1320</v>
      </c>
      <c r="AA137" s="328"/>
      <c r="AB137" s="329"/>
      <c r="AC137" s="329"/>
      <c r="AD137" s="329"/>
      <c r="AE137" s="329"/>
      <c r="AF137" s="329"/>
      <c r="AG137" s="329"/>
      <c r="AH137" s="329"/>
      <c r="AI137" s="329"/>
      <c r="AJ137" s="329"/>
      <c r="AK137" s="329"/>
      <c r="AL137" s="330"/>
      <c r="AM137" s="328"/>
      <c r="AN137" s="329"/>
      <c r="AO137" s="329"/>
      <c r="AP137" s="329"/>
      <c r="AQ137" s="329"/>
      <c r="AR137" s="329"/>
      <c r="AS137" s="329"/>
      <c r="AT137" s="329"/>
      <c r="AU137" s="329"/>
      <c r="AV137" s="329"/>
      <c r="AW137" s="329"/>
      <c r="AX137" s="330"/>
    </row>
    <row r="138" spans="1:50" s="94" customFormat="1" outlineLevel="1" x14ac:dyDescent="0.3">
      <c r="A138" s="94" t="s">
        <v>62</v>
      </c>
      <c r="B138" s="297" t="s">
        <v>34</v>
      </c>
      <c r="D138" s="95" t="s">
        <v>161</v>
      </c>
      <c r="F138" s="275" t="s">
        <v>471</v>
      </c>
      <c r="G138" s="276"/>
      <c r="H138" s="276"/>
      <c r="I138" s="276" t="s">
        <v>8</v>
      </c>
      <c r="J138" s="375"/>
      <c r="K138" s="2"/>
      <c r="L138" s="276"/>
      <c r="M138" s="276"/>
      <c r="N138" s="27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>
        <f>X137-X139</f>
        <v>1310</v>
      </c>
      <c r="Y138" s="226">
        <f>Y137-Y139</f>
        <v>1310</v>
      </c>
      <c r="Z138" s="227">
        <f>Z137-Z139</f>
        <v>1310</v>
      </c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  <c r="AK138" s="226"/>
      <c r="AL138" s="227"/>
      <c r="AM138" s="226"/>
      <c r="AN138" s="226"/>
      <c r="AO138" s="226"/>
      <c r="AP138" s="226"/>
      <c r="AQ138" s="226"/>
      <c r="AR138" s="226"/>
      <c r="AS138" s="226"/>
      <c r="AT138" s="226"/>
      <c r="AU138" s="226"/>
      <c r="AV138" s="226"/>
      <c r="AW138" s="226"/>
      <c r="AX138" s="227"/>
    </row>
    <row r="139" spans="1:50" s="181" customFormat="1" outlineLevel="1" x14ac:dyDescent="0.3">
      <c r="A139" s="181" t="s">
        <v>62</v>
      </c>
      <c r="B139" s="181" t="s">
        <v>34</v>
      </c>
      <c r="F139" s="219" t="s">
        <v>472</v>
      </c>
      <c r="G139" s="188"/>
      <c r="H139" s="188"/>
      <c r="I139" s="188" t="s">
        <v>49</v>
      </c>
      <c r="J139" s="365"/>
      <c r="K139" s="182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>
        <v>10</v>
      </c>
      <c r="Y139" s="207">
        <v>10</v>
      </c>
      <c r="Z139" s="209">
        <v>10</v>
      </c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7"/>
      <c r="AK139" s="207"/>
      <c r="AL139" s="209"/>
      <c r="AM139" s="207"/>
      <c r="AN139" s="207"/>
      <c r="AO139" s="207"/>
      <c r="AP139" s="207"/>
      <c r="AQ139" s="207"/>
      <c r="AR139" s="207"/>
      <c r="AS139" s="207"/>
      <c r="AT139" s="207"/>
      <c r="AU139" s="207"/>
      <c r="AV139" s="207"/>
      <c r="AW139" s="207"/>
      <c r="AX139" s="209"/>
    </row>
    <row r="140" spans="1:50" s="185" customFormat="1" outlineLevel="1" x14ac:dyDescent="0.3">
      <c r="A140" s="185" t="s">
        <v>62</v>
      </c>
      <c r="B140" s="300" t="s">
        <v>34</v>
      </c>
      <c r="F140" s="283" t="s">
        <v>473</v>
      </c>
      <c r="G140" s="284"/>
      <c r="H140" s="284"/>
      <c r="I140" s="284"/>
      <c r="J140" s="377" t="s">
        <v>202</v>
      </c>
      <c r="K140" s="186"/>
      <c r="L140" s="292"/>
      <c r="M140" s="292"/>
      <c r="N140" s="292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 cm="1">
        <f t="array" ref="X140">SUMPRODUCT(General_Data*(Year=X$3)*(Month=X$4)*(Code_General_Data=$B140))</f>
        <v>1325</v>
      </c>
      <c r="Y140" s="310" cm="1">
        <f t="array" ref="Y140">SUMPRODUCT(General_Data*(Year=Y$3)*(Month=Y$4)*(Code_General_Data=$B140))</f>
        <v>1325</v>
      </c>
      <c r="Z140" s="311" cm="1">
        <f t="array" ref="Z140">SUMPRODUCT(General_Data*(Year=Z$3)*(Month=Z$4)*(Code_General_Data=$B140))</f>
        <v>1275</v>
      </c>
      <c r="AA140" s="310"/>
      <c r="AB140" s="310"/>
      <c r="AC140" s="310"/>
      <c r="AD140" s="310"/>
      <c r="AE140" s="310"/>
      <c r="AF140" s="310"/>
      <c r="AG140" s="310"/>
      <c r="AH140" s="310"/>
      <c r="AI140" s="310"/>
      <c r="AJ140" s="310"/>
      <c r="AK140" s="310"/>
      <c r="AL140" s="311"/>
      <c r="AM140" s="310"/>
      <c r="AN140" s="310"/>
      <c r="AO140" s="310"/>
      <c r="AP140" s="310"/>
      <c r="AQ140" s="310"/>
      <c r="AR140" s="310"/>
      <c r="AS140" s="310"/>
      <c r="AT140" s="310"/>
      <c r="AU140" s="310"/>
      <c r="AV140" s="310"/>
      <c r="AW140" s="310"/>
      <c r="AX140" s="311"/>
    </row>
    <row r="141" spans="1:50" s="93" customFormat="1" x14ac:dyDescent="0.3">
      <c r="D141" s="92"/>
      <c r="F141" s="165"/>
      <c r="G141"/>
      <c r="H141"/>
      <c r="I141"/>
      <c r="J141" s="316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s="48"/>
      <c r="AA141"/>
      <c r="AB141"/>
      <c r="AC141"/>
      <c r="AD141"/>
      <c r="AE141"/>
      <c r="AF141"/>
      <c r="AG141"/>
      <c r="AH141"/>
      <c r="AI141"/>
      <c r="AJ141"/>
      <c r="AK141"/>
      <c r="AL141" s="48"/>
      <c r="AM141"/>
      <c r="AN141"/>
      <c r="AO141"/>
      <c r="AP141"/>
      <c r="AQ141"/>
      <c r="AR141"/>
      <c r="AS141"/>
      <c r="AT141"/>
      <c r="AU141"/>
      <c r="AV141"/>
      <c r="AW141"/>
      <c r="AX141" s="48"/>
    </row>
    <row r="142" spans="1:50" s="93" customFormat="1" x14ac:dyDescent="0.3">
      <c r="D142" s="92"/>
      <c r="F142" s="165"/>
      <c r="G142"/>
      <c r="H142"/>
      <c r="I142"/>
      <c r="J142" s="316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s="48"/>
      <c r="AA142"/>
      <c r="AB142"/>
      <c r="AC142"/>
      <c r="AD142"/>
      <c r="AE142"/>
      <c r="AF142"/>
      <c r="AG142"/>
      <c r="AH142"/>
      <c r="AI142"/>
      <c r="AJ142"/>
      <c r="AK142"/>
      <c r="AL142" s="48"/>
      <c r="AM142"/>
      <c r="AN142"/>
      <c r="AO142"/>
      <c r="AP142"/>
      <c r="AQ142"/>
      <c r="AR142"/>
      <c r="AS142"/>
      <c r="AT142"/>
      <c r="AU142"/>
      <c r="AV142"/>
      <c r="AW142"/>
      <c r="AX142" s="48"/>
    </row>
    <row r="143" spans="1:50" s="93" customFormat="1" x14ac:dyDescent="0.3">
      <c r="D143" s="92"/>
      <c r="F143" s="165"/>
      <c r="G143"/>
      <c r="H143"/>
      <c r="I143"/>
      <c r="J143" s="316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s="48"/>
      <c r="AA143"/>
      <c r="AB143"/>
      <c r="AC143"/>
      <c r="AD143"/>
      <c r="AE143"/>
      <c r="AF143"/>
      <c r="AG143"/>
      <c r="AH143"/>
      <c r="AI143"/>
      <c r="AJ143"/>
      <c r="AK143"/>
      <c r="AL143" s="48"/>
      <c r="AM143"/>
      <c r="AN143"/>
      <c r="AO143"/>
      <c r="AP143"/>
      <c r="AQ143"/>
      <c r="AR143"/>
      <c r="AS143"/>
      <c r="AT143"/>
      <c r="AU143"/>
      <c r="AV143"/>
      <c r="AW143"/>
      <c r="AX143" s="48"/>
    </row>
    <row r="144" spans="1:50" s="93" customFormat="1" x14ac:dyDescent="0.3">
      <c r="D144" s="92"/>
      <c r="F144" s="165"/>
      <c r="G144"/>
      <c r="H144"/>
      <c r="I144"/>
      <c r="J144" s="316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s="48"/>
      <c r="AA144"/>
      <c r="AB144"/>
      <c r="AC144"/>
      <c r="AD144"/>
      <c r="AE144"/>
      <c r="AF144"/>
      <c r="AG144"/>
      <c r="AH144"/>
      <c r="AI144"/>
      <c r="AJ144"/>
      <c r="AK144"/>
      <c r="AL144" s="48"/>
      <c r="AM144"/>
      <c r="AN144"/>
      <c r="AO144"/>
      <c r="AP144"/>
      <c r="AQ144"/>
      <c r="AR144"/>
      <c r="AS144"/>
      <c r="AT144"/>
      <c r="AU144"/>
      <c r="AV144"/>
      <c r="AW144"/>
      <c r="AX144" s="48"/>
    </row>
    <row r="145" spans="1:50" s="93" customFormat="1" x14ac:dyDescent="0.3">
      <c r="D145" s="92"/>
      <c r="F145" s="165"/>
      <c r="G145"/>
      <c r="H145"/>
      <c r="I145"/>
      <c r="J145" s="316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 s="48"/>
      <c r="AA145"/>
      <c r="AB145"/>
      <c r="AC145"/>
      <c r="AD145"/>
      <c r="AE145"/>
      <c r="AF145"/>
      <c r="AG145"/>
      <c r="AH145"/>
      <c r="AI145"/>
      <c r="AJ145"/>
      <c r="AK145"/>
      <c r="AL145" s="48"/>
      <c r="AM145"/>
      <c r="AN145"/>
      <c r="AO145"/>
      <c r="AP145"/>
      <c r="AQ145"/>
      <c r="AR145"/>
      <c r="AS145"/>
      <c r="AT145"/>
      <c r="AU145"/>
      <c r="AV145"/>
      <c r="AW145"/>
      <c r="AX145" s="48"/>
    </row>
    <row r="146" spans="1:50" x14ac:dyDescent="0.3">
      <c r="J146" s="316"/>
      <c r="O146"/>
    </row>
    <row r="147" spans="1:50" x14ac:dyDescent="0.3">
      <c r="J147" s="316"/>
      <c r="O147"/>
    </row>
    <row r="148" spans="1:50" x14ac:dyDescent="0.3">
      <c r="J148" s="316"/>
      <c r="O148"/>
    </row>
    <row r="149" spans="1:50" x14ac:dyDescent="0.3">
      <c r="J149" s="316"/>
      <c r="O149"/>
    </row>
    <row r="150" spans="1:50" x14ac:dyDescent="0.3">
      <c r="J150" s="316"/>
      <c r="O150"/>
    </row>
    <row r="151" spans="1:50" x14ac:dyDescent="0.3">
      <c r="J151" s="316"/>
      <c r="O151"/>
    </row>
    <row r="152" spans="1:50" x14ac:dyDescent="0.3">
      <c r="J152" s="316"/>
      <c r="O152"/>
    </row>
    <row r="153" spans="1:50" x14ac:dyDescent="0.3">
      <c r="J153" s="316"/>
      <c r="O153"/>
    </row>
    <row r="154" spans="1:50" ht="15" thickBot="1" x14ac:dyDescent="0.35">
      <c r="J154" s="316"/>
      <c r="O154"/>
    </row>
    <row r="155" spans="1:50" s="7" customFormat="1" x14ac:dyDescent="0.3">
      <c r="A155" s="99"/>
      <c r="B155" s="99"/>
      <c r="C155" s="99"/>
      <c r="D155" s="100"/>
      <c r="E155" s="99"/>
      <c r="F155" s="245"/>
      <c r="J155" s="378"/>
      <c r="Z155" s="91"/>
      <c r="AL155" s="91"/>
      <c r="AX155" s="91"/>
    </row>
    <row r="156" spans="1:50" x14ac:dyDescent="0.3">
      <c r="J156" s="316"/>
      <c r="O156"/>
    </row>
    <row r="157" spans="1:50" x14ac:dyDescent="0.3">
      <c r="J157" s="316"/>
      <c r="O157"/>
    </row>
    <row r="158" spans="1:50" x14ac:dyDescent="0.3">
      <c r="J158" s="316"/>
      <c r="O158"/>
    </row>
    <row r="159" spans="1:50" x14ac:dyDescent="0.3">
      <c r="J159" s="316"/>
      <c r="O159"/>
    </row>
    <row r="160" spans="1:50" x14ac:dyDescent="0.3">
      <c r="J160" s="316"/>
      <c r="O160"/>
    </row>
    <row r="161" spans="4:50" x14ac:dyDescent="0.3">
      <c r="J161" s="316"/>
      <c r="O161"/>
    </row>
    <row r="162" spans="4:50" s="93" customFormat="1" x14ac:dyDescent="0.3">
      <c r="D162" s="92"/>
      <c r="F162" s="165"/>
      <c r="G162"/>
      <c r="H162"/>
      <c r="I162"/>
      <c r="J162" s="316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  <c r="AM162"/>
      <c r="AN162"/>
      <c r="AO162"/>
      <c r="AP162"/>
      <c r="AQ162"/>
      <c r="AR162"/>
      <c r="AS162"/>
      <c r="AT162"/>
      <c r="AU162"/>
      <c r="AV162"/>
      <c r="AW162"/>
      <c r="AX162" s="48"/>
    </row>
    <row r="163" spans="4:50" s="93" customFormat="1" x14ac:dyDescent="0.3">
      <c r="D163" s="92"/>
      <c r="F163" s="165"/>
      <c r="G163"/>
      <c r="H163"/>
      <c r="I163"/>
      <c r="J163" s="316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  <c r="AM163"/>
      <c r="AN163"/>
      <c r="AO163"/>
      <c r="AP163"/>
      <c r="AQ163"/>
      <c r="AR163"/>
      <c r="AS163"/>
      <c r="AT163"/>
      <c r="AU163"/>
      <c r="AV163"/>
      <c r="AW163"/>
      <c r="AX163" s="48"/>
    </row>
    <row r="164" spans="4:50" s="93" customFormat="1" x14ac:dyDescent="0.3">
      <c r="D164" s="92"/>
      <c r="F164" s="165"/>
      <c r="G164"/>
      <c r="H164"/>
      <c r="I164"/>
      <c r="J164" s="316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  <c r="AM164"/>
      <c r="AN164"/>
      <c r="AO164"/>
      <c r="AP164"/>
      <c r="AQ164"/>
      <c r="AR164"/>
      <c r="AS164"/>
      <c r="AT164"/>
      <c r="AU164"/>
      <c r="AV164"/>
      <c r="AW164"/>
      <c r="AX164" s="48"/>
    </row>
    <row r="165" spans="4:50" s="93" customFormat="1" x14ac:dyDescent="0.3">
      <c r="D165" s="92"/>
      <c r="F165" s="165"/>
      <c r="G165"/>
      <c r="H165"/>
      <c r="I165"/>
      <c r="J165" s="316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  <c r="AM165"/>
      <c r="AN165"/>
      <c r="AO165"/>
      <c r="AP165"/>
      <c r="AQ165"/>
      <c r="AR165"/>
      <c r="AS165"/>
      <c r="AT165"/>
      <c r="AU165"/>
      <c r="AV165"/>
      <c r="AW165"/>
      <c r="AX165" s="48"/>
    </row>
    <row r="166" spans="4:50" s="93" customFormat="1" x14ac:dyDescent="0.3">
      <c r="D166" s="92"/>
      <c r="F166" s="165"/>
      <c r="G166"/>
      <c r="H166"/>
      <c r="I166"/>
      <c r="J166" s="31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  <c r="AM166"/>
      <c r="AN166"/>
      <c r="AO166"/>
      <c r="AP166"/>
      <c r="AQ166"/>
      <c r="AR166"/>
      <c r="AS166"/>
      <c r="AT166"/>
      <c r="AU166"/>
      <c r="AV166"/>
      <c r="AW166"/>
      <c r="AX166" s="48"/>
    </row>
    <row r="167" spans="4:50" s="93" customFormat="1" x14ac:dyDescent="0.3">
      <c r="D167" s="92"/>
      <c r="F167" s="165"/>
      <c r="G167"/>
      <c r="H167"/>
      <c r="I167"/>
      <c r="J167" s="316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  <c r="AM167"/>
      <c r="AN167"/>
      <c r="AO167"/>
      <c r="AP167"/>
      <c r="AQ167"/>
      <c r="AR167"/>
      <c r="AS167"/>
      <c r="AT167"/>
      <c r="AU167"/>
      <c r="AV167"/>
      <c r="AW167"/>
      <c r="AX167" s="48"/>
    </row>
    <row r="168" spans="4:50" s="93" customFormat="1" x14ac:dyDescent="0.3">
      <c r="D168" s="92"/>
      <c r="F168" s="165"/>
      <c r="G168"/>
      <c r="H168"/>
      <c r="I168"/>
      <c r="J168" s="316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  <c r="AM168"/>
      <c r="AN168"/>
      <c r="AO168"/>
      <c r="AP168"/>
      <c r="AQ168"/>
      <c r="AR168"/>
      <c r="AS168"/>
      <c r="AT168"/>
      <c r="AU168"/>
      <c r="AV168"/>
      <c r="AW168"/>
      <c r="AX168" s="48"/>
    </row>
    <row r="169" spans="4:50" s="93" customFormat="1" x14ac:dyDescent="0.3">
      <c r="D169" s="92"/>
      <c r="F169" s="165"/>
      <c r="G169"/>
      <c r="H169"/>
      <c r="I169"/>
      <c r="J169" s="316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  <c r="AM169"/>
      <c r="AN169"/>
      <c r="AO169"/>
      <c r="AP169"/>
      <c r="AQ169"/>
      <c r="AR169"/>
      <c r="AS169"/>
      <c r="AT169"/>
      <c r="AU169"/>
      <c r="AV169"/>
      <c r="AW169"/>
      <c r="AX169" s="48"/>
    </row>
    <row r="170" spans="4:50" s="93" customFormat="1" x14ac:dyDescent="0.3">
      <c r="D170" s="92"/>
      <c r="F170" s="165"/>
      <c r="G170"/>
      <c r="H170"/>
      <c r="I170"/>
      <c r="J170" s="316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  <c r="AM170"/>
      <c r="AN170"/>
      <c r="AO170"/>
      <c r="AP170"/>
      <c r="AQ170"/>
      <c r="AR170"/>
      <c r="AS170"/>
      <c r="AT170"/>
      <c r="AU170"/>
      <c r="AV170"/>
      <c r="AW170"/>
      <c r="AX170" s="48"/>
    </row>
    <row r="171" spans="4:50" s="93" customFormat="1" x14ac:dyDescent="0.3">
      <c r="D171" s="92"/>
      <c r="F171" s="165"/>
      <c r="G171"/>
      <c r="H171"/>
      <c r="I171"/>
      <c r="J171" s="316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  <c r="AM171"/>
      <c r="AN171"/>
      <c r="AO171"/>
      <c r="AP171"/>
      <c r="AQ171"/>
      <c r="AR171"/>
      <c r="AS171"/>
      <c r="AT171"/>
      <c r="AU171"/>
      <c r="AV171"/>
      <c r="AW171"/>
      <c r="AX171" s="48"/>
    </row>
    <row r="172" spans="4:50" s="93" customFormat="1" x14ac:dyDescent="0.3">
      <c r="D172" s="92"/>
      <c r="F172" s="165"/>
      <c r="G172"/>
      <c r="H172"/>
      <c r="I172"/>
      <c r="J172" s="316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  <c r="AM172"/>
      <c r="AN172"/>
      <c r="AO172"/>
      <c r="AP172"/>
      <c r="AQ172"/>
      <c r="AR172"/>
      <c r="AS172"/>
      <c r="AT172"/>
      <c r="AU172"/>
      <c r="AV172"/>
      <c r="AW172"/>
      <c r="AX172" s="48"/>
    </row>
    <row r="173" spans="4:50" s="93" customFormat="1" x14ac:dyDescent="0.3">
      <c r="D173" s="92"/>
      <c r="F173" s="165"/>
      <c r="G173"/>
      <c r="H173"/>
      <c r="I173"/>
      <c r="J173" s="316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  <c r="AM173"/>
      <c r="AN173"/>
      <c r="AO173"/>
      <c r="AP173"/>
      <c r="AQ173"/>
      <c r="AR173"/>
      <c r="AS173"/>
      <c r="AT173"/>
      <c r="AU173"/>
      <c r="AV173"/>
      <c r="AW173"/>
      <c r="AX173" s="48"/>
    </row>
    <row r="174" spans="4:50" s="93" customFormat="1" x14ac:dyDescent="0.3">
      <c r="D174" s="92"/>
      <c r="F174" s="165"/>
      <c r="G174"/>
      <c r="H174"/>
      <c r="I174"/>
      <c r="J174" s="316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  <c r="AM174"/>
      <c r="AN174"/>
      <c r="AO174"/>
      <c r="AP174"/>
      <c r="AQ174"/>
      <c r="AR174"/>
      <c r="AS174"/>
      <c r="AT174"/>
      <c r="AU174"/>
      <c r="AV174"/>
      <c r="AW174"/>
      <c r="AX174" s="48"/>
    </row>
    <row r="175" spans="4:50" s="93" customFormat="1" x14ac:dyDescent="0.3">
      <c r="D175" s="92"/>
      <c r="F175" s="165"/>
      <c r="G175"/>
      <c r="H175"/>
      <c r="I175"/>
      <c r="J175" s="316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  <c r="AM175"/>
      <c r="AN175"/>
      <c r="AO175"/>
      <c r="AP175"/>
      <c r="AQ175"/>
      <c r="AR175"/>
      <c r="AS175"/>
      <c r="AT175"/>
      <c r="AU175"/>
      <c r="AV175"/>
      <c r="AW175"/>
      <c r="AX175" s="48"/>
    </row>
    <row r="176" spans="4:50" s="93" customFormat="1" x14ac:dyDescent="0.3">
      <c r="D176" s="92"/>
      <c r="F176" s="165"/>
      <c r="G176"/>
      <c r="H176"/>
      <c r="I176"/>
      <c r="J176" s="31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  <c r="AM176"/>
      <c r="AN176"/>
      <c r="AO176"/>
      <c r="AP176"/>
      <c r="AQ176"/>
      <c r="AR176"/>
      <c r="AS176"/>
      <c r="AT176"/>
      <c r="AU176"/>
      <c r="AV176"/>
      <c r="AW176"/>
      <c r="AX176" s="48"/>
    </row>
    <row r="177" spans="4:50" s="93" customFormat="1" x14ac:dyDescent="0.3">
      <c r="D177" s="92"/>
      <c r="F177" s="165"/>
      <c r="G177"/>
      <c r="H177"/>
      <c r="I177"/>
      <c r="J177" s="316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  <c r="AM177"/>
      <c r="AN177"/>
      <c r="AO177"/>
      <c r="AP177"/>
      <c r="AQ177"/>
      <c r="AR177"/>
      <c r="AS177"/>
      <c r="AT177"/>
      <c r="AU177"/>
      <c r="AV177"/>
      <c r="AW177"/>
      <c r="AX177" s="48"/>
    </row>
    <row r="178" spans="4:50" s="93" customFormat="1" x14ac:dyDescent="0.3">
      <c r="D178" s="92"/>
      <c r="F178" s="165"/>
      <c r="G178"/>
      <c r="H178"/>
      <c r="I178"/>
      <c r="J178" s="316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  <c r="AM178"/>
      <c r="AN178"/>
      <c r="AO178"/>
      <c r="AP178"/>
      <c r="AQ178"/>
      <c r="AR178"/>
      <c r="AS178"/>
      <c r="AT178"/>
      <c r="AU178"/>
      <c r="AV178"/>
      <c r="AW178"/>
      <c r="AX178" s="48"/>
    </row>
    <row r="179" spans="4:50" s="93" customFormat="1" x14ac:dyDescent="0.3">
      <c r="D179" s="92"/>
      <c r="F179" s="165"/>
      <c r="G179"/>
      <c r="H179"/>
      <c r="I179"/>
      <c r="J179" s="316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  <c r="AM179"/>
      <c r="AN179"/>
      <c r="AO179"/>
      <c r="AP179"/>
      <c r="AQ179"/>
      <c r="AR179"/>
      <c r="AS179"/>
      <c r="AT179"/>
      <c r="AU179"/>
      <c r="AV179"/>
      <c r="AW179"/>
      <c r="AX179" s="48"/>
    </row>
    <row r="180" spans="4:50" s="93" customFormat="1" x14ac:dyDescent="0.3">
      <c r="D180" s="92"/>
      <c r="F180" s="165"/>
      <c r="G180"/>
      <c r="H180"/>
      <c r="I180"/>
      <c r="J180" s="316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  <c r="AM180"/>
      <c r="AN180"/>
      <c r="AO180"/>
      <c r="AP180"/>
      <c r="AQ180"/>
      <c r="AR180"/>
      <c r="AS180"/>
      <c r="AT180"/>
      <c r="AU180"/>
      <c r="AV180"/>
      <c r="AW180"/>
      <c r="AX180" s="48"/>
    </row>
    <row r="181" spans="4:50" s="93" customFormat="1" x14ac:dyDescent="0.3">
      <c r="D181" s="92"/>
      <c r="F181" s="165"/>
      <c r="G181"/>
      <c r="H181"/>
      <c r="I181"/>
      <c r="J181" s="316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  <c r="AM181"/>
      <c r="AN181"/>
      <c r="AO181"/>
      <c r="AP181"/>
      <c r="AQ181"/>
      <c r="AR181"/>
      <c r="AS181"/>
      <c r="AT181"/>
      <c r="AU181"/>
      <c r="AV181"/>
      <c r="AW181"/>
      <c r="AX181" s="48"/>
    </row>
    <row r="182" spans="4:50" s="93" customFormat="1" x14ac:dyDescent="0.3">
      <c r="D182" s="92"/>
      <c r="F182" s="165"/>
      <c r="G182"/>
      <c r="H182"/>
      <c r="I182"/>
      <c r="J182" s="316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  <c r="AM182"/>
      <c r="AN182"/>
      <c r="AO182"/>
      <c r="AP182"/>
      <c r="AQ182"/>
      <c r="AR182"/>
      <c r="AS182"/>
      <c r="AT182"/>
      <c r="AU182"/>
      <c r="AV182"/>
      <c r="AW182"/>
      <c r="AX182" s="48"/>
    </row>
    <row r="183" spans="4:50" s="93" customFormat="1" x14ac:dyDescent="0.3">
      <c r="D183" s="92"/>
      <c r="F183" s="165"/>
      <c r="G183"/>
      <c r="H183"/>
      <c r="I183"/>
      <c r="J183" s="316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 s="48"/>
      <c r="AA183"/>
      <c r="AB183"/>
      <c r="AC183"/>
      <c r="AD183"/>
      <c r="AE183"/>
      <c r="AF183"/>
      <c r="AG183"/>
      <c r="AH183"/>
      <c r="AI183"/>
      <c r="AJ183"/>
      <c r="AK183"/>
      <c r="AL183" s="48"/>
      <c r="AM183"/>
      <c r="AN183"/>
      <c r="AO183"/>
      <c r="AP183"/>
      <c r="AQ183"/>
      <c r="AR183"/>
      <c r="AS183"/>
      <c r="AT183"/>
      <c r="AU183"/>
      <c r="AV183"/>
      <c r="AW183"/>
      <c r="AX183" s="48"/>
    </row>
    <row r="184" spans="4:50" s="93" customFormat="1" x14ac:dyDescent="0.3">
      <c r="D184" s="92"/>
      <c r="F184" s="165"/>
      <c r="G184"/>
      <c r="H184"/>
      <c r="I184"/>
      <c r="J184" s="316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  <c r="AM184"/>
      <c r="AN184"/>
      <c r="AO184"/>
      <c r="AP184"/>
      <c r="AQ184"/>
      <c r="AR184"/>
      <c r="AS184"/>
      <c r="AT184"/>
      <c r="AU184"/>
      <c r="AV184"/>
      <c r="AW184"/>
      <c r="AX184" s="48"/>
    </row>
    <row r="185" spans="4:50" s="93" customFormat="1" x14ac:dyDescent="0.3">
      <c r="D185" s="92"/>
      <c r="F185" s="165"/>
      <c r="G185"/>
      <c r="H185"/>
      <c r="I185"/>
      <c r="J185" s="316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  <c r="AM185"/>
      <c r="AN185"/>
      <c r="AO185"/>
      <c r="AP185"/>
      <c r="AQ185"/>
      <c r="AR185"/>
      <c r="AS185"/>
      <c r="AT185"/>
      <c r="AU185"/>
      <c r="AV185"/>
      <c r="AW185"/>
      <c r="AX185" s="48"/>
    </row>
    <row r="186" spans="4:50" s="93" customFormat="1" x14ac:dyDescent="0.3">
      <c r="D186" s="92"/>
      <c r="F186" s="165"/>
      <c r="G186"/>
      <c r="H186"/>
      <c r="I186"/>
      <c r="J186" s="31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  <c r="AM186"/>
      <c r="AN186"/>
      <c r="AO186"/>
      <c r="AP186"/>
      <c r="AQ186"/>
      <c r="AR186"/>
      <c r="AS186"/>
      <c r="AT186"/>
      <c r="AU186"/>
      <c r="AV186"/>
      <c r="AW186"/>
      <c r="AX186" s="48"/>
    </row>
    <row r="187" spans="4:50" s="93" customFormat="1" x14ac:dyDescent="0.3">
      <c r="D187" s="92"/>
      <c r="F187" s="165"/>
      <c r="G187"/>
      <c r="H187"/>
      <c r="I187"/>
      <c r="J187" s="316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  <c r="AM187"/>
      <c r="AN187"/>
      <c r="AO187"/>
      <c r="AP187"/>
      <c r="AQ187"/>
      <c r="AR187"/>
      <c r="AS187"/>
      <c r="AT187"/>
      <c r="AU187"/>
      <c r="AV187"/>
      <c r="AW187"/>
      <c r="AX187" s="48"/>
    </row>
    <row r="188" spans="4:50" s="93" customFormat="1" x14ac:dyDescent="0.3">
      <c r="D188" s="92"/>
      <c r="F188" s="165"/>
      <c r="G188"/>
      <c r="H188"/>
      <c r="I188"/>
      <c r="J188" s="316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  <c r="AM188"/>
      <c r="AN188"/>
      <c r="AO188"/>
      <c r="AP188"/>
      <c r="AQ188"/>
      <c r="AR188"/>
      <c r="AS188"/>
      <c r="AT188"/>
      <c r="AU188"/>
      <c r="AV188"/>
      <c r="AW188"/>
      <c r="AX188" s="48"/>
    </row>
    <row r="189" spans="4:50" s="93" customFormat="1" x14ac:dyDescent="0.3">
      <c r="D189" s="92"/>
      <c r="F189" s="165"/>
      <c r="G189"/>
      <c r="H189"/>
      <c r="I189"/>
      <c r="J189" s="316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  <c r="AM189"/>
      <c r="AN189"/>
      <c r="AO189"/>
      <c r="AP189"/>
      <c r="AQ189"/>
      <c r="AR189"/>
      <c r="AS189"/>
      <c r="AT189"/>
      <c r="AU189"/>
      <c r="AV189"/>
      <c r="AW189"/>
      <c r="AX189" s="48"/>
    </row>
    <row r="190" spans="4:50" s="93" customFormat="1" x14ac:dyDescent="0.3">
      <c r="D190" s="92"/>
      <c r="F190" s="165"/>
      <c r="G190"/>
      <c r="H190"/>
      <c r="I190"/>
      <c r="J190" s="316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  <c r="AM190"/>
      <c r="AN190"/>
      <c r="AO190"/>
      <c r="AP190"/>
      <c r="AQ190"/>
      <c r="AR190"/>
      <c r="AS190"/>
      <c r="AT190"/>
      <c r="AU190"/>
      <c r="AV190"/>
      <c r="AW190"/>
      <c r="AX190" s="48"/>
    </row>
    <row r="191" spans="4:50" s="93" customFormat="1" x14ac:dyDescent="0.3">
      <c r="D191" s="92"/>
      <c r="F191" s="165"/>
      <c r="G191"/>
      <c r="H191"/>
      <c r="I191"/>
      <c r="J191" s="316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  <c r="AM191"/>
      <c r="AN191"/>
      <c r="AO191"/>
      <c r="AP191"/>
      <c r="AQ191"/>
      <c r="AR191"/>
      <c r="AS191"/>
      <c r="AT191"/>
      <c r="AU191"/>
      <c r="AV191"/>
      <c r="AW191"/>
      <c r="AX191" s="48"/>
    </row>
    <row r="192" spans="4:50" s="93" customFormat="1" x14ac:dyDescent="0.3">
      <c r="D192" s="92"/>
      <c r="F192" s="165"/>
      <c r="G192"/>
      <c r="H192"/>
      <c r="I192"/>
      <c r="J192" s="316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  <c r="AM192"/>
      <c r="AN192"/>
      <c r="AO192"/>
      <c r="AP192"/>
      <c r="AQ192"/>
      <c r="AR192"/>
      <c r="AS192"/>
      <c r="AT192"/>
      <c r="AU192"/>
      <c r="AV192"/>
      <c r="AW192"/>
      <c r="AX192" s="48"/>
    </row>
    <row r="193" spans="4:50" s="93" customFormat="1" x14ac:dyDescent="0.3">
      <c r="D193" s="92"/>
      <c r="F193" s="165"/>
      <c r="G193"/>
      <c r="H193"/>
      <c r="I193"/>
      <c r="J193" s="316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  <c r="AM193"/>
      <c r="AN193"/>
      <c r="AO193"/>
      <c r="AP193"/>
      <c r="AQ193"/>
      <c r="AR193"/>
      <c r="AS193"/>
      <c r="AT193"/>
      <c r="AU193"/>
      <c r="AV193"/>
      <c r="AW193"/>
      <c r="AX193" s="48"/>
    </row>
    <row r="194" spans="4:50" s="93" customFormat="1" x14ac:dyDescent="0.3">
      <c r="D194" s="92"/>
      <c r="F194" s="165"/>
      <c r="G194"/>
      <c r="H194"/>
      <c r="I194"/>
      <c r="J194" s="316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  <c r="AM194"/>
      <c r="AN194"/>
      <c r="AO194"/>
      <c r="AP194"/>
      <c r="AQ194"/>
      <c r="AR194"/>
      <c r="AS194"/>
      <c r="AT194"/>
      <c r="AU194"/>
      <c r="AV194"/>
      <c r="AW194"/>
      <c r="AX194" s="48"/>
    </row>
    <row r="195" spans="4:50" s="93" customFormat="1" x14ac:dyDescent="0.3">
      <c r="D195" s="92"/>
      <c r="F195" s="165"/>
      <c r="G195"/>
      <c r="H195"/>
      <c r="I195"/>
      <c r="J195" s="316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  <c r="AM195"/>
      <c r="AN195"/>
      <c r="AO195"/>
      <c r="AP195"/>
      <c r="AQ195"/>
      <c r="AR195"/>
      <c r="AS195"/>
      <c r="AT195"/>
      <c r="AU195"/>
      <c r="AV195"/>
      <c r="AW195"/>
      <c r="AX195" s="48"/>
    </row>
    <row r="196" spans="4:50" s="93" customFormat="1" x14ac:dyDescent="0.3">
      <c r="D196" s="92"/>
      <c r="F196" s="165"/>
      <c r="G196"/>
      <c r="H196"/>
      <c r="I196"/>
      <c r="J196" s="31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  <c r="AM196"/>
      <c r="AN196"/>
      <c r="AO196"/>
      <c r="AP196"/>
      <c r="AQ196"/>
      <c r="AR196"/>
      <c r="AS196"/>
      <c r="AT196"/>
      <c r="AU196"/>
      <c r="AV196"/>
      <c r="AW196"/>
      <c r="AX196" s="48"/>
    </row>
    <row r="197" spans="4:50" s="93" customFormat="1" x14ac:dyDescent="0.3">
      <c r="D197" s="92"/>
      <c r="F197" s="165"/>
      <c r="G197"/>
      <c r="H197"/>
      <c r="I197"/>
      <c r="J197" s="316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  <c r="AM197"/>
      <c r="AN197"/>
      <c r="AO197"/>
      <c r="AP197"/>
      <c r="AQ197"/>
      <c r="AR197"/>
      <c r="AS197"/>
      <c r="AT197"/>
      <c r="AU197"/>
      <c r="AV197"/>
      <c r="AW197"/>
      <c r="AX197" s="48"/>
    </row>
    <row r="198" spans="4:50" s="93" customFormat="1" x14ac:dyDescent="0.3">
      <c r="D198" s="92"/>
      <c r="F198" s="165"/>
      <c r="G198"/>
      <c r="H198"/>
      <c r="I198"/>
      <c r="J198" s="316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  <c r="AM198"/>
      <c r="AN198"/>
      <c r="AO198"/>
      <c r="AP198"/>
      <c r="AQ198"/>
      <c r="AR198"/>
      <c r="AS198"/>
      <c r="AT198"/>
      <c r="AU198"/>
      <c r="AV198"/>
      <c r="AW198"/>
      <c r="AX198" s="48"/>
    </row>
    <row r="199" spans="4:50" s="93" customFormat="1" x14ac:dyDescent="0.3">
      <c r="D199" s="92"/>
      <c r="F199" s="165"/>
      <c r="G199"/>
      <c r="H199"/>
      <c r="I199"/>
      <c r="J199" s="316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  <c r="AM199"/>
      <c r="AN199"/>
      <c r="AO199"/>
      <c r="AP199"/>
      <c r="AQ199"/>
      <c r="AR199"/>
      <c r="AS199"/>
      <c r="AT199"/>
      <c r="AU199"/>
      <c r="AV199"/>
      <c r="AW199"/>
      <c r="AX199" s="48"/>
    </row>
    <row r="200" spans="4:50" s="93" customFormat="1" x14ac:dyDescent="0.3">
      <c r="D200" s="92"/>
      <c r="F200" s="165"/>
      <c r="G200"/>
      <c r="H200"/>
      <c r="I200"/>
      <c r="J200" s="316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  <c r="AM200"/>
      <c r="AN200"/>
      <c r="AO200"/>
      <c r="AP200"/>
      <c r="AQ200"/>
      <c r="AR200"/>
      <c r="AS200"/>
      <c r="AT200"/>
      <c r="AU200"/>
      <c r="AV200"/>
      <c r="AW200"/>
      <c r="AX200" s="48"/>
    </row>
    <row r="201" spans="4:50" s="93" customFormat="1" x14ac:dyDescent="0.3">
      <c r="D201" s="92"/>
      <c r="F201" s="165"/>
      <c r="G201"/>
      <c r="H201"/>
      <c r="I201"/>
      <c r="J201" s="316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 s="48"/>
      <c r="AA201"/>
      <c r="AB201"/>
      <c r="AC201"/>
      <c r="AD201"/>
      <c r="AE201"/>
      <c r="AF201"/>
      <c r="AG201"/>
      <c r="AH201"/>
      <c r="AI201"/>
      <c r="AJ201"/>
      <c r="AK201"/>
      <c r="AL201" s="48"/>
      <c r="AM201"/>
      <c r="AN201"/>
      <c r="AO201"/>
      <c r="AP201"/>
      <c r="AQ201"/>
      <c r="AR201"/>
      <c r="AS201"/>
      <c r="AT201"/>
      <c r="AU201"/>
      <c r="AV201"/>
      <c r="AW201"/>
      <c r="AX201" s="48"/>
    </row>
    <row r="202" spans="4:50" s="93" customFormat="1" x14ac:dyDescent="0.3">
      <c r="D202" s="92"/>
      <c r="F202" s="165"/>
      <c r="G202"/>
      <c r="H202"/>
      <c r="I202"/>
      <c r="J202" s="316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  <c r="AM202"/>
      <c r="AN202"/>
      <c r="AO202"/>
      <c r="AP202"/>
      <c r="AQ202"/>
      <c r="AR202"/>
      <c r="AS202"/>
      <c r="AT202"/>
      <c r="AU202"/>
      <c r="AV202"/>
      <c r="AW202"/>
      <c r="AX202" s="48"/>
    </row>
    <row r="203" spans="4:50" s="93" customFormat="1" x14ac:dyDescent="0.3">
      <c r="D203" s="92"/>
      <c r="F203" s="165"/>
      <c r="G203"/>
      <c r="H203"/>
      <c r="I203"/>
      <c r="J203" s="316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  <c r="AM203"/>
      <c r="AN203"/>
      <c r="AO203"/>
      <c r="AP203"/>
      <c r="AQ203"/>
      <c r="AR203"/>
      <c r="AS203"/>
      <c r="AT203"/>
      <c r="AU203"/>
      <c r="AV203"/>
      <c r="AW203"/>
      <c r="AX203" s="48"/>
    </row>
    <row r="204" spans="4:50" s="93" customFormat="1" x14ac:dyDescent="0.3">
      <c r="D204" s="92"/>
      <c r="F204" s="165"/>
      <c r="G204"/>
      <c r="H204"/>
      <c r="I204"/>
      <c r="J204" s="316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  <c r="AM204"/>
      <c r="AN204"/>
      <c r="AO204"/>
      <c r="AP204"/>
      <c r="AQ204"/>
      <c r="AR204"/>
      <c r="AS204"/>
      <c r="AT204"/>
      <c r="AU204"/>
      <c r="AV204"/>
      <c r="AW204"/>
      <c r="AX204" s="48"/>
    </row>
    <row r="205" spans="4:50" s="93" customFormat="1" x14ac:dyDescent="0.3">
      <c r="D205" s="92"/>
      <c r="F205" s="165"/>
      <c r="G205"/>
      <c r="H205"/>
      <c r="I205"/>
      <c r="J205" s="316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  <c r="AM205"/>
      <c r="AN205"/>
      <c r="AO205"/>
      <c r="AP205"/>
      <c r="AQ205"/>
      <c r="AR205"/>
      <c r="AS205"/>
      <c r="AT205"/>
      <c r="AU205"/>
      <c r="AV205"/>
      <c r="AW205"/>
      <c r="AX205" s="48"/>
    </row>
    <row r="206" spans="4:50" s="93" customFormat="1" x14ac:dyDescent="0.3">
      <c r="D206" s="92"/>
      <c r="F206" s="165"/>
      <c r="G206"/>
      <c r="H206"/>
      <c r="I206"/>
      <c r="J206" s="31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  <c r="AM206"/>
      <c r="AN206"/>
      <c r="AO206"/>
      <c r="AP206"/>
      <c r="AQ206"/>
      <c r="AR206"/>
      <c r="AS206"/>
      <c r="AT206"/>
      <c r="AU206"/>
      <c r="AV206"/>
      <c r="AW206"/>
      <c r="AX206" s="48"/>
    </row>
    <row r="207" spans="4:50" s="93" customFormat="1" x14ac:dyDescent="0.3">
      <c r="D207" s="92"/>
      <c r="F207" s="165"/>
      <c r="G207"/>
      <c r="H207"/>
      <c r="I207"/>
      <c r="J207" s="316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  <c r="AM207"/>
      <c r="AN207"/>
      <c r="AO207"/>
      <c r="AP207"/>
      <c r="AQ207"/>
      <c r="AR207"/>
      <c r="AS207"/>
      <c r="AT207"/>
      <c r="AU207"/>
      <c r="AV207"/>
      <c r="AW207"/>
      <c r="AX207" s="48"/>
    </row>
    <row r="208" spans="4:50" s="93" customFormat="1" x14ac:dyDescent="0.3">
      <c r="D208" s="92"/>
      <c r="F208" s="165"/>
      <c r="G208"/>
      <c r="H208"/>
      <c r="I208"/>
      <c r="J208" s="316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  <c r="AM208"/>
      <c r="AN208"/>
      <c r="AO208"/>
      <c r="AP208"/>
      <c r="AQ208"/>
      <c r="AR208"/>
      <c r="AS208"/>
      <c r="AT208"/>
      <c r="AU208"/>
      <c r="AV208"/>
      <c r="AW208"/>
      <c r="AX208" s="48"/>
    </row>
    <row r="209" spans="4:50" s="93" customFormat="1" x14ac:dyDescent="0.3">
      <c r="D209" s="92"/>
      <c r="F209" s="165"/>
      <c r="G209"/>
      <c r="H209"/>
      <c r="I209"/>
      <c r="J209" s="316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  <c r="AM209"/>
      <c r="AN209"/>
      <c r="AO209"/>
      <c r="AP209"/>
      <c r="AQ209"/>
      <c r="AR209"/>
      <c r="AS209"/>
      <c r="AT209"/>
      <c r="AU209"/>
      <c r="AV209"/>
      <c r="AW209"/>
      <c r="AX209" s="48"/>
    </row>
    <row r="210" spans="4:50" s="93" customFormat="1" ht="15" thickBot="1" x14ac:dyDescent="0.35">
      <c r="D210" s="92"/>
      <c r="F210" s="165"/>
      <c r="G210"/>
      <c r="H210"/>
      <c r="I210"/>
      <c r="J210" s="316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  <c r="AM210"/>
      <c r="AN210"/>
      <c r="AO210"/>
      <c r="AP210"/>
      <c r="AQ210"/>
      <c r="AR210"/>
      <c r="AS210"/>
      <c r="AT210"/>
      <c r="AU210"/>
      <c r="AV210"/>
      <c r="AW210"/>
      <c r="AX210" s="48"/>
    </row>
    <row r="211" spans="4:50" s="99" customFormat="1" x14ac:dyDescent="0.3">
      <c r="D211" s="100"/>
      <c r="F211" s="245"/>
      <c r="G211" s="7"/>
      <c r="H211" s="7"/>
      <c r="I211" s="7"/>
      <c r="J211" s="378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91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91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91"/>
    </row>
    <row r="212" spans="4:50" s="93" customFormat="1" x14ac:dyDescent="0.3">
      <c r="D212" s="92"/>
      <c r="F212" s="165"/>
      <c r="G212"/>
      <c r="H212"/>
      <c r="I212"/>
      <c r="J212" s="316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  <c r="AM212"/>
      <c r="AN212"/>
      <c r="AO212"/>
      <c r="AP212"/>
      <c r="AQ212"/>
      <c r="AR212"/>
      <c r="AS212"/>
      <c r="AT212"/>
      <c r="AU212"/>
      <c r="AV212"/>
      <c r="AW212"/>
      <c r="AX212" s="48"/>
    </row>
    <row r="213" spans="4:50" s="93" customFormat="1" x14ac:dyDescent="0.3">
      <c r="D213" s="92"/>
      <c r="F213" s="165"/>
      <c r="G213"/>
      <c r="H213"/>
      <c r="I213"/>
      <c r="J213" s="316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  <c r="AM213"/>
      <c r="AN213"/>
      <c r="AO213"/>
      <c r="AP213"/>
      <c r="AQ213"/>
      <c r="AR213"/>
      <c r="AS213"/>
      <c r="AT213"/>
      <c r="AU213"/>
      <c r="AV213"/>
      <c r="AW213"/>
      <c r="AX213" s="48"/>
    </row>
    <row r="214" spans="4:50" s="93" customFormat="1" x14ac:dyDescent="0.3">
      <c r="D214" s="92"/>
      <c r="F214" s="165"/>
      <c r="G214"/>
      <c r="H214"/>
      <c r="I214"/>
      <c r="J214" s="316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  <c r="AM214"/>
      <c r="AN214"/>
      <c r="AO214"/>
      <c r="AP214"/>
      <c r="AQ214"/>
      <c r="AR214"/>
      <c r="AS214"/>
      <c r="AT214"/>
      <c r="AU214"/>
      <c r="AV214"/>
      <c r="AW214"/>
      <c r="AX214" s="48"/>
    </row>
    <row r="215" spans="4:50" s="93" customFormat="1" x14ac:dyDescent="0.3">
      <c r="D215" s="92"/>
      <c r="F215" s="165"/>
      <c r="G215"/>
      <c r="H215"/>
      <c r="I215"/>
      <c r="J215" s="316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  <c r="AM215"/>
      <c r="AN215"/>
      <c r="AO215"/>
      <c r="AP215"/>
      <c r="AQ215"/>
      <c r="AR215"/>
      <c r="AS215"/>
      <c r="AT215"/>
      <c r="AU215"/>
      <c r="AV215"/>
      <c r="AW215"/>
      <c r="AX215" s="48"/>
    </row>
    <row r="216" spans="4:50" s="93" customFormat="1" x14ac:dyDescent="0.3">
      <c r="D216" s="92"/>
      <c r="F216" s="165"/>
      <c r="G216"/>
      <c r="H216"/>
      <c r="I216"/>
      <c r="J216" s="3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  <c r="AM216"/>
      <c r="AN216"/>
      <c r="AO216"/>
      <c r="AP216"/>
      <c r="AQ216"/>
      <c r="AR216"/>
      <c r="AS216"/>
      <c r="AT216"/>
      <c r="AU216"/>
      <c r="AV216"/>
      <c r="AW216"/>
      <c r="AX216" s="48"/>
    </row>
    <row r="217" spans="4:50" s="93" customFormat="1" x14ac:dyDescent="0.3">
      <c r="D217" s="92"/>
      <c r="F217" s="165"/>
      <c r="G217"/>
      <c r="H217"/>
      <c r="I217"/>
      <c r="J217" s="316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  <c r="AM217"/>
      <c r="AN217"/>
      <c r="AO217"/>
      <c r="AP217"/>
      <c r="AQ217"/>
      <c r="AR217"/>
      <c r="AS217"/>
      <c r="AT217"/>
      <c r="AU217"/>
      <c r="AV217"/>
      <c r="AW217"/>
      <c r="AX217" s="48"/>
    </row>
    <row r="218" spans="4:50" s="93" customFormat="1" x14ac:dyDescent="0.3">
      <c r="D218" s="92"/>
      <c r="F218" s="165"/>
      <c r="G218"/>
      <c r="H218"/>
      <c r="I218"/>
      <c r="J218" s="316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  <c r="AM218"/>
      <c r="AN218"/>
      <c r="AO218"/>
      <c r="AP218"/>
      <c r="AQ218"/>
      <c r="AR218"/>
      <c r="AS218"/>
      <c r="AT218"/>
      <c r="AU218"/>
      <c r="AV218"/>
      <c r="AW218"/>
      <c r="AX218" s="48"/>
    </row>
    <row r="219" spans="4:50" s="93" customFormat="1" x14ac:dyDescent="0.3">
      <c r="D219" s="92"/>
      <c r="F219" s="165"/>
      <c r="G219"/>
      <c r="H219"/>
      <c r="I219"/>
      <c r="J219" s="316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  <c r="AM219"/>
      <c r="AN219"/>
      <c r="AO219"/>
      <c r="AP219"/>
      <c r="AQ219"/>
      <c r="AR219"/>
      <c r="AS219"/>
      <c r="AT219"/>
      <c r="AU219"/>
      <c r="AV219"/>
      <c r="AW219"/>
      <c r="AX219" s="48"/>
    </row>
    <row r="220" spans="4:50" s="93" customFormat="1" x14ac:dyDescent="0.3">
      <c r="D220" s="92"/>
      <c r="F220" s="165"/>
      <c r="G220"/>
      <c r="H220"/>
      <c r="I220"/>
      <c r="J220" s="316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  <c r="AM220"/>
      <c r="AN220"/>
      <c r="AO220"/>
      <c r="AP220"/>
      <c r="AQ220"/>
      <c r="AR220"/>
      <c r="AS220"/>
      <c r="AT220"/>
      <c r="AU220"/>
      <c r="AV220"/>
      <c r="AW220"/>
      <c r="AX220" s="48"/>
    </row>
    <row r="221" spans="4:50" s="93" customFormat="1" x14ac:dyDescent="0.3">
      <c r="D221" s="92"/>
      <c r="F221" s="165"/>
      <c r="G221"/>
      <c r="H221"/>
      <c r="I221"/>
      <c r="J221" s="316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  <c r="AM221"/>
      <c r="AN221"/>
      <c r="AO221"/>
      <c r="AP221"/>
      <c r="AQ221"/>
      <c r="AR221"/>
      <c r="AS221"/>
      <c r="AT221"/>
      <c r="AU221"/>
      <c r="AV221"/>
      <c r="AW221"/>
      <c r="AX221" s="48"/>
    </row>
    <row r="222" spans="4:50" s="93" customFormat="1" x14ac:dyDescent="0.3">
      <c r="D222" s="92"/>
      <c r="F222" s="165"/>
      <c r="G222"/>
      <c r="H222"/>
      <c r="I222"/>
      <c r="J222" s="316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  <c r="AM222"/>
      <c r="AN222"/>
      <c r="AO222"/>
      <c r="AP222"/>
      <c r="AQ222"/>
      <c r="AR222"/>
      <c r="AS222"/>
      <c r="AT222"/>
      <c r="AU222"/>
      <c r="AV222"/>
      <c r="AW222"/>
      <c r="AX222" s="48"/>
    </row>
    <row r="223" spans="4:50" s="93" customFormat="1" x14ac:dyDescent="0.3">
      <c r="D223" s="92"/>
      <c r="F223" s="165"/>
      <c r="G223"/>
      <c r="H223"/>
      <c r="I223"/>
      <c r="J223" s="316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  <c r="AM223"/>
      <c r="AN223"/>
      <c r="AO223"/>
      <c r="AP223"/>
      <c r="AQ223"/>
      <c r="AR223"/>
      <c r="AS223"/>
      <c r="AT223"/>
      <c r="AU223"/>
      <c r="AV223"/>
      <c r="AW223"/>
      <c r="AX223" s="48"/>
    </row>
    <row r="224" spans="4:50" s="93" customFormat="1" x14ac:dyDescent="0.3">
      <c r="D224" s="92"/>
      <c r="F224" s="165"/>
      <c r="G224"/>
      <c r="H224"/>
      <c r="I224"/>
      <c r="J224" s="316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  <c r="AM224"/>
      <c r="AN224"/>
      <c r="AO224"/>
      <c r="AP224"/>
      <c r="AQ224"/>
      <c r="AR224"/>
      <c r="AS224"/>
      <c r="AT224"/>
      <c r="AU224"/>
      <c r="AV224"/>
      <c r="AW224"/>
      <c r="AX224" s="48"/>
    </row>
    <row r="225" spans="4:50" s="93" customFormat="1" x14ac:dyDescent="0.3">
      <c r="D225" s="92"/>
      <c r="F225" s="165"/>
      <c r="G225"/>
      <c r="H225"/>
      <c r="I225"/>
      <c r="J225" s="316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  <c r="AM225"/>
      <c r="AN225"/>
      <c r="AO225"/>
      <c r="AP225"/>
      <c r="AQ225"/>
      <c r="AR225"/>
      <c r="AS225"/>
      <c r="AT225"/>
      <c r="AU225"/>
      <c r="AV225"/>
      <c r="AW225"/>
      <c r="AX225" s="48"/>
    </row>
    <row r="226" spans="4:50" s="93" customFormat="1" x14ac:dyDescent="0.3">
      <c r="D226" s="92"/>
      <c r="F226" s="165"/>
      <c r="G226"/>
      <c r="H226"/>
      <c r="I226"/>
      <c r="J226" s="31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  <c r="AM226"/>
      <c r="AN226"/>
      <c r="AO226"/>
      <c r="AP226"/>
      <c r="AQ226"/>
      <c r="AR226"/>
      <c r="AS226"/>
      <c r="AT226"/>
      <c r="AU226"/>
      <c r="AV226"/>
      <c r="AW226"/>
      <c r="AX226" s="48"/>
    </row>
    <row r="227" spans="4:50" s="93" customFormat="1" x14ac:dyDescent="0.3">
      <c r="D227" s="92"/>
      <c r="F227" s="165"/>
      <c r="G227"/>
      <c r="H227"/>
      <c r="I227"/>
      <c r="J227" s="316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  <c r="AM227"/>
      <c r="AN227"/>
      <c r="AO227"/>
      <c r="AP227"/>
      <c r="AQ227"/>
      <c r="AR227"/>
      <c r="AS227"/>
      <c r="AT227"/>
      <c r="AU227"/>
      <c r="AV227"/>
      <c r="AW227"/>
      <c r="AX227" s="48"/>
    </row>
    <row r="228" spans="4:50" s="93" customFormat="1" x14ac:dyDescent="0.3">
      <c r="D228" s="92"/>
      <c r="F228" s="165"/>
      <c r="G228"/>
      <c r="H228"/>
      <c r="I228"/>
      <c r="J228" s="316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  <c r="AM228"/>
      <c r="AN228"/>
      <c r="AO228"/>
      <c r="AP228"/>
      <c r="AQ228"/>
      <c r="AR228"/>
      <c r="AS228"/>
      <c r="AT228"/>
      <c r="AU228"/>
      <c r="AV228"/>
      <c r="AW228"/>
      <c r="AX228" s="48"/>
    </row>
    <row r="229" spans="4:50" s="93" customFormat="1" x14ac:dyDescent="0.3">
      <c r="D229" s="92"/>
      <c r="F229" s="165"/>
      <c r="G229"/>
      <c r="H229"/>
      <c r="I229"/>
      <c r="J229" s="316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  <c r="AM229"/>
      <c r="AN229"/>
      <c r="AO229"/>
      <c r="AP229"/>
      <c r="AQ229"/>
      <c r="AR229"/>
      <c r="AS229"/>
      <c r="AT229"/>
      <c r="AU229"/>
      <c r="AV229"/>
      <c r="AW229"/>
      <c r="AX229" s="48"/>
    </row>
    <row r="230" spans="4:50" s="93" customFormat="1" x14ac:dyDescent="0.3">
      <c r="D230" s="92"/>
      <c r="F230" s="165"/>
      <c r="G230"/>
      <c r="H230"/>
      <c r="I230"/>
      <c r="J230" s="316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  <c r="AM230"/>
      <c r="AN230"/>
      <c r="AO230"/>
      <c r="AP230"/>
      <c r="AQ230"/>
      <c r="AR230"/>
      <c r="AS230"/>
      <c r="AT230"/>
      <c r="AU230"/>
      <c r="AV230"/>
      <c r="AW230"/>
      <c r="AX230" s="48"/>
    </row>
    <row r="231" spans="4:50" s="93" customFormat="1" x14ac:dyDescent="0.3">
      <c r="D231" s="92"/>
      <c r="F231" s="165"/>
      <c r="G231"/>
      <c r="H231"/>
      <c r="I231"/>
      <c r="J231" s="316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 s="48"/>
      <c r="AA231"/>
      <c r="AB231"/>
      <c r="AC231"/>
      <c r="AD231"/>
      <c r="AE231"/>
      <c r="AF231"/>
      <c r="AG231"/>
      <c r="AH231"/>
      <c r="AI231"/>
      <c r="AJ231"/>
      <c r="AK231"/>
      <c r="AL231" s="48"/>
      <c r="AM231"/>
      <c r="AN231"/>
      <c r="AO231"/>
      <c r="AP231"/>
      <c r="AQ231"/>
      <c r="AR231"/>
      <c r="AS231"/>
      <c r="AT231"/>
      <c r="AU231"/>
      <c r="AV231"/>
      <c r="AW231"/>
      <c r="AX231" s="48"/>
    </row>
    <row r="232" spans="4:50" s="93" customFormat="1" x14ac:dyDescent="0.3">
      <c r="D232" s="92"/>
      <c r="F232" s="165"/>
      <c r="G232"/>
      <c r="H232"/>
      <c r="I232"/>
      <c r="J232" s="316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 s="48"/>
      <c r="AA232"/>
      <c r="AB232"/>
      <c r="AC232"/>
      <c r="AD232"/>
      <c r="AE232"/>
      <c r="AF232"/>
      <c r="AG232"/>
      <c r="AH232"/>
      <c r="AI232"/>
      <c r="AJ232"/>
      <c r="AK232"/>
      <c r="AL232" s="48"/>
      <c r="AM232"/>
      <c r="AN232"/>
      <c r="AO232"/>
      <c r="AP232"/>
      <c r="AQ232"/>
      <c r="AR232"/>
      <c r="AS232"/>
      <c r="AT232"/>
      <c r="AU232"/>
      <c r="AV232"/>
      <c r="AW232"/>
      <c r="AX232" s="48"/>
    </row>
    <row r="233" spans="4:50" s="93" customFormat="1" x14ac:dyDescent="0.3">
      <c r="D233" s="92"/>
      <c r="F233" s="165"/>
      <c r="G233"/>
      <c r="H233"/>
      <c r="I233"/>
      <c r="J233" s="316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 s="48"/>
      <c r="AA233"/>
      <c r="AB233"/>
      <c r="AC233"/>
      <c r="AD233"/>
      <c r="AE233"/>
      <c r="AF233"/>
      <c r="AG233"/>
      <c r="AH233"/>
      <c r="AI233"/>
      <c r="AJ233"/>
      <c r="AK233"/>
      <c r="AL233" s="48"/>
      <c r="AM233"/>
      <c r="AN233"/>
      <c r="AO233"/>
      <c r="AP233"/>
      <c r="AQ233"/>
      <c r="AR233"/>
      <c r="AS233"/>
      <c r="AT233"/>
      <c r="AU233"/>
      <c r="AV233"/>
      <c r="AW233"/>
      <c r="AX233" s="48"/>
    </row>
    <row r="234" spans="4:50" s="93" customFormat="1" x14ac:dyDescent="0.3">
      <c r="D234" s="92"/>
      <c r="F234" s="165"/>
      <c r="G234"/>
      <c r="H234"/>
      <c r="I234"/>
      <c r="J234" s="316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 s="48"/>
      <c r="AA234"/>
      <c r="AB234"/>
      <c r="AC234"/>
      <c r="AD234"/>
      <c r="AE234"/>
      <c r="AF234"/>
      <c r="AG234"/>
      <c r="AH234"/>
      <c r="AI234"/>
      <c r="AJ234"/>
      <c r="AK234"/>
      <c r="AL234" s="48"/>
      <c r="AM234"/>
      <c r="AN234"/>
      <c r="AO234"/>
      <c r="AP234"/>
      <c r="AQ234"/>
      <c r="AR234"/>
      <c r="AS234"/>
      <c r="AT234"/>
      <c r="AU234"/>
      <c r="AV234"/>
      <c r="AW234"/>
      <c r="AX234" s="48"/>
    </row>
    <row r="235" spans="4:50" s="93" customFormat="1" x14ac:dyDescent="0.3">
      <c r="D235" s="92"/>
      <c r="F235" s="165"/>
      <c r="G235"/>
      <c r="H235"/>
      <c r="I235"/>
      <c r="J235" s="316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 s="48"/>
      <c r="AA235"/>
      <c r="AB235"/>
      <c r="AC235"/>
      <c r="AD235"/>
      <c r="AE235"/>
      <c r="AF235"/>
      <c r="AG235"/>
      <c r="AH235"/>
      <c r="AI235"/>
      <c r="AJ235"/>
      <c r="AK235"/>
      <c r="AL235" s="48"/>
      <c r="AM235"/>
      <c r="AN235"/>
      <c r="AO235"/>
      <c r="AP235"/>
      <c r="AQ235"/>
      <c r="AR235"/>
      <c r="AS235"/>
      <c r="AT235"/>
      <c r="AU235"/>
      <c r="AV235"/>
      <c r="AW235"/>
      <c r="AX235" s="48"/>
    </row>
    <row r="236" spans="4:50" s="93" customFormat="1" x14ac:dyDescent="0.3">
      <c r="D236" s="92"/>
      <c r="F236" s="165"/>
      <c r="G236"/>
      <c r="H236"/>
      <c r="I236"/>
      <c r="J236" s="31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 s="48"/>
      <c r="AA236"/>
      <c r="AB236"/>
      <c r="AC236"/>
      <c r="AD236"/>
      <c r="AE236"/>
      <c r="AF236"/>
      <c r="AG236"/>
      <c r="AH236"/>
      <c r="AI236"/>
      <c r="AJ236"/>
      <c r="AK236"/>
      <c r="AL236" s="48"/>
      <c r="AM236"/>
      <c r="AN236"/>
      <c r="AO236"/>
      <c r="AP236"/>
      <c r="AQ236"/>
      <c r="AR236"/>
      <c r="AS236"/>
      <c r="AT236"/>
      <c r="AU236"/>
      <c r="AV236"/>
      <c r="AW236"/>
      <c r="AX236" s="48"/>
    </row>
    <row r="237" spans="4:50" s="93" customFormat="1" x14ac:dyDescent="0.3">
      <c r="D237" s="92"/>
      <c r="F237" s="165"/>
      <c r="G237"/>
      <c r="H237"/>
      <c r="I237"/>
      <c r="J237" s="316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 s="48"/>
      <c r="AA237"/>
      <c r="AB237"/>
      <c r="AC237"/>
      <c r="AD237"/>
      <c r="AE237"/>
      <c r="AF237"/>
      <c r="AG237"/>
      <c r="AH237"/>
      <c r="AI237"/>
      <c r="AJ237"/>
      <c r="AK237"/>
      <c r="AL237" s="48"/>
      <c r="AM237"/>
      <c r="AN237"/>
      <c r="AO237"/>
      <c r="AP237"/>
      <c r="AQ237"/>
      <c r="AR237"/>
      <c r="AS237"/>
      <c r="AT237"/>
      <c r="AU237"/>
      <c r="AV237"/>
      <c r="AW237"/>
      <c r="AX237" s="48"/>
    </row>
    <row r="238" spans="4:50" s="93" customFormat="1" x14ac:dyDescent="0.3">
      <c r="D238" s="92"/>
      <c r="F238" s="165"/>
      <c r="G238"/>
      <c r="H238"/>
      <c r="I238"/>
      <c r="J238" s="316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 s="48"/>
      <c r="AA238"/>
      <c r="AB238"/>
      <c r="AC238"/>
      <c r="AD238"/>
      <c r="AE238"/>
      <c r="AF238"/>
      <c r="AG238"/>
      <c r="AH238"/>
      <c r="AI238"/>
      <c r="AJ238"/>
      <c r="AK238"/>
      <c r="AL238" s="48"/>
      <c r="AM238"/>
      <c r="AN238"/>
      <c r="AO238"/>
      <c r="AP238"/>
      <c r="AQ238"/>
      <c r="AR238"/>
      <c r="AS238"/>
      <c r="AT238"/>
      <c r="AU238"/>
      <c r="AV238"/>
      <c r="AW238"/>
      <c r="AX238" s="48"/>
    </row>
    <row r="239" spans="4:50" s="93" customFormat="1" x14ac:dyDescent="0.3">
      <c r="D239" s="92"/>
      <c r="F239" s="165"/>
      <c r="G239"/>
      <c r="H239"/>
      <c r="I239"/>
      <c r="J239" s="316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 s="48"/>
      <c r="AA239"/>
      <c r="AB239"/>
      <c r="AC239"/>
      <c r="AD239"/>
      <c r="AE239"/>
      <c r="AF239"/>
      <c r="AG239"/>
      <c r="AH239"/>
      <c r="AI239"/>
      <c r="AJ239"/>
      <c r="AK239"/>
      <c r="AL239" s="48"/>
      <c r="AM239"/>
      <c r="AN239"/>
      <c r="AO239"/>
      <c r="AP239"/>
      <c r="AQ239"/>
      <c r="AR239"/>
      <c r="AS239"/>
      <c r="AT239"/>
      <c r="AU239"/>
      <c r="AV239"/>
      <c r="AW239"/>
      <c r="AX239" s="48"/>
    </row>
    <row r="240" spans="4:50" s="93" customFormat="1" x14ac:dyDescent="0.3">
      <c r="D240" s="92"/>
      <c r="F240" s="165"/>
      <c r="G240"/>
      <c r="H240"/>
      <c r="I240"/>
      <c r="J240" s="316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 s="48"/>
      <c r="AA240"/>
      <c r="AB240"/>
      <c r="AC240"/>
      <c r="AD240"/>
      <c r="AE240"/>
      <c r="AF240"/>
      <c r="AG240"/>
      <c r="AH240"/>
      <c r="AI240"/>
      <c r="AJ240"/>
      <c r="AK240"/>
      <c r="AL240" s="48"/>
      <c r="AM240"/>
      <c r="AN240"/>
      <c r="AO240"/>
      <c r="AP240"/>
      <c r="AQ240"/>
      <c r="AR240"/>
      <c r="AS240"/>
      <c r="AT240"/>
      <c r="AU240"/>
      <c r="AV240"/>
      <c r="AW240"/>
      <c r="AX240" s="48"/>
    </row>
    <row r="241" spans="4:50" s="93" customFormat="1" x14ac:dyDescent="0.3">
      <c r="D241" s="92"/>
      <c r="F241" s="165"/>
      <c r="G241"/>
      <c r="H241"/>
      <c r="I241"/>
      <c r="J241" s="316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 s="48"/>
      <c r="AA241"/>
      <c r="AB241"/>
      <c r="AC241"/>
      <c r="AD241"/>
      <c r="AE241"/>
      <c r="AF241"/>
      <c r="AG241"/>
      <c r="AH241"/>
      <c r="AI241"/>
      <c r="AJ241"/>
      <c r="AK241"/>
      <c r="AL241" s="48"/>
      <c r="AM241"/>
      <c r="AN241"/>
      <c r="AO241"/>
      <c r="AP241"/>
      <c r="AQ241"/>
      <c r="AR241"/>
      <c r="AS241"/>
      <c r="AT241"/>
      <c r="AU241"/>
      <c r="AV241"/>
      <c r="AW241"/>
      <c r="AX241" s="48"/>
    </row>
    <row r="242" spans="4:50" s="93" customFormat="1" x14ac:dyDescent="0.3">
      <c r="D242" s="92"/>
      <c r="F242" s="165"/>
      <c r="G242"/>
      <c r="H242"/>
      <c r="I242"/>
      <c r="J242" s="316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 s="48"/>
      <c r="AA242"/>
      <c r="AB242"/>
      <c r="AC242"/>
      <c r="AD242"/>
      <c r="AE242"/>
      <c r="AF242"/>
      <c r="AG242"/>
      <c r="AH242"/>
      <c r="AI242"/>
      <c r="AJ242"/>
      <c r="AK242"/>
      <c r="AL242" s="48"/>
      <c r="AM242"/>
      <c r="AN242"/>
      <c r="AO242"/>
      <c r="AP242"/>
      <c r="AQ242"/>
      <c r="AR242"/>
      <c r="AS242"/>
      <c r="AT242"/>
      <c r="AU242"/>
      <c r="AV242"/>
      <c r="AW242"/>
      <c r="AX242" s="48"/>
    </row>
    <row r="243" spans="4:50" s="93" customFormat="1" x14ac:dyDescent="0.3">
      <c r="D243" s="92"/>
      <c r="F243" s="165"/>
      <c r="G243"/>
      <c r="H243"/>
      <c r="I243"/>
      <c r="J243" s="316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 s="48"/>
      <c r="AA243"/>
      <c r="AB243"/>
      <c r="AC243"/>
      <c r="AD243"/>
      <c r="AE243"/>
      <c r="AF243"/>
      <c r="AG243"/>
      <c r="AH243"/>
      <c r="AI243"/>
      <c r="AJ243"/>
      <c r="AK243"/>
      <c r="AL243" s="48"/>
      <c r="AM243"/>
      <c r="AN243"/>
      <c r="AO243"/>
      <c r="AP243"/>
      <c r="AQ243"/>
      <c r="AR243"/>
      <c r="AS243"/>
      <c r="AT243"/>
      <c r="AU243"/>
      <c r="AV243"/>
      <c r="AW243"/>
      <c r="AX243" s="48"/>
    </row>
    <row r="244" spans="4:50" s="93" customFormat="1" x14ac:dyDescent="0.3">
      <c r="D244" s="92"/>
      <c r="F244" s="165"/>
      <c r="G244"/>
      <c r="H244"/>
      <c r="I244"/>
      <c r="J244" s="316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 s="48"/>
      <c r="AA244"/>
      <c r="AB244"/>
      <c r="AC244"/>
      <c r="AD244"/>
      <c r="AE244"/>
      <c r="AF244"/>
      <c r="AG244"/>
      <c r="AH244"/>
      <c r="AI244"/>
      <c r="AJ244"/>
      <c r="AK244"/>
      <c r="AL244" s="48"/>
      <c r="AM244"/>
      <c r="AN244"/>
      <c r="AO244"/>
      <c r="AP244"/>
      <c r="AQ244"/>
      <c r="AR244"/>
      <c r="AS244"/>
      <c r="AT244"/>
      <c r="AU244"/>
      <c r="AV244"/>
      <c r="AW244"/>
      <c r="AX244" s="48"/>
    </row>
    <row r="245" spans="4:50" s="93" customFormat="1" x14ac:dyDescent="0.3">
      <c r="D245" s="92"/>
      <c r="F245" s="165"/>
      <c r="G245"/>
      <c r="H245"/>
      <c r="I245"/>
      <c r="J245" s="316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 s="48"/>
      <c r="AA245"/>
      <c r="AB245"/>
      <c r="AC245"/>
      <c r="AD245"/>
      <c r="AE245"/>
      <c r="AF245"/>
      <c r="AG245"/>
      <c r="AH245"/>
      <c r="AI245"/>
      <c r="AJ245"/>
      <c r="AK245"/>
      <c r="AL245" s="48"/>
      <c r="AM245"/>
      <c r="AN245"/>
      <c r="AO245"/>
      <c r="AP245"/>
      <c r="AQ245"/>
      <c r="AR245"/>
      <c r="AS245"/>
      <c r="AT245"/>
      <c r="AU245"/>
      <c r="AV245"/>
      <c r="AW245"/>
      <c r="AX245" s="48"/>
    </row>
    <row r="246" spans="4:50" s="93" customFormat="1" x14ac:dyDescent="0.3">
      <c r="D246" s="92"/>
      <c r="F246" s="165"/>
      <c r="G246"/>
      <c r="H246"/>
      <c r="I246"/>
      <c r="J246" s="31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 s="48"/>
      <c r="AA246"/>
      <c r="AB246"/>
      <c r="AC246"/>
      <c r="AD246"/>
      <c r="AE246"/>
      <c r="AF246"/>
      <c r="AG246"/>
      <c r="AH246"/>
      <c r="AI246"/>
      <c r="AJ246"/>
      <c r="AK246"/>
      <c r="AL246" s="48"/>
      <c r="AM246"/>
      <c r="AN246"/>
      <c r="AO246"/>
      <c r="AP246"/>
      <c r="AQ246"/>
      <c r="AR246"/>
      <c r="AS246"/>
      <c r="AT246"/>
      <c r="AU246"/>
      <c r="AV246"/>
      <c r="AW246"/>
      <c r="AX246" s="48"/>
    </row>
    <row r="247" spans="4:50" s="93" customFormat="1" x14ac:dyDescent="0.3">
      <c r="D247" s="92"/>
      <c r="F247" s="165"/>
      <c r="G247"/>
      <c r="H247"/>
      <c r="I247"/>
      <c r="J247" s="316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 s="48"/>
      <c r="AA247"/>
      <c r="AB247"/>
      <c r="AC247"/>
      <c r="AD247"/>
      <c r="AE247"/>
      <c r="AF247"/>
      <c r="AG247"/>
      <c r="AH247"/>
      <c r="AI247"/>
      <c r="AJ247"/>
      <c r="AK247"/>
      <c r="AL247" s="48"/>
      <c r="AM247"/>
      <c r="AN247"/>
      <c r="AO247"/>
      <c r="AP247"/>
      <c r="AQ247"/>
      <c r="AR247"/>
      <c r="AS247"/>
      <c r="AT247"/>
      <c r="AU247"/>
      <c r="AV247"/>
      <c r="AW247"/>
      <c r="AX247" s="48"/>
    </row>
    <row r="248" spans="4:50" s="93" customFormat="1" x14ac:dyDescent="0.3">
      <c r="D248" s="92"/>
      <c r="F248" s="165"/>
      <c r="G248"/>
      <c r="H248"/>
      <c r="I248"/>
      <c r="J248" s="316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 s="48"/>
      <c r="AA248"/>
      <c r="AB248"/>
      <c r="AC248"/>
      <c r="AD248"/>
      <c r="AE248"/>
      <c r="AF248"/>
      <c r="AG248"/>
      <c r="AH248"/>
      <c r="AI248"/>
      <c r="AJ248"/>
      <c r="AK248"/>
      <c r="AL248" s="48"/>
      <c r="AM248"/>
      <c r="AN248"/>
      <c r="AO248"/>
      <c r="AP248"/>
      <c r="AQ248"/>
      <c r="AR248"/>
      <c r="AS248"/>
      <c r="AT248"/>
      <c r="AU248"/>
      <c r="AV248"/>
      <c r="AW248"/>
      <c r="AX248" s="48"/>
    </row>
    <row r="249" spans="4:50" s="93" customFormat="1" x14ac:dyDescent="0.3">
      <c r="D249" s="92"/>
      <c r="F249" s="165"/>
      <c r="G249"/>
      <c r="H249"/>
      <c r="I249"/>
      <c r="J249" s="316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 s="48"/>
      <c r="AA249"/>
      <c r="AB249"/>
      <c r="AC249"/>
      <c r="AD249"/>
      <c r="AE249"/>
      <c r="AF249"/>
      <c r="AG249"/>
      <c r="AH249"/>
      <c r="AI249"/>
      <c r="AJ249"/>
      <c r="AK249"/>
      <c r="AL249" s="48"/>
      <c r="AM249"/>
      <c r="AN249"/>
      <c r="AO249"/>
      <c r="AP249"/>
      <c r="AQ249"/>
      <c r="AR249"/>
      <c r="AS249"/>
      <c r="AT249"/>
      <c r="AU249"/>
      <c r="AV249"/>
      <c r="AW249"/>
      <c r="AX249" s="48"/>
    </row>
    <row r="250" spans="4:50" s="93" customFormat="1" x14ac:dyDescent="0.3">
      <c r="D250" s="92"/>
      <c r="F250" s="165"/>
      <c r="G250"/>
      <c r="H250"/>
      <c r="I250"/>
      <c r="J250" s="316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 s="48"/>
      <c r="AA250"/>
      <c r="AB250"/>
      <c r="AC250"/>
      <c r="AD250"/>
      <c r="AE250"/>
      <c r="AF250"/>
      <c r="AG250"/>
      <c r="AH250"/>
      <c r="AI250"/>
      <c r="AJ250"/>
      <c r="AK250"/>
      <c r="AL250" s="48"/>
      <c r="AM250"/>
      <c r="AN250"/>
      <c r="AO250"/>
      <c r="AP250"/>
      <c r="AQ250"/>
      <c r="AR250"/>
      <c r="AS250"/>
      <c r="AT250"/>
      <c r="AU250"/>
      <c r="AV250"/>
      <c r="AW250"/>
      <c r="AX250" s="48"/>
    </row>
    <row r="251" spans="4:50" s="93" customFormat="1" x14ac:dyDescent="0.3">
      <c r="D251" s="92"/>
      <c r="F251" s="165"/>
      <c r="G251"/>
      <c r="H251"/>
      <c r="I251"/>
      <c r="J251" s="316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 s="48"/>
      <c r="AA251"/>
      <c r="AB251"/>
      <c r="AC251"/>
      <c r="AD251"/>
      <c r="AE251"/>
      <c r="AF251"/>
      <c r="AG251"/>
      <c r="AH251"/>
      <c r="AI251"/>
      <c r="AJ251"/>
      <c r="AK251"/>
      <c r="AL251" s="48"/>
      <c r="AM251"/>
      <c r="AN251"/>
      <c r="AO251"/>
      <c r="AP251"/>
      <c r="AQ251"/>
      <c r="AR251"/>
      <c r="AS251"/>
      <c r="AT251"/>
      <c r="AU251"/>
      <c r="AV251"/>
      <c r="AW251"/>
      <c r="AX251" s="48"/>
    </row>
    <row r="252" spans="4:50" s="93" customFormat="1" x14ac:dyDescent="0.3">
      <c r="D252" s="92"/>
      <c r="F252" s="165"/>
      <c r="G252"/>
      <c r="H252"/>
      <c r="I252"/>
      <c r="J252" s="316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 s="48"/>
      <c r="AA252"/>
      <c r="AB252"/>
      <c r="AC252"/>
      <c r="AD252"/>
      <c r="AE252"/>
      <c r="AF252"/>
      <c r="AG252"/>
      <c r="AH252"/>
      <c r="AI252"/>
      <c r="AJ252"/>
      <c r="AK252"/>
      <c r="AL252" s="48"/>
      <c r="AM252"/>
      <c r="AN252"/>
      <c r="AO252"/>
      <c r="AP252"/>
      <c r="AQ252"/>
      <c r="AR252"/>
      <c r="AS252"/>
      <c r="AT252"/>
      <c r="AU252"/>
      <c r="AV252"/>
      <c r="AW252"/>
      <c r="AX252" s="48"/>
    </row>
    <row r="253" spans="4:50" s="93" customFormat="1" x14ac:dyDescent="0.3">
      <c r="D253" s="92"/>
      <c r="F253" s="165"/>
      <c r="G253"/>
      <c r="H253"/>
      <c r="I253"/>
      <c r="J253" s="316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 s="48"/>
      <c r="AA253"/>
      <c r="AB253"/>
      <c r="AC253"/>
      <c r="AD253"/>
      <c r="AE253"/>
      <c r="AF253"/>
      <c r="AG253"/>
      <c r="AH253"/>
      <c r="AI253"/>
      <c r="AJ253"/>
      <c r="AK253"/>
      <c r="AL253" s="48"/>
      <c r="AM253"/>
      <c r="AN253"/>
      <c r="AO253"/>
      <c r="AP253"/>
      <c r="AQ253"/>
      <c r="AR253"/>
      <c r="AS253"/>
      <c r="AT253"/>
      <c r="AU253"/>
      <c r="AV253"/>
      <c r="AW253"/>
      <c r="AX253" s="48"/>
    </row>
    <row r="254" spans="4:50" s="93" customFormat="1" x14ac:dyDescent="0.3">
      <c r="D254" s="92"/>
      <c r="F254" s="165"/>
      <c r="G254"/>
      <c r="H254"/>
      <c r="I254"/>
      <c r="J254" s="316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 s="48"/>
      <c r="AA254"/>
      <c r="AB254"/>
      <c r="AC254"/>
      <c r="AD254"/>
      <c r="AE254"/>
      <c r="AF254"/>
      <c r="AG254"/>
      <c r="AH254"/>
      <c r="AI254"/>
      <c r="AJ254"/>
      <c r="AK254"/>
      <c r="AL254" s="48"/>
      <c r="AM254"/>
      <c r="AN254"/>
      <c r="AO254"/>
      <c r="AP254"/>
      <c r="AQ254"/>
      <c r="AR254"/>
      <c r="AS254"/>
      <c r="AT254"/>
      <c r="AU254"/>
      <c r="AV254"/>
      <c r="AW254"/>
      <c r="AX254" s="48"/>
    </row>
    <row r="255" spans="4:50" s="93" customFormat="1" x14ac:dyDescent="0.3">
      <c r="D255" s="92"/>
      <c r="F255" s="165"/>
      <c r="G255"/>
      <c r="H255"/>
      <c r="I255"/>
      <c r="J255" s="316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 s="48"/>
      <c r="AA255"/>
      <c r="AB255"/>
      <c r="AC255"/>
      <c r="AD255"/>
      <c r="AE255"/>
      <c r="AF255"/>
      <c r="AG255"/>
      <c r="AH255"/>
      <c r="AI255"/>
      <c r="AJ255"/>
      <c r="AK255"/>
      <c r="AL255" s="48"/>
      <c r="AM255"/>
      <c r="AN255"/>
      <c r="AO255"/>
      <c r="AP255"/>
      <c r="AQ255"/>
      <c r="AR255"/>
      <c r="AS255"/>
      <c r="AT255"/>
      <c r="AU255"/>
      <c r="AV255"/>
      <c r="AW255"/>
      <c r="AX255" s="48"/>
    </row>
    <row r="256" spans="4:50" s="93" customFormat="1" x14ac:dyDescent="0.3">
      <c r="D256" s="92"/>
      <c r="F256" s="165"/>
      <c r="G256"/>
      <c r="H256"/>
      <c r="I256"/>
      <c r="J256" s="31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 s="48"/>
      <c r="AA256"/>
      <c r="AB256"/>
      <c r="AC256"/>
      <c r="AD256"/>
      <c r="AE256"/>
      <c r="AF256"/>
      <c r="AG256"/>
      <c r="AH256"/>
      <c r="AI256"/>
      <c r="AJ256"/>
      <c r="AK256"/>
      <c r="AL256" s="48"/>
      <c r="AM256"/>
      <c r="AN256"/>
      <c r="AO256"/>
      <c r="AP256"/>
      <c r="AQ256"/>
      <c r="AR256"/>
      <c r="AS256"/>
      <c r="AT256"/>
      <c r="AU256"/>
      <c r="AV256"/>
      <c r="AW256"/>
      <c r="AX256" s="48"/>
    </row>
    <row r="257" spans="4:50" s="93" customFormat="1" x14ac:dyDescent="0.3">
      <c r="D257" s="92"/>
      <c r="F257" s="165"/>
      <c r="G257"/>
      <c r="H257"/>
      <c r="I257"/>
      <c r="J257" s="316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 s="48"/>
      <c r="AA257"/>
      <c r="AB257"/>
      <c r="AC257"/>
      <c r="AD257"/>
      <c r="AE257"/>
      <c r="AF257"/>
      <c r="AG257"/>
      <c r="AH257"/>
      <c r="AI257"/>
      <c r="AJ257"/>
      <c r="AK257"/>
      <c r="AL257" s="48"/>
      <c r="AM257"/>
      <c r="AN257"/>
      <c r="AO257"/>
      <c r="AP257"/>
      <c r="AQ257"/>
      <c r="AR257"/>
      <c r="AS257"/>
      <c r="AT257"/>
      <c r="AU257"/>
      <c r="AV257"/>
      <c r="AW257"/>
      <c r="AX257" s="48"/>
    </row>
    <row r="258" spans="4:50" s="93" customFormat="1" x14ac:dyDescent="0.3">
      <c r="D258" s="92"/>
      <c r="F258" s="165"/>
      <c r="G258"/>
      <c r="H258"/>
      <c r="I258"/>
      <c r="J258" s="316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 s="48"/>
      <c r="AA258"/>
      <c r="AB258"/>
      <c r="AC258"/>
      <c r="AD258"/>
      <c r="AE258"/>
      <c r="AF258"/>
      <c r="AG258"/>
      <c r="AH258"/>
      <c r="AI258"/>
      <c r="AJ258"/>
      <c r="AK258"/>
      <c r="AL258" s="48"/>
      <c r="AM258"/>
      <c r="AN258"/>
      <c r="AO258"/>
      <c r="AP258"/>
      <c r="AQ258"/>
      <c r="AR258"/>
      <c r="AS258"/>
      <c r="AT258"/>
      <c r="AU258"/>
      <c r="AV258"/>
      <c r="AW258"/>
      <c r="AX258" s="48"/>
    </row>
    <row r="259" spans="4:50" x14ac:dyDescent="0.3">
      <c r="J259" s="316"/>
      <c r="O259"/>
    </row>
    <row r="260" spans="4:50" x14ac:dyDescent="0.3">
      <c r="J260" s="316"/>
      <c r="O260"/>
    </row>
    <row r="261" spans="4:50" x14ac:dyDescent="0.3">
      <c r="J261" s="316"/>
      <c r="O261"/>
    </row>
    <row r="262" spans="4:50" x14ac:dyDescent="0.3">
      <c r="J262" s="316"/>
      <c r="O262"/>
    </row>
    <row r="263" spans="4:50" x14ac:dyDescent="0.3">
      <c r="J263" s="316"/>
      <c r="O263"/>
    </row>
    <row r="264" spans="4:50" x14ac:dyDescent="0.3">
      <c r="J264" s="316"/>
      <c r="O264"/>
    </row>
    <row r="265" spans="4:50" x14ac:dyDescent="0.3">
      <c r="J265" s="316"/>
      <c r="O265"/>
    </row>
    <row r="266" spans="4:50" x14ac:dyDescent="0.3">
      <c r="J266" s="316"/>
      <c r="O266"/>
    </row>
    <row r="267" spans="4:50" x14ac:dyDescent="0.3">
      <c r="J267" s="316"/>
      <c r="O267"/>
    </row>
    <row r="268" spans="4:50" x14ac:dyDescent="0.3">
      <c r="J268" s="316"/>
      <c r="O268"/>
    </row>
    <row r="269" spans="4:50" x14ac:dyDescent="0.3">
      <c r="J269" s="316"/>
      <c r="O269"/>
    </row>
    <row r="270" spans="4:50" x14ac:dyDescent="0.3">
      <c r="J270" s="316"/>
      <c r="O270"/>
    </row>
    <row r="271" spans="4:50" x14ac:dyDescent="0.3">
      <c r="J271" s="316"/>
      <c r="O271"/>
    </row>
    <row r="272" spans="4:50" x14ac:dyDescent="0.3">
      <c r="J272" s="316"/>
      <c r="O272"/>
    </row>
    <row r="273" spans="10:15" x14ac:dyDescent="0.3">
      <c r="J273" s="316"/>
      <c r="O273"/>
    </row>
    <row r="274" spans="10:15" x14ac:dyDescent="0.3">
      <c r="J274" s="316"/>
      <c r="O274"/>
    </row>
    <row r="275" spans="10:15" x14ac:dyDescent="0.3">
      <c r="J275" s="316"/>
      <c r="O275"/>
    </row>
    <row r="276" spans="10:15" x14ac:dyDescent="0.3">
      <c r="J276" s="316"/>
      <c r="O276"/>
    </row>
    <row r="277" spans="10:15" x14ac:dyDescent="0.3">
      <c r="J277" s="316"/>
      <c r="O277"/>
    </row>
    <row r="278" spans="10:15" x14ac:dyDescent="0.3">
      <c r="J278" s="316"/>
      <c r="O278"/>
    </row>
    <row r="279" spans="10:15" x14ac:dyDescent="0.3">
      <c r="J279" s="316"/>
      <c r="O279"/>
    </row>
    <row r="280" spans="10:15" x14ac:dyDescent="0.3">
      <c r="J280" s="316"/>
      <c r="O280"/>
    </row>
    <row r="281" spans="10:15" x14ac:dyDescent="0.3">
      <c r="J281" s="316"/>
      <c r="O281"/>
    </row>
    <row r="282" spans="10:15" x14ac:dyDescent="0.3">
      <c r="J282" s="316"/>
      <c r="O282"/>
    </row>
    <row r="283" spans="10:15" x14ac:dyDescent="0.3">
      <c r="J283" s="316"/>
      <c r="O283"/>
    </row>
    <row r="284" spans="10:15" x14ac:dyDescent="0.3">
      <c r="J284" s="316"/>
      <c r="O284"/>
    </row>
    <row r="285" spans="10:15" x14ac:dyDescent="0.3">
      <c r="J285" s="316"/>
      <c r="O285"/>
    </row>
    <row r="286" spans="10:15" x14ac:dyDescent="0.3">
      <c r="J286" s="316"/>
      <c r="O286"/>
    </row>
    <row r="287" spans="10:15" x14ac:dyDescent="0.3">
      <c r="J287" s="316"/>
      <c r="O287"/>
    </row>
    <row r="288" spans="10:15" x14ac:dyDescent="0.3">
      <c r="J288" s="316"/>
      <c r="O288"/>
    </row>
    <row r="289" spans="10:15" x14ac:dyDescent="0.3">
      <c r="J289" s="316"/>
      <c r="O289"/>
    </row>
    <row r="290" spans="10:15" x14ac:dyDescent="0.3">
      <c r="J290" s="316"/>
      <c r="O290"/>
    </row>
    <row r="291" spans="10:15" x14ac:dyDescent="0.3">
      <c r="J291" s="316"/>
      <c r="O291"/>
    </row>
    <row r="292" spans="10:15" x14ac:dyDescent="0.3">
      <c r="J292" s="316"/>
      <c r="O292"/>
    </row>
    <row r="293" spans="10:15" x14ac:dyDescent="0.3">
      <c r="J293" s="316"/>
      <c r="O293"/>
    </row>
    <row r="294" spans="10:15" x14ac:dyDescent="0.3">
      <c r="J294" s="316"/>
      <c r="O294"/>
    </row>
    <row r="295" spans="10:15" x14ac:dyDescent="0.3">
      <c r="J295" s="316"/>
      <c r="O295"/>
    </row>
    <row r="296" spans="10:15" x14ac:dyDescent="0.3">
      <c r="J296" s="316"/>
      <c r="O296"/>
    </row>
    <row r="297" spans="10:15" x14ac:dyDescent="0.3">
      <c r="J297" s="316"/>
      <c r="O297"/>
    </row>
    <row r="298" spans="10:15" x14ac:dyDescent="0.3">
      <c r="J298" s="316"/>
      <c r="O298"/>
    </row>
    <row r="299" spans="10:15" x14ac:dyDescent="0.3">
      <c r="J299" s="316"/>
      <c r="O299"/>
    </row>
    <row r="300" spans="10:15" x14ac:dyDescent="0.3">
      <c r="J300" s="316"/>
      <c r="O300"/>
    </row>
    <row r="301" spans="10:15" x14ac:dyDescent="0.3">
      <c r="J301" s="316"/>
      <c r="O301"/>
    </row>
    <row r="302" spans="10:15" x14ac:dyDescent="0.3">
      <c r="J302" s="316"/>
      <c r="O302"/>
    </row>
    <row r="303" spans="10:15" x14ac:dyDescent="0.3">
      <c r="J303" s="316"/>
      <c r="O303"/>
    </row>
    <row r="304" spans="10:15" x14ac:dyDescent="0.3">
      <c r="J304" s="316"/>
      <c r="O304"/>
    </row>
    <row r="305" spans="10:15" x14ac:dyDescent="0.3">
      <c r="J305" s="316"/>
      <c r="O305"/>
    </row>
    <row r="306" spans="10:15" x14ac:dyDescent="0.3">
      <c r="J306" s="316"/>
      <c r="O306"/>
    </row>
    <row r="307" spans="10:15" x14ac:dyDescent="0.3">
      <c r="J307" s="316"/>
      <c r="O307"/>
    </row>
    <row r="308" spans="10:15" x14ac:dyDescent="0.3">
      <c r="J308" s="316"/>
      <c r="O308"/>
    </row>
    <row r="309" spans="10:15" x14ac:dyDescent="0.3">
      <c r="J309" s="316"/>
      <c r="O309"/>
    </row>
    <row r="310" spans="10:15" x14ac:dyDescent="0.3">
      <c r="J310" s="316"/>
      <c r="O310"/>
    </row>
    <row r="311" spans="10:15" x14ac:dyDescent="0.3">
      <c r="J311" s="316"/>
      <c r="O311"/>
    </row>
    <row r="312" spans="10:15" x14ac:dyDescent="0.3">
      <c r="J312" s="316"/>
      <c r="O312"/>
    </row>
    <row r="313" spans="10:15" x14ac:dyDescent="0.3">
      <c r="J313" s="316"/>
      <c r="O313"/>
    </row>
    <row r="314" spans="10:15" x14ac:dyDescent="0.3">
      <c r="J314" s="316"/>
      <c r="O314"/>
    </row>
    <row r="315" spans="10:15" x14ac:dyDescent="0.3">
      <c r="J315" s="316"/>
      <c r="O315"/>
    </row>
    <row r="316" spans="10:15" x14ac:dyDescent="0.3">
      <c r="J316" s="316"/>
      <c r="O316"/>
    </row>
    <row r="317" spans="10:15" x14ac:dyDescent="0.3">
      <c r="J317" s="316"/>
      <c r="O317"/>
    </row>
    <row r="318" spans="10:15" x14ac:dyDescent="0.3">
      <c r="J318" s="316"/>
      <c r="O318"/>
    </row>
    <row r="319" spans="10:15" x14ac:dyDescent="0.3">
      <c r="J319" s="316"/>
      <c r="O319"/>
    </row>
    <row r="320" spans="10:15" x14ac:dyDescent="0.3">
      <c r="J320" s="316"/>
      <c r="O320"/>
    </row>
    <row r="321" spans="10:15" x14ac:dyDescent="0.3">
      <c r="J321" s="316"/>
      <c r="O321"/>
    </row>
    <row r="322" spans="10:15" x14ac:dyDescent="0.3">
      <c r="J322" s="316"/>
      <c r="O322"/>
    </row>
    <row r="323" spans="10:15" x14ac:dyDescent="0.3">
      <c r="J323" s="316"/>
      <c r="O323"/>
    </row>
    <row r="324" spans="10:15" x14ac:dyDescent="0.3">
      <c r="J324" s="316"/>
      <c r="O324"/>
    </row>
    <row r="325" spans="10:15" x14ac:dyDescent="0.3">
      <c r="J325" s="316"/>
      <c r="O325"/>
    </row>
    <row r="326" spans="10:15" x14ac:dyDescent="0.3">
      <c r="J326" s="316"/>
      <c r="O326"/>
    </row>
    <row r="327" spans="10:15" x14ac:dyDescent="0.3">
      <c r="J327" s="316"/>
      <c r="O327"/>
    </row>
    <row r="328" spans="10:15" x14ac:dyDescent="0.3">
      <c r="J328" s="316"/>
      <c r="O328"/>
    </row>
    <row r="329" spans="10:15" x14ac:dyDescent="0.3">
      <c r="J329" s="316"/>
      <c r="O329"/>
    </row>
    <row r="330" spans="10:15" x14ac:dyDescent="0.3">
      <c r="J330" s="316"/>
      <c r="O330"/>
    </row>
    <row r="331" spans="10:15" x14ac:dyDescent="0.3">
      <c r="J331" s="316"/>
      <c r="O331"/>
    </row>
    <row r="332" spans="10:15" x14ac:dyDescent="0.3">
      <c r="J332" s="316"/>
      <c r="O332"/>
    </row>
    <row r="333" spans="10:15" x14ac:dyDescent="0.3">
      <c r="J333" s="316"/>
      <c r="O333"/>
    </row>
    <row r="334" spans="10:15" x14ac:dyDescent="0.3">
      <c r="J334" s="316"/>
      <c r="O334"/>
    </row>
    <row r="335" spans="10:15" x14ac:dyDescent="0.3">
      <c r="J335" s="316"/>
      <c r="O335"/>
    </row>
    <row r="336" spans="10:15" x14ac:dyDescent="0.3">
      <c r="J336" s="316"/>
      <c r="O336"/>
    </row>
    <row r="337" spans="10:15" x14ac:dyDescent="0.3">
      <c r="J337" s="316"/>
      <c r="O337"/>
    </row>
    <row r="338" spans="10:15" x14ac:dyDescent="0.3">
      <c r="J338" s="316"/>
      <c r="O338"/>
    </row>
    <row r="339" spans="10:15" x14ac:dyDescent="0.3">
      <c r="J339" s="316"/>
      <c r="O339"/>
    </row>
    <row r="340" spans="10:15" x14ac:dyDescent="0.3">
      <c r="J340" s="316"/>
      <c r="O340"/>
    </row>
    <row r="341" spans="10:15" x14ac:dyDescent="0.3">
      <c r="J341" s="316"/>
      <c r="O341"/>
    </row>
    <row r="342" spans="10:15" x14ac:dyDescent="0.3">
      <c r="J342" s="316"/>
      <c r="O342"/>
    </row>
    <row r="343" spans="10:15" x14ac:dyDescent="0.3">
      <c r="J343" s="316"/>
      <c r="O343"/>
    </row>
    <row r="344" spans="10:15" x14ac:dyDescent="0.3">
      <c r="J344" s="316"/>
      <c r="O344"/>
    </row>
    <row r="345" spans="10:15" x14ac:dyDescent="0.3">
      <c r="J345" s="316"/>
      <c r="O345"/>
    </row>
    <row r="346" spans="10:15" x14ac:dyDescent="0.3">
      <c r="J346" s="316"/>
      <c r="O346"/>
    </row>
    <row r="347" spans="10:15" x14ac:dyDescent="0.3">
      <c r="J347" s="316"/>
      <c r="O347"/>
    </row>
    <row r="348" spans="10:15" x14ac:dyDescent="0.3">
      <c r="J348" s="316"/>
      <c r="O348"/>
    </row>
    <row r="349" spans="10:15" x14ac:dyDescent="0.3">
      <c r="J349" s="316"/>
      <c r="O349"/>
    </row>
    <row r="350" spans="10:15" x14ac:dyDescent="0.3">
      <c r="J350" s="316"/>
      <c r="O350"/>
    </row>
    <row r="351" spans="10:15" x14ac:dyDescent="0.3">
      <c r="J351" s="316"/>
      <c r="O351"/>
    </row>
    <row r="352" spans="10:15" x14ac:dyDescent="0.3">
      <c r="J352" s="316"/>
      <c r="O352"/>
    </row>
    <row r="353" spans="10:15" x14ac:dyDescent="0.3">
      <c r="J353" s="316"/>
      <c r="O353"/>
    </row>
    <row r="354" spans="10:15" x14ac:dyDescent="0.3">
      <c r="J354" s="316"/>
      <c r="O354"/>
    </row>
    <row r="355" spans="10:15" x14ac:dyDescent="0.3">
      <c r="J355" s="316"/>
      <c r="O355"/>
    </row>
    <row r="356" spans="10:15" x14ac:dyDescent="0.3">
      <c r="J356" s="316"/>
      <c r="O356"/>
    </row>
    <row r="357" spans="10:15" x14ac:dyDescent="0.3">
      <c r="J357" s="316"/>
      <c r="O357"/>
    </row>
    <row r="358" spans="10:15" x14ac:dyDescent="0.3">
      <c r="J358" s="316"/>
      <c r="O358"/>
    </row>
    <row r="359" spans="10:15" x14ac:dyDescent="0.3">
      <c r="J359" s="316"/>
      <c r="O359"/>
    </row>
    <row r="360" spans="10:15" x14ac:dyDescent="0.3">
      <c r="J360" s="316"/>
      <c r="O360"/>
    </row>
    <row r="361" spans="10:15" x14ac:dyDescent="0.3">
      <c r="J361" s="316"/>
      <c r="O361"/>
    </row>
    <row r="362" spans="10:15" x14ac:dyDescent="0.3">
      <c r="J362" s="316"/>
      <c r="O362"/>
    </row>
    <row r="363" spans="10:15" x14ac:dyDescent="0.3">
      <c r="J363" s="316"/>
      <c r="O363"/>
    </row>
    <row r="364" spans="10:15" x14ac:dyDescent="0.3">
      <c r="J364" s="316"/>
      <c r="O364"/>
    </row>
    <row r="365" spans="10:15" x14ac:dyDescent="0.3">
      <c r="J365" s="316"/>
      <c r="O365"/>
    </row>
    <row r="366" spans="10:15" x14ac:dyDescent="0.3">
      <c r="J366" s="316"/>
      <c r="O366"/>
    </row>
    <row r="367" spans="10:15" x14ac:dyDescent="0.3">
      <c r="J367" s="316"/>
      <c r="O367"/>
    </row>
    <row r="368" spans="10:15" x14ac:dyDescent="0.3">
      <c r="J368" s="316"/>
      <c r="O368"/>
    </row>
    <row r="369" spans="10:15" x14ac:dyDescent="0.3">
      <c r="J369" s="316"/>
      <c r="O369"/>
    </row>
    <row r="370" spans="10:15" x14ac:dyDescent="0.3">
      <c r="J370" s="316"/>
      <c r="O370"/>
    </row>
    <row r="371" spans="10:15" x14ac:dyDescent="0.3">
      <c r="J371" s="316"/>
      <c r="O371"/>
    </row>
    <row r="372" spans="10:15" x14ac:dyDescent="0.3">
      <c r="J372" s="316"/>
      <c r="O372"/>
    </row>
    <row r="373" spans="10:15" x14ac:dyDescent="0.3">
      <c r="J373" s="316"/>
      <c r="O373"/>
    </row>
    <row r="374" spans="10:15" x14ac:dyDescent="0.3">
      <c r="J374" s="316"/>
      <c r="O374"/>
    </row>
    <row r="375" spans="10:15" x14ac:dyDescent="0.3">
      <c r="J375" s="316"/>
      <c r="O375"/>
    </row>
    <row r="376" spans="10:15" x14ac:dyDescent="0.3">
      <c r="J376" s="316"/>
      <c r="O376"/>
    </row>
    <row r="377" spans="10:15" x14ac:dyDescent="0.3">
      <c r="J377" s="316"/>
      <c r="O377"/>
    </row>
    <row r="378" spans="10:15" x14ac:dyDescent="0.3">
      <c r="J378" s="316"/>
      <c r="O378"/>
    </row>
    <row r="379" spans="10:15" x14ac:dyDescent="0.3">
      <c r="J379" s="316"/>
      <c r="O379"/>
    </row>
    <row r="380" spans="10:15" x14ac:dyDescent="0.3">
      <c r="J380" s="316"/>
      <c r="O380"/>
    </row>
    <row r="381" spans="10:15" x14ac:dyDescent="0.3">
      <c r="J381" s="316"/>
      <c r="O381"/>
    </row>
    <row r="382" spans="10:15" x14ac:dyDescent="0.3">
      <c r="J382" s="316"/>
      <c r="O382"/>
    </row>
    <row r="383" spans="10:15" x14ac:dyDescent="0.3">
      <c r="J383" s="316"/>
      <c r="O383"/>
    </row>
    <row r="384" spans="10:15" x14ac:dyDescent="0.3">
      <c r="J384" s="316"/>
      <c r="O384"/>
    </row>
    <row r="385" spans="10:15" x14ac:dyDescent="0.3">
      <c r="J385" s="316"/>
      <c r="O385"/>
    </row>
    <row r="386" spans="10:15" x14ac:dyDescent="0.3">
      <c r="J386" s="316"/>
      <c r="O386"/>
    </row>
    <row r="387" spans="10:15" x14ac:dyDescent="0.3">
      <c r="J387" s="316"/>
      <c r="O387"/>
    </row>
    <row r="388" spans="10:15" x14ac:dyDescent="0.3">
      <c r="J388" s="316"/>
      <c r="O388"/>
    </row>
    <row r="389" spans="10:15" x14ac:dyDescent="0.3">
      <c r="J389" s="316"/>
      <c r="O389"/>
    </row>
    <row r="390" spans="10:15" x14ac:dyDescent="0.3">
      <c r="J390" s="316"/>
      <c r="O390"/>
    </row>
    <row r="391" spans="10:15" x14ac:dyDescent="0.3">
      <c r="J391" s="316"/>
      <c r="O391"/>
    </row>
    <row r="392" spans="10:15" x14ac:dyDescent="0.3">
      <c r="J392" s="316"/>
      <c r="O392"/>
    </row>
    <row r="393" spans="10:15" x14ac:dyDescent="0.3">
      <c r="J393" s="316"/>
      <c r="O393"/>
    </row>
    <row r="394" spans="10:15" x14ac:dyDescent="0.3">
      <c r="J394" s="316"/>
      <c r="O394"/>
    </row>
    <row r="395" spans="10:15" x14ac:dyDescent="0.3">
      <c r="J395" s="316"/>
      <c r="O395"/>
    </row>
    <row r="396" spans="10:15" x14ac:dyDescent="0.3">
      <c r="J396" s="316"/>
      <c r="O396"/>
    </row>
    <row r="397" spans="10:15" x14ac:dyDescent="0.3">
      <c r="J397" s="316"/>
      <c r="O397"/>
    </row>
    <row r="398" spans="10:15" x14ac:dyDescent="0.3">
      <c r="J398" s="316"/>
      <c r="O398"/>
    </row>
    <row r="399" spans="10:15" x14ac:dyDescent="0.3">
      <c r="J399" s="316"/>
      <c r="O399"/>
    </row>
    <row r="400" spans="10:15" x14ac:dyDescent="0.3">
      <c r="J400" s="316"/>
      <c r="O400"/>
    </row>
    <row r="401" spans="10:15" x14ac:dyDescent="0.3">
      <c r="J401" s="316"/>
      <c r="O401"/>
    </row>
    <row r="402" spans="10:15" x14ac:dyDescent="0.3">
      <c r="J402" s="316"/>
      <c r="O402"/>
    </row>
    <row r="403" spans="10:15" x14ac:dyDescent="0.3">
      <c r="J403" s="316"/>
      <c r="O403"/>
    </row>
    <row r="404" spans="10:15" x14ac:dyDescent="0.3">
      <c r="J404" s="316"/>
      <c r="O404"/>
    </row>
    <row r="405" spans="10:15" x14ac:dyDescent="0.3">
      <c r="J405" s="316"/>
      <c r="O405"/>
    </row>
    <row r="406" spans="10:15" x14ac:dyDescent="0.3">
      <c r="J406" s="316"/>
      <c r="O406"/>
    </row>
    <row r="407" spans="10:15" x14ac:dyDescent="0.3">
      <c r="J407" s="316"/>
      <c r="O407"/>
    </row>
    <row r="408" spans="10:15" x14ac:dyDescent="0.3">
      <c r="J408" s="316"/>
      <c r="O408"/>
    </row>
    <row r="409" spans="10:15" x14ac:dyDescent="0.3">
      <c r="J409" s="316"/>
      <c r="O409"/>
    </row>
    <row r="410" spans="10:15" x14ac:dyDescent="0.3">
      <c r="J410" s="316"/>
      <c r="O410"/>
    </row>
  </sheetData>
  <mergeCells count="2">
    <mergeCell ref="F8:F9"/>
    <mergeCell ref="G8:J9"/>
  </mergeCells>
  <conditionalFormatting sqref="O12:AY12">
    <cfRule type="expression" dxfId="7" priority="5">
      <formula>AND(O12=O24,O24&gt;0)</formula>
    </cfRule>
    <cfRule type="expression" dxfId="6" priority="6">
      <formula>AND(O12=O23,O23&gt;0)</formula>
    </cfRule>
  </conditionalFormatting>
  <conditionalFormatting sqref="O30:AY30">
    <cfRule type="expression" dxfId="5" priority="3">
      <formula>AND(O30=O42,O42&gt;0)</formula>
    </cfRule>
    <cfRule type="expression" dxfId="4" priority="4">
      <formula>AND(O30=O41,O41&gt;0)</formula>
    </cfRule>
  </conditionalFormatting>
  <conditionalFormatting sqref="O94:AY94">
    <cfRule type="expression" dxfId="3" priority="1">
      <formula>AND(O94=O104,O104&gt;0)</formula>
    </cfRule>
    <cfRule type="expression" dxfId="2" priority="2">
      <formula>AND(O94=O103,O103&gt;0)</formula>
    </cfRule>
  </conditionalFormatting>
  <hyperlinks>
    <hyperlink ref="I97" location="'Rebate-Suntory'!I14" display="Rebate (2025: sản lượng dự tính 6000-7000 tấn)" xr:uid="{45472794-BECC-4B70-B3EB-785A9F247E3F}"/>
  </hyperlinks>
  <printOptions horizontalCentered="1"/>
  <pageMargins left="0.2" right="0.2" top="0.2" bottom="0.2" header="0.05" footer="0.05"/>
  <pageSetup paperSize="9" fitToHeight="0" orientation="landscape" horizontalDpi="300" verticalDpi="300" r:id="rId1"/>
  <headerFooter>
    <oddFooter>&amp;CTrang &amp;P/&amp;N</oddFooter>
  </headerFooter>
  <rowBreaks count="3" manualBreakCount="3">
    <brk id="67" max="16383" man="1"/>
    <brk id="92" max="16383" man="1"/>
    <brk id="123" min="5" max="3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B199-204A-4183-940E-C8F61E98EBC0}">
  <sheetPr>
    <tabColor rgb="FF8E2641"/>
  </sheetPr>
  <dimension ref="C1:AK141"/>
  <sheetViews>
    <sheetView showGridLines="0" tabSelected="1" topLeftCell="O1" zoomScale="115" zoomScaleNormal="115" workbookViewId="0">
      <selection activeCell="AG36" sqref="AG36"/>
    </sheetView>
  </sheetViews>
  <sheetFormatPr defaultRowHeight="14.4" x14ac:dyDescent="0.3"/>
  <cols>
    <col min="2" max="2" width="12.44140625" customWidth="1"/>
  </cols>
  <sheetData>
    <row r="1" spans="3:3" s="12" customFormat="1" ht="31.2" customHeight="1" x14ac:dyDescent="0.3">
      <c r="C1" s="401" t="s">
        <v>384</v>
      </c>
    </row>
    <row r="36" spans="3:3" s="12" customFormat="1" ht="31.2" customHeight="1" x14ac:dyDescent="0.3">
      <c r="C36" s="401" t="s">
        <v>384</v>
      </c>
    </row>
    <row r="70" spans="3:34" x14ac:dyDescent="0.3">
      <c r="AC70" s="12"/>
      <c r="AD70" s="12"/>
      <c r="AE70" s="12"/>
      <c r="AF70" s="12"/>
      <c r="AG70" s="12"/>
      <c r="AH70" s="12"/>
    </row>
    <row r="71" spans="3:34" s="12" customFormat="1" ht="31.2" customHeight="1" x14ac:dyDescent="0.3">
      <c r="C71" s="401" t="s">
        <v>384</v>
      </c>
      <c r="AC71"/>
      <c r="AD71"/>
      <c r="AE71"/>
      <c r="AF71"/>
      <c r="AG71"/>
      <c r="AH71"/>
    </row>
    <row r="106" spans="3:37" s="12" customFormat="1" ht="31.2" customHeight="1" x14ac:dyDescent="0.3">
      <c r="C106" s="401" t="s">
        <v>384</v>
      </c>
    </row>
    <row r="108" spans="3:37" x14ac:dyDescent="0.3">
      <c r="AK108" s="512"/>
    </row>
    <row r="140" spans="3:35" x14ac:dyDescent="0.3">
      <c r="AI140" s="12"/>
    </row>
    <row r="141" spans="3:35" s="12" customFormat="1" ht="31.2" customHeight="1" x14ac:dyDescent="0.3">
      <c r="C141" s="401" t="s">
        <v>384</v>
      </c>
    </row>
  </sheetData>
  <printOptions horizontalCentered="1"/>
  <pageMargins left="0.2" right="0.2" top="0" bottom="0.2" header="0.05" footer="0.05"/>
  <pageSetup paperSize="9" orientation="landscape" r:id="rId1"/>
  <headerFooter>
    <oddFooter>&amp;CTrang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5BA1-FB91-4275-837B-3ADACBB2CB7D}">
  <dimension ref="A1:AO107"/>
  <sheetViews>
    <sheetView showGridLines="0" zoomScale="85" zoomScaleNormal="85" workbookViewId="0">
      <pane xSplit="4" ySplit="4" topLeftCell="X74" activePane="bottomRight" state="frozen"/>
      <selection pane="topRight" activeCell="E1" sqref="E1"/>
      <selection pane="bottomLeft" activeCell="A4" sqref="A4"/>
      <selection pane="bottomRight" activeCell="AG97" sqref="AG97"/>
    </sheetView>
  </sheetViews>
  <sheetFormatPr defaultRowHeight="14.4" x14ac:dyDescent="0.3"/>
  <cols>
    <col min="1" max="1" width="11.88671875" style="14" bestFit="1" customWidth="1"/>
    <col min="2" max="2" width="8.88671875" style="14"/>
    <col min="3" max="3" width="13.109375" bestFit="1" customWidth="1"/>
    <col min="4" max="4" width="31.44140625" customWidth="1"/>
    <col min="5" max="5" width="10.44140625" bestFit="1" customWidth="1"/>
    <col min="41" max="41" width="15.21875" bestFit="1" customWidth="1"/>
  </cols>
  <sheetData>
    <row r="1" spans="1:41" s="14" customFormat="1" x14ac:dyDescent="0.3">
      <c r="E1" s="14">
        <v>2024</v>
      </c>
      <c r="F1" s="14">
        <v>2024</v>
      </c>
      <c r="G1" s="14">
        <v>2024</v>
      </c>
      <c r="H1" s="14">
        <v>2024</v>
      </c>
      <c r="I1" s="14">
        <v>2024</v>
      </c>
      <c r="J1" s="14">
        <v>2024</v>
      </c>
      <c r="K1" s="14">
        <v>2024</v>
      </c>
      <c r="L1" s="14">
        <v>2024</v>
      </c>
      <c r="M1" s="14">
        <v>2024</v>
      </c>
      <c r="N1" s="14">
        <v>2024</v>
      </c>
      <c r="O1" s="14">
        <v>2024</v>
      </c>
      <c r="P1" s="14">
        <v>2024</v>
      </c>
      <c r="Q1" s="14">
        <v>2025</v>
      </c>
      <c r="R1" s="14">
        <v>2025</v>
      </c>
      <c r="S1" s="14">
        <v>2025</v>
      </c>
      <c r="T1" s="14">
        <v>2025</v>
      </c>
      <c r="U1" s="14">
        <v>2025</v>
      </c>
      <c r="V1" s="14">
        <v>2025</v>
      </c>
      <c r="W1" s="14">
        <v>2025</v>
      </c>
      <c r="X1" s="14">
        <v>2025</v>
      </c>
      <c r="Y1" s="14">
        <v>2025</v>
      </c>
      <c r="Z1" s="14">
        <v>2025</v>
      </c>
      <c r="AA1" s="14">
        <v>2025</v>
      </c>
      <c r="AB1" s="14">
        <v>2025</v>
      </c>
      <c r="AC1" s="14">
        <v>2026</v>
      </c>
      <c r="AD1" s="14">
        <v>2026</v>
      </c>
      <c r="AE1" s="14">
        <v>2026</v>
      </c>
      <c r="AF1" s="14">
        <v>2026</v>
      </c>
      <c r="AG1" s="14">
        <v>2026</v>
      </c>
      <c r="AH1" s="14">
        <v>2026</v>
      </c>
      <c r="AI1" s="14">
        <v>2026</v>
      </c>
      <c r="AJ1" s="14">
        <v>2026</v>
      </c>
      <c r="AK1" s="14">
        <v>2026</v>
      </c>
      <c r="AL1" s="14">
        <v>2026</v>
      </c>
      <c r="AM1" s="14">
        <v>2026</v>
      </c>
      <c r="AN1" s="14">
        <v>2026</v>
      </c>
    </row>
    <row r="2" spans="1:41" s="14" customFormat="1" x14ac:dyDescent="0.3"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s="14">
        <v>11</v>
      </c>
      <c r="P2" s="14">
        <v>12</v>
      </c>
      <c r="Q2" s="14">
        <v>1</v>
      </c>
      <c r="R2" s="14">
        <v>2</v>
      </c>
      <c r="S2" s="14">
        <v>3</v>
      </c>
      <c r="T2" s="14">
        <v>4</v>
      </c>
      <c r="U2" s="14">
        <v>5</v>
      </c>
      <c r="V2" s="14">
        <v>6</v>
      </c>
      <c r="W2" s="14">
        <v>7</v>
      </c>
      <c r="X2" s="14">
        <v>8</v>
      </c>
      <c r="Y2" s="14">
        <v>9</v>
      </c>
      <c r="Z2" s="14">
        <v>10</v>
      </c>
      <c r="AA2" s="14">
        <v>11</v>
      </c>
      <c r="AB2" s="14">
        <v>12</v>
      </c>
      <c r="AC2" s="14">
        <v>1</v>
      </c>
      <c r="AD2" s="14">
        <v>2</v>
      </c>
      <c r="AE2" s="14">
        <v>3</v>
      </c>
      <c r="AF2" s="14">
        <v>4</v>
      </c>
      <c r="AG2" s="14">
        <v>5</v>
      </c>
      <c r="AH2" s="14">
        <v>6</v>
      </c>
      <c r="AI2" s="14">
        <v>7</v>
      </c>
      <c r="AJ2" s="14">
        <v>8</v>
      </c>
      <c r="AK2" s="14">
        <v>9</v>
      </c>
      <c r="AL2" s="14">
        <v>10</v>
      </c>
      <c r="AM2" s="14">
        <v>11</v>
      </c>
      <c r="AN2" s="14">
        <v>12</v>
      </c>
    </row>
    <row r="3" spans="1:41" s="14" customFormat="1" x14ac:dyDescent="0.3">
      <c r="D3" s="126" t="s">
        <v>391</v>
      </c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 t="s">
        <v>390</v>
      </c>
      <c r="AI3" s="419"/>
      <c r="AJ3" s="419"/>
      <c r="AK3" s="419"/>
      <c r="AL3" s="419"/>
      <c r="AM3" s="419"/>
      <c r="AN3" s="419"/>
      <c r="AO3" s="419"/>
    </row>
    <row r="4" spans="1:41" x14ac:dyDescent="0.3">
      <c r="A4" s="14" t="s">
        <v>349</v>
      </c>
      <c r="B4" s="14" t="s">
        <v>350</v>
      </c>
    </row>
    <row r="5" spans="1:41" ht="17.399999999999999" x14ac:dyDescent="0.35">
      <c r="C5" s="393" t="s">
        <v>15</v>
      </c>
      <c r="D5" s="393" t="s">
        <v>4</v>
      </c>
    </row>
    <row r="6" spans="1:41" x14ac:dyDescent="0.3">
      <c r="C6" s="41"/>
      <c r="D6" s="41"/>
      <c r="E6" s="41">
        <v>2024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>
        <v>2025</v>
      </c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>
        <v>2026</v>
      </c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1" x14ac:dyDescent="0.3">
      <c r="C7" s="41"/>
      <c r="D7" s="41"/>
      <c r="E7" s="41">
        <v>1</v>
      </c>
      <c r="F7" s="41">
        <v>2</v>
      </c>
      <c r="G7" s="41">
        <v>3</v>
      </c>
      <c r="H7" s="41">
        <v>4</v>
      </c>
      <c r="I7" s="41">
        <v>5</v>
      </c>
      <c r="J7" s="41">
        <v>6</v>
      </c>
      <c r="K7" s="41">
        <v>7</v>
      </c>
      <c r="L7" s="41">
        <v>8</v>
      </c>
      <c r="M7" s="41">
        <v>9</v>
      </c>
      <c r="N7" s="41">
        <v>10</v>
      </c>
      <c r="O7" s="41">
        <v>11</v>
      </c>
      <c r="P7" s="41">
        <v>12</v>
      </c>
      <c r="Q7" s="41">
        <v>1</v>
      </c>
      <c r="R7" s="41">
        <v>2</v>
      </c>
      <c r="S7" s="41">
        <v>3</v>
      </c>
      <c r="T7" s="41">
        <v>4</v>
      </c>
      <c r="U7" s="41">
        <v>5</v>
      </c>
      <c r="V7" s="41">
        <v>6</v>
      </c>
      <c r="W7" s="41">
        <v>7</v>
      </c>
      <c r="X7" s="41">
        <v>8</v>
      </c>
      <c r="Y7" s="41">
        <v>9</v>
      </c>
      <c r="Z7" s="41">
        <v>10</v>
      </c>
      <c r="AA7" s="41">
        <v>11</v>
      </c>
      <c r="AB7" s="41">
        <v>12</v>
      </c>
      <c r="AC7" s="41">
        <v>1</v>
      </c>
      <c r="AD7" s="41">
        <v>2</v>
      </c>
      <c r="AE7" s="41">
        <v>3</v>
      </c>
      <c r="AF7" s="41">
        <v>4</v>
      </c>
      <c r="AG7" s="41">
        <v>5</v>
      </c>
      <c r="AH7" s="41">
        <v>6</v>
      </c>
      <c r="AI7" s="41">
        <v>7</v>
      </c>
      <c r="AJ7" s="41">
        <v>8</v>
      </c>
      <c r="AK7" s="41">
        <v>9</v>
      </c>
      <c r="AL7" s="41">
        <v>10</v>
      </c>
      <c r="AM7" s="41">
        <v>11</v>
      </c>
      <c r="AN7" s="41">
        <v>12</v>
      </c>
      <c r="AO7" s="41" t="s">
        <v>385</v>
      </c>
    </row>
    <row r="8" spans="1:41" x14ac:dyDescent="0.3">
      <c r="B8" s="14" t="s">
        <v>51</v>
      </c>
      <c r="C8" t="s">
        <v>15</v>
      </c>
      <c r="D8" t="s">
        <v>345</v>
      </c>
      <c r="E8" s="394" cm="1">
        <f t="array" ref="E8">IF(SUMPRODUCT('Giá công thức'!$G$11:$AQ$115*('Giá công thức'!$A$11:$A$115=$B8)*('Giá công thức'!$B$11:$B$115=$C8)*('Giá công thức'!$C$11:$C$115="GB")*('Giá công thức'!$G$3:$AQ$3=E$1)*('Giá công thức'!$G$4:$AQ$4=E$2))=0,NA(),SUMPRODUCT('Giá công thức'!$G$11:$AQ$115*('Giá công thức'!$A$11:$A$115=$B8)*('Giá công thức'!$B$11:$B$115=$C8)*('Giá công thức'!$C$11:$C$115="GB")*('Giá công thức'!$G$3:$AQ$3=E$1)*('Giá công thức'!$G$4:$AQ$4=E$2)))</f>
        <v>1162</v>
      </c>
      <c r="F8" s="394" cm="1">
        <f t="array" ref="F8">IF(SUMPRODUCT('Giá công thức'!$G$11:$AQ$115*('Giá công thức'!$A$11:$A$115=$B8)*('Giá công thức'!$B$11:$B$115=$C8)*('Giá công thức'!$C$11:$C$115="GB")*('Giá công thức'!$G$3:$AQ$3=F$1)*('Giá công thức'!$G$4:$AQ$4=F$2))=0,NA(),SUMPRODUCT('Giá công thức'!$G$11:$AQ$115*('Giá công thức'!$A$11:$A$115=$B8)*('Giá công thức'!$B$11:$B$115=$C8)*('Giá công thức'!$C$11:$C$115="GB")*('Giá công thức'!$G$3:$AQ$3=F$1)*('Giá công thức'!$G$4:$AQ$4=F$2)))</f>
        <v>1162</v>
      </c>
      <c r="G8" s="394" cm="1">
        <f t="array" ref="G8">IF(SUMPRODUCT('Giá công thức'!$G$11:$AQ$115*('Giá công thức'!$A$11:$A$115=$B8)*('Giá công thức'!$B$11:$B$115=$C8)*('Giá công thức'!$C$11:$C$115="GB")*('Giá công thức'!$G$3:$AQ$3=G$1)*('Giá công thức'!$G$4:$AQ$4=G$2))=0,NA(),SUMPRODUCT('Giá công thức'!$G$11:$AQ$115*('Giá công thức'!$A$11:$A$115=$B8)*('Giá công thức'!$B$11:$B$115=$C8)*('Giá công thức'!$C$11:$C$115="GB")*('Giá công thức'!$G$3:$AQ$3=G$1)*('Giá công thức'!$G$4:$AQ$4=G$2)))</f>
        <v>1162</v>
      </c>
      <c r="H8" s="394" cm="1">
        <f t="array" ref="H8">IF(SUMPRODUCT('Giá công thức'!$G$11:$AQ$115*('Giá công thức'!$A$11:$A$115=$B8)*('Giá công thức'!$B$11:$B$115=$C8)*('Giá công thức'!$C$11:$C$115="GB")*('Giá công thức'!$G$3:$AQ$3=H$1)*('Giá công thức'!$G$4:$AQ$4=H$2))=0,NA(),SUMPRODUCT('Giá công thức'!$G$11:$AQ$115*('Giá công thức'!$A$11:$A$115=$B8)*('Giá công thức'!$B$11:$B$115=$C8)*('Giá công thức'!$C$11:$C$115="GB")*('Giá công thức'!$G$3:$AQ$3=H$1)*('Giá công thức'!$G$4:$AQ$4=H$2)))</f>
        <v>1162</v>
      </c>
      <c r="I8" s="394" cm="1">
        <f t="array" ref="I8">IF(SUMPRODUCT('Giá công thức'!$G$11:$AQ$115*('Giá công thức'!$A$11:$A$115=$B8)*('Giá công thức'!$B$11:$B$115=$C8)*('Giá công thức'!$C$11:$C$115="GB")*('Giá công thức'!$G$3:$AQ$3=I$1)*('Giá công thức'!$G$4:$AQ$4=I$2))=0,NA(),SUMPRODUCT('Giá công thức'!$G$11:$AQ$115*('Giá công thức'!$A$11:$A$115=$B8)*('Giá công thức'!$B$11:$B$115=$C8)*('Giá công thức'!$C$11:$C$115="GB")*('Giá công thức'!$G$3:$AQ$3=I$1)*('Giá công thức'!$G$4:$AQ$4=I$2)))</f>
        <v>1162</v>
      </c>
      <c r="J8" s="394" cm="1">
        <f t="array" ref="J8">IF(SUMPRODUCT('Giá công thức'!$G$11:$AQ$115*('Giá công thức'!$A$11:$A$115=$B8)*('Giá công thức'!$B$11:$B$115=$C8)*('Giá công thức'!$C$11:$C$115="GB")*('Giá công thức'!$G$3:$AQ$3=J$1)*('Giá công thức'!$G$4:$AQ$4=J$2))=0,NA(),SUMPRODUCT('Giá công thức'!$G$11:$AQ$115*('Giá công thức'!$A$11:$A$115=$B8)*('Giá công thức'!$B$11:$B$115=$C8)*('Giá công thức'!$C$11:$C$115="GB")*('Giá công thức'!$G$3:$AQ$3=J$1)*('Giá công thức'!$G$4:$AQ$4=J$2)))</f>
        <v>1162.8864999999998</v>
      </c>
      <c r="K8" s="394" cm="1">
        <f t="array" ref="K8">IF(SUMPRODUCT('Giá công thức'!$G$11:$AQ$115*('Giá công thức'!$A$11:$A$115=$B8)*('Giá công thức'!$B$11:$B$115=$C8)*('Giá công thức'!$C$11:$C$115="GB")*('Giá công thức'!$G$3:$AQ$3=K$1)*('Giá công thức'!$G$4:$AQ$4=K$2))=0,NA(),SUMPRODUCT('Giá công thức'!$G$11:$AQ$115*('Giá công thức'!$A$11:$A$115=$B8)*('Giá công thức'!$B$11:$B$115=$C8)*('Giá công thức'!$C$11:$C$115="GB")*('Giá công thức'!$G$3:$AQ$3=K$1)*('Giá công thức'!$G$4:$AQ$4=K$2)))</f>
        <v>1176.184</v>
      </c>
      <c r="L8" s="394" cm="1">
        <f t="array" ref="L8">IF(SUMPRODUCT('Giá công thức'!$G$11:$AQ$115*('Giá công thức'!$A$11:$A$115=$B8)*('Giá công thức'!$B$11:$B$115=$C8)*('Giá công thức'!$C$11:$C$115="GB")*('Giá công thức'!$G$3:$AQ$3=L$1)*('Giá công thức'!$G$4:$AQ$4=L$2))=0,NA(),SUMPRODUCT('Giá công thức'!$G$11:$AQ$115*('Giá công thức'!$A$11:$A$115=$B8)*('Giá công thức'!$B$11:$B$115=$C8)*('Giá công thức'!$C$11:$C$115="GB")*('Giá công thức'!$G$3:$AQ$3=L$1)*('Giá công thức'!$G$4:$AQ$4=L$2)))</f>
        <v>1187.7085</v>
      </c>
      <c r="M8" s="394" cm="1">
        <f t="array" ref="M8">IF(SUMPRODUCT('Giá công thức'!$G$11:$AQ$115*('Giá công thức'!$A$11:$A$115=$B8)*('Giá công thức'!$B$11:$B$115=$C8)*('Giá công thức'!$C$11:$C$115="GB")*('Giá công thức'!$G$3:$AQ$3=M$1)*('Giá công thức'!$G$4:$AQ$4=M$2))=0,NA(),SUMPRODUCT('Giá công thức'!$G$11:$AQ$115*('Giá công thức'!$A$11:$A$115=$B8)*('Giá công thức'!$B$11:$B$115=$C8)*('Giá công thức'!$C$11:$C$115="GB")*('Giá công thức'!$G$3:$AQ$3=M$1)*('Giá công thức'!$G$4:$AQ$4=M$2)))</f>
        <v>1203.9610000000002</v>
      </c>
      <c r="N8" s="394" cm="1">
        <f t="array" ref="N8">IF(SUMPRODUCT('Giá công thức'!$G$11:$AQ$115*('Giá công thức'!$A$11:$A$115=$B8)*('Giá công thức'!$B$11:$B$115=$C8)*('Giá công thức'!$C$11:$C$115="GB")*('Giá công thức'!$G$3:$AQ$3=N$1)*('Giá công thức'!$G$4:$AQ$4=N$2))=0,NA(),SUMPRODUCT('Giá công thức'!$G$11:$AQ$115*('Giá công thức'!$A$11:$A$115=$B8)*('Giá công thức'!$B$11:$B$115=$C8)*('Giá công thức'!$C$11:$C$115="GB")*('Giá công thức'!$G$3:$AQ$3=N$1)*('Giá công thức'!$G$4:$AQ$4=N$2)))</f>
        <v>1222.42975</v>
      </c>
      <c r="O8" s="394" cm="1">
        <f t="array" ref="O8">IF(SUMPRODUCT('Giá công thức'!$G$11:$AQ$115*('Giá công thức'!$A$11:$A$115=$B8)*('Giá công thức'!$B$11:$B$115=$C8)*('Giá công thức'!$C$11:$C$115="GB")*('Giá công thức'!$G$3:$AQ$3=O$1)*('Giá công thức'!$G$4:$AQ$4=O$2))=0,NA(),SUMPRODUCT('Giá công thức'!$G$11:$AQ$115*('Giá công thức'!$A$11:$A$115=$B8)*('Giá công thức'!$B$11:$B$115=$C8)*('Giá công thức'!$C$11:$C$115="GB")*('Giá công thức'!$G$3:$AQ$3=O$1)*('Giá công thức'!$G$4:$AQ$4=O$2)))</f>
        <v>1242.5237500000001</v>
      </c>
      <c r="P8" s="394" cm="1">
        <f t="array" ref="P8">IF(SUMPRODUCT('Giá công thức'!$G$11:$AQ$115*('Giá công thức'!$A$11:$A$115=$B8)*('Giá công thức'!$B$11:$B$115=$C8)*('Giá công thức'!$C$11:$C$115="GB")*('Giá công thức'!$G$3:$AQ$3=P$1)*('Giá công thức'!$G$4:$AQ$4=P$2))=0,NA(),SUMPRODUCT('Giá công thức'!$G$11:$AQ$115*('Giá công thức'!$A$11:$A$115=$B8)*('Giá công thức'!$B$11:$B$115=$C8)*('Giá công thức'!$C$11:$C$115="GB")*('Giá công thức'!$G$3:$AQ$3=P$1)*('Giá công thức'!$G$4:$AQ$4=P$2)))</f>
        <v>1251.3887500000001</v>
      </c>
      <c r="Q8" s="394" cm="1">
        <f t="array" ref="Q8">IF(SUMPRODUCT('Giá công thức'!$G$11:$AQ$115*('Giá công thức'!$A$11:$A$115=$B8)*('Giá công thức'!$B$11:$B$115=$C8)*('Giá công thức'!$C$11:$C$115="GB")*('Giá công thức'!$G$3:$AQ$3=Q$1)*('Giá công thức'!$G$4:$AQ$4=Q$2))=0,NA(),SUMPRODUCT('Giá công thức'!$G$11:$AQ$115*('Giá công thức'!$A$11:$A$115=$B8)*('Giá công thức'!$B$11:$B$115=$C8)*('Giá công thức'!$C$11:$C$115="GB")*('Giá công thức'!$G$3:$AQ$3=Q$1)*('Giá công thức'!$G$4:$AQ$4=Q$2)))</f>
        <v>1249.5418749999999</v>
      </c>
      <c r="R8" s="394" cm="1">
        <f t="array" ref="R8">IF(SUMPRODUCT('Giá công thức'!$G$11:$AQ$115*('Giá công thức'!$A$11:$A$115=$B8)*('Giá công thức'!$B$11:$B$115=$C8)*('Giá công thức'!$C$11:$C$115="GB")*('Giá công thức'!$G$3:$AQ$3=R$1)*('Giá công thức'!$G$4:$AQ$4=R$2))=0,NA(),SUMPRODUCT('Giá công thức'!$G$11:$AQ$115*('Giá công thức'!$A$11:$A$115=$B8)*('Giá công thức'!$B$11:$B$115=$C8)*('Giá công thức'!$C$11:$C$115="GB")*('Giá công thức'!$G$3:$AQ$3=R$1)*('Giá công thức'!$G$4:$AQ$4=R$2)))</f>
        <v>1225.409374999999</v>
      </c>
      <c r="S8" s="394" cm="1">
        <f t="array" ref="S8">IF(SUMPRODUCT('Giá công thức'!$G$11:$AQ$115*('Giá công thức'!$A$11:$A$115=$B8)*('Giá công thức'!$B$11:$B$115=$C8)*('Giá công thức'!$C$11:$C$115="GB")*('Giá công thức'!$G$3:$AQ$3=S$1)*('Giá công thức'!$G$4:$AQ$4=S$2))=0,NA(),SUMPRODUCT('Giá công thức'!$G$11:$AQ$115*('Giá công thức'!$A$11:$A$115=$B8)*('Giá công thức'!$B$11:$B$115=$C8)*('Giá công thức'!$C$11:$C$115="GB")*('Giá công thức'!$G$3:$AQ$3=S$1)*('Giá công thức'!$G$4:$AQ$4=S$2)))</f>
        <v>1200.2918749999992</v>
      </c>
      <c r="T8" s="394" cm="1">
        <f t="array" ref="T8">IF(SUMPRODUCT('Giá công thức'!$G$11:$AQ$115*('Giá công thức'!$A$11:$A$115=$B8)*('Giá công thức'!$B$11:$B$115=$C8)*('Giá công thức'!$C$11:$C$115="GB")*('Giá công thức'!$G$3:$AQ$3=T$1)*('Giá công thức'!$G$4:$AQ$4=T$2))=0,NA(),SUMPRODUCT('Giá công thức'!$G$11:$AQ$115*('Giá công thức'!$A$11:$A$115=$B8)*('Giá công thức'!$B$11:$B$115=$C8)*('Giá công thức'!$C$11:$C$115="GB")*('Giá công thức'!$G$3:$AQ$3=T$1)*('Giá công thức'!$G$4:$AQ$4=T$2)))</f>
        <v>1179.5818000000002</v>
      </c>
      <c r="U8" s="394" cm="1">
        <f t="array" ref="U8">IF(SUMPRODUCT('Giá công thức'!$G$11:$AQ$115*('Giá công thức'!$A$11:$A$115=$B8)*('Giá công thức'!$B$11:$B$115=$C8)*('Giá công thức'!$C$11:$C$115="GB")*('Giá công thức'!$G$3:$AQ$3=U$1)*('Giá công thức'!$G$4:$AQ$4=U$2))=0,NA(),SUMPRODUCT('Giá công thức'!$G$11:$AQ$115*('Giá công thức'!$A$11:$A$115=$B8)*('Giá công thức'!$B$11:$B$115=$C8)*('Giá công thức'!$C$11:$C$115="GB")*('Giá công thức'!$G$3:$AQ$3=U$1)*('Giá công thức'!$G$4:$AQ$4=U$2)))</f>
        <v>1180.6849999999999</v>
      </c>
      <c r="V8" s="394" cm="1">
        <f t="array" ref="V8">IF(SUMPRODUCT('Giá công thức'!$G$11:$AQ$115*('Giá công thức'!$A$11:$A$115=$B8)*('Giá công thức'!$B$11:$B$115=$C8)*('Giá công thức'!$C$11:$C$115="GB")*('Giá công thức'!$G$3:$AQ$3=V$1)*('Giá công thức'!$G$4:$AQ$4=V$2))=0,NA(),SUMPRODUCT('Giá công thức'!$G$11:$AQ$115*('Giá công thức'!$A$11:$A$115=$B8)*('Giá công thức'!$B$11:$B$115=$C8)*('Giá công thức'!$C$11:$C$115="GB")*('Giá công thức'!$G$3:$AQ$3=V$1)*('Giá công thức'!$G$4:$AQ$4=V$2)))</f>
        <v>1183.6400000000001</v>
      </c>
      <c r="W8" s="394" cm="1">
        <f t="array" ref="W8">IF(SUMPRODUCT('Giá công thức'!$G$11:$AQ$115*('Giá công thức'!$A$11:$A$115=$B8)*('Giá công thức'!$B$11:$B$115=$C8)*('Giá công thức'!$C$11:$C$115="GB")*('Giá công thức'!$G$3:$AQ$3=W$1)*('Giá công thức'!$G$4:$AQ$4=W$2))=0,NA(),SUMPRODUCT('Giá công thức'!$G$11:$AQ$115*('Giá công thức'!$A$11:$A$115=$B8)*('Giá công thức'!$B$11:$B$115=$C8)*('Giá công thức'!$C$11:$C$115="GB")*('Giá công thức'!$G$3:$AQ$3=W$1)*('Giá công thức'!$G$4:$AQ$4=W$2)))</f>
        <v>1183.6400000000001</v>
      </c>
      <c r="X8" s="394" cm="1">
        <f t="array" ref="X8">IF(SUMPRODUCT('Giá công thức'!$G$11:$AQ$115*('Giá công thức'!$A$11:$A$115=$B8)*('Giá công thức'!$B$11:$B$115=$C8)*('Giá công thức'!$C$11:$C$115="GB")*('Giá công thức'!$G$3:$AQ$3=X$1)*('Giá công thức'!$G$4:$AQ$4=X$2))=0,NA(),SUMPRODUCT('Giá công thức'!$G$11:$AQ$115*('Giá công thức'!$A$11:$A$115=$B8)*('Giá công thức'!$B$11:$B$115=$C8)*('Giá công thức'!$C$11:$C$115="GB")*('Giá công thức'!$G$3:$AQ$3=X$1)*('Giá công thức'!$G$4:$AQ$4=X$2)))</f>
        <v>1175.002</v>
      </c>
      <c r="Y8" s="394" cm="1">
        <f t="array" ref="Y8">IF(SUMPRODUCT('Giá công thức'!$G$11:$AQ$115*('Giá công thức'!$A$11:$A$115=$B8)*('Giá công thức'!$B$11:$B$115=$C8)*('Giá công thức'!$C$11:$C$115="GB")*('Giá công thức'!$G$3:$AQ$3=Y$1)*('Giá công thức'!$G$4:$AQ$4=Y$2))=0,NA(),SUMPRODUCT('Giá công thức'!$G$11:$AQ$115*('Giá công thức'!$A$11:$A$115=$B8)*('Giá công thức'!$B$11:$B$115=$C8)*('Giá công thức'!$C$11:$C$115="GB")*('Giá công thức'!$G$3:$AQ$3=Y$1)*('Giá công thức'!$G$4:$AQ$4=Y$2)))</f>
        <v>1162</v>
      </c>
      <c r="Z8" s="394" cm="1">
        <f t="array" ref="Z8">IF(SUMPRODUCT('Giá công thức'!$G$11:$AQ$115*('Giá công thức'!$A$11:$A$115=$B8)*('Giá công thức'!$B$11:$B$115=$C8)*('Giá công thức'!$C$11:$C$115="GB")*('Giá công thức'!$G$3:$AQ$3=Z$1)*('Giá công thức'!$G$4:$AQ$4=Z$2))=0,NA(),SUMPRODUCT('Giá công thức'!$G$11:$AQ$115*('Giá công thức'!$A$11:$A$115=$B8)*('Giá công thức'!$B$11:$B$115=$C8)*('Giá công thức'!$C$11:$C$115="GB")*('Giá công thức'!$G$3:$AQ$3=Z$1)*('Giá công thức'!$G$4:$AQ$4=Z$2)))</f>
        <v>1162</v>
      </c>
      <c r="AA8" s="394" cm="1">
        <f t="array" ref="AA8">IF(SUMPRODUCT('Giá công thức'!$G$11:$AQ$115*('Giá công thức'!$A$11:$A$115=$B8)*('Giá công thức'!$B$11:$B$115=$C8)*('Giá công thức'!$C$11:$C$115="GB")*('Giá công thức'!$G$3:$AQ$3=AA$1)*('Giá công thức'!$G$4:$AQ$4=AA$2))=0,NA(),SUMPRODUCT('Giá công thức'!$G$11:$AQ$115*('Giá công thức'!$A$11:$A$115=$B8)*('Giá công thức'!$B$11:$B$115=$C8)*('Giá công thức'!$C$11:$C$115="GB")*('Giá công thức'!$G$3:$AQ$3=AA$1)*('Giá công thức'!$G$4:$AQ$4=AA$2)))</f>
        <v>1162</v>
      </c>
      <c r="AB8" s="394" cm="1">
        <f t="array" ref="AB8">IF(SUMPRODUCT('Giá công thức'!$G$11:$AQ$115*('Giá công thức'!$A$11:$A$115=$B8)*('Giá công thức'!$B$11:$B$115=$C8)*('Giá công thức'!$C$11:$C$115="GB")*('Giá công thức'!$G$3:$AQ$3=AB$1)*('Giá công thức'!$G$4:$AQ$4=AB$2))=0,NA(),SUMPRODUCT('Giá công thức'!$G$11:$AQ$115*('Giá công thức'!$A$11:$A$115=$B8)*('Giá công thức'!$B$11:$B$115=$C8)*('Giá công thức'!$C$11:$C$115="GB")*('Giá công thức'!$G$3:$AQ$3=AB$1)*('Giá công thức'!$G$4:$AQ$4=AB$2)))</f>
        <v>1063.5</v>
      </c>
      <c r="AC8" s="394" cm="1">
        <f t="array" ref="AC8">IF(SUMPRODUCT('Giá công thức'!$G$11:$AQ$115*('Giá công thức'!$A$11:$A$115=$B8)*('Giá công thức'!$B$11:$B$115=$C8)*('Giá công thức'!$C$11:$C$115="GB")*('Giá công thức'!$G$3:$AQ$3=AC$1)*('Giá công thức'!$G$4:$AQ$4=AC$2))=0,NA(),SUMPRODUCT('Giá công thức'!$G$11:$AQ$115*('Giá công thức'!$A$11:$A$115=$B8)*('Giá công thức'!$B$11:$B$115=$C8)*('Giá công thức'!$C$11:$C$115="GB")*('Giá công thức'!$G$3:$AQ$3=AC$1)*('Giá công thức'!$G$4:$AQ$4=AC$2)))</f>
        <v>1043.8</v>
      </c>
      <c r="AD8" s="394" cm="1">
        <f t="array" ref="AD8">IF(SUMPRODUCT('Giá công thức'!$G$11:$AQ$115*('Giá công thức'!$A$11:$A$115=$B8)*('Giá công thức'!$B$11:$B$115=$C8)*('Giá công thức'!$C$11:$C$115="GB")*('Giá công thức'!$G$3:$AQ$3=AD$1)*('Giá công thức'!$G$4:$AQ$4=AD$2))=0,NA(),SUMPRODUCT('Giá công thức'!$G$11:$AQ$115*('Giá công thức'!$A$11:$A$115=$B8)*('Giá công thức'!$B$11:$B$115=$C8)*('Giá công thức'!$C$11:$C$115="GB")*('Giá công thức'!$G$3:$AQ$3=AD$1)*('Giá công thức'!$G$4:$AQ$4=AD$2)))</f>
        <v>1014.25</v>
      </c>
      <c r="AE8" s="394" cm="1">
        <f t="array" ref="AE8">IF(SUMPRODUCT('Giá công thức'!$G$11:$AQ$115*('Giá công thức'!$A$11:$A$115=$B8)*('Giá công thức'!$B$11:$B$115=$C8)*('Giá công thức'!$C$11:$C$115="GB")*('Giá công thức'!$G$3:$AQ$3=AE$1)*('Giá công thức'!$G$4:$AQ$4=AE$2))=0,NA(),SUMPRODUCT('Giá công thức'!$G$11:$AQ$115*('Giá công thức'!$A$11:$A$115=$B8)*('Giá công thức'!$B$11:$B$115=$C8)*('Giá công thức'!$C$11:$C$115="GB")*('Giá công thức'!$G$3:$AQ$3=AE$1)*('Giá công thức'!$G$4:$AQ$4=AE$2)))</f>
        <v>1025.33125</v>
      </c>
      <c r="AF8" s="394" cm="1">
        <f t="array" ref="AF8">IF(SUMPRODUCT('Giá công thức'!$G$11:$AQ$115*('Giá công thức'!$A$11:$A$115=$B8)*('Giá công thức'!$B$11:$B$115=$C8)*('Giá công thức'!$C$11:$C$115="GB")*('Giá công thức'!$G$3:$AQ$3=AF$1)*('Giá công thức'!$G$4:$AQ$4=AF$2))=0,NA(),SUMPRODUCT('Giá công thức'!$G$11:$AQ$115*('Giá công thức'!$A$11:$A$115=$B8)*('Giá công thức'!$B$11:$B$115=$C8)*('Giá công thức'!$C$11:$C$115="GB")*('Giá công thức'!$G$3:$AQ$3=AF$1)*('Giá công thức'!$G$4:$AQ$4=AF$2)))</f>
        <v>1182.6849999999999</v>
      </c>
      <c r="AG8" s="394" cm="1">
        <f t="array" ref="AG8">IF(SUMPRODUCT('Giá công thức'!$G$11:$AQ$115*('Giá công thức'!$A$11:$A$115=$B8)*('Giá công thức'!$B$11:$B$115=$C8)*('Giá công thức'!$C$11:$C$115="GB")*('Giá công thức'!$G$3:$AQ$3=AG$1)*('Giá công thức'!$G$4:$AQ$4=AG$2))=0,NA(),SUMPRODUCT('Giá công thức'!$G$11:$AQ$115*('Giá công thức'!$A$11:$A$115=$B8)*('Giá công thức'!$B$11:$B$115=$C8)*('Giá công thức'!$C$11:$C$115="GB")*('Giá công thức'!$G$3:$AQ$3=AG$1)*('Giá công thức'!$G$4:$AQ$4=AG$2)))</f>
        <v>1182.6849999999999</v>
      </c>
      <c r="AH8" s="394" cm="1">
        <f t="array" ref="AH8">IF(SUMPRODUCT('Giá công thức'!$G$11:$AQ$115*('Giá công thức'!$A$11:$A$115=$B8)*('Giá công thức'!$B$11:$B$115=$C8)*('Giá công thức'!$C$11:$C$115="GB")*('Giá công thức'!$G$3:$AQ$3=AH$1)*('Giá công thức'!$G$4:$AQ$4=AH$2))=0,NA(),SUMPRODUCT('Giá công thức'!$G$11:$AQ$115*('Giá công thức'!$A$11:$A$115=$B8)*('Giá công thức'!$B$11:$B$115=$C8)*('Giá công thức'!$C$11:$C$115="GB")*('Giá công thức'!$G$3:$AQ$3=AH$1)*('Giá công thức'!$G$4:$AQ$4=AH$2)))</f>
        <v>1182.6849999999999</v>
      </c>
      <c r="AI8" s="394"/>
      <c r="AJ8" s="394"/>
      <c r="AK8" s="394"/>
      <c r="AL8" s="394"/>
      <c r="AM8" s="394"/>
      <c r="AN8" s="394"/>
      <c r="AO8" s="394">
        <f t="shared" ref="AO8:AO9" si="0">INDEX($E8:$AN8,MATCH("X",$E$3:$AN$3,0))</f>
        <v>1182.6849999999999</v>
      </c>
    </row>
    <row r="9" spans="1:41" x14ac:dyDescent="0.3">
      <c r="B9" s="14" t="s">
        <v>430</v>
      </c>
      <c r="C9" t="s">
        <v>15</v>
      </c>
      <c r="D9" t="s">
        <v>492</v>
      </c>
      <c r="E9" s="510"/>
      <c r="F9" s="510"/>
      <c r="G9" s="510"/>
      <c r="H9" s="510"/>
      <c r="I9" s="510"/>
      <c r="J9" s="510"/>
      <c r="K9" s="510"/>
      <c r="L9" s="510"/>
      <c r="M9" s="510"/>
      <c r="N9" s="510"/>
      <c r="O9" s="510"/>
      <c r="P9" s="510"/>
      <c r="Q9" s="510"/>
      <c r="R9" s="510"/>
      <c r="S9" s="510"/>
      <c r="T9" s="510"/>
      <c r="U9" s="510"/>
      <c r="V9" s="510"/>
      <c r="W9" s="510"/>
      <c r="X9" s="510"/>
      <c r="Y9" s="510"/>
      <c r="Z9" s="510"/>
      <c r="AA9" s="510"/>
      <c r="AB9" s="510" cm="1">
        <f t="array" ref="AB9">IF(SUMPRODUCT('Giá công thức'!$G$11:$AQ$115*('Giá công thức'!$A$11:$A$115=$B9)*('Giá công thức'!$B$11:$B$115=$C9)*('Giá công thức'!$C$11:$C$115="GB")*('Giá công thức'!$G$3:$AQ$3=AB$1)*('Giá công thức'!$G$4:$AQ$4=AB$2))=0,NA(),SUMPRODUCT('Giá công thức'!$G$11:$AQ$115*('Giá công thức'!$A$11:$A$115=$B9)*('Giá công thức'!$B$11:$B$115=$C9)*('Giá công thức'!$C$11:$C$115="GB")*('Giá công thức'!$G$3:$AQ$3=AB$1)*('Giá công thức'!$G$4:$AQ$4=AB$2)))</f>
        <v>1063.5</v>
      </c>
      <c r="AC9" s="394" cm="1">
        <f t="array" ref="AC9">IF(SUMPRODUCT('Giá công thức'!$G$11:$AQ$115*('Giá công thức'!$A$11:$A$115=$B9)*('Giá công thức'!$B$11:$B$115=$C9)*('Giá công thức'!$C$11:$C$115="GB")*('Giá công thức'!$G$3:$AQ$3=AC$1)*('Giá công thức'!$G$4:$AQ$4=AC$2))=0,NA(),SUMPRODUCT('Giá công thức'!$G$11:$AQ$115*('Giá công thức'!$A$11:$A$115=$B9)*('Giá công thức'!$B$11:$B$115=$C9)*('Giá công thức'!$C$11:$C$115="GB")*('Giá công thức'!$G$3:$AQ$3=AC$1)*('Giá công thức'!$G$4:$AQ$4=AC$2)))</f>
        <v>1083.2</v>
      </c>
      <c r="AD9" s="394" cm="1">
        <f t="array" ref="AD9">IF(SUMPRODUCT('Giá công thức'!$G$11:$AQ$115*('Giá công thức'!$A$11:$A$115=$B9)*('Giá công thức'!$B$11:$B$115=$C9)*('Giá công thức'!$C$11:$C$115="GB")*('Giá công thức'!$G$3:$AQ$3=AD$1)*('Giá công thức'!$G$4:$AQ$4=AD$2))=0,NA(),SUMPRODUCT('Giá công thức'!$G$11:$AQ$115*('Giá công thức'!$A$11:$A$115=$B9)*('Giá công thức'!$B$11:$B$115=$C9)*('Giá công thức'!$C$11:$C$115="GB")*('Giá công thức'!$G$3:$AQ$3=AD$1)*('Giá công thức'!$G$4:$AQ$4=AD$2)))</f>
        <v>1053.6500000000001</v>
      </c>
      <c r="AE9" s="394" cm="1">
        <f t="array" ref="AE9">IF(SUMPRODUCT('Giá công thức'!$G$11:$AQ$115*('Giá công thức'!$A$11:$A$115=$B9)*('Giá công thức'!$B$11:$B$115=$C9)*('Giá công thức'!$C$11:$C$115="GB")*('Giá công thức'!$G$3:$AQ$3=AE$1)*('Giá công thức'!$G$4:$AQ$4=AE$2))=0,NA(),SUMPRODUCT('Giá công thức'!$G$11:$AQ$115*('Giá công thức'!$A$11:$A$115=$B9)*('Giá công thức'!$B$11:$B$115=$C9)*('Giá công thức'!$C$11:$C$115="GB")*('Giá công thức'!$G$3:$AQ$3=AE$1)*('Giá công thức'!$G$4:$AQ$4=AE$2)))</f>
        <v>1064.73125</v>
      </c>
      <c r="AF9" s="394" cm="1">
        <f t="array" ref="AF9">IF(SUMPRODUCT('Giá công thức'!$G$11:$AQ$115*('Giá công thức'!$A$11:$A$115=$B9)*('Giá công thức'!$B$11:$B$115=$C9)*('Giá công thức'!$C$11:$C$115="GB")*('Giá công thức'!$G$3:$AQ$3=AF$1)*('Giá công thức'!$G$4:$AQ$4=AF$2))=0,NA(),SUMPRODUCT('Giá công thức'!$G$11:$AQ$115*('Giá công thức'!$A$11:$A$115=$B9)*('Giá công thức'!$B$11:$B$115=$C9)*('Giá công thức'!$C$11:$C$115="GB")*('Giá công thức'!$G$3:$AQ$3=AF$1)*('Giá công thức'!$G$4:$AQ$4=AF$2)))</f>
        <v>1112.75</v>
      </c>
      <c r="AG9" s="394" cm="1">
        <f t="array" ref="AG9">IF(SUMPRODUCT('Giá công thức'!$G$11:$AQ$115*('Giá công thức'!$A$11:$A$115=$B9)*('Giá công thức'!$B$11:$B$115=$C9)*('Giá công thức'!$C$11:$C$115="GB")*('Giá công thức'!$G$3:$AQ$3=AG$1)*('Giá công thức'!$G$4:$AQ$4=AG$2))=0,NA(),SUMPRODUCT('Giá công thức'!$G$11:$AQ$115*('Giá công thức'!$A$11:$A$115=$B9)*('Giá công thức'!$B$11:$B$115=$C9)*('Giá công thức'!$C$11:$C$115="GB")*('Giá công thức'!$G$3:$AQ$3=AG$1)*('Giá công thức'!$G$4:$AQ$4=AG$2)))</f>
        <v>1112.75</v>
      </c>
      <c r="AH9" s="394" cm="1">
        <f t="array" ref="AH9">IF(SUMPRODUCT('Giá công thức'!$G$11:$AQ$115*('Giá công thức'!$A$11:$A$115=$B9)*('Giá công thức'!$B$11:$B$115=$C9)*('Giá công thức'!$C$11:$C$115="GB")*('Giá công thức'!$G$3:$AQ$3=AH$1)*('Giá công thức'!$G$4:$AQ$4=AH$2))=0,NA(),SUMPRODUCT('Giá công thức'!$G$11:$AQ$115*('Giá công thức'!$A$11:$A$115=$B9)*('Giá công thức'!$B$11:$B$115=$C9)*('Giá công thức'!$C$11:$C$115="GB")*('Giá công thức'!$G$3:$AQ$3=AH$1)*('Giá công thức'!$G$4:$AQ$4=AH$2)))</f>
        <v>1112.75</v>
      </c>
      <c r="AI9" s="394"/>
      <c r="AJ9" s="394"/>
      <c r="AK9" s="394"/>
      <c r="AL9" s="394"/>
      <c r="AM9" s="394"/>
      <c r="AN9" s="394"/>
      <c r="AO9" s="394">
        <f t="shared" si="0"/>
        <v>1112.75</v>
      </c>
    </row>
    <row r="10" spans="1:41" x14ac:dyDescent="0.3">
      <c r="B10" s="14" t="s">
        <v>63</v>
      </c>
      <c r="C10" t="s">
        <v>15</v>
      </c>
      <c r="D10" t="s">
        <v>346</v>
      </c>
      <c r="E10" s="394" cm="1">
        <f t="array" ref="E10">IF(SUMPRODUCT('Giá công thức'!$G$11:$AQ$115*('Giá công thức'!$A$11:$A$115=$B10)*('Giá công thức'!$B$11:$B$115=$C10)*('Giá công thức'!$C$11:$C$115="GB")*('Giá công thức'!$G$3:$AQ$3=E$1)*('Giá công thức'!$G$4:$AQ$4=E$2))=0,NA(),SUMPRODUCT('Giá công thức'!$G$11:$AQ$115*('Giá công thức'!$A$11:$A$115=$B10)*('Giá công thức'!$B$11:$B$115=$C10)*('Giá công thức'!$C$11:$C$115="GB")*('Giá công thức'!$G$3:$AQ$3=E$1)*('Giá công thức'!$G$4:$AQ$4=E$2)))</f>
        <v>1307.795918367347</v>
      </c>
      <c r="F10" s="394" cm="1">
        <f t="array" ref="F10">IF(SUMPRODUCT('Giá công thức'!$G$11:$AQ$115*('Giá công thức'!$A$11:$A$115=$B10)*('Giá công thức'!$B$11:$B$115=$C10)*('Giá công thức'!$C$11:$C$115="GB")*('Giá công thức'!$G$3:$AQ$3=F$1)*('Giá công thức'!$G$4:$AQ$4=F$2))=0,NA(),SUMPRODUCT('Giá công thức'!$G$11:$AQ$115*('Giá công thức'!$A$11:$A$115=$B10)*('Giá công thức'!$B$11:$B$115=$C10)*('Giá công thức'!$C$11:$C$115="GB")*('Giá công thức'!$G$3:$AQ$3=F$1)*('Giá công thức'!$G$4:$AQ$4=F$2)))</f>
        <v>1307.795918367347</v>
      </c>
      <c r="G10" s="394" cm="1">
        <f t="array" ref="G10">IF(SUMPRODUCT('Giá công thức'!$G$11:$AQ$115*('Giá công thức'!$A$11:$A$115=$B10)*('Giá công thức'!$B$11:$B$115=$C10)*('Giá công thức'!$C$11:$C$115="GB")*('Giá công thức'!$G$3:$AQ$3=G$1)*('Giá công thức'!$G$4:$AQ$4=G$2))=0,NA(),SUMPRODUCT('Giá công thức'!$G$11:$AQ$115*('Giá công thức'!$A$11:$A$115=$B10)*('Giá công thức'!$B$11:$B$115=$C10)*('Giá công thức'!$C$11:$C$115="GB")*('Giá công thức'!$G$3:$AQ$3=G$1)*('Giá công thức'!$G$4:$AQ$4=G$2)))</f>
        <v>1307.795918367347</v>
      </c>
      <c r="H10" s="394" cm="1">
        <f t="array" ref="H10">IF(SUMPRODUCT('Giá công thức'!$G$11:$AQ$115*('Giá công thức'!$A$11:$A$115=$B10)*('Giá công thức'!$B$11:$B$115=$C10)*('Giá công thức'!$C$11:$C$115="GB")*('Giá công thức'!$G$3:$AQ$3=H$1)*('Giá công thức'!$G$4:$AQ$4=H$2))=0,NA(),SUMPRODUCT('Giá công thức'!$G$11:$AQ$115*('Giá công thức'!$A$11:$A$115=$B10)*('Giá công thức'!$B$11:$B$115=$C10)*('Giá công thức'!$C$11:$C$115="GB")*('Giá công thức'!$G$3:$AQ$3=H$1)*('Giá công thức'!$G$4:$AQ$4=H$2)))</f>
        <v>1307.795918367347</v>
      </c>
      <c r="I10" s="394" cm="1">
        <f t="array" ref="I10">IF(SUMPRODUCT('Giá công thức'!$G$11:$AQ$115*('Giá công thức'!$A$11:$A$115=$B10)*('Giá công thức'!$B$11:$B$115=$C10)*('Giá công thức'!$C$11:$C$115="GB")*('Giá công thức'!$G$3:$AQ$3=I$1)*('Giá công thức'!$G$4:$AQ$4=I$2))=0,NA(),SUMPRODUCT('Giá công thức'!$G$11:$AQ$115*('Giá công thức'!$A$11:$A$115=$B10)*('Giá công thức'!$B$11:$B$115=$C10)*('Giá công thức'!$C$11:$C$115="GB")*('Giá công thức'!$G$3:$AQ$3=I$1)*('Giá công thức'!$G$4:$AQ$4=I$2)))</f>
        <v>1307.795918367347</v>
      </c>
      <c r="J10" s="394" cm="1">
        <f t="array" ref="J10">IF(SUMPRODUCT('Giá công thức'!$G$11:$AQ$115*('Giá công thức'!$A$11:$A$115=$B10)*('Giá công thức'!$B$11:$B$115=$C10)*('Giá công thức'!$C$11:$C$115="GB")*('Giá công thức'!$G$3:$AQ$3=J$1)*('Giá công thức'!$G$4:$AQ$4=J$2))=0,NA(),SUMPRODUCT('Giá công thức'!$G$11:$AQ$115*('Giá công thức'!$A$11:$A$115=$B10)*('Giá công thức'!$B$11:$B$115=$C10)*('Giá công thức'!$C$11:$C$115="GB")*('Giá công thức'!$G$3:$AQ$3=J$1)*('Giá công thức'!$G$4:$AQ$4=J$2)))</f>
        <v>1307.795918367347</v>
      </c>
      <c r="K10" s="394" cm="1">
        <f t="array" ref="K10">IF(SUMPRODUCT('Giá công thức'!$G$11:$AQ$115*('Giá công thức'!$A$11:$A$115=$B10)*('Giá công thức'!$B$11:$B$115=$C10)*('Giá công thức'!$C$11:$C$115="GB")*('Giá công thức'!$G$3:$AQ$3=K$1)*('Giá công thức'!$G$4:$AQ$4=K$2))=0,NA(),SUMPRODUCT('Giá công thức'!$G$11:$AQ$115*('Giá công thức'!$A$11:$A$115=$B10)*('Giá công thức'!$B$11:$B$115=$C10)*('Giá công thức'!$C$11:$C$115="GB")*('Giá công thức'!$G$3:$AQ$3=K$1)*('Giá công thức'!$G$4:$AQ$4=K$2)))</f>
        <v>1308.04</v>
      </c>
      <c r="L10" s="394" cm="1">
        <f t="array" ref="L10">IF(SUMPRODUCT('Giá công thức'!$G$11:$AQ$115*('Giá công thức'!$A$11:$A$115=$B10)*('Giá công thức'!$B$11:$B$115=$C10)*('Giá công thức'!$C$11:$C$115="GB")*('Giá công thức'!$G$3:$AQ$3=L$1)*('Giá công thức'!$G$4:$AQ$4=L$2))=0,NA(),SUMPRODUCT('Giá công thức'!$G$11:$AQ$115*('Giá công thức'!$A$11:$A$115=$B10)*('Giá công thức'!$B$11:$B$115=$C10)*('Giá công thức'!$C$11:$C$115="GB")*('Giá công thức'!$G$3:$AQ$3=L$1)*('Giá công thức'!$G$4:$AQ$4=L$2)))</f>
        <v>1308.04</v>
      </c>
      <c r="M10" s="394" cm="1">
        <f t="array" ref="M10">IF(SUMPRODUCT('Giá công thức'!$G$11:$AQ$115*('Giá công thức'!$A$11:$A$115=$B10)*('Giá công thức'!$B$11:$B$115=$C10)*('Giá công thức'!$C$11:$C$115="GB")*('Giá công thức'!$G$3:$AQ$3=M$1)*('Giá công thức'!$G$4:$AQ$4=M$2))=0,NA(),SUMPRODUCT('Giá công thức'!$G$11:$AQ$115*('Giá công thức'!$A$11:$A$115=$B10)*('Giá công thức'!$B$11:$B$115=$C10)*('Giá công thức'!$C$11:$C$115="GB")*('Giá công thức'!$G$3:$AQ$3=M$1)*('Giá công thức'!$G$4:$AQ$4=M$2)))</f>
        <v>1308.04</v>
      </c>
      <c r="N10" s="394" cm="1">
        <f t="array" ref="N10">IF(SUMPRODUCT('Giá công thức'!$G$11:$AQ$115*('Giá công thức'!$A$11:$A$115=$B10)*('Giá công thức'!$B$11:$B$115=$C10)*('Giá công thức'!$C$11:$C$115="GB")*('Giá công thức'!$G$3:$AQ$3=N$1)*('Giá công thức'!$G$4:$AQ$4=N$2))=0,NA(),SUMPRODUCT('Giá công thức'!$G$11:$AQ$115*('Giá công thức'!$A$11:$A$115=$B10)*('Giá công thức'!$B$11:$B$115=$C10)*('Giá công thức'!$C$11:$C$115="GB")*('Giá công thức'!$G$3:$AQ$3=N$1)*('Giá công thức'!$G$4:$AQ$4=N$2)))</f>
        <v>1288.04</v>
      </c>
      <c r="O10" s="394" cm="1">
        <f t="array" ref="O10">IF(SUMPRODUCT('Giá công thức'!$G$11:$AQ$115*('Giá công thức'!$A$11:$A$115=$B10)*('Giá công thức'!$B$11:$B$115=$C10)*('Giá công thức'!$C$11:$C$115="GB")*('Giá công thức'!$G$3:$AQ$3=O$1)*('Giá công thức'!$G$4:$AQ$4=O$2))=0,NA(),SUMPRODUCT('Giá công thức'!$G$11:$AQ$115*('Giá công thức'!$A$11:$A$115=$B10)*('Giá công thức'!$B$11:$B$115=$C10)*('Giá công thức'!$C$11:$C$115="GB")*('Giá công thức'!$G$3:$AQ$3=O$1)*('Giá công thức'!$G$4:$AQ$4=O$2)))</f>
        <v>1288.04</v>
      </c>
      <c r="P10" s="394" cm="1">
        <f t="array" ref="P10">IF(SUMPRODUCT('Giá công thức'!$G$11:$AQ$115*('Giá công thức'!$A$11:$A$115=$B10)*('Giá công thức'!$B$11:$B$115=$C10)*('Giá công thức'!$C$11:$C$115="GB")*('Giá công thức'!$G$3:$AQ$3=P$1)*('Giá công thức'!$G$4:$AQ$4=P$2))=0,NA(),SUMPRODUCT('Giá công thức'!$G$11:$AQ$115*('Giá công thức'!$A$11:$A$115=$B10)*('Giá công thức'!$B$11:$B$115=$C10)*('Giá công thức'!$C$11:$C$115="GB")*('Giá công thức'!$G$3:$AQ$3=P$1)*('Giá công thức'!$G$4:$AQ$4=P$2)))</f>
        <v>1288.04</v>
      </c>
      <c r="Q10" s="394" cm="1">
        <f t="array" ref="Q10">IF(SUMPRODUCT('Giá công thức'!$G$11:$AQ$115*('Giá công thức'!$A$11:$A$115=$B10)*('Giá công thức'!$B$11:$B$115=$C10)*('Giá công thức'!$C$11:$C$115="GB")*('Giá công thức'!$G$3:$AQ$3=Q$1)*('Giá công thức'!$G$4:$AQ$4=Q$2))=0,NA(),SUMPRODUCT('Giá công thức'!$G$11:$AQ$115*('Giá công thức'!$A$11:$A$115=$B10)*('Giá công thức'!$B$11:$B$115=$C10)*('Giá công thức'!$C$11:$C$115="GB")*('Giá công thức'!$G$3:$AQ$3=Q$1)*('Giá công thức'!$G$4:$AQ$4=Q$2)))</f>
        <v>1288.04</v>
      </c>
      <c r="R10" s="394" cm="1">
        <f t="array" ref="R10">IF(SUMPRODUCT('Giá công thức'!$G$11:$AQ$115*('Giá công thức'!$A$11:$A$115=$B10)*('Giá công thức'!$B$11:$B$115=$C10)*('Giá công thức'!$C$11:$C$115="GB")*('Giá công thức'!$G$3:$AQ$3=R$1)*('Giá công thức'!$G$4:$AQ$4=R$2))=0,NA(),SUMPRODUCT('Giá công thức'!$G$11:$AQ$115*('Giá công thức'!$A$11:$A$115=$B10)*('Giá công thức'!$B$11:$B$115=$C10)*('Giá công thức'!$C$11:$C$115="GB")*('Giá công thức'!$G$3:$AQ$3=R$1)*('Giá công thức'!$G$4:$AQ$4=R$2)))</f>
        <v>1288.04</v>
      </c>
      <c r="S10" s="394" cm="1">
        <f t="array" ref="S10">IF(SUMPRODUCT('Giá công thức'!$G$11:$AQ$115*('Giá công thức'!$A$11:$A$115=$B10)*('Giá công thức'!$B$11:$B$115=$C10)*('Giá công thức'!$C$11:$C$115="GB")*('Giá công thức'!$G$3:$AQ$3=S$1)*('Giá công thức'!$G$4:$AQ$4=S$2))=0,NA(),SUMPRODUCT('Giá công thức'!$G$11:$AQ$115*('Giá công thức'!$A$11:$A$115=$B10)*('Giá công thức'!$B$11:$B$115=$C10)*('Giá công thức'!$C$11:$C$115="GB")*('Giá công thức'!$G$3:$AQ$3=S$1)*('Giá công thức'!$G$4:$AQ$4=S$2)))</f>
        <v>1288.04</v>
      </c>
      <c r="T10" s="394" cm="1">
        <f t="array" ref="T10">IF(SUMPRODUCT('Giá công thức'!$G$11:$AQ$115*('Giá công thức'!$A$11:$A$115=$B10)*('Giá công thức'!$B$11:$B$115=$C10)*('Giá công thức'!$C$11:$C$115="GB")*('Giá công thức'!$G$3:$AQ$3=T$1)*('Giá công thức'!$G$4:$AQ$4=T$2))=0,NA(),SUMPRODUCT('Giá công thức'!$G$11:$AQ$115*('Giá công thức'!$A$11:$A$115=$B10)*('Giá công thức'!$B$11:$B$115=$C10)*('Giá công thức'!$C$11:$C$115="GB")*('Giá công thức'!$G$3:$AQ$3=T$1)*('Giá công thức'!$G$4:$AQ$4=T$2)))</f>
        <v>1238.04</v>
      </c>
      <c r="U10" s="394" cm="1">
        <f t="array" ref="U10">IF(SUMPRODUCT('Giá công thức'!$G$11:$AQ$115*('Giá công thức'!$A$11:$A$115=$B10)*('Giá công thức'!$B$11:$B$115=$C10)*('Giá công thức'!$C$11:$C$115="GB")*('Giá công thức'!$G$3:$AQ$3=U$1)*('Giá công thức'!$G$4:$AQ$4=U$2))=0,NA(),SUMPRODUCT('Giá công thức'!$G$11:$AQ$115*('Giá công thức'!$A$11:$A$115=$B10)*('Giá công thức'!$B$11:$B$115=$C10)*('Giá công thức'!$C$11:$C$115="GB")*('Giá công thức'!$G$3:$AQ$3=U$1)*('Giá công thức'!$G$4:$AQ$4=U$2)))</f>
        <v>1238.04</v>
      </c>
      <c r="V10" s="394" cm="1">
        <f t="array" ref="V10">IF(SUMPRODUCT('Giá công thức'!$G$11:$AQ$115*('Giá công thức'!$A$11:$A$115=$B10)*('Giá công thức'!$B$11:$B$115=$C10)*('Giá công thức'!$C$11:$C$115="GB")*('Giá công thức'!$G$3:$AQ$3=V$1)*('Giá công thức'!$G$4:$AQ$4=V$2))=0,NA(),SUMPRODUCT('Giá công thức'!$G$11:$AQ$115*('Giá công thức'!$A$11:$A$115=$B10)*('Giá công thức'!$B$11:$B$115=$C10)*('Giá công thức'!$C$11:$C$115="GB")*('Giá công thức'!$G$3:$AQ$3=V$1)*('Giá công thức'!$G$4:$AQ$4=V$2)))</f>
        <v>1238.04</v>
      </c>
      <c r="W10" s="394" cm="1">
        <f t="array" ref="W10">IF(SUMPRODUCT('Giá công thức'!$G$11:$AQ$115*('Giá công thức'!$A$11:$A$115=$B10)*('Giá công thức'!$B$11:$B$115=$C10)*('Giá công thức'!$C$11:$C$115="GB")*('Giá công thức'!$G$3:$AQ$3=W$1)*('Giá công thức'!$G$4:$AQ$4=W$2))=0,NA(),SUMPRODUCT('Giá công thức'!$G$11:$AQ$115*('Giá công thức'!$A$11:$A$115=$B10)*('Giá công thức'!$B$11:$B$115=$C10)*('Giá công thức'!$C$11:$C$115="GB")*('Giá công thức'!$G$3:$AQ$3=W$1)*('Giá công thức'!$G$4:$AQ$4=W$2)))</f>
        <v>1268.04</v>
      </c>
      <c r="X10" s="394" cm="1">
        <f t="array" ref="X10">IF(SUMPRODUCT('Giá công thức'!$G$11:$AQ$115*('Giá công thức'!$A$11:$A$115=$B10)*('Giá công thức'!$B$11:$B$115=$C10)*('Giá công thức'!$C$11:$C$115="GB")*('Giá công thức'!$G$3:$AQ$3=X$1)*('Giá công thức'!$G$4:$AQ$4=X$2))=0,NA(),SUMPRODUCT('Giá công thức'!$G$11:$AQ$115*('Giá công thức'!$A$11:$A$115=$B10)*('Giá công thức'!$B$11:$B$115=$C10)*('Giá công thức'!$C$11:$C$115="GB")*('Giá công thức'!$G$3:$AQ$3=X$1)*('Giá công thức'!$G$4:$AQ$4=X$2)))</f>
        <v>1268.04</v>
      </c>
      <c r="Y10" s="394" cm="1">
        <f t="array" ref="Y10">IF(SUMPRODUCT('Giá công thức'!$G$11:$AQ$115*('Giá công thức'!$A$11:$A$115=$B10)*('Giá công thức'!$B$11:$B$115=$C10)*('Giá công thức'!$C$11:$C$115="GB")*('Giá công thức'!$G$3:$AQ$3=Y$1)*('Giá công thức'!$G$4:$AQ$4=Y$2))=0,NA(),SUMPRODUCT('Giá công thức'!$G$11:$AQ$115*('Giá công thức'!$A$11:$A$115=$B10)*('Giá công thức'!$B$11:$B$115=$C10)*('Giá công thức'!$C$11:$C$115="GB")*('Giá công thức'!$G$3:$AQ$3=Y$1)*('Giá công thức'!$G$4:$AQ$4=Y$2)))</f>
        <v>1268.04</v>
      </c>
      <c r="Z10" s="394" cm="1">
        <f t="array" ref="Z10">IF(SUMPRODUCT('Giá công thức'!$G$11:$AQ$115*('Giá công thức'!$A$11:$A$115=$B10)*('Giá công thức'!$B$11:$B$115=$C10)*('Giá công thức'!$C$11:$C$115="GB")*('Giá công thức'!$G$3:$AQ$3=Z$1)*('Giá công thức'!$G$4:$AQ$4=Z$2))=0,NA(),SUMPRODUCT('Giá công thức'!$G$11:$AQ$115*('Giá công thức'!$A$11:$A$115=$B10)*('Giá công thức'!$B$11:$B$115=$C10)*('Giá công thức'!$C$11:$C$115="GB")*('Giá công thức'!$G$3:$AQ$3=Z$1)*('Giá công thức'!$G$4:$AQ$4=Z$2)))</f>
        <v>1268.04</v>
      </c>
      <c r="AA10" s="394" cm="1">
        <f t="array" ref="AA10">IF(SUMPRODUCT('Giá công thức'!$G$11:$AQ$115*('Giá công thức'!$A$11:$A$115=$B10)*('Giá công thức'!$B$11:$B$115=$C10)*('Giá công thức'!$C$11:$C$115="GB")*('Giá công thức'!$G$3:$AQ$3=AA$1)*('Giá công thức'!$G$4:$AQ$4=AA$2))=0,NA(),SUMPRODUCT('Giá công thức'!$G$11:$AQ$115*('Giá công thức'!$A$11:$A$115=$B10)*('Giá công thức'!$B$11:$B$115=$C10)*('Giá công thức'!$C$11:$C$115="GB")*('Giá công thức'!$G$3:$AQ$3=AA$1)*('Giá công thức'!$G$4:$AQ$4=AA$2)))</f>
        <v>1268.04</v>
      </c>
      <c r="AB10" s="394" cm="1">
        <f t="array" ref="AB10">IF(SUMPRODUCT('Giá công thức'!$G$11:$AQ$115*('Giá công thức'!$A$11:$A$115=$B10)*('Giá công thức'!$B$11:$B$115=$C10)*('Giá công thức'!$C$11:$C$115="GB")*('Giá công thức'!$G$3:$AQ$3=AB$1)*('Giá công thức'!$G$4:$AQ$4=AB$2))=0,NA(),SUMPRODUCT('Giá công thức'!$G$11:$AQ$115*('Giá công thức'!$A$11:$A$115=$B10)*('Giá công thức'!$B$11:$B$115=$C10)*('Giá công thức'!$C$11:$C$115="GB")*('Giá công thức'!$G$3:$AQ$3=AB$1)*('Giá công thức'!$G$4:$AQ$4=AB$2)))</f>
        <v>1268.04</v>
      </c>
      <c r="AC10" s="394" cm="1">
        <f t="array" ref="AC10">IF(SUMPRODUCT('Giá công thức'!$G$11:$AQ$115*('Giá công thức'!$A$11:$A$115=$B10)*('Giá công thức'!$B$11:$B$115=$C10)*('Giá công thức'!$C$11:$C$115="GB")*('Giá công thức'!$G$3:$AQ$3=AC$1)*('Giá công thức'!$G$4:$AQ$4=AC$2))=0,NA(),SUMPRODUCT('Giá công thức'!$G$11:$AQ$115*('Giá công thức'!$A$11:$A$115=$B10)*('Giá công thức'!$B$11:$B$115=$C10)*('Giá công thức'!$C$11:$C$115="GB")*('Giá công thức'!$G$3:$AQ$3=AC$1)*('Giá công thức'!$G$4:$AQ$4=AC$2)))</f>
        <v>1245</v>
      </c>
      <c r="AD10" s="394" cm="1">
        <f t="array" ref="AD10">IF(SUMPRODUCT('Giá công thức'!$G$11:$AQ$115*('Giá công thức'!$A$11:$A$115=$B10)*('Giá công thức'!$B$11:$B$115=$C10)*('Giá công thức'!$C$11:$C$115="GB")*('Giá công thức'!$G$3:$AQ$3=AD$1)*('Giá công thức'!$G$4:$AQ$4=AD$2))=0,NA(),SUMPRODUCT('Giá công thức'!$G$11:$AQ$115*('Giá công thức'!$A$11:$A$115=$B10)*('Giá công thức'!$B$11:$B$115=$C10)*('Giá công thức'!$C$11:$C$115="GB")*('Giá công thức'!$G$3:$AQ$3=AD$1)*('Giá công thức'!$G$4:$AQ$4=AD$2)))</f>
        <v>1245</v>
      </c>
      <c r="AE10" s="394" cm="1">
        <f t="array" ref="AE10">IF(SUMPRODUCT('Giá công thức'!$G$11:$AQ$115*('Giá công thức'!$A$11:$A$115=$B10)*('Giá công thức'!$B$11:$B$115=$C10)*('Giá công thức'!$C$11:$C$115="GB")*('Giá công thức'!$G$3:$AQ$3=AE$1)*('Giá công thức'!$G$4:$AQ$4=AE$2))=0,NA(),SUMPRODUCT('Giá công thức'!$G$11:$AQ$115*('Giá công thức'!$A$11:$A$115=$B10)*('Giá công thức'!$B$11:$B$115=$C10)*('Giá công thức'!$C$11:$C$115="GB")*('Giá công thức'!$G$3:$AQ$3=AE$1)*('Giá công thức'!$G$4:$AQ$4=AE$2)))</f>
        <v>1245</v>
      </c>
      <c r="AF10" s="394" cm="1">
        <f t="array" ref="AF10">IF(SUMPRODUCT('Giá công thức'!$G$11:$AQ$115*('Giá công thức'!$A$11:$A$115=$B10)*('Giá công thức'!$B$11:$B$115=$C10)*('Giá công thức'!$C$11:$C$115="GB")*('Giá công thức'!$G$3:$AQ$3=AF$1)*('Giá công thức'!$G$4:$AQ$4=AF$2))=0,NA(),SUMPRODUCT('Giá công thức'!$G$11:$AQ$115*('Giá công thức'!$A$11:$A$115=$B10)*('Giá công thức'!$B$11:$B$115=$C10)*('Giá công thức'!$C$11:$C$115="GB")*('Giá công thức'!$G$3:$AQ$3=AF$1)*('Giá công thức'!$G$4:$AQ$4=AF$2)))</f>
        <v>1185</v>
      </c>
      <c r="AG10" s="394" cm="1">
        <f t="array" ref="AG10">IF(SUMPRODUCT('Giá công thức'!$G$11:$AQ$115*('Giá công thức'!$A$11:$A$115=$B10)*('Giá công thức'!$B$11:$B$115=$C10)*('Giá công thức'!$C$11:$C$115="GB")*('Giá công thức'!$G$3:$AQ$3=AG$1)*('Giá công thức'!$G$4:$AQ$4=AG$2))=0,NA(),SUMPRODUCT('Giá công thức'!$G$11:$AQ$115*('Giá công thức'!$A$11:$A$115=$B10)*('Giá công thức'!$B$11:$B$115=$C10)*('Giá công thức'!$C$11:$C$115="GB")*('Giá công thức'!$G$3:$AQ$3=AG$1)*('Giá công thức'!$G$4:$AQ$4=AG$2)))</f>
        <v>1185</v>
      </c>
      <c r="AH10" s="394" cm="1">
        <f t="array" ref="AH10">IF(SUMPRODUCT('Giá công thức'!$G$11:$AQ$115*('Giá công thức'!$A$11:$A$115=$B10)*('Giá công thức'!$B$11:$B$115=$C10)*('Giá công thức'!$C$11:$C$115="GB")*('Giá công thức'!$G$3:$AQ$3=AH$1)*('Giá công thức'!$G$4:$AQ$4=AH$2))=0,NA(),SUMPRODUCT('Giá công thức'!$G$11:$AQ$115*('Giá công thức'!$A$11:$A$115=$B10)*('Giá công thức'!$B$11:$B$115=$C10)*('Giá công thức'!$C$11:$C$115="GB")*('Giá công thức'!$G$3:$AQ$3=AH$1)*('Giá công thức'!$G$4:$AQ$4=AH$2)))</f>
        <v>1185</v>
      </c>
      <c r="AI10" s="394"/>
      <c r="AJ10" s="394"/>
      <c r="AK10" s="394"/>
      <c r="AL10" s="394"/>
      <c r="AM10" s="394"/>
      <c r="AN10" s="394"/>
      <c r="AO10" s="422">
        <f>INDEX($E10:$AN10,MATCH("X",$E$3:$AN$3,0))</f>
        <v>1185</v>
      </c>
    </row>
    <row r="11" spans="1:41" x14ac:dyDescent="0.3">
      <c r="B11" s="14" t="s">
        <v>61</v>
      </c>
      <c r="C11" s="434" t="s">
        <v>34</v>
      </c>
      <c r="D11" t="s">
        <v>418</v>
      </c>
      <c r="E11" s="394" cm="1">
        <f t="array" ref="E11">IF(SUMPRODUCT('Giá công thức'!$G$11:$AQ$115*('Giá công thức'!$A$11:$A$115=$B11)*('Giá công thức'!$B$11:$B$115=$C11)*('Giá công thức'!$C$11:$C$115="GB")*('Giá công thức'!$G$3:$AQ$3=E$1)*('Giá công thức'!$G$4:$AQ$4=E$2))=0,NA(),SUMPRODUCT('Giá công thức'!$G$11:$AQ$115*('Giá công thức'!$A$11:$A$115=$B11)*('Giá công thức'!$B$11:$B$115=$C11)*('Giá công thức'!$C$11:$C$115="GB")*('Giá công thức'!$G$3:$AQ$3=E$1)*('Giá công thức'!$G$4:$AQ$4=E$2)))</f>
        <v>1250</v>
      </c>
      <c r="F11" s="394" cm="1">
        <f t="array" ref="F11">IF(SUMPRODUCT('Giá công thức'!$G$11:$AQ$115*('Giá công thức'!$A$11:$A$115=$B11)*('Giá công thức'!$B$11:$B$115=$C11)*('Giá công thức'!$C$11:$C$115="GB")*('Giá công thức'!$G$3:$AQ$3=F$1)*('Giá công thức'!$G$4:$AQ$4=F$2))=0,NA(),SUMPRODUCT('Giá công thức'!$G$11:$AQ$115*('Giá công thức'!$A$11:$A$115=$B11)*('Giá công thức'!$B$11:$B$115=$C11)*('Giá công thức'!$C$11:$C$115="GB")*('Giá công thức'!$G$3:$AQ$3=F$1)*('Giá công thức'!$G$4:$AQ$4=F$2)))</f>
        <v>1250</v>
      </c>
      <c r="G11" s="394" cm="1">
        <f t="array" ref="G11">IF(SUMPRODUCT('Giá công thức'!$G$11:$AQ$115*('Giá công thức'!$A$11:$A$115=$B11)*('Giá công thức'!$B$11:$B$115=$C11)*('Giá công thức'!$C$11:$C$115="GB")*('Giá công thức'!$G$3:$AQ$3=G$1)*('Giá công thức'!$G$4:$AQ$4=G$2))=0,NA(),SUMPRODUCT('Giá công thức'!$G$11:$AQ$115*('Giá công thức'!$A$11:$A$115=$B11)*('Giá công thức'!$B$11:$B$115=$C11)*('Giá công thức'!$C$11:$C$115="GB")*('Giá công thức'!$G$3:$AQ$3=G$1)*('Giá công thức'!$G$4:$AQ$4=G$2)))</f>
        <v>1250</v>
      </c>
      <c r="H11" s="394" cm="1">
        <f t="array" ref="H11">IF(SUMPRODUCT('Giá công thức'!$G$11:$AQ$115*('Giá công thức'!$A$11:$A$115=$B11)*('Giá công thức'!$B$11:$B$115=$C11)*('Giá công thức'!$C$11:$C$115="GB")*('Giá công thức'!$G$3:$AQ$3=H$1)*('Giá công thức'!$G$4:$AQ$4=H$2))=0,NA(),SUMPRODUCT('Giá công thức'!$G$11:$AQ$115*('Giá công thức'!$A$11:$A$115=$B11)*('Giá công thức'!$B$11:$B$115=$C11)*('Giá công thức'!$C$11:$C$115="GB")*('Giá công thức'!$G$3:$AQ$3=H$1)*('Giá công thức'!$G$4:$AQ$4=H$2)))</f>
        <v>1250</v>
      </c>
      <c r="I11" s="394" cm="1">
        <f t="array" ref="I11">IF(SUMPRODUCT('Giá công thức'!$G$11:$AQ$115*('Giá công thức'!$A$11:$A$115=$B11)*('Giá công thức'!$B$11:$B$115=$C11)*('Giá công thức'!$C$11:$C$115="GB")*('Giá công thức'!$G$3:$AQ$3=I$1)*('Giá công thức'!$G$4:$AQ$4=I$2))=0,NA(),SUMPRODUCT('Giá công thức'!$G$11:$AQ$115*('Giá công thức'!$A$11:$A$115=$B11)*('Giá công thức'!$B$11:$B$115=$C11)*('Giá công thức'!$C$11:$C$115="GB")*('Giá công thức'!$G$3:$AQ$3=I$1)*('Giá công thức'!$G$4:$AQ$4=I$2)))</f>
        <v>1250</v>
      </c>
      <c r="J11" s="394" cm="1">
        <f t="array" ref="J11">IF(SUMPRODUCT('Giá công thức'!$G$11:$AQ$115*('Giá công thức'!$A$11:$A$115=$B11)*('Giá công thức'!$B$11:$B$115=$C11)*('Giá công thức'!$C$11:$C$115="GB")*('Giá công thức'!$G$3:$AQ$3=J$1)*('Giá công thức'!$G$4:$AQ$4=J$2))=0,NA(),SUMPRODUCT('Giá công thức'!$G$11:$AQ$115*('Giá công thức'!$A$11:$A$115=$B11)*('Giá công thức'!$B$11:$B$115=$C11)*('Giá công thức'!$C$11:$C$115="GB")*('Giá công thức'!$G$3:$AQ$3=J$1)*('Giá công thức'!$G$4:$AQ$4=J$2)))</f>
        <v>1250</v>
      </c>
      <c r="K11" s="394" cm="1">
        <f t="array" ref="K11">IF(SUMPRODUCT('Giá công thức'!$G$11:$AQ$115*('Giá công thức'!$A$11:$A$115=$B11)*('Giá công thức'!$B$11:$B$115=$C11)*('Giá công thức'!$C$11:$C$115="GB")*('Giá công thức'!$G$3:$AQ$3=K$1)*('Giá công thức'!$G$4:$AQ$4=K$2))=0,NA(),SUMPRODUCT('Giá công thức'!$G$11:$AQ$115*('Giá công thức'!$A$11:$A$115=$B11)*('Giá công thức'!$B$11:$B$115=$C11)*('Giá công thức'!$C$11:$C$115="GB")*('Giá công thức'!$G$3:$AQ$3=K$1)*('Giá công thức'!$G$4:$AQ$4=K$2)))</f>
        <v>1330</v>
      </c>
      <c r="L11" s="394" cm="1">
        <f t="array" ref="L11">IF(SUMPRODUCT('Giá công thức'!$G$11:$AQ$115*('Giá công thức'!$A$11:$A$115=$B11)*('Giá công thức'!$B$11:$B$115=$C11)*('Giá công thức'!$C$11:$C$115="GB")*('Giá công thức'!$G$3:$AQ$3=L$1)*('Giá công thức'!$G$4:$AQ$4=L$2))=0,NA(),SUMPRODUCT('Giá công thức'!$G$11:$AQ$115*('Giá công thức'!$A$11:$A$115=$B11)*('Giá công thức'!$B$11:$B$115=$C11)*('Giá công thức'!$C$11:$C$115="GB")*('Giá công thức'!$G$3:$AQ$3=L$1)*('Giá công thức'!$G$4:$AQ$4=L$2)))</f>
        <v>1330</v>
      </c>
      <c r="M11" s="394" cm="1">
        <f t="array" ref="M11">IF(SUMPRODUCT('Giá công thức'!$G$11:$AQ$115*('Giá công thức'!$A$11:$A$115=$B11)*('Giá công thức'!$B$11:$B$115=$C11)*('Giá công thức'!$C$11:$C$115="GB")*('Giá công thức'!$G$3:$AQ$3=M$1)*('Giá công thức'!$G$4:$AQ$4=M$2))=0,NA(),SUMPRODUCT('Giá công thức'!$G$11:$AQ$115*('Giá công thức'!$A$11:$A$115=$B11)*('Giá công thức'!$B$11:$B$115=$C11)*('Giá công thức'!$C$11:$C$115="GB")*('Giá công thức'!$G$3:$AQ$3=M$1)*('Giá công thức'!$G$4:$AQ$4=M$2)))</f>
        <v>1330</v>
      </c>
      <c r="N11" s="394" cm="1">
        <f t="array" ref="N11">IF(SUMPRODUCT('Giá công thức'!$G$11:$AQ$115*('Giá công thức'!$A$11:$A$115=$B11)*('Giá công thức'!$B$11:$B$115=$C11)*('Giá công thức'!$C$11:$C$115="GB")*('Giá công thức'!$G$3:$AQ$3=N$1)*('Giá công thức'!$G$4:$AQ$4=N$2))=0,NA(),SUMPRODUCT('Giá công thức'!$G$11:$AQ$115*('Giá công thức'!$A$11:$A$115=$B11)*('Giá công thức'!$B$11:$B$115=$C11)*('Giá công thức'!$C$11:$C$115="GB")*('Giá công thức'!$G$3:$AQ$3=N$1)*('Giá công thức'!$G$4:$AQ$4=N$2)))</f>
        <v>1330</v>
      </c>
      <c r="O11" s="394" cm="1">
        <f t="array" ref="O11">IF(SUMPRODUCT('Giá công thức'!$G$11:$AQ$115*('Giá công thức'!$A$11:$A$115=$B11)*('Giá công thức'!$B$11:$B$115=$C11)*('Giá công thức'!$C$11:$C$115="GB")*('Giá công thức'!$G$3:$AQ$3=O$1)*('Giá công thức'!$G$4:$AQ$4=O$2))=0,NA(),SUMPRODUCT('Giá công thức'!$G$11:$AQ$115*('Giá công thức'!$A$11:$A$115=$B11)*('Giá công thức'!$B$11:$B$115=$C11)*('Giá công thức'!$C$11:$C$115="GB")*('Giá công thức'!$G$3:$AQ$3=O$1)*('Giá công thức'!$G$4:$AQ$4=O$2)))</f>
        <v>1330</v>
      </c>
      <c r="P11" s="394" cm="1">
        <f t="array" ref="P11">IF(SUMPRODUCT('Giá công thức'!$G$11:$AQ$115*('Giá công thức'!$A$11:$A$115=$B11)*('Giá công thức'!$B$11:$B$115=$C11)*('Giá công thức'!$C$11:$C$115="GB")*('Giá công thức'!$G$3:$AQ$3=P$1)*('Giá công thức'!$G$4:$AQ$4=P$2))=0,NA(),SUMPRODUCT('Giá công thức'!$G$11:$AQ$115*('Giá công thức'!$A$11:$A$115=$B11)*('Giá công thức'!$B$11:$B$115=$C11)*('Giá công thức'!$C$11:$C$115="GB")*('Giá công thức'!$G$3:$AQ$3=P$1)*('Giá công thức'!$G$4:$AQ$4=P$2)))</f>
        <v>1330</v>
      </c>
      <c r="Q11" s="394" cm="1">
        <f t="array" ref="Q11">IF(SUMPRODUCT('Giá công thức'!$G$11:$AQ$115*('Giá công thức'!$A$11:$A$115=$B11)*('Giá công thức'!$B$11:$B$115=$C11)*('Giá công thức'!$C$11:$C$115="GB")*('Giá công thức'!$G$3:$AQ$3=Q$1)*('Giá công thức'!$G$4:$AQ$4=Q$2))=0,NA(),SUMPRODUCT('Giá công thức'!$G$11:$AQ$115*('Giá công thức'!$A$11:$A$115=$B11)*('Giá công thức'!$B$11:$B$115=$C11)*('Giá công thức'!$C$11:$C$115="GB")*('Giá công thức'!$G$3:$AQ$3=Q$1)*('Giá công thức'!$G$4:$AQ$4=Q$2)))</f>
        <v>1250</v>
      </c>
      <c r="R11" s="394" cm="1">
        <f t="array" ref="R11">IF(SUMPRODUCT('Giá công thức'!$G$11:$AQ$115*('Giá công thức'!$A$11:$A$115=$B11)*('Giá công thức'!$B$11:$B$115=$C11)*('Giá công thức'!$C$11:$C$115="GB")*('Giá công thức'!$G$3:$AQ$3=R$1)*('Giá công thức'!$G$4:$AQ$4=R$2))=0,NA(),SUMPRODUCT('Giá công thức'!$G$11:$AQ$115*('Giá công thức'!$A$11:$A$115=$B11)*('Giá công thức'!$B$11:$B$115=$C11)*('Giá công thức'!$C$11:$C$115="GB")*('Giá công thức'!$G$3:$AQ$3=R$1)*('Giá công thức'!$G$4:$AQ$4=R$2)))</f>
        <v>1250</v>
      </c>
      <c r="S11" s="394" cm="1">
        <f t="array" ref="S11">IF(SUMPRODUCT('Giá công thức'!$G$11:$AQ$115*('Giá công thức'!$A$11:$A$115=$B11)*('Giá công thức'!$B$11:$B$115=$C11)*('Giá công thức'!$C$11:$C$115="GB")*('Giá công thức'!$G$3:$AQ$3=S$1)*('Giá công thức'!$G$4:$AQ$4=S$2))=0,NA(),SUMPRODUCT('Giá công thức'!$G$11:$AQ$115*('Giá công thức'!$A$11:$A$115=$B11)*('Giá công thức'!$B$11:$B$115=$C11)*('Giá công thức'!$C$11:$C$115="GB")*('Giá công thức'!$G$3:$AQ$3=S$1)*('Giá công thức'!$G$4:$AQ$4=S$2)))</f>
        <v>1250</v>
      </c>
      <c r="T11" s="394" cm="1">
        <f t="array" ref="T11">IF(SUMPRODUCT('Giá công thức'!$G$11:$AQ$115*('Giá công thức'!$A$11:$A$115=$B11)*('Giá công thức'!$B$11:$B$115=$C11)*('Giá công thức'!$C$11:$C$115="GB")*('Giá công thức'!$G$3:$AQ$3=T$1)*('Giá công thức'!$G$4:$AQ$4=T$2))=0,NA(),SUMPRODUCT('Giá công thức'!$G$11:$AQ$115*('Giá công thức'!$A$11:$A$115=$B11)*('Giá công thức'!$B$11:$B$115=$C11)*('Giá công thức'!$C$11:$C$115="GB")*('Giá công thức'!$G$3:$AQ$3=T$1)*('Giá công thức'!$G$4:$AQ$4=T$2)))</f>
        <v>1250</v>
      </c>
      <c r="U11" s="394" cm="1">
        <f t="array" ref="U11">IF(SUMPRODUCT('Giá công thức'!$G$11:$AQ$115*('Giá công thức'!$A$11:$A$115=$B11)*('Giá công thức'!$B$11:$B$115=$C11)*('Giá công thức'!$C$11:$C$115="GB")*('Giá công thức'!$G$3:$AQ$3=U$1)*('Giá công thức'!$G$4:$AQ$4=U$2))=0,NA(),SUMPRODUCT('Giá công thức'!$G$11:$AQ$115*('Giá công thức'!$A$11:$A$115=$B11)*('Giá công thức'!$B$11:$B$115=$C11)*('Giá công thức'!$C$11:$C$115="GB")*('Giá công thức'!$G$3:$AQ$3=U$1)*('Giá công thức'!$G$4:$AQ$4=U$2)))</f>
        <v>1250</v>
      </c>
      <c r="V11" s="394" cm="1">
        <f t="array" ref="V11">IF(SUMPRODUCT('Giá công thức'!$G$11:$AQ$115*('Giá công thức'!$A$11:$A$115=$B11)*('Giá công thức'!$B$11:$B$115=$C11)*('Giá công thức'!$C$11:$C$115="GB")*('Giá công thức'!$G$3:$AQ$3=V$1)*('Giá công thức'!$G$4:$AQ$4=V$2))=0,NA(),SUMPRODUCT('Giá công thức'!$G$11:$AQ$115*('Giá công thức'!$A$11:$A$115=$B11)*('Giá công thức'!$B$11:$B$115=$C11)*('Giá công thức'!$C$11:$C$115="GB")*('Giá công thức'!$G$3:$AQ$3=V$1)*('Giá công thức'!$G$4:$AQ$4=V$2)))</f>
        <v>1250</v>
      </c>
      <c r="W11" s="394" t="e" cm="1">
        <f t="array" ref="W11">IF(SUMPRODUCT('Giá công thức'!$G$11:$AQ$115*('Giá công thức'!$A$11:$A$115=$B11)*('Giá công thức'!$B$11:$B$115=$C11)*('Giá công thức'!$C$11:$C$115="GB")*('Giá công thức'!$G$3:$AQ$3=W$1)*('Giá công thức'!$G$4:$AQ$4=W$2))=0,NA(),SUMPRODUCT('Giá công thức'!$G$11:$AQ$115*('Giá công thức'!$A$11:$A$115=$B11)*('Giá công thức'!$B$11:$B$115=$C11)*('Giá công thức'!$C$11:$C$115="GB")*('Giá công thức'!$G$3:$AQ$3=W$1)*('Giá công thức'!$G$4:$AQ$4=W$2)))</f>
        <v>#N/A</v>
      </c>
      <c r="X11" s="394" cm="1">
        <f t="array" ref="X11">IF(SUMPRODUCT('Giá công thức'!$G$11:$AQ$115*('Giá công thức'!$A$11:$A$115=$B11)*('Giá công thức'!$B$11:$B$115=$C11)*('Giá công thức'!$C$11:$C$115="GB")*('Giá công thức'!$G$3:$AQ$3=X$1)*('Giá công thức'!$G$4:$AQ$4=X$2))=0,NA(),SUMPRODUCT('Giá công thức'!$G$11:$AQ$115*('Giá công thức'!$A$11:$A$115=$B11)*('Giá công thức'!$B$11:$B$115=$C11)*('Giá công thức'!$C$11:$C$115="GB")*('Giá công thức'!$G$3:$AQ$3=X$1)*('Giá công thức'!$G$4:$AQ$4=X$2)))</f>
        <v>1303.8316268486917</v>
      </c>
      <c r="Y11" s="394" cm="1">
        <f t="array" ref="Y11">IF(SUMPRODUCT('Giá công thức'!$G$11:$AQ$115*('Giá công thức'!$A$11:$A$115=$B11)*('Giá công thức'!$B$11:$B$115=$C11)*('Giá công thức'!$C$11:$C$115="GB")*('Giá công thức'!$G$3:$AQ$3=Y$1)*('Giá công thức'!$G$4:$AQ$4=Y$2))=0,NA(),SUMPRODUCT('Giá công thức'!$G$11:$AQ$115*('Giá công thức'!$A$11:$A$115=$B11)*('Giá công thức'!$B$11:$B$115=$C11)*('Giá công thức'!$C$11:$C$115="GB")*('Giá công thức'!$G$3:$AQ$3=Y$1)*('Giá công thức'!$G$4:$AQ$4=Y$2)))</f>
        <v>1303.8316268486917</v>
      </c>
      <c r="Z11" s="394" cm="1">
        <f t="array" ref="Z11">IF(SUMPRODUCT('Giá công thức'!$G$11:$AQ$115*('Giá công thức'!$A$11:$A$115=$B11)*('Giá công thức'!$B$11:$B$115=$C11)*('Giá công thức'!$C$11:$C$115="GB")*('Giá công thức'!$G$3:$AQ$3=Z$1)*('Giá công thức'!$G$4:$AQ$4=Z$2))=0,NA(),SUMPRODUCT('Giá công thức'!$G$11:$AQ$115*('Giá công thức'!$A$11:$A$115=$B11)*('Giá công thức'!$B$11:$B$115=$C11)*('Giá công thức'!$C$11:$C$115="GB")*('Giá công thức'!$G$3:$AQ$3=Z$1)*('Giá công thức'!$G$4:$AQ$4=Z$2)))</f>
        <v>1303.8316268486917</v>
      </c>
      <c r="AA11" s="394" cm="1">
        <f t="array" ref="AA11">IF(SUMPRODUCT('Giá công thức'!$G$11:$AQ$115*('Giá công thức'!$A$11:$A$115=$B11)*('Giá công thức'!$B$11:$B$115=$C11)*('Giá công thức'!$C$11:$C$115="GB")*('Giá công thức'!$G$3:$AQ$3=AA$1)*('Giá công thức'!$G$4:$AQ$4=AA$2))=0,NA(),SUMPRODUCT('Giá công thức'!$G$11:$AQ$115*('Giá công thức'!$A$11:$A$115=$B11)*('Giá công thức'!$B$11:$B$115=$C11)*('Giá công thức'!$C$11:$C$115="GB")*('Giá công thức'!$G$3:$AQ$3=AA$1)*('Giá công thức'!$G$4:$AQ$4=AA$2)))</f>
        <v>1303.8316268486917</v>
      </c>
      <c r="AB11" s="394" cm="1">
        <f t="array" ref="AB11">IF(SUMPRODUCT('Giá công thức'!$G$11:$AQ$115*('Giá công thức'!$A$11:$A$115=$B11)*('Giá công thức'!$B$11:$B$115=$C11)*('Giá công thức'!$C$11:$C$115="GB")*('Giá công thức'!$G$3:$AQ$3=AB$1)*('Giá công thức'!$G$4:$AQ$4=AB$2))=0,NA(),SUMPRODUCT('Giá công thức'!$G$11:$AQ$115*('Giá công thức'!$A$11:$A$115=$B11)*('Giá công thức'!$B$11:$B$115=$C11)*('Giá công thức'!$C$11:$C$115="GB")*('Giá công thức'!$G$3:$AQ$3=AB$1)*('Giá công thức'!$G$4:$AQ$4=AB$2)))</f>
        <v>1303.8316268486917</v>
      </c>
      <c r="AC11" s="394" cm="1">
        <f t="array" ref="AC11">IF(SUMPRODUCT('Giá công thức'!$G$11:$AQ$115*('Giá công thức'!$A$11:$A$115=$B11)*('Giá công thức'!$B$11:$B$115=$C11)*('Giá công thức'!$C$11:$C$115="GB")*('Giá công thức'!$G$3:$AQ$3=AC$1)*('Giá công thức'!$G$4:$AQ$4=AC$2))=0,NA(),SUMPRODUCT('Giá công thức'!$G$11:$AQ$115*('Giá công thức'!$A$11:$A$115=$B11)*('Giá công thức'!$B$11:$B$115=$C11)*('Giá công thức'!$C$11:$C$115="GB")*('Giá công thức'!$G$3:$AQ$3=AC$1)*('Giá công thức'!$G$4:$AQ$4=AC$2)))</f>
        <v>1290</v>
      </c>
      <c r="AD11" s="394" cm="1">
        <f t="array" ref="AD11">IF(SUMPRODUCT('Giá công thức'!$G$11:$AQ$115*('Giá công thức'!$A$11:$A$115=$B11)*('Giá công thức'!$B$11:$B$115=$C11)*('Giá công thức'!$C$11:$C$115="GB")*('Giá công thức'!$G$3:$AQ$3=AD$1)*('Giá công thức'!$G$4:$AQ$4=AD$2))=0,NA(),SUMPRODUCT('Giá công thức'!$G$11:$AQ$115*('Giá công thức'!$A$11:$A$115=$B11)*('Giá công thức'!$B$11:$B$115=$C11)*('Giá công thức'!$C$11:$C$115="GB")*('Giá công thức'!$G$3:$AQ$3=AD$1)*('Giá công thức'!$G$4:$AQ$4=AD$2)))</f>
        <v>1290</v>
      </c>
      <c r="AE11" s="394" cm="1">
        <f t="array" ref="AE11">IF(SUMPRODUCT('Giá công thức'!$G$11:$AQ$115*('Giá công thức'!$A$11:$A$115=$B11)*('Giá công thức'!$B$11:$B$115=$C11)*('Giá công thức'!$C$11:$C$115="GB")*('Giá công thức'!$G$3:$AQ$3=AE$1)*('Giá công thức'!$G$4:$AQ$4=AE$2))=0,NA(),SUMPRODUCT('Giá công thức'!$G$11:$AQ$115*('Giá công thức'!$A$11:$A$115=$B11)*('Giá công thức'!$B$11:$B$115=$C11)*('Giá công thức'!$C$11:$C$115="GB")*('Giá công thức'!$G$3:$AQ$3=AE$1)*('Giá công thức'!$G$4:$AQ$4=AE$2)))</f>
        <v>1290</v>
      </c>
      <c r="AF11" s="394" cm="1">
        <f t="array" ref="AF11">IF(SUMPRODUCT('Giá công thức'!$G$11:$AQ$115*('Giá công thức'!$A$11:$A$115=$B11)*('Giá công thức'!$B$11:$B$115=$C11)*('Giá công thức'!$C$11:$C$115="GB")*('Giá công thức'!$G$3:$AQ$3=AF$1)*('Giá công thức'!$G$4:$AQ$4=AF$2))=0,NA(),SUMPRODUCT('Giá công thức'!$G$11:$AQ$115*('Giá công thức'!$A$11:$A$115=$B11)*('Giá công thức'!$B$11:$B$115=$C11)*('Giá công thức'!$C$11:$C$115="GB")*('Giá công thức'!$G$3:$AQ$3=AF$1)*('Giá công thức'!$G$4:$AQ$4=AF$2)))</f>
        <v>1290</v>
      </c>
      <c r="AG11" s="394" cm="1">
        <f t="array" ref="AG11">IF(SUMPRODUCT('Giá công thức'!$G$11:$AQ$115*('Giá công thức'!$A$11:$A$115=$B11)*('Giá công thức'!$B$11:$B$115=$C11)*('Giá công thức'!$C$11:$C$115="GB")*('Giá công thức'!$G$3:$AQ$3=AG$1)*('Giá công thức'!$G$4:$AQ$4=AG$2))=0,NA(),SUMPRODUCT('Giá công thức'!$G$11:$AQ$115*('Giá công thức'!$A$11:$A$115=$B11)*('Giá công thức'!$B$11:$B$115=$C11)*('Giá công thức'!$C$11:$C$115="GB")*('Giá công thức'!$G$3:$AQ$3=AG$1)*('Giá công thức'!$G$4:$AQ$4=AG$2)))</f>
        <v>1290</v>
      </c>
      <c r="AH11" s="394" cm="1">
        <f t="array" ref="AH11">IF(SUMPRODUCT('Giá công thức'!$G$11:$AQ$115*('Giá công thức'!$A$11:$A$115=$B11)*('Giá công thức'!$B$11:$B$115=$C11)*('Giá công thức'!$C$11:$C$115="GB")*('Giá công thức'!$G$3:$AQ$3=AH$1)*('Giá công thức'!$G$4:$AQ$4=AH$2))=0,NA(),SUMPRODUCT('Giá công thức'!$G$11:$AQ$115*('Giá công thức'!$A$11:$A$115=$B11)*('Giá công thức'!$B$11:$B$115=$C11)*('Giá công thức'!$C$11:$C$115="GB")*('Giá công thức'!$G$3:$AQ$3=AH$1)*('Giá công thức'!$G$4:$AQ$4=AH$2)))</f>
        <v>1290</v>
      </c>
      <c r="AI11" s="394"/>
      <c r="AJ11" s="394"/>
      <c r="AK11" s="394"/>
      <c r="AL11" s="394"/>
      <c r="AM11" s="394"/>
      <c r="AN11" s="394"/>
      <c r="AO11" s="422">
        <f>INDEX($E11:$AN11,MATCH("X",$E$3:$AN$3,0))</f>
        <v>1290</v>
      </c>
    </row>
    <row r="12" spans="1:41" s="137" customFormat="1" x14ac:dyDescent="0.3">
      <c r="A12" s="137" t="s">
        <v>15</v>
      </c>
      <c r="C12" s="137" t="s">
        <v>15</v>
      </c>
      <c r="D12" s="137" t="s">
        <v>17</v>
      </c>
      <c r="E12" s="397" cm="1">
        <f t="array" ref="E12">SUMPRODUCT(General_Data*(Code_General_Data=$A12)*(Year=E$1)*(Month=E$2))</f>
        <v>1250</v>
      </c>
      <c r="F12" s="397" cm="1">
        <f t="array" ref="F12">SUMPRODUCT(General_Data*(Code_General_Data=$A12)*(Year=F$1)*(Month=F$2))</f>
        <v>1250</v>
      </c>
      <c r="G12" s="397" cm="1">
        <f t="array" ref="G12">SUMPRODUCT(General_Data*(Code_General_Data=$A12)*(Year=G$1)*(Month=G$2))</f>
        <v>1250</v>
      </c>
      <c r="H12" s="397" cm="1">
        <f t="array" ref="H12">SUMPRODUCT(General_Data*(Code_General_Data=$A12)*(Year=H$1)*(Month=H$2))</f>
        <v>1250</v>
      </c>
      <c r="I12" s="397" cm="1">
        <f t="array" ref="I12">SUMPRODUCT(General_Data*(Code_General_Data=$A12)*(Year=I$1)*(Month=I$2))</f>
        <v>1300</v>
      </c>
      <c r="J12" s="397" cm="1">
        <f t="array" ref="J12">SUMPRODUCT(General_Data*(Code_General_Data=$A12)*(Year=J$1)*(Month=J$2))</f>
        <v>1300</v>
      </c>
      <c r="K12" s="397" cm="1">
        <f t="array" ref="K12">SUMPRODUCT(General_Data*(Code_General_Data=$A12)*(Year=K$1)*(Month=K$2))</f>
        <v>1300</v>
      </c>
      <c r="L12" s="397" cm="1">
        <f t="array" ref="L12">SUMPRODUCT(General_Data*(Code_General_Data=$A12)*(Year=L$1)*(Month=L$2))</f>
        <v>1300</v>
      </c>
      <c r="M12" s="397" cm="1">
        <f t="array" ref="M12">SUMPRODUCT(General_Data*(Code_General_Data=$A12)*(Year=M$1)*(Month=M$2))</f>
        <v>1310</v>
      </c>
      <c r="N12" s="397" cm="1">
        <f t="array" ref="N12">SUMPRODUCT(General_Data*(Code_General_Data=$A12)*(Year=N$1)*(Month=N$2))</f>
        <v>1325</v>
      </c>
      <c r="O12" s="397" cm="1">
        <f t="array" ref="O12">SUMPRODUCT(General_Data*(Code_General_Data=$A12)*(Year=O$1)*(Month=O$2))</f>
        <v>1325</v>
      </c>
      <c r="P12" s="397" cm="1">
        <f t="array" ref="P12">SUMPRODUCT(General_Data*(Code_General_Data=$A12)*(Year=P$1)*(Month=P$2))</f>
        <v>1275</v>
      </c>
      <c r="Q12" s="397" cm="1">
        <f t="array" ref="Q12">SUMPRODUCT(General_Data*(Code_General_Data=$A12)*(Year=Q$1)*(Month=Q$2))</f>
        <v>1230</v>
      </c>
      <c r="R12" s="397" cm="1">
        <f t="array" ref="R12">SUMPRODUCT(General_Data*(Code_General_Data=$A12)*(Year=R$1)*(Month=R$2))</f>
        <v>1230</v>
      </c>
      <c r="S12" s="397" cm="1">
        <f t="array" ref="S12">SUMPRODUCT(General_Data*(Code_General_Data=$A12)*(Year=S$1)*(Month=S$2))</f>
        <v>1230</v>
      </c>
      <c r="T12" s="397" cm="1">
        <f t="array" ref="T12">SUMPRODUCT(General_Data*(Code_General_Data=$A12)*(Year=T$1)*(Month=T$2))</f>
        <v>1250</v>
      </c>
      <c r="U12" s="397" cm="1">
        <f t="array" ref="U12">SUMPRODUCT(General_Data*(Code_General_Data=$A12)*(Year=U$1)*(Month=U$2))</f>
        <v>1250</v>
      </c>
      <c r="V12" s="397" cm="1">
        <f t="array" ref="V12">SUMPRODUCT(General_Data*(Code_General_Data=$A12)*(Year=V$1)*(Month=V$2))</f>
        <v>1250</v>
      </c>
      <c r="W12" s="397" cm="1">
        <f t="array" ref="W12">SUMPRODUCT(General_Data*(Code_General_Data=$A12)*(Year=W$1)*(Month=W$2))</f>
        <v>1250</v>
      </c>
      <c r="X12" s="397" cm="1">
        <f t="array" ref="X12">SUMPRODUCT(General_Data*(Code_General_Data=$A12)*(Year=X$1)*(Month=X$2))</f>
        <v>1220</v>
      </c>
      <c r="Y12" s="397" cm="1">
        <f t="array" ref="Y12">SUMPRODUCT(General_Data*(Code_General_Data=$A12)*(Year=Y$1)*(Month=Y$2))</f>
        <v>1220</v>
      </c>
      <c r="Z12" s="397" cm="1">
        <f t="array" ref="Z12">SUMPRODUCT(General_Data*(Code_General_Data=$A12)*(Year=Z$1)*(Month=Z$2))</f>
        <v>1210</v>
      </c>
      <c r="AA12" s="397" cm="1">
        <f t="array" ref="AA12">SUMPRODUCT(General_Data*(Code_General_Data=$A12)*(Year=AA$1)*(Month=AA$2))</f>
        <v>1200</v>
      </c>
      <c r="AB12" s="397" cm="1">
        <f t="array" ref="AB12">SUMPRODUCT(General_Data*(Code_General_Data=$A12)*(Year=AB$1)*(Month=AB$2))</f>
        <v>1200</v>
      </c>
      <c r="AC12" s="397" cm="1">
        <f t="array" ref="AC12">SUMPRODUCT(General_Data*(Code_General_Data=$A12)*(Year=AC$1)*(Month=AC$2))</f>
        <v>1160</v>
      </c>
      <c r="AD12" s="397" cm="1">
        <f t="array" ref="AD12">SUMPRODUCT(General_Data*(Code_General_Data=$A12)*(Year=AD$1)*(Month=AD$2))</f>
        <v>1160</v>
      </c>
      <c r="AE12" s="397" cm="1">
        <f t="array" ref="AE12">SUMPRODUCT(General_Data*(Code_General_Data=$A12)*(Year=AE$1)*(Month=AE$2))</f>
        <v>1160</v>
      </c>
      <c r="AF12" s="397" cm="1">
        <f t="array" ref="AF12">SUMPRODUCT(General_Data*(Code_General_Data=$A12)*(Year=AF$1)*(Month=AF$2))</f>
        <v>1280</v>
      </c>
      <c r="AG12" s="397" cm="1">
        <f t="array" ref="AG12">SUMPRODUCT(General_Data*(Code_General_Data=$A12)*(Year=AG$1)*(Month=AG$2))</f>
        <v>1380</v>
      </c>
      <c r="AH12" s="397" cm="1">
        <f t="array" ref="AH12">SUMPRODUCT(General_Data*(Code_General_Data=$A12)*(Year=AH$1)*(Month=AH$2))</f>
        <v>1350</v>
      </c>
      <c r="AI12" s="397"/>
      <c r="AJ12" s="397"/>
      <c r="AK12" s="397"/>
      <c r="AL12" s="397"/>
      <c r="AM12" s="397"/>
      <c r="AN12" s="397"/>
      <c r="AO12" s="423">
        <f>INDEX($E12:$AN12,MATCH("X",$E$3:$AN$3,0))</f>
        <v>1350</v>
      </c>
    </row>
    <row r="13" spans="1:41" s="395" customFormat="1" x14ac:dyDescent="0.3">
      <c r="A13" s="395" t="s">
        <v>9</v>
      </c>
      <c r="D13" s="395" t="s">
        <v>11</v>
      </c>
      <c r="E13" s="396" cm="1">
        <f t="array" ref="E13">SUMPRODUCT(General_Data*(Code_General_Data=$A13)*(Year=E$1)*(Month=E$2))</f>
        <v>930</v>
      </c>
      <c r="F13" s="396" cm="1">
        <f t="array" ref="F13">SUMPRODUCT(General_Data*(Code_General_Data=$A13)*(Year=F$1)*(Month=F$2))</f>
        <v>943.33333333333337</v>
      </c>
      <c r="G13" s="396" cm="1">
        <f t="array" ref="G13">SUMPRODUCT(General_Data*(Code_General_Data=$A13)*(Year=G$1)*(Month=G$2))</f>
        <v>940</v>
      </c>
      <c r="H13" s="396" cm="1">
        <f t="array" ref="H13">SUMPRODUCT(General_Data*(Code_General_Data=$A13)*(Year=H$1)*(Month=H$2))</f>
        <v>940</v>
      </c>
      <c r="I13" s="396" cm="1">
        <f t="array" ref="I13">SUMPRODUCT(General_Data*(Code_General_Data=$A13)*(Year=I$1)*(Month=I$2))</f>
        <v>942</v>
      </c>
      <c r="J13" s="396" cm="1">
        <f t="array" ref="J13">SUMPRODUCT(General_Data*(Code_General_Data=$A13)*(Year=J$1)*(Month=J$2))</f>
        <v>950</v>
      </c>
      <c r="K13" s="396" cm="1">
        <f t="array" ref="K13">SUMPRODUCT(General_Data*(Code_General_Data=$A13)*(Year=K$1)*(Month=K$2))</f>
        <v>947.5</v>
      </c>
      <c r="L13" s="396" cm="1">
        <f t="array" ref="L13">SUMPRODUCT(General_Data*(Code_General_Data=$A13)*(Year=L$1)*(Month=L$2))</f>
        <v>930</v>
      </c>
      <c r="M13" s="396" cm="1">
        <f t="array" ref="M13">SUMPRODUCT(General_Data*(Code_General_Data=$A13)*(Year=M$1)*(Month=M$2))</f>
        <v>880</v>
      </c>
      <c r="N13" s="396" cm="1">
        <f t="array" ref="N13">SUMPRODUCT(General_Data*(Code_General_Data=$A13)*(Year=N$1)*(Month=N$2))</f>
        <v>862.5</v>
      </c>
      <c r="O13" s="396" cm="1">
        <f t="array" ref="O13">SUMPRODUCT(General_Data*(Code_General_Data=$A13)*(Year=O$1)*(Month=O$2))</f>
        <v>852</v>
      </c>
      <c r="P13" s="396" cm="1">
        <f t="array" ref="P13">SUMPRODUCT(General_Data*(Code_General_Data=$A13)*(Year=P$1)*(Month=P$2))</f>
        <v>830</v>
      </c>
      <c r="Q13" s="396" cm="1">
        <f t="array" ref="Q13">SUMPRODUCT(General_Data*(Code_General_Data=$A13)*(Year=Q$1)*(Month=Q$2))</f>
        <v>828</v>
      </c>
      <c r="R13" s="396" cm="1">
        <f t="array" ref="R13">SUMPRODUCT(General_Data*(Code_General_Data=$A13)*(Year=R$1)*(Month=R$2))</f>
        <v>840</v>
      </c>
      <c r="S13" s="396" cm="1">
        <f t="array" ref="S13">SUMPRODUCT(General_Data*(Code_General_Data=$A13)*(Year=S$1)*(Month=S$2))</f>
        <v>823</v>
      </c>
      <c r="T13" s="396" cm="1">
        <f t="array" ref="T13">SUMPRODUCT(General_Data*(Code_General_Data=$A13)*(Year=T$1)*(Month=T$2))</f>
        <v>765</v>
      </c>
      <c r="U13" s="396" cm="1">
        <f t="array" ref="U13">SUMPRODUCT(General_Data*(Code_General_Data=$A13)*(Year=U$1)*(Month=U$2))</f>
        <v>782</v>
      </c>
      <c r="V13" s="396" cm="1">
        <f t="array" ref="V13">SUMPRODUCT(General_Data*(Code_General_Data=$A13)*(Year=V$1)*(Month=V$2))</f>
        <v>807.5</v>
      </c>
      <c r="W13" s="396" cm="1">
        <f t="array" ref="W13">SUMPRODUCT(General_Data*(Code_General_Data=$A13)*(Year=W$1)*(Month=W$2))</f>
        <v>802</v>
      </c>
      <c r="X13" s="396" cm="1">
        <f t="array" ref="X13">SUMPRODUCT(General_Data*(Code_General_Data=$A13)*(Year=X$1)*(Month=X$2))</f>
        <v>795</v>
      </c>
      <c r="Y13" s="396" cm="1">
        <f t="array" ref="Y13">SUMPRODUCT(General_Data*(Code_General_Data=$A13)*(Year=Y$1)*(Month=Y$2))</f>
        <v>783</v>
      </c>
      <c r="Z13" s="396" cm="1">
        <f t="array" ref="Z13">SUMPRODUCT(General_Data*(Code_General_Data=$A13)*(Year=Z$1)*(Month=Z$2))</f>
        <v>772</v>
      </c>
      <c r="AA13" s="396" cm="1">
        <f t="array" ref="AA13">SUMPRODUCT(General_Data*(Code_General_Data=$A13)*(Year=AA$1)*(Month=AA$2))</f>
        <v>770</v>
      </c>
      <c r="AB13" s="396" cm="1">
        <f t="array" ref="AB13">SUMPRODUCT(General_Data*(Code_General_Data=$A13)*(Year=AB$1)*(Month=AB$2))</f>
        <v>772.5</v>
      </c>
      <c r="AC13" s="396" cm="1">
        <f t="array" ref="AC13">SUMPRODUCT(General_Data*(Code_General_Data=$A13)*(Year=AC$1)*(Month=AC$2))</f>
        <v>805</v>
      </c>
      <c r="AD13" s="396" cm="1">
        <f t="array" ref="AD13">SUMPRODUCT(General_Data*(Code_General_Data=$A13)*(Year=AD$1)*(Month=AD$2))</f>
        <v>840</v>
      </c>
      <c r="AE13" s="396" cm="1">
        <f t="array" ref="AE13">SUMPRODUCT(General_Data*(Code_General_Data=$A13)*(Year=AE$1)*(Month=AE$2))</f>
        <v>1109</v>
      </c>
      <c r="AF13" s="396" cm="1">
        <f t="array" ref="AF13">SUMPRODUCT(General_Data*(Code_General_Data=$A13)*(Year=AF$1)*(Month=AF$2))</f>
        <v>1194</v>
      </c>
      <c r="AG13" s="396" cm="1">
        <f t="array" ref="AG13">SUMPRODUCT(General_Data*(Code_General_Data=$A13)*(Year=AG$1)*(Month=AG$2))</f>
        <v>1216</v>
      </c>
      <c r="AH13" s="396" cm="1">
        <f t="array" ref="AH13">SUMPRODUCT(General_Data*(Code_General_Data=$A13)*(Year=AH$1)*(Month=AH$2))</f>
        <v>1190</v>
      </c>
      <c r="AI13" s="396"/>
      <c r="AJ13" s="396"/>
      <c r="AK13" s="396"/>
      <c r="AL13" s="396"/>
      <c r="AM13" s="396"/>
      <c r="AN13" s="396"/>
      <c r="AO13" s="424">
        <f>INDEX($E13:$AN13,MATCH("X",$E$3:$AN$3,0))</f>
        <v>1190</v>
      </c>
    </row>
    <row r="14" spans="1:41" s="402" customFormat="1" x14ac:dyDescent="0.3">
      <c r="D14" s="402" t="s">
        <v>392</v>
      </c>
      <c r="E14" s="403">
        <f>E12-E13</f>
        <v>320</v>
      </c>
      <c r="F14" s="403">
        <f t="shared" ref="F14:AB14" si="1">F12-F13</f>
        <v>306.66666666666663</v>
      </c>
      <c r="G14" s="403">
        <f t="shared" si="1"/>
        <v>310</v>
      </c>
      <c r="H14" s="403">
        <f t="shared" si="1"/>
        <v>310</v>
      </c>
      <c r="I14" s="403">
        <f t="shared" si="1"/>
        <v>358</v>
      </c>
      <c r="J14" s="403">
        <f t="shared" si="1"/>
        <v>350</v>
      </c>
      <c r="K14" s="403">
        <f t="shared" si="1"/>
        <v>352.5</v>
      </c>
      <c r="L14" s="403">
        <f t="shared" si="1"/>
        <v>370</v>
      </c>
      <c r="M14" s="403">
        <f t="shared" si="1"/>
        <v>430</v>
      </c>
      <c r="N14" s="403">
        <f t="shared" si="1"/>
        <v>462.5</v>
      </c>
      <c r="O14" s="403">
        <f t="shared" si="1"/>
        <v>473</v>
      </c>
      <c r="P14" s="403">
        <f t="shared" si="1"/>
        <v>445</v>
      </c>
      <c r="Q14" s="403">
        <f t="shared" si="1"/>
        <v>402</v>
      </c>
      <c r="R14" s="403">
        <f t="shared" si="1"/>
        <v>390</v>
      </c>
      <c r="S14" s="403">
        <f t="shared" si="1"/>
        <v>407</v>
      </c>
      <c r="T14" s="403">
        <f t="shared" si="1"/>
        <v>485</v>
      </c>
      <c r="U14" s="403">
        <f t="shared" si="1"/>
        <v>468</v>
      </c>
      <c r="V14" s="403">
        <f t="shared" si="1"/>
        <v>442.5</v>
      </c>
      <c r="W14" s="403">
        <f t="shared" si="1"/>
        <v>448</v>
      </c>
      <c r="X14" s="403">
        <f t="shared" si="1"/>
        <v>425</v>
      </c>
      <c r="Y14" s="403">
        <f t="shared" si="1"/>
        <v>437</v>
      </c>
      <c r="Z14" s="403">
        <f t="shared" si="1"/>
        <v>438</v>
      </c>
      <c r="AA14" s="403">
        <f t="shared" si="1"/>
        <v>430</v>
      </c>
      <c r="AB14" s="403">
        <f t="shared" si="1"/>
        <v>427.5</v>
      </c>
      <c r="AC14" s="403">
        <f t="shared" ref="AC14:AF14" si="2">AC12-AC13</f>
        <v>355</v>
      </c>
      <c r="AD14" s="403">
        <f t="shared" si="2"/>
        <v>320</v>
      </c>
      <c r="AE14" s="403">
        <f t="shared" si="2"/>
        <v>51</v>
      </c>
      <c r="AF14" s="403">
        <f t="shared" si="2"/>
        <v>86</v>
      </c>
      <c r="AG14" s="403">
        <f t="shared" ref="AG14:AH14" si="3">AG12-AG13</f>
        <v>164</v>
      </c>
      <c r="AH14" s="403">
        <f t="shared" si="3"/>
        <v>160</v>
      </c>
      <c r="AI14" s="403"/>
      <c r="AJ14" s="403"/>
      <c r="AK14" s="403"/>
      <c r="AL14" s="403"/>
      <c r="AM14" s="403"/>
      <c r="AN14" s="403"/>
      <c r="AO14" s="425"/>
    </row>
    <row r="15" spans="1:41" s="404" customFormat="1" x14ac:dyDescent="0.3">
      <c r="D15" s="404" t="s">
        <v>370</v>
      </c>
      <c r="E15" s="405">
        <f t="shared" ref="E15:AO15" si="4">IFERROR(E14/E13,0)</f>
        <v>0.34408602150537637</v>
      </c>
      <c r="F15" s="405">
        <f t="shared" si="4"/>
        <v>0.32508833922261476</v>
      </c>
      <c r="G15" s="405">
        <f t="shared" si="4"/>
        <v>0.32978723404255317</v>
      </c>
      <c r="H15" s="405">
        <f t="shared" si="4"/>
        <v>0.32978723404255317</v>
      </c>
      <c r="I15" s="405">
        <f t="shared" si="4"/>
        <v>0.38004246284501064</v>
      </c>
      <c r="J15" s="405">
        <f t="shared" si="4"/>
        <v>0.36842105263157893</v>
      </c>
      <c r="K15" s="405">
        <f t="shared" si="4"/>
        <v>0.37203166226912932</v>
      </c>
      <c r="L15" s="405">
        <f t="shared" si="4"/>
        <v>0.39784946236559138</v>
      </c>
      <c r="M15" s="405">
        <f t="shared" si="4"/>
        <v>0.48863636363636365</v>
      </c>
      <c r="N15" s="405">
        <f t="shared" si="4"/>
        <v>0.53623188405797106</v>
      </c>
      <c r="O15" s="405">
        <f t="shared" si="4"/>
        <v>0.55516431924882625</v>
      </c>
      <c r="P15" s="405">
        <f t="shared" si="4"/>
        <v>0.53614457831325302</v>
      </c>
      <c r="Q15" s="405">
        <f t="shared" si="4"/>
        <v>0.48550724637681159</v>
      </c>
      <c r="R15" s="405">
        <f t="shared" si="4"/>
        <v>0.4642857142857143</v>
      </c>
      <c r="S15" s="405">
        <f t="shared" si="4"/>
        <v>0.49453219927095993</v>
      </c>
      <c r="T15" s="405">
        <f t="shared" si="4"/>
        <v>0.63398692810457513</v>
      </c>
      <c r="U15" s="405">
        <f t="shared" si="4"/>
        <v>0.59846547314578002</v>
      </c>
      <c r="V15" s="405">
        <f t="shared" si="4"/>
        <v>0.54798761609907121</v>
      </c>
      <c r="W15" s="405">
        <f t="shared" si="4"/>
        <v>0.55860349127182041</v>
      </c>
      <c r="X15" s="405">
        <f t="shared" si="4"/>
        <v>0.53459119496855345</v>
      </c>
      <c r="Y15" s="405">
        <f t="shared" si="4"/>
        <v>0.55810983397190295</v>
      </c>
      <c r="Z15" s="405">
        <f t="shared" si="4"/>
        <v>0.56735751295336789</v>
      </c>
      <c r="AA15" s="405">
        <f t="shared" si="4"/>
        <v>0.55844155844155841</v>
      </c>
      <c r="AB15" s="405">
        <f t="shared" si="4"/>
        <v>0.55339805825242716</v>
      </c>
      <c r="AC15" s="405">
        <f t="shared" ref="AC15:AF15" si="5">IFERROR(AC14/AC13,0)</f>
        <v>0.44099378881987578</v>
      </c>
      <c r="AD15" s="405">
        <f t="shared" si="5"/>
        <v>0.38095238095238093</v>
      </c>
      <c r="AE15" s="405">
        <f t="shared" si="5"/>
        <v>4.5987376014427414E-2</v>
      </c>
      <c r="AF15" s="405">
        <f t="shared" si="5"/>
        <v>7.2026800670016752E-2</v>
      </c>
      <c r="AG15" s="405">
        <f t="shared" ref="AG15:AH15" si="6">IFERROR(AG14/AG13,0)</f>
        <v>0.13486842105263158</v>
      </c>
      <c r="AH15" s="405">
        <f t="shared" si="6"/>
        <v>0.13445378151260504</v>
      </c>
      <c r="AI15" s="405"/>
      <c r="AJ15" s="405"/>
      <c r="AK15" s="405"/>
      <c r="AL15" s="405"/>
      <c r="AM15" s="405"/>
      <c r="AN15" s="405"/>
      <c r="AO15" s="426">
        <f t="shared" si="4"/>
        <v>0</v>
      </c>
    </row>
    <row r="16" spans="1:41" s="483" customFormat="1" x14ac:dyDescent="0.3">
      <c r="A16" s="483" t="s">
        <v>536</v>
      </c>
      <c r="C16" s="483" t="s">
        <v>34</v>
      </c>
      <c r="D16" s="483" t="s">
        <v>544</v>
      </c>
      <c r="E16" s="590" cm="1">
        <f t="array" ref="E16">SUMPRODUCT(General_Data*(Code_General_Data=$A16)*(Year=E$1)*(Month=E$2))</f>
        <v>938.00332713685475</v>
      </c>
      <c r="F16" s="590" cm="1">
        <f t="array" ref="F16">SUMPRODUCT(General_Data*(Code_General_Data=$A16)*(Year=F$1)*(Month=F$2))</f>
        <v>982.91020787382229</v>
      </c>
      <c r="G16" s="590" cm="1">
        <f t="array" ref="G16">SUMPRODUCT(General_Data*(Code_General_Data=$A16)*(Year=G$1)*(Month=G$2))</f>
        <v>970.37666742732642</v>
      </c>
      <c r="H16" s="590" cm="1">
        <f t="array" ref="H16">SUMPRODUCT(General_Data*(Code_General_Data=$A16)*(Year=H$1)*(Month=H$2))</f>
        <v>957.76248295128426</v>
      </c>
      <c r="I16" s="590" cm="1">
        <f t="array" ref="I16">SUMPRODUCT(General_Data*(Code_General_Data=$A16)*(Year=I$1)*(Month=I$2))</f>
        <v>996.74617835286244</v>
      </c>
      <c r="J16" s="590" cm="1">
        <f t="array" ref="J16">SUMPRODUCT(General_Data*(Code_General_Data=$A16)*(Year=J$1)*(Month=J$2))</f>
        <v>973.77247896855715</v>
      </c>
      <c r="K16" s="590" cm="1">
        <f t="array" ref="K16">SUMPRODUCT(General_Data*(Code_General_Data=$A16)*(Year=K$1)*(Month=K$2))</f>
        <v>969.69530539039147</v>
      </c>
      <c r="L16" s="590" cm="1">
        <f t="array" ref="L16">SUMPRODUCT(General_Data*(Code_General_Data=$A16)*(Year=L$1)*(Month=L$2))</f>
        <v>1006.8708459332037</v>
      </c>
      <c r="M16" s="590" cm="1">
        <f t="array" ref="M16">SUMPRODUCT(General_Data*(Code_General_Data=$A16)*(Year=M$1)*(Month=M$2))</f>
        <v>1018.6404734495525</v>
      </c>
      <c r="N16" s="590" cm="1">
        <f t="array" ref="N16">SUMPRODUCT(General_Data*(Code_General_Data=$A16)*(Year=N$1)*(Month=N$2))</f>
        <v>1010.041069863276</v>
      </c>
      <c r="O16" s="590" cm="1">
        <f t="array" ref="O16">SUMPRODUCT(General_Data*(Code_General_Data=$A16)*(Year=O$1)*(Month=O$2))</f>
        <v>940.8759784658605</v>
      </c>
      <c r="P16" s="590" cm="1">
        <f t="array" ref="P16">SUMPRODUCT(General_Data*(Code_General_Data=$A16)*(Year=P$1)*(Month=P$2))</f>
        <v>994.95995124537069</v>
      </c>
      <c r="Q16" s="590" cm="1">
        <f t="array" ref="Q16">SUMPRODUCT(General_Data*(Code_General_Data=$A16)*(Year=Q$1)*(Month=Q$2))</f>
        <v>1022.644790155671</v>
      </c>
      <c r="R16" s="590" cm="1">
        <f t="array" ref="R16">SUMPRODUCT(General_Data*(Code_General_Data=$A16)*(Year=R$1)*(Month=R$2))</f>
        <v>997.57029815164424</v>
      </c>
      <c r="S16" s="590" cm="1">
        <f t="array" ref="S16">SUMPRODUCT(General_Data*(Code_General_Data=$A16)*(Year=S$1)*(Month=S$2))</f>
        <v>1038.2328000052635</v>
      </c>
      <c r="T16" s="590" cm="1">
        <f t="array" ref="T16">SUMPRODUCT(General_Data*(Code_General_Data=$A16)*(Year=T$1)*(Month=T$2))</f>
        <v>1049.2389361117994</v>
      </c>
      <c r="U16" s="590" cm="1">
        <f t="array" ref="U16">SUMPRODUCT(General_Data*(Code_General_Data=$A16)*(Year=U$1)*(Month=U$2))</f>
        <v>1056.23470956606</v>
      </c>
      <c r="V16" s="590" cm="1">
        <f t="array" ref="V16">SUMPRODUCT(General_Data*(Code_General_Data=$A16)*(Year=V$1)*(Month=V$2))</f>
        <v>1083.9796017724277</v>
      </c>
      <c r="W16" s="590" cm="1">
        <f t="array" ref="W16">SUMPRODUCT(General_Data*(Code_General_Data=$A16)*(Year=W$1)*(Month=W$2))</f>
        <v>1101.0137162728529</v>
      </c>
      <c r="X16" s="590" cm="1">
        <f t="array" ref="X16">SUMPRODUCT(General_Data*(Code_General_Data=$A16)*(Year=X$1)*(Month=X$2))</f>
        <v>1067.6642432947524</v>
      </c>
      <c r="Y16" s="590" cm="1">
        <f t="array" ref="Y16">SUMPRODUCT(General_Data*(Code_General_Data=$A16)*(Year=Y$1)*(Month=Y$2))</f>
        <v>1027.2023803315501</v>
      </c>
      <c r="Z16" s="590" cm="1">
        <f t="array" ref="Z16">SUMPRODUCT(General_Data*(Code_General_Data=$A16)*(Year=Z$1)*(Month=Z$2))</f>
        <v>1013.6475053597588</v>
      </c>
      <c r="AA16" s="590" cm="1">
        <f t="array" ref="AA16">SUMPRODUCT(General_Data*(Code_General_Data=$A16)*(Year=AA$1)*(Month=AA$2))</f>
        <v>1015.4108007764045</v>
      </c>
      <c r="AB16" s="590" cm="1">
        <f t="array" ref="AB16">SUMPRODUCT(General_Data*(Code_General_Data=$A16)*(Year=AB$1)*(Month=AB$2))</f>
        <v>1001.3639836863899</v>
      </c>
      <c r="AC16" s="590" cm="1">
        <f t="array" ref="AC16">SUMPRODUCT(General_Data*(Code_General_Data=$A16)*(Year=AC$1)*(Month=AC$2))</f>
        <v>1007.3787472796128</v>
      </c>
      <c r="AD16" s="590" cm="1">
        <f t="array" ref="AD16">SUMPRODUCT(General_Data*(Code_General_Data=$A16)*(Year=AD$1)*(Month=AD$2))</f>
        <v>1069.4554881667314</v>
      </c>
      <c r="AE16" s="590" cm="1">
        <f t="array" ref="AE16">SUMPRODUCT(General_Data*(Code_General_Data=$A16)*(Year=AE$1)*(Month=AE$2))</f>
        <v>980.27493497737328</v>
      </c>
      <c r="AF16" s="590" cm="1">
        <f t="array" ref="AF16">SUMPRODUCT(General_Data*(Code_General_Data=$A16)*(Year=AF$1)*(Month=AF$2))</f>
        <v>961.49281011981623</v>
      </c>
      <c r="AG16" s="590" cm="1">
        <f t="array" ref="AG16">SUMPRODUCT(General_Data*(Code_General_Data=$A16)*(Year=AG$1)*(Month=AG$2))</f>
        <v>944.59824629902755</v>
      </c>
      <c r="AH16" s="590" cm="1">
        <f t="array" ref="AH16">SUMPRODUCT(General_Data*(Code_General_Data=$A16)*(Year=AH$1)*(Month=AH$2))</f>
        <v>944.59824629902755</v>
      </c>
      <c r="AI16" s="590"/>
      <c r="AJ16" s="590"/>
      <c r="AK16" s="590"/>
      <c r="AL16" s="590"/>
      <c r="AM16" s="590"/>
      <c r="AN16" s="590"/>
      <c r="AO16" s="591">
        <f>INDEX($E16:$AN16,MATCH("X",$E$3:$AN$3,0))</f>
        <v>944.59824629902755</v>
      </c>
    </row>
    <row r="17" spans="2:41" s="420" customFormat="1" x14ac:dyDescent="0.3">
      <c r="D17" s="420" t="s">
        <v>395</v>
      </c>
      <c r="E17" s="421">
        <f>E12</f>
        <v>1250</v>
      </c>
      <c r="F17" s="421">
        <f t="shared" ref="F17:AB17" si="7">F12</f>
        <v>1250</v>
      </c>
      <c r="G17" s="421">
        <f t="shared" si="7"/>
        <v>1250</v>
      </c>
      <c r="H17" s="421">
        <f t="shared" si="7"/>
        <v>1250</v>
      </c>
      <c r="I17" s="421">
        <f t="shared" si="7"/>
        <v>1300</v>
      </c>
      <c r="J17" s="421">
        <f t="shared" si="7"/>
        <v>1300</v>
      </c>
      <c r="K17" s="421">
        <f t="shared" si="7"/>
        <v>1300</v>
      </c>
      <c r="L17" s="421">
        <f t="shared" si="7"/>
        <v>1300</v>
      </c>
      <c r="M17" s="421">
        <f t="shared" si="7"/>
        <v>1310</v>
      </c>
      <c r="N17" s="421">
        <f t="shared" si="7"/>
        <v>1325</v>
      </c>
      <c r="O17" s="421">
        <f t="shared" si="7"/>
        <v>1325</v>
      </c>
      <c r="P17" s="421">
        <f t="shared" si="7"/>
        <v>1275</v>
      </c>
      <c r="Q17" s="421">
        <f t="shared" si="7"/>
        <v>1230</v>
      </c>
      <c r="R17" s="421">
        <f t="shared" si="7"/>
        <v>1230</v>
      </c>
      <c r="S17" s="421">
        <f t="shared" si="7"/>
        <v>1230</v>
      </c>
      <c r="T17" s="421">
        <f t="shared" si="7"/>
        <v>1250</v>
      </c>
      <c r="U17" s="421">
        <f t="shared" si="7"/>
        <v>1250</v>
      </c>
      <c r="V17" s="421">
        <f t="shared" si="7"/>
        <v>1250</v>
      </c>
      <c r="W17" s="421">
        <f t="shared" si="7"/>
        <v>1250</v>
      </c>
      <c r="X17" s="421">
        <f t="shared" si="7"/>
        <v>1220</v>
      </c>
      <c r="Y17" s="421">
        <f t="shared" si="7"/>
        <v>1220</v>
      </c>
      <c r="Z17" s="421">
        <f t="shared" si="7"/>
        <v>1210</v>
      </c>
      <c r="AA17" s="421">
        <f t="shared" si="7"/>
        <v>1200</v>
      </c>
      <c r="AB17" s="421">
        <f t="shared" si="7"/>
        <v>1200</v>
      </c>
      <c r="AC17" s="421">
        <f t="shared" ref="AC17:AF17" si="8">AC12</f>
        <v>1160</v>
      </c>
      <c r="AD17" s="421">
        <f t="shared" si="8"/>
        <v>1160</v>
      </c>
      <c r="AE17" s="421">
        <f t="shared" si="8"/>
        <v>1160</v>
      </c>
      <c r="AF17" s="421">
        <f t="shared" si="8"/>
        <v>1280</v>
      </c>
      <c r="AG17" s="421">
        <f t="shared" ref="AG17:AH17" si="9">AG12</f>
        <v>1380</v>
      </c>
      <c r="AH17" s="421">
        <f t="shared" si="9"/>
        <v>1350</v>
      </c>
      <c r="AI17" s="421"/>
      <c r="AJ17" s="421"/>
      <c r="AK17" s="421"/>
      <c r="AL17" s="421"/>
      <c r="AM17" s="421"/>
      <c r="AN17" s="421"/>
      <c r="AO17" s="431"/>
    </row>
    <row r="18" spans="2:41" s="420" customFormat="1" x14ac:dyDescent="0.3">
      <c r="D18" s="420" t="s">
        <v>396</v>
      </c>
      <c r="E18" s="421">
        <f>E13+E14/2</f>
        <v>1090</v>
      </c>
      <c r="F18" s="421">
        <f t="shared" ref="F18:AB18" si="10">F13+F14/2</f>
        <v>1096.6666666666667</v>
      </c>
      <c r="G18" s="421">
        <f t="shared" si="10"/>
        <v>1095</v>
      </c>
      <c r="H18" s="421">
        <f t="shared" si="10"/>
        <v>1095</v>
      </c>
      <c r="I18" s="421">
        <f t="shared" si="10"/>
        <v>1121</v>
      </c>
      <c r="J18" s="421">
        <f t="shared" si="10"/>
        <v>1125</v>
      </c>
      <c r="K18" s="421">
        <f t="shared" si="10"/>
        <v>1123.75</v>
      </c>
      <c r="L18" s="421">
        <f t="shared" si="10"/>
        <v>1115</v>
      </c>
      <c r="M18" s="421">
        <f t="shared" si="10"/>
        <v>1095</v>
      </c>
      <c r="N18" s="421">
        <f t="shared" si="10"/>
        <v>1093.75</v>
      </c>
      <c r="O18" s="421">
        <f t="shared" si="10"/>
        <v>1088.5</v>
      </c>
      <c r="P18" s="421">
        <f t="shared" si="10"/>
        <v>1052.5</v>
      </c>
      <c r="Q18" s="421">
        <f t="shared" si="10"/>
        <v>1029</v>
      </c>
      <c r="R18" s="421">
        <f t="shared" si="10"/>
        <v>1035</v>
      </c>
      <c r="S18" s="421">
        <f t="shared" si="10"/>
        <v>1026.5</v>
      </c>
      <c r="T18" s="421">
        <f t="shared" si="10"/>
        <v>1007.5</v>
      </c>
      <c r="U18" s="421">
        <f t="shared" si="10"/>
        <v>1016</v>
      </c>
      <c r="V18" s="421">
        <f t="shared" si="10"/>
        <v>1028.75</v>
      </c>
      <c r="W18" s="421">
        <f t="shared" si="10"/>
        <v>1026</v>
      </c>
      <c r="X18" s="421">
        <f t="shared" si="10"/>
        <v>1007.5</v>
      </c>
      <c r="Y18" s="421">
        <f t="shared" si="10"/>
        <v>1001.5</v>
      </c>
      <c r="Z18" s="421">
        <f t="shared" si="10"/>
        <v>991</v>
      </c>
      <c r="AA18" s="421">
        <f t="shared" si="10"/>
        <v>985</v>
      </c>
      <c r="AB18" s="421">
        <f t="shared" si="10"/>
        <v>986.25</v>
      </c>
      <c r="AC18" s="421">
        <f t="shared" ref="AC18:AF18" si="11">AC13+AC14/2</f>
        <v>982.5</v>
      </c>
      <c r="AD18" s="421">
        <f t="shared" si="11"/>
        <v>1000</v>
      </c>
      <c r="AE18" s="421">
        <f t="shared" si="11"/>
        <v>1134.5</v>
      </c>
      <c r="AF18" s="421">
        <f t="shared" si="11"/>
        <v>1237</v>
      </c>
      <c r="AG18" s="421">
        <f t="shared" ref="AG18:AH18" si="12">AG13+AG14/2</f>
        <v>1298</v>
      </c>
      <c r="AH18" s="421">
        <f t="shared" si="12"/>
        <v>1270</v>
      </c>
      <c r="AI18" s="421"/>
      <c r="AJ18" s="421"/>
      <c r="AK18" s="421"/>
      <c r="AL18" s="421"/>
      <c r="AM18" s="421"/>
      <c r="AN18" s="421"/>
      <c r="AO18" s="431"/>
    </row>
    <row r="19" spans="2:41" s="428" customFormat="1" x14ac:dyDescent="0.3">
      <c r="D19" s="428" t="s">
        <v>393</v>
      </c>
      <c r="E19" s="429">
        <f t="shared" ref="E19:AB19" si="13">E12</f>
        <v>1250</v>
      </c>
      <c r="F19" s="429">
        <f t="shared" si="13"/>
        <v>1250</v>
      </c>
      <c r="G19" s="429">
        <f t="shared" si="13"/>
        <v>1250</v>
      </c>
      <c r="H19" s="429">
        <f t="shared" si="13"/>
        <v>1250</v>
      </c>
      <c r="I19" s="429">
        <f t="shared" si="13"/>
        <v>1300</v>
      </c>
      <c r="J19" s="429">
        <f t="shared" si="13"/>
        <v>1300</v>
      </c>
      <c r="K19" s="429">
        <f t="shared" si="13"/>
        <v>1300</v>
      </c>
      <c r="L19" s="429">
        <f t="shared" si="13"/>
        <v>1300</v>
      </c>
      <c r="M19" s="429">
        <f t="shared" si="13"/>
        <v>1310</v>
      </c>
      <c r="N19" s="429">
        <f t="shared" si="13"/>
        <v>1325</v>
      </c>
      <c r="O19" s="429">
        <f t="shared" si="13"/>
        <v>1325</v>
      </c>
      <c r="P19" s="429">
        <f t="shared" si="13"/>
        <v>1275</v>
      </c>
      <c r="Q19" s="429">
        <f t="shared" si="13"/>
        <v>1230</v>
      </c>
      <c r="R19" s="429">
        <f t="shared" si="13"/>
        <v>1230</v>
      </c>
      <c r="S19" s="429">
        <f t="shared" si="13"/>
        <v>1230</v>
      </c>
      <c r="T19" s="429">
        <f t="shared" si="13"/>
        <v>1250</v>
      </c>
      <c r="U19" s="429">
        <f t="shared" si="13"/>
        <v>1250</v>
      </c>
      <c r="V19" s="429">
        <f t="shared" si="13"/>
        <v>1250</v>
      </c>
      <c r="W19" s="429">
        <f t="shared" si="13"/>
        <v>1250</v>
      </c>
      <c r="X19" s="429">
        <f t="shared" si="13"/>
        <v>1220</v>
      </c>
      <c r="Y19" s="429">
        <f t="shared" si="13"/>
        <v>1220</v>
      </c>
      <c r="Z19" s="429">
        <f t="shared" si="13"/>
        <v>1210</v>
      </c>
      <c r="AA19" s="429">
        <f t="shared" si="13"/>
        <v>1200</v>
      </c>
      <c r="AB19" s="429">
        <f t="shared" si="13"/>
        <v>1200</v>
      </c>
      <c r="AC19" s="429">
        <f t="shared" ref="AC19:AF19" si="14">AC12</f>
        <v>1160</v>
      </c>
      <c r="AD19" s="429">
        <f t="shared" si="14"/>
        <v>1160</v>
      </c>
      <c r="AE19" s="429">
        <f t="shared" si="14"/>
        <v>1160</v>
      </c>
      <c r="AF19" s="429">
        <f t="shared" si="14"/>
        <v>1280</v>
      </c>
      <c r="AG19" s="429">
        <f t="shared" ref="AG19:AH19" si="15">AG12</f>
        <v>1380</v>
      </c>
      <c r="AH19" s="429">
        <f t="shared" si="15"/>
        <v>1350</v>
      </c>
      <c r="AI19" s="429"/>
      <c r="AJ19" s="429"/>
      <c r="AK19" s="429"/>
      <c r="AL19" s="429"/>
      <c r="AM19" s="429"/>
      <c r="AN19" s="429"/>
      <c r="AO19" s="430"/>
    </row>
    <row r="20" spans="2:41" s="428" customFormat="1" x14ac:dyDescent="0.3">
      <c r="D20" s="428" t="s">
        <v>394</v>
      </c>
      <c r="E20" s="429">
        <f t="shared" ref="E20:AB20" si="16">E13</f>
        <v>930</v>
      </c>
      <c r="F20" s="429">
        <f t="shared" si="16"/>
        <v>943.33333333333337</v>
      </c>
      <c r="G20" s="429">
        <f t="shared" si="16"/>
        <v>940</v>
      </c>
      <c r="H20" s="429">
        <f t="shared" si="16"/>
        <v>940</v>
      </c>
      <c r="I20" s="429">
        <f t="shared" si="16"/>
        <v>942</v>
      </c>
      <c r="J20" s="429">
        <f t="shared" si="16"/>
        <v>950</v>
      </c>
      <c r="K20" s="429">
        <f t="shared" si="16"/>
        <v>947.5</v>
      </c>
      <c r="L20" s="429">
        <f t="shared" si="16"/>
        <v>930</v>
      </c>
      <c r="M20" s="429">
        <f t="shared" si="16"/>
        <v>880</v>
      </c>
      <c r="N20" s="429">
        <f t="shared" si="16"/>
        <v>862.5</v>
      </c>
      <c r="O20" s="429">
        <f t="shared" si="16"/>
        <v>852</v>
      </c>
      <c r="P20" s="429">
        <f t="shared" si="16"/>
        <v>830</v>
      </c>
      <c r="Q20" s="429">
        <f t="shared" si="16"/>
        <v>828</v>
      </c>
      <c r="R20" s="429">
        <f t="shared" si="16"/>
        <v>840</v>
      </c>
      <c r="S20" s="429">
        <f t="shared" si="16"/>
        <v>823</v>
      </c>
      <c r="T20" s="429">
        <f t="shared" si="16"/>
        <v>765</v>
      </c>
      <c r="U20" s="429">
        <f t="shared" si="16"/>
        <v>782</v>
      </c>
      <c r="V20" s="429">
        <f t="shared" si="16"/>
        <v>807.5</v>
      </c>
      <c r="W20" s="429">
        <f t="shared" si="16"/>
        <v>802</v>
      </c>
      <c r="X20" s="429">
        <f t="shared" si="16"/>
        <v>795</v>
      </c>
      <c r="Y20" s="429">
        <f t="shared" si="16"/>
        <v>783</v>
      </c>
      <c r="Z20" s="429">
        <f t="shared" si="16"/>
        <v>772</v>
      </c>
      <c r="AA20" s="429">
        <f t="shared" si="16"/>
        <v>770</v>
      </c>
      <c r="AB20" s="429">
        <f t="shared" si="16"/>
        <v>772.5</v>
      </c>
      <c r="AC20" s="429">
        <f t="shared" ref="AC20:AF20" si="17">AC13</f>
        <v>805</v>
      </c>
      <c r="AD20" s="429">
        <f t="shared" si="17"/>
        <v>840</v>
      </c>
      <c r="AE20" s="429">
        <f t="shared" si="17"/>
        <v>1109</v>
      </c>
      <c r="AF20" s="429">
        <f t="shared" si="17"/>
        <v>1194</v>
      </c>
      <c r="AG20" s="429">
        <f t="shared" ref="AG20:AH20" si="18">AG13</f>
        <v>1216</v>
      </c>
      <c r="AH20" s="429">
        <f t="shared" si="18"/>
        <v>1190</v>
      </c>
      <c r="AI20" s="429"/>
      <c r="AJ20" s="429"/>
      <c r="AK20" s="429"/>
      <c r="AL20" s="429"/>
      <c r="AM20" s="429"/>
      <c r="AN20" s="429"/>
      <c r="AO20" s="430"/>
    </row>
    <row r="21" spans="2:41" x14ac:dyDescent="0.3">
      <c r="C21" s="418"/>
      <c r="D21" s="418" t="s">
        <v>386</v>
      </c>
      <c r="E21" s="432">
        <f>IFERROR(E8,0)</f>
        <v>1162</v>
      </c>
      <c r="F21" s="432">
        <f>IF(AND(IFERROR(F8,0)=IFERROR(E8,0),IFERROR(E8,0)=IFERROR(G8,0)),0,IFERROR(F8,0))</f>
        <v>0</v>
      </c>
      <c r="G21" s="432">
        <f t="shared" ref="G21:AE21" si="19">IF(AND(IFERROR(G8,0)=IFERROR(F8,0),IFERROR(F8,0)=IFERROR(H8,0)),0,IFERROR(G8,0))</f>
        <v>0</v>
      </c>
      <c r="H21" s="432">
        <f t="shared" si="19"/>
        <v>0</v>
      </c>
      <c r="I21" s="432">
        <f t="shared" si="19"/>
        <v>1162</v>
      </c>
      <c r="J21" s="432">
        <f t="shared" si="19"/>
        <v>1162.8864999999998</v>
      </c>
      <c r="K21" s="432">
        <f t="shared" si="19"/>
        <v>1176.184</v>
      </c>
      <c r="L21" s="432">
        <f t="shared" si="19"/>
        <v>1187.7085</v>
      </c>
      <c r="M21" s="432">
        <f t="shared" si="19"/>
        <v>1203.9610000000002</v>
      </c>
      <c r="N21" s="432">
        <f t="shared" si="19"/>
        <v>1222.42975</v>
      </c>
      <c r="O21" s="432">
        <f t="shared" si="19"/>
        <v>1242.5237500000001</v>
      </c>
      <c r="P21" s="432">
        <f t="shared" si="19"/>
        <v>1251.3887500000001</v>
      </c>
      <c r="Q21" s="432">
        <f t="shared" si="19"/>
        <v>1249.5418749999999</v>
      </c>
      <c r="R21" s="432">
        <f t="shared" si="19"/>
        <v>1225.409374999999</v>
      </c>
      <c r="S21" s="432">
        <f t="shared" si="19"/>
        <v>1200.2918749999992</v>
      </c>
      <c r="T21" s="432">
        <f t="shared" si="19"/>
        <v>1179.5818000000002</v>
      </c>
      <c r="U21" s="432">
        <f t="shared" si="19"/>
        <v>1180.6849999999999</v>
      </c>
      <c r="V21" s="432">
        <f t="shared" si="19"/>
        <v>1183.6400000000001</v>
      </c>
      <c r="W21" s="432">
        <f t="shared" si="19"/>
        <v>1183.6400000000001</v>
      </c>
      <c r="X21" s="432">
        <f t="shared" si="19"/>
        <v>1175.002</v>
      </c>
      <c r="Y21" s="432">
        <f t="shared" si="19"/>
        <v>1162</v>
      </c>
      <c r="Z21" s="432">
        <f t="shared" si="19"/>
        <v>0</v>
      </c>
      <c r="AA21" s="432">
        <f t="shared" si="19"/>
        <v>1162</v>
      </c>
      <c r="AB21" s="432">
        <f t="shared" si="19"/>
        <v>1063.5</v>
      </c>
      <c r="AC21" s="432">
        <f t="shared" si="19"/>
        <v>1043.8</v>
      </c>
      <c r="AD21" s="432">
        <f t="shared" si="19"/>
        <v>1014.25</v>
      </c>
      <c r="AE21" s="432">
        <f t="shared" si="19"/>
        <v>1025.33125</v>
      </c>
      <c r="AF21" s="432">
        <f t="shared" ref="AF21:AH26" si="20">IF(AF$3="X",IFERROR(AF8,0),IF(AND(IFERROR(AF8,0)=IFERROR(AE8,0),IFERROR(AE8,0)=IFERROR(AG8,0)),0,IFERROR(AF8,0)))</f>
        <v>1182.6849999999999</v>
      </c>
      <c r="AG21" s="432">
        <f t="shared" si="20"/>
        <v>0</v>
      </c>
      <c r="AH21" s="432">
        <f t="shared" si="20"/>
        <v>1182.6849999999999</v>
      </c>
      <c r="AI21" s="432"/>
      <c r="AJ21" s="432"/>
      <c r="AK21" s="432"/>
      <c r="AL21" s="432"/>
      <c r="AM21" s="432"/>
      <c r="AN21" s="432"/>
      <c r="AO21" s="427" t="s">
        <v>3</v>
      </c>
    </row>
    <row r="22" spans="2:41" x14ac:dyDescent="0.3">
      <c r="C22" s="418"/>
      <c r="D22" s="418" t="s">
        <v>493</v>
      </c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  <c r="AA22" s="511"/>
      <c r="AB22" s="511">
        <f t="shared" ref="AB22" si="21">IFERROR(AB9,0)</f>
        <v>1063.5</v>
      </c>
      <c r="AC22" s="432">
        <f>IF(IFERROR(AC9,0)=AB9,0,AC9)</f>
        <v>1083.2</v>
      </c>
      <c r="AD22" s="432">
        <f t="shared" ref="AD22:AE22" si="22">IF(IFERROR(AD9,0)=AC9,0,AD9)</f>
        <v>1053.6500000000001</v>
      </c>
      <c r="AE22" s="432">
        <f t="shared" si="22"/>
        <v>1064.73125</v>
      </c>
      <c r="AF22" s="432">
        <f t="shared" si="20"/>
        <v>1112.75</v>
      </c>
      <c r="AG22" s="432">
        <f t="shared" si="20"/>
        <v>0</v>
      </c>
      <c r="AH22" s="432">
        <f t="shared" si="20"/>
        <v>1112.75</v>
      </c>
      <c r="AI22" s="432"/>
      <c r="AJ22" s="432"/>
      <c r="AK22" s="432"/>
      <c r="AL22" s="432"/>
      <c r="AM22" s="432"/>
      <c r="AN22" s="432"/>
      <c r="AO22" s="427" t="s">
        <v>494</v>
      </c>
    </row>
    <row r="23" spans="2:41" x14ac:dyDescent="0.3">
      <c r="C23" s="418"/>
      <c r="D23" s="418" t="s">
        <v>387</v>
      </c>
      <c r="E23" s="432">
        <f>IFERROR(E10,0)</f>
        <v>1307.795918367347</v>
      </c>
      <c r="F23" s="432">
        <f t="shared" ref="F23:AE23" si="23">IF(AND(IFERROR(F10,0)=IFERROR(E10,0),IFERROR(E10,0)=IFERROR(G10,0)),0,IFERROR(F10,0))</f>
        <v>0</v>
      </c>
      <c r="G23" s="432">
        <f t="shared" si="23"/>
        <v>0</v>
      </c>
      <c r="H23" s="432">
        <f t="shared" si="23"/>
        <v>0</v>
      </c>
      <c r="I23" s="432">
        <f t="shared" si="23"/>
        <v>0</v>
      </c>
      <c r="J23" s="432">
        <f t="shared" si="23"/>
        <v>1307.795918367347</v>
      </c>
      <c r="K23" s="432">
        <f t="shared" si="23"/>
        <v>1308.04</v>
      </c>
      <c r="L23" s="432">
        <f t="shared" si="23"/>
        <v>0</v>
      </c>
      <c r="M23" s="432">
        <f t="shared" si="23"/>
        <v>1308.04</v>
      </c>
      <c r="N23" s="432">
        <f t="shared" si="23"/>
        <v>1288.04</v>
      </c>
      <c r="O23" s="432">
        <f t="shared" si="23"/>
        <v>0</v>
      </c>
      <c r="P23" s="432">
        <f t="shared" si="23"/>
        <v>0</v>
      </c>
      <c r="Q23" s="432">
        <f t="shared" si="23"/>
        <v>0</v>
      </c>
      <c r="R23" s="432">
        <f t="shared" si="23"/>
        <v>0</v>
      </c>
      <c r="S23" s="432">
        <f t="shared" si="23"/>
        <v>1288.04</v>
      </c>
      <c r="T23" s="432">
        <f t="shared" si="23"/>
        <v>1238.04</v>
      </c>
      <c r="U23" s="432">
        <f t="shared" si="23"/>
        <v>0</v>
      </c>
      <c r="V23" s="432">
        <f t="shared" si="23"/>
        <v>1238.04</v>
      </c>
      <c r="W23" s="432">
        <f t="shared" si="23"/>
        <v>1268.04</v>
      </c>
      <c r="X23" s="432">
        <f t="shared" si="23"/>
        <v>0</v>
      </c>
      <c r="Y23" s="432">
        <f t="shared" si="23"/>
        <v>0</v>
      </c>
      <c r="Z23" s="432">
        <f t="shared" si="23"/>
        <v>0</v>
      </c>
      <c r="AA23" s="432">
        <f t="shared" si="23"/>
        <v>0</v>
      </c>
      <c r="AB23" s="432">
        <f t="shared" si="23"/>
        <v>1268.04</v>
      </c>
      <c r="AC23" s="432">
        <f t="shared" si="23"/>
        <v>1245</v>
      </c>
      <c r="AD23" s="432">
        <f t="shared" si="23"/>
        <v>0</v>
      </c>
      <c r="AE23" s="432">
        <f t="shared" si="23"/>
        <v>1245</v>
      </c>
      <c r="AF23" s="432">
        <f t="shared" si="20"/>
        <v>1185</v>
      </c>
      <c r="AG23" s="432">
        <f t="shared" si="20"/>
        <v>0</v>
      </c>
      <c r="AH23" s="432">
        <f t="shared" si="20"/>
        <v>1185</v>
      </c>
      <c r="AI23" s="432"/>
      <c r="AJ23" s="432"/>
      <c r="AK23" s="432"/>
      <c r="AL23" s="432"/>
      <c r="AM23" s="432"/>
      <c r="AN23" s="432"/>
      <c r="AO23" s="427" t="s">
        <v>397</v>
      </c>
    </row>
    <row r="24" spans="2:41" x14ac:dyDescent="0.3">
      <c r="C24" s="418"/>
      <c r="D24" s="418" t="s">
        <v>419</v>
      </c>
      <c r="E24" s="432">
        <f>IFERROR(E11,0)</f>
        <v>1250</v>
      </c>
      <c r="F24" s="432">
        <f t="shared" ref="F24:AE24" si="24">IF(AND(IFERROR(F11,0)=IFERROR(E11,0),IFERROR(E11,0)=IFERROR(G11,0)),0,IFERROR(F11,0))</f>
        <v>0</v>
      </c>
      <c r="G24" s="432">
        <f t="shared" si="24"/>
        <v>0</v>
      </c>
      <c r="H24" s="432">
        <f t="shared" si="24"/>
        <v>0</v>
      </c>
      <c r="I24" s="432">
        <f t="shared" si="24"/>
        <v>0</v>
      </c>
      <c r="J24" s="432">
        <f t="shared" si="24"/>
        <v>1250</v>
      </c>
      <c r="K24" s="432">
        <f t="shared" si="24"/>
        <v>1330</v>
      </c>
      <c r="L24" s="432">
        <f t="shared" si="24"/>
        <v>0</v>
      </c>
      <c r="M24" s="432">
        <f t="shared" si="24"/>
        <v>0</v>
      </c>
      <c r="N24" s="432">
        <f t="shared" si="24"/>
        <v>0</v>
      </c>
      <c r="O24" s="432">
        <f t="shared" si="24"/>
        <v>0</v>
      </c>
      <c r="P24" s="432">
        <f t="shared" si="24"/>
        <v>1330</v>
      </c>
      <c r="Q24" s="432">
        <f t="shared" si="24"/>
        <v>1250</v>
      </c>
      <c r="R24" s="432">
        <f t="shared" si="24"/>
        <v>0</v>
      </c>
      <c r="S24" s="432">
        <f t="shared" si="24"/>
        <v>0</v>
      </c>
      <c r="T24" s="432">
        <f t="shared" si="24"/>
        <v>0</v>
      </c>
      <c r="U24" s="432">
        <f t="shared" si="24"/>
        <v>0</v>
      </c>
      <c r="V24" s="432">
        <f t="shared" si="24"/>
        <v>1250</v>
      </c>
      <c r="W24" s="432">
        <f t="shared" si="24"/>
        <v>0</v>
      </c>
      <c r="X24" s="432">
        <f t="shared" si="24"/>
        <v>1303.8316268486917</v>
      </c>
      <c r="Y24" s="432">
        <f t="shared" si="24"/>
        <v>0</v>
      </c>
      <c r="Z24" s="432">
        <f t="shared" si="24"/>
        <v>0</v>
      </c>
      <c r="AA24" s="432">
        <f t="shared" si="24"/>
        <v>0</v>
      </c>
      <c r="AB24" s="432">
        <f t="shared" si="24"/>
        <v>1303.8316268486917</v>
      </c>
      <c r="AC24" s="432">
        <f t="shared" si="24"/>
        <v>1290</v>
      </c>
      <c r="AD24" s="432">
        <f t="shared" si="24"/>
        <v>0</v>
      </c>
      <c r="AE24" s="432">
        <f t="shared" si="24"/>
        <v>0</v>
      </c>
      <c r="AF24" s="432">
        <f t="shared" si="20"/>
        <v>0</v>
      </c>
      <c r="AG24" s="432">
        <f t="shared" si="20"/>
        <v>0</v>
      </c>
      <c r="AH24" s="432">
        <f t="shared" si="20"/>
        <v>1290</v>
      </c>
      <c r="AI24" s="432"/>
      <c r="AJ24" s="432"/>
      <c r="AK24" s="432"/>
      <c r="AL24" s="432"/>
      <c r="AM24" s="432"/>
      <c r="AN24" s="432"/>
      <c r="AO24" s="427" t="s">
        <v>420</v>
      </c>
    </row>
    <row r="25" spans="2:41" x14ac:dyDescent="0.3">
      <c r="C25" s="418"/>
      <c r="D25" s="418" t="s">
        <v>388</v>
      </c>
      <c r="E25" s="432">
        <f>IFERROR(E12,0)</f>
        <v>1250</v>
      </c>
      <c r="F25" s="432">
        <f t="shared" ref="F25:AE25" si="25">IF(AND(IFERROR(F12,0)=IFERROR(E12,0),IFERROR(E12,0)=IFERROR(G12,0)),0,IFERROR(F12,0))</f>
        <v>0</v>
      </c>
      <c r="G25" s="432">
        <f t="shared" si="25"/>
        <v>0</v>
      </c>
      <c r="H25" s="432">
        <f t="shared" si="25"/>
        <v>1250</v>
      </c>
      <c r="I25" s="432">
        <f t="shared" si="25"/>
        <v>1300</v>
      </c>
      <c r="J25" s="432">
        <f t="shared" si="25"/>
        <v>0</v>
      </c>
      <c r="K25" s="432">
        <f t="shared" si="25"/>
        <v>0</v>
      </c>
      <c r="L25" s="432">
        <f t="shared" si="25"/>
        <v>1300</v>
      </c>
      <c r="M25" s="432">
        <f t="shared" si="25"/>
        <v>1310</v>
      </c>
      <c r="N25" s="432">
        <f t="shared" si="25"/>
        <v>1325</v>
      </c>
      <c r="O25" s="432">
        <f t="shared" si="25"/>
        <v>1325</v>
      </c>
      <c r="P25" s="432">
        <f t="shared" si="25"/>
        <v>1275</v>
      </c>
      <c r="Q25" s="432">
        <f t="shared" si="25"/>
        <v>1230</v>
      </c>
      <c r="R25" s="432">
        <f t="shared" si="25"/>
        <v>0</v>
      </c>
      <c r="S25" s="432">
        <f t="shared" si="25"/>
        <v>1230</v>
      </c>
      <c r="T25" s="432">
        <f t="shared" si="25"/>
        <v>1250</v>
      </c>
      <c r="U25" s="432">
        <f t="shared" si="25"/>
        <v>0</v>
      </c>
      <c r="V25" s="432">
        <f t="shared" si="25"/>
        <v>0</v>
      </c>
      <c r="W25" s="432">
        <f t="shared" si="25"/>
        <v>1250</v>
      </c>
      <c r="X25" s="432">
        <f t="shared" si="25"/>
        <v>1220</v>
      </c>
      <c r="Y25" s="432">
        <f t="shared" si="25"/>
        <v>1220</v>
      </c>
      <c r="Z25" s="432">
        <f t="shared" si="25"/>
        <v>1210</v>
      </c>
      <c r="AA25" s="432">
        <f t="shared" si="25"/>
        <v>1200</v>
      </c>
      <c r="AB25" s="432">
        <f t="shared" si="25"/>
        <v>1200</v>
      </c>
      <c r="AC25" s="432">
        <f t="shared" si="25"/>
        <v>1160</v>
      </c>
      <c r="AD25" s="432">
        <f t="shared" si="25"/>
        <v>0</v>
      </c>
      <c r="AE25" s="432">
        <f t="shared" si="25"/>
        <v>1160</v>
      </c>
      <c r="AF25" s="432">
        <f t="shared" si="20"/>
        <v>1280</v>
      </c>
      <c r="AG25" s="432">
        <f t="shared" si="20"/>
        <v>1380</v>
      </c>
      <c r="AH25" s="432">
        <f t="shared" si="20"/>
        <v>1350</v>
      </c>
      <c r="AI25" s="432"/>
      <c r="AJ25" s="432"/>
      <c r="AK25" s="432"/>
      <c r="AL25" s="432"/>
      <c r="AM25" s="432"/>
      <c r="AN25" s="432"/>
      <c r="AO25" s="427" t="s">
        <v>17</v>
      </c>
    </row>
    <row r="26" spans="2:41" x14ac:dyDescent="0.3">
      <c r="C26" s="418"/>
      <c r="D26" s="418" t="s">
        <v>389</v>
      </c>
      <c r="E26" s="432">
        <f>IFERROR(E13,0)</f>
        <v>930</v>
      </c>
      <c r="F26" s="432">
        <f t="shared" ref="F26:AE26" si="26">IF(AND(IFERROR(F13,0)=IFERROR(E13,0),IFERROR(E13,0)=IFERROR(G13,0)),0,IFERROR(F13,0))</f>
        <v>943.33333333333337</v>
      </c>
      <c r="G26" s="432">
        <f t="shared" si="26"/>
        <v>940</v>
      </c>
      <c r="H26" s="432">
        <f t="shared" si="26"/>
        <v>940</v>
      </c>
      <c r="I26" s="432">
        <f t="shared" si="26"/>
        <v>942</v>
      </c>
      <c r="J26" s="432">
        <f t="shared" si="26"/>
        <v>950</v>
      </c>
      <c r="K26" s="432">
        <f t="shared" si="26"/>
        <v>947.5</v>
      </c>
      <c r="L26" s="432">
        <f t="shared" si="26"/>
        <v>930</v>
      </c>
      <c r="M26" s="432">
        <f t="shared" si="26"/>
        <v>880</v>
      </c>
      <c r="N26" s="432">
        <f t="shared" si="26"/>
        <v>862.5</v>
      </c>
      <c r="O26" s="432">
        <f t="shared" si="26"/>
        <v>852</v>
      </c>
      <c r="P26" s="432">
        <f t="shared" si="26"/>
        <v>830</v>
      </c>
      <c r="Q26" s="432">
        <f t="shared" si="26"/>
        <v>828</v>
      </c>
      <c r="R26" s="432">
        <f t="shared" si="26"/>
        <v>840</v>
      </c>
      <c r="S26" s="432">
        <f t="shared" si="26"/>
        <v>823</v>
      </c>
      <c r="T26" s="432">
        <f t="shared" si="26"/>
        <v>765</v>
      </c>
      <c r="U26" s="432">
        <f t="shared" si="26"/>
        <v>782</v>
      </c>
      <c r="V26" s="432">
        <f t="shared" si="26"/>
        <v>807.5</v>
      </c>
      <c r="W26" s="432">
        <f t="shared" si="26"/>
        <v>802</v>
      </c>
      <c r="X26" s="432">
        <f t="shared" si="26"/>
        <v>795</v>
      </c>
      <c r="Y26" s="432">
        <f t="shared" si="26"/>
        <v>783</v>
      </c>
      <c r="Z26" s="432">
        <f t="shared" si="26"/>
        <v>772</v>
      </c>
      <c r="AA26" s="432">
        <f t="shared" si="26"/>
        <v>770</v>
      </c>
      <c r="AB26" s="432">
        <f t="shared" si="26"/>
        <v>772.5</v>
      </c>
      <c r="AC26" s="432">
        <f t="shared" si="26"/>
        <v>805</v>
      </c>
      <c r="AD26" s="432">
        <f t="shared" si="26"/>
        <v>840</v>
      </c>
      <c r="AE26" s="432">
        <f t="shared" si="26"/>
        <v>1109</v>
      </c>
      <c r="AF26" s="432">
        <f t="shared" si="20"/>
        <v>1194</v>
      </c>
      <c r="AG26" s="432">
        <f t="shared" si="20"/>
        <v>1216</v>
      </c>
      <c r="AH26" s="432">
        <f t="shared" si="20"/>
        <v>1190</v>
      </c>
      <c r="AI26" s="432"/>
      <c r="AJ26" s="432"/>
      <c r="AK26" s="432"/>
      <c r="AL26" s="432"/>
      <c r="AM26" s="432"/>
      <c r="AN26" s="432"/>
      <c r="AO26" s="427" t="s">
        <v>11</v>
      </c>
    </row>
    <row r="27" spans="2:41" x14ac:dyDescent="0.3">
      <c r="C27" s="418"/>
      <c r="D27" s="418" t="s">
        <v>551</v>
      </c>
      <c r="E27" s="432">
        <f>IFERROR(E16,0)</f>
        <v>938.00332713685475</v>
      </c>
      <c r="F27" s="432">
        <f>IF(AND(IFERROR(F16,0)=IFERROR(E16,0),IFERROR(E16,0)=IFERROR(G16,0)),0,IFERROR(F16,0))</f>
        <v>982.91020787382229</v>
      </c>
      <c r="G27" s="432">
        <f t="shared" ref="G27:AH27" si="27">IF(AND(IFERROR(G16,0)=IFERROR(F16,0),IFERROR(F16,0)=IFERROR(H16,0)),0,IFERROR(G16,0))</f>
        <v>970.37666742732642</v>
      </c>
      <c r="H27" s="432">
        <f t="shared" si="27"/>
        <v>957.76248295128426</v>
      </c>
      <c r="I27" s="432">
        <f t="shared" si="27"/>
        <v>996.74617835286244</v>
      </c>
      <c r="J27" s="432">
        <f t="shared" si="27"/>
        <v>973.77247896855715</v>
      </c>
      <c r="K27" s="432">
        <f t="shared" si="27"/>
        <v>969.69530539039147</v>
      </c>
      <c r="L27" s="432">
        <f t="shared" si="27"/>
        <v>1006.8708459332037</v>
      </c>
      <c r="M27" s="432">
        <f t="shared" si="27"/>
        <v>1018.6404734495525</v>
      </c>
      <c r="N27" s="432">
        <f t="shared" si="27"/>
        <v>1010.041069863276</v>
      </c>
      <c r="O27" s="432">
        <f t="shared" si="27"/>
        <v>940.8759784658605</v>
      </c>
      <c r="P27" s="432">
        <f t="shared" si="27"/>
        <v>994.95995124537069</v>
      </c>
      <c r="Q27" s="432">
        <f t="shared" si="27"/>
        <v>1022.644790155671</v>
      </c>
      <c r="R27" s="432">
        <f t="shared" si="27"/>
        <v>997.57029815164424</v>
      </c>
      <c r="S27" s="432">
        <f t="shared" si="27"/>
        <v>1038.2328000052635</v>
      </c>
      <c r="T27" s="432">
        <f t="shared" si="27"/>
        <v>1049.2389361117994</v>
      </c>
      <c r="U27" s="432">
        <f t="shared" si="27"/>
        <v>1056.23470956606</v>
      </c>
      <c r="V27" s="432">
        <f t="shared" si="27"/>
        <v>1083.9796017724277</v>
      </c>
      <c r="W27" s="432">
        <f t="shared" si="27"/>
        <v>1101.0137162728529</v>
      </c>
      <c r="X27" s="432">
        <f t="shared" si="27"/>
        <v>1067.6642432947524</v>
      </c>
      <c r="Y27" s="432">
        <f t="shared" si="27"/>
        <v>1027.2023803315501</v>
      </c>
      <c r="Z27" s="432">
        <f t="shared" si="27"/>
        <v>1013.6475053597588</v>
      </c>
      <c r="AA27" s="432">
        <f t="shared" si="27"/>
        <v>1015.4108007764045</v>
      </c>
      <c r="AB27" s="432">
        <f t="shared" si="27"/>
        <v>1001.3639836863899</v>
      </c>
      <c r="AC27" s="432">
        <f t="shared" si="27"/>
        <v>1007.3787472796128</v>
      </c>
      <c r="AD27" s="432">
        <f t="shared" si="27"/>
        <v>1069.4554881667314</v>
      </c>
      <c r="AE27" s="432">
        <f t="shared" si="27"/>
        <v>980.27493497737328</v>
      </c>
      <c r="AF27" s="432">
        <f t="shared" si="27"/>
        <v>961.49281011981623</v>
      </c>
      <c r="AG27" s="432">
        <f t="shared" si="27"/>
        <v>944.59824629902755</v>
      </c>
      <c r="AH27" s="432">
        <f t="shared" si="27"/>
        <v>944.59824629902755</v>
      </c>
      <c r="AI27" s="432"/>
      <c r="AJ27" s="432"/>
      <c r="AK27" s="432"/>
      <c r="AL27" s="432"/>
      <c r="AM27" s="432"/>
      <c r="AN27" s="432"/>
      <c r="AO27" s="427" t="s">
        <v>552</v>
      </c>
    </row>
    <row r="28" spans="2:41" x14ac:dyDescent="0.3">
      <c r="F28">
        <f>IF(AND(IFERROR(F16,0)/IFERROR(E16,0)&lt;1.001,IFERROR(G16,0)/IFERROR(F16,0)&lt;1.001),0,IFERROR(F16,0))</f>
        <v>982.91020787382229</v>
      </c>
      <c r="G28" s="594"/>
    </row>
    <row r="29" spans="2:41" ht="17.399999999999999" x14ac:dyDescent="0.35">
      <c r="C29" s="393" t="s">
        <v>30</v>
      </c>
      <c r="D29" s="393" t="s">
        <v>29</v>
      </c>
    </row>
    <row r="30" spans="2:41" x14ac:dyDescent="0.3">
      <c r="C30" s="41"/>
      <c r="D30" s="41"/>
      <c r="E30" s="41">
        <v>2024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>
        <v>2025</v>
      </c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>
        <v>2026</v>
      </c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</row>
    <row r="31" spans="2:41" x14ac:dyDescent="0.3">
      <c r="C31" s="41"/>
      <c r="D31" s="41"/>
      <c r="E31" s="41">
        <v>1</v>
      </c>
      <c r="F31" s="41">
        <v>2</v>
      </c>
      <c r="G31" s="41">
        <v>3</v>
      </c>
      <c r="H31" s="41">
        <v>4</v>
      </c>
      <c r="I31" s="41">
        <v>5</v>
      </c>
      <c r="J31" s="41">
        <v>6</v>
      </c>
      <c r="K31" s="41">
        <v>7</v>
      </c>
      <c r="L31" s="41">
        <v>8</v>
      </c>
      <c r="M31" s="41">
        <v>9</v>
      </c>
      <c r="N31" s="41">
        <v>10</v>
      </c>
      <c r="O31" s="41">
        <v>11</v>
      </c>
      <c r="P31" s="41">
        <v>12</v>
      </c>
      <c r="Q31" s="41">
        <v>1</v>
      </c>
      <c r="R31" s="41">
        <v>2</v>
      </c>
      <c r="S31" s="41">
        <v>3</v>
      </c>
      <c r="T31" s="41">
        <v>4</v>
      </c>
      <c r="U31" s="41">
        <v>5</v>
      </c>
      <c r="V31" s="41">
        <v>6</v>
      </c>
      <c r="W31" s="41">
        <v>7</v>
      </c>
      <c r="X31" s="41">
        <v>8</v>
      </c>
      <c r="Y31" s="41">
        <v>9</v>
      </c>
      <c r="Z31" s="41">
        <v>10</v>
      </c>
      <c r="AA31" s="41">
        <v>11</v>
      </c>
      <c r="AB31" s="41">
        <v>12</v>
      </c>
      <c r="AC31" s="41">
        <v>1</v>
      </c>
      <c r="AD31" s="41">
        <v>2</v>
      </c>
      <c r="AE31" s="41">
        <v>3</v>
      </c>
      <c r="AF31" s="41">
        <v>4</v>
      </c>
      <c r="AG31" s="41">
        <v>5</v>
      </c>
      <c r="AH31" s="41">
        <v>6</v>
      </c>
      <c r="AI31" s="41">
        <v>7</v>
      </c>
      <c r="AJ31" s="41">
        <v>8</v>
      </c>
      <c r="AK31" s="41">
        <v>9</v>
      </c>
      <c r="AL31" s="41">
        <v>10</v>
      </c>
      <c r="AM31" s="41">
        <v>11</v>
      </c>
      <c r="AN31" s="41">
        <v>12</v>
      </c>
      <c r="AO31" s="41" t="s">
        <v>385</v>
      </c>
    </row>
    <row r="32" spans="2:41" x14ac:dyDescent="0.3">
      <c r="B32" s="14" t="s">
        <v>353</v>
      </c>
      <c r="C32" t="s">
        <v>30</v>
      </c>
      <c r="D32" t="s">
        <v>351</v>
      </c>
      <c r="E32" s="394" t="e" cm="1">
        <f t="array" ref="E32">IF(SUMPRODUCT('Giá công thức'!$G$11:$AQ$115*('Giá công thức'!$A$11:$A$115=$B32)*('Giá công thức'!$B$11:$B$115=$C32)*('Giá công thức'!$C$11:$C$115="GB")*('Giá công thức'!$G$3:$AQ$3=E$1)*('Giá công thức'!$G$4:$AQ$4=E$2))=0,NA(),SUMPRODUCT('Giá công thức'!$G$11:$AQ$115*('Giá công thức'!$A$11:$A$115=$B32)*('Giá công thức'!$B$11:$B$115=$C32)*('Giá công thức'!$C$11:$C$115="GB")*('Giá công thức'!$G$3:$AQ$3=E$1)*('Giá công thức'!$G$4:$AQ$4=E$2)))</f>
        <v>#N/A</v>
      </c>
      <c r="F32" s="394" t="e" cm="1">
        <f t="array" ref="F32">IF(SUMPRODUCT('Giá công thức'!$G$11:$AQ$115*('Giá công thức'!$A$11:$A$115=$B32)*('Giá công thức'!$B$11:$B$115=$C32)*('Giá công thức'!$C$11:$C$115="GB")*('Giá công thức'!$G$3:$AQ$3=F$1)*('Giá công thức'!$G$4:$AQ$4=F$2))=0,NA(),SUMPRODUCT('Giá công thức'!$G$11:$AQ$115*('Giá công thức'!$A$11:$A$115=$B32)*('Giá công thức'!$B$11:$B$115=$C32)*('Giá công thức'!$C$11:$C$115="GB")*('Giá công thức'!$G$3:$AQ$3=F$1)*('Giá công thức'!$G$4:$AQ$4=F$2)))</f>
        <v>#N/A</v>
      </c>
      <c r="G32" s="394" t="e" cm="1">
        <f t="array" ref="G32">IF(SUMPRODUCT('Giá công thức'!$G$11:$AQ$115*('Giá công thức'!$A$11:$A$115=$B32)*('Giá công thức'!$B$11:$B$115=$C32)*('Giá công thức'!$C$11:$C$115="GB")*('Giá công thức'!$G$3:$AQ$3=G$1)*('Giá công thức'!$G$4:$AQ$4=G$2))=0,NA(),SUMPRODUCT('Giá công thức'!$G$11:$AQ$115*('Giá công thức'!$A$11:$A$115=$B32)*('Giá công thức'!$B$11:$B$115=$C32)*('Giá công thức'!$C$11:$C$115="GB")*('Giá công thức'!$G$3:$AQ$3=G$1)*('Giá công thức'!$G$4:$AQ$4=G$2)))</f>
        <v>#N/A</v>
      </c>
      <c r="H32" s="394" t="e" cm="1">
        <f t="array" ref="H32">IF(SUMPRODUCT('Giá công thức'!$G$11:$AQ$115*('Giá công thức'!$A$11:$A$115=$B32)*('Giá công thức'!$B$11:$B$115=$C32)*('Giá công thức'!$C$11:$C$115="GB")*('Giá công thức'!$G$3:$AQ$3=H$1)*('Giá công thức'!$G$4:$AQ$4=H$2))=0,NA(),SUMPRODUCT('Giá công thức'!$G$11:$AQ$115*('Giá công thức'!$A$11:$A$115=$B32)*('Giá công thức'!$B$11:$B$115=$C32)*('Giá công thức'!$C$11:$C$115="GB")*('Giá công thức'!$G$3:$AQ$3=H$1)*('Giá công thức'!$G$4:$AQ$4=H$2)))</f>
        <v>#N/A</v>
      </c>
      <c r="I32" s="394" t="e" cm="1">
        <f t="array" ref="I32">IF(SUMPRODUCT('Giá công thức'!$G$11:$AQ$115*('Giá công thức'!$A$11:$A$115=$B32)*('Giá công thức'!$B$11:$B$115=$C32)*('Giá công thức'!$C$11:$C$115="GB")*('Giá công thức'!$G$3:$AQ$3=I$1)*('Giá công thức'!$G$4:$AQ$4=I$2))=0,NA(),SUMPRODUCT('Giá công thức'!$G$11:$AQ$115*('Giá công thức'!$A$11:$A$115=$B32)*('Giá công thức'!$B$11:$B$115=$C32)*('Giá công thức'!$C$11:$C$115="GB")*('Giá công thức'!$G$3:$AQ$3=I$1)*('Giá công thức'!$G$4:$AQ$4=I$2)))</f>
        <v>#N/A</v>
      </c>
      <c r="J32" s="394" t="e" cm="1">
        <f t="array" ref="J32">IF(SUMPRODUCT('Giá công thức'!$G$11:$AQ$115*('Giá công thức'!$A$11:$A$115=$B32)*('Giá công thức'!$B$11:$B$115=$C32)*('Giá công thức'!$C$11:$C$115="GB")*('Giá công thức'!$G$3:$AQ$3=J$1)*('Giá công thức'!$G$4:$AQ$4=J$2))=0,NA(),SUMPRODUCT('Giá công thức'!$G$11:$AQ$115*('Giá công thức'!$A$11:$A$115=$B32)*('Giá công thức'!$B$11:$B$115=$C32)*('Giá công thức'!$C$11:$C$115="GB")*('Giá công thức'!$G$3:$AQ$3=J$1)*('Giá công thức'!$G$4:$AQ$4=J$2)))</f>
        <v>#N/A</v>
      </c>
      <c r="K32" s="394" t="e" cm="1">
        <f t="array" ref="K32">IF(SUMPRODUCT('Giá công thức'!$G$11:$AQ$115*('Giá công thức'!$A$11:$A$115=$B32)*('Giá công thức'!$B$11:$B$115=$C32)*('Giá công thức'!$C$11:$C$115="GB")*('Giá công thức'!$G$3:$AQ$3=K$1)*('Giá công thức'!$G$4:$AQ$4=K$2))=0,NA(),SUMPRODUCT('Giá công thức'!$G$11:$AQ$115*('Giá công thức'!$A$11:$A$115=$B32)*('Giá công thức'!$B$11:$B$115=$C32)*('Giá công thức'!$C$11:$C$115="GB")*('Giá công thức'!$G$3:$AQ$3=K$1)*('Giá công thức'!$G$4:$AQ$4=K$2)))</f>
        <v>#N/A</v>
      </c>
      <c r="L32" s="394" t="e" cm="1">
        <f t="array" ref="L32">IF(SUMPRODUCT('Giá công thức'!$G$11:$AQ$115*('Giá công thức'!$A$11:$A$115=$B32)*('Giá công thức'!$B$11:$B$115=$C32)*('Giá công thức'!$C$11:$C$115="GB")*('Giá công thức'!$G$3:$AQ$3=L$1)*('Giá công thức'!$G$4:$AQ$4=L$2))=0,NA(),SUMPRODUCT('Giá công thức'!$G$11:$AQ$115*('Giá công thức'!$A$11:$A$115=$B32)*('Giá công thức'!$B$11:$B$115=$C32)*('Giá công thức'!$C$11:$C$115="GB")*('Giá công thức'!$G$3:$AQ$3=L$1)*('Giá công thức'!$G$4:$AQ$4=L$2)))</f>
        <v>#N/A</v>
      </c>
      <c r="M32" s="394" t="e" cm="1">
        <f t="array" ref="M32">IF(SUMPRODUCT('Giá công thức'!$G$11:$AQ$115*('Giá công thức'!$A$11:$A$115=$B32)*('Giá công thức'!$B$11:$B$115=$C32)*('Giá công thức'!$C$11:$C$115="GB")*('Giá công thức'!$G$3:$AQ$3=M$1)*('Giá công thức'!$G$4:$AQ$4=M$2))=0,NA(),SUMPRODUCT('Giá công thức'!$G$11:$AQ$115*('Giá công thức'!$A$11:$A$115=$B32)*('Giá công thức'!$B$11:$B$115=$C32)*('Giá công thức'!$C$11:$C$115="GB")*('Giá công thức'!$G$3:$AQ$3=M$1)*('Giá công thức'!$G$4:$AQ$4=M$2)))</f>
        <v>#N/A</v>
      </c>
      <c r="N32" s="394" t="e" cm="1">
        <f t="array" ref="N32">IF(SUMPRODUCT('Giá công thức'!$G$11:$AQ$115*('Giá công thức'!$A$11:$A$115=$B32)*('Giá công thức'!$B$11:$B$115=$C32)*('Giá công thức'!$C$11:$C$115="GB")*('Giá công thức'!$G$3:$AQ$3=N$1)*('Giá công thức'!$G$4:$AQ$4=N$2))=0,NA(),SUMPRODUCT('Giá công thức'!$G$11:$AQ$115*('Giá công thức'!$A$11:$A$115=$B32)*('Giá công thức'!$B$11:$B$115=$C32)*('Giá công thức'!$C$11:$C$115="GB")*('Giá công thức'!$G$3:$AQ$3=N$1)*('Giá công thức'!$G$4:$AQ$4=N$2)))</f>
        <v>#N/A</v>
      </c>
      <c r="O32" s="394" t="e" cm="1">
        <f t="array" ref="O32">IF(SUMPRODUCT('Giá công thức'!$G$11:$AQ$115*('Giá công thức'!$A$11:$A$115=$B32)*('Giá công thức'!$B$11:$B$115=$C32)*('Giá công thức'!$C$11:$C$115="GB")*('Giá công thức'!$G$3:$AQ$3=O$1)*('Giá công thức'!$G$4:$AQ$4=O$2))=0,NA(),SUMPRODUCT('Giá công thức'!$G$11:$AQ$115*('Giá công thức'!$A$11:$A$115=$B32)*('Giá công thức'!$B$11:$B$115=$C32)*('Giá công thức'!$C$11:$C$115="GB")*('Giá công thức'!$G$3:$AQ$3=O$1)*('Giá công thức'!$G$4:$AQ$4=O$2)))</f>
        <v>#N/A</v>
      </c>
      <c r="P32" s="394" t="e" cm="1">
        <f t="array" ref="P32">IF(SUMPRODUCT('Giá công thức'!$G$11:$AQ$115*('Giá công thức'!$A$11:$A$115=$B32)*('Giá công thức'!$B$11:$B$115=$C32)*('Giá công thức'!$C$11:$C$115="GB")*('Giá công thức'!$G$3:$AQ$3=P$1)*('Giá công thức'!$G$4:$AQ$4=P$2))=0,NA(),SUMPRODUCT('Giá công thức'!$G$11:$AQ$115*('Giá công thức'!$A$11:$A$115=$B32)*('Giá công thức'!$B$11:$B$115=$C32)*('Giá công thức'!$C$11:$C$115="GB")*('Giá công thức'!$G$3:$AQ$3=P$1)*('Giá công thức'!$G$4:$AQ$4=P$2)))</f>
        <v>#N/A</v>
      </c>
      <c r="Q32" s="394" cm="1">
        <f t="array" ref="Q32">IF(SUMPRODUCT('Giá công thức'!$G$11:$AQ$115*('Giá công thức'!$A$11:$A$115=$B32)*('Giá công thức'!$B$11:$B$115=$C32)*('Giá công thức'!$C$11:$C$115="GB")*('Giá công thức'!$G$3:$AQ$3=Q$1)*('Giá công thức'!$G$4:$AQ$4=Q$2))=0,NA(),SUMPRODUCT('Giá công thức'!$G$11:$AQ$115*('Giá công thức'!$A$11:$A$115=$B32)*('Giá công thức'!$B$11:$B$115=$C32)*('Giá công thức'!$C$11:$C$115="GB")*('Giá công thức'!$G$3:$AQ$3=Q$1)*('Giá công thức'!$G$4:$AQ$4=Q$2)))</f>
        <v>1230</v>
      </c>
      <c r="R32" s="394" cm="1">
        <f t="array" ref="R32">IF(SUMPRODUCT('Giá công thức'!$G$11:$AQ$115*('Giá công thức'!$A$11:$A$115=$B32)*('Giá công thức'!$B$11:$B$115=$C32)*('Giá công thức'!$C$11:$C$115="GB")*('Giá công thức'!$G$3:$AQ$3=R$1)*('Giá công thức'!$G$4:$AQ$4=R$2))=0,NA(),SUMPRODUCT('Giá công thức'!$G$11:$AQ$115*('Giá công thức'!$A$11:$A$115=$B32)*('Giá công thức'!$B$11:$B$115=$C32)*('Giá công thức'!$C$11:$C$115="GB")*('Giá công thức'!$G$3:$AQ$3=R$1)*('Giá công thức'!$G$4:$AQ$4=R$2)))</f>
        <v>1230</v>
      </c>
      <c r="S32" s="394" cm="1">
        <f t="array" ref="S32">IF(SUMPRODUCT('Giá công thức'!$G$11:$AQ$115*('Giá công thức'!$A$11:$A$115=$B32)*('Giá công thức'!$B$11:$B$115=$C32)*('Giá công thức'!$C$11:$C$115="GB")*('Giá công thức'!$G$3:$AQ$3=S$1)*('Giá công thức'!$G$4:$AQ$4=S$2))=0,NA(),SUMPRODUCT('Giá công thức'!$G$11:$AQ$115*('Giá công thức'!$A$11:$A$115=$B32)*('Giá công thức'!$B$11:$B$115=$C32)*('Giá công thức'!$C$11:$C$115="GB")*('Giá công thức'!$G$3:$AQ$3=S$1)*('Giá công thức'!$G$4:$AQ$4=S$2)))</f>
        <v>1230</v>
      </c>
      <c r="T32" s="394" cm="1">
        <f t="array" ref="T32">IF(SUMPRODUCT('Giá công thức'!$G$11:$AQ$115*('Giá công thức'!$A$11:$A$115=$B32)*('Giá công thức'!$B$11:$B$115=$C32)*('Giá công thức'!$C$11:$C$115="GB")*('Giá công thức'!$G$3:$AQ$3=T$1)*('Giá công thức'!$G$4:$AQ$4=T$2))=0,NA(),SUMPRODUCT('Giá công thức'!$G$11:$AQ$115*('Giá công thức'!$A$11:$A$115=$B32)*('Giá công thức'!$B$11:$B$115=$C32)*('Giá công thức'!$C$11:$C$115="GB")*('Giá công thức'!$G$3:$AQ$3=T$1)*('Giá công thức'!$G$4:$AQ$4=T$2)))</f>
        <v>1228</v>
      </c>
      <c r="U32" s="394" cm="1">
        <f t="array" ref="U32">IF(SUMPRODUCT('Giá công thức'!$G$11:$AQ$115*('Giá công thức'!$A$11:$A$115=$B32)*('Giá công thức'!$B$11:$B$115=$C32)*('Giá công thức'!$C$11:$C$115="GB")*('Giá công thức'!$G$3:$AQ$3=U$1)*('Giá công thức'!$G$4:$AQ$4=U$2))=0,NA(),SUMPRODUCT('Giá công thức'!$G$11:$AQ$115*('Giá công thức'!$A$11:$A$115=$B32)*('Giá công thức'!$B$11:$B$115=$C32)*('Giá công thức'!$C$11:$C$115="GB")*('Giá công thức'!$G$3:$AQ$3=U$1)*('Giá công thức'!$G$4:$AQ$4=U$2)))</f>
        <v>1228</v>
      </c>
      <c r="V32" s="394" cm="1">
        <f t="array" ref="V32">IF(SUMPRODUCT('Giá công thức'!$G$11:$AQ$115*('Giá công thức'!$A$11:$A$115=$B32)*('Giá công thức'!$B$11:$B$115=$C32)*('Giá công thức'!$C$11:$C$115="GB")*('Giá công thức'!$G$3:$AQ$3=V$1)*('Giá công thức'!$G$4:$AQ$4=V$2))=0,NA(),SUMPRODUCT('Giá công thức'!$G$11:$AQ$115*('Giá công thức'!$A$11:$A$115=$B32)*('Giá công thức'!$B$11:$B$115=$C32)*('Giá công thức'!$C$11:$C$115="GB")*('Giá công thức'!$G$3:$AQ$3=V$1)*('Giá công thức'!$G$4:$AQ$4=V$2)))</f>
        <v>1228</v>
      </c>
      <c r="W32" s="394" cm="1">
        <f t="array" ref="W32">IF(SUMPRODUCT('Giá công thức'!$G$11:$AQ$115*('Giá công thức'!$A$11:$A$115=$B32)*('Giá công thức'!$B$11:$B$115=$C32)*('Giá công thức'!$C$11:$C$115="GB")*('Giá công thức'!$G$3:$AQ$3=W$1)*('Giá công thức'!$G$4:$AQ$4=W$2))=0,NA(),SUMPRODUCT('Giá công thức'!$G$11:$AQ$115*('Giá công thức'!$A$11:$A$115=$B32)*('Giá công thức'!$B$11:$B$115=$C32)*('Giá công thức'!$C$11:$C$115="GB")*('Giá công thức'!$G$3:$AQ$3=W$1)*('Giá công thức'!$G$4:$AQ$4=W$2)))</f>
        <v>1228</v>
      </c>
      <c r="X32" s="394" cm="1">
        <f t="array" ref="X32">IF(SUMPRODUCT('Giá công thức'!$G$11:$AQ$115*('Giá công thức'!$A$11:$A$115=$B32)*('Giá công thức'!$B$11:$B$115=$C32)*('Giá công thức'!$C$11:$C$115="GB")*('Giá công thức'!$G$3:$AQ$3=X$1)*('Giá công thức'!$G$4:$AQ$4=X$2))=0,NA(),SUMPRODUCT('Giá công thức'!$G$11:$AQ$115*('Giá công thức'!$A$11:$A$115=$B32)*('Giá công thức'!$B$11:$B$115=$C32)*('Giá công thức'!$C$11:$C$115="GB")*('Giá công thức'!$G$3:$AQ$3=X$1)*('Giá công thức'!$G$4:$AQ$4=X$2)))</f>
        <v>1230</v>
      </c>
      <c r="Y32" s="394" cm="1">
        <f t="array" ref="Y32">IF(SUMPRODUCT('Giá công thức'!$G$11:$AQ$115*('Giá công thức'!$A$11:$A$115=$B32)*('Giá công thức'!$B$11:$B$115=$C32)*('Giá công thức'!$C$11:$C$115="GB")*('Giá công thức'!$G$3:$AQ$3=Y$1)*('Giá công thức'!$G$4:$AQ$4=Y$2))=0,NA(),SUMPRODUCT('Giá công thức'!$G$11:$AQ$115*('Giá công thức'!$A$11:$A$115=$B32)*('Giá công thức'!$B$11:$B$115=$C32)*('Giá công thức'!$C$11:$C$115="GB")*('Giá công thức'!$G$3:$AQ$3=Y$1)*('Giá công thức'!$G$4:$AQ$4=Y$2)))</f>
        <v>1230</v>
      </c>
      <c r="Z32" s="394" cm="1">
        <f t="array" ref="Z32">IF(SUMPRODUCT('Giá công thức'!$G$11:$AQ$115*('Giá công thức'!$A$11:$A$115=$B32)*('Giá công thức'!$B$11:$B$115=$C32)*('Giá công thức'!$C$11:$C$115="GB")*('Giá công thức'!$G$3:$AQ$3=Z$1)*('Giá công thức'!$G$4:$AQ$4=Z$2))=0,NA(),SUMPRODUCT('Giá công thức'!$G$11:$AQ$115*('Giá công thức'!$A$11:$A$115=$B32)*('Giá công thức'!$B$11:$B$115=$C32)*('Giá công thức'!$C$11:$C$115="GB")*('Giá công thức'!$G$3:$AQ$3=Z$1)*('Giá công thức'!$G$4:$AQ$4=Z$2)))</f>
        <v>1230</v>
      </c>
      <c r="AA32" s="394" cm="1">
        <f t="array" ref="AA32">IF(SUMPRODUCT('Giá công thức'!$G$11:$AQ$115*('Giá công thức'!$A$11:$A$115=$B32)*('Giá công thức'!$B$11:$B$115=$C32)*('Giá công thức'!$C$11:$C$115="GB")*('Giá công thức'!$G$3:$AQ$3=AA$1)*('Giá công thức'!$G$4:$AQ$4=AA$2))=0,NA(),SUMPRODUCT('Giá công thức'!$G$11:$AQ$115*('Giá công thức'!$A$11:$A$115=$B32)*('Giá công thức'!$B$11:$B$115=$C32)*('Giá công thức'!$C$11:$C$115="GB")*('Giá công thức'!$G$3:$AQ$3=AA$1)*('Giá công thức'!$G$4:$AQ$4=AA$2)))</f>
        <v>1230</v>
      </c>
      <c r="AB32" s="394" cm="1">
        <f t="array" ref="AB32">IF(SUMPRODUCT('Giá công thức'!$G$11:$AQ$115*('Giá công thức'!$A$11:$A$115=$B32)*('Giá công thức'!$B$11:$B$115=$C32)*('Giá công thức'!$C$11:$C$115="GB")*('Giá công thức'!$G$3:$AQ$3=AB$1)*('Giá công thức'!$G$4:$AQ$4=AB$2))=0,NA(),SUMPRODUCT('Giá công thức'!$G$11:$AQ$115*('Giá công thức'!$A$11:$A$115=$B32)*('Giá công thức'!$B$11:$B$115=$C32)*('Giá công thức'!$C$11:$C$115="GB")*('Giá công thức'!$G$3:$AQ$3=AB$1)*('Giá công thức'!$G$4:$AQ$4=AB$2)))</f>
        <v>1230</v>
      </c>
      <c r="AC32" s="394" t="e" cm="1">
        <f t="array" ref="AC32">IF(SUMPRODUCT('Giá công thức'!$G$11:$AQ$115*('Giá công thức'!$A$11:$A$115=$B32)*('Giá công thức'!$B$11:$B$115=$C32)*('Giá công thức'!$C$11:$C$115="GB")*('Giá công thức'!$G$3:$AQ$3=AC$1)*('Giá công thức'!$G$4:$AQ$4=AC$2))=0,NA(),SUMPRODUCT('Giá công thức'!$G$11:$AQ$115*('Giá công thức'!$A$11:$A$115=$B32)*('Giá công thức'!$B$11:$B$115=$C32)*('Giá công thức'!$C$11:$C$115="GB")*('Giá công thức'!$G$3:$AQ$3=AC$1)*('Giá công thức'!$G$4:$AQ$4=AC$2)))</f>
        <v>#N/A</v>
      </c>
      <c r="AD32" s="394" t="e" cm="1">
        <f t="array" ref="AD32">IF(SUMPRODUCT('Giá công thức'!$G$11:$AQ$115*('Giá công thức'!$A$11:$A$115=$B32)*('Giá công thức'!$B$11:$B$115=$C32)*('Giá công thức'!$C$11:$C$115="GB")*('Giá công thức'!$G$3:$AQ$3=AD$1)*('Giá công thức'!$G$4:$AQ$4=AD$2))=0,NA(),SUMPRODUCT('Giá công thức'!$G$11:$AQ$115*('Giá công thức'!$A$11:$A$115=$B32)*('Giá công thức'!$B$11:$B$115=$C32)*('Giá công thức'!$C$11:$C$115="GB")*('Giá công thức'!$G$3:$AQ$3=AD$1)*('Giá công thức'!$G$4:$AQ$4=AD$2)))</f>
        <v>#N/A</v>
      </c>
      <c r="AE32" s="394" t="e" cm="1">
        <f t="array" ref="AE32">IF(SUMPRODUCT('Giá công thức'!$G$11:$AQ$115*('Giá công thức'!$A$11:$A$115=$B32)*('Giá công thức'!$B$11:$B$115=$C32)*('Giá công thức'!$C$11:$C$115="GB")*('Giá công thức'!$G$3:$AQ$3=AE$1)*('Giá công thức'!$G$4:$AQ$4=AE$2))=0,NA(),SUMPRODUCT('Giá công thức'!$G$11:$AQ$115*('Giá công thức'!$A$11:$A$115=$B32)*('Giá công thức'!$B$11:$B$115=$C32)*('Giá công thức'!$C$11:$C$115="GB")*('Giá công thức'!$G$3:$AQ$3=AE$1)*('Giá công thức'!$G$4:$AQ$4=AE$2)))</f>
        <v>#N/A</v>
      </c>
      <c r="AF32" s="394" t="e" cm="1">
        <f t="array" ref="AF32">IF(SUMPRODUCT('Giá công thức'!$G$11:$AQ$115*('Giá công thức'!$A$11:$A$115=$B32)*('Giá công thức'!$B$11:$B$115=$C32)*('Giá công thức'!$C$11:$C$115="GB")*('Giá công thức'!$G$3:$AQ$3=AF$1)*('Giá công thức'!$G$4:$AQ$4=AF$2))=0,NA(),SUMPRODUCT('Giá công thức'!$G$11:$AQ$115*('Giá công thức'!$A$11:$A$115=$B32)*('Giá công thức'!$B$11:$B$115=$C32)*('Giá công thức'!$C$11:$C$115="GB")*('Giá công thức'!$G$3:$AQ$3=AF$1)*('Giá công thức'!$G$4:$AQ$4=AF$2)))</f>
        <v>#N/A</v>
      </c>
      <c r="AG32" s="394" t="e" cm="1">
        <f t="array" ref="AG32">IF(SUMPRODUCT('Giá công thức'!$G$11:$AQ$115*('Giá công thức'!$A$11:$A$115=$B32)*('Giá công thức'!$B$11:$B$115=$C32)*('Giá công thức'!$C$11:$C$115="GB")*('Giá công thức'!$G$3:$AQ$3=AG$1)*('Giá công thức'!$G$4:$AQ$4=AG$2))=0,NA(),SUMPRODUCT('Giá công thức'!$G$11:$AQ$115*('Giá công thức'!$A$11:$A$115=$B32)*('Giá công thức'!$B$11:$B$115=$C32)*('Giá công thức'!$C$11:$C$115="GB")*('Giá công thức'!$G$3:$AQ$3=AG$1)*('Giá công thức'!$G$4:$AQ$4=AG$2)))</f>
        <v>#N/A</v>
      </c>
      <c r="AH32" s="394" t="e" cm="1">
        <f t="array" ref="AH32">IF(SUMPRODUCT('Giá công thức'!$G$11:$AQ$115*('Giá công thức'!$A$11:$A$115=$B32)*('Giá công thức'!$B$11:$B$115=$C32)*('Giá công thức'!$C$11:$C$115="GB")*('Giá công thức'!$G$3:$AQ$3=AH$1)*('Giá công thức'!$G$4:$AQ$4=AH$2))=0,NA(),SUMPRODUCT('Giá công thức'!$G$11:$AQ$115*('Giá công thức'!$A$11:$A$115=$B32)*('Giá công thức'!$B$11:$B$115=$C32)*('Giá công thức'!$C$11:$C$115="GB")*('Giá công thức'!$G$3:$AQ$3=AH$1)*('Giá công thức'!$G$4:$AQ$4=AH$2)))</f>
        <v>#N/A</v>
      </c>
      <c r="AI32" s="394"/>
      <c r="AJ32" s="394"/>
      <c r="AK32" s="394"/>
      <c r="AL32" s="394"/>
      <c r="AM32" s="394"/>
      <c r="AN32" s="394"/>
      <c r="AO32" s="509">
        <v>1230</v>
      </c>
    </row>
    <row r="33" spans="1:41" x14ac:dyDescent="0.3">
      <c r="B33" s="14" t="s">
        <v>39</v>
      </c>
      <c r="C33" t="s">
        <v>30</v>
      </c>
      <c r="D33" t="s">
        <v>25</v>
      </c>
      <c r="E33" s="394" cm="1">
        <f t="array" ref="E33">IF(SUMPRODUCT('Giá công thức'!$G$11:$AQ$115*('Giá công thức'!$A$11:$A$115=$B33)*('Giá công thức'!$B$11:$B$115=$C33)*('Giá công thức'!$C$11:$C$115="GB")*('Giá công thức'!$G$3:$AQ$3=E$1)*('Giá công thức'!$G$4:$AQ$4=E$2))=0,NA(),SUMPRODUCT('Giá công thức'!$G$11:$AQ$115*('Giá công thức'!$A$11:$A$115=$B33)*('Giá công thức'!$B$11:$B$115=$C33)*('Giá công thức'!$C$11:$C$115="GB")*('Giá công thức'!$G$3:$AQ$3=E$1)*('Giá công thức'!$G$4:$AQ$4=E$2)))</f>
        <v>1320</v>
      </c>
      <c r="F33" s="394" cm="1">
        <f t="array" ref="F33">IF(SUMPRODUCT('Giá công thức'!$G$11:$AQ$115*('Giá công thức'!$A$11:$A$115=$B33)*('Giá công thức'!$B$11:$B$115=$C33)*('Giá công thức'!$C$11:$C$115="GB")*('Giá công thức'!$G$3:$AQ$3=F$1)*('Giá công thức'!$G$4:$AQ$4=F$2))=0,NA(),SUMPRODUCT('Giá công thức'!$G$11:$AQ$115*('Giá công thức'!$A$11:$A$115=$B33)*('Giá công thức'!$B$11:$B$115=$C33)*('Giá công thức'!$C$11:$C$115="GB")*('Giá công thức'!$G$3:$AQ$3=F$1)*('Giá công thức'!$G$4:$AQ$4=F$2)))</f>
        <v>1327.5</v>
      </c>
      <c r="G33" s="394" cm="1">
        <f t="array" ref="G33">IF(SUMPRODUCT('Giá công thức'!$G$11:$AQ$115*('Giá công thức'!$A$11:$A$115=$B33)*('Giá công thức'!$B$11:$B$115=$C33)*('Giá công thức'!$C$11:$C$115="GB")*('Giá công thức'!$G$3:$AQ$3=G$1)*('Giá công thức'!$G$4:$AQ$4=G$2))=0,NA(),SUMPRODUCT('Giá công thức'!$G$11:$AQ$115*('Giá công thức'!$A$11:$A$115=$B33)*('Giá công thức'!$B$11:$B$115=$C33)*('Giá công thức'!$C$11:$C$115="GB")*('Giá công thức'!$G$3:$AQ$3=G$1)*('Giá công thức'!$G$4:$AQ$4=G$2)))</f>
        <v>1340</v>
      </c>
      <c r="H33" s="394" cm="1">
        <f t="array" ref="H33">IF(SUMPRODUCT('Giá công thức'!$G$11:$AQ$115*('Giá công thức'!$A$11:$A$115=$B33)*('Giá công thức'!$B$11:$B$115=$C33)*('Giá công thức'!$C$11:$C$115="GB")*('Giá công thức'!$G$3:$AQ$3=H$1)*('Giá công thức'!$G$4:$AQ$4=H$2))=0,NA(),SUMPRODUCT('Giá công thức'!$G$11:$AQ$115*('Giá công thức'!$A$11:$A$115=$B33)*('Giá công thức'!$B$11:$B$115=$C33)*('Giá công thức'!$C$11:$C$115="GB")*('Giá công thức'!$G$3:$AQ$3=H$1)*('Giá công thức'!$G$4:$AQ$4=H$2)))</f>
        <v>1342.5</v>
      </c>
      <c r="I33" s="394" cm="1">
        <f t="array" ref="I33">IF(SUMPRODUCT('Giá công thức'!$G$11:$AQ$115*('Giá công thức'!$A$11:$A$115=$B33)*('Giá công thức'!$B$11:$B$115=$C33)*('Giá công thức'!$C$11:$C$115="GB")*('Giá công thức'!$G$3:$AQ$3=I$1)*('Giá công thức'!$G$4:$AQ$4=I$2))=0,NA(),SUMPRODUCT('Giá công thức'!$G$11:$AQ$115*('Giá công thức'!$A$11:$A$115=$B33)*('Giá công thức'!$B$11:$B$115=$C33)*('Giá công thức'!$C$11:$C$115="GB")*('Giá công thức'!$G$3:$AQ$3=I$1)*('Giá công thức'!$G$4:$AQ$4=I$2)))</f>
        <v>1346.5</v>
      </c>
      <c r="J33" s="394" cm="1">
        <f t="array" ref="J33">IF(SUMPRODUCT('Giá công thức'!$G$11:$AQ$115*('Giá công thức'!$A$11:$A$115=$B33)*('Giá công thức'!$B$11:$B$115=$C33)*('Giá công thức'!$C$11:$C$115="GB")*('Giá công thức'!$G$3:$AQ$3=J$1)*('Giá công thức'!$G$4:$AQ$4=J$2))=0,NA(),SUMPRODUCT('Giá công thức'!$G$11:$AQ$115*('Giá công thức'!$A$11:$A$115=$B33)*('Giá công thức'!$B$11:$B$115=$C33)*('Giá công thức'!$C$11:$C$115="GB")*('Giá công thức'!$G$3:$AQ$3=J$1)*('Giá công thức'!$G$4:$AQ$4=J$2)))</f>
        <v>1361.5</v>
      </c>
      <c r="K33" s="394" cm="1">
        <f t="array" ref="K33">IF(SUMPRODUCT('Giá công thức'!$G$11:$AQ$115*('Giá công thức'!$A$11:$A$115=$B33)*('Giá công thức'!$B$11:$B$115=$C33)*('Giá công thức'!$C$11:$C$115="GB")*('Giá công thức'!$G$3:$AQ$3=K$1)*('Giá công thức'!$G$4:$AQ$4=K$2))=0,NA(),SUMPRODUCT('Giá công thức'!$G$11:$AQ$115*('Giá công thức'!$A$11:$A$115=$B33)*('Giá công thức'!$B$11:$B$115=$C33)*('Giá công thức'!$C$11:$C$115="GB")*('Giá công thức'!$G$3:$AQ$3=K$1)*('Giá công thức'!$G$4:$AQ$4=K$2)))</f>
        <v>1377.5</v>
      </c>
      <c r="L33" s="394" cm="1">
        <f t="array" ref="L33">IF(SUMPRODUCT('Giá công thức'!$G$11:$AQ$115*('Giá công thức'!$A$11:$A$115=$B33)*('Giá công thức'!$B$11:$B$115=$C33)*('Giá công thức'!$C$11:$C$115="GB")*('Giá công thức'!$G$3:$AQ$3=L$1)*('Giá công thức'!$G$4:$AQ$4=L$2))=0,NA(),SUMPRODUCT('Giá công thức'!$G$11:$AQ$115*('Giá công thức'!$A$11:$A$115=$B33)*('Giá công thức'!$B$11:$B$115=$C33)*('Giá công thức'!$C$11:$C$115="GB")*('Giá công thức'!$G$3:$AQ$3=L$1)*('Giá công thức'!$G$4:$AQ$4=L$2)))</f>
        <v>1388.5</v>
      </c>
      <c r="M33" s="394" cm="1">
        <f t="array" ref="M33">IF(SUMPRODUCT('Giá công thức'!$G$11:$AQ$115*('Giá công thức'!$A$11:$A$115=$B33)*('Giá công thức'!$B$11:$B$115=$C33)*('Giá công thức'!$C$11:$C$115="GB")*('Giá công thức'!$G$3:$AQ$3=M$1)*('Giá công thức'!$G$4:$AQ$4=M$2))=0,NA(),SUMPRODUCT('Giá công thức'!$G$11:$AQ$115*('Giá công thức'!$A$11:$A$115=$B33)*('Giá công thức'!$B$11:$B$115=$C33)*('Giá công thức'!$C$11:$C$115="GB")*('Giá công thức'!$G$3:$AQ$3=M$1)*('Giá công thức'!$G$4:$AQ$4=M$2)))</f>
        <v>1408.5</v>
      </c>
      <c r="N33" s="394" cm="1">
        <f t="array" ref="N33">IF(SUMPRODUCT('Giá công thức'!$G$11:$AQ$115*('Giá công thức'!$A$11:$A$115=$B33)*('Giá công thức'!$B$11:$B$115=$C33)*('Giá công thức'!$C$11:$C$115="GB")*('Giá công thức'!$G$3:$AQ$3=N$1)*('Giá công thức'!$G$4:$AQ$4=N$2))=0,NA(),SUMPRODUCT('Giá công thức'!$G$11:$AQ$115*('Giá công thức'!$A$11:$A$115=$B33)*('Giá công thức'!$B$11:$B$115=$C33)*('Giá công thức'!$C$11:$C$115="GB")*('Giá công thức'!$G$3:$AQ$3=N$1)*('Giá công thức'!$G$4:$AQ$4=N$2)))</f>
        <v>1436.25</v>
      </c>
      <c r="O33" s="394" cm="1">
        <f t="array" ref="O33">IF(SUMPRODUCT('Giá công thức'!$G$11:$AQ$115*('Giá công thức'!$A$11:$A$115=$B33)*('Giá công thức'!$B$11:$B$115=$C33)*('Giá công thức'!$C$11:$C$115="GB")*('Giá công thức'!$G$3:$AQ$3=O$1)*('Giá công thức'!$G$4:$AQ$4=O$2))=0,NA(),SUMPRODUCT('Giá công thức'!$G$11:$AQ$115*('Giá công thức'!$A$11:$A$115=$B33)*('Giá công thức'!$B$11:$B$115=$C33)*('Giá công thức'!$C$11:$C$115="GB")*('Giá công thức'!$G$3:$AQ$3=O$1)*('Giá công thức'!$G$4:$AQ$4=O$2)))</f>
        <v>1453.75</v>
      </c>
      <c r="P33" s="394" cm="1">
        <f t="array" ref="P33">IF(SUMPRODUCT('Giá công thức'!$G$11:$AQ$115*('Giá công thức'!$A$11:$A$115=$B33)*('Giá công thức'!$B$11:$B$115=$C33)*('Giá công thức'!$C$11:$C$115="GB")*('Giá công thức'!$G$3:$AQ$3=P$1)*('Giá công thức'!$G$4:$AQ$4=P$2))=0,NA(),SUMPRODUCT('Giá công thức'!$G$11:$AQ$115*('Giá công thức'!$A$11:$A$115=$B33)*('Giá công thức'!$B$11:$B$115=$C33)*('Giá công thức'!$C$11:$C$115="GB")*('Giá công thức'!$G$3:$AQ$3=P$1)*('Giá công thức'!$G$4:$AQ$4=P$2)))</f>
        <v>1457.5</v>
      </c>
      <c r="Q33" s="394" cm="1">
        <f t="array" ref="Q33">IF(SUMPRODUCT('Giá công thức'!$G$11:$AQ$115*('Giá công thức'!$A$11:$A$115=$B33)*('Giá công thức'!$B$11:$B$115=$C33)*('Giá công thức'!$C$11:$C$115="GB")*('Giá công thức'!$G$3:$AQ$3=Q$1)*('Giá công thức'!$G$4:$AQ$4=Q$2))=0,NA(),SUMPRODUCT('Giá công thức'!$G$11:$AQ$115*('Giá công thức'!$A$11:$A$115=$B33)*('Giá công thức'!$B$11:$B$115=$C33)*('Giá công thức'!$C$11:$C$115="GB")*('Giá công thức'!$G$3:$AQ$3=Q$1)*('Giá công thức'!$G$4:$AQ$4=Q$2)))</f>
        <v>1426.403125</v>
      </c>
      <c r="R33" s="394" cm="1">
        <f t="array" ref="R33">IF(SUMPRODUCT('Giá công thức'!$G$11:$AQ$115*('Giá công thức'!$A$11:$A$115=$B33)*('Giá công thức'!$B$11:$B$115=$C33)*('Giá công thức'!$C$11:$C$115="GB")*('Giá công thức'!$G$3:$AQ$3=R$1)*('Giá công thức'!$G$4:$AQ$4=R$2))=0,NA(),SUMPRODUCT('Giá công thức'!$G$11:$AQ$115*('Giá công thức'!$A$11:$A$115=$B33)*('Giá công thức'!$B$11:$B$115=$C33)*('Giá công thức'!$C$11:$C$115="GB")*('Giá công thức'!$G$3:$AQ$3=R$1)*('Giá công thức'!$G$4:$AQ$4=R$2)))</f>
        <v>1388.6447916666652</v>
      </c>
      <c r="S33" s="394" cm="1">
        <f t="array" ref="S33">IF(SUMPRODUCT('Giá công thức'!$G$11:$AQ$115*('Giá công thức'!$A$11:$A$115=$B33)*('Giá công thức'!$B$11:$B$115=$C33)*('Giá công thức'!$C$11:$C$115="GB")*('Giá công thức'!$G$3:$AQ$3=S$1)*('Giá công thức'!$G$4:$AQ$4=S$2))=0,NA(),SUMPRODUCT('Giá công thức'!$G$11:$AQ$115*('Giá công thức'!$A$11:$A$115=$B33)*('Giá công thức'!$B$11:$B$115=$C33)*('Giá công thức'!$C$11:$C$115="GB")*('Giá công thức'!$G$3:$AQ$3=S$1)*('Giá công thức'!$G$4:$AQ$4=S$2)))</f>
        <v>1353.5541666666652</v>
      </c>
      <c r="T33" s="394" cm="1">
        <f t="array" ref="T33">IF(SUMPRODUCT('Giá công thức'!$G$11:$AQ$115*('Giá công thức'!$A$11:$A$115=$B33)*('Giá công thức'!$B$11:$B$115=$C33)*('Giá công thức'!$C$11:$C$115="GB")*('Giá công thức'!$G$3:$AQ$3=T$1)*('Giá công thức'!$G$4:$AQ$4=T$2))=0,NA(),SUMPRODUCT('Giá công thức'!$G$11:$AQ$115*('Giá công thức'!$A$11:$A$115=$B33)*('Giá công thức'!$B$11:$B$115=$C33)*('Giá công thức'!$C$11:$C$115="GB")*('Giá công thức'!$G$3:$AQ$3=T$1)*('Giá công thức'!$G$4:$AQ$4=T$2)))</f>
        <v>1354.375</v>
      </c>
      <c r="U33" s="394" cm="1">
        <f t="array" ref="U33">IF(SUMPRODUCT('Giá công thức'!$G$11:$AQ$115*('Giá công thức'!$A$11:$A$115=$B33)*('Giá công thức'!$B$11:$B$115=$C33)*('Giá công thức'!$C$11:$C$115="GB")*('Giá công thức'!$G$3:$AQ$3=U$1)*('Giá công thức'!$G$4:$AQ$4=U$2))=0,NA(),SUMPRODUCT('Giá công thức'!$G$11:$AQ$115*('Giá công thức'!$A$11:$A$115=$B33)*('Giá công thức'!$B$11:$B$115=$C33)*('Giá công thức'!$C$11:$C$115="GB")*('Giá công thức'!$G$3:$AQ$3=U$1)*('Giá công thức'!$G$4:$AQ$4=U$2)))</f>
        <v>1359.3</v>
      </c>
      <c r="V33" s="394" cm="1">
        <f t="array" ref="V33">IF(SUMPRODUCT('Giá công thức'!$G$11:$AQ$115*('Giá công thức'!$A$11:$A$115=$B33)*('Giá công thức'!$B$11:$B$115=$C33)*('Giá công thức'!$C$11:$C$115="GB")*('Giá công thức'!$G$3:$AQ$3=V$1)*('Giá công thức'!$G$4:$AQ$4=V$2))=0,NA(),SUMPRODUCT('Giá công thức'!$G$11:$AQ$115*('Giá công thức'!$A$11:$A$115=$B33)*('Giá công thức'!$B$11:$B$115=$C33)*('Giá công thức'!$C$11:$C$115="GB")*('Giá công thức'!$G$3:$AQ$3=V$1)*('Giá công thức'!$G$4:$AQ$4=V$2)))</f>
        <v>1359.3</v>
      </c>
      <c r="W33" s="394" cm="1">
        <f t="array" ref="W33">IF(SUMPRODUCT('Giá công thức'!$G$11:$AQ$115*('Giá công thức'!$A$11:$A$115=$B33)*('Giá công thức'!$B$11:$B$115=$C33)*('Giá công thức'!$C$11:$C$115="GB")*('Giá công thức'!$G$3:$AQ$3=W$1)*('Giá công thức'!$G$4:$AQ$4=W$2))=0,NA(),SUMPRODUCT('Giá công thức'!$G$11:$AQ$115*('Giá công thức'!$A$11:$A$115=$B33)*('Giá công thức'!$B$11:$B$115=$C33)*('Giá công thức'!$C$11:$C$115="GB")*('Giá công thức'!$G$3:$AQ$3=W$1)*('Giá công thức'!$G$4:$AQ$4=W$2)))</f>
        <v>1359.3</v>
      </c>
      <c r="X33" s="394" cm="1">
        <f t="array" ref="X33">IF(SUMPRODUCT('Giá công thức'!$G$11:$AQ$115*('Giá công thức'!$A$11:$A$115=$B33)*('Giá công thức'!$B$11:$B$115=$C33)*('Giá công thức'!$C$11:$C$115="GB")*('Giá công thức'!$G$3:$AQ$3=X$1)*('Giá công thức'!$G$4:$AQ$4=X$2))=0,NA(),SUMPRODUCT('Giá công thức'!$G$11:$AQ$115*('Giá công thức'!$A$11:$A$115=$B33)*('Giá công thức'!$B$11:$B$115=$C33)*('Giá công thức'!$C$11:$C$115="GB")*('Giá công thức'!$G$3:$AQ$3=X$1)*('Giá công thức'!$G$4:$AQ$4=X$2)))</f>
        <v>1341.57</v>
      </c>
      <c r="Y33" s="394" cm="1">
        <f t="array" ref="Y33">IF(SUMPRODUCT('Giá công thức'!$G$11:$AQ$115*('Giá công thức'!$A$11:$A$115=$B33)*('Giá công thức'!$B$11:$B$115=$C33)*('Giá công thức'!$C$11:$C$115="GB")*('Giá công thức'!$G$3:$AQ$3=Y$1)*('Giá công thức'!$G$4:$AQ$4=Y$2))=0,NA(),SUMPRODUCT('Giá công thức'!$G$11:$AQ$115*('Giá công thức'!$A$11:$A$115=$B33)*('Giá công thức'!$B$11:$B$115=$C33)*('Giá công thức'!$C$11:$C$115="GB")*('Giá công thức'!$G$3:$AQ$3=Y$1)*('Giá công thức'!$G$4:$AQ$4=Y$2)))</f>
        <v>1310.0574999999999</v>
      </c>
      <c r="Z33" s="394" cm="1">
        <f t="array" ref="Z33">IF(SUMPRODUCT('Giá công thức'!$G$11:$AQ$115*('Giá công thức'!$A$11:$A$115=$B33)*('Giá công thức'!$B$11:$B$115=$C33)*('Giá công thức'!$C$11:$C$115="GB")*('Giá công thức'!$G$3:$AQ$3=Z$1)*('Giá công thức'!$G$4:$AQ$4=Z$2))=0,NA(),SUMPRODUCT('Giá công thức'!$G$11:$AQ$115*('Giá công thức'!$A$11:$A$115=$B33)*('Giá công thức'!$B$11:$B$115=$C33)*('Giá công thức'!$C$11:$C$115="GB")*('Giá công thức'!$G$3:$AQ$3=Z$1)*('Giá công thức'!$G$4:$AQ$4=Z$2)))</f>
        <v>1310.4775</v>
      </c>
      <c r="AA33" s="394" cm="1">
        <f t="array" ref="AA33">IF(SUMPRODUCT('Giá công thức'!$G$11:$AQ$115*('Giá công thức'!$A$11:$A$115=$B33)*('Giá công thức'!$B$11:$B$115=$C33)*('Giá công thức'!$C$11:$C$115="GB")*('Giá công thức'!$G$3:$AQ$3=AA$1)*('Giá công thức'!$G$4:$AQ$4=AA$2))=0,NA(),SUMPRODUCT('Giá công thức'!$G$11:$AQ$115*('Giá công thức'!$A$11:$A$115=$B33)*('Giá công thức'!$B$11:$B$115=$C33)*('Giá công thức'!$C$11:$C$115="GB")*('Giá công thức'!$G$3:$AQ$3=AA$1)*('Giá công thức'!$G$4:$AQ$4=AA$2)))</f>
        <v>1310.8150000000001</v>
      </c>
      <c r="AB33" s="394" cm="1">
        <f t="array" ref="AB33">IF(SUMPRODUCT('Giá công thức'!$G$11:$AQ$115*('Giá công thức'!$A$11:$A$115=$B33)*('Giá công thức'!$B$11:$B$115=$C33)*('Giá công thức'!$C$11:$C$115="GB")*('Giá công thức'!$G$3:$AQ$3=AB$1)*('Giá công thức'!$G$4:$AQ$4=AB$2))=0,NA(),SUMPRODUCT('Giá công thức'!$G$11:$AQ$115*('Giá công thức'!$A$11:$A$115=$B33)*('Giá công thức'!$B$11:$B$115=$C33)*('Giá công thức'!$C$11:$C$115="GB")*('Giá công thức'!$G$3:$AQ$3=AB$1)*('Giá công thức'!$G$4:$AQ$4=AB$2)))</f>
        <v>1310.996875</v>
      </c>
      <c r="AC33" s="394" cm="1">
        <f t="array" ref="AC33">IF(SUMPRODUCT('Giá công thức'!$G$11:$AQ$115*('Giá công thức'!$A$11:$A$115=$B33)*('Giá công thức'!$B$11:$B$115=$C33)*('Giá công thức'!$C$11:$C$115="GB")*('Giá công thức'!$G$3:$AQ$3=AC$1)*('Giá công thức'!$G$4:$AQ$4=AC$2))=0,NA(),SUMPRODUCT('Giá công thức'!$G$11:$AQ$115*('Giá công thức'!$A$11:$A$115=$B33)*('Giá công thức'!$B$11:$B$115=$C33)*('Giá công thức'!$C$11:$C$115="GB")*('Giá công thức'!$G$3:$AQ$3=AC$1)*('Giá công thức'!$G$4:$AQ$4=AC$2)))</f>
        <v>1128</v>
      </c>
      <c r="AD33" s="394" cm="1">
        <f t="array" ref="AD33">IF(SUMPRODUCT('Giá công thức'!$G$11:$AQ$115*('Giá công thức'!$A$11:$A$115=$B33)*('Giá công thức'!$B$11:$B$115=$C33)*('Giá công thức'!$C$11:$C$115="GB")*('Giá công thức'!$G$3:$AQ$3=AD$1)*('Giá công thức'!$G$4:$AQ$4=AD$2))=0,NA(),SUMPRODUCT('Giá công thức'!$G$11:$AQ$115*('Giá công thức'!$A$11:$A$115=$B33)*('Giá công thức'!$B$11:$B$115=$C33)*('Giá công thức'!$C$11:$C$115="GB")*('Giá công thức'!$G$3:$AQ$3=AD$1)*('Giá công thức'!$G$4:$AQ$4=AD$2)))</f>
        <v>1128</v>
      </c>
      <c r="AE33" s="394" cm="1">
        <f t="array" ref="AE33">IF(SUMPRODUCT('Giá công thức'!$G$11:$AQ$115*('Giá công thức'!$A$11:$A$115=$B33)*('Giá công thức'!$B$11:$B$115=$C33)*('Giá công thức'!$C$11:$C$115="GB")*('Giá công thức'!$G$3:$AQ$3=AE$1)*('Giá công thức'!$G$4:$AQ$4=AE$2))=0,NA(),SUMPRODUCT('Giá công thức'!$G$11:$AQ$115*('Giá công thức'!$A$11:$A$115=$B33)*('Giá công thức'!$B$11:$B$115=$C33)*('Giá công thức'!$C$11:$C$115="GB")*('Giá công thức'!$G$3:$AQ$3=AE$1)*('Giá công thức'!$G$4:$AQ$4=AE$2)))</f>
        <v>1128</v>
      </c>
      <c r="AF33" s="394" cm="1">
        <f t="array" ref="AF33">IF(SUMPRODUCT('Giá công thức'!$G$11:$AQ$115*('Giá công thức'!$A$11:$A$115=$B33)*('Giá công thức'!$B$11:$B$115=$C33)*('Giá công thức'!$C$11:$C$115="GB")*('Giá công thức'!$G$3:$AQ$3=AF$1)*('Giá công thức'!$G$4:$AQ$4=AF$2))=0,NA(),SUMPRODUCT('Giá công thức'!$G$11:$AQ$115*('Giá công thức'!$A$11:$A$115=$B33)*('Giá công thức'!$B$11:$B$115=$C33)*('Giá công thức'!$C$11:$C$115="GB")*('Giá công thức'!$G$3:$AQ$3=AF$1)*('Giá công thức'!$G$4:$AQ$4=AF$2)))</f>
        <v>1128</v>
      </c>
      <c r="AG33" s="394" cm="1">
        <f t="array" ref="AG33">IF(SUMPRODUCT('Giá công thức'!$G$11:$AQ$115*('Giá công thức'!$A$11:$A$115=$B33)*('Giá công thức'!$B$11:$B$115=$C33)*('Giá công thức'!$C$11:$C$115="GB")*('Giá công thức'!$G$3:$AQ$3=AG$1)*('Giá công thức'!$G$4:$AQ$4=AG$2))=0,NA(),SUMPRODUCT('Giá công thức'!$G$11:$AQ$115*('Giá công thức'!$A$11:$A$115=$B33)*('Giá công thức'!$B$11:$B$115=$C33)*('Giá công thức'!$C$11:$C$115="GB")*('Giá công thức'!$G$3:$AQ$3=AG$1)*('Giá công thức'!$G$4:$AQ$4=AG$2)))</f>
        <v>1128</v>
      </c>
      <c r="AH33" s="394" cm="1">
        <f t="array" ref="AH33">IF(SUMPRODUCT('Giá công thức'!$G$11:$AQ$115*('Giá công thức'!$A$11:$A$115=$B33)*('Giá công thức'!$B$11:$B$115=$C33)*('Giá công thức'!$C$11:$C$115="GB")*('Giá công thức'!$G$3:$AQ$3=AH$1)*('Giá công thức'!$G$4:$AQ$4=AH$2))=0,NA(),SUMPRODUCT('Giá công thức'!$G$11:$AQ$115*('Giá công thức'!$A$11:$A$115=$B33)*('Giá công thức'!$B$11:$B$115=$C33)*('Giá công thức'!$C$11:$C$115="GB")*('Giá công thức'!$G$3:$AQ$3=AH$1)*('Giá công thức'!$G$4:$AQ$4=AH$2)))</f>
        <v>1128</v>
      </c>
      <c r="AI33" s="394"/>
      <c r="AJ33" s="394"/>
      <c r="AK33" s="394"/>
      <c r="AL33" s="394"/>
      <c r="AM33" s="394"/>
      <c r="AN33" s="394"/>
      <c r="AO33" s="394">
        <f>INDEX($E33:$AN33,MATCH("X",$E$3:$AN$3,0))</f>
        <v>1128</v>
      </c>
    </row>
    <row r="34" spans="1:41" s="137" customFormat="1" x14ac:dyDescent="0.3">
      <c r="A34" s="137" t="s">
        <v>30</v>
      </c>
      <c r="C34" s="137" t="s">
        <v>30</v>
      </c>
      <c r="D34" s="137" t="s">
        <v>17</v>
      </c>
      <c r="E34" s="397" cm="1">
        <f t="array" ref="E34">SUMPRODUCT(General_Data*(Code_General_Data=$A34)*(Year=E$1)*(Month=E$2))</f>
        <v>1280</v>
      </c>
      <c r="F34" s="397" cm="1">
        <f t="array" ref="F34">SUMPRODUCT(General_Data*(Code_General_Data=$A34)*(Year=F$1)*(Month=F$2))</f>
        <v>1280</v>
      </c>
      <c r="G34" s="397" cm="1">
        <f t="array" ref="G34">SUMPRODUCT(General_Data*(Code_General_Data=$A34)*(Year=G$1)*(Month=G$2))</f>
        <v>1280</v>
      </c>
      <c r="H34" s="397" cm="1">
        <f t="array" ref="H34">SUMPRODUCT(General_Data*(Code_General_Data=$A34)*(Year=H$1)*(Month=H$2))</f>
        <v>1280</v>
      </c>
      <c r="I34" s="397" cm="1">
        <f t="array" ref="I34">SUMPRODUCT(General_Data*(Code_General_Data=$A34)*(Year=I$1)*(Month=I$2))</f>
        <v>1330</v>
      </c>
      <c r="J34" s="397" cm="1">
        <f t="array" ref="J34">SUMPRODUCT(General_Data*(Code_General_Data=$A34)*(Year=J$1)*(Month=J$2))</f>
        <v>1330</v>
      </c>
      <c r="K34" s="397" cm="1">
        <f t="array" ref="K34">SUMPRODUCT(General_Data*(Code_General_Data=$A34)*(Year=K$1)*(Month=K$2))</f>
        <v>1330</v>
      </c>
      <c r="L34" s="397" cm="1">
        <f t="array" ref="L34">SUMPRODUCT(General_Data*(Code_General_Data=$A34)*(Year=L$1)*(Month=L$2))</f>
        <v>1330</v>
      </c>
      <c r="M34" s="397" cm="1">
        <f t="array" ref="M34">SUMPRODUCT(General_Data*(Code_General_Data=$A34)*(Year=M$1)*(Month=M$2))</f>
        <v>1340</v>
      </c>
      <c r="N34" s="397" cm="1">
        <f t="array" ref="N34">SUMPRODUCT(General_Data*(Code_General_Data=$A34)*(Year=N$1)*(Month=N$2))</f>
        <v>1355</v>
      </c>
      <c r="O34" s="397" cm="1">
        <f t="array" ref="O34">SUMPRODUCT(General_Data*(Code_General_Data=$A34)*(Year=O$1)*(Month=O$2))</f>
        <v>1355</v>
      </c>
      <c r="P34" s="397" cm="1">
        <f t="array" ref="P34">SUMPRODUCT(General_Data*(Code_General_Data=$A34)*(Year=P$1)*(Month=P$2))</f>
        <v>1305</v>
      </c>
      <c r="Q34" s="397" cm="1">
        <f t="array" ref="Q34">SUMPRODUCT(General_Data*(Code_General_Data=$A34)*(Year=Q$1)*(Month=Q$2))</f>
        <v>1260</v>
      </c>
      <c r="R34" s="397" cm="1">
        <f t="array" ref="R34">SUMPRODUCT(General_Data*(Code_General_Data=$A34)*(Year=R$1)*(Month=R$2))</f>
        <v>1260</v>
      </c>
      <c r="S34" s="397" cm="1">
        <f t="array" ref="S34">SUMPRODUCT(General_Data*(Code_General_Data=$A34)*(Year=S$1)*(Month=S$2))</f>
        <v>1260</v>
      </c>
      <c r="T34" s="397" cm="1">
        <f t="array" ref="T34">SUMPRODUCT(General_Data*(Code_General_Data=$A34)*(Year=T$1)*(Month=T$2))</f>
        <v>1280</v>
      </c>
      <c r="U34" s="397" cm="1">
        <f t="array" ref="U34">SUMPRODUCT(General_Data*(Code_General_Data=$A34)*(Year=U$1)*(Month=U$2))</f>
        <v>1280</v>
      </c>
      <c r="V34" s="397" cm="1">
        <f t="array" ref="V34">SUMPRODUCT(General_Data*(Code_General_Data=$A34)*(Year=V$1)*(Month=V$2))</f>
        <v>1280</v>
      </c>
      <c r="W34" s="397" cm="1">
        <f t="array" ref="W34">SUMPRODUCT(General_Data*(Code_General_Data=$A34)*(Year=W$1)*(Month=W$2))</f>
        <v>1280</v>
      </c>
      <c r="X34" s="397" cm="1">
        <f t="array" ref="X34">SUMPRODUCT(General_Data*(Code_General_Data=$A34)*(Year=X$1)*(Month=X$2))</f>
        <v>1250</v>
      </c>
      <c r="Y34" s="397" cm="1">
        <f t="array" ref="Y34">SUMPRODUCT(General_Data*(Code_General_Data=$A34)*(Year=Y$1)*(Month=Y$2))</f>
        <v>1250</v>
      </c>
      <c r="Z34" s="397" cm="1">
        <f t="array" ref="Z34">SUMPRODUCT(General_Data*(Code_General_Data=$A34)*(Year=Z$1)*(Month=Z$2))</f>
        <v>1240</v>
      </c>
      <c r="AA34" s="397" cm="1">
        <f t="array" ref="AA34">SUMPRODUCT(General_Data*(Code_General_Data=$A34)*(Year=AA$1)*(Month=AA$2))</f>
        <v>1230</v>
      </c>
      <c r="AB34" s="397" cm="1">
        <f t="array" ref="AB34">SUMPRODUCT(General_Data*(Code_General_Data=$A34)*(Year=AB$1)*(Month=AB$2))</f>
        <v>1230</v>
      </c>
      <c r="AC34" s="397" cm="1">
        <f t="array" ref="AC34">SUMPRODUCT(General_Data*(Code_General_Data=$A34)*(Year=AC$1)*(Month=AC$2))</f>
        <v>1190</v>
      </c>
      <c r="AD34" s="397" cm="1">
        <f t="array" ref="AD34">SUMPRODUCT(General_Data*(Code_General_Data=$A34)*(Year=AD$1)*(Month=AD$2))</f>
        <v>1190</v>
      </c>
      <c r="AE34" s="397" cm="1">
        <f t="array" ref="AE34">SUMPRODUCT(General_Data*(Code_General_Data=$A34)*(Year=AE$1)*(Month=AE$2))</f>
        <v>1190</v>
      </c>
      <c r="AF34" s="397" cm="1">
        <f t="array" ref="AF34">SUMPRODUCT(General_Data*(Code_General_Data=$A34)*(Year=AF$1)*(Month=AF$2))</f>
        <v>1310</v>
      </c>
      <c r="AG34" s="397" cm="1">
        <f t="array" ref="AG34">SUMPRODUCT(General_Data*(Code_General_Data=$A34)*(Year=AG$1)*(Month=AG$2))</f>
        <v>1410</v>
      </c>
      <c r="AH34" s="397" cm="1">
        <f t="array" ref="AH34">SUMPRODUCT(General_Data*(Code_General_Data=$A34)*(Year=AH$1)*(Month=AH$2))</f>
        <v>1380</v>
      </c>
      <c r="AI34" s="397"/>
      <c r="AJ34" s="397"/>
      <c r="AK34" s="397"/>
      <c r="AL34" s="397"/>
      <c r="AM34" s="397"/>
      <c r="AN34" s="397"/>
      <c r="AO34" s="397">
        <f>INDEX($E34:$AN34,MATCH("X",$E$3:$AN$3,0))</f>
        <v>1380</v>
      </c>
    </row>
    <row r="35" spans="1:41" s="395" customFormat="1" x14ac:dyDescent="0.3">
      <c r="A35" s="395" t="s">
        <v>9</v>
      </c>
      <c r="D35" s="395" t="s">
        <v>11</v>
      </c>
      <c r="E35" s="396" cm="1">
        <f t="array" ref="E35">SUMPRODUCT(General_Data*(Code_General_Data=$A35)*(Year=E$1)*(Month=E$2))</f>
        <v>930</v>
      </c>
      <c r="F35" s="396" cm="1">
        <f t="array" ref="F35">SUMPRODUCT(General_Data*(Code_General_Data=$A35)*(Year=F$1)*(Month=F$2))</f>
        <v>943.33333333333337</v>
      </c>
      <c r="G35" s="396" cm="1">
        <f t="array" ref="G35">SUMPRODUCT(General_Data*(Code_General_Data=$A35)*(Year=G$1)*(Month=G$2))</f>
        <v>940</v>
      </c>
      <c r="H35" s="396" cm="1">
        <f t="array" ref="H35">SUMPRODUCT(General_Data*(Code_General_Data=$A35)*(Year=H$1)*(Month=H$2))</f>
        <v>940</v>
      </c>
      <c r="I35" s="396" cm="1">
        <f t="array" ref="I35">SUMPRODUCT(General_Data*(Code_General_Data=$A35)*(Year=I$1)*(Month=I$2))</f>
        <v>942</v>
      </c>
      <c r="J35" s="396" cm="1">
        <f t="array" ref="J35">SUMPRODUCT(General_Data*(Code_General_Data=$A35)*(Year=J$1)*(Month=J$2))</f>
        <v>950</v>
      </c>
      <c r="K35" s="396" cm="1">
        <f t="array" ref="K35">SUMPRODUCT(General_Data*(Code_General_Data=$A35)*(Year=K$1)*(Month=K$2))</f>
        <v>947.5</v>
      </c>
      <c r="L35" s="396" cm="1">
        <f t="array" ref="L35">SUMPRODUCT(General_Data*(Code_General_Data=$A35)*(Year=L$1)*(Month=L$2))</f>
        <v>930</v>
      </c>
      <c r="M35" s="396" cm="1">
        <f t="array" ref="M35">SUMPRODUCT(General_Data*(Code_General_Data=$A35)*(Year=M$1)*(Month=M$2))</f>
        <v>880</v>
      </c>
      <c r="N35" s="396" cm="1">
        <f t="array" ref="N35">SUMPRODUCT(General_Data*(Code_General_Data=$A35)*(Year=N$1)*(Month=N$2))</f>
        <v>862.5</v>
      </c>
      <c r="O35" s="396" cm="1">
        <f t="array" ref="O35">SUMPRODUCT(General_Data*(Code_General_Data=$A35)*(Year=O$1)*(Month=O$2))</f>
        <v>852</v>
      </c>
      <c r="P35" s="396" cm="1">
        <f t="array" ref="P35">SUMPRODUCT(General_Data*(Code_General_Data=$A35)*(Year=P$1)*(Month=P$2))</f>
        <v>830</v>
      </c>
      <c r="Q35" s="396" cm="1">
        <f t="array" ref="Q35">SUMPRODUCT(General_Data*(Code_General_Data=$A35)*(Year=Q$1)*(Month=Q$2))</f>
        <v>828</v>
      </c>
      <c r="R35" s="396" cm="1">
        <f t="array" ref="R35">SUMPRODUCT(General_Data*(Code_General_Data=$A35)*(Year=R$1)*(Month=R$2))</f>
        <v>840</v>
      </c>
      <c r="S35" s="396" cm="1">
        <f t="array" ref="S35">SUMPRODUCT(General_Data*(Code_General_Data=$A35)*(Year=S$1)*(Month=S$2))</f>
        <v>823</v>
      </c>
      <c r="T35" s="396" cm="1">
        <f t="array" ref="T35">SUMPRODUCT(General_Data*(Code_General_Data=$A35)*(Year=T$1)*(Month=T$2))</f>
        <v>765</v>
      </c>
      <c r="U35" s="396" cm="1">
        <f t="array" ref="U35">SUMPRODUCT(General_Data*(Code_General_Data=$A35)*(Year=U$1)*(Month=U$2))</f>
        <v>782</v>
      </c>
      <c r="V35" s="396" cm="1">
        <f t="array" ref="V35">SUMPRODUCT(General_Data*(Code_General_Data=$A35)*(Year=V$1)*(Month=V$2))</f>
        <v>807.5</v>
      </c>
      <c r="W35" s="396" cm="1">
        <f t="array" ref="W35">SUMPRODUCT(General_Data*(Code_General_Data=$A35)*(Year=W$1)*(Month=W$2))</f>
        <v>802</v>
      </c>
      <c r="X35" s="396" cm="1">
        <f t="array" ref="X35">SUMPRODUCT(General_Data*(Code_General_Data=$A35)*(Year=X$1)*(Month=X$2))</f>
        <v>795</v>
      </c>
      <c r="Y35" s="396" cm="1">
        <f t="array" ref="Y35">SUMPRODUCT(General_Data*(Code_General_Data=$A35)*(Year=Y$1)*(Month=Y$2))</f>
        <v>783</v>
      </c>
      <c r="Z35" s="396" cm="1">
        <f t="array" ref="Z35">SUMPRODUCT(General_Data*(Code_General_Data=$A35)*(Year=Z$1)*(Month=Z$2))</f>
        <v>772</v>
      </c>
      <c r="AA35" s="396" cm="1">
        <f t="array" ref="AA35">SUMPRODUCT(General_Data*(Code_General_Data=$A35)*(Year=AA$1)*(Month=AA$2))</f>
        <v>770</v>
      </c>
      <c r="AB35" s="396" cm="1">
        <f t="array" ref="AB35">SUMPRODUCT(General_Data*(Code_General_Data=$A35)*(Year=AB$1)*(Month=AB$2))</f>
        <v>772.5</v>
      </c>
      <c r="AC35" s="396" cm="1">
        <f t="array" ref="AC35">SUMPRODUCT(General_Data*(Code_General_Data=$A35)*(Year=AC$1)*(Month=AC$2))</f>
        <v>805</v>
      </c>
      <c r="AD35" s="396" cm="1">
        <f t="array" ref="AD35">SUMPRODUCT(General_Data*(Code_General_Data=$A35)*(Year=AD$1)*(Month=AD$2))</f>
        <v>840</v>
      </c>
      <c r="AE35" s="396" cm="1">
        <f t="array" ref="AE35">SUMPRODUCT(General_Data*(Code_General_Data=$A35)*(Year=AE$1)*(Month=AE$2))</f>
        <v>1109</v>
      </c>
      <c r="AF35" s="396" cm="1">
        <f t="array" ref="AF35">SUMPRODUCT(General_Data*(Code_General_Data=$A35)*(Year=AF$1)*(Month=AF$2))</f>
        <v>1194</v>
      </c>
      <c r="AG35" s="396" cm="1">
        <f t="array" ref="AG35">SUMPRODUCT(General_Data*(Code_General_Data=$A35)*(Year=AG$1)*(Month=AG$2))</f>
        <v>1216</v>
      </c>
      <c r="AH35" s="396" cm="1">
        <f t="array" ref="AH35">SUMPRODUCT(General_Data*(Code_General_Data=$A35)*(Year=AH$1)*(Month=AH$2))</f>
        <v>1190</v>
      </c>
      <c r="AI35" s="396"/>
      <c r="AJ35" s="396"/>
      <c r="AK35" s="396"/>
      <c r="AL35" s="396"/>
      <c r="AM35" s="396"/>
      <c r="AN35" s="396"/>
      <c r="AO35" s="396">
        <f>INDEX($E35:$AN35,MATCH("X",$E$3:$AN$3,0))</f>
        <v>1190</v>
      </c>
    </row>
    <row r="36" spans="1:41" s="402" customFormat="1" x14ac:dyDescent="0.3">
      <c r="D36" s="402" t="s">
        <v>392</v>
      </c>
      <c r="E36" s="403">
        <f t="shared" ref="E36:AA36" si="28">E34-E35</f>
        <v>350</v>
      </c>
      <c r="F36" s="403">
        <f t="shared" si="28"/>
        <v>336.66666666666663</v>
      </c>
      <c r="G36" s="403">
        <f t="shared" si="28"/>
        <v>340</v>
      </c>
      <c r="H36" s="403">
        <f t="shared" si="28"/>
        <v>340</v>
      </c>
      <c r="I36" s="403">
        <f t="shared" si="28"/>
        <v>388</v>
      </c>
      <c r="J36" s="403">
        <f t="shared" si="28"/>
        <v>380</v>
      </c>
      <c r="K36" s="403">
        <f t="shared" si="28"/>
        <v>382.5</v>
      </c>
      <c r="L36" s="403">
        <f t="shared" si="28"/>
        <v>400</v>
      </c>
      <c r="M36" s="403">
        <f t="shared" si="28"/>
        <v>460</v>
      </c>
      <c r="N36" s="403">
        <f t="shared" si="28"/>
        <v>492.5</v>
      </c>
      <c r="O36" s="403">
        <f t="shared" si="28"/>
        <v>503</v>
      </c>
      <c r="P36" s="403">
        <f t="shared" si="28"/>
        <v>475</v>
      </c>
      <c r="Q36" s="403">
        <f t="shared" si="28"/>
        <v>432</v>
      </c>
      <c r="R36" s="403">
        <f t="shared" si="28"/>
        <v>420</v>
      </c>
      <c r="S36" s="403">
        <f t="shared" si="28"/>
        <v>437</v>
      </c>
      <c r="T36" s="403">
        <f t="shared" si="28"/>
        <v>515</v>
      </c>
      <c r="U36" s="403">
        <f t="shared" si="28"/>
        <v>498</v>
      </c>
      <c r="V36" s="403">
        <f t="shared" si="28"/>
        <v>472.5</v>
      </c>
      <c r="W36" s="403">
        <f t="shared" si="28"/>
        <v>478</v>
      </c>
      <c r="X36" s="403">
        <f t="shared" si="28"/>
        <v>455</v>
      </c>
      <c r="Y36" s="403">
        <f t="shared" si="28"/>
        <v>467</v>
      </c>
      <c r="Z36" s="403">
        <f t="shared" si="28"/>
        <v>468</v>
      </c>
      <c r="AA36" s="403">
        <f t="shared" si="28"/>
        <v>460</v>
      </c>
      <c r="AB36" s="403">
        <f t="shared" ref="AB36" si="29">AB34-AB35</f>
        <v>457.5</v>
      </c>
      <c r="AC36" s="403">
        <f t="shared" ref="AC36:AF36" si="30">AC34-AC35</f>
        <v>385</v>
      </c>
      <c r="AD36" s="403">
        <f t="shared" si="30"/>
        <v>350</v>
      </c>
      <c r="AE36" s="403">
        <f t="shared" si="30"/>
        <v>81</v>
      </c>
      <c r="AF36" s="403">
        <f t="shared" si="30"/>
        <v>116</v>
      </c>
      <c r="AG36" s="403">
        <f t="shared" ref="AG36:AH36" si="31">AG34-AG35</f>
        <v>194</v>
      </c>
      <c r="AH36" s="403">
        <f t="shared" si="31"/>
        <v>190</v>
      </c>
      <c r="AI36" s="403"/>
      <c r="AJ36" s="403"/>
      <c r="AK36" s="403"/>
      <c r="AL36" s="403"/>
      <c r="AM36" s="403"/>
      <c r="AN36" s="403"/>
      <c r="AO36" s="403"/>
    </row>
    <row r="37" spans="1:41" s="404" customFormat="1" x14ac:dyDescent="0.3">
      <c r="D37" s="404" t="s">
        <v>370</v>
      </c>
      <c r="E37" s="405">
        <f t="shared" ref="E37:AA37" si="32">IFERROR(E36/E35,0)</f>
        <v>0.37634408602150538</v>
      </c>
      <c r="F37" s="405">
        <f t="shared" si="32"/>
        <v>0.35689045936395752</v>
      </c>
      <c r="G37" s="405">
        <f t="shared" si="32"/>
        <v>0.36170212765957449</v>
      </c>
      <c r="H37" s="405">
        <f t="shared" si="32"/>
        <v>0.36170212765957449</v>
      </c>
      <c r="I37" s="405">
        <f t="shared" si="32"/>
        <v>0.41188959660297242</v>
      </c>
      <c r="J37" s="405">
        <f t="shared" si="32"/>
        <v>0.4</v>
      </c>
      <c r="K37" s="405">
        <f t="shared" si="32"/>
        <v>0.40369393139841686</v>
      </c>
      <c r="L37" s="405">
        <f t="shared" si="32"/>
        <v>0.43010752688172044</v>
      </c>
      <c r="M37" s="405">
        <f t="shared" si="32"/>
        <v>0.52272727272727271</v>
      </c>
      <c r="N37" s="405">
        <f t="shared" si="32"/>
        <v>0.57101449275362315</v>
      </c>
      <c r="O37" s="405">
        <f t="shared" si="32"/>
        <v>0.59037558685446012</v>
      </c>
      <c r="P37" s="405">
        <f t="shared" si="32"/>
        <v>0.57228915662650603</v>
      </c>
      <c r="Q37" s="405">
        <f t="shared" si="32"/>
        <v>0.52173913043478259</v>
      </c>
      <c r="R37" s="405">
        <f t="shared" si="32"/>
        <v>0.5</v>
      </c>
      <c r="S37" s="405">
        <f t="shared" si="32"/>
        <v>0.53098420413122727</v>
      </c>
      <c r="T37" s="405">
        <f t="shared" si="32"/>
        <v>0.67320261437908502</v>
      </c>
      <c r="U37" s="405">
        <f t="shared" si="32"/>
        <v>0.63682864450127874</v>
      </c>
      <c r="V37" s="405">
        <f t="shared" si="32"/>
        <v>0.5851393188854489</v>
      </c>
      <c r="W37" s="405">
        <f t="shared" si="32"/>
        <v>0.5960099750623441</v>
      </c>
      <c r="X37" s="405">
        <f t="shared" si="32"/>
        <v>0.57232704402515722</v>
      </c>
      <c r="Y37" s="405">
        <f t="shared" si="32"/>
        <v>0.59642401021711366</v>
      </c>
      <c r="Z37" s="405">
        <f t="shared" si="32"/>
        <v>0.60621761658031093</v>
      </c>
      <c r="AA37" s="405">
        <f t="shared" si="32"/>
        <v>0.59740259740259738</v>
      </c>
      <c r="AB37" s="405">
        <f t="shared" ref="AB37" si="33">IFERROR(AB36/AB35,0)</f>
        <v>0.59223300970873782</v>
      </c>
      <c r="AC37" s="405">
        <f t="shared" ref="AC37:AF37" si="34">IFERROR(AC36/AC35,0)</f>
        <v>0.47826086956521741</v>
      </c>
      <c r="AD37" s="405">
        <f t="shared" si="34"/>
        <v>0.41666666666666669</v>
      </c>
      <c r="AE37" s="405">
        <f t="shared" si="34"/>
        <v>7.3038773669972953E-2</v>
      </c>
      <c r="AF37" s="405">
        <f t="shared" si="34"/>
        <v>9.7152428810720268E-2</v>
      </c>
      <c r="AG37" s="405">
        <f t="shared" ref="AG37:AH37" si="35">IFERROR(AG36/AG35,0)</f>
        <v>0.15953947368421054</v>
      </c>
      <c r="AH37" s="405">
        <f t="shared" si="35"/>
        <v>0.15966386554621848</v>
      </c>
      <c r="AI37" s="405"/>
      <c r="AJ37" s="405"/>
      <c r="AK37" s="405"/>
      <c r="AL37" s="405"/>
      <c r="AM37" s="405"/>
      <c r="AN37" s="405"/>
      <c r="AO37" s="405"/>
    </row>
    <row r="38" spans="1:41" s="483" customFormat="1" x14ac:dyDescent="0.3">
      <c r="A38" s="483" t="s">
        <v>535</v>
      </c>
      <c r="C38" s="483" t="s">
        <v>30</v>
      </c>
      <c r="D38" s="483" t="s">
        <v>544</v>
      </c>
      <c r="E38" s="590" cm="1">
        <f t="array" ref="E38">SUMPRODUCT(General_Data*(Code_General_Data=$A38)*(Year=E$1)*(Month=E$2))</f>
        <v>886.70564275321146</v>
      </c>
      <c r="F38" s="590" cm="1">
        <f t="array" ref="F38">SUMPRODUCT(General_Data*(Code_General_Data=$A38)*(Year=F$1)*(Month=F$2))</f>
        <v>885.79972438191623</v>
      </c>
      <c r="G38" s="590" cm="1">
        <f t="array" ref="G38">SUMPRODUCT(General_Data*(Code_General_Data=$A38)*(Year=G$1)*(Month=G$2))</f>
        <v>915.00612466032806</v>
      </c>
      <c r="H38" s="590" cm="1">
        <f t="array" ref="H38">SUMPRODUCT(General_Data*(Code_General_Data=$A38)*(Year=H$1)*(Month=H$2))</f>
        <v>901.2628188129338</v>
      </c>
      <c r="I38" s="590" cm="1">
        <f t="array" ref="I38">SUMPRODUCT(General_Data*(Code_General_Data=$A38)*(Year=I$1)*(Month=I$2))</f>
        <v>965.18473589398957</v>
      </c>
      <c r="J38" s="590" cm="1">
        <f t="array" ref="J38">SUMPRODUCT(General_Data*(Code_General_Data=$A38)*(Year=J$1)*(Month=J$2))</f>
        <v>923.78267572677441</v>
      </c>
      <c r="K38" s="590" cm="1">
        <f t="array" ref="K38">SUMPRODUCT(General_Data*(Code_General_Data=$A38)*(Year=K$1)*(Month=K$2))</f>
        <v>936.21245036745893</v>
      </c>
      <c r="L38" s="590" cm="1">
        <f t="array" ref="L38">SUMPRODUCT(General_Data*(Code_General_Data=$A38)*(Year=L$1)*(Month=L$2))</f>
        <v>967.70903056655038</v>
      </c>
      <c r="M38" s="590" cm="1">
        <f t="array" ref="M38">SUMPRODUCT(General_Data*(Code_General_Data=$A38)*(Year=M$1)*(Month=M$2))</f>
        <v>991.40085891641297</v>
      </c>
      <c r="N38" s="590" cm="1">
        <f t="array" ref="N38">SUMPRODUCT(General_Data*(Code_General_Data=$A38)*(Year=N$1)*(Month=N$2))</f>
        <v>992.49663175557214</v>
      </c>
      <c r="O38" s="590" cm="1">
        <f t="array" ref="O38">SUMPRODUCT(General_Data*(Code_General_Data=$A38)*(Year=O$1)*(Month=O$2))</f>
        <v>988.01898244140193</v>
      </c>
      <c r="P38" s="590" cm="1">
        <f t="array" ref="P38">SUMPRODUCT(General_Data*(Code_General_Data=$A38)*(Year=P$1)*(Month=P$2))</f>
        <v>991.71030510641947</v>
      </c>
      <c r="Q38" s="590" cm="1">
        <f t="array" ref="Q38">SUMPRODUCT(General_Data*(Code_General_Data=$A38)*(Year=Q$1)*(Month=Q$2))</f>
        <v>1034.4601127165529</v>
      </c>
      <c r="R38" s="590" cm="1">
        <f t="array" ref="R38">SUMPRODUCT(General_Data*(Code_General_Data=$A38)*(Year=R$1)*(Month=R$2))</f>
        <v>1000.0932804513247</v>
      </c>
      <c r="S38" s="590" cm="1">
        <f t="array" ref="S38">SUMPRODUCT(General_Data*(Code_General_Data=$A38)*(Year=S$1)*(Month=S$2))</f>
        <v>1002.2785516733181</v>
      </c>
      <c r="T38" s="590" cm="1">
        <f t="array" ref="T38">SUMPRODUCT(General_Data*(Code_General_Data=$A38)*(Year=T$1)*(Month=T$2))</f>
        <v>981.76308363958833</v>
      </c>
      <c r="U38" s="590" cm="1">
        <f t="array" ref="U38">SUMPRODUCT(General_Data*(Code_General_Data=$A38)*(Year=U$1)*(Month=U$2))</f>
        <v>1003.0014874386915</v>
      </c>
      <c r="V38" s="590" cm="1">
        <f t="array" ref="V38">SUMPRODUCT(General_Data*(Code_General_Data=$A38)*(Year=V$1)*(Month=V$2))</f>
        <v>1042.2982406523388</v>
      </c>
      <c r="W38" s="590" cm="1">
        <f t="array" ref="W38">SUMPRODUCT(General_Data*(Code_General_Data=$A38)*(Year=W$1)*(Month=W$2))</f>
        <v>1023.29515652016</v>
      </c>
      <c r="X38" s="590" cm="1">
        <f t="array" ref="X38">SUMPRODUCT(General_Data*(Code_General_Data=$A38)*(Year=X$1)*(Month=X$2))</f>
        <v>1013.4721671420641</v>
      </c>
      <c r="Y38" s="590" cm="1">
        <f t="array" ref="Y38">SUMPRODUCT(General_Data*(Code_General_Data=$A38)*(Year=Y$1)*(Month=Y$2))</f>
        <v>1009.1954896253499</v>
      </c>
      <c r="Z38" s="590" cm="1">
        <f t="array" ref="Z38">SUMPRODUCT(General_Data*(Code_General_Data=$A38)*(Year=Z$1)*(Month=Z$2))</f>
        <v>1005.1392870463301</v>
      </c>
      <c r="AA38" s="590" cm="1">
        <f t="array" ref="AA38">SUMPRODUCT(General_Data*(Code_General_Data=$A38)*(Year=AA$1)*(Month=AA$2))</f>
        <v>1035.5053982558945</v>
      </c>
      <c r="AB38" s="590" cm="1">
        <f t="array" ref="AB38">SUMPRODUCT(General_Data*(Code_General_Data=$A38)*(Year=AB$1)*(Month=AB$2))</f>
        <v>1034.0874036790649</v>
      </c>
      <c r="AC38" s="590" cm="1">
        <f t="array" ref="AC38">SUMPRODUCT(General_Data*(Code_General_Data=$A38)*(Year=AC$1)*(Month=AC$2))</f>
        <v>1037.3374543763573</v>
      </c>
      <c r="AD38" s="590" cm="1">
        <f t="array" ref="AD38">SUMPRODUCT(General_Data*(Code_General_Data=$A38)*(Year=AD$1)*(Month=AD$2))</f>
        <v>1030.7233636239453</v>
      </c>
      <c r="AE38" s="590" cm="1">
        <f t="array" ref="AE38">SUMPRODUCT(General_Data*(Code_General_Data=$A38)*(Year=AE$1)*(Month=AE$2))</f>
        <v>1014.7347856197222</v>
      </c>
      <c r="AF38" s="590" cm="1">
        <f t="array" ref="AF38">SUMPRODUCT(General_Data*(Code_General_Data=$A38)*(Year=AF$1)*(Month=AF$2))</f>
        <v>974.46754435877665</v>
      </c>
      <c r="AG38" s="590" cm="1">
        <f t="array" ref="AG38">SUMPRODUCT(General_Data*(Code_General_Data=$A38)*(Year=AG$1)*(Month=AG$2))</f>
        <v>1005.2865696483146</v>
      </c>
      <c r="AH38" s="590" cm="1">
        <f t="array" ref="AH38">SUMPRODUCT(General_Data*(Code_General_Data=$A38)*(Year=AH$1)*(Month=AH$2))</f>
        <v>1005.2865696483146</v>
      </c>
      <c r="AI38" s="590"/>
      <c r="AJ38" s="590"/>
      <c r="AK38" s="590"/>
      <c r="AL38" s="590"/>
      <c r="AM38" s="590"/>
      <c r="AN38" s="590"/>
      <c r="AO38" s="591">
        <f>INDEX($E38:$AN38,MATCH("X",$E$3:$AN$3,0))</f>
        <v>1005.2865696483146</v>
      </c>
    </row>
    <row r="39" spans="1:41" s="420" customFormat="1" x14ac:dyDescent="0.3">
      <c r="D39" s="420" t="s">
        <v>395</v>
      </c>
      <c r="E39" s="421">
        <f>E34</f>
        <v>1280</v>
      </c>
      <c r="F39" s="421">
        <f t="shared" ref="F39:AB39" si="36">F34</f>
        <v>1280</v>
      </c>
      <c r="G39" s="421">
        <f t="shared" si="36"/>
        <v>1280</v>
      </c>
      <c r="H39" s="421">
        <f t="shared" si="36"/>
        <v>1280</v>
      </c>
      <c r="I39" s="421">
        <f t="shared" si="36"/>
        <v>1330</v>
      </c>
      <c r="J39" s="421">
        <f t="shared" si="36"/>
        <v>1330</v>
      </c>
      <c r="K39" s="421">
        <f t="shared" si="36"/>
        <v>1330</v>
      </c>
      <c r="L39" s="421">
        <f t="shared" si="36"/>
        <v>1330</v>
      </c>
      <c r="M39" s="421">
        <f t="shared" si="36"/>
        <v>1340</v>
      </c>
      <c r="N39" s="421">
        <f t="shared" si="36"/>
        <v>1355</v>
      </c>
      <c r="O39" s="421">
        <f t="shared" si="36"/>
        <v>1355</v>
      </c>
      <c r="P39" s="421">
        <f t="shared" si="36"/>
        <v>1305</v>
      </c>
      <c r="Q39" s="421">
        <f t="shared" si="36"/>
        <v>1260</v>
      </c>
      <c r="R39" s="421">
        <f t="shared" si="36"/>
        <v>1260</v>
      </c>
      <c r="S39" s="421">
        <f t="shared" si="36"/>
        <v>1260</v>
      </c>
      <c r="T39" s="421">
        <f t="shared" si="36"/>
        <v>1280</v>
      </c>
      <c r="U39" s="421">
        <f t="shared" si="36"/>
        <v>1280</v>
      </c>
      <c r="V39" s="421">
        <f t="shared" si="36"/>
        <v>1280</v>
      </c>
      <c r="W39" s="421">
        <f t="shared" si="36"/>
        <v>1280</v>
      </c>
      <c r="X39" s="421">
        <f t="shared" si="36"/>
        <v>1250</v>
      </c>
      <c r="Y39" s="421">
        <f t="shared" si="36"/>
        <v>1250</v>
      </c>
      <c r="Z39" s="421">
        <f t="shared" si="36"/>
        <v>1240</v>
      </c>
      <c r="AA39" s="421">
        <f t="shared" si="36"/>
        <v>1230</v>
      </c>
      <c r="AB39" s="421">
        <f t="shared" si="36"/>
        <v>1230</v>
      </c>
      <c r="AC39" s="421">
        <f t="shared" ref="AC39:AF39" si="37">AC34</f>
        <v>1190</v>
      </c>
      <c r="AD39" s="421">
        <f t="shared" si="37"/>
        <v>1190</v>
      </c>
      <c r="AE39" s="421">
        <f t="shared" si="37"/>
        <v>1190</v>
      </c>
      <c r="AF39" s="421">
        <f t="shared" si="37"/>
        <v>1310</v>
      </c>
      <c r="AG39" s="421">
        <f t="shared" ref="AG39:AH39" si="38">AG34</f>
        <v>1410</v>
      </c>
      <c r="AH39" s="421">
        <f t="shared" si="38"/>
        <v>1380</v>
      </c>
      <c r="AI39" s="421"/>
      <c r="AJ39" s="421"/>
      <c r="AK39" s="421"/>
      <c r="AL39" s="421"/>
      <c r="AM39" s="421"/>
      <c r="AN39" s="421"/>
      <c r="AO39" s="431"/>
    </row>
    <row r="40" spans="1:41" s="420" customFormat="1" x14ac:dyDescent="0.3">
      <c r="D40" s="420" t="s">
        <v>396</v>
      </c>
      <c r="E40" s="421">
        <f>E35+E36/2</f>
        <v>1105</v>
      </c>
      <c r="F40" s="421">
        <f t="shared" ref="F40:AB40" si="39">F35+F36/2</f>
        <v>1111.6666666666667</v>
      </c>
      <c r="G40" s="421">
        <f t="shared" si="39"/>
        <v>1110</v>
      </c>
      <c r="H40" s="421">
        <f t="shared" si="39"/>
        <v>1110</v>
      </c>
      <c r="I40" s="421">
        <f t="shared" si="39"/>
        <v>1136</v>
      </c>
      <c r="J40" s="421">
        <f t="shared" si="39"/>
        <v>1140</v>
      </c>
      <c r="K40" s="421">
        <f t="shared" si="39"/>
        <v>1138.75</v>
      </c>
      <c r="L40" s="421">
        <f t="shared" si="39"/>
        <v>1130</v>
      </c>
      <c r="M40" s="421">
        <f t="shared" si="39"/>
        <v>1110</v>
      </c>
      <c r="N40" s="421">
        <f t="shared" si="39"/>
        <v>1108.75</v>
      </c>
      <c r="O40" s="421">
        <f t="shared" si="39"/>
        <v>1103.5</v>
      </c>
      <c r="P40" s="421">
        <f t="shared" si="39"/>
        <v>1067.5</v>
      </c>
      <c r="Q40" s="421">
        <f t="shared" si="39"/>
        <v>1044</v>
      </c>
      <c r="R40" s="421">
        <f t="shared" si="39"/>
        <v>1050</v>
      </c>
      <c r="S40" s="421">
        <f t="shared" si="39"/>
        <v>1041.5</v>
      </c>
      <c r="T40" s="421">
        <f t="shared" si="39"/>
        <v>1022.5</v>
      </c>
      <c r="U40" s="421">
        <f t="shared" si="39"/>
        <v>1031</v>
      </c>
      <c r="V40" s="421">
        <f t="shared" si="39"/>
        <v>1043.75</v>
      </c>
      <c r="W40" s="421">
        <f t="shared" si="39"/>
        <v>1041</v>
      </c>
      <c r="X40" s="421">
        <f t="shared" si="39"/>
        <v>1022.5</v>
      </c>
      <c r="Y40" s="421">
        <f t="shared" si="39"/>
        <v>1016.5</v>
      </c>
      <c r="Z40" s="421">
        <f t="shared" si="39"/>
        <v>1006</v>
      </c>
      <c r="AA40" s="421">
        <f t="shared" si="39"/>
        <v>1000</v>
      </c>
      <c r="AB40" s="421">
        <f t="shared" si="39"/>
        <v>1001.25</v>
      </c>
      <c r="AC40" s="421">
        <f t="shared" ref="AC40:AF40" si="40">AC35+AC36/2</f>
        <v>997.5</v>
      </c>
      <c r="AD40" s="421">
        <f t="shared" si="40"/>
        <v>1015</v>
      </c>
      <c r="AE40" s="421">
        <f t="shared" si="40"/>
        <v>1149.5</v>
      </c>
      <c r="AF40" s="421">
        <f t="shared" si="40"/>
        <v>1252</v>
      </c>
      <c r="AG40" s="421">
        <f t="shared" ref="AG40:AH40" si="41">AG35+AG36/2</f>
        <v>1313</v>
      </c>
      <c r="AH40" s="421">
        <f t="shared" si="41"/>
        <v>1285</v>
      </c>
      <c r="AI40" s="421"/>
      <c r="AJ40" s="421"/>
      <c r="AK40" s="421"/>
      <c r="AL40" s="421"/>
      <c r="AM40" s="421"/>
      <c r="AN40" s="421"/>
      <c r="AO40" s="431"/>
    </row>
    <row r="41" spans="1:41" s="428" customFormat="1" x14ac:dyDescent="0.3">
      <c r="D41" s="428" t="s">
        <v>393</v>
      </c>
      <c r="E41" s="429">
        <f>E34</f>
        <v>1280</v>
      </c>
      <c r="F41" s="429">
        <f t="shared" ref="F41:AB41" si="42">F34</f>
        <v>1280</v>
      </c>
      <c r="G41" s="429">
        <f t="shared" si="42"/>
        <v>1280</v>
      </c>
      <c r="H41" s="429">
        <f t="shared" si="42"/>
        <v>1280</v>
      </c>
      <c r="I41" s="429">
        <f t="shared" si="42"/>
        <v>1330</v>
      </c>
      <c r="J41" s="429">
        <f t="shared" si="42"/>
        <v>1330</v>
      </c>
      <c r="K41" s="429">
        <f t="shared" si="42"/>
        <v>1330</v>
      </c>
      <c r="L41" s="429">
        <f t="shared" si="42"/>
        <v>1330</v>
      </c>
      <c r="M41" s="429">
        <f t="shared" si="42"/>
        <v>1340</v>
      </c>
      <c r="N41" s="429">
        <f t="shared" si="42"/>
        <v>1355</v>
      </c>
      <c r="O41" s="429">
        <f t="shared" si="42"/>
        <v>1355</v>
      </c>
      <c r="P41" s="429">
        <f t="shared" si="42"/>
        <v>1305</v>
      </c>
      <c r="Q41" s="429">
        <f t="shared" si="42"/>
        <v>1260</v>
      </c>
      <c r="R41" s="429">
        <f t="shared" si="42"/>
        <v>1260</v>
      </c>
      <c r="S41" s="429">
        <f t="shared" si="42"/>
        <v>1260</v>
      </c>
      <c r="T41" s="429">
        <f t="shared" si="42"/>
        <v>1280</v>
      </c>
      <c r="U41" s="429">
        <f t="shared" si="42"/>
        <v>1280</v>
      </c>
      <c r="V41" s="429">
        <f t="shared" si="42"/>
        <v>1280</v>
      </c>
      <c r="W41" s="429">
        <f t="shared" si="42"/>
        <v>1280</v>
      </c>
      <c r="X41" s="429">
        <f t="shared" si="42"/>
        <v>1250</v>
      </c>
      <c r="Y41" s="429">
        <f t="shared" si="42"/>
        <v>1250</v>
      </c>
      <c r="Z41" s="429">
        <f t="shared" si="42"/>
        <v>1240</v>
      </c>
      <c r="AA41" s="429">
        <f t="shared" si="42"/>
        <v>1230</v>
      </c>
      <c r="AB41" s="429">
        <f t="shared" si="42"/>
        <v>1230</v>
      </c>
      <c r="AC41" s="429">
        <f t="shared" ref="AC41:AF41" si="43">AC34</f>
        <v>1190</v>
      </c>
      <c r="AD41" s="429">
        <f t="shared" si="43"/>
        <v>1190</v>
      </c>
      <c r="AE41" s="429">
        <f t="shared" si="43"/>
        <v>1190</v>
      </c>
      <c r="AF41" s="429">
        <f t="shared" si="43"/>
        <v>1310</v>
      </c>
      <c r="AG41" s="429">
        <f t="shared" ref="AG41:AH41" si="44">AG34</f>
        <v>1410</v>
      </c>
      <c r="AH41" s="429">
        <f t="shared" si="44"/>
        <v>1380</v>
      </c>
      <c r="AI41" s="429"/>
      <c r="AJ41" s="429"/>
      <c r="AK41" s="429"/>
      <c r="AL41" s="429"/>
      <c r="AM41" s="429"/>
      <c r="AN41" s="429"/>
      <c r="AO41" s="430"/>
    </row>
    <row r="42" spans="1:41" s="428" customFormat="1" x14ac:dyDescent="0.3">
      <c r="D42" s="428" t="s">
        <v>394</v>
      </c>
      <c r="E42" s="429">
        <f>E35</f>
        <v>930</v>
      </c>
      <c r="F42" s="429">
        <f t="shared" ref="F42:AB42" si="45">F35</f>
        <v>943.33333333333337</v>
      </c>
      <c r="G42" s="429">
        <f t="shared" si="45"/>
        <v>940</v>
      </c>
      <c r="H42" s="429">
        <f t="shared" si="45"/>
        <v>940</v>
      </c>
      <c r="I42" s="429">
        <f t="shared" si="45"/>
        <v>942</v>
      </c>
      <c r="J42" s="429">
        <f t="shared" si="45"/>
        <v>950</v>
      </c>
      <c r="K42" s="429">
        <f t="shared" si="45"/>
        <v>947.5</v>
      </c>
      <c r="L42" s="429">
        <f t="shared" si="45"/>
        <v>930</v>
      </c>
      <c r="M42" s="429">
        <f t="shared" si="45"/>
        <v>880</v>
      </c>
      <c r="N42" s="429">
        <f t="shared" si="45"/>
        <v>862.5</v>
      </c>
      <c r="O42" s="429">
        <f t="shared" si="45"/>
        <v>852</v>
      </c>
      <c r="P42" s="429">
        <f t="shared" si="45"/>
        <v>830</v>
      </c>
      <c r="Q42" s="429">
        <f t="shared" si="45"/>
        <v>828</v>
      </c>
      <c r="R42" s="429">
        <f t="shared" si="45"/>
        <v>840</v>
      </c>
      <c r="S42" s="429">
        <f t="shared" si="45"/>
        <v>823</v>
      </c>
      <c r="T42" s="429">
        <f t="shared" si="45"/>
        <v>765</v>
      </c>
      <c r="U42" s="429">
        <f t="shared" si="45"/>
        <v>782</v>
      </c>
      <c r="V42" s="429">
        <f t="shared" si="45"/>
        <v>807.5</v>
      </c>
      <c r="W42" s="429">
        <f t="shared" si="45"/>
        <v>802</v>
      </c>
      <c r="X42" s="429">
        <f t="shared" si="45"/>
        <v>795</v>
      </c>
      <c r="Y42" s="429">
        <f t="shared" si="45"/>
        <v>783</v>
      </c>
      <c r="Z42" s="429">
        <f t="shared" si="45"/>
        <v>772</v>
      </c>
      <c r="AA42" s="429">
        <f t="shared" si="45"/>
        <v>770</v>
      </c>
      <c r="AB42" s="429">
        <f t="shared" si="45"/>
        <v>772.5</v>
      </c>
      <c r="AC42" s="429">
        <f t="shared" ref="AC42:AF42" si="46">AC35</f>
        <v>805</v>
      </c>
      <c r="AD42" s="429">
        <f t="shared" si="46"/>
        <v>840</v>
      </c>
      <c r="AE42" s="429">
        <f t="shared" si="46"/>
        <v>1109</v>
      </c>
      <c r="AF42" s="429">
        <f t="shared" si="46"/>
        <v>1194</v>
      </c>
      <c r="AG42" s="429">
        <f t="shared" ref="AG42:AH42" si="47">AG35</f>
        <v>1216</v>
      </c>
      <c r="AH42" s="429">
        <f t="shared" si="47"/>
        <v>1190</v>
      </c>
      <c r="AI42" s="429"/>
      <c r="AJ42" s="429"/>
      <c r="AK42" s="429"/>
      <c r="AL42" s="429"/>
      <c r="AM42" s="429"/>
      <c r="AN42" s="429"/>
      <c r="AO42" s="430"/>
    </row>
    <row r="43" spans="1:41" x14ac:dyDescent="0.3">
      <c r="C43" s="418"/>
      <c r="D43" s="418" t="s">
        <v>399</v>
      </c>
      <c r="E43" s="432">
        <f>IFERROR(E32,0)</f>
        <v>0</v>
      </c>
      <c r="F43" s="432">
        <f>IF(AND(IFERROR(F32,0)=IFERROR(E32,0),IFERROR(E32,0)=IFERROR(G32,0)),0,IFERROR(F32,0))</f>
        <v>0</v>
      </c>
      <c r="G43" s="432">
        <f t="shared" ref="G43:AH43" si="48">IF(AND(IFERROR(G32,0)=IFERROR(F32,0),IFERROR(F32,0)=IFERROR(H32,0)),0,IFERROR(G32,0))</f>
        <v>0</v>
      </c>
      <c r="H43" s="432">
        <f t="shared" si="48"/>
        <v>0</v>
      </c>
      <c r="I43" s="432">
        <f t="shared" si="48"/>
        <v>0</v>
      </c>
      <c r="J43" s="432">
        <f t="shared" si="48"/>
        <v>0</v>
      </c>
      <c r="K43" s="432">
        <f t="shared" si="48"/>
        <v>0</v>
      </c>
      <c r="L43" s="432">
        <f t="shared" si="48"/>
        <v>0</v>
      </c>
      <c r="M43" s="432">
        <f t="shared" si="48"/>
        <v>0</v>
      </c>
      <c r="N43" s="432">
        <f t="shared" si="48"/>
        <v>0</v>
      </c>
      <c r="O43" s="432">
        <f t="shared" si="48"/>
        <v>0</v>
      </c>
      <c r="P43" s="432">
        <f t="shared" si="48"/>
        <v>0</v>
      </c>
      <c r="Q43" s="432">
        <f t="shared" si="48"/>
        <v>1230</v>
      </c>
      <c r="R43" s="432">
        <f t="shared" si="48"/>
        <v>0</v>
      </c>
      <c r="S43" s="432">
        <f t="shared" si="48"/>
        <v>1230</v>
      </c>
      <c r="T43" s="432">
        <f t="shared" si="48"/>
        <v>1228</v>
      </c>
      <c r="U43" s="432">
        <f t="shared" si="48"/>
        <v>0</v>
      </c>
      <c r="V43" s="432">
        <f t="shared" si="48"/>
        <v>0</v>
      </c>
      <c r="W43" s="432">
        <f t="shared" si="48"/>
        <v>1228</v>
      </c>
      <c r="X43" s="432">
        <f t="shared" si="48"/>
        <v>1230</v>
      </c>
      <c r="Y43" s="432">
        <f t="shared" si="48"/>
        <v>0</v>
      </c>
      <c r="Z43" s="432">
        <f t="shared" si="48"/>
        <v>0</v>
      </c>
      <c r="AA43" s="432">
        <f t="shared" si="48"/>
        <v>0</v>
      </c>
      <c r="AB43" s="432">
        <f t="shared" si="48"/>
        <v>1230</v>
      </c>
      <c r="AC43" s="432">
        <f t="shared" si="48"/>
        <v>0</v>
      </c>
      <c r="AD43" s="432">
        <f t="shared" si="48"/>
        <v>0</v>
      </c>
      <c r="AE43" s="432">
        <f t="shared" si="48"/>
        <v>0</v>
      </c>
      <c r="AF43" s="432">
        <f t="shared" si="48"/>
        <v>0</v>
      </c>
      <c r="AG43" s="432">
        <f t="shared" si="48"/>
        <v>0</v>
      </c>
      <c r="AH43" s="432">
        <f t="shared" si="48"/>
        <v>0</v>
      </c>
      <c r="AI43" s="432"/>
      <c r="AJ43" s="432"/>
      <c r="AK43" s="432"/>
      <c r="AL43" s="432"/>
      <c r="AM43" s="432"/>
      <c r="AN43" s="432"/>
      <c r="AO43" s="427" t="s">
        <v>351</v>
      </c>
    </row>
    <row r="44" spans="1:41" x14ac:dyDescent="0.3">
      <c r="C44" s="418"/>
      <c r="D44" s="418" t="s">
        <v>400</v>
      </c>
      <c r="E44" s="432">
        <f>IFERROR(E33,0)</f>
        <v>1320</v>
      </c>
      <c r="F44" s="432">
        <f t="shared" ref="F44:AH44" si="49">IF(AND(IFERROR(F33,0)=IFERROR(E33,0),IFERROR(E33,0)=IFERROR(G33,0)),0,IFERROR(F33,0))</f>
        <v>1327.5</v>
      </c>
      <c r="G44" s="432">
        <f t="shared" si="49"/>
        <v>1340</v>
      </c>
      <c r="H44" s="432">
        <f t="shared" si="49"/>
        <v>1342.5</v>
      </c>
      <c r="I44" s="432">
        <f t="shared" si="49"/>
        <v>1346.5</v>
      </c>
      <c r="J44" s="432">
        <f t="shared" si="49"/>
        <v>1361.5</v>
      </c>
      <c r="K44" s="432">
        <f t="shared" si="49"/>
        <v>1377.5</v>
      </c>
      <c r="L44" s="432">
        <f t="shared" si="49"/>
        <v>1388.5</v>
      </c>
      <c r="M44" s="432">
        <f t="shared" si="49"/>
        <v>1408.5</v>
      </c>
      <c r="N44" s="432">
        <f t="shared" si="49"/>
        <v>1436.25</v>
      </c>
      <c r="O44" s="432">
        <f t="shared" si="49"/>
        <v>1453.75</v>
      </c>
      <c r="P44" s="432">
        <f t="shared" si="49"/>
        <v>1457.5</v>
      </c>
      <c r="Q44" s="432">
        <f t="shared" si="49"/>
        <v>1426.403125</v>
      </c>
      <c r="R44" s="432">
        <f t="shared" si="49"/>
        <v>1388.6447916666652</v>
      </c>
      <c r="S44" s="432">
        <f t="shared" si="49"/>
        <v>1353.5541666666652</v>
      </c>
      <c r="T44" s="432">
        <f t="shared" si="49"/>
        <v>1354.375</v>
      </c>
      <c r="U44" s="432">
        <f t="shared" si="49"/>
        <v>1359.3</v>
      </c>
      <c r="V44" s="432">
        <f t="shared" si="49"/>
        <v>0</v>
      </c>
      <c r="W44" s="432">
        <f t="shared" si="49"/>
        <v>1359.3</v>
      </c>
      <c r="X44" s="432">
        <f t="shared" si="49"/>
        <v>1341.57</v>
      </c>
      <c r="Y44" s="432">
        <f t="shared" si="49"/>
        <v>1310.0574999999999</v>
      </c>
      <c r="Z44" s="432">
        <f t="shared" si="49"/>
        <v>1310.4775</v>
      </c>
      <c r="AA44" s="432">
        <f t="shared" si="49"/>
        <v>1310.8150000000001</v>
      </c>
      <c r="AB44" s="432">
        <f t="shared" si="49"/>
        <v>1310.996875</v>
      </c>
      <c r="AC44" s="432">
        <f t="shared" si="49"/>
        <v>1128</v>
      </c>
      <c r="AD44" s="432">
        <f t="shared" si="49"/>
        <v>0</v>
      </c>
      <c r="AE44" s="432">
        <f t="shared" si="49"/>
        <v>0</v>
      </c>
      <c r="AF44" s="432">
        <f t="shared" si="49"/>
        <v>0</v>
      </c>
      <c r="AG44" s="432">
        <f t="shared" si="49"/>
        <v>0</v>
      </c>
      <c r="AH44" s="432">
        <f t="shared" si="49"/>
        <v>1128</v>
      </c>
      <c r="AI44" s="432"/>
      <c r="AJ44" s="432"/>
      <c r="AK44" s="432"/>
      <c r="AL44" s="432"/>
      <c r="AM44" s="432"/>
      <c r="AN44" s="432"/>
      <c r="AO44" s="427" t="s">
        <v>398</v>
      </c>
    </row>
    <row r="45" spans="1:41" x14ac:dyDescent="0.3">
      <c r="C45" s="418"/>
      <c r="D45" s="418" t="s">
        <v>388</v>
      </c>
      <c r="E45" s="432">
        <f>IFERROR(E34,0)</f>
        <v>1280</v>
      </c>
      <c r="F45" s="432">
        <f t="shared" ref="F45:AH45" si="50">IF(AND(IFERROR(F34,0)=IFERROR(E34,0),IFERROR(E34,0)=IFERROR(G34,0)),0,IFERROR(F34,0))</f>
        <v>0</v>
      </c>
      <c r="G45" s="432">
        <f t="shared" si="50"/>
        <v>0</v>
      </c>
      <c r="H45" s="432">
        <f t="shared" si="50"/>
        <v>1280</v>
      </c>
      <c r="I45" s="432">
        <f t="shared" si="50"/>
        <v>1330</v>
      </c>
      <c r="J45" s="432">
        <f t="shared" si="50"/>
        <v>0</v>
      </c>
      <c r="K45" s="432">
        <f t="shared" si="50"/>
        <v>0</v>
      </c>
      <c r="L45" s="432">
        <f t="shared" si="50"/>
        <v>1330</v>
      </c>
      <c r="M45" s="432">
        <f t="shared" si="50"/>
        <v>1340</v>
      </c>
      <c r="N45" s="432">
        <f t="shared" si="50"/>
        <v>1355</v>
      </c>
      <c r="O45" s="432">
        <f t="shared" si="50"/>
        <v>1355</v>
      </c>
      <c r="P45" s="432">
        <f t="shared" si="50"/>
        <v>1305</v>
      </c>
      <c r="Q45" s="432">
        <f t="shared" si="50"/>
        <v>1260</v>
      </c>
      <c r="R45" s="432">
        <f t="shared" si="50"/>
        <v>0</v>
      </c>
      <c r="S45" s="432">
        <f t="shared" si="50"/>
        <v>1260</v>
      </c>
      <c r="T45" s="432">
        <f t="shared" si="50"/>
        <v>1280</v>
      </c>
      <c r="U45" s="432">
        <f t="shared" si="50"/>
        <v>0</v>
      </c>
      <c r="V45" s="432">
        <f t="shared" si="50"/>
        <v>0</v>
      </c>
      <c r="W45" s="432">
        <f t="shared" si="50"/>
        <v>1280</v>
      </c>
      <c r="X45" s="432">
        <f t="shared" si="50"/>
        <v>1250</v>
      </c>
      <c r="Y45" s="432">
        <f t="shared" si="50"/>
        <v>1250</v>
      </c>
      <c r="Z45" s="432">
        <f t="shared" si="50"/>
        <v>1240</v>
      </c>
      <c r="AA45" s="432">
        <f t="shared" si="50"/>
        <v>1230</v>
      </c>
      <c r="AB45" s="432">
        <f t="shared" si="50"/>
        <v>1230</v>
      </c>
      <c r="AC45" s="432">
        <f t="shared" si="50"/>
        <v>1190</v>
      </c>
      <c r="AD45" s="432">
        <f t="shared" si="50"/>
        <v>0</v>
      </c>
      <c r="AE45" s="432">
        <f t="shared" si="50"/>
        <v>1190</v>
      </c>
      <c r="AF45" s="432">
        <f t="shared" si="50"/>
        <v>1310</v>
      </c>
      <c r="AG45" s="432">
        <f t="shared" si="50"/>
        <v>1410</v>
      </c>
      <c r="AH45" s="432">
        <f t="shared" si="50"/>
        <v>1380</v>
      </c>
      <c r="AI45" s="432"/>
      <c r="AJ45" s="432"/>
      <c r="AK45" s="432"/>
      <c r="AL45" s="432"/>
      <c r="AM45" s="432"/>
      <c r="AN45" s="432"/>
      <c r="AO45" s="427" t="s">
        <v>17</v>
      </c>
    </row>
    <row r="46" spans="1:41" x14ac:dyDescent="0.3">
      <c r="C46" s="418"/>
      <c r="D46" s="418" t="s">
        <v>389</v>
      </c>
      <c r="E46" s="432">
        <f>IFERROR(E35,0)</f>
        <v>930</v>
      </c>
      <c r="F46" s="432">
        <f t="shared" ref="F46:AH46" si="51">IF(AND(IFERROR(F35,0)=IFERROR(E35,0),IFERROR(E35,0)=IFERROR(G35,0)),0,IFERROR(F35,0))</f>
        <v>943.33333333333337</v>
      </c>
      <c r="G46" s="432">
        <f t="shared" si="51"/>
        <v>940</v>
      </c>
      <c r="H46" s="432">
        <f t="shared" si="51"/>
        <v>940</v>
      </c>
      <c r="I46" s="432">
        <f t="shared" si="51"/>
        <v>942</v>
      </c>
      <c r="J46" s="432">
        <f t="shared" si="51"/>
        <v>950</v>
      </c>
      <c r="K46" s="432">
        <f t="shared" si="51"/>
        <v>947.5</v>
      </c>
      <c r="L46" s="432">
        <f t="shared" si="51"/>
        <v>930</v>
      </c>
      <c r="M46" s="432">
        <f t="shared" si="51"/>
        <v>880</v>
      </c>
      <c r="N46" s="432">
        <f t="shared" si="51"/>
        <v>862.5</v>
      </c>
      <c r="O46" s="432">
        <f t="shared" si="51"/>
        <v>852</v>
      </c>
      <c r="P46" s="432">
        <f t="shared" si="51"/>
        <v>830</v>
      </c>
      <c r="Q46" s="432">
        <f t="shared" si="51"/>
        <v>828</v>
      </c>
      <c r="R46" s="432">
        <f t="shared" si="51"/>
        <v>840</v>
      </c>
      <c r="S46" s="432">
        <f t="shared" si="51"/>
        <v>823</v>
      </c>
      <c r="T46" s="432">
        <f t="shared" si="51"/>
        <v>765</v>
      </c>
      <c r="U46" s="432">
        <f t="shared" si="51"/>
        <v>782</v>
      </c>
      <c r="V46" s="432">
        <f t="shared" si="51"/>
        <v>807.5</v>
      </c>
      <c r="W46" s="432">
        <f t="shared" si="51"/>
        <v>802</v>
      </c>
      <c r="X46" s="432">
        <f t="shared" si="51"/>
        <v>795</v>
      </c>
      <c r="Y46" s="432">
        <f t="shared" si="51"/>
        <v>783</v>
      </c>
      <c r="Z46" s="432">
        <f t="shared" si="51"/>
        <v>772</v>
      </c>
      <c r="AA46" s="432">
        <f t="shared" si="51"/>
        <v>770</v>
      </c>
      <c r="AB46" s="432">
        <f t="shared" si="51"/>
        <v>772.5</v>
      </c>
      <c r="AC46" s="432">
        <f t="shared" si="51"/>
        <v>805</v>
      </c>
      <c r="AD46" s="432">
        <f t="shared" si="51"/>
        <v>840</v>
      </c>
      <c r="AE46" s="432">
        <f t="shared" si="51"/>
        <v>1109</v>
      </c>
      <c r="AF46" s="432">
        <f t="shared" si="51"/>
        <v>1194</v>
      </c>
      <c r="AG46" s="432">
        <f t="shared" si="51"/>
        <v>1216</v>
      </c>
      <c r="AH46" s="432">
        <f t="shared" si="51"/>
        <v>1190</v>
      </c>
      <c r="AI46" s="432"/>
      <c r="AJ46" s="432"/>
      <c r="AK46" s="432"/>
      <c r="AL46" s="432"/>
      <c r="AM46" s="432"/>
      <c r="AN46" s="432"/>
      <c r="AO46" s="427" t="s">
        <v>11</v>
      </c>
    </row>
    <row r="47" spans="1:41" x14ac:dyDescent="0.3">
      <c r="C47" s="418"/>
      <c r="D47" s="418" t="s">
        <v>551</v>
      </c>
      <c r="E47" s="432">
        <f>IFERROR(E38,0)</f>
        <v>886.70564275321146</v>
      </c>
      <c r="F47" s="432">
        <f>IF(AND(IFERROR(F38,0)=IFERROR(E38,0),IFERROR(E38,0)=IFERROR(G38,0)),0,IFERROR(F38,0))</f>
        <v>885.79972438191623</v>
      </c>
      <c r="G47" s="432">
        <f t="shared" ref="G47:AH47" si="52">IF(AND(IFERROR(G38,0)=IFERROR(F38,0),IFERROR(F38,0)=IFERROR(H38,0)),0,IFERROR(G38,0))</f>
        <v>915.00612466032806</v>
      </c>
      <c r="H47" s="432">
        <f t="shared" si="52"/>
        <v>901.2628188129338</v>
      </c>
      <c r="I47" s="432">
        <f t="shared" si="52"/>
        <v>965.18473589398957</v>
      </c>
      <c r="J47" s="432">
        <f t="shared" si="52"/>
        <v>923.78267572677441</v>
      </c>
      <c r="K47" s="432">
        <f t="shared" si="52"/>
        <v>936.21245036745893</v>
      </c>
      <c r="L47" s="432">
        <f t="shared" si="52"/>
        <v>967.70903056655038</v>
      </c>
      <c r="M47" s="432">
        <f t="shared" si="52"/>
        <v>991.40085891641297</v>
      </c>
      <c r="N47" s="432">
        <f t="shared" si="52"/>
        <v>992.49663175557214</v>
      </c>
      <c r="O47" s="432">
        <f t="shared" si="52"/>
        <v>988.01898244140193</v>
      </c>
      <c r="P47" s="432">
        <f t="shared" si="52"/>
        <v>991.71030510641947</v>
      </c>
      <c r="Q47" s="432">
        <f t="shared" si="52"/>
        <v>1034.4601127165529</v>
      </c>
      <c r="R47" s="432">
        <f t="shared" si="52"/>
        <v>1000.0932804513247</v>
      </c>
      <c r="S47" s="432">
        <f t="shared" si="52"/>
        <v>1002.2785516733181</v>
      </c>
      <c r="T47" s="432">
        <f t="shared" si="52"/>
        <v>981.76308363958833</v>
      </c>
      <c r="U47" s="432">
        <f t="shared" si="52"/>
        <v>1003.0014874386915</v>
      </c>
      <c r="V47" s="432">
        <f t="shared" si="52"/>
        <v>1042.2982406523388</v>
      </c>
      <c r="W47" s="432">
        <f t="shared" si="52"/>
        <v>1023.29515652016</v>
      </c>
      <c r="X47" s="432">
        <f t="shared" si="52"/>
        <v>1013.4721671420641</v>
      </c>
      <c r="Y47" s="432">
        <f t="shared" si="52"/>
        <v>1009.1954896253499</v>
      </c>
      <c r="Z47" s="432">
        <f t="shared" si="52"/>
        <v>1005.1392870463301</v>
      </c>
      <c r="AA47" s="432">
        <f t="shared" si="52"/>
        <v>1035.5053982558945</v>
      </c>
      <c r="AB47" s="432">
        <f t="shared" si="52"/>
        <v>1034.0874036790649</v>
      </c>
      <c r="AC47" s="432">
        <f t="shared" si="52"/>
        <v>1037.3374543763573</v>
      </c>
      <c r="AD47" s="432">
        <f t="shared" si="52"/>
        <v>1030.7233636239453</v>
      </c>
      <c r="AE47" s="432">
        <f t="shared" si="52"/>
        <v>1014.7347856197222</v>
      </c>
      <c r="AF47" s="432">
        <f t="shared" si="52"/>
        <v>974.46754435877665</v>
      </c>
      <c r="AG47" s="432">
        <f t="shared" si="52"/>
        <v>1005.2865696483146</v>
      </c>
      <c r="AH47" s="432">
        <f t="shared" si="52"/>
        <v>1005.2865696483146</v>
      </c>
      <c r="AI47" s="432"/>
      <c r="AJ47" s="432"/>
      <c r="AK47" s="432"/>
      <c r="AL47" s="432"/>
      <c r="AM47" s="432"/>
      <c r="AN47" s="432"/>
      <c r="AO47" s="427" t="s">
        <v>552</v>
      </c>
    </row>
    <row r="49" spans="1:41" ht="17.399999999999999" x14ac:dyDescent="0.35">
      <c r="C49" s="393" t="s">
        <v>28</v>
      </c>
      <c r="D49" s="393" t="s">
        <v>553</v>
      </c>
    </row>
    <row r="50" spans="1:41" x14ac:dyDescent="0.3">
      <c r="C50" s="41"/>
      <c r="D50" s="41"/>
      <c r="E50" s="41">
        <v>2024</v>
      </c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>
        <v>2025</v>
      </c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>
        <v>2026</v>
      </c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</row>
    <row r="51" spans="1:41" x14ac:dyDescent="0.3">
      <c r="C51" s="41"/>
      <c r="D51" s="41"/>
      <c r="E51" s="41">
        <v>1</v>
      </c>
      <c r="F51" s="41">
        <v>2</v>
      </c>
      <c r="G51" s="41">
        <v>3</v>
      </c>
      <c r="H51" s="41">
        <v>4</v>
      </c>
      <c r="I51" s="41">
        <v>5</v>
      </c>
      <c r="J51" s="41">
        <v>6</v>
      </c>
      <c r="K51" s="41">
        <v>7</v>
      </c>
      <c r="L51" s="41">
        <v>8</v>
      </c>
      <c r="M51" s="41">
        <v>9</v>
      </c>
      <c r="N51" s="41">
        <v>10</v>
      </c>
      <c r="O51" s="41">
        <v>11</v>
      </c>
      <c r="P51" s="41">
        <v>12</v>
      </c>
      <c r="Q51" s="41">
        <v>1</v>
      </c>
      <c r="R51" s="41">
        <v>2</v>
      </c>
      <c r="S51" s="41">
        <v>3</v>
      </c>
      <c r="T51" s="41">
        <v>4</v>
      </c>
      <c r="U51" s="41">
        <v>5</v>
      </c>
      <c r="V51" s="41">
        <v>6</v>
      </c>
      <c r="W51" s="41">
        <v>7</v>
      </c>
      <c r="X51" s="41">
        <v>8</v>
      </c>
      <c r="Y51" s="41">
        <v>9</v>
      </c>
      <c r="Z51" s="41">
        <v>10</v>
      </c>
      <c r="AA51" s="41">
        <v>11</v>
      </c>
      <c r="AB51" s="41">
        <v>12</v>
      </c>
      <c r="AC51" s="41">
        <v>1</v>
      </c>
      <c r="AD51" s="41">
        <v>2</v>
      </c>
      <c r="AE51" s="41">
        <v>3</v>
      </c>
      <c r="AF51" s="41">
        <v>4</v>
      </c>
      <c r="AG51" s="41">
        <v>5</v>
      </c>
      <c r="AH51" s="41">
        <v>6</v>
      </c>
      <c r="AI51" s="41">
        <v>7</v>
      </c>
      <c r="AJ51" s="41">
        <v>8</v>
      </c>
      <c r="AK51" s="41">
        <v>9</v>
      </c>
      <c r="AL51" s="41">
        <v>10</v>
      </c>
      <c r="AM51" s="41">
        <v>11</v>
      </c>
      <c r="AN51" s="41">
        <v>12</v>
      </c>
      <c r="AO51" s="41" t="s">
        <v>385</v>
      </c>
    </row>
    <row r="52" spans="1:41" x14ac:dyDescent="0.3">
      <c r="B52" s="14" t="s">
        <v>48</v>
      </c>
      <c r="C52" t="s">
        <v>28</v>
      </c>
      <c r="D52" t="s">
        <v>35</v>
      </c>
      <c r="E52" s="394" cm="1">
        <f t="array" ref="E52">IF(SUMPRODUCT('Giá công thức'!$G$11:$AQ$115*('Giá công thức'!$A$11:$A$115=$B52)*('Giá công thức'!$B$11:$B$115=$C52)*('Giá công thức'!$C$11:$C$115="GB")*('Giá công thức'!$G$3:$AQ$3=E$1)*('Giá công thức'!$G$4:$AQ$4=E$2))=0,NA(),SUMPRODUCT('Giá công thức'!$G$11:$AQ$115*('Giá công thức'!$A$11:$A$115=$B52)*('Giá công thức'!$B$11:$B$115=$C52)*('Giá công thức'!$C$11:$C$115="GB")*('Giá công thức'!$G$3:$AQ$3=E$1)*('Giá công thức'!$G$4:$AQ$4=E$2)))</f>
        <v>1315</v>
      </c>
      <c r="F52" s="394" cm="1">
        <f t="array" ref="F52">IF(SUMPRODUCT('Giá công thức'!$G$11:$AQ$115*('Giá công thức'!$A$11:$A$115=$B52)*('Giá công thức'!$B$11:$B$115=$C52)*('Giá công thức'!$C$11:$C$115="GB")*('Giá công thức'!$G$3:$AQ$3=F$1)*('Giá công thức'!$G$4:$AQ$4=F$2))=0,NA(),SUMPRODUCT('Giá công thức'!$G$11:$AQ$115*('Giá công thức'!$A$11:$A$115=$B52)*('Giá công thức'!$B$11:$B$115=$C52)*('Giá công thức'!$C$11:$C$115="GB")*('Giá công thức'!$G$3:$AQ$3=F$1)*('Giá công thức'!$G$4:$AQ$4=F$2)))</f>
        <v>1315</v>
      </c>
      <c r="G52" s="394" cm="1">
        <f t="array" ref="G52">IF(SUMPRODUCT('Giá công thức'!$G$11:$AQ$115*('Giá công thức'!$A$11:$A$115=$B52)*('Giá công thức'!$B$11:$B$115=$C52)*('Giá công thức'!$C$11:$C$115="GB")*('Giá công thức'!$G$3:$AQ$3=G$1)*('Giá công thức'!$G$4:$AQ$4=G$2))=0,NA(),SUMPRODUCT('Giá công thức'!$G$11:$AQ$115*('Giá công thức'!$A$11:$A$115=$B52)*('Giá công thức'!$B$11:$B$115=$C52)*('Giá công thức'!$C$11:$C$115="GB")*('Giá công thức'!$G$3:$AQ$3=G$1)*('Giá công thức'!$G$4:$AQ$4=G$2)))</f>
        <v>1315</v>
      </c>
      <c r="H52" s="394" cm="1">
        <f t="array" ref="H52">IF(SUMPRODUCT('Giá công thức'!$G$11:$AQ$115*('Giá công thức'!$A$11:$A$115=$B52)*('Giá công thức'!$B$11:$B$115=$C52)*('Giá công thức'!$C$11:$C$115="GB")*('Giá công thức'!$G$3:$AQ$3=H$1)*('Giá công thức'!$G$4:$AQ$4=H$2))=0,NA(),SUMPRODUCT('Giá công thức'!$G$11:$AQ$115*('Giá công thức'!$A$11:$A$115=$B52)*('Giá công thức'!$B$11:$B$115=$C52)*('Giá công thức'!$C$11:$C$115="GB")*('Giá công thức'!$G$3:$AQ$3=H$1)*('Giá công thức'!$G$4:$AQ$4=H$2)))</f>
        <v>1315</v>
      </c>
      <c r="I52" s="394" cm="1">
        <f t="array" ref="I52">IF(SUMPRODUCT('Giá công thức'!$G$11:$AQ$115*('Giá công thức'!$A$11:$A$115=$B52)*('Giá công thức'!$B$11:$B$115=$C52)*('Giá công thức'!$C$11:$C$115="GB")*('Giá công thức'!$G$3:$AQ$3=I$1)*('Giá công thức'!$G$4:$AQ$4=I$2))=0,NA(),SUMPRODUCT('Giá công thức'!$G$11:$AQ$115*('Giá công thức'!$A$11:$A$115=$B52)*('Giá công thức'!$B$11:$B$115=$C52)*('Giá công thức'!$C$11:$C$115="GB")*('Giá công thức'!$G$3:$AQ$3=I$1)*('Giá công thức'!$G$4:$AQ$4=I$2)))</f>
        <v>1315</v>
      </c>
      <c r="J52" s="394" cm="1">
        <f t="array" ref="J52">IF(SUMPRODUCT('Giá công thức'!$G$11:$AQ$115*('Giá công thức'!$A$11:$A$115=$B52)*('Giá công thức'!$B$11:$B$115=$C52)*('Giá công thức'!$C$11:$C$115="GB")*('Giá công thức'!$G$3:$AQ$3=J$1)*('Giá công thức'!$G$4:$AQ$4=J$2))=0,NA(),SUMPRODUCT('Giá công thức'!$G$11:$AQ$115*('Giá công thức'!$A$11:$A$115=$B52)*('Giá công thức'!$B$11:$B$115=$C52)*('Giá công thức'!$C$11:$C$115="GB")*('Giá công thức'!$G$3:$AQ$3=J$1)*('Giá công thức'!$G$4:$AQ$4=J$2)))</f>
        <v>1315</v>
      </c>
      <c r="K52" s="394" cm="1">
        <f t="array" ref="K52">IF(SUMPRODUCT('Giá công thức'!$G$11:$AQ$115*('Giá công thức'!$A$11:$A$115=$B52)*('Giá công thức'!$B$11:$B$115=$C52)*('Giá công thức'!$C$11:$C$115="GB")*('Giá công thức'!$G$3:$AQ$3=K$1)*('Giá công thức'!$G$4:$AQ$4=K$2))=0,NA(),SUMPRODUCT('Giá công thức'!$G$11:$AQ$115*('Giá công thức'!$A$11:$A$115=$B52)*('Giá công thức'!$B$11:$B$115=$C52)*('Giá công thức'!$C$11:$C$115="GB")*('Giá công thức'!$G$3:$AQ$3=K$1)*('Giá công thức'!$G$4:$AQ$4=K$2)))</f>
        <v>1315</v>
      </c>
      <c r="L52" s="394" cm="1">
        <f t="array" ref="L52">IF(SUMPRODUCT('Giá công thức'!$G$11:$AQ$115*('Giá công thức'!$A$11:$A$115=$B52)*('Giá công thức'!$B$11:$B$115=$C52)*('Giá công thức'!$C$11:$C$115="GB")*('Giá công thức'!$G$3:$AQ$3=L$1)*('Giá công thức'!$G$4:$AQ$4=L$2))=0,NA(),SUMPRODUCT('Giá công thức'!$G$11:$AQ$115*('Giá công thức'!$A$11:$A$115=$B52)*('Giá công thức'!$B$11:$B$115=$C52)*('Giá công thức'!$C$11:$C$115="GB")*('Giá công thức'!$G$3:$AQ$3=L$1)*('Giá công thức'!$G$4:$AQ$4=L$2)))</f>
        <v>1315</v>
      </c>
      <c r="M52" s="394" cm="1">
        <f t="array" ref="M52">IF(SUMPRODUCT('Giá công thức'!$G$11:$AQ$115*('Giá công thức'!$A$11:$A$115=$B52)*('Giá công thức'!$B$11:$B$115=$C52)*('Giá công thức'!$C$11:$C$115="GB")*('Giá công thức'!$G$3:$AQ$3=M$1)*('Giá công thức'!$G$4:$AQ$4=M$2))=0,NA(),SUMPRODUCT('Giá công thức'!$G$11:$AQ$115*('Giá công thức'!$A$11:$A$115=$B52)*('Giá công thức'!$B$11:$B$115=$C52)*('Giá công thức'!$C$11:$C$115="GB")*('Giá công thức'!$G$3:$AQ$3=M$1)*('Giá công thức'!$G$4:$AQ$4=M$2)))</f>
        <v>1315</v>
      </c>
      <c r="N52" s="394" cm="1">
        <f t="array" ref="N52">IF(SUMPRODUCT('Giá công thức'!$G$11:$AQ$115*('Giá công thức'!$A$11:$A$115=$B52)*('Giá công thức'!$B$11:$B$115=$C52)*('Giá công thức'!$C$11:$C$115="GB")*('Giá công thức'!$G$3:$AQ$3=N$1)*('Giá công thức'!$G$4:$AQ$4=N$2))=0,NA(),SUMPRODUCT('Giá công thức'!$G$11:$AQ$115*('Giá công thức'!$A$11:$A$115=$B52)*('Giá công thức'!$B$11:$B$115=$C52)*('Giá công thức'!$C$11:$C$115="GB")*('Giá công thức'!$G$3:$AQ$3=N$1)*('Giá công thức'!$G$4:$AQ$4=N$2)))</f>
        <v>1315</v>
      </c>
      <c r="O52" s="394" cm="1">
        <f t="array" ref="O52">IF(SUMPRODUCT('Giá công thức'!$G$11:$AQ$115*('Giá công thức'!$A$11:$A$115=$B52)*('Giá công thức'!$B$11:$B$115=$C52)*('Giá công thức'!$C$11:$C$115="GB")*('Giá công thức'!$G$3:$AQ$3=O$1)*('Giá công thức'!$G$4:$AQ$4=O$2))=0,NA(),SUMPRODUCT('Giá công thức'!$G$11:$AQ$115*('Giá công thức'!$A$11:$A$115=$B52)*('Giá công thức'!$B$11:$B$115=$C52)*('Giá công thức'!$C$11:$C$115="GB")*('Giá công thức'!$G$3:$AQ$3=O$1)*('Giá công thức'!$G$4:$AQ$4=O$2)))</f>
        <v>1315</v>
      </c>
      <c r="P52" s="394" cm="1">
        <f t="array" ref="P52">IF(SUMPRODUCT('Giá công thức'!$G$11:$AQ$115*('Giá công thức'!$A$11:$A$115=$B52)*('Giá công thức'!$B$11:$B$115=$C52)*('Giá công thức'!$C$11:$C$115="GB")*('Giá công thức'!$G$3:$AQ$3=P$1)*('Giá công thức'!$G$4:$AQ$4=P$2))=0,NA(),SUMPRODUCT('Giá công thức'!$G$11:$AQ$115*('Giá công thức'!$A$11:$A$115=$B52)*('Giá công thức'!$B$11:$B$115=$C52)*('Giá công thức'!$C$11:$C$115="GB")*('Giá công thức'!$G$3:$AQ$3=P$1)*('Giá công thức'!$G$4:$AQ$4=P$2)))</f>
        <v>1315</v>
      </c>
      <c r="Q52" s="394" cm="1">
        <f t="array" ref="Q52">IF(SUMPRODUCT('Giá công thức'!$G$11:$AQ$115*('Giá công thức'!$A$11:$A$115=$B52)*('Giá công thức'!$B$11:$B$115=$C52)*('Giá công thức'!$C$11:$C$115="GB")*('Giá công thức'!$G$3:$AQ$3=Q$1)*('Giá công thức'!$G$4:$AQ$4=Q$2))=0,NA(),SUMPRODUCT('Giá công thức'!$G$11:$AQ$115*('Giá công thức'!$A$11:$A$115=$B52)*('Giá công thức'!$B$11:$B$115=$C52)*('Giá công thức'!$C$11:$C$115="GB")*('Giá công thức'!$G$3:$AQ$3=Q$1)*('Giá công thức'!$G$4:$AQ$4=Q$2)))</f>
        <v>1348.3</v>
      </c>
      <c r="R52" s="394" cm="1">
        <f t="array" ref="R52">IF(SUMPRODUCT('Giá công thức'!$G$11:$AQ$115*('Giá công thức'!$A$11:$A$115=$B52)*('Giá công thức'!$B$11:$B$115=$C52)*('Giá công thức'!$C$11:$C$115="GB")*('Giá công thức'!$G$3:$AQ$3=R$1)*('Giá công thức'!$G$4:$AQ$4=R$2))=0,NA(),SUMPRODUCT('Giá công thức'!$G$11:$AQ$115*('Giá công thức'!$A$11:$A$115=$B52)*('Giá công thức'!$B$11:$B$115=$C52)*('Giá công thức'!$C$11:$C$115="GB")*('Giá công thức'!$G$3:$AQ$3=R$1)*('Giá công thức'!$G$4:$AQ$4=R$2)))</f>
        <v>1348.3</v>
      </c>
      <c r="S52" s="394" cm="1">
        <f t="array" ref="S52">IF(SUMPRODUCT('Giá công thức'!$G$11:$AQ$115*('Giá công thức'!$A$11:$A$115=$B52)*('Giá công thức'!$B$11:$B$115=$C52)*('Giá công thức'!$C$11:$C$115="GB")*('Giá công thức'!$G$3:$AQ$3=S$1)*('Giá công thức'!$G$4:$AQ$4=S$2))=0,NA(),SUMPRODUCT('Giá công thức'!$G$11:$AQ$115*('Giá công thức'!$A$11:$A$115=$B52)*('Giá công thức'!$B$11:$B$115=$C52)*('Giá công thức'!$C$11:$C$115="GB")*('Giá công thức'!$G$3:$AQ$3=S$1)*('Giá công thức'!$G$4:$AQ$4=S$2)))</f>
        <v>1348.3</v>
      </c>
      <c r="T52" s="394" cm="1">
        <f t="array" ref="T52">IF(SUMPRODUCT('Giá công thức'!$G$11:$AQ$115*('Giá công thức'!$A$11:$A$115=$B52)*('Giá công thức'!$B$11:$B$115=$C52)*('Giá công thức'!$C$11:$C$115="GB")*('Giá công thức'!$G$3:$AQ$3=T$1)*('Giá công thức'!$G$4:$AQ$4=T$2))=0,NA(),SUMPRODUCT('Giá công thức'!$G$11:$AQ$115*('Giá công thức'!$A$11:$A$115=$B52)*('Giá công thức'!$B$11:$B$115=$C52)*('Giá công thức'!$C$11:$C$115="GB")*('Giá công thức'!$G$3:$AQ$3=T$1)*('Giá công thức'!$G$4:$AQ$4=T$2)))</f>
        <v>1348.3</v>
      </c>
      <c r="U52" s="394" cm="1">
        <f t="array" ref="U52">IF(SUMPRODUCT('Giá công thức'!$G$11:$AQ$115*('Giá công thức'!$A$11:$A$115=$B52)*('Giá công thức'!$B$11:$B$115=$C52)*('Giá công thức'!$C$11:$C$115="GB")*('Giá công thức'!$G$3:$AQ$3=U$1)*('Giá công thức'!$G$4:$AQ$4=U$2))=0,NA(),SUMPRODUCT('Giá công thức'!$G$11:$AQ$115*('Giá công thức'!$A$11:$A$115=$B52)*('Giá công thức'!$B$11:$B$115=$C52)*('Giá công thức'!$C$11:$C$115="GB")*('Giá công thức'!$G$3:$AQ$3=U$1)*('Giá công thức'!$G$4:$AQ$4=U$2)))</f>
        <v>1348.3</v>
      </c>
      <c r="V52" s="394" cm="1">
        <f t="array" ref="V52">IF(SUMPRODUCT('Giá công thức'!$G$11:$AQ$115*('Giá công thức'!$A$11:$A$115=$B52)*('Giá công thức'!$B$11:$B$115=$C52)*('Giá công thức'!$C$11:$C$115="GB")*('Giá công thức'!$G$3:$AQ$3=V$1)*('Giá công thức'!$G$4:$AQ$4=V$2))=0,NA(),SUMPRODUCT('Giá công thức'!$G$11:$AQ$115*('Giá công thức'!$A$11:$A$115=$B52)*('Giá công thức'!$B$11:$B$115=$C52)*('Giá công thức'!$C$11:$C$115="GB")*('Giá công thức'!$G$3:$AQ$3=V$1)*('Giá công thức'!$G$4:$AQ$4=V$2)))</f>
        <v>1348.3</v>
      </c>
      <c r="W52" s="394" cm="1">
        <f t="array" ref="W52">IF(SUMPRODUCT('Giá công thức'!$G$11:$AQ$115*('Giá công thức'!$A$11:$A$115=$B52)*('Giá công thức'!$B$11:$B$115=$C52)*('Giá công thức'!$C$11:$C$115="GB")*('Giá công thức'!$G$3:$AQ$3=W$1)*('Giá công thức'!$G$4:$AQ$4=W$2))=0,NA(),SUMPRODUCT('Giá công thức'!$G$11:$AQ$115*('Giá công thức'!$A$11:$A$115=$B52)*('Giá công thức'!$B$11:$B$115=$C52)*('Giá công thức'!$C$11:$C$115="GB")*('Giá công thức'!$G$3:$AQ$3=W$1)*('Giá công thức'!$G$4:$AQ$4=W$2)))</f>
        <v>1348.3</v>
      </c>
      <c r="X52" s="394" cm="1">
        <f t="array" ref="X52">IF(SUMPRODUCT('Giá công thức'!$G$11:$AQ$115*('Giá công thức'!$A$11:$A$115=$B52)*('Giá công thức'!$B$11:$B$115=$C52)*('Giá công thức'!$C$11:$C$115="GB")*('Giá công thức'!$G$3:$AQ$3=X$1)*('Giá công thức'!$G$4:$AQ$4=X$2))=0,NA(),SUMPRODUCT('Giá công thức'!$G$11:$AQ$115*('Giá công thức'!$A$11:$A$115=$B52)*('Giá công thức'!$B$11:$B$115=$C52)*('Giá công thức'!$C$11:$C$115="GB")*('Giá công thức'!$G$3:$AQ$3=X$1)*('Giá công thức'!$G$4:$AQ$4=X$2)))</f>
        <v>1348.3</v>
      </c>
      <c r="Y52" s="394" cm="1">
        <f t="array" ref="Y52">IF(SUMPRODUCT('Giá công thức'!$G$11:$AQ$115*('Giá công thức'!$A$11:$A$115=$B52)*('Giá công thức'!$B$11:$B$115=$C52)*('Giá công thức'!$C$11:$C$115="GB")*('Giá công thức'!$G$3:$AQ$3=Y$1)*('Giá công thức'!$G$4:$AQ$4=Y$2))=0,NA(),SUMPRODUCT('Giá công thức'!$G$11:$AQ$115*('Giá công thức'!$A$11:$A$115=$B52)*('Giá công thức'!$B$11:$B$115=$C52)*('Giá công thức'!$C$11:$C$115="GB")*('Giá công thức'!$G$3:$AQ$3=Y$1)*('Giá công thức'!$G$4:$AQ$4=Y$2)))</f>
        <v>1348.3</v>
      </c>
      <c r="Z52" s="394" cm="1">
        <f t="array" ref="Z52">IF(SUMPRODUCT('Giá công thức'!$G$11:$AQ$115*('Giá công thức'!$A$11:$A$115=$B52)*('Giá công thức'!$B$11:$B$115=$C52)*('Giá công thức'!$C$11:$C$115="GB")*('Giá công thức'!$G$3:$AQ$3=Z$1)*('Giá công thức'!$G$4:$AQ$4=Z$2))=0,NA(),SUMPRODUCT('Giá công thức'!$G$11:$AQ$115*('Giá công thức'!$A$11:$A$115=$B52)*('Giá công thức'!$B$11:$B$115=$C52)*('Giá công thức'!$C$11:$C$115="GB")*('Giá công thức'!$G$3:$AQ$3=Z$1)*('Giá công thức'!$G$4:$AQ$4=Z$2)))</f>
        <v>1348.3</v>
      </c>
      <c r="AA52" s="394" cm="1">
        <f t="array" ref="AA52">IF(SUMPRODUCT('Giá công thức'!$G$11:$AQ$115*('Giá công thức'!$A$11:$A$115=$B52)*('Giá công thức'!$B$11:$B$115=$C52)*('Giá công thức'!$C$11:$C$115="GB")*('Giá công thức'!$G$3:$AQ$3=AA$1)*('Giá công thức'!$G$4:$AQ$4=AA$2))=0,NA(),SUMPRODUCT('Giá công thức'!$G$11:$AQ$115*('Giá công thức'!$A$11:$A$115=$B52)*('Giá công thức'!$B$11:$B$115=$C52)*('Giá công thức'!$C$11:$C$115="GB")*('Giá công thức'!$G$3:$AQ$3=AA$1)*('Giá công thức'!$G$4:$AQ$4=AA$2)))</f>
        <v>1348.3</v>
      </c>
      <c r="AB52" s="394" cm="1">
        <f t="array" ref="AB52">IF(SUMPRODUCT('Giá công thức'!$G$11:$AQ$115*('Giá công thức'!$A$11:$A$115=$B52)*('Giá công thức'!$B$11:$B$115=$C52)*('Giá công thức'!$C$11:$C$115="GB")*('Giá công thức'!$G$3:$AQ$3=AB$1)*('Giá công thức'!$G$4:$AQ$4=AB$2))=0,NA(),SUMPRODUCT('Giá công thức'!$G$11:$AQ$115*('Giá công thức'!$A$11:$A$115=$B52)*('Giá công thức'!$B$11:$B$115=$C52)*('Giá công thức'!$C$11:$C$115="GB")*('Giá công thức'!$G$3:$AQ$3=AB$1)*('Giá công thức'!$G$4:$AQ$4=AB$2)))</f>
        <v>1348.3</v>
      </c>
      <c r="AC52" s="394" cm="1">
        <f t="array" ref="AC52">IF(SUMPRODUCT('Giá công thức'!$G$11:$AQ$115*('Giá công thức'!$A$11:$A$115=$B52)*('Giá công thức'!$B$11:$B$115=$C52)*('Giá công thức'!$C$11:$C$115="GB")*('Giá công thức'!$G$3:$AQ$3=AC$1)*('Giá công thức'!$G$4:$AQ$4=AC$2))=0,NA(),SUMPRODUCT('Giá công thức'!$G$11:$AQ$115*('Giá công thức'!$A$11:$A$115=$B52)*('Giá công thức'!$B$11:$B$115=$C52)*('Giá công thức'!$C$11:$C$115="GB")*('Giá công thức'!$G$3:$AQ$3=AC$1)*('Giá công thức'!$G$4:$AQ$4=AC$2)))</f>
        <v>1270</v>
      </c>
      <c r="AD52" s="394" cm="1">
        <f t="array" ref="AD52">IF(SUMPRODUCT('Giá công thức'!$G$11:$AQ$115*('Giá công thức'!$A$11:$A$115=$B52)*('Giá công thức'!$B$11:$B$115=$C52)*('Giá công thức'!$C$11:$C$115="GB")*('Giá công thức'!$G$3:$AQ$3=AD$1)*('Giá công thức'!$G$4:$AQ$4=AD$2))=0,NA(),SUMPRODUCT('Giá công thức'!$G$11:$AQ$115*('Giá công thức'!$A$11:$A$115=$B52)*('Giá công thức'!$B$11:$B$115=$C52)*('Giá công thức'!$C$11:$C$115="GB")*('Giá công thức'!$G$3:$AQ$3=AD$1)*('Giá công thức'!$G$4:$AQ$4=AD$2)))</f>
        <v>1270</v>
      </c>
      <c r="AE52" s="394" cm="1">
        <f t="array" ref="AE52">IF(SUMPRODUCT('Giá công thức'!$G$11:$AQ$115*('Giá công thức'!$A$11:$A$115=$B52)*('Giá công thức'!$B$11:$B$115=$C52)*('Giá công thức'!$C$11:$C$115="GB")*('Giá công thức'!$G$3:$AQ$3=AE$1)*('Giá công thức'!$G$4:$AQ$4=AE$2))=0,NA(),SUMPRODUCT('Giá công thức'!$G$11:$AQ$115*('Giá công thức'!$A$11:$A$115=$B52)*('Giá công thức'!$B$11:$B$115=$C52)*('Giá công thức'!$C$11:$C$115="GB")*('Giá công thức'!$G$3:$AQ$3=AE$1)*('Giá công thức'!$G$4:$AQ$4=AE$2)))</f>
        <v>1270</v>
      </c>
      <c r="AF52" s="394" cm="1">
        <f t="array" ref="AF52">IF(SUMPRODUCT('Giá công thức'!$G$11:$AQ$115*('Giá công thức'!$A$11:$A$115=$B52)*('Giá công thức'!$B$11:$B$115=$C52)*('Giá công thức'!$C$11:$C$115="GB")*('Giá công thức'!$G$3:$AQ$3=AF$1)*('Giá công thức'!$G$4:$AQ$4=AF$2))=0,NA(),SUMPRODUCT('Giá công thức'!$G$11:$AQ$115*('Giá công thức'!$A$11:$A$115=$B52)*('Giá công thức'!$B$11:$B$115=$C52)*('Giá công thức'!$C$11:$C$115="GB")*('Giá công thức'!$G$3:$AQ$3=AF$1)*('Giá công thức'!$G$4:$AQ$4=AF$2)))</f>
        <v>1270</v>
      </c>
      <c r="AG52" s="394" cm="1">
        <f t="array" ref="AG52">IF(SUMPRODUCT('Giá công thức'!$G$11:$AQ$115*('Giá công thức'!$A$11:$A$115=$B52)*('Giá công thức'!$B$11:$B$115=$C52)*('Giá công thức'!$C$11:$C$115="GB")*('Giá công thức'!$G$3:$AQ$3=AG$1)*('Giá công thức'!$G$4:$AQ$4=AG$2))=0,NA(),SUMPRODUCT('Giá công thức'!$G$11:$AQ$115*('Giá công thức'!$A$11:$A$115=$B52)*('Giá công thức'!$B$11:$B$115=$C52)*('Giá công thức'!$C$11:$C$115="GB")*('Giá công thức'!$G$3:$AQ$3=AG$1)*('Giá công thức'!$G$4:$AQ$4=AG$2)))</f>
        <v>1270</v>
      </c>
      <c r="AH52" s="394" cm="1">
        <f t="array" ref="AH52">IF(SUMPRODUCT('Giá công thức'!$G$11:$AQ$115*('Giá công thức'!$A$11:$A$115=$B52)*('Giá công thức'!$B$11:$B$115=$C52)*('Giá công thức'!$C$11:$C$115="GB")*('Giá công thức'!$G$3:$AQ$3=AH$1)*('Giá công thức'!$G$4:$AQ$4=AH$2))=0,NA(),SUMPRODUCT('Giá công thức'!$G$11:$AQ$115*('Giá công thức'!$A$11:$A$115=$B52)*('Giá công thức'!$B$11:$B$115=$C52)*('Giá công thức'!$C$11:$C$115="GB")*('Giá công thức'!$G$3:$AQ$3=AH$1)*('Giá công thức'!$G$4:$AQ$4=AH$2)))</f>
        <v>1270</v>
      </c>
      <c r="AI52" s="394"/>
      <c r="AJ52" s="394"/>
      <c r="AK52" s="394"/>
      <c r="AL52" s="394"/>
      <c r="AM52" s="394"/>
      <c r="AN52" s="394"/>
      <c r="AO52" s="394">
        <f>INDEX($E52:$AN52,MATCH("X",$E$3:$AN$3,0))</f>
        <v>1270</v>
      </c>
    </row>
    <row r="53" spans="1:41" x14ac:dyDescent="0.3">
      <c r="B53" s="14" t="s">
        <v>39</v>
      </c>
      <c r="C53" t="s">
        <v>28</v>
      </c>
      <c r="D53" t="s">
        <v>25</v>
      </c>
      <c r="E53" s="394" cm="1">
        <f t="array" ref="E53">IF(SUMPRODUCT('Giá công thức'!$G$11:$AQ$115*('Giá công thức'!$A$11:$A$115=$B53)*('Giá công thức'!$B$11:$B$115=$C53)*('Giá công thức'!$C$11:$C$115="GB")*('Giá công thức'!$G$3:$AQ$3=E$1)*('Giá công thức'!$G$4:$AQ$4=E$2))=0,NA(),SUMPRODUCT('Giá công thức'!$G$11:$AQ$115*('Giá công thức'!$A$11:$A$115=$B53)*('Giá công thức'!$B$11:$B$115=$C53)*('Giá công thức'!$C$11:$C$115="GB")*('Giá công thức'!$G$3:$AQ$3=E$1)*('Giá công thức'!$G$4:$AQ$4=E$2)))</f>
        <v>1340</v>
      </c>
      <c r="F53" s="394" cm="1">
        <f t="array" ref="F53">IF(SUMPRODUCT('Giá công thức'!$G$11:$AQ$115*('Giá công thức'!$A$11:$A$115=$B53)*('Giá công thức'!$B$11:$B$115=$C53)*('Giá công thức'!$C$11:$C$115="GB")*('Giá công thức'!$G$3:$AQ$3=F$1)*('Giá công thức'!$G$4:$AQ$4=F$2))=0,NA(),SUMPRODUCT('Giá công thức'!$G$11:$AQ$115*('Giá công thức'!$A$11:$A$115=$B53)*('Giá công thức'!$B$11:$B$115=$C53)*('Giá công thức'!$C$11:$C$115="GB")*('Giá công thức'!$G$3:$AQ$3=F$1)*('Giá công thức'!$G$4:$AQ$4=F$2)))</f>
        <v>1347.5</v>
      </c>
      <c r="G53" s="394" cm="1">
        <f t="array" ref="G53">IF(SUMPRODUCT('Giá công thức'!$G$11:$AQ$115*('Giá công thức'!$A$11:$A$115=$B53)*('Giá công thức'!$B$11:$B$115=$C53)*('Giá công thức'!$C$11:$C$115="GB")*('Giá công thức'!$G$3:$AQ$3=G$1)*('Giá công thức'!$G$4:$AQ$4=G$2))=0,NA(),SUMPRODUCT('Giá công thức'!$G$11:$AQ$115*('Giá công thức'!$A$11:$A$115=$B53)*('Giá công thức'!$B$11:$B$115=$C53)*('Giá công thức'!$C$11:$C$115="GB")*('Giá công thức'!$G$3:$AQ$3=G$1)*('Giá công thức'!$G$4:$AQ$4=G$2)))</f>
        <v>1360</v>
      </c>
      <c r="H53" s="394" cm="1">
        <f t="array" ref="H53">IF(SUMPRODUCT('Giá công thức'!$G$11:$AQ$115*('Giá công thức'!$A$11:$A$115=$B53)*('Giá công thức'!$B$11:$B$115=$C53)*('Giá công thức'!$C$11:$C$115="GB")*('Giá công thức'!$G$3:$AQ$3=H$1)*('Giá công thức'!$G$4:$AQ$4=H$2))=0,NA(),SUMPRODUCT('Giá công thức'!$G$11:$AQ$115*('Giá công thức'!$A$11:$A$115=$B53)*('Giá công thức'!$B$11:$B$115=$C53)*('Giá công thức'!$C$11:$C$115="GB")*('Giá công thức'!$G$3:$AQ$3=H$1)*('Giá công thức'!$G$4:$AQ$4=H$2)))</f>
        <v>1362.5</v>
      </c>
      <c r="I53" s="394" cm="1">
        <f t="array" ref="I53">IF(SUMPRODUCT('Giá công thức'!$G$11:$AQ$115*('Giá công thức'!$A$11:$A$115=$B53)*('Giá công thức'!$B$11:$B$115=$C53)*('Giá công thức'!$C$11:$C$115="GB")*('Giá công thức'!$G$3:$AQ$3=I$1)*('Giá công thức'!$G$4:$AQ$4=I$2))=0,NA(),SUMPRODUCT('Giá công thức'!$G$11:$AQ$115*('Giá công thức'!$A$11:$A$115=$B53)*('Giá công thức'!$B$11:$B$115=$C53)*('Giá công thức'!$C$11:$C$115="GB")*('Giá công thức'!$G$3:$AQ$3=I$1)*('Giá công thức'!$G$4:$AQ$4=I$2)))</f>
        <v>1366.5</v>
      </c>
      <c r="J53" s="394" cm="1">
        <f t="array" ref="J53">IF(SUMPRODUCT('Giá công thức'!$G$11:$AQ$115*('Giá công thức'!$A$11:$A$115=$B53)*('Giá công thức'!$B$11:$B$115=$C53)*('Giá công thức'!$C$11:$C$115="GB")*('Giá công thức'!$G$3:$AQ$3=J$1)*('Giá công thức'!$G$4:$AQ$4=J$2))=0,NA(),SUMPRODUCT('Giá công thức'!$G$11:$AQ$115*('Giá công thức'!$A$11:$A$115=$B53)*('Giá công thức'!$B$11:$B$115=$C53)*('Giá công thức'!$C$11:$C$115="GB")*('Giá công thức'!$G$3:$AQ$3=J$1)*('Giá công thức'!$G$4:$AQ$4=J$2)))</f>
        <v>1381.5</v>
      </c>
      <c r="K53" s="394" cm="1">
        <f t="array" ref="K53">IF(SUMPRODUCT('Giá công thức'!$G$11:$AQ$115*('Giá công thức'!$A$11:$A$115=$B53)*('Giá công thức'!$B$11:$B$115=$C53)*('Giá công thức'!$C$11:$C$115="GB")*('Giá công thức'!$G$3:$AQ$3=K$1)*('Giá công thức'!$G$4:$AQ$4=K$2))=0,NA(),SUMPRODUCT('Giá công thức'!$G$11:$AQ$115*('Giá công thức'!$A$11:$A$115=$B53)*('Giá công thức'!$B$11:$B$115=$C53)*('Giá công thức'!$C$11:$C$115="GB")*('Giá công thức'!$G$3:$AQ$3=K$1)*('Giá công thức'!$G$4:$AQ$4=K$2)))</f>
        <v>1397.5</v>
      </c>
      <c r="L53" s="394" cm="1">
        <f t="array" ref="L53">IF(SUMPRODUCT('Giá công thức'!$G$11:$AQ$115*('Giá công thức'!$A$11:$A$115=$B53)*('Giá công thức'!$B$11:$B$115=$C53)*('Giá công thức'!$C$11:$C$115="GB")*('Giá công thức'!$G$3:$AQ$3=L$1)*('Giá công thức'!$G$4:$AQ$4=L$2))=0,NA(),SUMPRODUCT('Giá công thức'!$G$11:$AQ$115*('Giá công thức'!$A$11:$A$115=$B53)*('Giá công thức'!$B$11:$B$115=$C53)*('Giá công thức'!$C$11:$C$115="GB")*('Giá công thức'!$G$3:$AQ$3=L$1)*('Giá công thức'!$G$4:$AQ$4=L$2)))</f>
        <v>1408.5</v>
      </c>
      <c r="M53" s="394" cm="1">
        <f t="array" ref="M53">IF(SUMPRODUCT('Giá công thức'!$G$11:$AQ$115*('Giá công thức'!$A$11:$A$115=$B53)*('Giá công thức'!$B$11:$B$115=$C53)*('Giá công thức'!$C$11:$C$115="GB")*('Giá công thức'!$G$3:$AQ$3=M$1)*('Giá công thức'!$G$4:$AQ$4=M$2))=0,NA(),SUMPRODUCT('Giá công thức'!$G$11:$AQ$115*('Giá công thức'!$A$11:$A$115=$B53)*('Giá công thức'!$B$11:$B$115=$C53)*('Giá công thức'!$C$11:$C$115="GB")*('Giá công thức'!$G$3:$AQ$3=M$1)*('Giá công thức'!$G$4:$AQ$4=M$2)))</f>
        <v>1428.5</v>
      </c>
      <c r="N53" s="394" cm="1">
        <f t="array" ref="N53">IF(SUMPRODUCT('Giá công thức'!$G$11:$AQ$115*('Giá công thức'!$A$11:$A$115=$B53)*('Giá công thức'!$B$11:$B$115=$C53)*('Giá công thức'!$C$11:$C$115="GB")*('Giá công thức'!$G$3:$AQ$3=N$1)*('Giá công thức'!$G$4:$AQ$4=N$2))=0,NA(),SUMPRODUCT('Giá công thức'!$G$11:$AQ$115*('Giá công thức'!$A$11:$A$115=$B53)*('Giá công thức'!$B$11:$B$115=$C53)*('Giá công thức'!$C$11:$C$115="GB")*('Giá công thức'!$G$3:$AQ$3=N$1)*('Giá công thức'!$G$4:$AQ$4=N$2)))</f>
        <v>1456.25</v>
      </c>
      <c r="O53" s="394" cm="1">
        <f t="array" ref="O53">IF(SUMPRODUCT('Giá công thức'!$G$11:$AQ$115*('Giá công thức'!$A$11:$A$115=$B53)*('Giá công thức'!$B$11:$B$115=$C53)*('Giá công thức'!$C$11:$C$115="GB")*('Giá công thức'!$G$3:$AQ$3=O$1)*('Giá công thức'!$G$4:$AQ$4=O$2))=0,NA(),SUMPRODUCT('Giá công thức'!$G$11:$AQ$115*('Giá công thức'!$A$11:$A$115=$B53)*('Giá công thức'!$B$11:$B$115=$C53)*('Giá công thức'!$C$11:$C$115="GB")*('Giá công thức'!$G$3:$AQ$3=O$1)*('Giá công thức'!$G$4:$AQ$4=O$2)))</f>
        <v>1473.75</v>
      </c>
      <c r="P53" s="394" cm="1">
        <f t="array" ref="P53">IF(SUMPRODUCT('Giá công thức'!$G$11:$AQ$115*('Giá công thức'!$A$11:$A$115=$B53)*('Giá công thức'!$B$11:$B$115=$C53)*('Giá công thức'!$C$11:$C$115="GB")*('Giá công thức'!$G$3:$AQ$3=P$1)*('Giá công thức'!$G$4:$AQ$4=P$2))=0,NA(),SUMPRODUCT('Giá công thức'!$G$11:$AQ$115*('Giá công thức'!$A$11:$A$115=$B53)*('Giá công thức'!$B$11:$B$115=$C53)*('Giá công thức'!$C$11:$C$115="GB")*('Giá công thức'!$G$3:$AQ$3=P$1)*('Giá công thức'!$G$4:$AQ$4=P$2)))</f>
        <v>1477.5</v>
      </c>
      <c r="Q53" s="394" cm="1">
        <f t="array" ref="Q53">IF(SUMPRODUCT('Giá công thức'!$G$11:$AQ$115*('Giá công thức'!$A$11:$A$115=$B53)*('Giá công thức'!$B$11:$B$115=$C53)*('Giá công thức'!$C$11:$C$115="GB")*('Giá công thức'!$G$3:$AQ$3=Q$1)*('Giá công thức'!$G$4:$AQ$4=Q$2))=0,NA(),SUMPRODUCT('Giá công thức'!$G$11:$AQ$115*('Giá công thức'!$A$11:$A$115=$B53)*('Giá công thức'!$B$11:$B$115=$C53)*('Giá công thức'!$C$11:$C$115="GB")*('Giá công thức'!$G$3:$AQ$3=Q$1)*('Giá công thức'!$G$4:$AQ$4=Q$2)))</f>
        <v>1426.403125</v>
      </c>
      <c r="R53" s="394" cm="1">
        <f t="array" ref="R53">IF(SUMPRODUCT('Giá công thức'!$G$11:$AQ$115*('Giá công thức'!$A$11:$A$115=$B53)*('Giá công thức'!$B$11:$B$115=$C53)*('Giá công thức'!$C$11:$C$115="GB")*('Giá công thức'!$G$3:$AQ$3=R$1)*('Giá công thức'!$G$4:$AQ$4=R$2))=0,NA(),SUMPRODUCT('Giá công thức'!$G$11:$AQ$115*('Giá công thức'!$A$11:$A$115=$B53)*('Giá công thức'!$B$11:$B$115=$C53)*('Giá công thức'!$C$11:$C$115="GB")*('Giá công thức'!$G$3:$AQ$3=R$1)*('Giá công thức'!$G$4:$AQ$4=R$2)))</f>
        <v>1388.6447916666652</v>
      </c>
      <c r="S53" s="394" cm="1">
        <f t="array" ref="S53">IF(SUMPRODUCT('Giá công thức'!$G$11:$AQ$115*('Giá công thức'!$A$11:$A$115=$B53)*('Giá công thức'!$B$11:$B$115=$C53)*('Giá công thức'!$C$11:$C$115="GB")*('Giá công thức'!$G$3:$AQ$3=S$1)*('Giá công thức'!$G$4:$AQ$4=S$2))=0,NA(),SUMPRODUCT('Giá công thức'!$G$11:$AQ$115*('Giá công thức'!$A$11:$A$115=$B53)*('Giá công thức'!$B$11:$B$115=$C53)*('Giá công thức'!$C$11:$C$115="GB")*('Giá công thức'!$G$3:$AQ$3=S$1)*('Giá công thức'!$G$4:$AQ$4=S$2)))</f>
        <v>1353.5541666666652</v>
      </c>
      <c r="T53" s="394" cm="1">
        <f t="array" ref="T53">IF(SUMPRODUCT('Giá công thức'!$G$11:$AQ$115*('Giá công thức'!$A$11:$A$115=$B53)*('Giá công thức'!$B$11:$B$115=$C53)*('Giá công thức'!$C$11:$C$115="GB")*('Giá công thức'!$G$3:$AQ$3=T$1)*('Giá công thức'!$G$4:$AQ$4=T$2))=0,NA(),SUMPRODUCT('Giá công thức'!$G$11:$AQ$115*('Giá công thức'!$A$11:$A$115=$B53)*('Giá công thức'!$B$11:$B$115=$C53)*('Giá công thức'!$C$11:$C$115="GB")*('Giá công thức'!$G$3:$AQ$3=T$1)*('Giá công thức'!$G$4:$AQ$4=T$2)))</f>
        <v>1354.375</v>
      </c>
      <c r="U53" s="394" cm="1">
        <f t="array" ref="U53">IF(SUMPRODUCT('Giá công thức'!$G$11:$AQ$115*('Giá công thức'!$A$11:$A$115=$B53)*('Giá công thức'!$B$11:$B$115=$C53)*('Giá công thức'!$C$11:$C$115="GB")*('Giá công thức'!$G$3:$AQ$3=U$1)*('Giá công thức'!$G$4:$AQ$4=U$2))=0,NA(),SUMPRODUCT('Giá công thức'!$G$11:$AQ$115*('Giá công thức'!$A$11:$A$115=$B53)*('Giá công thức'!$B$11:$B$115=$C53)*('Giá công thức'!$C$11:$C$115="GB")*('Giá công thức'!$G$3:$AQ$3=U$1)*('Giá công thức'!$G$4:$AQ$4=U$2)))</f>
        <v>1359.3</v>
      </c>
      <c r="V53" s="394" cm="1">
        <f t="array" ref="V53">IF(SUMPRODUCT('Giá công thức'!$G$11:$AQ$115*('Giá công thức'!$A$11:$A$115=$B53)*('Giá công thức'!$B$11:$B$115=$C53)*('Giá công thức'!$C$11:$C$115="GB")*('Giá công thức'!$G$3:$AQ$3=V$1)*('Giá công thức'!$G$4:$AQ$4=V$2))=0,NA(),SUMPRODUCT('Giá công thức'!$G$11:$AQ$115*('Giá công thức'!$A$11:$A$115=$B53)*('Giá công thức'!$B$11:$B$115=$C53)*('Giá công thức'!$C$11:$C$115="GB")*('Giá công thức'!$G$3:$AQ$3=V$1)*('Giá công thức'!$G$4:$AQ$4=V$2)))</f>
        <v>1359.3</v>
      </c>
      <c r="W53" s="394" cm="1">
        <f t="array" ref="W53">IF(SUMPRODUCT('Giá công thức'!$G$11:$AQ$115*('Giá công thức'!$A$11:$A$115=$B53)*('Giá công thức'!$B$11:$B$115=$C53)*('Giá công thức'!$C$11:$C$115="GB")*('Giá công thức'!$G$3:$AQ$3=W$1)*('Giá công thức'!$G$4:$AQ$4=W$2))=0,NA(),SUMPRODUCT('Giá công thức'!$G$11:$AQ$115*('Giá công thức'!$A$11:$A$115=$B53)*('Giá công thức'!$B$11:$B$115=$C53)*('Giá công thức'!$C$11:$C$115="GB")*('Giá công thức'!$G$3:$AQ$3=W$1)*('Giá công thức'!$G$4:$AQ$4=W$2)))</f>
        <v>1359.3</v>
      </c>
      <c r="X53" s="394" cm="1">
        <f t="array" ref="X53">IF(SUMPRODUCT('Giá công thức'!$G$11:$AQ$115*('Giá công thức'!$A$11:$A$115=$B53)*('Giá công thức'!$B$11:$B$115=$C53)*('Giá công thức'!$C$11:$C$115="GB")*('Giá công thức'!$G$3:$AQ$3=X$1)*('Giá công thức'!$G$4:$AQ$4=X$2))=0,NA(),SUMPRODUCT('Giá công thức'!$G$11:$AQ$115*('Giá công thức'!$A$11:$A$115=$B53)*('Giá công thức'!$B$11:$B$115=$C53)*('Giá công thức'!$C$11:$C$115="GB")*('Giá công thức'!$G$3:$AQ$3=X$1)*('Giá công thức'!$G$4:$AQ$4=X$2)))</f>
        <v>1341.57</v>
      </c>
      <c r="Y53" s="394" cm="1">
        <f t="array" ref="Y53">IF(SUMPRODUCT('Giá công thức'!$G$11:$AQ$115*('Giá công thức'!$A$11:$A$115=$B53)*('Giá công thức'!$B$11:$B$115=$C53)*('Giá công thức'!$C$11:$C$115="GB")*('Giá công thức'!$G$3:$AQ$3=Y$1)*('Giá công thức'!$G$4:$AQ$4=Y$2))=0,NA(),SUMPRODUCT('Giá công thức'!$G$11:$AQ$115*('Giá công thức'!$A$11:$A$115=$B53)*('Giá công thức'!$B$11:$B$115=$C53)*('Giá công thức'!$C$11:$C$115="GB")*('Giá công thức'!$G$3:$AQ$3=Y$1)*('Giá công thức'!$G$4:$AQ$4=Y$2)))</f>
        <v>1310.0574999999999</v>
      </c>
      <c r="Z53" s="394" cm="1">
        <f t="array" ref="Z53">IF(SUMPRODUCT('Giá công thức'!$G$11:$AQ$115*('Giá công thức'!$A$11:$A$115=$B53)*('Giá công thức'!$B$11:$B$115=$C53)*('Giá công thức'!$C$11:$C$115="GB")*('Giá công thức'!$G$3:$AQ$3=Z$1)*('Giá công thức'!$G$4:$AQ$4=Z$2))=0,NA(),SUMPRODUCT('Giá công thức'!$G$11:$AQ$115*('Giá công thức'!$A$11:$A$115=$B53)*('Giá công thức'!$B$11:$B$115=$C53)*('Giá công thức'!$C$11:$C$115="GB")*('Giá công thức'!$G$3:$AQ$3=Z$1)*('Giá công thức'!$G$4:$AQ$4=Z$2)))</f>
        <v>1310.4775</v>
      </c>
      <c r="AA53" s="394" cm="1">
        <f t="array" ref="AA53">IF(SUMPRODUCT('Giá công thức'!$G$11:$AQ$115*('Giá công thức'!$A$11:$A$115=$B53)*('Giá công thức'!$B$11:$B$115=$C53)*('Giá công thức'!$C$11:$C$115="GB")*('Giá công thức'!$G$3:$AQ$3=AA$1)*('Giá công thức'!$G$4:$AQ$4=AA$2))=0,NA(),SUMPRODUCT('Giá công thức'!$G$11:$AQ$115*('Giá công thức'!$A$11:$A$115=$B53)*('Giá công thức'!$B$11:$B$115=$C53)*('Giá công thức'!$C$11:$C$115="GB")*('Giá công thức'!$G$3:$AQ$3=AA$1)*('Giá công thức'!$G$4:$AQ$4=AA$2)))</f>
        <v>1310.8150000000001</v>
      </c>
      <c r="AB53" s="394" cm="1">
        <f t="array" ref="AB53">IF(SUMPRODUCT('Giá công thức'!$G$11:$AQ$115*('Giá công thức'!$A$11:$A$115=$B53)*('Giá công thức'!$B$11:$B$115=$C53)*('Giá công thức'!$C$11:$C$115="GB")*('Giá công thức'!$G$3:$AQ$3=AB$1)*('Giá công thức'!$G$4:$AQ$4=AB$2))=0,NA(),SUMPRODUCT('Giá công thức'!$G$11:$AQ$115*('Giá công thức'!$A$11:$A$115=$B53)*('Giá công thức'!$B$11:$B$115=$C53)*('Giá công thức'!$C$11:$C$115="GB")*('Giá công thức'!$G$3:$AQ$3=AB$1)*('Giá công thức'!$G$4:$AQ$4=AB$2)))</f>
        <v>1310.996875</v>
      </c>
      <c r="AC53" s="394" cm="1">
        <f t="array" ref="AC53">IF(SUMPRODUCT('Giá công thức'!$G$11:$AQ$115*('Giá công thức'!$A$11:$A$115=$B53)*('Giá công thức'!$B$11:$B$115=$C53)*('Giá công thức'!$C$11:$C$115="GB")*('Giá công thức'!$G$3:$AQ$3=AC$1)*('Giá công thức'!$G$4:$AQ$4=AC$2))=0,NA(),SUMPRODUCT('Giá công thức'!$G$11:$AQ$115*('Giá công thức'!$A$11:$A$115=$B53)*('Giá công thức'!$B$11:$B$115=$C53)*('Giá công thức'!$C$11:$C$115="GB")*('Giá công thức'!$G$3:$AQ$3=AC$1)*('Giá công thức'!$G$4:$AQ$4=AC$2)))</f>
        <v>1128</v>
      </c>
      <c r="AD53" s="394" cm="1">
        <f t="array" ref="AD53">IF(SUMPRODUCT('Giá công thức'!$G$11:$AQ$115*('Giá công thức'!$A$11:$A$115=$B53)*('Giá công thức'!$B$11:$B$115=$C53)*('Giá công thức'!$C$11:$C$115="GB")*('Giá công thức'!$G$3:$AQ$3=AD$1)*('Giá công thức'!$G$4:$AQ$4=AD$2))=0,NA(),SUMPRODUCT('Giá công thức'!$G$11:$AQ$115*('Giá công thức'!$A$11:$A$115=$B53)*('Giá công thức'!$B$11:$B$115=$C53)*('Giá công thức'!$C$11:$C$115="GB")*('Giá công thức'!$G$3:$AQ$3=AD$1)*('Giá công thức'!$G$4:$AQ$4=AD$2)))</f>
        <v>1128</v>
      </c>
      <c r="AE53" s="394" cm="1">
        <f t="array" ref="AE53">IF(SUMPRODUCT('Giá công thức'!$G$11:$AQ$115*('Giá công thức'!$A$11:$A$115=$B53)*('Giá công thức'!$B$11:$B$115=$C53)*('Giá công thức'!$C$11:$C$115="GB")*('Giá công thức'!$G$3:$AQ$3=AE$1)*('Giá công thức'!$G$4:$AQ$4=AE$2))=0,NA(),SUMPRODUCT('Giá công thức'!$G$11:$AQ$115*('Giá công thức'!$A$11:$A$115=$B53)*('Giá công thức'!$B$11:$B$115=$C53)*('Giá công thức'!$C$11:$C$115="GB")*('Giá công thức'!$G$3:$AQ$3=AE$1)*('Giá công thức'!$G$4:$AQ$4=AE$2)))</f>
        <v>1128</v>
      </c>
      <c r="AF53" s="394" cm="1">
        <f t="array" ref="AF53">IF(SUMPRODUCT('Giá công thức'!$G$11:$AQ$115*('Giá công thức'!$A$11:$A$115=$B53)*('Giá công thức'!$B$11:$B$115=$C53)*('Giá công thức'!$C$11:$C$115="GB")*('Giá công thức'!$G$3:$AQ$3=AF$1)*('Giá công thức'!$G$4:$AQ$4=AF$2))=0,NA(),SUMPRODUCT('Giá công thức'!$G$11:$AQ$115*('Giá công thức'!$A$11:$A$115=$B53)*('Giá công thức'!$B$11:$B$115=$C53)*('Giá công thức'!$C$11:$C$115="GB")*('Giá công thức'!$G$3:$AQ$3=AF$1)*('Giá công thức'!$G$4:$AQ$4=AF$2)))</f>
        <v>1128</v>
      </c>
      <c r="AG53" s="394" cm="1">
        <f t="array" ref="AG53">IF(SUMPRODUCT('Giá công thức'!$G$11:$AQ$115*('Giá công thức'!$A$11:$A$115=$B53)*('Giá công thức'!$B$11:$B$115=$C53)*('Giá công thức'!$C$11:$C$115="GB")*('Giá công thức'!$G$3:$AQ$3=AG$1)*('Giá công thức'!$G$4:$AQ$4=AG$2))=0,NA(),SUMPRODUCT('Giá công thức'!$G$11:$AQ$115*('Giá công thức'!$A$11:$A$115=$B53)*('Giá công thức'!$B$11:$B$115=$C53)*('Giá công thức'!$C$11:$C$115="GB")*('Giá công thức'!$G$3:$AQ$3=AG$1)*('Giá công thức'!$G$4:$AQ$4=AG$2)))</f>
        <v>1128</v>
      </c>
      <c r="AH53" s="394" cm="1">
        <f t="array" ref="AH53">IF(SUMPRODUCT('Giá công thức'!$G$11:$AQ$115*('Giá công thức'!$A$11:$A$115=$B53)*('Giá công thức'!$B$11:$B$115=$C53)*('Giá công thức'!$C$11:$C$115="GB")*('Giá công thức'!$G$3:$AQ$3=AH$1)*('Giá công thức'!$G$4:$AQ$4=AH$2))=0,NA(),SUMPRODUCT('Giá công thức'!$G$11:$AQ$115*('Giá công thức'!$A$11:$A$115=$B53)*('Giá công thức'!$B$11:$B$115=$C53)*('Giá công thức'!$C$11:$C$115="GB")*('Giá công thức'!$G$3:$AQ$3=AH$1)*('Giá công thức'!$G$4:$AQ$4=AH$2)))</f>
        <v>1128</v>
      </c>
      <c r="AI53" s="394"/>
      <c r="AJ53" s="394"/>
      <c r="AK53" s="394"/>
      <c r="AL53" s="394"/>
      <c r="AM53" s="394"/>
      <c r="AN53" s="394"/>
      <c r="AO53" s="394">
        <f>INDEX($E53:$AN53,MATCH("X",$E$3:$AN$3,0))</f>
        <v>1128</v>
      </c>
    </row>
    <row r="54" spans="1:41" s="137" customFormat="1" x14ac:dyDescent="0.3">
      <c r="A54" s="137" t="s">
        <v>28</v>
      </c>
      <c r="C54" s="137" t="s">
        <v>28</v>
      </c>
      <c r="D54" s="137" t="s">
        <v>17</v>
      </c>
      <c r="E54" s="397" cm="1">
        <f t="array" ref="E54">SUMPRODUCT(General_Data*(Code_General_Data=$A54)*(Year=E$1)*(Month=E$2))</f>
        <v>1340</v>
      </c>
      <c r="F54" s="397" cm="1">
        <f t="array" ref="F54">SUMPRODUCT(General_Data*(Code_General_Data=$A54)*(Year=F$1)*(Month=F$2))</f>
        <v>1340</v>
      </c>
      <c r="G54" s="397" cm="1">
        <f t="array" ref="G54">SUMPRODUCT(General_Data*(Code_General_Data=$A54)*(Year=G$1)*(Month=G$2))</f>
        <v>1340</v>
      </c>
      <c r="H54" s="397" cm="1">
        <f t="array" ref="H54">SUMPRODUCT(General_Data*(Code_General_Data=$A54)*(Year=H$1)*(Month=H$2))</f>
        <v>1340</v>
      </c>
      <c r="I54" s="397" cm="1">
        <f t="array" ref="I54">SUMPRODUCT(General_Data*(Code_General_Data=$A54)*(Year=I$1)*(Month=I$2))</f>
        <v>1390</v>
      </c>
      <c r="J54" s="397" cm="1">
        <f t="array" ref="J54">SUMPRODUCT(General_Data*(Code_General_Data=$A54)*(Year=J$1)*(Month=J$2))</f>
        <v>1390</v>
      </c>
      <c r="K54" s="397" cm="1">
        <f t="array" ref="K54">SUMPRODUCT(General_Data*(Code_General_Data=$A54)*(Year=K$1)*(Month=K$2))</f>
        <v>1390</v>
      </c>
      <c r="L54" s="397" cm="1">
        <f t="array" ref="L54">SUMPRODUCT(General_Data*(Code_General_Data=$A54)*(Year=L$1)*(Month=L$2))</f>
        <v>1390</v>
      </c>
      <c r="M54" s="397" cm="1">
        <f t="array" ref="M54">SUMPRODUCT(General_Data*(Code_General_Data=$A54)*(Year=M$1)*(Month=M$2))</f>
        <v>1400</v>
      </c>
      <c r="N54" s="397" cm="1">
        <f t="array" ref="N54">SUMPRODUCT(General_Data*(Code_General_Data=$A54)*(Year=N$1)*(Month=N$2))</f>
        <v>1415</v>
      </c>
      <c r="O54" s="397" cm="1">
        <f t="array" ref="O54">SUMPRODUCT(General_Data*(Code_General_Data=$A54)*(Year=O$1)*(Month=O$2))</f>
        <v>1415</v>
      </c>
      <c r="P54" s="397" cm="1">
        <f t="array" ref="P54">SUMPRODUCT(General_Data*(Code_General_Data=$A54)*(Year=P$1)*(Month=P$2))</f>
        <v>1365</v>
      </c>
      <c r="Q54" s="397" cm="1">
        <f t="array" ref="Q54">SUMPRODUCT(General_Data*(Code_General_Data=$A54)*(Year=Q$1)*(Month=Q$2))</f>
        <v>1320</v>
      </c>
      <c r="R54" s="397" cm="1">
        <f t="array" ref="R54">SUMPRODUCT(General_Data*(Code_General_Data=$A54)*(Year=R$1)*(Month=R$2))</f>
        <v>1280</v>
      </c>
      <c r="S54" s="397" cm="1">
        <f t="array" ref="S54">SUMPRODUCT(General_Data*(Code_General_Data=$A54)*(Year=S$1)*(Month=S$2))</f>
        <v>1320</v>
      </c>
      <c r="T54" s="397" cm="1">
        <f t="array" ref="T54">SUMPRODUCT(General_Data*(Code_General_Data=$A54)*(Year=T$1)*(Month=T$2))</f>
        <v>1340</v>
      </c>
      <c r="U54" s="397" cm="1">
        <f t="array" ref="U54">SUMPRODUCT(General_Data*(Code_General_Data=$A54)*(Year=U$1)*(Month=U$2))</f>
        <v>1340</v>
      </c>
      <c r="V54" s="397" cm="1">
        <f t="array" ref="V54">SUMPRODUCT(General_Data*(Code_General_Data=$A54)*(Year=V$1)*(Month=V$2))</f>
        <v>1340</v>
      </c>
      <c r="W54" s="397" cm="1">
        <f t="array" ref="W54">SUMPRODUCT(General_Data*(Code_General_Data=$A54)*(Year=W$1)*(Month=W$2))</f>
        <v>1340</v>
      </c>
      <c r="X54" s="397" cm="1">
        <f t="array" ref="X54">SUMPRODUCT(General_Data*(Code_General_Data=$A54)*(Year=X$1)*(Month=X$2))</f>
        <v>1310</v>
      </c>
      <c r="Y54" s="397" cm="1">
        <f t="array" ref="Y54">SUMPRODUCT(General_Data*(Code_General_Data=$A54)*(Year=Y$1)*(Month=Y$2))</f>
        <v>1310</v>
      </c>
      <c r="Z54" s="397" cm="1">
        <f t="array" ref="Z54">SUMPRODUCT(General_Data*(Code_General_Data=$A54)*(Year=Z$1)*(Month=Z$2))</f>
        <v>1300</v>
      </c>
      <c r="AA54" s="397" cm="1">
        <f t="array" ref="AA54">SUMPRODUCT(General_Data*(Code_General_Data=$A54)*(Year=AA$1)*(Month=AA$2))</f>
        <v>1290</v>
      </c>
      <c r="AB54" s="397" cm="1">
        <f t="array" ref="AB54">SUMPRODUCT(General_Data*(Code_General_Data=$A54)*(Year=AB$1)*(Month=AB$2))</f>
        <v>1290</v>
      </c>
      <c r="AC54" s="397" cm="1">
        <f t="array" ref="AC54">SUMPRODUCT(General_Data*(Code_General_Data=$A54)*(Year=AC$1)*(Month=AC$2))</f>
        <v>1250</v>
      </c>
      <c r="AD54" s="397" cm="1">
        <f t="array" ref="AD54">SUMPRODUCT(General_Data*(Code_General_Data=$A54)*(Year=AD$1)*(Month=AD$2))</f>
        <v>1250</v>
      </c>
      <c r="AE54" s="397" cm="1">
        <f t="array" ref="AE54">SUMPRODUCT(General_Data*(Code_General_Data=$A54)*(Year=AE$1)*(Month=AE$2))</f>
        <v>1250</v>
      </c>
      <c r="AF54" s="397" cm="1">
        <f t="array" ref="AF54">SUMPRODUCT(General_Data*(Code_General_Data=$A54)*(Year=AF$1)*(Month=AF$2))</f>
        <v>1370</v>
      </c>
      <c r="AG54" s="397" cm="1">
        <f t="array" ref="AG54">SUMPRODUCT(General_Data*(Code_General_Data=$A54)*(Year=AG$1)*(Month=AG$2))</f>
        <v>1470</v>
      </c>
      <c r="AH54" s="397" cm="1">
        <f t="array" ref="AH54">SUMPRODUCT(General_Data*(Code_General_Data=$A54)*(Year=AH$1)*(Month=AH$2))</f>
        <v>1440</v>
      </c>
      <c r="AI54" s="397"/>
      <c r="AJ54" s="397"/>
      <c r="AK54" s="397"/>
      <c r="AL54" s="397"/>
      <c r="AM54" s="397"/>
      <c r="AN54" s="397"/>
      <c r="AO54" s="397">
        <f>INDEX($E54:$AN54,MATCH("X",$E$3:$AN$3,0))</f>
        <v>1440</v>
      </c>
    </row>
    <row r="55" spans="1:41" s="395" customFormat="1" x14ac:dyDescent="0.3">
      <c r="A55" s="395" t="s">
        <v>9</v>
      </c>
      <c r="D55" s="395" t="s">
        <v>11</v>
      </c>
      <c r="E55" s="396" cm="1">
        <f t="array" ref="E55">SUMPRODUCT(General_Data*(Code_General_Data=$A55)*(Year=E$1)*(Month=E$2))</f>
        <v>930</v>
      </c>
      <c r="F55" s="396" cm="1">
        <f t="array" ref="F55">SUMPRODUCT(General_Data*(Code_General_Data=$A55)*(Year=F$1)*(Month=F$2))</f>
        <v>943.33333333333337</v>
      </c>
      <c r="G55" s="396" cm="1">
        <f t="array" ref="G55">SUMPRODUCT(General_Data*(Code_General_Data=$A55)*(Year=G$1)*(Month=G$2))</f>
        <v>940</v>
      </c>
      <c r="H55" s="396" cm="1">
        <f t="array" ref="H55">SUMPRODUCT(General_Data*(Code_General_Data=$A55)*(Year=H$1)*(Month=H$2))</f>
        <v>940</v>
      </c>
      <c r="I55" s="396" cm="1">
        <f t="array" ref="I55">SUMPRODUCT(General_Data*(Code_General_Data=$A55)*(Year=I$1)*(Month=I$2))</f>
        <v>942</v>
      </c>
      <c r="J55" s="396" cm="1">
        <f t="array" ref="J55">SUMPRODUCT(General_Data*(Code_General_Data=$A55)*(Year=J$1)*(Month=J$2))</f>
        <v>950</v>
      </c>
      <c r="K55" s="396" cm="1">
        <f t="array" ref="K55">SUMPRODUCT(General_Data*(Code_General_Data=$A55)*(Year=K$1)*(Month=K$2))</f>
        <v>947.5</v>
      </c>
      <c r="L55" s="396" cm="1">
        <f t="array" ref="L55">SUMPRODUCT(General_Data*(Code_General_Data=$A55)*(Year=L$1)*(Month=L$2))</f>
        <v>930</v>
      </c>
      <c r="M55" s="396" cm="1">
        <f t="array" ref="M55">SUMPRODUCT(General_Data*(Code_General_Data=$A55)*(Year=M$1)*(Month=M$2))</f>
        <v>880</v>
      </c>
      <c r="N55" s="396" cm="1">
        <f t="array" ref="N55">SUMPRODUCT(General_Data*(Code_General_Data=$A55)*(Year=N$1)*(Month=N$2))</f>
        <v>862.5</v>
      </c>
      <c r="O55" s="396" cm="1">
        <f t="array" ref="O55">SUMPRODUCT(General_Data*(Code_General_Data=$A55)*(Year=O$1)*(Month=O$2))</f>
        <v>852</v>
      </c>
      <c r="P55" s="396" cm="1">
        <f t="array" ref="P55">SUMPRODUCT(General_Data*(Code_General_Data=$A55)*(Year=P$1)*(Month=P$2))</f>
        <v>830</v>
      </c>
      <c r="Q55" s="396" cm="1">
        <f t="array" ref="Q55">SUMPRODUCT(General_Data*(Code_General_Data=$A55)*(Year=Q$1)*(Month=Q$2))</f>
        <v>828</v>
      </c>
      <c r="R55" s="396" cm="1">
        <f t="array" ref="R55">SUMPRODUCT(General_Data*(Code_General_Data=$A55)*(Year=R$1)*(Month=R$2))</f>
        <v>840</v>
      </c>
      <c r="S55" s="396" cm="1">
        <f t="array" ref="S55">SUMPRODUCT(General_Data*(Code_General_Data=$A55)*(Year=S$1)*(Month=S$2))</f>
        <v>823</v>
      </c>
      <c r="T55" s="396" cm="1">
        <f t="array" ref="T55">SUMPRODUCT(General_Data*(Code_General_Data=$A55)*(Year=T$1)*(Month=T$2))</f>
        <v>765</v>
      </c>
      <c r="U55" s="396" cm="1">
        <f t="array" ref="U55">SUMPRODUCT(General_Data*(Code_General_Data=$A55)*(Year=U$1)*(Month=U$2))</f>
        <v>782</v>
      </c>
      <c r="V55" s="396" cm="1">
        <f t="array" ref="V55">SUMPRODUCT(General_Data*(Code_General_Data=$A55)*(Year=V$1)*(Month=V$2))</f>
        <v>807.5</v>
      </c>
      <c r="W55" s="396" cm="1">
        <f t="array" ref="W55">SUMPRODUCT(General_Data*(Code_General_Data=$A55)*(Year=W$1)*(Month=W$2))</f>
        <v>802</v>
      </c>
      <c r="X55" s="396" cm="1">
        <f t="array" ref="X55">SUMPRODUCT(General_Data*(Code_General_Data=$A55)*(Year=X$1)*(Month=X$2))</f>
        <v>795</v>
      </c>
      <c r="Y55" s="396" cm="1">
        <f t="array" ref="Y55">SUMPRODUCT(General_Data*(Code_General_Data=$A55)*(Year=Y$1)*(Month=Y$2))</f>
        <v>783</v>
      </c>
      <c r="Z55" s="396" cm="1">
        <f t="array" ref="Z55">SUMPRODUCT(General_Data*(Code_General_Data=$A55)*(Year=Z$1)*(Month=Z$2))</f>
        <v>772</v>
      </c>
      <c r="AA55" s="396" cm="1">
        <f t="array" ref="AA55">SUMPRODUCT(General_Data*(Code_General_Data=$A55)*(Year=AA$1)*(Month=AA$2))</f>
        <v>770</v>
      </c>
      <c r="AB55" s="396" cm="1">
        <f t="array" ref="AB55">SUMPRODUCT(General_Data*(Code_General_Data=$A55)*(Year=AB$1)*(Month=AB$2))</f>
        <v>772.5</v>
      </c>
      <c r="AC55" s="396" cm="1">
        <f t="array" ref="AC55">SUMPRODUCT(General_Data*(Code_General_Data=$A55)*(Year=AC$1)*(Month=AC$2))</f>
        <v>805</v>
      </c>
      <c r="AD55" s="396" cm="1">
        <f t="array" ref="AD55">SUMPRODUCT(General_Data*(Code_General_Data=$A55)*(Year=AD$1)*(Month=AD$2))</f>
        <v>840</v>
      </c>
      <c r="AE55" s="396" cm="1">
        <f t="array" ref="AE55">SUMPRODUCT(General_Data*(Code_General_Data=$A55)*(Year=AE$1)*(Month=AE$2))</f>
        <v>1109</v>
      </c>
      <c r="AF55" s="396" cm="1">
        <f t="array" ref="AF55">SUMPRODUCT(General_Data*(Code_General_Data=$A55)*(Year=AF$1)*(Month=AF$2))</f>
        <v>1194</v>
      </c>
      <c r="AG55" s="396" cm="1">
        <f t="array" ref="AG55">SUMPRODUCT(General_Data*(Code_General_Data=$A55)*(Year=AG$1)*(Month=AG$2))</f>
        <v>1216</v>
      </c>
      <c r="AH55" s="396" cm="1">
        <f t="array" ref="AH55">SUMPRODUCT(General_Data*(Code_General_Data=$A55)*(Year=AH$1)*(Month=AH$2))</f>
        <v>1190</v>
      </c>
      <c r="AI55" s="396"/>
      <c r="AJ55" s="396"/>
      <c r="AK55" s="396"/>
      <c r="AL55" s="396"/>
      <c r="AM55" s="396"/>
      <c r="AN55" s="396"/>
      <c r="AO55" s="396">
        <f>INDEX($E55:$AN55,MATCH("X",$E$3:$AN$3,0))</f>
        <v>1190</v>
      </c>
    </row>
    <row r="56" spans="1:41" s="402" customFormat="1" x14ac:dyDescent="0.3">
      <c r="D56" s="402" t="s">
        <v>371</v>
      </c>
      <c r="E56" s="403">
        <f t="shared" ref="E56" si="53">E54-E55</f>
        <v>410</v>
      </c>
      <c r="F56" s="403">
        <f t="shared" ref="F56" si="54">F54-F55</f>
        <v>396.66666666666663</v>
      </c>
      <c r="G56" s="403">
        <f t="shared" ref="G56" si="55">G54-G55</f>
        <v>400</v>
      </c>
      <c r="H56" s="403">
        <f t="shared" ref="H56" si="56">H54-H55</f>
        <v>400</v>
      </c>
      <c r="I56" s="403">
        <f t="shared" ref="I56" si="57">I54-I55</f>
        <v>448</v>
      </c>
      <c r="J56" s="403">
        <f t="shared" ref="J56" si="58">J54-J55</f>
        <v>440</v>
      </c>
      <c r="K56" s="403">
        <f t="shared" ref="K56" si="59">K54-K55</f>
        <v>442.5</v>
      </c>
      <c r="L56" s="403">
        <f t="shared" ref="L56" si="60">L54-L55</f>
        <v>460</v>
      </c>
      <c r="M56" s="403">
        <f t="shared" ref="M56" si="61">M54-M55</f>
        <v>520</v>
      </c>
      <c r="N56" s="403">
        <f t="shared" ref="N56" si="62">N54-N55</f>
        <v>552.5</v>
      </c>
      <c r="O56" s="403">
        <f t="shared" ref="O56" si="63">O54-O55</f>
        <v>563</v>
      </c>
      <c r="P56" s="403">
        <f t="shared" ref="P56" si="64">P54-P55</f>
        <v>535</v>
      </c>
      <c r="Q56" s="403">
        <f t="shared" ref="Q56" si="65">Q54-Q55</f>
        <v>492</v>
      </c>
      <c r="R56" s="403">
        <f t="shared" ref="R56" si="66">R54-R55</f>
        <v>440</v>
      </c>
      <c r="S56" s="403">
        <f t="shared" ref="S56" si="67">S54-S55</f>
        <v>497</v>
      </c>
      <c r="T56" s="403">
        <f t="shared" ref="T56" si="68">T54-T55</f>
        <v>575</v>
      </c>
      <c r="U56" s="403">
        <f t="shared" ref="U56" si="69">U54-U55</f>
        <v>558</v>
      </c>
      <c r="V56" s="403">
        <f t="shared" ref="V56" si="70">V54-V55</f>
        <v>532.5</v>
      </c>
      <c r="W56" s="403">
        <f t="shared" ref="W56" si="71">W54-W55</f>
        <v>538</v>
      </c>
      <c r="X56" s="403">
        <f t="shared" ref="X56" si="72">X54-X55</f>
        <v>515</v>
      </c>
      <c r="Y56" s="403">
        <f t="shared" ref="Y56" si="73">Y54-Y55</f>
        <v>527</v>
      </c>
      <c r="Z56" s="403">
        <f t="shared" ref="Z56" si="74">Z54-Z55</f>
        <v>528</v>
      </c>
      <c r="AA56" s="403">
        <f t="shared" ref="AA56:AB56" si="75">AA54-AA55</f>
        <v>520</v>
      </c>
      <c r="AB56" s="403">
        <f t="shared" si="75"/>
        <v>517.5</v>
      </c>
      <c r="AC56" s="403">
        <f t="shared" ref="AC56:AF56" si="76">AC54-AC55</f>
        <v>445</v>
      </c>
      <c r="AD56" s="403">
        <f t="shared" si="76"/>
        <v>410</v>
      </c>
      <c r="AE56" s="403">
        <f t="shared" si="76"/>
        <v>141</v>
      </c>
      <c r="AF56" s="403">
        <f t="shared" si="76"/>
        <v>176</v>
      </c>
      <c r="AG56" s="403">
        <f t="shared" ref="AG56:AH56" si="77">AG54-AG55</f>
        <v>254</v>
      </c>
      <c r="AH56" s="403">
        <f t="shared" si="77"/>
        <v>250</v>
      </c>
      <c r="AI56" s="403"/>
      <c r="AJ56" s="403"/>
      <c r="AK56" s="403"/>
      <c r="AL56" s="403"/>
      <c r="AM56" s="403"/>
      <c r="AN56" s="403"/>
      <c r="AO56" s="403"/>
    </row>
    <row r="57" spans="1:41" s="404" customFormat="1" x14ac:dyDescent="0.3">
      <c r="D57" s="404" t="s">
        <v>370</v>
      </c>
      <c r="E57" s="405">
        <f t="shared" ref="E57:AA57" si="78">IFERROR(E56/E55,0)</f>
        <v>0.44086021505376344</v>
      </c>
      <c r="F57" s="405">
        <f t="shared" si="78"/>
        <v>0.42049469964664304</v>
      </c>
      <c r="G57" s="405">
        <f t="shared" si="78"/>
        <v>0.42553191489361702</v>
      </c>
      <c r="H57" s="405">
        <f t="shared" si="78"/>
        <v>0.42553191489361702</v>
      </c>
      <c r="I57" s="405">
        <f t="shared" si="78"/>
        <v>0.47558386411889597</v>
      </c>
      <c r="J57" s="405">
        <f t="shared" si="78"/>
        <v>0.4631578947368421</v>
      </c>
      <c r="K57" s="405">
        <f t="shared" si="78"/>
        <v>0.46701846965699206</v>
      </c>
      <c r="L57" s="405">
        <f t="shared" si="78"/>
        <v>0.4946236559139785</v>
      </c>
      <c r="M57" s="405">
        <f t="shared" si="78"/>
        <v>0.59090909090909094</v>
      </c>
      <c r="N57" s="405">
        <f t="shared" si="78"/>
        <v>0.64057971014492754</v>
      </c>
      <c r="O57" s="405">
        <f t="shared" si="78"/>
        <v>0.66079812206572774</v>
      </c>
      <c r="P57" s="405">
        <f t="shared" si="78"/>
        <v>0.64457831325301207</v>
      </c>
      <c r="Q57" s="405">
        <f t="shared" si="78"/>
        <v>0.59420289855072461</v>
      </c>
      <c r="R57" s="405">
        <f t="shared" si="78"/>
        <v>0.52380952380952384</v>
      </c>
      <c r="S57" s="405">
        <f t="shared" si="78"/>
        <v>0.60388821385176183</v>
      </c>
      <c r="T57" s="405">
        <f t="shared" si="78"/>
        <v>0.75163398692810457</v>
      </c>
      <c r="U57" s="405">
        <f t="shared" si="78"/>
        <v>0.71355498721227617</v>
      </c>
      <c r="V57" s="405">
        <f t="shared" si="78"/>
        <v>0.65944272445820429</v>
      </c>
      <c r="W57" s="405">
        <f t="shared" si="78"/>
        <v>0.67082294264339148</v>
      </c>
      <c r="X57" s="405">
        <f t="shared" si="78"/>
        <v>0.64779874213836475</v>
      </c>
      <c r="Y57" s="405">
        <f t="shared" si="78"/>
        <v>0.6730523627075351</v>
      </c>
      <c r="Z57" s="405">
        <f t="shared" si="78"/>
        <v>0.68393782383419688</v>
      </c>
      <c r="AA57" s="405">
        <f t="shared" si="78"/>
        <v>0.67532467532467533</v>
      </c>
      <c r="AB57" s="405">
        <f t="shared" ref="AB57:AF57" si="79">IFERROR(AB56/AB55,0)</f>
        <v>0.66990291262135926</v>
      </c>
      <c r="AC57" s="405">
        <f t="shared" si="79"/>
        <v>0.55279503105590067</v>
      </c>
      <c r="AD57" s="405">
        <f t="shared" si="79"/>
        <v>0.48809523809523808</v>
      </c>
      <c r="AE57" s="405">
        <f t="shared" si="79"/>
        <v>0.12714156898106402</v>
      </c>
      <c r="AF57" s="405">
        <f t="shared" si="79"/>
        <v>0.14740368509212731</v>
      </c>
      <c r="AG57" s="405">
        <f t="shared" ref="AG57:AH57" si="80">IFERROR(AG56/AG55,0)</f>
        <v>0.20888157894736842</v>
      </c>
      <c r="AH57" s="405">
        <f t="shared" si="80"/>
        <v>0.21008403361344538</v>
      </c>
      <c r="AI57" s="405"/>
      <c r="AJ57" s="405"/>
      <c r="AK57" s="405"/>
      <c r="AL57" s="405"/>
      <c r="AM57" s="405"/>
      <c r="AN57" s="405"/>
      <c r="AO57" s="405"/>
    </row>
    <row r="58" spans="1:41" s="483" customFormat="1" x14ac:dyDescent="0.3">
      <c r="A58" s="483" t="s">
        <v>534</v>
      </c>
      <c r="C58" s="483" t="s">
        <v>28</v>
      </c>
      <c r="D58" s="483" t="s">
        <v>544</v>
      </c>
      <c r="E58" s="590" cm="1">
        <f t="array" ref="E58">SUMPRODUCT(General_Data*(Code_General_Data=$A58)*(Year=E$1)*(Month=E$2))</f>
        <v>880.33848704787545</v>
      </c>
      <c r="F58" s="590" cm="1">
        <f t="array" ref="F58">SUMPRODUCT(General_Data*(Code_General_Data=$A58)*(Year=F$1)*(Month=F$2))</f>
        <v>947.31179982774756</v>
      </c>
      <c r="G58" s="590" cm="1">
        <f t="array" ref="G58">SUMPRODUCT(General_Data*(Code_General_Data=$A58)*(Year=G$1)*(Month=G$2))</f>
        <v>966.27318467960504</v>
      </c>
      <c r="H58" s="590" cm="1">
        <f t="array" ref="H58">SUMPRODUCT(General_Data*(Code_General_Data=$A58)*(Year=H$1)*(Month=H$2))</f>
        <v>980.77936302072919</v>
      </c>
      <c r="I58" s="590" cm="1">
        <f t="array" ref="I58">SUMPRODUCT(General_Data*(Code_General_Data=$A58)*(Year=I$1)*(Month=I$2))</f>
        <v>967.82250073020077</v>
      </c>
      <c r="J58" s="590" cm="1">
        <f t="array" ref="J58">SUMPRODUCT(General_Data*(Code_General_Data=$A58)*(Year=J$1)*(Month=J$2))</f>
        <v>1011.9356512580744</v>
      </c>
      <c r="K58" s="590" cm="1">
        <f t="array" ref="K58">SUMPRODUCT(General_Data*(Code_General_Data=$A58)*(Year=K$1)*(Month=K$2))</f>
        <v>1089.0598357671304</v>
      </c>
      <c r="L58" s="590" cm="1">
        <f t="array" ref="L58">SUMPRODUCT(General_Data*(Code_General_Data=$A58)*(Year=L$1)*(Month=L$2))</f>
        <v>1264.8473525085633</v>
      </c>
      <c r="M58" s="590" cm="1">
        <f t="array" ref="M58">SUMPRODUCT(General_Data*(Code_General_Data=$A58)*(Year=M$1)*(Month=M$2))</f>
        <v>1218.9628015433689</v>
      </c>
      <c r="N58" s="590" cm="1">
        <f t="array" ref="N58">SUMPRODUCT(General_Data*(Code_General_Data=$A58)*(Year=N$1)*(Month=N$2))</f>
        <v>1139.3975516123485</v>
      </c>
      <c r="O58" s="590" cm="1">
        <f t="array" ref="O58">SUMPRODUCT(General_Data*(Code_General_Data=$A58)*(Year=O$1)*(Month=O$2))</f>
        <v>1090.7278051641201</v>
      </c>
      <c r="P58" s="590" cm="1">
        <f t="array" ref="P58">SUMPRODUCT(General_Data*(Code_General_Data=$A58)*(Year=P$1)*(Month=P$2))</f>
        <v>1040.6405733521958</v>
      </c>
      <c r="Q58" s="590" cm="1">
        <f t="array" ref="Q58">SUMPRODUCT(General_Data*(Code_General_Data=$A58)*(Year=Q$1)*(Month=Q$2))</f>
        <v>1062.0596535020959</v>
      </c>
      <c r="R58" s="590" cm="1">
        <f t="array" ref="R58">SUMPRODUCT(General_Data*(Code_General_Data=$A58)*(Year=R$1)*(Month=R$2))</f>
        <v>1050.5399345350836</v>
      </c>
      <c r="S58" s="590" cm="1">
        <f t="array" ref="S58">SUMPRODUCT(General_Data*(Code_General_Data=$A58)*(Year=S$1)*(Month=S$2))</f>
        <v>1043.8236805863789</v>
      </c>
      <c r="T58" s="590" cm="1">
        <f t="array" ref="T58">SUMPRODUCT(General_Data*(Code_General_Data=$A58)*(Year=T$1)*(Month=T$2))</f>
        <v>1037.9359024671041</v>
      </c>
      <c r="U58" s="590" cm="1">
        <f t="array" ref="U58">SUMPRODUCT(General_Data*(Code_General_Data=$A58)*(Year=U$1)*(Month=U$2))</f>
        <v>1079.6748003962055</v>
      </c>
      <c r="V58" s="590" cm="1">
        <f t="array" ref="V58">SUMPRODUCT(General_Data*(Code_General_Data=$A58)*(Year=V$1)*(Month=V$2))</f>
        <v>1084.8367854862827</v>
      </c>
      <c r="W58" s="590" cm="1">
        <f t="array" ref="W58">SUMPRODUCT(General_Data*(Code_General_Data=$A58)*(Year=W$1)*(Month=W$2))</f>
        <v>1106.8757753560922</v>
      </c>
      <c r="X58" s="590" cm="1">
        <f t="array" ref="X58">SUMPRODUCT(General_Data*(Code_General_Data=$A58)*(Year=X$1)*(Month=X$2))</f>
        <v>1128.0026608964822</v>
      </c>
      <c r="Y58" s="590" cm="1">
        <f t="array" ref="Y58">SUMPRODUCT(General_Data*(Code_General_Data=$A58)*(Year=Y$1)*(Month=Y$2))</f>
        <v>1128.9923021456009</v>
      </c>
      <c r="Z58" s="590" cm="1">
        <f t="array" ref="Z58">SUMPRODUCT(General_Data*(Code_General_Data=$A58)*(Year=Z$1)*(Month=Z$2))</f>
        <v>1204.4535160023672</v>
      </c>
      <c r="AA58" s="590" cm="1">
        <f t="array" ref="AA58">SUMPRODUCT(General_Data*(Code_General_Data=$A58)*(Year=AA$1)*(Month=AA$2))</f>
        <v>1165.3419666004643</v>
      </c>
      <c r="AB58" s="590" cm="1">
        <f t="array" ref="AB58">SUMPRODUCT(General_Data*(Code_General_Data=$A58)*(Year=AB$1)*(Month=AB$2))</f>
        <v>1056.9766258906379</v>
      </c>
      <c r="AC58" s="590" cm="1">
        <f t="array" ref="AC58">SUMPRODUCT(General_Data*(Code_General_Data=$A58)*(Year=AC$1)*(Month=AC$2))</f>
        <v>1088.6035323142667</v>
      </c>
      <c r="AD58" s="590" cm="1">
        <f t="array" ref="AD58">SUMPRODUCT(General_Data*(Code_General_Data=$A58)*(Year=AD$1)*(Month=AD$2))</f>
        <v>1116.9493384675891</v>
      </c>
      <c r="AE58" s="590" cm="1">
        <f t="array" ref="AE58">SUMPRODUCT(General_Data*(Code_General_Data=$A58)*(Year=AE$1)*(Month=AE$2))</f>
        <v>1107.3320452331352</v>
      </c>
      <c r="AF58" s="590" cm="1">
        <f t="array" ref="AF58">SUMPRODUCT(General_Data*(Code_General_Data=$A58)*(Year=AF$1)*(Month=AF$2))</f>
        <v>1054.3268308156362</v>
      </c>
      <c r="AG58" s="590" cm="1">
        <f t="array" ref="AG58">SUMPRODUCT(General_Data*(Code_General_Data=$A58)*(Year=AG$1)*(Month=AG$2))</f>
        <v>1136.4181322148222</v>
      </c>
      <c r="AH58" s="590" cm="1">
        <f t="array" ref="AH58">SUMPRODUCT(General_Data*(Code_General_Data=$A58)*(Year=AH$1)*(Month=AH$2))</f>
        <v>1136.4181322148222</v>
      </c>
      <c r="AI58" s="590"/>
      <c r="AJ58" s="590"/>
      <c r="AK58" s="590"/>
      <c r="AL58" s="590"/>
      <c r="AM58" s="590"/>
      <c r="AN58" s="590"/>
      <c r="AO58" s="591">
        <f>INDEX($E58:$AN58,MATCH("X",$E$3:$AN$3,0))</f>
        <v>1136.4181322148222</v>
      </c>
    </row>
    <row r="59" spans="1:41" s="420" customFormat="1" x14ac:dyDescent="0.3">
      <c r="D59" s="420" t="s">
        <v>395</v>
      </c>
      <c r="E59" s="421">
        <f>E54</f>
        <v>1340</v>
      </c>
      <c r="F59" s="421">
        <f t="shared" ref="F59:AB59" si="81">F54</f>
        <v>1340</v>
      </c>
      <c r="G59" s="421">
        <f t="shared" si="81"/>
        <v>1340</v>
      </c>
      <c r="H59" s="421">
        <f t="shared" si="81"/>
        <v>1340</v>
      </c>
      <c r="I59" s="421">
        <f t="shared" si="81"/>
        <v>1390</v>
      </c>
      <c r="J59" s="421">
        <f t="shared" si="81"/>
        <v>1390</v>
      </c>
      <c r="K59" s="421">
        <f t="shared" si="81"/>
        <v>1390</v>
      </c>
      <c r="L59" s="421">
        <f t="shared" si="81"/>
        <v>1390</v>
      </c>
      <c r="M59" s="421">
        <f t="shared" si="81"/>
        <v>1400</v>
      </c>
      <c r="N59" s="421">
        <f t="shared" si="81"/>
        <v>1415</v>
      </c>
      <c r="O59" s="421">
        <f t="shared" si="81"/>
        <v>1415</v>
      </c>
      <c r="P59" s="421">
        <f t="shared" si="81"/>
        <v>1365</v>
      </c>
      <c r="Q59" s="421">
        <f t="shared" si="81"/>
        <v>1320</v>
      </c>
      <c r="R59" s="421">
        <f t="shared" si="81"/>
        <v>1280</v>
      </c>
      <c r="S59" s="421">
        <f t="shared" si="81"/>
        <v>1320</v>
      </c>
      <c r="T59" s="421">
        <f t="shared" si="81"/>
        <v>1340</v>
      </c>
      <c r="U59" s="421">
        <f t="shared" si="81"/>
        <v>1340</v>
      </c>
      <c r="V59" s="421">
        <f t="shared" si="81"/>
        <v>1340</v>
      </c>
      <c r="W59" s="421">
        <f t="shared" si="81"/>
        <v>1340</v>
      </c>
      <c r="X59" s="421">
        <f t="shared" si="81"/>
        <v>1310</v>
      </c>
      <c r="Y59" s="421">
        <f t="shared" si="81"/>
        <v>1310</v>
      </c>
      <c r="Z59" s="421">
        <f t="shared" si="81"/>
        <v>1300</v>
      </c>
      <c r="AA59" s="421">
        <f t="shared" si="81"/>
        <v>1290</v>
      </c>
      <c r="AB59" s="421">
        <f t="shared" si="81"/>
        <v>1290</v>
      </c>
      <c r="AC59" s="421">
        <f t="shared" ref="AC59:AF59" si="82">AC54</f>
        <v>1250</v>
      </c>
      <c r="AD59" s="421">
        <f t="shared" si="82"/>
        <v>1250</v>
      </c>
      <c r="AE59" s="421">
        <f t="shared" si="82"/>
        <v>1250</v>
      </c>
      <c r="AF59" s="421">
        <f t="shared" si="82"/>
        <v>1370</v>
      </c>
      <c r="AG59" s="421">
        <f t="shared" ref="AG59:AH59" si="83">AG54</f>
        <v>1470</v>
      </c>
      <c r="AH59" s="421">
        <f t="shared" si="83"/>
        <v>1440</v>
      </c>
      <c r="AI59" s="421"/>
      <c r="AJ59" s="421"/>
      <c r="AK59" s="421"/>
      <c r="AL59" s="421"/>
      <c r="AM59" s="421"/>
      <c r="AN59" s="421"/>
      <c r="AO59" s="431"/>
    </row>
    <row r="60" spans="1:41" s="420" customFormat="1" x14ac:dyDescent="0.3">
      <c r="D60" s="420" t="s">
        <v>396</v>
      </c>
      <c r="E60" s="421">
        <f>E55+E56/2</f>
        <v>1135</v>
      </c>
      <c r="F60" s="421">
        <f t="shared" ref="F60:AB60" si="84">F55+F56/2</f>
        <v>1141.6666666666667</v>
      </c>
      <c r="G60" s="421">
        <f t="shared" si="84"/>
        <v>1140</v>
      </c>
      <c r="H60" s="421">
        <f t="shared" si="84"/>
        <v>1140</v>
      </c>
      <c r="I60" s="421">
        <f t="shared" si="84"/>
        <v>1166</v>
      </c>
      <c r="J60" s="421">
        <f t="shared" si="84"/>
        <v>1170</v>
      </c>
      <c r="K60" s="421">
        <f t="shared" si="84"/>
        <v>1168.75</v>
      </c>
      <c r="L60" s="421">
        <f t="shared" si="84"/>
        <v>1160</v>
      </c>
      <c r="M60" s="421">
        <f t="shared" si="84"/>
        <v>1140</v>
      </c>
      <c r="N60" s="421">
        <f t="shared" si="84"/>
        <v>1138.75</v>
      </c>
      <c r="O60" s="421">
        <f t="shared" si="84"/>
        <v>1133.5</v>
      </c>
      <c r="P60" s="421">
        <f t="shared" si="84"/>
        <v>1097.5</v>
      </c>
      <c r="Q60" s="421">
        <f t="shared" si="84"/>
        <v>1074</v>
      </c>
      <c r="R60" s="421">
        <f t="shared" si="84"/>
        <v>1060</v>
      </c>
      <c r="S60" s="421">
        <f t="shared" si="84"/>
        <v>1071.5</v>
      </c>
      <c r="T60" s="421">
        <f t="shared" si="84"/>
        <v>1052.5</v>
      </c>
      <c r="U60" s="421">
        <f t="shared" si="84"/>
        <v>1061</v>
      </c>
      <c r="V60" s="421">
        <f t="shared" si="84"/>
        <v>1073.75</v>
      </c>
      <c r="W60" s="421">
        <f t="shared" si="84"/>
        <v>1071</v>
      </c>
      <c r="X60" s="421">
        <f t="shared" si="84"/>
        <v>1052.5</v>
      </c>
      <c r="Y60" s="421">
        <f t="shared" si="84"/>
        <v>1046.5</v>
      </c>
      <c r="Z60" s="421">
        <f t="shared" si="84"/>
        <v>1036</v>
      </c>
      <c r="AA60" s="421">
        <f t="shared" si="84"/>
        <v>1030</v>
      </c>
      <c r="AB60" s="421">
        <f t="shared" si="84"/>
        <v>1031.25</v>
      </c>
      <c r="AC60" s="421">
        <f t="shared" ref="AC60:AF60" si="85">AC55+AC56/2</f>
        <v>1027.5</v>
      </c>
      <c r="AD60" s="421">
        <f t="shared" si="85"/>
        <v>1045</v>
      </c>
      <c r="AE60" s="421">
        <f t="shared" si="85"/>
        <v>1179.5</v>
      </c>
      <c r="AF60" s="421">
        <f t="shared" si="85"/>
        <v>1282</v>
      </c>
      <c r="AG60" s="421">
        <f t="shared" ref="AG60:AH60" si="86">AG55+AG56/2</f>
        <v>1343</v>
      </c>
      <c r="AH60" s="421">
        <f t="shared" si="86"/>
        <v>1315</v>
      </c>
      <c r="AI60" s="421"/>
      <c r="AJ60" s="421"/>
      <c r="AK60" s="421"/>
      <c r="AL60" s="421"/>
      <c r="AM60" s="421"/>
      <c r="AN60" s="421"/>
      <c r="AO60" s="431"/>
    </row>
    <row r="61" spans="1:41" s="428" customFormat="1" x14ac:dyDescent="0.3">
      <c r="D61" s="428" t="s">
        <v>393</v>
      </c>
      <c r="E61" s="429">
        <f>E54</f>
        <v>1340</v>
      </c>
      <c r="F61" s="429">
        <f t="shared" ref="F61:AB61" si="87">F54</f>
        <v>1340</v>
      </c>
      <c r="G61" s="429">
        <f t="shared" si="87"/>
        <v>1340</v>
      </c>
      <c r="H61" s="429">
        <f t="shared" si="87"/>
        <v>1340</v>
      </c>
      <c r="I61" s="429">
        <f t="shared" si="87"/>
        <v>1390</v>
      </c>
      <c r="J61" s="429">
        <f t="shared" si="87"/>
        <v>1390</v>
      </c>
      <c r="K61" s="429">
        <f t="shared" si="87"/>
        <v>1390</v>
      </c>
      <c r="L61" s="429">
        <f t="shared" si="87"/>
        <v>1390</v>
      </c>
      <c r="M61" s="429">
        <f t="shared" si="87"/>
        <v>1400</v>
      </c>
      <c r="N61" s="429">
        <f t="shared" si="87"/>
        <v>1415</v>
      </c>
      <c r="O61" s="429">
        <f t="shared" si="87"/>
        <v>1415</v>
      </c>
      <c r="P61" s="429">
        <f t="shared" si="87"/>
        <v>1365</v>
      </c>
      <c r="Q61" s="429">
        <f t="shared" si="87"/>
        <v>1320</v>
      </c>
      <c r="R61" s="429">
        <f t="shared" si="87"/>
        <v>1280</v>
      </c>
      <c r="S61" s="429">
        <f t="shared" si="87"/>
        <v>1320</v>
      </c>
      <c r="T61" s="429">
        <f t="shared" si="87"/>
        <v>1340</v>
      </c>
      <c r="U61" s="429">
        <f t="shared" si="87"/>
        <v>1340</v>
      </c>
      <c r="V61" s="429">
        <f t="shared" si="87"/>
        <v>1340</v>
      </c>
      <c r="W61" s="429">
        <f t="shared" si="87"/>
        <v>1340</v>
      </c>
      <c r="X61" s="429">
        <f t="shared" si="87"/>
        <v>1310</v>
      </c>
      <c r="Y61" s="429">
        <f t="shared" si="87"/>
        <v>1310</v>
      </c>
      <c r="Z61" s="429">
        <f t="shared" si="87"/>
        <v>1300</v>
      </c>
      <c r="AA61" s="429">
        <f t="shared" si="87"/>
        <v>1290</v>
      </c>
      <c r="AB61" s="429">
        <f t="shared" si="87"/>
        <v>1290</v>
      </c>
      <c r="AC61" s="429">
        <f t="shared" ref="AC61:AF61" si="88">AC54</f>
        <v>1250</v>
      </c>
      <c r="AD61" s="429">
        <f t="shared" si="88"/>
        <v>1250</v>
      </c>
      <c r="AE61" s="429">
        <f t="shared" si="88"/>
        <v>1250</v>
      </c>
      <c r="AF61" s="429">
        <f t="shared" si="88"/>
        <v>1370</v>
      </c>
      <c r="AG61" s="429">
        <f t="shared" ref="AG61:AH61" si="89">AG54</f>
        <v>1470</v>
      </c>
      <c r="AH61" s="429">
        <f t="shared" si="89"/>
        <v>1440</v>
      </c>
      <c r="AI61" s="429"/>
      <c r="AJ61" s="429"/>
      <c r="AK61" s="429"/>
      <c r="AL61" s="429"/>
      <c r="AM61" s="429"/>
      <c r="AN61" s="429"/>
      <c r="AO61" s="430"/>
    </row>
    <row r="62" spans="1:41" s="428" customFormat="1" x14ac:dyDescent="0.3">
      <c r="D62" s="428" t="s">
        <v>394</v>
      </c>
      <c r="E62" s="429">
        <f>E55</f>
        <v>930</v>
      </c>
      <c r="F62" s="429">
        <f t="shared" ref="F62:AB62" si="90">F55</f>
        <v>943.33333333333337</v>
      </c>
      <c r="G62" s="429">
        <f t="shared" si="90"/>
        <v>940</v>
      </c>
      <c r="H62" s="429">
        <f t="shared" si="90"/>
        <v>940</v>
      </c>
      <c r="I62" s="429">
        <f t="shared" si="90"/>
        <v>942</v>
      </c>
      <c r="J62" s="429">
        <f t="shared" si="90"/>
        <v>950</v>
      </c>
      <c r="K62" s="429">
        <f t="shared" si="90"/>
        <v>947.5</v>
      </c>
      <c r="L62" s="429">
        <f t="shared" si="90"/>
        <v>930</v>
      </c>
      <c r="M62" s="429">
        <f t="shared" si="90"/>
        <v>880</v>
      </c>
      <c r="N62" s="429">
        <f t="shared" si="90"/>
        <v>862.5</v>
      </c>
      <c r="O62" s="429">
        <f t="shared" si="90"/>
        <v>852</v>
      </c>
      <c r="P62" s="429">
        <f t="shared" si="90"/>
        <v>830</v>
      </c>
      <c r="Q62" s="429">
        <f t="shared" si="90"/>
        <v>828</v>
      </c>
      <c r="R62" s="429">
        <f t="shared" si="90"/>
        <v>840</v>
      </c>
      <c r="S62" s="429">
        <f t="shared" si="90"/>
        <v>823</v>
      </c>
      <c r="T62" s="429">
        <f t="shared" si="90"/>
        <v>765</v>
      </c>
      <c r="U62" s="429">
        <f t="shared" si="90"/>
        <v>782</v>
      </c>
      <c r="V62" s="429">
        <f t="shared" si="90"/>
        <v>807.5</v>
      </c>
      <c r="W62" s="429">
        <f t="shared" si="90"/>
        <v>802</v>
      </c>
      <c r="X62" s="429">
        <f t="shared" si="90"/>
        <v>795</v>
      </c>
      <c r="Y62" s="429">
        <f t="shared" si="90"/>
        <v>783</v>
      </c>
      <c r="Z62" s="429">
        <f t="shared" si="90"/>
        <v>772</v>
      </c>
      <c r="AA62" s="429">
        <f t="shared" si="90"/>
        <v>770</v>
      </c>
      <c r="AB62" s="429">
        <f t="shared" si="90"/>
        <v>772.5</v>
      </c>
      <c r="AC62" s="429">
        <f t="shared" ref="AC62:AF62" si="91">AC55</f>
        <v>805</v>
      </c>
      <c r="AD62" s="429">
        <f t="shared" si="91"/>
        <v>840</v>
      </c>
      <c r="AE62" s="429">
        <f t="shared" si="91"/>
        <v>1109</v>
      </c>
      <c r="AF62" s="429">
        <f t="shared" si="91"/>
        <v>1194</v>
      </c>
      <c r="AG62" s="429">
        <f t="shared" ref="AG62:AH62" si="92">AG55</f>
        <v>1216</v>
      </c>
      <c r="AH62" s="429">
        <f t="shared" si="92"/>
        <v>1190</v>
      </c>
      <c r="AI62" s="429"/>
      <c r="AJ62" s="429"/>
      <c r="AK62" s="429"/>
      <c r="AL62" s="429"/>
      <c r="AM62" s="429"/>
      <c r="AN62" s="429"/>
      <c r="AO62" s="430"/>
    </row>
    <row r="63" spans="1:41" x14ac:dyDescent="0.3">
      <c r="C63" s="418"/>
      <c r="D63" s="418" t="s">
        <v>401</v>
      </c>
      <c r="E63" s="432">
        <f>IFERROR(E52,0)</f>
        <v>1315</v>
      </c>
      <c r="F63" s="432">
        <f>IF(AND(IFERROR(F52,0)=IFERROR(E52,0),IFERROR(E52,0)=IFERROR(G52,0)),0,IFERROR(F52,0))</f>
        <v>0</v>
      </c>
      <c r="G63" s="432">
        <f t="shared" ref="G63:AH63" si="93">IF(AND(IFERROR(G52,0)=IFERROR(F52,0),IFERROR(F52,0)=IFERROR(H52,0)),0,IFERROR(G52,0))</f>
        <v>0</v>
      </c>
      <c r="H63" s="432">
        <f t="shared" si="93"/>
        <v>0</v>
      </c>
      <c r="I63" s="432">
        <f t="shared" si="93"/>
        <v>0</v>
      </c>
      <c r="J63" s="432">
        <f t="shared" si="93"/>
        <v>0</v>
      </c>
      <c r="K63" s="432">
        <f t="shared" si="93"/>
        <v>0</v>
      </c>
      <c r="L63" s="432">
        <f t="shared" si="93"/>
        <v>0</v>
      </c>
      <c r="M63" s="432">
        <f t="shared" si="93"/>
        <v>0</v>
      </c>
      <c r="N63" s="432">
        <f t="shared" si="93"/>
        <v>0</v>
      </c>
      <c r="O63" s="432">
        <f t="shared" si="93"/>
        <v>0</v>
      </c>
      <c r="P63" s="432">
        <f t="shared" si="93"/>
        <v>1315</v>
      </c>
      <c r="Q63" s="432">
        <f t="shared" si="93"/>
        <v>1348.3</v>
      </c>
      <c r="R63" s="432">
        <f t="shared" si="93"/>
        <v>0</v>
      </c>
      <c r="S63" s="432">
        <f t="shared" si="93"/>
        <v>0</v>
      </c>
      <c r="T63" s="432">
        <f t="shared" si="93"/>
        <v>0</v>
      </c>
      <c r="U63" s="432">
        <f t="shared" si="93"/>
        <v>0</v>
      </c>
      <c r="V63" s="432">
        <f t="shared" si="93"/>
        <v>0</v>
      </c>
      <c r="W63" s="432">
        <f t="shared" si="93"/>
        <v>0</v>
      </c>
      <c r="X63" s="432">
        <f t="shared" si="93"/>
        <v>0</v>
      </c>
      <c r="Y63" s="432">
        <f t="shared" si="93"/>
        <v>0</v>
      </c>
      <c r="Z63" s="432">
        <f t="shared" si="93"/>
        <v>0</v>
      </c>
      <c r="AA63" s="432">
        <f t="shared" si="93"/>
        <v>0</v>
      </c>
      <c r="AB63" s="432">
        <f t="shared" si="93"/>
        <v>1348.3</v>
      </c>
      <c r="AC63" s="432">
        <f t="shared" si="93"/>
        <v>1270</v>
      </c>
      <c r="AD63" s="432">
        <f t="shared" si="93"/>
        <v>0</v>
      </c>
      <c r="AE63" s="432">
        <f t="shared" si="93"/>
        <v>0</v>
      </c>
      <c r="AF63" s="432">
        <f t="shared" si="93"/>
        <v>0</v>
      </c>
      <c r="AG63" s="432">
        <f t="shared" si="93"/>
        <v>0</v>
      </c>
      <c r="AH63" s="432">
        <f t="shared" si="93"/>
        <v>1270</v>
      </c>
      <c r="AI63" s="432"/>
      <c r="AJ63" s="432"/>
      <c r="AK63" s="432"/>
      <c r="AL63" s="432"/>
      <c r="AM63" s="432"/>
      <c r="AN63" s="432"/>
      <c r="AO63" s="427" t="s">
        <v>402</v>
      </c>
    </row>
    <row r="64" spans="1:41" x14ac:dyDescent="0.3">
      <c r="C64" s="418"/>
      <c r="D64" s="418" t="s">
        <v>400</v>
      </c>
      <c r="E64" s="432">
        <f>IFERROR(E53,0)</f>
        <v>1340</v>
      </c>
      <c r="F64" s="432">
        <f t="shared" ref="F64:AH64" si="94">IF(AND(IFERROR(F53,0)=IFERROR(E53,0),IFERROR(E53,0)=IFERROR(G53,0)),0,IFERROR(F53,0))</f>
        <v>1347.5</v>
      </c>
      <c r="G64" s="432">
        <f t="shared" si="94"/>
        <v>1360</v>
      </c>
      <c r="H64" s="432">
        <f t="shared" si="94"/>
        <v>1362.5</v>
      </c>
      <c r="I64" s="432">
        <f t="shared" si="94"/>
        <v>1366.5</v>
      </c>
      <c r="J64" s="432">
        <f t="shared" si="94"/>
        <v>1381.5</v>
      </c>
      <c r="K64" s="432">
        <f t="shared" si="94"/>
        <v>1397.5</v>
      </c>
      <c r="L64" s="432">
        <f t="shared" si="94"/>
        <v>1408.5</v>
      </c>
      <c r="M64" s="432">
        <f t="shared" si="94"/>
        <v>1428.5</v>
      </c>
      <c r="N64" s="432">
        <f t="shared" si="94"/>
        <v>1456.25</v>
      </c>
      <c r="O64" s="432">
        <f t="shared" si="94"/>
        <v>1473.75</v>
      </c>
      <c r="P64" s="432">
        <f t="shared" si="94"/>
        <v>1477.5</v>
      </c>
      <c r="Q64" s="432">
        <f t="shared" si="94"/>
        <v>1426.403125</v>
      </c>
      <c r="R64" s="432">
        <f t="shared" si="94"/>
        <v>1388.6447916666652</v>
      </c>
      <c r="S64" s="432">
        <f t="shared" si="94"/>
        <v>1353.5541666666652</v>
      </c>
      <c r="T64" s="432">
        <f t="shared" si="94"/>
        <v>1354.375</v>
      </c>
      <c r="U64" s="432">
        <f t="shared" si="94"/>
        <v>1359.3</v>
      </c>
      <c r="V64" s="432">
        <f t="shared" si="94"/>
        <v>0</v>
      </c>
      <c r="W64" s="432">
        <f t="shared" si="94"/>
        <v>1359.3</v>
      </c>
      <c r="X64" s="432">
        <f t="shared" si="94"/>
        <v>1341.57</v>
      </c>
      <c r="Y64" s="432">
        <f t="shared" si="94"/>
        <v>1310.0574999999999</v>
      </c>
      <c r="Z64" s="432">
        <f t="shared" si="94"/>
        <v>1310.4775</v>
      </c>
      <c r="AA64" s="432">
        <f t="shared" si="94"/>
        <v>1310.8150000000001</v>
      </c>
      <c r="AB64" s="432">
        <f t="shared" si="94"/>
        <v>1310.996875</v>
      </c>
      <c r="AC64" s="432">
        <f t="shared" si="94"/>
        <v>1128</v>
      </c>
      <c r="AD64" s="432">
        <f t="shared" si="94"/>
        <v>0</v>
      </c>
      <c r="AE64" s="432">
        <f t="shared" si="94"/>
        <v>0</v>
      </c>
      <c r="AF64" s="432">
        <f t="shared" si="94"/>
        <v>0</v>
      </c>
      <c r="AG64" s="432">
        <f t="shared" si="94"/>
        <v>0</v>
      </c>
      <c r="AH64" s="432">
        <f t="shared" si="94"/>
        <v>1128</v>
      </c>
      <c r="AI64" s="432"/>
      <c r="AJ64" s="432"/>
      <c r="AK64" s="432"/>
      <c r="AL64" s="432"/>
      <c r="AM64" s="432"/>
      <c r="AN64" s="432"/>
      <c r="AO64" s="427" t="s">
        <v>398</v>
      </c>
    </row>
    <row r="65" spans="1:41" x14ac:dyDescent="0.3">
      <c r="C65" s="418"/>
      <c r="D65" s="418" t="s">
        <v>388</v>
      </c>
      <c r="E65" s="432">
        <f>IFERROR(E54,0)</f>
        <v>1340</v>
      </c>
      <c r="F65" s="432">
        <f t="shared" ref="F65:AH65" si="95">IF(AND(IFERROR(F54,0)=IFERROR(E54,0),IFERROR(E54,0)=IFERROR(G54,0)),0,IFERROR(F54,0))</f>
        <v>0</v>
      </c>
      <c r="G65" s="432">
        <f t="shared" si="95"/>
        <v>0</v>
      </c>
      <c r="H65" s="432">
        <f t="shared" si="95"/>
        <v>1340</v>
      </c>
      <c r="I65" s="432">
        <f t="shared" si="95"/>
        <v>1390</v>
      </c>
      <c r="J65" s="432">
        <f t="shared" si="95"/>
        <v>0</v>
      </c>
      <c r="K65" s="432">
        <f t="shared" si="95"/>
        <v>0</v>
      </c>
      <c r="L65" s="432">
        <f t="shared" si="95"/>
        <v>1390</v>
      </c>
      <c r="M65" s="432">
        <f t="shared" si="95"/>
        <v>1400</v>
      </c>
      <c r="N65" s="432">
        <f t="shared" si="95"/>
        <v>1415</v>
      </c>
      <c r="O65" s="432">
        <f t="shared" si="95"/>
        <v>1415</v>
      </c>
      <c r="P65" s="432">
        <f t="shared" si="95"/>
        <v>1365</v>
      </c>
      <c r="Q65" s="432">
        <f t="shared" si="95"/>
        <v>1320</v>
      </c>
      <c r="R65" s="432">
        <f t="shared" si="95"/>
        <v>1280</v>
      </c>
      <c r="S65" s="432">
        <f t="shared" si="95"/>
        <v>1320</v>
      </c>
      <c r="T65" s="432">
        <f t="shared" si="95"/>
        <v>1340</v>
      </c>
      <c r="U65" s="432">
        <f t="shared" si="95"/>
        <v>0</v>
      </c>
      <c r="V65" s="432">
        <f t="shared" si="95"/>
        <v>0</v>
      </c>
      <c r="W65" s="432">
        <f t="shared" si="95"/>
        <v>1340</v>
      </c>
      <c r="X65" s="432">
        <f t="shared" si="95"/>
        <v>1310</v>
      </c>
      <c r="Y65" s="432">
        <f t="shared" si="95"/>
        <v>1310</v>
      </c>
      <c r="Z65" s="432">
        <f t="shared" si="95"/>
        <v>1300</v>
      </c>
      <c r="AA65" s="432">
        <f t="shared" si="95"/>
        <v>1290</v>
      </c>
      <c r="AB65" s="432">
        <f t="shared" si="95"/>
        <v>1290</v>
      </c>
      <c r="AC65" s="432">
        <f t="shared" si="95"/>
        <v>1250</v>
      </c>
      <c r="AD65" s="432">
        <f t="shared" si="95"/>
        <v>0</v>
      </c>
      <c r="AE65" s="432">
        <f t="shared" si="95"/>
        <v>1250</v>
      </c>
      <c r="AF65" s="432">
        <f t="shared" si="95"/>
        <v>1370</v>
      </c>
      <c r="AG65" s="432">
        <f t="shared" si="95"/>
        <v>1470</v>
      </c>
      <c r="AH65" s="432">
        <f t="shared" si="95"/>
        <v>1440</v>
      </c>
      <c r="AI65" s="432"/>
      <c r="AJ65" s="432"/>
      <c r="AK65" s="432"/>
      <c r="AL65" s="432"/>
      <c r="AM65" s="432"/>
      <c r="AN65" s="432"/>
      <c r="AO65" s="427" t="s">
        <v>17</v>
      </c>
    </row>
    <row r="66" spans="1:41" x14ac:dyDescent="0.3">
      <c r="C66" s="418"/>
      <c r="D66" s="418" t="s">
        <v>389</v>
      </c>
      <c r="E66" s="432">
        <f>IFERROR(E55,0)</f>
        <v>930</v>
      </c>
      <c r="F66" s="432">
        <f t="shared" ref="F66:AH66" si="96">IF(AND(IFERROR(F55,0)=IFERROR(E55,0),IFERROR(E55,0)=IFERROR(G55,0)),0,IFERROR(F55,0))</f>
        <v>943.33333333333337</v>
      </c>
      <c r="G66" s="432">
        <f t="shared" si="96"/>
        <v>940</v>
      </c>
      <c r="H66" s="432">
        <f t="shared" si="96"/>
        <v>940</v>
      </c>
      <c r="I66" s="432">
        <f t="shared" si="96"/>
        <v>942</v>
      </c>
      <c r="J66" s="432">
        <f t="shared" si="96"/>
        <v>950</v>
      </c>
      <c r="K66" s="432">
        <f t="shared" si="96"/>
        <v>947.5</v>
      </c>
      <c r="L66" s="432">
        <f t="shared" si="96"/>
        <v>930</v>
      </c>
      <c r="M66" s="432">
        <f t="shared" si="96"/>
        <v>880</v>
      </c>
      <c r="N66" s="432">
        <f t="shared" si="96"/>
        <v>862.5</v>
      </c>
      <c r="O66" s="432">
        <f t="shared" si="96"/>
        <v>852</v>
      </c>
      <c r="P66" s="432">
        <f t="shared" si="96"/>
        <v>830</v>
      </c>
      <c r="Q66" s="432">
        <f t="shared" si="96"/>
        <v>828</v>
      </c>
      <c r="R66" s="432">
        <f t="shared" si="96"/>
        <v>840</v>
      </c>
      <c r="S66" s="432">
        <f t="shared" si="96"/>
        <v>823</v>
      </c>
      <c r="T66" s="432">
        <f t="shared" si="96"/>
        <v>765</v>
      </c>
      <c r="U66" s="432">
        <f t="shared" si="96"/>
        <v>782</v>
      </c>
      <c r="V66" s="432">
        <f t="shared" si="96"/>
        <v>807.5</v>
      </c>
      <c r="W66" s="432">
        <f t="shared" si="96"/>
        <v>802</v>
      </c>
      <c r="X66" s="432">
        <f t="shared" si="96"/>
        <v>795</v>
      </c>
      <c r="Y66" s="432">
        <f t="shared" si="96"/>
        <v>783</v>
      </c>
      <c r="Z66" s="432">
        <f t="shared" si="96"/>
        <v>772</v>
      </c>
      <c r="AA66" s="432">
        <f t="shared" si="96"/>
        <v>770</v>
      </c>
      <c r="AB66" s="432">
        <f t="shared" si="96"/>
        <v>772.5</v>
      </c>
      <c r="AC66" s="432">
        <f t="shared" si="96"/>
        <v>805</v>
      </c>
      <c r="AD66" s="432">
        <f t="shared" si="96"/>
        <v>840</v>
      </c>
      <c r="AE66" s="432">
        <f t="shared" si="96"/>
        <v>1109</v>
      </c>
      <c r="AF66" s="432">
        <f t="shared" si="96"/>
        <v>1194</v>
      </c>
      <c r="AG66" s="432">
        <f t="shared" si="96"/>
        <v>1216</v>
      </c>
      <c r="AH66" s="432">
        <f t="shared" si="96"/>
        <v>1190</v>
      </c>
      <c r="AI66" s="432"/>
      <c r="AJ66" s="432"/>
      <c r="AK66" s="432"/>
      <c r="AL66" s="432"/>
      <c r="AM66" s="432"/>
      <c r="AN66" s="432"/>
      <c r="AO66" s="427" t="s">
        <v>11</v>
      </c>
    </row>
    <row r="67" spans="1:41" x14ac:dyDescent="0.3">
      <c r="C67" s="418"/>
      <c r="D67" s="418" t="s">
        <v>551</v>
      </c>
      <c r="E67" s="432">
        <f>IFERROR(E58,0)</f>
        <v>880.33848704787545</v>
      </c>
      <c r="F67" s="432">
        <f>IF(AND(IFERROR(F58,0)=IFERROR(E58,0),IFERROR(E58,0)=IFERROR(G58,0)),0,IFERROR(F58,0))</f>
        <v>947.31179982774756</v>
      </c>
      <c r="G67" s="432">
        <f t="shared" ref="G67:AH67" si="97">IF(AND(IFERROR(G58,0)=IFERROR(F58,0),IFERROR(F58,0)=IFERROR(H58,0)),0,IFERROR(G58,0))</f>
        <v>966.27318467960504</v>
      </c>
      <c r="H67" s="432">
        <f t="shared" si="97"/>
        <v>980.77936302072919</v>
      </c>
      <c r="I67" s="432">
        <f t="shared" si="97"/>
        <v>967.82250073020077</v>
      </c>
      <c r="J67" s="432">
        <f t="shared" si="97"/>
        <v>1011.9356512580744</v>
      </c>
      <c r="K67" s="432">
        <f t="shared" si="97"/>
        <v>1089.0598357671304</v>
      </c>
      <c r="L67" s="432">
        <f t="shared" si="97"/>
        <v>1264.8473525085633</v>
      </c>
      <c r="M67" s="432">
        <f t="shared" si="97"/>
        <v>1218.9628015433689</v>
      </c>
      <c r="N67" s="432">
        <f t="shared" si="97"/>
        <v>1139.3975516123485</v>
      </c>
      <c r="O67" s="432">
        <f t="shared" si="97"/>
        <v>1090.7278051641201</v>
      </c>
      <c r="P67" s="432">
        <f t="shared" si="97"/>
        <v>1040.6405733521958</v>
      </c>
      <c r="Q67" s="432">
        <f t="shared" si="97"/>
        <v>1062.0596535020959</v>
      </c>
      <c r="R67" s="432">
        <f t="shared" si="97"/>
        <v>1050.5399345350836</v>
      </c>
      <c r="S67" s="432">
        <f t="shared" si="97"/>
        <v>1043.8236805863789</v>
      </c>
      <c r="T67" s="432">
        <f t="shared" si="97"/>
        <v>1037.9359024671041</v>
      </c>
      <c r="U67" s="432">
        <f t="shared" si="97"/>
        <v>1079.6748003962055</v>
      </c>
      <c r="V67" s="432">
        <f t="shared" si="97"/>
        <v>1084.8367854862827</v>
      </c>
      <c r="W67" s="432">
        <f t="shared" si="97"/>
        <v>1106.8757753560922</v>
      </c>
      <c r="X67" s="432">
        <f t="shared" si="97"/>
        <v>1128.0026608964822</v>
      </c>
      <c r="Y67" s="432">
        <f t="shared" si="97"/>
        <v>1128.9923021456009</v>
      </c>
      <c r="Z67" s="432">
        <f t="shared" si="97"/>
        <v>1204.4535160023672</v>
      </c>
      <c r="AA67" s="432">
        <f t="shared" si="97"/>
        <v>1165.3419666004643</v>
      </c>
      <c r="AB67" s="432">
        <f t="shared" si="97"/>
        <v>1056.9766258906379</v>
      </c>
      <c r="AC67" s="432">
        <f t="shared" si="97"/>
        <v>1088.6035323142667</v>
      </c>
      <c r="AD67" s="432">
        <f t="shared" si="97"/>
        <v>1116.9493384675891</v>
      </c>
      <c r="AE67" s="432">
        <f t="shared" si="97"/>
        <v>1107.3320452331352</v>
      </c>
      <c r="AF67" s="432">
        <f t="shared" si="97"/>
        <v>1054.3268308156362</v>
      </c>
      <c r="AG67" s="432">
        <f t="shared" si="97"/>
        <v>1136.4181322148222</v>
      </c>
      <c r="AH67" s="432">
        <f t="shared" si="97"/>
        <v>1136.4181322148222</v>
      </c>
      <c r="AI67" s="432"/>
      <c r="AJ67" s="432"/>
      <c r="AK67" s="432"/>
      <c r="AL67" s="432"/>
      <c r="AM67" s="432"/>
      <c r="AN67" s="432"/>
      <c r="AO67" s="427" t="s">
        <v>552</v>
      </c>
    </row>
    <row r="69" spans="1:41" ht="17.399999999999999" x14ac:dyDescent="0.35">
      <c r="C69" s="393" t="s">
        <v>22</v>
      </c>
      <c r="D69" s="393" t="s">
        <v>20</v>
      </c>
    </row>
    <row r="70" spans="1:41" x14ac:dyDescent="0.3">
      <c r="C70" s="41"/>
      <c r="D70" s="41"/>
      <c r="E70" s="41">
        <v>2024</v>
      </c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>
        <v>2025</v>
      </c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>
        <v>2026</v>
      </c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</row>
    <row r="71" spans="1:41" x14ac:dyDescent="0.3">
      <c r="C71" s="41"/>
      <c r="D71" s="41"/>
      <c r="E71" s="41">
        <v>1</v>
      </c>
      <c r="F71" s="41">
        <v>2</v>
      </c>
      <c r="G71" s="41">
        <v>3</v>
      </c>
      <c r="H71" s="41">
        <v>4</v>
      </c>
      <c r="I71" s="41">
        <v>5</v>
      </c>
      <c r="J71" s="41">
        <v>6</v>
      </c>
      <c r="K71" s="41">
        <v>7</v>
      </c>
      <c r="L71" s="41">
        <v>8</v>
      </c>
      <c r="M71" s="41">
        <v>9</v>
      </c>
      <c r="N71" s="41">
        <v>10</v>
      </c>
      <c r="O71" s="41">
        <v>11</v>
      </c>
      <c r="P71" s="41">
        <v>12</v>
      </c>
      <c r="Q71" s="41">
        <v>1</v>
      </c>
      <c r="R71" s="41">
        <v>2</v>
      </c>
      <c r="S71" s="41">
        <v>3</v>
      </c>
      <c r="T71" s="41">
        <v>4</v>
      </c>
      <c r="U71" s="41">
        <v>5</v>
      </c>
      <c r="V71" s="41">
        <v>6</v>
      </c>
      <c r="W71" s="41">
        <v>7</v>
      </c>
      <c r="X71" s="41">
        <v>8</v>
      </c>
      <c r="Y71" s="41">
        <v>9</v>
      </c>
      <c r="Z71" s="41">
        <v>10</v>
      </c>
      <c r="AA71" s="41">
        <v>11</v>
      </c>
      <c r="AB71" s="41">
        <v>12</v>
      </c>
      <c r="AC71" s="41">
        <v>1</v>
      </c>
      <c r="AD71" s="41">
        <v>2</v>
      </c>
      <c r="AE71" s="41">
        <v>3</v>
      </c>
      <c r="AF71" s="41">
        <v>4</v>
      </c>
      <c r="AG71" s="41">
        <v>5</v>
      </c>
      <c r="AH71" s="41">
        <v>6</v>
      </c>
      <c r="AI71" s="41">
        <v>7</v>
      </c>
      <c r="AJ71" s="41">
        <v>8</v>
      </c>
      <c r="AK71" s="41">
        <v>9</v>
      </c>
      <c r="AL71" s="41">
        <v>10</v>
      </c>
      <c r="AM71" s="41">
        <v>11</v>
      </c>
      <c r="AN71" s="41">
        <v>12</v>
      </c>
      <c r="AO71" s="41" t="s">
        <v>385</v>
      </c>
    </row>
    <row r="72" spans="1:41" x14ac:dyDescent="0.3">
      <c r="B72" s="14" t="s">
        <v>63</v>
      </c>
      <c r="C72" t="s">
        <v>22</v>
      </c>
      <c r="D72" t="s">
        <v>346</v>
      </c>
      <c r="E72" s="394" t="e" cm="1">
        <f t="array" ref="E72">IF(SUMPRODUCT('Giá công thức'!$G$11:$AQ$115*('Giá công thức'!$A$11:$A$115=$B72)*('Giá công thức'!$B$11:$B$115=$C72)*('Giá công thức'!$C$11:$C$115="GB")*('Giá công thức'!$G$3:$AQ$3=E$1)*('Giá công thức'!$G$4:$AQ$4=E$2))=0,NA(),SUMPRODUCT('Giá công thức'!$G$11:$AQ$115*('Giá công thức'!$A$11:$A$115=$B72)*('Giá công thức'!$B$11:$B$115=$C72)*('Giá công thức'!$C$11:$C$115="GB")*('Giá công thức'!$G$3:$AQ$3=E$1)*('Giá công thức'!$G$4:$AQ$4=E$2)))</f>
        <v>#N/A</v>
      </c>
      <c r="F72" s="394" t="e" cm="1">
        <f t="array" ref="F72">IF(SUMPRODUCT('Giá công thức'!$G$11:$AQ$115*('Giá công thức'!$A$11:$A$115=$B72)*('Giá công thức'!$B$11:$B$115=$C72)*('Giá công thức'!$C$11:$C$115="GB")*('Giá công thức'!$G$3:$AQ$3=F$1)*('Giá công thức'!$G$4:$AQ$4=F$2))=0,NA(),SUMPRODUCT('Giá công thức'!$G$11:$AQ$115*('Giá công thức'!$A$11:$A$115=$B72)*('Giá công thức'!$B$11:$B$115=$C72)*('Giá công thức'!$C$11:$C$115="GB")*('Giá công thức'!$G$3:$AQ$3=F$1)*('Giá công thức'!$G$4:$AQ$4=F$2)))</f>
        <v>#N/A</v>
      </c>
      <c r="G72" s="394" t="e" cm="1">
        <f t="array" ref="G72">IF(SUMPRODUCT('Giá công thức'!$G$11:$AQ$115*('Giá công thức'!$A$11:$A$115=$B72)*('Giá công thức'!$B$11:$B$115=$C72)*('Giá công thức'!$C$11:$C$115="GB")*('Giá công thức'!$G$3:$AQ$3=G$1)*('Giá công thức'!$G$4:$AQ$4=G$2))=0,NA(),SUMPRODUCT('Giá công thức'!$G$11:$AQ$115*('Giá công thức'!$A$11:$A$115=$B72)*('Giá công thức'!$B$11:$B$115=$C72)*('Giá công thức'!$C$11:$C$115="GB")*('Giá công thức'!$G$3:$AQ$3=G$1)*('Giá công thức'!$G$4:$AQ$4=G$2)))</f>
        <v>#N/A</v>
      </c>
      <c r="H72" s="394" t="e" cm="1">
        <f t="array" ref="H72">IF(SUMPRODUCT('Giá công thức'!$G$11:$AQ$115*('Giá công thức'!$A$11:$A$115=$B72)*('Giá công thức'!$B$11:$B$115=$C72)*('Giá công thức'!$C$11:$C$115="GB")*('Giá công thức'!$G$3:$AQ$3=H$1)*('Giá công thức'!$G$4:$AQ$4=H$2))=0,NA(),SUMPRODUCT('Giá công thức'!$G$11:$AQ$115*('Giá công thức'!$A$11:$A$115=$B72)*('Giá công thức'!$B$11:$B$115=$C72)*('Giá công thức'!$C$11:$C$115="GB")*('Giá công thức'!$G$3:$AQ$3=H$1)*('Giá công thức'!$G$4:$AQ$4=H$2)))</f>
        <v>#N/A</v>
      </c>
      <c r="I72" s="394" t="e" cm="1">
        <f t="array" ref="I72">IF(SUMPRODUCT('Giá công thức'!$G$11:$AQ$115*('Giá công thức'!$A$11:$A$115=$B72)*('Giá công thức'!$B$11:$B$115=$C72)*('Giá công thức'!$C$11:$C$115="GB")*('Giá công thức'!$G$3:$AQ$3=I$1)*('Giá công thức'!$G$4:$AQ$4=I$2))=0,NA(),SUMPRODUCT('Giá công thức'!$G$11:$AQ$115*('Giá công thức'!$A$11:$A$115=$B72)*('Giá công thức'!$B$11:$B$115=$C72)*('Giá công thức'!$C$11:$C$115="GB")*('Giá công thức'!$G$3:$AQ$3=I$1)*('Giá công thức'!$G$4:$AQ$4=I$2)))</f>
        <v>#N/A</v>
      </c>
      <c r="J72" s="394" t="e" cm="1">
        <f t="array" ref="J72">IF(SUMPRODUCT('Giá công thức'!$G$11:$AQ$115*('Giá công thức'!$A$11:$A$115=$B72)*('Giá công thức'!$B$11:$B$115=$C72)*('Giá công thức'!$C$11:$C$115="GB")*('Giá công thức'!$G$3:$AQ$3=J$1)*('Giá công thức'!$G$4:$AQ$4=J$2))=0,NA(),SUMPRODUCT('Giá công thức'!$G$11:$AQ$115*('Giá công thức'!$A$11:$A$115=$B72)*('Giá công thức'!$B$11:$B$115=$C72)*('Giá công thức'!$C$11:$C$115="GB")*('Giá công thức'!$G$3:$AQ$3=J$1)*('Giá công thức'!$G$4:$AQ$4=J$2)))</f>
        <v>#N/A</v>
      </c>
      <c r="K72" s="394" t="e" cm="1">
        <f t="array" ref="K72">IF(SUMPRODUCT('Giá công thức'!$G$11:$AQ$115*('Giá công thức'!$A$11:$A$115=$B72)*('Giá công thức'!$B$11:$B$115=$C72)*('Giá công thức'!$C$11:$C$115="GB")*('Giá công thức'!$G$3:$AQ$3=K$1)*('Giá công thức'!$G$4:$AQ$4=K$2))=0,NA(),SUMPRODUCT('Giá công thức'!$G$11:$AQ$115*('Giá công thức'!$A$11:$A$115=$B72)*('Giá công thức'!$B$11:$B$115=$C72)*('Giá công thức'!$C$11:$C$115="GB")*('Giá công thức'!$G$3:$AQ$3=K$1)*('Giá công thức'!$G$4:$AQ$4=K$2)))</f>
        <v>#N/A</v>
      </c>
      <c r="L72" s="394" t="e" cm="1">
        <f t="array" ref="L72">IF(SUMPRODUCT('Giá công thức'!$G$11:$AQ$115*('Giá công thức'!$A$11:$A$115=$B72)*('Giá công thức'!$B$11:$B$115=$C72)*('Giá công thức'!$C$11:$C$115="GB")*('Giá công thức'!$G$3:$AQ$3=L$1)*('Giá công thức'!$G$4:$AQ$4=L$2))=0,NA(),SUMPRODUCT('Giá công thức'!$G$11:$AQ$115*('Giá công thức'!$A$11:$A$115=$B72)*('Giá công thức'!$B$11:$B$115=$C72)*('Giá công thức'!$C$11:$C$115="GB")*('Giá công thức'!$G$3:$AQ$3=L$1)*('Giá công thức'!$G$4:$AQ$4=L$2)))</f>
        <v>#N/A</v>
      </c>
      <c r="M72" s="394" t="e" cm="1">
        <f t="array" ref="M72">IF(SUMPRODUCT('Giá công thức'!$G$11:$AQ$115*('Giá công thức'!$A$11:$A$115=$B72)*('Giá công thức'!$B$11:$B$115=$C72)*('Giá công thức'!$C$11:$C$115="GB")*('Giá công thức'!$G$3:$AQ$3=M$1)*('Giá công thức'!$G$4:$AQ$4=M$2))=0,NA(),SUMPRODUCT('Giá công thức'!$G$11:$AQ$115*('Giá công thức'!$A$11:$A$115=$B72)*('Giá công thức'!$B$11:$B$115=$C72)*('Giá công thức'!$C$11:$C$115="GB")*('Giá công thức'!$G$3:$AQ$3=M$1)*('Giá công thức'!$G$4:$AQ$4=M$2)))</f>
        <v>#N/A</v>
      </c>
      <c r="N72" s="394" t="e" cm="1">
        <f t="array" ref="N72">IF(SUMPRODUCT('Giá công thức'!$G$11:$AQ$115*('Giá công thức'!$A$11:$A$115=$B72)*('Giá công thức'!$B$11:$B$115=$C72)*('Giá công thức'!$C$11:$C$115="GB")*('Giá công thức'!$G$3:$AQ$3=N$1)*('Giá công thức'!$G$4:$AQ$4=N$2))=0,NA(),SUMPRODUCT('Giá công thức'!$G$11:$AQ$115*('Giá công thức'!$A$11:$A$115=$B72)*('Giá công thức'!$B$11:$B$115=$C72)*('Giá công thức'!$C$11:$C$115="GB")*('Giá công thức'!$G$3:$AQ$3=N$1)*('Giá công thức'!$G$4:$AQ$4=N$2)))</f>
        <v>#N/A</v>
      </c>
      <c r="O72" s="394" t="e" cm="1">
        <f t="array" ref="O72">IF(SUMPRODUCT('Giá công thức'!$G$11:$AQ$115*('Giá công thức'!$A$11:$A$115=$B72)*('Giá công thức'!$B$11:$B$115=$C72)*('Giá công thức'!$C$11:$C$115="GB")*('Giá công thức'!$G$3:$AQ$3=O$1)*('Giá công thức'!$G$4:$AQ$4=O$2))=0,NA(),SUMPRODUCT('Giá công thức'!$G$11:$AQ$115*('Giá công thức'!$A$11:$A$115=$B72)*('Giá công thức'!$B$11:$B$115=$C72)*('Giá công thức'!$C$11:$C$115="GB")*('Giá công thức'!$G$3:$AQ$3=O$1)*('Giá công thức'!$G$4:$AQ$4=O$2)))</f>
        <v>#N/A</v>
      </c>
      <c r="P72" s="394" t="e" cm="1">
        <f t="array" ref="P72">IF(SUMPRODUCT('Giá công thức'!$G$11:$AQ$115*('Giá công thức'!$A$11:$A$115=$B72)*('Giá công thức'!$B$11:$B$115=$C72)*('Giá công thức'!$C$11:$C$115="GB")*('Giá công thức'!$G$3:$AQ$3=P$1)*('Giá công thức'!$G$4:$AQ$4=P$2))=0,NA(),SUMPRODUCT('Giá công thức'!$G$11:$AQ$115*('Giá công thức'!$A$11:$A$115=$B72)*('Giá công thức'!$B$11:$B$115=$C72)*('Giá công thức'!$C$11:$C$115="GB")*('Giá công thức'!$G$3:$AQ$3=P$1)*('Giá công thức'!$G$4:$AQ$4=P$2)))</f>
        <v>#N/A</v>
      </c>
      <c r="Q72" s="394" cm="1">
        <f t="array" ref="Q72">IF(SUMPRODUCT('Giá công thức'!$G$11:$AQ$115*('Giá công thức'!$A$11:$A$115=$B72)*('Giá công thức'!$B$11:$B$115=$C72)*('Giá công thức'!$C$11:$C$115="GB")*('Giá công thức'!$G$3:$AQ$3=Q$1)*('Giá công thức'!$G$4:$AQ$4=Q$2))=0,NA(),SUMPRODUCT('Giá công thức'!$G$11:$AQ$115*('Giá công thức'!$A$11:$A$115=$B72)*('Giá công thức'!$B$11:$B$115=$C72)*('Giá công thức'!$C$11:$C$115="GB")*('Giá công thức'!$G$3:$AQ$3=Q$1)*('Giá công thức'!$G$4:$AQ$4=Q$2)))</f>
        <v>1388.04</v>
      </c>
      <c r="R72" s="394" cm="1">
        <f t="array" ref="R72">IF(SUMPRODUCT('Giá công thức'!$G$11:$AQ$115*('Giá công thức'!$A$11:$A$115=$B72)*('Giá công thức'!$B$11:$B$115=$C72)*('Giá công thức'!$C$11:$C$115="GB")*('Giá công thức'!$G$3:$AQ$3=R$1)*('Giá công thức'!$G$4:$AQ$4=R$2))=0,NA(),SUMPRODUCT('Giá công thức'!$G$11:$AQ$115*('Giá công thức'!$A$11:$A$115=$B72)*('Giá công thức'!$B$11:$B$115=$C72)*('Giá công thức'!$C$11:$C$115="GB")*('Giá công thức'!$G$3:$AQ$3=R$1)*('Giá công thức'!$G$4:$AQ$4=R$2)))</f>
        <v>1388.04</v>
      </c>
      <c r="S72" s="394" cm="1">
        <f t="array" ref="S72">IF(SUMPRODUCT('Giá công thức'!$G$11:$AQ$115*('Giá công thức'!$A$11:$A$115=$B72)*('Giá công thức'!$B$11:$B$115=$C72)*('Giá công thức'!$C$11:$C$115="GB")*('Giá công thức'!$G$3:$AQ$3=S$1)*('Giá công thức'!$G$4:$AQ$4=S$2))=0,NA(),SUMPRODUCT('Giá công thức'!$G$11:$AQ$115*('Giá công thức'!$A$11:$A$115=$B72)*('Giá công thức'!$B$11:$B$115=$C72)*('Giá công thức'!$C$11:$C$115="GB")*('Giá công thức'!$G$3:$AQ$3=S$1)*('Giá công thức'!$G$4:$AQ$4=S$2)))</f>
        <v>1388.04</v>
      </c>
      <c r="T72" s="394" cm="1">
        <f t="array" ref="T72">IF(SUMPRODUCT('Giá công thức'!$G$11:$AQ$115*('Giá công thức'!$A$11:$A$115=$B72)*('Giá công thức'!$B$11:$B$115=$C72)*('Giá công thức'!$C$11:$C$115="GB")*('Giá công thức'!$G$3:$AQ$3=T$1)*('Giá công thức'!$G$4:$AQ$4=T$2))=0,NA(),SUMPRODUCT('Giá công thức'!$G$11:$AQ$115*('Giá công thức'!$A$11:$A$115=$B72)*('Giá công thức'!$B$11:$B$115=$C72)*('Giá công thức'!$C$11:$C$115="GB")*('Giá công thức'!$G$3:$AQ$3=T$1)*('Giá công thức'!$G$4:$AQ$4=T$2)))</f>
        <v>1338.04</v>
      </c>
      <c r="U72" s="394" cm="1">
        <f t="array" ref="U72">IF(SUMPRODUCT('Giá công thức'!$G$11:$AQ$115*('Giá công thức'!$A$11:$A$115=$B72)*('Giá công thức'!$B$11:$B$115=$C72)*('Giá công thức'!$C$11:$C$115="GB")*('Giá công thức'!$G$3:$AQ$3=U$1)*('Giá công thức'!$G$4:$AQ$4=U$2))=0,NA(),SUMPRODUCT('Giá công thức'!$G$11:$AQ$115*('Giá công thức'!$A$11:$A$115=$B72)*('Giá công thức'!$B$11:$B$115=$C72)*('Giá công thức'!$C$11:$C$115="GB")*('Giá công thức'!$G$3:$AQ$3=U$1)*('Giá công thức'!$G$4:$AQ$4=U$2)))</f>
        <v>1338.04</v>
      </c>
      <c r="V72" s="394" cm="1">
        <f t="array" ref="V72">IF(SUMPRODUCT('Giá công thức'!$G$11:$AQ$115*('Giá công thức'!$A$11:$A$115=$B72)*('Giá công thức'!$B$11:$B$115=$C72)*('Giá công thức'!$C$11:$C$115="GB")*('Giá công thức'!$G$3:$AQ$3=V$1)*('Giá công thức'!$G$4:$AQ$4=V$2))=0,NA(),SUMPRODUCT('Giá công thức'!$G$11:$AQ$115*('Giá công thức'!$A$11:$A$115=$B72)*('Giá công thức'!$B$11:$B$115=$C72)*('Giá công thức'!$C$11:$C$115="GB")*('Giá công thức'!$G$3:$AQ$3=V$1)*('Giá công thức'!$G$4:$AQ$4=V$2)))</f>
        <v>1338.04</v>
      </c>
      <c r="W72" s="394" cm="1">
        <f t="array" ref="W72">IF(SUMPRODUCT('Giá công thức'!$G$11:$AQ$115*('Giá công thức'!$A$11:$A$115=$B72)*('Giá công thức'!$B$11:$B$115=$C72)*('Giá công thức'!$C$11:$C$115="GB")*('Giá công thức'!$G$3:$AQ$3=W$1)*('Giá công thức'!$G$4:$AQ$4=W$2))=0,NA(),SUMPRODUCT('Giá công thức'!$G$11:$AQ$115*('Giá công thức'!$A$11:$A$115=$B72)*('Giá công thức'!$B$11:$B$115=$C72)*('Giá công thức'!$C$11:$C$115="GB")*('Giá công thức'!$G$3:$AQ$3=W$1)*('Giá công thức'!$G$4:$AQ$4=W$2)))</f>
        <v>1368.04</v>
      </c>
      <c r="X72" s="394" cm="1">
        <f t="array" ref="X72">IF(SUMPRODUCT('Giá công thức'!$G$11:$AQ$115*('Giá công thức'!$A$11:$A$115=$B72)*('Giá công thức'!$B$11:$B$115=$C72)*('Giá công thức'!$C$11:$C$115="GB")*('Giá công thức'!$G$3:$AQ$3=X$1)*('Giá công thức'!$G$4:$AQ$4=X$2))=0,NA(),SUMPRODUCT('Giá công thức'!$G$11:$AQ$115*('Giá công thức'!$A$11:$A$115=$B72)*('Giá công thức'!$B$11:$B$115=$C72)*('Giá công thức'!$C$11:$C$115="GB")*('Giá công thức'!$G$3:$AQ$3=X$1)*('Giá công thức'!$G$4:$AQ$4=X$2)))</f>
        <v>1368.04</v>
      </c>
      <c r="Y72" s="394" cm="1">
        <f t="array" ref="Y72">IF(SUMPRODUCT('Giá công thức'!$G$11:$AQ$115*('Giá công thức'!$A$11:$A$115=$B72)*('Giá công thức'!$B$11:$B$115=$C72)*('Giá công thức'!$C$11:$C$115="GB")*('Giá công thức'!$G$3:$AQ$3=Y$1)*('Giá công thức'!$G$4:$AQ$4=Y$2))=0,NA(),SUMPRODUCT('Giá công thức'!$G$11:$AQ$115*('Giá công thức'!$A$11:$A$115=$B72)*('Giá công thức'!$B$11:$B$115=$C72)*('Giá công thức'!$C$11:$C$115="GB")*('Giá công thức'!$G$3:$AQ$3=Y$1)*('Giá công thức'!$G$4:$AQ$4=Y$2)))</f>
        <v>1368.04</v>
      </c>
      <c r="Z72" s="394" cm="1">
        <f t="array" ref="Z72">IF(SUMPRODUCT('Giá công thức'!$G$11:$AQ$115*('Giá công thức'!$A$11:$A$115=$B72)*('Giá công thức'!$B$11:$B$115=$C72)*('Giá công thức'!$C$11:$C$115="GB")*('Giá công thức'!$G$3:$AQ$3=Z$1)*('Giá công thức'!$G$4:$AQ$4=Z$2))=0,NA(),SUMPRODUCT('Giá công thức'!$G$11:$AQ$115*('Giá công thức'!$A$11:$A$115=$B72)*('Giá công thức'!$B$11:$B$115=$C72)*('Giá công thức'!$C$11:$C$115="GB")*('Giá công thức'!$G$3:$AQ$3=Z$1)*('Giá công thức'!$G$4:$AQ$4=Z$2)))</f>
        <v>1368.04</v>
      </c>
      <c r="AA72" s="394" cm="1">
        <f t="array" ref="AA72">IF(SUMPRODUCT('Giá công thức'!$G$11:$AQ$115*('Giá công thức'!$A$11:$A$115=$B72)*('Giá công thức'!$B$11:$B$115=$C72)*('Giá công thức'!$C$11:$C$115="GB")*('Giá công thức'!$G$3:$AQ$3=AA$1)*('Giá công thức'!$G$4:$AQ$4=AA$2))=0,NA(),SUMPRODUCT('Giá công thức'!$G$11:$AQ$115*('Giá công thức'!$A$11:$A$115=$B72)*('Giá công thức'!$B$11:$B$115=$C72)*('Giá công thức'!$C$11:$C$115="GB")*('Giá công thức'!$G$3:$AQ$3=AA$1)*('Giá công thức'!$G$4:$AQ$4=AA$2)))</f>
        <v>1368.04</v>
      </c>
      <c r="AB72" s="394" cm="1">
        <f t="array" ref="AB72">IF(SUMPRODUCT('Giá công thức'!$G$11:$AQ$115*('Giá công thức'!$A$11:$A$115=$B72)*('Giá công thức'!$B$11:$B$115=$C72)*('Giá công thức'!$C$11:$C$115="GB")*('Giá công thức'!$G$3:$AQ$3=AB$1)*('Giá công thức'!$G$4:$AQ$4=AB$2))=0,NA(),SUMPRODUCT('Giá công thức'!$G$11:$AQ$115*('Giá công thức'!$A$11:$A$115=$B72)*('Giá công thức'!$B$11:$B$115=$C72)*('Giá công thức'!$C$11:$C$115="GB")*('Giá công thức'!$G$3:$AQ$3=AB$1)*('Giá công thức'!$G$4:$AQ$4=AB$2)))</f>
        <v>1368.04</v>
      </c>
      <c r="AC72" s="394" cm="1">
        <f t="array" ref="AC72">IF(SUMPRODUCT('Giá công thức'!$G$11:$AQ$115*('Giá công thức'!$A$11:$A$115=$B72)*('Giá công thức'!$B$11:$B$115=$C72)*('Giá công thức'!$C$11:$C$115="GB")*('Giá công thức'!$G$3:$AQ$3=AC$1)*('Giá công thức'!$G$4:$AQ$4=AC$2))=0,NA(),SUMPRODUCT('Giá công thức'!$G$11:$AQ$115*('Giá công thức'!$A$11:$A$115=$B72)*('Giá công thức'!$B$11:$B$115=$C72)*('Giá công thức'!$C$11:$C$115="GB")*('Giá công thức'!$G$3:$AQ$3=AC$1)*('Giá công thức'!$G$4:$AQ$4=AC$2)))</f>
        <v>1325</v>
      </c>
      <c r="AD72" s="394" cm="1">
        <f t="array" ref="AD72">IF(SUMPRODUCT('Giá công thức'!$G$11:$AQ$115*('Giá công thức'!$A$11:$A$115=$B72)*('Giá công thức'!$B$11:$B$115=$C72)*('Giá công thức'!$C$11:$C$115="GB")*('Giá công thức'!$G$3:$AQ$3=AD$1)*('Giá công thức'!$G$4:$AQ$4=AD$2))=0,NA(),SUMPRODUCT('Giá công thức'!$G$11:$AQ$115*('Giá công thức'!$A$11:$A$115=$B72)*('Giá công thức'!$B$11:$B$115=$C72)*('Giá công thức'!$C$11:$C$115="GB")*('Giá công thức'!$G$3:$AQ$3=AD$1)*('Giá công thức'!$G$4:$AQ$4=AD$2)))</f>
        <v>1325</v>
      </c>
      <c r="AE72" s="394" cm="1">
        <f t="array" ref="AE72">IF(SUMPRODUCT('Giá công thức'!$G$11:$AQ$115*('Giá công thức'!$A$11:$A$115=$B72)*('Giá công thức'!$B$11:$B$115=$C72)*('Giá công thức'!$C$11:$C$115="GB")*('Giá công thức'!$G$3:$AQ$3=AE$1)*('Giá công thức'!$G$4:$AQ$4=AE$2))=0,NA(),SUMPRODUCT('Giá công thức'!$G$11:$AQ$115*('Giá công thức'!$A$11:$A$115=$B72)*('Giá công thức'!$B$11:$B$115=$C72)*('Giá công thức'!$C$11:$C$115="GB")*('Giá công thức'!$G$3:$AQ$3=AE$1)*('Giá công thức'!$G$4:$AQ$4=AE$2)))</f>
        <v>1325</v>
      </c>
      <c r="AF72" s="394" cm="1">
        <f t="array" ref="AF72">IF(SUMPRODUCT('Giá công thức'!$G$11:$AQ$115*('Giá công thức'!$A$11:$A$115=$B72)*('Giá công thức'!$B$11:$B$115=$C72)*('Giá công thức'!$C$11:$C$115="GB")*('Giá công thức'!$G$3:$AQ$3=AF$1)*('Giá công thức'!$G$4:$AQ$4=AF$2))=0,NA(),SUMPRODUCT('Giá công thức'!$G$11:$AQ$115*('Giá công thức'!$A$11:$A$115=$B72)*('Giá công thức'!$B$11:$B$115=$C72)*('Giá công thức'!$C$11:$C$115="GB")*('Giá công thức'!$G$3:$AQ$3=AF$1)*('Giá công thức'!$G$4:$AQ$4=AF$2)))</f>
        <v>1266</v>
      </c>
      <c r="AG72" s="394" cm="1">
        <f t="array" ref="AG72">IF(SUMPRODUCT('Giá công thức'!$G$11:$AQ$115*('Giá công thức'!$A$11:$A$115=$B72)*('Giá công thức'!$B$11:$B$115=$C72)*('Giá công thức'!$C$11:$C$115="GB")*('Giá công thức'!$G$3:$AQ$3=AG$1)*('Giá công thức'!$G$4:$AQ$4=AG$2))=0,NA(),SUMPRODUCT('Giá công thức'!$G$11:$AQ$115*('Giá công thức'!$A$11:$A$115=$B72)*('Giá công thức'!$B$11:$B$115=$C72)*('Giá công thức'!$C$11:$C$115="GB")*('Giá công thức'!$G$3:$AQ$3=AG$1)*('Giá công thức'!$G$4:$AQ$4=AG$2)))</f>
        <v>1266</v>
      </c>
      <c r="AH72" s="394" cm="1">
        <f t="array" ref="AH72">IF(SUMPRODUCT('Giá công thức'!$G$11:$AQ$115*('Giá công thức'!$A$11:$A$115=$B72)*('Giá công thức'!$B$11:$B$115=$C72)*('Giá công thức'!$C$11:$C$115="GB")*('Giá công thức'!$G$3:$AQ$3=AH$1)*('Giá công thức'!$G$4:$AQ$4=AH$2))=0,NA(),SUMPRODUCT('Giá công thức'!$G$11:$AQ$115*('Giá công thức'!$A$11:$A$115=$B72)*('Giá công thức'!$B$11:$B$115=$C72)*('Giá công thức'!$C$11:$C$115="GB")*('Giá công thức'!$G$3:$AQ$3=AH$1)*('Giá công thức'!$G$4:$AQ$4=AH$2)))</f>
        <v>1266</v>
      </c>
      <c r="AI72" s="394"/>
      <c r="AJ72" s="394"/>
      <c r="AK72" s="394"/>
      <c r="AL72" s="394"/>
      <c r="AM72" s="394"/>
      <c r="AN72" s="394"/>
      <c r="AO72" s="394">
        <f>INDEX($E72:$AN72,MATCH("X",$E$3:$AN$3,0))</f>
        <v>1266</v>
      </c>
    </row>
    <row r="73" spans="1:41" s="137" customFormat="1" x14ac:dyDescent="0.3">
      <c r="A73" s="137" t="s">
        <v>22</v>
      </c>
      <c r="C73" s="137" t="s">
        <v>22</v>
      </c>
      <c r="D73" s="137" t="s">
        <v>17</v>
      </c>
      <c r="E73" s="397" t="e" cm="1">
        <f t="array" ref="E73">IF(SUMPRODUCT(General_Data*(Code_General_Data=$A73)*(Year=E$1)*(Month=E$2))=0,NA(),SUMPRODUCT(General_Data*(Code_General_Data=$A73)*(Year=E$1)*(Month=E$2)))</f>
        <v>#N/A</v>
      </c>
      <c r="F73" s="397" t="e" cm="1">
        <f t="array" ref="F73">IF(SUMPRODUCT(General_Data*(Code_General_Data=$A73)*(Year=F$1)*(Month=F$2))=0,NA(),SUMPRODUCT(General_Data*(Code_General_Data=$A73)*(Year=F$1)*(Month=F$2)))</f>
        <v>#N/A</v>
      </c>
      <c r="G73" s="397" t="e" cm="1">
        <f t="array" ref="G73">IF(SUMPRODUCT(General_Data*(Code_General_Data=$A73)*(Year=G$1)*(Month=G$2))=0,NA(),SUMPRODUCT(General_Data*(Code_General_Data=$A73)*(Year=G$1)*(Month=G$2)))</f>
        <v>#N/A</v>
      </c>
      <c r="H73" s="397" t="e" cm="1">
        <f t="array" ref="H73">IF(SUMPRODUCT(General_Data*(Code_General_Data=$A73)*(Year=H$1)*(Month=H$2))=0,NA(),SUMPRODUCT(General_Data*(Code_General_Data=$A73)*(Year=H$1)*(Month=H$2)))</f>
        <v>#N/A</v>
      </c>
      <c r="I73" s="397" t="e" cm="1">
        <f t="array" ref="I73">IF(SUMPRODUCT(General_Data*(Code_General_Data=$A73)*(Year=I$1)*(Month=I$2))=0,NA(),SUMPRODUCT(General_Data*(Code_General_Data=$A73)*(Year=I$1)*(Month=I$2)))</f>
        <v>#N/A</v>
      </c>
      <c r="J73" s="397" t="e" cm="1">
        <f t="array" ref="J73">IF(SUMPRODUCT(General_Data*(Code_General_Data=$A73)*(Year=J$1)*(Month=J$2))=0,NA(),SUMPRODUCT(General_Data*(Code_General_Data=$A73)*(Year=J$1)*(Month=J$2)))</f>
        <v>#N/A</v>
      </c>
      <c r="K73" s="397" t="e" cm="1">
        <f t="array" ref="K73">IF(SUMPRODUCT(General_Data*(Code_General_Data=$A73)*(Year=K$1)*(Month=K$2))=0,NA(),SUMPRODUCT(General_Data*(Code_General_Data=$A73)*(Year=K$1)*(Month=K$2)))</f>
        <v>#N/A</v>
      </c>
      <c r="L73" s="397" t="e" cm="1">
        <f t="array" ref="L73">IF(SUMPRODUCT(General_Data*(Code_General_Data=$A73)*(Year=L$1)*(Month=L$2))=0,NA(),SUMPRODUCT(General_Data*(Code_General_Data=$A73)*(Year=L$1)*(Month=L$2)))</f>
        <v>#N/A</v>
      </c>
      <c r="M73" s="397" t="e" cm="1">
        <f t="array" ref="M73">IF(SUMPRODUCT(General_Data*(Code_General_Data=$A73)*(Year=M$1)*(Month=M$2))=0,NA(),SUMPRODUCT(General_Data*(Code_General_Data=$A73)*(Year=M$1)*(Month=M$2)))</f>
        <v>#N/A</v>
      </c>
      <c r="N73" s="397" t="e" cm="1">
        <f t="array" ref="N73">IF(SUMPRODUCT(General_Data*(Code_General_Data=$A73)*(Year=N$1)*(Month=N$2))=0,NA(),SUMPRODUCT(General_Data*(Code_General_Data=$A73)*(Year=N$1)*(Month=N$2)))</f>
        <v>#N/A</v>
      </c>
      <c r="O73" s="397" t="e" cm="1">
        <f t="array" ref="O73">IF(SUMPRODUCT(General_Data*(Code_General_Data=$A73)*(Year=O$1)*(Month=O$2))=0,NA(),SUMPRODUCT(General_Data*(Code_General_Data=$A73)*(Year=O$1)*(Month=O$2)))</f>
        <v>#N/A</v>
      </c>
      <c r="P73" s="397" t="e" cm="1">
        <f t="array" ref="P73">IF(SUMPRODUCT(General_Data*(Code_General_Data=$A73)*(Year=P$1)*(Month=P$2))=0,NA(),SUMPRODUCT(General_Data*(Code_General_Data=$A73)*(Year=P$1)*(Month=P$2)))</f>
        <v>#N/A</v>
      </c>
      <c r="Q73" s="397" cm="1">
        <f t="array" ref="Q73">IF(SUMPRODUCT(General_Data*(Code_General_Data=$A73)*(Year=Q$1)*(Month=Q$2))=0,NA(),SUMPRODUCT(General_Data*(Code_General_Data=$A73)*(Year=Q$1)*(Month=Q$2)))</f>
        <v>1400</v>
      </c>
      <c r="R73" s="397" cm="1">
        <f t="array" ref="R73">IF(SUMPRODUCT(General_Data*(Code_General_Data=$A73)*(Year=R$1)*(Month=R$2))=0,NA(),SUMPRODUCT(General_Data*(Code_General_Data=$A73)*(Year=R$1)*(Month=R$2)))</f>
        <v>1400</v>
      </c>
      <c r="S73" s="397" cm="1">
        <f t="array" ref="S73">IF(SUMPRODUCT(General_Data*(Code_General_Data=$A73)*(Year=S$1)*(Month=S$2))=0,NA(),SUMPRODUCT(General_Data*(Code_General_Data=$A73)*(Year=S$1)*(Month=S$2)))</f>
        <v>1350</v>
      </c>
      <c r="T73" s="397" cm="1">
        <f t="array" ref="T73">IF(SUMPRODUCT(General_Data*(Code_General_Data=$A73)*(Year=T$1)*(Month=T$2))=0,NA(),SUMPRODUCT(General_Data*(Code_General_Data=$A73)*(Year=T$1)*(Month=T$2)))</f>
        <v>1350</v>
      </c>
      <c r="U73" s="397" cm="1">
        <f t="array" ref="U73">IF(SUMPRODUCT(General_Data*(Code_General_Data=$A73)*(Year=U$1)*(Month=U$2))=0,NA(),SUMPRODUCT(General_Data*(Code_General_Data=$A73)*(Year=U$1)*(Month=U$2)))</f>
        <v>1350</v>
      </c>
      <c r="V73" s="397" cm="1">
        <f t="array" ref="V73">IF(SUMPRODUCT(General_Data*(Code_General_Data=$A73)*(Year=V$1)*(Month=V$2))=0,NA(),SUMPRODUCT(General_Data*(Code_General_Data=$A73)*(Year=V$1)*(Month=V$2)))</f>
        <v>1350</v>
      </c>
      <c r="W73" s="397" cm="1">
        <f t="array" ref="W73">IF(SUMPRODUCT(General_Data*(Code_General_Data=$A73)*(Year=W$1)*(Month=W$2))=0,NA(),SUMPRODUCT(General_Data*(Code_General_Data=$A73)*(Year=W$1)*(Month=W$2)))</f>
        <v>1350</v>
      </c>
      <c r="X73" s="397" cm="1">
        <f t="array" ref="X73">IF(SUMPRODUCT(General_Data*(Code_General_Data=$A73)*(Year=X$1)*(Month=X$2))=0,NA(),SUMPRODUCT(General_Data*(Code_General_Data=$A73)*(Year=X$1)*(Month=X$2)))</f>
        <v>1330</v>
      </c>
      <c r="Y73" s="397" cm="1">
        <f t="array" ref="Y73">IF(SUMPRODUCT(General_Data*(Code_General_Data=$A73)*(Year=Y$1)*(Month=Y$2))=0,NA(),SUMPRODUCT(General_Data*(Code_General_Data=$A73)*(Year=Y$1)*(Month=Y$2)))</f>
        <v>1310</v>
      </c>
      <c r="Z73" s="397" cm="1">
        <f t="array" ref="Z73">IF(SUMPRODUCT(General_Data*(Code_General_Data=$A73)*(Year=Z$1)*(Month=Z$2))=0,NA(),SUMPRODUCT(General_Data*(Code_General_Data=$A73)*(Year=Z$1)*(Month=Z$2)))</f>
        <v>1310</v>
      </c>
      <c r="AA73" s="397" cm="1">
        <f t="array" ref="AA73">IF(SUMPRODUCT(General_Data*(Code_General_Data=$A73)*(Year=AA$1)*(Month=AA$2))=0,NA(),SUMPRODUCT(General_Data*(Code_General_Data=$A73)*(Year=AA$1)*(Month=AA$2)))</f>
        <v>1300</v>
      </c>
      <c r="AB73" s="397" cm="1">
        <f t="array" ref="AB73">IF(SUMPRODUCT(General_Data*(Code_General_Data=$A73)*(Year=AB$1)*(Month=AB$2))=0,NA(),SUMPRODUCT(General_Data*(Code_General_Data=$A73)*(Year=AB$1)*(Month=AB$2)))</f>
        <v>1300</v>
      </c>
      <c r="AC73" s="397" cm="1">
        <f t="array" ref="AC73">IF(SUMPRODUCT(General_Data*(Code_General_Data=$A73)*(Year=AC$1)*(Month=AC$2))=0,NA(),SUMPRODUCT(General_Data*(Code_General_Data=$A73)*(Year=AC$1)*(Month=AC$2)))</f>
        <v>1300</v>
      </c>
      <c r="AD73" s="397" cm="1">
        <f t="array" ref="AD73">IF(SUMPRODUCT(General_Data*(Code_General_Data=$A73)*(Year=AD$1)*(Month=AD$2))=0,NA(),SUMPRODUCT(General_Data*(Code_General_Data=$A73)*(Year=AD$1)*(Month=AD$2)))</f>
        <v>1300</v>
      </c>
      <c r="AE73" s="397" cm="1">
        <f t="array" ref="AE73">IF(SUMPRODUCT(General_Data*(Code_General_Data=$A73)*(Year=AE$1)*(Month=AE$2))=0,NA(),SUMPRODUCT(General_Data*(Code_General_Data=$A73)*(Year=AE$1)*(Month=AE$2)))</f>
        <v>1300</v>
      </c>
      <c r="AF73" s="397" cm="1">
        <f t="array" ref="AF73">IF(SUMPRODUCT(General_Data*(Code_General_Data=$A73)*(Year=AF$1)*(Month=AF$2))=0,NA(),SUMPRODUCT(General_Data*(Code_General_Data=$A73)*(Year=AF$1)*(Month=AF$2)))</f>
        <v>1400</v>
      </c>
      <c r="AG73" s="397" cm="1">
        <f t="array" ref="AG73">IF(SUMPRODUCT(General_Data*(Code_General_Data=$A73)*(Year=AG$1)*(Month=AG$2))=0,NA(),SUMPRODUCT(General_Data*(Code_General_Data=$A73)*(Year=AG$1)*(Month=AG$2)))</f>
        <v>1470</v>
      </c>
      <c r="AH73" s="397" cm="1">
        <f t="array" ref="AH73">IF(SUMPRODUCT(General_Data*(Code_General_Data=$A73)*(Year=AH$1)*(Month=AH$2))=0,NA(),SUMPRODUCT(General_Data*(Code_General_Data=$A73)*(Year=AH$1)*(Month=AH$2)))</f>
        <v>1450</v>
      </c>
      <c r="AI73" s="397"/>
      <c r="AJ73" s="397"/>
      <c r="AK73" s="397"/>
      <c r="AL73" s="397"/>
      <c r="AM73" s="397"/>
      <c r="AN73" s="397"/>
      <c r="AO73" s="397">
        <f>INDEX($E73:$AN73,MATCH("X",$E$3:$AN$3,0))</f>
        <v>1450</v>
      </c>
    </row>
    <row r="74" spans="1:41" s="395" customFormat="1" x14ac:dyDescent="0.3">
      <c r="A74" s="395" t="s">
        <v>21</v>
      </c>
      <c r="D74" s="395" t="s">
        <v>11</v>
      </c>
      <c r="E74" s="396" cm="1">
        <f t="array" ref="E74">SUMPRODUCT(General_Data*(Code_General_Data=$A74)*(Year=E$1)*(Month=E$2))</f>
        <v>940</v>
      </c>
      <c r="F74" s="396" cm="1">
        <f t="array" ref="F74">SUMPRODUCT(General_Data*(Code_General_Data=$A74)*(Year=F$1)*(Month=F$2))</f>
        <v>993.33333333333337</v>
      </c>
      <c r="G74" s="396" cm="1">
        <f t="array" ref="G74">SUMPRODUCT(General_Data*(Code_General_Data=$A74)*(Year=G$1)*(Month=G$2))</f>
        <v>985</v>
      </c>
      <c r="H74" s="396" cm="1">
        <f t="array" ref="H74">SUMPRODUCT(General_Data*(Code_General_Data=$A74)*(Year=H$1)*(Month=H$2))</f>
        <v>962.5</v>
      </c>
      <c r="I74" s="396" cm="1">
        <f t="array" ref="I74">SUMPRODUCT(General_Data*(Code_General_Data=$A74)*(Year=I$1)*(Month=I$2))</f>
        <v>982</v>
      </c>
      <c r="J74" s="396" cm="1">
        <f t="array" ref="J74">SUMPRODUCT(General_Data*(Code_General_Data=$A74)*(Year=J$1)*(Month=J$2))</f>
        <v>1000</v>
      </c>
      <c r="K74" s="396" cm="1">
        <f t="array" ref="K74">SUMPRODUCT(General_Data*(Code_General_Data=$A74)*(Year=K$1)*(Month=K$2))</f>
        <v>1000</v>
      </c>
      <c r="L74" s="396" cm="1">
        <f t="array" ref="L74">SUMPRODUCT(General_Data*(Code_General_Data=$A74)*(Year=L$1)*(Month=L$2))</f>
        <v>984</v>
      </c>
      <c r="M74" s="396" cm="1">
        <f t="array" ref="M74">SUMPRODUCT(General_Data*(Code_General_Data=$A74)*(Year=M$1)*(Month=M$2))</f>
        <v>967.5</v>
      </c>
      <c r="N74" s="396" cm="1">
        <f t="array" ref="N74">SUMPRODUCT(General_Data*(Code_General_Data=$A74)*(Year=N$1)*(Month=N$2))</f>
        <v>965</v>
      </c>
      <c r="O74" s="396" cm="1">
        <f t="array" ref="O74">SUMPRODUCT(General_Data*(Code_General_Data=$A74)*(Year=O$1)*(Month=O$2))</f>
        <v>974</v>
      </c>
      <c r="P74" s="396" cm="1">
        <f t="array" ref="P74">SUMPRODUCT(General_Data*(Code_General_Data=$A74)*(Year=P$1)*(Month=P$2))</f>
        <v>956</v>
      </c>
      <c r="Q74" s="396" cm="1">
        <f t="array" ref="Q74">SUMPRODUCT(General_Data*(Code_General_Data=$A74)*(Year=Q$1)*(Month=Q$2))</f>
        <v>940</v>
      </c>
      <c r="R74" s="396" cm="1">
        <f t="array" ref="R74">SUMPRODUCT(General_Data*(Code_General_Data=$A74)*(Year=R$1)*(Month=R$2))</f>
        <v>918</v>
      </c>
      <c r="S74" s="396" cm="1">
        <f t="array" ref="S74">SUMPRODUCT(General_Data*(Code_General_Data=$A74)*(Year=S$1)*(Month=S$2))</f>
        <v>896</v>
      </c>
      <c r="T74" s="396" cm="1">
        <f t="array" ref="T74">SUMPRODUCT(General_Data*(Code_General_Data=$A74)*(Year=T$1)*(Month=T$2))</f>
        <v>891.5</v>
      </c>
      <c r="U74" s="396" cm="1">
        <f t="array" ref="U74">SUMPRODUCT(General_Data*(Code_General_Data=$A74)*(Year=U$1)*(Month=U$2))</f>
        <v>864</v>
      </c>
      <c r="V74" s="396" cm="1">
        <f t="array" ref="V74">SUMPRODUCT(General_Data*(Code_General_Data=$A74)*(Year=V$1)*(Month=V$2))</f>
        <v>833</v>
      </c>
      <c r="W74" s="396" cm="1">
        <f t="array" ref="W74">SUMPRODUCT(General_Data*(Code_General_Data=$A74)*(Year=W$1)*(Month=W$2))</f>
        <v>833</v>
      </c>
      <c r="X74" s="396" cm="1">
        <f t="array" ref="X74">SUMPRODUCT(General_Data*(Code_General_Data=$A74)*(Year=X$1)*(Month=X$2))</f>
        <v>815</v>
      </c>
      <c r="Y74" s="396" cm="1">
        <f t="array" ref="Y74">SUMPRODUCT(General_Data*(Code_General_Data=$A74)*(Year=Y$1)*(Month=Y$2))</f>
        <v>813</v>
      </c>
      <c r="Z74" s="396" cm="1">
        <f t="array" ref="Z74">SUMPRODUCT(General_Data*(Code_General_Data=$A74)*(Year=Z$1)*(Month=Z$2))</f>
        <v>805</v>
      </c>
      <c r="AA74" s="396" cm="1">
        <f t="array" ref="AA74">SUMPRODUCT(General_Data*(Code_General_Data=$A74)*(Year=AA$1)*(Month=AA$2))</f>
        <v>805</v>
      </c>
      <c r="AB74" s="396" cm="1">
        <f t="array" ref="AB74">SUMPRODUCT(General_Data*(Code_General_Data=$A74)*(Year=AB$1)*(Month=AB$2))</f>
        <v>802.5</v>
      </c>
      <c r="AC74" s="396" cm="1">
        <f t="array" ref="AC74">SUMPRODUCT(General_Data*(Code_General_Data=$A74)*(Year=AC$1)*(Month=AC$2))</f>
        <v>800</v>
      </c>
      <c r="AD74" s="396" cm="1">
        <f t="array" ref="AD74">SUMPRODUCT(General_Data*(Code_General_Data=$A74)*(Year=AD$1)*(Month=AD$2))</f>
        <v>800</v>
      </c>
      <c r="AE74" s="396" cm="1">
        <f t="array" ref="AE74">SUMPRODUCT(General_Data*(Code_General_Data=$A74)*(Year=AE$1)*(Month=AE$2))</f>
        <v>1331</v>
      </c>
      <c r="AF74" s="396" cm="1">
        <f t="array" ref="AF74">SUMPRODUCT(General_Data*(Code_General_Data=$A74)*(Year=AF$1)*(Month=AF$2))</f>
        <v>1590</v>
      </c>
      <c r="AG74" s="396" cm="1">
        <f t="array" ref="AG74">SUMPRODUCT(General_Data*(Code_General_Data=$A74)*(Year=AG$1)*(Month=AG$2))</f>
        <v>1523</v>
      </c>
      <c r="AH74" s="396" cm="1">
        <f t="array" ref="AH74">SUMPRODUCT(General_Data*(Code_General_Data=$A74)*(Year=AH$1)*(Month=AH$2))</f>
        <v>1470</v>
      </c>
      <c r="AI74" s="396"/>
      <c r="AJ74" s="396"/>
      <c r="AK74" s="396"/>
      <c r="AL74" s="396"/>
      <c r="AM74" s="396"/>
      <c r="AN74" s="396"/>
      <c r="AO74" s="396">
        <f>INDEX($E74:$AN74,MATCH("X",$E$3:$AN$3,0))</f>
        <v>1470</v>
      </c>
    </row>
    <row r="75" spans="1:41" s="402" customFormat="1" x14ac:dyDescent="0.3">
      <c r="D75" s="402" t="s">
        <v>371</v>
      </c>
      <c r="E75" s="403" t="e">
        <f t="shared" ref="E75:AA75" si="98">E73-E74</f>
        <v>#N/A</v>
      </c>
      <c r="F75" s="403" t="e">
        <f t="shared" si="98"/>
        <v>#N/A</v>
      </c>
      <c r="G75" s="403" t="e">
        <f t="shared" si="98"/>
        <v>#N/A</v>
      </c>
      <c r="H75" s="403" t="e">
        <f t="shared" si="98"/>
        <v>#N/A</v>
      </c>
      <c r="I75" s="403" t="e">
        <f t="shared" si="98"/>
        <v>#N/A</v>
      </c>
      <c r="J75" s="403" t="e">
        <f t="shared" si="98"/>
        <v>#N/A</v>
      </c>
      <c r="K75" s="403" t="e">
        <f t="shared" si="98"/>
        <v>#N/A</v>
      </c>
      <c r="L75" s="403" t="e">
        <f t="shared" si="98"/>
        <v>#N/A</v>
      </c>
      <c r="M75" s="403" t="e">
        <f t="shared" si="98"/>
        <v>#N/A</v>
      </c>
      <c r="N75" s="403" t="e">
        <f t="shared" si="98"/>
        <v>#N/A</v>
      </c>
      <c r="O75" s="403" t="e">
        <f t="shared" si="98"/>
        <v>#N/A</v>
      </c>
      <c r="P75" s="403" t="e">
        <f t="shared" si="98"/>
        <v>#N/A</v>
      </c>
      <c r="Q75" s="403">
        <f t="shared" si="98"/>
        <v>460</v>
      </c>
      <c r="R75" s="403">
        <f t="shared" si="98"/>
        <v>482</v>
      </c>
      <c r="S75" s="403">
        <f t="shared" si="98"/>
        <v>454</v>
      </c>
      <c r="T75" s="403">
        <f t="shared" si="98"/>
        <v>458.5</v>
      </c>
      <c r="U75" s="403">
        <f t="shared" si="98"/>
        <v>486</v>
      </c>
      <c r="V75" s="403">
        <f t="shared" si="98"/>
        <v>517</v>
      </c>
      <c r="W75" s="403">
        <f t="shared" si="98"/>
        <v>517</v>
      </c>
      <c r="X75" s="403">
        <f t="shared" si="98"/>
        <v>515</v>
      </c>
      <c r="Y75" s="403">
        <f t="shared" si="98"/>
        <v>497</v>
      </c>
      <c r="Z75" s="403">
        <f t="shared" si="98"/>
        <v>505</v>
      </c>
      <c r="AA75" s="403">
        <f t="shared" si="98"/>
        <v>495</v>
      </c>
      <c r="AB75" s="403">
        <f t="shared" ref="AB75:AF75" si="99">AB73-AB74</f>
        <v>497.5</v>
      </c>
      <c r="AC75" s="403">
        <f t="shared" si="99"/>
        <v>500</v>
      </c>
      <c r="AD75" s="403">
        <f t="shared" si="99"/>
        <v>500</v>
      </c>
      <c r="AE75" s="403">
        <f t="shared" si="99"/>
        <v>-31</v>
      </c>
      <c r="AF75" s="403">
        <f t="shared" si="99"/>
        <v>-190</v>
      </c>
      <c r="AG75" s="403">
        <f t="shared" ref="AG75:AH75" si="100">AG73-AG74</f>
        <v>-53</v>
      </c>
      <c r="AH75" s="403">
        <f t="shared" si="100"/>
        <v>-20</v>
      </c>
      <c r="AI75" s="403"/>
      <c r="AJ75" s="403"/>
      <c r="AK75" s="403"/>
      <c r="AL75" s="403"/>
      <c r="AM75" s="403"/>
      <c r="AN75" s="403"/>
      <c r="AO75" s="396"/>
    </row>
    <row r="76" spans="1:41" s="404" customFormat="1" x14ac:dyDescent="0.3">
      <c r="D76" s="404" t="s">
        <v>370</v>
      </c>
      <c r="E76" s="405">
        <f t="shared" ref="E76:AA76" si="101">IFERROR(E75/E74,0)</f>
        <v>0</v>
      </c>
      <c r="F76" s="405">
        <f t="shared" si="101"/>
        <v>0</v>
      </c>
      <c r="G76" s="405">
        <f t="shared" si="101"/>
        <v>0</v>
      </c>
      <c r="H76" s="405">
        <f t="shared" si="101"/>
        <v>0</v>
      </c>
      <c r="I76" s="405">
        <f t="shared" si="101"/>
        <v>0</v>
      </c>
      <c r="J76" s="405">
        <f t="shared" si="101"/>
        <v>0</v>
      </c>
      <c r="K76" s="405">
        <f t="shared" si="101"/>
        <v>0</v>
      </c>
      <c r="L76" s="405">
        <f t="shared" si="101"/>
        <v>0</v>
      </c>
      <c r="M76" s="405">
        <f t="shared" si="101"/>
        <v>0</v>
      </c>
      <c r="N76" s="405">
        <f t="shared" si="101"/>
        <v>0</v>
      </c>
      <c r="O76" s="405">
        <f t="shared" si="101"/>
        <v>0</v>
      </c>
      <c r="P76" s="405">
        <f t="shared" si="101"/>
        <v>0</v>
      </c>
      <c r="Q76" s="405">
        <f t="shared" si="101"/>
        <v>0.48936170212765956</v>
      </c>
      <c r="R76" s="405">
        <f t="shared" si="101"/>
        <v>0.52505446623093677</v>
      </c>
      <c r="S76" s="405">
        <f t="shared" si="101"/>
        <v>0.5066964285714286</v>
      </c>
      <c r="T76" s="405">
        <f t="shared" si="101"/>
        <v>0.51430173864273698</v>
      </c>
      <c r="U76" s="405">
        <f t="shared" si="101"/>
        <v>0.5625</v>
      </c>
      <c r="V76" s="405">
        <f t="shared" si="101"/>
        <v>0.62064825930372147</v>
      </c>
      <c r="W76" s="405">
        <f t="shared" si="101"/>
        <v>0.62064825930372147</v>
      </c>
      <c r="X76" s="405">
        <f t="shared" si="101"/>
        <v>0.63190184049079756</v>
      </c>
      <c r="Y76" s="405">
        <f t="shared" si="101"/>
        <v>0.61131611316113166</v>
      </c>
      <c r="Z76" s="405">
        <f t="shared" si="101"/>
        <v>0.62732919254658381</v>
      </c>
      <c r="AA76" s="405">
        <f t="shared" si="101"/>
        <v>0.6149068322981367</v>
      </c>
      <c r="AB76" s="405">
        <f t="shared" ref="AB76:AF76" si="102">IFERROR(AB75/AB74,0)</f>
        <v>0.6199376947040498</v>
      </c>
      <c r="AC76" s="405">
        <f t="shared" si="102"/>
        <v>0.625</v>
      </c>
      <c r="AD76" s="405">
        <f t="shared" si="102"/>
        <v>0.625</v>
      </c>
      <c r="AE76" s="405">
        <f t="shared" si="102"/>
        <v>-2.3290758827948909E-2</v>
      </c>
      <c r="AF76" s="405">
        <f t="shared" si="102"/>
        <v>-0.11949685534591195</v>
      </c>
      <c r="AG76" s="405">
        <f t="shared" ref="AG76:AH76" si="103">IFERROR(AG75/AG74,0)</f>
        <v>-3.4799737360472753E-2</v>
      </c>
      <c r="AH76" s="405">
        <f t="shared" si="103"/>
        <v>-1.3605442176870748E-2</v>
      </c>
      <c r="AI76" s="405"/>
      <c r="AJ76" s="405"/>
      <c r="AK76" s="405"/>
      <c r="AL76" s="405"/>
      <c r="AM76" s="405"/>
      <c r="AN76" s="405"/>
      <c r="AO76" s="403"/>
    </row>
    <row r="77" spans="1:41" s="483" customFormat="1" x14ac:dyDescent="0.3">
      <c r="A77" s="483" t="s">
        <v>539</v>
      </c>
      <c r="C77" s="483" t="s">
        <v>22</v>
      </c>
      <c r="D77" s="483" t="s">
        <v>544</v>
      </c>
      <c r="E77" s="590" t="e" cm="1">
        <f t="array" ref="E77">IF(ISNA(E72),#N/A,SUMPRODUCT(General_Data*(Code_General_Data=$A77)*(Year=E$1)*(Month=E$2)))</f>
        <v>#N/A</v>
      </c>
      <c r="F77" s="590" t="e" cm="1">
        <f t="array" ref="F77">IF(ISNA(F72),#N/A,SUMPRODUCT(General_Data*(Code_General_Data=$A77)*(Year=F$1)*(Month=F$2)))</f>
        <v>#N/A</v>
      </c>
      <c r="G77" s="590" t="e" cm="1">
        <f t="array" ref="G77">IF(ISNA(G72),#N/A,SUMPRODUCT(General_Data*(Code_General_Data=$A77)*(Year=G$1)*(Month=G$2)))</f>
        <v>#N/A</v>
      </c>
      <c r="H77" s="590" t="e" cm="1">
        <f t="array" ref="H77">IF(ISNA(H72),#N/A,SUMPRODUCT(General_Data*(Code_General_Data=$A77)*(Year=H$1)*(Month=H$2)))</f>
        <v>#N/A</v>
      </c>
      <c r="I77" s="590" t="e" cm="1">
        <f t="array" ref="I77">IF(ISNA(I72),#N/A,SUMPRODUCT(General_Data*(Code_General_Data=$A77)*(Year=I$1)*(Month=I$2)))</f>
        <v>#N/A</v>
      </c>
      <c r="J77" s="590" t="e" cm="1">
        <f t="array" ref="J77">IF(ISNA(J72),#N/A,SUMPRODUCT(General_Data*(Code_General_Data=$A77)*(Year=J$1)*(Month=J$2)))</f>
        <v>#N/A</v>
      </c>
      <c r="K77" s="590" t="e" cm="1">
        <f t="array" ref="K77">IF(ISNA(K72),#N/A,SUMPRODUCT(General_Data*(Code_General_Data=$A77)*(Year=K$1)*(Month=K$2)))</f>
        <v>#N/A</v>
      </c>
      <c r="L77" s="590" t="e" cm="1">
        <f t="array" ref="L77">IF(ISNA(L72),#N/A,SUMPRODUCT(General_Data*(Code_General_Data=$A77)*(Year=L$1)*(Month=L$2)))</f>
        <v>#N/A</v>
      </c>
      <c r="M77" s="590" t="e" cm="1">
        <f t="array" ref="M77">IF(ISNA(M72),#N/A,SUMPRODUCT(General_Data*(Code_General_Data=$A77)*(Year=M$1)*(Month=M$2)))</f>
        <v>#N/A</v>
      </c>
      <c r="N77" s="590" t="e" cm="1">
        <f t="array" ref="N77">IF(ISNA(N72),#N/A,SUMPRODUCT(General_Data*(Code_General_Data=$A77)*(Year=N$1)*(Month=N$2)))</f>
        <v>#N/A</v>
      </c>
      <c r="O77" s="590" t="e" cm="1">
        <f t="array" ref="O77">IF(ISNA(O72),#N/A,SUMPRODUCT(General_Data*(Code_General_Data=$A77)*(Year=O$1)*(Month=O$2)))</f>
        <v>#N/A</v>
      </c>
      <c r="P77" s="590" t="e" cm="1">
        <f t="array" ref="P77">IF(ISNA(P72),#N/A,SUMPRODUCT(General_Data*(Code_General_Data=$A77)*(Year=P$1)*(Month=P$2)))</f>
        <v>#N/A</v>
      </c>
      <c r="Q77" s="590" cm="1">
        <f t="array" ref="Q77">IF(ISNA(Q72),#N/A,SUMPRODUCT(General_Data*(Code_General_Data=$A77)*(Year=Q$1)*(Month=Q$2)))</f>
        <v>1096.9942524368221</v>
      </c>
      <c r="R77" s="590" cm="1">
        <f t="array" ref="R77">IF(ISNA(R72),#N/A,SUMPRODUCT(General_Data*(Code_General_Data=$A77)*(Year=R$1)*(Month=R$2)))</f>
        <v>1118.3928672932527</v>
      </c>
      <c r="S77" s="590" cm="1">
        <f t="array" ref="S77">IF(ISNA(S72),#N/A,SUMPRODUCT(General_Data*(Code_General_Data=$A77)*(Year=S$1)*(Month=S$2)))</f>
        <v>1113.4584653401475</v>
      </c>
      <c r="T77" s="590" cm="1">
        <f t="array" ref="T77">IF(ISNA(T72),#N/A,SUMPRODUCT(General_Data*(Code_General_Data=$A77)*(Year=T$1)*(Month=T$2)))</f>
        <v>1099.6693828881585</v>
      </c>
      <c r="U77" s="590" cm="1">
        <f t="array" ref="U77">IF(ISNA(U72),#N/A,SUMPRODUCT(General_Data*(Code_General_Data=$A77)*(Year=U$1)*(Month=U$2)))</f>
        <v>1094.368110770663</v>
      </c>
      <c r="V77" s="590" cm="1">
        <f t="array" ref="V77">IF(ISNA(V72),#N/A,SUMPRODUCT(General_Data*(Code_General_Data=$A77)*(Year=V$1)*(Month=V$2)))</f>
        <v>1088.3353579825598</v>
      </c>
      <c r="W77" s="590" cm="1">
        <f t="array" ref="W77">IF(ISNA(W72),#N/A,SUMPRODUCT(General_Data*(Code_General_Data=$A77)*(Year=W$1)*(Month=W$2)))</f>
        <v>1078.9456475758248</v>
      </c>
      <c r="X77" s="590" cm="1">
        <f t="array" ref="X77">IF(ISNA(X72),#N/A,SUMPRODUCT(General_Data*(Code_General_Data=$A77)*(Year=X$1)*(Month=X$2)))</f>
        <v>1074.1117347329705</v>
      </c>
      <c r="Y77" s="590" cm="1">
        <f t="array" ref="Y77">IF(ISNA(Y72),#N/A,SUMPRODUCT(General_Data*(Code_General_Data=$A77)*(Year=Y$1)*(Month=Y$2)))</f>
        <v>1072.0847063273393</v>
      </c>
      <c r="Z77" s="590" cm="1">
        <f t="array" ref="Z77">IF(ISNA(Z72),#N/A,SUMPRODUCT(General_Data*(Code_General_Data=$A77)*(Year=Z$1)*(Month=Z$2)))</f>
        <v>1071.436921215829</v>
      </c>
      <c r="AA77" s="590" cm="1">
        <f t="array" ref="AA77">IF(ISNA(AA72),#N/A,SUMPRODUCT(General_Data*(Code_General_Data=$A77)*(Year=AA$1)*(Month=AA$2)))</f>
        <v>1071.6418128274754</v>
      </c>
      <c r="AB77" s="590" cm="1">
        <f t="array" ref="AB77">IF(ISNA(AB72),#N/A,SUMPRODUCT(General_Data*(Code_General_Data=$A77)*(Year=AB$1)*(Month=AB$2)))</f>
        <v>1072.3390147166267</v>
      </c>
      <c r="AC77" s="590" cm="1">
        <f t="array" ref="AC77">IF(ISNA(AC72),#N/A,SUMPRODUCT(General_Data*(Code_General_Data=$A77)*(Year=AC$1)*(Month=AC$2)))</f>
        <v>1076.0452590420332</v>
      </c>
      <c r="AD77" s="590" cm="1">
        <f t="array" ref="AD77">IF(ISNA(AD72),#N/A,SUMPRODUCT(General_Data*(Code_General_Data=$A77)*(Year=AD$1)*(Month=AD$2)))</f>
        <v>1085.9707950757868</v>
      </c>
      <c r="AE77" s="590" cm="1">
        <f t="array" ref="AE77">IF(ISNA(AE72),#N/A,SUMPRODUCT(General_Data*(Code_General_Data=$A77)*(Year=AE$1)*(Month=AE$2)))</f>
        <v>1074.8070454956419</v>
      </c>
      <c r="AF77" s="590" cm="1">
        <f t="array" ref="AF77">IF(ISNA(AF72),#N/A,SUMPRODUCT(General_Data*(Code_General_Data=$A77)*(Year=AF$1)*(Month=AF$2)))</f>
        <v>1072.1750345867849</v>
      </c>
      <c r="AG77" s="590" cm="1">
        <f t="array" ref="AG77">IF(ISNA(AG72),#N/A,SUMPRODUCT(General_Data*(Code_General_Data=$A77)*(Year=AG$1)*(Month=AG$2)))</f>
        <v>1074.3160789931267</v>
      </c>
      <c r="AH77" s="590" cm="1">
        <f t="array" ref="AH77">IF(ISNA(AH72),#N/A,SUMPRODUCT(General_Data*(Code_General_Data=$A77)*(Year=AH$1)*(Month=AH$2)))</f>
        <v>1074.3160789931267</v>
      </c>
      <c r="AI77" s="590"/>
      <c r="AJ77" s="590"/>
      <c r="AK77" s="590"/>
      <c r="AL77" s="590"/>
      <c r="AM77" s="590"/>
      <c r="AN77" s="590"/>
      <c r="AO77" s="591">
        <f>INDEX($E77:$AN77,MATCH("X",$E$3:$AN$3,0))</f>
        <v>1074.3160789931267</v>
      </c>
    </row>
    <row r="78" spans="1:41" s="420" customFormat="1" x14ac:dyDescent="0.3">
      <c r="D78" s="420" t="s">
        <v>395</v>
      </c>
      <c r="E78" s="421" t="e">
        <f>E73</f>
        <v>#N/A</v>
      </c>
      <c r="F78" s="421" t="e">
        <f t="shared" ref="F78:AB78" si="104">F73</f>
        <v>#N/A</v>
      </c>
      <c r="G78" s="421" t="e">
        <f t="shared" si="104"/>
        <v>#N/A</v>
      </c>
      <c r="H78" s="421" t="e">
        <f t="shared" si="104"/>
        <v>#N/A</v>
      </c>
      <c r="I78" s="421" t="e">
        <f t="shared" si="104"/>
        <v>#N/A</v>
      </c>
      <c r="J78" s="421" t="e">
        <f t="shared" si="104"/>
        <v>#N/A</v>
      </c>
      <c r="K78" s="421" t="e">
        <f t="shared" si="104"/>
        <v>#N/A</v>
      </c>
      <c r="L78" s="421" t="e">
        <f t="shared" si="104"/>
        <v>#N/A</v>
      </c>
      <c r="M78" s="421" t="e">
        <f t="shared" si="104"/>
        <v>#N/A</v>
      </c>
      <c r="N78" s="421" t="e">
        <f t="shared" si="104"/>
        <v>#N/A</v>
      </c>
      <c r="O78" s="421" t="e">
        <f t="shared" si="104"/>
        <v>#N/A</v>
      </c>
      <c r="P78" s="421" t="e">
        <f t="shared" si="104"/>
        <v>#N/A</v>
      </c>
      <c r="Q78" s="421">
        <f t="shared" si="104"/>
        <v>1400</v>
      </c>
      <c r="R78" s="421">
        <f t="shared" si="104"/>
        <v>1400</v>
      </c>
      <c r="S78" s="421">
        <f t="shared" si="104"/>
        <v>1350</v>
      </c>
      <c r="T78" s="421">
        <f t="shared" si="104"/>
        <v>1350</v>
      </c>
      <c r="U78" s="421">
        <f t="shared" si="104"/>
        <v>1350</v>
      </c>
      <c r="V78" s="421">
        <f t="shared" si="104"/>
        <v>1350</v>
      </c>
      <c r="W78" s="421">
        <f t="shared" si="104"/>
        <v>1350</v>
      </c>
      <c r="X78" s="421">
        <f t="shared" si="104"/>
        <v>1330</v>
      </c>
      <c r="Y78" s="421">
        <f t="shared" si="104"/>
        <v>1310</v>
      </c>
      <c r="Z78" s="421">
        <f t="shared" si="104"/>
        <v>1310</v>
      </c>
      <c r="AA78" s="421">
        <f t="shared" si="104"/>
        <v>1300</v>
      </c>
      <c r="AB78" s="421">
        <f t="shared" si="104"/>
        <v>1300</v>
      </c>
      <c r="AC78" s="421">
        <f t="shared" ref="AC78:AF78" si="105">AC73</f>
        <v>1300</v>
      </c>
      <c r="AD78" s="421">
        <f t="shared" si="105"/>
        <v>1300</v>
      </c>
      <c r="AE78" s="421">
        <f t="shared" si="105"/>
        <v>1300</v>
      </c>
      <c r="AF78" s="421">
        <f t="shared" si="105"/>
        <v>1400</v>
      </c>
      <c r="AG78" s="421">
        <f t="shared" ref="AG78:AH78" si="106">AG73</f>
        <v>1470</v>
      </c>
      <c r="AH78" s="421">
        <f t="shared" si="106"/>
        <v>1450</v>
      </c>
      <c r="AI78" s="421"/>
      <c r="AJ78" s="421"/>
      <c r="AK78" s="421"/>
      <c r="AL78" s="421"/>
      <c r="AM78" s="421"/>
      <c r="AN78" s="421"/>
      <c r="AO78" s="431"/>
    </row>
    <row r="79" spans="1:41" s="420" customFormat="1" x14ac:dyDescent="0.3">
      <c r="D79" s="420" t="s">
        <v>396</v>
      </c>
      <c r="E79" s="421" t="e">
        <f>E74+E75/2</f>
        <v>#N/A</v>
      </c>
      <c r="F79" s="421" t="e">
        <f t="shared" ref="F79:AB79" si="107">F74+F75/2</f>
        <v>#N/A</v>
      </c>
      <c r="G79" s="421" t="e">
        <f t="shared" si="107"/>
        <v>#N/A</v>
      </c>
      <c r="H79" s="421" t="e">
        <f t="shared" si="107"/>
        <v>#N/A</v>
      </c>
      <c r="I79" s="421" t="e">
        <f t="shared" si="107"/>
        <v>#N/A</v>
      </c>
      <c r="J79" s="421" t="e">
        <f t="shared" si="107"/>
        <v>#N/A</v>
      </c>
      <c r="K79" s="421" t="e">
        <f t="shared" si="107"/>
        <v>#N/A</v>
      </c>
      <c r="L79" s="421" t="e">
        <f t="shared" si="107"/>
        <v>#N/A</v>
      </c>
      <c r="M79" s="421" t="e">
        <f t="shared" si="107"/>
        <v>#N/A</v>
      </c>
      <c r="N79" s="421" t="e">
        <f t="shared" si="107"/>
        <v>#N/A</v>
      </c>
      <c r="O79" s="421" t="e">
        <f t="shared" si="107"/>
        <v>#N/A</v>
      </c>
      <c r="P79" s="421" t="e">
        <f t="shared" si="107"/>
        <v>#N/A</v>
      </c>
      <c r="Q79" s="421">
        <f t="shared" si="107"/>
        <v>1170</v>
      </c>
      <c r="R79" s="421">
        <f t="shared" si="107"/>
        <v>1159</v>
      </c>
      <c r="S79" s="421">
        <f t="shared" si="107"/>
        <v>1123</v>
      </c>
      <c r="T79" s="421">
        <f t="shared" si="107"/>
        <v>1120.75</v>
      </c>
      <c r="U79" s="421">
        <f t="shared" si="107"/>
        <v>1107</v>
      </c>
      <c r="V79" s="421">
        <f t="shared" si="107"/>
        <v>1091.5</v>
      </c>
      <c r="W79" s="421">
        <f t="shared" si="107"/>
        <v>1091.5</v>
      </c>
      <c r="X79" s="421">
        <f t="shared" si="107"/>
        <v>1072.5</v>
      </c>
      <c r="Y79" s="421">
        <f t="shared" si="107"/>
        <v>1061.5</v>
      </c>
      <c r="Z79" s="421">
        <f t="shared" si="107"/>
        <v>1057.5</v>
      </c>
      <c r="AA79" s="421">
        <f t="shared" si="107"/>
        <v>1052.5</v>
      </c>
      <c r="AB79" s="421">
        <f t="shared" si="107"/>
        <v>1051.25</v>
      </c>
      <c r="AC79" s="421">
        <f t="shared" ref="AC79:AF79" si="108">AC74+AC75/2</f>
        <v>1050</v>
      </c>
      <c r="AD79" s="421">
        <f t="shared" si="108"/>
        <v>1050</v>
      </c>
      <c r="AE79" s="421">
        <f t="shared" si="108"/>
        <v>1315.5</v>
      </c>
      <c r="AF79" s="421">
        <f t="shared" si="108"/>
        <v>1495</v>
      </c>
      <c r="AG79" s="421">
        <f t="shared" ref="AG79:AH79" si="109">AG74+AG75/2</f>
        <v>1496.5</v>
      </c>
      <c r="AH79" s="421">
        <f t="shared" si="109"/>
        <v>1460</v>
      </c>
      <c r="AI79" s="421"/>
      <c r="AJ79" s="421"/>
      <c r="AK79" s="421"/>
      <c r="AL79" s="421"/>
      <c r="AM79" s="421"/>
      <c r="AN79" s="421"/>
      <c r="AO79" s="431"/>
    </row>
    <row r="80" spans="1:41" s="428" customFormat="1" x14ac:dyDescent="0.3">
      <c r="D80" s="428" t="s">
        <v>393</v>
      </c>
      <c r="E80" s="429" t="e">
        <f>E73</f>
        <v>#N/A</v>
      </c>
      <c r="F80" s="429" t="e">
        <f t="shared" ref="F80:AB80" si="110">F73</f>
        <v>#N/A</v>
      </c>
      <c r="G80" s="429" t="e">
        <f t="shared" si="110"/>
        <v>#N/A</v>
      </c>
      <c r="H80" s="429" t="e">
        <f t="shared" si="110"/>
        <v>#N/A</v>
      </c>
      <c r="I80" s="429" t="e">
        <f t="shared" si="110"/>
        <v>#N/A</v>
      </c>
      <c r="J80" s="429" t="e">
        <f t="shared" si="110"/>
        <v>#N/A</v>
      </c>
      <c r="K80" s="429" t="e">
        <f t="shared" si="110"/>
        <v>#N/A</v>
      </c>
      <c r="L80" s="429" t="e">
        <f t="shared" si="110"/>
        <v>#N/A</v>
      </c>
      <c r="M80" s="429" t="e">
        <f t="shared" si="110"/>
        <v>#N/A</v>
      </c>
      <c r="N80" s="429" t="e">
        <f t="shared" si="110"/>
        <v>#N/A</v>
      </c>
      <c r="O80" s="429" t="e">
        <f t="shared" si="110"/>
        <v>#N/A</v>
      </c>
      <c r="P80" s="429" t="e">
        <f t="shared" si="110"/>
        <v>#N/A</v>
      </c>
      <c r="Q80" s="429">
        <f t="shared" si="110"/>
        <v>1400</v>
      </c>
      <c r="R80" s="429">
        <f t="shared" si="110"/>
        <v>1400</v>
      </c>
      <c r="S80" s="429">
        <f t="shared" si="110"/>
        <v>1350</v>
      </c>
      <c r="T80" s="429">
        <f t="shared" si="110"/>
        <v>1350</v>
      </c>
      <c r="U80" s="429">
        <f t="shared" si="110"/>
        <v>1350</v>
      </c>
      <c r="V80" s="429">
        <f t="shared" si="110"/>
        <v>1350</v>
      </c>
      <c r="W80" s="429">
        <f t="shared" si="110"/>
        <v>1350</v>
      </c>
      <c r="X80" s="429">
        <f t="shared" si="110"/>
        <v>1330</v>
      </c>
      <c r="Y80" s="429">
        <f t="shared" si="110"/>
        <v>1310</v>
      </c>
      <c r="Z80" s="429">
        <f t="shared" si="110"/>
        <v>1310</v>
      </c>
      <c r="AA80" s="429">
        <f t="shared" si="110"/>
        <v>1300</v>
      </c>
      <c r="AB80" s="429">
        <f t="shared" si="110"/>
        <v>1300</v>
      </c>
      <c r="AC80" s="429">
        <f t="shared" ref="AC80:AF80" si="111">AC73</f>
        <v>1300</v>
      </c>
      <c r="AD80" s="429">
        <f t="shared" si="111"/>
        <v>1300</v>
      </c>
      <c r="AE80" s="429">
        <f t="shared" si="111"/>
        <v>1300</v>
      </c>
      <c r="AF80" s="429">
        <f t="shared" si="111"/>
        <v>1400</v>
      </c>
      <c r="AG80" s="429">
        <f t="shared" ref="AG80:AH80" si="112">AG73</f>
        <v>1470</v>
      </c>
      <c r="AH80" s="429">
        <f t="shared" si="112"/>
        <v>1450</v>
      </c>
      <c r="AI80" s="429"/>
      <c r="AJ80" s="429"/>
      <c r="AK80" s="429"/>
      <c r="AL80" s="429"/>
      <c r="AM80" s="429"/>
      <c r="AN80" s="429"/>
      <c r="AO80" s="430"/>
    </row>
    <row r="81" spans="1:41" s="428" customFormat="1" x14ac:dyDescent="0.3">
      <c r="D81" s="428" t="s">
        <v>394</v>
      </c>
      <c r="E81" s="429">
        <f>E74</f>
        <v>940</v>
      </c>
      <c r="F81" s="429">
        <f t="shared" ref="F81:AB81" si="113">F74</f>
        <v>993.33333333333337</v>
      </c>
      <c r="G81" s="429">
        <f t="shared" si="113"/>
        <v>985</v>
      </c>
      <c r="H81" s="429">
        <f t="shared" si="113"/>
        <v>962.5</v>
      </c>
      <c r="I81" s="429">
        <f t="shared" si="113"/>
        <v>982</v>
      </c>
      <c r="J81" s="429">
        <f t="shared" si="113"/>
        <v>1000</v>
      </c>
      <c r="K81" s="429">
        <f t="shared" si="113"/>
        <v>1000</v>
      </c>
      <c r="L81" s="429">
        <f t="shared" si="113"/>
        <v>984</v>
      </c>
      <c r="M81" s="429">
        <f t="shared" si="113"/>
        <v>967.5</v>
      </c>
      <c r="N81" s="429">
        <f t="shared" si="113"/>
        <v>965</v>
      </c>
      <c r="O81" s="429">
        <f t="shared" si="113"/>
        <v>974</v>
      </c>
      <c r="P81" s="429">
        <f t="shared" si="113"/>
        <v>956</v>
      </c>
      <c r="Q81" s="429">
        <f t="shared" si="113"/>
        <v>940</v>
      </c>
      <c r="R81" s="429">
        <f t="shared" si="113"/>
        <v>918</v>
      </c>
      <c r="S81" s="429">
        <f t="shared" si="113"/>
        <v>896</v>
      </c>
      <c r="T81" s="429">
        <f t="shared" si="113"/>
        <v>891.5</v>
      </c>
      <c r="U81" s="429">
        <f t="shared" si="113"/>
        <v>864</v>
      </c>
      <c r="V81" s="429">
        <f t="shared" si="113"/>
        <v>833</v>
      </c>
      <c r="W81" s="429">
        <f t="shared" si="113"/>
        <v>833</v>
      </c>
      <c r="X81" s="429">
        <f t="shared" si="113"/>
        <v>815</v>
      </c>
      <c r="Y81" s="429">
        <f t="shared" si="113"/>
        <v>813</v>
      </c>
      <c r="Z81" s="429">
        <f t="shared" si="113"/>
        <v>805</v>
      </c>
      <c r="AA81" s="429">
        <f t="shared" si="113"/>
        <v>805</v>
      </c>
      <c r="AB81" s="429">
        <f t="shared" si="113"/>
        <v>802.5</v>
      </c>
      <c r="AC81" s="429">
        <f t="shared" ref="AC81:AF81" si="114">AC74</f>
        <v>800</v>
      </c>
      <c r="AD81" s="429">
        <f t="shared" si="114"/>
        <v>800</v>
      </c>
      <c r="AE81" s="429">
        <f t="shared" si="114"/>
        <v>1331</v>
      </c>
      <c r="AF81" s="429">
        <f t="shared" si="114"/>
        <v>1590</v>
      </c>
      <c r="AG81" s="429">
        <f t="shared" ref="AG81:AH81" si="115">AG74</f>
        <v>1523</v>
      </c>
      <c r="AH81" s="429">
        <f t="shared" si="115"/>
        <v>1470</v>
      </c>
      <c r="AI81" s="429"/>
      <c r="AJ81" s="429"/>
      <c r="AK81" s="429"/>
      <c r="AL81" s="429"/>
      <c r="AM81" s="429"/>
      <c r="AN81" s="429"/>
      <c r="AO81" s="430"/>
    </row>
    <row r="82" spans="1:41" s="428" customFormat="1" x14ac:dyDescent="0.3">
      <c r="D82" s="428" t="s">
        <v>495</v>
      </c>
      <c r="E82" s="429"/>
      <c r="F82" s="429"/>
      <c r="G82" s="429"/>
      <c r="H82" s="429"/>
      <c r="I82" s="429"/>
      <c r="J82" s="429"/>
      <c r="K82" s="429"/>
      <c r="L82" s="429"/>
      <c r="M82" s="429"/>
      <c r="N82" s="429"/>
      <c r="O82" s="429"/>
      <c r="P82" s="429"/>
      <c r="Q82" s="429"/>
      <c r="R82" s="429"/>
      <c r="S82" s="429"/>
      <c r="T82" s="429"/>
      <c r="U82" s="429"/>
      <c r="V82" s="429"/>
      <c r="W82" s="429"/>
      <c r="X82" s="429"/>
      <c r="Y82" s="429"/>
      <c r="Z82" s="429"/>
      <c r="AA82" s="429"/>
      <c r="AB82" s="429"/>
      <c r="AC82" s="429"/>
      <c r="AD82" s="429"/>
      <c r="AE82" s="429">
        <f>IF(AE75&lt;0,AE80)</f>
        <v>1300</v>
      </c>
      <c r="AF82" s="429">
        <f>IF(AF75&lt;0,AF80)</f>
        <v>1400</v>
      </c>
      <c r="AG82" s="429">
        <f>IF(AG75&lt;0,AG80)</f>
        <v>1470</v>
      </c>
      <c r="AH82" s="429">
        <f>IF(AH75&lt;0,AH80)</f>
        <v>1450</v>
      </c>
      <c r="AI82" s="429"/>
      <c r="AJ82" s="429"/>
      <c r="AK82" s="429"/>
      <c r="AL82" s="429"/>
      <c r="AM82" s="429"/>
      <c r="AN82" s="429"/>
      <c r="AO82" s="430"/>
    </row>
    <row r="83" spans="1:41" s="428" customFormat="1" x14ac:dyDescent="0.3">
      <c r="D83" s="428" t="s">
        <v>496</v>
      </c>
      <c r="E83" s="429"/>
      <c r="F83" s="429"/>
      <c r="G83" s="429"/>
      <c r="H83" s="429"/>
      <c r="I83" s="429"/>
      <c r="J83" s="429"/>
      <c r="K83" s="429"/>
      <c r="L83" s="429"/>
      <c r="M83" s="429"/>
      <c r="N83" s="429"/>
      <c r="O83" s="429"/>
      <c r="P83" s="429"/>
      <c r="Q83" s="429"/>
      <c r="R83" s="429"/>
      <c r="S83" s="429"/>
      <c r="T83" s="429"/>
      <c r="U83" s="429"/>
      <c r="V83" s="429"/>
      <c r="W83" s="429"/>
      <c r="X83" s="429"/>
      <c r="Y83" s="429"/>
      <c r="Z83" s="429"/>
      <c r="AA83" s="429"/>
      <c r="AB83" s="429"/>
      <c r="AC83" s="429"/>
      <c r="AD83" s="429"/>
      <c r="AE83" s="429">
        <f>IF(AE75&lt;0,AE74)</f>
        <v>1331</v>
      </c>
      <c r="AF83" s="429">
        <f>IF(AF75&lt;0,AF74)</f>
        <v>1590</v>
      </c>
      <c r="AG83" s="429">
        <f>IF(AG75&lt;0,AG74)</f>
        <v>1523</v>
      </c>
      <c r="AH83" s="429">
        <f>IF(AH75&lt;0,AH74)</f>
        <v>1470</v>
      </c>
      <c r="AI83" s="429"/>
      <c r="AJ83" s="429"/>
      <c r="AK83" s="429"/>
      <c r="AL83" s="429"/>
      <c r="AM83" s="429"/>
      <c r="AN83" s="429"/>
      <c r="AO83" s="430"/>
    </row>
    <row r="84" spans="1:41" x14ac:dyDescent="0.3">
      <c r="C84" s="418"/>
      <c r="D84" s="418" t="s">
        <v>387</v>
      </c>
      <c r="E84" s="432">
        <f>IFERROR(E72,0)</f>
        <v>0</v>
      </c>
      <c r="F84" s="432">
        <f>IF(AND(IFERROR(F72,0)=IFERROR(E72,0),IFERROR(E72,0)=IFERROR(G72,0)),0,IFERROR(F72,0))</f>
        <v>0</v>
      </c>
      <c r="G84" s="432">
        <f t="shared" ref="G84:AH84" si="116">IF(AND(IFERROR(G72,0)=IFERROR(F72,0),IFERROR(F72,0)=IFERROR(H72,0)),0,IFERROR(G72,0))</f>
        <v>0</v>
      </c>
      <c r="H84" s="432">
        <f t="shared" si="116"/>
        <v>0</v>
      </c>
      <c r="I84" s="432">
        <f t="shared" si="116"/>
        <v>0</v>
      </c>
      <c r="J84" s="432">
        <f t="shared" si="116"/>
        <v>0</v>
      </c>
      <c r="K84" s="432">
        <f t="shared" si="116"/>
        <v>0</v>
      </c>
      <c r="L84" s="432">
        <f t="shared" si="116"/>
        <v>0</v>
      </c>
      <c r="M84" s="432">
        <f t="shared" si="116"/>
        <v>0</v>
      </c>
      <c r="N84" s="432">
        <f t="shared" si="116"/>
        <v>0</v>
      </c>
      <c r="O84" s="432">
        <f t="shared" si="116"/>
        <v>0</v>
      </c>
      <c r="P84" s="432">
        <f t="shared" si="116"/>
        <v>0</v>
      </c>
      <c r="Q84" s="432">
        <f t="shared" si="116"/>
        <v>1388.04</v>
      </c>
      <c r="R84" s="432">
        <f t="shared" si="116"/>
        <v>0</v>
      </c>
      <c r="S84" s="432">
        <f t="shared" si="116"/>
        <v>1388.04</v>
      </c>
      <c r="T84" s="432">
        <f t="shared" si="116"/>
        <v>1338.04</v>
      </c>
      <c r="U84" s="432">
        <f t="shared" si="116"/>
        <v>0</v>
      </c>
      <c r="V84" s="432">
        <f t="shared" si="116"/>
        <v>1338.04</v>
      </c>
      <c r="W84" s="432">
        <f t="shared" si="116"/>
        <v>1368.04</v>
      </c>
      <c r="X84" s="432">
        <f t="shared" si="116"/>
        <v>0</v>
      </c>
      <c r="Y84" s="432">
        <f t="shared" si="116"/>
        <v>0</v>
      </c>
      <c r="Z84" s="432">
        <f t="shared" si="116"/>
        <v>0</v>
      </c>
      <c r="AA84" s="432">
        <f t="shared" si="116"/>
        <v>0</v>
      </c>
      <c r="AB84" s="432">
        <f t="shared" si="116"/>
        <v>1368.04</v>
      </c>
      <c r="AC84" s="432">
        <f t="shared" si="116"/>
        <v>1325</v>
      </c>
      <c r="AD84" s="432">
        <f t="shared" si="116"/>
        <v>0</v>
      </c>
      <c r="AE84" s="432">
        <f t="shared" si="116"/>
        <v>1325</v>
      </c>
      <c r="AF84" s="432">
        <f t="shared" si="116"/>
        <v>1266</v>
      </c>
      <c r="AG84" s="432">
        <f t="shared" si="116"/>
        <v>0</v>
      </c>
      <c r="AH84" s="432">
        <f t="shared" si="116"/>
        <v>1266</v>
      </c>
      <c r="AI84" s="432"/>
      <c r="AJ84" s="432"/>
      <c r="AK84" s="432"/>
      <c r="AL84" s="432"/>
      <c r="AM84" s="432"/>
      <c r="AN84" s="432"/>
      <c r="AO84" s="427" t="s">
        <v>403</v>
      </c>
    </row>
    <row r="85" spans="1:41" x14ac:dyDescent="0.3">
      <c r="C85" s="418"/>
      <c r="D85" s="418" t="s">
        <v>388</v>
      </c>
      <c r="E85" s="432">
        <f>IFERROR(E73,0)</f>
        <v>0</v>
      </c>
      <c r="F85" s="432">
        <f t="shared" ref="F85:AH85" si="117">IF(AND(IFERROR(F73,0)=IFERROR(E73,0),IFERROR(E73,0)=IFERROR(G73,0)),0,IFERROR(F73,0))</f>
        <v>0</v>
      </c>
      <c r="G85" s="432">
        <f t="shared" si="117"/>
        <v>0</v>
      </c>
      <c r="H85" s="432">
        <f t="shared" si="117"/>
        <v>0</v>
      </c>
      <c r="I85" s="432">
        <f t="shared" si="117"/>
        <v>0</v>
      </c>
      <c r="J85" s="432">
        <f t="shared" si="117"/>
        <v>0</v>
      </c>
      <c r="K85" s="432">
        <f t="shared" si="117"/>
        <v>0</v>
      </c>
      <c r="L85" s="432">
        <f t="shared" si="117"/>
        <v>0</v>
      </c>
      <c r="M85" s="432">
        <f t="shared" si="117"/>
        <v>0</v>
      </c>
      <c r="N85" s="432">
        <f t="shared" si="117"/>
        <v>0</v>
      </c>
      <c r="O85" s="432">
        <f t="shared" si="117"/>
        <v>0</v>
      </c>
      <c r="P85" s="432">
        <f t="shared" si="117"/>
        <v>0</v>
      </c>
      <c r="Q85" s="432">
        <f t="shared" si="117"/>
        <v>1400</v>
      </c>
      <c r="R85" s="432">
        <f t="shared" si="117"/>
        <v>1400</v>
      </c>
      <c r="S85" s="432">
        <f t="shared" si="117"/>
        <v>1350</v>
      </c>
      <c r="T85" s="432">
        <f t="shared" si="117"/>
        <v>0</v>
      </c>
      <c r="U85" s="432">
        <f t="shared" si="117"/>
        <v>0</v>
      </c>
      <c r="V85" s="432">
        <f t="shared" si="117"/>
        <v>0</v>
      </c>
      <c r="W85" s="432">
        <f t="shared" si="117"/>
        <v>1350</v>
      </c>
      <c r="X85" s="432">
        <f t="shared" si="117"/>
        <v>1330</v>
      </c>
      <c r="Y85" s="432">
        <f t="shared" si="117"/>
        <v>1310</v>
      </c>
      <c r="Z85" s="432">
        <f t="shared" si="117"/>
        <v>1310</v>
      </c>
      <c r="AA85" s="432">
        <f t="shared" si="117"/>
        <v>1300</v>
      </c>
      <c r="AB85" s="432">
        <f t="shared" si="117"/>
        <v>0</v>
      </c>
      <c r="AC85" s="432">
        <f t="shared" si="117"/>
        <v>0</v>
      </c>
      <c r="AD85" s="432">
        <f t="shared" si="117"/>
        <v>0</v>
      </c>
      <c r="AE85" s="432">
        <f t="shared" si="117"/>
        <v>1300</v>
      </c>
      <c r="AF85" s="432">
        <f t="shared" si="117"/>
        <v>1400</v>
      </c>
      <c r="AG85" s="432">
        <f t="shared" si="117"/>
        <v>1470</v>
      </c>
      <c r="AH85" s="432">
        <f t="shared" si="117"/>
        <v>1450</v>
      </c>
      <c r="AI85" s="432"/>
      <c r="AJ85" s="432"/>
      <c r="AK85" s="432"/>
      <c r="AL85" s="432"/>
      <c r="AM85" s="432"/>
      <c r="AN85" s="432"/>
      <c r="AO85" s="427" t="s">
        <v>17</v>
      </c>
    </row>
    <row r="86" spans="1:41" x14ac:dyDescent="0.3">
      <c r="C86" s="418"/>
      <c r="D86" s="418" t="s">
        <v>389</v>
      </c>
      <c r="E86" s="432">
        <f>IFERROR(E74,0)</f>
        <v>940</v>
      </c>
      <c r="F86" s="432">
        <f t="shared" ref="F86:AH86" si="118">IF(AND(IFERROR(F74,0)=IFERROR(E74,0),IFERROR(E74,0)=IFERROR(G74,0)),0,IFERROR(F74,0))</f>
        <v>993.33333333333337</v>
      </c>
      <c r="G86" s="432">
        <f t="shared" si="118"/>
        <v>985</v>
      </c>
      <c r="H86" s="432">
        <f t="shared" si="118"/>
        <v>962.5</v>
      </c>
      <c r="I86" s="432">
        <f t="shared" si="118"/>
        <v>982</v>
      </c>
      <c r="J86" s="432">
        <f t="shared" si="118"/>
        <v>1000</v>
      </c>
      <c r="K86" s="432">
        <f t="shared" si="118"/>
        <v>1000</v>
      </c>
      <c r="L86" s="432">
        <f t="shared" si="118"/>
        <v>984</v>
      </c>
      <c r="M86" s="432">
        <f t="shared" si="118"/>
        <v>967.5</v>
      </c>
      <c r="N86" s="432">
        <f t="shared" si="118"/>
        <v>965</v>
      </c>
      <c r="O86" s="432">
        <f t="shared" si="118"/>
        <v>974</v>
      </c>
      <c r="P86" s="432">
        <f t="shared" si="118"/>
        <v>956</v>
      </c>
      <c r="Q86" s="432">
        <f t="shared" si="118"/>
        <v>940</v>
      </c>
      <c r="R86" s="432">
        <f t="shared" si="118"/>
        <v>918</v>
      </c>
      <c r="S86" s="432">
        <f t="shared" si="118"/>
        <v>896</v>
      </c>
      <c r="T86" s="432">
        <f t="shared" si="118"/>
        <v>891.5</v>
      </c>
      <c r="U86" s="432">
        <f t="shared" si="118"/>
        <v>864</v>
      </c>
      <c r="V86" s="432">
        <f t="shared" si="118"/>
        <v>833</v>
      </c>
      <c r="W86" s="432">
        <f t="shared" si="118"/>
        <v>833</v>
      </c>
      <c r="X86" s="432">
        <f t="shared" si="118"/>
        <v>815</v>
      </c>
      <c r="Y86" s="432">
        <f t="shared" si="118"/>
        <v>813</v>
      </c>
      <c r="Z86" s="432">
        <f t="shared" si="118"/>
        <v>805</v>
      </c>
      <c r="AA86" s="432">
        <f t="shared" si="118"/>
        <v>805</v>
      </c>
      <c r="AB86" s="432">
        <f t="shared" si="118"/>
        <v>802.5</v>
      </c>
      <c r="AC86" s="432">
        <f t="shared" si="118"/>
        <v>800</v>
      </c>
      <c r="AD86" s="432">
        <f t="shared" si="118"/>
        <v>800</v>
      </c>
      <c r="AE86" s="432">
        <f t="shared" si="118"/>
        <v>1331</v>
      </c>
      <c r="AF86" s="432">
        <f t="shared" si="118"/>
        <v>1590</v>
      </c>
      <c r="AG86" s="432">
        <f t="shared" si="118"/>
        <v>1523</v>
      </c>
      <c r="AH86" s="432">
        <f t="shared" si="118"/>
        <v>1470</v>
      </c>
      <c r="AI86" s="432"/>
      <c r="AJ86" s="432"/>
      <c r="AK86" s="432"/>
      <c r="AL86" s="432"/>
      <c r="AM86" s="432"/>
      <c r="AN86" s="432"/>
      <c r="AO86" s="427" t="s">
        <v>11</v>
      </c>
    </row>
    <row r="87" spans="1:41" x14ac:dyDescent="0.3">
      <c r="C87" s="418"/>
      <c r="D87" s="418" t="s">
        <v>551</v>
      </c>
      <c r="E87" s="432">
        <f>IFERROR(E77,0)</f>
        <v>0</v>
      </c>
      <c r="F87" s="432">
        <f>IF(AND(IFERROR(F77,0)=IFERROR(E77,0),IFERROR(E77,0)=IFERROR(G77,0)),0,IFERROR(F77,0))</f>
        <v>0</v>
      </c>
      <c r="G87" s="432">
        <f t="shared" ref="G87:AH87" si="119">IF(AND(IFERROR(G77,0)=IFERROR(F77,0),IFERROR(F77,0)=IFERROR(H77,0)),0,IFERROR(G77,0))</f>
        <v>0</v>
      </c>
      <c r="H87" s="432">
        <f t="shared" si="119"/>
        <v>0</v>
      </c>
      <c r="I87" s="432">
        <f t="shared" si="119"/>
        <v>0</v>
      </c>
      <c r="J87" s="432">
        <f t="shared" si="119"/>
        <v>0</v>
      </c>
      <c r="K87" s="432">
        <f t="shared" si="119"/>
        <v>0</v>
      </c>
      <c r="L87" s="432">
        <f t="shared" si="119"/>
        <v>0</v>
      </c>
      <c r="M87" s="432">
        <f t="shared" si="119"/>
        <v>0</v>
      </c>
      <c r="N87" s="432">
        <f t="shared" si="119"/>
        <v>0</v>
      </c>
      <c r="O87" s="432">
        <f t="shared" si="119"/>
        <v>0</v>
      </c>
      <c r="P87" s="432">
        <f t="shared" si="119"/>
        <v>0</v>
      </c>
      <c r="Q87" s="432">
        <f t="shared" si="119"/>
        <v>1096.9942524368221</v>
      </c>
      <c r="R87" s="432">
        <f t="shared" si="119"/>
        <v>1118.3928672932527</v>
      </c>
      <c r="S87" s="432">
        <f t="shared" si="119"/>
        <v>1113.4584653401475</v>
      </c>
      <c r="T87" s="432">
        <f t="shared" si="119"/>
        <v>1099.6693828881585</v>
      </c>
      <c r="U87" s="432">
        <f t="shared" si="119"/>
        <v>1094.368110770663</v>
      </c>
      <c r="V87" s="432">
        <f t="shared" si="119"/>
        <v>1088.3353579825598</v>
      </c>
      <c r="W87" s="432">
        <f t="shared" si="119"/>
        <v>1078.9456475758248</v>
      </c>
      <c r="X87" s="432">
        <f t="shared" si="119"/>
        <v>1074.1117347329705</v>
      </c>
      <c r="Y87" s="432">
        <f t="shared" si="119"/>
        <v>1072.0847063273393</v>
      </c>
      <c r="Z87" s="432">
        <f t="shared" si="119"/>
        <v>1071.436921215829</v>
      </c>
      <c r="AA87" s="432">
        <f t="shared" si="119"/>
        <v>1071.6418128274754</v>
      </c>
      <c r="AB87" s="432">
        <f t="shared" si="119"/>
        <v>1072.3390147166267</v>
      </c>
      <c r="AC87" s="432">
        <f t="shared" si="119"/>
        <v>1076.0452590420332</v>
      </c>
      <c r="AD87" s="432">
        <f t="shared" si="119"/>
        <v>1085.9707950757868</v>
      </c>
      <c r="AE87" s="432">
        <f t="shared" si="119"/>
        <v>1074.8070454956419</v>
      </c>
      <c r="AF87" s="432">
        <f t="shared" si="119"/>
        <v>1072.1750345867849</v>
      </c>
      <c r="AG87" s="432">
        <f t="shared" si="119"/>
        <v>1074.3160789931267</v>
      </c>
      <c r="AH87" s="432">
        <f t="shared" si="119"/>
        <v>1074.3160789931267</v>
      </c>
      <c r="AI87" s="432"/>
      <c r="AJ87" s="432"/>
      <c r="AK87" s="432"/>
      <c r="AL87" s="432"/>
      <c r="AM87" s="432"/>
      <c r="AN87" s="432"/>
      <c r="AO87" s="427" t="s">
        <v>552</v>
      </c>
    </row>
    <row r="88" spans="1:41" x14ac:dyDescent="0.3">
      <c r="C88" s="418"/>
      <c r="D88" s="418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  <c r="AA88" s="432"/>
      <c r="AB88" s="432"/>
      <c r="AC88" s="432"/>
      <c r="AD88" s="432"/>
      <c r="AE88" s="432"/>
      <c r="AF88" s="432"/>
      <c r="AG88" s="432"/>
      <c r="AH88" s="432"/>
      <c r="AI88" s="432"/>
      <c r="AJ88" s="432"/>
      <c r="AK88" s="432"/>
      <c r="AL88" s="432"/>
      <c r="AM88" s="432"/>
      <c r="AN88" s="432"/>
      <c r="AO88" s="427"/>
    </row>
    <row r="89" spans="1:41" ht="17.399999999999999" x14ac:dyDescent="0.35">
      <c r="C89" s="393" t="s">
        <v>24</v>
      </c>
      <c r="D89" s="393" t="s">
        <v>23</v>
      </c>
    </row>
    <row r="90" spans="1:41" x14ac:dyDescent="0.3">
      <c r="C90" s="41"/>
      <c r="D90" s="41"/>
      <c r="E90" s="41">
        <v>2024</v>
      </c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>
        <v>2025</v>
      </c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>
        <v>2026</v>
      </c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</row>
    <row r="91" spans="1:41" x14ac:dyDescent="0.3">
      <c r="C91" s="41"/>
      <c r="D91" s="41"/>
      <c r="E91" s="41">
        <v>1</v>
      </c>
      <c r="F91" s="41">
        <v>2</v>
      </c>
      <c r="G91" s="41">
        <v>3</v>
      </c>
      <c r="H91" s="41">
        <v>4</v>
      </c>
      <c r="I91" s="41">
        <v>5</v>
      </c>
      <c r="J91" s="41">
        <v>6</v>
      </c>
      <c r="K91" s="41">
        <v>7</v>
      </c>
      <c r="L91" s="41">
        <v>8</v>
      </c>
      <c r="M91" s="41">
        <v>9</v>
      </c>
      <c r="N91" s="41">
        <v>10</v>
      </c>
      <c r="O91" s="41">
        <v>11</v>
      </c>
      <c r="P91" s="41">
        <v>12</v>
      </c>
      <c r="Q91" s="41">
        <v>1</v>
      </c>
      <c r="R91" s="41">
        <v>2</v>
      </c>
      <c r="S91" s="41">
        <v>3</v>
      </c>
      <c r="T91" s="41">
        <v>4</v>
      </c>
      <c r="U91" s="41">
        <v>5</v>
      </c>
      <c r="V91" s="41">
        <v>6</v>
      </c>
      <c r="W91" s="41">
        <v>7</v>
      </c>
      <c r="X91" s="41">
        <v>8</v>
      </c>
      <c r="Y91" s="41">
        <v>9</v>
      </c>
      <c r="Z91" s="41">
        <v>10</v>
      </c>
      <c r="AA91" s="41">
        <v>11</v>
      </c>
      <c r="AB91" s="41">
        <v>12</v>
      </c>
      <c r="AC91" s="41">
        <v>1</v>
      </c>
      <c r="AD91" s="41">
        <v>2</v>
      </c>
      <c r="AE91" s="41">
        <v>3</v>
      </c>
      <c r="AF91" s="41">
        <v>4</v>
      </c>
      <c r="AG91" s="41">
        <v>5</v>
      </c>
      <c r="AH91" s="41">
        <v>6</v>
      </c>
      <c r="AI91" s="41">
        <v>7</v>
      </c>
      <c r="AJ91" s="41">
        <v>8</v>
      </c>
      <c r="AK91" s="41">
        <v>9</v>
      </c>
      <c r="AL91" s="41">
        <v>10</v>
      </c>
      <c r="AM91" s="41">
        <v>11</v>
      </c>
      <c r="AN91" s="41">
        <v>12</v>
      </c>
      <c r="AO91" s="41" t="s">
        <v>385</v>
      </c>
    </row>
    <row r="92" spans="1:41" x14ac:dyDescent="0.3">
      <c r="B92" s="14" t="s">
        <v>63</v>
      </c>
      <c r="C92" t="s">
        <v>24</v>
      </c>
      <c r="D92" t="s">
        <v>346</v>
      </c>
      <c r="E92" s="394" cm="1">
        <f t="array" ref="E92">IF(SUMPRODUCT('Giá công thức'!$G$11:$AQ$115*('Giá công thức'!$A$11:$A$115=$B92)*('Giá công thức'!$B$11:$B$115=$C92)*('Giá công thức'!$C$11:$C$115="GB")*('Giá công thức'!$G$3:$AQ$3=E$1)*('Giá công thức'!$G$4:$AQ$4=E$2))=0,NA(),SUMPRODUCT('Giá công thức'!$G$11:$AQ$115*('Giá công thức'!$A$11:$A$115=$B92)*('Giá công thức'!$B$11:$B$115=$C92)*('Giá công thức'!$C$11:$C$115="GB")*('Giá công thức'!$G$3:$AQ$3=E$1)*('Giá công thức'!$G$4:$AQ$4=E$2)))</f>
        <v>1487.795918367347</v>
      </c>
      <c r="F92" s="394" cm="1">
        <f t="array" ref="F92">IF(SUMPRODUCT('Giá công thức'!$G$11:$AQ$115*('Giá công thức'!$A$11:$A$115=$B92)*('Giá công thức'!$B$11:$B$115=$C92)*('Giá công thức'!$C$11:$C$115="GB")*('Giá công thức'!$G$3:$AQ$3=F$1)*('Giá công thức'!$G$4:$AQ$4=F$2))=0,NA(),SUMPRODUCT('Giá công thức'!$G$11:$AQ$115*('Giá công thức'!$A$11:$A$115=$B92)*('Giá công thức'!$B$11:$B$115=$C92)*('Giá công thức'!$C$11:$C$115="GB")*('Giá công thức'!$G$3:$AQ$3=F$1)*('Giá công thức'!$G$4:$AQ$4=F$2)))</f>
        <v>1487.795918367347</v>
      </c>
      <c r="G92" s="394" cm="1">
        <f t="array" ref="G92">IF(SUMPRODUCT('Giá công thức'!$G$11:$AQ$115*('Giá công thức'!$A$11:$A$115=$B92)*('Giá công thức'!$B$11:$B$115=$C92)*('Giá công thức'!$C$11:$C$115="GB")*('Giá công thức'!$G$3:$AQ$3=G$1)*('Giá công thức'!$G$4:$AQ$4=G$2))=0,NA(),SUMPRODUCT('Giá công thức'!$G$11:$AQ$115*('Giá công thức'!$A$11:$A$115=$B92)*('Giá công thức'!$B$11:$B$115=$C92)*('Giá công thức'!$C$11:$C$115="GB")*('Giá công thức'!$G$3:$AQ$3=G$1)*('Giá công thức'!$G$4:$AQ$4=G$2)))</f>
        <v>1487.795918367347</v>
      </c>
      <c r="H92" s="394" cm="1">
        <f t="array" ref="H92">IF(SUMPRODUCT('Giá công thức'!$G$11:$AQ$115*('Giá công thức'!$A$11:$A$115=$B92)*('Giá công thức'!$B$11:$B$115=$C92)*('Giá công thức'!$C$11:$C$115="GB")*('Giá công thức'!$G$3:$AQ$3=H$1)*('Giá công thức'!$G$4:$AQ$4=H$2))=0,NA(),SUMPRODUCT('Giá công thức'!$G$11:$AQ$115*('Giá công thức'!$A$11:$A$115=$B92)*('Giá công thức'!$B$11:$B$115=$C92)*('Giá công thức'!$C$11:$C$115="GB")*('Giá công thức'!$G$3:$AQ$3=H$1)*('Giá công thức'!$G$4:$AQ$4=H$2)))</f>
        <v>1417.795918367347</v>
      </c>
      <c r="I92" s="394" cm="1">
        <f t="array" ref="I92">IF(SUMPRODUCT('Giá công thức'!$G$11:$AQ$115*('Giá công thức'!$A$11:$A$115=$B92)*('Giá công thức'!$B$11:$B$115=$C92)*('Giá công thức'!$C$11:$C$115="GB")*('Giá công thức'!$G$3:$AQ$3=I$1)*('Giá công thức'!$G$4:$AQ$4=I$2))=0,NA(),SUMPRODUCT('Giá công thức'!$G$11:$AQ$115*('Giá công thức'!$A$11:$A$115=$B92)*('Giá công thức'!$B$11:$B$115=$C92)*('Giá công thức'!$C$11:$C$115="GB")*('Giá công thức'!$G$3:$AQ$3=I$1)*('Giá công thức'!$G$4:$AQ$4=I$2)))</f>
        <v>1417.795918367347</v>
      </c>
      <c r="J92" s="394" cm="1">
        <f t="array" ref="J92">IF(SUMPRODUCT('Giá công thức'!$G$11:$AQ$115*('Giá công thức'!$A$11:$A$115=$B92)*('Giá công thức'!$B$11:$B$115=$C92)*('Giá công thức'!$C$11:$C$115="GB")*('Giá công thức'!$G$3:$AQ$3=J$1)*('Giá công thức'!$G$4:$AQ$4=J$2))=0,NA(),SUMPRODUCT('Giá công thức'!$G$11:$AQ$115*('Giá công thức'!$A$11:$A$115=$B92)*('Giá công thức'!$B$11:$B$115=$C92)*('Giá công thức'!$C$11:$C$115="GB")*('Giá công thức'!$G$3:$AQ$3=J$1)*('Giá công thức'!$G$4:$AQ$4=J$2)))</f>
        <v>1417.795918367347</v>
      </c>
      <c r="K92" s="394" cm="1">
        <f t="array" ref="K92">IF(SUMPRODUCT('Giá công thức'!$G$11:$AQ$115*('Giá công thức'!$A$11:$A$115=$B92)*('Giá công thức'!$B$11:$B$115=$C92)*('Giá công thức'!$C$11:$C$115="GB")*('Giá công thức'!$G$3:$AQ$3=K$1)*('Giá công thức'!$G$4:$AQ$4=K$2))=0,NA(),SUMPRODUCT('Giá công thức'!$G$11:$AQ$115*('Giá công thức'!$A$11:$A$115=$B92)*('Giá công thức'!$B$11:$B$115=$C92)*('Giá công thức'!$C$11:$C$115="GB")*('Giá công thức'!$G$3:$AQ$3=K$1)*('Giá công thức'!$G$4:$AQ$4=K$2)))</f>
        <v>1418.04</v>
      </c>
      <c r="L92" s="394" cm="1">
        <f t="array" ref="L92">IF(SUMPRODUCT('Giá công thức'!$G$11:$AQ$115*('Giá công thức'!$A$11:$A$115=$B92)*('Giá công thức'!$B$11:$B$115=$C92)*('Giá công thức'!$C$11:$C$115="GB")*('Giá công thức'!$G$3:$AQ$3=L$1)*('Giá công thức'!$G$4:$AQ$4=L$2))=0,NA(),SUMPRODUCT('Giá công thức'!$G$11:$AQ$115*('Giá công thức'!$A$11:$A$115=$B92)*('Giá công thức'!$B$11:$B$115=$C92)*('Giá công thức'!$C$11:$C$115="GB")*('Giá công thức'!$G$3:$AQ$3=L$1)*('Giá công thức'!$G$4:$AQ$4=L$2)))</f>
        <v>1418.04</v>
      </c>
      <c r="M92" s="394" cm="1">
        <f t="array" ref="M92">IF(SUMPRODUCT('Giá công thức'!$G$11:$AQ$115*('Giá công thức'!$A$11:$A$115=$B92)*('Giá công thức'!$B$11:$B$115=$C92)*('Giá công thức'!$C$11:$C$115="GB")*('Giá công thức'!$G$3:$AQ$3=M$1)*('Giá công thức'!$G$4:$AQ$4=M$2))=0,NA(),SUMPRODUCT('Giá công thức'!$G$11:$AQ$115*('Giá công thức'!$A$11:$A$115=$B92)*('Giá công thức'!$B$11:$B$115=$C92)*('Giá công thức'!$C$11:$C$115="GB")*('Giá công thức'!$G$3:$AQ$3=M$1)*('Giá công thức'!$G$4:$AQ$4=M$2)))</f>
        <v>1418.04</v>
      </c>
      <c r="N92" s="394" cm="1">
        <f t="array" ref="N92">IF(SUMPRODUCT('Giá công thức'!$G$11:$AQ$115*('Giá công thức'!$A$11:$A$115=$B92)*('Giá công thức'!$B$11:$B$115=$C92)*('Giá công thức'!$C$11:$C$115="GB")*('Giá công thức'!$G$3:$AQ$3=N$1)*('Giá công thức'!$G$4:$AQ$4=N$2))=0,NA(),SUMPRODUCT('Giá công thức'!$G$11:$AQ$115*('Giá công thức'!$A$11:$A$115=$B92)*('Giá công thức'!$B$11:$B$115=$C92)*('Giá công thức'!$C$11:$C$115="GB")*('Giá công thức'!$G$3:$AQ$3=N$1)*('Giá công thức'!$G$4:$AQ$4=N$2)))</f>
        <v>1418.04</v>
      </c>
      <c r="O92" s="394" cm="1">
        <f t="array" ref="O92">IF(SUMPRODUCT('Giá công thức'!$G$11:$AQ$115*('Giá công thức'!$A$11:$A$115=$B92)*('Giá công thức'!$B$11:$B$115=$C92)*('Giá công thức'!$C$11:$C$115="GB")*('Giá công thức'!$G$3:$AQ$3=O$1)*('Giá công thức'!$G$4:$AQ$4=O$2))=0,NA(),SUMPRODUCT('Giá công thức'!$G$11:$AQ$115*('Giá công thức'!$A$11:$A$115=$B92)*('Giá công thức'!$B$11:$B$115=$C92)*('Giá công thức'!$C$11:$C$115="GB")*('Giá công thức'!$G$3:$AQ$3=O$1)*('Giá công thức'!$G$4:$AQ$4=O$2)))</f>
        <v>1418.04</v>
      </c>
      <c r="P92" s="394" cm="1">
        <f t="array" ref="P92">IF(SUMPRODUCT('Giá công thức'!$G$11:$AQ$115*('Giá công thức'!$A$11:$A$115=$B92)*('Giá công thức'!$B$11:$B$115=$C92)*('Giá công thức'!$C$11:$C$115="GB")*('Giá công thức'!$G$3:$AQ$3=P$1)*('Giá công thức'!$G$4:$AQ$4=P$2))=0,NA(),SUMPRODUCT('Giá công thức'!$G$11:$AQ$115*('Giá công thức'!$A$11:$A$115=$B92)*('Giá công thức'!$B$11:$B$115=$C92)*('Giá công thức'!$C$11:$C$115="GB")*('Giá công thức'!$G$3:$AQ$3=P$1)*('Giá công thức'!$G$4:$AQ$4=P$2)))</f>
        <v>1418.04</v>
      </c>
      <c r="Q92" s="394" cm="1">
        <f t="array" ref="Q92">IF(SUMPRODUCT('Giá công thức'!$G$11:$AQ$115*('Giá công thức'!$A$11:$A$115=$B92)*('Giá công thức'!$B$11:$B$115=$C92)*('Giá công thức'!$C$11:$C$115="GB")*('Giá công thức'!$G$3:$AQ$3=Q$1)*('Giá công thức'!$G$4:$AQ$4=Q$2))=0,NA(),SUMPRODUCT('Giá công thức'!$G$11:$AQ$115*('Giá công thức'!$A$11:$A$115=$B92)*('Giá công thức'!$B$11:$B$115=$C92)*('Giá công thức'!$C$11:$C$115="GB")*('Giá công thức'!$G$3:$AQ$3=Q$1)*('Giá công thức'!$G$4:$AQ$4=Q$2)))</f>
        <v>1388.04</v>
      </c>
      <c r="R92" s="394" cm="1">
        <f t="array" ref="R92">IF(SUMPRODUCT('Giá công thức'!$G$11:$AQ$115*('Giá công thức'!$A$11:$A$115=$B92)*('Giá công thức'!$B$11:$B$115=$C92)*('Giá công thức'!$C$11:$C$115="GB")*('Giá công thức'!$G$3:$AQ$3=R$1)*('Giá công thức'!$G$4:$AQ$4=R$2))=0,NA(),SUMPRODUCT('Giá công thức'!$G$11:$AQ$115*('Giá công thức'!$A$11:$A$115=$B92)*('Giá công thức'!$B$11:$B$115=$C92)*('Giá công thức'!$C$11:$C$115="GB")*('Giá công thức'!$G$3:$AQ$3=R$1)*('Giá công thức'!$G$4:$AQ$4=R$2)))</f>
        <v>1388.04</v>
      </c>
      <c r="S92" s="394" cm="1">
        <f t="array" ref="S92">IF(SUMPRODUCT('Giá công thức'!$G$11:$AQ$115*('Giá công thức'!$A$11:$A$115=$B92)*('Giá công thức'!$B$11:$B$115=$C92)*('Giá công thức'!$C$11:$C$115="GB")*('Giá công thức'!$G$3:$AQ$3=S$1)*('Giá công thức'!$G$4:$AQ$4=S$2))=0,NA(),SUMPRODUCT('Giá công thức'!$G$11:$AQ$115*('Giá công thức'!$A$11:$A$115=$B92)*('Giá công thức'!$B$11:$B$115=$C92)*('Giá công thức'!$C$11:$C$115="GB")*('Giá công thức'!$G$3:$AQ$3=S$1)*('Giá công thức'!$G$4:$AQ$4=S$2)))</f>
        <v>1388.04</v>
      </c>
      <c r="T92" s="394" cm="1">
        <f t="array" ref="T92">IF(SUMPRODUCT('Giá công thức'!$G$11:$AQ$115*('Giá công thức'!$A$11:$A$115=$B92)*('Giá công thức'!$B$11:$B$115=$C92)*('Giá công thức'!$C$11:$C$115="GB")*('Giá công thức'!$G$3:$AQ$3=T$1)*('Giá công thức'!$G$4:$AQ$4=T$2))=0,NA(),SUMPRODUCT('Giá công thức'!$G$11:$AQ$115*('Giá công thức'!$A$11:$A$115=$B92)*('Giá công thức'!$B$11:$B$115=$C92)*('Giá công thức'!$C$11:$C$115="GB")*('Giá công thức'!$G$3:$AQ$3=T$1)*('Giá công thức'!$G$4:$AQ$4=T$2)))</f>
        <v>1338.04</v>
      </c>
      <c r="U92" s="394" cm="1">
        <f t="array" ref="U92">IF(SUMPRODUCT('Giá công thức'!$G$11:$AQ$115*('Giá công thức'!$A$11:$A$115=$B92)*('Giá công thức'!$B$11:$B$115=$C92)*('Giá công thức'!$C$11:$C$115="GB")*('Giá công thức'!$G$3:$AQ$3=U$1)*('Giá công thức'!$G$4:$AQ$4=U$2))=0,NA(),SUMPRODUCT('Giá công thức'!$G$11:$AQ$115*('Giá công thức'!$A$11:$A$115=$B92)*('Giá công thức'!$B$11:$B$115=$C92)*('Giá công thức'!$C$11:$C$115="GB")*('Giá công thức'!$G$3:$AQ$3=U$1)*('Giá công thức'!$G$4:$AQ$4=U$2)))</f>
        <v>1338.04</v>
      </c>
      <c r="V92" s="394" cm="1">
        <f t="array" ref="V92">IF(SUMPRODUCT('Giá công thức'!$G$11:$AQ$115*('Giá công thức'!$A$11:$A$115=$B92)*('Giá công thức'!$B$11:$B$115=$C92)*('Giá công thức'!$C$11:$C$115="GB")*('Giá công thức'!$G$3:$AQ$3=V$1)*('Giá công thức'!$G$4:$AQ$4=V$2))=0,NA(),SUMPRODUCT('Giá công thức'!$G$11:$AQ$115*('Giá công thức'!$A$11:$A$115=$B92)*('Giá công thức'!$B$11:$B$115=$C92)*('Giá công thức'!$C$11:$C$115="GB")*('Giá công thức'!$G$3:$AQ$3=V$1)*('Giá công thức'!$G$4:$AQ$4=V$2)))</f>
        <v>1338.04</v>
      </c>
      <c r="W92" s="394" cm="1">
        <f t="array" ref="W92">IF(SUMPRODUCT('Giá công thức'!$G$11:$AQ$115*('Giá công thức'!$A$11:$A$115=$B92)*('Giá công thức'!$B$11:$B$115=$C92)*('Giá công thức'!$C$11:$C$115="GB")*('Giá công thức'!$G$3:$AQ$3=W$1)*('Giá công thức'!$G$4:$AQ$4=W$2))=0,NA(),SUMPRODUCT('Giá công thức'!$G$11:$AQ$115*('Giá công thức'!$A$11:$A$115=$B92)*('Giá công thức'!$B$11:$B$115=$C92)*('Giá công thức'!$C$11:$C$115="GB")*('Giá công thức'!$G$3:$AQ$3=W$1)*('Giá công thức'!$G$4:$AQ$4=W$2)))</f>
        <v>1368.04</v>
      </c>
      <c r="X92" s="394" cm="1">
        <f t="array" ref="X92">IF(SUMPRODUCT('Giá công thức'!$G$11:$AQ$115*('Giá công thức'!$A$11:$A$115=$B92)*('Giá công thức'!$B$11:$B$115=$C92)*('Giá công thức'!$C$11:$C$115="GB")*('Giá công thức'!$G$3:$AQ$3=X$1)*('Giá công thức'!$G$4:$AQ$4=X$2))=0,NA(),SUMPRODUCT('Giá công thức'!$G$11:$AQ$115*('Giá công thức'!$A$11:$A$115=$B92)*('Giá công thức'!$B$11:$B$115=$C92)*('Giá công thức'!$C$11:$C$115="GB")*('Giá công thức'!$G$3:$AQ$3=X$1)*('Giá công thức'!$G$4:$AQ$4=X$2)))</f>
        <v>1368.04</v>
      </c>
      <c r="Y92" s="394" cm="1">
        <f t="array" ref="Y92">IF(SUMPRODUCT('Giá công thức'!$G$11:$AQ$115*('Giá công thức'!$A$11:$A$115=$B92)*('Giá công thức'!$B$11:$B$115=$C92)*('Giá công thức'!$C$11:$C$115="GB")*('Giá công thức'!$G$3:$AQ$3=Y$1)*('Giá công thức'!$G$4:$AQ$4=Y$2))=0,NA(),SUMPRODUCT('Giá công thức'!$G$11:$AQ$115*('Giá công thức'!$A$11:$A$115=$B92)*('Giá công thức'!$B$11:$B$115=$C92)*('Giá công thức'!$C$11:$C$115="GB")*('Giá công thức'!$G$3:$AQ$3=Y$1)*('Giá công thức'!$G$4:$AQ$4=Y$2)))</f>
        <v>1368.04</v>
      </c>
      <c r="Z92" s="394" cm="1">
        <f t="array" ref="Z92">IF(SUMPRODUCT('Giá công thức'!$G$11:$AQ$115*('Giá công thức'!$A$11:$A$115=$B92)*('Giá công thức'!$B$11:$B$115=$C92)*('Giá công thức'!$C$11:$C$115="GB")*('Giá công thức'!$G$3:$AQ$3=Z$1)*('Giá công thức'!$G$4:$AQ$4=Z$2))=0,NA(),SUMPRODUCT('Giá công thức'!$G$11:$AQ$115*('Giá công thức'!$A$11:$A$115=$B92)*('Giá công thức'!$B$11:$B$115=$C92)*('Giá công thức'!$C$11:$C$115="GB")*('Giá công thức'!$G$3:$AQ$3=Z$1)*('Giá công thức'!$G$4:$AQ$4=Z$2)))</f>
        <v>1368.04</v>
      </c>
      <c r="AA92" s="394" cm="1">
        <f t="array" ref="AA92">IF(SUMPRODUCT('Giá công thức'!$G$11:$AQ$115*('Giá công thức'!$A$11:$A$115=$B92)*('Giá công thức'!$B$11:$B$115=$C92)*('Giá công thức'!$C$11:$C$115="GB")*('Giá công thức'!$G$3:$AQ$3=AA$1)*('Giá công thức'!$G$4:$AQ$4=AA$2))=0,NA(),SUMPRODUCT('Giá công thức'!$G$11:$AQ$115*('Giá công thức'!$A$11:$A$115=$B92)*('Giá công thức'!$B$11:$B$115=$C92)*('Giá công thức'!$C$11:$C$115="GB")*('Giá công thức'!$G$3:$AQ$3=AA$1)*('Giá công thức'!$G$4:$AQ$4=AA$2)))</f>
        <v>1368.04</v>
      </c>
      <c r="AB92" s="394" cm="1">
        <f t="array" ref="AB92">IF(SUMPRODUCT('Giá công thức'!$G$11:$AQ$115*('Giá công thức'!$A$11:$A$115=$B92)*('Giá công thức'!$B$11:$B$115=$C92)*('Giá công thức'!$C$11:$C$115="GB")*('Giá công thức'!$G$3:$AQ$3=AB$1)*('Giá công thức'!$G$4:$AQ$4=AB$2))=0,NA(),SUMPRODUCT('Giá công thức'!$G$11:$AQ$115*('Giá công thức'!$A$11:$A$115=$B92)*('Giá công thức'!$B$11:$B$115=$C92)*('Giá công thức'!$C$11:$C$115="GB")*('Giá công thức'!$G$3:$AQ$3=AB$1)*('Giá công thức'!$G$4:$AQ$4=AB$2)))</f>
        <v>1368.04</v>
      </c>
      <c r="AC92" s="394" cm="1">
        <f t="array" ref="AC92">IF(SUMPRODUCT('Giá công thức'!$G$11:$AQ$115*('Giá công thức'!$A$11:$A$115=$B92)*('Giá công thức'!$B$11:$B$115=$C92)*('Giá công thức'!$C$11:$C$115="GB")*('Giá công thức'!$G$3:$AQ$3=AC$1)*('Giá công thức'!$G$4:$AQ$4=AC$2))=0,NA(),SUMPRODUCT('Giá công thức'!$G$11:$AQ$115*('Giá công thức'!$A$11:$A$115=$B92)*('Giá công thức'!$B$11:$B$115=$C92)*('Giá công thức'!$C$11:$C$115="GB")*('Giá công thức'!$G$3:$AQ$3=AC$1)*('Giá công thức'!$G$4:$AQ$4=AC$2)))</f>
        <v>1325</v>
      </c>
      <c r="AD92" s="394" cm="1">
        <f t="array" ref="AD92">IF(SUMPRODUCT('Giá công thức'!$G$11:$AQ$115*('Giá công thức'!$A$11:$A$115=$B92)*('Giá công thức'!$B$11:$B$115=$C92)*('Giá công thức'!$C$11:$C$115="GB")*('Giá công thức'!$G$3:$AQ$3=AD$1)*('Giá công thức'!$G$4:$AQ$4=AD$2))=0,NA(),SUMPRODUCT('Giá công thức'!$G$11:$AQ$115*('Giá công thức'!$A$11:$A$115=$B92)*('Giá công thức'!$B$11:$B$115=$C92)*('Giá công thức'!$C$11:$C$115="GB")*('Giá công thức'!$G$3:$AQ$3=AD$1)*('Giá công thức'!$G$4:$AQ$4=AD$2)))</f>
        <v>1325</v>
      </c>
      <c r="AE92" s="394" cm="1">
        <f t="array" ref="AE92">IF(SUMPRODUCT('Giá công thức'!$G$11:$AQ$115*('Giá công thức'!$A$11:$A$115=$B92)*('Giá công thức'!$B$11:$B$115=$C92)*('Giá công thức'!$C$11:$C$115="GB")*('Giá công thức'!$G$3:$AQ$3=AE$1)*('Giá công thức'!$G$4:$AQ$4=AE$2))=0,NA(),SUMPRODUCT('Giá công thức'!$G$11:$AQ$115*('Giá công thức'!$A$11:$A$115=$B92)*('Giá công thức'!$B$11:$B$115=$C92)*('Giá công thức'!$C$11:$C$115="GB")*('Giá công thức'!$G$3:$AQ$3=AE$1)*('Giá công thức'!$G$4:$AQ$4=AE$2)))</f>
        <v>1325</v>
      </c>
      <c r="AF92" s="394" cm="1">
        <f t="array" ref="AF92">IF(SUMPRODUCT('Giá công thức'!$G$11:$AQ$115*('Giá công thức'!$A$11:$A$115=$B92)*('Giá công thức'!$B$11:$B$115=$C92)*('Giá công thức'!$C$11:$C$115="GB")*('Giá công thức'!$G$3:$AQ$3=AF$1)*('Giá công thức'!$G$4:$AQ$4=AF$2))=0,NA(),SUMPRODUCT('Giá công thức'!$G$11:$AQ$115*('Giá công thức'!$A$11:$A$115=$B92)*('Giá công thức'!$B$11:$B$115=$C92)*('Giá công thức'!$C$11:$C$115="GB")*('Giá công thức'!$G$3:$AQ$3=AF$1)*('Giá công thức'!$G$4:$AQ$4=AF$2)))</f>
        <v>1266</v>
      </c>
      <c r="AG92" s="394" cm="1">
        <f t="array" ref="AG92">IF(SUMPRODUCT('Giá công thức'!$G$11:$AQ$115*('Giá công thức'!$A$11:$A$115=$B92)*('Giá công thức'!$B$11:$B$115=$C92)*('Giá công thức'!$C$11:$C$115="GB")*('Giá công thức'!$G$3:$AQ$3=AG$1)*('Giá công thức'!$G$4:$AQ$4=AG$2))=0,NA(),SUMPRODUCT('Giá công thức'!$G$11:$AQ$115*('Giá công thức'!$A$11:$A$115=$B92)*('Giá công thức'!$B$11:$B$115=$C92)*('Giá công thức'!$C$11:$C$115="GB")*('Giá công thức'!$G$3:$AQ$3=AG$1)*('Giá công thức'!$G$4:$AQ$4=AG$2)))</f>
        <v>1266</v>
      </c>
      <c r="AH92" s="394" cm="1">
        <f t="array" ref="AH92">IF(SUMPRODUCT('Giá công thức'!$G$11:$AQ$115*('Giá công thức'!$A$11:$A$115=$B92)*('Giá công thức'!$B$11:$B$115=$C92)*('Giá công thức'!$C$11:$C$115="GB")*('Giá công thức'!$G$3:$AQ$3=AH$1)*('Giá công thức'!$G$4:$AQ$4=AH$2))=0,NA(),SUMPRODUCT('Giá công thức'!$G$11:$AQ$115*('Giá công thức'!$A$11:$A$115=$B92)*('Giá công thức'!$B$11:$B$115=$C92)*('Giá công thức'!$C$11:$C$115="GB")*('Giá công thức'!$G$3:$AQ$3=AH$1)*('Giá công thức'!$G$4:$AQ$4=AH$2)))</f>
        <v>1266</v>
      </c>
      <c r="AI92" s="394"/>
      <c r="AJ92" s="394"/>
      <c r="AK92" s="394"/>
      <c r="AL92" s="394"/>
      <c r="AM92" s="394"/>
      <c r="AN92" s="394"/>
      <c r="AO92" s="394">
        <f>INDEX($E92:$AN92,MATCH("X",$E$3:$AN$3,0))</f>
        <v>1266</v>
      </c>
    </row>
    <row r="93" spans="1:41" s="137" customFormat="1" x14ac:dyDescent="0.3">
      <c r="A93" s="137" t="s">
        <v>24</v>
      </c>
      <c r="C93" s="137" t="s">
        <v>24</v>
      </c>
      <c r="D93" s="137" t="s">
        <v>17</v>
      </c>
      <c r="E93" s="397" cm="1">
        <f t="array" ref="E93">IF(SUMPRODUCT(General_Data*(Code_General_Data=$A93)*(Year=E$1)*(Month=E$2))=0,NA(),SUMPRODUCT(General_Data*(Code_General_Data=$A93)*(Year=E$1)*(Month=E$2)))</f>
        <v>1350</v>
      </c>
      <c r="F93" s="397" cm="1">
        <f t="array" ref="F93">IF(SUMPRODUCT(General_Data*(Code_General_Data=$A93)*(Year=F$1)*(Month=F$2))=0,NA(),SUMPRODUCT(General_Data*(Code_General_Data=$A93)*(Year=F$1)*(Month=F$2)))</f>
        <v>1350</v>
      </c>
      <c r="G93" s="397" cm="1">
        <f t="array" ref="G93">IF(SUMPRODUCT(General_Data*(Code_General_Data=$A93)*(Year=G$1)*(Month=G$2))=0,NA(),SUMPRODUCT(General_Data*(Code_General_Data=$A93)*(Year=G$1)*(Month=G$2)))</f>
        <v>1350</v>
      </c>
      <c r="H93" s="397" cm="1">
        <f t="array" ref="H93">IF(SUMPRODUCT(General_Data*(Code_General_Data=$A93)*(Year=H$1)*(Month=H$2))=0,NA(),SUMPRODUCT(General_Data*(Code_General_Data=$A93)*(Year=H$1)*(Month=H$2)))</f>
        <v>1350</v>
      </c>
      <c r="I93" s="397" cm="1">
        <f t="array" ref="I93">IF(SUMPRODUCT(General_Data*(Code_General_Data=$A93)*(Year=I$1)*(Month=I$2))=0,NA(),SUMPRODUCT(General_Data*(Code_General_Data=$A93)*(Year=I$1)*(Month=I$2)))</f>
        <v>1350</v>
      </c>
      <c r="J93" s="397" cm="1">
        <f t="array" ref="J93">IF(SUMPRODUCT(General_Data*(Code_General_Data=$A93)*(Year=J$1)*(Month=J$2))=0,NA(),SUMPRODUCT(General_Data*(Code_General_Data=$A93)*(Year=J$1)*(Month=J$2)))</f>
        <v>1350</v>
      </c>
      <c r="K93" s="397" cm="1">
        <f t="array" ref="K93">IF(SUMPRODUCT(General_Data*(Code_General_Data=$A93)*(Year=K$1)*(Month=K$2))=0,NA(),SUMPRODUCT(General_Data*(Code_General_Data=$A93)*(Year=K$1)*(Month=K$2)))</f>
        <v>1350</v>
      </c>
      <c r="L93" s="397" cm="1">
        <f t="array" ref="L93">IF(SUMPRODUCT(General_Data*(Code_General_Data=$A93)*(Year=L$1)*(Month=L$2))=0,NA(),SUMPRODUCT(General_Data*(Code_General_Data=$A93)*(Year=L$1)*(Month=L$2)))</f>
        <v>1350</v>
      </c>
      <c r="M93" s="397" cm="1">
        <f t="array" ref="M93">IF(SUMPRODUCT(General_Data*(Code_General_Data=$A93)*(Year=M$1)*(Month=M$2))=0,NA(),SUMPRODUCT(General_Data*(Code_General_Data=$A93)*(Year=M$1)*(Month=M$2)))</f>
        <v>1350</v>
      </c>
      <c r="N93" s="397" cm="1">
        <f t="array" ref="N93">IF(SUMPRODUCT(General_Data*(Code_General_Data=$A93)*(Year=N$1)*(Month=N$2))=0,NA(),SUMPRODUCT(General_Data*(Code_General_Data=$A93)*(Year=N$1)*(Month=N$2)))</f>
        <v>1350</v>
      </c>
      <c r="O93" s="397" cm="1">
        <f t="array" ref="O93">IF(SUMPRODUCT(General_Data*(Code_General_Data=$A93)*(Year=O$1)*(Month=O$2))=0,NA(),SUMPRODUCT(General_Data*(Code_General_Data=$A93)*(Year=O$1)*(Month=O$2)))</f>
        <v>1350</v>
      </c>
      <c r="P93" s="397" cm="1">
        <f t="array" ref="P93">IF(SUMPRODUCT(General_Data*(Code_General_Data=$A93)*(Year=P$1)*(Month=P$2))=0,NA(),SUMPRODUCT(General_Data*(Code_General_Data=$A93)*(Year=P$1)*(Month=P$2)))</f>
        <v>1350</v>
      </c>
      <c r="Q93" s="397" cm="1">
        <f t="array" ref="Q93">IF(SUMPRODUCT(General_Data*(Code_General_Data=$A93)*(Year=Q$1)*(Month=Q$2))=0,NA(),SUMPRODUCT(General_Data*(Code_General_Data=$A93)*(Year=Q$1)*(Month=Q$2)))</f>
        <v>1350</v>
      </c>
      <c r="R93" s="397" cm="1">
        <f t="array" ref="R93">IF(SUMPRODUCT(General_Data*(Code_General_Data=$A93)*(Year=R$1)*(Month=R$2))=0,NA(),SUMPRODUCT(General_Data*(Code_General_Data=$A93)*(Year=R$1)*(Month=R$2)))</f>
        <v>1300</v>
      </c>
      <c r="S93" s="397" cm="1">
        <f t="array" ref="S93">IF(SUMPRODUCT(General_Data*(Code_General_Data=$A93)*(Year=S$1)*(Month=S$2))=0,NA(),SUMPRODUCT(General_Data*(Code_General_Data=$A93)*(Year=S$1)*(Month=S$2)))</f>
        <v>1250</v>
      </c>
      <c r="T93" s="397" cm="1">
        <f t="array" ref="T93">IF(SUMPRODUCT(General_Data*(Code_General_Data=$A93)*(Year=T$1)*(Month=T$2))=0,NA(),SUMPRODUCT(General_Data*(Code_General_Data=$A93)*(Year=T$1)*(Month=T$2)))</f>
        <v>1250</v>
      </c>
      <c r="U93" s="397" cm="1">
        <f t="array" ref="U93">IF(SUMPRODUCT(General_Data*(Code_General_Data=$A93)*(Year=U$1)*(Month=U$2))=0,NA(),SUMPRODUCT(General_Data*(Code_General_Data=$A93)*(Year=U$1)*(Month=U$2)))</f>
        <v>1250</v>
      </c>
      <c r="V93" s="397" cm="1">
        <f t="array" ref="V93">IF(SUMPRODUCT(General_Data*(Code_General_Data=$A93)*(Year=V$1)*(Month=V$2))=0,NA(),SUMPRODUCT(General_Data*(Code_General_Data=$A93)*(Year=V$1)*(Month=V$2)))</f>
        <v>1250</v>
      </c>
      <c r="W93" s="397" cm="1">
        <f t="array" ref="W93">IF(SUMPRODUCT(General_Data*(Code_General_Data=$A93)*(Year=W$1)*(Month=W$2))=0,NA(),SUMPRODUCT(General_Data*(Code_General_Data=$A93)*(Year=W$1)*(Month=W$2)))</f>
        <v>1250</v>
      </c>
      <c r="X93" s="397" cm="1">
        <f t="array" ref="X93">IF(SUMPRODUCT(General_Data*(Code_General_Data=$A93)*(Year=X$1)*(Month=X$2))=0,NA(),SUMPRODUCT(General_Data*(Code_General_Data=$A93)*(Year=X$1)*(Month=X$2)))</f>
        <v>1230</v>
      </c>
      <c r="Y93" s="397" cm="1">
        <f t="array" ref="Y93">IF(SUMPRODUCT(General_Data*(Code_General_Data=$A93)*(Year=Y$1)*(Month=Y$2))=0,NA(),SUMPRODUCT(General_Data*(Code_General_Data=$A93)*(Year=Y$1)*(Month=Y$2)))</f>
        <v>1210</v>
      </c>
      <c r="Z93" s="397" cm="1">
        <f t="array" ref="Z93">IF(SUMPRODUCT(General_Data*(Code_General_Data=$A93)*(Year=Z$1)*(Month=Z$2))=0,NA(),SUMPRODUCT(General_Data*(Code_General_Data=$A93)*(Year=Z$1)*(Month=Z$2)))</f>
        <v>1210</v>
      </c>
      <c r="AA93" s="397" cm="1">
        <f t="array" ref="AA93">IF(SUMPRODUCT(General_Data*(Code_General_Data=$A93)*(Year=AA$1)*(Month=AA$2))=0,NA(),SUMPRODUCT(General_Data*(Code_General_Data=$A93)*(Year=AA$1)*(Month=AA$2)))</f>
        <v>1200</v>
      </c>
      <c r="AB93" s="397" cm="1">
        <f t="array" ref="AB93">IF(SUMPRODUCT(General_Data*(Code_General_Data=$A93)*(Year=AB$1)*(Month=AB$2))=0,NA(),SUMPRODUCT(General_Data*(Code_General_Data=$A93)*(Year=AB$1)*(Month=AB$2)))</f>
        <v>1200</v>
      </c>
      <c r="AC93" s="397" cm="1">
        <f t="array" ref="AC93">IF(SUMPRODUCT(General_Data*(Code_General_Data=$A93)*(Year=AC$1)*(Month=AC$2))=0,NA(),SUMPRODUCT(General_Data*(Code_General_Data=$A93)*(Year=AC$1)*(Month=AC$2)))</f>
        <v>1200</v>
      </c>
      <c r="AD93" s="397" cm="1">
        <f t="array" ref="AD93">IF(SUMPRODUCT(General_Data*(Code_General_Data=$A93)*(Year=AD$1)*(Month=AD$2))=0,NA(),SUMPRODUCT(General_Data*(Code_General_Data=$A93)*(Year=AD$1)*(Month=AD$2)))</f>
        <v>1200</v>
      </c>
      <c r="AE93" s="397" cm="1">
        <f t="array" ref="AE93">IF(SUMPRODUCT(General_Data*(Code_General_Data=$A93)*(Year=AE$1)*(Month=AE$2))=0,NA(),SUMPRODUCT(General_Data*(Code_General_Data=$A93)*(Year=AE$1)*(Month=AE$2)))</f>
        <v>1200</v>
      </c>
      <c r="AF93" s="397" cm="1">
        <f t="array" ref="AF93">IF(SUMPRODUCT(General_Data*(Code_General_Data=$A93)*(Year=AF$1)*(Month=AF$2))=0,NA(),SUMPRODUCT(General_Data*(Code_General_Data=$A93)*(Year=AF$1)*(Month=AF$2)))</f>
        <v>1300</v>
      </c>
      <c r="AG93" s="397" cm="1">
        <f t="array" ref="AG93">IF(SUMPRODUCT(General_Data*(Code_General_Data=$A93)*(Year=AG$1)*(Month=AG$2))=0,NA(),SUMPRODUCT(General_Data*(Code_General_Data=$A93)*(Year=AG$1)*(Month=AG$2)))</f>
        <v>1370</v>
      </c>
      <c r="AH93" s="397" cm="1">
        <f t="array" ref="AH93">IF(SUMPRODUCT(General_Data*(Code_General_Data=$A93)*(Year=AH$1)*(Month=AH$2))=0,NA(),SUMPRODUCT(General_Data*(Code_General_Data=$A93)*(Year=AH$1)*(Month=AH$2)))</f>
        <v>1350</v>
      </c>
      <c r="AI93" s="397"/>
      <c r="AJ93" s="397"/>
      <c r="AK93" s="397"/>
      <c r="AL93" s="397"/>
      <c r="AM93" s="397"/>
      <c r="AN93" s="397"/>
      <c r="AO93" s="397">
        <f>INDEX($E93:$AN93,MATCH("X",$E$3:$AN$3,0))</f>
        <v>1350</v>
      </c>
    </row>
    <row r="94" spans="1:41" s="395" customFormat="1" x14ac:dyDescent="0.3">
      <c r="A94" s="395" t="s">
        <v>21</v>
      </c>
      <c r="D94" s="395" t="s">
        <v>11</v>
      </c>
      <c r="E94" s="396" cm="1">
        <f t="array" ref="E94">SUMPRODUCT(General_Data*(Code_General_Data=$A94)*(Year=E$1)*(Month=E$2))</f>
        <v>940</v>
      </c>
      <c r="F94" s="396" cm="1">
        <f t="array" ref="F94">SUMPRODUCT(General_Data*(Code_General_Data=$A94)*(Year=F$1)*(Month=F$2))</f>
        <v>993.33333333333337</v>
      </c>
      <c r="G94" s="396" cm="1">
        <f t="array" ref="G94">SUMPRODUCT(General_Data*(Code_General_Data=$A94)*(Year=G$1)*(Month=G$2))</f>
        <v>985</v>
      </c>
      <c r="H94" s="396" cm="1">
        <f t="array" ref="H94">SUMPRODUCT(General_Data*(Code_General_Data=$A94)*(Year=H$1)*(Month=H$2))</f>
        <v>962.5</v>
      </c>
      <c r="I94" s="396" cm="1">
        <f t="array" ref="I94">SUMPRODUCT(General_Data*(Code_General_Data=$A94)*(Year=I$1)*(Month=I$2))</f>
        <v>982</v>
      </c>
      <c r="J94" s="396" cm="1">
        <f t="array" ref="J94">SUMPRODUCT(General_Data*(Code_General_Data=$A94)*(Year=J$1)*(Month=J$2))</f>
        <v>1000</v>
      </c>
      <c r="K94" s="396" cm="1">
        <f t="array" ref="K94">SUMPRODUCT(General_Data*(Code_General_Data=$A94)*(Year=K$1)*(Month=K$2))</f>
        <v>1000</v>
      </c>
      <c r="L94" s="396" cm="1">
        <f t="array" ref="L94">SUMPRODUCT(General_Data*(Code_General_Data=$A94)*(Year=L$1)*(Month=L$2))</f>
        <v>984</v>
      </c>
      <c r="M94" s="396" cm="1">
        <f t="array" ref="M94">SUMPRODUCT(General_Data*(Code_General_Data=$A94)*(Year=M$1)*(Month=M$2))</f>
        <v>967.5</v>
      </c>
      <c r="N94" s="396" cm="1">
        <f t="array" ref="N94">SUMPRODUCT(General_Data*(Code_General_Data=$A94)*(Year=N$1)*(Month=N$2))</f>
        <v>965</v>
      </c>
      <c r="O94" s="396" cm="1">
        <f t="array" ref="O94">SUMPRODUCT(General_Data*(Code_General_Data=$A94)*(Year=O$1)*(Month=O$2))</f>
        <v>974</v>
      </c>
      <c r="P94" s="396" cm="1">
        <f t="array" ref="P94">SUMPRODUCT(General_Data*(Code_General_Data=$A94)*(Year=P$1)*(Month=P$2))</f>
        <v>956</v>
      </c>
      <c r="Q94" s="396" cm="1">
        <f t="array" ref="Q94">SUMPRODUCT(General_Data*(Code_General_Data=$A94)*(Year=Q$1)*(Month=Q$2))</f>
        <v>940</v>
      </c>
      <c r="R94" s="396" cm="1">
        <f t="array" ref="R94">SUMPRODUCT(General_Data*(Code_General_Data=$A94)*(Year=R$1)*(Month=R$2))</f>
        <v>918</v>
      </c>
      <c r="S94" s="396" cm="1">
        <f t="array" ref="S94">SUMPRODUCT(General_Data*(Code_General_Data=$A94)*(Year=S$1)*(Month=S$2))</f>
        <v>896</v>
      </c>
      <c r="T94" s="396" cm="1">
        <f t="array" ref="T94">SUMPRODUCT(General_Data*(Code_General_Data=$A94)*(Year=T$1)*(Month=T$2))</f>
        <v>891.5</v>
      </c>
      <c r="U94" s="396" cm="1">
        <f t="array" ref="U94">SUMPRODUCT(General_Data*(Code_General_Data=$A94)*(Year=U$1)*(Month=U$2))</f>
        <v>864</v>
      </c>
      <c r="V94" s="396" cm="1">
        <f t="array" ref="V94">SUMPRODUCT(General_Data*(Code_General_Data=$A94)*(Year=V$1)*(Month=V$2))</f>
        <v>833</v>
      </c>
      <c r="W94" s="396" cm="1">
        <f t="array" ref="W94">SUMPRODUCT(General_Data*(Code_General_Data=$A94)*(Year=W$1)*(Month=W$2))</f>
        <v>833</v>
      </c>
      <c r="X94" s="396" cm="1">
        <f t="array" ref="X94">SUMPRODUCT(General_Data*(Code_General_Data=$A94)*(Year=X$1)*(Month=X$2))</f>
        <v>815</v>
      </c>
      <c r="Y94" s="396" cm="1">
        <f t="array" ref="Y94">SUMPRODUCT(General_Data*(Code_General_Data=$A94)*(Year=Y$1)*(Month=Y$2))</f>
        <v>813</v>
      </c>
      <c r="Z94" s="396" cm="1">
        <f t="array" ref="Z94">SUMPRODUCT(General_Data*(Code_General_Data=$A94)*(Year=Z$1)*(Month=Z$2))</f>
        <v>805</v>
      </c>
      <c r="AA94" s="396" cm="1">
        <f t="array" ref="AA94">SUMPRODUCT(General_Data*(Code_General_Data=$A94)*(Year=AA$1)*(Month=AA$2))</f>
        <v>805</v>
      </c>
      <c r="AB94" s="396" cm="1">
        <f t="array" ref="AB94">SUMPRODUCT(General_Data*(Code_General_Data=$A94)*(Year=AB$1)*(Month=AB$2))</f>
        <v>802.5</v>
      </c>
      <c r="AC94" s="396" cm="1">
        <f t="array" ref="AC94">SUMPRODUCT(General_Data*(Code_General_Data=$A94)*(Year=AC$1)*(Month=AC$2))</f>
        <v>800</v>
      </c>
      <c r="AD94" s="396" cm="1">
        <f t="array" ref="AD94">SUMPRODUCT(General_Data*(Code_General_Data=$A94)*(Year=AD$1)*(Month=AD$2))</f>
        <v>800</v>
      </c>
      <c r="AE94" s="396" cm="1">
        <f t="array" ref="AE94">SUMPRODUCT(General_Data*(Code_General_Data=$A94)*(Year=AE$1)*(Month=AE$2))</f>
        <v>1331</v>
      </c>
      <c r="AF94" s="396" cm="1">
        <f t="array" ref="AF94">SUMPRODUCT(General_Data*(Code_General_Data=$A94)*(Year=AF$1)*(Month=AF$2))</f>
        <v>1590</v>
      </c>
      <c r="AG94" s="396" cm="1">
        <f t="array" ref="AG94">SUMPRODUCT(General_Data*(Code_General_Data=$A94)*(Year=AG$1)*(Month=AG$2))</f>
        <v>1523</v>
      </c>
      <c r="AH94" s="396" cm="1">
        <f t="array" ref="AH94">SUMPRODUCT(General_Data*(Code_General_Data=$A94)*(Year=AH$1)*(Month=AH$2))</f>
        <v>1470</v>
      </c>
      <c r="AI94" s="396"/>
      <c r="AJ94" s="396"/>
      <c r="AK94" s="396"/>
      <c r="AL94" s="396"/>
      <c r="AM94" s="396"/>
      <c r="AN94" s="396"/>
      <c r="AO94" s="396">
        <f>INDEX($E94:$AN94,MATCH("X",$E$3:$AN$3,0))</f>
        <v>1470</v>
      </c>
    </row>
    <row r="95" spans="1:41" s="402" customFormat="1" x14ac:dyDescent="0.3">
      <c r="D95" s="402" t="s">
        <v>371</v>
      </c>
      <c r="E95" s="403">
        <f t="shared" ref="E95:AA95" si="120">E93-E94</f>
        <v>410</v>
      </c>
      <c r="F95" s="403">
        <f t="shared" si="120"/>
        <v>356.66666666666663</v>
      </c>
      <c r="G95" s="403">
        <f t="shared" si="120"/>
        <v>365</v>
      </c>
      <c r="H95" s="403">
        <f t="shared" si="120"/>
        <v>387.5</v>
      </c>
      <c r="I95" s="403">
        <f t="shared" si="120"/>
        <v>368</v>
      </c>
      <c r="J95" s="403">
        <f t="shared" si="120"/>
        <v>350</v>
      </c>
      <c r="K95" s="403">
        <f t="shared" si="120"/>
        <v>350</v>
      </c>
      <c r="L95" s="403">
        <f t="shared" si="120"/>
        <v>366</v>
      </c>
      <c r="M95" s="403">
        <f t="shared" si="120"/>
        <v>382.5</v>
      </c>
      <c r="N95" s="403">
        <f t="shared" si="120"/>
        <v>385</v>
      </c>
      <c r="O95" s="403">
        <f t="shared" si="120"/>
        <v>376</v>
      </c>
      <c r="P95" s="403">
        <f t="shared" si="120"/>
        <v>394</v>
      </c>
      <c r="Q95" s="403">
        <f t="shared" si="120"/>
        <v>410</v>
      </c>
      <c r="R95" s="403">
        <f t="shared" si="120"/>
        <v>382</v>
      </c>
      <c r="S95" s="403">
        <f t="shared" si="120"/>
        <v>354</v>
      </c>
      <c r="T95" s="403">
        <f t="shared" si="120"/>
        <v>358.5</v>
      </c>
      <c r="U95" s="403">
        <f t="shared" si="120"/>
        <v>386</v>
      </c>
      <c r="V95" s="403">
        <f t="shared" si="120"/>
        <v>417</v>
      </c>
      <c r="W95" s="403">
        <f t="shared" si="120"/>
        <v>417</v>
      </c>
      <c r="X95" s="403">
        <f t="shared" si="120"/>
        <v>415</v>
      </c>
      <c r="Y95" s="403">
        <f t="shared" si="120"/>
        <v>397</v>
      </c>
      <c r="Z95" s="403">
        <f t="shared" si="120"/>
        <v>405</v>
      </c>
      <c r="AA95" s="403">
        <f t="shared" si="120"/>
        <v>395</v>
      </c>
      <c r="AB95" s="403">
        <f t="shared" ref="AB95:AF95" si="121">AB93-AB94</f>
        <v>397.5</v>
      </c>
      <c r="AC95" s="403">
        <f t="shared" si="121"/>
        <v>400</v>
      </c>
      <c r="AD95" s="403">
        <f t="shared" si="121"/>
        <v>400</v>
      </c>
      <c r="AE95" s="403">
        <f t="shared" si="121"/>
        <v>-131</v>
      </c>
      <c r="AF95" s="403">
        <f t="shared" si="121"/>
        <v>-290</v>
      </c>
      <c r="AG95" s="403">
        <f t="shared" ref="AG95:AH95" si="122">AG93-AG94</f>
        <v>-153</v>
      </c>
      <c r="AH95" s="403">
        <f t="shared" si="122"/>
        <v>-120</v>
      </c>
      <c r="AI95" s="403"/>
      <c r="AJ95" s="403"/>
      <c r="AK95" s="403"/>
      <c r="AL95" s="403"/>
      <c r="AM95" s="403"/>
      <c r="AN95" s="403"/>
      <c r="AO95" s="396"/>
    </row>
    <row r="96" spans="1:41" s="404" customFormat="1" x14ac:dyDescent="0.3">
      <c r="D96" s="404" t="s">
        <v>370</v>
      </c>
      <c r="E96" s="405">
        <f t="shared" ref="E96:AA96" si="123">IFERROR(E95/E94,0)</f>
        <v>0.43617021276595747</v>
      </c>
      <c r="F96" s="405">
        <f t="shared" si="123"/>
        <v>0.35906040268456368</v>
      </c>
      <c r="G96" s="405">
        <f t="shared" si="123"/>
        <v>0.37055837563451777</v>
      </c>
      <c r="H96" s="405">
        <f t="shared" si="123"/>
        <v>0.40259740259740262</v>
      </c>
      <c r="I96" s="405">
        <f t="shared" si="123"/>
        <v>0.37474541751527496</v>
      </c>
      <c r="J96" s="405">
        <f t="shared" si="123"/>
        <v>0.35</v>
      </c>
      <c r="K96" s="405">
        <f t="shared" si="123"/>
        <v>0.35</v>
      </c>
      <c r="L96" s="405">
        <f t="shared" si="123"/>
        <v>0.37195121951219512</v>
      </c>
      <c r="M96" s="405">
        <f t="shared" si="123"/>
        <v>0.39534883720930231</v>
      </c>
      <c r="N96" s="405">
        <f t="shared" si="123"/>
        <v>0.39896373056994816</v>
      </c>
      <c r="O96" s="405">
        <f t="shared" si="123"/>
        <v>0.38603696098562629</v>
      </c>
      <c r="P96" s="405">
        <f t="shared" si="123"/>
        <v>0.41213389121338911</v>
      </c>
      <c r="Q96" s="405">
        <f t="shared" si="123"/>
        <v>0.43617021276595747</v>
      </c>
      <c r="R96" s="405">
        <f t="shared" si="123"/>
        <v>0.41612200435729846</v>
      </c>
      <c r="S96" s="405">
        <f t="shared" si="123"/>
        <v>0.3950892857142857</v>
      </c>
      <c r="T96" s="405">
        <f t="shared" si="123"/>
        <v>0.40213123948401569</v>
      </c>
      <c r="U96" s="405">
        <f t="shared" si="123"/>
        <v>0.44675925925925924</v>
      </c>
      <c r="V96" s="405">
        <f t="shared" si="123"/>
        <v>0.50060024009603843</v>
      </c>
      <c r="W96" s="405">
        <f t="shared" si="123"/>
        <v>0.50060024009603843</v>
      </c>
      <c r="X96" s="405">
        <f t="shared" si="123"/>
        <v>0.50920245398773001</v>
      </c>
      <c r="Y96" s="405">
        <f t="shared" si="123"/>
        <v>0.48831488314883148</v>
      </c>
      <c r="Z96" s="405">
        <f t="shared" si="123"/>
        <v>0.50310559006211175</v>
      </c>
      <c r="AA96" s="405">
        <f t="shared" si="123"/>
        <v>0.49068322981366458</v>
      </c>
      <c r="AB96" s="405">
        <f t="shared" ref="AB96:AF96" si="124">IFERROR(AB95/AB94,0)</f>
        <v>0.49532710280373832</v>
      </c>
      <c r="AC96" s="405">
        <f t="shared" si="124"/>
        <v>0.5</v>
      </c>
      <c r="AD96" s="405">
        <f t="shared" si="124"/>
        <v>0.5</v>
      </c>
      <c r="AE96" s="405">
        <f t="shared" si="124"/>
        <v>-9.8422238918106683E-2</v>
      </c>
      <c r="AF96" s="405">
        <f t="shared" si="124"/>
        <v>-0.18238993710691823</v>
      </c>
      <c r="AG96" s="405">
        <f t="shared" ref="AG96:AH96" si="125">IFERROR(AG95/AG94,0)</f>
        <v>-0.10045961917268549</v>
      </c>
      <c r="AH96" s="405">
        <f t="shared" si="125"/>
        <v>-8.1632653061224483E-2</v>
      </c>
      <c r="AI96" s="405"/>
      <c r="AJ96" s="405"/>
      <c r="AK96" s="405"/>
      <c r="AL96" s="405"/>
      <c r="AM96" s="405"/>
      <c r="AN96" s="405"/>
      <c r="AO96" s="403"/>
    </row>
    <row r="97" spans="1:41" s="483" customFormat="1" x14ac:dyDescent="0.3">
      <c r="A97" s="483" t="s">
        <v>538</v>
      </c>
      <c r="C97" s="483" t="s">
        <v>24</v>
      </c>
      <c r="D97" s="483" t="s">
        <v>544</v>
      </c>
      <c r="E97" s="590" cm="1">
        <f t="array" ref="E97">IF(ISNA(E92),#N/A,SUMPRODUCT(General_Data*(Code_General_Data=$A97)*(Year=E$1)*(Month=E$2)))</f>
        <v>1123.8393754760991</v>
      </c>
      <c r="F97" s="590" cm="1">
        <f t="array" ref="F97">IF(ISNA(F92),#N/A,SUMPRODUCT(General_Data*(Code_General_Data=$A97)*(Year=F$1)*(Month=F$2)))</f>
        <v>1117.8292480151383</v>
      </c>
      <c r="G97" s="590" cm="1">
        <f t="array" ref="G97">IF(ISNA(G92),#N/A,SUMPRODUCT(General_Data*(Code_General_Data=$A97)*(Year=G$1)*(Month=G$2)))</f>
        <v>1111.4054725034264</v>
      </c>
      <c r="H97" s="590" cm="1">
        <f t="array" ref="H97">IF(ISNA(H92),#N/A,SUMPRODUCT(General_Data*(Code_General_Data=$A97)*(Year=H$1)*(Month=H$2)))</f>
        <v>1093.6880444221808</v>
      </c>
      <c r="I97" s="590" cm="1">
        <f t="array" ref="I97">IF(ISNA(I92),#N/A,SUMPRODUCT(General_Data*(Code_General_Data=$A97)*(Year=I$1)*(Month=I$2)))</f>
        <v>1050.0814018200961</v>
      </c>
      <c r="J97" s="590" cm="1">
        <f t="array" ref="J97">IF(ISNA(J92),#N/A,SUMPRODUCT(General_Data*(Code_General_Data=$A97)*(Year=J$1)*(Month=J$2)))</f>
        <v>1042.5247208062397</v>
      </c>
      <c r="K97" s="590" cm="1">
        <f t="array" ref="K97">IF(ISNA(K92),#N/A,SUMPRODUCT(General_Data*(Code_General_Data=$A97)*(Year=K$1)*(Month=K$2)))</f>
        <v>1069.2339644704725</v>
      </c>
      <c r="L97" s="590" cm="1">
        <f t="array" ref="L97">IF(ISNA(L92),#N/A,SUMPRODUCT(General_Data*(Code_General_Data=$A97)*(Year=L$1)*(Month=L$2)))</f>
        <v>1098.7138539281395</v>
      </c>
      <c r="M97" s="590" cm="1">
        <f t="array" ref="M97">IF(ISNA(M92),#N/A,SUMPRODUCT(General_Data*(Code_General_Data=$A97)*(Year=M$1)*(Month=M$2)))</f>
        <v>1127.6713208816282</v>
      </c>
      <c r="N97" s="590" cm="1">
        <f t="array" ref="N97">IF(ISNA(N92),#N/A,SUMPRODUCT(General_Data*(Code_General_Data=$A97)*(Year=N$1)*(Month=N$2)))</f>
        <v>1107.0609906609538</v>
      </c>
      <c r="O97" s="590" cm="1">
        <f t="array" ref="O97">IF(ISNA(O92),#N/A,SUMPRODUCT(General_Data*(Code_General_Data=$A97)*(Year=O$1)*(Month=O$2)))</f>
        <v>1101.3855329215878</v>
      </c>
      <c r="P97" s="590" cm="1">
        <f t="array" ref="P97">IF(ISNA(P92),#N/A,SUMPRODUCT(General_Data*(Code_General_Data=$A97)*(Year=P$1)*(Month=P$2)))</f>
        <v>1098.4579145921905</v>
      </c>
      <c r="Q97" s="590" cm="1">
        <f t="array" ref="Q97">IF(ISNA(Q92),#N/A,SUMPRODUCT(General_Data*(Code_General_Data=$A97)*(Year=Q$1)*(Month=Q$2)))</f>
        <v>1111.8974726968577</v>
      </c>
      <c r="R97" s="590" cm="1">
        <f t="array" ref="R97">IF(ISNA(R92),#N/A,SUMPRODUCT(General_Data*(Code_General_Data=$A97)*(Year=R$1)*(Month=R$2)))</f>
        <v>1107.9584072086077</v>
      </c>
      <c r="S97" s="590" cm="1">
        <f t="array" ref="S97">IF(ISNA(S92),#N/A,SUMPRODUCT(General_Data*(Code_General_Data=$A97)*(Year=S$1)*(Month=S$2)))</f>
        <v>1102.408106787519</v>
      </c>
      <c r="T97" s="590" cm="1">
        <f t="array" ref="T97">IF(ISNA(T92),#N/A,SUMPRODUCT(General_Data*(Code_General_Data=$A97)*(Year=T$1)*(Month=T$2)))</f>
        <v>1084.7284615901749</v>
      </c>
      <c r="U97" s="590" cm="1">
        <f t="array" ref="U97">IF(ISNA(U92),#N/A,SUMPRODUCT(General_Data*(Code_General_Data=$A97)*(Year=U$1)*(Month=U$2)))</f>
        <v>1065.7134394500224</v>
      </c>
      <c r="V97" s="590" cm="1">
        <f t="array" ref="V97">IF(ISNA(V92),#N/A,SUMPRODUCT(General_Data*(Code_General_Data=$A97)*(Year=V$1)*(Month=V$2)))</f>
        <v>1057.1325986536951</v>
      </c>
      <c r="W97" s="590" cm="1">
        <f t="array" ref="W97">IF(ISNA(W92),#N/A,SUMPRODUCT(General_Data*(Code_General_Data=$A97)*(Year=W$1)*(Month=W$2)))</f>
        <v>1051.6461622980135</v>
      </c>
      <c r="X97" s="590" cm="1">
        <f t="array" ref="X97">IF(ISNA(X92),#N/A,SUMPRODUCT(General_Data*(Code_General_Data=$A97)*(Year=X$1)*(Month=X$2)))</f>
        <v>1038.665856293441</v>
      </c>
      <c r="Y97" s="590" cm="1">
        <f t="array" ref="Y97">IF(ISNA(Y92),#N/A,SUMPRODUCT(General_Data*(Code_General_Data=$A97)*(Year=Y$1)*(Month=Y$2)))</f>
        <v>1033.0949685737933</v>
      </c>
      <c r="Z97" s="590" cm="1">
        <f t="array" ref="Z97">IF(ISNA(Z92),#N/A,SUMPRODUCT(General_Data*(Code_General_Data=$A97)*(Year=Z$1)*(Month=Z$2)))</f>
        <v>1031.7990420682265</v>
      </c>
      <c r="AA97" s="590" cm="1">
        <f t="array" ref="AA97">IF(ISNA(AA92),#N/A,SUMPRODUCT(General_Data*(Code_General_Data=$A97)*(Year=AA$1)*(Month=AA$2)))</f>
        <v>1036.4719998006608</v>
      </c>
      <c r="AB97" s="590" cm="1">
        <f t="array" ref="AB97">IF(ISNA(AB92),#N/A,SUMPRODUCT(General_Data*(Code_General_Data=$A97)*(Year=AB$1)*(Month=AB$2)))</f>
        <v>1064.2414146189392</v>
      </c>
      <c r="AC97" s="590" cm="1">
        <f t="array" ref="AC97">IF(ISNA(AC92),#N/A,SUMPRODUCT(General_Data*(Code_General_Data=$A97)*(Year=AC$1)*(Month=AC$2)))</f>
        <v>1114.7989042377815</v>
      </c>
      <c r="AD97" s="590" cm="1">
        <f t="array" ref="AD97">IF(ISNA(AD92),#N/A,SUMPRODUCT(General_Data*(Code_General_Data=$A97)*(Year=AD$1)*(Month=AD$2)))</f>
        <v>1151.5792892767151</v>
      </c>
      <c r="AE97" s="590" cm="1">
        <f t="array" ref="AE97">IF(ISNA(AE92),#N/A,SUMPRODUCT(General_Data*(Code_General_Data=$A97)*(Year=AE$1)*(Month=AE$2)))</f>
        <v>1158.7230112217621</v>
      </c>
      <c r="AF97" s="590" cm="1">
        <f t="array" ref="AF97">IF(ISNA(AF92),#N/A,SUMPRODUCT(General_Data*(Code_General_Data=$A97)*(Year=AF$1)*(Month=AF$2)))</f>
        <v>1140.8443491093581</v>
      </c>
      <c r="AG97" s="590" cm="1">
        <f t="array" ref="AG97">IF(ISNA(AG92),#N/A,SUMPRODUCT(General_Data*(Code_General_Data=$A97)*(Year=AG$1)*(Month=AG$2)))</f>
        <v>1168.8201094912893</v>
      </c>
      <c r="AH97" s="590" cm="1">
        <f t="array" ref="AH97">IF(ISNA(AH92),#N/A,SUMPRODUCT(General_Data*(Code_General_Data=$A97)*(Year=AH$1)*(Month=AH$2)))</f>
        <v>1168.8201094912893</v>
      </c>
      <c r="AI97" s="590"/>
      <c r="AJ97" s="590"/>
      <c r="AK97" s="590"/>
      <c r="AL97" s="590"/>
      <c r="AM97" s="590"/>
      <c r="AN97" s="590"/>
      <c r="AO97" s="591">
        <f>INDEX($E97:$AN97,MATCH("X",$E$3:$AN$3,0))</f>
        <v>1168.8201094912893</v>
      </c>
    </row>
    <row r="98" spans="1:41" s="420" customFormat="1" x14ac:dyDescent="0.3">
      <c r="D98" s="420" t="s">
        <v>395</v>
      </c>
      <c r="E98" s="421">
        <f>E93</f>
        <v>1350</v>
      </c>
      <c r="F98" s="421">
        <f t="shared" ref="F98:AB98" si="126">F93</f>
        <v>1350</v>
      </c>
      <c r="G98" s="421">
        <f t="shared" si="126"/>
        <v>1350</v>
      </c>
      <c r="H98" s="421">
        <f t="shared" si="126"/>
        <v>1350</v>
      </c>
      <c r="I98" s="421">
        <f t="shared" si="126"/>
        <v>1350</v>
      </c>
      <c r="J98" s="421">
        <f t="shared" si="126"/>
        <v>1350</v>
      </c>
      <c r="K98" s="421">
        <f t="shared" si="126"/>
        <v>1350</v>
      </c>
      <c r="L98" s="421">
        <f t="shared" si="126"/>
        <v>1350</v>
      </c>
      <c r="M98" s="421">
        <f t="shared" si="126"/>
        <v>1350</v>
      </c>
      <c r="N98" s="421">
        <f t="shared" si="126"/>
        <v>1350</v>
      </c>
      <c r="O98" s="421">
        <f t="shared" si="126"/>
        <v>1350</v>
      </c>
      <c r="P98" s="421">
        <f t="shared" si="126"/>
        <v>1350</v>
      </c>
      <c r="Q98" s="421">
        <f t="shared" si="126"/>
        <v>1350</v>
      </c>
      <c r="R98" s="421">
        <f t="shared" si="126"/>
        <v>1300</v>
      </c>
      <c r="S98" s="421">
        <f t="shared" si="126"/>
        <v>1250</v>
      </c>
      <c r="T98" s="421">
        <f t="shared" si="126"/>
        <v>1250</v>
      </c>
      <c r="U98" s="421">
        <f t="shared" si="126"/>
        <v>1250</v>
      </c>
      <c r="V98" s="421">
        <f t="shared" si="126"/>
        <v>1250</v>
      </c>
      <c r="W98" s="421">
        <f t="shared" si="126"/>
        <v>1250</v>
      </c>
      <c r="X98" s="421">
        <f t="shared" si="126"/>
        <v>1230</v>
      </c>
      <c r="Y98" s="421">
        <f t="shared" si="126"/>
        <v>1210</v>
      </c>
      <c r="Z98" s="421">
        <f t="shared" si="126"/>
        <v>1210</v>
      </c>
      <c r="AA98" s="421">
        <f t="shared" si="126"/>
        <v>1200</v>
      </c>
      <c r="AB98" s="421">
        <f t="shared" si="126"/>
        <v>1200</v>
      </c>
      <c r="AC98" s="421">
        <f t="shared" ref="AC98:AF98" si="127">AC93</f>
        <v>1200</v>
      </c>
      <c r="AD98" s="421">
        <f t="shared" si="127"/>
        <v>1200</v>
      </c>
      <c r="AE98" s="421">
        <f t="shared" si="127"/>
        <v>1200</v>
      </c>
      <c r="AF98" s="421">
        <f t="shared" si="127"/>
        <v>1300</v>
      </c>
      <c r="AG98" s="421">
        <f t="shared" ref="AG98:AH98" si="128">AG93</f>
        <v>1370</v>
      </c>
      <c r="AH98" s="421">
        <f t="shared" si="128"/>
        <v>1350</v>
      </c>
      <c r="AI98" s="421"/>
      <c r="AJ98" s="421"/>
      <c r="AK98" s="421"/>
      <c r="AL98" s="421"/>
      <c r="AM98" s="421"/>
      <c r="AN98" s="421"/>
      <c r="AO98" s="431"/>
    </row>
    <row r="99" spans="1:41" s="420" customFormat="1" x14ac:dyDescent="0.3">
      <c r="D99" s="420" t="s">
        <v>396</v>
      </c>
      <c r="E99" s="421">
        <f>E94+E95/2</f>
        <v>1145</v>
      </c>
      <c r="F99" s="421">
        <f t="shared" ref="F99:AB99" si="129">F94+F95/2</f>
        <v>1171.6666666666667</v>
      </c>
      <c r="G99" s="421">
        <f t="shared" si="129"/>
        <v>1167.5</v>
      </c>
      <c r="H99" s="421">
        <f t="shared" si="129"/>
        <v>1156.25</v>
      </c>
      <c r="I99" s="421">
        <f t="shared" si="129"/>
        <v>1166</v>
      </c>
      <c r="J99" s="421">
        <f t="shared" si="129"/>
        <v>1175</v>
      </c>
      <c r="K99" s="421">
        <f t="shared" si="129"/>
        <v>1175</v>
      </c>
      <c r="L99" s="421">
        <f t="shared" si="129"/>
        <v>1167</v>
      </c>
      <c r="M99" s="421">
        <f t="shared" si="129"/>
        <v>1158.75</v>
      </c>
      <c r="N99" s="421">
        <f t="shared" si="129"/>
        <v>1157.5</v>
      </c>
      <c r="O99" s="421">
        <f t="shared" si="129"/>
        <v>1162</v>
      </c>
      <c r="P99" s="421">
        <f t="shared" si="129"/>
        <v>1153</v>
      </c>
      <c r="Q99" s="421">
        <f t="shared" si="129"/>
        <v>1145</v>
      </c>
      <c r="R99" s="421">
        <f t="shared" si="129"/>
        <v>1109</v>
      </c>
      <c r="S99" s="421">
        <f t="shared" si="129"/>
        <v>1073</v>
      </c>
      <c r="T99" s="421">
        <f t="shared" si="129"/>
        <v>1070.75</v>
      </c>
      <c r="U99" s="421">
        <f t="shared" si="129"/>
        <v>1057</v>
      </c>
      <c r="V99" s="421">
        <f t="shared" si="129"/>
        <v>1041.5</v>
      </c>
      <c r="W99" s="421">
        <f t="shared" si="129"/>
        <v>1041.5</v>
      </c>
      <c r="X99" s="421">
        <f t="shared" si="129"/>
        <v>1022.5</v>
      </c>
      <c r="Y99" s="421">
        <f t="shared" si="129"/>
        <v>1011.5</v>
      </c>
      <c r="Z99" s="421">
        <f t="shared" si="129"/>
        <v>1007.5</v>
      </c>
      <c r="AA99" s="421">
        <f t="shared" si="129"/>
        <v>1002.5</v>
      </c>
      <c r="AB99" s="421">
        <f t="shared" si="129"/>
        <v>1001.25</v>
      </c>
      <c r="AC99" s="421">
        <f t="shared" ref="AC99:AF99" si="130">AC94+AC95/2</f>
        <v>1000</v>
      </c>
      <c r="AD99" s="421">
        <f t="shared" si="130"/>
        <v>1000</v>
      </c>
      <c r="AE99" s="421">
        <f t="shared" si="130"/>
        <v>1265.5</v>
      </c>
      <c r="AF99" s="421">
        <f t="shared" si="130"/>
        <v>1445</v>
      </c>
      <c r="AG99" s="421">
        <f t="shared" ref="AG99:AH99" si="131">AG94+AG95/2</f>
        <v>1446.5</v>
      </c>
      <c r="AH99" s="421">
        <f t="shared" si="131"/>
        <v>1410</v>
      </c>
      <c r="AI99" s="421"/>
      <c r="AJ99" s="421"/>
      <c r="AK99" s="421"/>
      <c r="AL99" s="421"/>
      <c r="AM99" s="421"/>
      <c r="AN99" s="421"/>
      <c r="AO99" s="431"/>
    </row>
    <row r="100" spans="1:41" s="428" customFormat="1" x14ac:dyDescent="0.3">
      <c r="D100" s="428" t="s">
        <v>393</v>
      </c>
      <c r="E100" s="429">
        <f>E93</f>
        <v>1350</v>
      </c>
      <c r="F100" s="429">
        <f t="shared" ref="F100:AB100" si="132">F93</f>
        <v>1350</v>
      </c>
      <c r="G100" s="429">
        <f t="shared" si="132"/>
        <v>1350</v>
      </c>
      <c r="H100" s="429">
        <f t="shared" si="132"/>
        <v>1350</v>
      </c>
      <c r="I100" s="429">
        <f t="shared" si="132"/>
        <v>1350</v>
      </c>
      <c r="J100" s="429">
        <f t="shared" si="132"/>
        <v>1350</v>
      </c>
      <c r="K100" s="429">
        <f t="shared" si="132"/>
        <v>1350</v>
      </c>
      <c r="L100" s="429">
        <f t="shared" si="132"/>
        <v>1350</v>
      </c>
      <c r="M100" s="429">
        <f t="shared" si="132"/>
        <v>1350</v>
      </c>
      <c r="N100" s="429">
        <f t="shared" si="132"/>
        <v>1350</v>
      </c>
      <c r="O100" s="429">
        <f t="shared" si="132"/>
        <v>1350</v>
      </c>
      <c r="P100" s="429">
        <f t="shared" si="132"/>
        <v>1350</v>
      </c>
      <c r="Q100" s="429">
        <f t="shared" si="132"/>
        <v>1350</v>
      </c>
      <c r="R100" s="429">
        <f t="shared" si="132"/>
        <v>1300</v>
      </c>
      <c r="S100" s="429">
        <f t="shared" si="132"/>
        <v>1250</v>
      </c>
      <c r="T100" s="429">
        <f t="shared" si="132"/>
        <v>1250</v>
      </c>
      <c r="U100" s="429">
        <f t="shared" si="132"/>
        <v>1250</v>
      </c>
      <c r="V100" s="429">
        <f t="shared" si="132"/>
        <v>1250</v>
      </c>
      <c r="W100" s="429">
        <f t="shared" si="132"/>
        <v>1250</v>
      </c>
      <c r="X100" s="429">
        <f t="shared" si="132"/>
        <v>1230</v>
      </c>
      <c r="Y100" s="429">
        <f t="shared" si="132"/>
        <v>1210</v>
      </c>
      <c r="Z100" s="429">
        <f t="shared" si="132"/>
        <v>1210</v>
      </c>
      <c r="AA100" s="429">
        <f t="shared" si="132"/>
        <v>1200</v>
      </c>
      <c r="AB100" s="429">
        <f t="shared" si="132"/>
        <v>1200</v>
      </c>
      <c r="AC100" s="429">
        <f t="shared" ref="AC100:AF100" si="133">AC93</f>
        <v>1200</v>
      </c>
      <c r="AD100" s="429">
        <f t="shared" si="133"/>
        <v>1200</v>
      </c>
      <c r="AE100" s="429">
        <f t="shared" si="133"/>
        <v>1200</v>
      </c>
      <c r="AF100" s="429">
        <f t="shared" si="133"/>
        <v>1300</v>
      </c>
      <c r="AG100" s="429">
        <f t="shared" ref="AG100:AH100" si="134">AG93</f>
        <v>1370</v>
      </c>
      <c r="AH100" s="429">
        <f t="shared" si="134"/>
        <v>1350</v>
      </c>
      <c r="AI100" s="429"/>
      <c r="AJ100" s="429"/>
      <c r="AK100" s="429"/>
      <c r="AL100" s="429"/>
      <c r="AM100" s="429"/>
      <c r="AN100" s="429"/>
      <c r="AO100" s="430"/>
    </row>
    <row r="101" spans="1:41" s="428" customFormat="1" x14ac:dyDescent="0.3">
      <c r="D101" s="428" t="s">
        <v>394</v>
      </c>
      <c r="E101" s="429">
        <f>E94</f>
        <v>940</v>
      </c>
      <c r="F101" s="429">
        <f t="shared" ref="F101:AB101" si="135">F94</f>
        <v>993.33333333333337</v>
      </c>
      <c r="G101" s="429">
        <f t="shared" si="135"/>
        <v>985</v>
      </c>
      <c r="H101" s="429">
        <f t="shared" si="135"/>
        <v>962.5</v>
      </c>
      <c r="I101" s="429">
        <f t="shared" si="135"/>
        <v>982</v>
      </c>
      <c r="J101" s="429">
        <f t="shared" si="135"/>
        <v>1000</v>
      </c>
      <c r="K101" s="429">
        <f t="shared" si="135"/>
        <v>1000</v>
      </c>
      <c r="L101" s="429">
        <f t="shared" si="135"/>
        <v>984</v>
      </c>
      <c r="M101" s="429">
        <f t="shared" si="135"/>
        <v>967.5</v>
      </c>
      <c r="N101" s="429">
        <f t="shared" si="135"/>
        <v>965</v>
      </c>
      <c r="O101" s="429">
        <f t="shared" si="135"/>
        <v>974</v>
      </c>
      <c r="P101" s="429">
        <f t="shared" si="135"/>
        <v>956</v>
      </c>
      <c r="Q101" s="429">
        <f t="shared" si="135"/>
        <v>940</v>
      </c>
      <c r="R101" s="429">
        <f t="shared" si="135"/>
        <v>918</v>
      </c>
      <c r="S101" s="429">
        <f t="shared" si="135"/>
        <v>896</v>
      </c>
      <c r="T101" s="429">
        <f t="shared" si="135"/>
        <v>891.5</v>
      </c>
      <c r="U101" s="429">
        <f t="shared" si="135"/>
        <v>864</v>
      </c>
      <c r="V101" s="429">
        <f t="shared" si="135"/>
        <v>833</v>
      </c>
      <c r="W101" s="429">
        <f t="shared" si="135"/>
        <v>833</v>
      </c>
      <c r="X101" s="429">
        <f t="shared" si="135"/>
        <v>815</v>
      </c>
      <c r="Y101" s="429">
        <f t="shared" si="135"/>
        <v>813</v>
      </c>
      <c r="Z101" s="429">
        <f t="shared" si="135"/>
        <v>805</v>
      </c>
      <c r="AA101" s="429">
        <f t="shared" si="135"/>
        <v>805</v>
      </c>
      <c r="AB101" s="429">
        <f t="shared" si="135"/>
        <v>802.5</v>
      </c>
      <c r="AC101" s="429">
        <f t="shared" ref="AC101:AF101" si="136">AC94</f>
        <v>800</v>
      </c>
      <c r="AD101" s="429">
        <f t="shared" si="136"/>
        <v>800</v>
      </c>
      <c r="AE101" s="429">
        <f t="shared" si="136"/>
        <v>1331</v>
      </c>
      <c r="AF101" s="429">
        <f t="shared" si="136"/>
        <v>1590</v>
      </c>
      <c r="AG101" s="429">
        <f t="shared" ref="AG101:AH101" si="137">AG94</f>
        <v>1523</v>
      </c>
      <c r="AH101" s="429">
        <f t="shared" si="137"/>
        <v>1470</v>
      </c>
      <c r="AI101" s="429"/>
      <c r="AJ101" s="429"/>
      <c r="AK101" s="429"/>
      <c r="AL101" s="429"/>
      <c r="AM101" s="429"/>
      <c r="AN101" s="429"/>
      <c r="AO101" s="430"/>
    </row>
    <row r="102" spans="1:41" s="428" customFormat="1" x14ac:dyDescent="0.3">
      <c r="D102" s="428" t="s">
        <v>495</v>
      </c>
      <c r="E102" s="429"/>
      <c r="F102" s="429"/>
      <c r="G102" s="429"/>
      <c r="H102" s="429"/>
      <c r="I102" s="429"/>
      <c r="J102" s="429"/>
      <c r="K102" s="429"/>
      <c r="L102" s="429"/>
      <c r="M102" s="429"/>
      <c r="N102" s="429"/>
      <c r="O102" s="429"/>
      <c r="P102" s="429"/>
      <c r="Q102" s="429"/>
      <c r="R102" s="429"/>
      <c r="S102" s="429"/>
      <c r="T102" s="429"/>
      <c r="U102" s="429"/>
      <c r="V102" s="429"/>
      <c r="W102" s="429"/>
      <c r="X102" s="429"/>
      <c r="Y102" s="429"/>
      <c r="Z102" s="429"/>
      <c r="AA102" s="429"/>
      <c r="AB102" s="429"/>
      <c r="AC102" s="429"/>
      <c r="AD102" s="429"/>
      <c r="AE102" s="429">
        <f>IF(AE95&lt;0,AE100)</f>
        <v>1200</v>
      </c>
      <c r="AF102" s="429">
        <f>IF(AF95&lt;0,AF100)</f>
        <v>1300</v>
      </c>
      <c r="AG102" s="429">
        <f>IF(AG95&lt;0,AG100)</f>
        <v>1370</v>
      </c>
      <c r="AH102" s="429">
        <f>IF(AH95&lt;0,AH100)</f>
        <v>1350</v>
      </c>
      <c r="AI102" s="429"/>
      <c r="AJ102" s="429"/>
      <c r="AK102" s="429"/>
      <c r="AL102" s="429"/>
      <c r="AM102" s="429"/>
      <c r="AN102" s="429"/>
      <c r="AO102" s="430"/>
    </row>
    <row r="103" spans="1:41" s="428" customFormat="1" x14ac:dyDescent="0.3">
      <c r="D103" s="428" t="s">
        <v>496</v>
      </c>
      <c r="E103" s="429"/>
      <c r="F103" s="429"/>
      <c r="G103" s="429"/>
      <c r="H103" s="429"/>
      <c r="I103" s="429"/>
      <c r="J103" s="429"/>
      <c r="K103" s="429"/>
      <c r="L103" s="429"/>
      <c r="M103" s="429"/>
      <c r="N103" s="429"/>
      <c r="O103" s="429"/>
      <c r="P103" s="429"/>
      <c r="Q103" s="429"/>
      <c r="R103" s="429"/>
      <c r="S103" s="429"/>
      <c r="T103" s="429"/>
      <c r="U103" s="429"/>
      <c r="V103" s="429"/>
      <c r="W103" s="429"/>
      <c r="X103" s="429"/>
      <c r="Y103" s="429"/>
      <c r="Z103" s="429"/>
      <c r="AA103" s="429"/>
      <c r="AB103" s="429"/>
      <c r="AC103" s="429"/>
      <c r="AD103" s="429"/>
      <c r="AE103" s="429">
        <f>IF(AE95&lt;0,AE94)</f>
        <v>1331</v>
      </c>
      <c r="AF103" s="429">
        <f>IF(AF95&lt;0,AF94)</f>
        <v>1590</v>
      </c>
      <c r="AG103" s="429">
        <f>IF(AG95&lt;0,AG94)</f>
        <v>1523</v>
      </c>
      <c r="AH103" s="429">
        <f>IF(AH95&lt;0,AH94)</f>
        <v>1470</v>
      </c>
      <c r="AI103" s="429"/>
      <c r="AJ103" s="429"/>
      <c r="AK103" s="429"/>
      <c r="AL103" s="429"/>
      <c r="AM103" s="429"/>
      <c r="AN103" s="429"/>
      <c r="AO103" s="430"/>
    </row>
    <row r="104" spans="1:41" x14ac:dyDescent="0.3">
      <c r="C104" s="418"/>
      <c r="D104" s="418" t="s">
        <v>387</v>
      </c>
      <c r="E104" s="432">
        <f>IFERROR(E92,0)</f>
        <v>1487.795918367347</v>
      </c>
      <c r="F104" s="432">
        <f>IF(AND(IFERROR(F92,0)=IFERROR(E92,0),IFERROR(E92,0)=IFERROR(G92,0)),0,IFERROR(F92,0))</f>
        <v>0</v>
      </c>
      <c r="G104" s="432">
        <f t="shared" ref="G104:AC104" si="138">IF(AND(IFERROR(G92,0)=IFERROR(F92,0),IFERROR(F92,0)=IFERROR(H92,0)),0,IFERROR(G92,0))</f>
        <v>1487.795918367347</v>
      </c>
      <c r="H104" s="432">
        <f t="shared" si="138"/>
        <v>1417.795918367347</v>
      </c>
      <c r="I104" s="432">
        <f t="shared" si="138"/>
        <v>0</v>
      </c>
      <c r="J104" s="432">
        <f t="shared" si="138"/>
        <v>1417.795918367347</v>
      </c>
      <c r="K104" s="432">
        <f t="shared" si="138"/>
        <v>1418.04</v>
      </c>
      <c r="L104" s="432">
        <f t="shared" si="138"/>
        <v>0</v>
      </c>
      <c r="M104" s="432">
        <f t="shared" si="138"/>
        <v>0</v>
      </c>
      <c r="N104" s="432">
        <f t="shared" si="138"/>
        <v>0</v>
      </c>
      <c r="O104" s="432">
        <f t="shared" si="138"/>
        <v>0</v>
      </c>
      <c r="P104" s="432">
        <f t="shared" si="138"/>
        <v>1418.04</v>
      </c>
      <c r="Q104" s="432">
        <f t="shared" si="138"/>
        <v>1388.04</v>
      </c>
      <c r="R104" s="432">
        <f t="shared" si="138"/>
        <v>0</v>
      </c>
      <c r="S104" s="432">
        <f t="shared" si="138"/>
        <v>1388.04</v>
      </c>
      <c r="T104" s="432">
        <f t="shared" si="138"/>
        <v>1338.04</v>
      </c>
      <c r="U104" s="432">
        <f t="shared" si="138"/>
        <v>0</v>
      </c>
      <c r="V104" s="432">
        <f t="shared" si="138"/>
        <v>1338.04</v>
      </c>
      <c r="W104" s="432">
        <f t="shared" si="138"/>
        <v>1368.04</v>
      </c>
      <c r="X104" s="432">
        <f t="shared" si="138"/>
        <v>0</v>
      </c>
      <c r="Y104" s="432">
        <f t="shared" si="138"/>
        <v>0</v>
      </c>
      <c r="Z104" s="432">
        <f t="shared" si="138"/>
        <v>0</v>
      </c>
      <c r="AA104" s="432">
        <f t="shared" si="138"/>
        <v>0</v>
      </c>
      <c r="AB104" s="432">
        <f t="shared" si="138"/>
        <v>1368.04</v>
      </c>
      <c r="AC104" s="432">
        <f t="shared" si="138"/>
        <v>1325</v>
      </c>
      <c r="AD104" s="432">
        <f t="shared" ref="AD104:AD106" si="139">IF(AND(IFERROR(AD92,0)=IFERROR(AC92,0),IFERROR(AC92,0)=IFERROR(AE92,0)),0,IFERROR(AD92,0))</f>
        <v>0</v>
      </c>
      <c r="AE104" s="432">
        <f t="shared" ref="AE104:AE106" si="140">IF(AND(IFERROR(AE92,0)=IFERROR(AD92,0),IFERROR(AD92,0)=IFERROR(AF92,0)),0,IFERROR(AE92,0))</f>
        <v>1325</v>
      </c>
      <c r="AF104" s="432">
        <f t="shared" ref="AF104:AH106" si="141">IF(AND(IFERROR(AF92,0)=IFERROR(AE92,0),IFERROR(AE92,0)=IFERROR(AG92,0)),0,IFERROR(AF92,0))</f>
        <v>1266</v>
      </c>
      <c r="AG104" s="432">
        <f t="shared" si="141"/>
        <v>0</v>
      </c>
      <c r="AH104" s="432">
        <f t="shared" si="141"/>
        <v>1266</v>
      </c>
      <c r="AI104" s="432"/>
      <c r="AJ104" s="432"/>
      <c r="AK104" s="432"/>
      <c r="AL104" s="432"/>
      <c r="AM104" s="432"/>
      <c r="AN104" s="432"/>
      <c r="AO104" s="427" t="s">
        <v>403</v>
      </c>
    </row>
    <row r="105" spans="1:41" x14ac:dyDescent="0.3">
      <c r="C105" s="418"/>
      <c r="D105" s="418" t="s">
        <v>388</v>
      </c>
      <c r="E105" s="432">
        <f t="shared" ref="E105:E106" si="142">IFERROR(E93,0)</f>
        <v>1350</v>
      </c>
      <c r="F105" s="432">
        <f t="shared" ref="F105:AC105" si="143">IF(AND(IFERROR(F93,0)=IFERROR(E93,0),IFERROR(E93,0)=IFERROR(G93,0)),0,IFERROR(F93,0))</f>
        <v>0</v>
      </c>
      <c r="G105" s="432">
        <f t="shared" si="143"/>
        <v>0</v>
      </c>
      <c r="H105" s="432">
        <f t="shared" si="143"/>
        <v>0</v>
      </c>
      <c r="I105" s="432">
        <f t="shared" si="143"/>
        <v>0</v>
      </c>
      <c r="J105" s="432">
        <f t="shared" si="143"/>
        <v>0</v>
      </c>
      <c r="K105" s="432">
        <f t="shared" si="143"/>
        <v>0</v>
      </c>
      <c r="L105" s="432">
        <f t="shared" si="143"/>
        <v>0</v>
      </c>
      <c r="M105" s="432">
        <f t="shared" si="143"/>
        <v>0</v>
      </c>
      <c r="N105" s="432">
        <f t="shared" si="143"/>
        <v>0</v>
      </c>
      <c r="O105" s="432">
        <f t="shared" si="143"/>
        <v>0</v>
      </c>
      <c r="P105" s="432">
        <f t="shared" si="143"/>
        <v>0</v>
      </c>
      <c r="Q105" s="432">
        <f t="shared" si="143"/>
        <v>1350</v>
      </c>
      <c r="R105" s="432">
        <f t="shared" si="143"/>
        <v>1300</v>
      </c>
      <c r="S105" s="432">
        <f t="shared" si="143"/>
        <v>1250</v>
      </c>
      <c r="T105" s="432">
        <f t="shared" si="143"/>
        <v>0</v>
      </c>
      <c r="U105" s="432">
        <f t="shared" si="143"/>
        <v>0</v>
      </c>
      <c r="V105" s="432">
        <f t="shared" si="143"/>
        <v>0</v>
      </c>
      <c r="W105" s="432">
        <f t="shared" si="143"/>
        <v>1250</v>
      </c>
      <c r="X105" s="432">
        <f t="shared" si="143"/>
        <v>1230</v>
      </c>
      <c r="Y105" s="432">
        <f t="shared" si="143"/>
        <v>1210</v>
      </c>
      <c r="Z105" s="432">
        <f t="shared" si="143"/>
        <v>1210</v>
      </c>
      <c r="AA105" s="432">
        <f t="shared" si="143"/>
        <v>1200</v>
      </c>
      <c r="AB105" s="432">
        <f t="shared" si="143"/>
        <v>0</v>
      </c>
      <c r="AC105" s="432">
        <f t="shared" si="143"/>
        <v>0</v>
      </c>
      <c r="AD105" s="432">
        <f t="shared" si="139"/>
        <v>0</v>
      </c>
      <c r="AE105" s="432">
        <f t="shared" si="140"/>
        <v>1200</v>
      </c>
      <c r="AF105" s="432">
        <f t="shared" si="141"/>
        <v>1300</v>
      </c>
      <c r="AG105" s="432">
        <f t="shared" si="141"/>
        <v>1370</v>
      </c>
      <c r="AH105" s="432">
        <f t="shared" si="141"/>
        <v>1350</v>
      </c>
      <c r="AI105" s="432"/>
      <c r="AJ105" s="432"/>
      <c r="AK105" s="432"/>
      <c r="AL105" s="432"/>
      <c r="AM105" s="432"/>
      <c r="AN105" s="432"/>
      <c r="AO105" s="427" t="s">
        <v>17</v>
      </c>
    </row>
    <row r="106" spans="1:41" x14ac:dyDescent="0.3">
      <c r="C106" s="418"/>
      <c r="D106" s="418" t="s">
        <v>389</v>
      </c>
      <c r="E106" s="432">
        <f t="shared" si="142"/>
        <v>940</v>
      </c>
      <c r="F106" s="432">
        <f t="shared" ref="F106:AC106" si="144">IF(AND(IFERROR(F94,0)=IFERROR(E94,0),IFERROR(E94,0)=IFERROR(G94,0)),0,IFERROR(F94,0))</f>
        <v>993.33333333333337</v>
      </c>
      <c r="G106" s="432">
        <f t="shared" si="144"/>
        <v>985</v>
      </c>
      <c r="H106" s="432">
        <f t="shared" si="144"/>
        <v>962.5</v>
      </c>
      <c r="I106" s="432">
        <f t="shared" si="144"/>
        <v>982</v>
      </c>
      <c r="J106" s="432">
        <f t="shared" si="144"/>
        <v>1000</v>
      </c>
      <c r="K106" s="432">
        <f t="shared" si="144"/>
        <v>1000</v>
      </c>
      <c r="L106" s="432">
        <f t="shared" si="144"/>
        <v>984</v>
      </c>
      <c r="M106" s="432">
        <f t="shared" si="144"/>
        <v>967.5</v>
      </c>
      <c r="N106" s="432">
        <f t="shared" si="144"/>
        <v>965</v>
      </c>
      <c r="O106" s="432">
        <f t="shared" si="144"/>
        <v>974</v>
      </c>
      <c r="P106" s="432">
        <f t="shared" si="144"/>
        <v>956</v>
      </c>
      <c r="Q106" s="432">
        <f t="shared" si="144"/>
        <v>940</v>
      </c>
      <c r="R106" s="432">
        <f t="shared" si="144"/>
        <v>918</v>
      </c>
      <c r="S106" s="432">
        <f t="shared" si="144"/>
        <v>896</v>
      </c>
      <c r="T106" s="432">
        <f t="shared" si="144"/>
        <v>891.5</v>
      </c>
      <c r="U106" s="432">
        <f t="shared" si="144"/>
        <v>864</v>
      </c>
      <c r="V106" s="432">
        <f t="shared" si="144"/>
        <v>833</v>
      </c>
      <c r="W106" s="432">
        <f t="shared" si="144"/>
        <v>833</v>
      </c>
      <c r="X106" s="432">
        <f t="shared" si="144"/>
        <v>815</v>
      </c>
      <c r="Y106" s="432">
        <f t="shared" si="144"/>
        <v>813</v>
      </c>
      <c r="Z106" s="432">
        <f t="shared" si="144"/>
        <v>805</v>
      </c>
      <c r="AA106" s="432">
        <f t="shared" si="144"/>
        <v>805</v>
      </c>
      <c r="AB106" s="432">
        <f t="shared" si="144"/>
        <v>802.5</v>
      </c>
      <c r="AC106" s="432">
        <f t="shared" si="144"/>
        <v>800</v>
      </c>
      <c r="AD106" s="432">
        <f t="shared" si="139"/>
        <v>800</v>
      </c>
      <c r="AE106" s="432">
        <f t="shared" si="140"/>
        <v>1331</v>
      </c>
      <c r="AF106" s="432">
        <f t="shared" si="141"/>
        <v>1590</v>
      </c>
      <c r="AG106" s="432">
        <f t="shared" si="141"/>
        <v>1523</v>
      </c>
      <c r="AH106" s="432">
        <f t="shared" si="141"/>
        <v>1470</v>
      </c>
      <c r="AI106" s="432"/>
      <c r="AJ106" s="432"/>
      <c r="AK106" s="432"/>
      <c r="AL106" s="432"/>
      <c r="AM106" s="432"/>
      <c r="AN106" s="432"/>
      <c r="AO106" s="427" t="s">
        <v>11</v>
      </c>
    </row>
    <row r="107" spans="1:41" x14ac:dyDescent="0.3">
      <c r="C107" s="418"/>
      <c r="D107" s="418" t="s">
        <v>551</v>
      </c>
      <c r="E107" s="432">
        <f>IFERROR(E97,0)</f>
        <v>1123.8393754760991</v>
      </c>
      <c r="F107" s="432">
        <f>IF(AND(IFERROR(F97,0)=IFERROR(E97,0),IFERROR(E97,0)=IFERROR(G97,0)),0,IFERROR(F97,0))</f>
        <v>1117.8292480151383</v>
      </c>
      <c r="G107" s="432">
        <f t="shared" ref="G107:AH107" si="145">IF(AND(IFERROR(G97,0)=IFERROR(F97,0),IFERROR(F97,0)=IFERROR(H97,0)),0,IFERROR(G97,0))</f>
        <v>1111.4054725034264</v>
      </c>
      <c r="H107" s="432">
        <f t="shared" si="145"/>
        <v>1093.6880444221808</v>
      </c>
      <c r="I107" s="432">
        <f t="shared" si="145"/>
        <v>1050.0814018200961</v>
      </c>
      <c r="J107" s="432">
        <f t="shared" si="145"/>
        <v>1042.5247208062397</v>
      </c>
      <c r="K107" s="432">
        <f t="shared" si="145"/>
        <v>1069.2339644704725</v>
      </c>
      <c r="L107" s="432">
        <f t="shared" si="145"/>
        <v>1098.7138539281395</v>
      </c>
      <c r="M107" s="432">
        <f t="shared" si="145"/>
        <v>1127.6713208816282</v>
      </c>
      <c r="N107" s="432">
        <f t="shared" si="145"/>
        <v>1107.0609906609538</v>
      </c>
      <c r="O107" s="432">
        <f t="shared" si="145"/>
        <v>1101.3855329215878</v>
      </c>
      <c r="P107" s="432">
        <f t="shared" si="145"/>
        <v>1098.4579145921905</v>
      </c>
      <c r="Q107" s="432">
        <f t="shared" si="145"/>
        <v>1111.8974726968577</v>
      </c>
      <c r="R107" s="432">
        <f t="shared" si="145"/>
        <v>1107.9584072086077</v>
      </c>
      <c r="S107" s="432">
        <f t="shared" si="145"/>
        <v>1102.408106787519</v>
      </c>
      <c r="T107" s="432">
        <f t="shared" si="145"/>
        <v>1084.7284615901749</v>
      </c>
      <c r="U107" s="432">
        <f t="shared" si="145"/>
        <v>1065.7134394500224</v>
      </c>
      <c r="V107" s="432">
        <f t="shared" si="145"/>
        <v>1057.1325986536951</v>
      </c>
      <c r="W107" s="432">
        <f t="shared" si="145"/>
        <v>1051.6461622980135</v>
      </c>
      <c r="X107" s="432">
        <f t="shared" si="145"/>
        <v>1038.665856293441</v>
      </c>
      <c r="Y107" s="432">
        <f t="shared" si="145"/>
        <v>1033.0949685737933</v>
      </c>
      <c r="Z107" s="432">
        <f t="shared" si="145"/>
        <v>1031.7990420682265</v>
      </c>
      <c r="AA107" s="432">
        <f t="shared" si="145"/>
        <v>1036.4719998006608</v>
      </c>
      <c r="AB107" s="432">
        <f t="shared" si="145"/>
        <v>1064.2414146189392</v>
      </c>
      <c r="AC107" s="432">
        <f t="shared" si="145"/>
        <v>1114.7989042377815</v>
      </c>
      <c r="AD107" s="432">
        <f t="shared" si="145"/>
        <v>1151.5792892767151</v>
      </c>
      <c r="AE107" s="432">
        <f t="shared" si="145"/>
        <v>1158.7230112217621</v>
      </c>
      <c r="AF107" s="432">
        <f t="shared" si="145"/>
        <v>1140.8443491093581</v>
      </c>
      <c r="AG107" s="432">
        <f t="shared" si="145"/>
        <v>1168.8201094912893</v>
      </c>
      <c r="AH107" s="432">
        <f t="shared" si="145"/>
        <v>1168.8201094912893</v>
      </c>
      <c r="AI107" s="432"/>
      <c r="AJ107" s="432"/>
      <c r="AK107" s="432"/>
      <c r="AL107" s="432"/>
      <c r="AM107" s="432"/>
      <c r="AN107" s="432"/>
      <c r="AO107" s="427" t="s">
        <v>552</v>
      </c>
    </row>
  </sheetData>
  <conditionalFormatting sqref="E3:AO3">
    <cfRule type="cellIs" dxfId="1" priority="1" operator="equal">
      <formula>"x"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348E-B508-484B-88E6-3E3C4C44B02F}">
  <sheetPr>
    <tabColor theme="7" tint="-0.249977111117893"/>
  </sheetPr>
  <dimension ref="A1:AL370"/>
  <sheetViews>
    <sheetView showGridLines="0" zoomScale="85" zoomScaleNormal="85" workbookViewId="0">
      <pane xSplit="11" ySplit="10" topLeftCell="Y51" activePane="bottomRight" state="frozen"/>
      <selection pane="topRight" activeCell="L1" sqref="L1"/>
      <selection pane="bottomLeft" activeCell="A11" sqref="A11"/>
      <selection pane="bottomRight" activeCell="AB19" sqref="AB19"/>
    </sheetView>
  </sheetViews>
  <sheetFormatPr defaultRowHeight="14.4" zeroHeight="1" outlineLevelRow="1" outlineLevelCol="1" x14ac:dyDescent="0.3"/>
  <cols>
    <col min="1" max="1" width="8.88671875" style="93" hidden="1" customWidth="1" outlineLevel="1"/>
    <col min="2" max="2" width="13.33203125" style="93" hidden="1" customWidth="1" outlineLevel="1"/>
    <col min="3" max="3" width="8.88671875" style="93" hidden="1" customWidth="1" outlineLevel="1"/>
    <col min="4" max="4" width="4.77734375" style="92" hidden="1" customWidth="1" outlineLevel="1"/>
    <col min="5" max="5" width="2.33203125" style="93" hidden="1" customWidth="1" outlineLevel="1"/>
    <col min="6" max="6" width="9.33203125" style="165" customWidth="1" collapsed="1"/>
    <col min="7" max="7" width="1.88671875" customWidth="1"/>
    <col min="8" max="8" width="3.33203125" customWidth="1"/>
    <col min="9" max="9" width="5.109375" customWidth="1"/>
    <col min="10" max="10" width="43.33203125" customWidth="1"/>
    <col min="11" max="11" width="0.6640625" customWidth="1"/>
    <col min="12" max="14" width="12.33203125" customWidth="1"/>
    <col min="15" max="15" width="20.33203125" style="47" customWidth="1"/>
    <col min="16" max="25" width="20.33203125" customWidth="1"/>
    <col min="26" max="26" width="20.33203125" style="48" customWidth="1"/>
    <col min="27" max="27" width="20.33203125" customWidth="1"/>
    <col min="28" max="28" width="21" customWidth="1"/>
    <col min="29" max="37" width="17.77734375" customWidth="1"/>
    <col min="38" max="38" width="17.77734375" style="48" customWidth="1"/>
  </cols>
  <sheetData>
    <row r="1" spans="1:38" s="21" customFormat="1" outlineLevel="1" x14ac:dyDescent="0.3">
      <c r="A1" s="92"/>
      <c r="B1" s="92"/>
      <c r="C1" s="92"/>
      <c r="D1" s="92"/>
      <c r="E1" s="92"/>
      <c r="F1" s="243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</row>
    <row r="2" spans="1:38" s="21" customFormat="1" outlineLevel="1" x14ac:dyDescent="0.3">
      <c r="A2" s="92"/>
      <c r="B2" s="92"/>
      <c r="C2" s="92"/>
      <c r="D2" s="92"/>
      <c r="E2" s="92"/>
      <c r="F2" s="243"/>
      <c r="L2" s="77">
        <f t="shared" ref="L2:AL2" si="1">EOMONTH(L1,0)</f>
        <v>45230</v>
      </c>
      <c r="M2" s="77">
        <f t="shared" si="1"/>
        <v>45260</v>
      </c>
      <c r="N2" s="77">
        <f t="shared" si="1"/>
        <v>45291</v>
      </c>
      <c r="O2" s="78">
        <f t="shared" si="1"/>
        <v>45322</v>
      </c>
      <c r="P2" s="77">
        <f t="shared" si="1"/>
        <v>45351</v>
      </c>
      <c r="Q2" s="77">
        <f t="shared" si="1"/>
        <v>45382</v>
      </c>
      <c r="R2" s="77">
        <f t="shared" si="1"/>
        <v>45412</v>
      </c>
      <c r="S2" s="77">
        <f t="shared" si="1"/>
        <v>45443</v>
      </c>
      <c r="T2" s="77">
        <f t="shared" si="1"/>
        <v>45473</v>
      </c>
      <c r="U2" s="77">
        <f t="shared" si="1"/>
        <v>45504</v>
      </c>
      <c r="V2" s="77">
        <f t="shared" si="1"/>
        <v>45535</v>
      </c>
      <c r="W2" s="77">
        <f t="shared" si="1"/>
        <v>45565</v>
      </c>
      <c r="X2" s="77">
        <f t="shared" si="1"/>
        <v>45596</v>
      </c>
      <c r="Y2" s="77">
        <f t="shared" si="1"/>
        <v>45626</v>
      </c>
      <c r="Z2" s="79">
        <f t="shared" si="1"/>
        <v>45657</v>
      </c>
      <c r="AA2" s="77">
        <f t="shared" si="1"/>
        <v>45688</v>
      </c>
      <c r="AB2" s="77">
        <f t="shared" si="1"/>
        <v>45716</v>
      </c>
      <c r="AC2" s="77">
        <f t="shared" si="1"/>
        <v>45747</v>
      </c>
      <c r="AD2" s="77">
        <f t="shared" si="1"/>
        <v>45777</v>
      </c>
      <c r="AE2" s="77">
        <f t="shared" si="1"/>
        <v>45808</v>
      </c>
      <c r="AF2" s="77">
        <f t="shared" si="1"/>
        <v>45838</v>
      </c>
      <c r="AG2" s="77">
        <f t="shared" si="1"/>
        <v>45869</v>
      </c>
      <c r="AH2" s="77">
        <f t="shared" si="1"/>
        <v>45900</v>
      </c>
      <c r="AI2" s="77">
        <f t="shared" si="1"/>
        <v>45930</v>
      </c>
      <c r="AJ2" s="77">
        <f t="shared" si="1"/>
        <v>45961</v>
      </c>
      <c r="AK2" s="77">
        <f t="shared" si="1"/>
        <v>45991</v>
      </c>
      <c r="AL2" s="79">
        <f t="shared" si="1"/>
        <v>46022</v>
      </c>
    </row>
    <row r="3" spans="1:38" s="21" customFormat="1" outlineLevel="1" x14ac:dyDescent="0.3">
      <c r="A3" s="92"/>
      <c r="B3" s="92"/>
      <c r="C3" s="92"/>
      <c r="D3" s="92"/>
      <c r="E3" s="92"/>
      <c r="F3" s="243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</row>
    <row r="4" spans="1:38" s="21" customFormat="1" outlineLevel="1" x14ac:dyDescent="0.3">
      <c r="A4" s="92"/>
      <c r="B4" s="92"/>
      <c r="C4" s="92"/>
      <c r="D4" s="92"/>
      <c r="E4" s="92"/>
      <c r="F4" s="243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</row>
    <row r="5" spans="1:38" s="21" customFormat="1" ht="2.25" customHeight="1" x14ac:dyDescent="0.3">
      <c r="A5" s="92"/>
      <c r="B5" s="92"/>
      <c r="C5" s="92"/>
      <c r="D5" s="92"/>
      <c r="E5" s="92"/>
      <c r="F5" s="243"/>
      <c r="O5" s="72"/>
      <c r="Z5" s="73"/>
      <c r="AL5" s="73"/>
    </row>
    <row r="6" spans="1:38" s="246" customFormat="1" ht="22.2" x14ac:dyDescent="0.45">
      <c r="D6" s="247"/>
      <c r="F6" s="248" t="s">
        <v>37</v>
      </c>
      <c r="O6" s="249"/>
      <c r="Z6" s="250"/>
      <c r="AL6" s="250"/>
    </row>
    <row r="7" spans="1:38" x14ac:dyDescent="0.3">
      <c r="O7" s="83"/>
    </row>
    <row r="8" spans="1:38" s="28" customFormat="1" ht="17.399999999999999" x14ac:dyDescent="0.3">
      <c r="A8" s="94"/>
      <c r="B8" s="94"/>
      <c r="C8" s="94"/>
      <c r="D8" s="95"/>
      <c r="E8" s="94"/>
      <c r="F8" s="595" t="s">
        <v>0</v>
      </c>
      <c r="G8" s="596" t="s">
        <v>38</v>
      </c>
      <c r="H8" s="596"/>
      <c r="I8" s="596"/>
      <c r="J8" s="596"/>
      <c r="L8" s="39">
        <v>2023</v>
      </c>
      <c r="M8" s="40"/>
      <c r="N8" s="40"/>
      <c r="O8" s="84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</row>
    <row r="9" spans="1:38" s="28" customFormat="1" ht="17.399999999999999" x14ac:dyDescent="0.3">
      <c r="A9" s="94" t="s">
        <v>317</v>
      </c>
      <c r="B9" s="94" t="s">
        <v>318</v>
      </c>
      <c r="C9" s="94" t="s">
        <v>319</v>
      </c>
      <c r="D9" s="95" t="s">
        <v>320</v>
      </c>
      <c r="E9" s="94"/>
      <c r="F9" s="595"/>
      <c r="G9" s="596"/>
      <c r="H9" s="596"/>
      <c r="I9" s="596"/>
      <c r="J9" s="596"/>
      <c r="L9" s="38">
        <v>10</v>
      </c>
      <c r="M9" s="38">
        <v>11</v>
      </c>
      <c r="N9" s="38">
        <v>12</v>
      </c>
      <c r="O9" s="86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</row>
    <row r="10" spans="1:38" ht="3.75" customHeight="1" x14ac:dyDescent="0.3"/>
    <row r="11" spans="1:38" s="175" customFormat="1" ht="19.8" x14ac:dyDescent="0.3">
      <c r="A11" s="173" t="s">
        <v>51</v>
      </c>
      <c r="B11" s="173"/>
      <c r="C11" s="173"/>
      <c r="D11" s="173"/>
      <c r="E11" s="173"/>
      <c r="F11" s="216">
        <v>1</v>
      </c>
      <c r="G11" s="174" t="s">
        <v>3</v>
      </c>
      <c r="H11" s="174"/>
      <c r="I11" s="174"/>
      <c r="J11" s="174"/>
      <c r="L11" s="177"/>
      <c r="M11" s="177"/>
      <c r="N11" s="177"/>
      <c r="O11" s="176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8"/>
      <c r="AA11" s="179"/>
      <c r="AB11" s="177"/>
      <c r="AC11" s="179"/>
      <c r="AD11" s="179"/>
      <c r="AE11" s="179"/>
      <c r="AF11" s="179"/>
      <c r="AG11" s="179"/>
      <c r="AH11" s="179"/>
      <c r="AI11" s="179"/>
      <c r="AJ11" s="179"/>
      <c r="AK11" s="179"/>
      <c r="AL11" s="178"/>
    </row>
    <row r="12" spans="1:38" s="180" customFormat="1" ht="17.399999999999999" x14ac:dyDescent="0.3">
      <c r="A12" s="180" t="s">
        <v>51</v>
      </c>
      <c r="B12" s="180" t="s">
        <v>15</v>
      </c>
      <c r="D12" s="180" t="s">
        <v>321</v>
      </c>
      <c r="F12" s="217">
        <v>1.1000000000000001</v>
      </c>
      <c r="G12" s="187"/>
      <c r="H12" s="187" t="s">
        <v>205</v>
      </c>
      <c r="I12" s="187"/>
      <c r="J12" s="187"/>
      <c r="L12" s="187"/>
      <c r="M12" s="187"/>
      <c r="N12" s="187"/>
      <c r="O12" s="213">
        <f t="shared" ref="O12:AB12" si="2">MIN(MAX(SUM(O13:O14),O23),O22)</f>
        <v>1200</v>
      </c>
      <c r="P12" s="214">
        <f t="shared" si="2"/>
        <v>1200</v>
      </c>
      <c r="Q12" s="214">
        <f t="shared" si="2"/>
        <v>1200</v>
      </c>
      <c r="R12" s="214">
        <f t="shared" si="2"/>
        <v>1200</v>
      </c>
      <c r="S12" s="214">
        <f t="shared" si="2"/>
        <v>1200</v>
      </c>
      <c r="T12" s="214">
        <f t="shared" si="2"/>
        <v>1200.8999999999999</v>
      </c>
      <c r="U12" s="214">
        <f t="shared" si="2"/>
        <v>1214.3999999999999</v>
      </c>
      <c r="V12" s="214">
        <f t="shared" si="2"/>
        <v>1226.0999999999999</v>
      </c>
      <c r="W12" s="214">
        <f t="shared" si="2"/>
        <v>1242.6000000000001</v>
      </c>
      <c r="X12" s="214">
        <f t="shared" si="2"/>
        <v>1261.3499999999999</v>
      </c>
      <c r="Y12" s="214">
        <f t="shared" si="2"/>
        <v>1281.75</v>
      </c>
      <c r="Z12" s="215">
        <f t="shared" si="2"/>
        <v>1290.75</v>
      </c>
      <c r="AA12" s="214">
        <f t="shared" si="2"/>
        <v>1288.875</v>
      </c>
      <c r="AB12" s="214">
        <f t="shared" si="2"/>
        <v>1264.3749999999991</v>
      </c>
      <c r="AC12" s="214"/>
      <c r="AD12" s="214"/>
      <c r="AE12" s="214"/>
      <c r="AF12" s="214"/>
      <c r="AG12" s="214"/>
      <c r="AH12" s="214"/>
      <c r="AI12" s="214"/>
      <c r="AJ12" s="214"/>
      <c r="AK12" s="214"/>
      <c r="AL12" s="215"/>
    </row>
    <row r="13" spans="1:38" s="96" customFormat="1" outlineLevel="1" x14ac:dyDescent="0.3">
      <c r="A13" s="96" t="s">
        <v>51</v>
      </c>
      <c r="B13" s="96" t="s">
        <v>15</v>
      </c>
      <c r="D13" s="97"/>
      <c r="F13" s="218" t="s">
        <v>200</v>
      </c>
      <c r="G13" s="26"/>
      <c r="H13" s="26" t="s">
        <v>40</v>
      </c>
      <c r="I13" s="26" t="s">
        <v>203</v>
      </c>
      <c r="J13" s="26"/>
      <c r="K13" s="12"/>
      <c r="L13" s="26"/>
      <c r="M13" s="26"/>
      <c r="N13" s="26"/>
      <c r="O13" s="210">
        <f>AVERAGE(L17:N17)</f>
        <v>1296.0416666666667</v>
      </c>
      <c r="P13" s="211">
        <f t="shared" ref="P13:AB13" si="3">AVERAGE(M17:O17)</f>
        <v>1305</v>
      </c>
      <c r="Q13" s="211">
        <f t="shared" si="3"/>
        <v>1313.3333333333333</v>
      </c>
      <c r="R13" s="211">
        <f t="shared" si="3"/>
        <v>1320</v>
      </c>
      <c r="S13" s="211">
        <f t="shared" si="3"/>
        <v>1326</v>
      </c>
      <c r="T13" s="211">
        <f t="shared" si="3"/>
        <v>1334.3333333333333</v>
      </c>
      <c r="U13" s="211">
        <f t="shared" si="3"/>
        <v>1349.3333333333333</v>
      </c>
      <c r="V13" s="211">
        <f t="shared" si="3"/>
        <v>1362.3333333333333</v>
      </c>
      <c r="W13" s="211">
        <f t="shared" si="3"/>
        <v>1380.6666666666667</v>
      </c>
      <c r="X13" s="211">
        <f t="shared" si="3"/>
        <v>1401.5</v>
      </c>
      <c r="Y13" s="211">
        <f t="shared" si="3"/>
        <v>1424.1666666666667</v>
      </c>
      <c r="Z13" s="212">
        <f t="shared" si="3"/>
        <v>1434.1666666666667</v>
      </c>
      <c r="AA13" s="211">
        <f t="shared" si="3"/>
        <v>1432.0833333333333</v>
      </c>
      <c r="AB13" s="211">
        <f t="shared" si="3"/>
        <v>1404.8611111111102</v>
      </c>
      <c r="AC13" s="211"/>
      <c r="AD13" s="211"/>
      <c r="AE13" s="211"/>
      <c r="AF13" s="211"/>
      <c r="AG13" s="211"/>
      <c r="AH13" s="211"/>
      <c r="AI13" s="211"/>
      <c r="AJ13" s="211"/>
      <c r="AK13" s="211"/>
      <c r="AL13" s="212"/>
    </row>
    <row r="14" spans="1:38" s="96" customFormat="1" outlineLevel="1" x14ac:dyDescent="0.3">
      <c r="A14" s="96" t="s">
        <v>51</v>
      </c>
      <c r="B14" s="96" t="s">
        <v>15</v>
      </c>
      <c r="D14" s="97"/>
      <c r="F14" s="218" t="s">
        <v>201</v>
      </c>
      <c r="G14" s="26"/>
      <c r="H14" s="26" t="s">
        <v>40</v>
      </c>
      <c r="I14" s="26" t="s">
        <v>204</v>
      </c>
      <c r="J14" s="26"/>
      <c r="K14" s="12"/>
      <c r="L14" s="26"/>
      <c r="M14" s="26"/>
      <c r="N14" s="26"/>
      <c r="O14" s="210">
        <f>-O13*O18</f>
        <v>-129.60416666666669</v>
      </c>
      <c r="P14" s="211">
        <f t="shared" ref="P14:AB14" si="4">-P13*P18</f>
        <v>-130.5</v>
      </c>
      <c r="Q14" s="211">
        <f t="shared" si="4"/>
        <v>-131.33333333333334</v>
      </c>
      <c r="R14" s="211">
        <f t="shared" si="4"/>
        <v>-132</v>
      </c>
      <c r="S14" s="211">
        <f t="shared" si="4"/>
        <v>-132.6</v>
      </c>
      <c r="T14" s="211">
        <f t="shared" si="4"/>
        <v>-133.43333333333334</v>
      </c>
      <c r="U14" s="211">
        <f t="shared" si="4"/>
        <v>-134.93333333333334</v>
      </c>
      <c r="V14" s="211">
        <f t="shared" si="4"/>
        <v>-136.23333333333332</v>
      </c>
      <c r="W14" s="211">
        <f t="shared" si="4"/>
        <v>-138.06666666666669</v>
      </c>
      <c r="X14" s="211">
        <f t="shared" si="4"/>
        <v>-140.15</v>
      </c>
      <c r="Y14" s="211">
        <f t="shared" si="4"/>
        <v>-142.41666666666669</v>
      </c>
      <c r="Z14" s="212">
        <f t="shared" si="4"/>
        <v>-143.41666666666669</v>
      </c>
      <c r="AA14" s="211">
        <f t="shared" si="4"/>
        <v>-143.20833333333334</v>
      </c>
      <c r="AB14" s="211">
        <f t="shared" si="4"/>
        <v>-140.48611111111103</v>
      </c>
      <c r="AC14" s="211"/>
      <c r="AD14" s="211"/>
      <c r="AE14" s="211"/>
      <c r="AF14" s="211"/>
      <c r="AG14" s="211"/>
      <c r="AH14" s="211"/>
      <c r="AI14" s="211"/>
      <c r="AJ14" s="211"/>
      <c r="AK14" s="211"/>
      <c r="AL14" s="212"/>
    </row>
    <row r="15" spans="1:38" s="94" customFormat="1" outlineLevel="1" x14ac:dyDescent="0.3">
      <c r="A15" s="94" t="s">
        <v>51</v>
      </c>
      <c r="B15" s="94" t="s">
        <v>15</v>
      </c>
      <c r="D15" s="95" t="s">
        <v>161</v>
      </c>
      <c r="F15" s="228" t="s">
        <v>216</v>
      </c>
      <c r="G15" s="229"/>
      <c r="H15" s="229"/>
      <c r="I15" s="229" t="s">
        <v>8</v>
      </c>
      <c r="J15" s="229"/>
      <c r="K15" s="2"/>
      <c r="L15" s="229"/>
      <c r="M15" s="229"/>
      <c r="N15" s="229"/>
      <c r="O15" s="230">
        <f>O12-O16</f>
        <v>1180</v>
      </c>
      <c r="P15" s="231">
        <f t="shared" ref="P15:AB15" si="5">P12-P16</f>
        <v>1180</v>
      </c>
      <c r="Q15" s="231">
        <f t="shared" si="5"/>
        <v>1180</v>
      </c>
      <c r="R15" s="231">
        <f t="shared" si="5"/>
        <v>1180</v>
      </c>
      <c r="S15" s="231">
        <f t="shared" si="5"/>
        <v>1180</v>
      </c>
      <c r="T15" s="231">
        <f t="shared" si="5"/>
        <v>1180.8999999999999</v>
      </c>
      <c r="U15" s="231">
        <f t="shared" si="5"/>
        <v>1194.3999999999999</v>
      </c>
      <c r="V15" s="231">
        <f t="shared" si="5"/>
        <v>1206.0999999999999</v>
      </c>
      <c r="W15" s="231">
        <f t="shared" si="5"/>
        <v>1222.6000000000001</v>
      </c>
      <c r="X15" s="231">
        <f t="shared" si="5"/>
        <v>1241.3499999999999</v>
      </c>
      <c r="Y15" s="231">
        <f t="shared" si="5"/>
        <v>1261.75</v>
      </c>
      <c r="Z15" s="232">
        <f t="shared" si="5"/>
        <v>1270.75</v>
      </c>
      <c r="AA15" s="231">
        <f t="shared" si="5"/>
        <v>1268.875</v>
      </c>
      <c r="AB15" s="231">
        <f t="shared" si="5"/>
        <v>1244.3749999999991</v>
      </c>
      <c r="AC15" s="231"/>
      <c r="AD15" s="231"/>
      <c r="AE15" s="231"/>
      <c r="AF15" s="231"/>
      <c r="AG15" s="231"/>
      <c r="AH15" s="231"/>
      <c r="AI15" s="231"/>
      <c r="AJ15" s="231"/>
      <c r="AK15" s="231"/>
      <c r="AL15" s="232"/>
    </row>
    <row r="16" spans="1:38" s="181" customFormat="1" outlineLevel="1" x14ac:dyDescent="0.3">
      <c r="A16" s="181" t="s">
        <v>51</v>
      </c>
      <c r="B16" s="181" t="s">
        <v>15</v>
      </c>
      <c r="F16" s="219" t="s">
        <v>217</v>
      </c>
      <c r="G16" s="188"/>
      <c r="H16" s="188"/>
      <c r="I16" s="188" t="s">
        <v>49</v>
      </c>
      <c r="J16" s="188"/>
      <c r="K16" s="182"/>
      <c r="L16" s="207"/>
      <c r="M16" s="207"/>
      <c r="N16" s="207"/>
      <c r="O16" s="208">
        <v>20</v>
      </c>
      <c r="P16" s="207">
        <v>20</v>
      </c>
      <c r="Q16" s="207">
        <v>20</v>
      </c>
      <c r="R16" s="207">
        <v>20</v>
      </c>
      <c r="S16" s="207">
        <v>20</v>
      </c>
      <c r="T16" s="207">
        <v>20</v>
      </c>
      <c r="U16" s="207">
        <v>20</v>
      </c>
      <c r="V16" s="207">
        <v>20</v>
      </c>
      <c r="W16" s="207">
        <v>20</v>
      </c>
      <c r="X16" s="207">
        <v>20</v>
      </c>
      <c r="Y16" s="207">
        <v>20</v>
      </c>
      <c r="Z16" s="209">
        <v>20</v>
      </c>
      <c r="AA16" s="207">
        <v>20</v>
      </c>
      <c r="AB16" s="207">
        <v>20</v>
      </c>
      <c r="AC16" s="207"/>
      <c r="AD16" s="207"/>
      <c r="AE16" s="207"/>
      <c r="AF16" s="207"/>
      <c r="AG16" s="207"/>
      <c r="AH16" s="207"/>
      <c r="AI16" s="207"/>
      <c r="AJ16" s="207"/>
      <c r="AK16" s="207"/>
      <c r="AL16" s="209"/>
    </row>
    <row r="17" spans="1:38" s="183" customFormat="1" outlineLevel="1" x14ac:dyDescent="0.3">
      <c r="A17" s="183" t="s">
        <v>51</v>
      </c>
      <c r="B17" s="183" t="s">
        <v>15</v>
      </c>
      <c r="C17" s="183" t="s">
        <v>43</v>
      </c>
      <c r="F17" s="220" t="s">
        <v>218</v>
      </c>
      <c r="G17" s="189"/>
      <c r="H17" s="189"/>
      <c r="I17" s="189"/>
      <c r="J17" s="189" t="s">
        <v>74</v>
      </c>
      <c r="K17" s="184"/>
      <c r="L17" s="201" cm="1">
        <f t="array" ref="L17">SUMPRODUCT(General_Data*(Year=L$3)*(Month=L$4)*(Code_General_Data=$C17))</f>
        <v>1288.125</v>
      </c>
      <c r="M17" s="201" cm="1">
        <f t="array" ref="M17">SUMPRODUCT(General_Data*(Year=M$3)*(Month=M$4)*(Code_General_Data=$C17))</f>
        <v>1300</v>
      </c>
      <c r="N17" s="201" cm="1">
        <f t="array" ref="N17">SUMPRODUCT(General_Data*(Year=N$3)*(Month=N$4)*(Code_General_Data=$C17))</f>
        <v>1300</v>
      </c>
      <c r="O17" s="202" cm="1">
        <f t="array" ref="O17">SUMPRODUCT(General_Data*(Year=O$3)*(Month=O$4)*(Code_General_Data=$C17))</f>
        <v>1315</v>
      </c>
      <c r="P17" s="201" cm="1">
        <f t="array" ref="P17">SUMPRODUCT(General_Data*(Year=P$3)*(Month=P$4)*(Code_General_Data=$C17))</f>
        <v>1325</v>
      </c>
      <c r="Q17" s="201" cm="1">
        <f t="array" ref="Q17">SUMPRODUCT(General_Data*(Year=Q$3)*(Month=Q$4)*(Code_General_Data=$C17))</f>
        <v>1320</v>
      </c>
      <c r="R17" s="201" cm="1">
        <f t="array" ref="R17">SUMPRODUCT(General_Data*(Year=R$3)*(Month=R$4)*(Code_General_Data=$C17))</f>
        <v>1333</v>
      </c>
      <c r="S17" s="201" cm="1">
        <f t="array" ref="S17">SUMPRODUCT(General_Data*(Year=S$3)*(Month=S$4)*(Code_General_Data=$C17))</f>
        <v>1350</v>
      </c>
      <c r="T17" s="201" cm="1">
        <f t="array" ref="T17">SUMPRODUCT(General_Data*(Year=T$3)*(Month=T$4)*(Code_General_Data=$C17))</f>
        <v>1365</v>
      </c>
      <c r="U17" s="201" cm="1">
        <f t="array" ref="U17">SUMPRODUCT(General_Data*(Year=U$3)*(Month=U$4)*(Code_General_Data=$C17))</f>
        <v>1372</v>
      </c>
      <c r="V17" s="201" cm="1">
        <f t="array" ref="V17">SUMPRODUCT(General_Data*(Year=V$3)*(Month=V$4)*(Code_General_Data=$C17))</f>
        <v>1405</v>
      </c>
      <c r="W17" s="201" cm="1">
        <f t="array" ref="W17">SUMPRODUCT(General_Data*(Year=W$3)*(Month=W$4)*(Code_General_Data=$C17))</f>
        <v>1427.5</v>
      </c>
      <c r="X17" s="201" cm="1">
        <f t="array" ref="X17">SUMPRODUCT(General_Data*(Year=X$3)*(Month=X$4)*(Code_General_Data=$C17))</f>
        <v>1440</v>
      </c>
      <c r="Y17" s="201" cm="1">
        <f t="array" ref="Y17">SUMPRODUCT(General_Data*(Year=Y$3)*(Month=Y$4)*(Code_General_Data=$C17))</f>
        <v>1435</v>
      </c>
      <c r="Z17" s="203" cm="1">
        <f t="array" ref="Z17">SUMPRODUCT(General_Data*(Year=Z$3)*(Month=Z$4)*(Code_General_Data=$C17))</f>
        <v>1421.25</v>
      </c>
      <c r="AA17" s="201" cm="1">
        <f t="array" ref="AA17">SUMPRODUCT(General_Data*(Year=AA$3)*(Month=AA$4)*(Code_General_Data=$C17))</f>
        <v>1358.3333333333301</v>
      </c>
      <c r="AB17" s="201" cm="1">
        <f t="array" ref="AB17">SUMPRODUCT(General_Data*(Year=AB$3)*(Month=AB$4)*(Code_General_Data=$C17))</f>
        <v>1350</v>
      </c>
      <c r="AC17" s="201"/>
      <c r="AD17" s="201"/>
      <c r="AE17" s="201"/>
      <c r="AF17" s="201"/>
      <c r="AG17" s="201"/>
      <c r="AH17" s="201"/>
      <c r="AI17" s="201"/>
      <c r="AJ17" s="201"/>
      <c r="AK17" s="201"/>
      <c r="AL17" s="203"/>
    </row>
    <row r="18" spans="1:38" s="98" customFormat="1" outlineLevel="1" x14ac:dyDescent="0.3">
      <c r="A18" s="98" t="s">
        <v>51</v>
      </c>
      <c r="B18" s="98" t="s">
        <v>15</v>
      </c>
      <c r="F18" s="221" t="s">
        <v>219</v>
      </c>
      <c r="G18" s="35"/>
      <c r="H18" s="35"/>
      <c r="I18" s="35"/>
      <c r="J18" s="35" t="s">
        <v>53</v>
      </c>
      <c r="K18" s="34"/>
      <c r="L18" s="35"/>
      <c r="M18" s="35"/>
      <c r="N18" s="35"/>
      <c r="O18" s="204">
        <v>0.1</v>
      </c>
      <c r="P18" s="205">
        <v>0.1</v>
      </c>
      <c r="Q18" s="205">
        <v>0.1</v>
      </c>
      <c r="R18" s="205">
        <v>0.1</v>
      </c>
      <c r="S18" s="205">
        <v>0.1</v>
      </c>
      <c r="T18" s="205">
        <v>0.1</v>
      </c>
      <c r="U18" s="205">
        <v>0.1</v>
      </c>
      <c r="V18" s="205">
        <v>0.1</v>
      </c>
      <c r="W18" s="205">
        <v>0.1</v>
      </c>
      <c r="X18" s="205">
        <v>0.1</v>
      </c>
      <c r="Y18" s="205">
        <v>0.1</v>
      </c>
      <c r="Z18" s="206">
        <v>0.1</v>
      </c>
      <c r="AA18" s="205">
        <v>0.1</v>
      </c>
      <c r="AB18" s="205">
        <v>0.1</v>
      </c>
      <c r="AC18" s="35"/>
      <c r="AD18" s="35"/>
      <c r="AE18" s="35"/>
      <c r="AF18" s="35"/>
      <c r="AG18" s="35"/>
      <c r="AH18" s="35"/>
      <c r="AI18" s="35"/>
      <c r="AJ18" s="35"/>
      <c r="AK18" s="35"/>
      <c r="AL18" s="191"/>
    </row>
    <row r="19" spans="1:38" s="96" customFormat="1" ht="74.400000000000006" customHeight="1" outlineLevel="1" x14ac:dyDescent="0.3">
      <c r="A19" s="96" t="s">
        <v>51</v>
      </c>
      <c r="B19" s="96" t="s">
        <v>15</v>
      </c>
      <c r="D19" s="97"/>
      <c r="F19" s="218" t="s">
        <v>220</v>
      </c>
      <c r="G19" s="26"/>
      <c r="H19" s="26"/>
      <c r="I19" s="26"/>
      <c r="J19" s="26" t="s">
        <v>44</v>
      </c>
      <c r="K19" s="12"/>
      <c r="L19" s="192"/>
      <c r="M19" s="192"/>
      <c r="N19" s="192"/>
      <c r="O19" s="88" t="str" cm="1">
        <f t="array" ref="O19">INDEX(Note!$G$3:$G$102,MATCH(1,(Note!$A$3:$A$102=$A19)*(Note!$C$3:$C$102=$B19)*(Note!$E$3:$E$102&lt;=O$1)*(Note!$F$3:$F$102&gt;=O$2),0))</f>
        <v>Giá ICIS rPET ĐNA trung bình 3 tháng trước đó với chiết khấu 10%. Giá trần $1,600; giá sàn $1,200</v>
      </c>
      <c r="P19" s="27" t="str" cm="1">
        <f t="array" ref="P19">INDEX(Note!$G$3:$G$102,MATCH(1,(Note!$A$3:$A$102=$A19)*(Note!$C$3:$C$102=$B19)*(Note!$E$3:$E$102&lt;=P$1)*(Note!$F$3:$F$102&gt;=P$2),0))</f>
        <v>Giá ICIS rPET ĐNA trung bình 3 tháng trước đó với chiết khấu 10%. Giá trần $1,600; giá sàn $1,200</v>
      </c>
      <c r="Q19" s="27" t="str" cm="1">
        <f t="array" ref="Q19">INDEX(Note!$G$3:$G$102,MATCH(1,(Note!$A$3:$A$102=$A19)*(Note!$C$3:$C$102=$B19)*(Note!$E$3:$E$102&lt;=Q$1)*(Note!$F$3:$F$102&gt;=Q$2),0))</f>
        <v>Giá ICIS rPET ĐNA trung bình 3 tháng trước đó với chiết khấu 10%. Giá trần $1,600; giá sàn $1,200</v>
      </c>
      <c r="R19" s="27" t="str" cm="1">
        <f t="array" ref="R19">INDEX(Note!$G$3:$G$102,MATCH(1,(Note!$A$3:$A$102=$A19)*(Note!$C$3:$C$102=$B19)*(Note!$E$3:$E$102&lt;=R$1)*(Note!$F$3:$F$102&gt;=R$2),0))</f>
        <v>Giá ICIS rPET ĐNA trung bình 3 tháng trước đó với chiết khấu 10%. Giá trần $1,600; giá sàn $1,200</v>
      </c>
      <c r="S19" s="27" t="str" cm="1">
        <f t="array" ref="S19">INDEX(Note!$G$3:$G$102,MATCH(1,(Note!$A$3:$A$102=$A19)*(Note!$C$3:$C$102=$B19)*(Note!$E$3:$E$102&lt;=S$1)*(Note!$F$3:$F$102&gt;=S$2),0))</f>
        <v>Giá ICIS rPET ĐNA trung bình 3 tháng trước đó với chiết khấu 10%. Giá trần $1,600; giá sàn $1,200</v>
      </c>
      <c r="T19" s="27" t="str" cm="1">
        <f t="array" ref="T19">INDEX(Note!$G$3:$G$102,MATCH(1,(Note!$A$3:$A$102=$A19)*(Note!$C$3:$C$102=$B19)*(Note!$E$3:$E$102&lt;=T$1)*(Note!$F$3:$F$102&gt;=T$2),0))</f>
        <v>Giá ICIS rPET ĐNA trung bình 3 tháng trước đó với chiết khấu 10%. Giá trần $1,600; giá sàn $1,200</v>
      </c>
      <c r="U19" s="27" t="str" cm="1">
        <f t="array" ref="U19">INDEX(Note!$G$3:$G$102,MATCH(1,(Note!$A$3:$A$102=$A19)*(Note!$C$3:$C$102=$B19)*(Note!$E$3:$E$102&lt;=U$1)*(Note!$F$3:$F$102&gt;=U$2),0))</f>
        <v>Giá ICIS rPET ĐNA trung bình 3 tháng trước đó với chiết khấu 10%. Giá trần $1,600; giá sàn $1,200</v>
      </c>
      <c r="V19" s="27" t="str" cm="1">
        <f t="array" ref="V19">INDEX(Note!$G$3:$G$102,MATCH(1,(Note!$A$3:$A$102=$A19)*(Note!$C$3:$C$102=$B19)*(Note!$E$3:$E$102&lt;=V$1)*(Note!$F$3:$F$102&gt;=V$2),0))</f>
        <v>Giá ICIS rPET ĐNA trung bình 3 tháng trước đó với chiết khấu 10%. Giá trần $1,600; giá sàn $1,200</v>
      </c>
      <c r="W19" s="27" t="str" cm="1">
        <f t="array" ref="W19">INDEX(Note!$G$3:$G$102,MATCH(1,(Note!$A$3:$A$102=$A19)*(Note!$C$3:$C$102=$B19)*(Note!$E$3:$E$102&lt;=W$1)*(Note!$F$3:$F$102&gt;=W$2),0))</f>
        <v>Giá ICIS rPET ĐNA trung bình 3 tháng trước đó với chiết khấu 10%. Giá trần $1,600; giá sàn $1,200</v>
      </c>
      <c r="X19" s="27" t="str" cm="1">
        <f t="array" ref="X19">INDEX(Note!$G$3:$G$102,MATCH(1,(Note!$A$3:$A$102=$A19)*(Note!$C$3:$C$102=$B19)*(Note!$E$3:$E$102&lt;=X$1)*(Note!$F$3:$F$102&gt;=X$2),0))</f>
        <v>Giá ICIS rPET ĐNA trung bình 3 tháng trước đó với chiết khấu 10%. Giá trần $1,600; giá sàn $1,200</v>
      </c>
      <c r="Y19" s="27" t="str" cm="1">
        <f t="array" ref="Y19">INDEX(Note!$G$3:$G$102,MATCH(1,(Note!$A$3:$A$102=$A19)*(Note!$C$3:$C$102=$B19)*(Note!$E$3:$E$102&lt;=Y$1)*(Note!$F$3:$F$102&gt;=Y$2),0))</f>
        <v>Giá ICIS rPET ĐNA trung bình 3 tháng trước đó với chiết khấu 10%. Giá trần $1,600; giá sàn $1,200</v>
      </c>
      <c r="Z19" s="89" t="str" cm="1">
        <f t="array" ref="Z19">INDEX(Note!$G$3:$G$102,MATCH(1,(Note!$A$3:$A$102=$A19)*(Note!$C$3:$C$102=$B19)*(Note!$E$3:$E$102&lt;=Z$1)*(Note!$F$3:$F$102&gt;=Z$2),0))</f>
        <v>Giá ICIS rPET ĐNA trung bình 3 tháng trước đó với chiết khấu 10%. Giá trần $1,600; giá sàn $1,200</v>
      </c>
      <c r="AA19" s="27" t="str" cm="1">
        <f t="array" ref="AA19">INDEX(Note!$G$3:$G$102,MATCH(1,(Note!$A$3:$A$102=$A19)*(Note!$C$3:$C$102=$B19)*(Note!$E$3:$E$102&lt;=AA$1)*(Note!$F$3:$F$102&gt;=AA$2),0))</f>
        <v>Giá ICIS rPET ĐNA trung bình 3 tháng trước đó với chiết khấu 10%. Giá trần $1,600; giá sàn $1,200</v>
      </c>
      <c r="AB19" s="27" t="str" cm="1">
        <f t="array" ref="AB19">INDEX(Note!$G$3:$G$102,MATCH(1,(Note!$A$3:$A$102=$A19)*(Note!$C$3:$C$102=$B19)*(Note!$E$3:$E$102&lt;=AB$1)*(Note!$F$3:$F$102&gt;=AB$2),0))</f>
        <v>Giá ICIS rPET ĐNA trung bình 3 tháng trước đó với chiết khấu 10%. Giá trần $1,600; giá sàn $1,200</v>
      </c>
      <c r="AC19" s="27"/>
      <c r="AD19" s="27"/>
      <c r="AE19" s="27"/>
      <c r="AF19" s="27"/>
      <c r="AG19" s="27"/>
      <c r="AH19" s="27"/>
      <c r="AI19" s="27"/>
      <c r="AJ19" s="27"/>
      <c r="AK19" s="27"/>
      <c r="AL19" s="89"/>
    </row>
    <row r="20" spans="1:38" s="96" customFormat="1" outlineLevel="1" x14ac:dyDescent="0.3">
      <c r="A20" s="96" t="s">
        <v>51</v>
      </c>
      <c r="B20" s="96" t="s">
        <v>15</v>
      </c>
      <c r="D20" s="97"/>
      <c r="F20" s="218" t="s">
        <v>221</v>
      </c>
      <c r="G20" s="26"/>
      <c r="H20" s="26"/>
      <c r="I20" s="26"/>
      <c r="J20" s="26" t="s">
        <v>42</v>
      </c>
      <c r="K20" s="12"/>
      <c r="L20" s="192"/>
      <c r="M20" s="192"/>
      <c r="N20" s="192"/>
      <c r="O20" s="88" t="str" cm="1">
        <f t="array" ref="O20">INDEX(Note!$H$3:$H$102,MATCH(1,(Note!$A$3:$A$102=$A20)*(Note!$C$3:$C$102=$B20)*(Note!$E$3:$E$102&lt;=O$1)*(Note!$F$3:$F$102&gt;=O$2),0))</f>
        <v>FOB</v>
      </c>
      <c r="P20" s="27" t="str" cm="1">
        <f t="array" ref="P20">INDEX(Note!$H$3:$H$102,MATCH(1,(Note!$A$3:$A$102=$A20)*(Note!$C$3:$C$102=$B20)*(Note!$E$3:$E$102&lt;=P$1)*(Note!$F$3:$F$102&gt;=P$2),0))</f>
        <v>FOB</v>
      </c>
      <c r="Q20" s="27" t="str" cm="1">
        <f t="array" ref="Q20">INDEX(Note!$H$3:$H$102,MATCH(1,(Note!$A$3:$A$102=$A20)*(Note!$C$3:$C$102=$B20)*(Note!$E$3:$E$102&lt;=Q$1)*(Note!$F$3:$F$102&gt;=Q$2),0))</f>
        <v>FOB</v>
      </c>
      <c r="R20" s="27" t="str" cm="1">
        <f t="array" ref="R20">INDEX(Note!$H$3:$H$102,MATCH(1,(Note!$A$3:$A$102=$A20)*(Note!$C$3:$C$102=$B20)*(Note!$E$3:$E$102&lt;=R$1)*(Note!$F$3:$F$102&gt;=R$2),0))</f>
        <v>FOB</v>
      </c>
      <c r="S20" s="27" t="str" cm="1">
        <f t="array" ref="S20">INDEX(Note!$H$3:$H$102,MATCH(1,(Note!$A$3:$A$102=$A20)*(Note!$C$3:$C$102=$B20)*(Note!$E$3:$E$102&lt;=S$1)*(Note!$F$3:$F$102&gt;=S$2),0))</f>
        <v>FOB</v>
      </c>
      <c r="T20" s="27" t="str" cm="1">
        <f t="array" ref="T20">INDEX(Note!$H$3:$H$102,MATCH(1,(Note!$A$3:$A$102=$A20)*(Note!$C$3:$C$102=$B20)*(Note!$E$3:$E$102&lt;=T$1)*(Note!$F$3:$F$102&gt;=T$2),0))</f>
        <v>FOB</v>
      </c>
      <c r="U20" s="27" t="str" cm="1">
        <f t="array" ref="U20">INDEX(Note!$H$3:$H$102,MATCH(1,(Note!$A$3:$A$102=$A20)*(Note!$C$3:$C$102=$B20)*(Note!$E$3:$E$102&lt;=U$1)*(Note!$F$3:$F$102&gt;=U$2),0))</f>
        <v>FOB</v>
      </c>
      <c r="V20" s="27" t="str" cm="1">
        <f t="array" ref="V20">INDEX(Note!$H$3:$H$102,MATCH(1,(Note!$A$3:$A$102=$A20)*(Note!$C$3:$C$102=$B20)*(Note!$E$3:$E$102&lt;=V$1)*(Note!$F$3:$F$102&gt;=V$2),0))</f>
        <v>FOB</v>
      </c>
      <c r="W20" s="27" t="str" cm="1">
        <f t="array" ref="W20">INDEX(Note!$H$3:$H$102,MATCH(1,(Note!$A$3:$A$102=$A20)*(Note!$C$3:$C$102=$B20)*(Note!$E$3:$E$102&lt;=W$1)*(Note!$F$3:$F$102&gt;=W$2),0))</f>
        <v>FOB</v>
      </c>
      <c r="X20" s="27" t="str" cm="1">
        <f t="array" ref="X20">INDEX(Note!$H$3:$H$102,MATCH(1,(Note!$A$3:$A$102=$A20)*(Note!$C$3:$C$102=$B20)*(Note!$E$3:$E$102&lt;=X$1)*(Note!$F$3:$F$102&gt;=X$2),0))</f>
        <v>FOB</v>
      </c>
      <c r="Y20" s="27" t="str" cm="1">
        <f t="array" ref="Y20">INDEX(Note!$H$3:$H$102,MATCH(1,(Note!$A$3:$A$102=$A20)*(Note!$C$3:$C$102=$B20)*(Note!$E$3:$E$102&lt;=Y$1)*(Note!$F$3:$F$102&gt;=Y$2),0))</f>
        <v>FOB</v>
      </c>
      <c r="Z20" s="89" t="str" cm="1">
        <f t="array" ref="Z20">INDEX(Note!$H$3:$H$102,MATCH(1,(Note!$A$3:$A$102=$A20)*(Note!$C$3:$C$102=$B20)*(Note!$E$3:$E$102&lt;=Z$1)*(Note!$F$3:$F$102&gt;=Z$2),0))</f>
        <v>FOB</v>
      </c>
      <c r="AA20" s="27" t="str" cm="1">
        <f t="array" ref="AA20">INDEX(Note!$H$3:$H$102,MATCH(1,(Note!$A$3:$A$102=$A20)*(Note!$C$3:$C$102=$B20)*(Note!$E$3:$E$102&lt;=AA$1)*(Note!$F$3:$F$102&gt;=AA$2),0))</f>
        <v>FOB</v>
      </c>
      <c r="AB20" s="27" t="str" cm="1">
        <f t="array" ref="AB20">INDEX(Note!$H$3:$H$102,MATCH(1,(Note!$A$3:$A$102=$A20)*(Note!$C$3:$C$102=$B20)*(Note!$E$3:$E$102&lt;=AB$1)*(Note!$F$3:$F$102&gt;=AB$2),0))</f>
        <v>FOB</v>
      </c>
      <c r="AC20" s="27"/>
      <c r="AD20" s="27"/>
      <c r="AE20" s="27"/>
      <c r="AF20" s="27"/>
      <c r="AG20" s="27"/>
      <c r="AH20" s="27"/>
      <c r="AI20" s="27"/>
      <c r="AJ20" s="27"/>
      <c r="AK20" s="27"/>
      <c r="AL20" s="89"/>
    </row>
    <row r="21" spans="1:38" s="97" customFormat="1" outlineLevel="1" x14ac:dyDescent="0.3">
      <c r="A21" s="97" t="s">
        <v>51</v>
      </c>
      <c r="B21" s="97" t="s">
        <v>15</v>
      </c>
      <c r="F21" s="193" t="s">
        <v>222</v>
      </c>
      <c r="G21" s="107"/>
      <c r="H21" s="107"/>
      <c r="I21" s="107"/>
      <c r="J21" s="107" t="s">
        <v>45</v>
      </c>
      <c r="K21" s="109"/>
      <c r="L21" s="193"/>
      <c r="M21" s="193"/>
      <c r="N21" s="193"/>
      <c r="O21" s="108" t="str" cm="1">
        <f t="array" ref="O21">INDEX(Note!$I$3:$I$102,MATCH(1,(Note!$A$3:$A$102=$A21)*(Note!$C$3:$C$102=$B21)*(Note!$E$3:$E$102&lt;=O$1)*(Note!$F$3:$F$102&gt;=O$2),0))</f>
        <v>Tháng</v>
      </c>
      <c r="P21" s="193" t="str" cm="1">
        <f t="array" ref="P21">INDEX(Note!$I$3:$I$102,MATCH(1,(Note!$A$3:$A$102=$A21)*(Note!$C$3:$C$102=$B21)*(Note!$E$3:$E$102&lt;=P$1)*(Note!$F$3:$F$102&gt;=P$2),0))</f>
        <v>Tháng</v>
      </c>
      <c r="Q21" s="193" t="str" cm="1">
        <f t="array" ref="Q21">INDEX(Note!$I$3:$I$102,MATCH(1,(Note!$A$3:$A$102=$A21)*(Note!$C$3:$C$102=$B21)*(Note!$E$3:$E$102&lt;=Q$1)*(Note!$F$3:$F$102&gt;=Q$2),0))</f>
        <v>Tháng</v>
      </c>
      <c r="R21" s="193" t="str" cm="1">
        <f t="array" ref="R21">INDEX(Note!$I$3:$I$102,MATCH(1,(Note!$A$3:$A$102=$A21)*(Note!$C$3:$C$102=$B21)*(Note!$E$3:$E$102&lt;=R$1)*(Note!$F$3:$F$102&gt;=R$2),0))</f>
        <v>Tháng</v>
      </c>
      <c r="S21" s="193" t="str" cm="1">
        <f t="array" ref="S21">INDEX(Note!$I$3:$I$102,MATCH(1,(Note!$A$3:$A$102=$A21)*(Note!$C$3:$C$102=$B21)*(Note!$E$3:$E$102&lt;=S$1)*(Note!$F$3:$F$102&gt;=S$2),0))</f>
        <v>Tháng</v>
      </c>
      <c r="T21" s="193" t="str" cm="1">
        <f t="array" ref="T21">INDEX(Note!$I$3:$I$102,MATCH(1,(Note!$A$3:$A$102=$A21)*(Note!$C$3:$C$102=$B21)*(Note!$E$3:$E$102&lt;=T$1)*(Note!$F$3:$F$102&gt;=T$2),0))</f>
        <v>Tháng</v>
      </c>
      <c r="U21" s="193" t="str" cm="1">
        <f t="array" ref="U21">INDEX(Note!$I$3:$I$102,MATCH(1,(Note!$A$3:$A$102=$A21)*(Note!$C$3:$C$102=$B21)*(Note!$E$3:$E$102&lt;=U$1)*(Note!$F$3:$F$102&gt;=U$2),0))</f>
        <v>Tháng</v>
      </c>
      <c r="V21" s="193" t="str" cm="1">
        <f t="array" ref="V21">INDEX(Note!$I$3:$I$102,MATCH(1,(Note!$A$3:$A$102=$A21)*(Note!$C$3:$C$102=$B21)*(Note!$E$3:$E$102&lt;=V$1)*(Note!$F$3:$F$102&gt;=V$2),0))</f>
        <v>Tháng</v>
      </c>
      <c r="W21" s="193" t="str" cm="1">
        <f t="array" ref="W21">INDEX(Note!$I$3:$I$102,MATCH(1,(Note!$A$3:$A$102=$A21)*(Note!$C$3:$C$102=$B21)*(Note!$E$3:$E$102&lt;=W$1)*(Note!$F$3:$F$102&gt;=W$2),0))</f>
        <v>Tháng</v>
      </c>
      <c r="X21" s="193" t="str" cm="1">
        <f t="array" ref="X21">INDEX(Note!$I$3:$I$102,MATCH(1,(Note!$A$3:$A$102=$A21)*(Note!$C$3:$C$102=$B21)*(Note!$E$3:$E$102&lt;=X$1)*(Note!$F$3:$F$102&gt;=X$2),0))</f>
        <v>Tháng</v>
      </c>
      <c r="Y21" s="193" t="str" cm="1">
        <f t="array" ref="Y21">INDEX(Note!$I$3:$I$102,MATCH(1,(Note!$A$3:$A$102=$A21)*(Note!$C$3:$C$102=$B21)*(Note!$E$3:$E$102&lt;=Y$1)*(Note!$F$3:$F$102&gt;=Y$2),0))</f>
        <v>Tháng</v>
      </c>
      <c r="Z21" s="194" t="str" cm="1">
        <f t="array" ref="Z21">INDEX(Note!$I$3:$I$102,MATCH(1,(Note!$A$3:$A$102=$A21)*(Note!$C$3:$C$102=$B21)*(Note!$E$3:$E$102&lt;=Z$1)*(Note!$F$3:$F$102&gt;=Z$2),0))</f>
        <v>Tháng</v>
      </c>
      <c r="AA21" s="193" t="str" cm="1">
        <f t="array" ref="AA21">INDEX(Note!$I$3:$I$102,MATCH(1,(Note!$A$3:$A$102=$A21)*(Note!$C$3:$C$102=$B21)*(Note!$E$3:$E$102&lt;=AA$1)*(Note!$F$3:$F$102&gt;=AA$2),0))</f>
        <v>Tháng</v>
      </c>
      <c r="AB21" s="193" t="str" cm="1">
        <f t="array" ref="AB21">INDEX(Note!$I$3:$I$102,MATCH(1,(Note!$A$3:$A$102=$A21)*(Note!$C$3:$C$102=$B21)*(Note!$E$3:$E$102&lt;=AB$1)*(Note!$F$3:$F$102&gt;=AB$2),0))</f>
        <v>Tháng</v>
      </c>
      <c r="AC21" s="193"/>
      <c r="AD21" s="193"/>
      <c r="AE21" s="193"/>
      <c r="AF21" s="193"/>
      <c r="AG21" s="193"/>
      <c r="AH21" s="193"/>
      <c r="AI21" s="193"/>
      <c r="AJ21" s="193"/>
      <c r="AK21" s="193"/>
      <c r="AL21" s="194"/>
    </row>
    <row r="22" spans="1:38" s="97" customFormat="1" outlineLevel="1" x14ac:dyDescent="0.3">
      <c r="A22" s="97" t="s">
        <v>51</v>
      </c>
      <c r="B22" s="97" t="s">
        <v>15</v>
      </c>
      <c r="F22" s="193" t="s">
        <v>223</v>
      </c>
      <c r="G22" s="107"/>
      <c r="H22" s="107"/>
      <c r="I22" s="107"/>
      <c r="J22" s="107" t="s">
        <v>46</v>
      </c>
      <c r="K22" s="109"/>
      <c r="L22" s="196"/>
      <c r="M22" s="196"/>
      <c r="N22" s="196"/>
      <c r="O22" s="195" cm="1">
        <f t="array" ref="O22">INDEX(Note!$J$3:$J$102,MATCH(1,(Note!$A$3:$A$102=$A22)*(Note!$C$3:$C$102=$B22)*(Note!$E$3:$E$102&lt;=O$1)*(Note!$F$3:$F$102&gt;=O$2),0))</f>
        <v>1600</v>
      </c>
      <c r="P22" s="196" cm="1">
        <f t="array" ref="P22">INDEX(Note!$J$3:$J$102,MATCH(1,(Note!$A$3:$A$102=$A22)*(Note!$C$3:$C$102=$B22)*(Note!$E$3:$E$102&lt;=P$1)*(Note!$F$3:$F$102&gt;=P$2),0))</f>
        <v>1600</v>
      </c>
      <c r="Q22" s="196" cm="1">
        <f t="array" ref="Q22">INDEX(Note!$J$3:$J$102,MATCH(1,(Note!$A$3:$A$102=$A22)*(Note!$C$3:$C$102=$B22)*(Note!$E$3:$E$102&lt;=Q$1)*(Note!$F$3:$F$102&gt;=Q$2),0))</f>
        <v>1600</v>
      </c>
      <c r="R22" s="196" cm="1">
        <f t="array" ref="R22">INDEX(Note!$J$3:$J$102,MATCH(1,(Note!$A$3:$A$102=$A22)*(Note!$C$3:$C$102=$B22)*(Note!$E$3:$E$102&lt;=R$1)*(Note!$F$3:$F$102&gt;=R$2),0))</f>
        <v>1600</v>
      </c>
      <c r="S22" s="196" cm="1">
        <f t="array" ref="S22">INDEX(Note!$J$3:$J$102,MATCH(1,(Note!$A$3:$A$102=$A22)*(Note!$C$3:$C$102=$B22)*(Note!$E$3:$E$102&lt;=S$1)*(Note!$F$3:$F$102&gt;=S$2),0))</f>
        <v>1600</v>
      </c>
      <c r="T22" s="196" cm="1">
        <f t="array" ref="T22">INDEX(Note!$J$3:$J$102,MATCH(1,(Note!$A$3:$A$102=$A22)*(Note!$C$3:$C$102=$B22)*(Note!$E$3:$E$102&lt;=T$1)*(Note!$F$3:$F$102&gt;=T$2),0))</f>
        <v>1600</v>
      </c>
      <c r="U22" s="196" cm="1">
        <f t="array" ref="U22">INDEX(Note!$J$3:$J$102,MATCH(1,(Note!$A$3:$A$102=$A22)*(Note!$C$3:$C$102=$B22)*(Note!$E$3:$E$102&lt;=U$1)*(Note!$F$3:$F$102&gt;=U$2),0))</f>
        <v>1600</v>
      </c>
      <c r="V22" s="196" cm="1">
        <f t="array" ref="V22">INDEX(Note!$J$3:$J$102,MATCH(1,(Note!$A$3:$A$102=$A22)*(Note!$C$3:$C$102=$B22)*(Note!$E$3:$E$102&lt;=V$1)*(Note!$F$3:$F$102&gt;=V$2),0))</f>
        <v>1600</v>
      </c>
      <c r="W22" s="196" cm="1">
        <f t="array" ref="W22">INDEX(Note!$J$3:$J$102,MATCH(1,(Note!$A$3:$A$102=$A22)*(Note!$C$3:$C$102=$B22)*(Note!$E$3:$E$102&lt;=W$1)*(Note!$F$3:$F$102&gt;=W$2),0))</f>
        <v>1600</v>
      </c>
      <c r="X22" s="196" cm="1">
        <f t="array" ref="X22">INDEX(Note!$J$3:$J$102,MATCH(1,(Note!$A$3:$A$102=$A22)*(Note!$C$3:$C$102=$B22)*(Note!$E$3:$E$102&lt;=X$1)*(Note!$F$3:$F$102&gt;=X$2),0))</f>
        <v>1600</v>
      </c>
      <c r="Y22" s="196" cm="1">
        <f t="array" ref="Y22">INDEX(Note!$J$3:$J$102,MATCH(1,(Note!$A$3:$A$102=$A22)*(Note!$C$3:$C$102=$B22)*(Note!$E$3:$E$102&lt;=Y$1)*(Note!$F$3:$F$102&gt;=Y$2),0))</f>
        <v>1600</v>
      </c>
      <c r="Z22" s="197" cm="1">
        <f t="array" ref="Z22">INDEX(Note!$J$3:$J$102,MATCH(1,(Note!$A$3:$A$102=$A22)*(Note!$C$3:$C$102=$B22)*(Note!$E$3:$E$102&lt;=Z$1)*(Note!$F$3:$F$102&gt;=Z$2),0))</f>
        <v>1600</v>
      </c>
      <c r="AA22" s="196" cm="1">
        <f t="array" ref="AA22">INDEX(Note!$J$3:$J$102,MATCH(1,(Note!$A$3:$A$102=$A22)*(Note!$C$3:$C$102=$B22)*(Note!$E$3:$E$102&lt;=AA$1)*(Note!$F$3:$F$102&gt;=AA$2),0))</f>
        <v>1600</v>
      </c>
      <c r="AB22" s="196" cm="1">
        <f t="array" ref="AB22">INDEX(Note!$J$3:$J$102,MATCH(1,(Note!$A$3:$A$102=$A22)*(Note!$C$3:$C$102=$B22)*(Note!$E$3:$E$102&lt;=AB$1)*(Note!$F$3:$F$102&gt;=AB$2),0))</f>
        <v>1600</v>
      </c>
      <c r="AC22" s="196"/>
      <c r="AD22" s="196"/>
      <c r="AE22" s="196"/>
      <c r="AF22" s="196"/>
      <c r="AG22" s="196"/>
      <c r="AH22" s="196"/>
      <c r="AI22" s="196"/>
      <c r="AJ22" s="196"/>
      <c r="AK22" s="196"/>
      <c r="AL22" s="197"/>
    </row>
    <row r="23" spans="1:38" s="97" customFormat="1" outlineLevel="1" x14ac:dyDescent="0.3">
      <c r="A23" s="97" t="s">
        <v>51</v>
      </c>
      <c r="B23" s="97" t="s">
        <v>15</v>
      </c>
      <c r="F23" s="193" t="s">
        <v>224</v>
      </c>
      <c r="G23" s="107"/>
      <c r="H23" s="107"/>
      <c r="I23" s="107"/>
      <c r="J23" s="107" t="s">
        <v>47</v>
      </c>
      <c r="K23" s="109"/>
      <c r="L23" s="196"/>
      <c r="M23" s="196"/>
      <c r="N23" s="196"/>
      <c r="O23" s="195" cm="1">
        <f t="array" ref="O23">INDEX(Note!$K$3:$K$102,MATCH(1,(Note!$A$3:$A$102=$A23)*(Note!$C$3:$C$102=$B23)*(Note!$E$3:$E$102&lt;=O$1)*(Note!$F$3:$F$102&gt;=O$2),0))</f>
        <v>1200</v>
      </c>
      <c r="P23" s="196" cm="1">
        <f t="array" ref="P23">INDEX(Note!$K$3:$K$102,MATCH(1,(Note!$A$3:$A$102=$A23)*(Note!$C$3:$C$102=$B23)*(Note!$E$3:$E$102&lt;=P$1)*(Note!$F$3:$F$102&gt;=P$2),0))</f>
        <v>1200</v>
      </c>
      <c r="Q23" s="196" cm="1">
        <f t="array" ref="Q23">INDEX(Note!$K$3:$K$102,MATCH(1,(Note!$A$3:$A$102=$A23)*(Note!$C$3:$C$102=$B23)*(Note!$E$3:$E$102&lt;=Q$1)*(Note!$F$3:$F$102&gt;=Q$2),0))</f>
        <v>1200</v>
      </c>
      <c r="R23" s="196" cm="1">
        <f t="array" ref="R23">INDEX(Note!$K$3:$K$102,MATCH(1,(Note!$A$3:$A$102=$A23)*(Note!$C$3:$C$102=$B23)*(Note!$E$3:$E$102&lt;=R$1)*(Note!$F$3:$F$102&gt;=R$2),0))</f>
        <v>1200</v>
      </c>
      <c r="S23" s="196" cm="1">
        <f t="array" ref="S23">INDEX(Note!$K$3:$K$102,MATCH(1,(Note!$A$3:$A$102=$A23)*(Note!$C$3:$C$102=$B23)*(Note!$E$3:$E$102&lt;=S$1)*(Note!$F$3:$F$102&gt;=S$2),0))</f>
        <v>1200</v>
      </c>
      <c r="T23" s="196" cm="1">
        <f t="array" ref="T23">INDEX(Note!$K$3:$K$102,MATCH(1,(Note!$A$3:$A$102=$A23)*(Note!$C$3:$C$102=$B23)*(Note!$E$3:$E$102&lt;=T$1)*(Note!$F$3:$F$102&gt;=T$2),0))</f>
        <v>1200</v>
      </c>
      <c r="U23" s="196" cm="1">
        <f t="array" ref="U23">INDEX(Note!$K$3:$K$102,MATCH(1,(Note!$A$3:$A$102=$A23)*(Note!$C$3:$C$102=$B23)*(Note!$E$3:$E$102&lt;=U$1)*(Note!$F$3:$F$102&gt;=U$2),0))</f>
        <v>1200</v>
      </c>
      <c r="V23" s="196" cm="1">
        <f t="array" ref="V23">INDEX(Note!$K$3:$K$102,MATCH(1,(Note!$A$3:$A$102=$A23)*(Note!$C$3:$C$102=$B23)*(Note!$E$3:$E$102&lt;=V$1)*(Note!$F$3:$F$102&gt;=V$2),0))</f>
        <v>1200</v>
      </c>
      <c r="W23" s="196" cm="1">
        <f t="array" ref="W23">INDEX(Note!$K$3:$K$102,MATCH(1,(Note!$A$3:$A$102=$A23)*(Note!$C$3:$C$102=$B23)*(Note!$E$3:$E$102&lt;=W$1)*(Note!$F$3:$F$102&gt;=W$2),0))</f>
        <v>1200</v>
      </c>
      <c r="X23" s="196" cm="1">
        <f t="array" ref="X23">INDEX(Note!$K$3:$K$102,MATCH(1,(Note!$A$3:$A$102=$A23)*(Note!$C$3:$C$102=$B23)*(Note!$E$3:$E$102&lt;=X$1)*(Note!$F$3:$F$102&gt;=X$2),0))</f>
        <v>1200</v>
      </c>
      <c r="Y23" s="196" cm="1">
        <f t="array" ref="Y23">INDEX(Note!$K$3:$K$102,MATCH(1,(Note!$A$3:$A$102=$A23)*(Note!$C$3:$C$102=$B23)*(Note!$E$3:$E$102&lt;=Y$1)*(Note!$F$3:$F$102&gt;=Y$2),0))</f>
        <v>1200</v>
      </c>
      <c r="Z23" s="197" cm="1">
        <f t="array" ref="Z23">INDEX(Note!$K$3:$K$102,MATCH(1,(Note!$A$3:$A$102=$A23)*(Note!$C$3:$C$102=$B23)*(Note!$E$3:$E$102&lt;=Z$1)*(Note!$F$3:$F$102&gt;=Z$2),0))</f>
        <v>1200</v>
      </c>
      <c r="AA23" s="196" cm="1">
        <f t="array" ref="AA23">INDEX(Note!$K$3:$K$102,MATCH(1,(Note!$A$3:$A$102=$A23)*(Note!$C$3:$C$102=$B23)*(Note!$E$3:$E$102&lt;=AA$1)*(Note!$F$3:$F$102&gt;=AA$2),0))</f>
        <v>1200</v>
      </c>
      <c r="AB23" s="196" cm="1">
        <f t="array" ref="AB23">INDEX(Note!$K$3:$K$102,MATCH(1,(Note!$A$3:$A$102=$A23)*(Note!$C$3:$C$102=$B23)*(Note!$E$3:$E$102&lt;=AB$1)*(Note!$F$3:$F$102&gt;=AB$2),0))</f>
        <v>1200</v>
      </c>
      <c r="AC23" s="196"/>
      <c r="AD23" s="196"/>
      <c r="AE23" s="196"/>
      <c r="AF23" s="196"/>
      <c r="AG23" s="196"/>
      <c r="AH23" s="196"/>
      <c r="AI23" s="196"/>
      <c r="AJ23" s="196"/>
      <c r="AK23" s="196"/>
      <c r="AL23" s="197"/>
    </row>
    <row r="24" spans="1:38" s="185" customFormat="1" outlineLevel="1" x14ac:dyDescent="0.3">
      <c r="A24" s="185" t="s">
        <v>51</v>
      </c>
      <c r="B24" s="185" t="s">
        <v>15</v>
      </c>
      <c r="F24" s="222" t="s">
        <v>261</v>
      </c>
      <c r="G24" s="190"/>
      <c r="H24" s="190"/>
      <c r="I24" s="190"/>
      <c r="J24" s="190" t="s">
        <v>202</v>
      </c>
      <c r="K24" s="186"/>
      <c r="L24" s="199"/>
      <c r="M24" s="199"/>
      <c r="N24" s="199"/>
      <c r="O24" s="198" cm="1">
        <f t="array" ref="O24">SUMPRODUCT(General_Data*(Year=O$3)*(Month=O$4)*(Code_General_Data=$B24))</f>
        <v>1250</v>
      </c>
      <c r="P24" s="199" cm="1">
        <f t="array" ref="P24">SUMPRODUCT(General_Data*(Year=P$3)*(Month=P$4)*(Code_General_Data=$B24))</f>
        <v>1250</v>
      </c>
      <c r="Q24" s="199" cm="1">
        <f t="array" ref="Q24">SUMPRODUCT(General_Data*(Year=Q$3)*(Month=Q$4)*(Code_General_Data=$B24))</f>
        <v>1250</v>
      </c>
      <c r="R24" s="199" cm="1">
        <f t="array" ref="R24">SUMPRODUCT(General_Data*(Year=R$3)*(Month=R$4)*(Code_General_Data=$B24))</f>
        <v>1250</v>
      </c>
      <c r="S24" s="199" cm="1">
        <f t="array" ref="S24">SUMPRODUCT(General_Data*(Year=S$3)*(Month=S$4)*(Code_General_Data=$B24))</f>
        <v>1300</v>
      </c>
      <c r="T24" s="199" cm="1">
        <f t="array" ref="T24">SUMPRODUCT(General_Data*(Year=T$3)*(Month=T$4)*(Code_General_Data=$B24))</f>
        <v>1300</v>
      </c>
      <c r="U24" s="199" cm="1">
        <f t="array" ref="U24">SUMPRODUCT(General_Data*(Year=U$3)*(Month=U$4)*(Code_General_Data=$B24))</f>
        <v>1300</v>
      </c>
      <c r="V24" s="199" cm="1">
        <f t="array" ref="V24">SUMPRODUCT(General_Data*(Year=V$3)*(Month=V$4)*(Code_General_Data=$B24))</f>
        <v>1300</v>
      </c>
      <c r="W24" s="199" cm="1">
        <f t="array" ref="W24">SUMPRODUCT(General_Data*(Year=W$3)*(Month=W$4)*(Code_General_Data=$B24))</f>
        <v>1310</v>
      </c>
      <c r="X24" s="199" cm="1">
        <f t="array" ref="X24">SUMPRODUCT(General_Data*(Year=X$3)*(Month=X$4)*(Code_General_Data=$B24))</f>
        <v>1325</v>
      </c>
      <c r="Y24" s="199" cm="1">
        <f t="array" ref="Y24">SUMPRODUCT(General_Data*(Year=Y$3)*(Month=Y$4)*(Code_General_Data=$B24))</f>
        <v>1325</v>
      </c>
      <c r="Z24" s="200" cm="1">
        <f t="array" ref="Z24">SUMPRODUCT(General_Data*(Year=Z$3)*(Month=Z$4)*(Code_General_Data=$B24))</f>
        <v>1275</v>
      </c>
      <c r="AA24" s="199" cm="1">
        <f t="array" ref="AA24">SUMPRODUCT(General_Data*(Year=AA$3)*(Month=AA$4)*(Code_General_Data=$B24))</f>
        <v>1230</v>
      </c>
      <c r="AB24" s="199" cm="1">
        <f t="array" ref="AB24">SUMPRODUCT(General_Data*(Year=AB$3)*(Month=AB$4)*(Code_General_Data=$B24))</f>
        <v>1230</v>
      </c>
      <c r="AC24" s="199" cm="1">
        <f t="array" ref="AC24">SUMPRODUCT(General_Data*(Year=AC$3)*(Month=AC$4)*(Code_General_Data=$B24))</f>
        <v>1230</v>
      </c>
      <c r="AD24" s="199"/>
      <c r="AE24" s="199"/>
      <c r="AF24" s="199"/>
      <c r="AG24" s="199"/>
      <c r="AH24" s="199"/>
      <c r="AI24" s="199"/>
      <c r="AJ24" s="199"/>
      <c r="AK24" s="199"/>
      <c r="AL24" s="200"/>
    </row>
    <row r="25" spans="1:38" s="93" customFormat="1" x14ac:dyDescent="0.3">
      <c r="D25" s="92"/>
      <c r="F25" s="165"/>
      <c r="G25"/>
      <c r="H25"/>
      <c r="I25"/>
      <c r="J25"/>
      <c r="K25"/>
      <c r="L25"/>
      <c r="M25"/>
      <c r="N25"/>
      <c r="O25" s="47"/>
      <c r="P25"/>
      <c r="Q25"/>
      <c r="R25"/>
      <c r="S25"/>
      <c r="T25"/>
      <c r="U25"/>
      <c r="V25"/>
      <c r="W25"/>
      <c r="X25"/>
      <c r="Y25"/>
      <c r="Z25" s="48"/>
      <c r="AA25"/>
      <c r="AB25"/>
      <c r="AC25"/>
      <c r="AD25"/>
      <c r="AE25"/>
      <c r="AF25"/>
      <c r="AG25"/>
      <c r="AH25"/>
      <c r="AI25"/>
      <c r="AJ25"/>
      <c r="AK25"/>
      <c r="AL25" s="48"/>
    </row>
    <row r="26" spans="1:38" s="175" customFormat="1" ht="19.8" x14ac:dyDescent="0.3">
      <c r="A26" s="173" t="s">
        <v>63</v>
      </c>
      <c r="B26" s="173"/>
      <c r="C26" s="173"/>
      <c r="D26" s="173"/>
      <c r="E26" s="173"/>
      <c r="F26" s="216">
        <v>2</v>
      </c>
      <c r="G26" s="174" t="s">
        <v>206</v>
      </c>
      <c r="H26" s="174"/>
      <c r="I26" s="174"/>
      <c r="J26" s="174"/>
      <c r="L26" s="177"/>
      <c r="M26" s="177"/>
      <c r="N26" s="177"/>
      <c r="O26" s="176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8"/>
      <c r="AA26" s="179"/>
      <c r="AB26" s="177"/>
      <c r="AC26" s="179"/>
      <c r="AD26" s="179"/>
      <c r="AE26" s="179"/>
      <c r="AF26" s="179"/>
      <c r="AG26" s="179"/>
      <c r="AH26" s="179"/>
      <c r="AI26" s="179"/>
      <c r="AJ26" s="179"/>
      <c r="AK26" s="179"/>
      <c r="AL26" s="178"/>
    </row>
    <row r="27" spans="1:38" s="180" customFormat="1" ht="17.399999999999999" x14ac:dyDescent="0.3">
      <c r="A27" s="180" t="s">
        <v>63</v>
      </c>
      <c r="B27" s="180" t="s">
        <v>15</v>
      </c>
      <c r="D27" s="180" t="s">
        <v>321</v>
      </c>
      <c r="F27" s="217">
        <v>2.1</v>
      </c>
      <c r="G27" s="187"/>
      <c r="H27" s="187" t="s">
        <v>207</v>
      </c>
      <c r="I27" s="187"/>
      <c r="J27" s="187"/>
      <c r="L27" s="187"/>
      <c r="M27" s="187"/>
      <c r="N27" s="187"/>
      <c r="O27" s="213">
        <f>ROUND(SUM(O28:O33),-2)+O34</f>
        <v>1320</v>
      </c>
      <c r="P27" s="214">
        <f t="shared" ref="P27:W27" si="6">ROUND(SUM(P28:P33),-2)+P34</f>
        <v>1320</v>
      </c>
      <c r="Q27" s="214">
        <f t="shared" si="6"/>
        <v>1320</v>
      </c>
      <c r="R27" s="214">
        <f t="shared" si="6"/>
        <v>1320</v>
      </c>
      <c r="S27" s="214">
        <f t="shared" si="6"/>
        <v>1320</v>
      </c>
      <c r="T27" s="214">
        <f t="shared" si="6"/>
        <v>1320</v>
      </c>
      <c r="U27" s="214">
        <f t="shared" si="6"/>
        <v>1320</v>
      </c>
      <c r="V27" s="214">
        <f t="shared" si="6"/>
        <v>1320</v>
      </c>
      <c r="W27" s="214">
        <f t="shared" si="6"/>
        <v>1320</v>
      </c>
      <c r="X27" s="214">
        <f t="shared" ref="X27:AL27" si="7">ROUND(SUM(X28:X33),-1)+X34</f>
        <v>1300</v>
      </c>
      <c r="Y27" s="214">
        <f t="shared" si="7"/>
        <v>1300</v>
      </c>
      <c r="Z27" s="215">
        <f t="shared" si="7"/>
        <v>1300</v>
      </c>
      <c r="AA27" s="213">
        <f t="shared" si="7"/>
        <v>1300</v>
      </c>
      <c r="AB27" s="214">
        <f t="shared" si="7"/>
        <v>1300</v>
      </c>
      <c r="AC27" s="214">
        <f t="shared" si="7"/>
        <v>1300</v>
      </c>
      <c r="AD27" s="214">
        <f t="shared" si="7"/>
        <v>1300</v>
      </c>
      <c r="AE27" s="214">
        <f t="shared" si="7"/>
        <v>1300</v>
      </c>
      <c r="AF27" s="214">
        <f t="shared" si="7"/>
        <v>1300</v>
      </c>
      <c r="AG27" s="214">
        <f t="shared" si="7"/>
        <v>1350</v>
      </c>
      <c r="AH27" s="214">
        <f t="shared" si="7"/>
        <v>1350</v>
      </c>
      <c r="AI27" s="214">
        <f t="shared" si="7"/>
        <v>1350</v>
      </c>
      <c r="AJ27" s="214">
        <f t="shared" si="7"/>
        <v>1350</v>
      </c>
      <c r="AK27" s="214">
        <f t="shared" si="7"/>
        <v>1350</v>
      </c>
      <c r="AL27" s="215">
        <f t="shared" si="7"/>
        <v>1350</v>
      </c>
    </row>
    <row r="28" spans="1:38" s="96" customFormat="1" outlineLevel="1" x14ac:dyDescent="0.3">
      <c r="A28" s="96" t="s">
        <v>63</v>
      </c>
      <c r="B28" s="96" t="s">
        <v>15</v>
      </c>
      <c r="D28" s="97"/>
      <c r="F28" s="218" t="s">
        <v>209</v>
      </c>
      <c r="G28" s="26"/>
      <c r="H28" s="26" t="s">
        <v>40</v>
      </c>
      <c r="I28" s="26" t="s">
        <v>54</v>
      </c>
      <c r="J28" s="26"/>
      <c r="K28" s="12"/>
      <c r="L28" s="26"/>
      <c r="M28" s="26"/>
      <c r="N28" s="26"/>
      <c r="O28" s="210">
        <f>16500/O$35*10^3</f>
        <v>673.46938775510205</v>
      </c>
      <c r="P28" s="211">
        <f t="shared" ref="P28:AL28" si="8">16500/P$35*10^3</f>
        <v>673.46938775510205</v>
      </c>
      <c r="Q28" s="211">
        <f t="shared" si="8"/>
        <v>673.46938775510205</v>
      </c>
      <c r="R28" s="211">
        <f t="shared" si="8"/>
        <v>673.46938775510205</v>
      </c>
      <c r="S28" s="211">
        <f t="shared" si="8"/>
        <v>673.46938775510205</v>
      </c>
      <c r="T28" s="211">
        <f t="shared" si="8"/>
        <v>673.46938775510205</v>
      </c>
      <c r="U28" s="211">
        <f t="shared" si="8"/>
        <v>660</v>
      </c>
      <c r="V28" s="211">
        <f t="shared" si="8"/>
        <v>660</v>
      </c>
      <c r="W28" s="211">
        <f t="shared" si="8"/>
        <v>660</v>
      </c>
      <c r="X28" s="211">
        <f t="shared" si="8"/>
        <v>660</v>
      </c>
      <c r="Y28" s="211">
        <f t="shared" si="8"/>
        <v>660</v>
      </c>
      <c r="Z28" s="212">
        <f t="shared" si="8"/>
        <v>660</v>
      </c>
      <c r="AA28" s="210">
        <f t="shared" si="8"/>
        <v>660</v>
      </c>
      <c r="AB28" s="211">
        <f t="shared" si="8"/>
        <v>660</v>
      </c>
      <c r="AC28" s="211">
        <f t="shared" si="8"/>
        <v>660</v>
      </c>
      <c r="AD28" s="211">
        <f t="shared" si="8"/>
        <v>660</v>
      </c>
      <c r="AE28" s="211">
        <f t="shared" si="8"/>
        <v>660</v>
      </c>
      <c r="AF28" s="211">
        <f t="shared" si="8"/>
        <v>660</v>
      </c>
      <c r="AG28" s="211">
        <f t="shared" si="8"/>
        <v>660</v>
      </c>
      <c r="AH28" s="211">
        <f t="shared" si="8"/>
        <v>660</v>
      </c>
      <c r="AI28" s="211">
        <f t="shared" si="8"/>
        <v>660</v>
      </c>
      <c r="AJ28" s="211">
        <f t="shared" si="8"/>
        <v>660</v>
      </c>
      <c r="AK28" s="211">
        <f t="shared" si="8"/>
        <v>660</v>
      </c>
      <c r="AL28" s="212">
        <f t="shared" si="8"/>
        <v>660</v>
      </c>
    </row>
    <row r="29" spans="1:38" s="96" customFormat="1" outlineLevel="1" x14ac:dyDescent="0.3">
      <c r="A29" s="96" t="s">
        <v>63</v>
      </c>
      <c r="B29" s="96" t="s">
        <v>15</v>
      </c>
      <c r="D29" s="97"/>
      <c r="F29" s="218" t="s">
        <v>210</v>
      </c>
      <c r="G29" s="26"/>
      <c r="H29" s="26" t="s">
        <v>40</v>
      </c>
      <c r="I29" s="26" t="s">
        <v>55</v>
      </c>
      <c r="J29" s="26"/>
      <c r="K29" s="12"/>
      <c r="L29" s="26"/>
      <c r="M29" s="26"/>
      <c r="N29" s="26"/>
      <c r="O29" s="210">
        <f>O28*O36</f>
        <v>202.0408163265306</v>
      </c>
      <c r="P29" s="211">
        <f t="shared" ref="P29:AL29" si="9">P28*P36</f>
        <v>202.0408163265306</v>
      </c>
      <c r="Q29" s="211">
        <f t="shared" si="9"/>
        <v>202.0408163265306</v>
      </c>
      <c r="R29" s="211">
        <f t="shared" si="9"/>
        <v>202.0408163265306</v>
      </c>
      <c r="S29" s="211">
        <f t="shared" si="9"/>
        <v>202.0408163265306</v>
      </c>
      <c r="T29" s="211">
        <f t="shared" si="9"/>
        <v>202.0408163265306</v>
      </c>
      <c r="U29" s="211">
        <f t="shared" si="9"/>
        <v>198</v>
      </c>
      <c r="V29" s="211">
        <f t="shared" si="9"/>
        <v>198</v>
      </c>
      <c r="W29" s="211">
        <f t="shared" si="9"/>
        <v>198</v>
      </c>
      <c r="X29" s="211">
        <f t="shared" si="9"/>
        <v>198</v>
      </c>
      <c r="Y29" s="211">
        <f t="shared" si="9"/>
        <v>198</v>
      </c>
      <c r="Z29" s="212">
        <f t="shared" si="9"/>
        <v>198</v>
      </c>
      <c r="AA29" s="210">
        <f t="shared" si="9"/>
        <v>198</v>
      </c>
      <c r="AB29" s="211">
        <f t="shared" si="9"/>
        <v>198</v>
      </c>
      <c r="AC29" s="211">
        <f t="shared" si="9"/>
        <v>198</v>
      </c>
      <c r="AD29" s="211">
        <f t="shared" si="9"/>
        <v>198</v>
      </c>
      <c r="AE29" s="211">
        <f t="shared" si="9"/>
        <v>198</v>
      </c>
      <c r="AF29" s="211">
        <f t="shared" si="9"/>
        <v>198</v>
      </c>
      <c r="AG29" s="211">
        <f t="shared" si="9"/>
        <v>198</v>
      </c>
      <c r="AH29" s="211">
        <f t="shared" si="9"/>
        <v>198</v>
      </c>
      <c r="AI29" s="211">
        <f t="shared" si="9"/>
        <v>198</v>
      </c>
      <c r="AJ29" s="211">
        <f t="shared" si="9"/>
        <v>198</v>
      </c>
      <c r="AK29" s="211">
        <f t="shared" si="9"/>
        <v>198</v>
      </c>
      <c r="AL29" s="212">
        <f t="shared" si="9"/>
        <v>198</v>
      </c>
    </row>
    <row r="30" spans="1:38" s="96" customFormat="1" outlineLevel="1" x14ac:dyDescent="0.3">
      <c r="A30" s="96" t="s">
        <v>63</v>
      </c>
      <c r="B30" s="96" t="s">
        <v>15</v>
      </c>
      <c r="D30" s="97"/>
      <c r="F30" s="218" t="s">
        <v>211</v>
      </c>
      <c r="G30" s="26"/>
      <c r="H30" s="26" t="s">
        <v>40</v>
      </c>
      <c r="I30" s="26" t="s">
        <v>56</v>
      </c>
      <c r="J30" s="26"/>
      <c r="K30" s="12"/>
      <c r="L30" s="26"/>
      <c r="M30" s="26"/>
      <c r="N30" s="26"/>
      <c r="O30" s="210">
        <f>9193.7/O35*10^3</f>
        <v>375.25306122448984</v>
      </c>
      <c r="P30" s="211">
        <f t="shared" ref="P30:AL30" si="10">9193.7/P35*10^3</f>
        <v>375.25306122448984</v>
      </c>
      <c r="Q30" s="211">
        <f t="shared" si="10"/>
        <v>375.25306122448984</v>
      </c>
      <c r="R30" s="211">
        <f t="shared" si="10"/>
        <v>375.25306122448984</v>
      </c>
      <c r="S30" s="211">
        <f t="shared" si="10"/>
        <v>375.25306122448984</v>
      </c>
      <c r="T30" s="211">
        <f t="shared" si="10"/>
        <v>375.25306122448984</v>
      </c>
      <c r="U30" s="211">
        <f t="shared" si="10"/>
        <v>367.74800000000005</v>
      </c>
      <c r="V30" s="211">
        <f t="shared" si="10"/>
        <v>367.74800000000005</v>
      </c>
      <c r="W30" s="211">
        <f t="shared" si="10"/>
        <v>367.74800000000005</v>
      </c>
      <c r="X30" s="211">
        <f t="shared" si="10"/>
        <v>367.74800000000005</v>
      </c>
      <c r="Y30" s="211">
        <f t="shared" si="10"/>
        <v>367.74800000000005</v>
      </c>
      <c r="Z30" s="212">
        <f t="shared" si="10"/>
        <v>367.74800000000005</v>
      </c>
      <c r="AA30" s="210">
        <f t="shared" si="10"/>
        <v>367.74800000000005</v>
      </c>
      <c r="AB30" s="211">
        <f t="shared" si="10"/>
        <v>367.74800000000005</v>
      </c>
      <c r="AC30" s="211">
        <f t="shared" si="10"/>
        <v>367.74800000000005</v>
      </c>
      <c r="AD30" s="211">
        <f t="shared" si="10"/>
        <v>367.74800000000005</v>
      </c>
      <c r="AE30" s="211">
        <f t="shared" si="10"/>
        <v>367.74800000000005</v>
      </c>
      <c r="AF30" s="211">
        <f t="shared" si="10"/>
        <v>367.74800000000005</v>
      </c>
      <c r="AG30" s="211">
        <f t="shared" si="10"/>
        <v>367.74800000000005</v>
      </c>
      <c r="AH30" s="211">
        <f t="shared" si="10"/>
        <v>367.74800000000005</v>
      </c>
      <c r="AI30" s="211">
        <f t="shared" si="10"/>
        <v>367.74800000000005</v>
      </c>
      <c r="AJ30" s="211">
        <f t="shared" si="10"/>
        <v>367.74800000000005</v>
      </c>
      <c r="AK30" s="211">
        <f t="shared" si="10"/>
        <v>367.74800000000005</v>
      </c>
      <c r="AL30" s="212">
        <f t="shared" si="10"/>
        <v>367.74800000000005</v>
      </c>
    </row>
    <row r="31" spans="1:38" s="96" customFormat="1" outlineLevel="1" x14ac:dyDescent="0.3">
      <c r="A31" s="96" t="s">
        <v>63</v>
      </c>
      <c r="B31" s="96" t="s">
        <v>15</v>
      </c>
      <c r="D31" s="97"/>
      <c r="F31" s="218" t="s">
        <v>212</v>
      </c>
      <c r="G31" s="26"/>
      <c r="H31" s="26" t="s">
        <v>40</v>
      </c>
      <c r="I31" s="26" t="s">
        <v>49</v>
      </c>
      <c r="J31" s="26"/>
      <c r="K31" s="12"/>
      <c r="L31" s="26"/>
      <c r="M31" s="26"/>
      <c r="N31" s="26"/>
      <c r="O31" s="210">
        <f>299/O35*10^3</f>
        <v>12.204081632653061</v>
      </c>
      <c r="P31" s="211">
        <f t="shared" ref="P31:AL31" si="11">299/P35*10^3</f>
        <v>12.204081632653061</v>
      </c>
      <c r="Q31" s="211">
        <f t="shared" si="11"/>
        <v>12.204081632653061</v>
      </c>
      <c r="R31" s="211">
        <f t="shared" si="11"/>
        <v>12.204081632653061</v>
      </c>
      <c r="S31" s="211">
        <f t="shared" si="11"/>
        <v>12.204081632653061</v>
      </c>
      <c r="T31" s="211">
        <f t="shared" si="11"/>
        <v>12.204081632653061</v>
      </c>
      <c r="U31" s="211">
        <f t="shared" si="11"/>
        <v>11.96</v>
      </c>
      <c r="V31" s="211">
        <f t="shared" si="11"/>
        <v>11.96</v>
      </c>
      <c r="W31" s="211">
        <f t="shared" si="11"/>
        <v>11.96</v>
      </c>
      <c r="X31" s="211">
        <f t="shared" si="11"/>
        <v>11.96</v>
      </c>
      <c r="Y31" s="211">
        <f t="shared" si="11"/>
        <v>11.96</v>
      </c>
      <c r="Z31" s="212">
        <f t="shared" si="11"/>
        <v>11.96</v>
      </c>
      <c r="AA31" s="210">
        <f t="shared" si="11"/>
        <v>11.96</v>
      </c>
      <c r="AB31" s="211">
        <f t="shared" si="11"/>
        <v>11.96</v>
      </c>
      <c r="AC31" s="211">
        <f t="shared" si="11"/>
        <v>11.96</v>
      </c>
      <c r="AD31" s="211">
        <f t="shared" si="11"/>
        <v>11.96</v>
      </c>
      <c r="AE31" s="211">
        <f t="shared" si="11"/>
        <v>11.96</v>
      </c>
      <c r="AF31" s="211">
        <f t="shared" si="11"/>
        <v>11.96</v>
      </c>
      <c r="AG31" s="211">
        <f t="shared" si="11"/>
        <v>11.96</v>
      </c>
      <c r="AH31" s="211">
        <f t="shared" si="11"/>
        <v>11.96</v>
      </c>
      <c r="AI31" s="211">
        <f t="shared" si="11"/>
        <v>11.96</v>
      </c>
      <c r="AJ31" s="211">
        <f t="shared" si="11"/>
        <v>11.96</v>
      </c>
      <c r="AK31" s="211">
        <f t="shared" si="11"/>
        <v>11.96</v>
      </c>
      <c r="AL31" s="212">
        <f t="shared" si="11"/>
        <v>11.96</v>
      </c>
    </row>
    <row r="32" spans="1:38" s="96" customFormat="1" outlineLevel="1" x14ac:dyDescent="0.3">
      <c r="A32" s="96" t="s">
        <v>63</v>
      </c>
      <c r="B32" s="96" t="s">
        <v>15</v>
      </c>
      <c r="D32" s="97"/>
      <c r="F32" s="218" t="s">
        <v>213</v>
      </c>
      <c r="G32" s="26"/>
      <c r="H32" s="26" t="s">
        <v>40</v>
      </c>
      <c r="I32" s="26" t="s">
        <v>57</v>
      </c>
      <c r="J32" s="26"/>
      <c r="K32" s="12"/>
      <c r="L32" s="26"/>
      <c r="M32" s="26"/>
      <c r="N32" s="26"/>
      <c r="O32" s="210">
        <f>3295/O35*10^3</f>
        <v>134.48979591836735</v>
      </c>
      <c r="P32" s="211">
        <f t="shared" ref="P32:AL32" si="12">3295/P35*10^3</f>
        <v>134.48979591836735</v>
      </c>
      <c r="Q32" s="211">
        <f t="shared" si="12"/>
        <v>134.48979591836735</v>
      </c>
      <c r="R32" s="211">
        <f t="shared" si="12"/>
        <v>134.48979591836735</v>
      </c>
      <c r="S32" s="211">
        <f t="shared" si="12"/>
        <v>134.48979591836735</v>
      </c>
      <c r="T32" s="211">
        <f t="shared" si="12"/>
        <v>134.48979591836735</v>
      </c>
      <c r="U32" s="211">
        <f t="shared" si="12"/>
        <v>131.80000000000001</v>
      </c>
      <c r="V32" s="211">
        <f t="shared" si="12"/>
        <v>131.80000000000001</v>
      </c>
      <c r="W32" s="211">
        <f t="shared" si="12"/>
        <v>131.80000000000001</v>
      </c>
      <c r="X32" s="211">
        <f t="shared" si="12"/>
        <v>131.80000000000001</v>
      </c>
      <c r="Y32" s="211">
        <f t="shared" si="12"/>
        <v>131.80000000000001</v>
      </c>
      <c r="Z32" s="212">
        <f t="shared" si="12"/>
        <v>131.80000000000001</v>
      </c>
      <c r="AA32" s="210">
        <f t="shared" si="12"/>
        <v>131.80000000000001</v>
      </c>
      <c r="AB32" s="211">
        <f t="shared" si="12"/>
        <v>131.80000000000001</v>
      </c>
      <c r="AC32" s="211">
        <f t="shared" si="12"/>
        <v>131.80000000000001</v>
      </c>
      <c r="AD32" s="211">
        <f t="shared" si="12"/>
        <v>131.80000000000001</v>
      </c>
      <c r="AE32" s="211">
        <f t="shared" si="12"/>
        <v>131.80000000000001</v>
      </c>
      <c r="AF32" s="211">
        <f t="shared" si="12"/>
        <v>131.80000000000001</v>
      </c>
      <c r="AG32" s="211">
        <f t="shared" si="12"/>
        <v>131.80000000000001</v>
      </c>
      <c r="AH32" s="211">
        <f t="shared" si="12"/>
        <v>131.80000000000001</v>
      </c>
      <c r="AI32" s="211">
        <f t="shared" si="12"/>
        <v>131.80000000000001</v>
      </c>
      <c r="AJ32" s="211">
        <f t="shared" si="12"/>
        <v>131.80000000000001</v>
      </c>
      <c r="AK32" s="211">
        <f t="shared" si="12"/>
        <v>131.80000000000001</v>
      </c>
      <c r="AL32" s="212">
        <f t="shared" si="12"/>
        <v>131.80000000000001</v>
      </c>
    </row>
    <row r="33" spans="1:38" s="96" customFormat="1" outlineLevel="1" x14ac:dyDescent="0.3">
      <c r="A33" s="96" t="s">
        <v>63</v>
      </c>
      <c r="B33" s="96" t="s">
        <v>15</v>
      </c>
      <c r="D33" s="97"/>
      <c r="F33" s="218" t="s">
        <v>214</v>
      </c>
      <c r="G33" s="26"/>
      <c r="H33" s="26" t="s">
        <v>40</v>
      </c>
      <c r="I33" s="26" t="s">
        <v>58</v>
      </c>
      <c r="J33" s="26"/>
      <c r="K33" s="12"/>
      <c r="L33" s="26"/>
      <c r="M33" s="26"/>
      <c r="N33" s="26"/>
      <c r="O33" s="210">
        <f>8%/12*SUM(O28:O32)</f>
        <v>9.3163809523809533</v>
      </c>
      <c r="P33" s="211">
        <f>8%/12*SUM(P28:P32)</f>
        <v>9.3163809523809533</v>
      </c>
      <c r="Q33" s="211">
        <f>8%/12*SUM(Q28:Q32)</f>
        <v>9.3163809523809533</v>
      </c>
      <c r="R33" s="211">
        <f t="shared" ref="R33:AL33" si="13">8%/12*SUM(R28:R32)</f>
        <v>9.3163809523809533</v>
      </c>
      <c r="S33" s="211">
        <f t="shared" si="13"/>
        <v>9.3163809523809533</v>
      </c>
      <c r="T33" s="211">
        <f t="shared" si="13"/>
        <v>9.3163809523809533</v>
      </c>
      <c r="U33" s="211">
        <f t="shared" si="13"/>
        <v>9.1300533333333345</v>
      </c>
      <c r="V33" s="211">
        <f t="shared" si="13"/>
        <v>9.1300533333333345</v>
      </c>
      <c r="W33" s="211">
        <f t="shared" si="13"/>
        <v>9.1300533333333345</v>
      </c>
      <c r="X33" s="211">
        <f t="shared" si="13"/>
        <v>9.1300533333333345</v>
      </c>
      <c r="Y33" s="211">
        <f t="shared" si="13"/>
        <v>9.1300533333333345</v>
      </c>
      <c r="Z33" s="212">
        <f t="shared" si="13"/>
        <v>9.1300533333333345</v>
      </c>
      <c r="AA33" s="210">
        <f t="shared" si="13"/>
        <v>9.1300533333333345</v>
      </c>
      <c r="AB33" s="211">
        <f t="shared" si="13"/>
        <v>9.1300533333333345</v>
      </c>
      <c r="AC33" s="211">
        <f t="shared" si="13"/>
        <v>9.1300533333333345</v>
      </c>
      <c r="AD33" s="211">
        <f t="shared" si="13"/>
        <v>9.1300533333333345</v>
      </c>
      <c r="AE33" s="211">
        <f t="shared" si="13"/>
        <v>9.1300533333333345</v>
      </c>
      <c r="AF33" s="211">
        <f t="shared" si="13"/>
        <v>9.1300533333333345</v>
      </c>
      <c r="AG33" s="211">
        <f t="shared" si="13"/>
        <v>9.1300533333333345</v>
      </c>
      <c r="AH33" s="211">
        <f t="shared" si="13"/>
        <v>9.1300533333333345</v>
      </c>
      <c r="AI33" s="211">
        <f t="shared" si="13"/>
        <v>9.1300533333333345</v>
      </c>
      <c r="AJ33" s="211">
        <f t="shared" si="13"/>
        <v>9.1300533333333345</v>
      </c>
      <c r="AK33" s="211">
        <f t="shared" si="13"/>
        <v>9.1300533333333345</v>
      </c>
      <c r="AL33" s="212">
        <f t="shared" si="13"/>
        <v>9.1300533333333345</v>
      </c>
    </row>
    <row r="34" spans="1:38" s="96" customFormat="1" outlineLevel="1" x14ac:dyDescent="0.3">
      <c r="A34" s="96" t="s">
        <v>63</v>
      </c>
      <c r="B34" s="96" t="s">
        <v>15</v>
      </c>
      <c r="D34" s="97"/>
      <c r="F34" s="218" t="s">
        <v>215</v>
      </c>
      <c r="G34" s="26"/>
      <c r="H34" s="26" t="s">
        <v>40</v>
      </c>
      <c r="I34" s="26" t="s">
        <v>52</v>
      </c>
      <c r="J34" s="26"/>
      <c r="K34" s="12"/>
      <c r="L34" s="26"/>
      <c r="M34" s="26"/>
      <c r="N34" s="26"/>
      <c r="O34" s="210">
        <v>-80</v>
      </c>
      <c r="P34" s="211">
        <v>-80</v>
      </c>
      <c r="Q34" s="211">
        <v>-80</v>
      </c>
      <c r="R34" s="211">
        <v>-80</v>
      </c>
      <c r="S34" s="211">
        <v>-80</v>
      </c>
      <c r="T34" s="211">
        <v>-80</v>
      </c>
      <c r="U34" s="211">
        <v>-80</v>
      </c>
      <c r="V34" s="211">
        <v>-80</v>
      </c>
      <c r="W34" s="211">
        <v>-80</v>
      </c>
      <c r="X34" s="211">
        <v>-80</v>
      </c>
      <c r="Y34" s="211">
        <v>-80</v>
      </c>
      <c r="Z34" s="212">
        <v>-80</v>
      </c>
      <c r="AA34" s="210">
        <v>-80</v>
      </c>
      <c r="AB34" s="211">
        <v>-80</v>
      </c>
      <c r="AC34" s="211">
        <v>-80</v>
      </c>
      <c r="AD34" s="211">
        <v>-80</v>
      </c>
      <c r="AE34" s="211">
        <v>-80</v>
      </c>
      <c r="AF34" s="211">
        <v>-80</v>
      </c>
      <c r="AG34" s="211">
        <v>-30</v>
      </c>
      <c r="AH34" s="211">
        <v>-30</v>
      </c>
      <c r="AI34" s="211">
        <v>-30</v>
      </c>
      <c r="AJ34" s="211">
        <v>-30</v>
      </c>
      <c r="AK34" s="211">
        <v>-30</v>
      </c>
      <c r="AL34" s="212">
        <v>-30</v>
      </c>
    </row>
    <row r="35" spans="1:38" s="234" customFormat="1" outlineLevel="1" x14ac:dyDescent="0.3">
      <c r="A35" s="234" t="s">
        <v>63</v>
      </c>
      <c r="B35" s="234" t="s">
        <v>15</v>
      </c>
      <c r="F35" s="244" t="s">
        <v>225</v>
      </c>
      <c r="G35" s="235"/>
      <c r="H35" s="235"/>
      <c r="I35" s="235"/>
      <c r="J35" s="235" t="s">
        <v>59</v>
      </c>
      <c r="K35" s="236"/>
      <c r="L35" s="235"/>
      <c r="M35" s="235"/>
      <c r="N35" s="235"/>
      <c r="O35" s="237">
        <v>24500</v>
      </c>
      <c r="P35" s="238">
        <v>24500</v>
      </c>
      <c r="Q35" s="238">
        <v>24500</v>
      </c>
      <c r="R35" s="238">
        <v>24500</v>
      </c>
      <c r="S35" s="238">
        <v>24500</v>
      </c>
      <c r="T35" s="238">
        <v>24500</v>
      </c>
      <c r="U35" s="238">
        <v>25000</v>
      </c>
      <c r="V35" s="238">
        <v>25000</v>
      </c>
      <c r="W35" s="238">
        <v>25000</v>
      </c>
      <c r="X35" s="238">
        <v>25000</v>
      </c>
      <c r="Y35" s="238">
        <v>25000</v>
      </c>
      <c r="Z35" s="239">
        <v>25000</v>
      </c>
      <c r="AA35" s="237">
        <v>25000</v>
      </c>
      <c r="AB35" s="238">
        <v>25000</v>
      </c>
      <c r="AC35" s="238">
        <v>25000</v>
      </c>
      <c r="AD35" s="238">
        <v>25000</v>
      </c>
      <c r="AE35" s="238">
        <v>25000</v>
      </c>
      <c r="AF35" s="238">
        <v>25000</v>
      </c>
      <c r="AG35" s="238">
        <v>25000</v>
      </c>
      <c r="AH35" s="238">
        <v>25000</v>
      </c>
      <c r="AI35" s="238">
        <v>25000</v>
      </c>
      <c r="AJ35" s="238">
        <v>25000</v>
      </c>
      <c r="AK35" s="238">
        <v>25000</v>
      </c>
      <c r="AL35" s="239">
        <v>25000</v>
      </c>
    </row>
    <row r="36" spans="1:38" s="234" customFormat="1" outlineLevel="1" x14ac:dyDescent="0.3">
      <c r="A36" s="234" t="s">
        <v>63</v>
      </c>
      <c r="B36" s="234" t="s">
        <v>15</v>
      </c>
      <c r="F36" s="244" t="s">
        <v>226</v>
      </c>
      <c r="G36" s="235"/>
      <c r="H36" s="235"/>
      <c r="I36" s="235"/>
      <c r="J36" s="235" t="s">
        <v>60</v>
      </c>
      <c r="K36" s="236"/>
      <c r="L36" s="235"/>
      <c r="M36" s="235"/>
      <c r="N36" s="235"/>
      <c r="O36" s="240">
        <v>0.3</v>
      </c>
      <c r="P36" s="241">
        <v>0.3</v>
      </c>
      <c r="Q36" s="241">
        <v>0.3</v>
      </c>
      <c r="R36" s="241">
        <v>0.3</v>
      </c>
      <c r="S36" s="241">
        <v>0.3</v>
      </c>
      <c r="T36" s="241">
        <v>0.3</v>
      </c>
      <c r="U36" s="241">
        <v>0.3</v>
      </c>
      <c r="V36" s="241">
        <v>0.3</v>
      </c>
      <c r="W36" s="241">
        <v>0.3</v>
      </c>
      <c r="X36" s="241">
        <v>0.3</v>
      </c>
      <c r="Y36" s="241">
        <v>0.3</v>
      </c>
      <c r="Z36" s="242">
        <v>0.3</v>
      </c>
      <c r="AA36" s="240">
        <v>0.3</v>
      </c>
      <c r="AB36" s="241">
        <v>0.3</v>
      </c>
      <c r="AC36" s="241">
        <v>0.3</v>
      </c>
      <c r="AD36" s="241">
        <v>0.3</v>
      </c>
      <c r="AE36" s="241">
        <v>0.3</v>
      </c>
      <c r="AF36" s="241">
        <v>0.3</v>
      </c>
      <c r="AG36" s="241">
        <v>0.3</v>
      </c>
      <c r="AH36" s="241">
        <v>0.3</v>
      </c>
      <c r="AI36" s="241">
        <v>0.3</v>
      </c>
      <c r="AJ36" s="241">
        <v>0.3</v>
      </c>
      <c r="AK36" s="241">
        <v>0.3</v>
      </c>
      <c r="AL36" s="242">
        <v>0.3</v>
      </c>
    </row>
    <row r="37" spans="1:38" s="94" customFormat="1" outlineLevel="1" x14ac:dyDescent="0.3">
      <c r="A37" s="94" t="s">
        <v>63</v>
      </c>
      <c r="B37" s="94" t="s">
        <v>15</v>
      </c>
      <c r="D37" s="95" t="s">
        <v>161</v>
      </c>
      <c r="F37" s="223" t="s">
        <v>227</v>
      </c>
      <c r="G37" s="224"/>
      <c r="H37" s="224"/>
      <c r="I37" s="224" t="s">
        <v>8</v>
      </c>
      <c r="J37" s="224"/>
      <c r="K37" s="2"/>
      <c r="L37" s="224"/>
      <c r="M37" s="224"/>
      <c r="N37" s="224"/>
      <c r="O37" s="225">
        <f>O27-O31</f>
        <v>1307.795918367347</v>
      </c>
      <c r="P37" s="226">
        <f t="shared" ref="P37:AL37" si="14">P27-P31</f>
        <v>1307.795918367347</v>
      </c>
      <c r="Q37" s="226">
        <f t="shared" si="14"/>
        <v>1307.795918367347</v>
      </c>
      <c r="R37" s="226">
        <f t="shared" si="14"/>
        <v>1307.795918367347</v>
      </c>
      <c r="S37" s="226">
        <f t="shared" si="14"/>
        <v>1307.795918367347</v>
      </c>
      <c r="T37" s="226">
        <f t="shared" si="14"/>
        <v>1307.795918367347</v>
      </c>
      <c r="U37" s="226">
        <f t="shared" si="14"/>
        <v>1308.04</v>
      </c>
      <c r="V37" s="226">
        <f t="shared" si="14"/>
        <v>1308.04</v>
      </c>
      <c r="W37" s="226">
        <f t="shared" si="14"/>
        <v>1308.04</v>
      </c>
      <c r="X37" s="226">
        <f t="shared" si="14"/>
        <v>1288.04</v>
      </c>
      <c r="Y37" s="226">
        <f t="shared" si="14"/>
        <v>1288.04</v>
      </c>
      <c r="Z37" s="227">
        <f t="shared" si="14"/>
        <v>1288.04</v>
      </c>
      <c r="AA37" s="226">
        <f t="shared" si="14"/>
        <v>1288.04</v>
      </c>
      <c r="AB37" s="226">
        <f t="shared" si="14"/>
        <v>1288.04</v>
      </c>
      <c r="AC37" s="226">
        <f t="shared" si="14"/>
        <v>1288.04</v>
      </c>
      <c r="AD37" s="226">
        <f t="shared" si="14"/>
        <v>1288.04</v>
      </c>
      <c r="AE37" s="226">
        <f t="shared" si="14"/>
        <v>1288.04</v>
      </c>
      <c r="AF37" s="226">
        <f t="shared" si="14"/>
        <v>1288.04</v>
      </c>
      <c r="AG37" s="226">
        <f t="shared" si="14"/>
        <v>1338.04</v>
      </c>
      <c r="AH37" s="226">
        <f t="shared" si="14"/>
        <v>1338.04</v>
      </c>
      <c r="AI37" s="226">
        <f t="shared" si="14"/>
        <v>1338.04</v>
      </c>
      <c r="AJ37" s="226">
        <f t="shared" si="14"/>
        <v>1338.04</v>
      </c>
      <c r="AK37" s="226">
        <f t="shared" si="14"/>
        <v>1338.04</v>
      </c>
      <c r="AL37" s="227">
        <f t="shared" si="14"/>
        <v>1338.04</v>
      </c>
    </row>
    <row r="38" spans="1:38" s="96" customFormat="1" ht="79.349999999999994" customHeight="1" outlineLevel="1" x14ac:dyDescent="0.3">
      <c r="A38" s="96" t="s">
        <v>63</v>
      </c>
      <c r="B38" s="96" t="s">
        <v>15</v>
      </c>
      <c r="D38" s="97"/>
      <c r="F38" s="218" t="s">
        <v>228</v>
      </c>
      <c r="G38" s="26"/>
      <c r="H38" s="26"/>
      <c r="I38" s="26"/>
      <c r="J38" s="26" t="s">
        <v>44</v>
      </c>
      <c r="K38" s="12"/>
      <c r="L38" s="26"/>
      <c r="M38" s="26"/>
      <c r="N38" s="26"/>
      <c r="O38" s="88" t="str" cm="1">
        <f t="array" ref="O38">INDEX(Note!$G$3:$G$102,MATCH(1,(Note!$A$3:$A$102=$A38)*(Note!$C$3:$C$102=$B38)*(Note!$E$3:$E$102&lt;=O$1)*(Note!$F$3:$F$102&gt;=O$2),0))</f>
        <v>Giá Bales DTR +% Hao Hụt + Conversion cost</v>
      </c>
      <c r="P38" s="27" t="str" cm="1">
        <f t="array" ref="P38">INDEX(Note!$G$3:$G$102,MATCH(1,(Note!$A$3:$A$102=$A38)*(Note!$C$3:$C$102=$B38)*(Note!$E$3:$E$102&lt;=P$1)*(Note!$F$3:$F$102&gt;=P$2),0))</f>
        <v>Giá Bales DTR +% Hao Hụt + Conversion cost</v>
      </c>
      <c r="Q38" s="27" t="str" cm="1">
        <f t="array" ref="Q38">INDEX(Note!$G$3:$G$102,MATCH(1,(Note!$A$3:$A$102=$A38)*(Note!$C$3:$C$102=$B38)*(Note!$E$3:$E$102&lt;=Q$1)*(Note!$F$3:$F$102&gt;=Q$2),0))</f>
        <v>Giá Bales DTR +% Hao Hụt + Conversion cost</v>
      </c>
      <c r="R38" s="27" t="str" cm="1">
        <f t="array" ref="R38">INDEX(Note!$G$3:$G$102,MATCH(1,(Note!$A$3:$A$102=$A38)*(Note!$C$3:$C$102=$B38)*(Note!$E$3:$E$102&lt;=R$1)*(Note!$F$3:$F$102&gt;=R$2),0))</f>
        <v>Giá Bales DTR +% Hao Hụt + Conversion cost</v>
      </c>
      <c r="S38" s="27" t="str" cm="1">
        <f t="array" ref="S38">INDEX(Note!$G$3:$G$102,MATCH(1,(Note!$A$3:$A$102=$A38)*(Note!$C$3:$C$102=$B38)*(Note!$E$3:$E$102&lt;=S$1)*(Note!$F$3:$F$102&gt;=S$2),0))</f>
        <v>Giá Bales DTR +% Hao Hụt + Conversion cost</v>
      </c>
      <c r="T38" s="27" t="str" cm="1">
        <f t="array" ref="T38">INDEX(Note!$G$3:$G$102,MATCH(1,(Note!$A$3:$A$102=$A38)*(Note!$C$3:$C$102=$B38)*(Note!$E$3:$E$102&lt;=T$1)*(Note!$F$3:$F$102&gt;=T$2),0))</f>
        <v>Giá Bales DTR +% Hao Hụt + Conversion cost</v>
      </c>
      <c r="U38" s="27" t="str" cm="1">
        <f t="array" ref="U38">INDEX(Note!$G$3:$G$102,MATCH(1,(Note!$A$3:$A$102=$A38)*(Note!$C$3:$C$102=$B38)*(Note!$E$3:$E$102&lt;=U$1)*(Note!$F$3:$F$102&gt;=U$2),0))</f>
        <v>Giá Bales DTR +% Hao Hụt + Conversion cost</v>
      </c>
      <c r="V38" s="27" t="str" cm="1">
        <f t="array" ref="V38">INDEX(Note!$G$3:$G$102,MATCH(1,(Note!$A$3:$A$102=$A38)*(Note!$C$3:$C$102=$B38)*(Note!$E$3:$E$102&lt;=V$1)*(Note!$F$3:$F$102&gt;=V$2),0))</f>
        <v>Giá Bales DTR +% Hao Hụt + Conversion cost</v>
      </c>
      <c r="W38" s="27" t="str" cm="1">
        <f t="array" ref="W38">INDEX(Note!$G$3:$G$102,MATCH(1,(Note!$A$3:$A$102=$A38)*(Note!$C$3:$C$102=$B38)*(Note!$E$3:$E$102&lt;=W$1)*(Note!$F$3:$F$102&gt;=W$2),0))</f>
        <v>Giá Bales DTR +% Hao Hụt + Conversion cost</v>
      </c>
      <c r="X38" s="27" t="str" cm="1">
        <f t="array" ref="X38">INDEX(Note!$G$3:$G$102,MATCH(1,(Note!$A$3:$A$102=$A38)*(Note!$C$3:$C$102=$B38)*(Note!$E$3:$E$102&lt;=X$1)*(Note!$F$3:$F$102&gt;=X$2),0))</f>
        <v>Giá Bales DTR +% Hao Hụt + Conversion cost</v>
      </c>
      <c r="Y38" s="27" t="str" cm="1">
        <f t="array" ref="Y38">INDEX(Note!$G$3:$G$102,MATCH(1,(Note!$A$3:$A$102=$A38)*(Note!$C$3:$C$102=$B38)*(Note!$E$3:$E$102&lt;=Y$1)*(Note!$F$3:$F$102&gt;=Y$2),0))</f>
        <v>Giá Bales DTR +% Hao Hụt + Conversion cost</v>
      </c>
      <c r="Z38" s="89" t="str" cm="1">
        <f t="array" ref="Z38">INDEX(Note!$G$3:$G$102,MATCH(1,(Note!$A$3:$A$102=$A38)*(Note!$C$3:$C$102=$B38)*(Note!$E$3:$E$102&lt;=Z$1)*(Note!$F$3:$F$102&gt;=Z$2),0))</f>
        <v>Giá Bales DTR +% Hao Hụt + Conversion cost</v>
      </c>
      <c r="AA38" s="27" t="str" cm="1">
        <f t="array" ref="AA38">INDEX(Note!$G$3:$G$102,MATCH(1,(Note!$A$3:$A$102=$A38)*(Note!$C$3:$C$102=$B38)*(Note!$E$3:$E$102&lt;=AA$1)*(Note!$F$3:$F$102&gt;=AA$2),0))</f>
        <v>Giá cố định (KD đề xuất)</v>
      </c>
      <c r="AB38" s="27" t="str" cm="1">
        <f t="array" ref="AB38">INDEX(Note!$G$3:$G$102,MATCH(1,(Note!$A$3:$A$102=$A38)*(Note!$C$3:$C$102=$B38)*(Note!$E$3:$E$102&lt;=AB$1)*(Note!$F$3:$F$102&gt;=AB$2),0))</f>
        <v>Giá cố định (KD đề xuất)</v>
      </c>
      <c r="AC38" s="27" t="str" cm="1">
        <f t="array" ref="AC38">INDEX(Note!$G$3:$G$102,MATCH(1,(Note!$A$3:$A$102=$A38)*(Note!$C$3:$C$102=$B38)*(Note!$E$3:$E$102&lt;=AC$1)*(Note!$F$3:$F$102&gt;=AC$2),0))</f>
        <v>Giá cố định (KD đề xuất)</v>
      </c>
      <c r="AD38" s="27" t="str" cm="1">
        <f t="array" ref="AD38">INDEX(Note!$G$3:$G$102,MATCH(1,(Note!$A$3:$A$102=$A38)*(Note!$C$3:$C$102=$B38)*(Note!$E$3:$E$102&lt;=AD$1)*(Note!$F$3:$F$102&gt;=AD$2),0))</f>
        <v>Giá cố định (KD đề xuất)</v>
      </c>
      <c r="AE38" s="27" t="str" cm="1">
        <f t="array" ref="AE38">INDEX(Note!$G$3:$G$102,MATCH(1,(Note!$A$3:$A$102=$A38)*(Note!$C$3:$C$102=$B38)*(Note!$E$3:$E$102&lt;=AE$1)*(Note!$F$3:$F$102&gt;=AE$2),0))</f>
        <v>Giá cố định (KD đề xuất)</v>
      </c>
      <c r="AF38" s="27" t="str" cm="1">
        <f t="array" ref="AF38">INDEX(Note!$G$3:$G$102,MATCH(1,(Note!$A$3:$A$102=$A38)*(Note!$C$3:$C$102=$B38)*(Note!$E$3:$E$102&lt;=AF$1)*(Note!$F$3:$F$102&gt;=AF$2),0))</f>
        <v>Giá cố định (KD đề xuất)</v>
      </c>
      <c r="AG38" s="27" t="str" cm="1">
        <f t="array" ref="AG38">INDEX(Note!$G$3:$G$102,MATCH(1,(Note!$A$3:$A$102=$A38)*(Note!$C$3:$C$102=$B38)*(Note!$E$3:$E$102&lt;=AG$1)*(Note!$F$3:$F$102&gt;=AG$2),0))</f>
        <v>Giá cố định (KD đề xuất)</v>
      </c>
      <c r="AH38" s="27" t="str" cm="1">
        <f t="array" ref="AH38">INDEX(Note!$G$3:$G$102,MATCH(1,(Note!$A$3:$A$102=$A38)*(Note!$C$3:$C$102=$B38)*(Note!$E$3:$E$102&lt;=AH$1)*(Note!$F$3:$F$102&gt;=AH$2),0))</f>
        <v>Giá cố định (KD đề xuất)</v>
      </c>
      <c r="AI38" s="27" t="str" cm="1">
        <f t="array" ref="AI38">INDEX(Note!$G$3:$G$102,MATCH(1,(Note!$A$3:$A$102=$A38)*(Note!$C$3:$C$102=$B38)*(Note!$E$3:$E$102&lt;=AI$1)*(Note!$F$3:$F$102&gt;=AI$2),0))</f>
        <v>Giá cố định (KD đề xuất)</v>
      </c>
      <c r="AJ38" s="27" t="str" cm="1">
        <f t="array" ref="AJ38">INDEX(Note!$G$3:$G$102,MATCH(1,(Note!$A$3:$A$102=$A38)*(Note!$C$3:$C$102=$B38)*(Note!$E$3:$E$102&lt;=AJ$1)*(Note!$F$3:$F$102&gt;=AJ$2),0))</f>
        <v>Giá cố định (KD đề xuất)</v>
      </c>
      <c r="AK38" s="27" t="str" cm="1">
        <f t="array" ref="AK38">INDEX(Note!$G$3:$G$102,MATCH(1,(Note!$A$3:$A$102=$A38)*(Note!$C$3:$C$102=$B38)*(Note!$E$3:$E$102&lt;=AK$1)*(Note!$F$3:$F$102&gt;=AK$2),0))</f>
        <v>Giá cố định (KD đề xuất)</v>
      </c>
      <c r="AL38" s="89" t="str" cm="1">
        <f t="array" ref="AL38">INDEX(Note!$G$3:$G$102,MATCH(1,(Note!$A$3:$A$102=$A38)*(Note!$C$3:$C$102=$B38)*(Note!$E$3:$E$102&lt;=AL$1)*(Note!$F$3:$F$102&gt;=AL$2),0))</f>
        <v>Giá cố định (KD đề xuất)</v>
      </c>
    </row>
    <row r="39" spans="1:38" s="96" customFormat="1" outlineLevel="1" x14ac:dyDescent="0.3">
      <c r="A39" s="96" t="s">
        <v>63</v>
      </c>
      <c r="B39" s="96" t="s">
        <v>15</v>
      </c>
      <c r="D39" s="97"/>
      <c r="F39" s="218" t="s">
        <v>229</v>
      </c>
      <c r="G39" s="26"/>
      <c r="H39" s="26"/>
      <c r="I39" s="26"/>
      <c r="J39" s="26" t="s">
        <v>42</v>
      </c>
      <c r="K39" s="12"/>
      <c r="L39" s="26"/>
      <c r="M39" s="26"/>
      <c r="N39" s="26"/>
      <c r="O39" s="88" t="str" cm="1">
        <f t="array" ref="O39">INDEX(Note!$H$3:$H$102,MATCH(1,(Note!$A$3:$A$102=$A39)*(Note!$C$3:$C$102=$B39)*(Note!$E$3:$E$102&lt;=O$1)*(Note!$F$3:$F$102&gt;=O$2),0))</f>
        <v>DDP</v>
      </c>
      <c r="P39" s="27" t="str" cm="1">
        <f t="array" ref="P39">INDEX(Note!$H$3:$H$102,MATCH(1,(Note!$A$3:$A$102=$A39)*(Note!$C$3:$C$102=$B39)*(Note!$E$3:$E$102&lt;=P$1)*(Note!$F$3:$F$102&gt;=P$2),0))</f>
        <v>DDP</v>
      </c>
      <c r="Q39" s="27" t="str" cm="1">
        <f t="array" ref="Q39">INDEX(Note!$H$3:$H$102,MATCH(1,(Note!$A$3:$A$102=$A39)*(Note!$C$3:$C$102=$B39)*(Note!$E$3:$E$102&lt;=Q$1)*(Note!$F$3:$F$102&gt;=Q$2),0))</f>
        <v>DDP</v>
      </c>
      <c r="R39" s="27" t="str" cm="1">
        <f t="array" ref="R39">INDEX(Note!$H$3:$H$102,MATCH(1,(Note!$A$3:$A$102=$A39)*(Note!$C$3:$C$102=$B39)*(Note!$E$3:$E$102&lt;=R$1)*(Note!$F$3:$F$102&gt;=R$2),0))</f>
        <v>DDP</v>
      </c>
      <c r="S39" s="27" t="str" cm="1">
        <f t="array" ref="S39">INDEX(Note!$H$3:$H$102,MATCH(1,(Note!$A$3:$A$102=$A39)*(Note!$C$3:$C$102=$B39)*(Note!$E$3:$E$102&lt;=S$1)*(Note!$F$3:$F$102&gt;=S$2),0))</f>
        <v>DDP</v>
      </c>
      <c r="T39" s="27" t="str" cm="1">
        <f t="array" ref="T39">INDEX(Note!$H$3:$H$102,MATCH(1,(Note!$A$3:$A$102=$A39)*(Note!$C$3:$C$102=$B39)*(Note!$E$3:$E$102&lt;=T$1)*(Note!$F$3:$F$102&gt;=T$2),0))</f>
        <v>DDP</v>
      </c>
      <c r="U39" s="27" t="str" cm="1">
        <f t="array" ref="U39">INDEX(Note!$H$3:$H$102,MATCH(1,(Note!$A$3:$A$102=$A39)*(Note!$C$3:$C$102=$B39)*(Note!$E$3:$E$102&lt;=U$1)*(Note!$F$3:$F$102&gt;=U$2),0))</f>
        <v>DDP</v>
      </c>
      <c r="V39" s="27" t="str" cm="1">
        <f t="array" ref="V39">INDEX(Note!$H$3:$H$102,MATCH(1,(Note!$A$3:$A$102=$A39)*(Note!$C$3:$C$102=$B39)*(Note!$E$3:$E$102&lt;=V$1)*(Note!$F$3:$F$102&gt;=V$2),0))</f>
        <v>DDP</v>
      </c>
      <c r="W39" s="27" t="str" cm="1">
        <f t="array" ref="W39">INDEX(Note!$H$3:$H$102,MATCH(1,(Note!$A$3:$A$102=$A39)*(Note!$C$3:$C$102=$B39)*(Note!$E$3:$E$102&lt;=W$1)*(Note!$F$3:$F$102&gt;=W$2),0))</f>
        <v>DDP</v>
      </c>
      <c r="X39" s="27" t="str" cm="1">
        <f t="array" ref="X39">INDEX(Note!$H$3:$H$102,MATCH(1,(Note!$A$3:$A$102=$A39)*(Note!$C$3:$C$102=$B39)*(Note!$E$3:$E$102&lt;=X$1)*(Note!$F$3:$F$102&gt;=X$2),0))</f>
        <v>DDP</v>
      </c>
      <c r="Y39" s="27" t="str" cm="1">
        <f t="array" ref="Y39">INDEX(Note!$H$3:$H$102,MATCH(1,(Note!$A$3:$A$102=$A39)*(Note!$C$3:$C$102=$B39)*(Note!$E$3:$E$102&lt;=Y$1)*(Note!$F$3:$F$102&gt;=Y$2),0))</f>
        <v>DDP</v>
      </c>
      <c r="Z39" s="89" t="str" cm="1">
        <f t="array" ref="Z39">INDEX(Note!$H$3:$H$102,MATCH(1,(Note!$A$3:$A$102=$A39)*(Note!$C$3:$C$102=$B39)*(Note!$E$3:$E$102&lt;=Z$1)*(Note!$F$3:$F$102&gt;=Z$2),0))</f>
        <v>DDP</v>
      </c>
      <c r="AA39" s="27" t="str" cm="1">
        <f t="array" ref="AA39">INDEX(Note!$H$3:$H$102,MATCH(1,(Note!$A$3:$A$102=$A39)*(Note!$C$3:$C$102=$B39)*(Note!$E$3:$E$102&lt;=AA$1)*(Note!$F$3:$F$102&gt;=AA$2),0))</f>
        <v>DDP</v>
      </c>
      <c r="AB39" s="27" t="str" cm="1">
        <f t="array" ref="AB39">INDEX(Note!$H$3:$H$102,MATCH(1,(Note!$A$3:$A$102=$A39)*(Note!$C$3:$C$102=$B39)*(Note!$E$3:$E$102&lt;=AB$1)*(Note!$F$3:$F$102&gt;=AB$2),0))</f>
        <v>DDP</v>
      </c>
      <c r="AC39" s="27" t="str" cm="1">
        <f t="array" ref="AC39">INDEX(Note!$H$3:$H$102,MATCH(1,(Note!$A$3:$A$102=$A39)*(Note!$C$3:$C$102=$B39)*(Note!$E$3:$E$102&lt;=AC$1)*(Note!$F$3:$F$102&gt;=AC$2),0))</f>
        <v>DDP</v>
      </c>
      <c r="AD39" s="27" t="str" cm="1">
        <f t="array" ref="AD39">INDEX(Note!$H$3:$H$102,MATCH(1,(Note!$A$3:$A$102=$A39)*(Note!$C$3:$C$102=$B39)*(Note!$E$3:$E$102&lt;=AD$1)*(Note!$F$3:$F$102&gt;=AD$2),0))</f>
        <v>DDP</v>
      </c>
      <c r="AE39" s="27" t="str" cm="1">
        <f t="array" ref="AE39">INDEX(Note!$H$3:$H$102,MATCH(1,(Note!$A$3:$A$102=$A39)*(Note!$C$3:$C$102=$B39)*(Note!$E$3:$E$102&lt;=AE$1)*(Note!$F$3:$F$102&gt;=AE$2),0))</f>
        <v>DDP</v>
      </c>
      <c r="AF39" s="27" t="str" cm="1">
        <f t="array" ref="AF39">INDEX(Note!$H$3:$H$102,MATCH(1,(Note!$A$3:$A$102=$A39)*(Note!$C$3:$C$102=$B39)*(Note!$E$3:$E$102&lt;=AF$1)*(Note!$F$3:$F$102&gt;=AF$2),0))</f>
        <v>DDP</v>
      </c>
      <c r="AG39" s="27" t="str" cm="1">
        <f t="array" ref="AG39">INDEX(Note!$H$3:$H$102,MATCH(1,(Note!$A$3:$A$102=$A39)*(Note!$C$3:$C$102=$B39)*(Note!$E$3:$E$102&lt;=AG$1)*(Note!$F$3:$F$102&gt;=AG$2),0))</f>
        <v>DDP</v>
      </c>
      <c r="AH39" s="27" t="str" cm="1">
        <f t="array" ref="AH39">INDEX(Note!$H$3:$H$102,MATCH(1,(Note!$A$3:$A$102=$A39)*(Note!$C$3:$C$102=$B39)*(Note!$E$3:$E$102&lt;=AH$1)*(Note!$F$3:$F$102&gt;=AH$2),0))</f>
        <v>DDP</v>
      </c>
      <c r="AI39" s="27" t="str" cm="1">
        <f t="array" ref="AI39">INDEX(Note!$H$3:$H$102,MATCH(1,(Note!$A$3:$A$102=$A39)*(Note!$C$3:$C$102=$B39)*(Note!$E$3:$E$102&lt;=AI$1)*(Note!$F$3:$F$102&gt;=AI$2),0))</f>
        <v>DDP</v>
      </c>
      <c r="AJ39" s="27" t="str" cm="1">
        <f t="array" ref="AJ39">INDEX(Note!$H$3:$H$102,MATCH(1,(Note!$A$3:$A$102=$A39)*(Note!$C$3:$C$102=$B39)*(Note!$E$3:$E$102&lt;=AJ$1)*(Note!$F$3:$F$102&gt;=AJ$2),0))</f>
        <v>DDP</v>
      </c>
      <c r="AK39" s="27" t="str" cm="1">
        <f t="array" ref="AK39">INDEX(Note!$H$3:$H$102,MATCH(1,(Note!$A$3:$A$102=$A39)*(Note!$C$3:$C$102=$B39)*(Note!$E$3:$E$102&lt;=AK$1)*(Note!$F$3:$F$102&gt;=AK$2),0))</f>
        <v>DDP</v>
      </c>
      <c r="AL39" s="89" t="str" cm="1">
        <f t="array" ref="AL39">INDEX(Note!$H$3:$H$102,MATCH(1,(Note!$A$3:$A$102=$A39)*(Note!$C$3:$C$102=$B39)*(Note!$E$3:$E$102&lt;=AL$1)*(Note!$F$3:$F$102&gt;=AL$2),0))</f>
        <v>DDP</v>
      </c>
    </row>
    <row r="40" spans="1:38" s="97" customFormat="1" outlineLevel="1" x14ac:dyDescent="0.3">
      <c r="A40" s="97" t="s">
        <v>63</v>
      </c>
      <c r="B40" s="97" t="s">
        <v>15</v>
      </c>
      <c r="F40" s="193" t="s">
        <v>230</v>
      </c>
      <c r="G40" s="107"/>
      <c r="H40" s="107"/>
      <c r="I40" s="107"/>
      <c r="J40" s="107" t="s">
        <v>45</v>
      </c>
      <c r="K40" s="109"/>
      <c r="L40" s="107"/>
      <c r="M40" s="107"/>
      <c r="N40" s="107"/>
      <c r="O40" s="233" t="str" cm="1">
        <f t="array" ref="O40">INDEX(Note!$I$3:$I$102,MATCH(1,(Note!$A$3:$A$102=$A40)*(Note!$C$3:$C$102=$B40)*(Note!$E$3:$E$102&lt;=O$1)*(Note!$F$3:$F$102&gt;=O$2),0))</f>
        <v>Quý</v>
      </c>
      <c r="P40" s="193" t="str" cm="1">
        <f t="array" ref="P40">INDEX(Note!$I$3:$I$102,MATCH(1,(Note!$A$3:$A$102=$A40)*(Note!$C$3:$C$102=$B40)*(Note!$E$3:$E$102&lt;=P$1)*(Note!$F$3:$F$102&gt;=P$2),0))</f>
        <v>Quý</v>
      </c>
      <c r="Q40" s="193" t="str" cm="1">
        <f t="array" ref="Q40">INDEX(Note!$I$3:$I$102,MATCH(1,(Note!$A$3:$A$102=$A40)*(Note!$C$3:$C$102=$B40)*(Note!$E$3:$E$102&lt;=Q$1)*(Note!$F$3:$F$102&gt;=Q$2),0))</f>
        <v>Quý</v>
      </c>
      <c r="R40" s="193" t="str" cm="1">
        <f t="array" ref="R40">INDEX(Note!$I$3:$I$102,MATCH(1,(Note!$A$3:$A$102=$A40)*(Note!$C$3:$C$102=$B40)*(Note!$E$3:$E$102&lt;=R$1)*(Note!$F$3:$F$102&gt;=R$2),0))</f>
        <v>Quý</v>
      </c>
      <c r="S40" s="193" t="str" cm="1">
        <f t="array" ref="S40">INDEX(Note!$I$3:$I$102,MATCH(1,(Note!$A$3:$A$102=$A40)*(Note!$C$3:$C$102=$B40)*(Note!$E$3:$E$102&lt;=S$1)*(Note!$F$3:$F$102&gt;=S$2),0))</f>
        <v>Quý</v>
      </c>
      <c r="T40" s="193" t="str" cm="1">
        <f t="array" ref="T40">INDEX(Note!$I$3:$I$102,MATCH(1,(Note!$A$3:$A$102=$A40)*(Note!$C$3:$C$102=$B40)*(Note!$E$3:$E$102&lt;=T$1)*(Note!$F$3:$F$102&gt;=T$2),0))</f>
        <v>Quý</v>
      </c>
      <c r="U40" s="193" t="str" cm="1">
        <f t="array" ref="U40">INDEX(Note!$I$3:$I$102,MATCH(1,(Note!$A$3:$A$102=$A40)*(Note!$C$3:$C$102=$B40)*(Note!$E$3:$E$102&lt;=U$1)*(Note!$F$3:$F$102&gt;=U$2),0))</f>
        <v>Quý</v>
      </c>
      <c r="V40" s="193" t="str" cm="1">
        <f t="array" ref="V40">INDEX(Note!$I$3:$I$102,MATCH(1,(Note!$A$3:$A$102=$A40)*(Note!$C$3:$C$102=$B40)*(Note!$E$3:$E$102&lt;=V$1)*(Note!$F$3:$F$102&gt;=V$2),0))</f>
        <v>Quý</v>
      </c>
      <c r="W40" s="193" t="str" cm="1">
        <f t="array" ref="W40">INDEX(Note!$I$3:$I$102,MATCH(1,(Note!$A$3:$A$102=$A40)*(Note!$C$3:$C$102=$B40)*(Note!$E$3:$E$102&lt;=W$1)*(Note!$F$3:$F$102&gt;=W$2),0))</f>
        <v>Quý</v>
      </c>
      <c r="X40" s="193" t="str" cm="1">
        <f t="array" ref="X40">INDEX(Note!$I$3:$I$102,MATCH(1,(Note!$A$3:$A$102=$A40)*(Note!$C$3:$C$102=$B40)*(Note!$E$3:$E$102&lt;=X$1)*(Note!$F$3:$F$102&gt;=X$2),0))</f>
        <v>Quý</v>
      </c>
      <c r="Y40" s="193" t="str" cm="1">
        <f t="array" ref="Y40">INDEX(Note!$I$3:$I$102,MATCH(1,(Note!$A$3:$A$102=$A40)*(Note!$C$3:$C$102=$B40)*(Note!$E$3:$E$102&lt;=Y$1)*(Note!$F$3:$F$102&gt;=Y$2),0))</f>
        <v>Quý</v>
      </c>
      <c r="Z40" s="194" t="str" cm="1">
        <f t="array" ref="Z40">INDEX(Note!$I$3:$I$102,MATCH(1,(Note!$A$3:$A$102=$A40)*(Note!$C$3:$C$102=$B40)*(Note!$E$3:$E$102&lt;=Z$1)*(Note!$F$3:$F$102&gt;=Z$2),0))</f>
        <v>Quý</v>
      </c>
      <c r="AA40" s="193" t="str" cm="1">
        <f t="array" ref="AA40">INDEX(Note!$I$3:$I$102,MATCH(1,(Note!$A$3:$A$102=$A40)*(Note!$C$3:$C$102=$B40)*(Note!$E$3:$E$102&lt;=AA$1)*(Note!$F$3:$F$102&gt;=AA$2),0))</f>
        <v>Năm</v>
      </c>
      <c r="AB40" s="193" t="str" cm="1">
        <f t="array" ref="AB40">INDEX(Note!$I$3:$I$102,MATCH(1,(Note!$A$3:$A$102=$A40)*(Note!$C$3:$C$102=$B40)*(Note!$E$3:$E$102&lt;=AB$1)*(Note!$F$3:$F$102&gt;=AB$2),0))</f>
        <v>Năm</v>
      </c>
      <c r="AC40" s="193" t="str" cm="1">
        <f t="array" ref="AC40">INDEX(Note!$I$3:$I$102,MATCH(1,(Note!$A$3:$A$102=$A40)*(Note!$C$3:$C$102=$B40)*(Note!$E$3:$E$102&lt;=AC$1)*(Note!$F$3:$F$102&gt;=AC$2),0))</f>
        <v>Năm</v>
      </c>
      <c r="AD40" s="193" t="str" cm="1">
        <f t="array" ref="AD40">INDEX(Note!$I$3:$I$102,MATCH(1,(Note!$A$3:$A$102=$A40)*(Note!$C$3:$C$102=$B40)*(Note!$E$3:$E$102&lt;=AD$1)*(Note!$F$3:$F$102&gt;=AD$2),0))</f>
        <v>Năm</v>
      </c>
      <c r="AE40" s="193" t="str" cm="1">
        <f t="array" ref="AE40">INDEX(Note!$I$3:$I$102,MATCH(1,(Note!$A$3:$A$102=$A40)*(Note!$C$3:$C$102=$B40)*(Note!$E$3:$E$102&lt;=AE$1)*(Note!$F$3:$F$102&gt;=AE$2),0))</f>
        <v>Năm</v>
      </c>
      <c r="AF40" s="193" t="str" cm="1">
        <f t="array" ref="AF40">INDEX(Note!$I$3:$I$102,MATCH(1,(Note!$A$3:$A$102=$A40)*(Note!$C$3:$C$102=$B40)*(Note!$E$3:$E$102&lt;=AF$1)*(Note!$F$3:$F$102&gt;=AF$2),0))</f>
        <v>Năm</v>
      </c>
      <c r="AG40" s="193" t="str" cm="1">
        <f t="array" ref="AG40">INDEX(Note!$I$3:$I$102,MATCH(1,(Note!$A$3:$A$102=$A40)*(Note!$C$3:$C$102=$B40)*(Note!$E$3:$E$102&lt;=AG$1)*(Note!$F$3:$F$102&gt;=AG$2),0))</f>
        <v>Năm</v>
      </c>
      <c r="AH40" s="193" t="str" cm="1">
        <f t="array" ref="AH40">INDEX(Note!$I$3:$I$102,MATCH(1,(Note!$A$3:$A$102=$A40)*(Note!$C$3:$C$102=$B40)*(Note!$E$3:$E$102&lt;=AH$1)*(Note!$F$3:$F$102&gt;=AH$2),0))</f>
        <v>Năm</v>
      </c>
      <c r="AI40" s="193" t="str" cm="1">
        <f t="array" ref="AI40">INDEX(Note!$I$3:$I$102,MATCH(1,(Note!$A$3:$A$102=$A40)*(Note!$C$3:$C$102=$B40)*(Note!$E$3:$E$102&lt;=AI$1)*(Note!$F$3:$F$102&gt;=AI$2),0))</f>
        <v>Năm</v>
      </c>
      <c r="AJ40" s="193" t="str" cm="1">
        <f t="array" ref="AJ40">INDEX(Note!$I$3:$I$102,MATCH(1,(Note!$A$3:$A$102=$A40)*(Note!$C$3:$C$102=$B40)*(Note!$E$3:$E$102&lt;=AJ$1)*(Note!$F$3:$F$102&gt;=AJ$2),0))</f>
        <v>Năm</v>
      </c>
      <c r="AK40" s="193" t="str" cm="1">
        <f t="array" ref="AK40">INDEX(Note!$I$3:$I$102,MATCH(1,(Note!$A$3:$A$102=$A40)*(Note!$C$3:$C$102=$B40)*(Note!$E$3:$E$102&lt;=AK$1)*(Note!$F$3:$F$102&gt;=AK$2),0))</f>
        <v>Năm</v>
      </c>
      <c r="AL40" s="194" t="str" cm="1">
        <f t="array" ref="AL40">INDEX(Note!$I$3:$I$102,MATCH(1,(Note!$A$3:$A$102=$A40)*(Note!$C$3:$C$102=$B40)*(Note!$E$3:$E$102&lt;=AL$1)*(Note!$F$3:$F$102&gt;=AL$2),0))</f>
        <v>Năm</v>
      </c>
    </row>
    <row r="41" spans="1:38" s="185" customFormat="1" outlineLevel="1" x14ac:dyDescent="0.3">
      <c r="A41" s="185" t="s">
        <v>63</v>
      </c>
      <c r="B41" s="185" t="s">
        <v>15</v>
      </c>
      <c r="F41" s="222" t="s">
        <v>262</v>
      </c>
      <c r="G41" s="190"/>
      <c r="H41" s="190"/>
      <c r="I41" s="190"/>
      <c r="J41" s="190" t="s">
        <v>202</v>
      </c>
      <c r="K41" s="186"/>
      <c r="L41" s="199"/>
      <c r="M41" s="199"/>
      <c r="N41" s="199"/>
      <c r="O41" s="198" cm="1">
        <f t="array" ref="O41">SUMPRODUCT(General_Data*(Year=O$3)*(Month=O$4)*(Code_General_Data=$B41))</f>
        <v>1250</v>
      </c>
      <c r="P41" s="199" cm="1">
        <f t="array" ref="P41">SUMPRODUCT(General_Data*(Year=P$3)*(Month=P$4)*(Code_General_Data=$B41))</f>
        <v>1250</v>
      </c>
      <c r="Q41" s="199" cm="1">
        <f t="array" ref="Q41">SUMPRODUCT(General_Data*(Year=Q$3)*(Month=Q$4)*(Code_General_Data=$B41))</f>
        <v>1250</v>
      </c>
      <c r="R41" s="199" cm="1">
        <f t="array" ref="R41">SUMPRODUCT(General_Data*(Year=R$3)*(Month=R$4)*(Code_General_Data=$B41))</f>
        <v>1250</v>
      </c>
      <c r="S41" s="199" cm="1">
        <f t="array" ref="S41">SUMPRODUCT(General_Data*(Year=S$3)*(Month=S$4)*(Code_General_Data=$B41))</f>
        <v>1300</v>
      </c>
      <c r="T41" s="199" cm="1">
        <f t="array" ref="T41">SUMPRODUCT(General_Data*(Year=T$3)*(Month=T$4)*(Code_General_Data=$B41))</f>
        <v>1300</v>
      </c>
      <c r="U41" s="199" cm="1">
        <f t="array" ref="U41">SUMPRODUCT(General_Data*(Year=U$3)*(Month=U$4)*(Code_General_Data=$B41))</f>
        <v>1300</v>
      </c>
      <c r="V41" s="199" cm="1">
        <f t="array" ref="V41">SUMPRODUCT(General_Data*(Year=V$3)*(Month=V$4)*(Code_General_Data=$B41))</f>
        <v>1300</v>
      </c>
      <c r="W41" s="199" cm="1">
        <f t="array" ref="W41">SUMPRODUCT(General_Data*(Year=W$3)*(Month=W$4)*(Code_General_Data=$B41))</f>
        <v>1310</v>
      </c>
      <c r="X41" s="199" cm="1">
        <f t="array" ref="X41">SUMPRODUCT(General_Data*(Year=X$3)*(Month=X$4)*(Code_General_Data=$B41))</f>
        <v>1325</v>
      </c>
      <c r="Y41" s="199" cm="1">
        <f t="array" ref="Y41">SUMPRODUCT(General_Data*(Year=Y$3)*(Month=Y$4)*(Code_General_Data=$B41))</f>
        <v>1325</v>
      </c>
      <c r="Z41" s="200" cm="1">
        <f t="array" ref="Z41">SUMPRODUCT(General_Data*(Year=Z$3)*(Month=Z$4)*(Code_General_Data=$B41))</f>
        <v>1275</v>
      </c>
      <c r="AA41" s="199" cm="1">
        <f t="array" ref="AA41">SUMPRODUCT(General_Data*(Year=AA$3)*(Month=AA$4)*(Code_General_Data=$B41))</f>
        <v>1230</v>
      </c>
      <c r="AB41" s="199" cm="1">
        <f t="array" ref="AB41">SUMPRODUCT(General_Data*(Year=AB$3)*(Month=AB$4)*(Code_General_Data=$B41))</f>
        <v>1230</v>
      </c>
      <c r="AC41" s="199" cm="1">
        <f t="array" ref="AC41">SUMPRODUCT(General_Data*(Year=AC$3)*(Month=AC$4)*(Code_General_Data=$B41))</f>
        <v>1230</v>
      </c>
      <c r="AD41" s="199"/>
      <c r="AE41" s="199"/>
      <c r="AF41" s="199"/>
      <c r="AG41" s="199"/>
      <c r="AH41" s="199"/>
      <c r="AI41" s="199"/>
      <c r="AJ41" s="199"/>
      <c r="AK41" s="199"/>
      <c r="AL41" s="200"/>
    </row>
    <row r="42" spans="1:38" s="185" customFormat="1" ht="6.6" customHeight="1" x14ac:dyDescent="0.3">
      <c r="F42" s="301"/>
      <c r="G42" s="302"/>
      <c r="H42" s="302"/>
      <c r="I42" s="302"/>
      <c r="J42" s="302"/>
      <c r="K42" s="186"/>
      <c r="L42" s="303"/>
      <c r="M42" s="303"/>
      <c r="N42" s="303"/>
      <c r="O42" s="304"/>
      <c r="P42" s="303"/>
      <c r="Q42" s="303"/>
      <c r="R42" s="303"/>
      <c r="S42" s="303"/>
      <c r="T42" s="303"/>
      <c r="U42" s="303"/>
      <c r="V42" s="303"/>
      <c r="W42" s="303"/>
      <c r="X42" s="303"/>
      <c r="Y42" s="303"/>
      <c r="Z42" s="305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5"/>
    </row>
    <row r="43" spans="1:38" s="180" customFormat="1" ht="17.399999999999999" x14ac:dyDescent="0.3">
      <c r="A43" s="180" t="s">
        <v>63</v>
      </c>
      <c r="B43" s="180" t="s">
        <v>24</v>
      </c>
      <c r="D43" s="180" t="s">
        <v>321</v>
      </c>
      <c r="F43" s="217">
        <v>2.2000000000000002</v>
      </c>
      <c r="G43" s="187"/>
      <c r="H43" s="187" t="s">
        <v>208</v>
      </c>
      <c r="I43" s="187"/>
      <c r="J43" s="187"/>
      <c r="L43" s="187"/>
      <c r="M43" s="187"/>
      <c r="N43" s="187"/>
      <c r="O43" s="213">
        <f>ROUND(SUM(O44:O50),-1)</f>
        <v>1500</v>
      </c>
      <c r="P43" s="214">
        <f>ROUND(SUM(P44:P50),-1)</f>
        <v>1500</v>
      </c>
      <c r="Q43" s="214">
        <f>ROUND(SUM(Q44:Q50),-1)</f>
        <v>1500</v>
      </c>
      <c r="R43" s="214">
        <f t="shared" ref="R43:AL43" si="15">ROUND(SUM(R44:R50),-1)</f>
        <v>1430</v>
      </c>
      <c r="S43" s="214">
        <f t="shared" si="15"/>
        <v>1430</v>
      </c>
      <c r="T43" s="214">
        <f t="shared" si="15"/>
        <v>1430</v>
      </c>
      <c r="U43" s="214">
        <f t="shared" si="15"/>
        <v>1430</v>
      </c>
      <c r="V43" s="214">
        <f t="shared" si="15"/>
        <v>1430</v>
      </c>
      <c r="W43" s="214">
        <f t="shared" si="15"/>
        <v>1430</v>
      </c>
      <c r="X43" s="214">
        <f t="shared" si="15"/>
        <v>1430</v>
      </c>
      <c r="Y43" s="214">
        <f t="shared" si="15"/>
        <v>1430</v>
      </c>
      <c r="Z43" s="215">
        <f t="shared" si="15"/>
        <v>1430</v>
      </c>
      <c r="AA43" s="213">
        <f t="shared" si="15"/>
        <v>1400</v>
      </c>
      <c r="AB43" s="214">
        <f t="shared" si="15"/>
        <v>1400</v>
      </c>
      <c r="AC43" s="214">
        <f t="shared" si="15"/>
        <v>1400</v>
      </c>
      <c r="AD43" s="214">
        <f t="shared" si="15"/>
        <v>1400</v>
      </c>
      <c r="AE43" s="214">
        <f t="shared" si="15"/>
        <v>1400</v>
      </c>
      <c r="AF43" s="214">
        <f t="shared" si="15"/>
        <v>1400</v>
      </c>
      <c r="AG43" s="214">
        <f t="shared" si="15"/>
        <v>1400</v>
      </c>
      <c r="AH43" s="214">
        <f t="shared" si="15"/>
        <v>1400</v>
      </c>
      <c r="AI43" s="214">
        <f t="shared" si="15"/>
        <v>1400</v>
      </c>
      <c r="AJ43" s="214">
        <f t="shared" si="15"/>
        <v>1400</v>
      </c>
      <c r="AK43" s="214">
        <f t="shared" si="15"/>
        <v>1400</v>
      </c>
      <c r="AL43" s="215">
        <f t="shared" si="15"/>
        <v>1400</v>
      </c>
    </row>
    <row r="44" spans="1:38" s="96" customFormat="1" outlineLevel="1" x14ac:dyDescent="0.3">
      <c r="A44" s="96" t="s">
        <v>63</v>
      </c>
      <c r="B44" s="96" t="s">
        <v>24</v>
      </c>
      <c r="D44" s="97"/>
      <c r="F44" s="218" t="s">
        <v>231</v>
      </c>
      <c r="G44" s="26"/>
      <c r="H44" s="26" t="s">
        <v>40</v>
      </c>
      <c r="I44" s="26" t="s">
        <v>54</v>
      </c>
      <c r="J44" s="26"/>
      <c r="K44" s="12"/>
      <c r="L44" s="26"/>
      <c r="M44" s="26"/>
      <c r="N44" s="26"/>
      <c r="O44" s="210">
        <f>22500/O51*10^3</f>
        <v>918.36734693877554</v>
      </c>
      <c r="P44" s="211">
        <f>22500/P51*10^3</f>
        <v>918.36734693877554</v>
      </c>
      <c r="Q44" s="211">
        <f>22500/Q51*10^3</f>
        <v>918.36734693877554</v>
      </c>
      <c r="R44" s="211">
        <f>21000/R51*10^3</f>
        <v>857.14285714285711</v>
      </c>
      <c r="S44" s="211">
        <f t="shared" ref="S44:AL44" si="16">21000/S51*10^3</f>
        <v>857.14285714285711</v>
      </c>
      <c r="T44" s="211">
        <f t="shared" si="16"/>
        <v>857.14285714285711</v>
      </c>
      <c r="U44" s="211">
        <f t="shared" si="16"/>
        <v>840</v>
      </c>
      <c r="V44" s="211">
        <f t="shared" si="16"/>
        <v>840</v>
      </c>
      <c r="W44" s="211">
        <f t="shared" si="16"/>
        <v>840</v>
      </c>
      <c r="X44" s="211">
        <f t="shared" si="16"/>
        <v>840</v>
      </c>
      <c r="Y44" s="211">
        <f t="shared" si="16"/>
        <v>840</v>
      </c>
      <c r="Z44" s="212">
        <f t="shared" si="16"/>
        <v>840</v>
      </c>
      <c r="AA44" s="210">
        <f t="shared" si="16"/>
        <v>840</v>
      </c>
      <c r="AB44" s="211">
        <f t="shared" si="16"/>
        <v>840</v>
      </c>
      <c r="AC44" s="211">
        <f t="shared" si="16"/>
        <v>840</v>
      </c>
      <c r="AD44" s="211">
        <f t="shared" si="16"/>
        <v>840</v>
      </c>
      <c r="AE44" s="211">
        <f t="shared" si="16"/>
        <v>840</v>
      </c>
      <c r="AF44" s="211">
        <f t="shared" si="16"/>
        <v>840</v>
      </c>
      <c r="AG44" s="211">
        <f t="shared" si="16"/>
        <v>840</v>
      </c>
      <c r="AH44" s="211">
        <f t="shared" si="16"/>
        <v>840</v>
      </c>
      <c r="AI44" s="211">
        <f t="shared" si="16"/>
        <v>840</v>
      </c>
      <c r="AJ44" s="211">
        <f t="shared" si="16"/>
        <v>840</v>
      </c>
      <c r="AK44" s="211">
        <f t="shared" si="16"/>
        <v>840</v>
      </c>
      <c r="AL44" s="212">
        <f t="shared" si="16"/>
        <v>840</v>
      </c>
    </row>
    <row r="45" spans="1:38" s="96" customFormat="1" outlineLevel="1" x14ac:dyDescent="0.3">
      <c r="A45" s="96" t="s">
        <v>63</v>
      </c>
      <c r="B45" s="96" t="s">
        <v>24</v>
      </c>
      <c r="D45" s="97"/>
      <c r="F45" s="218" t="s">
        <v>232</v>
      </c>
      <c r="G45" s="26"/>
      <c r="H45" s="26" t="s">
        <v>40</v>
      </c>
      <c r="I45" s="26" t="s">
        <v>55</v>
      </c>
      <c r="J45" s="26"/>
      <c r="K45" s="12"/>
      <c r="L45" s="26"/>
      <c r="M45" s="26"/>
      <c r="N45" s="26"/>
      <c r="O45" s="210">
        <f>O44*O52</f>
        <v>195.33673469387756</v>
      </c>
      <c r="P45" s="211">
        <f t="shared" ref="P45:AL45" si="17">P44*P52</f>
        <v>195.33673469387756</v>
      </c>
      <c r="Q45" s="211">
        <f t="shared" si="17"/>
        <v>195.33673469387756</v>
      </c>
      <c r="R45" s="211">
        <f t="shared" si="17"/>
        <v>182.31428571428572</v>
      </c>
      <c r="S45" s="211">
        <f t="shared" si="17"/>
        <v>182.31428571428572</v>
      </c>
      <c r="T45" s="211">
        <f t="shared" si="17"/>
        <v>182.31428571428572</v>
      </c>
      <c r="U45" s="211">
        <f t="shared" si="17"/>
        <v>178.66800000000001</v>
      </c>
      <c r="V45" s="211">
        <f t="shared" si="17"/>
        <v>178.66800000000001</v>
      </c>
      <c r="W45" s="211">
        <f t="shared" si="17"/>
        <v>178.66800000000001</v>
      </c>
      <c r="X45" s="211">
        <f t="shared" si="17"/>
        <v>178.66800000000001</v>
      </c>
      <c r="Y45" s="211">
        <f t="shared" si="17"/>
        <v>178.66800000000001</v>
      </c>
      <c r="Z45" s="212">
        <f t="shared" si="17"/>
        <v>178.66800000000001</v>
      </c>
      <c r="AA45" s="210">
        <f t="shared" si="17"/>
        <v>178.66800000000001</v>
      </c>
      <c r="AB45" s="211">
        <f t="shared" si="17"/>
        <v>178.66800000000001</v>
      </c>
      <c r="AC45" s="211">
        <f t="shared" si="17"/>
        <v>178.66800000000001</v>
      </c>
      <c r="AD45" s="211">
        <f t="shared" si="17"/>
        <v>178.66800000000001</v>
      </c>
      <c r="AE45" s="211">
        <f t="shared" si="17"/>
        <v>178.66800000000001</v>
      </c>
      <c r="AF45" s="211">
        <f t="shared" si="17"/>
        <v>178.66800000000001</v>
      </c>
      <c r="AG45" s="211">
        <f t="shared" si="17"/>
        <v>178.66800000000001</v>
      </c>
      <c r="AH45" s="211">
        <f t="shared" si="17"/>
        <v>178.66800000000001</v>
      </c>
      <c r="AI45" s="211">
        <f t="shared" si="17"/>
        <v>178.66800000000001</v>
      </c>
      <c r="AJ45" s="211">
        <f t="shared" si="17"/>
        <v>178.66800000000001</v>
      </c>
      <c r="AK45" s="211">
        <f t="shared" si="17"/>
        <v>178.66800000000001</v>
      </c>
      <c r="AL45" s="212">
        <f t="shared" si="17"/>
        <v>178.66800000000001</v>
      </c>
    </row>
    <row r="46" spans="1:38" s="96" customFormat="1" outlineLevel="1" x14ac:dyDescent="0.3">
      <c r="A46" s="96" t="s">
        <v>63</v>
      </c>
      <c r="B46" s="96" t="s">
        <v>24</v>
      </c>
      <c r="D46" s="97"/>
      <c r="F46" s="218" t="s">
        <v>233</v>
      </c>
      <c r="G46" s="26"/>
      <c r="H46" s="26" t="s">
        <v>40</v>
      </c>
      <c r="I46" s="26" t="s">
        <v>56</v>
      </c>
      <c r="J46" s="26"/>
      <c r="K46" s="12"/>
      <c r="L46" s="26"/>
      <c r="M46" s="26"/>
      <c r="N46" s="26"/>
      <c r="O46" s="210">
        <f>8720.586/O51*10^3</f>
        <v>355.94228571428573</v>
      </c>
      <c r="P46" s="211">
        <f t="shared" ref="P46:AL46" si="18">8720.586/P51*10^3</f>
        <v>355.94228571428573</v>
      </c>
      <c r="Q46" s="211">
        <f t="shared" si="18"/>
        <v>355.94228571428573</v>
      </c>
      <c r="R46" s="211">
        <f t="shared" si="18"/>
        <v>355.94228571428573</v>
      </c>
      <c r="S46" s="211">
        <f t="shared" si="18"/>
        <v>355.94228571428573</v>
      </c>
      <c r="T46" s="211">
        <f t="shared" si="18"/>
        <v>355.94228571428573</v>
      </c>
      <c r="U46" s="211">
        <f t="shared" si="18"/>
        <v>348.82344000000001</v>
      </c>
      <c r="V46" s="211">
        <f t="shared" si="18"/>
        <v>348.82344000000001</v>
      </c>
      <c r="W46" s="211">
        <f t="shared" si="18"/>
        <v>348.82344000000001</v>
      </c>
      <c r="X46" s="211">
        <f t="shared" si="18"/>
        <v>348.82344000000001</v>
      </c>
      <c r="Y46" s="211">
        <f t="shared" si="18"/>
        <v>348.82344000000001</v>
      </c>
      <c r="Z46" s="212">
        <f t="shared" si="18"/>
        <v>348.82344000000001</v>
      </c>
      <c r="AA46" s="210">
        <f t="shared" si="18"/>
        <v>348.82344000000001</v>
      </c>
      <c r="AB46" s="211">
        <f t="shared" si="18"/>
        <v>348.82344000000001</v>
      </c>
      <c r="AC46" s="211">
        <f t="shared" si="18"/>
        <v>348.82344000000001</v>
      </c>
      <c r="AD46" s="211">
        <f t="shared" si="18"/>
        <v>348.82344000000001</v>
      </c>
      <c r="AE46" s="211">
        <f t="shared" si="18"/>
        <v>348.82344000000001</v>
      </c>
      <c r="AF46" s="211">
        <f t="shared" si="18"/>
        <v>348.82344000000001</v>
      </c>
      <c r="AG46" s="211">
        <f t="shared" si="18"/>
        <v>348.82344000000001</v>
      </c>
      <c r="AH46" s="211">
        <f t="shared" si="18"/>
        <v>348.82344000000001</v>
      </c>
      <c r="AI46" s="211">
        <f t="shared" si="18"/>
        <v>348.82344000000001</v>
      </c>
      <c r="AJ46" s="211">
        <f t="shared" si="18"/>
        <v>348.82344000000001</v>
      </c>
      <c r="AK46" s="211">
        <f t="shared" si="18"/>
        <v>348.82344000000001</v>
      </c>
      <c r="AL46" s="212">
        <f t="shared" si="18"/>
        <v>348.82344000000001</v>
      </c>
    </row>
    <row r="47" spans="1:38" s="96" customFormat="1" outlineLevel="1" x14ac:dyDescent="0.3">
      <c r="A47" s="96" t="s">
        <v>63</v>
      </c>
      <c r="B47" s="96" t="s">
        <v>24</v>
      </c>
      <c r="D47" s="97"/>
      <c r="F47" s="218" t="s">
        <v>234</v>
      </c>
      <c r="G47" s="26"/>
      <c r="H47" s="26" t="s">
        <v>40</v>
      </c>
      <c r="I47" s="26" t="s">
        <v>49</v>
      </c>
      <c r="J47" s="26"/>
      <c r="K47" s="12"/>
      <c r="L47" s="26"/>
      <c r="M47" s="26"/>
      <c r="N47" s="26"/>
      <c r="O47" s="210">
        <f>299/O51*10^3</f>
        <v>12.204081632653061</v>
      </c>
      <c r="P47" s="211">
        <f t="shared" ref="P47:AL47" si="19">299/P51*10^3</f>
        <v>12.204081632653061</v>
      </c>
      <c r="Q47" s="211">
        <f t="shared" si="19"/>
        <v>12.204081632653061</v>
      </c>
      <c r="R47" s="211">
        <f t="shared" si="19"/>
        <v>12.204081632653061</v>
      </c>
      <c r="S47" s="211">
        <f t="shared" si="19"/>
        <v>12.204081632653061</v>
      </c>
      <c r="T47" s="211">
        <f t="shared" si="19"/>
        <v>12.204081632653061</v>
      </c>
      <c r="U47" s="211">
        <f t="shared" si="19"/>
        <v>11.96</v>
      </c>
      <c r="V47" s="211">
        <f t="shared" si="19"/>
        <v>11.96</v>
      </c>
      <c r="W47" s="211">
        <f t="shared" si="19"/>
        <v>11.96</v>
      </c>
      <c r="X47" s="211">
        <f t="shared" si="19"/>
        <v>11.96</v>
      </c>
      <c r="Y47" s="211">
        <f t="shared" si="19"/>
        <v>11.96</v>
      </c>
      <c r="Z47" s="212">
        <f t="shared" si="19"/>
        <v>11.96</v>
      </c>
      <c r="AA47" s="210">
        <f t="shared" si="19"/>
        <v>11.96</v>
      </c>
      <c r="AB47" s="211">
        <f t="shared" si="19"/>
        <v>11.96</v>
      </c>
      <c r="AC47" s="211">
        <f t="shared" si="19"/>
        <v>11.96</v>
      </c>
      <c r="AD47" s="211">
        <f t="shared" si="19"/>
        <v>11.96</v>
      </c>
      <c r="AE47" s="211">
        <f t="shared" si="19"/>
        <v>11.96</v>
      </c>
      <c r="AF47" s="211">
        <f t="shared" si="19"/>
        <v>11.96</v>
      </c>
      <c r="AG47" s="211">
        <f t="shared" si="19"/>
        <v>11.96</v>
      </c>
      <c r="AH47" s="211">
        <f t="shared" si="19"/>
        <v>11.96</v>
      </c>
      <c r="AI47" s="211">
        <f t="shared" si="19"/>
        <v>11.96</v>
      </c>
      <c r="AJ47" s="211">
        <f t="shared" si="19"/>
        <v>11.96</v>
      </c>
      <c r="AK47" s="211">
        <f t="shared" si="19"/>
        <v>11.96</v>
      </c>
      <c r="AL47" s="212">
        <f t="shared" si="19"/>
        <v>11.96</v>
      </c>
    </row>
    <row r="48" spans="1:38" s="96" customFormat="1" outlineLevel="1" x14ac:dyDescent="0.3">
      <c r="A48" s="96" t="s">
        <v>63</v>
      </c>
      <c r="B48" s="96" t="s">
        <v>24</v>
      </c>
      <c r="D48" s="97"/>
      <c r="F48" s="218" t="s">
        <v>235</v>
      </c>
      <c r="G48" s="26"/>
      <c r="H48" s="26" t="s">
        <v>40</v>
      </c>
      <c r="I48" s="26" t="s">
        <v>57</v>
      </c>
      <c r="J48" s="26"/>
      <c r="K48" s="12"/>
      <c r="L48" s="26"/>
      <c r="M48" s="26"/>
      <c r="N48" s="26"/>
      <c r="O48" s="210">
        <f>1248/O51*10^3</f>
        <v>50.938775510204081</v>
      </c>
      <c r="P48" s="211">
        <f t="shared" ref="P48:AL48" si="20">1248/P51*10^3</f>
        <v>50.938775510204081</v>
      </c>
      <c r="Q48" s="211">
        <f t="shared" si="20"/>
        <v>50.938775510204081</v>
      </c>
      <c r="R48" s="211">
        <f t="shared" si="20"/>
        <v>50.938775510204081</v>
      </c>
      <c r="S48" s="211">
        <f t="shared" si="20"/>
        <v>50.938775510204081</v>
      </c>
      <c r="T48" s="211">
        <f t="shared" si="20"/>
        <v>50.938775510204081</v>
      </c>
      <c r="U48" s="211">
        <f t="shared" si="20"/>
        <v>49.92</v>
      </c>
      <c r="V48" s="211">
        <f t="shared" si="20"/>
        <v>49.92</v>
      </c>
      <c r="W48" s="211">
        <f t="shared" si="20"/>
        <v>49.92</v>
      </c>
      <c r="X48" s="211">
        <f t="shared" si="20"/>
        <v>49.92</v>
      </c>
      <c r="Y48" s="211">
        <f t="shared" si="20"/>
        <v>49.92</v>
      </c>
      <c r="Z48" s="212">
        <f t="shared" si="20"/>
        <v>49.92</v>
      </c>
      <c r="AA48" s="210">
        <f t="shared" si="20"/>
        <v>49.92</v>
      </c>
      <c r="AB48" s="211">
        <f t="shared" si="20"/>
        <v>49.92</v>
      </c>
      <c r="AC48" s="211">
        <f t="shared" si="20"/>
        <v>49.92</v>
      </c>
      <c r="AD48" s="211">
        <f t="shared" si="20"/>
        <v>49.92</v>
      </c>
      <c r="AE48" s="211">
        <f t="shared" si="20"/>
        <v>49.92</v>
      </c>
      <c r="AF48" s="211">
        <f t="shared" si="20"/>
        <v>49.92</v>
      </c>
      <c r="AG48" s="211">
        <f t="shared" si="20"/>
        <v>49.92</v>
      </c>
      <c r="AH48" s="211">
        <f t="shared" si="20"/>
        <v>49.92</v>
      </c>
      <c r="AI48" s="211">
        <f t="shared" si="20"/>
        <v>49.92</v>
      </c>
      <c r="AJ48" s="211">
        <f t="shared" si="20"/>
        <v>49.92</v>
      </c>
      <c r="AK48" s="211">
        <f t="shared" si="20"/>
        <v>49.92</v>
      </c>
      <c r="AL48" s="212">
        <f t="shared" si="20"/>
        <v>49.92</v>
      </c>
    </row>
    <row r="49" spans="1:38" s="96" customFormat="1" outlineLevel="1" x14ac:dyDescent="0.3">
      <c r="A49" s="96" t="s">
        <v>63</v>
      </c>
      <c r="B49" s="96" t="s">
        <v>24</v>
      </c>
      <c r="D49" s="97"/>
      <c r="F49" s="218" t="s">
        <v>236</v>
      </c>
      <c r="G49" s="26"/>
      <c r="H49" s="26" t="s">
        <v>40</v>
      </c>
      <c r="I49" s="26" t="s">
        <v>58</v>
      </c>
      <c r="J49" s="26"/>
      <c r="K49" s="12"/>
      <c r="L49" s="26"/>
      <c r="M49" s="26"/>
      <c r="N49" s="26"/>
      <c r="O49" s="210">
        <f>8%*SUM(O44:O48)*2/12</f>
        <v>20.437189659863947</v>
      </c>
      <c r="P49" s="211">
        <f>8%*SUM(P44:P48)*2/12</f>
        <v>20.437189659863947</v>
      </c>
      <c r="Q49" s="211">
        <f>8%*SUM(Q44:Q48)*2/12</f>
        <v>20.437189659863947</v>
      </c>
      <c r="R49" s="211">
        <f t="shared" ref="R49:AL49" si="21">8%*SUM(R44:R48)*2/12</f>
        <v>19.447230476190473</v>
      </c>
      <c r="S49" s="211">
        <f t="shared" si="21"/>
        <v>19.447230476190473</v>
      </c>
      <c r="T49" s="211">
        <f t="shared" si="21"/>
        <v>19.447230476190473</v>
      </c>
      <c r="U49" s="211">
        <f t="shared" si="21"/>
        <v>19.058285866666669</v>
      </c>
      <c r="V49" s="211">
        <f t="shared" si="21"/>
        <v>19.058285866666669</v>
      </c>
      <c r="W49" s="211">
        <f t="shared" si="21"/>
        <v>19.058285866666669</v>
      </c>
      <c r="X49" s="211">
        <f t="shared" si="21"/>
        <v>19.058285866666669</v>
      </c>
      <c r="Y49" s="211">
        <f t="shared" si="21"/>
        <v>19.058285866666669</v>
      </c>
      <c r="Z49" s="212">
        <f t="shared" si="21"/>
        <v>19.058285866666669</v>
      </c>
      <c r="AA49" s="210">
        <f t="shared" si="21"/>
        <v>19.058285866666669</v>
      </c>
      <c r="AB49" s="211">
        <f t="shared" si="21"/>
        <v>19.058285866666669</v>
      </c>
      <c r="AC49" s="211">
        <f t="shared" si="21"/>
        <v>19.058285866666669</v>
      </c>
      <c r="AD49" s="211">
        <f t="shared" si="21"/>
        <v>19.058285866666669</v>
      </c>
      <c r="AE49" s="211">
        <f t="shared" si="21"/>
        <v>19.058285866666669</v>
      </c>
      <c r="AF49" s="211">
        <f t="shared" si="21"/>
        <v>19.058285866666669</v>
      </c>
      <c r="AG49" s="211">
        <f t="shared" si="21"/>
        <v>19.058285866666669</v>
      </c>
      <c r="AH49" s="211">
        <f t="shared" si="21"/>
        <v>19.058285866666669</v>
      </c>
      <c r="AI49" s="211">
        <f t="shared" si="21"/>
        <v>19.058285866666669</v>
      </c>
      <c r="AJ49" s="211">
        <f t="shared" si="21"/>
        <v>19.058285866666669</v>
      </c>
      <c r="AK49" s="211">
        <f t="shared" si="21"/>
        <v>19.058285866666669</v>
      </c>
      <c r="AL49" s="212">
        <f t="shared" si="21"/>
        <v>19.058285866666669</v>
      </c>
    </row>
    <row r="50" spans="1:38" s="96" customFormat="1" outlineLevel="1" x14ac:dyDescent="0.3">
      <c r="A50" s="96" t="s">
        <v>63</v>
      </c>
      <c r="B50" s="96" t="s">
        <v>24</v>
      </c>
      <c r="D50" s="97"/>
      <c r="F50" s="218" t="s">
        <v>237</v>
      </c>
      <c r="G50" s="26"/>
      <c r="H50" s="26" t="s">
        <v>40</v>
      </c>
      <c r="I50" s="26" t="s">
        <v>52</v>
      </c>
      <c r="J50" s="26"/>
      <c r="K50" s="12"/>
      <c r="L50" s="26"/>
      <c r="M50" s="26"/>
      <c r="N50" s="26"/>
      <c r="O50" s="210">
        <v>-50</v>
      </c>
      <c r="P50" s="211">
        <v>-50</v>
      </c>
      <c r="Q50" s="211">
        <v>-50</v>
      </c>
      <c r="R50" s="211">
        <v>-50</v>
      </c>
      <c r="S50" s="211">
        <v>-50</v>
      </c>
      <c r="T50" s="211">
        <v>-50</v>
      </c>
      <c r="U50" s="211">
        <v>-20</v>
      </c>
      <c r="V50" s="211">
        <v>-20</v>
      </c>
      <c r="W50" s="211">
        <v>-20</v>
      </c>
      <c r="X50" s="211">
        <v>-20</v>
      </c>
      <c r="Y50" s="211">
        <v>-20</v>
      </c>
      <c r="Z50" s="212">
        <v>-20</v>
      </c>
      <c r="AA50" s="210">
        <v>-50</v>
      </c>
      <c r="AB50" s="211">
        <v>-50</v>
      </c>
      <c r="AC50" s="211">
        <v>-50</v>
      </c>
      <c r="AD50" s="211">
        <v>-50</v>
      </c>
      <c r="AE50" s="211">
        <v>-50</v>
      </c>
      <c r="AF50" s="211">
        <v>-50</v>
      </c>
      <c r="AG50" s="211">
        <v>-50</v>
      </c>
      <c r="AH50" s="211">
        <v>-50</v>
      </c>
      <c r="AI50" s="211">
        <v>-50</v>
      </c>
      <c r="AJ50" s="211">
        <v>-50</v>
      </c>
      <c r="AK50" s="211">
        <v>-50</v>
      </c>
      <c r="AL50" s="212">
        <v>-50</v>
      </c>
    </row>
    <row r="51" spans="1:38" s="234" customFormat="1" outlineLevel="1" x14ac:dyDescent="0.3">
      <c r="A51" s="234" t="s">
        <v>63</v>
      </c>
      <c r="B51" s="234" t="s">
        <v>24</v>
      </c>
      <c r="F51" s="244" t="s">
        <v>238</v>
      </c>
      <c r="G51" s="235"/>
      <c r="H51" s="235"/>
      <c r="I51" s="235"/>
      <c r="J51" s="235" t="s">
        <v>59</v>
      </c>
      <c r="K51" s="236"/>
      <c r="L51" s="235"/>
      <c r="M51" s="235"/>
      <c r="N51" s="235"/>
      <c r="O51" s="237">
        <v>24500</v>
      </c>
      <c r="P51" s="238">
        <v>24500</v>
      </c>
      <c r="Q51" s="238">
        <v>24500</v>
      </c>
      <c r="R51" s="238">
        <v>24500</v>
      </c>
      <c r="S51" s="238">
        <v>24500</v>
      </c>
      <c r="T51" s="238">
        <v>24500</v>
      </c>
      <c r="U51" s="238">
        <v>25000</v>
      </c>
      <c r="V51" s="238">
        <v>25000</v>
      </c>
      <c r="W51" s="238">
        <v>25000</v>
      </c>
      <c r="X51" s="238">
        <v>25000</v>
      </c>
      <c r="Y51" s="238">
        <v>25000</v>
      </c>
      <c r="Z51" s="239">
        <v>25000</v>
      </c>
      <c r="AA51" s="237">
        <v>25000</v>
      </c>
      <c r="AB51" s="238">
        <v>25000</v>
      </c>
      <c r="AC51" s="238">
        <v>25000</v>
      </c>
      <c r="AD51" s="238">
        <v>25000</v>
      </c>
      <c r="AE51" s="238">
        <v>25000</v>
      </c>
      <c r="AF51" s="238">
        <v>25000</v>
      </c>
      <c r="AG51" s="238">
        <v>25000</v>
      </c>
      <c r="AH51" s="238">
        <v>25000</v>
      </c>
      <c r="AI51" s="238">
        <v>25000</v>
      </c>
      <c r="AJ51" s="238">
        <v>25000</v>
      </c>
      <c r="AK51" s="238">
        <v>25000</v>
      </c>
      <c r="AL51" s="239">
        <v>25000</v>
      </c>
    </row>
    <row r="52" spans="1:38" s="234" customFormat="1" outlineLevel="1" x14ac:dyDescent="0.3">
      <c r="A52" s="234" t="s">
        <v>63</v>
      </c>
      <c r="B52" s="234" t="s">
        <v>24</v>
      </c>
      <c r="F52" s="244" t="s">
        <v>239</v>
      </c>
      <c r="G52" s="235"/>
      <c r="H52" s="235"/>
      <c r="I52" s="235"/>
      <c r="J52" s="235" t="s">
        <v>60</v>
      </c>
      <c r="K52" s="236"/>
      <c r="L52" s="235"/>
      <c r="M52" s="235"/>
      <c r="N52" s="235"/>
      <c r="O52" s="240">
        <v>0.2127</v>
      </c>
      <c r="P52" s="241">
        <v>0.2127</v>
      </c>
      <c r="Q52" s="241">
        <v>0.2127</v>
      </c>
      <c r="R52" s="241">
        <v>0.2127</v>
      </c>
      <c r="S52" s="241">
        <v>0.2127</v>
      </c>
      <c r="T52" s="241">
        <v>0.2127</v>
      </c>
      <c r="U52" s="241">
        <v>0.2127</v>
      </c>
      <c r="V52" s="241">
        <v>0.2127</v>
      </c>
      <c r="W52" s="241">
        <v>0.2127</v>
      </c>
      <c r="X52" s="241">
        <v>0.2127</v>
      </c>
      <c r="Y52" s="241">
        <v>0.2127</v>
      </c>
      <c r="Z52" s="242">
        <v>0.2127</v>
      </c>
      <c r="AA52" s="240">
        <v>0.2127</v>
      </c>
      <c r="AB52" s="241">
        <v>0.2127</v>
      </c>
      <c r="AC52" s="241">
        <v>0.2127</v>
      </c>
      <c r="AD52" s="241">
        <v>0.2127</v>
      </c>
      <c r="AE52" s="241">
        <v>0.2127</v>
      </c>
      <c r="AF52" s="241">
        <v>0.2127</v>
      </c>
      <c r="AG52" s="241">
        <v>0.2127</v>
      </c>
      <c r="AH52" s="241">
        <v>0.2127</v>
      </c>
      <c r="AI52" s="241">
        <v>0.2127</v>
      </c>
      <c r="AJ52" s="241">
        <v>0.2127</v>
      </c>
      <c r="AK52" s="241">
        <v>0.2127</v>
      </c>
      <c r="AL52" s="242">
        <v>0.2127</v>
      </c>
    </row>
    <row r="53" spans="1:38" s="94" customFormat="1" outlineLevel="1" x14ac:dyDescent="0.3">
      <c r="A53" s="94" t="s">
        <v>63</v>
      </c>
      <c r="B53" s="94" t="s">
        <v>24</v>
      </c>
      <c r="D53" s="95" t="s">
        <v>161</v>
      </c>
      <c r="F53" s="223" t="s">
        <v>240</v>
      </c>
      <c r="G53" s="224"/>
      <c r="H53" s="224"/>
      <c r="I53" s="224" t="s">
        <v>8</v>
      </c>
      <c r="J53" s="224"/>
      <c r="K53" s="2"/>
      <c r="L53" s="224"/>
      <c r="M53" s="224"/>
      <c r="N53" s="224"/>
      <c r="O53" s="225">
        <f>O43-O47</f>
        <v>1487.795918367347</v>
      </c>
      <c r="P53" s="226">
        <f t="shared" ref="P53:AL53" si="22">P43-P47</f>
        <v>1487.795918367347</v>
      </c>
      <c r="Q53" s="226">
        <f t="shared" si="22"/>
        <v>1487.795918367347</v>
      </c>
      <c r="R53" s="226">
        <f t="shared" si="22"/>
        <v>1417.795918367347</v>
      </c>
      <c r="S53" s="226">
        <f t="shared" si="22"/>
        <v>1417.795918367347</v>
      </c>
      <c r="T53" s="226">
        <f t="shared" si="22"/>
        <v>1417.795918367347</v>
      </c>
      <c r="U53" s="226">
        <f t="shared" si="22"/>
        <v>1418.04</v>
      </c>
      <c r="V53" s="226">
        <f t="shared" si="22"/>
        <v>1418.04</v>
      </c>
      <c r="W53" s="226">
        <f t="shared" si="22"/>
        <v>1418.04</v>
      </c>
      <c r="X53" s="226">
        <f t="shared" si="22"/>
        <v>1418.04</v>
      </c>
      <c r="Y53" s="226">
        <f t="shared" si="22"/>
        <v>1418.04</v>
      </c>
      <c r="Z53" s="227">
        <f t="shared" si="22"/>
        <v>1418.04</v>
      </c>
      <c r="AA53" s="226">
        <f t="shared" si="22"/>
        <v>1388.04</v>
      </c>
      <c r="AB53" s="226">
        <f t="shared" si="22"/>
        <v>1388.04</v>
      </c>
      <c r="AC53" s="226">
        <f t="shared" si="22"/>
        <v>1388.04</v>
      </c>
      <c r="AD53" s="226">
        <f t="shared" si="22"/>
        <v>1388.04</v>
      </c>
      <c r="AE53" s="226">
        <f t="shared" si="22"/>
        <v>1388.04</v>
      </c>
      <c r="AF53" s="226">
        <f t="shared" si="22"/>
        <v>1388.04</v>
      </c>
      <c r="AG53" s="226">
        <f t="shared" si="22"/>
        <v>1388.04</v>
      </c>
      <c r="AH53" s="226">
        <f t="shared" si="22"/>
        <v>1388.04</v>
      </c>
      <c r="AI53" s="226">
        <f t="shared" si="22"/>
        <v>1388.04</v>
      </c>
      <c r="AJ53" s="226">
        <f t="shared" si="22"/>
        <v>1388.04</v>
      </c>
      <c r="AK53" s="226">
        <f t="shared" si="22"/>
        <v>1388.04</v>
      </c>
      <c r="AL53" s="227">
        <f t="shared" si="22"/>
        <v>1388.04</v>
      </c>
    </row>
    <row r="54" spans="1:38" s="96" customFormat="1" ht="79.349999999999994" customHeight="1" outlineLevel="1" x14ac:dyDescent="0.3">
      <c r="A54" s="96" t="s">
        <v>63</v>
      </c>
      <c r="B54" s="96" t="s">
        <v>24</v>
      </c>
      <c r="D54" s="97"/>
      <c r="F54" s="218" t="s">
        <v>241</v>
      </c>
      <c r="G54" s="26"/>
      <c r="H54" s="26"/>
      <c r="I54" s="26"/>
      <c r="J54" s="26" t="s">
        <v>44</v>
      </c>
      <c r="K54" s="12"/>
      <c r="L54" s="26"/>
      <c r="M54" s="26"/>
      <c r="N54" s="26"/>
      <c r="O54" s="88" t="str" cm="1">
        <f t="array" ref="O54">INDEX(Note!$G$3:$G$102,MATCH(1,(Note!$A$3:$A$102=$A54)*(Note!$C$3:$C$102=$B54)*(Note!$E$3:$E$102&lt;=O$1)*(Note!$F$3:$F$102&gt;=O$2),0))</f>
        <v>Giá Bales DTR Mua +% Hao Hụt + Conversion cost</v>
      </c>
      <c r="P54" s="27" t="str" cm="1">
        <f t="array" ref="P54">INDEX(Note!$G$3:$G$102,MATCH(1,(Note!$A$3:$A$102=$A54)*(Note!$C$3:$C$102=$B54)*(Note!$E$3:$E$102&lt;=P$1)*(Note!$F$3:$F$102&gt;=P$2),0))</f>
        <v>Giá Bales DTR Mua +% Hao Hụt + Conversion cost</v>
      </c>
      <c r="Q54" s="27" t="str" cm="1">
        <f t="array" ref="Q54">INDEX(Note!$G$3:$G$102,MATCH(1,(Note!$A$3:$A$102=$A54)*(Note!$C$3:$C$102=$B54)*(Note!$E$3:$E$102&lt;=Q$1)*(Note!$F$3:$F$102&gt;=Q$2),0))</f>
        <v>Giá Bales DTR Mua +% Hao Hụt + Conversion cost</v>
      </c>
      <c r="R54" s="27" t="str" cm="1">
        <f t="array" ref="R54">INDEX(Note!$G$3:$G$102,MATCH(1,(Note!$A$3:$A$102=$A54)*(Note!$C$3:$C$102=$B54)*(Note!$E$3:$E$102&lt;=R$1)*(Note!$F$3:$F$102&gt;=R$2),0))</f>
        <v>Giá Bales DTR Mua +% Hao Hụt + Conversion cost</v>
      </c>
      <c r="S54" s="27" t="str" cm="1">
        <f t="array" ref="S54">INDEX(Note!$G$3:$G$102,MATCH(1,(Note!$A$3:$A$102=$A54)*(Note!$C$3:$C$102=$B54)*(Note!$E$3:$E$102&lt;=S$1)*(Note!$F$3:$F$102&gt;=S$2),0))</f>
        <v>Giá Bales DTR Mua +% Hao Hụt + Conversion cost</v>
      </c>
      <c r="T54" s="27" t="str" cm="1">
        <f t="array" ref="T54">INDEX(Note!$G$3:$G$102,MATCH(1,(Note!$A$3:$A$102=$A54)*(Note!$C$3:$C$102=$B54)*(Note!$E$3:$E$102&lt;=T$1)*(Note!$F$3:$F$102&gt;=T$2),0))</f>
        <v>Giá Bales DTR Mua +% Hao Hụt + Conversion cost</v>
      </c>
      <c r="U54" s="27" t="str" cm="1">
        <f t="array" ref="U54">INDEX(Note!$G$3:$G$102,MATCH(1,(Note!$A$3:$A$102=$A54)*(Note!$C$3:$C$102=$B54)*(Note!$E$3:$E$102&lt;=U$1)*(Note!$F$3:$F$102&gt;=U$2),0))</f>
        <v>Giá Bales DTR Mua +% Hao Hụt + Conversion cost</v>
      </c>
      <c r="V54" s="27" t="str" cm="1">
        <f t="array" ref="V54">INDEX(Note!$G$3:$G$102,MATCH(1,(Note!$A$3:$A$102=$A54)*(Note!$C$3:$C$102=$B54)*(Note!$E$3:$E$102&lt;=V$1)*(Note!$F$3:$F$102&gt;=V$2),0))</f>
        <v>Giá Bales DTR Mua +% Hao Hụt + Conversion cost</v>
      </c>
      <c r="W54" s="27" t="str" cm="1">
        <f t="array" ref="W54">INDEX(Note!$G$3:$G$102,MATCH(1,(Note!$A$3:$A$102=$A54)*(Note!$C$3:$C$102=$B54)*(Note!$E$3:$E$102&lt;=W$1)*(Note!$F$3:$F$102&gt;=W$2),0))</f>
        <v>Giá Bales DTR Mua +% Hao Hụt + Conversion cost</v>
      </c>
      <c r="X54" s="27" t="str" cm="1">
        <f t="array" ref="X54">INDEX(Note!$G$3:$G$102,MATCH(1,(Note!$A$3:$A$102=$A54)*(Note!$C$3:$C$102=$B54)*(Note!$E$3:$E$102&lt;=X$1)*(Note!$F$3:$F$102&gt;=X$2),0))</f>
        <v>Giá Bales DTR Mua +% Hao Hụt + Conversion cost</v>
      </c>
      <c r="Y54" s="27" t="str" cm="1">
        <f t="array" ref="Y54">INDEX(Note!$G$3:$G$102,MATCH(1,(Note!$A$3:$A$102=$A54)*(Note!$C$3:$C$102=$B54)*(Note!$E$3:$E$102&lt;=Y$1)*(Note!$F$3:$F$102&gt;=Y$2),0))</f>
        <v>Giá Bales DTR Mua +% Hao Hụt + Conversion cost</v>
      </c>
      <c r="Z54" s="89" t="str" cm="1">
        <f t="array" ref="Z54">INDEX(Note!$G$3:$G$102,MATCH(1,(Note!$A$3:$A$102=$A54)*(Note!$C$3:$C$102=$B54)*(Note!$E$3:$E$102&lt;=Z$1)*(Note!$F$3:$F$102&gt;=Z$2),0))</f>
        <v>Giá Bales DTR Mua +% Hao Hụt + Conversion cost</v>
      </c>
      <c r="AA54" s="27" t="str" cm="1">
        <f t="array" ref="AA54">INDEX(Note!$G$3:$G$102,MATCH(1,(Note!$A$3:$A$102=$A54)*(Note!$C$3:$C$102=$B54)*(Note!$E$3:$E$102&lt;=AA$1)*(Note!$F$3:$F$102&gt;=AA$2),0))</f>
        <v>Giá cố định (KD đề xuất)</v>
      </c>
      <c r="AB54" s="27" t="str" cm="1">
        <f t="array" ref="AB54">INDEX(Note!$G$3:$G$102,MATCH(1,(Note!$A$3:$A$102=$A54)*(Note!$C$3:$C$102=$B54)*(Note!$E$3:$E$102&lt;=AB$1)*(Note!$F$3:$F$102&gt;=AB$2),0))</f>
        <v>Giá cố định (KD đề xuất)</v>
      </c>
      <c r="AC54" s="27" t="str" cm="1">
        <f t="array" ref="AC54">INDEX(Note!$G$3:$G$102,MATCH(1,(Note!$A$3:$A$102=$A54)*(Note!$C$3:$C$102=$B54)*(Note!$E$3:$E$102&lt;=AC$1)*(Note!$F$3:$F$102&gt;=AC$2),0))</f>
        <v>Giá cố định (KD đề xuất)</v>
      </c>
      <c r="AD54" s="27" t="str" cm="1">
        <f t="array" ref="AD54">INDEX(Note!$G$3:$G$102,MATCH(1,(Note!$A$3:$A$102=$A54)*(Note!$C$3:$C$102=$B54)*(Note!$E$3:$E$102&lt;=AD$1)*(Note!$F$3:$F$102&gt;=AD$2),0))</f>
        <v>Giá cố định (KD đề xuất)</v>
      </c>
      <c r="AE54" s="27" t="str" cm="1">
        <f t="array" ref="AE54">INDEX(Note!$G$3:$G$102,MATCH(1,(Note!$A$3:$A$102=$A54)*(Note!$C$3:$C$102=$B54)*(Note!$E$3:$E$102&lt;=AE$1)*(Note!$F$3:$F$102&gt;=AE$2),0))</f>
        <v>Giá cố định (KD đề xuất)</v>
      </c>
      <c r="AF54" s="27" t="str" cm="1">
        <f t="array" ref="AF54">INDEX(Note!$G$3:$G$102,MATCH(1,(Note!$A$3:$A$102=$A54)*(Note!$C$3:$C$102=$B54)*(Note!$E$3:$E$102&lt;=AF$1)*(Note!$F$3:$F$102&gt;=AF$2),0))</f>
        <v>Giá cố định (KD đề xuất)</v>
      </c>
      <c r="AG54" s="27" t="str" cm="1">
        <f t="array" ref="AG54">INDEX(Note!$G$3:$G$102,MATCH(1,(Note!$A$3:$A$102=$A54)*(Note!$C$3:$C$102=$B54)*(Note!$E$3:$E$102&lt;=AG$1)*(Note!$F$3:$F$102&gt;=AG$2),0))</f>
        <v>Giá cố định (KD đề xuất)</v>
      </c>
      <c r="AH54" s="27" t="str" cm="1">
        <f t="array" ref="AH54">INDEX(Note!$G$3:$G$102,MATCH(1,(Note!$A$3:$A$102=$A54)*(Note!$C$3:$C$102=$B54)*(Note!$E$3:$E$102&lt;=AH$1)*(Note!$F$3:$F$102&gt;=AH$2),0))</f>
        <v>Giá cố định (KD đề xuất)</v>
      </c>
      <c r="AI54" s="27" t="str" cm="1">
        <f t="array" ref="AI54">INDEX(Note!$G$3:$G$102,MATCH(1,(Note!$A$3:$A$102=$A54)*(Note!$C$3:$C$102=$B54)*(Note!$E$3:$E$102&lt;=AI$1)*(Note!$F$3:$F$102&gt;=AI$2),0))</f>
        <v>Giá cố định (KD đề xuất)</v>
      </c>
      <c r="AJ54" s="27" t="str" cm="1">
        <f t="array" ref="AJ54">INDEX(Note!$G$3:$G$102,MATCH(1,(Note!$A$3:$A$102=$A54)*(Note!$C$3:$C$102=$B54)*(Note!$E$3:$E$102&lt;=AJ$1)*(Note!$F$3:$F$102&gt;=AJ$2),0))</f>
        <v>Giá cố định (KD đề xuất)</v>
      </c>
      <c r="AK54" s="27" t="str" cm="1">
        <f t="array" ref="AK54">INDEX(Note!$G$3:$G$102,MATCH(1,(Note!$A$3:$A$102=$A54)*(Note!$C$3:$C$102=$B54)*(Note!$E$3:$E$102&lt;=AK$1)*(Note!$F$3:$F$102&gt;=AK$2),0))</f>
        <v>Giá cố định (KD đề xuất)</v>
      </c>
      <c r="AL54" s="89" t="str" cm="1">
        <f t="array" ref="AL54">INDEX(Note!$G$3:$G$102,MATCH(1,(Note!$A$3:$A$102=$A54)*(Note!$C$3:$C$102=$B54)*(Note!$E$3:$E$102&lt;=AL$1)*(Note!$F$3:$F$102&gt;=AL$2),0))</f>
        <v>Giá cố định (KD đề xuất)</v>
      </c>
    </row>
    <row r="55" spans="1:38" s="96" customFormat="1" outlineLevel="1" x14ac:dyDescent="0.3">
      <c r="A55" s="96" t="s">
        <v>63</v>
      </c>
      <c r="B55" s="96" t="s">
        <v>24</v>
      </c>
      <c r="D55" s="97"/>
      <c r="F55" s="218" t="s">
        <v>242</v>
      </c>
      <c r="G55" s="26"/>
      <c r="H55" s="26"/>
      <c r="I55" s="26"/>
      <c r="J55" s="26" t="s">
        <v>42</v>
      </c>
      <c r="K55" s="12"/>
      <c r="L55" s="26"/>
      <c r="M55" s="26"/>
      <c r="N55" s="26"/>
      <c r="O55" s="88" t="str" cm="1">
        <f t="array" ref="O55">INDEX(Note!$H$3:$H$102,MATCH(1,(Note!$A$3:$A$102=$A55)*(Note!$C$3:$C$102=$B55)*(Note!$E$3:$E$102&lt;=O$1)*(Note!$F$3:$F$102&gt;=O$2),0))</f>
        <v>DDP</v>
      </c>
      <c r="P55" s="27" t="str" cm="1">
        <f t="array" ref="P55">INDEX(Note!$H$3:$H$102,MATCH(1,(Note!$A$3:$A$102=$A55)*(Note!$C$3:$C$102=$B55)*(Note!$E$3:$E$102&lt;=P$1)*(Note!$F$3:$F$102&gt;=P$2),0))</f>
        <v>DDP</v>
      </c>
      <c r="Q55" s="27" t="str" cm="1">
        <f t="array" ref="Q55">INDEX(Note!$H$3:$H$102,MATCH(1,(Note!$A$3:$A$102=$A55)*(Note!$C$3:$C$102=$B55)*(Note!$E$3:$E$102&lt;=Q$1)*(Note!$F$3:$F$102&gt;=Q$2),0))</f>
        <v>DDP</v>
      </c>
      <c r="R55" s="27" t="str" cm="1">
        <f t="array" ref="R55">INDEX(Note!$H$3:$H$102,MATCH(1,(Note!$A$3:$A$102=$A55)*(Note!$C$3:$C$102=$B55)*(Note!$E$3:$E$102&lt;=R$1)*(Note!$F$3:$F$102&gt;=R$2),0))</f>
        <v>DDP</v>
      </c>
      <c r="S55" s="27" t="str" cm="1">
        <f t="array" ref="S55">INDEX(Note!$H$3:$H$102,MATCH(1,(Note!$A$3:$A$102=$A55)*(Note!$C$3:$C$102=$B55)*(Note!$E$3:$E$102&lt;=S$1)*(Note!$F$3:$F$102&gt;=S$2),0))</f>
        <v>DDP</v>
      </c>
      <c r="T55" s="27" t="str" cm="1">
        <f t="array" ref="T55">INDEX(Note!$H$3:$H$102,MATCH(1,(Note!$A$3:$A$102=$A55)*(Note!$C$3:$C$102=$B55)*(Note!$E$3:$E$102&lt;=T$1)*(Note!$F$3:$F$102&gt;=T$2),0))</f>
        <v>DDP</v>
      </c>
      <c r="U55" s="27" t="str" cm="1">
        <f t="array" ref="U55">INDEX(Note!$H$3:$H$102,MATCH(1,(Note!$A$3:$A$102=$A55)*(Note!$C$3:$C$102=$B55)*(Note!$E$3:$E$102&lt;=U$1)*(Note!$F$3:$F$102&gt;=U$2),0))</f>
        <v>DDP</v>
      </c>
      <c r="V55" s="27" t="str" cm="1">
        <f t="array" ref="V55">INDEX(Note!$H$3:$H$102,MATCH(1,(Note!$A$3:$A$102=$A55)*(Note!$C$3:$C$102=$B55)*(Note!$E$3:$E$102&lt;=V$1)*(Note!$F$3:$F$102&gt;=V$2),0))</f>
        <v>DDP</v>
      </c>
      <c r="W55" s="27" t="str" cm="1">
        <f t="array" ref="W55">INDEX(Note!$H$3:$H$102,MATCH(1,(Note!$A$3:$A$102=$A55)*(Note!$C$3:$C$102=$B55)*(Note!$E$3:$E$102&lt;=W$1)*(Note!$F$3:$F$102&gt;=W$2),0))</f>
        <v>DDP</v>
      </c>
      <c r="X55" s="27" t="str" cm="1">
        <f t="array" ref="X55">INDEX(Note!$H$3:$H$102,MATCH(1,(Note!$A$3:$A$102=$A55)*(Note!$C$3:$C$102=$B55)*(Note!$E$3:$E$102&lt;=X$1)*(Note!$F$3:$F$102&gt;=X$2),0))</f>
        <v>DDP</v>
      </c>
      <c r="Y55" s="27" t="str" cm="1">
        <f t="array" ref="Y55">INDEX(Note!$H$3:$H$102,MATCH(1,(Note!$A$3:$A$102=$A55)*(Note!$C$3:$C$102=$B55)*(Note!$E$3:$E$102&lt;=Y$1)*(Note!$F$3:$F$102&gt;=Y$2),0))</f>
        <v>DDP</v>
      </c>
      <c r="Z55" s="89" t="str" cm="1">
        <f t="array" ref="Z55">INDEX(Note!$H$3:$H$102,MATCH(1,(Note!$A$3:$A$102=$A55)*(Note!$C$3:$C$102=$B55)*(Note!$E$3:$E$102&lt;=Z$1)*(Note!$F$3:$F$102&gt;=Z$2),0))</f>
        <v>DDP</v>
      </c>
      <c r="AA55" s="27" t="str" cm="1">
        <f t="array" ref="AA55">INDEX(Note!$H$3:$H$102,MATCH(1,(Note!$A$3:$A$102=$A55)*(Note!$C$3:$C$102=$B55)*(Note!$E$3:$E$102&lt;=AA$1)*(Note!$F$3:$F$102&gt;=AA$2),0))</f>
        <v>DDP</v>
      </c>
      <c r="AB55" s="27" t="str" cm="1">
        <f t="array" ref="AB55">INDEX(Note!$H$3:$H$102,MATCH(1,(Note!$A$3:$A$102=$A55)*(Note!$C$3:$C$102=$B55)*(Note!$E$3:$E$102&lt;=AB$1)*(Note!$F$3:$F$102&gt;=AB$2),0))</f>
        <v>DDP</v>
      </c>
      <c r="AC55" s="27" t="str" cm="1">
        <f t="array" ref="AC55">INDEX(Note!$H$3:$H$102,MATCH(1,(Note!$A$3:$A$102=$A55)*(Note!$C$3:$C$102=$B55)*(Note!$E$3:$E$102&lt;=AC$1)*(Note!$F$3:$F$102&gt;=AC$2),0))</f>
        <v>DDP</v>
      </c>
      <c r="AD55" s="27" t="str" cm="1">
        <f t="array" ref="AD55">INDEX(Note!$H$3:$H$102,MATCH(1,(Note!$A$3:$A$102=$A55)*(Note!$C$3:$C$102=$B55)*(Note!$E$3:$E$102&lt;=AD$1)*(Note!$F$3:$F$102&gt;=AD$2),0))</f>
        <v>DDP</v>
      </c>
      <c r="AE55" s="27" t="str" cm="1">
        <f t="array" ref="AE55">INDEX(Note!$H$3:$H$102,MATCH(1,(Note!$A$3:$A$102=$A55)*(Note!$C$3:$C$102=$B55)*(Note!$E$3:$E$102&lt;=AE$1)*(Note!$F$3:$F$102&gt;=AE$2),0))</f>
        <v>DDP</v>
      </c>
      <c r="AF55" s="27" t="str" cm="1">
        <f t="array" ref="AF55">INDEX(Note!$H$3:$H$102,MATCH(1,(Note!$A$3:$A$102=$A55)*(Note!$C$3:$C$102=$B55)*(Note!$E$3:$E$102&lt;=AF$1)*(Note!$F$3:$F$102&gt;=AF$2),0))</f>
        <v>DDP</v>
      </c>
      <c r="AG55" s="27" t="str" cm="1">
        <f t="array" ref="AG55">INDEX(Note!$H$3:$H$102,MATCH(1,(Note!$A$3:$A$102=$A55)*(Note!$C$3:$C$102=$B55)*(Note!$E$3:$E$102&lt;=AG$1)*(Note!$F$3:$F$102&gt;=AG$2),0))</f>
        <v>DDP</v>
      </c>
      <c r="AH55" s="27" t="str" cm="1">
        <f t="array" ref="AH55">INDEX(Note!$H$3:$H$102,MATCH(1,(Note!$A$3:$A$102=$A55)*(Note!$C$3:$C$102=$B55)*(Note!$E$3:$E$102&lt;=AH$1)*(Note!$F$3:$F$102&gt;=AH$2),0))</f>
        <v>DDP</v>
      </c>
      <c r="AI55" s="27" t="str" cm="1">
        <f t="array" ref="AI55">INDEX(Note!$H$3:$H$102,MATCH(1,(Note!$A$3:$A$102=$A55)*(Note!$C$3:$C$102=$B55)*(Note!$E$3:$E$102&lt;=AI$1)*(Note!$F$3:$F$102&gt;=AI$2),0))</f>
        <v>DDP</v>
      </c>
      <c r="AJ55" s="27" t="str" cm="1">
        <f t="array" ref="AJ55">INDEX(Note!$H$3:$H$102,MATCH(1,(Note!$A$3:$A$102=$A55)*(Note!$C$3:$C$102=$B55)*(Note!$E$3:$E$102&lt;=AJ$1)*(Note!$F$3:$F$102&gt;=AJ$2),0))</f>
        <v>DDP</v>
      </c>
      <c r="AK55" s="27" t="str" cm="1">
        <f t="array" ref="AK55">INDEX(Note!$H$3:$H$102,MATCH(1,(Note!$A$3:$A$102=$A55)*(Note!$C$3:$C$102=$B55)*(Note!$E$3:$E$102&lt;=AK$1)*(Note!$F$3:$F$102&gt;=AK$2),0))</f>
        <v>DDP</v>
      </c>
      <c r="AL55" s="89" t="str" cm="1">
        <f t="array" ref="AL55">INDEX(Note!$H$3:$H$102,MATCH(1,(Note!$A$3:$A$102=$A55)*(Note!$C$3:$C$102=$B55)*(Note!$E$3:$E$102&lt;=AL$1)*(Note!$F$3:$F$102&gt;=AL$2),0))</f>
        <v>DDP</v>
      </c>
    </row>
    <row r="56" spans="1:38" s="97" customFormat="1" outlineLevel="1" x14ac:dyDescent="0.3">
      <c r="A56" s="97" t="s">
        <v>63</v>
      </c>
      <c r="B56" s="97" t="s">
        <v>24</v>
      </c>
      <c r="F56" s="193" t="s">
        <v>243</v>
      </c>
      <c r="G56" s="107"/>
      <c r="H56" s="107"/>
      <c r="I56" s="107"/>
      <c r="J56" s="107" t="s">
        <v>45</v>
      </c>
      <c r="K56" s="109"/>
      <c r="L56" s="107"/>
      <c r="M56" s="107"/>
      <c r="N56" s="107"/>
      <c r="O56" s="233" t="str" cm="1">
        <f t="array" ref="O56">INDEX(Note!$I$3:$I$102,MATCH(1,(Note!$A$3:$A$102=$A56)*(Note!$C$3:$C$102=$B56)*(Note!$E$3:$E$102&lt;=O$1)*(Note!$F$3:$F$102&gt;=O$2),0))</f>
        <v>Quý</v>
      </c>
      <c r="P56" s="193" t="str" cm="1">
        <f t="array" ref="P56">INDEX(Note!$I$3:$I$102,MATCH(1,(Note!$A$3:$A$102=$A56)*(Note!$C$3:$C$102=$B56)*(Note!$E$3:$E$102&lt;=P$1)*(Note!$F$3:$F$102&gt;=P$2),0))</f>
        <v>Quý</v>
      </c>
      <c r="Q56" s="193" t="str" cm="1">
        <f t="array" ref="Q56">INDEX(Note!$I$3:$I$102,MATCH(1,(Note!$A$3:$A$102=$A56)*(Note!$C$3:$C$102=$B56)*(Note!$E$3:$E$102&lt;=Q$1)*(Note!$F$3:$F$102&gt;=Q$2),0))</f>
        <v>Quý</v>
      </c>
      <c r="R56" s="193" t="str" cm="1">
        <f t="array" ref="R56">INDEX(Note!$I$3:$I$102,MATCH(1,(Note!$A$3:$A$102=$A56)*(Note!$C$3:$C$102=$B56)*(Note!$E$3:$E$102&lt;=R$1)*(Note!$F$3:$F$102&gt;=R$2),0))</f>
        <v>Quý</v>
      </c>
      <c r="S56" s="193" t="str" cm="1">
        <f t="array" ref="S56">INDEX(Note!$I$3:$I$102,MATCH(1,(Note!$A$3:$A$102=$A56)*(Note!$C$3:$C$102=$B56)*(Note!$E$3:$E$102&lt;=S$1)*(Note!$F$3:$F$102&gt;=S$2),0))</f>
        <v>Quý</v>
      </c>
      <c r="T56" s="193" t="str" cm="1">
        <f t="array" ref="T56">INDEX(Note!$I$3:$I$102,MATCH(1,(Note!$A$3:$A$102=$A56)*(Note!$C$3:$C$102=$B56)*(Note!$E$3:$E$102&lt;=T$1)*(Note!$F$3:$F$102&gt;=T$2),0))</f>
        <v>Quý</v>
      </c>
      <c r="U56" s="193" t="str" cm="1">
        <f t="array" ref="U56">INDEX(Note!$I$3:$I$102,MATCH(1,(Note!$A$3:$A$102=$A56)*(Note!$C$3:$C$102=$B56)*(Note!$E$3:$E$102&lt;=U$1)*(Note!$F$3:$F$102&gt;=U$2),0))</f>
        <v>Quý</v>
      </c>
      <c r="V56" s="193" t="str" cm="1">
        <f t="array" ref="V56">INDEX(Note!$I$3:$I$102,MATCH(1,(Note!$A$3:$A$102=$A56)*(Note!$C$3:$C$102=$B56)*(Note!$E$3:$E$102&lt;=V$1)*(Note!$F$3:$F$102&gt;=V$2),0))</f>
        <v>Quý</v>
      </c>
      <c r="W56" s="193" t="str" cm="1">
        <f t="array" ref="W56">INDEX(Note!$I$3:$I$102,MATCH(1,(Note!$A$3:$A$102=$A56)*(Note!$C$3:$C$102=$B56)*(Note!$E$3:$E$102&lt;=W$1)*(Note!$F$3:$F$102&gt;=W$2),0))</f>
        <v>Quý</v>
      </c>
      <c r="X56" s="193" t="str" cm="1">
        <f t="array" ref="X56">INDEX(Note!$I$3:$I$102,MATCH(1,(Note!$A$3:$A$102=$A56)*(Note!$C$3:$C$102=$B56)*(Note!$E$3:$E$102&lt;=X$1)*(Note!$F$3:$F$102&gt;=X$2),0))</f>
        <v>Quý</v>
      </c>
      <c r="Y56" s="193" t="str" cm="1">
        <f t="array" ref="Y56">INDEX(Note!$I$3:$I$102,MATCH(1,(Note!$A$3:$A$102=$A56)*(Note!$C$3:$C$102=$B56)*(Note!$E$3:$E$102&lt;=Y$1)*(Note!$F$3:$F$102&gt;=Y$2),0))</f>
        <v>Quý</v>
      </c>
      <c r="Z56" s="194" t="str" cm="1">
        <f t="array" ref="Z56">INDEX(Note!$I$3:$I$102,MATCH(1,(Note!$A$3:$A$102=$A56)*(Note!$C$3:$C$102=$B56)*(Note!$E$3:$E$102&lt;=Z$1)*(Note!$F$3:$F$102&gt;=Z$2),0))</f>
        <v>Quý</v>
      </c>
      <c r="AA56" s="193" t="str" cm="1">
        <f t="array" ref="AA56">INDEX(Note!$I$3:$I$102,MATCH(1,(Note!$A$3:$A$102=$A56)*(Note!$C$3:$C$102=$B56)*(Note!$E$3:$E$102&lt;=AA$1)*(Note!$F$3:$F$102&gt;=AA$2),0))</f>
        <v>Năm</v>
      </c>
      <c r="AB56" s="193" t="str" cm="1">
        <f t="array" ref="AB56">INDEX(Note!$I$3:$I$102,MATCH(1,(Note!$A$3:$A$102=$A56)*(Note!$C$3:$C$102=$B56)*(Note!$E$3:$E$102&lt;=AB$1)*(Note!$F$3:$F$102&gt;=AB$2),0))</f>
        <v>Năm</v>
      </c>
      <c r="AC56" s="193" t="str" cm="1">
        <f t="array" ref="AC56">INDEX(Note!$I$3:$I$102,MATCH(1,(Note!$A$3:$A$102=$A56)*(Note!$C$3:$C$102=$B56)*(Note!$E$3:$E$102&lt;=AC$1)*(Note!$F$3:$F$102&gt;=AC$2),0))</f>
        <v>Năm</v>
      </c>
      <c r="AD56" s="193" t="str" cm="1">
        <f t="array" ref="AD56">INDEX(Note!$I$3:$I$102,MATCH(1,(Note!$A$3:$A$102=$A56)*(Note!$C$3:$C$102=$B56)*(Note!$E$3:$E$102&lt;=AD$1)*(Note!$F$3:$F$102&gt;=AD$2),0))</f>
        <v>Năm</v>
      </c>
      <c r="AE56" s="193" t="str" cm="1">
        <f t="array" ref="AE56">INDEX(Note!$I$3:$I$102,MATCH(1,(Note!$A$3:$A$102=$A56)*(Note!$C$3:$C$102=$B56)*(Note!$E$3:$E$102&lt;=AE$1)*(Note!$F$3:$F$102&gt;=AE$2),0))</f>
        <v>Năm</v>
      </c>
      <c r="AF56" s="193" t="str" cm="1">
        <f t="array" ref="AF56">INDEX(Note!$I$3:$I$102,MATCH(1,(Note!$A$3:$A$102=$A56)*(Note!$C$3:$C$102=$B56)*(Note!$E$3:$E$102&lt;=AF$1)*(Note!$F$3:$F$102&gt;=AF$2),0))</f>
        <v>Năm</v>
      </c>
      <c r="AG56" s="193" t="str" cm="1">
        <f t="array" ref="AG56">INDEX(Note!$I$3:$I$102,MATCH(1,(Note!$A$3:$A$102=$A56)*(Note!$C$3:$C$102=$B56)*(Note!$E$3:$E$102&lt;=AG$1)*(Note!$F$3:$F$102&gt;=AG$2),0))</f>
        <v>Năm</v>
      </c>
      <c r="AH56" s="193" t="str" cm="1">
        <f t="array" ref="AH56">INDEX(Note!$I$3:$I$102,MATCH(1,(Note!$A$3:$A$102=$A56)*(Note!$C$3:$C$102=$B56)*(Note!$E$3:$E$102&lt;=AH$1)*(Note!$F$3:$F$102&gt;=AH$2),0))</f>
        <v>Năm</v>
      </c>
      <c r="AI56" s="193" t="str" cm="1">
        <f t="array" ref="AI56">INDEX(Note!$I$3:$I$102,MATCH(1,(Note!$A$3:$A$102=$A56)*(Note!$C$3:$C$102=$B56)*(Note!$E$3:$E$102&lt;=AI$1)*(Note!$F$3:$F$102&gt;=AI$2),0))</f>
        <v>Năm</v>
      </c>
      <c r="AJ56" s="193" t="str" cm="1">
        <f t="array" ref="AJ56">INDEX(Note!$I$3:$I$102,MATCH(1,(Note!$A$3:$A$102=$A56)*(Note!$C$3:$C$102=$B56)*(Note!$E$3:$E$102&lt;=AJ$1)*(Note!$F$3:$F$102&gt;=AJ$2),0))</f>
        <v>Năm</v>
      </c>
      <c r="AK56" s="193" t="str" cm="1">
        <f t="array" ref="AK56">INDEX(Note!$I$3:$I$102,MATCH(1,(Note!$A$3:$A$102=$A56)*(Note!$C$3:$C$102=$B56)*(Note!$E$3:$E$102&lt;=AK$1)*(Note!$F$3:$F$102&gt;=AK$2),0))</f>
        <v>Năm</v>
      </c>
      <c r="AL56" s="194" t="str" cm="1">
        <f t="array" ref="AL56">INDEX(Note!$I$3:$I$102,MATCH(1,(Note!$A$3:$A$102=$A56)*(Note!$C$3:$C$102=$B56)*(Note!$E$3:$E$102&lt;=AL$1)*(Note!$F$3:$F$102&gt;=AL$2),0))</f>
        <v>Năm</v>
      </c>
    </row>
    <row r="57" spans="1:38" s="185" customFormat="1" outlineLevel="1" x14ac:dyDescent="0.3">
      <c r="A57" s="185" t="s">
        <v>63</v>
      </c>
      <c r="B57" s="185" t="s">
        <v>24</v>
      </c>
      <c r="F57" s="222" t="s">
        <v>264</v>
      </c>
      <c r="G57" s="190"/>
      <c r="H57" s="190"/>
      <c r="I57" s="190"/>
      <c r="J57" s="190" t="s">
        <v>202</v>
      </c>
      <c r="K57" s="186"/>
      <c r="L57" s="199"/>
      <c r="M57" s="199"/>
      <c r="N57" s="199"/>
      <c r="O57" s="198" cm="1">
        <f t="array" ref="O57">SUMPRODUCT(General_Data*(Year=O$3)*(Month=O$4)*(Code_General_Data=$B57))</f>
        <v>1350</v>
      </c>
      <c r="P57" s="199" cm="1">
        <f t="array" ref="P57">SUMPRODUCT(General_Data*(Year=P$3)*(Month=P$4)*(Code_General_Data=$B57))</f>
        <v>1350</v>
      </c>
      <c r="Q57" s="199" cm="1">
        <f t="array" ref="Q57">SUMPRODUCT(General_Data*(Year=Q$3)*(Month=Q$4)*(Code_General_Data=$B57))</f>
        <v>1350</v>
      </c>
      <c r="R57" s="199" cm="1">
        <f t="array" ref="R57">SUMPRODUCT(General_Data*(Year=R$3)*(Month=R$4)*(Code_General_Data=$B57))</f>
        <v>1350</v>
      </c>
      <c r="S57" s="199" cm="1">
        <f t="array" ref="S57">SUMPRODUCT(General_Data*(Year=S$3)*(Month=S$4)*(Code_General_Data=$B57))</f>
        <v>1350</v>
      </c>
      <c r="T57" s="199" cm="1">
        <f t="array" ref="T57">SUMPRODUCT(General_Data*(Year=T$3)*(Month=T$4)*(Code_General_Data=$B57))</f>
        <v>1350</v>
      </c>
      <c r="U57" s="199" cm="1">
        <f t="array" ref="U57">SUMPRODUCT(General_Data*(Year=U$3)*(Month=U$4)*(Code_General_Data=$B57))</f>
        <v>1350</v>
      </c>
      <c r="V57" s="199" cm="1">
        <f t="array" ref="V57">SUMPRODUCT(General_Data*(Year=V$3)*(Month=V$4)*(Code_General_Data=$B57))</f>
        <v>1350</v>
      </c>
      <c r="W57" s="199" cm="1">
        <f t="array" ref="W57">SUMPRODUCT(General_Data*(Year=W$3)*(Month=W$4)*(Code_General_Data=$B57))</f>
        <v>1350</v>
      </c>
      <c r="X57" s="199" cm="1">
        <f t="array" ref="X57">SUMPRODUCT(General_Data*(Year=X$3)*(Month=X$4)*(Code_General_Data=$B57))</f>
        <v>1350</v>
      </c>
      <c r="Y57" s="199" cm="1">
        <f t="array" ref="Y57">SUMPRODUCT(General_Data*(Year=Y$3)*(Month=Y$4)*(Code_General_Data=$B57))</f>
        <v>1350</v>
      </c>
      <c r="Z57" s="200" cm="1">
        <f t="array" ref="Z57">SUMPRODUCT(General_Data*(Year=Z$3)*(Month=Z$4)*(Code_General_Data=$B57))</f>
        <v>1350</v>
      </c>
      <c r="AA57" s="199" cm="1">
        <f t="array" ref="AA57">SUMPRODUCT(General_Data*(Year=AA$3)*(Month=AA$4)*(Code_General_Data=$B57))</f>
        <v>1350</v>
      </c>
      <c r="AB57" s="199" cm="1">
        <f t="array" ref="AB57">SUMPRODUCT(General_Data*(Year=AB$3)*(Month=AB$4)*(Code_General_Data=$B57))</f>
        <v>1300</v>
      </c>
      <c r="AC57" s="199" cm="1">
        <f t="array" ref="AC57">SUMPRODUCT(General_Data*(Year=AC$3)*(Month=AC$4)*(Code_General_Data=$B57))</f>
        <v>1250</v>
      </c>
      <c r="AD57" s="199"/>
      <c r="AE57" s="199"/>
      <c r="AF57" s="199"/>
      <c r="AG57" s="199"/>
      <c r="AH57" s="199"/>
      <c r="AI57" s="199"/>
      <c r="AJ57" s="199"/>
      <c r="AK57" s="199"/>
      <c r="AL57" s="200"/>
    </row>
    <row r="58" spans="1:38" s="185" customFormat="1" ht="6.6" customHeight="1" x14ac:dyDescent="0.3">
      <c r="F58" s="301"/>
      <c r="G58" s="302"/>
      <c r="H58" s="302"/>
      <c r="I58" s="302"/>
      <c r="J58" s="302"/>
      <c r="K58" s="186"/>
      <c r="L58" s="303"/>
      <c r="M58" s="303"/>
      <c r="N58" s="303"/>
      <c r="O58" s="304"/>
      <c r="P58" s="303"/>
      <c r="Q58" s="303"/>
      <c r="R58" s="303"/>
      <c r="S58" s="303"/>
      <c r="T58" s="303"/>
      <c r="U58" s="303"/>
      <c r="V58" s="303"/>
      <c r="W58" s="303"/>
      <c r="X58" s="303"/>
      <c r="Y58" s="303"/>
      <c r="Z58" s="305"/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5"/>
    </row>
    <row r="59" spans="1:38" s="180" customFormat="1" ht="17.399999999999999" x14ac:dyDescent="0.3">
      <c r="A59" s="180" t="s">
        <v>63</v>
      </c>
      <c r="B59" s="180" t="s">
        <v>22</v>
      </c>
      <c r="D59" s="180" t="s">
        <v>321</v>
      </c>
      <c r="F59" s="217">
        <v>2.2999999999999998</v>
      </c>
      <c r="G59" s="187"/>
      <c r="H59" s="187" t="s">
        <v>244</v>
      </c>
      <c r="I59" s="187"/>
      <c r="J59" s="187"/>
      <c r="L59" s="187"/>
      <c r="M59" s="187"/>
      <c r="N59" s="187"/>
      <c r="O59" s="251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3"/>
      <c r="AA59" s="213">
        <f>AA60</f>
        <v>1400</v>
      </c>
      <c r="AB59" s="214">
        <f t="shared" ref="AB59:AL59" si="23">AB60</f>
        <v>1400</v>
      </c>
      <c r="AC59" s="214">
        <f t="shared" si="23"/>
        <v>1400</v>
      </c>
      <c r="AD59" s="214">
        <f t="shared" si="23"/>
        <v>1400</v>
      </c>
      <c r="AE59" s="214">
        <f t="shared" si="23"/>
        <v>1400</v>
      </c>
      <c r="AF59" s="214">
        <f t="shared" si="23"/>
        <v>1400</v>
      </c>
      <c r="AG59" s="214">
        <f t="shared" si="23"/>
        <v>1400</v>
      </c>
      <c r="AH59" s="214">
        <f t="shared" si="23"/>
        <v>1400</v>
      </c>
      <c r="AI59" s="214">
        <f t="shared" si="23"/>
        <v>1400</v>
      </c>
      <c r="AJ59" s="214">
        <f t="shared" si="23"/>
        <v>1400</v>
      </c>
      <c r="AK59" s="214">
        <f t="shared" si="23"/>
        <v>1400</v>
      </c>
      <c r="AL59" s="215">
        <f t="shared" si="23"/>
        <v>1400</v>
      </c>
    </row>
    <row r="60" spans="1:38" s="96" customFormat="1" outlineLevel="1" x14ac:dyDescent="0.3">
      <c r="A60" s="96" t="s">
        <v>63</v>
      </c>
      <c r="B60" s="96" t="s">
        <v>22</v>
      </c>
      <c r="D60" s="97"/>
      <c r="F60" s="218" t="s">
        <v>246</v>
      </c>
      <c r="G60" s="26"/>
      <c r="H60" s="26" t="s">
        <v>40</v>
      </c>
      <c r="I60" s="26" t="s">
        <v>245</v>
      </c>
      <c r="J60" s="26"/>
      <c r="K60" s="12"/>
      <c r="L60" s="26"/>
      <c r="M60" s="26"/>
      <c r="N60" s="26"/>
      <c r="O60" s="254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6"/>
      <c r="AA60" s="210">
        <f t="shared" ref="AA60:AL60" si="24">AA43</f>
        <v>1400</v>
      </c>
      <c r="AB60" s="211">
        <f t="shared" si="24"/>
        <v>1400</v>
      </c>
      <c r="AC60" s="211">
        <f t="shared" si="24"/>
        <v>1400</v>
      </c>
      <c r="AD60" s="211">
        <f t="shared" si="24"/>
        <v>1400</v>
      </c>
      <c r="AE60" s="211">
        <f t="shared" si="24"/>
        <v>1400</v>
      </c>
      <c r="AF60" s="211">
        <f t="shared" si="24"/>
        <v>1400</v>
      </c>
      <c r="AG60" s="211">
        <f t="shared" si="24"/>
        <v>1400</v>
      </c>
      <c r="AH60" s="211">
        <f t="shared" si="24"/>
        <v>1400</v>
      </c>
      <c r="AI60" s="211">
        <f t="shared" si="24"/>
        <v>1400</v>
      </c>
      <c r="AJ60" s="211">
        <f t="shared" si="24"/>
        <v>1400</v>
      </c>
      <c r="AK60" s="211">
        <f t="shared" si="24"/>
        <v>1400</v>
      </c>
      <c r="AL60" s="212">
        <f t="shared" si="24"/>
        <v>1400</v>
      </c>
    </row>
    <row r="61" spans="1:38" s="94" customFormat="1" outlineLevel="1" x14ac:dyDescent="0.3">
      <c r="A61" s="94" t="s">
        <v>63</v>
      </c>
      <c r="B61" s="94" t="s">
        <v>22</v>
      </c>
      <c r="D61" s="95" t="s">
        <v>161</v>
      </c>
      <c r="F61" s="223" t="s">
        <v>247</v>
      </c>
      <c r="G61" s="224"/>
      <c r="H61" s="224"/>
      <c r="I61" s="224" t="s">
        <v>8</v>
      </c>
      <c r="J61" s="224"/>
      <c r="K61" s="2"/>
      <c r="L61" s="224"/>
      <c r="M61" s="224"/>
      <c r="N61" s="224"/>
      <c r="O61" s="257"/>
      <c r="P61" s="258"/>
      <c r="Q61" s="258"/>
      <c r="R61" s="258"/>
      <c r="S61" s="258"/>
      <c r="T61" s="258"/>
      <c r="U61" s="258"/>
      <c r="V61" s="258"/>
      <c r="W61" s="258"/>
      <c r="X61" s="258"/>
      <c r="Y61" s="258"/>
      <c r="Z61" s="259"/>
      <c r="AA61" s="226">
        <f t="shared" ref="AA61:AL61" si="25">AA53</f>
        <v>1388.04</v>
      </c>
      <c r="AB61" s="226">
        <f t="shared" si="25"/>
        <v>1388.04</v>
      </c>
      <c r="AC61" s="226">
        <f t="shared" si="25"/>
        <v>1388.04</v>
      </c>
      <c r="AD61" s="226">
        <f t="shared" si="25"/>
        <v>1388.04</v>
      </c>
      <c r="AE61" s="226">
        <f t="shared" si="25"/>
        <v>1388.04</v>
      </c>
      <c r="AF61" s="226">
        <f t="shared" si="25"/>
        <v>1388.04</v>
      </c>
      <c r="AG61" s="226">
        <f t="shared" si="25"/>
        <v>1388.04</v>
      </c>
      <c r="AH61" s="226">
        <f t="shared" si="25"/>
        <v>1388.04</v>
      </c>
      <c r="AI61" s="226">
        <f t="shared" si="25"/>
        <v>1388.04</v>
      </c>
      <c r="AJ61" s="226">
        <f t="shared" si="25"/>
        <v>1388.04</v>
      </c>
      <c r="AK61" s="226">
        <f t="shared" si="25"/>
        <v>1388.04</v>
      </c>
      <c r="AL61" s="227">
        <f t="shared" si="25"/>
        <v>1388.04</v>
      </c>
    </row>
    <row r="62" spans="1:38" s="96" customFormat="1" ht="79.349999999999994" customHeight="1" outlineLevel="1" x14ac:dyDescent="0.3">
      <c r="A62" s="96" t="s">
        <v>63</v>
      </c>
      <c r="B62" s="96" t="s">
        <v>22</v>
      </c>
      <c r="D62" s="97"/>
      <c r="F62" s="218" t="s">
        <v>248</v>
      </c>
      <c r="G62" s="26"/>
      <c r="H62" s="26"/>
      <c r="I62" s="26"/>
      <c r="J62" s="26" t="s">
        <v>44</v>
      </c>
      <c r="K62" s="12"/>
      <c r="L62" s="26"/>
      <c r="M62" s="26"/>
      <c r="N62" s="26"/>
      <c r="O62" s="260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2"/>
      <c r="AA62" s="27" t="str" cm="1">
        <f t="array" ref="AA62">INDEX(Note!$G$3:$G$102,MATCH(1,(Note!$A$3:$A$102=$A62)*(Note!$C$3:$C$102=$B62)*(Note!$E$3:$E$102&lt;=AA$1)*(Note!$F$3:$F$102&gt;=AA$2),0))</f>
        <v>Bằng giá MBF01 (KD đề xuất)</v>
      </c>
      <c r="AB62" s="27" t="str" cm="1">
        <f t="array" ref="AB62">INDEX(Note!$G$3:$G$102,MATCH(1,(Note!$A$3:$A$102=$A62)*(Note!$C$3:$C$102=$B62)*(Note!$E$3:$E$102&lt;=AB$1)*(Note!$F$3:$F$102&gt;=AB$2),0))</f>
        <v>Bằng giá MBF01 (KD đề xuất)</v>
      </c>
      <c r="AC62" s="27" t="str" cm="1">
        <f t="array" ref="AC62">INDEX(Note!$G$3:$G$102,MATCH(1,(Note!$A$3:$A$102=$A62)*(Note!$C$3:$C$102=$B62)*(Note!$E$3:$E$102&lt;=AC$1)*(Note!$F$3:$F$102&gt;=AC$2),0))</f>
        <v>Bằng giá MBF01 (KD đề xuất)</v>
      </c>
      <c r="AD62" s="27" t="str" cm="1">
        <f t="array" ref="AD62">INDEX(Note!$G$3:$G$102,MATCH(1,(Note!$A$3:$A$102=$A62)*(Note!$C$3:$C$102=$B62)*(Note!$E$3:$E$102&lt;=AD$1)*(Note!$F$3:$F$102&gt;=AD$2),0))</f>
        <v>Bằng giá MBF01 (KD đề xuất)</v>
      </c>
      <c r="AE62" s="27" t="str" cm="1">
        <f t="array" ref="AE62">INDEX(Note!$G$3:$G$102,MATCH(1,(Note!$A$3:$A$102=$A62)*(Note!$C$3:$C$102=$B62)*(Note!$E$3:$E$102&lt;=AE$1)*(Note!$F$3:$F$102&gt;=AE$2),0))</f>
        <v>Bằng giá MBF01 (KD đề xuất)</v>
      </c>
      <c r="AF62" s="27" t="str" cm="1">
        <f t="array" ref="AF62">INDEX(Note!$G$3:$G$102,MATCH(1,(Note!$A$3:$A$102=$A62)*(Note!$C$3:$C$102=$B62)*(Note!$E$3:$E$102&lt;=AF$1)*(Note!$F$3:$F$102&gt;=AF$2),0))</f>
        <v>Bằng giá MBF01 (KD đề xuất)</v>
      </c>
      <c r="AG62" s="27" t="str" cm="1">
        <f t="array" ref="AG62">INDEX(Note!$G$3:$G$102,MATCH(1,(Note!$A$3:$A$102=$A62)*(Note!$C$3:$C$102=$B62)*(Note!$E$3:$E$102&lt;=AG$1)*(Note!$F$3:$F$102&gt;=AG$2),0))</f>
        <v>Bằng giá MBF01 (KD đề xuất)</v>
      </c>
      <c r="AH62" s="27" t="str" cm="1">
        <f t="array" ref="AH62">INDEX(Note!$G$3:$G$102,MATCH(1,(Note!$A$3:$A$102=$A62)*(Note!$C$3:$C$102=$B62)*(Note!$E$3:$E$102&lt;=AH$1)*(Note!$F$3:$F$102&gt;=AH$2),0))</f>
        <v>Bằng giá MBF01 (KD đề xuất)</v>
      </c>
      <c r="AI62" s="27" t="str" cm="1">
        <f t="array" ref="AI62">INDEX(Note!$G$3:$G$102,MATCH(1,(Note!$A$3:$A$102=$A62)*(Note!$C$3:$C$102=$B62)*(Note!$E$3:$E$102&lt;=AI$1)*(Note!$F$3:$F$102&gt;=AI$2),0))</f>
        <v>Bằng giá MBF01 (KD đề xuất)</v>
      </c>
      <c r="AJ62" s="27" t="str" cm="1">
        <f t="array" ref="AJ62">INDEX(Note!$G$3:$G$102,MATCH(1,(Note!$A$3:$A$102=$A62)*(Note!$C$3:$C$102=$B62)*(Note!$E$3:$E$102&lt;=AJ$1)*(Note!$F$3:$F$102&gt;=AJ$2),0))</f>
        <v>Bằng giá MBF01 (KD đề xuất)</v>
      </c>
      <c r="AK62" s="27" t="str" cm="1">
        <f t="array" ref="AK62">INDEX(Note!$G$3:$G$102,MATCH(1,(Note!$A$3:$A$102=$A62)*(Note!$C$3:$C$102=$B62)*(Note!$E$3:$E$102&lt;=AK$1)*(Note!$F$3:$F$102&gt;=AK$2),0))</f>
        <v>Bằng giá MBF01 (KD đề xuất)</v>
      </c>
      <c r="AL62" s="89" t="str" cm="1">
        <f t="array" ref="AL62">INDEX(Note!$G$3:$G$102,MATCH(1,(Note!$A$3:$A$102=$A62)*(Note!$C$3:$C$102=$B62)*(Note!$E$3:$E$102&lt;=AL$1)*(Note!$F$3:$F$102&gt;=AL$2),0))</f>
        <v>Bằng giá MBF01 (KD đề xuất)</v>
      </c>
    </row>
    <row r="63" spans="1:38" s="96" customFormat="1" outlineLevel="1" x14ac:dyDescent="0.3">
      <c r="A63" s="96" t="s">
        <v>63</v>
      </c>
      <c r="B63" s="96" t="s">
        <v>22</v>
      </c>
      <c r="D63" s="97"/>
      <c r="F63" s="218" t="s">
        <v>249</v>
      </c>
      <c r="G63" s="26"/>
      <c r="H63" s="26"/>
      <c r="I63" s="26"/>
      <c r="J63" s="26" t="s">
        <v>42</v>
      </c>
      <c r="K63" s="12"/>
      <c r="L63" s="26"/>
      <c r="M63" s="26"/>
      <c r="N63" s="26"/>
      <c r="O63" s="260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2"/>
      <c r="AA63" s="27" t="str" cm="1">
        <f t="array" ref="AA63">INDEX(Note!$H$3:$H$102,MATCH(1,(Note!$A$3:$A$102=$A63)*(Note!$C$3:$C$102=$B63)*(Note!$E$3:$E$102&lt;=AA$1)*(Note!$F$3:$F$102&gt;AA$2),0))</f>
        <v>DDP</v>
      </c>
      <c r="AB63" s="27" t="str" cm="1">
        <f t="array" ref="AB63">INDEX(Note!$H$3:$H$102,MATCH(1,(Note!$A$3:$A$102=$A63)*(Note!$C$3:$C$102=$B63)*(Note!$E$3:$E$102&lt;=AB$1)*(Note!$F$3:$F$102&gt;AB$2),0))</f>
        <v>DDP</v>
      </c>
      <c r="AC63" s="27" t="str" cm="1">
        <f t="array" ref="AC63">INDEX(Note!$H$3:$H$102,MATCH(1,(Note!$A$3:$A$102=$A63)*(Note!$C$3:$C$102=$B63)*(Note!$E$3:$E$102&lt;=AC$1)*(Note!$F$3:$F$102&gt;AC$2),0))</f>
        <v>DDP</v>
      </c>
      <c r="AD63" s="27" t="str" cm="1">
        <f t="array" ref="AD63">INDEX(Note!$H$3:$H$102,MATCH(1,(Note!$A$3:$A$102=$A63)*(Note!$C$3:$C$102=$B63)*(Note!$E$3:$E$102&lt;=AD$1)*(Note!$F$3:$F$102&gt;AD$2),0))</f>
        <v>DDP</v>
      </c>
      <c r="AE63" s="27" t="str" cm="1">
        <f t="array" ref="AE63">INDEX(Note!$H$3:$H$102,MATCH(1,(Note!$A$3:$A$102=$A63)*(Note!$C$3:$C$102=$B63)*(Note!$E$3:$E$102&lt;=AE$1)*(Note!$F$3:$F$102&gt;AE$2),0))</f>
        <v>DDP</v>
      </c>
      <c r="AF63" s="27" t="str" cm="1">
        <f t="array" ref="AF63">INDEX(Note!$H$3:$H$102,MATCH(1,(Note!$A$3:$A$102=$A63)*(Note!$C$3:$C$102=$B63)*(Note!$E$3:$E$102&lt;=AF$1)*(Note!$F$3:$F$102&gt;AF$2),0))</f>
        <v>DDP</v>
      </c>
      <c r="AG63" s="27" t="str" cm="1">
        <f t="array" ref="AG63">INDEX(Note!$H$3:$H$102,MATCH(1,(Note!$A$3:$A$102=$A63)*(Note!$C$3:$C$102=$B63)*(Note!$E$3:$E$102&lt;=AG$1)*(Note!$F$3:$F$102&gt;AG$2),0))</f>
        <v>DDP</v>
      </c>
      <c r="AH63" s="27" t="str" cm="1">
        <f t="array" ref="AH63">INDEX(Note!$H$3:$H$102,MATCH(1,(Note!$A$3:$A$102=$A63)*(Note!$C$3:$C$102=$B63)*(Note!$E$3:$E$102&lt;=AH$1)*(Note!$F$3:$F$102&gt;AH$2),0))</f>
        <v>DDP</v>
      </c>
      <c r="AI63" s="27" t="str" cm="1">
        <f t="array" ref="AI63">INDEX(Note!$H$3:$H$102,MATCH(1,(Note!$A$3:$A$102=$A63)*(Note!$C$3:$C$102=$B63)*(Note!$E$3:$E$102&lt;=AI$1)*(Note!$F$3:$F$102&gt;AI$2),0))</f>
        <v>DDP</v>
      </c>
      <c r="AJ63" s="27" t="str" cm="1">
        <f t="array" ref="AJ63">INDEX(Note!$H$3:$H$102,MATCH(1,(Note!$A$3:$A$102=$A63)*(Note!$C$3:$C$102=$B63)*(Note!$E$3:$E$102&lt;=AJ$1)*(Note!$F$3:$F$102&gt;AJ$2),0))</f>
        <v>DDP</v>
      </c>
      <c r="AK63" s="27" t="str" cm="1">
        <f t="array" ref="AK63">INDEX(Note!$H$3:$H$102,MATCH(1,(Note!$A$3:$A$102=$A63)*(Note!$C$3:$C$102=$B63)*(Note!$E$3:$E$102&lt;=AK$1)*(Note!$F$3:$F$102&gt;AK$2),0))</f>
        <v>DDP</v>
      </c>
      <c r="AL63" s="89" t="e" cm="1">
        <f t="array" ref="AL63">INDEX(Note!$H$3:$H$102,MATCH(1,(Note!$A$3:$A$102=$A63)*(Note!$C$3:$C$102=$B63)*(Note!$E$3:$E$102&lt;=AL$1)*(Note!$F$3:$F$102&gt;AL$2),0))</f>
        <v>#N/A</v>
      </c>
    </row>
    <row r="64" spans="1:38" s="97" customFormat="1" outlineLevel="1" x14ac:dyDescent="0.3">
      <c r="A64" s="97" t="s">
        <v>63</v>
      </c>
      <c r="B64" s="97" t="s">
        <v>22</v>
      </c>
      <c r="F64" s="193" t="s">
        <v>250</v>
      </c>
      <c r="G64" s="107"/>
      <c r="H64" s="107"/>
      <c r="I64" s="107"/>
      <c r="J64" s="107" t="s">
        <v>45</v>
      </c>
      <c r="K64" s="109"/>
      <c r="L64" s="107"/>
      <c r="M64" s="107"/>
      <c r="N64" s="107"/>
      <c r="O64" s="263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65"/>
      <c r="AA64" s="193" t="str" cm="1">
        <f t="array" ref="AA64">INDEX(Note!$I$3:$I$102,MATCH(1,(Note!$A$3:$A$102=$A64)*(Note!$C$3:$C$102=$B64)*(Note!$E$3:$E$102&lt;=AA$1)*(Note!$F$3:$F$102&gt;=AA$2),0))</f>
        <v>Năm</v>
      </c>
      <c r="AB64" s="193" t="str" cm="1">
        <f t="array" ref="AB64">INDEX(Note!$I$3:$I$102,MATCH(1,(Note!$A$3:$A$102=$A64)*(Note!$C$3:$C$102=$B64)*(Note!$E$3:$E$102&lt;=AB$1)*(Note!$F$3:$F$102&gt;=AB$2),0))</f>
        <v>Năm</v>
      </c>
      <c r="AC64" s="193" t="str" cm="1">
        <f t="array" ref="AC64">INDEX(Note!$I$3:$I$102,MATCH(1,(Note!$A$3:$A$102=$A64)*(Note!$C$3:$C$102=$B64)*(Note!$E$3:$E$102&lt;=AC$1)*(Note!$F$3:$F$102&gt;=AC$2),0))</f>
        <v>Năm</v>
      </c>
      <c r="AD64" s="193" t="str" cm="1">
        <f t="array" ref="AD64">INDEX(Note!$I$3:$I$102,MATCH(1,(Note!$A$3:$A$102=$A64)*(Note!$C$3:$C$102=$B64)*(Note!$E$3:$E$102&lt;=AD$1)*(Note!$F$3:$F$102&gt;=AD$2),0))</f>
        <v>Năm</v>
      </c>
      <c r="AE64" s="193" t="str" cm="1">
        <f t="array" ref="AE64">INDEX(Note!$I$3:$I$102,MATCH(1,(Note!$A$3:$A$102=$A64)*(Note!$C$3:$C$102=$B64)*(Note!$E$3:$E$102&lt;=AE$1)*(Note!$F$3:$F$102&gt;=AE$2),0))</f>
        <v>Năm</v>
      </c>
      <c r="AF64" s="193" t="str" cm="1">
        <f t="array" ref="AF64">INDEX(Note!$I$3:$I$102,MATCH(1,(Note!$A$3:$A$102=$A64)*(Note!$C$3:$C$102=$B64)*(Note!$E$3:$E$102&lt;=AF$1)*(Note!$F$3:$F$102&gt;=AF$2),0))</f>
        <v>Năm</v>
      </c>
      <c r="AG64" s="193" t="str" cm="1">
        <f t="array" ref="AG64">INDEX(Note!$I$3:$I$102,MATCH(1,(Note!$A$3:$A$102=$A64)*(Note!$C$3:$C$102=$B64)*(Note!$E$3:$E$102&lt;=AG$1)*(Note!$F$3:$F$102&gt;=AG$2),0))</f>
        <v>Năm</v>
      </c>
      <c r="AH64" s="193" t="str" cm="1">
        <f t="array" ref="AH64">INDEX(Note!$I$3:$I$102,MATCH(1,(Note!$A$3:$A$102=$A64)*(Note!$C$3:$C$102=$B64)*(Note!$E$3:$E$102&lt;=AH$1)*(Note!$F$3:$F$102&gt;=AH$2),0))</f>
        <v>Năm</v>
      </c>
      <c r="AI64" s="193" t="str" cm="1">
        <f t="array" ref="AI64">INDEX(Note!$I$3:$I$102,MATCH(1,(Note!$A$3:$A$102=$A64)*(Note!$C$3:$C$102=$B64)*(Note!$E$3:$E$102&lt;=AI$1)*(Note!$F$3:$F$102&gt;=AI$2),0))</f>
        <v>Năm</v>
      </c>
      <c r="AJ64" s="193" t="str" cm="1">
        <f t="array" ref="AJ64">INDEX(Note!$I$3:$I$102,MATCH(1,(Note!$A$3:$A$102=$A64)*(Note!$C$3:$C$102=$B64)*(Note!$E$3:$E$102&lt;=AJ$1)*(Note!$F$3:$F$102&gt;=AJ$2),0))</f>
        <v>Năm</v>
      </c>
      <c r="AK64" s="193" t="str" cm="1">
        <f t="array" ref="AK64">INDEX(Note!$I$3:$I$102,MATCH(1,(Note!$A$3:$A$102=$A64)*(Note!$C$3:$C$102=$B64)*(Note!$E$3:$E$102&lt;=AK$1)*(Note!$F$3:$F$102&gt;=AK$2),0))</f>
        <v>Năm</v>
      </c>
      <c r="AL64" s="194" t="str" cm="1">
        <f t="array" ref="AL64">INDEX(Note!$I$3:$I$102,MATCH(1,(Note!$A$3:$A$102=$A64)*(Note!$C$3:$C$102=$B64)*(Note!$E$3:$E$102&lt;=AL$1)*(Note!$F$3:$F$102&gt;=AL$2),0))</f>
        <v>Năm</v>
      </c>
    </row>
    <row r="65" spans="1:38" s="185" customFormat="1" outlineLevel="1" x14ac:dyDescent="0.3">
      <c r="A65" s="185" t="s">
        <v>63</v>
      </c>
      <c r="B65" s="185" t="s">
        <v>22</v>
      </c>
      <c r="F65" s="222" t="s">
        <v>263</v>
      </c>
      <c r="G65" s="190"/>
      <c r="H65" s="190"/>
      <c r="I65" s="190"/>
      <c r="J65" s="190" t="s">
        <v>202</v>
      </c>
      <c r="K65" s="186"/>
      <c r="L65" s="199"/>
      <c r="M65" s="199"/>
      <c r="N65" s="199"/>
      <c r="O65" s="266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8"/>
      <c r="AA65" s="199" cm="1">
        <f t="array" ref="AA65">SUMPRODUCT(General_Data*(Year=AA$3)*(Month=AA$4)*(Code_General_Data=$B65))</f>
        <v>1400</v>
      </c>
      <c r="AB65" s="199" cm="1">
        <f t="array" ref="AB65">SUMPRODUCT(General_Data*(Year=AB$3)*(Month=AB$4)*(Code_General_Data=$B65))</f>
        <v>1400</v>
      </c>
      <c r="AC65" s="199" cm="1">
        <f t="array" ref="AC65">SUMPRODUCT(General_Data*(Year=AC$3)*(Month=AC$4)*(Code_General_Data=$B65))</f>
        <v>1350</v>
      </c>
      <c r="AD65" s="199"/>
      <c r="AE65" s="199"/>
      <c r="AF65" s="199"/>
      <c r="AG65" s="199"/>
      <c r="AH65" s="199"/>
      <c r="AI65" s="199"/>
      <c r="AJ65" s="199"/>
      <c r="AK65" s="199"/>
      <c r="AL65" s="200"/>
    </row>
    <row r="66" spans="1:38" s="185" customFormat="1" ht="6.6" customHeight="1" x14ac:dyDescent="0.3">
      <c r="F66" s="301"/>
      <c r="G66" s="302"/>
      <c r="H66" s="302"/>
      <c r="I66" s="302"/>
      <c r="J66" s="302"/>
      <c r="K66" s="186"/>
      <c r="L66" s="303"/>
      <c r="M66" s="303"/>
      <c r="N66" s="303"/>
      <c r="O66" s="304"/>
      <c r="P66" s="303"/>
      <c r="Q66" s="303"/>
      <c r="R66" s="303"/>
      <c r="S66" s="303"/>
      <c r="T66" s="303"/>
      <c r="U66" s="303"/>
      <c r="V66" s="303"/>
      <c r="W66" s="303"/>
      <c r="X66" s="303"/>
      <c r="Y66" s="303"/>
      <c r="Z66" s="305"/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5"/>
    </row>
    <row r="67" spans="1:38" s="180" customFormat="1" ht="17.399999999999999" x14ac:dyDescent="0.3">
      <c r="A67" s="180" t="s">
        <v>63</v>
      </c>
      <c r="B67" s="180" t="s">
        <v>64</v>
      </c>
      <c r="D67" s="180" t="s">
        <v>321</v>
      </c>
      <c r="F67" s="217">
        <v>2.4</v>
      </c>
      <c r="G67" s="187"/>
      <c r="H67" s="187" t="s">
        <v>251</v>
      </c>
      <c r="I67" s="187"/>
      <c r="J67" s="187"/>
      <c r="L67" s="187"/>
      <c r="M67" s="187"/>
      <c r="N67" s="187"/>
      <c r="O67" s="213">
        <f t="shared" ref="O67:Z67" si="26">ROUND(SUM(O68:O69),-1)</f>
        <v>1450</v>
      </c>
      <c r="P67" s="214">
        <f t="shared" si="26"/>
        <v>1450</v>
      </c>
      <c r="Q67" s="214">
        <f t="shared" si="26"/>
        <v>1450</v>
      </c>
      <c r="R67" s="214">
        <f t="shared" si="26"/>
        <v>1380</v>
      </c>
      <c r="S67" s="214">
        <f t="shared" si="26"/>
        <v>1380</v>
      </c>
      <c r="T67" s="214">
        <f t="shared" si="26"/>
        <v>1380</v>
      </c>
      <c r="U67" s="214">
        <f t="shared" si="26"/>
        <v>1380</v>
      </c>
      <c r="V67" s="214">
        <f t="shared" si="26"/>
        <v>1380</v>
      </c>
      <c r="W67" s="214">
        <f t="shared" si="26"/>
        <v>1380</v>
      </c>
      <c r="X67" s="214">
        <f t="shared" si="26"/>
        <v>1380</v>
      </c>
      <c r="Y67" s="214">
        <f t="shared" si="26"/>
        <v>1380</v>
      </c>
      <c r="Z67" s="215">
        <f t="shared" si="26"/>
        <v>1380</v>
      </c>
      <c r="AA67" s="213">
        <f t="shared" ref="AA67:AL67" si="27">ROUND(SUM(AA68:AA69),-1)</f>
        <v>1350</v>
      </c>
      <c r="AB67" s="214">
        <f t="shared" si="27"/>
        <v>1350</v>
      </c>
      <c r="AC67" s="214">
        <f t="shared" si="27"/>
        <v>1350</v>
      </c>
      <c r="AD67" s="214">
        <f t="shared" si="27"/>
        <v>1350</v>
      </c>
      <c r="AE67" s="214">
        <f t="shared" si="27"/>
        <v>1350</v>
      </c>
      <c r="AF67" s="214">
        <f t="shared" si="27"/>
        <v>1350</v>
      </c>
      <c r="AG67" s="214">
        <f t="shared" si="27"/>
        <v>1350</v>
      </c>
      <c r="AH67" s="214">
        <f t="shared" si="27"/>
        <v>1350</v>
      </c>
      <c r="AI67" s="214">
        <f t="shared" si="27"/>
        <v>1350</v>
      </c>
      <c r="AJ67" s="214">
        <f t="shared" si="27"/>
        <v>1350</v>
      </c>
      <c r="AK67" s="214">
        <f t="shared" si="27"/>
        <v>1350</v>
      </c>
      <c r="AL67" s="215">
        <f t="shared" si="27"/>
        <v>1350</v>
      </c>
    </row>
    <row r="68" spans="1:38" s="96" customFormat="1" outlineLevel="1" x14ac:dyDescent="0.3">
      <c r="A68" s="96" t="s">
        <v>63</v>
      </c>
      <c r="B68" s="96" t="s">
        <v>64</v>
      </c>
      <c r="D68" s="97"/>
      <c r="F68" s="218" t="s">
        <v>254</v>
      </c>
      <c r="G68" s="26"/>
      <c r="H68" s="26" t="s">
        <v>40</v>
      </c>
      <c r="I68" s="26" t="s">
        <v>253</v>
      </c>
      <c r="J68" s="26"/>
      <c r="K68" s="12"/>
      <c r="L68" s="26"/>
      <c r="M68" s="26"/>
      <c r="N68" s="26"/>
      <c r="O68" s="210">
        <f t="shared" ref="O68:Z68" si="28">O43</f>
        <v>1500</v>
      </c>
      <c r="P68" s="211">
        <f t="shared" si="28"/>
        <v>1500</v>
      </c>
      <c r="Q68" s="211">
        <f t="shared" si="28"/>
        <v>1500</v>
      </c>
      <c r="R68" s="211">
        <f t="shared" si="28"/>
        <v>1430</v>
      </c>
      <c r="S68" s="211">
        <f t="shared" si="28"/>
        <v>1430</v>
      </c>
      <c r="T68" s="211">
        <f t="shared" si="28"/>
        <v>1430</v>
      </c>
      <c r="U68" s="211">
        <f t="shared" si="28"/>
        <v>1430</v>
      </c>
      <c r="V68" s="211">
        <f t="shared" si="28"/>
        <v>1430</v>
      </c>
      <c r="W68" s="211">
        <f t="shared" si="28"/>
        <v>1430</v>
      </c>
      <c r="X68" s="211">
        <f t="shared" si="28"/>
        <v>1430</v>
      </c>
      <c r="Y68" s="211">
        <f t="shared" si="28"/>
        <v>1430</v>
      </c>
      <c r="Z68" s="212">
        <f t="shared" si="28"/>
        <v>1430</v>
      </c>
      <c r="AA68" s="210">
        <f t="shared" ref="AA68:AL68" si="29">AA59</f>
        <v>1400</v>
      </c>
      <c r="AB68" s="211">
        <f t="shared" si="29"/>
        <v>1400</v>
      </c>
      <c r="AC68" s="211">
        <f t="shared" si="29"/>
        <v>1400</v>
      </c>
      <c r="AD68" s="211">
        <f t="shared" si="29"/>
        <v>1400</v>
      </c>
      <c r="AE68" s="211">
        <f t="shared" si="29"/>
        <v>1400</v>
      </c>
      <c r="AF68" s="211">
        <f t="shared" si="29"/>
        <v>1400</v>
      </c>
      <c r="AG68" s="211">
        <f t="shared" si="29"/>
        <v>1400</v>
      </c>
      <c r="AH68" s="211">
        <f t="shared" si="29"/>
        <v>1400</v>
      </c>
      <c r="AI68" s="211">
        <f t="shared" si="29"/>
        <v>1400</v>
      </c>
      <c r="AJ68" s="211">
        <f t="shared" si="29"/>
        <v>1400</v>
      </c>
      <c r="AK68" s="211">
        <f t="shared" si="29"/>
        <v>1400</v>
      </c>
      <c r="AL68" s="212">
        <f t="shared" si="29"/>
        <v>1400</v>
      </c>
    </row>
    <row r="69" spans="1:38" s="96" customFormat="1" outlineLevel="1" x14ac:dyDescent="0.3">
      <c r="A69" s="96" t="s">
        <v>63</v>
      </c>
      <c r="B69" s="96" t="s">
        <v>64</v>
      </c>
      <c r="D69" s="97"/>
      <c r="F69" s="218" t="s">
        <v>255</v>
      </c>
      <c r="G69" s="26"/>
      <c r="H69" s="26" t="s">
        <v>40</v>
      </c>
      <c r="I69" s="26" t="s">
        <v>52</v>
      </c>
      <c r="J69" s="26"/>
      <c r="K69" s="12"/>
      <c r="L69" s="26"/>
      <c r="M69" s="26"/>
      <c r="N69" s="26"/>
      <c r="O69" s="210">
        <v>-50</v>
      </c>
      <c r="P69" s="211">
        <v>-50</v>
      </c>
      <c r="Q69" s="211">
        <v>-50</v>
      </c>
      <c r="R69" s="211">
        <v>-50</v>
      </c>
      <c r="S69" s="211">
        <v>-50</v>
      </c>
      <c r="T69" s="211">
        <v>-50</v>
      </c>
      <c r="U69" s="211">
        <v>-50</v>
      </c>
      <c r="V69" s="211">
        <v>-50</v>
      </c>
      <c r="W69" s="211">
        <v>-50</v>
      </c>
      <c r="X69" s="211">
        <v>-50</v>
      </c>
      <c r="Y69" s="211">
        <v>-50</v>
      </c>
      <c r="Z69" s="212">
        <v>-50</v>
      </c>
      <c r="AA69" s="210">
        <v>-50</v>
      </c>
      <c r="AB69" s="211">
        <v>-50</v>
      </c>
      <c r="AC69" s="211">
        <v>-50</v>
      </c>
      <c r="AD69" s="211">
        <v>-50</v>
      </c>
      <c r="AE69" s="211">
        <v>-50</v>
      </c>
      <c r="AF69" s="211">
        <v>-50</v>
      </c>
      <c r="AG69" s="211">
        <v>-50</v>
      </c>
      <c r="AH69" s="211">
        <v>-50</v>
      </c>
      <c r="AI69" s="211">
        <v>-50</v>
      </c>
      <c r="AJ69" s="211">
        <v>-50</v>
      </c>
      <c r="AK69" s="211">
        <v>-50</v>
      </c>
      <c r="AL69" s="212">
        <v>-50</v>
      </c>
    </row>
    <row r="70" spans="1:38" s="94" customFormat="1" outlineLevel="1" x14ac:dyDescent="0.3">
      <c r="A70" s="94" t="s">
        <v>63</v>
      </c>
      <c r="B70" s="94" t="s">
        <v>64</v>
      </c>
      <c r="D70" s="95" t="s">
        <v>161</v>
      </c>
      <c r="F70" s="223" t="s">
        <v>256</v>
      </c>
      <c r="G70" s="224"/>
      <c r="H70" s="224"/>
      <c r="I70" s="224" t="s">
        <v>8</v>
      </c>
      <c r="J70" s="224"/>
      <c r="K70" s="2"/>
      <c r="L70" s="224"/>
      <c r="M70" s="224"/>
      <c r="N70" s="224"/>
      <c r="O70" s="225">
        <f t="shared" ref="O70:AL70" si="30">O67-O47</f>
        <v>1437.795918367347</v>
      </c>
      <c r="P70" s="226">
        <f t="shared" si="30"/>
        <v>1437.795918367347</v>
      </c>
      <c r="Q70" s="226">
        <f t="shared" si="30"/>
        <v>1437.795918367347</v>
      </c>
      <c r="R70" s="226">
        <f t="shared" si="30"/>
        <v>1367.795918367347</v>
      </c>
      <c r="S70" s="226">
        <f t="shared" si="30"/>
        <v>1367.795918367347</v>
      </c>
      <c r="T70" s="226">
        <f t="shared" si="30"/>
        <v>1367.795918367347</v>
      </c>
      <c r="U70" s="226">
        <f t="shared" si="30"/>
        <v>1368.04</v>
      </c>
      <c r="V70" s="226">
        <f t="shared" si="30"/>
        <v>1368.04</v>
      </c>
      <c r="W70" s="226">
        <f t="shared" si="30"/>
        <v>1368.04</v>
      </c>
      <c r="X70" s="226">
        <f t="shared" si="30"/>
        <v>1368.04</v>
      </c>
      <c r="Y70" s="226">
        <f t="shared" si="30"/>
        <v>1368.04</v>
      </c>
      <c r="Z70" s="227">
        <f t="shared" si="30"/>
        <v>1368.04</v>
      </c>
      <c r="AA70" s="226">
        <f t="shared" si="30"/>
        <v>1338.04</v>
      </c>
      <c r="AB70" s="226">
        <f t="shared" si="30"/>
        <v>1338.04</v>
      </c>
      <c r="AC70" s="226">
        <f t="shared" si="30"/>
        <v>1338.04</v>
      </c>
      <c r="AD70" s="226">
        <f t="shared" si="30"/>
        <v>1338.04</v>
      </c>
      <c r="AE70" s="226">
        <f t="shared" si="30"/>
        <v>1338.04</v>
      </c>
      <c r="AF70" s="226">
        <f t="shared" si="30"/>
        <v>1338.04</v>
      </c>
      <c r="AG70" s="226">
        <f t="shared" si="30"/>
        <v>1338.04</v>
      </c>
      <c r="AH70" s="226">
        <f t="shared" si="30"/>
        <v>1338.04</v>
      </c>
      <c r="AI70" s="226">
        <f t="shared" si="30"/>
        <v>1338.04</v>
      </c>
      <c r="AJ70" s="226">
        <f t="shared" si="30"/>
        <v>1338.04</v>
      </c>
      <c r="AK70" s="226">
        <f t="shared" si="30"/>
        <v>1338.04</v>
      </c>
      <c r="AL70" s="227">
        <f t="shared" si="30"/>
        <v>1338.04</v>
      </c>
    </row>
    <row r="71" spans="1:38" s="96" customFormat="1" ht="79.349999999999994" customHeight="1" outlineLevel="1" x14ac:dyDescent="0.3">
      <c r="A71" s="96" t="s">
        <v>63</v>
      </c>
      <c r="B71" s="96" t="s">
        <v>64</v>
      </c>
      <c r="D71" s="97"/>
      <c r="F71" s="218" t="s">
        <v>257</v>
      </c>
      <c r="G71" s="26"/>
      <c r="H71" s="26"/>
      <c r="I71" s="26"/>
      <c r="J71" s="26" t="s">
        <v>44</v>
      </c>
      <c r="K71" s="12"/>
      <c r="L71" s="26"/>
      <c r="M71" s="26"/>
      <c r="N71" s="26"/>
      <c r="O71" s="88" t="str" cm="1">
        <f t="array" ref="O71">INDEX(Note!$G$3:$G$102,MATCH(1,(Note!$A$3:$A$102=$A71)*(Note!$C$3:$C$102=$B71)*(Note!$E$3:$E$102&lt;=O$1)*(Note!$F$3:$F$102&gt;=O$2),0))</f>
        <v>Giá MBF01 trừ $50</v>
      </c>
      <c r="P71" s="27" t="str" cm="1">
        <f t="array" ref="P71">INDEX(Note!$G$3:$G$102,MATCH(1,(Note!$A$3:$A$102=$A71)*(Note!$C$3:$C$102=$B71)*(Note!$E$3:$E$102&lt;=P$1)*(Note!$F$3:$F$102&gt;=P$2),0))</f>
        <v>Giá MBF01 trừ $50</v>
      </c>
      <c r="Q71" s="27" t="str" cm="1">
        <f t="array" ref="Q71">INDEX(Note!$G$3:$G$102,MATCH(1,(Note!$A$3:$A$102=$A71)*(Note!$C$3:$C$102=$B71)*(Note!$E$3:$E$102&lt;=Q$1)*(Note!$F$3:$F$102&gt;=Q$2),0))</f>
        <v>Giá MBF01 trừ $50</v>
      </c>
      <c r="R71" s="27" t="str" cm="1">
        <f t="array" ref="R71">INDEX(Note!$G$3:$G$102,MATCH(1,(Note!$A$3:$A$102=$A71)*(Note!$C$3:$C$102=$B71)*(Note!$E$3:$E$102&lt;=R$1)*(Note!$F$3:$F$102&gt;=R$2),0))</f>
        <v>Giá MBF01 trừ $50</v>
      </c>
      <c r="S71" s="27" t="str" cm="1">
        <f t="array" ref="S71">INDEX(Note!$G$3:$G$102,MATCH(1,(Note!$A$3:$A$102=$A71)*(Note!$C$3:$C$102=$B71)*(Note!$E$3:$E$102&lt;=S$1)*(Note!$F$3:$F$102&gt;=S$2),0))</f>
        <v>Giá MBF01 trừ $50</v>
      </c>
      <c r="T71" s="27" t="str" cm="1">
        <f t="array" ref="T71">INDEX(Note!$G$3:$G$102,MATCH(1,(Note!$A$3:$A$102=$A71)*(Note!$C$3:$C$102=$B71)*(Note!$E$3:$E$102&lt;=T$1)*(Note!$F$3:$F$102&gt;=T$2),0))</f>
        <v>Giá MBF01 trừ $50</v>
      </c>
      <c r="U71" s="27" t="str" cm="1">
        <f t="array" ref="U71">INDEX(Note!$G$3:$G$102,MATCH(1,(Note!$A$3:$A$102=$A71)*(Note!$C$3:$C$102=$B71)*(Note!$E$3:$E$102&lt;=U$1)*(Note!$F$3:$F$102&gt;=U$2),0))</f>
        <v>Giá MBF01 trừ $50</v>
      </c>
      <c r="V71" s="27" t="str" cm="1">
        <f t="array" ref="V71">INDEX(Note!$G$3:$G$102,MATCH(1,(Note!$A$3:$A$102=$A71)*(Note!$C$3:$C$102=$B71)*(Note!$E$3:$E$102&lt;=V$1)*(Note!$F$3:$F$102&gt;=V$2),0))</f>
        <v>Giá MBF01 trừ $50</v>
      </c>
      <c r="W71" s="27" t="str" cm="1">
        <f t="array" ref="W71">INDEX(Note!$G$3:$G$102,MATCH(1,(Note!$A$3:$A$102=$A71)*(Note!$C$3:$C$102=$B71)*(Note!$E$3:$E$102&lt;=W$1)*(Note!$F$3:$F$102&gt;=W$2),0))</f>
        <v>Giá MBF01 trừ $50</v>
      </c>
      <c r="X71" s="27" t="str" cm="1">
        <f t="array" ref="X71">INDEX(Note!$G$3:$G$102,MATCH(1,(Note!$A$3:$A$102=$A71)*(Note!$C$3:$C$102=$B71)*(Note!$E$3:$E$102&lt;=X$1)*(Note!$F$3:$F$102&gt;=X$2),0))</f>
        <v>Giá MBF01 trừ $50</v>
      </c>
      <c r="Y71" s="27" t="str" cm="1">
        <f t="array" ref="Y71">INDEX(Note!$G$3:$G$102,MATCH(1,(Note!$A$3:$A$102=$A71)*(Note!$C$3:$C$102=$B71)*(Note!$E$3:$E$102&lt;=Y$1)*(Note!$F$3:$F$102&gt;=Y$2),0))</f>
        <v>Giá MBF01 trừ $50</v>
      </c>
      <c r="Z71" s="89" t="str" cm="1">
        <f t="array" ref="Z71">INDEX(Note!$G$3:$G$102,MATCH(1,(Note!$A$3:$A$102=$A71)*(Note!$C$3:$C$102=$B71)*(Note!$E$3:$E$102&lt;=Z$1)*(Note!$F$3:$F$102&gt;=Z$2),0))</f>
        <v>Giá MBF01 trừ $50</v>
      </c>
      <c r="AA71" s="27" t="str" cm="1">
        <f t="array" ref="AA71">INDEX(Note!$G$3:$G$102,MATCH(1,(Note!$A$3:$A$102=$A71)*(Note!$C$3:$C$102=$B71)*(Note!$E$3:$E$102&lt;=AA$1)*(Note!$F$3:$F$102&gt;=AA$2),0))</f>
        <v>Giá PCF01 trừ $50</v>
      </c>
      <c r="AB71" s="27" t="str" cm="1">
        <f t="array" ref="AB71">INDEX(Note!$G$3:$G$102,MATCH(1,(Note!$A$3:$A$102=$A71)*(Note!$C$3:$C$102=$B71)*(Note!$E$3:$E$102&lt;=AB$1)*(Note!$F$3:$F$102&gt;=AB$2),0))</f>
        <v>Giá PCF01 trừ $50</v>
      </c>
      <c r="AC71" s="27" t="str" cm="1">
        <f t="array" ref="AC71">INDEX(Note!$G$3:$G$102,MATCH(1,(Note!$A$3:$A$102=$A71)*(Note!$C$3:$C$102=$B71)*(Note!$E$3:$E$102&lt;=AC$1)*(Note!$F$3:$F$102&gt;=AC$2),0))</f>
        <v>Giá PCF01 trừ $50</v>
      </c>
      <c r="AD71" s="27" t="str" cm="1">
        <f t="array" ref="AD71">INDEX(Note!$G$3:$G$102,MATCH(1,(Note!$A$3:$A$102=$A71)*(Note!$C$3:$C$102=$B71)*(Note!$E$3:$E$102&lt;=AD$1)*(Note!$F$3:$F$102&gt;=AD$2),0))</f>
        <v>Giá PCF01 trừ $50</v>
      </c>
      <c r="AE71" s="27" t="str" cm="1">
        <f t="array" ref="AE71">INDEX(Note!$G$3:$G$102,MATCH(1,(Note!$A$3:$A$102=$A71)*(Note!$C$3:$C$102=$B71)*(Note!$E$3:$E$102&lt;=AE$1)*(Note!$F$3:$F$102&gt;=AE$2),0))</f>
        <v>Giá PCF01 trừ $50</v>
      </c>
      <c r="AF71" s="27" t="str" cm="1">
        <f t="array" ref="AF71">INDEX(Note!$G$3:$G$102,MATCH(1,(Note!$A$3:$A$102=$A71)*(Note!$C$3:$C$102=$B71)*(Note!$E$3:$E$102&lt;=AF$1)*(Note!$F$3:$F$102&gt;=AF$2),0))</f>
        <v>Giá PCF01 trừ $50</v>
      </c>
      <c r="AG71" s="27" t="str" cm="1">
        <f t="array" ref="AG71">INDEX(Note!$G$3:$G$102,MATCH(1,(Note!$A$3:$A$102=$A71)*(Note!$C$3:$C$102=$B71)*(Note!$E$3:$E$102&lt;=AG$1)*(Note!$F$3:$F$102&gt;=AG$2),0))</f>
        <v>Giá PCF01 trừ $50</v>
      </c>
      <c r="AH71" s="27" t="str" cm="1">
        <f t="array" ref="AH71">INDEX(Note!$G$3:$G$102,MATCH(1,(Note!$A$3:$A$102=$A71)*(Note!$C$3:$C$102=$B71)*(Note!$E$3:$E$102&lt;=AH$1)*(Note!$F$3:$F$102&gt;=AH$2),0))</f>
        <v>Giá PCF01 trừ $50</v>
      </c>
      <c r="AI71" s="27" t="str" cm="1">
        <f t="array" ref="AI71">INDEX(Note!$G$3:$G$102,MATCH(1,(Note!$A$3:$A$102=$A71)*(Note!$C$3:$C$102=$B71)*(Note!$E$3:$E$102&lt;=AI$1)*(Note!$F$3:$F$102&gt;=AI$2),0))</f>
        <v>Giá PCF01 trừ $50</v>
      </c>
      <c r="AJ71" s="27" t="str" cm="1">
        <f t="array" ref="AJ71">INDEX(Note!$G$3:$G$102,MATCH(1,(Note!$A$3:$A$102=$A71)*(Note!$C$3:$C$102=$B71)*(Note!$E$3:$E$102&lt;=AJ$1)*(Note!$F$3:$F$102&gt;=AJ$2),0))</f>
        <v>Giá PCF01 trừ $50</v>
      </c>
      <c r="AK71" s="27" t="str" cm="1">
        <f t="array" ref="AK71">INDEX(Note!$G$3:$G$102,MATCH(1,(Note!$A$3:$A$102=$A71)*(Note!$C$3:$C$102=$B71)*(Note!$E$3:$E$102&lt;=AK$1)*(Note!$F$3:$F$102&gt;=AK$2),0))</f>
        <v>Giá PCF01 trừ $50</v>
      </c>
      <c r="AL71" s="89" t="str" cm="1">
        <f t="array" ref="AL71">INDEX(Note!$G$3:$G$102,MATCH(1,(Note!$A$3:$A$102=$A71)*(Note!$C$3:$C$102=$B71)*(Note!$E$3:$E$102&lt;=AL$1)*(Note!$F$3:$F$102&gt;=AL$2),0))</f>
        <v>Giá PCF01 trừ $50</v>
      </c>
    </row>
    <row r="72" spans="1:38" s="96" customFormat="1" outlineLevel="1" x14ac:dyDescent="0.3">
      <c r="A72" s="96" t="s">
        <v>63</v>
      </c>
      <c r="B72" s="96" t="s">
        <v>64</v>
      </c>
      <c r="D72" s="97"/>
      <c r="F72" s="218" t="s">
        <v>258</v>
      </c>
      <c r="G72" s="26"/>
      <c r="H72" s="26"/>
      <c r="I72" s="26"/>
      <c r="J72" s="26" t="s">
        <v>42</v>
      </c>
      <c r="K72" s="12"/>
      <c r="L72" s="26"/>
      <c r="M72" s="26"/>
      <c r="N72" s="26"/>
      <c r="O72" s="88" t="str" cm="1">
        <f t="array" ref="O72">INDEX(Note!$H$3:$H$102,MATCH(1,(Note!$A$3:$A$102=$A72)*(Note!$C$3:$C$102=$B72)*(Note!$E$3:$E$102&lt;=O$1)*(Note!$F$3:$F$102&gt;=O$2),0))</f>
        <v>DDP</v>
      </c>
      <c r="P72" s="27" t="str" cm="1">
        <f t="array" ref="P72">INDEX(Note!$H$3:$H$102,MATCH(1,(Note!$A$3:$A$102=$A72)*(Note!$C$3:$C$102=$B72)*(Note!$E$3:$E$102&lt;=P$1)*(Note!$F$3:$F$102&gt;=P$2),0))</f>
        <v>DDP</v>
      </c>
      <c r="Q72" s="27" t="str" cm="1">
        <f t="array" ref="Q72">INDEX(Note!$H$3:$H$102,MATCH(1,(Note!$A$3:$A$102=$A72)*(Note!$C$3:$C$102=$B72)*(Note!$E$3:$E$102&lt;=Q$1)*(Note!$F$3:$F$102&gt;=Q$2),0))</f>
        <v>DDP</v>
      </c>
      <c r="R72" s="27" t="str" cm="1">
        <f t="array" ref="R72">INDEX(Note!$H$3:$H$102,MATCH(1,(Note!$A$3:$A$102=$A72)*(Note!$C$3:$C$102=$B72)*(Note!$E$3:$E$102&lt;=R$1)*(Note!$F$3:$F$102&gt;=R$2),0))</f>
        <v>DDP</v>
      </c>
      <c r="S72" s="27" t="str" cm="1">
        <f t="array" ref="S72">INDEX(Note!$H$3:$H$102,MATCH(1,(Note!$A$3:$A$102=$A72)*(Note!$C$3:$C$102=$B72)*(Note!$E$3:$E$102&lt;=S$1)*(Note!$F$3:$F$102&gt;=S$2),0))</f>
        <v>DDP</v>
      </c>
      <c r="T72" s="27" t="str" cm="1">
        <f t="array" ref="T72">INDEX(Note!$H$3:$H$102,MATCH(1,(Note!$A$3:$A$102=$A72)*(Note!$C$3:$C$102=$B72)*(Note!$E$3:$E$102&lt;=T$1)*(Note!$F$3:$F$102&gt;=T$2),0))</f>
        <v>DDP</v>
      </c>
      <c r="U72" s="27" t="str" cm="1">
        <f t="array" ref="U72">INDEX(Note!$H$3:$H$102,MATCH(1,(Note!$A$3:$A$102=$A72)*(Note!$C$3:$C$102=$B72)*(Note!$E$3:$E$102&lt;=U$1)*(Note!$F$3:$F$102&gt;=U$2),0))</f>
        <v>DDP</v>
      </c>
      <c r="V72" s="27" t="str" cm="1">
        <f t="array" ref="V72">INDEX(Note!$H$3:$H$102,MATCH(1,(Note!$A$3:$A$102=$A72)*(Note!$C$3:$C$102=$B72)*(Note!$E$3:$E$102&lt;=V$1)*(Note!$F$3:$F$102&gt;=V$2),0))</f>
        <v>DDP</v>
      </c>
      <c r="W72" s="27" t="str" cm="1">
        <f t="array" ref="W72">INDEX(Note!$H$3:$H$102,MATCH(1,(Note!$A$3:$A$102=$A72)*(Note!$C$3:$C$102=$B72)*(Note!$E$3:$E$102&lt;=W$1)*(Note!$F$3:$F$102&gt;=W$2),0))</f>
        <v>DDP</v>
      </c>
      <c r="X72" s="27" t="str" cm="1">
        <f t="array" ref="X72">INDEX(Note!$H$3:$H$102,MATCH(1,(Note!$A$3:$A$102=$A72)*(Note!$C$3:$C$102=$B72)*(Note!$E$3:$E$102&lt;=X$1)*(Note!$F$3:$F$102&gt;=X$2),0))</f>
        <v>DDP</v>
      </c>
      <c r="Y72" s="27" t="str" cm="1">
        <f t="array" ref="Y72">INDEX(Note!$H$3:$H$102,MATCH(1,(Note!$A$3:$A$102=$A72)*(Note!$C$3:$C$102=$B72)*(Note!$E$3:$E$102&lt;=Y$1)*(Note!$F$3:$F$102&gt;=Y$2),0))</f>
        <v>DDP</v>
      </c>
      <c r="Z72" s="89" t="str" cm="1">
        <f t="array" ref="Z72">INDEX(Note!$H$3:$H$102,MATCH(1,(Note!$A$3:$A$102=$A72)*(Note!$C$3:$C$102=$B72)*(Note!$E$3:$E$102&lt;=Z$1)*(Note!$F$3:$F$102&gt;=Z$2),0))</f>
        <v>DDP</v>
      </c>
      <c r="AA72" s="27" t="str" cm="1">
        <f t="array" ref="AA72">INDEX(Note!$H$3:$H$102,MATCH(1,(Note!$A$3:$A$102=$A72)*(Note!$C$3:$C$102=$B72)*(Note!$E$3:$E$102&lt;=AA$1)*(Note!$F$3:$F$102&gt;=AA$2),0))</f>
        <v>DDP</v>
      </c>
      <c r="AB72" s="27" t="str" cm="1">
        <f t="array" ref="AB72">INDEX(Note!$H$3:$H$102,MATCH(1,(Note!$A$3:$A$102=$A72)*(Note!$C$3:$C$102=$B72)*(Note!$E$3:$E$102&lt;=AB$1)*(Note!$F$3:$F$102&gt;=AB$2),0))</f>
        <v>DDP</v>
      </c>
      <c r="AC72" s="27" t="str" cm="1">
        <f t="array" ref="AC72">INDEX(Note!$H$3:$H$102,MATCH(1,(Note!$A$3:$A$102=$A72)*(Note!$C$3:$C$102=$B72)*(Note!$E$3:$E$102&lt;=AC$1)*(Note!$F$3:$F$102&gt;=AC$2),0))</f>
        <v>DDP</v>
      </c>
      <c r="AD72" s="27" t="str" cm="1">
        <f t="array" ref="AD72">INDEX(Note!$H$3:$H$102,MATCH(1,(Note!$A$3:$A$102=$A72)*(Note!$C$3:$C$102=$B72)*(Note!$E$3:$E$102&lt;=AD$1)*(Note!$F$3:$F$102&gt;=AD$2),0))</f>
        <v>DDP</v>
      </c>
      <c r="AE72" s="27" t="str" cm="1">
        <f t="array" ref="AE72">INDEX(Note!$H$3:$H$102,MATCH(1,(Note!$A$3:$A$102=$A72)*(Note!$C$3:$C$102=$B72)*(Note!$E$3:$E$102&lt;=AE$1)*(Note!$F$3:$F$102&gt;=AE$2),0))</f>
        <v>DDP</v>
      </c>
      <c r="AF72" s="27" t="str" cm="1">
        <f t="array" ref="AF72">INDEX(Note!$H$3:$H$102,MATCH(1,(Note!$A$3:$A$102=$A72)*(Note!$C$3:$C$102=$B72)*(Note!$E$3:$E$102&lt;=AF$1)*(Note!$F$3:$F$102&gt;=AF$2),0))</f>
        <v>DDP</v>
      </c>
      <c r="AG72" s="27" t="str" cm="1">
        <f t="array" ref="AG72">INDEX(Note!$H$3:$H$102,MATCH(1,(Note!$A$3:$A$102=$A72)*(Note!$C$3:$C$102=$B72)*(Note!$E$3:$E$102&lt;=AG$1)*(Note!$F$3:$F$102&gt;=AG$2),0))</f>
        <v>DDP</v>
      </c>
      <c r="AH72" s="27" t="str" cm="1">
        <f t="array" ref="AH72">INDEX(Note!$H$3:$H$102,MATCH(1,(Note!$A$3:$A$102=$A72)*(Note!$C$3:$C$102=$B72)*(Note!$E$3:$E$102&lt;=AH$1)*(Note!$F$3:$F$102&gt;=AH$2),0))</f>
        <v>DDP</v>
      </c>
      <c r="AI72" s="27" t="str" cm="1">
        <f t="array" ref="AI72">INDEX(Note!$H$3:$H$102,MATCH(1,(Note!$A$3:$A$102=$A72)*(Note!$C$3:$C$102=$B72)*(Note!$E$3:$E$102&lt;=AI$1)*(Note!$F$3:$F$102&gt;=AI$2),0))</f>
        <v>DDP</v>
      </c>
      <c r="AJ72" s="27" t="str" cm="1">
        <f t="array" ref="AJ72">INDEX(Note!$H$3:$H$102,MATCH(1,(Note!$A$3:$A$102=$A72)*(Note!$C$3:$C$102=$B72)*(Note!$E$3:$E$102&lt;=AJ$1)*(Note!$F$3:$F$102&gt;=AJ$2),0))</f>
        <v>DDP</v>
      </c>
      <c r="AK72" s="27" t="str" cm="1">
        <f t="array" ref="AK72">INDEX(Note!$H$3:$H$102,MATCH(1,(Note!$A$3:$A$102=$A72)*(Note!$C$3:$C$102=$B72)*(Note!$E$3:$E$102&lt;=AK$1)*(Note!$F$3:$F$102&gt;=AK$2),0))</f>
        <v>DDP</v>
      </c>
      <c r="AL72" s="89" t="str" cm="1">
        <f t="array" ref="AL72">INDEX(Note!$H$3:$H$102,MATCH(1,(Note!$A$3:$A$102=$A72)*(Note!$C$3:$C$102=$B72)*(Note!$E$3:$E$102&lt;=AL$1)*(Note!$F$3:$F$102&gt;=AL$2),0))</f>
        <v>DDP</v>
      </c>
    </row>
    <row r="73" spans="1:38" s="97" customFormat="1" outlineLevel="1" x14ac:dyDescent="0.3">
      <c r="A73" s="97" t="s">
        <v>63</v>
      </c>
      <c r="B73" s="97" t="s">
        <v>64</v>
      </c>
      <c r="F73" s="193" t="s">
        <v>259</v>
      </c>
      <c r="G73" s="107"/>
      <c r="H73" s="107"/>
      <c r="I73" s="107"/>
      <c r="J73" s="107" t="s">
        <v>45</v>
      </c>
      <c r="K73" s="109"/>
      <c r="L73" s="107"/>
      <c r="M73" s="107"/>
      <c r="N73" s="107"/>
      <c r="O73" s="233" t="str" cm="1">
        <f t="array" ref="O73">INDEX(Note!$I$3:$I$102,MATCH(1,(Note!$A$3:$A$102=$A73)*(Note!$C$3:$C$102=$B73)*(Note!$E$3:$E$102&lt;=O$1)*(Note!$F$3:$F$102&gt;=O$2),0))</f>
        <v>Quý</v>
      </c>
      <c r="P73" s="193" t="str" cm="1">
        <f t="array" ref="P73">INDEX(Note!$I$3:$I$102,MATCH(1,(Note!$A$3:$A$102=$A73)*(Note!$C$3:$C$102=$B73)*(Note!$E$3:$E$102&lt;=P$1)*(Note!$F$3:$F$102&gt;=P$2),0))</f>
        <v>Quý</v>
      </c>
      <c r="Q73" s="193" t="str" cm="1">
        <f t="array" ref="Q73">INDEX(Note!$I$3:$I$102,MATCH(1,(Note!$A$3:$A$102=$A73)*(Note!$C$3:$C$102=$B73)*(Note!$E$3:$E$102&lt;=Q$1)*(Note!$F$3:$F$102&gt;=Q$2),0))</f>
        <v>Quý</v>
      </c>
      <c r="R73" s="193" t="str" cm="1">
        <f t="array" ref="R73">INDEX(Note!$I$3:$I$102,MATCH(1,(Note!$A$3:$A$102=$A73)*(Note!$C$3:$C$102=$B73)*(Note!$E$3:$E$102&lt;=R$1)*(Note!$F$3:$F$102&gt;=R$2),0))</f>
        <v>Quý</v>
      </c>
      <c r="S73" s="193" t="str" cm="1">
        <f t="array" ref="S73">INDEX(Note!$I$3:$I$102,MATCH(1,(Note!$A$3:$A$102=$A73)*(Note!$C$3:$C$102=$B73)*(Note!$E$3:$E$102&lt;=S$1)*(Note!$F$3:$F$102&gt;=S$2),0))</f>
        <v>Quý</v>
      </c>
      <c r="T73" s="193" t="str" cm="1">
        <f t="array" ref="T73">INDEX(Note!$I$3:$I$102,MATCH(1,(Note!$A$3:$A$102=$A73)*(Note!$C$3:$C$102=$B73)*(Note!$E$3:$E$102&lt;=T$1)*(Note!$F$3:$F$102&gt;=T$2),0))</f>
        <v>Quý</v>
      </c>
      <c r="U73" s="193" t="str" cm="1">
        <f t="array" ref="U73">INDEX(Note!$I$3:$I$102,MATCH(1,(Note!$A$3:$A$102=$A73)*(Note!$C$3:$C$102=$B73)*(Note!$E$3:$E$102&lt;=U$1)*(Note!$F$3:$F$102&gt;=U$2),0))</f>
        <v>Quý</v>
      </c>
      <c r="V73" s="193" t="str" cm="1">
        <f t="array" ref="V73">INDEX(Note!$I$3:$I$102,MATCH(1,(Note!$A$3:$A$102=$A73)*(Note!$C$3:$C$102=$B73)*(Note!$E$3:$E$102&lt;=V$1)*(Note!$F$3:$F$102&gt;=V$2),0))</f>
        <v>Quý</v>
      </c>
      <c r="W73" s="193" t="str" cm="1">
        <f t="array" ref="W73">INDEX(Note!$I$3:$I$102,MATCH(1,(Note!$A$3:$A$102=$A73)*(Note!$C$3:$C$102=$B73)*(Note!$E$3:$E$102&lt;=W$1)*(Note!$F$3:$F$102&gt;=W$2),0))</f>
        <v>Quý</v>
      </c>
      <c r="X73" s="193" t="str" cm="1">
        <f t="array" ref="X73">INDEX(Note!$I$3:$I$102,MATCH(1,(Note!$A$3:$A$102=$A73)*(Note!$C$3:$C$102=$B73)*(Note!$E$3:$E$102&lt;=X$1)*(Note!$F$3:$F$102&gt;=X$2),0))</f>
        <v>Quý</v>
      </c>
      <c r="Y73" s="193" t="str" cm="1">
        <f t="array" ref="Y73">INDEX(Note!$I$3:$I$102,MATCH(1,(Note!$A$3:$A$102=$A73)*(Note!$C$3:$C$102=$B73)*(Note!$E$3:$E$102&lt;=Y$1)*(Note!$F$3:$F$102&gt;=Y$2),0))</f>
        <v>Quý</v>
      </c>
      <c r="Z73" s="194" t="str" cm="1">
        <f t="array" ref="Z73">INDEX(Note!$I$3:$I$102,MATCH(1,(Note!$A$3:$A$102=$A73)*(Note!$C$3:$C$102=$B73)*(Note!$E$3:$E$102&lt;=Z$1)*(Note!$F$3:$F$102&gt;=Z$2),0))</f>
        <v>Quý</v>
      </c>
      <c r="AA73" s="193" t="str" cm="1">
        <f t="array" ref="AA73">INDEX(Note!$I$3:$I$102,MATCH(1,(Note!$A$3:$A$102=$A73)*(Note!$C$3:$C$102=$B73)*(Note!$E$3:$E$102&lt;=AA$1)*(Note!$F$3:$F$102&gt;=AA$2),0))</f>
        <v>Năm</v>
      </c>
      <c r="AB73" s="193" t="str" cm="1">
        <f t="array" ref="AB73">INDEX(Note!$I$3:$I$102,MATCH(1,(Note!$A$3:$A$102=$A73)*(Note!$C$3:$C$102=$B73)*(Note!$E$3:$E$102&lt;=AB$1)*(Note!$F$3:$F$102&gt;=AB$2),0))</f>
        <v>Năm</v>
      </c>
      <c r="AC73" s="193" t="str" cm="1">
        <f t="array" ref="AC73">INDEX(Note!$I$3:$I$102,MATCH(1,(Note!$A$3:$A$102=$A73)*(Note!$C$3:$C$102=$B73)*(Note!$E$3:$E$102&lt;=AC$1)*(Note!$F$3:$F$102&gt;=AC$2),0))</f>
        <v>Năm</v>
      </c>
      <c r="AD73" s="193" t="str" cm="1">
        <f t="array" ref="AD73">INDEX(Note!$I$3:$I$102,MATCH(1,(Note!$A$3:$A$102=$A73)*(Note!$C$3:$C$102=$B73)*(Note!$E$3:$E$102&lt;=AD$1)*(Note!$F$3:$F$102&gt;=AD$2),0))</f>
        <v>Năm</v>
      </c>
      <c r="AE73" s="193" t="str" cm="1">
        <f t="array" ref="AE73">INDEX(Note!$I$3:$I$102,MATCH(1,(Note!$A$3:$A$102=$A73)*(Note!$C$3:$C$102=$B73)*(Note!$E$3:$E$102&lt;=AE$1)*(Note!$F$3:$F$102&gt;=AE$2),0))</f>
        <v>Năm</v>
      </c>
      <c r="AF73" s="193" t="str" cm="1">
        <f t="array" ref="AF73">INDEX(Note!$I$3:$I$102,MATCH(1,(Note!$A$3:$A$102=$A73)*(Note!$C$3:$C$102=$B73)*(Note!$E$3:$E$102&lt;=AF$1)*(Note!$F$3:$F$102&gt;=AF$2),0))</f>
        <v>Năm</v>
      </c>
      <c r="AG73" s="193" t="str" cm="1">
        <f t="array" ref="AG73">INDEX(Note!$I$3:$I$102,MATCH(1,(Note!$A$3:$A$102=$A73)*(Note!$C$3:$C$102=$B73)*(Note!$E$3:$E$102&lt;=AG$1)*(Note!$F$3:$F$102&gt;=AG$2),0))</f>
        <v>Năm</v>
      </c>
      <c r="AH73" s="193" t="str" cm="1">
        <f t="array" ref="AH73">INDEX(Note!$I$3:$I$102,MATCH(1,(Note!$A$3:$A$102=$A73)*(Note!$C$3:$C$102=$B73)*(Note!$E$3:$E$102&lt;=AH$1)*(Note!$F$3:$F$102&gt;=AH$2),0))</f>
        <v>Năm</v>
      </c>
      <c r="AI73" s="193" t="str" cm="1">
        <f t="array" ref="AI73">INDEX(Note!$I$3:$I$102,MATCH(1,(Note!$A$3:$A$102=$A73)*(Note!$C$3:$C$102=$B73)*(Note!$E$3:$E$102&lt;=AI$1)*(Note!$F$3:$F$102&gt;=AI$2),0))</f>
        <v>Năm</v>
      </c>
      <c r="AJ73" s="193" t="str" cm="1">
        <f t="array" ref="AJ73">INDEX(Note!$I$3:$I$102,MATCH(1,(Note!$A$3:$A$102=$A73)*(Note!$C$3:$C$102=$B73)*(Note!$E$3:$E$102&lt;=AJ$1)*(Note!$F$3:$F$102&gt;=AJ$2),0))</f>
        <v>Năm</v>
      </c>
      <c r="AK73" s="193" t="str" cm="1">
        <f t="array" ref="AK73">INDEX(Note!$I$3:$I$102,MATCH(1,(Note!$A$3:$A$102=$A73)*(Note!$C$3:$C$102=$B73)*(Note!$E$3:$E$102&lt;=AK$1)*(Note!$F$3:$F$102&gt;=AK$2),0))</f>
        <v>Năm</v>
      </c>
      <c r="AL73" s="194" t="str" cm="1">
        <f t="array" ref="AL73">INDEX(Note!$I$3:$I$102,MATCH(1,(Note!$A$3:$A$102=$A73)*(Note!$C$3:$C$102=$B73)*(Note!$E$3:$E$102&lt;=AL$1)*(Note!$F$3:$F$102&gt;=AL$2),0))</f>
        <v>Năm</v>
      </c>
    </row>
    <row r="74" spans="1:38" s="185" customFormat="1" outlineLevel="1" x14ac:dyDescent="0.3">
      <c r="A74" s="185" t="s">
        <v>63</v>
      </c>
      <c r="B74" s="185" t="s">
        <v>64</v>
      </c>
      <c r="F74" s="222" t="s">
        <v>265</v>
      </c>
      <c r="G74" s="190"/>
      <c r="H74" s="190"/>
      <c r="I74" s="190"/>
      <c r="J74" s="190" t="s">
        <v>202</v>
      </c>
      <c r="K74" s="186"/>
      <c r="L74" s="199"/>
      <c r="M74" s="199"/>
      <c r="N74" s="199"/>
      <c r="O74" s="198" cm="1">
        <f t="array" ref="O74">SUMPRODUCT(General_Data*(Year=O$3)*(Month=O$4)*(Code_General_Data=$B74))</f>
        <v>1350</v>
      </c>
      <c r="P74" s="199" cm="1">
        <f t="array" ref="P74">SUMPRODUCT(General_Data*(Year=P$3)*(Month=P$4)*(Code_General_Data=$B74))</f>
        <v>1350</v>
      </c>
      <c r="Q74" s="199" cm="1">
        <f t="array" ref="Q74">SUMPRODUCT(General_Data*(Year=Q$3)*(Month=Q$4)*(Code_General_Data=$B74))</f>
        <v>1350</v>
      </c>
      <c r="R74" s="199" cm="1">
        <f t="array" ref="R74">SUMPRODUCT(General_Data*(Year=R$3)*(Month=R$4)*(Code_General_Data=$B74))</f>
        <v>1350</v>
      </c>
      <c r="S74" s="199" cm="1">
        <f t="array" ref="S74">SUMPRODUCT(General_Data*(Year=S$3)*(Month=S$4)*(Code_General_Data=$B74))</f>
        <v>1350</v>
      </c>
      <c r="T74" s="199" cm="1">
        <f t="array" ref="T74">SUMPRODUCT(General_Data*(Year=T$3)*(Month=T$4)*(Code_General_Data=$B74))</f>
        <v>1350</v>
      </c>
      <c r="U74" s="199" cm="1">
        <f t="array" ref="U74">SUMPRODUCT(General_Data*(Year=U$3)*(Month=U$4)*(Code_General_Data=$B74))</f>
        <v>1350</v>
      </c>
      <c r="V74" s="199" cm="1">
        <f t="array" ref="V74">SUMPRODUCT(General_Data*(Year=V$3)*(Month=V$4)*(Code_General_Data=$B74))</f>
        <v>1350</v>
      </c>
      <c r="W74" s="199" cm="1">
        <f t="array" ref="W74">SUMPRODUCT(General_Data*(Year=W$3)*(Month=W$4)*(Code_General_Data=$B74))</f>
        <v>1350</v>
      </c>
      <c r="X74" s="199" cm="1">
        <f t="array" ref="X74">SUMPRODUCT(General_Data*(Year=X$3)*(Month=X$4)*(Code_General_Data=$B74))</f>
        <v>1350</v>
      </c>
      <c r="Y74" s="199" cm="1">
        <f t="array" ref="Y74">SUMPRODUCT(General_Data*(Year=Y$3)*(Month=Y$4)*(Code_General_Data=$B74))</f>
        <v>1350</v>
      </c>
      <c r="Z74" s="200" cm="1">
        <f t="array" ref="Z74">SUMPRODUCT(General_Data*(Year=Z$3)*(Month=Z$4)*(Code_General_Data=$B74))</f>
        <v>1350</v>
      </c>
      <c r="AA74" s="199" cm="1">
        <f t="array" ref="AA74">SUMPRODUCT(General_Data*(Year=AA$3)*(Month=AA$4)*(Code_General_Data=$B74))</f>
        <v>1350</v>
      </c>
      <c r="AB74" s="199" cm="1">
        <f t="array" ref="AB74">SUMPRODUCT(General_Data*(Year=AB$3)*(Month=AB$4)*(Code_General_Data=$B74))</f>
        <v>1350</v>
      </c>
      <c r="AC74" s="199" cm="1">
        <f t="array" ref="AC74">SUMPRODUCT(General_Data*(Year=AC$3)*(Month=AC$4)*(Code_General_Data=$B74))</f>
        <v>1300</v>
      </c>
      <c r="AD74" s="199"/>
      <c r="AE74" s="199"/>
      <c r="AF74" s="199"/>
      <c r="AG74" s="199"/>
      <c r="AH74" s="199"/>
      <c r="AI74" s="199"/>
      <c r="AJ74" s="199"/>
      <c r="AK74" s="199"/>
      <c r="AL74" s="200"/>
    </row>
    <row r="75" spans="1:38" s="93" customFormat="1" x14ac:dyDescent="0.3">
      <c r="D75" s="92"/>
      <c r="F75" s="165"/>
      <c r="G75"/>
      <c r="H75"/>
      <c r="I75"/>
      <c r="J75"/>
      <c r="K75"/>
      <c r="L75"/>
      <c r="M75"/>
      <c r="N75"/>
      <c r="O75" s="47"/>
      <c r="P75"/>
      <c r="Q75"/>
      <c r="R75"/>
      <c r="S75"/>
      <c r="T75"/>
      <c r="U75"/>
      <c r="V75"/>
      <c r="W75"/>
      <c r="X75"/>
      <c r="Y75"/>
      <c r="Z75" s="48"/>
      <c r="AA75"/>
      <c r="AB75"/>
      <c r="AC75"/>
      <c r="AD75"/>
      <c r="AE75"/>
      <c r="AF75"/>
      <c r="AG75"/>
      <c r="AH75"/>
      <c r="AI75"/>
      <c r="AJ75"/>
      <c r="AK75"/>
      <c r="AL75" s="48"/>
    </row>
    <row r="76" spans="1:38" s="175" customFormat="1" ht="19.8" x14ac:dyDescent="0.3">
      <c r="A76" s="173" t="s">
        <v>39</v>
      </c>
      <c r="B76" s="173"/>
      <c r="C76" s="173"/>
      <c r="D76" s="173"/>
      <c r="E76" s="173"/>
      <c r="F76" s="216">
        <v>3</v>
      </c>
      <c r="G76" s="174" t="s">
        <v>323</v>
      </c>
      <c r="H76" s="174"/>
      <c r="I76" s="174"/>
      <c r="J76" s="174"/>
      <c r="L76" s="177"/>
      <c r="M76" s="177"/>
      <c r="N76" s="177"/>
      <c r="O76" s="176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8"/>
      <c r="AA76" s="179">
        <f>AA82-AA80</f>
        <v>1448.125</v>
      </c>
      <c r="AB76" s="177">
        <f>AB82-AB80</f>
        <v>1409.7916666666652</v>
      </c>
      <c r="AC76" s="179"/>
      <c r="AD76" s="179"/>
      <c r="AE76" s="179"/>
      <c r="AF76" s="179"/>
      <c r="AG76" s="179"/>
      <c r="AH76" s="179"/>
      <c r="AI76" s="179"/>
      <c r="AJ76" s="179"/>
      <c r="AK76" s="179"/>
      <c r="AL76" s="178"/>
    </row>
    <row r="77" spans="1:38" s="180" customFormat="1" ht="17.399999999999999" x14ac:dyDescent="0.3">
      <c r="A77" s="180" t="s">
        <v>39</v>
      </c>
      <c r="B77" s="180" t="s">
        <v>28</v>
      </c>
      <c r="D77" s="180" t="s">
        <v>321</v>
      </c>
      <c r="F77" s="270">
        <v>3.1</v>
      </c>
      <c r="G77" s="271"/>
      <c r="H77" s="271" t="s">
        <v>260</v>
      </c>
      <c r="I77" s="271"/>
      <c r="J77" s="271"/>
      <c r="L77" s="271"/>
      <c r="M77" s="271"/>
      <c r="N77" s="285"/>
      <c r="O77" s="213">
        <f>SUM(O78:O81)</f>
        <v>1366.5</v>
      </c>
      <c r="P77" s="214">
        <f t="shared" ref="P77:Z77" si="31">SUM(P78:P81)</f>
        <v>1374</v>
      </c>
      <c r="Q77" s="214">
        <f t="shared" si="31"/>
        <v>1386.5</v>
      </c>
      <c r="R77" s="214">
        <f t="shared" si="31"/>
        <v>1389</v>
      </c>
      <c r="S77" s="214">
        <f t="shared" si="31"/>
        <v>1393</v>
      </c>
      <c r="T77" s="214">
        <f t="shared" si="31"/>
        <v>1408</v>
      </c>
      <c r="U77" s="214">
        <f t="shared" si="31"/>
        <v>1424</v>
      </c>
      <c r="V77" s="214">
        <f t="shared" si="31"/>
        <v>1435</v>
      </c>
      <c r="W77" s="214">
        <f t="shared" si="31"/>
        <v>1455</v>
      </c>
      <c r="X77" s="214">
        <f t="shared" si="31"/>
        <v>1482.75</v>
      </c>
      <c r="Y77" s="214">
        <f t="shared" si="31"/>
        <v>1500.25</v>
      </c>
      <c r="Z77" s="215">
        <f t="shared" si="31"/>
        <v>1504</v>
      </c>
      <c r="AA77" s="213">
        <f>MIN(MAX(SUM(AA78,AA79),AA88),AA87)+AA80+AA81</f>
        <v>1452.903125</v>
      </c>
      <c r="AB77" s="214">
        <f>MIN(MAX(SUM(AB78,AB79),AB88),AB87)+AB80+AB81</f>
        <v>1415.1447916666652</v>
      </c>
      <c r="AC77" s="214"/>
      <c r="AD77" s="214"/>
      <c r="AE77" s="214"/>
      <c r="AF77" s="214"/>
      <c r="AG77" s="214"/>
      <c r="AH77" s="214"/>
      <c r="AI77" s="214"/>
      <c r="AJ77" s="214"/>
      <c r="AK77" s="214"/>
      <c r="AL77" s="215"/>
    </row>
    <row r="78" spans="1:38" s="93" customFormat="1" outlineLevel="1" x14ac:dyDescent="0.3">
      <c r="A78" s="93" t="s">
        <v>39</v>
      </c>
      <c r="B78" s="93" t="s">
        <v>28</v>
      </c>
      <c r="D78" s="92"/>
      <c r="F78" s="272" t="s">
        <v>270</v>
      </c>
      <c r="G78" s="273"/>
      <c r="H78" s="273" t="s">
        <v>40</v>
      </c>
      <c r="I78" s="273" t="s">
        <v>266</v>
      </c>
      <c r="J78" s="273"/>
      <c r="K78"/>
      <c r="L78" s="273"/>
      <c r="M78" s="273"/>
      <c r="N78" s="286"/>
      <c r="O78" s="210">
        <f>(M83+N83)/2</f>
        <v>1300</v>
      </c>
      <c r="P78" s="211">
        <f t="shared" ref="P78:Z78" si="32">(N83+O83)/2</f>
        <v>1307.5</v>
      </c>
      <c r="Q78" s="211">
        <f t="shared" si="32"/>
        <v>1320</v>
      </c>
      <c r="R78" s="211">
        <f t="shared" si="32"/>
        <v>1322.5</v>
      </c>
      <c r="S78" s="211">
        <f t="shared" si="32"/>
        <v>1326.5</v>
      </c>
      <c r="T78" s="211">
        <f t="shared" si="32"/>
        <v>1341.5</v>
      </c>
      <c r="U78" s="211">
        <f t="shared" si="32"/>
        <v>1357.5</v>
      </c>
      <c r="V78" s="211">
        <f t="shared" si="32"/>
        <v>1368.5</v>
      </c>
      <c r="W78" s="211">
        <f t="shared" si="32"/>
        <v>1388.5</v>
      </c>
      <c r="X78" s="211">
        <f t="shared" si="32"/>
        <v>1416.25</v>
      </c>
      <c r="Y78" s="211">
        <f t="shared" si="32"/>
        <v>1433.75</v>
      </c>
      <c r="Z78" s="212">
        <f t="shared" si="32"/>
        <v>1437.5</v>
      </c>
      <c r="AA78" s="210">
        <f>(Y83+Z83)/2</f>
        <v>1428.125</v>
      </c>
      <c r="AB78" s="211">
        <f>(Z83+AA83)/2</f>
        <v>1389.7916666666652</v>
      </c>
      <c r="AC78" s="211"/>
      <c r="AD78" s="211"/>
      <c r="AE78" s="211"/>
      <c r="AF78" s="211"/>
      <c r="AG78" s="211"/>
      <c r="AH78" s="211"/>
      <c r="AI78" s="211"/>
      <c r="AJ78" s="211"/>
      <c r="AK78" s="211"/>
      <c r="AL78" s="212"/>
    </row>
    <row r="79" spans="1:38" s="93" customFormat="1" outlineLevel="1" x14ac:dyDescent="0.3">
      <c r="A79" s="93" t="s">
        <v>39</v>
      </c>
      <c r="B79" s="93" t="s">
        <v>28</v>
      </c>
      <c r="D79" s="92"/>
      <c r="F79" s="272" t="s">
        <v>271</v>
      </c>
      <c r="G79" s="273"/>
      <c r="H79" s="273" t="s">
        <v>40</v>
      </c>
      <c r="I79" s="273" t="s">
        <v>267</v>
      </c>
      <c r="J79" s="273"/>
      <c r="K79"/>
      <c r="L79" s="273"/>
      <c r="M79" s="273"/>
      <c r="N79" s="286"/>
      <c r="O79" s="210">
        <v>50</v>
      </c>
      <c r="P79" s="211">
        <v>50</v>
      </c>
      <c r="Q79" s="211">
        <v>50</v>
      </c>
      <c r="R79" s="211">
        <v>50</v>
      </c>
      <c r="S79" s="211">
        <v>50</v>
      </c>
      <c r="T79" s="211">
        <v>50</v>
      </c>
      <c r="U79" s="211">
        <v>50</v>
      </c>
      <c r="V79" s="211">
        <v>50</v>
      </c>
      <c r="W79" s="211">
        <v>50</v>
      </c>
      <c r="X79" s="211">
        <v>50</v>
      </c>
      <c r="Y79" s="211">
        <v>50</v>
      </c>
      <c r="Z79" s="212">
        <v>50</v>
      </c>
      <c r="AA79" s="210">
        <v>20</v>
      </c>
      <c r="AB79" s="211">
        <v>20</v>
      </c>
      <c r="AC79" s="211"/>
      <c r="AD79" s="211"/>
      <c r="AE79" s="211"/>
      <c r="AF79" s="211"/>
      <c r="AG79" s="211"/>
      <c r="AH79" s="211"/>
      <c r="AI79" s="211"/>
      <c r="AJ79" s="211"/>
      <c r="AK79" s="211"/>
      <c r="AL79" s="212"/>
    </row>
    <row r="80" spans="1:38" s="93" customFormat="1" outlineLevel="1" x14ac:dyDescent="0.3">
      <c r="A80" s="93" t="s">
        <v>39</v>
      </c>
      <c r="B80" s="93" t="s">
        <v>28</v>
      </c>
      <c r="D80" s="92"/>
      <c r="F80" s="272" t="s">
        <v>272</v>
      </c>
      <c r="G80" s="273"/>
      <c r="H80" s="273" t="s">
        <v>40</v>
      </c>
      <c r="I80" s="274" t="s">
        <v>322</v>
      </c>
      <c r="J80" s="273"/>
      <c r="K80"/>
      <c r="L80" s="273"/>
      <c r="M80" s="273"/>
      <c r="N80" s="286"/>
      <c r="O80" s="210">
        <f>-IF('Rebate-Suntory'!$E$14="/tấn",'Rebate-Suntory'!$D$14,IF('Rebate-Suntory'!$E$14="giá trị",'Rebate-Suntory'!$D$14*(O78+O79+O81),0))</f>
        <v>-10</v>
      </c>
      <c r="P80" s="211">
        <f>-IF('Rebate-Suntory'!$E$14="/tấn",'Rebate-Suntory'!$D$14,IF('Rebate-Suntory'!$E$14="giá trị",'Rebate-Suntory'!$D$14*(P78+P79+P81),0))</f>
        <v>-10</v>
      </c>
      <c r="Q80" s="211">
        <f>-IF('Rebate-Suntory'!$E$14="/tấn",'Rebate-Suntory'!$D$14,IF('Rebate-Suntory'!$E$14="giá trị",'Rebate-Suntory'!$D$14*(Q78+Q79+Q81),0))</f>
        <v>-10</v>
      </c>
      <c r="R80" s="211">
        <f>-IF('Rebate-Suntory'!$E$14="/tấn",'Rebate-Suntory'!$D$14,IF('Rebate-Suntory'!$E$14="giá trị",'Rebate-Suntory'!$D$14*(R78+R79+R81),0))</f>
        <v>-10</v>
      </c>
      <c r="S80" s="211">
        <f>-IF('Rebate-Suntory'!$E$14="/tấn",'Rebate-Suntory'!$D$14,IF('Rebate-Suntory'!$E$14="giá trị",'Rebate-Suntory'!$D$14*(S78+S79+S81),0))</f>
        <v>-10</v>
      </c>
      <c r="T80" s="211">
        <f>-IF('Rebate-Suntory'!$E$14="/tấn",'Rebate-Suntory'!$D$14,IF('Rebate-Suntory'!$E$14="giá trị",'Rebate-Suntory'!$D$14*(T78+T79+T81),0))</f>
        <v>-10</v>
      </c>
      <c r="U80" s="211">
        <f>-IF('Rebate-Suntory'!$E$14="/tấn",'Rebate-Suntory'!$D$14,IF('Rebate-Suntory'!$E$14="giá trị",'Rebate-Suntory'!$D$14*(U78+U79+U81),0))</f>
        <v>-10</v>
      </c>
      <c r="V80" s="211">
        <f>-IF('Rebate-Suntory'!$E$14="/tấn",'Rebate-Suntory'!$D$14,IF('Rebate-Suntory'!$E$14="giá trị",'Rebate-Suntory'!$D$14*(V78+V79+V81),0))</f>
        <v>-10</v>
      </c>
      <c r="W80" s="211">
        <f>-IF('Rebate-Suntory'!$E$14="/tấn",'Rebate-Suntory'!$D$14,IF('Rebate-Suntory'!$E$14="giá trị",'Rebate-Suntory'!$D$14*(W78+W79+W81),0))</f>
        <v>-10</v>
      </c>
      <c r="X80" s="211">
        <f>-IF('Rebate-Suntory'!$E$14="/tấn",'Rebate-Suntory'!$D$14,IF('Rebate-Suntory'!$E$14="giá trị",'Rebate-Suntory'!$D$14*(X78+X79+X81),0))</f>
        <v>-10</v>
      </c>
      <c r="Y80" s="211">
        <f>-IF('Rebate-Suntory'!$E$14="/tấn",'Rebate-Suntory'!$D$14,IF('Rebate-Suntory'!$E$14="giá trị",'Rebate-Suntory'!$D$14*(Y78+Y79+Y81),0))</f>
        <v>-10</v>
      </c>
      <c r="Z80" s="212">
        <f>-IF('Rebate-Suntory'!$E$14="/tấn",'Rebate-Suntory'!$D$14,IF('Rebate-Suntory'!$E$14="giá trị",'Rebate-Suntory'!$D$14*(Z78+Z79+Z81),0))</f>
        <v>-10</v>
      </c>
      <c r="AA80" s="210">
        <f>-IF('Rebate-Suntory'!$J$14="/tấn",'Rebate-Suntory'!$I$14,IF('Rebate-Suntory'!$J$14="giá trị",'Rebate-Suntory'!$I$14*(AA78+AA79),0))</f>
        <v>-21.721875000000001</v>
      </c>
      <c r="AB80" s="211">
        <f>-IF('Rebate-Suntory'!$J$14="/tấn",'Rebate-Suntory'!$I$14,IF('Rebate-Suntory'!$J$14="giá trị",'Rebate-Suntory'!$I$14*(AB78+AB79),0))</f>
        <v>-21.146874999999977</v>
      </c>
      <c r="AC80" s="211"/>
      <c r="AD80" s="211"/>
      <c r="AE80" s="211"/>
      <c r="AF80" s="211"/>
      <c r="AG80" s="211"/>
      <c r="AH80" s="211"/>
      <c r="AI80" s="211"/>
      <c r="AJ80" s="211"/>
      <c r="AK80" s="211"/>
      <c r="AL80" s="212"/>
    </row>
    <row r="81" spans="1:38" s="93" customFormat="1" outlineLevel="1" x14ac:dyDescent="0.3">
      <c r="A81" s="93" t="s">
        <v>39</v>
      </c>
      <c r="B81" s="93" t="s">
        <v>28</v>
      </c>
      <c r="D81" s="92"/>
      <c r="F81" s="272" t="s">
        <v>273</v>
      </c>
      <c r="G81" s="273"/>
      <c r="H81" s="273" t="s">
        <v>40</v>
      </c>
      <c r="I81" s="273" t="s">
        <v>41</v>
      </c>
      <c r="J81" s="273"/>
      <c r="K81"/>
      <c r="L81" s="273"/>
      <c r="M81" s="273"/>
      <c r="N81" s="286"/>
      <c r="O81" s="294">
        <v>26.5</v>
      </c>
      <c r="P81" s="295">
        <v>26.5</v>
      </c>
      <c r="Q81" s="295">
        <v>26.5</v>
      </c>
      <c r="R81" s="295">
        <v>26.5</v>
      </c>
      <c r="S81" s="295">
        <v>26.5</v>
      </c>
      <c r="T81" s="295">
        <v>26.5</v>
      </c>
      <c r="U81" s="295">
        <v>26.5</v>
      </c>
      <c r="V81" s="295">
        <v>26.5</v>
      </c>
      <c r="W81" s="295">
        <v>26.5</v>
      </c>
      <c r="X81" s="295">
        <v>26.5</v>
      </c>
      <c r="Y81" s="295">
        <v>26.5</v>
      </c>
      <c r="Z81" s="296">
        <v>26.5</v>
      </c>
      <c r="AA81" s="294">
        <v>26.5</v>
      </c>
      <c r="AB81" s="295">
        <v>26.5</v>
      </c>
      <c r="AC81" s="8"/>
      <c r="AD81" s="8"/>
      <c r="AE81" s="8"/>
      <c r="AF81" s="8"/>
      <c r="AG81" s="8"/>
      <c r="AH81" s="8"/>
      <c r="AI81" s="8"/>
      <c r="AJ81" s="8"/>
      <c r="AK81" s="8"/>
      <c r="AL81" s="56"/>
    </row>
    <row r="82" spans="1:38" s="94" customFormat="1" outlineLevel="1" x14ac:dyDescent="0.3">
      <c r="A82" s="94" t="s">
        <v>39</v>
      </c>
      <c r="B82" s="94" t="s">
        <v>28</v>
      </c>
      <c r="D82" s="95" t="s">
        <v>161</v>
      </c>
      <c r="F82" s="275" t="s">
        <v>274</v>
      </c>
      <c r="G82" s="276"/>
      <c r="H82" s="276"/>
      <c r="I82" s="276" t="s">
        <v>8</v>
      </c>
      <c r="J82" s="276"/>
      <c r="K82" s="2"/>
      <c r="L82" s="276"/>
      <c r="M82" s="276"/>
      <c r="N82" s="287"/>
      <c r="O82" s="225">
        <f>O77-O81</f>
        <v>1340</v>
      </c>
      <c r="P82" s="226">
        <f t="shared" ref="P82:AB82" si="33">P77-P81</f>
        <v>1347.5</v>
      </c>
      <c r="Q82" s="226">
        <f t="shared" si="33"/>
        <v>1360</v>
      </c>
      <c r="R82" s="226">
        <f t="shared" si="33"/>
        <v>1362.5</v>
      </c>
      <c r="S82" s="226">
        <f t="shared" si="33"/>
        <v>1366.5</v>
      </c>
      <c r="T82" s="226">
        <f t="shared" si="33"/>
        <v>1381.5</v>
      </c>
      <c r="U82" s="226">
        <f t="shared" si="33"/>
        <v>1397.5</v>
      </c>
      <c r="V82" s="226">
        <f t="shared" si="33"/>
        <v>1408.5</v>
      </c>
      <c r="W82" s="226">
        <f t="shared" si="33"/>
        <v>1428.5</v>
      </c>
      <c r="X82" s="226">
        <f t="shared" si="33"/>
        <v>1456.25</v>
      </c>
      <c r="Y82" s="226">
        <f t="shared" si="33"/>
        <v>1473.75</v>
      </c>
      <c r="Z82" s="227">
        <f t="shared" si="33"/>
        <v>1477.5</v>
      </c>
      <c r="AA82" s="226">
        <f>AA77-AA81</f>
        <v>1426.403125</v>
      </c>
      <c r="AB82" s="226">
        <f t="shared" si="33"/>
        <v>1388.6447916666652</v>
      </c>
      <c r="AC82" s="226"/>
      <c r="AD82" s="226"/>
      <c r="AE82" s="226"/>
      <c r="AF82" s="226"/>
      <c r="AG82" s="226"/>
      <c r="AH82" s="226"/>
      <c r="AI82" s="226"/>
      <c r="AJ82" s="226"/>
      <c r="AK82" s="226"/>
      <c r="AL82" s="227"/>
    </row>
    <row r="83" spans="1:38" s="183" customFormat="1" outlineLevel="1" x14ac:dyDescent="0.3">
      <c r="A83" s="183" t="s">
        <v>39</v>
      </c>
      <c r="B83" s="183" t="s">
        <v>28</v>
      </c>
      <c r="C83" s="183" t="s">
        <v>43</v>
      </c>
      <c r="F83" s="277" t="s">
        <v>275</v>
      </c>
      <c r="G83" s="278"/>
      <c r="H83" s="278"/>
      <c r="I83" s="278"/>
      <c r="J83" s="278" t="s">
        <v>74</v>
      </c>
      <c r="K83" s="184"/>
      <c r="L83" s="288" cm="1">
        <f t="array" ref="L83">SUMPRODUCT(General_Data*(Year=L$3)*(Month=L$4)*(Code_General_Data=$C83))</f>
        <v>1288.125</v>
      </c>
      <c r="M83" s="288" cm="1">
        <f t="array" ref="M83">SUMPRODUCT(General_Data*(Year=M$3)*(Month=M$4)*(Code_General_Data=$C83))</f>
        <v>1300</v>
      </c>
      <c r="N83" s="289" cm="1">
        <f t="array" ref="N83">SUMPRODUCT(General_Data*(Year=N$3)*(Month=N$4)*(Code_General_Data=$C83))</f>
        <v>1300</v>
      </c>
      <c r="O83" s="202" cm="1">
        <f t="array" ref="O83">SUMPRODUCT(General_Data*(Year=O$3)*(Month=O$4)*(Code_General_Data=$C83))</f>
        <v>1315</v>
      </c>
      <c r="P83" s="201" cm="1">
        <f t="array" ref="P83">SUMPRODUCT(General_Data*(Year=P$3)*(Month=P$4)*(Code_General_Data=$C83))</f>
        <v>1325</v>
      </c>
      <c r="Q83" s="201" cm="1">
        <f t="array" ref="Q83">SUMPRODUCT(General_Data*(Year=Q$3)*(Month=Q$4)*(Code_General_Data=$C83))</f>
        <v>1320</v>
      </c>
      <c r="R83" s="201" cm="1">
        <f t="array" ref="R83">SUMPRODUCT(General_Data*(Year=R$3)*(Month=R$4)*(Code_General_Data=$C83))</f>
        <v>1333</v>
      </c>
      <c r="S83" s="201" cm="1">
        <f t="array" ref="S83">SUMPRODUCT(General_Data*(Year=S$3)*(Month=S$4)*(Code_General_Data=$C83))</f>
        <v>1350</v>
      </c>
      <c r="T83" s="201" cm="1">
        <f t="array" ref="T83">SUMPRODUCT(General_Data*(Year=T$3)*(Month=T$4)*(Code_General_Data=$C83))</f>
        <v>1365</v>
      </c>
      <c r="U83" s="201" cm="1">
        <f t="array" ref="U83">SUMPRODUCT(General_Data*(Year=U$3)*(Month=U$4)*(Code_General_Data=$C83))</f>
        <v>1372</v>
      </c>
      <c r="V83" s="201" cm="1">
        <f t="array" ref="V83">SUMPRODUCT(General_Data*(Year=V$3)*(Month=V$4)*(Code_General_Data=$C83))</f>
        <v>1405</v>
      </c>
      <c r="W83" s="201" cm="1">
        <f t="array" ref="W83">SUMPRODUCT(General_Data*(Year=W$3)*(Month=W$4)*(Code_General_Data=$C83))</f>
        <v>1427.5</v>
      </c>
      <c r="X83" s="201" cm="1">
        <f t="array" ref="X83">SUMPRODUCT(General_Data*(Year=X$3)*(Month=X$4)*(Code_General_Data=$C83))</f>
        <v>1440</v>
      </c>
      <c r="Y83" s="201" cm="1">
        <f t="array" ref="Y83">SUMPRODUCT(General_Data*(Year=Y$3)*(Month=Y$4)*(Code_General_Data=$C83))</f>
        <v>1435</v>
      </c>
      <c r="Z83" s="203" cm="1">
        <f t="array" ref="Z83">SUMPRODUCT(General_Data*(Year=Z$3)*(Month=Z$4)*(Code_General_Data=$C83))</f>
        <v>1421.25</v>
      </c>
      <c r="AA83" s="201" cm="1">
        <f t="array" ref="AA83">SUMPRODUCT(General_Data*(Year=AA$3)*(Month=AA$4)*(Code_General_Data=$C83))</f>
        <v>1358.3333333333301</v>
      </c>
      <c r="AB83" s="201" cm="1">
        <f t="array" ref="AB83">SUMPRODUCT(General_Data*(Year=AB$3)*(Month=AB$4)*(Code_General_Data=$C83))</f>
        <v>1350</v>
      </c>
      <c r="AC83" s="201"/>
      <c r="AD83" s="201"/>
      <c r="AE83" s="201"/>
      <c r="AF83" s="201"/>
      <c r="AG83" s="201"/>
      <c r="AH83" s="201"/>
      <c r="AI83" s="201"/>
      <c r="AJ83" s="201"/>
      <c r="AK83" s="201"/>
      <c r="AL83" s="203"/>
    </row>
    <row r="84" spans="1:38" s="96" customFormat="1" ht="114.6" customHeight="1" outlineLevel="1" x14ac:dyDescent="0.3">
      <c r="A84" s="96" t="s">
        <v>39</v>
      </c>
      <c r="B84" s="96" t="s">
        <v>28</v>
      </c>
      <c r="D84" s="97"/>
      <c r="F84" s="279" t="s">
        <v>276</v>
      </c>
      <c r="G84" s="280"/>
      <c r="H84" s="280"/>
      <c r="I84" s="280"/>
      <c r="J84" s="280" t="s">
        <v>44</v>
      </c>
      <c r="K84" s="12"/>
      <c r="L84" s="280"/>
      <c r="M84" s="280"/>
      <c r="N84" s="290"/>
      <c r="O84" s="88" t="str" cm="1">
        <f t="array" ref="O84">INDEX(Note!$G$3:$G$102,MATCH(1,(Note!$A$3:$A$102=$A84)*(Note!$C$3:$C$102=$B84)*(Note!$E$3:$E$102&lt;=O$1)*(Note!$F$3:$F$102&gt;=O$2),0))</f>
        <v>Giá ICIS rPET ĐNA trung bình từ ngày 16 tháng (X-2) đến ngày 15 tháng (X-1) +Premium ( Chi phí tăng IV ) - REBATE + Cp vận chuyển</v>
      </c>
      <c r="P84" s="27" t="str" cm="1">
        <f t="array" ref="P84">INDEX(Note!$G$3:$G$102,MATCH(1,(Note!$A$3:$A$102=$A84)*(Note!$C$3:$C$102=$B84)*(Note!$E$3:$E$102&lt;=P$1)*(Note!$F$3:$F$102&gt;=P$2),0))</f>
        <v>Giá ICIS rPET ĐNA trung bình từ ngày 16 tháng (X-2) đến ngày 15 tháng (X-1) +Premium ( Chi phí tăng IV ) - REBATE + Cp vận chuyển</v>
      </c>
      <c r="Q84" s="27" t="str" cm="1">
        <f t="array" ref="Q84">INDEX(Note!$G$3:$G$102,MATCH(1,(Note!$A$3:$A$102=$A84)*(Note!$C$3:$C$102=$B84)*(Note!$E$3:$E$102&lt;=Q$1)*(Note!$F$3:$F$102&gt;=Q$2),0))</f>
        <v>Giá ICIS rPET ĐNA trung bình từ ngày 16 tháng (X-2) đến ngày 15 tháng (X-1) +Premium ( Chi phí tăng IV ) - REBATE + Cp vận chuyển</v>
      </c>
      <c r="R84" s="27" t="str" cm="1">
        <f t="array" ref="R84">INDEX(Note!$G$3:$G$102,MATCH(1,(Note!$A$3:$A$102=$A84)*(Note!$C$3:$C$102=$B84)*(Note!$E$3:$E$102&lt;=R$1)*(Note!$F$3:$F$102&gt;=R$2),0))</f>
        <v>Giá ICIS rPET ĐNA trung bình từ ngày 16 tháng (X-2) đến ngày 15 tháng (X-1) +Premium ( Chi phí tăng IV ) - REBATE + Cp vận chuyển</v>
      </c>
      <c r="S84" s="27" t="str" cm="1">
        <f t="array" ref="S84">INDEX(Note!$G$3:$G$102,MATCH(1,(Note!$A$3:$A$102=$A84)*(Note!$C$3:$C$102=$B84)*(Note!$E$3:$E$102&lt;=S$1)*(Note!$F$3:$F$102&gt;=S$2),0))</f>
        <v>Giá ICIS rPET ĐNA trung bình từ ngày 16 tháng (X-2) đến ngày 15 tháng (X-1) +Premium ( Chi phí tăng IV ) - REBATE + Cp vận chuyển</v>
      </c>
      <c r="T84" s="27" t="str" cm="1">
        <f t="array" ref="T84">INDEX(Note!$G$3:$G$102,MATCH(1,(Note!$A$3:$A$102=$A84)*(Note!$C$3:$C$102=$B84)*(Note!$E$3:$E$102&lt;=T$1)*(Note!$F$3:$F$102&gt;=T$2),0))</f>
        <v>Giá ICIS rPET ĐNA trung bình từ ngày 16 tháng (X-2) đến ngày 15 tháng (X-1) +Premium ( Chi phí tăng IV ) - REBATE + Cp vận chuyển</v>
      </c>
      <c r="U84" s="27" t="str" cm="1">
        <f t="array" ref="U84">INDEX(Note!$G$3:$G$102,MATCH(1,(Note!$A$3:$A$102=$A84)*(Note!$C$3:$C$102=$B84)*(Note!$E$3:$E$102&lt;=U$1)*(Note!$F$3:$F$102&gt;=U$2),0))</f>
        <v>Giá ICIS rPET ĐNA trung bình từ ngày 16 tháng (X-2) đến ngày 15 tháng (X-1) +Premium ( Chi phí tăng IV ) - REBATE + Cp vận chuyển</v>
      </c>
      <c r="V84" s="27" t="str" cm="1">
        <f t="array" ref="V84">INDEX(Note!$G$3:$G$102,MATCH(1,(Note!$A$3:$A$102=$A84)*(Note!$C$3:$C$102=$B84)*(Note!$E$3:$E$102&lt;=V$1)*(Note!$F$3:$F$102&gt;=V$2),0))</f>
        <v>Giá ICIS rPET ĐNA trung bình từ ngày 16 tháng (X-2) đến ngày 15 tháng (X-1) +Premium ( Chi phí tăng IV ) - REBATE + Cp vận chuyển</v>
      </c>
      <c r="W84" s="27" t="str" cm="1">
        <f t="array" ref="W84">INDEX(Note!$G$3:$G$102,MATCH(1,(Note!$A$3:$A$102=$A84)*(Note!$C$3:$C$102=$B84)*(Note!$E$3:$E$102&lt;=W$1)*(Note!$F$3:$F$102&gt;=W$2),0))</f>
        <v>Giá ICIS rPET ĐNA trung bình từ ngày 16 tháng (X-2) đến ngày 15 tháng (X-1) +Premium ( Chi phí tăng IV ) - REBATE + Cp vận chuyển</v>
      </c>
      <c r="X84" s="27" t="str" cm="1">
        <f t="array" ref="X84">INDEX(Note!$G$3:$G$102,MATCH(1,(Note!$A$3:$A$102=$A84)*(Note!$C$3:$C$102=$B84)*(Note!$E$3:$E$102&lt;=X$1)*(Note!$F$3:$F$102&gt;=X$2),0))</f>
        <v>Giá ICIS rPET ĐNA trung bình từ ngày 16 tháng (X-2) đến ngày 15 tháng (X-1) +Premium ( Chi phí tăng IV ) - REBATE + Cp vận chuyển</v>
      </c>
      <c r="Y84" s="27" t="str" cm="1">
        <f t="array" ref="Y84">INDEX(Note!$G$3:$G$102,MATCH(1,(Note!$A$3:$A$102=$A84)*(Note!$C$3:$C$102=$B84)*(Note!$E$3:$E$102&lt;=Y$1)*(Note!$F$3:$F$102&gt;=Y$2),0))</f>
        <v>Giá ICIS rPET ĐNA trung bình từ ngày 16 tháng (X-2) đến ngày 15 tháng (X-1) +Premium ( Chi phí tăng IV ) - REBATE + Cp vận chuyển</v>
      </c>
      <c r="Z84" s="89" t="str" cm="1">
        <f t="array" ref="Z84">INDEX(Note!$G$3:$G$102,MATCH(1,(Note!$A$3:$A$102=$A84)*(Note!$C$3:$C$102=$B84)*(Note!$E$3:$E$102&lt;=Z$1)*(Note!$F$3:$F$102&gt;=Z$2),0))</f>
        <v>Giá ICIS rPET ĐNA trung bình từ ngày 16 tháng (X-2) đến ngày 15 tháng (X-1) +Premium ( Chi phí tăng IV ) - REBATE + Cp vận chuyển</v>
      </c>
      <c r="AA84" s="27" t="str" cm="1">
        <f t="array" ref="AA84">INDEX(Note!$G$3:$G$102,MATCH(1,(Note!$A$3:$A$102=$A84)*(Note!$C$3:$C$102=$B84)*(Note!$E$3:$E$102&lt;=AA$1)*(Note!$F$3:$F$102&gt;=AA$2),0))</f>
        <v>Giá ICIS rPET ĐNA trung bình từ ngày 16 tháng (X-2) đến ngày 15 tháng (X-1) +Premium ( Chi phí tăng IV ) - REBATE + Cp vận chuyển. Giá trần $1,550; giá sàn $1,330</v>
      </c>
      <c r="AB84" s="27" t="str" cm="1">
        <f t="array" ref="AB84">INDEX(Note!$G$3:$G$102,MATCH(1,(Note!$A$3:$A$102=$A84)*(Note!$C$3:$C$102=$B84)*(Note!$E$3:$E$102&lt;=AB$1)*(Note!$F$3:$F$102&gt;=AB$2),0))</f>
        <v>Giá ICIS rPET ĐNA trung bình từ ngày 16 tháng (X-2) đến ngày 15 tháng (X-1) +Premium ( Chi phí tăng IV ) - REBATE + Cp vận chuyển. Giá trần $1,550; giá sàn $1,330</v>
      </c>
      <c r="AC84" s="27"/>
      <c r="AD84" s="27"/>
      <c r="AE84" s="27"/>
      <c r="AF84" s="27"/>
      <c r="AG84" s="27"/>
      <c r="AH84" s="27"/>
      <c r="AI84" s="27"/>
      <c r="AJ84" s="27"/>
      <c r="AK84" s="27"/>
      <c r="AL84" s="89"/>
    </row>
    <row r="85" spans="1:38" s="96" customFormat="1" outlineLevel="1" x14ac:dyDescent="0.3">
      <c r="A85" s="96" t="s">
        <v>39</v>
      </c>
      <c r="B85" s="96" t="s">
        <v>28</v>
      </c>
      <c r="D85" s="97"/>
      <c r="F85" s="279" t="s">
        <v>277</v>
      </c>
      <c r="G85" s="280"/>
      <c r="H85" s="280"/>
      <c r="I85" s="280"/>
      <c r="J85" s="280" t="s">
        <v>42</v>
      </c>
      <c r="K85" s="12"/>
      <c r="L85" s="280"/>
      <c r="M85" s="280"/>
      <c r="N85" s="290"/>
      <c r="O85" s="88" t="str" cm="1">
        <f t="array" ref="O85">INDEX(Note!$H$3:$H$102,MATCH(1,(Note!$A$3:$A$102=$A85)*(Note!$C$3:$C$102=$B85)*(Note!$E$3:$E$102&lt;=O$1)*(Note!$F$3:$F$102&gt;=O$2),0))</f>
        <v>DDP</v>
      </c>
      <c r="P85" s="27" t="str" cm="1">
        <f t="array" ref="P85">INDEX(Note!$H$3:$H$102,MATCH(1,(Note!$A$3:$A$102=$A85)*(Note!$C$3:$C$102=$B85)*(Note!$E$3:$E$102&lt;=P$1)*(Note!$F$3:$F$102&gt;=P$2),0))</f>
        <v>DDP</v>
      </c>
      <c r="Q85" s="27" t="str" cm="1">
        <f t="array" ref="Q85">INDEX(Note!$H$3:$H$102,MATCH(1,(Note!$A$3:$A$102=$A85)*(Note!$C$3:$C$102=$B85)*(Note!$E$3:$E$102&lt;=Q$1)*(Note!$F$3:$F$102&gt;=Q$2),0))</f>
        <v>DDP</v>
      </c>
      <c r="R85" s="27" t="str" cm="1">
        <f t="array" ref="R85">INDEX(Note!$H$3:$H$102,MATCH(1,(Note!$A$3:$A$102=$A85)*(Note!$C$3:$C$102=$B85)*(Note!$E$3:$E$102&lt;=R$1)*(Note!$F$3:$F$102&gt;=R$2),0))</f>
        <v>DDP</v>
      </c>
      <c r="S85" s="27" t="str" cm="1">
        <f t="array" ref="S85">INDEX(Note!$H$3:$H$102,MATCH(1,(Note!$A$3:$A$102=$A85)*(Note!$C$3:$C$102=$B85)*(Note!$E$3:$E$102&lt;=S$1)*(Note!$F$3:$F$102&gt;=S$2),0))</f>
        <v>DDP</v>
      </c>
      <c r="T85" s="27" t="str" cm="1">
        <f t="array" ref="T85">INDEX(Note!$H$3:$H$102,MATCH(1,(Note!$A$3:$A$102=$A85)*(Note!$C$3:$C$102=$B85)*(Note!$E$3:$E$102&lt;=T$1)*(Note!$F$3:$F$102&gt;=T$2),0))</f>
        <v>DDP</v>
      </c>
      <c r="U85" s="27" t="str" cm="1">
        <f t="array" ref="U85">INDEX(Note!$H$3:$H$102,MATCH(1,(Note!$A$3:$A$102=$A85)*(Note!$C$3:$C$102=$B85)*(Note!$E$3:$E$102&lt;=U$1)*(Note!$F$3:$F$102&gt;=U$2),0))</f>
        <v>DDP</v>
      </c>
      <c r="V85" s="27" t="str" cm="1">
        <f t="array" ref="V85">INDEX(Note!$H$3:$H$102,MATCH(1,(Note!$A$3:$A$102=$A85)*(Note!$C$3:$C$102=$B85)*(Note!$E$3:$E$102&lt;=V$1)*(Note!$F$3:$F$102&gt;=V$2),0))</f>
        <v>DDP</v>
      </c>
      <c r="W85" s="27" t="str" cm="1">
        <f t="array" ref="W85">INDEX(Note!$H$3:$H$102,MATCH(1,(Note!$A$3:$A$102=$A85)*(Note!$C$3:$C$102=$B85)*(Note!$E$3:$E$102&lt;=W$1)*(Note!$F$3:$F$102&gt;=W$2),0))</f>
        <v>DDP</v>
      </c>
      <c r="X85" s="27" t="str" cm="1">
        <f t="array" ref="X85">INDEX(Note!$H$3:$H$102,MATCH(1,(Note!$A$3:$A$102=$A85)*(Note!$C$3:$C$102=$B85)*(Note!$E$3:$E$102&lt;=X$1)*(Note!$F$3:$F$102&gt;=X$2),0))</f>
        <v>DDP</v>
      </c>
      <c r="Y85" s="27" t="str" cm="1">
        <f t="array" ref="Y85">INDEX(Note!$H$3:$H$102,MATCH(1,(Note!$A$3:$A$102=$A85)*(Note!$C$3:$C$102=$B85)*(Note!$E$3:$E$102&lt;=Y$1)*(Note!$F$3:$F$102&gt;=Y$2),0))</f>
        <v>DDP</v>
      </c>
      <c r="Z85" s="89" t="str" cm="1">
        <f t="array" ref="Z85">INDEX(Note!$H$3:$H$102,MATCH(1,(Note!$A$3:$A$102=$A85)*(Note!$C$3:$C$102=$B85)*(Note!$E$3:$E$102&lt;=Z$1)*(Note!$F$3:$F$102&gt;=Z$2),0))</f>
        <v>DDP</v>
      </c>
      <c r="AA85" s="27" t="str" cm="1">
        <f t="array" ref="AA85">INDEX(Note!$H$3:$H$102,MATCH(1,(Note!$A$3:$A$102=$A85)*(Note!$C$3:$C$102=$B85)*(Note!$E$3:$E$102&lt;=AA$1)*(Note!$F$3:$F$102&gt;=AA$2),0))</f>
        <v>DDP</v>
      </c>
      <c r="AB85" s="27" t="str" cm="1">
        <f t="array" ref="AB85">INDEX(Note!$H$3:$H$102,MATCH(1,(Note!$A$3:$A$102=$A85)*(Note!$C$3:$C$102=$B85)*(Note!$E$3:$E$102&lt;=AB$1)*(Note!$F$3:$F$102&gt;=AB$2),0))</f>
        <v>DDP</v>
      </c>
      <c r="AC85" s="27"/>
      <c r="AD85" s="27"/>
      <c r="AE85" s="27"/>
      <c r="AF85" s="27"/>
      <c r="AG85" s="27"/>
      <c r="AH85" s="27"/>
      <c r="AI85" s="27"/>
      <c r="AJ85" s="27"/>
      <c r="AK85" s="27"/>
      <c r="AL85" s="89"/>
    </row>
    <row r="86" spans="1:38" s="97" customFormat="1" outlineLevel="1" x14ac:dyDescent="0.3">
      <c r="A86" s="97" t="s">
        <v>39</v>
      </c>
      <c r="B86" s="97" t="s">
        <v>28</v>
      </c>
      <c r="F86" s="281" t="s">
        <v>278</v>
      </c>
      <c r="G86" s="282"/>
      <c r="H86" s="282"/>
      <c r="I86" s="282"/>
      <c r="J86" s="282" t="s">
        <v>45</v>
      </c>
      <c r="K86" s="109"/>
      <c r="L86" s="282"/>
      <c r="M86" s="282"/>
      <c r="N86" s="291"/>
      <c r="O86" s="233" t="str" cm="1">
        <f t="array" ref="O86">INDEX(Note!$I$3:$I$102,MATCH(1,(Note!$A$3:$A$102=$A86)*(Note!$C$3:$C$102=$B86)*(Note!$E$3:$E$102&lt;=O$1)*(Note!$F$3:$F$102&gt;=O$2),0))</f>
        <v>Tháng</v>
      </c>
      <c r="P86" s="193" t="str" cm="1">
        <f t="array" ref="P86">INDEX(Note!$I$3:$I$102,MATCH(1,(Note!$A$3:$A$102=$A86)*(Note!$C$3:$C$102=$B86)*(Note!$E$3:$E$102&lt;=P$1)*(Note!$F$3:$F$102&gt;=P$2),0))</f>
        <v>Tháng</v>
      </c>
      <c r="Q86" s="193" t="str" cm="1">
        <f t="array" ref="Q86">INDEX(Note!$I$3:$I$102,MATCH(1,(Note!$A$3:$A$102=$A86)*(Note!$C$3:$C$102=$B86)*(Note!$E$3:$E$102&lt;=Q$1)*(Note!$F$3:$F$102&gt;=Q$2),0))</f>
        <v>Tháng</v>
      </c>
      <c r="R86" s="193" t="str" cm="1">
        <f t="array" ref="R86">INDEX(Note!$I$3:$I$102,MATCH(1,(Note!$A$3:$A$102=$A86)*(Note!$C$3:$C$102=$B86)*(Note!$E$3:$E$102&lt;=R$1)*(Note!$F$3:$F$102&gt;=R$2),0))</f>
        <v>Tháng</v>
      </c>
      <c r="S86" s="193" t="str" cm="1">
        <f t="array" ref="S86">INDEX(Note!$I$3:$I$102,MATCH(1,(Note!$A$3:$A$102=$A86)*(Note!$C$3:$C$102=$B86)*(Note!$E$3:$E$102&lt;=S$1)*(Note!$F$3:$F$102&gt;=S$2),0))</f>
        <v>Tháng</v>
      </c>
      <c r="T86" s="193" t="str" cm="1">
        <f t="array" ref="T86">INDEX(Note!$I$3:$I$102,MATCH(1,(Note!$A$3:$A$102=$A86)*(Note!$C$3:$C$102=$B86)*(Note!$E$3:$E$102&lt;=T$1)*(Note!$F$3:$F$102&gt;=T$2),0))</f>
        <v>Tháng</v>
      </c>
      <c r="U86" s="193" t="str" cm="1">
        <f t="array" ref="U86">INDEX(Note!$I$3:$I$102,MATCH(1,(Note!$A$3:$A$102=$A86)*(Note!$C$3:$C$102=$B86)*(Note!$E$3:$E$102&lt;=U$1)*(Note!$F$3:$F$102&gt;=U$2),0))</f>
        <v>Tháng</v>
      </c>
      <c r="V86" s="193" t="str" cm="1">
        <f t="array" ref="V86">INDEX(Note!$I$3:$I$102,MATCH(1,(Note!$A$3:$A$102=$A86)*(Note!$C$3:$C$102=$B86)*(Note!$E$3:$E$102&lt;=V$1)*(Note!$F$3:$F$102&gt;=V$2),0))</f>
        <v>Tháng</v>
      </c>
      <c r="W86" s="193" t="str" cm="1">
        <f t="array" ref="W86">INDEX(Note!$I$3:$I$102,MATCH(1,(Note!$A$3:$A$102=$A86)*(Note!$C$3:$C$102=$B86)*(Note!$E$3:$E$102&lt;=W$1)*(Note!$F$3:$F$102&gt;=W$2),0))</f>
        <v>Tháng</v>
      </c>
      <c r="X86" s="193" t="str" cm="1">
        <f t="array" ref="X86">INDEX(Note!$I$3:$I$102,MATCH(1,(Note!$A$3:$A$102=$A86)*(Note!$C$3:$C$102=$B86)*(Note!$E$3:$E$102&lt;=X$1)*(Note!$F$3:$F$102&gt;=X$2),0))</f>
        <v>Tháng</v>
      </c>
      <c r="Y86" s="193" t="str" cm="1">
        <f t="array" ref="Y86">INDEX(Note!$I$3:$I$102,MATCH(1,(Note!$A$3:$A$102=$A86)*(Note!$C$3:$C$102=$B86)*(Note!$E$3:$E$102&lt;=Y$1)*(Note!$F$3:$F$102&gt;=Y$2),0))</f>
        <v>Tháng</v>
      </c>
      <c r="Z86" s="194" t="str" cm="1">
        <f t="array" ref="Z86">INDEX(Note!$I$3:$I$102,MATCH(1,(Note!$A$3:$A$102=$A86)*(Note!$C$3:$C$102=$B86)*(Note!$E$3:$E$102&lt;=Z$1)*(Note!$F$3:$F$102&gt;=Z$2),0))</f>
        <v>Tháng</v>
      </c>
      <c r="AA86" s="193" t="str" cm="1">
        <f t="array" ref="AA86">INDEX(Note!$I$3:$I$102,MATCH(1,(Note!$A$3:$A$102=$A86)*(Note!$C$3:$C$102=$B86)*(Note!$E$3:$E$102&lt;=AA$1)*(Note!$F$3:$F$102&gt;=AA$2),0))</f>
        <v>Tháng</v>
      </c>
      <c r="AB86" s="193" t="str" cm="1">
        <f t="array" ref="AB86">INDEX(Note!$I$3:$I$102,MATCH(1,(Note!$A$3:$A$102=$A86)*(Note!$C$3:$C$102=$B86)*(Note!$E$3:$E$102&lt;=AB$1)*(Note!$F$3:$F$102&gt;=AB$2),0))</f>
        <v>Tháng</v>
      </c>
      <c r="AC86" s="193"/>
      <c r="AD86" s="193"/>
      <c r="AE86" s="193"/>
      <c r="AF86" s="193"/>
      <c r="AG86" s="193"/>
      <c r="AH86" s="193"/>
      <c r="AI86" s="193"/>
      <c r="AJ86" s="193"/>
      <c r="AK86" s="193"/>
      <c r="AL86" s="194"/>
    </row>
    <row r="87" spans="1:38" s="97" customFormat="1" outlineLevel="1" x14ac:dyDescent="0.3">
      <c r="A87" s="97" t="s">
        <v>39</v>
      </c>
      <c r="B87" s="97" t="s">
        <v>28</v>
      </c>
      <c r="F87" s="193" t="s">
        <v>279</v>
      </c>
      <c r="G87" s="107"/>
      <c r="H87" s="107"/>
      <c r="I87" s="107"/>
      <c r="J87" s="107" t="s">
        <v>46</v>
      </c>
      <c r="K87" s="109"/>
      <c r="L87" s="196"/>
      <c r="M87" s="196"/>
      <c r="N87" s="196"/>
      <c r="O87" s="195" cm="1">
        <f t="array" ref="O87">INDEX(Note!$J$3:$J$102,MATCH(1,(Note!$A$3:$A$102=$A87)*(Note!$C$3:$C$102=$B87)*(Note!$E$3:$E$102&lt;=O$1)*(Note!$F$3:$F$102&gt;=O$2),0))</f>
        <v>0</v>
      </c>
      <c r="P87" s="196" cm="1">
        <f t="array" ref="P87">INDEX(Note!$J$3:$J$102,MATCH(1,(Note!$A$3:$A$102=$A87)*(Note!$C$3:$C$102=$B87)*(Note!$E$3:$E$102&lt;=P$1)*(Note!$F$3:$F$102&gt;=P$2),0))</f>
        <v>0</v>
      </c>
      <c r="Q87" s="196" cm="1">
        <f t="array" ref="Q87">INDEX(Note!$J$3:$J$102,MATCH(1,(Note!$A$3:$A$102=$A87)*(Note!$C$3:$C$102=$B87)*(Note!$E$3:$E$102&lt;=Q$1)*(Note!$F$3:$F$102&gt;=Q$2),0))</f>
        <v>0</v>
      </c>
      <c r="R87" s="196" cm="1">
        <f t="array" ref="R87">INDEX(Note!$J$3:$J$102,MATCH(1,(Note!$A$3:$A$102=$A87)*(Note!$C$3:$C$102=$B87)*(Note!$E$3:$E$102&lt;=R$1)*(Note!$F$3:$F$102&gt;=R$2),0))</f>
        <v>0</v>
      </c>
      <c r="S87" s="196" cm="1">
        <f t="array" ref="S87">INDEX(Note!$J$3:$J$102,MATCH(1,(Note!$A$3:$A$102=$A87)*(Note!$C$3:$C$102=$B87)*(Note!$E$3:$E$102&lt;=S$1)*(Note!$F$3:$F$102&gt;=S$2),0))</f>
        <v>0</v>
      </c>
      <c r="T87" s="196" cm="1">
        <f t="array" ref="T87">INDEX(Note!$J$3:$J$102,MATCH(1,(Note!$A$3:$A$102=$A87)*(Note!$C$3:$C$102=$B87)*(Note!$E$3:$E$102&lt;=T$1)*(Note!$F$3:$F$102&gt;=T$2),0))</f>
        <v>0</v>
      </c>
      <c r="U87" s="196" cm="1">
        <f t="array" ref="U87">INDEX(Note!$J$3:$J$102,MATCH(1,(Note!$A$3:$A$102=$A87)*(Note!$C$3:$C$102=$B87)*(Note!$E$3:$E$102&lt;=U$1)*(Note!$F$3:$F$102&gt;=U$2),0))</f>
        <v>0</v>
      </c>
      <c r="V87" s="196" cm="1">
        <f t="array" ref="V87">INDEX(Note!$J$3:$J$102,MATCH(1,(Note!$A$3:$A$102=$A87)*(Note!$C$3:$C$102=$B87)*(Note!$E$3:$E$102&lt;=V$1)*(Note!$F$3:$F$102&gt;=V$2),0))</f>
        <v>0</v>
      </c>
      <c r="W87" s="196" cm="1">
        <f t="array" ref="W87">INDEX(Note!$J$3:$J$102,MATCH(1,(Note!$A$3:$A$102=$A87)*(Note!$C$3:$C$102=$B87)*(Note!$E$3:$E$102&lt;=W$1)*(Note!$F$3:$F$102&gt;=W$2),0))</f>
        <v>0</v>
      </c>
      <c r="X87" s="196" cm="1">
        <f t="array" ref="X87">INDEX(Note!$J$3:$J$102,MATCH(1,(Note!$A$3:$A$102=$A87)*(Note!$C$3:$C$102=$B87)*(Note!$E$3:$E$102&lt;=X$1)*(Note!$F$3:$F$102&gt;=X$2),0))</f>
        <v>0</v>
      </c>
      <c r="Y87" s="196" cm="1">
        <f t="array" ref="Y87">INDEX(Note!$J$3:$J$102,MATCH(1,(Note!$A$3:$A$102=$A87)*(Note!$C$3:$C$102=$B87)*(Note!$E$3:$E$102&lt;=Y$1)*(Note!$F$3:$F$102&gt;=Y$2),0))</f>
        <v>0</v>
      </c>
      <c r="Z87" s="197" cm="1">
        <f t="array" ref="Z87">INDEX(Note!$J$3:$J$102,MATCH(1,(Note!$A$3:$A$102=$A87)*(Note!$C$3:$C$102=$B87)*(Note!$E$3:$E$102&lt;=Z$1)*(Note!$F$3:$F$102&gt;=Z$2),0))</f>
        <v>0</v>
      </c>
      <c r="AA87" s="196" cm="1">
        <f t="array" ref="AA87">INDEX(Note!$J$3:$J$102,MATCH(1,(Note!$A$3:$A$102=$A87)*(Note!$C$3:$C$102=$B87)*(Note!$E$3:$E$102&lt;=AA$1)*(Note!$F$3:$F$102&gt;=AA$2),0))</f>
        <v>1550</v>
      </c>
      <c r="AB87" s="196" cm="1">
        <f t="array" ref="AB87">INDEX(Note!$J$3:$J$102,MATCH(1,(Note!$A$3:$A$102=$A87)*(Note!$C$3:$C$102=$B87)*(Note!$E$3:$E$102&lt;=AB$1)*(Note!$F$3:$F$102&gt;=AB$2),0))</f>
        <v>1550</v>
      </c>
      <c r="AC87" s="196"/>
      <c r="AD87" s="196"/>
      <c r="AE87" s="196"/>
      <c r="AF87" s="196"/>
      <c r="AG87" s="196"/>
      <c r="AH87" s="196"/>
      <c r="AI87" s="196"/>
      <c r="AJ87" s="196"/>
      <c r="AK87" s="196"/>
      <c r="AL87" s="197"/>
    </row>
    <row r="88" spans="1:38" s="97" customFormat="1" outlineLevel="1" x14ac:dyDescent="0.3">
      <c r="A88" s="97" t="s">
        <v>39</v>
      </c>
      <c r="B88" s="97" t="s">
        <v>28</v>
      </c>
      <c r="F88" s="193" t="s">
        <v>280</v>
      </c>
      <c r="G88" s="107"/>
      <c r="H88" s="107"/>
      <c r="I88" s="107"/>
      <c r="J88" s="107" t="s">
        <v>47</v>
      </c>
      <c r="K88" s="109"/>
      <c r="L88" s="196"/>
      <c r="M88" s="196"/>
      <c r="N88" s="196"/>
      <c r="O88" s="195" cm="1">
        <f t="array" ref="O88">INDEX(Note!$K$3:$K$102,MATCH(1,(Note!$A$3:$A$102=$A88)*(Note!$C$3:$C$102=$B88)*(Note!$E$3:$E$102&lt;=O$1)*(Note!$F$3:$F$102&gt;=O$2),0))</f>
        <v>0</v>
      </c>
      <c r="P88" s="196" cm="1">
        <f t="array" ref="P88">INDEX(Note!$K$3:$K$102,MATCH(1,(Note!$A$3:$A$102=$A88)*(Note!$C$3:$C$102=$B88)*(Note!$E$3:$E$102&lt;=P$1)*(Note!$F$3:$F$102&gt;=P$2),0))</f>
        <v>0</v>
      </c>
      <c r="Q88" s="196" cm="1">
        <f t="array" ref="Q88">INDEX(Note!$K$3:$K$102,MATCH(1,(Note!$A$3:$A$102=$A88)*(Note!$C$3:$C$102=$B88)*(Note!$E$3:$E$102&lt;=Q$1)*(Note!$F$3:$F$102&gt;=Q$2),0))</f>
        <v>0</v>
      </c>
      <c r="R88" s="196" cm="1">
        <f t="array" ref="R88">INDEX(Note!$K$3:$K$102,MATCH(1,(Note!$A$3:$A$102=$A88)*(Note!$C$3:$C$102=$B88)*(Note!$E$3:$E$102&lt;=R$1)*(Note!$F$3:$F$102&gt;=R$2),0))</f>
        <v>0</v>
      </c>
      <c r="S88" s="196" cm="1">
        <f t="array" ref="S88">INDEX(Note!$K$3:$K$102,MATCH(1,(Note!$A$3:$A$102=$A88)*(Note!$C$3:$C$102=$B88)*(Note!$E$3:$E$102&lt;=S$1)*(Note!$F$3:$F$102&gt;=S$2),0))</f>
        <v>0</v>
      </c>
      <c r="T88" s="196" cm="1">
        <f t="array" ref="T88">INDEX(Note!$K$3:$K$102,MATCH(1,(Note!$A$3:$A$102=$A88)*(Note!$C$3:$C$102=$B88)*(Note!$E$3:$E$102&lt;=T$1)*(Note!$F$3:$F$102&gt;=T$2),0))</f>
        <v>0</v>
      </c>
      <c r="U88" s="196" cm="1">
        <f t="array" ref="U88">INDEX(Note!$K$3:$K$102,MATCH(1,(Note!$A$3:$A$102=$A88)*(Note!$C$3:$C$102=$B88)*(Note!$E$3:$E$102&lt;=U$1)*(Note!$F$3:$F$102&gt;=U$2),0))</f>
        <v>0</v>
      </c>
      <c r="V88" s="196" cm="1">
        <f t="array" ref="V88">INDEX(Note!$K$3:$K$102,MATCH(1,(Note!$A$3:$A$102=$A88)*(Note!$C$3:$C$102=$B88)*(Note!$E$3:$E$102&lt;=V$1)*(Note!$F$3:$F$102&gt;=V$2),0))</f>
        <v>0</v>
      </c>
      <c r="W88" s="196" cm="1">
        <f t="array" ref="W88">INDEX(Note!$K$3:$K$102,MATCH(1,(Note!$A$3:$A$102=$A88)*(Note!$C$3:$C$102=$B88)*(Note!$E$3:$E$102&lt;=W$1)*(Note!$F$3:$F$102&gt;=W$2),0))</f>
        <v>0</v>
      </c>
      <c r="X88" s="196" cm="1">
        <f t="array" ref="X88">INDEX(Note!$K$3:$K$102,MATCH(1,(Note!$A$3:$A$102=$A88)*(Note!$C$3:$C$102=$B88)*(Note!$E$3:$E$102&lt;=X$1)*(Note!$F$3:$F$102&gt;=X$2),0))</f>
        <v>0</v>
      </c>
      <c r="Y88" s="196" cm="1">
        <f t="array" ref="Y88">INDEX(Note!$K$3:$K$102,MATCH(1,(Note!$A$3:$A$102=$A88)*(Note!$C$3:$C$102=$B88)*(Note!$E$3:$E$102&lt;=Y$1)*(Note!$F$3:$F$102&gt;=Y$2),0))</f>
        <v>0</v>
      </c>
      <c r="Z88" s="197" cm="1">
        <f t="array" ref="Z88">INDEX(Note!$K$3:$K$102,MATCH(1,(Note!$A$3:$A$102=$A88)*(Note!$C$3:$C$102=$B88)*(Note!$E$3:$E$102&lt;=Z$1)*(Note!$F$3:$F$102&gt;=Z$2),0))</f>
        <v>0</v>
      </c>
      <c r="AA88" s="196" cm="1">
        <f t="array" ref="AA88">INDEX(Note!$K$3:$K$102,MATCH(1,(Note!$A$3:$A$102=$A88)*(Note!$C$3:$C$102=$B88)*(Note!$E$3:$E$102&lt;=AA$1)*(Note!$F$3:$F$102&gt;=AA$2),0))</f>
        <v>1330</v>
      </c>
      <c r="AB88" s="196" cm="1">
        <f t="array" ref="AB88">INDEX(Note!$K$3:$K$102,MATCH(1,(Note!$A$3:$A$102=$A88)*(Note!$C$3:$C$102=$B88)*(Note!$E$3:$E$102&lt;=AB$1)*(Note!$F$3:$F$102&gt;=AB$2),0))</f>
        <v>1330</v>
      </c>
      <c r="AC88" s="196"/>
      <c r="AD88" s="196"/>
      <c r="AE88" s="196"/>
      <c r="AF88" s="196"/>
      <c r="AG88" s="196"/>
      <c r="AH88" s="196"/>
      <c r="AI88" s="196"/>
      <c r="AJ88" s="196"/>
      <c r="AK88" s="196"/>
      <c r="AL88" s="197"/>
    </row>
    <row r="89" spans="1:38" s="185" customFormat="1" outlineLevel="1" x14ac:dyDescent="0.3">
      <c r="A89" s="185" t="s">
        <v>39</v>
      </c>
      <c r="B89" s="185" t="s">
        <v>28</v>
      </c>
      <c r="F89" s="283" t="s">
        <v>281</v>
      </c>
      <c r="G89" s="284"/>
      <c r="H89" s="284"/>
      <c r="I89" s="284"/>
      <c r="J89" s="284" t="s">
        <v>202</v>
      </c>
      <c r="K89" s="186"/>
      <c r="L89" s="292"/>
      <c r="M89" s="292"/>
      <c r="N89" s="293"/>
      <c r="O89" s="198" cm="1">
        <f t="array" ref="O89">SUMPRODUCT(General_Data*(Year=O$3)*(Month=O$4)*(Code_General_Data=$B89))</f>
        <v>1340</v>
      </c>
      <c r="P89" s="199" cm="1">
        <f t="array" ref="P89">SUMPRODUCT(General_Data*(Year=P$3)*(Month=P$4)*(Code_General_Data=$B89))</f>
        <v>1340</v>
      </c>
      <c r="Q89" s="199" cm="1">
        <f t="array" ref="Q89">SUMPRODUCT(General_Data*(Year=Q$3)*(Month=Q$4)*(Code_General_Data=$B89))</f>
        <v>1340</v>
      </c>
      <c r="R89" s="199" cm="1">
        <f t="array" ref="R89">SUMPRODUCT(General_Data*(Year=R$3)*(Month=R$4)*(Code_General_Data=$B89))</f>
        <v>1340</v>
      </c>
      <c r="S89" s="199" cm="1">
        <f t="array" ref="S89">SUMPRODUCT(General_Data*(Year=S$3)*(Month=S$4)*(Code_General_Data=$B89))</f>
        <v>1390</v>
      </c>
      <c r="T89" s="199" cm="1">
        <f t="array" ref="T89">SUMPRODUCT(General_Data*(Year=T$3)*(Month=T$4)*(Code_General_Data=$B89))</f>
        <v>1390</v>
      </c>
      <c r="U89" s="199" cm="1">
        <f t="array" ref="U89">SUMPRODUCT(General_Data*(Year=U$3)*(Month=U$4)*(Code_General_Data=$B89))</f>
        <v>1390</v>
      </c>
      <c r="V89" s="199" cm="1">
        <f t="array" ref="V89">SUMPRODUCT(General_Data*(Year=V$3)*(Month=V$4)*(Code_General_Data=$B89))</f>
        <v>1390</v>
      </c>
      <c r="W89" s="199" cm="1">
        <f t="array" ref="W89">SUMPRODUCT(General_Data*(Year=W$3)*(Month=W$4)*(Code_General_Data=$B89))</f>
        <v>1400</v>
      </c>
      <c r="X89" s="199" cm="1">
        <f t="array" ref="X89">SUMPRODUCT(General_Data*(Year=X$3)*(Month=X$4)*(Code_General_Data=$B89))</f>
        <v>1415</v>
      </c>
      <c r="Y89" s="199" cm="1">
        <f t="array" ref="Y89">SUMPRODUCT(General_Data*(Year=Y$3)*(Month=Y$4)*(Code_General_Data=$B89))</f>
        <v>1415</v>
      </c>
      <c r="Z89" s="200" cm="1">
        <f t="array" ref="Z89">SUMPRODUCT(General_Data*(Year=Z$3)*(Month=Z$4)*(Code_General_Data=$B89))</f>
        <v>1365</v>
      </c>
      <c r="AA89" s="199" cm="1">
        <f t="array" ref="AA89">SUMPRODUCT(General_Data*(Year=AA$3)*(Month=AA$4)*(Code_General_Data=$B89))</f>
        <v>1320</v>
      </c>
      <c r="AB89" s="199" cm="1">
        <f t="array" ref="AB89">SUMPRODUCT(General_Data*(Year=AB$3)*(Month=AB$4)*(Code_General_Data=$B89))</f>
        <v>1280</v>
      </c>
      <c r="AC89" s="199" cm="1">
        <f t="array" ref="AC89">SUMPRODUCT(General_Data*(Year=AC$3)*(Month=AC$4)*(Code_General_Data=$B89))</f>
        <v>1320</v>
      </c>
      <c r="AD89" s="199"/>
      <c r="AE89" s="199"/>
      <c r="AF89" s="199"/>
      <c r="AG89" s="199"/>
      <c r="AH89" s="199"/>
      <c r="AI89" s="199"/>
      <c r="AJ89" s="199"/>
      <c r="AK89" s="199"/>
      <c r="AL89" s="200"/>
    </row>
    <row r="90" spans="1:38" s="185" customFormat="1" ht="6.6" customHeight="1" x14ac:dyDescent="0.3">
      <c r="F90" s="301"/>
      <c r="G90" s="302"/>
      <c r="H90" s="302"/>
      <c r="I90" s="302"/>
      <c r="J90" s="302"/>
      <c r="K90" s="186"/>
      <c r="L90" s="303"/>
      <c r="M90" s="303"/>
      <c r="N90" s="303"/>
      <c r="O90" s="304"/>
      <c r="P90" s="303"/>
      <c r="Q90" s="303"/>
      <c r="R90" s="303"/>
      <c r="S90" s="303"/>
      <c r="T90" s="303"/>
      <c r="U90" s="303"/>
      <c r="V90" s="303"/>
      <c r="W90" s="303"/>
      <c r="X90" s="303"/>
      <c r="Y90" s="303"/>
      <c r="Z90" s="305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5"/>
    </row>
    <row r="91" spans="1:38" s="180" customFormat="1" ht="17.399999999999999" x14ac:dyDescent="0.3">
      <c r="A91" s="180" t="s">
        <v>39</v>
      </c>
      <c r="B91" s="180" t="s">
        <v>30</v>
      </c>
      <c r="D91" s="180" t="s">
        <v>321</v>
      </c>
      <c r="F91" s="270">
        <v>3.2</v>
      </c>
      <c r="G91" s="271"/>
      <c r="H91" s="271" t="s">
        <v>269</v>
      </c>
      <c r="I91" s="271"/>
      <c r="J91" s="271"/>
      <c r="L91" s="271"/>
      <c r="M91" s="271"/>
      <c r="N91" s="285"/>
      <c r="O91" s="213">
        <f>SUM(O92:O95)</f>
        <v>1346.5</v>
      </c>
      <c r="P91" s="214">
        <f t="shared" ref="P91:Z91" si="34">SUM(P92:P95)</f>
        <v>1354</v>
      </c>
      <c r="Q91" s="214">
        <f t="shared" si="34"/>
        <v>1366.5</v>
      </c>
      <c r="R91" s="214">
        <f t="shared" si="34"/>
        <v>1369</v>
      </c>
      <c r="S91" s="214">
        <f t="shared" si="34"/>
        <v>1373</v>
      </c>
      <c r="T91" s="214">
        <f t="shared" si="34"/>
        <v>1388</v>
      </c>
      <c r="U91" s="214">
        <f t="shared" si="34"/>
        <v>1404</v>
      </c>
      <c r="V91" s="214">
        <f t="shared" si="34"/>
        <v>1415</v>
      </c>
      <c r="W91" s="214">
        <f t="shared" si="34"/>
        <v>1435</v>
      </c>
      <c r="X91" s="214">
        <f t="shared" si="34"/>
        <v>1462.75</v>
      </c>
      <c r="Y91" s="214">
        <f t="shared" si="34"/>
        <v>1480.25</v>
      </c>
      <c r="Z91" s="215">
        <f t="shared" si="34"/>
        <v>1484</v>
      </c>
      <c r="AA91" s="213">
        <f>MIN(MAX(SUM(AA92,AA93),AA102),AA101)+AA94+AA95</f>
        <v>1452.903125</v>
      </c>
      <c r="AB91" s="214">
        <f>MIN(MAX(SUM(AB92,AB93),AB102),AB101)+AB94+AB95</f>
        <v>1415.1447916666652</v>
      </c>
      <c r="AC91" s="214"/>
      <c r="AD91" s="214"/>
      <c r="AE91" s="214"/>
      <c r="AF91" s="214"/>
      <c r="AG91" s="214"/>
      <c r="AH91" s="214"/>
      <c r="AI91" s="214"/>
      <c r="AJ91" s="214"/>
      <c r="AK91" s="214"/>
      <c r="AL91" s="215"/>
    </row>
    <row r="92" spans="1:38" s="93" customFormat="1" outlineLevel="1" x14ac:dyDescent="0.3">
      <c r="A92" s="93" t="s">
        <v>39</v>
      </c>
      <c r="B92" s="93" t="s">
        <v>30</v>
      </c>
      <c r="D92" s="92"/>
      <c r="F92" s="272" t="s">
        <v>282</v>
      </c>
      <c r="G92" s="273"/>
      <c r="H92" s="273" t="s">
        <v>40</v>
      </c>
      <c r="I92" s="273" t="s">
        <v>266</v>
      </c>
      <c r="J92" s="273"/>
      <c r="K92"/>
      <c r="L92" s="273"/>
      <c r="M92" s="273"/>
      <c r="N92" s="286"/>
      <c r="O92" s="210">
        <f>(M97+N97)/2</f>
        <v>1300</v>
      </c>
      <c r="P92" s="211">
        <f t="shared" ref="P92:Z92" si="35">(N97+O97)/2</f>
        <v>1307.5</v>
      </c>
      <c r="Q92" s="211">
        <f t="shared" si="35"/>
        <v>1320</v>
      </c>
      <c r="R92" s="211">
        <f t="shared" si="35"/>
        <v>1322.5</v>
      </c>
      <c r="S92" s="211">
        <f t="shared" si="35"/>
        <v>1326.5</v>
      </c>
      <c r="T92" s="211">
        <f t="shared" si="35"/>
        <v>1341.5</v>
      </c>
      <c r="U92" s="211">
        <f t="shared" si="35"/>
        <v>1357.5</v>
      </c>
      <c r="V92" s="211">
        <f t="shared" si="35"/>
        <v>1368.5</v>
      </c>
      <c r="W92" s="211">
        <f t="shared" si="35"/>
        <v>1388.5</v>
      </c>
      <c r="X92" s="211">
        <f t="shared" si="35"/>
        <v>1416.25</v>
      </c>
      <c r="Y92" s="211">
        <f t="shared" si="35"/>
        <v>1433.75</v>
      </c>
      <c r="Z92" s="212">
        <f t="shared" si="35"/>
        <v>1437.5</v>
      </c>
      <c r="AA92" s="210">
        <f>(Y97+Z97)/2</f>
        <v>1428.125</v>
      </c>
      <c r="AB92" s="211">
        <f>(Z97+AA97)/2</f>
        <v>1389.7916666666652</v>
      </c>
      <c r="AC92" s="211"/>
      <c r="AD92" s="211"/>
      <c r="AE92" s="211"/>
      <c r="AF92" s="211"/>
      <c r="AG92" s="211"/>
      <c r="AH92" s="211"/>
      <c r="AI92" s="211"/>
      <c r="AJ92" s="211"/>
      <c r="AK92" s="211"/>
      <c r="AL92" s="212"/>
    </row>
    <row r="93" spans="1:38" s="93" customFormat="1" outlineLevel="1" x14ac:dyDescent="0.3">
      <c r="A93" s="93" t="s">
        <v>39</v>
      </c>
      <c r="B93" s="93" t="s">
        <v>30</v>
      </c>
      <c r="D93" s="92"/>
      <c r="F93" s="272" t="s">
        <v>283</v>
      </c>
      <c r="G93" s="273"/>
      <c r="H93" s="273" t="s">
        <v>40</v>
      </c>
      <c r="I93" s="273" t="s">
        <v>268</v>
      </c>
      <c r="J93" s="273"/>
      <c r="K93"/>
      <c r="L93" s="273"/>
      <c r="M93" s="273"/>
      <c r="N93" s="286"/>
      <c r="O93" s="210">
        <v>30</v>
      </c>
      <c r="P93" s="211">
        <v>30</v>
      </c>
      <c r="Q93" s="211">
        <v>30</v>
      </c>
      <c r="R93" s="211">
        <v>30</v>
      </c>
      <c r="S93" s="211">
        <v>30</v>
      </c>
      <c r="T93" s="211">
        <v>30</v>
      </c>
      <c r="U93" s="211">
        <v>30</v>
      </c>
      <c r="V93" s="211">
        <v>30</v>
      </c>
      <c r="W93" s="211">
        <v>30</v>
      </c>
      <c r="X93" s="211">
        <v>30</v>
      </c>
      <c r="Y93" s="211">
        <v>30</v>
      </c>
      <c r="Z93" s="212">
        <v>30</v>
      </c>
      <c r="AA93" s="210">
        <v>20</v>
      </c>
      <c r="AB93" s="211">
        <v>20</v>
      </c>
      <c r="AC93" s="211"/>
      <c r="AD93" s="211"/>
      <c r="AE93" s="211"/>
      <c r="AF93" s="211"/>
      <c r="AG93" s="211"/>
      <c r="AH93" s="211"/>
      <c r="AI93" s="211"/>
      <c r="AJ93" s="211"/>
      <c r="AK93" s="211"/>
      <c r="AL93" s="212"/>
    </row>
    <row r="94" spans="1:38" s="93" customFormat="1" outlineLevel="1" x14ac:dyDescent="0.3">
      <c r="A94" s="93" t="s">
        <v>39</v>
      </c>
      <c r="B94" s="93" t="s">
        <v>30</v>
      </c>
      <c r="D94" s="92"/>
      <c r="F94" s="272" t="s">
        <v>284</v>
      </c>
      <c r="G94" s="273"/>
      <c r="H94" s="273" t="s">
        <v>40</v>
      </c>
      <c r="I94" s="274" t="s">
        <v>322</v>
      </c>
      <c r="J94" s="273"/>
      <c r="K94"/>
      <c r="L94" s="273"/>
      <c r="M94" s="273"/>
      <c r="N94" s="286"/>
      <c r="O94" s="210">
        <f>-IF('Rebate-Suntory'!$E$14="/tấn",'Rebate-Suntory'!$D$14,IF('Rebate-Suntory'!$E$14="giá trị",'Rebate-Suntory'!$D$14*(O92+O93+O95),0))</f>
        <v>-10</v>
      </c>
      <c r="P94" s="211">
        <f>-IF('Rebate-Suntory'!$E$14="/tấn",'Rebate-Suntory'!$D$14,IF('Rebate-Suntory'!$E$14="giá trị",'Rebate-Suntory'!$D$14*(P92+P93+P95),0))</f>
        <v>-10</v>
      </c>
      <c r="Q94" s="211">
        <f>-IF('Rebate-Suntory'!$E$14="/tấn",'Rebate-Suntory'!$D$14,IF('Rebate-Suntory'!$E$14="giá trị",'Rebate-Suntory'!$D$14*(Q92+Q93+Q95),0))</f>
        <v>-10</v>
      </c>
      <c r="R94" s="211">
        <f>-IF('Rebate-Suntory'!$E$14="/tấn",'Rebate-Suntory'!$D$14,IF('Rebate-Suntory'!$E$14="giá trị",'Rebate-Suntory'!$D$14*(R92+R93+R95),0))</f>
        <v>-10</v>
      </c>
      <c r="S94" s="211">
        <f>-IF('Rebate-Suntory'!$E$14="/tấn",'Rebate-Suntory'!$D$14,IF('Rebate-Suntory'!$E$14="giá trị",'Rebate-Suntory'!$D$14*(S92+S93+S95),0))</f>
        <v>-10</v>
      </c>
      <c r="T94" s="211">
        <f>-IF('Rebate-Suntory'!$E$14="/tấn",'Rebate-Suntory'!$D$14,IF('Rebate-Suntory'!$E$14="giá trị",'Rebate-Suntory'!$D$14*(T92+T93+T95),0))</f>
        <v>-10</v>
      </c>
      <c r="U94" s="211">
        <f>-IF('Rebate-Suntory'!$E$14="/tấn",'Rebate-Suntory'!$D$14,IF('Rebate-Suntory'!$E$14="giá trị",'Rebate-Suntory'!$D$14*(U92+U93+U95),0))</f>
        <v>-10</v>
      </c>
      <c r="V94" s="211">
        <f>-IF('Rebate-Suntory'!$E$14="/tấn",'Rebate-Suntory'!$D$14,IF('Rebate-Suntory'!$E$14="giá trị",'Rebate-Suntory'!$D$14*(V92+V93+V95),0))</f>
        <v>-10</v>
      </c>
      <c r="W94" s="211">
        <f>-IF('Rebate-Suntory'!$E$14="/tấn",'Rebate-Suntory'!$D$14,IF('Rebate-Suntory'!$E$14="giá trị",'Rebate-Suntory'!$D$14*(W92+W93+W95),0))</f>
        <v>-10</v>
      </c>
      <c r="X94" s="211">
        <f>-IF('Rebate-Suntory'!$E$14="/tấn",'Rebate-Suntory'!$D$14,IF('Rebate-Suntory'!$E$14="giá trị",'Rebate-Suntory'!$D$14*(X92+X93+X95),0))</f>
        <v>-10</v>
      </c>
      <c r="Y94" s="211">
        <f>-IF('Rebate-Suntory'!$E$14="/tấn",'Rebate-Suntory'!$D$14,IF('Rebate-Suntory'!$E$14="giá trị",'Rebate-Suntory'!$D$14*(Y92+Y93+Y95),0))</f>
        <v>-10</v>
      </c>
      <c r="Z94" s="212">
        <f>-IF('Rebate-Suntory'!$E$14="/tấn",'Rebate-Suntory'!$D$14,IF('Rebate-Suntory'!$E$14="giá trị",'Rebate-Suntory'!$D$14*(Z92+Z93+Z95),0))</f>
        <v>-10</v>
      </c>
      <c r="AA94" s="210">
        <f>-IF('Rebate-Suntory'!$J$14="/tấn",'Rebate-Suntory'!$I$14,IF('Rebate-Suntory'!$J$14="giá trị",'Rebate-Suntory'!$I$14*(AA92+AA93),0))</f>
        <v>-21.721875000000001</v>
      </c>
      <c r="AB94" s="211">
        <f>-IF('Rebate-Suntory'!$J$14="/tấn",'Rebate-Suntory'!$I$14,IF('Rebate-Suntory'!$J$14="giá trị",'Rebate-Suntory'!$I$14*(AB92+AB93),0))</f>
        <v>-21.146874999999977</v>
      </c>
      <c r="AC94" s="211"/>
      <c r="AD94" s="211"/>
      <c r="AE94" s="211"/>
      <c r="AF94" s="211"/>
      <c r="AG94" s="211"/>
      <c r="AH94" s="211"/>
      <c r="AI94" s="211"/>
      <c r="AJ94" s="211"/>
      <c r="AK94" s="211"/>
      <c r="AL94" s="212"/>
    </row>
    <row r="95" spans="1:38" s="93" customFormat="1" outlineLevel="1" x14ac:dyDescent="0.3">
      <c r="A95" s="93" t="s">
        <v>39</v>
      </c>
      <c r="B95" s="93" t="s">
        <v>30</v>
      </c>
      <c r="D95" s="92"/>
      <c r="F95" s="272" t="s">
        <v>285</v>
      </c>
      <c r="G95" s="273"/>
      <c r="H95" s="273" t="s">
        <v>40</v>
      </c>
      <c r="I95" s="273" t="s">
        <v>41</v>
      </c>
      <c r="J95" s="273"/>
      <c r="K95"/>
      <c r="L95" s="273"/>
      <c r="M95" s="273"/>
      <c r="N95" s="286"/>
      <c r="O95" s="294">
        <v>26.5</v>
      </c>
      <c r="P95" s="295">
        <v>26.5</v>
      </c>
      <c r="Q95" s="295">
        <v>26.5</v>
      </c>
      <c r="R95" s="295">
        <v>26.5</v>
      </c>
      <c r="S95" s="295">
        <v>26.5</v>
      </c>
      <c r="T95" s="295">
        <v>26.5</v>
      </c>
      <c r="U95" s="295">
        <v>26.5</v>
      </c>
      <c r="V95" s="295">
        <v>26.5</v>
      </c>
      <c r="W95" s="295">
        <v>26.5</v>
      </c>
      <c r="X95" s="295">
        <v>26.5</v>
      </c>
      <c r="Y95" s="295">
        <v>26.5</v>
      </c>
      <c r="Z95" s="296">
        <v>26.5</v>
      </c>
      <c r="AA95" s="294">
        <v>26.5</v>
      </c>
      <c r="AB95" s="295">
        <v>26.5</v>
      </c>
      <c r="AC95" s="8"/>
      <c r="AD95" s="8"/>
      <c r="AE95" s="8"/>
      <c r="AF95" s="8"/>
      <c r="AG95" s="8"/>
      <c r="AH95" s="8"/>
      <c r="AI95" s="8"/>
      <c r="AJ95" s="8"/>
      <c r="AK95" s="8"/>
      <c r="AL95" s="56"/>
    </row>
    <row r="96" spans="1:38" s="94" customFormat="1" outlineLevel="1" x14ac:dyDescent="0.3">
      <c r="A96" s="94" t="s">
        <v>39</v>
      </c>
      <c r="B96" s="94" t="s">
        <v>30</v>
      </c>
      <c r="D96" s="95" t="s">
        <v>161</v>
      </c>
      <c r="F96" s="275" t="s">
        <v>286</v>
      </c>
      <c r="G96" s="276"/>
      <c r="H96" s="276"/>
      <c r="I96" s="276" t="s">
        <v>8</v>
      </c>
      <c r="J96" s="276"/>
      <c r="K96" s="2"/>
      <c r="L96" s="276"/>
      <c r="M96" s="276"/>
      <c r="N96" s="287"/>
      <c r="O96" s="225">
        <f>O91-O95</f>
        <v>1320</v>
      </c>
      <c r="P96" s="226">
        <f t="shared" ref="P96:Z96" si="36">P91-P95</f>
        <v>1327.5</v>
      </c>
      <c r="Q96" s="226">
        <f t="shared" si="36"/>
        <v>1340</v>
      </c>
      <c r="R96" s="226">
        <f t="shared" si="36"/>
        <v>1342.5</v>
      </c>
      <c r="S96" s="226">
        <f t="shared" si="36"/>
        <v>1346.5</v>
      </c>
      <c r="T96" s="226">
        <f t="shared" si="36"/>
        <v>1361.5</v>
      </c>
      <c r="U96" s="226">
        <f t="shared" si="36"/>
        <v>1377.5</v>
      </c>
      <c r="V96" s="226">
        <f t="shared" si="36"/>
        <v>1388.5</v>
      </c>
      <c r="W96" s="226">
        <f t="shared" si="36"/>
        <v>1408.5</v>
      </c>
      <c r="X96" s="226">
        <f t="shared" si="36"/>
        <v>1436.25</v>
      </c>
      <c r="Y96" s="226">
        <f t="shared" si="36"/>
        <v>1453.75</v>
      </c>
      <c r="Z96" s="227">
        <f t="shared" si="36"/>
        <v>1457.5</v>
      </c>
      <c r="AA96" s="226">
        <f>AA91-AA95</f>
        <v>1426.403125</v>
      </c>
      <c r="AB96" s="226">
        <f>AB91-AB95</f>
        <v>1388.6447916666652</v>
      </c>
      <c r="AC96" s="226"/>
      <c r="AD96" s="226"/>
      <c r="AE96" s="226"/>
      <c r="AF96" s="226"/>
      <c r="AG96" s="226"/>
      <c r="AH96" s="226"/>
      <c r="AI96" s="226"/>
      <c r="AJ96" s="226"/>
      <c r="AK96" s="226"/>
      <c r="AL96" s="227"/>
    </row>
    <row r="97" spans="1:38" s="183" customFormat="1" outlineLevel="1" x14ac:dyDescent="0.3">
      <c r="A97" s="183" t="s">
        <v>39</v>
      </c>
      <c r="B97" s="183" t="s">
        <v>30</v>
      </c>
      <c r="C97" s="183" t="s">
        <v>43</v>
      </c>
      <c r="F97" s="277" t="s">
        <v>287</v>
      </c>
      <c r="G97" s="278"/>
      <c r="H97" s="278"/>
      <c r="I97" s="278"/>
      <c r="J97" s="278" t="s">
        <v>74</v>
      </c>
      <c r="K97" s="184"/>
      <c r="L97" s="288" cm="1">
        <f t="array" ref="L97">SUMPRODUCT(General_Data*(Year=L$3)*(Month=L$4)*(Code_General_Data=$C97))</f>
        <v>1288.125</v>
      </c>
      <c r="M97" s="288" cm="1">
        <f t="array" ref="M97">SUMPRODUCT(General_Data*(Year=M$3)*(Month=M$4)*(Code_General_Data=$C97))</f>
        <v>1300</v>
      </c>
      <c r="N97" s="289" cm="1">
        <f t="array" ref="N97">SUMPRODUCT(General_Data*(Year=N$3)*(Month=N$4)*(Code_General_Data=$C97))</f>
        <v>1300</v>
      </c>
      <c r="O97" s="202" cm="1">
        <f t="array" ref="O97">SUMPRODUCT(General_Data*(Year=O$3)*(Month=O$4)*(Code_General_Data=$C97))</f>
        <v>1315</v>
      </c>
      <c r="P97" s="201" cm="1">
        <f t="array" ref="P97">SUMPRODUCT(General_Data*(Year=P$3)*(Month=P$4)*(Code_General_Data=$C97))</f>
        <v>1325</v>
      </c>
      <c r="Q97" s="201" cm="1">
        <f t="array" ref="Q97">SUMPRODUCT(General_Data*(Year=Q$3)*(Month=Q$4)*(Code_General_Data=$C97))</f>
        <v>1320</v>
      </c>
      <c r="R97" s="201" cm="1">
        <f t="array" ref="R97">SUMPRODUCT(General_Data*(Year=R$3)*(Month=R$4)*(Code_General_Data=$C97))</f>
        <v>1333</v>
      </c>
      <c r="S97" s="201" cm="1">
        <f t="array" ref="S97">SUMPRODUCT(General_Data*(Year=S$3)*(Month=S$4)*(Code_General_Data=$C97))</f>
        <v>1350</v>
      </c>
      <c r="T97" s="201" cm="1">
        <f t="array" ref="T97">SUMPRODUCT(General_Data*(Year=T$3)*(Month=T$4)*(Code_General_Data=$C97))</f>
        <v>1365</v>
      </c>
      <c r="U97" s="201" cm="1">
        <f t="array" ref="U97">SUMPRODUCT(General_Data*(Year=U$3)*(Month=U$4)*(Code_General_Data=$C97))</f>
        <v>1372</v>
      </c>
      <c r="V97" s="201" cm="1">
        <f t="array" ref="V97">SUMPRODUCT(General_Data*(Year=V$3)*(Month=V$4)*(Code_General_Data=$C97))</f>
        <v>1405</v>
      </c>
      <c r="W97" s="201" cm="1">
        <f t="array" ref="W97">SUMPRODUCT(General_Data*(Year=W$3)*(Month=W$4)*(Code_General_Data=$C97))</f>
        <v>1427.5</v>
      </c>
      <c r="X97" s="201" cm="1">
        <f t="array" ref="X97">SUMPRODUCT(General_Data*(Year=X$3)*(Month=X$4)*(Code_General_Data=$C97))</f>
        <v>1440</v>
      </c>
      <c r="Y97" s="201" cm="1">
        <f t="array" ref="Y97">SUMPRODUCT(General_Data*(Year=Y$3)*(Month=Y$4)*(Code_General_Data=$C97))</f>
        <v>1435</v>
      </c>
      <c r="Z97" s="203" cm="1">
        <f t="array" ref="Z97">SUMPRODUCT(General_Data*(Year=Z$3)*(Month=Z$4)*(Code_General_Data=$C97))</f>
        <v>1421.25</v>
      </c>
      <c r="AA97" s="201" cm="1">
        <f t="array" ref="AA97">SUMPRODUCT(General_Data*(Year=AA$3)*(Month=AA$4)*(Code_General_Data=$C97))</f>
        <v>1358.3333333333301</v>
      </c>
      <c r="AB97" s="201" cm="1">
        <f t="array" ref="AB97">SUMPRODUCT(General_Data*(Year=AB$3)*(Month=AB$4)*(Code_General_Data=$C97))</f>
        <v>1350</v>
      </c>
      <c r="AC97" s="201"/>
      <c r="AD97" s="201"/>
      <c r="AE97" s="201"/>
      <c r="AF97" s="201"/>
      <c r="AG97" s="201"/>
      <c r="AH97" s="201"/>
      <c r="AI97" s="201"/>
      <c r="AJ97" s="201"/>
      <c r="AK97" s="201"/>
      <c r="AL97" s="203"/>
    </row>
    <row r="98" spans="1:38" s="96" customFormat="1" ht="114.6" customHeight="1" outlineLevel="1" x14ac:dyDescent="0.3">
      <c r="A98" s="96" t="s">
        <v>39</v>
      </c>
      <c r="B98" s="96" t="s">
        <v>30</v>
      </c>
      <c r="D98" s="97"/>
      <c r="F98" s="279" t="s">
        <v>288</v>
      </c>
      <c r="G98" s="280"/>
      <c r="H98" s="280"/>
      <c r="I98" s="280"/>
      <c r="J98" s="280" t="s">
        <v>44</v>
      </c>
      <c r="K98" s="12"/>
      <c r="L98" s="280"/>
      <c r="M98" s="280"/>
      <c r="N98" s="290"/>
      <c r="O98" s="88" t="str" cm="1">
        <f t="array" ref="O98">INDEX(Note!$G$3:$G$102,MATCH(1,(Note!$A$3:$A$102=$A98)*(Note!$C$3:$C$102=$B98)*(Note!$E$3:$E$102&lt;=O$1)*(Note!$F$3:$F$102&gt;=O$2),0))</f>
        <v>Giá ICIS rPET ĐNA trung bình từ ngày 16 tháng (X-2) đến ngày 15 tháng (X-1) +Premium ( Chi phí tăng IV ) - REBATE + Cp vận chuyển</v>
      </c>
      <c r="P98" s="27" t="str" cm="1">
        <f t="array" ref="P98">INDEX(Note!$G$3:$G$102,MATCH(1,(Note!$A$3:$A$102=$A98)*(Note!$C$3:$C$102=$B98)*(Note!$E$3:$E$102&lt;=P$1)*(Note!$F$3:$F$102&gt;=P$2),0))</f>
        <v>Giá ICIS rPET ĐNA trung bình từ ngày 16 tháng (X-2) đến ngày 15 tháng (X-1) +Premium ( Chi phí tăng IV ) - REBATE + Cp vận chuyển</v>
      </c>
      <c r="Q98" s="27" t="str" cm="1">
        <f t="array" ref="Q98">INDEX(Note!$G$3:$G$102,MATCH(1,(Note!$A$3:$A$102=$A98)*(Note!$C$3:$C$102=$B98)*(Note!$E$3:$E$102&lt;=Q$1)*(Note!$F$3:$F$102&gt;=Q$2),0))</f>
        <v>Giá ICIS rPET ĐNA trung bình từ ngày 16 tháng (X-2) đến ngày 15 tháng (X-1) +Premium ( Chi phí tăng IV ) - REBATE + Cp vận chuyển</v>
      </c>
      <c r="R98" s="27" t="str" cm="1">
        <f t="array" ref="R98">INDEX(Note!$G$3:$G$102,MATCH(1,(Note!$A$3:$A$102=$A98)*(Note!$C$3:$C$102=$B98)*(Note!$E$3:$E$102&lt;=R$1)*(Note!$F$3:$F$102&gt;=R$2),0))</f>
        <v>Giá ICIS rPET ĐNA trung bình từ ngày 16 tháng (X-2) đến ngày 15 tháng (X-1) +Premium ( Chi phí tăng IV ) - REBATE + Cp vận chuyển</v>
      </c>
      <c r="S98" s="27" t="str" cm="1">
        <f t="array" ref="S98">INDEX(Note!$G$3:$G$102,MATCH(1,(Note!$A$3:$A$102=$A98)*(Note!$C$3:$C$102=$B98)*(Note!$E$3:$E$102&lt;=S$1)*(Note!$F$3:$F$102&gt;=S$2),0))</f>
        <v>Giá ICIS rPET ĐNA trung bình từ ngày 16 tháng (X-2) đến ngày 15 tháng (X-1) +Premium ( Chi phí tăng IV ) - REBATE + Cp vận chuyển</v>
      </c>
      <c r="T98" s="27" t="str" cm="1">
        <f t="array" ref="T98">INDEX(Note!$G$3:$G$102,MATCH(1,(Note!$A$3:$A$102=$A98)*(Note!$C$3:$C$102=$B98)*(Note!$E$3:$E$102&lt;=T$1)*(Note!$F$3:$F$102&gt;=T$2),0))</f>
        <v>Giá ICIS rPET ĐNA trung bình từ ngày 16 tháng (X-2) đến ngày 15 tháng (X-1) +Premium ( Chi phí tăng IV ) - REBATE + Cp vận chuyển</v>
      </c>
      <c r="U98" s="27" t="str" cm="1">
        <f t="array" ref="U98">INDEX(Note!$G$3:$G$102,MATCH(1,(Note!$A$3:$A$102=$A98)*(Note!$C$3:$C$102=$B98)*(Note!$E$3:$E$102&lt;=U$1)*(Note!$F$3:$F$102&gt;=U$2),0))</f>
        <v>Giá ICIS rPET ĐNA trung bình từ ngày 16 tháng (X-2) đến ngày 15 tháng (X-1) +Premium ( Chi phí tăng IV ) - REBATE + Cp vận chuyển</v>
      </c>
      <c r="V98" s="27" t="str" cm="1">
        <f t="array" ref="V98">INDEX(Note!$G$3:$G$102,MATCH(1,(Note!$A$3:$A$102=$A98)*(Note!$C$3:$C$102=$B98)*(Note!$E$3:$E$102&lt;=V$1)*(Note!$F$3:$F$102&gt;=V$2),0))</f>
        <v>Giá ICIS rPET ĐNA trung bình từ ngày 16 tháng (X-2) đến ngày 15 tháng (X-1) +Premium ( Chi phí tăng IV ) - REBATE + Cp vận chuyển</v>
      </c>
      <c r="W98" s="27" t="str" cm="1">
        <f t="array" ref="W98">INDEX(Note!$G$3:$G$102,MATCH(1,(Note!$A$3:$A$102=$A98)*(Note!$C$3:$C$102=$B98)*(Note!$E$3:$E$102&lt;=W$1)*(Note!$F$3:$F$102&gt;=W$2),0))</f>
        <v>Giá ICIS rPET ĐNA trung bình từ ngày 16 tháng (X-2) đến ngày 15 tháng (X-1) +Premium ( Chi phí tăng IV ) - REBATE + Cp vận chuyển</v>
      </c>
      <c r="X98" s="27" t="str" cm="1">
        <f t="array" ref="X98">INDEX(Note!$G$3:$G$102,MATCH(1,(Note!$A$3:$A$102=$A98)*(Note!$C$3:$C$102=$B98)*(Note!$E$3:$E$102&lt;=X$1)*(Note!$F$3:$F$102&gt;=X$2),0))</f>
        <v>Giá ICIS rPET ĐNA trung bình từ ngày 16 tháng (X-2) đến ngày 15 tháng (X-1) +Premium ( Chi phí tăng IV ) - REBATE + Cp vận chuyển</v>
      </c>
      <c r="Y98" s="27" t="str" cm="1">
        <f t="array" ref="Y98">INDEX(Note!$G$3:$G$102,MATCH(1,(Note!$A$3:$A$102=$A98)*(Note!$C$3:$C$102=$B98)*(Note!$E$3:$E$102&lt;=Y$1)*(Note!$F$3:$F$102&gt;=Y$2),0))</f>
        <v>Giá ICIS rPET ĐNA trung bình từ ngày 16 tháng (X-2) đến ngày 15 tháng (X-1) +Premium ( Chi phí tăng IV ) - REBATE + Cp vận chuyển</v>
      </c>
      <c r="Z98" s="89" t="str" cm="1">
        <f t="array" ref="Z98">INDEX(Note!$G$3:$G$102,MATCH(1,(Note!$A$3:$A$102=$A98)*(Note!$C$3:$C$102=$B98)*(Note!$E$3:$E$102&lt;=Z$1)*(Note!$F$3:$F$102&gt;=Z$2),0))</f>
        <v>Giá ICIS rPET ĐNA trung bình từ ngày 16 tháng (X-2) đến ngày 15 tháng (X-1) +Premium ( Chi phí tăng IV ) - REBATE + Cp vận chuyển</v>
      </c>
      <c r="AA98" s="27" t="str" cm="1">
        <f t="array" ref="AA98">INDEX(Note!$G$3:$G$102,MATCH(1,(Note!$A$3:$A$102=$A98)*(Note!$C$3:$C$102=$B98)*(Note!$E$3:$E$102&lt;=AA$1)*(Note!$F$3:$F$102&gt;=AA$2),0))</f>
        <v>Giá ICIS rPET ĐNA trung bình từ ngày 16 tháng (X-2) đến ngày 15 tháng (X-1) +Premium ( Chi phí tăng IV ) - REBATE + Cp vận chuyển. Giá trần $1,550; giá sàn $1,330</v>
      </c>
      <c r="AB98" s="27" t="str" cm="1">
        <f t="array" ref="AB98">INDEX(Note!$G$3:$G$102,MATCH(1,(Note!$A$3:$A$102=$A98)*(Note!$C$3:$C$102=$B98)*(Note!$E$3:$E$102&lt;=AB$1)*(Note!$F$3:$F$102&gt;=AB$2),0))</f>
        <v>Giá ICIS rPET ĐNA trung bình từ ngày 16 tháng (X-2) đến ngày 15 tháng (X-1) +Premium ( Chi phí tăng IV ) - REBATE + Cp vận chuyển. Giá trần $1,550; giá sàn $1,330</v>
      </c>
      <c r="AC98" s="27"/>
      <c r="AD98" s="27"/>
      <c r="AE98" s="27"/>
      <c r="AF98" s="27"/>
      <c r="AG98" s="27"/>
      <c r="AH98" s="27"/>
      <c r="AI98" s="27"/>
      <c r="AJ98" s="27"/>
      <c r="AK98" s="27"/>
      <c r="AL98" s="89"/>
    </row>
    <row r="99" spans="1:38" s="96" customFormat="1" outlineLevel="1" x14ac:dyDescent="0.3">
      <c r="A99" s="96" t="s">
        <v>39</v>
      </c>
      <c r="B99" s="96" t="s">
        <v>30</v>
      </c>
      <c r="D99" s="97"/>
      <c r="F99" s="279" t="s">
        <v>289</v>
      </c>
      <c r="G99" s="280"/>
      <c r="H99" s="280"/>
      <c r="I99" s="280"/>
      <c r="J99" s="280" t="s">
        <v>42</v>
      </c>
      <c r="K99" s="12"/>
      <c r="L99" s="280"/>
      <c r="M99" s="280"/>
      <c r="N99" s="290"/>
      <c r="O99" s="88" t="str" cm="1">
        <f t="array" ref="O99">INDEX(Note!$H$3:$H$102,MATCH(1,(Note!$A$3:$A$102=$A99)*(Note!$C$3:$C$102=$B99)*(Note!$E$3:$E$102&lt;=O$1)*(Note!$F$3:$F$102&gt;=O$2),0))</f>
        <v>DDP</v>
      </c>
      <c r="P99" s="27" t="str" cm="1">
        <f t="array" ref="P99">INDEX(Note!$H$3:$H$102,MATCH(1,(Note!$A$3:$A$102=$A99)*(Note!$C$3:$C$102=$B99)*(Note!$E$3:$E$102&lt;=P$1)*(Note!$F$3:$F$102&gt;=P$2),0))</f>
        <v>DDP</v>
      </c>
      <c r="Q99" s="27" t="str" cm="1">
        <f t="array" ref="Q99">INDEX(Note!$H$3:$H$102,MATCH(1,(Note!$A$3:$A$102=$A99)*(Note!$C$3:$C$102=$B99)*(Note!$E$3:$E$102&lt;=Q$1)*(Note!$F$3:$F$102&gt;=Q$2),0))</f>
        <v>DDP</v>
      </c>
      <c r="R99" s="27" t="str" cm="1">
        <f t="array" ref="R99">INDEX(Note!$H$3:$H$102,MATCH(1,(Note!$A$3:$A$102=$A99)*(Note!$C$3:$C$102=$B99)*(Note!$E$3:$E$102&lt;=R$1)*(Note!$F$3:$F$102&gt;=R$2),0))</f>
        <v>DDP</v>
      </c>
      <c r="S99" s="27" t="str" cm="1">
        <f t="array" ref="S99">INDEX(Note!$H$3:$H$102,MATCH(1,(Note!$A$3:$A$102=$A99)*(Note!$C$3:$C$102=$B99)*(Note!$E$3:$E$102&lt;=S$1)*(Note!$F$3:$F$102&gt;=S$2),0))</f>
        <v>DDP</v>
      </c>
      <c r="T99" s="27" t="str" cm="1">
        <f t="array" ref="T99">INDEX(Note!$H$3:$H$102,MATCH(1,(Note!$A$3:$A$102=$A99)*(Note!$C$3:$C$102=$B99)*(Note!$E$3:$E$102&lt;=T$1)*(Note!$F$3:$F$102&gt;=T$2),0))</f>
        <v>DDP</v>
      </c>
      <c r="U99" s="27" t="str" cm="1">
        <f t="array" ref="U99">INDEX(Note!$H$3:$H$102,MATCH(1,(Note!$A$3:$A$102=$A99)*(Note!$C$3:$C$102=$B99)*(Note!$E$3:$E$102&lt;=U$1)*(Note!$F$3:$F$102&gt;=U$2),0))</f>
        <v>DDP</v>
      </c>
      <c r="V99" s="27" t="str" cm="1">
        <f t="array" ref="V99">INDEX(Note!$H$3:$H$102,MATCH(1,(Note!$A$3:$A$102=$A99)*(Note!$C$3:$C$102=$B99)*(Note!$E$3:$E$102&lt;=V$1)*(Note!$F$3:$F$102&gt;=V$2),0))</f>
        <v>DDP</v>
      </c>
      <c r="W99" s="27" t="str" cm="1">
        <f t="array" ref="W99">INDEX(Note!$H$3:$H$102,MATCH(1,(Note!$A$3:$A$102=$A99)*(Note!$C$3:$C$102=$B99)*(Note!$E$3:$E$102&lt;=W$1)*(Note!$F$3:$F$102&gt;=W$2),0))</f>
        <v>DDP</v>
      </c>
      <c r="X99" s="27" t="str" cm="1">
        <f t="array" ref="X99">INDEX(Note!$H$3:$H$102,MATCH(1,(Note!$A$3:$A$102=$A99)*(Note!$C$3:$C$102=$B99)*(Note!$E$3:$E$102&lt;=X$1)*(Note!$F$3:$F$102&gt;=X$2),0))</f>
        <v>DDP</v>
      </c>
      <c r="Y99" s="27" t="str" cm="1">
        <f t="array" ref="Y99">INDEX(Note!$H$3:$H$102,MATCH(1,(Note!$A$3:$A$102=$A99)*(Note!$C$3:$C$102=$B99)*(Note!$E$3:$E$102&lt;=Y$1)*(Note!$F$3:$F$102&gt;=Y$2),0))</f>
        <v>DDP</v>
      </c>
      <c r="Z99" s="89" t="str" cm="1">
        <f t="array" ref="Z99">INDEX(Note!$H$3:$H$102,MATCH(1,(Note!$A$3:$A$102=$A99)*(Note!$C$3:$C$102=$B99)*(Note!$E$3:$E$102&lt;=Z$1)*(Note!$F$3:$F$102&gt;=Z$2),0))</f>
        <v>DDP</v>
      </c>
      <c r="AA99" s="27" t="str" cm="1">
        <f t="array" ref="AA99">INDEX(Note!$H$3:$H$102,MATCH(1,(Note!$A$3:$A$102=$A99)*(Note!$C$3:$C$102=$B99)*(Note!$E$3:$E$102&lt;=AA$1)*(Note!$F$3:$F$102&gt;=AA$2),0))</f>
        <v>DDP</v>
      </c>
      <c r="AB99" s="27" t="str" cm="1">
        <f t="array" ref="AB99">INDEX(Note!$H$3:$H$102,MATCH(1,(Note!$A$3:$A$102=$A99)*(Note!$C$3:$C$102=$B99)*(Note!$E$3:$E$102&lt;=AB$1)*(Note!$F$3:$F$102&gt;=AB$2),0))</f>
        <v>DDP</v>
      </c>
      <c r="AC99" s="27"/>
      <c r="AD99" s="27"/>
      <c r="AE99" s="27"/>
      <c r="AF99" s="27"/>
      <c r="AG99" s="27"/>
      <c r="AH99" s="27"/>
      <c r="AI99" s="27"/>
      <c r="AJ99" s="27"/>
      <c r="AK99" s="27"/>
      <c r="AL99" s="89"/>
    </row>
    <row r="100" spans="1:38" s="97" customFormat="1" outlineLevel="1" x14ac:dyDescent="0.3">
      <c r="A100" s="97" t="s">
        <v>39</v>
      </c>
      <c r="B100" s="97" t="s">
        <v>30</v>
      </c>
      <c r="F100" s="281" t="s">
        <v>290</v>
      </c>
      <c r="G100" s="282"/>
      <c r="H100" s="282"/>
      <c r="I100" s="282"/>
      <c r="J100" s="282" t="s">
        <v>45</v>
      </c>
      <c r="K100" s="109"/>
      <c r="L100" s="282"/>
      <c r="M100" s="282"/>
      <c r="N100" s="291"/>
      <c r="O100" s="233" t="str" cm="1">
        <f t="array" ref="O100">INDEX(Note!$I$3:$I$102,MATCH(1,(Note!$A$3:$A$102=$A100)*(Note!$C$3:$C$102=$B100)*(Note!$E$3:$E$102&lt;=O$1)*(Note!$F$3:$F$102&gt;=O$2),0))</f>
        <v>Tháng</v>
      </c>
      <c r="P100" s="193" t="str" cm="1">
        <f t="array" ref="P100">INDEX(Note!$I$3:$I$102,MATCH(1,(Note!$A$3:$A$102=$A100)*(Note!$C$3:$C$102=$B100)*(Note!$E$3:$E$102&lt;=P$1)*(Note!$F$3:$F$102&gt;=P$2),0))</f>
        <v>Tháng</v>
      </c>
      <c r="Q100" s="193" t="str" cm="1">
        <f t="array" ref="Q100">INDEX(Note!$I$3:$I$102,MATCH(1,(Note!$A$3:$A$102=$A100)*(Note!$C$3:$C$102=$B100)*(Note!$E$3:$E$102&lt;=Q$1)*(Note!$F$3:$F$102&gt;=Q$2),0))</f>
        <v>Tháng</v>
      </c>
      <c r="R100" s="193" t="str" cm="1">
        <f t="array" ref="R100">INDEX(Note!$I$3:$I$102,MATCH(1,(Note!$A$3:$A$102=$A100)*(Note!$C$3:$C$102=$B100)*(Note!$E$3:$E$102&lt;=R$1)*(Note!$F$3:$F$102&gt;=R$2),0))</f>
        <v>Tháng</v>
      </c>
      <c r="S100" s="193" t="str" cm="1">
        <f t="array" ref="S100">INDEX(Note!$I$3:$I$102,MATCH(1,(Note!$A$3:$A$102=$A100)*(Note!$C$3:$C$102=$B100)*(Note!$E$3:$E$102&lt;=S$1)*(Note!$F$3:$F$102&gt;=S$2),0))</f>
        <v>Tháng</v>
      </c>
      <c r="T100" s="193" t="str" cm="1">
        <f t="array" ref="T100">INDEX(Note!$I$3:$I$102,MATCH(1,(Note!$A$3:$A$102=$A100)*(Note!$C$3:$C$102=$B100)*(Note!$E$3:$E$102&lt;=T$1)*(Note!$F$3:$F$102&gt;=T$2),0))</f>
        <v>Tháng</v>
      </c>
      <c r="U100" s="193" t="str" cm="1">
        <f t="array" ref="U100">INDEX(Note!$I$3:$I$102,MATCH(1,(Note!$A$3:$A$102=$A100)*(Note!$C$3:$C$102=$B100)*(Note!$E$3:$E$102&lt;=U$1)*(Note!$F$3:$F$102&gt;=U$2),0))</f>
        <v>Tháng</v>
      </c>
      <c r="V100" s="193" t="str" cm="1">
        <f t="array" ref="V100">INDEX(Note!$I$3:$I$102,MATCH(1,(Note!$A$3:$A$102=$A100)*(Note!$C$3:$C$102=$B100)*(Note!$E$3:$E$102&lt;=V$1)*(Note!$F$3:$F$102&gt;=V$2),0))</f>
        <v>Tháng</v>
      </c>
      <c r="W100" s="193" t="str" cm="1">
        <f t="array" ref="W100">INDEX(Note!$I$3:$I$102,MATCH(1,(Note!$A$3:$A$102=$A100)*(Note!$C$3:$C$102=$B100)*(Note!$E$3:$E$102&lt;=W$1)*(Note!$F$3:$F$102&gt;=W$2),0))</f>
        <v>Tháng</v>
      </c>
      <c r="X100" s="193" t="str" cm="1">
        <f t="array" ref="X100">INDEX(Note!$I$3:$I$102,MATCH(1,(Note!$A$3:$A$102=$A100)*(Note!$C$3:$C$102=$B100)*(Note!$E$3:$E$102&lt;=X$1)*(Note!$F$3:$F$102&gt;=X$2),0))</f>
        <v>Tháng</v>
      </c>
      <c r="Y100" s="193" t="str" cm="1">
        <f t="array" ref="Y100">INDEX(Note!$I$3:$I$102,MATCH(1,(Note!$A$3:$A$102=$A100)*(Note!$C$3:$C$102=$B100)*(Note!$E$3:$E$102&lt;=Y$1)*(Note!$F$3:$F$102&gt;=Y$2),0))</f>
        <v>Tháng</v>
      </c>
      <c r="Z100" s="194" t="str" cm="1">
        <f t="array" ref="Z100">INDEX(Note!$I$3:$I$102,MATCH(1,(Note!$A$3:$A$102=$A100)*(Note!$C$3:$C$102=$B100)*(Note!$E$3:$E$102&lt;=Z$1)*(Note!$F$3:$F$102&gt;=Z$2),0))</f>
        <v>Tháng</v>
      </c>
      <c r="AA100" s="193" t="str" cm="1">
        <f t="array" ref="AA100">INDEX(Note!$I$3:$I$102,MATCH(1,(Note!$A$3:$A$102=$A100)*(Note!$C$3:$C$102=$B100)*(Note!$E$3:$E$102&lt;=AA$1)*(Note!$F$3:$F$102&gt;=AA$2),0))</f>
        <v>Tháng</v>
      </c>
      <c r="AB100" s="193" t="str" cm="1">
        <f t="array" ref="AB100">INDEX(Note!$I$3:$I$102,MATCH(1,(Note!$A$3:$A$102=$A100)*(Note!$C$3:$C$102=$B100)*(Note!$E$3:$E$102&lt;=AB$1)*(Note!$F$3:$F$102&gt;=AB$2),0))</f>
        <v>Tháng</v>
      </c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4"/>
    </row>
    <row r="101" spans="1:38" s="97" customFormat="1" outlineLevel="1" x14ac:dyDescent="0.3">
      <c r="A101" s="97" t="s">
        <v>39</v>
      </c>
      <c r="B101" s="97" t="s">
        <v>30</v>
      </c>
      <c r="F101" s="193" t="s">
        <v>291</v>
      </c>
      <c r="G101" s="107"/>
      <c r="H101" s="107"/>
      <c r="I101" s="107"/>
      <c r="J101" s="107" t="s">
        <v>46</v>
      </c>
      <c r="K101" s="109"/>
      <c r="L101" s="196"/>
      <c r="M101" s="196"/>
      <c r="N101" s="196"/>
      <c r="O101" s="195" cm="1">
        <f t="array" ref="O101">INDEX(Note!$J$3:$J$102,MATCH(1,(Note!$A$3:$A$102=$A101)*(Note!$C$3:$C$102=$B101)*(Note!$E$3:$E$102&lt;=O$1)*(Note!$F$3:$F$102&gt;=O$2),0))</f>
        <v>0</v>
      </c>
      <c r="P101" s="196" cm="1">
        <f t="array" ref="P101">INDEX(Note!$J$3:$J$102,MATCH(1,(Note!$A$3:$A$102=$A101)*(Note!$C$3:$C$102=$B101)*(Note!$E$3:$E$102&lt;=P$1)*(Note!$F$3:$F$102&gt;=P$2),0))</f>
        <v>0</v>
      </c>
      <c r="Q101" s="196" cm="1">
        <f t="array" ref="Q101">INDEX(Note!$J$3:$J$102,MATCH(1,(Note!$A$3:$A$102=$A101)*(Note!$C$3:$C$102=$B101)*(Note!$E$3:$E$102&lt;=Q$1)*(Note!$F$3:$F$102&gt;=Q$2),0))</f>
        <v>0</v>
      </c>
      <c r="R101" s="196" cm="1">
        <f t="array" ref="R101">INDEX(Note!$J$3:$J$102,MATCH(1,(Note!$A$3:$A$102=$A101)*(Note!$C$3:$C$102=$B101)*(Note!$E$3:$E$102&lt;=R$1)*(Note!$F$3:$F$102&gt;=R$2),0))</f>
        <v>0</v>
      </c>
      <c r="S101" s="196" cm="1">
        <f t="array" ref="S101">INDEX(Note!$J$3:$J$102,MATCH(1,(Note!$A$3:$A$102=$A101)*(Note!$C$3:$C$102=$B101)*(Note!$E$3:$E$102&lt;=S$1)*(Note!$F$3:$F$102&gt;=S$2),0))</f>
        <v>0</v>
      </c>
      <c r="T101" s="196" cm="1">
        <f t="array" ref="T101">INDEX(Note!$J$3:$J$102,MATCH(1,(Note!$A$3:$A$102=$A101)*(Note!$C$3:$C$102=$B101)*(Note!$E$3:$E$102&lt;=T$1)*(Note!$F$3:$F$102&gt;=T$2),0))</f>
        <v>0</v>
      </c>
      <c r="U101" s="196" cm="1">
        <f t="array" ref="U101">INDEX(Note!$J$3:$J$102,MATCH(1,(Note!$A$3:$A$102=$A101)*(Note!$C$3:$C$102=$B101)*(Note!$E$3:$E$102&lt;=U$1)*(Note!$F$3:$F$102&gt;=U$2),0))</f>
        <v>0</v>
      </c>
      <c r="V101" s="196" cm="1">
        <f t="array" ref="V101">INDEX(Note!$J$3:$J$102,MATCH(1,(Note!$A$3:$A$102=$A101)*(Note!$C$3:$C$102=$B101)*(Note!$E$3:$E$102&lt;=V$1)*(Note!$F$3:$F$102&gt;=V$2),0))</f>
        <v>0</v>
      </c>
      <c r="W101" s="196" cm="1">
        <f t="array" ref="W101">INDEX(Note!$J$3:$J$102,MATCH(1,(Note!$A$3:$A$102=$A101)*(Note!$C$3:$C$102=$B101)*(Note!$E$3:$E$102&lt;=W$1)*(Note!$F$3:$F$102&gt;=W$2),0))</f>
        <v>0</v>
      </c>
      <c r="X101" s="196" cm="1">
        <f t="array" ref="X101">INDEX(Note!$J$3:$J$102,MATCH(1,(Note!$A$3:$A$102=$A101)*(Note!$C$3:$C$102=$B101)*(Note!$E$3:$E$102&lt;=X$1)*(Note!$F$3:$F$102&gt;=X$2),0))</f>
        <v>0</v>
      </c>
      <c r="Y101" s="196" cm="1">
        <f t="array" ref="Y101">INDEX(Note!$J$3:$J$102,MATCH(1,(Note!$A$3:$A$102=$A101)*(Note!$C$3:$C$102=$B101)*(Note!$E$3:$E$102&lt;=Y$1)*(Note!$F$3:$F$102&gt;=Y$2),0))</f>
        <v>0</v>
      </c>
      <c r="Z101" s="197" cm="1">
        <f t="array" ref="Z101">INDEX(Note!$J$3:$J$102,MATCH(1,(Note!$A$3:$A$102=$A101)*(Note!$C$3:$C$102=$B101)*(Note!$E$3:$E$102&lt;=Z$1)*(Note!$F$3:$F$102&gt;=Z$2),0))</f>
        <v>0</v>
      </c>
      <c r="AA101" s="196" cm="1">
        <f t="array" ref="AA101">INDEX(Note!$J$3:$J$102,MATCH(1,(Note!$A$3:$A$102=$A101)*(Note!$C$3:$C$102=$B101)*(Note!$E$3:$E$102&lt;=AA$1)*(Note!$F$3:$F$102&gt;=AA$2),0))</f>
        <v>1550</v>
      </c>
      <c r="AB101" s="196" cm="1">
        <f t="array" ref="AB101">INDEX(Note!$J$3:$J$102,MATCH(1,(Note!$A$3:$A$102=$A101)*(Note!$C$3:$C$102=$B101)*(Note!$E$3:$E$102&lt;=AB$1)*(Note!$F$3:$F$102&gt;=AB$2),0))</f>
        <v>1550</v>
      </c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7"/>
    </row>
    <row r="102" spans="1:38" s="97" customFormat="1" outlineLevel="1" x14ac:dyDescent="0.3">
      <c r="A102" s="97" t="s">
        <v>39</v>
      </c>
      <c r="B102" s="97" t="s">
        <v>30</v>
      </c>
      <c r="F102" s="193" t="s">
        <v>292</v>
      </c>
      <c r="G102" s="107"/>
      <c r="H102" s="107"/>
      <c r="I102" s="107"/>
      <c r="J102" s="107" t="s">
        <v>47</v>
      </c>
      <c r="K102" s="109"/>
      <c r="L102" s="196"/>
      <c r="M102" s="196"/>
      <c r="N102" s="196"/>
      <c r="O102" s="195" cm="1">
        <f t="array" ref="O102">INDEX(Note!$K$3:$K$102,MATCH(1,(Note!$A$3:$A$102=$A102)*(Note!$C$3:$C$102=$B102)*(Note!$E$3:$E$102&lt;=O$1)*(Note!$F$3:$F$102&gt;=O$2),0))</f>
        <v>0</v>
      </c>
      <c r="P102" s="196" cm="1">
        <f t="array" ref="P102">INDEX(Note!$K$3:$K$102,MATCH(1,(Note!$A$3:$A$102=$A102)*(Note!$C$3:$C$102=$B102)*(Note!$E$3:$E$102&lt;=P$1)*(Note!$F$3:$F$102&gt;=P$2),0))</f>
        <v>0</v>
      </c>
      <c r="Q102" s="196" cm="1">
        <f t="array" ref="Q102">INDEX(Note!$K$3:$K$102,MATCH(1,(Note!$A$3:$A$102=$A102)*(Note!$C$3:$C$102=$B102)*(Note!$E$3:$E$102&lt;=Q$1)*(Note!$F$3:$F$102&gt;=Q$2),0))</f>
        <v>0</v>
      </c>
      <c r="R102" s="196" cm="1">
        <f t="array" ref="R102">INDEX(Note!$K$3:$K$102,MATCH(1,(Note!$A$3:$A$102=$A102)*(Note!$C$3:$C$102=$B102)*(Note!$E$3:$E$102&lt;=R$1)*(Note!$F$3:$F$102&gt;=R$2),0))</f>
        <v>0</v>
      </c>
      <c r="S102" s="196" cm="1">
        <f t="array" ref="S102">INDEX(Note!$K$3:$K$102,MATCH(1,(Note!$A$3:$A$102=$A102)*(Note!$C$3:$C$102=$B102)*(Note!$E$3:$E$102&lt;=S$1)*(Note!$F$3:$F$102&gt;=S$2),0))</f>
        <v>0</v>
      </c>
      <c r="T102" s="196" cm="1">
        <f t="array" ref="T102">INDEX(Note!$K$3:$K$102,MATCH(1,(Note!$A$3:$A$102=$A102)*(Note!$C$3:$C$102=$B102)*(Note!$E$3:$E$102&lt;=T$1)*(Note!$F$3:$F$102&gt;=T$2),0))</f>
        <v>0</v>
      </c>
      <c r="U102" s="196" cm="1">
        <f t="array" ref="U102">INDEX(Note!$K$3:$K$102,MATCH(1,(Note!$A$3:$A$102=$A102)*(Note!$C$3:$C$102=$B102)*(Note!$E$3:$E$102&lt;=U$1)*(Note!$F$3:$F$102&gt;=U$2),0))</f>
        <v>0</v>
      </c>
      <c r="V102" s="196" cm="1">
        <f t="array" ref="V102">INDEX(Note!$K$3:$K$102,MATCH(1,(Note!$A$3:$A$102=$A102)*(Note!$C$3:$C$102=$B102)*(Note!$E$3:$E$102&lt;=V$1)*(Note!$F$3:$F$102&gt;=V$2),0))</f>
        <v>0</v>
      </c>
      <c r="W102" s="196" cm="1">
        <f t="array" ref="W102">INDEX(Note!$K$3:$K$102,MATCH(1,(Note!$A$3:$A$102=$A102)*(Note!$C$3:$C$102=$B102)*(Note!$E$3:$E$102&lt;=W$1)*(Note!$F$3:$F$102&gt;=W$2),0))</f>
        <v>0</v>
      </c>
      <c r="X102" s="196" cm="1">
        <f t="array" ref="X102">INDEX(Note!$K$3:$K$102,MATCH(1,(Note!$A$3:$A$102=$A102)*(Note!$C$3:$C$102=$B102)*(Note!$E$3:$E$102&lt;=X$1)*(Note!$F$3:$F$102&gt;=X$2),0))</f>
        <v>0</v>
      </c>
      <c r="Y102" s="196" cm="1">
        <f t="array" ref="Y102">INDEX(Note!$K$3:$K$102,MATCH(1,(Note!$A$3:$A$102=$A102)*(Note!$C$3:$C$102=$B102)*(Note!$E$3:$E$102&lt;=Y$1)*(Note!$F$3:$F$102&gt;=Y$2),0))</f>
        <v>0</v>
      </c>
      <c r="Z102" s="197" cm="1">
        <f t="array" ref="Z102">INDEX(Note!$K$3:$K$102,MATCH(1,(Note!$A$3:$A$102=$A102)*(Note!$C$3:$C$102=$B102)*(Note!$E$3:$E$102&lt;=Z$1)*(Note!$F$3:$F$102&gt;=Z$2),0))</f>
        <v>0</v>
      </c>
      <c r="AA102" s="196" cm="1">
        <f t="array" ref="AA102">INDEX(Note!$K$3:$K$102,MATCH(1,(Note!$A$3:$A$102=$A102)*(Note!$C$3:$C$102=$B102)*(Note!$E$3:$E$102&lt;=AA$1)*(Note!$F$3:$F$102&gt;=AA$2),0))</f>
        <v>1330</v>
      </c>
      <c r="AB102" s="196" cm="1">
        <f t="array" ref="AB102">INDEX(Note!$K$3:$K$102,MATCH(1,(Note!$A$3:$A$102=$A102)*(Note!$C$3:$C$102=$B102)*(Note!$E$3:$E$102&lt;=AB$1)*(Note!$F$3:$F$102&gt;=AB$2),0))</f>
        <v>1330</v>
      </c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7"/>
    </row>
    <row r="103" spans="1:38" s="185" customFormat="1" outlineLevel="1" x14ac:dyDescent="0.3">
      <c r="A103" s="185" t="s">
        <v>39</v>
      </c>
      <c r="B103" s="185" t="s">
        <v>30</v>
      </c>
      <c r="F103" s="283" t="s">
        <v>293</v>
      </c>
      <c r="G103" s="284"/>
      <c r="H103" s="284"/>
      <c r="I103" s="284"/>
      <c r="J103" s="284" t="s">
        <v>202</v>
      </c>
      <c r="K103" s="186"/>
      <c r="L103" s="292"/>
      <c r="M103" s="292"/>
      <c r="N103" s="293"/>
      <c r="O103" s="198" cm="1">
        <f t="array" ref="O103">SUMPRODUCT(General_Data*(Year=O$3)*(Month=O$4)*(Code_General_Data=$B103))</f>
        <v>1280</v>
      </c>
      <c r="P103" s="199" cm="1">
        <f t="array" ref="P103">SUMPRODUCT(General_Data*(Year=P$3)*(Month=P$4)*(Code_General_Data=$B103))</f>
        <v>1280</v>
      </c>
      <c r="Q103" s="199" cm="1">
        <f t="array" ref="Q103">SUMPRODUCT(General_Data*(Year=Q$3)*(Month=Q$4)*(Code_General_Data=$B103))</f>
        <v>1280</v>
      </c>
      <c r="R103" s="199" cm="1">
        <f t="array" ref="R103">SUMPRODUCT(General_Data*(Year=R$3)*(Month=R$4)*(Code_General_Data=$B103))</f>
        <v>1280</v>
      </c>
      <c r="S103" s="199" cm="1">
        <f t="array" ref="S103">SUMPRODUCT(General_Data*(Year=S$3)*(Month=S$4)*(Code_General_Data=$B103))</f>
        <v>1330</v>
      </c>
      <c r="T103" s="199" cm="1">
        <f t="array" ref="T103">SUMPRODUCT(General_Data*(Year=T$3)*(Month=T$4)*(Code_General_Data=$B103))</f>
        <v>1330</v>
      </c>
      <c r="U103" s="199" cm="1">
        <f t="array" ref="U103">SUMPRODUCT(General_Data*(Year=U$3)*(Month=U$4)*(Code_General_Data=$B103))</f>
        <v>1330</v>
      </c>
      <c r="V103" s="199" cm="1">
        <f t="array" ref="V103">SUMPRODUCT(General_Data*(Year=V$3)*(Month=V$4)*(Code_General_Data=$B103))</f>
        <v>1330</v>
      </c>
      <c r="W103" s="199" cm="1">
        <f t="array" ref="W103">SUMPRODUCT(General_Data*(Year=W$3)*(Month=W$4)*(Code_General_Data=$B103))</f>
        <v>1340</v>
      </c>
      <c r="X103" s="199" cm="1">
        <f t="array" ref="X103">SUMPRODUCT(General_Data*(Year=X$3)*(Month=X$4)*(Code_General_Data=$B103))</f>
        <v>1355</v>
      </c>
      <c r="Y103" s="199" cm="1">
        <f t="array" ref="Y103">SUMPRODUCT(General_Data*(Year=Y$3)*(Month=Y$4)*(Code_General_Data=$B103))</f>
        <v>1355</v>
      </c>
      <c r="Z103" s="200" cm="1">
        <f t="array" ref="Z103">SUMPRODUCT(General_Data*(Year=Z$3)*(Month=Z$4)*(Code_General_Data=$B103))</f>
        <v>1305</v>
      </c>
      <c r="AA103" s="199" cm="1">
        <f t="array" ref="AA103">SUMPRODUCT(General_Data*(Year=AA$3)*(Month=AA$4)*(Code_General_Data=$B103))</f>
        <v>1260</v>
      </c>
      <c r="AB103" s="199" cm="1">
        <f t="array" ref="AB103">SUMPRODUCT(General_Data*(Year=AB$3)*(Month=AB$4)*(Code_General_Data=$B103))</f>
        <v>1260</v>
      </c>
      <c r="AC103" s="199" cm="1">
        <f t="array" ref="AC103">SUMPRODUCT(General_Data*(Year=AC$3)*(Month=AC$4)*(Code_General_Data=$B103))</f>
        <v>1260</v>
      </c>
      <c r="AD103" s="199"/>
      <c r="AE103" s="199"/>
      <c r="AF103" s="199"/>
      <c r="AG103" s="199"/>
      <c r="AH103" s="199"/>
      <c r="AI103" s="199"/>
      <c r="AJ103" s="199"/>
      <c r="AK103" s="199"/>
      <c r="AL103" s="200"/>
    </row>
    <row r="104" spans="1:38" s="93" customFormat="1" x14ac:dyDescent="0.3">
      <c r="D104" s="92"/>
      <c r="F104" s="165"/>
      <c r="G104"/>
      <c r="H104"/>
      <c r="I104"/>
      <c r="J104"/>
      <c r="K104"/>
      <c r="L104"/>
      <c r="M104"/>
      <c r="N104"/>
      <c r="O104" s="47"/>
      <c r="P104"/>
      <c r="Q104"/>
      <c r="R104"/>
      <c r="S104"/>
      <c r="T104"/>
      <c r="U104"/>
      <c r="V104"/>
      <c r="W104"/>
      <c r="X104"/>
      <c r="Y104"/>
      <c r="Z104" s="48"/>
      <c r="AA104"/>
      <c r="AB104"/>
      <c r="AC104"/>
      <c r="AD104"/>
      <c r="AE104"/>
      <c r="AF104"/>
      <c r="AG104"/>
      <c r="AH104"/>
      <c r="AI104"/>
      <c r="AJ104"/>
      <c r="AK104"/>
      <c r="AL104" s="48"/>
    </row>
    <row r="105" spans="1:38" s="175" customFormat="1" ht="19.8" x14ac:dyDescent="0.3">
      <c r="A105" s="173" t="s">
        <v>61</v>
      </c>
      <c r="B105" s="173"/>
      <c r="C105" s="173"/>
      <c r="D105" s="173"/>
      <c r="E105" s="173"/>
      <c r="F105" s="216">
        <v>4</v>
      </c>
      <c r="G105" s="174" t="s">
        <v>294</v>
      </c>
      <c r="H105" s="174"/>
      <c r="I105" s="174"/>
      <c r="J105" s="174"/>
      <c r="L105" s="177"/>
      <c r="M105" s="177"/>
      <c r="N105" s="177"/>
      <c r="O105" s="176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8"/>
      <c r="AA105" s="179"/>
      <c r="AB105" s="177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8"/>
    </row>
    <row r="106" spans="1:38" s="180" customFormat="1" ht="17.399999999999999" x14ac:dyDescent="0.3">
      <c r="A106" s="180" t="s">
        <v>61</v>
      </c>
      <c r="B106" s="180" t="s">
        <v>34</v>
      </c>
      <c r="D106" s="180" t="s">
        <v>321</v>
      </c>
      <c r="F106" s="270">
        <v>4.0999999999999996</v>
      </c>
      <c r="G106" s="271"/>
      <c r="H106" s="271" t="s">
        <v>296</v>
      </c>
      <c r="I106" s="271"/>
      <c r="J106" s="271"/>
      <c r="L106" s="271"/>
      <c r="M106" s="271"/>
      <c r="N106" s="285"/>
      <c r="O106" s="213">
        <v>1250</v>
      </c>
      <c r="P106" s="214">
        <v>1250</v>
      </c>
      <c r="Q106" s="214">
        <v>1250</v>
      </c>
      <c r="R106" s="214">
        <v>1250</v>
      </c>
      <c r="S106" s="214">
        <v>1250</v>
      </c>
      <c r="T106" s="214">
        <v>1250</v>
      </c>
      <c r="U106" s="214">
        <v>1330</v>
      </c>
      <c r="V106" s="214">
        <v>1330</v>
      </c>
      <c r="W106" s="214">
        <v>1330</v>
      </c>
      <c r="X106" s="214">
        <v>1330</v>
      </c>
      <c r="Y106" s="214">
        <v>1330</v>
      </c>
      <c r="Z106" s="215">
        <v>1330</v>
      </c>
      <c r="AA106" s="213">
        <v>1250</v>
      </c>
      <c r="AB106" s="214">
        <v>1250</v>
      </c>
      <c r="AC106" s="214">
        <v>1250</v>
      </c>
      <c r="AD106" s="214">
        <v>1250</v>
      </c>
      <c r="AE106" s="214">
        <v>1250</v>
      </c>
      <c r="AF106" s="214">
        <v>1250</v>
      </c>
      <c r="AG106" s="214"/>
      <c r="AH106" s="214"/>
      <c r="AI106" s="214"/>
      <c r="AJ106" s="214"/>
      <c r="AK106" s="214"/>
      <c r="AL106" s="215"/>
    </row>
    <row r="107" spans="1:38" s="94" customFormat="1" outlineLevel="1" x14ac:dyDescent="0.3">
      <c r="A107" s="94" t="s">
        <v>61</v>
      </c>
      <c r="B107" s="297" t="s">
        <v>34</v>
      </c>
      <c r="D107" s="95" t="s">
        <v>161</v>
      </c>
      <c r="F107" s="275" t="s">
        <v>305</v>
      </c>
      <c r="G107" s="276"/>
      <c r="H107" s="276"/>
      <c r="I107" s="276" t="s">
        <v>8</v>
      </c>
      <c r="J107" s="276"/>
      <c r="K107" s="2"/>
      <c r="L107" s="276"/>
      <c r="M107" s="276"/>
      <c r="N107" s="287"/>
      <c r="O107" s="225">
        <f>O106</f>
        <v>1250</v>
      </c>
      <c r="P107" s="226">
        <f t="shared" ref="P107:AF107" si="37">P106</f>
        <v>1250</v>
      </c>
      <c r="Q107" s="226">
        <f t="shared" si="37"/>
        <v>1250</v>
      </c>
      <c r="R107" s="226">
        <f t="shared" si="37"/>
        <v>1250</v>
      </c>
      <c r="S107" s="226">
        <f t="shared" si="37"/>
        <v>1250</v>
      </c>
      <c r="T107" s="226">
        <f t="shared" si="37"/>
        <v>1250</v>
      </c>
      <c r="U107" s="226">
        <f t="shared" si="37"/>
        <v>1330</v>
      </c>
      <c r="V107" s="226">
        <f t="shared" si="37"/>
        <v>1330</v>
      </c>
      <c r="W107" s="226">
        <f t="shared" si="37"/>
        <v>1330</v>
      </c>
      <c r="X107" s="226">
        <f t="shared" si="37"/>
        <v>1330</v>
      </c>
      <c r="Y107" s="226">
        <f t="shared" si="37"/>
        <v>1330</v>
      </c>
      <c r="Z107" s="227">
        <f t="shared" si="37"/>
        <v>1330</v>
      </c>
      <c r="AA107" s="226">
        <f t="shared" si="37"/>
        <v>1250</v>
      </c>
      <c r="AB107" s="226">
        <f t="shared" si="37"/>
        <v>1250</v>
      </c>
      <c r="AC107" s="226">
        <f t="shared" si="37"/>
        <v>1250</v>
      </c>
      <c r="AD107" s="226">
        <f t="shared" si="37"/>
        <v>1250</v>
      </c>
      <c r="AE107" s="226">
        <f t="shared" si="37"/>
        <v>1250</v>
      </c>
      <c r="AF107" s="226">
        <f t="shared" si="37"/>
        <v>1250</v>
      </c>
      <c r="AG107" s="226"/>
      <c r="AH107" s="226"/>
      <c r="AI107" s="226"/>
      <c r="AJ107" s="226"/>
      <c r="AK107" s="226"/>
      <c r="AL107" s="227"/>
    </row>
    <row r="108" spans="1:38" s="96" customFormat="1" ht="63" customHeight="1" outlineLevel="1" x14ac:dyDescent="0.3">
      <c r="A108" s="96" t="s">
        <v>61</v>
      </c>
      <c r="B108" s="298" t="s">
        <v>34</v>
      </c>
      <c r="D108" s="97"/>
      <c r="F108" s="279" t="s">
        <v>306</v>
      </c>
      <c r="G108" s="280"/>
      <c r="H108" s="280"/>
      <c r="I108" s="280"/>
      <c r="J108" s="280" t="s">
        <v>44</v>
      </c>
      <c r="K108" s="12"/>
      <c r="L108" s="280"/>
      <c r="M108" s="280"/>
      <c r="N108" s="290"/>
      <c r="O108" s="88" t="str" cm="1">
        <f t="array" ref="O108">INDEX(Note!$G$3:$G$102,MATCH(1,(Note!$A$3:$A$102=$A108)*(Note!$C$3:$C$102=$B108)*(Note!$E$3:$E$102&lt;=O$1)*(Note!$F$3:$F$102&gt;=O$2),0))</f>
        <v>Giá cố định</v>
      </c>
      <c r="P108" s="27" t="str" cm="1">
        <f t="array" ref="P108">INDEX(Note!$G$3:$G$102,MATCH(1,(Note!$A$3:$A$102=$A108)*(Note!$C$3:$C$102=$B108)*(Note!$E$3:$E$102&lt;=P$1)*(Note!$F$3:$F$102&gt;=P$2),0))</f>
        <v>Giá cố định</v>
      </c>
      <c r="Q108" s="27" t="str" cm="1">
        <f t="array" ref="Q108">INDEX(Note!$G$3:$G$102,MATCH(1,(Note!$A$3:$A$102=$A108)*(Note!$C$3:$C$102=$B108)*(Note!$E$3:$E$102&lt;=Q$1)*(Note!$F$3:$F$102&gt;=Q$2),0))</f>
        <v>Giá cố định</v>
      </c>
      <c r="R108" s="27" t="str" cm="1">
        <f t="array" ref="R108">INDEX(Note!$G$3:$G$102,MATCH(1,(Note!$A$3:$A$102=$A108)*(Note!$C$3:$C$102=$B108)*(Note!$E$3:$E$102&lt;=R$1)*(Note!$F$3:$F$102&gt;=R$2),0))</f>
        <v>Giá cố định</v>
      </c>
      <c r="S108" s="27" t="str" cm="1">
        <f t="array" ref="S108">INDEX(Note!$G$3:$G$102,MATCH(1,(Note!$A$3:$A$102=$A108)*(Note!$C$3:$C$102=$B108)*(Note!$E$3:$E$102&lt;=S$1)*(Note!$F$3:$F$102&gt;=S$2),0))</f>
        <v>Giá cố định</v>
      </c>
      <c r="T108" s="27" t="str" cm="1">
        <f t="array" ref="T108">INDEX(Note!$G$3:$G$102,MATCH(1,(Note!$A$3:$A$102=$A108)*(Note!$C$3:$C$102=$B108)*(Note!$E$3:$E$102&lt;=T$1)*(Note!$F$3:$F$102&gt;=T$2),0))</f>
        <v>Giá cố định</v>
      </c>
      <c r="U108" s="27" t="str" cm="1">
        <f t="array" ref="U108">INDEX(Note!$G$3:$G$102,MATCH(1,(Note!$A$3:$A$102=$A108)*(Note!$C$3:$C$102=$B108)*(Note!$E$3:$E$102&lt;=U$1)*(Note!$F$3:$F$102&gt;=U$2),0))</f>
        <v>Giá cố định</v>
      </c>
      <c r="V108" s="27" t="str" cm="1">
        <f t="array" ref="V108">INDEX(Note!$G$3:$G$102,MATCH(1,(Note!$A$3:$A$102=$A108)*(Note!$C$3:$C$102=$B108)*(Note!$E$3:$E$102&lt;=V$1)*(Note!$F$3:$F$102&gt;=V$2),0))</f>
        <v>Giá cố định</v>
      </c>
      <c r="W108" s="27" t="str" cm="1">
        <f t="array" ref="W108">INDEX(Note!$G$3:$G$102,MATCH(1,(Note!$A$3:$A$102=$A108)*(Note!$C$3:$C$102=$B108)*(Note!$E$3:$E$102&lt;=W$1)*(Note!$F$3:$F$102&gt;=W$2),0))</f>
        <v>Giá cố định</v>
      </c>
      <c r="X108" s="27" t="str" cm="1">
        <f t="array" ref="X108">INDEX(Note!$G$3:$G$102,MATCH(1,(Note!$A$3:$A$102=$A108)*(Note!$C$3:$C$102=$B108)*(Note!$E$3:$E$102&lt;=X$1)*(Note!$F$3:$F$102&gt;=X$2),0))</f>
        <v>Giá cố định</v>
      </c>
      <c r="Y108" s="27" t="str" cm="1">
        <f t="array" ref="Y108">INDEX(Note!$G$3:$G$102,MATCH(1,(Note!$A$3:$A$102=$A108)*(Note!$C$3:$C$102=$B108)*(Note!$E$3:$E$102&lt;=Y$1)*(Note!$F$3:$F$102&gt;=Y$2),0))</f>
        <v>Giá cố định</v>
      </c>
      <c r="Z108" s="89" t="str" cm="1">
        <f t="array" ref="Z108">INDEX(Note!$G$3:$G$102,MATCH(1,(Note!$A$3:$A$102=$A108)*(Note!$C$3:$C$102=$B108)*(Note!$E$3:$E$102&lt;=Z$1)*(Note!$F$3:$F$102&gt;=Z$2),0))</f>
        <v>Giá cố định</v>
      </c>
      <c r="AA108" s="27" t="str" cm="1">
        <f t="array" ref="AA108">INDEX(Note!$G$3:$G$102,MATCH(1,(Note!$A$3:$A$102=$A108)*(Note!$C$3:$C$102=$B108)*(Note!$E$3:$E$102&lt;=AA$1)*(Note!$F$3:$F$102&gt;=AA$2),0))</f>
        <v>Giá cố định (đã thanh toán 100% trong năm 2024)</v>
      </c>
      <c r="AB108" s="27" t="str" cm="1">
        <f t="array" ref="AB108">INDEX(Note!$G$3:$G$102,MATCH(1,(Note!$A$3:$A$102=$A108)*(Note!$C$3:$C$102=$B108)*(Note!$E$3:$E$102&lt;=AB$1)*(Note!$F$3:$F$102&gt;=AB$2),0))</f>
        <v>Giá cố định (đã thanh toán 100% trong năm 2024)</v>
      </c>
      <c r="AC108" s="27" t="str" cm="1">
        <f t="array" ref="AC108">INDEX(Note!$G$3:$G$102,MATCH(1,(Note!$A$3:$A$102=$A108)*(Note!$C$3:$C$102=$B108)*(Note!$E$3:$E$102&lt;=AC$1)*(Note!$F$3:$F$102&gt;=AC$2),0))</f>
        <v>Giá cố định (đã thanh toán 100% trong năm 2024)</v>
      </c>
      <c r="AD108" s="27" t="str" cm="1">
        <f t="array" ref="AD108">INDEX(Note!$G$3:$G$102,MATCH(1,(Note!$A$3:$A$102=$A108)*(Note!$C$3:$C$102=$B108)*(Note!$E$3:$E$102&lt;=AD$1)*(Note!$F$3:$F$102&gt;=AD$2),0))</f>
        <v>Giá cố định (đã thanh toán 100% trong năm 2024)</v>
      </c>
      <c r="AE108" s="27" t="str" cm="1">
        <f t="array" ref="AE108">INDEX(Note!$G$3:$G$102,MATCH(1,(Note!$A$3:$A$102=$A108)*(Note!$C$3:$C$102=$B108)*(Note!$E$3:$E$102&lt;=AE$1)*(Note!$F$3:$F$102&gt;=AE$2),0))</f>
        <v>Giá cố định (đã thanh toán 100% trong năm 2024)</v>
      </c>
      <c r="AF108" s="27" t="str" cm="1">
        <f t="array" ref="AF108">INDEX(Note!$G$3:$G$102,MATCH(1,(Note!$A$3:$A$102=$A108)*(Note!$C$3:$C$102=$B108)*(Note!$E$3:$E$102&lt;=AF$1)*(Note!$F$3:$F$102&gt;=AF$2),0))</f>
        <v>Giá cố định (đã thanh toán 100% trong năm 2024)</v>
      </c>
      <c r="AG108" s="27"/>
      <c r="AH108" s="27"/>
      <c r="AI108" s="27"/>
      <c r="AJ108" s="27"/>
      <c r="AK108" s="27"/>
      <c r="AL108" s="89"/>
    </row>
    <row r="109" spans="1:38" s="96" customFormat="1" outlineLevel="1" x14ac:dyDescent="0.3">
      <c r="A109" s="96" t="s">
        <v>61</v>
      </c>
      <c r="B109" s="298" t="s">
        <v>34</v>
      </c>
      <c r="D109" s="97"/>
      <c r="F109" s="279" t="s">
        <v>307</v>
      </c>
      <c r="G109" s="280"/>
      <c r="H109" s="280"/>
      <c r="I109" s="280"/>
      <c r="J109" s="280" t="s">
        <v>42</v>
      </c>
      <c r="K109" s="12"/>
      <c r="L109" s="280"/>
      <c r="M109" s="280"/>
      <c r="N109" s="290"/>
      <c r="O109" s="88" t="str" cm="1">
        <f t="array" ref="O109">INDEX(Note!$H$3:$H$102,MATCH(1,(Note!$A$3:$A$102=$A109)*(Note!$C$3:$C$102=$B109)*(Note!$E$3:$E$102&lt;=O$1)*(Note!$F$3:$F$102&gt;=O$2),0))</f>
        <v>EXW</v>
      </c>
      <c r="P109" s="27" t="str" cm="1">
        <f t="array" ref="P109">INDEX(Note!$H$3:$H$102,MATCH(1,(Note!$A$3:$A$102=$A109)*(Note!$C$3:$C$102=$B109)*(Note!$E$3:$E$102&lt;=P$1)*(Note!$F$3:$F$102&gt;=P$2),0))</f>
        <v>EXW</v>
      </c>
      <c r="Q109" s="27" t="str" cm="1">
        <f t="array" ref="Q109">INDEX(Note!$H$3:$H$102,MATCH(1,(Note!$A$3:$A$102=$A109)*(Note!$C$3:$C$102=$B109)*(Note!$E$3:$E$102&lt;=Q$1)*(Note!$F$3:$F$102&gt;=Q$2),0))</f>
        <v>EXW</v>
      </c>
      <c r="R109" s="27" t="str" cm="1">
        <f t="array" ref="R109">INDEX(Note!$H$3:$H$102,MATCH(1,(Note!$A$3:$A$102=$A109)*(Note!$C$3:$C$102=$B109)*(Note!$E$3:$E$102&lt;=R$1)*(Note!$F$3:$F$102&gt;=R$2),0))</f>
        <v>EXW</v>
      </c>
      <c r="S109" s="27" t="str" cm="1">
        <f t="array" ref="S109">INDEX(Note!$H$3:$H$102,MATCH(1,(Note!$A$3:$A$102=$A109)*(Note!$C$3:$C$102=$B109)*(Note!$E$3:$E$102&lt;=S$1)*(Note!$F$3:$F$102&gt;=S$2),0))</f>
        <v>EXW</v>
      </c>
      <c r="T109" s="27" t="str" cm="1">
        <f t="array" ref="T109">INDEX(Note!$H$3:$H$102,MATCH(1,(Note!$A$3:$A$102=$A109)*(Note!$C$3:$C$102=$B109)*(Note!$E$3:$E$102&lt;=T$1)*(Note!$F$3:$F$102&gt;=T$2),0))</f>
        <v>EXW</v>
      </c>
      <c r="U109" s="27" t="str" cm="1">
        <f t="array" ref="U109">INDEX(Note!$H$3:$H$102,MATCH(1,(Note!$A$3:$A$102=$A109)*(Note!$C$3:$C$102=$B109)*(Note!$E$3:$E$102&lt;=U$1)*(Note!$F$3:$F$102&gt;=U$2),0))</f>
        <v>EXW</v>
      </c>
      <c r="V109" s="27" t="str" cm="1">
        <f t="array" ref="V109">INDEX(Note!$H$3:$H$102,MATCH(1,(Note!$A$3:$A$102=$A109)*(Note!$C$3:$C$102=$B109)*(Note!$E$3:$E$102&lt;=V$1)*(Note!$F$3:$F$102&gt;=V$2),0))</f>
        <v>EXW</v>
      </c>
      <c r="W109" s="27" t="str" cm="1">
        <f t="array" ref="W109">INDEX(Note!$H$3:$H$102,MATCH(1,(Note!$A$3:$A$102=$A109)*(Note!$C$3:$C$102=$B109)*(Note!$E$3:$E$102&lt;=W$1)*(Note!$F$3:$F$102&gt;=W$2),0))</f>
        <v>EXW</v>
      </c>
      <c r="X109" s="27" t="str" cm="1">
        <f t="array" ref="X109">INDEX(Note!$H$3:$H$102,MATCH(1,(Note!$A$3:$A$102=$A109)*(Note!$C$3:$C$102=$B109)*(Note!$E$3:$E$102&lt;=X$1)*(Note!$F$3:$F$102&gt;=X$2),0))</f>
        <v>EXW</v>
      </c>
      <c r="Y109" s="27" t="str" cm="1">
        <f t="array" ref="Y109">INDEX(Note!$H$3:$H$102,MATCH(1,(Note!$A$3:$A$102=$A109)*(Note!$C$3:$C$102=$B109)*(Note!$E$3:$E$102&lt;=Y$1)*(Note!$F$3:$F$102&gt;=Y$2),0))</f>
        <v>EXW</v>
      </c>
      <c r="Z109" s="89" t="str" cm="1">
        <f t="array" ref="Z109">INDEX(Note!$H$3:$H$102,MATCH(1,(Note!$A$3:$A$102=$A109)*(Note!$C$3:$C$102=$B109)*(Note!$E$3:$E$102&lt;=Z$1)*(Note!$F$3:$F$102&gt;=Z$2),0))</f>
        <v>EXW</v>
      </c>
      <c r="AA109" s="27" t="str" cm="1">
        <f t="array" ref="AA109">INDEX(Note!$H$3:$H$102,MATCH(1,(Note!$A$3:$A$102=$A109)*(Note!$C$3:$C$102=$B109)*(Note!$E$3:$E$102&lt;=AA$1)*(Note!$F$3:$F$102&gt;=AA$2),0))</f>
        <v>EXW</v>
      </c>
      <c r="AB109" s="27" t="str" cm="1">
        <f t="array" ref="AB109">INDEX(Note!$H$3:$H$102,MATCH(1,(Note!$A$3:$A$102=$A109)*(Note!$C$3:$C$102=$B109)*(Note!$E$3:$E$102&lt;=AB$1)*(Note!$F$3:$F$102&gt;=AB$2),0))</f>
        <v>EXW</v>
      </c>
      <c r="AC109" s="27" t="str" cm="1">
        <f t="array" ref="AC109">INDEX(Note!$H$3:$H$102,MATCH(1,(Note!$A$3:$A$102=$A109)*(Note!$C$3:$C$102=$B109)*(Note!$E$3:$E$102&lt;=AC$1)*(Note!$F$3:$F$102&gt;=AC$2),0))</f>
        <v>EXW</v>
      </c>
      <c r="AD109" s="27" t="str" cm="1">
        <f t="array" ref="AD109">INDEX(Note!$H$3:$H$102,MATCH(1,(Note!$A$3:$A$102=$A109)*(Note!$C$3:$C$102=$B109)*(Note!$E$3:$E$102&lt;=AD$1)*(Note!$F$3:$F$102&gt;=AD$2),0))</f>
        <v>EXW</v>
      </c>
      <c r="AE109" s="27" t="str" cm="1">
        <f t="array" ref="AE109">INDEX(Note!$H$3:$H$102,MATCH(1,(Note!$A$3:$A$102=$A109)*(Note!$C$3:$C$102=$B109)*(Note!$E$3:$E$102&lt;=AE$1)*(Note!$F$3:$F$102&gt;=AE$2),0))</f>
        <v>EXW</v>
      </c>
      <c r="AF109" s="27" t="str" cm="1">
        <f t="array" ref="AF109">INDEX(Note!$H$3:$H$102,MATCH(1,(Note!$A$3:$A$102=$A109)*(Note!$C$3:$C$102=$B109)*(Note!$E$3:$E$102&lt;=AF$1)*(Note!$F$3:$F$102&gt;=AF$2),0))</f>
        <v>EXW</v>
      </c>
      <c r="AG109" s="27"/>
      <c r="AH109" s="27"/>
      <c r="AI109" s="27"/>
      <c r="AJ109" s="27"/>
      <c r="AK109" s="27"/>
      <c r="AL109" s="89"/>
    </row>
    <row r="110" spans="1:38" s="97" customFormat="1" outlineLevel="1" x14ac:dyDescent="0.3">
      <c r="A110" s="97" t="s">
        <v>61</v>
      </c>
      <c r="B110" s="299" t="s">
        <v>34</v>
      </c>
      <c r="F110" s="281" t="s">
        <v>308</v>
      </c>
      <c r="G110" s="282"/>
      <c r="H110" s="282"/>
      <c r="I110" s="282"/>
      <c r="J110" s="282" t="s">
        <v>45</v>
      </c>
      <c r="K110" s="109"/>
      <c r="L110" s="282"/>
      <c r="M110" s="282"/>
      <c r="N110" s="291"/>
      <c r="O110" s="233" t="str" cm="1">
        <f t="array" ref="O110">INDEX(Note!$I$3:$I$102,MATCH(1,(Note!$A$3:$A$102=$A110)*(Note!$C$3:$C$102=$B110)*(Note!$E$3:$E$102&lt;=O$1)*(Note!$F$3:$F$102&gt;=O$2),0))</f>
        <v>Lần</v>
      </c>
      <c r="P110" s="193" t="str" cm="1">
        <f t="array" ref="P110">INDEX(Note!$I$3:$I$102,MATCH(1,(Note!$A$3:$A$102=$A110)*(Note!$C$3:$C$102=$B110)*(Note!$E$3:$E$102&lt;=P$1)*(Note!$F$3:$F$102&gt;=P$2),0))</f>
        <v>Lần</v>
      </c>
      <c r="Q110" s="193" t="str" cm="1">
        <f t="array" ref="Q110">INDEX(Note!$I$3:$I$102,MATCH(1,(Note!$A$3:$A$102=$A110)*(Note!$C$3:$C$102=$B110)*(Note!$E$3:$E$102&lt;=Q$1)*(Note!$F$3:$F$102&gt;=Q$2),0))</f>
        <v>Lần</v>
      </c>
      <c r="R110" s="193" t="str" cm="1">
        <f t="array" ref="R110">INDEX(Note!$I$3:$I$102,MATCH(1,(Note!$A$3:$A$102=$A110)*(Note!$C$3:$C$102=$B110)*(Note!$E$3:$E$102&lt;=R$1)*(Note!$F$3:$F$102&gt;=R$2),0))</f>
        <v>Lần</v>
      </c>
      <c r="S110" s="193" t="str" cm="1">
        <f t="array" ref="S110">INDEX(Note!$I$3:$I$102,MATCH(1,(Note!$A$3:$A$102=$A110)*(Note!$C$3:$C$102=$B110)*(Note!$E$3:$E$102&lt;=S$1)*(Note!$F$3:$F$102&gt;=S$2),0))</f>
        <v>Lần</v>
      </c>
      <c r="T110" s="193" t="str" cm="1">
        <f t="array" ref="T110">INDEX(Note!$I$3:$I$102,MATCH(1,(Note!$A$3:$A$102=$A110)*(Note!$C$3:$C$102=$B110)*(Note!$E$3:$E$102&lt;=T$1)*(Note!$F$3:$F$102&gt;=T$2),0))</f>
        <v>Lần</v>
      </c>
      <c r="U110" s="193" t="str" cm="1">
        <f t="array" ref="U110">INDEX(Note!$I$3:$I$102,MATCH(1,(Note!$A$3:$A$102=$A110)*(Note!$C$3:$C$102=$B110)*(Note!$E$3:$E$102&lt;=U$1)*(Note!$F$3:$F$102&gt;=U$2),0))</f>
        <v>Lần</v>
      </c>
      <c r="V110" s="193" t="str" cm="1">
        <f t="array" ref="V110">INDEX(Note!$I$3:$I$102,MATCH(1,(Note!$A$3:$A$102=$A110)*(Note!$C$3:$C$102=$B110)*(Note!$E$3:$E$102&lt;=V$1)*(Note!$F$3:$F$102&gt;=V$2),0))</f>
        <v>Lần</v>
      </c>
      <c r="W110" s="193" t="str" cm="1">
        <f t="array" ref="W110">INDEX(Note!$I$3:$I$102,MATCH(1,(Note!$A$3:$A$102=$A110)*(Note!$C$3:$C$102=$B110)*(Note!$E$3:$E$102&lt;=W$1)*(Note!$F$3:$F$102&gt;=W$2),0))</f>
        <v>Lần</v>
      </c>
      <c r="X110" s="193" t="str" cm="1">
        <f t="array" ref="X110">INDEX(Note!$I$3:$I$102,MATCH(1,(Note!$A$3:$A$102=$A110)*(Note!$C$3:$C$102=$B110)*(Note!$E$3:$E$102&lt;=X$1)*(Note!$F$3:$F$102&gt;=X$2),0))</f>
        <v>Lần</v>
      </c>
      <c r="Y110" s="193" t="str" cm="1">
        <f t="array" ref="Y110">INDEX(Note!$I$3:$I$102,MATCH(1,(Note!$A$3:$A$102=$A110)*(Note!$C$3:$C$102=$B110)*(Note!$E$3:$E$102&lt;=Y$1)*(Note!$F$3:$F$102&gt;=Y$2),0))</f>
        <v>Lần</v>
      </c>
      <c r="Z110" s="194" t="str" cm="1">
        <f t="array" ref="Z110">INDEX(Note!$I$3:$I$102,MATCH(1,(Note!$A$3:$A$102=$A110)*(Note!$C$3:$C$102=$B110)*(Note!$E$3:$E$102&lt;=Z$1)*(Note!$F$3:$F$102&gt;=Z$2),0))</f>
        <v>Lần</v>
      </c>
      <c r="AA110" s="193" t="str" cm="1">
        <f t="array" ref="AA110">INDEX(Note!$I$3:$I$102,MATCH(1,(Note!$A$3:$A$102=$A110)*(Note!$C$3:$C$102=$B110)*(Note!$E$3:$E$102&lt;=AA$1)*(Note!$F$3:$F$102&gt;=AA$2),0))</f>
        <v>H1.25</v>
      </c>
      <c r="AB110" s="193" t="str" cm="1">
        <f t="array" ref="AB110">INDEX(Note!$I$3:$I$102,MATCH(1,(Note!$A$3:$A$102=$A110)*(Note!$C$3:$C$102=$B110)*(Note!$E$3:$E$102&lt;=AB$1)*(Note!$F$3:$F$102&gt;=AB$2),0))</f>
        <v>H1.25</v>
      </c>
      <c r="AC110" s="193" t="str" cm="1">
        <f t="array" ref="AC110">INDEX(Note!$I$3:$I$102,MATCH(1,(Note!$A$3:$A$102=$A110)*(Note!$C$3:$C$102=$B110)*(Note!$E$3:$E$102&lt;=AC$1)*(Note!$F$3:$F$102&gt;=AC$2),0))</f>
        <v>H1.25</v>
      </c>
      <c r="AD110" s="193" t="str" cm="1">
        <f t="array" ref="AD110">INDEX(Note!$I$3:$I$102,MATCH(1,(Note!$A$3:$A$102=$A110)*(Note!$C$3:$C$102=$B110)*(Note!$E$3:$E$102&lt;=AD$1)*(Note!$F$3:$F$102&gt;=AD$2),0))</f>
        <v>H1.25</v>
      </c>
      <c r="AE110" s="193" t="str" cm="1">
        <f t="array" ref="AE110">INDEX(Note!$I$3:$I$102,MATCH(1,(Note!$A$3:$A$102=$A110)*(Note!$C$3:$C$102=$B110)*(Note!$E$3:$E$102&lt;=AE$1)*(Note!$F$3:$F$102&gt;=AE$2),0))</f>
        <v>H1.25</v>
      </c>
      <c r="AF110" s="193" t="str" cm="1">
        <f t="array" ref="AF110">INDEX(Note!$I$3:$I$102,MATCH(1,(Note!$A$3:$A$102=$A110)*(Note!$C$3:$C$102=$B110)*(Note!$E$3:$E$102&lt;=AF$1)*(Note!$F$3:$F$102&gt;=AF$2),0))</f>
        <v>H1.25</v>
      </c>
      <c r="AG110" s="193"/>
      <c r="AH110" s="193"/>
      <c r="AI110" s="193"/>
      <c r="AJ110" s="193"/>
      <c r="AK110" s="193"/>
      <c r="AL110" s="194"/>
    </row>
    <row r="111" spans="1:38" s="185" customFormat="1" outlineLevel="1" x14ac:dyDescent="0.3">
      <c r="A111" s="185" t="s">
        <v>61</v>
      </c>
      <c r="B111" s="300" t="s">
        <v>34</v>
      </c>
      <c r="F111" s="283" t="s">
        <v>309</v>
      </c>
      <c r="G111" s="284"/>
      <c r="H111" s="284"/>
      <c r="I111" s="284"/>
      <c r="J111" s="284" t="s">
        <v>202</v>
      </c>
      <c r="K111" s="186"/>
      <c r="L111" s="292"/>
      <c r="M111" s="292"/>
      <c r="N111" s="293"/>
      <c r="O111" s="198" cm="1">
        <f t="array" ref="O111">SUMPRODUCT(General_Data*(Year=O$3)*(Month=O$4)*(Code_General_Data=$B111))</f>
        <v>1250</v>
      </c>
      <c r="P111" s="199" cm="1">
        <f t="array" ref="P111">SUMPRODUCT(General_Data*(Year=P$3)*(Month=P$4)*(Code_General_Data=$B111))</f>
        <v>1250</v>
      </c>
      <c r="Q111" s="199" cm="1">
        <f t="array" ref="Q111">SUMPRODUCT(General_Data*(Year=Q$3)*(Month=Q$4)*(Code_General_Data=$B111))</f>
        <v>1250</v>
      </c>
      <c r="R111" s="199" cm="1">
        <f t="array" ref="R111">SUMPRODUCT(General_Data*(Year=R$3)*(Month=R$4)*(Code_General_Data=$B111))</f>
        <v>1250</v>
      </c>
      <c r="S111" s="199" cm="1">
        <f t="array" ref="S111">SUMPRODUCT(General_Data*(Year=S$3)*(Month=S$4)*(Code_General_Data=$B111))</f>
        <v>1300</v>
      </c>
      <c r="T111" s="199" cm="1">
        <f t="array" ref="T111">SUMPRODUCT(General_Data*(Year=T$3)*(Month=T$4)*(Code_General_Data=$B111))</f>
        <v>1300</v>
      </c>
      <c r="U111" s="199" cm="1">
        <f t="array" ref="U111">SUMPRODUCT(General_Data*(Year=U$3)*(Month=U$4)*(Code_General_Data=$B111))</f>
        <v>1300</v>
      </c>
      <c r="V111" s="199" cm="1">
        <f t="array" ref="V111">SUMPRODUCT(General_Data*(Year=V$3)*(Month=V$4)*(Code_General_Data=$B111))</f>
        <v>1300</v>
      </c>
      <c r="W111" s="199" cm="1">
        <f t="array" ref="W111">SUMPRODUCT(General_Data*(Year=W$3)*(Month=W$4)*(Code_General_Data=$B111))</f>
        <v>1310</v>
      </c>
      <c r="X111" s="199" cm="1">
        <f t="array" ref="X111">SUMPRODUCT(General_Data*(Year=X$3)*(Month=X$4)*(Code_General_Data=$B111))</f>
        <v>1325</v>
      </c>
      <c r="Y111" s="199" cm="1">
        <f t="array" ref="Y111">SUMPRODUCT(General_Data*(Year=Y$3)*(Month=Y$4)*(Code_General_Data=$B111))</f>
        <v>1325</v>
      </c>
      <c r="Z111" s="200" cm="1">
        <f t="array" ref="Z111">SUMPRODUCT(General_Data*(Year=Z$3)*(Month=Z$4)*(Code_General_Data=$B111))</f>
        <v>1275</v>
      </c>
      <c r="AA111" s="199" cm="1">
        <f t="array" ref="AA111">SUMPRODUCT(General_Data*(Year=AA$3)*(Month=AA$4)*(Code_General_Data=$B111))</f>
        <v>1230</v>
      </c>
      <c r="AB111" s="199" cm="1">
        <f t="array" ref="AB111">SUMPRODUCT(General_Data*(Year=AB$3)*(Month=AB$4)*(Code_General_Data=$B111))</f>
        <v>1230</v>
      </c>
      <c r="AC111" s="199" cm="1">
        <f t="array" ref="AC111">SUMPRODUCT(General_Data*(Year=AC$3)*(Month=AC$4)*(Code_General_Data=$B111))</f>
        <v>1230</v>
      </c>
      <c r="AD111" s="199"/>
      <c r="AE111" s="199"/>
      <c r="AF111" s="199"/>
      <c r="AG111" s="199"/>
      <c r="AH111" s="199"/>
      <c r="AI111" s="199"/>
      <c r="AJ111" s="199"/>
      <c r="AK111" s="199"/>
      <c r="AL111" s="200"/>
    </row>
    <row r="112" spans="1:38" s="93" customFormat="1" x14ac:dyDescent="0.3">
      <c r="D112" s="92"/>
      <c r="F112" s="165"/>
      <c r="G112"/>
      <c r="H112"/>
      <c r="I112"/>
      <c r="J112"/>
      <c r="K112"/>
      <c r="L112"/>
      <c r="M112"/>
      <c r="N112"/>
      <c r="O112" s="47"/>
      <c r="P112"/>
      <c r="Q112"/>
      <c r="R112"/>
      <c r="S112"/>
      <c r="T112"/>
      <c r="U112"/>
      <c r="V112"/>
      <c r="W112"/>
      <c r="X112"/>
      <c r="Y112"/>
      <c r="Z112" s="48"/>
      <c r="AA112"/>
      <c r="AB112"/>
      <c r="AC112"/>
      <c r="AD112"/>
      <c r="AE112"/>
      <c r="AF112"/>
      <c r="AG112"/>
      <c r="AH112"/>
      <c r="AI112"/>
      <c r="AJ112"/>
      <c r="AK112"/>
      <c r="AL112" s="48"/>
    </row>
    <row r="113" spans="1:38" s="175" customFormat="1" ht="19.8" x14ac:dyDescent="0.3">
      <c r="A113" s="173" t="s">
        <v>48</v>
      </c>
      <c r="B113" s="173"/>
      <c r="C113" s="173"/>
      <c r="D113" s="173"/>
      <c r="E113" s="173"/>
      <c r="F113" s="216">
        <v>5</v>
      </c>
      <c r="G113" s="174" t="s">
        <v>297</v>
      </c>
      <c r="H113" s="174"/>
      <c r="I113" s="174"/>
      <c r="J113" s="174"/>
      <c r="L113" s="177"/>
      <c r="M113" s="177"/>
      <c r="N113" s="177"/>
      <c r="O113" s="176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8"/>
      <c r="AA113" s="179"/>
      <c r="AB113" s="177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8"/>
    </row>
    <row r="114" spans="1:38" s="180" customFormat="1" ht="17.399999999999999" x14ac:dyDescent="0.3">
      <c r="A114" s="180" t="s">
        <v>48</v>
      </c>
      <c r="B114" s="180" t="s">
        <v>28</v>
      </c>
      <c r="D114" s="180" t="s">
        <v>321</v>
      </c>
      <c r="F114" s="270">
        <v>5.0999999999999996</v>
      </c>
      <c r="G114" s="271"/>
      <c r="H114" s="271" t="s">
        <v>260</v>
      </c>
      <c r="I114" s="271"/>
      <c r="J114" s="271"/>
      <c r="L114" s="271"/>
      <c r="M114" s="271"/>
      <c r="N114" s="285"/>
      <c r="O114" s="213">
        <v>1325</v>
      </c>
      <c r="P114" s="214">
        <v>1325</v>
      </c>
      <c r="Q114" s="214">
        <v>1325</v>
      </c>
      <c r="R114" s="214">
        <v>1325</v>
      </c>
      <c r="S114" s="214">
        <v>1325</v>
      </c>
      <c r="T114" s="214">
        <v>1325</v>
      </c>
      <c r="U114" s="214">
        <v>1325</v>
      </c>
      <c r="V114" s="214">
        <v>1325</v>
      </c>
      <c r="W114" s="214">
        <v>1325</v>
      </c>
      <c r="X114" s="214">
        <v>1325</v>
      </c>
      <c r="Y114" s="214">
        <v>1325</v>
      </c>
      <c r="Z114" s="215">
        <v>1325</v>
      </c>
      <c r="AA114" s="213">
        <v>1400</v>
      </c>
      <c r="AB114" s="214">
        <v>1400</v>
      </c>
      <c r="AC114" s="214">
        <v>1400</v>
      </c>
      <c r="AD114" s="214">
        <v>1400</v>
      </c>
      <c r="AE114" s="214">
        <v>1400</v>
      </c>
      <c r="AF114" s="214">
        <v>1400</v>
      </c>
      <c r="AG114" s="214">
        <v>1400</v>
      </c>
      <c r="AH114" s="214">
        <v>1400</v>
      </c>
      <c r="AI114" s="214">
        <v>1400</v>
      </c>
      <c r="AJ114" s="214">
        <v>1400</v>
      </c>
      <c r="AK114" s="214">
        <v>1400</v>
      </c>
      <c r="AL114" s="215">
        <v>1400</v>
      </c>
    </row>
    <row r="115" spans="1:38" s="94" customFormat="1" outlineLevel="1" x14ac:dyDescent="0.3">
      <c r="A115" s="94" t="s">
        <v>48</v>
      </c>
      <c r="B115" s="297" t="s">
        <v>28</v>
      </c>
      <c r="D115" s="95" t="s">
        <v>161</v>
      </c>
      <c r="F115" s="275" t="s">
        <v>298</v>
      </c>
      <c r="G115" s="276"/>
      <c r="H115" s="276"/>
      <c r="I115" s="276" t="s">
        <v>8</v>
      </c>
      <c r="J115" s="276"/>
      <c r="K115" s="2"/>
      <c r="L115" s="276"/>
      <c r="M115" s="276"/>
      <c r="N115" s="287"/>
      <c r="O115" s="225">
        <f>O114-O116-O117</f>
        <v>1315</v>
      </c>
      <c r="P115" s="226">
        <f t="shared" ref="P115:AL115" si="38">P114-P116-P117</f>
        <v>1315</v>
      </c>
      <c r="Q115" s="226">
        <f t="shared" si="38"/>
        <v>1315</v>
      </c>
      <c r="R115" s="226">
        <f t="shared" si="38"/>
        <v>1315</v>
      </c>
      <c r="S115" s="226">
        <f t="shared" si="38"/>
        <v>1315</v>
      </c>
      <c r="T115" s="226">
        <f t="shared" si="38"/>
        <v>1315</v>
      </c>
      <c r="U115" s="226">
        <f t="shared" si="38"/>
        <v>1315</v>
      </c>
      <c r="V115" s="226">
        <f t="shared" si="38"/>
        <v>1315</v>
      </c>
      <c r="W115" s="226">
        <f t="shared" si="38"/>
        <v>1315</v>
      </c>
      <c r="X115" s="226">
        <f t="shared" si="38"/>
        <v>1315</v>
      </c>
      <c r="Y115" s="226">
        <f t="shared" si="38"/>
        <v>1315</v>
      </c>
      <c r="Z115" s="227">
        <f t="shared" si="38"/>
        <v>1315</v>
      </c>
      <c r="AA115" s="226">
        <f t="shared" si="38"/>
        <v>1348</v>
      </c>
      <c r="AB115" s="226">
        <f t="shared" si="38"/>
        <v>1348</v>
      </c>
      <c r="AC115" s="226">
        <f t="shared" si="38"/>
        <v>1348</v>
      </c>
      <c r="AD115" s="226">
        <f t="shared" si="38"/>
        <v>1348</v>
      </c>
      <c r="AE115" s="226">
        <f t="shared" si="38"/>
        <v>1348</v>
      </c>
      <c r="AF115" s="226">
        <f t="shared" si="38"/>
        <v>1348</v>
      </c>
      <c r="AG115" s="226">
        <f t="shared" si="38"/>
        <v>1348</v>
      </c>
      <c r="AH115" s="226">
        <f t="shared" si="38"/>
        <v>1348</v>
      </c>
      <c r="AI115" s="226">
        <f t="shared" si="38"/>
        <v>1348</v>
      </c>
      <c r="AJ115" s="226">
        <f t="shared" si="38"/>
        <v>1348</v>
      </c>
      <c r="AK115" s="226">
        <f t="shared" si="38"/>
        <v>1348</v>
      </c>
      <c r="AL115" s="227">
        <f t="shared" si="38"/>
        <v>1348</v>
      </c>
    </row>
    <row r="116" spans="1:38" s="181" customFormat="1" outlineLevel="1" x14ac:dyDescent="0.3">
      <c r="A116" s="181" t="s">
        <v>48</v>
      </c>
      <c r="B116" s="181" t="s">
        <v>28</v>
      </c>
      <c r="F116" s="219" t="s">
        <v>299</v>
      </c>
      <c r="G116" s="188"/>
      <c r="H116" s="188"/>
      <c r="I116" s="188" t="s">
        <v>49</v>
      </c>
      <c r="J116" s="188"/>
      <c r="K116" s="182"/>
      <c r="L116" s="207"/>
      <c r="M116" s="207"/>
      <c r="N116" s="207"/>
      <c r="O116" s="208">
        <v>10</v>
      </c>
      <c r="P116" s="207">
        <v>10</v>
      </c>
      <c r="Q116" s="207">
        <v>10</v>
      </c>
      <c r="R116" s="207">
        <v>10</v>
      </c>
      <c r="S116" s="207">
        <v>10</v>
      </c>
      <c r="T116" s="207">
        <v>10</v>
      </c>
      <c r="U116" s="207">
        <v>10</v>
      </c>
      <c r="V116" s="207">
        <v>10</v>
      </c>
      <c r="W116" s="207">
        <v>10</v>
      </c>
      <c r="X116" s="207">
        <v>10</v>
      </c>
      <c r="Y116" s="207">
        <v>10</v>
      </c>
      <c r="Z116" s="209">
        <v>10</v>
      </c>
      <c r="AA116" s="207">
        <v>10</v>
      </c>
      <c r="AB116" s="207">
        <v>10</v>
      </c>
      <c r="AC116" s="207">
        <v>10</v>
      </c>
      <c r="AD116" s="207">
        <v>10</v>
      </c>
      <c r="AE116" s="207">
        <v>10</v>
      </c>
      <c r="AF116" s="207">
        <v>10</v>
      </c>
      <c r="AG116" s="207">
        <v>10</v>
      </c>
      <c r="AH116" s="207">
        <v>10</v>
      </c>
      <c r="AI116" s="207">
        <v>10</v>
      </c>
      <c r="AJ116" s="207">
        <v>10</v>
      </c>
      <c r="AK116" s="207">
        <v>10</v>
      </c>
      <c r="AL116" s="209">
        <v>10</v>
      </c>
    </row>
    <row r="117" spans="1:38" s="181" customFormat="1" outlineLevel="1" x14ac:dyDescent="0.3">
      <c r="A117" s="181" t="s">
        <v>48</v>
      </c>
      <c r="B117" s="181" t="s">
        <v>28</v>
      </c>
      <c r="F117" s="219" t="s">
        <v>300</v>
      </c>
      <c r="G117" s="188"/>
      <c r="H117" s="188"/>
      <c r="I117" s="188" t="s">
        <v>50</v>
      </c>
      <c r="J117" s="188"/>
      <c r="K117" s="182"/>
      <c r="L117" s="207"/>
      <c r="M117" s="207"/>
      <c r="N117" s="207"/>
      <c r="O117" s="208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9"/>
      <c r="AA117" s="207">
        <f t="shared" ref="AA117:AL117" si="39">AA114*3%</f>
        <v>42</v>
      </c>
      <c r="AB117" s="207">
        <f t="shared" si="39"/>
        <v>42</v>
      </c>
      <c r="AC117" s="207">
        <f t="shared" si="39"/>
        <v>42</v>
      </c>
      <c r="AD117" s="207">
        <f t="shared" si="39"/>
        <v>42</v>
      </c>
      <c r="AE117" s="207">
        <f t="shared" si="39"/>
        <v>42</v>
      </c>
      <c r="AF117" s="207">
        <f t="shared" si="39"/>
        <v>42</v>
      </c>
      <c r="AG117" s="207">
        <f t="shared" si="39"/>
        <v>42</v>
      </c>
      <c r="AH117" s="207">
        <f t="shared" si="39"/>
        <v>42</v>
      </c>
      <c r="AI117" s="207">
        <f t="shared" si="39"/>
        <v>42</v>
      </c>
      <c r="AJ117" s="207">
        <f t="shared" si="39"/>
        <v>42</v>
      </c>
      <c r="AK117" s="207">
        <f t="shared" si="39"/>
        <v>42</v>
      </c>
      <c r="AL117" s="209">
        <f t="shared" si="39"/>
        <v>42</v>
      </c>
    </row>
    <row r="118" spans="1:38" s="96" customFormat="1" ht="63" customHeight="1" outlineLevel="1" x14ac:dyDescent="0.3">
      <c r="A118" s="96" t="s">
        <v>48</v>
      </c>
      <c r="B118" s="298" t="s">
        <v>28</v>
      </c>
      <c r="D118" s="97"/>
      <c r="F118" s="279" t="s">
        <v>301</v>
      </c>
      <c r="G118" s="280"/>
      <c r="H118" s="280"/>
      <c r="I118" s="280"/>
      <c r="J118" s="280" t="s">
        <v>44</v>
      </c>
      <c r="K118" s="12"/>
      <c r="L118" s="280"/>
      <c r="M118" s="280"/>
      <c r="N118" s="290"/>
      <c r="O118" s="88" t="str" cm="1">
        <f t="array" ref="O118">INDEX(Note!$G$3:$G$102,MATCH(1,(Note!$A$3:$A$102=$A118)*(Note!$C$3:$C$102=$B118)*(Note!$E$3:$E$102&lt;=O$1)*(Note!$F$3:$F$102&gt;=O$2),0))</f>
        <v>Giá cố định</v>
      </c>
      <c r="P118" s="27" t="str" cm="1">
        <f t="array" ref="P118">INDEX(Note!$G$3:$G$102,MATCH(1,(Note!$A$3:$A$102=$A118)*(Note!$C$3:$C$102=$B118)*(Note!$E$3:$E$102&lt;=P$1)*(Note!$F$3:$F$102&gt;=P$2),0))</f>
        <v>Giá cố định</v>
      </c>
      <c r="Q118" s="27" t="str" cm="1">
        <f t="array" ref="Q118">INDEX(Note!$G$3:$G$102,MATCH(1,(Note!$A$3:$A$102=$A118)*(Note!$C$3:$C$102=$B118)*(Note!$E$3:$E$102&lt;=Q$1)*(Note!$F$3:$F$102&gt;=Q$2),0))</f>
        <v>Giá cố định</v>
      </c>
      <c r="R118" s="27" t="str" cm="1">
        <f t="array" ref="R118">INDEX(Note!$G$3:$G$102,MATCH(1,(Note!$A$3:$A$102=$A118)*(Note!$C$3:$C$102=$B118)*(Note!$E$3:$E$102&lt;=R$1)*(Note!$F$3:$F$102&gt;=R$2),0))</f>
        <v>Giá cố định</v>
      </c>
      <c r="S118" s="27" t="str" cm="1">
        <f t="array" ref="S118">INDEX(Note!$G$3:$G$102,MATCH(1,(Note!$A$3:$A$102=$A118)*(Note!$C$3:$C$102=$B118)*(Note!$E$3:$E$102&lt;=S$1)*(Note!$F$3:$F$102&gt;=S$2),0))</f>
        <v>Giá cố định</v>
      </c>
      <c r="T118" s="27" t="str" cm="1">
        <f t="array" ref="T118">INDEX(Note!$G$3:$G$102,MATCH(1,(Note!$A$3:$A$102=$A118)*(Note!$C$3:$C$102=$B118)*(Note!$E$3:$E$102&lt;=T$1)*(Note!$F$3:$F$102&gt;=T$2),0))</f>
        <v>Giá cố định</v>
      </c>
      <c r="U118" s="27" t="str" cm="1">
        <f t="array" ref="U118">INDEX(Note!$G$3:$G$102,MATCH(1,(Note!$A$3:$A$102=$A118)*(Note!$C$3:$C$102=$B118)*(Note!$E$3:$E$102&lt;=U$1)*(Note!$F$3:$F$102&gt;=U$2),0))</f>
        <v>Giá cố định</v>
      </c>
      <c r="V118" s="27" t="str" cm="1">
        <f t="array" ref="V118">INDEX(Note!$G$3:$G$102,MATCH(1,(Note!$A$3:$A$102=$A118)*(Note!$C$3:$C$102=$B118)*(Note!$E$3:$E$102&lt;=V$1)*(Note!$F$3:$F$102&gt;=V$2),0))</f>
        <v>Giá cố định</v>
      </c>
      <c r="W118" s="27" t="str" cm="1">
        <f t="array" ref="W118">INDEX(Note!$G$3:$G$102,MATCH(1,(Note!$A$3:$A$102=$A118)*(Note!$C$3:$C$102=$B118)*(Note!$E$3:$E$102&lt;=W$1)*(Note!$F$3:$F$102&gt;=W$2),0))</f>
        <v>Giá cố định</v>
      </c>
      <c r="X118" s="27" t="str" cm="1">
        <f t="array" ref="X118">INDEX(Note!$G$3:$G$102,MATCH(1,(Note!$A$3:$A$102=$A118)*(Note!$C$3:$C$102=$B118)*(Note!$E$3:$E$102&lt;=X$1)*(Note!$F$3:$F$102&gt;=X$2),0))</f>
        <v>Giá cố định</v>
      </c>
      <c r="Y118" s="27" t="str" cm="1">
        <f t="array" ref="Y118">INDEX(Note!$G$3:$G$102,MATCH(1,(Note!$A$3:$A$102=$A118)*(Note!$C$3:$C$102=$B118)*(Note!$E$3:$E$102&lt;=Y$1)*(Note!$F$3:$F$102&gt;=Y$2),0))</f>
        <v>Giá cố định</v>
      </c>
      <c r="Z118" s="89" t="str" cm="1">
        <f t="array" ref="Z118">INDEX(Note!$G$3:$G$102,MATCH(1,(Note!$A$3:$A$102=$A118)*(Note!$C$3:$C$102=$B118)*(Note!$E$3:$E$102&lt;=Z$1)*(Note!$F$3:$F$102&gt;=Z$2),0))</f>
        <v>Giá cố định</v>
      </c>
      <c r="AA118" s="27" t="str" cm="1">
        <f t="array" ref="AA118">INDEX(Note!$G$3:$G$102,MATCH(1,(Note!$A$3:$A$102=$A118)*(Note!$C$3:$C$102=$B118)*(Note!$E$3:$E$102&lt;=AA$1)*(Note!$F$3:$F$102&gt;=AA$2),0))</f>
        <v>Giá cố định</v>
      </c>
      <c r="AB118" s="27" t="str" cm="1">
        <f t="array" ref="AB118">INDEX(Note!$G$3:$G$102,MATCH(1,(Note!$A$3:$A$102=$A118)*(Note!$C$3:$C$102=$B118)*(Note!$E$3:$E$102&lt;=AB$1)*(Note!$F$3:$F$102&gt;=AB$2),0))</f>
        <v>Giá cố định</v>
      </c>
      <c r="AC118" s="27" t="str" cm="1">
        <f t="array" ref="AC118">INDEX(Note!$G$3:$G$102,MATCH(1,(Note!$A$3:$A$102=$A118)*(Note!$C$3:$C$102=$B118)*(Note!$E$3:$E$102&lt;=AC$1)*(Note!$F$3:$F$102&gt;=AC$2),0))</f>
        <v>Giá cố định</v>
      </c>
      <c r="AD118" s="27" t="str" cm="1">
        <f t="array" ref="AD118">INDEX(Note!$G$3:$G$102,MATCH(1,(Note!$A$3:$A$102=$A118)*(Note!$C$3:$C$102=$B118)*(Note!$E$3:$E$102&lt;=AD$1)*(Note!$F$3:$F$102&gt;=AD$2),0))</f>
        <v>Giá cố định</v>
      </c>
      <c r="AE118" s="27" t="str" cm="1">
        <f t="array" ref="AE118">INDEX(Note!$G$3:$G$102,MATCH(1,(Note!$A$3:$A$102=$A118)*(Note!$C$3:$C$102=$B118)*(Note!$E$3:$E$102&lt;=AE$1)*(Note!$F$3:$F$102&gt;=AE$2),0))</f>
        <v>Giá cố định</v>
      </c>
      <c r="AF118" s="27" t="str" cm="1">
        <f t="array" ref="AF118">INDEX(Note!$G$3:$G$102,MATCH(1,(Note!$A$3:$A$102=$A118)*(Note!$C$3:$C$102=$B118)*(Note!$E$3:$E$102&lt;=AF$1)*(Note!$F$3:$F$102&gt;=AF$2),0))</f>
        <v>Giá cố định</v>
      </c>
      <c r="AG118" s="27" t="str" cm="1">
        <f t="array" ref="AG118">INDEX(Note!$G$3:$G$102,MATCH(1,(Note!$A$3:$A$102=$A118)*(Note!$C$3:$C$102=$B118)*(Note!$E$3:$E$102&lt;=AG$1)*(Note!$F$3:$F$102&gt;=AG$2),0))</f>
        <v>Giá cố định</v>
      </c>
      <c r="AH118" s="27" t="str" cm="1">
        <f t="array" ref="AH118">INDEX(Note!$G$3:$G$102,MATCH(1,(Note!$A$3:$A$102=$A118)*(Note!$C$3:$C$102=$B118)*(Note!$E$3:$E$102&lt;=AH$1)*(Note!$F$3:$F$102&gt;=AH$2),0))</f>
        <v>Giá cố định</v>
      </c>
      <c r="AI118" s="27" t="str" cm="1">
        <f t="array" ref="AI118">INDEX(Note!$G$3:$G$102,MATCH(1,(Note!$A$3:$A$102=$A118)*(Note!$C$3:$C$102=$B118)*(Note!$E$3:$E$102&lt;=AI$1)*(Note!$F$3:$F$102&gt;=AI$2),0))</f>
        <v>Giá cố định</v>
      </c>
      <c r="AJ118" s="27" t="str" cm="1">
        <f t="array" ref="AJ118">INDEX(Note!$G$3:$G$102,MATCH(1,(Note!$A$3:$A$102=$A118)*(Note!$C$3:$C$102=$B118)*(Note!$E$3:$E$102&lt;=AJ$1)*(Note!$F$3:$F$102&gt;=AJ$2),0))</f>
        <v>Giá cố định</v>
      </c>
      <c r="AK118" s="27" t="str" cm="1">
        <f t="array" ref="AK118">INDEX(Note!$G$3:$G$102,MATCH(1,(Note!$A$3:$A$102=$A118)*(Note!$C$3:$C$102=$B118)*(Note!$E$3:$E$102&lt;=AK$1)*(Note!$F$3:$F$102&gt;=AK$2),0))</f>
        <v>Giá cố định</v>
      </c>
      <c r="AL118" s="89" t="str" cm="1">
        <f t="array" ref="AL118">INDEX(Note!$G$3:$G$102,MATCH(1,(Note!$A$3:$A$102=$A118)*(Note!$C$3:$C$102=$B118)*(Note!$E$3:$E$102&lt;=AL$1)*(Note!$F$3:$F$102&gt;=AL$2),0))</f>
        <v>Giá cố định</v>
      </c>
    </row>
    <row r="119" spans="1:38" s="96" customFormat="1" outlineLevel="1" x14ac:dyDescent="0.3">
      <c r="A119" s="96" t="s">
        <v>48</v>
      </c>
      <c r="B119" s="298" t="s">
        <v>28</v>
      </c>
      <c r="D119" s="97"/>
      <c r="F119" s="279" t="s">
        <v>302</v>
      </c>
      <c r="G119" s="280"/>
      <c r="H119" s="280"/>
      <c r="I119" s="280"/>
      <c r="J119" s="280" t="s">
        <v>42</v>
      </c>
      <c r="K119" s="12"/>
      <c r="L119" s="280"/>
      <c r="M119" s="280"/>
      <c r="N119" s="290"/>
      <c r="O119" s="88" t="str" cm="1">
        <f t="array" ref="O119">INDEX(Note!$H$3:$H$102,MATCH(1,(Note!$A$3:$A$102=$A119)*(Note!$C$3:$C$102=$B119)*(Note!$E$3:$E$102&lt;=O$1)*(Note!$F$3:$F$102&gt;=O$2),0))</f>
        <v>DDP</v>
      </c>
      <c r="P119" s="27" t="str" cm="1">
        <f t="array" ref="P119">INDEX(Note!$H$3:$H$102,MATCH(1,(Note!$A$3:$A$102=$A119)*(Note!$C$3:$C$102=$B119)*(Note!$E$3:$E$102&lt;=P$1)*(Note!$F$3:$F$102&gt;=P$2),0))</f>
        <v>DDP</v>
      </c>
      <c r="Q119" s="27" t="str" cm="1">
        <f t="array" ref="Q119">INDEX(Note!$H$3:$H$102,MATCH(1,(Note!$A$3:$A$102=$A119)*(Note!$C$3:$C$102=$B119)*(Note!$E$3:$E$102&lt;=Q$1)*(Note!$F$3:$F$102&gt;=Q$2),0))</f>
        <v>DDP</v>
      </c>
      <c r="R119" s="27" t="str" cm="1">
        <f t="array" ref="R119">INDEX(Note!$H$3:$H$102,MATCH(1,(Note!$A$3:$A$102=$A119)*(Note!$C$3:$C$102=$B119)*(Note!$E$3:$E$102&lt;=R$1)*(Note!$F$3:$F$102&gt;=R$2),0))</f>
        <v>DDP</v>
      </c>
      <c r="S119" s="27" t="str" cm="1">
        <f t="array" ref="S119">INDEX(Note!$H$3:$H$102,MATCH(1,(Note!$A$3:$A$102=$A119)*(Note!$C$3:$C$102=$B119)*(Note!$E$3:$E$102&lt;=S$1)*(Note!$F$3:$F$102&gt;=S$2),0))</f>
        <v>DDP</v>
      </c>
      <c r="T119" s="27" t="str" cm="1">
        <f t="array" ref="T119">INDEX(Note!$H$3:$H$102,MATCH(1,(Note!$A$3:$A$102=$A119)*(Note!$C$3:$C$102=$B119)*(Note!$E$3:$E$102&lt;=T$1)*(Note!$F$3:$F$102&gt;=T$2),0))</f>
        <v>DDP</v>
      </c>
      <c r="U119" s="27" t="str" cm="1">
        <f t="array" ref="U119">INDEX(Note!$H$3:$H$102,MATCH(1,(Note!$A$3:$A$102=$A119)*(Note!$C$3:$C$102=$B119)*(Note!$E$3:$E$102&lt;=U$1)*(Note!$F$3:$F$102&gt;=U$2),0))</f>
        <v>DDP</v>
      </c>
      <c r="V119" s="27" t="str" cm="1">
        <f t="array" ref="V119">INDEX(Note!$H$3:$H$102,MATCH(1,(Note!$A$3:$A$102=$A119)*(Note!$C$3:$C$102=$B119)*(Note!$E$3:$E$102&lt;=V$1)*(Note!$F$3:$F$102&gt;=V$2),0))</f>
        <v>DDP</v>
      </c>
      <c r="W119" s="27" t="str" cm="1">
        <f t="array" ref="W119">INDEX(Note!$H$3:$H$102,MATCH(1,(Note!$A$3:$A$102=$A119)*(Note!$C$3:$C$102=$B119)*(Note!$E$3:$E$102&lt;=W$1)*(Note!$F$3:$F$102&gt;=W$2),0))</f>
        <v>DDP</v>
      </c>
      <c r="X119" s="27" t="str" cm="1">
        <f t="array" ref="X119">INDEX(Note!$H$3:$H$102,MATCH(1,(Note!$A$3:$A$102=$A119)*(Note!$C$3:$C$102=$B119)*(Note!$E$3:$E$102&lt;=X$1)*(Note!$F$3:$F$102&gt;=X$2),0))</f>
        <v>DDP</v>
      </c>
      <c r="Y119" s="27" t="str" cm="1">
        <f t="array" ref="Y119">INDEX(Note!$H$3:$H$102,MATCH(1,(Note!$A$3:$A$102=$A119)*(Note!$C$3:$C$102=$B119)*(Note!$E$3:$E$102&lt;=Y$1)*(Note!$F$3:$F$102&gt;=Y$2),0))</f>
        <v>DDP</v>
      </c>
      <c r="Z119" s="89" t="str" cm="1">
        <f t="array" ref="Z119">INDEX(Note!$H$3:$H$102,MATCH(1,(Note!$A$3:$A$102=$A119)*(Note!$C$3:$C$102=$B119)*(Note!$E$3:$E$102&lt;=Z$1)*(Note!$F$3:$F$102&gt;=Z$2),0))</f>
        <v>DDP</v>
      </c>
      <c r="AA119" s="27" t="str" cm="1">
        <f t="array" ref="AA119">INDEX(Note!$H$3:$H$102,MATCH(1,(Note!$A$3:$A$102=$A119)*(Note!$C$3:$C$102=$B119)*(Note!$E$3:$E$102&lt;=AA$1)*(Note!$F$3:$F$102&gt;=AA$2),0))</f>
        <v>DDP</v>
      </c>
      <c r="AB119" s="27" t="str" cm="1">
        <f t="array" ref="AB119">INDEX(Note!$H$3:$H$102,MATCH(1,(Note!$A$3:$A$102=$A119)*(Note!$C$3:$C$102=$B119)*(Note!$E$3:$E$102&lt;=AB$1)*(Note!$F$3:$F$102&gt;=AB$2),0))</f>
        <v>DDP</v>
      </c>
      <c r="AC119" s="27" t="str" cm="1">
        <f t="array" ref="AC119">INDEX(Note!$H$3:$H$102,MATCH(1,(Note!$A$3:$A$102=$A119)*(Note!$C$3:$C$102=$B119)*(Note!$E$3:$E$102&lt;=AC$1)*(Note!$F$3:$F$102&gt;=AC$2),0))</f>
        <v>DDP</v>
      </c>
      <c r="AD119" s="27" t="str" cm="1">
        <f t="array" ref="AD119">INDEX(Note!$H$3:$H$102,MATCH(1,(Note!$A$3:$A$102=$A119)*(Note!$C$3:$C$102=$B119)*(Note!$E$3:$E$102&lt;=AD$1)*(Note!$F$3:$F$102&gt;=AD$2),0))</f>
        <v>DDP</v>
      </c>
      <c r="AE119" s="27" t="str" cm="1">
        <f t="array" ref="AE119">INDEX(Note!$H$3:$H$102,MATCH(1,(Note!$A$3:$A$102=$A119)*(Note!$C$3:$C$102=$B119)*(Note!$E$3:$E$102&lt;=AE$1)*(Note!$F$3:$F$102&gt;=AE$2),0))</f>
        <v>DDP</v>
      </c>
      <c r="AF119" s="27" t="str" cm="1">
        <f t="array" ref="AF119">INDEX(Note!$H$3:$H$102,MATCH(1,(Note!$A$3:$A$102=$A119)*(Note!$C$3:$C$102=$B119)*(Note!$E$3:$E$102&lt;=AF$1)*(Note!$F$3:$F$102&gt;=AF$2),0))</f>
        <v>DDP</v>
      </c>
      <c r="AG119" s="27" t="str" cm="1">
        <f t="array" ref="AG119">INDEX(Note!$H$3:$H$102,MATCH(1,(Note!$A$3:$A$102=$A119)*(Note!$C$3:$C$102=$B119)*(Note!$E$3:$E$102&lt;=AG$1)*(Note!$F$3:$F$102&gt;=AG$2),0))</f>
        <v>DDP</v>
      </c>
      <c r="AH119" s="27" t="str" cm="1">
        <f t="array" ref="AH119">INDEX(Note!$H$3:$H$102,MATCH(1,(Note!$A$3:$A$102=$A119)*(Note!$C$3:$C$102=$B119)*(Note!$E$3:$E$102&lt;=AH$1)*(Note!$F$3:$F$102&gt;=AH$2),0))</f>
        <v>DDP</v>
      </c>
      <c r="AI119" s="27" t="str" cm="1">
        <f t="array" ref="AI119">INDEX(Note!$H$3:$H$102,MATCH(1,(Note!$A$3:$A$102=$A119)*(Note!$C$3:$C$102=$B119)*(Note!$E$3:$E$102&lt;=AI$1)*(Note!$F$3:$F$102&gt;=AI$2),0))</f>
        <v>DDP</v>
      </c>
      <c r="AJ119" s="27" t="str" cm="1">
        <f t="array" ref="AJ119">INDEX(Note!$H$3:$H$102,MATCH(1,(Note!$A$3:$A$102=$A119)*(Note!$C$3:$C$102=$B119)*(Note!$E$3:$E$102&lt;=AJ$1)*(Note!$F$3:$F$102&gt;=AJ$2),0))</f>
        <v>DDP</v>
      </c>
      <c r="AK119" s="27" t="str" cm="1">
        <f t="array" ref="AK119">INDEX(Note!$H$3:$H$102,MATCH(1,(Note!$A$3:$A$102=$A119)*(Note!$C$3:$C$102=$B119)*(Note!$E$3:$E$102&lt;=AK$1)*(Note!$F$3:$F$102&gt;=AK$2),0))</f>
        <v>DDP</v>
      </c>
      <c r="AL119" s="89" t="str" cm="1">
        <f t="array" ref="AL119">INDEX(Note!$H$3:$H$102,MATCH(1,(Note!$A$3:$A$102=$A119)*(Note!$C$3:$C$102=$B119)*(Note!$E$3:$E$102&lt;=AL$1)*(Note!$F$3:$F$102&gt;=AL$2),0))</f>
        <v>DDP</v>
      </c>
    </row>
    <row r="120" spans="1:38" s="97" customFormat="1" outlineLevel="1" x14ac:dyDescent="0.3">
      <c r="A120" s="97" t="s">
        <v>48</v>
      </c>
      <c r="B120" s="299" t="s">
        <v>28</v>
      </c>
      <c r="F120" s="281" t="s">
        <v>303</v>
      </c>
      <c r="G120" s="282"/>
      <c r="H120" s="282"/>
      <c r="I120" s="282"/>
      <c r="J120" s="282" t="s">
        <v>45</v>
      </c>
      <c r="K120" s="109"/>
      <c r="L120" s="282"/>
      <c r="M120" s="282"/>
      <c r="N120" s="291"/>
      <c r="O120" s="233" t="str" cm="1">
        <f t="array" ref="O120">INDEX(Note!$I$3:$I$102,MATCH(1,(Note!$A$3:$A$102=$A120)*(Note!$C$3:$C$102=$B120)*(Note!$E$3:$E$102&lt;=O$1)*(Note!$F$3:$F$102&gt;=O$2),0))</f>
        <v>Năm</v>
      </c>
      <c r="P120" s="193" t="str" cm="1">
        <f t="array" ref="P120">INDEX(Note!$I$3:$I$102,MATCH(1,(Note!$A$3:$A$102=$A120)*(Note!$C$3:$C$102=$B120)*(Note!$E$3:$E$102&lt;=P$1)*(Note!$F$3:$F$102&gt;=P$2),0))</f>
        <v>Năm</v>
      </c>
      <c r="Q120" s="193" t="str" cm="1">
        <f t="array" ref="Q120">INDEX(Note!$I$3:$I$102,MATCH(1,(Note!$A$3:$A$102=$A120)*(Note!$C$3:$C$102=$B120)*(Note!$E$3:$E$102&lt;=Q$1)*(Note!$F$3:$F$102&gt;=Q$2),0))</f>
        <v>Năm</v>
      </c>
      <c r="R120" s="193" t="str" cm="1">
        <f t="array" ref="R120">INDEX(Note!$I$3:$I$102,MATCH(1,(Note!$A$3:$A$102=$A120)*(Note!$C$3:$C$102=$B120)*(Note!$E$3:$E$102&lt;=R$1)*(Note!$F$3:$F$102&gt;=R$2),0))</f>
        <v>Năm</v>
      </c>
      <c r="S120" s="193" t="str" cm="1">
        <f t="array" ref="S120">INDEX(Note!$I$3:$I$102,MATCH(1,(Note!$A$3:$A$102=$A120)*(Note!$C$3:$C$102=$B120)*(Note!$E$3:$E$102&lt;=S$1)*(Note!$F$3:$F$102&gt;=S$2),0))</f>
        <v>Năm</v>
      </c>
      <c r="T120" s="193" t="str" cm="1">
        <f t="array" ref="T120">INDEX(Note!$I$3:$I$102,MATCH(1,(Note!$A$3:$A$102=$A120)*(Note!$C$3:$C$102=$B120)*(Note!$E$3:$E$102&lt;=T$1)*(Note!$F$3:$F$102&gt;=T$2),0))</f>
        <v>Năm</v>
      </c>
      <c r="U120" s="193" t="str" cm="1">
        <f t="array" ref="U120">INDEX(Note!$I$3:$I$102,MATCH(1,(Note!$A$3:$A$102=$A120)*(Note!$C$3:$C$102=$B120)*(Note!$E$3:$E$102&lt;=U$1)*(Note!$F$3:$F$102&gt;=U$2),0))</f>
        <v>Năm</v>
      </c>
      <c r="V120" s="193" t="str" cm="1">
        <f t="array" ref="V120">INDEX(Note!$I$3:$I$102,MATCH(1,(Note!$A$3:$A$102=$A120)*(Note!$C$3:$C$102=$B120)*(Note!$E$3:$E$102&lt;=V$1)*(Note!$F$3:$F$102&gt;=V$2),0))</f>
        <v>Năm</v>
      </c>
      <c r="W120" s="193" t="str" cm="1">
        <f t="array" ref="W120">INDEX(Note!$I$3:$I$102,MATCH(1,(Note!$A$3:$A$102=$A120)*(Note!$C$3:$C$102=$B120)*(Note!$E$3:$E$102&lt;=W$1)*(Note!$F$3:$F$102&gt;=W$2),0))</f>
        <v>Năm</v>
      </c>
      <c r="X120" s="193" t="str" cm="1">
        <f t="array" ref="X120">INDEX(Note!$I$3:$I$102,MATCH(1,(Note!$A$3:$A$102=$A120)*(Note!$C$3:$C$102=$B120)*(Note!$E$3:$E$102&lt;=X$1)*(Note!$F$3:$F$102&gt;=X$2),0))</f>
        <v>Năm</v>
      </c>
      <c r="Y120" s="193" t="str" cm="1">
        <f t="array" ref="Y120">INDEX(Note!$I$3:$I$102,MATCH(1,(Note!$A$3:$A$102=$A120)*(Note!$C$3:$C$102=$B120)*(Note!$E$3:$E$102&lt;=Y$1)*(Note!$F$3:$F$102&gt;=Y$2),0))</f>
        <v>Năm</v>
      </c>
      <c r="Z120" s="194" t="str" cm="1">
        <f t="array" ref="Z120">INDEX(Note!$I$3:$I$102,MATCH(1,(Note!$A$3:$A$102=$A120)*(Note!$C$3:$C$102=$B120)*(Note!$E$3:$E$102&lt;=Z$1)*(Note!$F$3:$F$102&gt;=Z$2),0))</f>
        <v>Năm</v>
      </c>
      <c r="AA120" s="193" t="str" cm="1">
        <f t="array" ref="AA120">INDEX(Note!$I$3:$I$102,MATCH(1,(Note!$A$3:$A$102=$A120)*(Note!$C$3:$C$102=$B120)*(Note!$E$3:$E$102&lt;=AA$1)*(Note!$F$3:$F$102&gt;=AA$2),0))</f>
        <v>Năm</v>
      </c>
      <c r="AB120" s="193" t="str" cm="1">
        <f t="array" ref="AB120">INDEX(Note!$I$3:$I$102,MATCH(1,(Note!$A$3:$A$102=$A120)*(Note!$C$3:$C$102=$B120)*(Note!$E$3:$E$102&lt;=AB$1)*(Note!$F$3:$F$102&gt;=AB$2),0))</f>
        <v>Năm</v>
      </c>
      <c r="AC120" s="193" t="str" cm="1">
        <f t="array" ref="AC120">INDEX(Note!$I$3:$I$102,MATCH(1,(Note!$A$3:$A$102=$A120)*(Note!$C$3:$C$102=$B120)*(Note!$E$3:$E$102&lt;=AC$1)*(Note!$F$3:$F$102&gt;=AC$2),0))</f>
        <v>Năm</v>
      </c>
      <c r="AD120" s="193" t="str" cm="1">
        <f t="array" ref="AD120">INDEX(Note!$I$3:$I$102,MATCH(1,(Note!$A$3:$A$102=$A120)*(Note!$C$3:$C$102=$B120)*(Note!$E$3:$E$102&lt;=AD$1)*(Note!$F$3:$F$102&gt;=AD$2),0))</f>
        <v>Năm</v>
      </c>
      <c r="AE120" s="193" t="str" cm="1">
        <f t="array" ref="AE120">INDEX(Note!$I$3:$I$102,MATCH(1,(Note!$A$3:$A$102=$A120)*(Note!$C$3:$C$102=$B120)*(Note!$E$3:$E$102&lt;=AE$1)*(Note!$F$3:$F$102&gt;=AE$2),0))</f>
        <v>Năm</v>
      </c>
      <c r="AF120" s="193" t="str" cm="1">
        <f t="array" ref="AF120">INDEX(Note!$I$3:$I$102,MATCH(1,(Note!$A$3:$A$102=$A120)*(Note!$C$3:$C$102=$B120)*(Note!$E$3:$E$102&lt;=AF$1)*(Note!$F$3:$F$102&gt;=AF$2),0))</f>
        <v>Năm</v>
      </c>
      <c r="AG120" s="193" t="str" cm="1">
        <f t="array" ref="AG120">INDEX(Note!$I$3:$I$102,MATCH(1,(Note!$A$3:$A$102=$A120)*(Note!$C$3:$C$102=$B120)*(Note!$E$3:$E$102&lt;=AG$1)*(Note!$F$3:$F$102&gt;=AG$2),0))</f>
        <v>Năm</v>
      </c>
      <c r="AH120" s="193" t="str" cm="1">
        <f t="array" ref="AH120">INDEX(Note!$I$3:$I$102,MATCH(1,(Note!$A$3:$A$102=$A120)*(Note!$C$3:$C$102=$B120)*(Note!$E$3:$E$102&lt;=AH$1)*(Note!$F$3:$F$102&gt;=AH$2),0))</f>
        <v>Năm</v>
      </c>
      <c r="AI120" s="193" t="str" cm="1">
        <f t="array" ref="AI120">INDEX(Note!$I$3:$I$102,MATCH(1,(Note!$A$3:$A$102=$A120)*(Note!$C$3:$C$102=$B120)*(Note!$E$3:$E$102&lt;=AI$1)*(Note!$F$3:$F$102&gt;=AI$2),0))</f>
        <v>Năm</v>
      </c>
      <c r="AJ120" s="193" t="str" cm="1">
        <f t="array" ref="AJ120">INDEX(Note!$I$3:$I$102,MATCH(1,(Note!$A$3:$A$102=$A120)*(Note!$C$3:$C$102=$B120)*(Note!$E$3:$E$102&lt;=AJ$1)*(Note!$F$3:$F$102&gt;=AJ$2),0))</f>
        <v>Năm</v>
      </c>
      <c r="AK120" s="193" t="str" cm="1">
        <f t="array" ref="AK120">INDEX(Note!$I$3:$I$102,MATCH(1,(Note!$A$3:$A$102=$A120)*(Note!$C$3:$C$102=$B120)*(Note!$E$3:$E$102&lt;=AK$1)*(Note!$F$3:$F$102&gt;=AK$2),0))</f>
        <v>Năm</v>
      </c>
      <c r="AL120" s="194" t="str" cm="1">
        <f t="array" ref="AL120">INDEX(Note!$I$3:$I$102,MATCH(1,(Note!$A$3:$A$102=$A120)*(Note!$C$3:$C$102=$B120)*(Note!$E$3:$E$102&lt;=AL$1)*(Note!$F$3:$F$102&gt;=AL$2),0))</f>
        <v>Năm</v>
      </c>
    </row>
    <row r="121" spans="1:38" s="185" customFormat="1" outlineLevel="1" x14ac:dyDescent="0.3">
      <c r="A121" s="185" t="s">
        <v>48</v>
      </c>
      <c r="B121" s="300" t="s">
        <v>28</v>
      </c>
      <c r="F121" s="283" t="s">
        <v>304</v>
      </c>
      <c r="G121" s="284"/>
      <c r="H121" s="284"/>
      <c r="I121" s="284"/>
      <c r="J121" s="284" t="s">
        <v>202</v>
      </c>
      <c r="K121" s="186"/>
      <c r="L121" s="292"/>
      <c r="M121" s="292"/>
      <c r="N121" s="293"/>
      <c r="O121" s="198" cm="1">
        <f t="array" ref="O121">SUMPRODUCT(General_Data*(Year=O$3)*(Month=O$4)*(Code_General_Data=$B121))</f>
        <v>1340</v>
      </c>
      <c r="P121" s="199" cm="1">
        <f t="array" ref="P121">SUMPRODUCT(General_Data*(Year=P$3)*(Month=P$4)*(Code_General_Data=$B121))</f>
        <v>1340</v>
      </c>
      <c r="Q121" s="199" cm="1">
        <f t="array" ref="Q121">SUMPRODUCT(General_Data*(Year=Q$3)*(Month=Q$4)*(Code_General_Data=$B121))</f>
        <v>1340</v>
      </c>
      <c r="R121" s="199" cm="1">
        <f t="array" ref="R121">SUMPRODUCT(General_Data*(Year=R$3)*(Month=R$4)*(Code_General_Data=$B121))</f>
        <v>1340</v>
      </c>
      <c r="S121" s="199" cm="1">
        <f t="array" ref="S121">SUMPRODUCT(General_Data*(Year=S$3)*(Month=S$4)*(Code_General_Data=$B121))</f>
        <v>1390</v>
      </c>
      <c r="T121" s="199" cm="1">
        <f t="array" ref="T121">SUMPRODUCT(General_Data*(Year=T$3)*(Month=T$4)*(Code_General_Data=$B121))</f>
        <v>1390</v>
      </c>
      <c r="U121" s="199" cm="1">
        <f t="array" ref="U121">SUMPRODUCT(General_Data*(Year=U$3)*(Month=U$4)*(Code_General_Data=$B121))</f>
        <v>1390</v>
      </c>
      <c r="V121" s="199" cm="1">
        <f t="array" ref="V121">SUMPRODUCT(General_Data*(Year=V$3)*(Month=V$4)*(Code_General_Data=$B121))</f>
        <v>1390</v>
      </c>
      <c r="W121" s="199" cm="1">
        <f t="array" ref="W121">SUMPRODUCT(General_Data*(Year=W$3)*(Month=W$4)*(Code_General_Data=$B121))</f>
        <v>1400</v>
      </c>
      <c r="X121" s="199" cm="1">
        <f t="array" ref="X121">SUMPRODUCT(General_Data*(Year=X$3)*(Month=X$4)*(Code_General_Data=$B121))</f>
        <v>1415</v>
      </c>
      <c r="Y121" s="199" cm="1">
        <f t="array" ref="Y121">SUMPRODUCT(General_Data*(Year=Y$3)*(Month=Y$4)*(Code_General_Data=$B121))</f>
        <v>1415</v>
      </c>
      <c r="Z121" s="200" cm="1">
        <f t="array" ref="Z121">SUMPRODUCT(General_Data*(Year=Z$3)*(Month=Z$4)*(Code_General_Data=$B121))</f>
        <v>1365</v>
      </c>
      <c r="AA121" s="199" cm="1">
        <f t="array" ref="AA121">SUMPRODUCT(General_Data*(Year=AA$3)*(Month=AA$4)*(Code_General_Data=$B121))</f>
        <v>1320</v>
      </c>
      <c r="AB121" s="199" cm="1">
        <f t="array" ref="AB121">SUMPRODUCT(General_Data*(Year=AB$3)*(Month=AB$4)*(Code_General_Data=$B121))</f>
        <v>1280</v>
      </c>
      <c r="AC121" s="199" cm="1">
        <f t="array" ref="AC121">SUMPRODUCT(General_Data*(Year=AC$3)*(Month=AC$4)*(Code_General_Data=$B121))</f>
        <v>1320</v>
      </c>
      <c r="AD121" s="199"/>
      <c r="AE121" s="199"/>
      <c r="AF121" s="199"/>
      <c r="AG121" s="199"/>
      <c r="AH121" s="199"/>
      <c r="AI121" s="199"/>
      <c r="AJ121" s="199"/>
      <c r="AK121" s="199"/>
      <c r="AL121" s="200"/>
    </row>
    <row r="122" spans="1:38" s="93" customFormat="1" x14ac:dyDescent="0.3">
      <c r="D122" s="92"/>
      <c r="F122" s="165"/>
      <c r="G122"/>
      <c r="H122"/>
      <c r="I122"/>
      <c r="J122"/>
      <c r="K122"/>
      <c r="L122"/>
      <c r="M122"/>
      <c r="N122"/>
      <c r="O122" s="47"/>
      <c r="P122"/>
      <c r="Q122"/>
      <c r="R122"/>
      <c r="S122"/>
      <c r="T122"/>
      <c r="U122"/>
      <c r="V122"/>
      <c r="W122"/>
      <c r="X122"/>
      <c r="Y122"/>
      <c r="Z122" s="48"/>
      <c r="AA122"/>
      <c r="AB122"/>
      <c r="AC122"/>
      <c r="AD122"/>
      <c r="AE122"/>
      <c r="AF122"/>
      <c r="AG122"/>
      <c r="AH122"/>
      <c r="AI122"/>
      <c r="AJ122"/>
      <c r="AK122"/>
      <c r="AL122" s="48"/>
    </row>
    <row r="123" spans="1:38" s="175" customFormat="1" ht="19.8" x14ac:dyDescent="0.3">
      <c r="A123" s="173" t="s">
        <v>62</v>
      </c>
      <c r="B123" s="173"/>
      <c r="C123" s="173"/>
      <c r="D123" s="173"/>
      <c r="E123" s="173"/>
      <c r="F123" s="216">
        <v>6</v>
      </c>
      <c r="G123" s="174" t="s">
        <v>310</v>
      </c>
      <c r="H123" s="174"/>
      <c r="I123" s="174"/>
      <c r="J123" s="174"/>
      <c r="L123" s="177"/>
      <c r="M123" s="177"/>
      <c r="N123" s="177"/>
      <c r="O123" s="176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8"/>
      <c r="AA123" s="179"/>
      <c r="AB123" s="177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8"/>
    </row>
    <row r="124" spans="1:38" s="180" customFormat="1" ht="17.399999999999999" x14ac:dyDescent="0.3">
      <c r="A124" s="180" t="s">
        <v>62</v>
      </c>
      <c r="B124" s="180" t="s">
        <v>34</v>
      </c>
      <c r="D124" s="180" t="s">
        <v>321</v>
      </c>
      <c r="F124" s="270">
        <v>6.1</v>
      </c>
      <c r="G124" s="271"/>
      <c r="H124" s="271" t="s">
        <v>295</v>
      </c>
      <c r="I124" s="271"/>
      <c r="J124" s="271"/>
      <c r="L124" s="271"/>
      <c r="M124" s="271"/>
      <c r="N124" s="285"/>
      <c r="O124" s="213"/>
      <c r="P124" s="214"/>
      <c r="Q124" s="214"/>
      <c r="R124" s="214"/>
      <c r="S124" s="214"/>
      <c r="T124" s="214"/>
      <c r="U124" s="214"/>
      <c r="V124" s="214"/>
      <c r="W124" s="214"/>
      <c r="X124" s="214">
        <v>1320</v>
      </c>
      <c r="Y124" s="214">
        <v>1320</v>
      </c>
      <c r="Z124" s="215">
        <v>1320</v>
      </c>
      <c r="AA124" s="213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5"/>
    </row>
    <row r="125" spans="1:38" s="94" customFormat="1" outlineLevel="1" x14ac:dyDescent="0.3">
      <c r="A125" s="94" t="s">
        <v>62</v>
      </c>
      <c r="B125" s="297" t="s">
        <v>34</v>
      </c>
      <c r="D125" s="95" t="s">
        <v>161</v>
      </c>
      <c r="F125" s="275" t="s">
        <v>311</v>
      </c>
      <c r="G125" s="276"/>
      <c r="H125" s="276"/>
      <c r="I125" s="276" t="s">
        <v>8</v>
      </c>
      <c r="J125" s="276"/>
      <c r="K125" s="2"/>
      <c r="L125" s="276"/>
      <c r="M125" s="276"/>
      <c r="N125" s="287"/>
      <c r="O125" s="225"/>
      <c r="P125" s="226"/>
      <c r="Q125" s="226"/>
      <c r="R125" s="226"/>
      <c r="S125" s="226"/>
      <c r="T125" s="226"/>
      <c r="U125" s="226"/>
      <c r="V125" s="226"/>
      <c r="W125" s="226"/>
      <c r="X125" s="226">
        <f>X124-X126</f>
        <v>1310</v>
      </c>
      <c r="Y125" s="226">
        <f>Y124-Y126</f>
        <v>1310</v>
      </c>
      <c r="Z125" s="227">
        <f>Z124-Z126</f>
        <v>1310</v>
      </c>
      <c r="AA125" s="226"/>
      <c r="AB125" s="226"/>
      <c r="AC125" s="226"/>
      <c r="AD125" s="226"/>
      <c r="AE125" s="226"/>
      <c r="AF125" s="226"/>
      <c r="AG125" s="226"/>
      <c r="AH125" s="226"/>
      <c r="AI125" s="226"/>
      <c r="AJ125" s="226"/>
      <c r="AK125" s="226"/>
      <c r="AL125" s="227"/>
    </row>
    <row r="126" spans="1:38" s="181" customFormat="1" outlineLevel="1" x14ac:dyDescent="0.3">
      <c r="A126" s="181" t="s">
        <v>62</v>
      </c>
      <c r="B126" s="181" t="s">
        <v>34</v>
      </c>
      <c r="F126" s="219" t="s">
        <v>312</v>
      </c>
      <c r="G126" s="188"/>
      <c r="H126" s="188"/>
      <c r="I126" s="188" t="s">
        <v>49</v>
      </c>
      <c r="J126" s="188"/>
      <c r="K126" s="182"/>
      <c r="L126" s="207"/>
      <c r="M126" s="207"/>
      <c r="N126" s="207"/>
      <c r="O126" s="208"/>
      <c r="P126" s="207"/>
      <c r="Q126" s="207"/>
      <c r="R126" s="207"/>
      <c r="S126" s="207"/>
      <c r="T126" s="207"/>
      <c r="U126" s="207"/>
      <c r="V126" s="207"/>
      <c r="W126" s="207"/>
      <c r="X126" s="207">
        <v>10</v>
      </c>
      <c r="Y126" s="207">
        <v>10</v>
      </c>
      <c r="Z126" s="209">
        <v>10</v>
      </c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7"/>
      <c r="AK126" s="207"/>
      <c r="AL126" s="209"/>
    </row>
    <row r="127" spans="1:38" s="96" customFormat="1" outlineLevel="1" x14ac:dyDescent="0.3">
      <c r="A127" s="96" t="s">
        <v>62</v>
      </c>
      <c r="B127" s="298" t="s">
        <v>34</v>
      </c>
      <c r="D127" s="97"/>
      <c r="F127" s="279" t="s">
        <v>313</v>
      </c>
      <c r="G127" s="280"/>
      <c r="H127" s="280"/>
      <c r="I127" s="280"/>
      <c r="J127" s="280" t="s">
        <v>44</v>
      </c>
      <c r="K127" s="12"/>
      <c r="L127" s="280"/>
      <c r="M127" s="280"/>
      <c r="N127" s="290"/>
      <c r="O127" s="88"/>
      <c r="P127" s="27"/>
      <c r="Q127" s="27"/>
      <c r="R127" s="27"/>
      <c r="S127" s="27"/>
      <c r="T127" s="27"/>
      <c r="U127" s="27"/>
      <c r="V127" s="27"/>
      <c r="W127" s="27"/>
      <c r="X127" s="27" t="str" cm="1">
        <f t="array" ref="X127">INDEX(Note!$G$3:$G$102,MATCH(1,(Note!$A$3:$A$102=$A127)*(Note!$C$3:$C$102=$B127)*(Note!$E$3:$E$102&lt;=X$1)*(Note!$F$3:$F$102&gt;=X$2),0))</f>
        <v>Giá cố định</v>
      </c>
      <c r="Y127" s="27" t="str" cm="1">
        <f t="array" ref="Y127">INDEX(Note!$G$3:$G$102,MATCH(1,(Note!$A$3:$A$102=$A127)*(Note!$C$3:$C$102=$B127)*(Note!$E$3:$E$102&lt;=Y$1)*(Note!$F$3:$F$102&gt;=Y$2),0))</f>
        <v>Giá cố định</v>
      </c>
      <c r="Z127" s="89" t="str" cm="1">
        <f t="array" ref="Z127">INDEX(Note!$G$3:$G$102,MATCH(1,(Note!$A$3:$A$102=$A127)*(Note!$C$3:$C$102=$B127)*(Note!$E$3:$E$102&lt;=Z$1)*(Note!$F$3:$F$102&gt;=Z$2),0))</f>
        <v>Giá cố định</v>
      </c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89"/>
    </row>
    <row r="128" spans="1:38" s="96" customFormat="1" outlineLevel="1" x14ac:dyDescent="0.3">
      <c r="A128" s="96" t="s">
        <v>62</v>
      </c>
      <c r="B128" s="298" t="s">
        <v>34</v>
      </c>
      <c r="D128" s="97"/>
      <c r="F128" s="279" t="s">
        <v>314</v>
      </c>
      <c r="G128" s="280"/>
      <c r="H128" s="280"/>
      <c r="I128" s="280"/>
      <c r="J128" s="280" t="s">
        <v>42</v>
      </c>
      <c r="K128" s="12"/>
      <c r="L128" s="280"/>
      <c r="M128" s="280"/>
      <c r="N128" s="290"/>
      <c r="O128" s="88"/>
      <c r="P128" s="27"/>
      <c r="Q128" s="27"/>
      <c r="R128" s="27"/>
      <c r="S128" s="27"/>
      <c r="T128" s="27"/>
      <c r="U128" s="27"/>
      <c r="V128" s="27"/>
      <c r="W128" s="27"/>
      <c r="X128" s="27" t="str" cm="1">
        <f t="array" ref="X128">INDEX(Note!$H$3:$H$102,MATCH(1,(Note!$A$3:$A$102=$A128)*(Note!$C$3:$C$102=$B128)*(Note!$E$3:$E$102&lt;=X$1)*(Note!$F$3:$F$102&gt;=X$2),0))</f>
        <v>DDP</v>
      </c>
      <c r="Y128" s="27" t="str" cm="1">
        <f t="array" ref="Y128">INDEX(Note!$H$3:$H$102,MATCH(1,(Note!$A$3:$A$102=$A128)*(Note!$C$3:$C$102=$B128)*(Note!$E$3:$E$102&lt;=Y$1)*(Note!$F$3:$F$102&gt;=Y$2),0))</f>
        <v>DDP</v>
      </c>
      <c r="Z128" s="89" t="str" cm="1">
        <f t="array" ref="Z128">INDEX(Note!$H$3:$H$102,MATCH(1,(Note!$A$3:$A$102=$A128)*(Note!$C$3:$C$102=$B128)*(Note!$E$3:$E$102&lt;=Z$1)*(Note!$F$3:$F$102&gt;=Z$2),0))</f>
        <v>DDP</v>
      </c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89"/>
    </row>
    <row r="129" spans="1:38" s="97" customFormat="1" outlineLevel="1" x14ac:dyDescent="0.3">
      <c r="A129" s="97" t="s">
        <v>62</v>
      </c>
      <c r="B129" s="299" t="s">
        <v>34</v>
      </c>
      <c r="F129" s="281" t="s">
        <v>315</v>
      </c>
      <c r="G129" s="282"/>
      <c r="H129" s="282"/>
      <c r="I129" s="282"/>
      <c r="J129" s="282" t="s">
        <v>45</v>
      </c>
      <c r="K129" s="109"/>
      <c r="L129" s="282"/>
      <c r="M129" s="282"/>
      <c r="N129" s="291"/>
      <c r="O129" s="233"/>
      <c r="P129" s="193"/>
      <c r="Q129" s="193"/>
      <c r="R129" s="193"/>
      <c r="S129" s="193"/>
      <c r="T129" s="193"/>
      <c r="U129" s="193"/>
      <c r="V129" s="193"/>
      <c r="W129" s="193"/>
      <c r="X129" s="193" t="str" cm="1">
        <f t="array" ref="X129">INDEX(Note!$I$3:$I$102,MATCH(1,(Note!$A$3:$A$102=$A129)*(Note!$C$3:$C$102=$B129)*(Note!$E$3:$E$102&lt;=X$1)*(Note!$F$3:$F$102&gt;=X$2),0))</f>
        <v>Năm</v>
      </c>
      <c r="Y129" s="193" t="str" cm="1">
        <f t="array" ref="Y129">INDEX(Note!$I$3:$I$102,MATCH(1,(Note!$A$3:$A$102=$A129)*(Note!$C$3:$C$102=$B129)*(Note!$E$3:$E$102&lt;=Y$1)*(Note!$F$3:$F$102&gt;=Y$2),0))</f>
        <v>Năm</v>
      </c>
      <c r="Z129" s="194" t="str" cm="1">
        <f t="array" ref="Z129">INDEX(Note!$I$3:$I$102,MATCH(1,(Note!$A$3:$A$102=$A129)*(Note!$C$3:$C$102=$B129)*(Note!$E$3:$E$102&lt;=Z$1)*(Note!$F$3:$F$102&gt;=Z$2),0))</f>
        <v>Năm</v>
      </c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4"/>
    </row>
    <row r="130" spans="1:38" s="185" customFormat="1" outlineLevel="1" x14ac:dyDescent="0.3">
      <c r="A130" s="185" t="s">
        <v>62</v>
      </c>
      <c r="B130" s="300" t="s">
        <v>34</v>
      </c>
      <c r="F130" s="283" t="s">
        <v>316</v>
      </c>
      <c r="G130" s="284"/>
      <c r="H130" s="284"/>
      <c r="I130" s="284"/>
      <c r="J130" s="284" t="s">
        <v>202</v>
      </c>
      <c r="K130" s="186"/>
      <c r="L130" s="292"/>
      <c r="M130" s="292"/>
      <c r="N130" s="293"/>
      <c r="O130" s="198"/>
      <c r="P130" s="199"/>
      <c r="Q130" s="199"/>
      <c r="R130" s="199"/>
      <c r="S130" s="199"/>
      <c r="T130" s="199"/>
      <c r="U130" s="199"/>
      <c r="V130" s="199"/>
      <c r="W130" s="199"/>
      <c r="X130" s="199" cm="1">
        <f t="array" ref="X130">SUMPRODUCT(General_Data*(Year=X$3)*(Month=X$4)*(Code_General_Data=$B130))</f>
        <v>1325</v>
      </c>
      <c r="Y130" s="199" cm="1">
        <f t="array" ref="Y130">SUMPRODUCT(General_Data*(Year=Y$3)*(Month=Y$4)*(Code_General_Data=$B130))</f>
        <v>1325</v>
      </c>
      <c r="Z130" s="200" cm="1">
        <f t="array" ref="Z130">SUMPRODUCT(General_Data*(Year=Z$3)*(Month=Z$4)*(Code_General_Data=$B130))</f>
        <v>1275</v>
      </c>
      <c r="AA130" s="199"/>
      <c r="AB130" s="199"/>
      <c r="AC130" s="199"/>
      <c r="AD130" s="199"/>
      <c r="AE130" s="199"/>
      <c r="AF130" s="199"/>
      <c r="AG130" s="199"/>
      <c r="AH130" s="199"/>
      <c r="AI130" s="199"/>
      <c r="AJ130" s="199"/>
      <c r="AK130" s="199"/>
      <c r="AL130" s="200"/>
    </row>
    <row r="131" spans="1:38" s="93" customFormat="1" x14ac:dyDescent="0.3">
      <c r="D131" s="92"/>
      <c r="F131" s="165"/>
      <c r="G131"/>
      <c r="H131"/>
      <c r="I131"/>
      <c r="J131"/>
      <c r="K131"/>
      <c r="L131"/>
      <c r="M131"/>
      <c r="N131"/>
      <c r="O131" s="47"/>
      <c r="P131"/>
      <c r="Q131"/>
      <c r="R131"/>
      <c r="S131"/>
      <c r="T131"/>
      <c r="U131"/>
      <c r="V131"/>
      <c r="W131"/>
      <c r="X131"/>
      <c r="Y131"/>
      <c r="Z131" s="48"/>
      <c r="AA131"/>
      <c r="AB131"/>
      <c r="AC131"/>
      <c r="AD131"/>
      <c r="AE131"/>
      <c r="AF131"/>
      <c r="AG131"/>
      <c r="AH131"/>
      <c r="AI131"/>
      <c r="AJ131"/>
      <c r="AK131"/>
      <c r="AL131" s="48"/>
    </row>
    <row r="132" spans="1:38" s="93" customFormat="1" x14ac:dyDescent="0.3">
      <c r="D132" s="92"/>
      <c r="F132" s="165"/>
      <c r="G132"/>
      <c r="H132"/>
      <c r="I132"/>
      <c r="J132"/>
      <c r="K132"/>
      <c r="L132"/>
      <c r="M132"/>
      <c r="N132"/>
      <c r="O132" s="47"/>
      <c r="P132"/>
      <c r="Q132"/>
      <c r="R132"/>
      <c r="S132"/>
      <c r="T132"/>
      <c r="U132"/>
      <c r="V132"/>
      <c r="W132"/>
      <c r="X132"/>
      <c r="Y132"/>
      <c r="Z132" s="48"/>
      <c r="AA132"/>
      <c r="AB132"/>
      <c r="AC132"/>
      <c r="AD132"/>
      <c r="AE132"/>
      <c r="AF132"/>
      <c r="AG132"/>
      <c r="AH132"/>
      <c r="AI132"/>
      <c r="AJ132"/>
      <c r="AK132"/>
      <c r="AL132" s="48"/>
    </row>
    <row r="133" spans="1:38" s="93" customFormat="1" x14ac:dyDescent="0.3">
      <c r="D133" s="92"/>
      <c r="F133" s="165"/>
      <c r="G133"/>
      <c r="H133"/>
      <c r="I133"/>
      <c r="J133"/>
      <c r="K133"/>
      <c r="L133"/>
      <c r="M133"/>
      <c r="N133"/>
      <c r="O133" s="47"/>
      <c r="P133"/>
      <c r="Q133"/>
      <c r="R133"/>
      <c r="S133"/>
      <c r="T133"/>
      <c r="U133"/>
      <c r="V133"/>
      <c r="W133"/>
      <c r="X133"/>
      <c r="Y133"/>
      <c r="Z133" s="48"/>
      <c r="AA133"/>
      <c r="AB133"/>
      <c r="AC133"/>
      <c r="AD133"/>
      <c r="AE133"/>
      <c r="AF133"/>
      <c r="AG133"/>
      <c r="AH133"/>
      <c r="AI133"/>
      <c r="AJ133"/>
      <c r="AK133"/>
      <c r="AL133" s="48"/>
    </row>
    <row r="134" spans="1:38" s="93" customFormat="1" x14ac:dyDescent="0.3">
      <c r="D134" s="92"/>
      <c r="F134" s="165"/>
      <c r="G134"/>
      <c r="H134"/>
      <c r="I134"/>
      <c r="J134"/>
      <c r="K134"/>
      <c r="L134"/>
      <c r="M134"/>
      <c r="N134"/>
      <c r="O134" s="47"/>
      <c r="P134"/>
      <c r="Q134"/>
      <c r="R134"/>
      <c r="S134"/>
      <c r="T134"/>
      <c r="U134"/>
      <c r="V134"/>
      <c r="W134"/>
      <c r="X134"/>
      <c r="Y134"/>
      <c r="Z134" s="48"/>
      <c r="AA134"/>
      <c r="AB134"/>
      <c r="AC134"/>
      <c r="AD134"/>
      <c r="AE134"/>
      <c r="AF134"/>
      <c r="AG134"/>
      <c r="AH134"/>
      <c r="AI134"/>
      <c r="AJ134"/>
      <c r="AK134"/>
      <c r="AL134" s="48"/>
    </row>
    <row r="135" spans="1:38" s="93" customFormat="1" x14ac:dyDescent="0.3">
      <c r="D135" s="92"/>
      <c r="F135" s="165"/>
      <c r="G135"/>
      <c r="H135"/>
      <c r="I135"/>
      <c r="J135"/>
      <c r="K135"/>
      <c r="L135"/>
      <c r="M135"/>
      <c r="N135"/>
      <c r="O135" s="47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</row>
    <row r="136" spans="1:38" x14ac:dyDescent="0.3"/>
    <row r="137" spans="1:38" x14ac:dyDescent="0.3"/>
    <row r="138" spans="1:38" x14ac:dyDescent="0.3"/>
    <row r="139" spans="1:38" x14ac:dyDescent="0.3"/>
    <row r="140" spans="1:38" x14ac:dyDescent="0.3"/>
    <row r="141" spans="1:38" x14ac:dyDescent="0.3"/>
    <row r="142" spans="1:38" x14ac:dyDescent="0.3"/>
    <row r="143" spans="1:38" x14ac:dyDescent="0.3"/>
    <row r="144" spans="1:38" x14ac:dyDescent="0.3"/>
    <row r="145" spans="1:38" s="7" customFormat="1" hidden="1" x14ac:dyDescent="0.3">
      <c r="A145" s="99"/>
      <c r="B145" s="99"/>
      <c r="C145" s="99"/>
      <c r="D145" s="100"/>
      <c r="E145" s="99"/>
      <c r="F145" s="245"/>
      <c r="O145" s="90"/>
      <c r="Z145" s="91"/>
      <c r="AL145" s="91"/>
    </row>
    <row r="146" spans="1:38" x14ac:dyDescent="0.3"/>
    <row r="147" spans="1:38" x14ac:dyDescent="0.3"/>
    <row r="148" spans="1:38" x14ac:dyDescent="0.3"/>
    <row r="149" spans="1:38" x14ac:dyDescent="0.3"/>
    <row r="150" spans="1:38" x14ac:dyDescent="0.3"/>
    <row r="151" spans="1:38" x14ac:dyDescent="0.3"/>
    <row r="152" spans="1:38" s="93" customFormat="1" x14ac:dyDescent="0.3">
      <c r="D152" s="92"/>
      <c r="F152" s="165"/>
      <c r="G152"/>
      <c r="H152"/>
      <c r="I152"/>
      <c r="J152"/>
      <c r="K152"/>
      <c r="L152"/>
      <c r="M152"/>
      <c r="N152"/>
      <c r="O152" s="47"/>
      <c r="P152"/>
      <c r="Q152"/>
      <c r="R152"/>
      <c r="S152"/>
      <c r="T152"/>
      <c r="U152"/>
      <c r="V152"/>
      <c r="W152"/>
      <c r="X152"/>
      <c r="Y152"/>
      <c r="Z152" s="48"/>
      <c r="AA152"/>
      <c r="AB152"/>
      <c r="AC152"/>
      <c r="AD152"/>
      <c r="AE152"/>
      <c r="AF152"/>
      <c r="AG152"/>
      <c r="AH152"/>
      <c r="AI152"/>
      <c r="AJ152"/>
      <c r="AK152"/>
      <c r="AL152" s="48"/>
    </row>
    <row r="153" spans="1:38" s="93" customFormat="1" x14ac:dyDescent="0.3">
      <c r="D153" s="92"/>
      <c r="F153" s="165"/>
      <c r="G153"/>
      <c r="H153"/>
      <c r="I153"/>
      <c r="J153"/>
      <c r="K153"/>
      <c r="L153"/>
      <c r="M153"/>
      <c r="N153"/>
      <c r="O153" s="47"/>
      <c r="P153"/>
      <c r="Q153"/>
      <c r="R153"/>
      <c r="S153"/>
      <c r="T153"/>
      <c r="U153"/>
      <c r="V153"/>
      <c r="W153"/>
      <c r="X153"/>
      <c r="Y153"/>
      <c r="Z153" s="48"/>
      <c r="AA153"/>
      <c r="AB153"/>
      <c r="AC153"/>
      <c r="AD153"/>
      <c r="AE153"/>
      <c r="AF153"/>
      <c r="AG153"/>
      <c r="AH153"/>
      <c r="AI153"/>
      <c r="AJ153"/>
      <c r="AK153"/>
      <c r="AL153" s="48"/>
    </row>
    <row r="154" spans="1:38" s="93" customFormat="1" x14ac:dyDescent="0.3">
      <c r="D154" s="92"/>
      <c r="F154" s="165"/>
      <c r="G154"/>
      <c r="H154"/>
      <c r="I154"/>
      <c r="J154"/>
      <c r="K154"/>
      <c r="L154"/>
      <c r="M154"/>
      <c r="N154"/>
      <c r="O154" s="47"/>
      <c r="P154"/>
      <c r="Q154"/>
      <c r="R154"/>
      <c r="S154"/>
      <c r="T154"/>
      <c r="U154"/>
      <c r="V154"/>
      <c r="W154"/>
      <c r="X154"/>
      <c r="Y154"/>
      <c r="Z154" s="48"/>
      <c r="AA154"/>
      <c r="AB154"/>
      <c r="AC154"/>
      <c r="AD154"/>
      <c r="AE154"/>
      <c r="AF154"/>
      <c r="AG154"/>
      <c r="AH154"/>
      <c r="AI154"/>
      <c r="AJ154"/>
      <c r="AK154"/>
      <c r="AL154" s="48"/>
    </row>
    <row r="155" spans="1:38" s="93" customFormat="1" x14ac:dyDescent="0.3">
      <c r="D155" s="92"/>
      <c r="F155" s="165"/>
      <c r="G155"/>
      <c r="H155"/>
      <c r="I155"/>
      <c r="J155"/>
      <c r="K155"/>
      <c r="L155"/>
      <c r="M155"/>
      <c r="N155"/>
      <c r="O155" s="47"/>
      <c r="P155"/>
      <c r="Q155"/>
      <c r="R155"/>
      <c r="S155"/>
      <c r="T155"/>
      <c r="U155"/>
      <c r="V155"/>
      <c r="W155"/>
      <c r="X155"/>
      <c r="Y155"/>
      <c r="Z155" s="48"/>
      <c r="AA155"/>
      <c r="AB155"/>
      <c r="AC155"/>
      <c r="AD155"/>
      <c r="AE155"/>
      <c r="AF155"/>
      <c r="AG155"/>
      <c r="AH155"/>
      <c r="AI155"/>
      <c r="AJ155"/>
      <c r="AK155"/>
      <c r="AL155" s="48"/>
    </row>
    <row r="156" spans="1:38" s="93" customFormat="1" x14ac:dyDescent="0.3">
      <c r="D156" s="92"/>
      <c r="F156" s="165"/>
      <c r="G156"/>
      <c r="H156"/>
      <c r="I156"/>
      <c r="J156"/>
      <c r="K156"/>
      <c r="L156"/>
      <c r="M156"/>
      <c r="N156"/>
      <c r="O156" s="47"/>
      <c r="P156"/>
      <c r="Q156"/>
      <c r="R156"/>
      <c r="S156"/>
      <c r="T156"/>
      <c r="U156"/>
      <c r="V156"/>
      <c r="W156"/>
      <c r="X156"/>
      <c r="Y156"/>
      <c r="Z156" s="48"/>
      <c r="AA156"/>
      <c r="AB156"/>
      <c r="AC156"/>
      <c r="AD156"/>
      <c r="AE156"/>
      <c r="AF156"/>
      <c r="AG156"/>
      <c r="AH156"/>
      <c r="AI156"/>
      <c r="AJ156"/>
      <c r="AK156"/>
      <c r="AL156" s="48"/>
    </row>
    <row r="157" spans="1:38" s="93" customFormat="1" x14ac:dyDescent="0.3">
      <c r="D157" s="92"/>
      <c r="F157" s="165"/>
      <c r="G157"/>
      <c r="H157"/>
      <c r="I157"/>
      <c r="J157"/>
      <c r="K157"/>
      <c r="L157"/>
      <c r="M157"/>
      <c r="N157"/>
      <c r="O157" s="47"/>
      <c r="P157"/>
      <c r="Q157"/>
      <c r="R157"/>
      <c r="S157"/>
      <c r="T157"/>
      <c r="U157"/>
      <c r="V157"/>
      <c r="W157"/>
      <c r="X157"/>
      <c r="Y157"/>
      <c r="Z157" s="48"/>
      <c r="AA157"/>
      <c r="AB157"/>
      <c r="AC157"/>
      <c r="AD157"/>
      <c r="AE157"/>
      <c r="AF157"/>
      <c r="AG157"/>
      <c r="AH157"/>
      <c r="AI157"/>
      <c r="AJ157"/>
      <c r="AK157"/>
      <c r="AL157" s="48"/>
    </row>
    <row r="158" spans="1:38" s="93" customFormat="1" x14ac:dyDescent="0.3">
      <c r="D158" s="92"/>
      <c r="F158" s="165"/>
      <c r="G158"/>
      <c r="H158"/>
      <c r="I158"/>
      <c r="J158"/>
      <c r="K158"/>
      <c r="L158"/>
      <c r="M158"/>
      <c r="N158"/>
      <c r="O158" s="47"/>
      <c r="P158"/>
      <c r="Q158"/>
      <c r="R158"/>
      <c r="S158"/>
      <c r="T158"/>
      <c r="U158"/>
      <c r="V158"/>
      <c r="W158"/>
      <c r="X158"/>
      <c r="Y158"/>
      <c r="Z158" s="48"/>
      <c r="AA158"/>
      <c r="AB158"/>
      <c r="AC158"/>
      <c r="AD158"/>
      <c r="AE158"/>
      <c r="AF158"/>
      <c r="AG158"/>
      <c r="AH158"/>
      <c r="AI158"/>
      <c r="AJ158"/>
      <c r="AK158"/>
      <c r="AL158" s="48"/>
    </row>
    <row r="159" spans="1:38" s="93" customFormat="1" x14ac:dyDescent="0.3">
      <c r="D159" s="92"/>
      <c r="F159" s="165"/>
      <c r="G159"/>
      <c r="H159"/>
      <c r="I159"/>
      <c r="J159"/>
      <c r="K159"/>
      <c r="L159"/>
      <c r="M159"/>
      <c r="N159"/>
      <c r="O159" s="47"/>
      <c r="P159"/>
      <c r="Q159"/>
      <c r="R159"/>
      <c r="S159"/>
      <c r="T159"/>
      <c r="U159"/>
      <c r="V159"/>
      <c r="W159"/>
      <c r="X159"/>
      <c r="Y159"/>
      <c r="Z159" s="48"/>
      <c r="AA159"/>
      <c r="AB159"/>
      <c r="AC159"/>
      <c r="AD159"/>
      <c r="AE159"/>
      <c r="AF159"/>
      <c r="AG159"/>
      <c r="AH159"/>
      <c r="AI159"/>
      <c r="AJ159"/>
      <c r="AK159"/>
      <c r="AL159" s="48"/>
    </row>
    <row r="160" spans="1:38" s="93" customFormat="1" x14ac:dyDescent="0.3">
      <c r="D160" s="92"/>
      <c r="F160" s="165"/>
      <c r="G160"/>
      <c r="H160"/>
      <c r="I160"/>
      <c r="J160"/>
      <c r="K160"/>
      <c r="L160"/>
      <c r="M160"/>
      <c r="N160"/>
      <c r="O160" s="47"/>
      <c r="P160"/>
      <c r="Q160"/>
      <c r="R160"/>
      <c r="S160"/>
      <c r="T160"/>
      <c r="U160"/>
      <c r="V160"/>
      <c r="W160"/>
      <c r="X160"/>
      <c r="Y160"/>
      <c r="Z160" s="48"/>
      <c r="AA160"/>
      <c r="AB160"/>
      <c r="AC160"/>
      <c r="AD160"/>
      <c r="AE160"/>
      <c r="AF160"/>
      <c r="AG160"/>
      <c r="AH160"/>
      <c r="AI160"/>
      <c r="AJ160"/>
      <c r="AK160"/>
      <c r="AL160" s="48"/>
    </row>
    <row r="161" spans="4:38" s="93" customFormat="1" x14ac:dyDescent="0.3">
      <c r="D161" s="92"/>
      <c r="F161" s="165"/>
      <c r="G161"/>
      <c r="H161"/>
      <c r="I161"/>
      <c r="J161"/>
      <c r="K161"/>
      <c r="L161"/>
      <c r="M161"/>
      <c r="N161"/>
      <c r="O161" s="47"/>
      <c r="P161"/>
      <c r="Q161"/>
      <c r="R161"/>
      <c r="S161"/>
      <c r="T161"/>
      <c r="U161"/>
      <c r="V161"/>
      <c r="W161"/>
      <c r="X161"/>
      <c r="Y161"/>
      <c r="Z161" s="48"/>
      <c r="AA161"/>
      <c r="AB161"/>
      <c r="AC161"/>
      <c r="AD161"/>
      <c r="AE161"/>
      <c r="AF161"/>
      <c r="AG161"/>
      <c r="AH161"/>
      <c r="AI161"/>
      <c r="AJ161"/>
      <c r="AK161"/>
      <c r="AL161" s="48"/>
    </row>
    <row r="162" spans="4:38" s="93" customFormat="1" x14ac:dyDescent="0.3">
      <c r="D162" s="92"/>
      <c r="F162" s="165"/>
      <c r="G162"/>
      <c r="H162"/>
      <c r="I162"/>
      <c r="J162"/>
      <c r="K162"/>
      <c r="L162"/>
      <c r="M162"/>
      <c r="N162"/>
      <c r="O162" s="47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</row>
    <row r="163" spans="4:38" s="93" customFormat="1" x14ac:dyDescent="0.3">
      <c r="D163" s="92"/>
      <c r="F163" s="165"/>
      <c r="G163"/>
      <c r="H163"/>
      <c r="I163"/>
      <c r="J163"/>
      <c r="K163"/>
      <c r="L163"/>
      <c r="M163"/>
      <c r="N163"/>
      <c r="O163" s="47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</row>
    <row r="164" spans="4:38" s="93" customFormat="1" x14ac:dyDescent="0.3">
      <c r="D164" s="92"/>
      <c r="F164" s="165"/>
      <c r="G164"/>
      <c r="H164"/>
      <c r="I164"/>
      <c r="J164"/>
      <c r="K164"/>
      <c r="L164"/>
      <c r="M164"/>
      <c r="N164"/>
      <c r="O164" s="47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</row>
    <row r="165" spans="4:38" s="93" customFormat="1" x14ac:dyDescent="0.3">
      <c r="D165" s="92"/>
      <c r="F165" s="165"/>
      <c r="G165"/>
      <c r="H165"/>
      <c r="I165"/>
      <c r="J165"/>
      <c r="K165"/>
      <c r="L165"/>
      <c r="M165"/>
      <c r="N165"/>
      <c r="O165" s="47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</row>
    <row r="166" spans="4:38" s="93" customFormat="1" x14ac:dyDescent="0.3">
      <c r="D166" s="92"/>
      <c r="F166" s="165"/>
      <c r="G166"/>
      <c r="H166"/>
      <c r="I166"/>
      <c r="J166"/>
      <c r="K166"/>
      <c r="L166"/>
      <c r="M166"/>
      <c r="N166"/>
      <c r="O166" s="47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</row>
    <row r="167" spans="4:38" s="93" customFormat="1" x14ac:dyDescent="0.3">
      <c r="D167" s="92"/>
      <c r="F167" s="165"/>
      <c r="G167"/>
      <c r="H167"/>
      <c r="I167"/>
      <c r="J167"/>
      <c r="K167"/>
      <c r="L167"/>
      <c r="M167"/>
      <c r="N167"/>
      <c r="O167" s="4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</row>
    <row r="168" spans="4:38" s="93" customFormat="1" x14ac:dyDescent="0.3">
      <c r="D168" s="92"/>
      <c r="F168" s="165"/>
      <c r="G168"/>
      <c r="H168"/>
      <c r="I168"/>
      <c r="J168"/>
      <c r="K168"/>
      <c r="L168"/>
      <c r="M168"/>
      <c r="N168"/>
      <c r="O168" s="47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</row>
    <row r="169" spans="4:38" s="93" customFormat="1" x14ac:dyDescent="0.3">
      <c r="D169" s="92"/>
      <c r="F169" s="165"/>
      <c r="G169"/>
      <c r="H169"/>
      <c r="I169"/>
      <c r="J169"/>
      <c r="K169"/>
      <c r="L169"/>
      <c r="M169"/>
      <c r="N169"/>
      <c r="O169" s="47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</row>
    <row r="170" spans="4:38" s="93" customFormat="1" x14ac:dyDescent="0.3">
      <c r="D170" s="92"/>
      <c r="F170" s="165"/>
      <c r="G170"/>
      <c r="H170"/>
      <c r="I170"/>
      <c r="J170"/>
      <c r="K170"/>
      <c r="L170"/>
      <c r="M170"/>
      <c r="N170"/>
      <c r="O170" s="47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</row>
    <row r="171" spans="4:38" s="93" customFormat="1" x14ac:dyDescent="0.3">
      <c r="D171" s="92"/>
      <c r="F171" s="165"/>
      <c r="G171"/>
      <c r="H171"/>
      <c r="I171"/>
      <c r="J171"/>
      <c r="K171"/>
      <c r="L171"/>
      <c r="M171"/>
      <c r="N171"/>
      <c r="O171" s="47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</row>
    <row r="172" spans="4:38" s="93" customFormat="1" x14ac:dyDescent="0.3">
      <c r="D172" s="92"/>
      <c r="F172" s="165"/>
      <c r="G172"/>
      <c r="H172"/>
      <c r="I172"/>
      <c r="J172"/>
      <c r="K172"/>
      <c r="L172"/>
      <c r="M172"/>
      <c r="N172"/>
      <c r="O172" s="47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</row>
    <row r="173" spans="4:38" s="93" customFormat="1" x14ac:dyDescent="0.3">
      <c r="D173" s="92"/>
      <c r="F173" s="165"/>
      <c r="G173"/>
      <c r="H173"/>
      <c r="I173"/>
      <c r="J173"/>
      <c r="K173"/>
      <c r="L173"/>
      <c r="M173"/>
      <c r="N173"/>
      <c r="O173" s="47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</row>
    <row r="174" spans="4:38" s="93" customFormat="1" x14ac:dyDescent="0.3">
      <c r="D174" s="92"/>
      <c r="F174" s="165"/>
      <c r="G174"/>
      <c r="H174"/>
      <c r="I174"/>
      <c r="J174"/>
      <c r="K174"/>
      <c r="L174"/>
      <c r="M174"/>
      <c r="N174"/>
      <c r="O174" s="47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</row>
    <row r="175" spans="4:38" s="93" customFormat="1" x14ac:dyDescent="0.3">
      <c r="D175" s="92"/>
      <c r="F175" s="165"/>
      <c r="G175"/>
      <c r="H175"/>
      <c r="I175"/>
      <c r="J175"/>
      <c r="K175"/>
      <c r="L175"/>
      <c r="M175"/>
      <c r="N175"/>
      <c r="O175" s="47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</row>
    <row r="176" spans="4:38" s="93" customFormat="1" x14ac:dyDescent="0.3">
      <c r="D176" s="92"/>
      <c r="F176" s="165"/>
      <c r="G176"/>
      <c r="H176"/>
      <c r="I176"/>
      <c r="J176"/>
      <c r="K176"/>
      <c r="L176"/>
      <c r="M176"/>
      <c r="N176"/>
      <c r="O176" s="47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</row>
    <row r="177" spans="4:38" s="93" customFormat="1" x14ac:dyDescent="0.3">
      <c r="D177" s="92"/>
      <c r="F177" s="165"/>
      <c r="G177"/>
      <c r="H177"/>
      <c r="I177"/>
      <c r="J177"/>
      <c r="K177"/>
      <c r="L177"/>
      <c r="M177"/>
      <c r="N177"/>
      <c r="O177" s="4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</row>
    <row r="178" spans="4:38" s="93" customFormat="1" x14ac:dyDescent="0.3">
      <c r="D178" s="92"/>
      <c r="F178" s="165"/>
      <c r="G178"/>
      <c r="H178"/>
      <c r="I178"/>
      <c r="J178"/>
      <c r="K178"/>
      <c r="L178"/>
      <c r="M178"/>
      <c r="N178"/>
      <c r="O178" s="47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</row>
    <row r="179" spans="4:38" s="93" customFormat="1" x14ac:dyDescent="0.3">
      <c r="D179" s="92"/>
      <c r="F179" s="165"/>
      <c r="G179"/>
      <c r="H179"/>
      <c r="I179"/>
      <c r="J179"/>
      <c r="K179"/>
      <c r="L179"/>
      <c r="M179"/>
      <c r="N179"/>
      <c r="O179" s="47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</row>
    <row r="180" spans="4:38" s="93" customFormat="1" x14ac:dyDescent="0.3">
      <c r="D180" s="92"/>
      <c r="F180" s="165"/>
      <c r="G180"/>
      <c r="H180"/>
      <c r="I180"/>
      <c r="J180"/>
      <c r="K180"/>
      <c r="L180"/>
      <c r="M180"/>
      <c r="N180"/>
      <c r="O180" s="47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</row>
    <row r="181" spans="4:38" s="93" customFormat="1" x14ac:dyDescent="0.3">
      <c r="D181" s="92"/>
      <c r="F181" s="165"/>
      <c r="G181"/>
      <c r="H181"/>
      <c r="I181"/>
      <c r="J181"/>
      <c r="K181"/>
      <c r="L181"/>
      <c r="M181"/>
      <c r="N181"/>
      <c r="O181" s="47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</row>
    <row r="182" spans="4:38" s="93" customFormat="1" x14ac:dyDescent="0.3">
      <c r="D182" s="92"/>
      <c r="F182" s="165"/>
      <c r="G182"/>
      <c r="H182"/>
      <c r="I182"/>
      <c r="J182"/>
      <c r="K182"/>
      <c r="L182"/>
      <c r="M182"/>
      <c r="N182"/>
      <c r="O182" s="47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</row>
    <row r="183" spans="4:38" s="93" customFormat="1" x14ac:dyDescent="0.3">
      <c r="D183" s="92"/>
      <c r="F183" s="165"/>
      <c r="G183"/>
      <c r="H183"/>
      <c r="I183"/>
      <c r="J183"/>
      <c r="K183"/>
      <c r="L183"/>
      <c r="M183"/>
      <c r="N183"/>
      <c r="O183" s="47"/>
      <c r="P183"/>
      <c r="Q183"/>
      <c r="R183"/>
      <c r="S183"/>
      <c r="T183"/>
      <c r="U183"/>
      <c r="V183"/>
      <c r="W183"/>
      <c r="X183"/>
      <c r="Y183"/>
      <c r="Z183" s="48"/>
      <c r="AA183"/>
      <c r="AB183"/>
      <c r="AC183"/>
      <c r="AD183"/>
      <c r="AE183"/>
      <c r="AF183"/>
      <c r="AG183"/>
      <c r="AH183"/>
      <c r="AI183"/>
      <c r="AJ183"/>
      <c r="AK183"/>
      <c r="AL183" s="48"/>
    </row>
    <row r="184" spans="4:38" s="93" customFormat="1" x14ac:dyDescent="0.3">
      <c r="D184" s="92"/>
      <c r="F184" s="165"/>
      <c r="G184"/>
      <c r="H184"/>
      <c r="I184"/>
      <c r="J184"/>
      <c r="K184"/>
      <c r="L184"/>
      <c r="M184"/>
      <c r="N184"/>
      <c r="O184" s="47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</row>
    <row r="185" spans="4:38" s="93" customFormat="1" x14ac:dyDescent="0.3">
      <c r="D185" s="92"/>
      <c r="F185" s="165"/>
      <c r="G185"/>
      <c r="H185"/>
      <c r="I185"/>
      <c r="J185"/>
      <c r="K185"/>
      <c r="L185"/>
      <c r="M185"/>
      <c r="N185"/>
      <c r="O185" s="47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</row>
    <row r="186" spans="4:38" s="93" customFormat="1" x14ac:dyDescent="0.3">
      <c r="D186" s="92"/>
      <c r="F186" s="165"/>
      <c r="G186"/>
      <c r="H186"/>
      <c r="I186"/>
      <c r="J186"/>
      <c r="K186"/>
      <c r="L186"/>
      <c r="M186"/>
      <c r="N186"/>
      <c r="O186" s="47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</row>
    <row r="187" spans="4:38" s="93" customFormat="1" x14ac:dyDescent="0.3">
      <c r="D187" s="92"/>
      <c r="F187" s="165"/>
      <c r="G187"/>
      <c r="H187"/>
      <c r="I187"/>
      <c r="J187"/>
      <c r="K187"/>
      <c r="L187"/>
      <c r="M187"/>
      <c r="N187"/>
      <c r="O187" s="4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</row>
    <row r="188" spans="4:38" s="93" customFormat="1" x14ac:dyDescent="0.3">
      <c r="D188" s="92"/>
      <c r="F188" s="165"/>
      <c r="G188"/>
      <c r="H188"/>
      <c r="I188"/>
      <c r="J188"/>
      <c r="K188"/>
      <c r="L188"/>
      <c r="M188"/>
      <c r="N188"/>
      <c r="O188" s="47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</row>
    <row r="189" spans="4:38" s="93" customFormat="1" x14ac:dyDescent="0.3">
      <c r="D189" s="92"/>
      <c r="F189" s="165"/>
      <c r="G189"/>
      <c r="H189"/>
      <c r="I189"/>
      <c r="J189"/>
      <c r="K189"/>
      <c r="L189"/>
      <c r="M189"/>
      <c r="N189"/>
      <c r="O189" s="47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</row>
    <row r="190" spans="4:38" s="93" customFormat="1" x14ac:dyDescent="0.3">
      <c r="D190" s="92"/>
      <c r="F190" s="165"/>
      <c r="G190"/>
      <c r="H190"/>
      <c r="I190"/>
      <c r="J190"/>
      <c r="K190"/>
      <c r="L190"/>
      <c r="M190"/>
      <c r="N190"/>
      <c r="O190" s="47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</row>
    <row r="191" spans="4:38" s="93" customFormat="1" x14ac:dyDescent="0.3">
      <c r="D191" s="92"/>
      <c r="F191" s="165"/>
      <c r="G191"/>
      <c r="H191"/>
      <c r="I191"/>
      <c r="J191"/>
      <c r="K191"/>
      <c r="L191"/>
      <c r="M191"/>
      <c r="N191"/>
      <c r="O191" s="47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</row>
    <row r="192" spans="4:38" s="93" customFormat="1" x14ac:dyDescent="0.3">
      <c r="D192" s="92"/>
      <c r="F192" s="165"/>
      <c r="G192"/>
      <c r="H192"/>
      <c r="I192"/>
      <c r="J192"/>
      <c r="K192"/>
      <c r="L192"/>
      <c r="M192"/>
      <c r="N192"/>
      <c r="O192" s="47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</row>
    <row r="193" spans="4:38" s="93" customFormat="1" x14ac:dyDescent="0.3">
      <c r="D193" s="92"/>
      <c r="F193" s="165"/>
      <c r="G193"/>
      <c r="H193"/>
      <c r="I193"/>
      <c r="J193"/>
      <c r="K193"/>
      <c r="L193"/>
      <c r="M193"/>
      <c r="N193"/>
      <c r="O193" s="47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</row>
    <row r="194" spans="4:38" s="93" customFormat="1" x14ac:dyDescent="0.3">
      <c r="D194" s="92"/>
      <c r="F194" s="165"/>
      <c r="G194"/>
      <c r="H194"/>
      <c r="I194"/>
      <c r="J194"/>
      <c r="K194"/>
      <c r="L194"/>
      <c r="M194"/>
      <c r="N194"/>
      <c r="O194" s="47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</row>
    <row r="195" spans="4:38" s="93" customFormat="1" x14ac:dyDescent="0.3">
      <c r="D195" s="92"/>
      <c r="F195" s="165"/>
      <c r="G195"/>
      <c r="H195"/>
      <c r="I195"/>
      <c r="J195"/>
      <c r="K195"/>
      <c r="L195"/>
      <c r="M195"/>
      <c r="N195"/>
      <c r="O195" s="47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</row>
    <row r="196" spans="4:38" s="93" customFormat="1" x14ac:dyDescent="0.3">
      <c r="D196" s="92"/>
      <c r="F196" s="165"/>
      <c r="G196"/>
      <c r="H196"/>
      <c r="I196"/>
      <c r="J196"/>
      <c r="K196"/>
      <c r="L196"/>
      <c r="M196"/>
      <c r="N196"/>
      <c r="O196" s="47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</row>
    <row r="197" spans="4:38" s="93" customFormat="1" x14ac:dyDescent="0.3">
      <c r="D197" s="92"/>
      <c r="F197" s="165"/>
      <c r="G197"/>
      <c r="H197"/>
      <c r="I197"/>
      <c r="J197"/>
      <c r="K197"/>
      <c r="L197"/>
      <c r="M197"/>
      <c r="N197"/>
      <c r="O197" s="4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</row>
    <row r="198" spans="4:38" s="93" customFormat="1" x14ac:dyDescent="0.3">
      <c r="D198" s="92"/>
      <c r="F198" s="165"/>
      <c r="G198"/>
      <c r="H198"/>
      <c r="I198"/>
      <c r="J198"/>
      <c r="K198"/>
      <c r="L198"/>
      <c r="M198"/>
      <c r="N198"/>
      <c r="O198" s="47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</row>
    <row r="199" spans="4:38" s="93" customFormat="1" x14ac:dyDescent="0.3">
      <c r="D199" s="92"/>
      <c r="F199" s="165"/>
      <c r="G199"/>
      <c r="H199"/>
      <c r="I199"/>
      <c r="J199"/>
      <c r="K199"/>
      <c r="L199"/>
      <c r="M199"/>
      <c r="N199"/>
      <c r="O199" s="47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</row>
    <row r="200" spans="4:38" s="93" customFormat="1" ht="15" thickBot="1" x14ac:dyDescent="0.35">
      <c r="D200" s="92"/>
      <c r="F200" s="165"/>
      <c r="G200"/>
      <c r="H200"/>
      <c r="I200"/>
      <c r="J200"/>
      <c r="K200"/>
      <c r="L200"/>
      <c r="M200"/>
      <c r="N200"/>
      <c r="O200" s="47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</row>
    <row r="201" spans="4:38" s="99" customFormat="1" x14ac:dyDescent="0.3">
      <c r="D201" s="100"/>
      <c r="F201" s="245"/>
      <c r="G201" s="7"/>
      <c r="H201" s="7"/>
      <c r="I201" s="7"/>
      <c r="J201" s="7"/>
      <c r="K201" s="7"/>
      <c r="L201" s="7"/>
      <c r="M201" s="7"/>
      <c r="N201" s="7"/>
      <c r="O201" s="90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91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91"/>
    </row>
    <row r="202" spans="4:38" s="93" customFormat="1" x14ac:dyDescent="0.3">
      <c r="D202" s="92"/>
      <c r="F202" s="165"/>
      <c r="G202"/>
      <c r="H202"/>
      <c r="I202"/>
      <c r="J202"/>
      <c r="K202"/>
      <c r="L202"/>
      <c r="M202"/>
      <c r="N202"/>
      <c r="O202" s="47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</row>
    <row r="203" spans="4:38" s="93" customFormat="1" x14ac:dyDescent="0.3">
      <c r="D203" s="92"/>
      <c r="F203" s="165"/>
      <c r="G203"/>
      <c r="H203"/>
      <c r="I203"/>
      <c r="J203"/>
      <c r="K203"/>
      <c r="L203"/>
      <c r="M203"/>
      <c r="N203"/>
      <c r="O203" s="47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</row>
    <row r="204" spans="4:38" s="93" customFormat="1" x14ac:dyDescent="0.3">
      <c r="D204" s="92"/>
      <c r="F204" s="165"/>
      <c r="G204"/>
      <c r="H204"/>
      <c r="I204"/>
      <c r="J204"/>
      <c r="K204"/>
      <c r="L204"/>
      <c r="M204"/>
      <c r="N204"/>
      <c r="O204" s="47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</row>
    <row r="205" spans="4:38" s="93" customFormat="1" x14ac:dyDescent="0.3">
      <c r="D205" s="92"/>
      <c r="F205" s="165"/>
      <c r="G205"/>
      <c r="H205"/>
      <c r="I205"/>
      <c r="J205"/>
      <c r="K205"/>
      <c r="L205"/>
      <c r="M205"/>
      <c r="N205"/>
      <c r="O205" s="47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</row>
    <row r="206" spans="4:38" s="93" customFormat="1" x14ac:dyDescent="0.3">
      <c r="D206" s="92"/>
      <c r="F206" s="165"/>
      <c r="G206"/>
      <c r="H206"/>
      <c r="I206"/>
      <c r="J206"/>
      <c r="K206"/>
      <c r="L206"/>
      <c r="M206"/>
      <c r="N206"/>
      <c r="O206" s="47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</row>
    <row r="207" spans="4:38" s="93" customFormat="1" x14ac:dyDescent="0.3">
      <c r="D207" s="92"/>
      <c r="F207" s="165"/>
      <c r="G207"/>
      <c r="H207"/>
      <c r="I207"/>
      <c r="J207"/>
      <c r="K207"/>
      <c r="L207"/>
      <c r="M207"/>
      <c r="N207"/>
      <c r="O207" s="4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</row>
    <row r="208" spans="4:38" s="93" customFormat="1" x14ac:dyDescent="0.3">
      <c r="D208" s="92"/>
      <c r="F208" s="165"/>
      <c r="G208"/>
      <c r="H208"/>
      <c r="I208"/>
      <c r="J208"/>
      <c r="K208"/>
      <c r="L208"/>
      <c r="M208"/>
      <c r="N208"/>
      <c r="O208" s="47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</row>
    <row r="209" spans="4:38" s="93" customFormat="1" x14ac:dyDescent="0.3">
      <c r="D209" s="92"/>
      <c r="F209" s="165"/>
      <c r="G209"/>
      <c r="H209"/>
      <c r="I209"/>
      <c r="J209"/>
      <c r="K209"/>
      <c r="L209"/>
      <c r="M209"/>
      <c r="N209"/>
      <c r="O209" s="47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</row>
    <row r="210" spans="4:38" s="93" customFormat="1" x14ac:dyDescent="0.3">
      <c r="D210" s="92"/>
      <c r="F210" s="165"/>
      <c r="G210"/>
      <c r="H210"/>
      <c r="I210"/>
      <c r="J210"/>
      <c r="K210"/>
      <c r="L210"/>
      <c r="M210"/>
      <c r="N210"/>
      <c r="O210" s="47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</row>
    <row r="211" spans="4:38" s="93" customFormat="1" x14ac:dyDescent="0.3">
      <c r="D211" s="92"/>
      <c r="F211" s="165"/>
      <c r="G211"/>
      <c r="H211"/>
      <c r="I211"/>
      <c r="J211"/>
      <c r="K211"/>
      <c r="L211"/>
      <c r="M211"/>
      <c r="N211"/>
      <c r="O211" s="47"/>
      <c r="P211"/>
      <c r="Q211"/>
      <c r="R211"/>
      <c r="S211"/>
      <c r="T211"/>
      <c r="U211"/>
      <c r="V211"/>
      <c r="W211"/>
      <c r="X211"/>
      <c r="Y211"/>
      <c r="Z211" s="48"/>
      <c r="AA211"/>
      <c r="AB211"/>
      <c r="AC211"/>
      <c r="AD211"/>
      <c r="AE211"/>
      <c r="AF211"/>
      <c r="AG211"/>
      <c r="AH211"/>
      <c r="AI211"/>
      <c r="AJ211"/>
      <c r="AK211"/>
      <c r="AL211" s="48"/>
    </row>
    <row r="212" spans="4:38" s="93" customFormat="1" x14ac:dyDescent="0.3">
      <c r="D212" s="92"/>
      <c r="F212" s="165"/>
      <c r="G212"/>
      <c r="H212"/>
      <c r="I212"/>
      <c r="J212"/>
      <c r="K212"/>
      <c r="L212"/>
      <c r="M212"/>
      <c r="N212"/>
      <c r="O212" s="47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</row>
    <row r="213" spans="4:38" s="93" customFormat="1" x14ac:dyDescent="0.3">
      <c r="D213" s="92"/>
      <c r="F213" s="165"/>
      <c r="G213"/>
      <c r="H213"/>
      <c r="I213"/>
      <c r="J213"/>
      <c r="K213"/>
      <c r="L213"/>
      <c r="M213"/>
      <c r="N213"/>
      <c r="O213" s="47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</row>
    <row r="214" spans="4:38" s="93" customFormat="1" x14ac:dyDescent="0.3">
      <c r="D214" s="92"/>
      <c r="F214" s="165"/>
      <c r="G214"/>
      <c r="H214"/>
      <c r="I214"/>
      <c r="J214"/>
      <c r="K214"/>
      <c r="L214"/>
      <c r="M214"/>
      <c r="N214"/>
      <c r="O214" s="47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</row>
    <row r="215" spans="4:38" s="93" customFormat="1" x14ac:dyDescent="0.3">
      <c r="D215" s="92"/>
      <c r="F215" s="165"/>
      <c r="G215"/>
      <c r="H215"/>
      <c r="I215"/>
      <c r="J215"/>
      <c r="K215"/>
      <c r="L215"/>
      <c r="M215"/>
      <c r="N215"/>
      <c r="O215" s="47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</row>
    <row r="216" spans="4:38" s="93" customFormat="1" x14ac:dyDescent="0.3">
      <c r="D216" s="92"/>
      <c r="F216" s="165"/>
      <c r="G216"/>
      <c r="H216"/>
      <c r="I216"/>
      <c r="J216"/>
      <c r="K216"/>
      <c r="L216"/>
      <c r="M216"/>
      <c r="N216"/>
      <c r="O216" s="47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</row>
    <row r="217" spans="4:38" s="93" customFormat="1" x14ac:dyDescent="0.3">
      <c r="D217" s="92"/>
      <c r="F217" s="165"/>
      <c r="G217"/>
      <c r="H217"/>
      <c r="I217"/>
      <c r="J217"/>
      <c r="K217"/>
      <c r="L217"/>
      <c r="M217"/>
      <c r="N217"/>
      <c r="O217" s="4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</row>
    <row r="218" spans="4:38" s="93" customFormat="1" x14ac:dyDescent="0.3">
      <c r="D218" s="92"/>
      <c r="F218" s="165"/>
      <c r="G218"/>
      <c r="H218"/>
      <c r="I218"/>
      <c r="J218"/>
      <c r="K218"/>
      <c r="L218"/>
      <c r="M218"/>
      <c r="N218"/>
      <c r="O218" s="47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</row>
    <row r="219" spans="4:38" s="93" customFormat="1" x14ac:dyDescent="0.3">
      <c r="D219" s="92"/>
      <c r="F219" s="165"/>
      <c r="G219"/>
      <c r="H219"/>
      <c r="I219"/>
      <c r="J219"/>
      <c r="K219"/>
      <c r="L219"/>
      <c r="M219"/>
      <c r="N219"/>
      <c r="O219" s="47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</row>
    <row r="220" spans="4:38" s="93" customFormat="1" x14ac:dyDescent="0.3">
      <c r="D220" s="92"/>
      <c r="F220" s="165"/>
      <c r="G220"/>
      <c r="H220"/>
      <c r="I220"/>
      <c r="J220"/>
      <c r="K220"/>
      <c r="L220"/>
      <c r="M220"/>
      <c r="N220"/>
      <c r="O220" s="47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</row>
    <row r="221" spans="4:38" s="93" customFormat="1" x14ac:dyDescent="0.3">
      <c r="D221" s="92"/>
      <c r="F221" s="165"/>
      <c r="G221"/>
      <c r="H221"/>
      <c r="I221"/>
      <c r="J221"/>
      <c r="K221"/>
      <c r="L221"/>
      <c r="M221"/>
      <c r="N221"/>
      <c r="O221" s="47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</row>
    <row r="222" spans="4:38" s="93" customFormat="1" x14ac:dyDescent="0.3">
      <c r="D222" s="92"/>
      <c r="F222" s="165"/>
      <c r="G222"/>
      <c r="H222"/>
      <c r="I222"/>
      <c r="J222"/>
      <c r="K222"/>
      <c r="L222"/>
      <c r="M222"/>
      <c r="N222"/>
      <c r="O222" s="47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</row>
    <row r="223" spans="4:38" s="93" customFormat="1" x14ac:dyDescent="0.3">
      <c r="D223" s="92"/>
      <c r="F223" s="165"/>
      <c r="G223"/>
      <c r="H223"/>
      <c r="I223"/>
      <c r="J223"/>
      <c r="K223"/>
      <c r="L223"/>
      <c r="M223"/>
      <c r="N223"/>
      <c r="O223" s="47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</row>
    <row r="224" spans="4:38" s="93" customFormat="1" x14ac:dyDescent="0.3">
      <c r="D224" s="92"/>
      <c r="F224" s="165"/>
      <c r="G224"/>
      <c r="H224"/>
      <c r="I224"/>
      <c r="J224"/>
      <c r="K224"/>
      <c r="L224"/>
      <c r="M224"/>
      <c r="N224"/>
      <c r="O224" s="47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</row>
    <row r="225" spans="4:38" s="93" customFormat="1" x14ac:dyDescent="0.3">
      <c r="D225" s="92"/>
      <c r="F225" s="165"/>
      <c r="G225"/>
      <c r="H225"/>
      <c r="I225"/>
      <c r="J225"/>
      <c r="K225"/>
      <c r="L225"/>
      <c r="M225"/>
      <c r="N225"/>
      <c r="O225" s="47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</row>
    <row r="226" spans="4:38" s="93" customFormat="1" x14ac:dyDescent="0.3">
      <c r="D226" s="92"/>
      <c r="F226" s="165"/>
      <c r="G226"/>
      <c r="H226"/>
      <c r="I226"/>
      <c r="J226"/>
      <c r="K226"/>
      <c r="L226"/>
      <c r="M226"/>
      <c r="N226"/>
      <c r="O226" s="47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</row>
    <row r="227" spans="4:38" s="93" customFormat="1" x14ac:dyDescent="0.3">
      <c r="D227" s="92"/>
      <c r="F227" s="165"/>
      <c r="G227"/>
      <c r="H227"/>
      <c r="I227"/>
      <c r="J227"/>
      <c r="K227"/>
      <c r="L227"/>
      <c r="M227"/>
      <c r="N227"/>
      <c r="O227" s="4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</row>
    <row r="228" spans="4:38" s="93" customFormat="1" x14ac:dyDescent="0.3">
      <c r="D228" s="92"/>
      <c r="F228" s="165"/>
      <c r="G228"/>
      <c r="H228"/>
      <c r="I228"/>
      <c r="J228"/>
      <c r="K228"/>
      <c r="L228"/>
      <c r="M228"/>
      <c r="N228"/>
      <c r="O228" s="47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</row>
    <row r="229" spans="4:38" s="93" customFormat="1" x14ac:dyDescent="0.3">
      <c r="D229" s="92"/>
      <c r="F229" s="165"/>
      <c r="G229"/>
      <c r="H229"/>
      <c r="I229"/>
      <c r="J229"/>
      <c r="K229"/>
      <c r="L229"/>
      <c r="M229"/>
      <c r="N229"/>
      <c r="O229" s="47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</row>
    <row r="230" spans="4:38" s="93" customFormat="1" x14ac:dyDescent="0.3">
      <c r="D230" s="92"/>
      <c r="F230" s="165"/>
      <c r="G230"/>
      <c r="H230"/>
      <c r="I230"/>
      <c r="J230"/>
      <c r="K230"/>
      <c r="L230"/>
      <c r="M230"/>
      <c r="N230"/>
      <c r="O230" s="47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</row>
    <row r="231" spans="4:38" s="93" customFormat="1" x14ac:dyDescent="0.3">
      <c r="D231" s="92"/>
      <c r="F231" s="165"/>
      <c r="G231"/>
      <c r="H231"/>
      <c r="I231"/>
      <c r="J231"/>
      <c r="K231"/>
      <c r="L231"/>
      <c r="M231"/>
      <c r="N231"/>
      <c r="O231" s="47"/>
      <c r="P231"/>
      <c r="Q231"/>
      <c r="R231"/>
      <c r="S231"/>
      <c r="T231"/>
      <c r="U231"/>
      <c r="V231"/>
      <c r="W231"/>
      <c r="X231"/>
      <c r="Y231"/>
      <c r="Z231" s="48"/>
      <c r="AA231"/>
      <c r="AB231"/>
      <c r="AC231"/>
      <c r="AD231"/>
      <c r="AE231"/>
      <c r="AF231"/>
      <c r="AG231"/>
      <c r="AH231"/>
      <c r="AI231"/>
      <c r="AJ231"/>
      <c r="AK231"/>
      <c r="AL231" s="48"/>
    </row>
    <row r="232" spans="4:38" s="93" customFormat="1" x14ac:dyDescent="0.3">
      <c r="D232" s="92"/>
      <c r="F232" s="165"/>
      <c r="G232"/>
      <c r="H232"/>
      <c r="I232"/>
      <c r="J232"/>
      <c r="K232"/>
      <c r="L232"/>
      <c r="M232"/>
      <c r="N232"/>
      <c r="O232" s="47"/>
      <c r="P232"/>
      <c r="Q232"/>
      <c r="R232"/>
      <c r="S232"/>
      <c r="T232"/>
      <c r="U232"/>
      <c r="V232"/>
      <c r="W232"/>
      <c r="X232"/>
      <c r="Y232"/>
      <c r="Z232" s="48"/>
      <c r="AA232"/>
      <c r="AB232"/>
      <c r="AC232"/>
      <c r="AD232"/>
      <c r="AE232"/>
      <c r="AF232"/>
      <c r="AG232"/>
      <c r="AH232"/>
      <c r="AI232"/>
      <c r="AJ232"/>
      <c r="AK232"/>
      <c r="AL232" s="48"/>
    </row>
    <row r="233" spans="4:38" s="93" customFormat="1" x14ac:dyDescent="0.3">
      <c r="D233" s="92"/>
      <c r="F233" s="165"/>
      <c r="G233"/>
      <c r="H233"/>
      <c r="I233"/>
      <c r="J233"/>
      <c r="K233"/>
      <c r="L233"/>
      <c r="M233"/>
      <c r="N233"/>
      <c r="O233" s="47"/>
      <c r="P233"/>
      <c r="Q233"/>
      <c r="R233"/>
      <c r="S233"/>
      <c r="T233"/>
      <c r="U233"/>
      <c r="V233"/>
      <c r="W233"/>
      <c r="X233"/>
      <c r="Y233"/>
      <c r="Z233" s="48"/>
      <c r="AA233"/>
      <c r="AB233"/>
      <c r="AC233"/>
      <c r="AD233"/>
      <c r="AE233"/>
      <c r="AF233"/>
      <c r="AG233"/>
      <c r="AH233"/>
      <c r="AI233"/>
      <c r="AJ233"/>
      <c r="AK233"/>
      <c r="AL233" s="48"/>
    </row>
    <row r="234" spans="4:38" s="93" customFormat="1" x14ac:dyDescent="0.3">
      <c r="D234" s="92"/>
      <c r="F234" s="165"/>
      <c r="G234"/>
      <c r="H234"/>
      <c r="I234"/>
      <c r="J234"/>
      <c r="K234"/>
      <c r="L234"/>
      <c r="M234"/>
      <c r="N234"/>
      <c r="O234" s="47"/>
      <c r="P234"/>
      <c r="Q234"/>
      <c r="R234"/>
      <c r="S234"/>
      <c r="T234"/>
      <c r="U234"/>
      <c r="V234"/>
      <c r="W234"/>
      <c r="X234"/>
      <c r="Y234"/>
      <c r="Z234" s="48"/>
      <c r="AA234"/>
      <c r="AB234"/>
      <c r="AC234"/>
      <c r="AD234"/>
      <c r="AE234"/>
      <c r="AF234"/>
      <c r="AG234"/>
      <c r="AH234"/>
      <c r="AI234"/>
      <c r="AJ234"/>
      <c r="AK234"/>
      <c r="AL234" s="48"/>
    </row>
    <row r="235" spans="4:38" s="93" customFormat="1" x14ac:dyDescent="0.3">
      <c r="D235" s="92"/>
      <c r="F235" s="165"/>
      <c r="G235"/>
      <c r="H235"/>
      <c r="I235"/>
      <c r="J235"/>
      <c r="K235"/>
      <c r="L235"/>
      <c r="M235"/>
      <c r="N235"/>
      <c r="O235" s="47"/>
      <c r="P235"/>
      <c r="Q235"/>
      <c r="R235"/>
      <c r="S235"/>
      <c r="T235"/>
      <c r="U235"/>
      <c r="V235"/>
      <c r="W235"/>
      <c r="X235"/>
      <c r="Y235"/>
      <c r="Z235" s="48"/>
      <c r="AA235"/>
      <c r="AB235"/>
      <c r="AC235"/>
      <c r="AD235"/>
      <c r="AE235"/>
      <c r="AF235"/>
      <c r="AG235"/>
      <c r="AH235"/>
      <c r="AI235"/>
      <c r="AJ235"/>
      <c r="AK235"/>
      <c r="AL235" s="48"/>
    </row>
    <row r="236" spans="4:38" s="93" customFormat="1" x14ac:dyDescent="0.3">
      <c r="D236" s="92"/>
      <c r="F236" s="165"/>
      <c r="G236"/>
      <c r="H236"/>
      <c r="I236"/>
      <c r="J236"/>
      <c r="K236"/>
      <c r="L236"/>
      <c r="M236"/>
      <c r="N236"/>
      <c r="O236" s="47"/>
      <c r="P236"/>
      <c r="Q236"/>
      <c r="R236"/>
      <c r="S236"/>
      <c r="T236"/>
      <c r="U236"/>
      <c r="V236"/>
      <c r="W236"/>
      <c r="X236"/>
      <c r="Y236"/>
      <c r="Z236" s="48"/>
      <c r="AA236"/>
      <c r="AB236"/>
      <c r="AC236"/>
      <c r="AD236"/>
      <c r="AE236"/>
      <c r="AF236"/>
      <c r="AG236"/>
      <c r="AH236"/>
      <c r="AI236"/>
      <c r="AJ236"/>
      <c r="AK236"/>
      <c r="AL236" s="48"/>
    </row>
    <row r="237" spans="4:38" s="93" customFormat="1" x14ac:dyDescent="0.3">
      <c r="D237" s="92"/>
      <c r="F237" s="165"/>
      <c r="G237"/>
      <c r="H237"/>
      <c r="I237"/>
      <c r="J237"/>
      <c r="K237"/>
      <c r="L237"/>
      <c r="M237"/>
      <c r="N237"/>
      <c r="O237" s="47"/>
      <c r="P237"/>
      <c r="Q237"/>
      <c r="R237"/>
      <c r="S237"/>
      <c r="T237"/>
      <c r="U237"/>
      <c r="V237"/>
      <c r="W237"/>
      <c r="X237"/>
      <c r="Y237"/>
      <c r="Z237" s="48"/>
      <c r="AA237"/>
      <c r="AB237"/>
      <c r="AC237"/>
      <c r="AD237"/>
      <c r="AE237"/>
      <c r="AF237"/>
      <c r="AG237"/>
      <c r="AH237"/>
      <c r="AI237"/>
      <c r="AJ237"/>
      <c r="AK237"/>
      <c r="AL237" s="48"/>
    </row>
    <row r="238" spans="4:38" s="93" customFormat="1" x14ac:dyDescent="0.3">
      <c r="D238" s="92"/>
      <c r="F238" s="165"/>
      <c r="G238"/>
      <c r="H238"/>
      <c r="I238"/>
      <c r="J238"/>
      <c r="K238"/>
      <c r="L238"/>
      <c r="M238"/>
      <c r="N238"/>
      <c r="O238" s="47"/>
      <c r="P238"/>
      <c r="Q238"/>
      <c r="R238"/>
      <c r="S238"/>
      <c r="T238"/>
      <c r="U238"/>
      <c r="V238"/>
      <c r="W238"/>
      <c r="X238"/>
      <c r="Y238"/>
      <c r="Z238" s="48"/>
      <c r="AA238"/>
      <c r="AB238"/>
      <c r="AC238"/>
      <c r="AD238"/>
      <c r="AE238"/>
      <c r="AF238"/>
      <c r="AG238"/>
      <c r="AH238"/>
      <c r="AI238"/>
      <c r="AJ238"/>
      <c r="AK238"/>
      <c r="AL238" s="48"/>
    </row>
    <row r="239" spans="4:38" s="93" customFormat="1" x14ac:dyDescent="0.3">
      <c r="D239" s="92"/>
      <c r="F239" s="165"/>
      <c r="G239"/>
      <c r="H239"/>
      <c r="I239"/>
      <c r="J239"/>
      <c r="K239"/>
      <c r="L239"/>
      <c r="M239"/>
      <c r="N239"/>
      <c r="O239" s="47"/>
      <c r="P239"/>
      <c r="Q239"/>
      <c r="R239"/>
      <c r="S239"/>
      <c r="T239"/>
      <c r="U239"/>
      <c r="V239"/>
      <c r="W239"/>
      <c r="X239"/>
      <c r="Y239"/>
      <c r="Z239" s="48"/>
      <c r="AA239"/>
      <c r="AB239"/>
      <c r="AC239"/>
      <c r="AD239"/>
      <c r="AE239"/>
      <c r="AF239"/>
      <c r="AG239"/>
      <c r="AH239"/>
      <c r="AI239"/>
      <c r="AJ239"/>
      <c r="AK239"/>
      <c r="AL239" s="48"/>
    </row>
    <row r="240" spans="4:38" s="93" customFormat="1" x14ac:dyDescent="0.3">
      <c r="D240" s="92"/>
      <c r="F240" s="165"/>
      <c r="G240"/>
      <c r="H240"/>
      <c r="I240"/>
      <c r="J240"/>
      <c r="K240"/>
      <c r="L240"/>
      <c r="M240"/>
      <c r="N240"/>
      <c r="O240" s="47"/>
      <c r="P240"/>
      <c r="Q240"/>
      <c r="R240"/>
      <c r="S240"/>
      <c r="T240"/>
      <c r="U240"/>
      <c r="V240"/>
      <c r="W240"/>
      <c r="X240"/>
      <c r="Y240"/>
      <c r="Z240" s="48"/>
      <c r="AA240"/>
      <c r="AB240"/>
      <c r="AC240"/>
      <c r="AD240"/>
      <c r="AE240"/>
      <c r="AF240"/>
      <c r="AG240"/>
      <c r="AH240"/>
      <c r="AI240"/>
      <c r="AJ240"/>
      <c r="AK240"/>
      <c r="AL240" s="48"/>
    </row>
    <row r="241" spans="4:38" s="93" customFormat="1" x14ac:dyDescent="0.3">
      <c r="D241" s="92"/>
      <c r="F241" s="165"/>
      <c r="G241"/>
      <c r="H241"/>
      <c r="I241"/>
      <c r="J241"/>
      <c r="K241"/>
      <c r="L241"/>
      <c r="M241"/>
      <c r="N241"/>
      <c r="O241" s="47"/>
      <c r="P241"/>
      <c r="Q241"/>
      <c r="R241"/>
      <c r="S241"/>
      <c r="T241"/>
      <c r="U241"/>
      <c r="V241"/>
      <c r="W241"/>
      <c r="X241"/>
      <c r="Y241"/>
      <c r="Z241" s="48"/>
      <c r="AA241"/>
      <c r="AB241"/>
      <c r="AC241"/>
      <c r="AD241"/>
      <c r="AE241"/>
      <c r="AF241"/>
      <c r="AG241"/>
      <c r="AH241"/>
      <c r="AI241"/>
      <c r="AJ241"/>
      <c r="AK241"/>
      <c r="AL241" s="48"/>
    </row>
    <row r="242" spans="4:38" s="93" customFormat="1" x14ac:dyDescent="0.3">
      <c r="D242" s="92"/>
      <c r="F242" s="165"/>
      <c r="G242"/>
      <c r="H242"/>
      <c r="I242"/>
      <c r="J242"/>
      <c r="K242"/>
      <c r="L242"/>
      <c r="M242"/>
      <c r="N242"/>
      <c r="O242" s="47"/>
      <c r="P242"/>
      <c r="Q242"/>
      <c r="R242"/>
      <c r="S242"/>
      <c r="T242"/>
      <c r="U242"/>
      <c r="V242"/>
      <c r="W242"/>
      <c r="X242"/>
      <c r="Y242"/>
      <c r="Z242" s="48"/>
      <c r="AA242"/>
      <c r="AB242"/>
      <c r="AC242"/>
      <c r="AD242"/>
      <c r="AE242"/>
      <c r="AF242"/>
      <c r="AG242"/>
      <c r="AH242"/>
      <c r="AI242"/>
      <c r="AJ242"/>
      <c r="AK242"/>
      <c r="AL242" s="48"/>
    </row>
    <row r="243" spans="4:38" s="93" customFormat="1" x14ac:dyDescent="0.3">
      <c r="D243" s="92"/>
      <c r="F243" s="165"/>
      <c r="G243"/>
      <c r="H243"/>
      <c r="I243"/>
      <c r="J243"/>
      <c r="K243"/>
      <c r="L243"/>
      <c r="M243"/>
      <c r="N243"/>
      <c r="O243" s="47"/>
      <c r="P243"/>
      <c r="Q243"/>
      <c r="R243"/>
      <c r="S243"/>
      <c r="T243"/>
      <c r="U243"/>
      <c r="V243"/>
      <c r="W243"/>
      <c r="X243"/>
      <c r="Y243"/>
      <c r="Z243" s="48"/>
      <c r="AA243"/>
      <c r="AB243"/>
      <c r="AC243"/>
      <c r="AD243"/>
      <c r="AE243"/>
      <c r="AF243"/>
      <c r="AG243"/>
      <c r="AH243"/>
      <c r="AI243"/>
      <c r="AJ243"/>
      <c r="AK243"/>
      <c r="AL243" s="48"/>
    </row>
    <row r="244" spans="4:38" s="93" customFormat="1" x14ac:dyDescent="0.3">
      <c r="D244" s="92"/>
      <c r="F244" s="165"/>
      <c r="G244"/>
      <c r="H244"/>
      <c r="I244"/>
      <c r="J244"/>
      <c r="K244"/>
      <c r="L244"/>
      <c r="M244"/>
      <c r="N244"/>
      <c r="O244" s="47"/>
      <c r="P244"/>
      <c r="Q244"/>
      <c r="R244"/>
      <c r="S244"/>
      <c r="T244"/>
      <c r="U244"/>
      <c r="V244"/>
      <c r="W244"/>
      <c r="X244"/>
      <c r="Y244"/>
      <c r="Z244" s="48"/>
      <c r="AA244"/>
      <c r="AB244"/>
      <c r="AC244"/>
      <c r="AD244"/>
      <c r="AE244"/>
      <c r="AF244"/>
      <c r="AG244"/>
      <c r="AH244"/>
      <c r="AI244"/>
      <c r="AJ244"/>
      <c r="AK244"/>
      <c r="AL244" s="48"/>
    </row>
    <row r="245" spans="4:38" s="93" customFormat="1" x14ac:dyDescent="0.3">
      <c r="D245" s="92"/>
      <c r="F245" s="165"/>
      <c r="G245"/>
      <c r="H245"/>
      <c r="I245"/>
      <c r="J245"/>
      <c r="K245"/>
      <c r="L245"/>
      <c r="M245"/>
      <c r="N245"/>
      <c r="O245" s="47"/>
      <c r="P245"/>
      <c r="Q245"/>
      <c r="R245"/>
      <c r="S245"/>
      <c r="T245"/>
      <c r="U245"/>
      <c r="V245"/>
      <c r="W245"/>
      <c r="X245"/>
      <c r="Y245"/>
      <c r="Z245" s="48"/>
      <c r="AA245"/>
      <c r="AB245"/>
      <c r="AC245"/>
      <c r="AD245"/>
      <c r="AE245"/>
      <c r="AF245"/>
      <c r="AG245"/>
      <c r="AH245"/>
      <c r="AI245"/>
      <c r="AJ245"/>
      <c r="AK245"/>
      <c r="AL245" s="48"/>
    </row>
    <row r="246" spans="4:38" s="93" customFormat="1" x14ac:dyDescent="0.3">
      <c r="D246" s="92"/>
      <c r="F246" s="165"/>
      <c r="G246"/>
      <c r="H246"/>
      <c r="I246"/>
      <c r="J246"/>
      <c r="K246"/>
      <c r="L246"/>
      <c r="M246"/>
      <c r="N246"/>
      <c r="O246" s="47"/>
      <c r="P246"/>
      <c r="Q246"/>
      <c r="R246"/>
      <c r="S246"/>
      <c r="T246"/>
      <c r="U246"/>
      <c r="V246"/>
      <c r="W246"/>
      <c r="X246"/>
      <c r="Y246"/>
      <c r="Z246" s="48"/>
      <c r="AA246"/>
      <c r="AB246"/>
      <c r="AC246"/>
      <c r="AD246"/>
      <c r="AE246"/>
      <c r="AF246"/>
      <c r="AG246"/>
      <c r="AH246"/>
      <c r="AI246"/>
      <c r="AJ246"/>
      <c r="AK246"/>
      <c r="AL246" s="48"/>
    </row>
    <row r="247" spans="4:38" s="93" customFormat="1" x14ac:dyDescent="0.3">
      <c r="D247" s="92"/>
      <c r="F247" s="165"/>
      <c r="G247"/>
      <c r="H247"/>
      <c r="I247"/>
      <c r="J247"/>
      <c r="K247"/>
      <c r="L247"/>
      <c r="M247"/>
      <c r="N247"/>
      <c r="O247" s="47"/>
      <c r="P247"/>
      <c r="Q247"/>
      <c r="R247"/>
      <c r="S247"/>
      <c r="T247"/>
      <c r="U247"/>
      <c r="V247"/>
      <c r="W247"/>
      <c r="X247"/>
      <c r="Y247"/>
      <c r="Z247" s="48"/>
      <c r="AA247"/>
      <c r="AB247"/>
      <c r="AC247"/>
      <c r="AD247"/>
      <c r="AE247"/>
      <c r="AF247"/>
      <c r="AG247"/>
      <c r="AH247"/>
      <c r="AI247"/>
      <c r="AJ247"/>
      <c r="AK247"/>
      <c r="AL247" s="48"/>
    </row>
    <row r="248" spans="4:38" s="93" customFormat="1" x14ac:dyDescent="0.3">
      <c r="D248" s="92"/>
      <c r="F248" s="165"/>
      <c r="G248"/>
      <c r="H248"/>
      <c r="I248"/>
      <c r="J248"/>
      <c r="K248"/>
      <c r="L248"/>
      <c r="M248"/>
      <c r="N248"/>
      <c r="O248" s="47"/>
      <c r="P248"/>
      <c r="Q248"/>
      <c r="R248"/>
      <c r="S248"/>
      <c r="T248"/>
      <c r="U248"/>
      <c r="V248"/>
      <c r="W248"/>
      <c r="X248"/>
      <c r="Y248"/>
      <c r="Z248" s="48"/>
      <c r="AA248"/>
      <c r="AB248"/>
      <c r="AC248"/>
      <c r="AD248"/>
      <c r="AE248"/>
      <c r="AF248"/>
      <c r="AG248"/>
      <c r="AH248"/>
      <c r="AI248"/>
      <c r="AJ248"/>
      <c r="AK248"/>
      <c r="AL248" s="48"/>
    </row>
    <row r="249" spans="4:38" x14ac:dyDescent="0.3"/>
    <row r="250" spans="4:38" x14ac:dyDescent="0.3"/>
    <row r="251" spans="4:38" x14ac:dyDescent="0.3"/>
    <row r="252" spans="4:38" x14ac:dyDescent="0.3"/>
    <row r="253" spans="4:38" x14ac:dyDescent="0.3"/>
    <row r="254" spans="4:38" x14ac:dyDescent="0.3"/>
    <row r="255" spans="4:38" x14ac:dyDescent="0.3"/>
    <row r="256" spans="4:38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</sheetData>
  <mergeCells count="2">
    <mergeCell ref="F8:F9"/>
    <mergeCell ref="G8:J9"/>
  </mergeCells>
  <hyperlinks>
    <hyperlink ref="I80" location="'Rebate-Suntory'!I14" display="Rebate (2025: sản lượng dự tính 6000-7000 tấn)" xr:uid="{94B1B279-E32F-44C7-B26A-89A309FC2316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E81-92FA-4DFD-85E7-D907F9B1B0F3}">
  <dimension ref="A1:BD140"/>
  <sheetViews>
    <sheetView showGridLines="0" zoomScaleNormal="100" workbookViewId="0">
      <pane xSplit="5" ySplit="8" topLeftCell="AK99" activePane="bottomRight" state="frozen"/>
      <selection activeCell="AB74" sqref="AB74"/>
      <selection pane="topRight" activeCell="AB74" sqref="AB74"/>
      <selection pane="bottomLeft" activeCell="AB74" sqref="AB74"/>
      <selection pane="bottomRight" activeCell="AT89" sqref="AT89"/>
    </sheetView>
  </sheetViews>
  <sheetFormatPr defaultRowHeight="14.4" zeroHeight="1" outlineLevelRow="1" x14ac:dyDescent="0.3"/>
  <cols>
    <col min="1" max="1" width="9.88671875" style="14" bestFit="1" customWidth="1"/>
    <col min="2" max="2" width="6.109375" customWidth="1"/>
    <col min="3" max="3" width="31.77734375" customWidth="1"/>
    <col min="4" max="4" width="6.77734375" style="9" bestFit="1" customWidth="1"/>
    <col min="5" max="5" width="0.6640625" customWidth="1"/>
    <col min="6" max="17" width="10.109375" bestFit="1" customWidth="1"/>
    <col min="18" max="18" width="11.6640625" bestFit="1" customWidth="1"/>
    <col min="19" max="29" width="10.109375" bestFit="1" customWidth="1"/>
    <col min="30" max="40" width="10.33203125" bestFit="1" customWidth="1"/>
    <col min="41" max="53" width="10.33203125" customWidth="1"/>
    <col min="54" max="54" width="1.33203125" customWidth="1"/>
  </cols>
  <sheetData>
    <row r="1" spans="1:54" s="21" customFormat="1" outlineLevel="1" x14ac:dyDescent="0.3">
      <c r="D1" s="23"/>
      <c r="F1" s="78">
        <f t="shared" ref="F1:Q1" si="0">DATE(F3,F4,1)</f>
        <v>44927</v>
      </c>
      <c r="G1" s="77">
        <f t="shared" si="0"/>
        <v>44958</v>
      </c>
      <c r="H1" s="77">
        <f t="shared" si="0"/>
        <v>44986</v>
      </c>
      <c r="I1" s="77">
        <f t="shared" si="0"/>
        <v>45017</v>
      </c>
      <c r="J1" s="77">
        <f t="shared" si="0"/>
        <v>45047</v>
      </c>
      <c r="K1" s="77">
        <f t="shared" si="0"/>
        <v>45078</v>
      </c>
      <c r="L1" s="77">
        <f t="shared" si="0"/>
        <v>45108</v>
      </c>
      <c r="M1" s="77">
        <f t="shared" si="0"/>
        <v>45139</v>
      </c>
      <c r="N1" s="77">
        <f t="shared" si="0"/>
        <v>45170</v>
      </c>
      <c r="O1" s="77">
        <f t="shared" si="0"/>
        <v>45200</v>
      </c>
      <c r="P1" s="77">
        <f t="shared" si="0"/>
        <v>45231</v>
      </c>
      <c r="Q1" s="77">
        <f t="shared" si="0"/>
        <v>45261</v>
      </c>
      <c r="R1" s="78">
        <f>DATE(R3,R4,1)</f>
        <v>45292</v>
      </c>
      <c r="S1" s="77">
        <f t="shared" ref="S1:AO1" si="1">DATE(S3,S4,1)</f>
        <v>45323</v>
      </c>
      <c r="T1" s="77">
        <f t="shared" si="1"/>
        <v>45352</v>
      </c>
      <c r="U1" s="77">
        <f t="shared" si="1"/>
        <v>45383</v>
      </c>
      <c r="V1" s="77">
        <f t="shared" si="1"/>
        <v>45413</v>
      </c>
      <c r="W1" s="77">
        <f t="shared" si="1"/>
        <v>45444</v>
      </c>
      <c r="X1" s="77">
        <f t="shared" si="1"/>
        <v>45474</v>
      </c>
      <c r="Y1" s="77">
        <f t="shared" si="1"/>
        <v>45505</v>
      </c>
      <c r="Z1" s="77">
        <f t="shared" si="1"/>
        <v>45536</v>
      </c>
      <c r="AA1" s="77">
        <f t="shared" si="1"/>
        <v>45566</v>
      </c>
      <c r="AB1" s="77">
        <f t="shared" si="1"/>
        <v>45597</v>
      </c>
      <c r="AC1" s="79">
        <f t="shared" si="1"/>
        <v>45627</v>
      </c>
      <c r="AD1" s="77">
        <f t="shared" si="1"/>
        <v>45658</v>
      </c>
      <c r="AE1" s="77">
        <f t="shared" si="1"/>
        <v>45689</v>
      </c>
      <c r="AF1" s="77">
        <f t="shared" si="1"/>
        <v>45717</v>
      </c>
      <c r="AG1" s="77">
        <f t="shared" si="1"/>
        <v>45748</v>
      </c>
      <c r="AH1" s="77">
        <f t="shared" si="1"/>
        <v>45778</v>
      </c>
      <c r="AI1" s="77">
        <f t="shared" si="1"/>
        <v>45809</v>
      </c>
      <c r="AJ1" s="77">
        <f t="shared" si="1"/>
        <v>45839</v>
      </c>
      <c r="AK1" s="77">
        <f t="shared" si="1"/>
        <v>45870</v>
      </c>
      <c r="AL1" s="77">
        <f t="shared" si="1"/>
        <v>45901</v>
      </c>
      <c r="AM1" s="77">
        <f t="shared" si="1"/>
        <v>45931</v>
      </c>
      <c r="AN1" s="77">
        <f t="shared" si="1"/>
        <v>45962</v>
      </c>
      <c r="AO1" s="79">
        <f t="shared" si="1"/>
        <v>45992</v>
      </c>
      <c r="AP1" s="77">
        <f t="shared" ref="AP1:BA1" si="2">DATE(AP3,AP4,1)</f>
        <v>46023</v>
      </c>
      <c r="AQ1" s="77">
        <f t="shared" si="2"/>
        <v>46054</v>
      </c>
      <c r="AR1" s="77">
        <f t="shared" si="2"/>
        <v>46082</v>
      </c>
      <c r="AS1" s="77">
        <f t="shared" si="2"/>
        <v>46113</v>
      </c>
      <c r="AT1" s="77">
        <f t="shared" si="2"/>
        <v>46143</v>
      </c>
      <c r="AU1" s="77">
        <f t="shared" si="2"/>
        <v>46174</v>
      </c>
      <c r="AV1" s="77">
        <f t="shared" si="2"/>
        <v>46204</v>
      </c>
      <c r="AW1" s="77">
        <f t="shared" si="2"/>
        <v>46235</v>
      </c>
      <c r="AX1" s="77">
        <f t="shared" si="2"/>
        <v>46266</v>
      </c>
      <c r="AY1" s="77">
        <f t="shared" si="2"/>
        <v>46296</v>
      </c>
      <c r="AZ1" s="77">
        <f t="shared" si="2"/>
        <v>46327</v>
      </c>
      <c r="BA1" s="79">
        <f t="shared" si="2"/>
        <v>46357</v>
      </c>
      <c r="BB1" s="24"/>
    </row>
    <row r="2" spans="1:54" s="21" customFormat="1" outlineLevel="1" x14ac:dyDescent="0.3">
      <c r="D2" s="23"/>
      <c r="F2" s="78">
        <f t="shared" ref="F2:Q2" si="3">EOMONTH(F1,0)</f>
        <v>44957</v>
      </c>
      <c r="G2" s="77">
        <f t="shared" si="3"/>
        <v>44985</v>
      </c>
      <c r="H2" s="77">
        <f t="shared" si="3"/>
        <v>45016</v>
      </c>
      <c r="I2" s="77">
        <f t="shared" si="3"/>
        <v>45046</v>
      </c>
      <c r="J2" s="77">
        <f t="shared" si="3"/>
        <v>45077</v>
      </c>
      <c r="K2" s="77">
        <f t="shared" si="3"/>
        <v>45107</v>
      </c>
      <c r="L2" s="77">
        <f t="shared" si="3"/>
        <v>45138</v>
      </c>
      <c r="M2" s="77">
        <f t="shared" si="3"/>
        <v>45169</v>
      </c>
      <c r="N2" s="77">
        <f t="shared" si="3"/>
        <v>45199</v>
      </c>
      <c r="O2" s="77">
        <f t="shared" si="3"/>
        <v>45230</v>
      </c>
      <c r="P2" s="77">
        <f t="shared" si="3"/>
        <v>45260</v>
      </c>
      <c r="Q2" s="77">
        <f t="shared" si="3"/>
        <v>45291</v>
      </c>
      <c r="R2" s="78">
        <f>EOMONTH(R1,0)</f>
        <v>45322</v>
      </c>
      <c r="S2" s="77">
        <f t="shared" ref="S2:AO2" si="4">EOMONTH(S1,0)</f>
        <v>45351</v>
      </c>
      <c r="T2" s="77">
        <f t="shared" si="4"/>
        <v>45382</v>
      </c>
      <c r="U2" s="77">
        <f t="shared" si="4"/>
        <v>45412</v>
      </c>
      <c r="V2" s="77">
        <f t="shared" si="4"/>
        <v>45443</v>
      </c>
      <c r="W2" s="77">
        <f t="shared" si="4"/>
        <v>45473</v>
      </c>
      <c r="X2" s="77">
        <f t="shared" si="4"/>
        <v>45504</v>
      </c>
      <c r="Y2" s="77">
        <f t="shared" si="4"/>
        <v>45535</v>
      </c>
      <c r="Z2" s="77">
        <f t="shared" si="4"/>
        <v>45565</v>
      </c>
      <c r="AA2" s="77">
        <f t="shared" si="4"/>
        <v>45596</v>
      </c>
      <c r="AB2" s="77">
        <f t="shared" si="4"/>
        <v>45626</v>
      </c>
      <c r="AC2" s="79">
        <f t="shared" si="4"/>
        <v>45657</v>
      </c>
      <c r="AD2" s="77">
        <f t="shared" si="4"/>
        <v>45688</v>
      </c>
      <c r="AE2" s="77">
        <f t="shared" si="4"/>
        <v>45716</v>
      </c>
      <c r="AF2" s="77">
        <f t="shared" si="4"/>
        <v>45747</v>
      </c>
      <c r="AG2" s="77">
        <f t="shared" si="4"/>
        <v>45777</v>
      </c>
      <c r="AH2" s="77">
        <f t="shared" si="4"/>
        <v>45808</v>
      </c>
      <c r="AI2" s="77">
        <f t="shared" si="4"/>
        <v>45838</v>
      </c>
      <c r="AJ2" s="77">
        <f t="shared" si="4"/>
        <v>45869</v>
      </c>
      <c r="AK2" s="77">
        <f t="shared" si="4"/>
        <v>45900</v>
      </c>
      <c r="AL2" s="77">
        <f t="shared" si="4"/>
        <v>45930</v>
      </c>
      <c r="AM2" s="77">
        <f t="shared" si="4"/>
        <v>45961</v>
      </c>
      <c r="AN2" s="77">
        <f t="shared" si="4"/>
        <v>45991</v>
      </c>
      <c r="AO2" s="79">
        <f t="shared" si="4"/>
        <v>46022</v>
      </c>
      <c r="AP2" s="77">
        <f t="shared" ref="AP2:BA2" si="5">EOMONTH(AP1,0)</f>
        <v>46053</v>
      </c>
      <c r="AQ2" s="77">
        <f t="shared" si="5"/>
        <v>46081</v>
      </c>
      <c r="AR2" s="77">
        <f t="shared" si="5"/>
        <v>46112</v>
      </c>
      <c r="AS2" s="77">
        <f t="shared" si="5"/>
        <v>46142</v>
      </c>
      <c r="AT2" s="77">
        <f t="shared" si="5"/>
        <v>46173</v>
      </c>
      <c r="AU2" s="77">
        <f t="shared" si="5"/>
        <v>46203</v>
      </c>
      <c r="AV2" s="77">
        <f t="shared" si="5"/>
        <v>46234</v>
      </c>
      <c r="AW2" s="77">
        <f t="shared" si="5"/>
        <v>46265</v>
      </c>
      <c r="AX2" s="77">
        <f t="shared" si="5"/>
        <v>46295</v>
      </c>
      <c r="AY2" s="77">
        <f t="shared" si="5"/>
        <v>46326</v>
      </c>
      <c r="AZ2" s="77">
        <f t="shared" si="5"/>
        <v>46356</v>
      </c>
      <c r="BA2" s="79">
        <f t="shared" si="5"/>
        <v>46387</v>
      </c>
      <c r="BB2" s="24"/>
    </row>
    <row r="3" spans="1:54" s="21" customFormat="1" outlineLevel="1" x14ac:dyDescent="0.3">
      <c r="D3" s="23"/>
      <c r="F3" s="75">
        <v>2023</v>
      </c>
      <c r="G3" s="74">
        <v>2023</v>
      </c>
      <c r="H3" s="74">
        <v>2023</v>
      </c>
      <c r="I3" s="74">
        <v>2023</v>
      </c>
      <c r="J3" s="74">
        <v>2023</v>
      </c>
      <c r="K3" s="74">
        <v>2023</v>
      </c>
      <c r="L3" s="74">
        <v>2023</v>
      </c>
      <c r="M3" s="74">
        <v>2023</v>
      </c>
      <c r="N3" s="74">
        <v>2023</v>
      </c>
      <c r="O3" s="74">
        <v>2023</v>
      </c>
      <c r="P3" s="74">
        <v>2023</v>
      </c>
      <c r="Q3" s="74">
        <v>2023</v>
      </c>
      <c r="R3" s="75">
        <v>2024</v>
      </c>
      <c r="S3" s="74">
        <v>2024</v>
      </c>
      <c r="T3" s="74">
        <v>2024</v>
      </c>
      <c r="U3" s="74">
        <v>2024</v>
      </c>
      <c r="V3" s="74">
        <v>2024</v>
      </c>
      <c r="W3" s="74">
        <v>2024</v>
      </c>
      <c r="X3" s="74">
        <v>2024</v>
      </c>
      <c r="Y3" s="74">
        <v>2024</v>
      </c>
      <c r="Z3" s="74">
        <v>2024</v>
      </c>
      <c r="AA3" s="74">
        <v>2024</v>
      </c>
      <c r="AB3" s="74">
        <v>2024</v>
      </c>
      <c r="AC3" s="76">
        <v>2024</v>
      </c>
      <c r="AD3" s="74">
        <v>2025</v>
      </c>
      <c r="AE3" s="74">
        <v>2025</v>
      </c>
      <c r="AF3" s="74">
        <v>2025</v>
      </c>
      <c r="AG3" s="74">
        <v>2025</v>
      </c>
      <c r="AH3" s="74">
        <v>2025</v>
      </c>
      <c r="AI3" s="74">
        <v>2025</v>
      </c>
      <c r="AJ3" s="74">
        <v>2025</v>
      </c>
      <c r="AK3" s="74">
        <v>2025</v>
      </c>
      <c r="AL3" s="74">
        <v>2025</v>
      </c>
      <c r="AM3" s="74">
        <v>2025</v>
      </c>
      <c r="AN3" s="74">
        <v>2025</v>
      </c>
      <c r="AO3" s="76">
        <v>2025</v>
      </c>
      <c r="AP3" s="74">
        <v>2026</v>
      </c>
      <c r="AQ3" s="74">
        <v>2026</v>
      </c>
      <c r="AR3" s="74">
        <v>2026</v>
      </c>
      <c r="AS3" s="74">
        <v>2026</v>
      </c>
      <c r="AT3" s="74">
        <v>2026</v>
      </c>
      <c r="AU3" s="74">
        <v>2026</v>
      </c>
      <c r="AV3" s="74">
        <v>2026</v>
      </c>
      <c r="AW3" s="74">
        <v>2026</v>
      </c>
      <c r="AX3" s="74">
        <v>2026</v>
      </c>
      <c r="AY3" s="74">
        <v>2026</v>
      </c>
      <c r="AZ3" s="74">
        <v>2026</v>
      </c>
      <c r="BA3" s="76">
        <v>2026</v>
      </c>
      <c r="BB3" s="24"/>
    </row>
    <row r="4" spans="1:54" s="21" customFormat="1" outlineLevel="1" x14ac:dyDescent="0.3">
      <c r="D4" s="23"/>
      <c r="F4" s="75">
        <v>1</v>
      </c>
      <c r="G4" s="74">
        <v>2</v>
      </c>
      <c r="H4" s="74">
        <v>3</v>
      </c>
      <c r="I4" s="74">
        <v>4</v>
      </c>
      <c r="J4" s="74">
        <v>5</v>
      </c>
      <c r="K4" s="74">
        <v>6</v>
      </c>
      <c r="L4" s="74">
        <v>7</v>
      </c>
      <c r="M4" s="74">
        <v>8</v>
      </c>
      <c r="N4" s="74">
        <v>9</v>
      </c>
      <c r="O4" s="74">
        <v>10</v>
      </c>
      <c r="P4" s="74">
        <v>11</v>
      </c>
      <c r="Q4" s="74">
        <v>12</v>
      </c>
      <c r="R4" s="75">
        <v>1</v>
      </c>
      <c r="S4" s="74">
        <v>2</v>
      </c>
      <c r="T4" s="74">
        <v>3</v>
      </c>
      <c r="U4" s="74">
        <v>4</v>
      </c>
      <c r="V4" s="74">
        <v>5</v>
      </c>
      <c r="W4" s="74">
        <v>6</v>
      </c>
      <c r="X4" s="74">
        <v>7</v>
      </c>
      <c r="Y4" s="74">
        <v>8</v>
      </c>
      <c r="Z4" s="74">
        <v>9</v>
      </c>
      <c r="AA4" s="74">
        <v>10</v>
      </c>
      <c r="AB4" s="74">
        <v>11</v>
      </c>
      <c r="AC4" s="76">
        <v>12</v>
      </c>
      <c r="AD4" s="74">
        <v>1</v>
      </c>
      <c r="AE4" s="74">
        <v>2</v>
      </c>
      <c r="AF4" s="74">
        <v>3</v>
      </c>
      <c r="AG4" s="74">
        <v>4</v>
      </c>
      <c r="AH4" s="74">
        <v>5</v>
      </c>
      <c r="AI4" s="74">
        <v>6</v>
      </c>
      <c r="AJ4" s="74">
        <v>7</v>
      </c>
      <c r="AK4" s="74">
        <v>8</v>
      </c>
      <c r="AL4" s="74">
        <v>9</v>
      </c>
      <c r="AM4" s="74">
        <v>10</v>
      </c>
      <c r="AN4" s="74">
        <v>11</v>
      </c>
      <c r="AO4" s="76">
        <v>12</v>
      </c>
      <c r="AP4" s="74">
        <v>1</v>
      </c>
      <c r="AQ4" s="74">
        <v>2</v>
      </c>
      <c r="AR4" s="74">
        <v>3</v>
      </c>
      <c r="AS4" s="74">
        <v>4</v>
      </c>
      <c r="AT4" s="74">
        <v>5</v>
      </c>
      <c r="AU4" s="74">
        <v>6</v>
      </c>
      <c r="AV4" s="74">
        <v>7</v>
      </c>
      <c r="AW4" s="74">
        <v>8</v>
      </c>
      <c r="AX4" s="74">
        <v>9</v>
      </c>
      <c r="AY4" s="74">
        <v>10</v>
      </c>
      <c r="AZ4" s="74">
        <v>11</v>
      </c>
      <c r="BA4" s="76">
        <v>12</v>
      </c>
      <c r="BB4" s="24"/>
    </row>
    <row r="5" spans="1:54" x14ac:dyDescent="0.3">
      <c r="F5" s="47"/>
      <c r="R5" s="47"/>
      <c r="AC5" s="48"/>
      <c r="AO5" s="48"/>
      <c r="BA5" s="48"/>
      <c r="BB5" s="22"/>
    </row>
    <row r="6" spans="1:54" s="2" customFormat="1" x14ac:dyDescent="0.3">
      <c r="A6" s="13"/>
      <c r="B6" s="601" t="s">
        <v>0</v>
      </c>
      <c r="C6" s="601" t="s">
        <v>65</v>
      </c>
      <c r="D6" s="602" t="s">
        <v>66</v>
      </c>
      <c r="F6" s="45">
        <v>2023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60">
        <v>2024</v>
      </c>
      <c r="S6" s="3"/>
      <c r="T6" s="3"/>
      <c r="U6" s="3"/>
      <c r="V6" s="3"/>
      <c r="W6" s="3"/>
      <c r="X6" s="3"/>
      <c r="Y6" s="3"/>
      <c r="Z6" s="3"/>
      <c r="AA6" s="3"/>
      <c r="AB6" s="3"/>
      <c r="AC6" s="61"/>
      <c r="AD6" s="4">
        <v>2025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70"/>
      <c r="AP6" s="447">
        <v>2026</v>
      </c>
      <c r="AQ6" s="447"/>
      <c r="AR6" s="447"/>
      <c r="AS6" s="447"/>
      <c r="AT6" s="447"/>
      <c r="AU6" s="447"/>
      <c r="AV6" s="447"/>
      <c r="AW6" s="447"/>
      <c r="AX6" s="447"/>
      <c r="AY6" s="447"/>
      <c r="AZ6" s="447"/>
      <c r="BA6" s="469"/>
      <c r="BB6" s="25"/>
    </row>
    <row r="7" spans="1:54" s="2" customFormat="1" x14ac:dyDescent="0.3">
      <c r="A7" s="13"/>
      <c r="B7" s="601"/>
      <c r="C7" s="601"/>
      <c r="D7" s="602"/>
      <c r="F7" s="46">
        <v>1</v>
      </c>
      <c r="G7" s="37">
        <v>2</v>
      </c>
      <c r="H7" s="37">
        <v>3</v>
      </c>
      <c r="I7" s="37">
        <v>4</v>
      </c>
      <c r="J7" s="37">
        <v>5</v>
      </c>
      <c r="K7" s="37">
        <v>6</v>
      </c>
      <c r="L7" s="37">
        <v>7</v>
      </c>
      <c r="M7" s="37">
        <v>8</v>
      </c>
      <c r="N7" s="37">
        <v>9</v>
      </c>
      <c r="O7" s="37">
        <v>10</v>
      </c>
      <c r="P7" s="37">
        <v>11</v>
      </c>
      <c r="Q7" s="37">
        <v>12</v>
      </c>
      <c r="R7" s="62">
        <v>1</v>
      </c>
      <c r="S7" s="5">
        <v>2</v>
      </c>
      <c r="T7" s="5">
        <v>3</v>
      </c>
      <c r="U7" s="5">
        <v>4</v>
      </c>
      <c r="V7" s="5">
        <v>5</v>
      </c>
      <c r="W7" s="5">
        <v>6</v>
      </c>
      <c r="X7" s="5">
        <v>7</v>
      </c>
      <c r="Y7" s="5">
        <v>8</v>
      </c>
      <c r="Z7" s="5">
        <v>9</v>
      </c>
      <c r="AA7" s="5">
        <v>10</v>
      </c>
      <c r="AB7" s="5">
        <v>11</v>
      </c>
      <c r="AC7" s="63">
        <v>12</v>
      </c>
      <c r="AD7" s="6">
        <v>1</v>
      </c>
      <c r="AE7" s="6">
        <v>2</v>
      </c>
      <c r="AF7" s="6">
        <v>3</v>
      </c>
      <c r="AG7" s="6">
        <v>4</v>
      </c>
      <c r="AH7" s="6">
        <v>5</v>
      </c>
      <c r="AI7" s="6">
        <v>6</v>
      </c>
      <c r="AJ7" s="6">
        <v>7</v>
      </c>
      <c r="AK7" s="6">
        <v>8</v>
      </c>
      <c r="AL7" s="6">
        <v>9</v>
      </c>
      <c r="AM7" s="6">
        <v>10</v>
      </c>
      <c r="AN7" s="6">
        <v>11</v>
      </c>
      <c r="AO7" s="71">
        <v>12</v>
      </c>
      <c r="AP7" s="448">
        <v>1</v>
      </c>
      <c r="AQ7" s="449">
        <v>2</v>
      </c>
      <c r="AR7" s="449">
        <v>3</v>
      </c>
      <c r="AS7" s="449">
        <v>4</v>
      </c>
      <c r="AT7" s="449">
        <v>5</v>
      </c>
      <c r="AU7" s="449">
        <v>6</v>
      </c>
      <c r="AV7" s="449">
        <v>7</v>
      </c>
      <c r="AW7" s="449">
        <v>8</v>
      </c>
      <c r="AX7" s="449">
        <v>9</v>
      </c>
      <c r="AY7" s="449">
        <v>10</v>
      </c>
      <c r="AZ7" s="449">
        <v>11</v>
      </c>
      <c r="BA7" s="470">
        <v>12</v>
      </c>
      <c r="BB7" s="25"/>
    </row>
    <row r="8" spans="1:54" ht="3.75" customHeight="1" x14ac:dyDescent="0.3">
      <c r="F8" s="47"/>
      <c r="Q8" s="48"/>
      <c r="R8" s="47"/>
      <c r="AC8" s="48"/>
      <c r="AD8" s="47"/>
      <c r="AO8" s="48"/>
      <c r="BA8" s="48"/>
    </row>
    <row r="9" spans="1:54" x14ac:dyDescent="0.3">
      <c r="A9" s="15" t="s">
        <v>67</v>
      </c>
      <c r="B9" s="8"/>
      <c r="C9" s="8" t="s">
        <v>68</v>
      </c>
      <c r="D9" s="10" t="s">
        <v>69</v>
      </c>
      <c r="F9" s="101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3"/>
      <c r="R9" s="101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3"/>
      <c r="AD9" s="101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3"/>
      <c r="AP9" s="101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3"/>
      <c r="BB9" s="22"/>
    </row>
    <row r="10" spans="1:54" x14ac:dyDescent="0.3">
      <c r="A10" s="15" t="s">
        <v>70</v>
      </c>
      <c r="B10" s="8"/>
      <c r="C10" s="8" t="s">
        <v>71</v>
      </c>
      <c r="D10" s="10" t="s">
        <v>69</v>
      </c>
      <c r="F10" s="101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3"/>
      <c r="R10" s="101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3"/>
      <c r="AD10" s="101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3"/>
      <c r="AP10" s="101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3"/>
      <c r="BB10" s="22"/>
    </row>
    <row r="11" spans="1:54" x14ac:dyDescent="0.3">
      <c r="A11" s="15" t="s">
        <v>72</v>
      </c>
      <c r="B11" s="8"/>
      <c r="C11" s="8" t="s">
        <v>73</v>
      </c>
      <c r="D11" s="10" t="s">
        <v>69</v>
      </c>
      <c r="F11" s="101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3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3"/>
      <c r="AD11" s="101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3"/>
      <c r="AP11" s="101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3"/>
      <c r="BB11" s="22"/>
    </row>
    <row r="12" spans="1:54" x14ac:dyDescent="0.3">
      <c r="A12" s="15" t="s">
        <v>43</v>
      </c>
      <c r="B12" s="8"/>
      <c r="C12" s="8" t="s">
        <v>74</v>
      </c>
      <c r="D12" s="10" t="s">
        <v>69</v>
      </c>
      <c r="F12" s="101"/>
      <c r="G12" s="102"/>
      <c r="H12" s="102"/>
      <c r="I12" s="102"/>
      <c r="J12" s="102"/>
      <c r="K12" s="102"/>
      <c r="L12" s="102"/>
      <c r="M12" s="102"/>
      <c r="N12" s="102"/>
      <c r="O12" s="102">
        <v>1288.125</v>
      </c>
      <c r="P12" s="102">
        <v>1300</v>
      </c>
      <c r="Q12" s="103">
        <v>1300</v>
      </c>
      <c r="R12" s="101">
        <v>1315</v>
      </c>
      <c r="S12" s="102">
        <v>1325</v>
      </c>
      <c r="T12" s="102">
        <v>1320</v>
      </c>
      <c r="U12" s="102">
        <v>1333</v>
      </c>
      <c r="V12" s="102">
        <v>1350</v>
      </c>
      <c r="W12" s="102">
        <v>1365</v>
      </c>
      <c r="X12" s="102">
        <v>1372</v>
      </c>
      <c r="Y12" s="102">
        <v>1405</v>
      </c>
      <c r="Z12" s="102">
        <v>1427.5</v>
      </c>
      <c r="AA12" s="102">
        <v>1440</v>
      </c>
      <c r="AB12" s="102">
        <v>1435</v>
      </c>
      <c r="AC12" s="103">
        <v>1421.25</v>
      </c>
      <c r="AD12" s="101">
        <v>1358.3333333333301</v>
      </c>
      <c r="AE12" s="102">
        <v>1350</v>
      </c>
      <c r="AF12" s="102">
        <v>1360</v>
      </c>
      <c r="AG12" s="102">
        <v>1360</v>
      </c>
      <c r="AH12" s="102">
        <v>1360</v>
      </c>
      <c r="AI12" s="102">
        <v>1360</v>
      </c>
      <c r="AJ12" s="102">
        <v>1324</v>
      </c>
      <c r="AK12" s="102">
        <v>1295</v>
      </c>
      <c r="AL12" s="102">
        <v>1268</v>
      </c>
      <c r="AM12" s="102">
        <v>1250</v>
      </c>
      <c r="AN12" s="102">
        <v>1243.75</v>
      </c>
      <c r="AO12" s="103">
        <v>1193.75</v>
      </c>
      <c r="AP12" s="101">
        <v>1150</v>
      </c>
      <c r="AQ12" s="102">
        <v>1161.25</v>
      </c>
      <c r="AR12" s="102">
        <v>1236</v>
      </c>
      <c r="AS12" s="102">
        <v>1317.5</v>
      </c>
      <c r="AT12" s="102">
        <v>1358.75</v>
      </c>
      <c r="AU12" s="102"/>
      <c r="AV12" s="102"/>
      <c r="AW12" s="102"/>
      <c r="AX12" s="102"/>
      <c r="AY12" s="102"/>
      <c r="AZ12" s="102"/>
      <c r="BA12" s="103"/>
      <c r="BB12" s="22"/>
    </row>
    <row r="13" spans="1:54" x14ac:dyDescent="0.3">
      <c r="A13" s="15" t="s">
        <v>75</v>
      </c>
      <c r="B13" s="8"/>
      <c r="C13" s="8" t="s">
        <v>76</v>
      </c>
      <c r="D13" s="10" t="s">
        <v>69</v>
      </c>
      <c r="F13" s="101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3"/>
      <c r="R13" s="101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3"/>
      <c r="AD13" s="101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3"/>
      <c r="AP13" s="101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3"/>
      <c r="BB13" s="22"/>
    </row>
    <row r="14" spans="1:54" x14ac:dyDescent="0.3">
      <c r="A14" s="15" t="s">
        <v>77</v>
      </c>
      <c r="B14" s="8"/>
      <c r="C14" s="8" t="s">
        <v>78</v>
      </c>
      <c r="D14" s="10" t="s">
        <v>69</v>
      </c>
      <c r="F14" s="101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3"/>
      <c r="R14" s="101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3"/>
      <c r="AD14" s="101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3"/>
      <c r="AP14" s="101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3"/>
      <c r="BB14" s="22"/>
    </row>
    <row r="15" spans="1:54" x14ac:dyDescent="0.3">
      <c r="A15" s="16"/>
      <c r="B15" s="8"/>
      <c r="C15" s="8"/>
      <c r="D15" s="10"/>
      <c r="F15" s="49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50"/>
      <c r="R15" s="49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50"/>
      <c r="AD15" s="49"/>
      <c r="AE15" s="33"/>
      <c r="AF15" s="33"/>
      <c r="AG15" s="33"/>
      <c r="AH15" s="33"/>
      <c r="AI15" s="33"/>
      <c r="AJ15" s="33"/>
      <c r="AK15" s="33"/>
      <c r="AL15" s="33"/>
      <c r="AM15" s="33"/>
      <c r="AN15" s="444"/>
      <c r="AO15" s="50"/>
      <c r="AP15" s="49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50"/>
      <c r="BB15" s="22"/>
    </row>
    <row r="16" spans="1:54" x14ac:dyDescent="0.3">
      <c r="A16" s="16" t="s">
        <v>79</v>
      </c>
      <c r="B16" s="8"/>
      <c r="C16" s="8" t="s">
        <v>409</v>
      </c>
      <c r="D16" s="10" t="s">
        <v>80</v>
      </c>
      <c r="F16" s="49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50"/>
      <c r="R16" s="49">
        <f>R17*R27/10^3</f>
        <v>11519.207700000001</v>
      </c>
      <c r="S16" s="33">
        <f t="shared" ref="S16:AU16" si="6">S17*S27/10^3</f>
        <v>12049.971299999999</v>
      </c>
      <c r="T16" s="33">
        <f t="shared" si="6"/>
        <v>12135.065000000001</v>
      </c>
      <c r="U16" s="33">
        <f t="shared" si="6"/>
        <v>12874.966200000001</v>
      </c>
      <c r="V16" s="33">
        <f t="shared" si="6"/>
        <v>14118.16</v>
      </c>
      <c r="W16" s="33">
        <f t="shared" si="6"/>
        <v>14219.922500000001</v>
      </c>
      <c r="X16" s="33">
        <f t="shared" si="6"/>
        <v>14288.335200000001</v>
      </c>
      <c r="Y16" s="33">
        <f t="shared" si="6"/>
        <v>14406.2016</v>
      </c>
      <c r="Z16" s="33">
        <f t="shared" si="6"/>
        <v>14726.726000000001</v>
      </c>
      <c r="AA16" s="33">
        <f t="shared" si="6"/>
        <v>15801.072</v>
      </c>
      <c r="AB16" s="33">
        <f t="shared" si="6"/>
        <v>15874.719000000001</v>
      </c>
      <c r="AC16" s="50">
        <f t="shared" si="6"/>
        <v>15453.933399999998</v>
      </c>
      <c r="AD16" s="49">
        <f t="shared" si="6"/>
        <v>14767.103999999998</v>
      </c>
      <c r="AE16" s="33">
        <f t="shared" si="6"/>
        <v>15008.563200000001</v>
      </c>
      <c r="AF16" s="33">
        <f t="shared" si="6"/>
        <v>15097.843200000001</v>
      </c>
      <c r="AG16" s="33">
        <f t="shared" si="6"/>
        <v>14948.187399999999</v>
      </c>
      <c r="AH16" s="33">
        <f t="shared" si="6"/>
        <v>14881.947600000001</v>
      </c>
      <c r="AI16" s="33">
        <f t="shared" si="6"/>
        <v>14984.279100000002</v>
      </c>
      <c r="AJ16" s="33">
        <f t="shared" si="6"/>
        <v>14413.35</v>
      </c>
      <c r="AK16" s="33">
        <f t="shared" si="6"/>
        <v>13640.905200000001</v>
      </c>
      <c r="AL16" s="444">
        <f t="shared" si="6"/>
        <v>13012.5466</v>
      </c>
      <c r="AM16" s="444">
        <f t="shared" si="6"/>
        <v>12108.376</v>
      </c>
      <c r="AN16" s="444">
        <f t="shared" si="6"/>
        <v>11596.1945</v>
      </c>
      <c r="AO16" s="471">
        <f>AO17*AO27/10^3</f>
        <v>11481.522000000001</v>
      </c>
      <c r="AP16" s="49">
        <f t="shared" si="6"/>
        <v>11736.227999999999</v>
      </c>
      <c r="AQ16" s="33">
        <f t="shared" si="6"/>
        <v>11799.2546</v>
      </c>
      <c r="AR16" s="33">
        <f t="shared" si="6"/>
        <v>12396.7605</v>
      </c>
      <c r="AS16" s="33">
        <f t="shared" si="6"/>
        <v>14314.139500000001</v>
      </c>
      <c r="AT16" s="33">
        <f t="shared" si="6"/>
        <v>14291.711599999999</v>
      </c>
      <c r="AU16" s="33">
        <f t="shared" si="6"/>
        <v>14291.711599999999</v>
      </c>
      <c r="AV16" s="33"/>
      <c r="AW16" s="33"/>
      <c r="AX16" s="33"/>
      <c r="AY16" s="33"/>
      <c r="AZ16" s="33"/>
      <c r="BA16" s="50"/>
      <c r="BB16" s="22"/>
    </row>
    <row r="17" spans="1:54" x14ac:dyDescent="0.3">
      <c r="A17" s="16" t="s">
        <v>81</v>
      </c>
      <c r="B17" s="8"/>
      <c r="C17" s="8" t="s">
        <v>410</v>
      </c>
      <c r="D17" s="10" t="s">
        <v>69</v>
      </c>
      <c r="F17" s="10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3"/>
      <c r="R17" s="101">
        <v>474.1</v>
      </c>
      <c r="S17" s="102">
        <v>495.7</v>
      </c>
      <c r="T17" s="102">
        <v>494.3</v>
      </c>
      <c r="U17" s="102">
        <v>515.70000000000005</v>
      </c>
      <c r="V17" s="102">
        <v>560</v>
      </c>
      <c r="W17" s="102">
        <v>563.5</v>
      </c>
      <c r="X17" s="102">
        <v>567.20000000000005</v>
      </c>
      <c r="Y17" s="102">
        <v>579.4</v>
      </c>
      <c r="Z17" s="102">
        <v>602</v>
      </c>
      <c r="AA17" s="102">
        <v>635.5</v>
      </c>
      <c r="AB17" s="102">
        <v>630.70000000000005</v>
      </c>
      <c r="AC17" s="103">
        <v>613.29999999999995</v>
      </c>
      <c r="AD17" s="101">
        <v>588.79999999999995</v>
      </c>
      <c r="AE17" s="102">
        <v>595.20000000000005</v>
      </c>
      <c r="AF17" s="102">
        <v>595.20000000000005</v>
      </c>
      <c r="AG17" s="102">
        <v>581.79999999999995</v>
      </c>
      <c r="AH17" s="102">
        <v>577.20000000000005</v>
      </c>
      <c r="AI17" s="102">
        <v>578.70000000000005</v>
      </c>
      <c r="AJ17" s="102">
        <v>555</v>
      </c>
      <c r="AK17" s="102">
        <v>522.6</v>
      </c>
      <c r="AL17" s="445">
        <v>496.7</v>
      </c>
      <c r="AM17" s="445">
        <v>463</v>
      </c>
      <c r="AN17" s="445">
        <v>443.5</v>
      </c>
      <c r="AO17" s="478">
        <v>439.4</v>
      </c>
      <c r="AP17" s="101">
        <v>450.7</v>
      </c>
      <c r="AQ17" s="102">
        <v>457.3</v>
      </c>
      <c r="AR17" s="102">
        <v>475.5</v>
      </c>
      <c r="AS17" s="102">
        <v>547.70000000000005</v>
      </c>
      <c r="AT17" s="102">
        <v>546.79999999999995</v>
      </c>
      <c r="AU17" s="476">
        <v>546.79999999999995</v>
      </c>
      <c r="AV17" s="102"/>
      <c r="AW17" s="102"/>
      <c r="AX17" s="102"/>
      <c r="AY17" s="102"/>
      <c r="AZ17" s="102"/>
      <c r="BA17" s="103"/>
      <c r="BB17" s="22"/>
    </row>
    <row r="18" spans="1:54" x14ac:dyDescent="0.3">
      <c r="A18" s="16"/>
      <c r="B18" s="8"/>
      <c r="C18" s="8"/>
      <c r="D18" s="10"/>
      <c r="F18" s="49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50"/>
      <c r="R18" s="49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50"/>
      <c r="AD18" s="49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50"/>
      <c r="AP18" s="49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50"/>
      <c r="BB18" s="22"/>
    </row>
    <row r="19" spans="1:54" x14ac:dyDescent="0.3">
      <c r="A19" s="16"/>
      <c r="B19" s="8"/>
      <c r="C19" s="8" t="s">
        <v>508</v>
      </c>
      <c r="D19" s="10" t="s">
        <v>80</v>
      </c>
      <c r="F19" s="49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50"/>
      <c r="R19" s="49">
        <v>11037.14323459311</v>
      </c>
      <c r="S19" s="33">
        <v>11020.853467354715</v>
      </c>
      <c r="T19" s="33">
        <v>11214.841336071853</v>
      </c>
      <c r="U19" s="33">
        <v>12186.078001780124</v>
      </c>
      <c r="V19" s="33">
        <v>12797.389211698077</v>
      </c>
      <c r="W19" s="33">
        <v>12681.898483455678</v>
      </c>
      <c r="X19" s="33">
        <v>11321.884220927459</v>
      </c>
      <c r="Y19" s="33">
        <v>11447.006408825935</v>
      </c>
      <c r="Z19" s="33">
        <v>11654.137229035357</v>
      </c>
      <c r="AA19" s="33">
        <v>11518.170300167563</v>
      </c>
      <c r="AB19" s="33">
        <v>12011.496816804181</v>
      </c>
      <c r="AC19" s="50">
        <v>11852.302366959106</v>
      </c>
      <c r="AD19" s="49">
        <v>12060.749044568583</v>
      </c>
      <c r="AE19" s="33">
        <v>12125.30520627686</v>
      </c>
      <c r="AF19" s="33">
        <v>12519.735678207491</v>
      </c>
      <c r="AG19" s="33">
        <v>13075.123142406088</v>
      </c>
      <c r="AH19" s="33">
        <v>12848.71613254449</v>
      </c>
      <c r="AI19" s="33">
        <v>13370.127303138097</v>
      </c>
      <c r="AJ19" s="33">
        <v>13565.086207572547</v>
      </c>
      <c r="AK19" s="33">
        <v>12327.305958623994</v>
      </c>
      <c r="AL19" s="33">
        <v>9962.9822884596651</v>
      </c>
      <c r="AM19" s="33">
        <v>9535.2548102432702</v>
      </c>
      <c r="AN19" s="33">
        <v>9596.8741538388877</v>
      </c>
      <c r="AO19" s="50">
        <v>9597.6008832133266</v>
      </c>
      <c r="AP19" s="49">
        <v>9838.4714936509044</v>
      </c>
      <c r="AQ19" s="33">
        <v>9641.5261538989525</v>
      </c>
      <c r="AR19" s="33">
        <v>9548.2176996691378</v>
      </c>
      <c r="AS19" s="33">
        <v>10080.276160623251</v>
      </c>
      <c r="AT19" s="475">
        <v>10508.585713286619</v>
      </c>
      <c r="AU19" s="475">
        <v>10508.585713286619</v>
      </c>
      <c r="AV19" s="33"/>
      <c r="AW19" s="33"/>
      <c r="AX19" s="33"/>
      <c r="AY19" s="33"/>
      <c r="AZ19" s="33"/>
      <c r="BA19" s="50"/>
      <c r="BB19" s="22"/>
    </row>
    <row r="20" spans="1:54" x14ac:dyDescent="0.3">
      <c r="A20" s="16"/>
      <c r="B20" s="8"/>
      <c r="C20" s="8" t="s">
        <v>509</v>
      </c>
      <c r="D20" s="10" t="s">
        <v>69</v>
      </c>
      <c r="F20" s="49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50"/>
      <c r="R20" s="49">
        <f>R19/R27*10^3</f>
        <v>454.25950671247932</v>
      </c>
      <c r="S20" s="33">
        <f t="shared" ref="S20:AU20" si="7">S19/S27*10^3</f>
        <v>453.36515148112693</v>
      </c>
      <c r="T20" s="33">
        <f t="shared" si="7"/>
        <v>456.81634770150117</v>
      </c>
      <c r="U20" s="33">
        <f t="shared" si="7"/>
        <v>488.10694551710827</v>
      </c>
      <c r="V20" s="33">
        <f t="shared" si="7"/>
        <v>507.6113288524088</v>
      </c>
      <c r="W20" s="33">
        <f t="shared" si="7"/>
        <v>502.55195099883798</v>
      </c>
      <c r="X20" s="33">
        <f t="shared" si="7"/>
        <v>449.44163474762649</v>
      </c>
      <c r="Y20" s="33">
        <f t="shared" si="7"/>
        <v>460.38474938971746</v>
      </c>
      <c r="Z20" s="33">
        <f t="shared" si="7"/>
        <v>476.3985295767223</v>
      </c>
      <c r="AA20" s="33">
        <f t="shared" si="7"/>
        <v>463.24687500673917</v>
      </c>
      <c r="AB20" s="33">
        <f t="shared" si="7"/>
        <v>477.21481195090115</v>
      </c>
      <c r="AC20" s="50">
        <f t="shared" si="7"/>
        <v>470.36678970390926</v>
      </c>
      <c r="AD20" s="49">
        <f t="shared" si="7"/>
        <v>480.89111023000731</v>
      </c>
      <c r="AE20" s="33">
        <f t="shared" si="7"/>
        <v>480.85759859917755</v>
      </c>
      <c r="AF20" s="33">
        <f t="shared" si="7"/>
        <v>493.5636552159383</v>
      </c>
      <c r="AG20" s="33">
        <f t="shared" si="7"/>
        <v>508.89826576912344</v>
      </c>
      <c r="AH20" s="33">
        <f t="shared" si="7"/>
        <v>498.34061717195397</v>
      </c>
      <c r="AI20" s="33">
        <f t="shared" si="7"/>
        <v>516.36068833808736</v>
      </c>
      <c r="AJ20" s="33">
        <f t="shared" si="7"/>
        <v>522.336781192628</v>
      </c>
      <c r="AK20" s="33">
        <f t="shared" si="7"/>
        <v>472.27438351942357</v>
      </c>
      <c r="AL20" s="33">
        <f t="shared" si="7"/>
        <v>380.29552975264011</v>
      </c>
      <c r="AM20" s="33">
        <f t="shared" si="7"/>
        <v>364.60900926289651</v>
      </c>
      <c r="AN20" s="33">
        <f t="shared" si="7"/>
        <v>367.03538279109983</v>
      </c>
      <c r="AO20" s="50">
        <f t="shared" si="7"/>
        <v>367.30198558030338</v>
      </c>
      <c r="AP20" s="450">
        <f t="shared" si="7"/>
        <v>377.82148593129432</v>
      </c>
      <c r="AQ20" s="444">
        <f t="shared" si="7"/>
        <v>373.67359715909436</v>
      </c>
      <c r="AR20" s="444">
        <f t="shared" si="7"/>
        <v>366.23902802612628</v>
      </c>
      <c r="AS20" s="444">
        <f t="shared" si="7"/>
        <v>385.70025485453419</v>
      </c>
      <c r="AT20" s="444">
        <f t="shared" si="7"/>
        <v>402.05783805664834</v>
      </c>
      <c r="AU20" s="444">
        <f t="shared" si="7"/>
        <v>402.05783805664834</v>
      </c>
      <c r="AV20" s="444"/>
      <c r="AW20" s="444"/>
      <c r="AX20" s="444"/>
      <c r="AY20" s="444"/>
      <c r="AZ20" s="444"/>
      <c r="BA20" s="471"/>
      <c r="BB20" s="22"/>
    </row>
    <row r="21" spans="1:54" x14ac:dyDescent="0.3">
      <c r="A21" s="16"/>
      <c r="B21" s="8"/>
      <c r="C21" s="8"/>
      <c r="D21" s="10"/>
      <c r="F21" s="49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50"/>
      <c r="R21" s="49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50"/>
      <c r="AD21" s="49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50"/>
      <c r="AP21" s="450"/>
      <c r="AQ21" s="444"/>
      <c r="AR21" s="444"/>
      <c r="AS21" s="444"/>
      <c r="AT21" s="444"/>
      <c r="AU21" s="444"/>
      <c r="AV21" s="444"/>
      <c r="AW21" s="444"/>
      <c r="AX21" s="444"/>
      <c r="AY21" s="444"/>
      <c r="AZ21" s="444"/>
      <c r="BA21" s="471"/>
      <c r="BB21" s="22"/>
    </row>
    <row r="22" spans="1:54" x14ac:dyDescent="0.3">
      <c r="A22" s="16"/>
      <c r="B22" s="8"/>
      <c r="C22" s="8" t="s">
        <v>512</v>
      </c>
      <c r="D22" s="10" t="s">
        <v>80</v>
      </c>
      <c r="F22" s="49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50"/>
      <c r="R22" s="49">
        <v>16186.316239942689</v>
      </c>
      <c r="S22" s="33">
        <v>16350.124926914124</v>
      </c>
      <c r="T22" s="33">
        <v>16450.45914974577</v>
      </c>
      <c r="U22" s="33">
        <v>17757.505114826836</v>
      </c>
      <c r="V22" s="33">
        <v>17263.632977783622</v>
      </c>
      <c r="W22" s="33">
        <v>17209.7975941609</v>
      </c>
      <c r="X22" s="33">
        <v>16215.032660924704</v>
      </c>
      <c r="Y22" s="33">
        <v>16527.438994347231</v>
      </c>
      <c r="Z22" s="33">
        <v>16645.009823557939</v>
      </c>
      <c r="AA22" s="33">
        <v>16492.390036490353</v>
      </c>
      <c r="AB22" s="33">
        <v>16673.361972760151</v>
      </c>
      <c r="AC22" s="50">
        <v>16581.722783659832</v>
      </c>
      <c r="AD22" s="49">
        <v>16882.910218186855</v>
      </c>
      <c r="AE22" s="33">
        <v>17290.286028534967</v>
      </c>
      <c r="AF22" s="33">
        <v>17728.513035176078</v>
      </c>
      <c r="AG22" s="33">
        <v>18247.399737463111</v>
      </c>
      <c r="AH22" s="33">
        <v>18386.499854405443</v>
      </c>
      <c r="AI22" s="33">
        <v>18684.128658165595</v>
      </c>
      <c r="AJ22" s="33">
        <v>18901.794480822722</v>
      </c>
      <c r="AK22" s="33">
        <v>18476.756190232478</v>
      </c>
      <c r="AL22" s="33">
        <v>15949.264814577446</v>
      </c>
      <c r="AM22" s="33">
        <v>14931.922403242237</v>
      </c>
      <c r="AN22" s="33">
        <v>14871.888079188118</v>
      </c>
      <c r="AO22" s="50">
        <v>14844.350835533456</v>
      </c>
      <c r="AP22" s="450">
        <v>15228.14837953088</v>
      </c>
      <c r="AQ22" s="444">
        <v>15176.282770041847</v>
      </c>
      <c r="AR22" s="444">
        <v>14946.970442977157</v>
      </c>
      <c r="AS22" s="444">
        <v>15104.402855660232</v>
      </c>
      <c r="AT22" s="444">
        <v>16059.310141333384</v>
      </c>
      <c r="AU22" s="475">
        <v>16059.310141333384</v>
      </c>
      <c r="AV22" s="444"/>
      <c r="AW22" s="444"/>
      <c r="AX22" s="444"/>
      <c r="AY22" s="444"/>
      <c r="AZ22" s="444"/>
      <c r="BA22" s="471"/>
      <c r="BB22" s="22"/>
    </row>
    <row r="23" spans="1:54" x14ac:dyDescent="0.3">
      <c r="A23" s="16"/>
      <c r="B23" s="8"/>
      <c r="C23" s="8" t="s">
        <v>513</v>
      </c>
      <c r="D23" s="10" t="s">
        <v>69</v>
      </c>
      <c r="F23" s="49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50"/>
      <c r="R23" s="49">
        <f>R22/R27*10^3</f>
        <v>666.1857941286039</v>
      </c>
      <c r="S23" s="33">
        <f t="shared" ref="S23:AU23" si="8">S22/S27*10^3</f>
        <v>672.59553773969003</v>
      </c>
      <c r="T23" s="33">
        <f t="shared" si="8"/>
        <v>670.07980243363613</v>
      </c>
      <c r="U23" s="33">
        <f t="shared" si="8"/>
        <v>711.26752843174052</v>
      </c>
      <c r="V23" s="33">
        <f t="shared" si="8"/>
        <v>684.76589495790017</v>
      </c>
      <c r="W23" s="33">
        <f t="shared" si="8"/>
        <v>681.98127973690907</v>
      </c>
      <c r="X23" s="33">
        <f t="shared" si="8"/>
        <v>643.68356400796733</v>
      </c>
      <c r="Y23" s="33">
        <f t="shared" si="8"/>
        <v>664.71360176750454</v>
      </c>
      <c r="Z23" s="33">
        <f t="shared" si="8"/>
        <v>680.41572266516528</v>
      </c>
      <c r="AA23" s="33">
        <f t="shared" si="8"/>
        <v>663.30397508407145</v>
      </c>
      <c r="AB23" s="33">
        <f t="shared" si="8"/>
        <v>662.42995521494436</v>
      </c>
      <c r="AC23" s="50">
        <f t="shared" si="8"/>
        <v>658.05709912135217</v>
      </c>
      <c r="AD23" s="49">
        <f t="shared" si="8"/>
        <v>673.16228940138978</v>
      </c>
      <c r="AE23" s="33">
        <f t="shared" si="8"/>
        <v>685.68710455801738</v>
      </c>
      <c r="AF23" s="33">
        <f t="shared" si="8"/>
        <v>698.90850095308986</v>
      </c>
      <c r="AG23" s="33">
        <f t="shared" si="8"/>
        <v>710.20899612591404</v>
      </c>
      <c r="AH23" s="33">
        <f t="shared" si="8"/>
        <v>713.12492163074285</v>
      </c>
      <c r="AI23" s="33">
        <f t="shared" si="8"/>
        <v>721.58995319837766</v>
      </c>
      <c r="AJ23" s="33">
        <f t="shared" si="8"/>
        <v>727.83190145640049</v>
      </c>
      <c r="AK23" s="33">
        <f t="shared" si="8"/>
        <v>707.86745039585003</v>
      </c>
      <c r="AL23" s="33">
        <f t="shared" si="8"/>
        <v>608.79703849826114</v>
      </c>
      <c r="AM23" s="33">
        <f t="shared" si="8"/>
        <v>570.96674836502893</v>
      </c>
      <c r="AN23" s="33">
        <f t="shared" si="8"/>
        <v>568.77990129606144</v>
      </c>
      <c r="AO23" s="50">
        <f t="shared" si="8"/>
        <v>568.09609014670707</v>
      </c>
      <c r="AP23" s="450">
        <f t="shared" si="8"/>
        <v>584.79832486677731</v>
      </c>
      <c r="AQ23" s="444">
        <f t="shared" si="8"/>
        <v>588.18241880636572</v>
      </c>
      <c r="AR23" s="444">
        <f t="shared" si="8"/>
        <v>573.31787975057182</v>
      </c>
      <c r="AS23" s="444">
        <f t="shared" si="8"/>
        <v>577.93774079434604</v>
      </c>
      <c r="AT23" s="444">
        <f t="shared" si="8"/>
        <v>614.42821063371412</v>
      </c>
      <c r="AU23" s="444">
        <f t="shared" si="8"/>
        <v>614.42821063371412</v>
      </c>
      <c r="AV23" s="444"/>
      <c r="AW23" s="444"/>
      <c r="AX23" s="444"/>
      <c r="AY23" s="444"/>
      <c r="AZ23" s="444"/>
      <c r="BA23" s="471"/>
      <c r="BB23" s="22"/>
    </row>
    <row r="24" spans="1:54" x14ac:dyDescent="0.3">
      <c r="A24" s="16"/>
      <c r="B24" s="8"/>
      <c r="C24" s="8"/>
      <c r="D24" s="10"/>
      <c r="F24" s="49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50"/>
      <c r="R24" s="49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50"/>
      <c r="AD24" s="49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50"/>
      <c r="AP24" s="450"/>
      <c r="AQ24" s="444"/>
      <c r="AR24" s="444"/>
      <c r="AS24" s="444"/>
      <c r="AT24" s="444"/>
      <c r="AU24" s="444"/>
      <c r="AV24" s="444"/>
      <c r="AW24" s="444"/>
      <c r="AX24" s="444"/>
      <c r="AY24" s="444"/>
      <c r="AZ24" s="444"/>
      <c r="BA24" s="471"/>
      <c r="BB24" s="22"/>
    </row>
    <row r="25" spans="1:54" x14ac:dyDescent="0.3">
      <c r="A25" s="16" t="s">
        <v>82</v>
      </c>
      <c r="B25" s="8"/>
      <c r="C25" s="8" t="s">
        <v>83</v>
      </c>
      <c r="D25" s="10" t="s">
        <v>84</v>
      </c>
      <c r="F25" s="49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50"/>
      <c r="R25" s="49">
        <v>25000</v>
      </c>
      <c r="S25" s="33">
        <v>25000</v>
      </c>
      <c r="T25" s="33">
        <v>25000</v>
      </c>
      <c r="U25" s="33">
        <v>25000</v>
      </c>
      <c r="V25" s="33">
        <v>25000</v>
      </c>
      <c r="W25" s="33">
        <v>25000</v>
      </c>
      <c r="X25" s="33">
        <v>25000</v>
      </c>
      <c r="Y25" s="33">
        <v>25000</v>
      </c>
      <c r="Z25" s="33">
        <v>25000</v>
      </c>
      <c r="AA25" s="33">
        <v>25000</v>
      </c>
      <c r="AB25" s="33">
        <v>25000</v>
      </c>
      <c r="AC25" s="50">
        <v>25000</v>
      </c>
      <c r="AD25" s="49">
        <v>25000</v>
      </c>
      <c r="AE25" s="33">
        <v>25000</v>
      </c>
      <c r="AF25" s="33">
        <v>25000</v>
      </c>
      <c r="AG25" s="33">
        <v>25000</v>
      </c>
      <c r="AH25" s="33">
        <v>25000</v>
      </c>
      <c r="AI25" s="33">
        <v>25000</v>
      </c>
      <c r="AJ25" s="33">
        <v>25000</v>
      </c>
      <c r="AK25" s="33">
        <v>25000</v>
      </c>
      <c r="AL25" s="33">
        <v>25000</v>
      </c>
      <c r="AM25" s="33">
        <v>25000</v>
      </c>
      <c r="AN25" s="33">
        <v>25000</v>
      </c>
      <c r="AO25" s="471">
        <v>25000</v>
      </c>
      <c r="AP25" s="450">
        <v>26500</v>
      </c>
      <c r="AQ25" s="444">
        <v>26500</v>
      </c>
      <c r="AR25" s="444">
        <v>26500</v>
      </c>
      <c r="AS25" s="444">
        <v>26500</v>
      </c>
      <c r="AT25" s="444">
        <v>26500</v>
      </c>
      <c r="AU25" s="444">
        <v>26500</v>
      </c>
      <c r="AV25" s="444">
        <v>26500</v>
      </c>
      <c r="AW25" s="444">
        <v>26500</v>
      </c>
      <c r="AX25" s="444">
        <v>26500</v>
      </c>
      <c r="AY25" s="444">
        <v>26500</v>
      </c>
      <c r="AZ25" s="444">
        <v>26500</v>
      </c>
      <c r="BA25" s="471">
        <v>26500</v>
      </c>
      <c r="BB25" s="22"/>
    </row>
    <row r="26" spans="1:54" x14ac:dyDescent="0.3">
      <c r="A26" s="16" t="s">
        <v>85</v>
      </c>
      <c r="B26" s="8"/>
      <c r="C26" s="8" t="s">
        <v>347</v>
      </c>
      <c r="D26" s="10" t="s">
        <v>84</v>
      </c>
      <c r="F26" s="51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52"/>
      <c r="R26" s="51">
        <v>24637</v>
      </c>
      <c r="S26" s="20">
        <v>24649</v>
      </c>
      <c r="T26" s="20">
        <v>24889</v>
      </c>
      <c r="U26" s="20">
        <v>25297</v>
      </c>
      <c r="V26" s="20">
        <v>25467</v>
      </c>
      <c r="W26" s="20">
        <v>25465</v>
      </c>
      <c r="X26" s="20">
        <v>25460</v>
      </c>
      <c r="Y26" s="20">
        <v>25203</v>
      </c>
      <c r="Z26" s="20">
        <v>24803</v>
      </c>
      <c r="AA26" s="20">
        <v>25200</v>
      </c>
      <c r="AB26" s="20">
        <v>25488</v>
      </c>
      <c r="AC26" s="52">
        <v>25499</v>
      </c>
      <c r="AD26" s="51">
        <v>25464</v>
      </c>
      <c r="AE26" s="20">
        <v>25586</v>
      </c>
      <c r="AF26" s="20">
        <v>25726</v>
      </c>
      <c r="AG26" s="20">
        <v>26053</v>
      </c>
      <c r="AH26" s="20">
        <v>26143</v>
      </c>
      <c r="AI26" s="20">
        <v>26248</v>
      </c>
      <c r="AJ26" s="20">
        <v>26329</v>
      </c>
      <c r="AK26" s="20">
        <v>26459</v>
      </c>
      <c r="AL26" s="446">
        <v>26473</v>
      </c>
      <c r="AM26" s="446">
        <v>26374</v>
      </c>
      <c r="AN26" s="446">
        <v>26379</v>
      </c>
      <c r="AO26" s="472">
        <v>26401</v>
      </c>
      <c r="AP26" s="451">
        <v>26353</v>
      </c>
      <c r="AQ26" s="446">
        <v>26176</v>
      </c>
      <c r="AR26" s="446">
        <v>26325</v>
      </c>
      <c r="AS26" s="446">
        <v>26361</v>
      </c>
      <c r="AT26" s="446">
        <v>26382</v>
      </c>
      <c r="AU26" s="477">
        <v>26382</v>
      </c>
      <c r="AV26" s="446"/>
      <c r="AW26" s="446"/>
      <c r="AX26" s="446"/>
      <c r="AY26" s="446"/>
      <c r="AZ26" s="446"/>
      <c r="BA26" s="472"/>
      <c r="BB26" s="22"/>
    </row>
    <row r="27" spans="1:54" x14ac:dyDescent="0.3">
      <c r="A27" s="16" t="s">
        <v>86</v>
      </c>
      <c r="B27" s="8"/>
      <c r="C27" s="8" t="s">
        <v>348</v>
      </c>
      <c r="D27" s="10" t="s">
        <v>84</v>
      </c>
      <c r="F27" s="51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52"/>
      <c r="R27" s="51">
        <v>24297</v>
      </c>
      <c r="S27" s="20">
        <v>24309</v>
      </c>
      <c r="T27" s="20">
        <v>24550</v>
      </c>
      <c r="U27" s="20">
        <v>24966</v>
      </c>
      <c r="V27" s="20">
        <v>25211</v>
      </c>
      <c r="W27" s="20">
        <v>25235</v>
      </c>
      <c r="X27" s="20">
        <v>25191</v>
      </c>
      <c r="Y27" s="20">
        <v>24864</v>
      </c>
      <c r="Z27" s="20">
        <v>24463</v>
      </c>
      <c r="AA27" s="20">
        <v>24864</v>
      </c>
      <c r="AB27" s="20">
        <v>25170</v>
      </c>
      <c r="AC27" s="52">
        <v>25198</v>
      </c>
      <c r="AD27" s="51">
        <v>25080</v>
      </c>
      <c r="AE27" s="20">
        <v>25216</v>
      </c>
      <c r="AF27" s="20">
        <v>25366</v>
      </c>
      <c r="AG27" s="20">
        <v>25693</v>
      </c>
      <c r="AH27" s="20">
        <v>25783</v>
      </c>
      <c r="AI27" s="20">
        <v>25893</v>
      </c>
      <c r="AJ27" s="20">
        <v>25970</v>
      </c>
      <c r="AK27" s="20">
        <v>26102</v>
      </c>
      <c r="AL27" s="446">
        <v>26198</v>
      </c>
      <c r="AM27" s="446">
        <v>26152</v>
      </c>
      <c r="AN27" s="446">
        <v>26147</v>
      </c>
      <c r="AO27" s="472">
        <v>26130</v>
      </c>
      <c r="AP27" s="451">
        <v>26040</v>
      </c>
      <c r="AQ27" s="446">
        <v>25802</v>
      </c>
      <c r="AR27" s="446">
        <v>26071</v>
      </c>
      <c r="AS27" s="446">
        <v>26135</v>
      </c>
      <c r="AT27" s="446">
        <v>26137</v>
      </c>
      <c r="AU27" s="477">
        <v>26137</v>
      </c>
      <c r="AV27" s="446"/>
      <c r="AW27" s="446"/>
      <c r="AX27" s="446"/>
      <c r="AY27" s="446"/>
      <c r="AZ27" s="446"/>
      <c r="BA27" s="472"/>
      <c r="BB27" s="22"/>
    </row>
    <row r="28" spans="1:54" x14ac:dyDescent="0.3">
      <c r="A28" s="16"/>
      <c r="B28" s="8"/>
      <c r="C28" s="8"/>
      <c r="D28" s="10"/>
      <c r="F28" s="53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54"/>
      <c r="R28" s="53"/>
      <c r="S28" s="8"/>
      <c r="T28" s="8"/>
      <c r="U28" s="8"/>
      <c r="V28" s="8"/>
      <c r="W28" s="8"/>
      <c r="X28" s="8"/>
      <c r="Y28" s="8"/>
      <c r="Z28" s="8"/>
      <c r="AA28" s="8"/>
      <c r="AB28" s="8"/>
      <c r="AC28" s="56"/>
      <c r="AD28" s="55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56"/>
      <c r="AP28" s="55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56"/>
      <c r="BB28" s="22"/>
    </row>
    <row r="29" spans="1:54" s="1" customFormat="1" x14ac:dyDescent="0.3">
      <c r="A29" s="17"/>
      <c r="B29" s="64"/>
      <c r="C29" s="64" t="s">
        <v>87</v>
      </c>
      <c r="D29" s="65"/>
      <c r="E29" s="66"/>
      <c r="F29" s="67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8"/>
      <c r="R29" s="67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8"/>
      <c r="AD29" s="67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8"/>
      <c r="AP29" s="67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8"/>
      <c r="BB29" s="41"/>
    </row>
    <row r="30" spans="1:54" x14ac:dyDescent="0.3">
      <c r="A30" s="16" t="s">
        <v>28</v>
      </c>
      <c r="B30" s="8"/>
      <c r="C30" s="8" t="s">
        <v>88</v>
      </c>
      <c r="D30" s="10" t="s">
        <v>69</v>
      </c>
      <c r="F30" s="104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6"/>
      <c r="R30" s="101">
        <v>1340</v>
      </c>
      <c r="S30" s="102">
        <v>1340</v>
      </c>
      <c r="T30" s="102">
        <v>1340</v>
      </c>
      <c r="U30" s="102">
        <v>1340</v>
      </c>
      <c r="V30" s="102">
        <v>1390</v>
      </c>
      <c r="W30" s="102">
        <v>1390</v>
      </c>
      <c r="X30" s="102">
        <v>1390</v>
      </c>
      <c r="Y30" s="102">
        <v>1390</v>
      </c>
      <c r="Z30" s="102">
        <v>1400</v>
      </c>
      <c r="AA30" s="102">
        <v>1415</v>
      </c>
      <c r="AB30" s="102">
        <v>1415</v>
      </c>
      <c r="AC30" s="103">
        <v>1365</v>
      </c>
      <c r="AD30" s="101">
        <v>1320</v>
      </c>
      <c r="AE30" s="102">
        <v>1280</v>
      </c>
      <c r="AF30" s="102">
        <v>1320</v>
      </c>
      <c r="AG30" s="102">
        <v>1340</v>
      </c>
      <c r="AH30" s="102">
        <v>1340</v>
      </c>
      <c r="AI30" s="102">
        <v>1340</v>
      </c>
      <c r="AJ30" s="102">
        <v>1340</v>
      </c>
      <c r="AK30" s="102">
        <v>1310</v>
      </c>
      <c r="AL30" s="102">
        <v>1310</v>
      </c>
      <c r="AM30" s="102">
        <v>1300</v>
      </c>
      <c r="AN30" s="102">
        <v>1290</v>
      </c>
      <c r="AO30" s="103">
        <v>1290</v>
      </c>
      <c r="AP30" s="101">
        <f t="shared" ref="AP30:AU30" si="9">AP$34+90</f>
        <v>1250</v>
      </c>
      <c r="AQ30" s="102">
        <f t="shared" si="9"/>
        <v>1250</v>
      </c>
      <c r="AR30" s="102">
        <f t="shared" si="9"/>
        <v>1250</v>
      </c>
      <c r="AS30" s="102">
        <f t="shared" si="9"/>
        <v>1370</v>
      </c>
      <c r="AT30" s="102">
        <f t="shared" si="9"/>
        <v>1470</v>
      </c>
      <c r="AU30" s="102">
        <f t="shared" si="9"/>
        <v>1440</v>
      </c>
      <c r="AV30" s="102"/>
      <c r="AW30" s="102"/>
      <c r="AX30" s="102"/>
      <c r="AY30" s="102"/>
      <c r="AZ30" s="102"/>
      <c r="BA30" s="103"/>
      <c r="BB30" s="22"/>
    </row>
    <row r="31" spans="1:54" x14ac:dyDescent="0.3">
      <c r="A31" s="16" t="s">
        <v>89</v>
      </c>
      <c r="B31" s="8"/>
      <c r="C31" s="8" t="s">
        <v>90</v>
      </c>
      <c r="D31" s="10" t="s">
        <v>69</v>
      </c>
      <c r="F31" s="104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6"/>
      <c r="R31" s="101">
        <v>1280</v>
      </c>
      <c r="S31" s="102">
        <v>1280</v>
      </c>
      <c r="T31" s="102">
        <v>1280</v>
      </c>
      <c r="U31" s="102">
        <v>1280</v>
      </c>
      <c r="V31" s="102">
        <v>1330</v>
      </c>
      <c r="W31" s="102">
        <v>1330</v>
      </c>
      <c r="X31" s="102">
        <v>1330</v>
      </c>
      <c r="Y31" s="102">
        <v>1330</v>
      </c>
      <c r="Z31" s="102">
        <v>1340</v>
      </c>
      <c r="AA31" s="102">
        <v>1355</v>
      </c>
      <c r="AB31" s="102">
        <v>1355</v>
      </c>
      <c r="AC31" s="103">
        <v>1305</v>
      </c>
      <c r="AD31" s="101">
        <v>1260</v>
      </c>
      <c r="AE31" s="102">
        <v>1250</v>
      </c>
      <c r="AF31" s="102">
        <v>1260</v>
      </c>
      <c r="AG31" s="102">
        <v>1280</v>
      </c>
      <c r="AH31" s="102">
        <v>1280</v>
      </c>
      <c r="AI31" s="102">
        <v>1280</v>
      </c>
      <c r="AJ31" s="102">
        <v>1280</v>
      </c>
      <c r="AK31" s="102">
        <v>1250</v>
      </c>
      <c r="AL31" s="102">
        <v>1250</v>
      </c>
      <c r="AM31" s="102">
        <v>1240</v>
      </c>
      <c r="AN31" s="102">
        <v>1230</v>
      </c>
      <c r="AO31" s="103">
        <v>1230</v>
      </c>
      <c r="AP31" s="101">
        <f t="shared" ref="AP31:AU33" si="10">AP$34+30</f>
        <v>1190</v>
      </c>
      <c r="AQ31" s="102">
        <f t="shared" si="10"/>
        <v>1190</v>
      </c>
      <c r="AR31" s="102">
        <f t="shared" si="10"/>
        <v>1190</v>
      </c>
      <c r="AS31" s="102">
        <f t="shared" si="10"/>
        <v>1310</v>
      </c>
      <c r="AT31" s="102">
        <f t="shared" si="10"/>
        <v>1410</v>
      </c>
      <c r="AU31" s="102">
        <f t="shared" si="10"/>
        <v>1380</v>
      </c>
      <c r="AV31" s="102"/>
      <c r="AW31" s="102"/>
      <c r="AX31" s="102"/>
      <c r="AY31" s="102"/>
      <c r="AZ31" s="102"/>
      <c r="BA31" s="103"/>
      <c r="BB31" s="22"/>
    </row>
    <row r="32" spans="1:54" x14ac:dyDescent="0.3">
      <c r="A32" s="16" t="s">
        <v>30</v>
      </c>
      <c r="B32" s="8"/>
      <c r="C32" s="8" t="s">
        <v>91</v>
      </c>
      <c r="D32" s="10" t="s">
        <v>69</v>
      </c>
      <c r="F32" s="104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6"/>
      <c r="R32" s="101">
        <v>1280</v>
      </c>
      <c r="S32" s="102">
        <v>1280</v>
      </c>
      <c r="T32" s="102">
        <v>1280</v>
      </c>
      <c r="U32" s="102">
        <v>1280</v>
      </c>
      <c r="V32" s="102">
        <v>1330</v>
      </c>
      <c r="W32" s="102">
        <v>1330</v>
      </c>
      <c r="X32" s="102">
        <v>1330</v>
      </c>
      <c r="Y32" s="102">
        <v>1330</v>
      </c>
      <c r="Z32" s="102">
        <v>1340</v>
      </c>
      <c r="AA32" s="102">
        <v>1355</v>
      </c>
      <c r="AB32" s="102">
        <v>1355</v>
      </c>
      <c r="AC32" s="103">
        <v>1305</v>
      </c>
      <c r="AD32" s="101">
        <v>1260</v>
      </c>
      <c r="AE32" s="102">
        <v>1260</v>
      </c>
      <c r="AF32" s="102">
        <v>1260</v>
      </c>
      <c r="AG32" s="102">
        <v>1280</v>
      </c>
      <c r="AH32" s="102">
        <v>1280</v>
      </c>
      <c r="AI32" s="102">
        <v>1280</v>
      </c>
      <c r="AJ32" s="102">
        <v>1280</v>
      </c>
      <c r="AK32" s="102">
        <v>1250</v>
      </c>
      <c r="AL32" s="102">
        <v>1250</v>
      </c>
      <c r="AM32" s="102">
        <v>1240</v>
      </c>
      <c r="AN32" s="102">
        <v>1230</v>
      </c>
      <c r="AO32" s="103">
        <v>1230</v>
      </c>
      <c r="AP32" s="101">
        <f t="shared" si="10"/>
        <v>1190</v>
      </c>
      <c r="AQ32" s="102">
        <f t="shared" si="10"/>
        <v>1190</v>
      </c>
      <c r="AR32" s="102">
        <f t="shared" si="10"/>
        <v>1190</v>
      </c>
      <c r="AS32" s="102">
        <f t="shared" si="10"/>
        <v>1310</v>
      </c>
      <c r="AT32" s="102">
        <f t="shared" si="10"/>
        <v>1410</v>
      </c>
      <c r="AU32" s="102">
        <f t="shared" si="10"/>
        <v>1380</v>
      </c>
      <c r="AV32" s="102"/>
      <c r="AW32" s="102"/>
      <c r="AX32" s="102"/>
      <c r="AY32" s="102"/>
      <c r="AZ32" s="102"/>
      <c r="BA32" s="103"/>
      <c r="BB32" s="22"/>
    </row>
    <row r="33" spans="1:54" x14ac:dyDescent="0.3">
      <c r="A33" s="16" t="s">
        <v>92</v>
      </c>
      <c r="B33" s="8"/>
      <c r="C33" s="8" t="s">
        <v>93</v>
      </c>
      <c r="D33" s="10" t="s">
        <v>69</v>
      </c>
      <c r="F33" s="104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6"/>
      <c r="R33" s="101">
        <v>1280</v>
      </c>
      <c r="S33" s="102">
        <v>1280</v>
      </c>
      <c r="T33" s="102">
        <v>1280</v>
      </c>
      <c r="U33" s="102">
        <v>1280</v>
      </c>
      <c r="V33" s="102">
        <v>1330</v>
      </c>
      <c r="W33" s="102">
        <v>1330</v>
      </c>
      <c r="X33" s="102">
        <v>1330</v>
      </c>
      <c r="Y33" s="102">
        <v>1330</v>
      </c>
      <c r="Z33" s="102">
        <v>1340</v>
      </c>
      <c r="AA33" s="102">
        <v>1355</v>
      </c>
      <c r="AB33" s="102">
        <v>1355</v>
      </c>
      <c r="AC33" s="103">
        <v>1305</v>
      </c>
      <c r="AD33" s="101">
        <v>1260</v>
      </c>
      <c r="AE33" s="102">
        <v>1260</v>
      </c>
      <c r="AF33" s="102">
        <v>1260</v>
      </c>
      <c r="AG33" s="102">
        <v>1280</v>
      </c>
      <c r="AH33" s="102">
        <v>1280</v>
      </c>
      <c r="AI33" s="102">
        <v>1280</v>
      </c>
      <c r="AJ33" s="102">
        <v>1280</v>
      </c>
      <c r="AK33" s="102">
        <v>1250</v>
      </c>
      <c r="AL33" s="102">
        <v>1250</v>
      </c>
      <c r="AM33" s="102">
        <v>1240</v>
      </c>
      <c r="AN33" s="102">
        <v>1230</v>
      </c>
      <c r="AO33" s="103">
        <v>1230</v>
      </c>
      <c r="AP33" s="101">
        <f t="shared" si="10"/>
        <v>1190</v>
      </c>
      <c r="AQ33" s="102">
        <f t="shared" si="10"/>
        <v>1190</v>
      </c>
      <c r="AR33" s="102">
        <f t="shared" si="10"/>
        <v>1190</v>
      </c>
      <c r="AS33" s="102">
        <f t="shared" si="10"/>
        <v>1310</v>
      </c>
      <c r="AT33" s="102">
        <f t="shared" si="10"/>
        <v>1410</v>
      </c>
      <c r="AU33" s="102">
        <f t="shared" si="10"/>
        <v>1380</v>
      </c>
      <c r="AV33" s="102"/>
      <c r="AW33" s="102"/>
      <c r="AX33" s="102"/>
      <c r="AY33" s="102"/>
      <c r="AZ33" s="102"/>
      <c r="BA33" s="103"/>
      <c r="BB33" s="22"/>
    </row>
    <row r="34" spans="1:54" s="483" customFormat="1" x14ac:dyDescent="0.3">
      <c r="A34" s="480" t="s">
        <v>15</v>
      </c>
      <c r="B34" s="481"/>
      <c r="C34" s="481" t="s">
        <v>94</v>
      </c>
      <c r="D34" s="482" t="s">
        <v>69</v>
      </c>
      <c r="F34" s="484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6"/>
      <c r="R34" s="487">
        <v>1250</v>
      </c>
      <c r="S34" s="488">
        <v>1250</v>
      </c>
      <c r="T34" s="488">
        <v>1250</v>
      </c>
      <c r="U34" s="488">
        <v>1250</v>
      </c>
      <c r="V34" s="488">
        <v>1300</v>
      </c>
      <c r="W34" s="488">
        <v>1300</v>
      </c>
      <c r="X34" s="488">
        <v>1300</v>
      </c>
      <c r="Y34" s="488">
        <v>1300</v>
      </c>
      <c r="Z34" s="488">
        <v>1310</v>
      </c>
      <c r="AA34" s="488">
        <v>1325</v>
      </c>
      <c r="AB34" s="488">
        <v>1325</v>
      </c>
      <c r="AC34" s="489">
        <v>1275</v>
      </c>
      <c r="AD34" s="487">
        <v>1230</v>
      </c>
      <c r="AE34" s="488">
        <v>1230</v>
      </c>
      <c r="AF34" s="488">
        <v>1230</v>
      </c>
      <c r="AG34" s="488">
        <v>1250</v>
      </c>
      <c r="AH34" s="488">
        <v>1250</v>
      </c>
      <c r="AI34" s="488">
        <v>1250</v>
      </c>
      <c r="AJ34" s="488">
        <v>1250</v>
      </c>
      <c r="AK34" s="488">
        <v>1220</v>
      </c>
      <c r="AL34" s="488">
        <v>1220</v>
      </c>
      <c r="AM34" s="488">
        <v>1210</v>
      </c>
      <c r="AN34" s="488">
        <v>1200</v>
      </c>
      <c r="AO34" s="489">
        <v>1200</v>
      </c>
      <c r="AP34" s="487">
        <v>1160</v>
      </c>
      <c r="AQ34" s="488">
        <v>1160</v>
      </c>
      <c r="AR34" s="488">
        <v>1160</v>
      </c>
      <c r="AS34" s="488">
        <v>1280</v>
      </c>
      <c r="AT34" s="488">
        <v>1380</v>
      </c>
      <c r="AU34" s="488">
        <v>1350</v>
      </c>
      <c r="AV34" s="488"/>
      <c r="AW34" s="488"/>
      <c r="AX34" s="488"/>
      <c r="AY34" s="488"/>
      <c r="AZ34" s="488"/>
      <c r="BA34" s="489"/>
      <c r="BB34" s="490"/>
    </row>
    <row r="35" spans="1:54" x14ac:dyDescent="0.3">
      <c r="A35" s="16" t="s">
        <v>95</v>
      </c>
      <c r="B35" s="8"/>
      <c r="C35" s="8" t="s">
        <v>96</v>
      </c>
      <c r="D35" s="10" t="s">
        <v>69</v>
      </c>
      <c r="F35" s="104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6"/>
      <c r="R35" s="101">
        <v>1250</v>
      </c>
      <c r="S35" s="102">
        <v>1250</v>
      </c>
      <c r="T35" s="102">
        <v>1250</v>
      </c>
      <c r="U35" s="102">
        <v>1250</v>
      </c>
      <c r="V35" s="102">
        <v>1300</v>
      </c>
      <c r="W35" s="102">
        <v>1300</v>
      </c>
      <c r="X35" s="102">
        <v>1300</v>
      </c>
      <c r="Y35" s="102">
        <v>1300</v>
      </c>
      <c r="Z35" s="102">
        <v>1310</v>
      </c>
      <c r="AA35" s="102">
        <v>1325</v>
      </c>
      <c r="AB35" s="102">
        <v>1325</v>
      </c>
      <c r="AC35" s="103">
        <v>1275</v>
      </c>
      <c r="AD35" s="101">
        <v>1230</v>
      </c>
      <c r="AE35" s="102">
        <v>1230</v>
      </c>
      <c r="AF35" s="102">
        <v>1230</v>
      </c>
      <c r="AG35" s="102">
        <v>1250</v>
      </c>
      <c r="AH35" s="102">
        <v>1250</v>
      </c>
      <c r="AI35" s="102">
        <v>1250</v>
      </c>
      <c r="AJ35" s="102">
        <v>1250</v>
      </c>
      <c r="AK35" s="102">
        <v>1220</v>
      </c>
      <c r="AL35" s="102">
        <v>1220</v>
      </c>
      <c r="AM35" s="102">
        <v>1210</v>
      </c>
      <c r="AN35" s="102">
        <v>1200</v>
      </c>
      <c r="AO35" s="103">
        <v>1200</v>
      </c>
      <c r="AP35" s="101">
        <f t="shared" ref="AP35:AU36" si="11">AP$34</f>
        <v>1160</v>
      </c>
      <c r="AQ35" s="102">
        <f t="shared" si="11"/>
        <v>1160</v>
      </c>
      <c r="AR35" s="102">
        <f t="shared" si="11"/>
        <v>1160</v>
      </c>
      <c r="AS35" s="102">
        <f t="shared" si="11"/>
        <v>1280</v>
      </c>
      <c r="AT35" s="102">
        <f t="shared" si="11"/>
        <v>1380</v>
      </c>
      <c r="AU35" s="102">
        <f t="shared" si="11"/>
        <v>1350</v>
      </c>
      <c r="AV35" s="102"/>
      <c r="AW35" s="102"/>
      <c r="AX35" s="102"/>
      <c r="AY35" s="102"/>
      <c r="AZ35" s="102"/>
      <c r="BA35" s="103"/>
      <c r="BB35" s="22"/>
    </row>
    <row r="36" spans="1:54" s="1" customFormat="1" x14ac:dyDescent="0.3">
      <c r="A36" s="17" t="s">
        <v>34</v>
      </c>
      <c r="B36" s="143"/>
      <c r="C36" s="143" t="s">
        <v>97</v>
      </c>
      <c r="D36" s="383" t="s">
        <v>69</v>
      </c>
      <c r="F36" s="384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6"/>
      <c r="R36" s="387">
        <v>1250</v>
      </c>
      <c r="S36" s="388">
        <v>1250</v>
      </c>
      <c r="T36" s="388">
        <v>1250</v>
      </c>
      <c r="U36" s="388">
        <v>1250</v>
      </c>
      <c r="V36" s="388">
        <v>1300</v>
      </c>
      <c r="W36" s="388">
        <v>1300</v>
      </c>
      <c r="X36" s="388">
        <v>1300</v>
      </c>
      <c r="Y36" s="388">
        <v>1300</v>
      </c>
      <c r="Z36" s="388">
        <v>1310</v>
      </c>
      <c r="AA36" s="388">
        <v>1325</v>
      </c>
      <c r="AB36" s="388">
        <v>1325</v>
      </c>
      <c r="AC36" s="389">
        <v>1275</v>
      </c>
      <c r="AD36" s="387">
        <v>1230</v>
      </c>
      <c r="AE36" s="388">
        <v>1230</v>
      </c>
      <c r="AF36" s="388">
        <v>1230</v>
      </c>
      <c r="AG36" s="388">
        <v>1250</v>
      </c>
      <c r="AH36" s="388">
        <v>1250</v>
      </c>
      <c r="AI36" s="388">
        <v>1250</v>
      </c>
      <c r="AJ36" s="388">
        <v>1250</v>
      </c>
      <c r="AK36" s="388">
        <v>1220</v>
      </c>
      <c r="AL36" s="388">
        <v>1220</v>
      </c>
      <c r="AM36" s="388">
        <v>1210</v>
      </c>
      <c r="AN36" s="388">
        <v>1200</v>
      </c>
      <c r="AO36" s="389">
        <v>1200</v>
      </c>
      <c r="AP36" s="387">
        <f t="shared" si="11"/>
        <v>1160</v>
      </c>
      <c r="AQ36" s="388">
        <f t="shared" si="11"/>
        <v>1160</v>
      </c>
      <c r="AR36" s="388">
        <f t="shared" si="11"/>
        <v>1160</v>
      </c>
      <c r="AS36" s="388">
        <f t="shared" si="11"/>
        <v>1280</v>
      </c>
      <c r="AT36" s="388">
        <f>AT$34</f>
        <v>1380</v>
      </c>
      <c r="AU36" s="388">
        <f>AU$34</f>
        <v>1350</v>
      </c>
      <c r="AV36" s="388"/>
      <c r="AW36" s="388"/>
      <c r="AX36" s="388"/>
      <c r="AY36" s="388"/>
      <c r="AZ36" s="388"/>
      <c r="BA36" s="389"/>
      <c r="BB36" s="41"/>
    </row>
    <row r="37" spans="1:54" s="1" customFormat="1" x14ac:dyDescent="0.3">
      <c r="A37" s="17" t="s">
        <v>98</v>
      </c>
      <c r="B37" s="143"/>
      <c r="C37" s="143" t="s">
        <v>99</v>
      </c>
      <c r="D37" s="383" t="s">
        <v>69</v>
      </c>
      <c r="F37" s="384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6"/>
      <c r="R37" s="387">
        <v>1240</v>
      </c>
      <c r="S37" s="388">
        <v>1240</v>
      </c>
      <c r="T37" s="388">
        <v>1240</v>
      </c>
      <c r="U37" s="388">
        <v>1240</v>
      </c>
      <c r="V37" s="388">
        <v>1290</v>
      </c>
      <c r="W37" s="388">
        <v>1290</v>
      </c>
      <c r="X37" s="388">
        <v>1270</v>
      </c>
      <c r="Y37" s="388">
        <v>1270</v>
      </c>
      <c r="Z37" s="388">
        <v>1280</v>
      </c>
      <c r="AA37" s="388">
        <v>1295</v>
      </c>
      <c r="AB37" s="388">
        <v>1295</v>
      </c>
      <c r="AC37" s="389">
        <v>1245</v>
      </c>
      <c r="AD37" s="387">
        <v>1200</v>
      </c>
      <c r="AE37" s="388">
        <v>1200</v>
      </c>
      <c r="AF37" s="388">
        <v>1200</v>
      </c>
      <c r="AG37" s="388">
        <v>1220</v>
      </c>
      <c r="AH37" s="388">
        <v>1220</v>
      </c>
      <c r="AI37" s="388">
        <v>1220</v>
      </c>
      <c r="AJ37" s="388">
        <v>1220</v>
      </c>
      <c r="AK37" s="388">
        <v>1190</v>
      </c>
      <c r="AL37" s="388">
        <v>1190</v>
      </c>
      <c r="AM37" s="388">
        <v>1180</v>
      </c>
      <c r="AN37" s="388">
        <v>1170</v>
      </c>
      <c r="AO37" s="389">
        <v>1170</v>
      </c>
      <c r="AP37" s="387"/>
      <c r="AQ37" s="388"/>
      <c r="AR37" s="388"/>
      <c r="AS37" s="388"/>
      <c r="AT37" s="388"/>
      <c r="AU37" s="388"/>
      <c r="AV37" s="388"/>
      <c r="AW37" s="388"/>
      <c r="AX37" s="388"/>
      <c r="AY37" s="388"/>
      <c r="AZ37" s="388"/>
      <c r="BA37" s="389"/>
      <c r="BB37" s="41"/>
    </row>
    <row r="38" spans="1:54" x14ac:dyDescent="0.3">
      <c r="A38" s="16" t="s">
        <v>343</v>
      </c>
      <c r="B38" s="8"/>
      <c r="C38" s="8" t="s">
        <v>344</v>
      </c>
      <c r="D38" s="10" t="s">
        <v>69</v>
      </c>
      <c r="F38" s="104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6"/>
      <c r="R38" s="390"/>
      <c r="S38" s="391"/>
      <c r="T38" s="391"/>
      <c r="U38" s="391"/>
      <c r="V38" s="391"/>
      <c r="W38" s="391"/>
      <c r="X38" s="391"/>
      <c r="Y38" s="391"/>
      <c r="Z38" s="391"/>
      <c r="AA38" s="391"/>
      <c r="AB38" s="391"/>
      <c r="AC38" s="392"/>
      <c r="AD38" s="390"/>
      <c r="AE38" s="391"/>
      <c r="AF38" s="391">
        <v>1230</v>
      </c>
      <c r="AG38" s="391">
        <v>1250</v>
      </c>
      <c r="AH38" s="391">
        <v>1250</v>
      </c>
      <c r="AI38" s="391">
        <v>1250</v>
      </c>
      <c r="AJ38" s="391">
        <v>1250</v>
      </c>
      <c r="AK38" s="391">
        <v>1220</v>
      </c>
      <c r="AL38" s="391">
        <v>1220</v>
      </c>
      <c r="AM38" s="391">
        <v>1210</v>
      </c>
      <c r="AN38" s="391">
        <v>1200</v>
      </c>
      <c r="AO38" s="392">
        <v>1200</v>
      </c>
      <c r="AP38" s="390"/>
      <c r="AQ38" s="391"/>
      <c r="AR38" s="391"/>
      <c r="AS38" s="391"/>
      <c r="AT38" s="391"/>
      <c r="AU38" s="391"/>
      <c r="AV38" s="391"/>
      <c r="AW38" s="391"/>
      <c r="AX38" s="391"/>
      <c r="AY38" s="391"/>
      <c r="AZ38" s="391"/>
      <c r="BA38" s="392"/>
      <c r="BB38" s="22"/>
    </row>
    <row r="39" spans="1:54" x14ac:dyDescent="0.3">
      <c r="A39" s="16" t="s">
        <v>100</v>
      </c>
      <c r="B39" s="8"/>
      <c r="C39" s="8" t="s">
        <v>101</v>
      </c>
      <c r="D39" s="10" t="s">
        <v>69</v>
      </c>
      <c r="F39" s="104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6"/>
      <c r="R39" s="101">
        <v>1240</v>
      </c>
      <c r="S39" s="102">
        <v>1240</v>
      </c>
      <c r="T39" s="102">
        <v>1240</v>
      </c>
      <c r="U39" s="102">
        <v>1240</v>
      </c>
      <c r="V39" s="102">
        <v>1290</v>
      </c>
      <c r="W39" s="102">
        <v>1290</v>
      </c>
      <c r="X39" s="102">
        <v>1270</v>
      </c>
      <c r="Y39" s="102">
        <v>1270</v>
      </c>
      <c r="Z39" s="102">
        <v>1280</v>
      </c>
      <c r="AA39" s="102">
        <v>1295</v>
      </c>
      <c r="AB39" s="102">
        <v>1295</v>
      </c>
      <c r="AC39" s="103">
        <v>1245</v>
      </c>
      <c r="AD39" s="101">
        <v>1200</v>
      </c>
      <c r="AE39" s="102">
        <v>1200</v>
      </c>
      <c r="AF39" s="102">
        <v>1200</v>
      </c>
      <c r="AG39" s="102">
        <v>1220</v>
      </c>
      <c r="AH39" s="102">
        <v>1220</v>
      </c>
      <c r="AI39" s="102">
        <v>1220</v>
      </c>
      <c r="AJ39" s="102">
        <v>1220</v>
      </c>
      <c r="AK39" s="102">
        <v>1190</v>
      </c>
      <c r="AL39" s="102">
        <v>1190</v>
      </c>
      <c r="AM39" s="102">
        <v>1180</v>
      </c>
      <c r="AN39" s="102">
        <v>1170</v>
      </c>
      <c r="AO39" s="103">
        <v>1170</v>
      </c>
      <c r="AP39" s="101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3"/>
      <c r="BB39" s="22"/>
    </row>
    <row r="40" spans="1:54" x14ac:dyDescent="0.3">
      <c r="A40" s="16" t="s">
        <v>102</v>
      </c>
      <c r="B40" s="8"/>
      <c r="C40" s="8" t="s">
        <v>103</v>
      </c>
      <c r="D40" s="10" t="s">
        <v>69</v>
      </c>
      <c r="F40" s="104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6"/>
      <c r="R40" s="101">
        <v>1180</v>
      </c>
      <c r="S40" s="102">
        <v>1180</v>
      </c>
      <c r="T40" s="102">
        <v>1180</v>
      </c>
      <c r="U40" s="102">
        <v>1180</v>
      </c>
      <c r="V40" s="102">
        <v>1230</v>
      </c>
      <c r="W40" s="102">
        <v>1230</v>
      </c>
      <c r="X40" s="102">
        <v>1230</v>
      </c>
      <c r="Y40" s="102">
        <v>1230</v>
      </c>
      <c r="Z40" s="102">
        <v>1240</v>
      </c>
      <c r="AA40" s="102">
        <v>1255</v>
      </c>
      <c r="AB40" s="102">
        <v>1255</v>
      </c>
      <c r="AC40" s="103">
        <v>1205</v>
      </c>
      <c r="AD40" s="101">
        <v>1160</v>
      </c>
      <c r="AE40" s="102">
        <v>1160</v>
      </c>
      <c r="AF40" s="102">
        <v>1160</v>
      </c>
      <c r="AG40" s="102">
        <v>1180</v>
      </c>
      <c r="AH40" s="102">
        <v>1180</v>
      </c>
      <c r="AI40" s="102">
        <v>1180</v>
      </c>
      <c r="AJ40" s="102">
        <v>1180</v>
      </c>
      <c r="AK40" s="102">
        <v>1150</v>
      </c>
      <c r="AL40" s="102">
        <v>1150</v>
      </c>
      <c r="AM40" s="102">
        <v>1140</v>
      </c>
      <c r="AN40" s="102">
        <v>1130</v>
      </c>
      <c r="AO40" s="103">
        <v>1130</v>
      </c>
      <c r="AP40" s="101">
        <f t="shared" ref="AP40:AU41" si="12">AP$34-70</f>
        <v>1090</v>
      </c>
      <c r="AQ40" s="102">
        <f t="shared" si="12"/>
        <v>1090</v>
      </c>
      <c r="AR40" s="102">
        <f t="shared" si="12"/>
        <v>1090</v>
      </c>
      <c r="AS40" s="102">
        <f t="shared" si="12"/>
        <v>1210</v>
      </c>
      <c r="AT40" s="102">
        <f t="shared" si="12"/>
        <v>1310</v>
      </c>
      <c r="AU40" s="102">
        <f t="shared" si="12"/>
        <v>1280</v>
      </c>
      <c r="AV40" s="102"/>
      <c r="AW40" s="102"/>
      <c r="AX40" s="102"/>
      <c r="AY40" s="102"/>
      <c r="AZ40" s="102"/>
      <c r="BA40" s="103"/>
      <c r="BB40" s="22"/>
    </row>
    <row r="41" spans="1:54" x14ac:dyDescent="0.3">
      <c r="A41" s="16" t="s">
        <v>104</v>
      </c>
      <c r="B41" s="8"/>
      <c r="C41" s="8" t="s">
        <v>105</v>
      </c>
      <c r="D41" s="10" t="s">
        <v>69</v>
      </c>
      <c r="F41" s="104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6"/>
      <c r="R41" s="101">
        <v>1180</v>
      </c>
      <c r="S41" s="102">
        <v>1180</v>
      </c>
      <c r="T41" s="102">
        <v>1180</v>
      </c>
      <c r="U41" s="102">
        <v>1180</v>
      </c>
      <c r="V41" s="102">
        <v>1230</v>
      </c>
      <c r="W41" s="102">
        <v>1230</v>
      </c>
      <c r="X41" s="102">
        <v>1230</v>
      </c>
      <c r="Y41" s="102">
        <v>1230</v>
      </c>
      <c r="Z41" s="102">
        <v>1240</v>
      </c>
      <c r="AA41" s="102">
        <v>1255</v>
      </c>
      <c r="AB41" s="102">
        <v>1255</v>
      </c>
      <c r="AC41" s="103">
        <v>1205</v>
      </c>
      <c r="AD41" s="101">
        <v>1160</v>
      </c>
      <c r="AE41" s="102">
        <v>1160</v>
      </c>
      <c r="AF41" s="102">
        <v>1160</v>
      </c>
      <c r="AG41" s="102">
        <v>1180</v>
      </c>
      <c r="AH41" s="102">
        <v>1180</v>
      </c>
      <c r="AI41" s="102">
        <v>1180</v>
      </c>
      <c r="AJ41" s="102">
        <v>1180</v>
      </c>
      <c r="AK41" s="102">
        <v>1150</v>
      </c>
      <c r="AL41" s="102">
        <v>1150</v>
      </c>
      <c r="AM41" s="102">
        <v>1140</v>
      </c>
      <c r="AN41" s="102">
        <v>1130</v>
      </c>
      <c r="AO41" s="103">
        <v>1130</v>
      </c>
      <c r="AP41" s="101">
        <f t="shared" si="12"/>
        <v>1090</v>
      </c>
      <c r="AQ41" s="102">
        <f t="shared" si="12"/>
        <v>1090</v>
      </c>
      <c r="AR41" s="102">
        <f t="shared" si="12"/>
        <v>1090</v>
      </c>
      <c r="AS41" s="102">
        <f t="shared" si="12"/>
        <v>1210</v>
      </c>
      <c r="AT41" s="102">
        <f t="shared" si="12"/>
        <v>1310</v>
      </c>
      <c r="AU41" s="102">
        <f t="shared" si="12"/>
        <v>1280</v>
      </c>
      <c r="AV41" s="102"/>
      <c r="AW41" s="102"/>
      <c r="AX41" s="102"/>
      <c r="AY41" s="102"/>
      <c r="AZ41" s="102"/>
      <c r="BA41" s="103"/>
      <c r="BB41" s="22"/>
    </row>
    <row r="42" spans="1:54" x14ac:dyDescent="0.3">
      <c r="A42" s="16" t="s">
        <v>106</v>
      </c>
      <c r="B42" s="8"/>
      <c r="C42" s="8" t="s">
        <v>107</v>
      </c>
      <c r="D42" s="10" t="s">
        <v>69</v>
      </c>
      <c r="F42" s="104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6"/>
      <c r="R42" s="101">
        <v>1280</v>
      </c>
      <c r="S42" s="102">
        <v>1280</v>
      </c>
      <c r="T42" s="102">
        <v>1280</v>
      </c>
      <c r="U42" s="102">
        <v>1280</v>
      </c>
      <c r="V42" s="102">
        <v>1330</v>
      </c>
      <c r="W42" s="102">
        <v>1330</v>
      </c>
      <c r="X42" s="102">
        <v>1250</v>
      </c>
      <c r="Y42" s="102">
        <v>1250</v>
      </c>
      <c r="Z42" s="102">
        <v>1250</v>
      </c>
      <c r="AA42" s="102">
        <v>1265</v>
      </c>
      <c r="AB42" s="102">
        <v>1265</v>
      </c>
      <c r="AC42" s="103">
        <v>1215</v>
      </c>
      <c r="AD42" s="101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3"/>
      <c r="AP42" s="101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3"/>
      <c r="BB42" s="22"/>
    </row>
    <row r="43" spans="1:54" x14ac:dyDescent="0.3">
      <c r="A43" s="16" t="s">
        <v>108</v>
      </c>
      <c r="B43" s="8"/>
      <c r="C43" s="8" t="s">
        <v>109</v>
      </c>
      <c r="D43" s="10" t="s">
        <v>69</v>
      </c>
      <c r="F43" s="104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6"/>
      <c r="R43" s="101">
        <v>1050</v>
      </c>
      <c r="S43" s="102">
        <v>1050</v>
      </c>
      <c r="T43" s="102">
        <v>1050</v>
      </c>
      <c r="U43" s="102">
        <v>1050</v>
      </c>
      <c r="V43" s="102">
        <v>1100</v>
      </c>
      <c r="W43" s="102">
        <v>1100</v>
      </c>
      <c r="X43" s="102">
        <v>1100</v>
      </c>
      <c r="Y43" s="102">
        <v>1100</v>
      </c>
      <c r="Z43" s="102">
        <v>1100</v>
      </c>
      <c r="AA43" s="102">
        <v>1100</v>
      </c>
      <c r="AB43" s="102">
        <v>1100</v>
      </c>
      <c r="AC43" s="103">
        <v>1100</v>
      </c>
      <c r="AD43" s="101">
        <v>1100</v>
      </c>
      <c r="AE43" s="102">
        <v>1100</v>
      </c>
      <c r="AF43" s="102">
        <v>1100</v>
      </c>
      <c r="AG43" s="102">
        <v>1120</v>
      </c>
      <c r="AH43" s="102">
        <v>1120</v>
      </c>
      <c r="AI43" s="102">
        <v>1120</v>
      </c>
      <c r="AJ43" s="102">
        <v>1120</v>
      </c>
      <c r="AK43" s="102">
        <v>1090</v>
      </c>
      <c r="AL43" s="102">
        <v>1090</v>
      </c>
      <c r="AM43" s="102">
        <v>1080</v>
      </c>
      <c r="AN43" s="102">
        <v>1070</v>
      </c>
      <c r="AO43" s="103">
        <v>1070</v>
      </c>
      <c r="AP43" s="101">
        <f t="shared" ref="AP43:AU45" si="13">AP$34-130</f>
        <v>1030</v>
      </c>
      <c r="AQ43" s="102">
        <f t="shared" si="13"/>
        <v>1030</v>
      </c>
      <c r="AR43" s="102">
        <f t="shared" si="13"/>
        <v>1030</v>
      </c>
      <c r="AS43" s="102">
        <f t="shared" si="13"/>
        <v>1150</v>
      </c>
      <c r="AT43" s="102">
        <f t="shared" si="13"/>
        <v>1250</v>
      </c>
      <c r="AU43" s="102">
        <f t="shared" si="13"/>
        <v>1220</v>
      </c>
      <c r="AV43" s="102"/>
      <c r="AW43" s="102"/>
      <c r="AX43" s="102"/>
      <c r="AY43" s="102"/>
      <c r="AZ43" s="102"/>
      <c r="BA43" s="103"/>
      <c r="BB43" s="22"/>
    </row>
    <row r="44" spans="1:54" x14ac:dyDescent="0.3">
      <c r="A44" s="16" t="s">
        <v>110</v>
      </c>
      <c r="B44" s="8"/>
      <c r="C44" s="8" t="s">
        <v>111</v>
      </c>
      <c r="D44" s="10" t="s">
        <v>69</v>
      </c>
      <c r="F44" s="104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6"/>
      <c r="R44" s="101">
        <v>1050</v>
      </c>
      <c r="S44" s="102">
        <v>1050</v>
      </c>
      <c r="T44" s="102">
        <v>1050</v>
      </c>
      <c r="U44" s="102">
        <v>1050</v>
      </c>
      <c r="V44" s="102">
        <v>1100</v>
      </c>
      <c r="W44" s="102">
        <v>1100</v>
      </c>
      <c r="X44" s="102">
        <v>1100</v>
      </c>
      <c r="Y44" s="102">
        <v>1100</v>
      </c>
      <c r="Z44" s="102">
        <v>1100</v>
      </c>
      <c r="AA44" s="102">
        <v>1100</v>
      </c>
      <c r="AB44" s="102">
        <v>1100</v>
      </c>
      <c r="AC44" s="103">
        <v>1100</v>
      </c>
      <c r="AD44" s="101">
        <v>1100</v>
      </c>
      <c r="AE44" s="102">
        <v>1100</v>
      </c>
      <c r="AF44" s="102">
        <v>1100</v>
      </c>
      <c r="AG44" s="102">
        <v>1120</v>
      </c>
      <c r="AH44" s="102">
        <v>1120</v>
      </c>
      <c r="AI44" s="102">
        <v>1120</v>
      </c>
      <c r="AJ44" s="102">
        <v>1120</v>
      </c>
      <c r="AK44" s="102">
        <v>1090</v>
      </c>
      <c r="AL44" s="102">
        <v>1090</v>
      </c>
      <c r="AM44" s="102">
        <v>1080</v>
      </c>
      <c r="AN44" s="102">
        <v>1070</v>
      </c>
      <c r="AO44" s="103">
        <v>1070</v>
      </c>
      <c r="AP44" s="101">
        <f t="shared" si="13"/>
        <v>1030</v>
      </c>
      <c r="AQ44" s="102">
        <f t="shared" si="13"/>
        <v>1030</v>
      </c>
      <c r="AR44" s="102">
        <f t="shared" si="13"/>
        <v>1030</v>
      </c>
      <c r="AS44" s="102">
        <f t="shared" si="13"/>
        <v>1150</v>
      </c>
      <c r="AT44" s="102">
        <f t="shared" si="13"/>
        <v>1250</v>
      </c>
      <c r="AU44" s="102">
        <f t="shared" si="13"/>
        <v>1220</v>
      </c>
      <c r="AV44" s="102"/>
      <c r="AW44" s="102"/>
      <c r="AX44" s="102"/>
      <c r="AY44" s="102"/>
      <c r="AZ44" s="102"/>
      <c r="BA44" s="103"/>
      <c r="BB44" s="22"/>
    </row>
    <row r="45" spans="1:54" x14ac:dyDescent="0.3">
      <c r="A45" s="16" t="s">
        <v>112</v>
      </c>
      <c r="B45" s="8"/>
      <c r="C45" s="8" t="s">
        <v>113</v>
      </c>
      <c r="D45" s="10" t="s">
        <v>69</v>
      </c>
      <c r="F45" s="104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6"/>
      <c r="R45" s="101">
        <v>1050</v>
      </c>
      <c r="S45" s="102">
        <v>1050</v>
      </c>
      <c r="T45" s="102">
        <v>1050</v>
      </c>
      <c r="U45" s="102">
        <v>1050</v>
      </c>
      <c r="V45" s="102">
        <v>1100</v>
      </c>
      <c r="W45" s="102">
        <v>1100</v>
      </c>
      <c r="X45" s="102">
        <v>1100</v>
      </c>
      <c r="Y45" s="102">
        <v>1100</v>
      </c>
      <c r="Z45" s="102">
        <v>1100</v>
      </c>
      <c r="AA45" s="102">
        <v>1100</v>
      </c>
      <c r="AB45" s="102">
        <v>1100</v>
      </c>
      <c r="AC45" s="103">
        <v>1100</v>
      </c>
      <c r="AD45" s="101">
        <v>1100</v>
      </c>
      <c r="AE45" s="102">
        <v>1100</v>
      </c>
      <c r="AF45" s="102">
        <v>1100</v>
      </c>
      <c r="AG45" s="102">
        <v>1120</v>
      </c>
      <c r="AH45" s="102">
        <v>1120</v>
      </c>
      <c r="AI45" s="102">
        <v>1120</v>
      </c>
      <c r="AJ45" s="102">
        <v>1120</v>
      </c>
      <c r="AK45" s="102">
        <v>1090</v>
      </c>
      <c r="AL45" s="102">
        <v>1090</v>
      </c>
      <c r="AM45" s="102">
        <v>1080</v>
      </c>
      <c r="AN45" s="102">
        <v>1070</v>
      </c>
      <c r="AO45" s="103">
        <v>1070</v>
      </c>
      <c r="AP45" s="101">
        <f t="shared" si="13"/>
        <v>1030</v>
      </c>
      <c r="AQ45" s="102">
        <f t="shared" si="13"/>
        <v>1030</v>
      </c>
      <c r="AR45" s="102">
        <f t="shared" si="13"/>
        <v>1030</v>
      </c>
      <c r="AS45" s="102">
        <f t="shared" si="13"/>
        <v>1150</v>
      </c>
      <c r="AT45" s="102">
        <f t="shared" si="13"/>
        <v>1250</v>
      </c>
      <c r="AU45" s="102">
        <f t="shared" si="13"/>
        <v>1220</v>
      </c>
      <c r="AV45" s="102"/>
      <c r="AW45" s="102"/>
      <c r="AX45" s="102"/>
      <c r="AY45" s="102"/>
      <c r="AZ45" s="102"/>
      <c r="BA45" s="103"/>
      <c r="BB45" s="22"/>
    </row>
    <row r="46" spans="1:54" x14ac:dyDescent="0.3">
      <c r="A46" s="16" t="s">
        <v>542</v>
      </c>
      <c r="B46" s="8"/>
      <c r="C46" s="8" t="s">
        <v>540</v>
      </c>
      <c r="D46" s="10" t="s">
        <v>69</v>
      </c>
      <c r="F46" s="104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6"/>
      <c r="R46" s="101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3"/>
      <c r="AD46" s="101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3"/>
      <c r="AP46" s="101"/>
      <c r="AQ46" s="102"/>
      <c r="AR46" s="102"/>
      <c r="AS46" s="102"/>
      <c r="AT46" s="102">
        <f>AT34-130</f>
        <v>1250</v>
      </c>
      <c r="AU46" s="102">
        <f>AU34-130</f>
        <v>1220</v>
      </c>
      <c r="AV46" s="102"/>
      <c r="AW46" s="102"/>
      <c r="AX46" s="102"/>
      <c r="AY46" s="102"/>
      <c r="AZ46" s="102"/>
      <c r="BA46" s="103"/>
      <c r="BB46" s="22"/>
    </row>
    <row r="47" spans="1:54" x14ac:dyDescent="0.3">
      <c r="A47" s="16" t="s">
        <v>543</v>
      </c>
      <c r="B47" s="8"/>
      <c r="C47" s="8" t="s">
        <v>541</v>
      </c>
      <c r="D47" s="10" t="s">
        <v>69</v>
      </c>
      <c r="F47" s="104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6"/>
      <c r="R47" s="101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3"/>
      <c r="AD47" s="101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3"/>
      <c r="AP47" s="101"/>
      <c r="AQ47" s="102"/>
      <c r="AR47" s="102"/>
      <c r="AS47" s="102"/>
      <c r="AT47" s="102">
        <f>AT35-170</f>
        <v>1210</v>
      </c>
      <c r="AU47" s="102">
        <f>AU35-170</f>
        <v>1180</v>
      </c>
      <c r="AV47" s="102"/>
      <c r="AW47" s="102"/>
      <c r="AX47" s="102"/>
      <c r="AY47" s="102"/>
      <c r="AZ47" s="102"/>
      <c r="BA47" s="103"/>
      <c r="BB47" s="22"/>
    </row>
    <row r="48" spans="1:54" x14ac:dyDescent="0.3">
      <c r="A48" s="16" t="s">
        <v>114</v>
      </c>
      <c r="B48" s="8"/>
      <c r="C48" s="8" t="s">
        <v>115</v>
      </c>
      <c r="D48" s="10" t="s">
        <v>69</v>
      </c>
      <c r="F48" s="104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6"/>
      <c r="R48" s="101"/>
      <c r="S48" s="102"/>
      <c r="T48" s="102"/>
      <c r="U48" s="102"/>
      <c r="V48" s="102"/>
      <c r="W48" s="102"/>
      <c r="X48" s="102"/>
      <c r="Y48" s="102"/>
      <c r="Z48" s="102"/>
      <c r="AA48" s="102"/>
      <c r="AB48" s="102">
        <v>1250</v>
      </c>
      <c r="AC48" s="103">
        <v>1250</v>
      </c>
      <c r="AD48" s="101">
        <v>1250</v>
      </c>
      <c r="AE48" s="102">
        <v>1250</v>
      </c>
      <c r="AF48" s="102">
        <v>1250</v>
      </c>
      <c r="AG48" s="102"/>
      <c r="AH48" s="102"/>
      <c r="AI48" s="102"/>
      <c r="AJ48" s="102"/>
      <c r="AK48" s="102"/>
      <c r="AL48" s="102"/>
      <c r="AM48" s="102"/>
      <c r="AN48" s="102"/>
      <c r="AO48" s="103"/>
      <c r="AP48" s="101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3"/>
      <c r="BB48" s="22"/>
    </row>
    <row r="49" spans="1:56" x14ac:dyDescent="0.3">
      <c r="A49" s="16" t="s">
        <v>116</v>
      </c>
      <c r="B49" s="8"/>
      <c r="C49" s="8" t="s">
        <v>117</v>
      </c>
      <c r="D49" s="10" t="s">
        <v>69</v>
      </c>
      <c r="F49" s="104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6"/>
      <c r="R49" s="101"/>
      <c r="S49" s="102"/>
      <c r="T49" s="102"/>
      <c r="U49" s="102"/>
      <c r="V49" s="102"/>
      <c r="W49" s="102"/>
      <c r="X49" s="102"/>
      <c r="Y49" s="102"/>
      <c r="Z49" s="102"/>
      <c r="AA49" s="102"/>
      <c r="AB49" s="102">
        <v>1190</v>
      </c>
      <c r="AC49" s="103">
        <v>1190</v>
      </c>
      <c r="AD49" s="101">
        <v>1190</v>
      </c>
      <c r="AE49" s="102">
        <v>1190</v>
      </c>
      <c r="AF49" s="102">
        <v>1190</v>
      </c>
      <c r="AG49" s="102"/>
      <c r="AH49" s="102"/>
      <c r="AI49" s="102"/>
      <c r="AJ49" s="102"/>
      <c r="AK49" s="102"/>
      <c r="AL49" s="102"/>
      <c r="AM49" s="102"/>
      <c r="AN49" s="102"/>
      <c r="AO49" s="103"/>
      <c r="AP49" s="101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3"/>
      <c r="BB49" s="22"/>
    </row>
    <row r="50" spans="1:56" x14ac:dyDescent="0.3">
      <c r="A50" s="16" t="s">
        <v>118</v>
      </c>
      <c r="B50" s="8"/>
      <c r="C50" s="8" t="s">
        <v>119</v>
      </c>
      <c r="D50" s="10" t="s">
        <v>69</v>
      </c>
      <c r="F50" s="104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6"/>
      <c r="R50" s="101"/>
      <c r="S50" s="102"/>
      <c r="T50" s="102"/>
      <c r="U50" s="102"/>
      <c r="V50" s="102"/>
      <c r="W50" s="102"/>
      <c r="X50" s="102"/>
      <c r="Y50" s="102"/>
      <c r="Z50" s="102"/>
      <c r="AA50" s="102"/>
      <c r="AB50" s="102">
        <v>1160</v>
      </c>
      <c r="AC50" s="103">
        <v>1160</v>
      </c>
      <c r="AD50" s="101">
        <v>1160</v>
      </c>
      <c r="AE50" s="102">
        <v>1160</v>
      </c>
      <c r="AF50" s="102">
        <v>1160</v>
      </c>
      <c r="AG50" s="102"/>
      <c r="AH50" s="102"/>
      <c r="AI50" s="102"/>
      <c r="AJ50" s="102"/>
      <c r="AK50" s="102"/>
      <c r="AL50" s="102"/>
      <c r="AM50" s="102"/>
      <c r="AN50" s="102"/>
      <c r="AO50" s="103"/>
      <c r="AP50" s="101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3"/>
      <c r="BB50" s="22"/>
    </row>
    <row r="51" spans="1:56" x14ac:dyDescent="0.3">
      <c r="A51" s="16" t="s">
        <v>120</v>
      </c>
      <c r="B51" s="8"/>
      <c r="C51" s="8" t="s">
        <v>121</v>
      </c>
      <c r="D51" s="10" t="s">
        <v>69</v>
      </c>
      <c r="F51" s="104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6"/>
      <c r="R51" s="101"/>
      <c r="S51" s="102"/>
      <c r="T51" s="102"/>
      <c r="U51" s="102"/>
      <c r="V51" s="102"/>
      <c r="W51" s="102"/>
      <c r="X51" s="102"/>
      <c r="Y51" s="102"/>
      <c r="Z51" s="102"/>
      <c r="AA51" s="102"/>
      <c r="AB51" s="102">
        <v>1160</v>
      </c>
      <c r="AC51" s="103">
        <v>1160</v>
      </c>
      <c r="AD51" s="101">
        <v>1160</v>
      </c>
      <c r="AE51" s="102">
        <v>1160</v>
      </c>
      <c r="AF51" s="102">
        <v>1160</v>
      </c>
      <c r="AG51" s="102"/>
      <c r="AH51" s="102"/>
      <c r="AI51" s="102"/>
      <c r="AJ51" s="102"/>
      <c r="AK51" s="102"/>
      <c r="AL51" s="102"/>
      <c r="AM51" s="102"/>
      <c r="AN51" s="102"/>
      <c r="AO51" s="103"/>
      <c r="AP51" s="101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3"/>
      <c r="BB51" s="22"/>
    </row>
    <row r="52" spans="1:56" x14ac:dyDescent="0.3">
      <c r="A52" s="16"/>
      <c r="B52" s="8"/>
      <c r="C52" s="8" t="s">
        <v>122</v>
      </c>
      <c r="D52" s="10" t="s">
        <v>69</v>
      </c>
      <c r="F52" s="104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6"/>
      <c r="R52" s="101"/>
      <c r="S52" s="102"/>
      <c r="T52" s="102"/>
      <c r="U52" s="102"/>
      <c r="V52" s="102"/>
      <c r="W52" s="102"/>
      <c r="X52" s="102"/>
      <c r="Y52" s="102"/>
      <c r="Z52" s="102"/>
      <c r="AA52" s="102"/>
      <c r="AB52" s="102">
        <v>1130</v>
      </c>
      <c r="AC52" s="103">
        <v>1130</v>
      </c>
      <c r="AD52" s="101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3"/>
      <c r="AP52" s="101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3"/>
      <c r="BB52" s="22"/>
    </row>
    <row r="53" spans="1:56" x14ac:dyDescent="0.3">
      <c r="A53" s="16"/>
      <c r="B53" s="8"/>
      <c r="C53" s="8" t="s">
        <v>123</v>
      </c>
      <c r="D53" s="10" t="s">
        <v>69</v>
      </c>
      <c r="F53" s="104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6"/>
      <c r="R53" s="101"/>
      <c r="S53" s="102"/>
      <c r="T53" s="102"/>
      <c r="U53" s="102"/>
      <c r="V53" s="102"/>
      <c r="W53" s="102"/>
      <c r="X53" s="102"/>
      <c r="Y53" s="102"/>
      <c r="Z53" s="102"/>
      <c r="AA53" s="102"/>
      <c r="AB53" s="102">
        <v>1130</v>
      </c>
      <c r="AC53" s="103">
        <v>1130</v>
      </c>
      <c r="AD53" s="101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3"/>
      <c r="AP53" s="101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3"/>
      <c r="BB53" s="22"/>
    </row>
    <row r="54" spans="1:56" x14ac:dyDescent="0.3">
      <c r="A54" s="16"/>
      <c r="B54" s="8"/>
      <c r="C54" s="8" t="s">
        <v>124</v>
      </c>
      <c r="D54" s="10" t="s">
        <v>69</v>
      </c>
      <c r="F54" s="104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6"/>
      <c r="R54" s="101"/>
      <c r="S54" s="102"/>
      <c r="T54" s="102"/>
      <c r="U54" s="102"/>
      <c r="V54" s="102"/>
      <c r="W54" s="102"/>
      <c r="X54" s="102"/>
      <c r="Y54" s="102"/>
      <c r="Z54" s="102"/>
      <c r="AA54" s="102"/>
      <c r="AB54" s="102">
        <v>1100</v>
      </c>
      <c r="AC54" s="103">
        <v>1100</v>
      </c>
      <c r="AD54" s="101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3"/>
      <c r="AP54" s="101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3"/>
      <c r="BB54" s="22"/>
    </row>
    <row r="55" spans="1:56" x14ac:dyDescent="0.3">
      <c r="A55" s="16" t="s">
        <v>125</v>
      </c>
      <c r="B55" s="8"/>
      <c r="C55" s="8" t="s">
        <v>126</v>
      </c>
      <c r="D55" s="10" t="s">
        <v>69</v>
      </c>
      <c r="F55" s="104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6"/>
      <c r="R55" s="101"/>
      <c r="S55" s="102"/>
      <c r="T55" s="102"/>
      <c r="U55" s="102"/>
      <c r="V55" s="102"/>
      <c r="W55" s="102"/>
      <c r="X55" s="102"/>
      <c r="Y55" s="102"/>
      <c r="Z55" s="102"/>
      <c r="AA55" s="102"/>
      <c r="AB55" s="102">
        <v>1100</v>
      </c>
      <c r="AC55" s="103">
        <v>1100</v>
      </c>
      <c r="AD55" s="101">
        <v>1100</v>
      </c>
      <c r="AE55" s="102">
        <v>1100</v>
      </c>
      <c r="AF55" s="102">
        <v>1100</v>
      </c>
      <c r="AG55" s="102"/>
      <c r="AH55" s="102"/>
      <c r="AI55" s="102"/>
      <c r="AJ55" s="102"/>
      <c r="AK55" s="102"/>
      <c r="AL55" s="102"/>
      <c r="AM55" s="102"/>
      <c r="AN55" s="102"/>
      <c r="AO55" s="103"/>
      <c r="AP55" s="101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3"/>
      <c r="BB55" s="22"/>
    </row>
    <row r="56" spans="1:56" x14ac:dyDescent="0.3">
      <c r="A56" s="16"/>
      <c r="B56" s="8"/>
      <c r="C56" s="8"/>
      <c r="D56" s="10"/>
      <c r="F56" s="104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R56" s="101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3"/>
      <c r="AD56" s="101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3"/>
      <c r="AP56" s="101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3"/>
      <c r="BB56" s="22"/>
    </row>
    <row r="57" spans="1:56" x14ac:dyDescent="0.3">
      <c r="A57" s="16" t="s">
        <v>22</v>
      </c>
      <c r="B57" s="8"/>
      <c r="C57" s="8" t="s">
        <v>127</v>
      </c>
      <c r="D57" s="10" t="s">
        <v>69</v>
      </c>
      <c r="F57" s="104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6"/>
      <c r="R57" s="101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3"/>
      <c r="AD57" s="101">
        <v>1400</v>
      </c>
      <c r="AE57" s="102">
        <v>1400</v>
      </c>
      <c r="AF57" s="102">
        <v>1350</v>
      </c>
      <c r="AG57" s="102">
        <v>1350</v>
      </c>
      <c r="AH57" s="102">
        <v>1350</v>
      </c>
      <c r="AI57" s="102">
        <v>1350</v>
      </c>
      <c r="AJ57" s="102">
        <v>1350</v>
      </c>
      <c r="AK57" s="102">
        <v>1330</v>
      </c>
      <c r="AL57" s="102">
        <v>1310</v>
      </c>
      <c r="AM57" s="102">
        <v>1310</v>
      </c>
      <c r="AN57" s="102">
        <v>1300</v>
      </c>
      <c r="AO57" s="103">
        <v>1300</v>
      </c>
      <c r="AP57" s="101">
        <v>1300</v>
      </c>
      <c r="AQ57" s="102">
        <v>1300</v>
      </c>
      <c r="AR57" s="102">
        <v>1300</v>
      </c>
      <c r="AS57" s="102">
        <v>1400</v>
      </c>
      <c r="AT57" s="102">
        <v>1470</v>
      </c>
      <c r="AU57" s="102">
        <v>1450</v>
      </c>
      <c r="AV57" s="102"/>
      <c r="AW57" s="102"/>
      <c r="AX57" s="102"/>
      <c r="AY57" s="102"/>
      <c r="AZ57" s="102"/>
      <c r="BA57" s="103"/>
      <c r="BB57" s="22"/>
    </row>
    <row r="58" spans="1:56" x14ac:dyDescent="0.3">
      <c r="A58" s="16" t="s">
        <v>24</v>
      </c>
      <c r="B58" s="8"/>
      <c r="C58" s="8" t="s">
        <v>128</v>
      </c>
      <c r="D58" s="10" t="s">
        <v>69</v>
      </c>
      <c r="F58" s="104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6"/>
      <c r="R58" s="101">
        <v>1350</v>
      </c>
      <c r="S58" s="102">
        <v>1350</v>
      </c>
      <c r="T58" s="102">
        <v>1350</v>
      </c>
      <c r="U58" s="102">
        <v>1350</v>
      </c>
      <c r="V58" s="102">
        <v>1350</v>
      </c>
      <c r="W58" s="102">
        <v>1350</v>
      </c>
      <c r="X58" s="102">
        <v>1350</v>
      </c>
      <c r="Y58" s="102">
        <v>1350</v>
      </c>
      <c r="Z58" s="102">
        <v>1350</v>
      </c>
      <c r="AA58" s="102">
        <v>1350</v>
      </c>
      <c r="AB58" s="102">
        <v>1350</v>
      </c>
      <c r="AC58" s="103">
        <v>1350</v>
      </c>
      <c r="AD58" s="101">
        <v>1350</v>
      </c>
      <c r="AE58" s="102">
        <v>1300</v>
      </c>
      <c r="AF58" s="102">
        <v>1250</v>
      </c>
      <c r="AG58" s="102">
        <v>1250</v>
      </c>
      <c r="AH58" s="102">
        <v>1250</v>
      </c>
      <c r="AI58" s="102">
        <v>1250</v>
      </c>
      <c r="AJ58" s="102">
        <v>1250</v>
      </c>
      <c r="AK58" s="102">
        <v>1230</v>
      </c>
      <c r="AL58" s="102">
        <v>1210</v>
      </c>
      <c r="AM58" s="102">
        <v>1210</v>
      </c>
      <c r="AN58" s="102">
        <v>1200</v>
      </c>
      <c r="AO58" s="103">
        <v>1200</v>
      </c>
      <c r="AP58" s="101">
        <v>1200</v>
      </c>
      <c r="AQ58" s="102">
        <v>1200</v>
      </c>
      <c r="AR58" s="102">
        <v>1200</v>
      </c>
      <c r="AS58" s="102">
        <v>1300</v>
      </c>
      <c r="AT58" s="102">
        <v>1370</v>
      </c>
      <c r="AU58" s="102">
        <f>AU57-100</f>
        <v>1350</v>
      </c>
      <c r="AV58" s="102"/>
      <c r="AW58" s="102"/>
      <c r="AX58" s="102"/>
      <c r="AY58" s="102"/>
      <c r="AZ58" s="102"/>
      <c r="BA58" s="103"/>
      <c r="BB58" s="22"/>
    </row>
    <row r="59" spans="1:56" x14ac:dyDescent="0.3">
      <c r="A59" s="16" t="s">
        <v>64</v>
      </c>
      <c r="B59" s="8"/>
      <c r="C59" s="8" t="s">
        <v>411</v>
      </c>
      <c r="D59" s="10" t="s">
        <v>69</v>
      </c>
      <c r="F59" s="104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6"/>
      <c r="R59" s="101">
        <v>1350</v>
      </c>
      <c r="S59" s="102">
        <v>1350</v>
      </c>
      <c r="T59" s="102">
        <v>1350</v>
      </c>
      <c r="U59" s="102">
        <v>1350</v>
      </c>
      <c r="V59" s="102">
        <v>1350</v>
      </c>
      <c r="W59" s="102">
        <v>1350</v>
      </c>
      <c r="X59" s="102">
        <v>1350</v>
      </c>
      <c r="Y59" s="102">
        <v>1350</v>
      </c>
      <c r="Z59" s="102">
        <v>1350</v>
      </c>
      <c r="AA59" s="102">
        <v>1350</v>
      </c>
      <c r="AB59" s="102">
        <v>1350</v>
      </c>
      <c r="AC59" s="103">
        <v>1350</v>
      </c>
      <c r="AD59" s="101">
        <v>1350</v>
      </c>
      <c r="AE59" s="102">
        <v>1350</v>
      </c>
      <c r="AF59" s="102">
        <v>1300</v>
      </c>
      <c r="AG59" s="102">
        <v>1300</v>
      </c>
      <c r="AH59" s="102">
        <v>1300</v>
      </c>
      <c r="AI59" s="102">
        <v>1300</v>
      </c>
      <c r="AJ59" s="102">
        <v>1300</v>
      </c>
      <c r="AK59" s="102">
        <v>1280</v>
      </c>
      <c r="AL59" s="102">
        <v>1260</v>
      </c>
      <c r="AM59" s="102">
        <v>1260</v>
      </c>
      <c r="AN59" s="102">
        <v>1250</v>
      </c>
      <c r="AO59" s="103">
        <v>1250</v>
      </c>
      <c r="AP59" s="101">
        <v>1250</v>
      </c>
      <c r="AQ59" s="102">
        <v>1250</v>
      </c>
      <c r="AR59" s="102">
        <v>1250</v>
      </c>
      <c r="AS59" s="102">
        <v>1350</v>
      </c>
      <c r="AT59" s="102">
        <v>1420</v>
      </c>
      <c r="AU59" s="102">
        <f>AU57-50</f>
        <v>1400</v>
      </c>
      <c r="AV59" s="102"/>
      <c r="AW59" s="102"/>
      <c r="AX59" s="102"/>
      <c r="AY59" s="102"/>
      <c r="AZ59" s="102"/>
      <c r="BA59" s="103"/>
      <c r="BB59" s="22"/>
    </row>
    <row r="60" spans="1:56" x14ac:dyDescent="0.3">
      <c r="A60" s="16"/>
      <c r="B60" s="8"/>
      <c r="C60" s="8"/>
      <c r="D60" s="10"/>
      <c r="F60" s="104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6"/>
      <c r="R60" s="101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3"/>
      <c r="AD60" s="101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3"/>
      <c r="AP60" s="101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3"/>
      <c r="BB60" s="22"/>
    </row>
    <row r="61" spans="1:56" x14ac:dyDescent="0.3">
      <c r="A61" s="16"/>
      <c r="B61" s="8"/>
      <c r="C61" s="8"/>
      <c r="D61" s="10"/>
      <c r="F61" s="104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6"/>
      <c r="R61" s="101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3"/>
      <c r="AD61" s="101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3"/>
      <c r="AP61" s="101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3"/>
      <c r="BB61" s="22"/>
    </row>
    <row r="62" spans="1:56" x14ac:dyDescent="0.3">
      <c r="A62" s="16"/>
      <c r="B62" s="8"/>
      <c r="C62" s="8"/>
      <c r="D62" s="10"/>
      <c r="F62" s="104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6"/>
      <c r="R62" s="101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3"/>
      <c r="AD62" s="101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3"/>
      <c r="AP62" s="101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3"/>
      <c r="BB62" s="22"/>
    </row>
    <row r="63" spans="1:56" x14ac:dyDescent="0.3">
      <c r="A63" s="16"/>
      <c r="B63" s="8"/>
      <c r="C63" s="8"/>
      <c r="D63" s="10"/>
      <c r="F63" s="104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6"/>
      <c r="R63" s="101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3"/>
      <c r="AD63" s="101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3"/>
      <c r="AP63" s="101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3"/>
      <c r="BB63" s="22"/>
      <c r="BD63" s="394" t="s">
        <v>385</v>
      </c>
    </row>
    <row r="64" spans="1:56" x14ac:dyDescent="0.3">
      <c r="A64" s="16"/>
      <c r="B64" s="8"/>
      <c r="C64" s="8"/>
      <c r="D64" s="10"/>
      <c r="F64" s="104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6"/>
      <c r="R64" s="101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3"/>
      <c r="AD64" s="101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3"/>
      <c r="AP64" s="101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3"/>
      <c r="BB64" s="22"/>
    </row>
    <row r="65" spans="1:54" x14ac:dyDescent="0.3">
      <c r="A65" s="16"/>
      <c r="B65" s="8"/>
      <c r="C65" s="8"/>
      <c r="D65" s="10"/>
      <c r="F65" s="104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6"/>
      <c r="R65" s="101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3"/>
      <c r="AD65" s="101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3"/>
      <c r="AP65" s="101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3"/>
      <c r="BB65" s="22"/>
    </row>
    <row r="66" spans="1:54" x14ac:dyDescent="0.3">
      <c r="A66" s="16"/>
      <c r="B66" s="8"/>
      <c r="C66" s="8"/>
      <c r="D66" s="10"/>
      <c r="F66" s="104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6"/>
      <c r="R66" s="101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3"/>
      <c r="AD66" s="101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3"/>
      <c r="AP66" s="101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3"/>
      <c r="BB66" s="22"/>
    </row>
    <row r="67" spans="1:54" x14ac:dyDescent="0.3">
      <c r="A67" s="16"/>
      <c r="B67" s="8"/>
      <c r="C67" s="8"/>
      <c r="D67" s="10"/>
      <c r="F67" s="104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6"/>
      <c r="R67" s="101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3"/>
      <c r="AD67" s="101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3"/>
      <c r="AP67" s="101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3"/>
      <c r="BB67" s="22"/>
    </row>
    <row r="68" spans="1:54" x14ac:dyDescent="0.3">
      <c r="A68" s="16"/>
      <c r="B68" s="8"/>
      <c r="C68" s="8"/>
      <c r="D68" s="10"/>
      <c r="F68" s="104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6"/>
      <c r="R68" s="101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3"/>
      <c r="AD68" s="101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3"/>
      <c r="AP68" s="101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3"/>
      <c r="BB68" s="22"/>
    </row>
    <row r="69" spans="1:54" x14ac:dyDescent="0.3">
      <c r="A69" s="16"/>
      <c r="B69" s="8"/>
      <c r="C69" s="8"/>
      <c r="D69" s="10"/>
      <c r="F69" s="55"/>
      <c r="G69" s="8"/>
      <c r="H69" s="8"/>
      <c r="I69" s="8"/>
      <c r="J69" s="8"/>
      <c r="K69" s="8"/>
      <c r="L69" s="8"/>
      <c r="M69" s="8"/>
      <c r="N69" s="8"/>
      <c r="O69" s="8"/>
      <c r="P69" s="8"/>
      <c r="Q69" s="56"/>
      <c r="R69" s="55"/>
      <c r="S69" s="8"/>
      <c r="T69" s="8"/>
      <c r="U69" s="8"/>
      <c r="V69" s="8"/>
      <c r="W69" s="8"/>
      <c r="X69" s="8"/>
      <c r="Y69" s="8"/>
      <c r="Z69" s="8"/>
      <c r="AA69" s="8"/>
      <c r="AB69" s="8"/>
      <c r="AC69" s="50"/>
      <c r="AD69" s="55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56"/>
      <c r="AP69" s="55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56"/>
      <c r="BB69" s="22"/>
    </row>
    <row r="70" spans="1:54" s="1" customFormat="1" x14ac:dyDescent="0.3">
      <c r="A70" s="17"/>
      <c r="B70" s="64"/>
      <c r="C70" s="64" t="s">
        <v>130</v>
      </c>
      <c r="D70" s="65"/>
      <c r="E70" s="66"/>
      <c r="F70" s="67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8"/>
      <c r="R70" s="67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8"/>
      <c r="AD70" s="67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8"/>
      <c r="AP70" s="67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8"/>
      <c r="BB70" s="41"/>
    </row>
    <row r="71" spans="1:54" x14ac:dyDescent="0.3">
      <c r="A71" s="16" t="s">
        <v>131</v>
      </c>
      <c r="B71" s="8"/>
      <c r="C71" s="8" t="s">
        <v>132</v>
      </c>
      <c r="D71" s="10" t="s">
        <v>69</v>
      </c>
      <c r="F71" s="104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6"/>
      <c r="R71" s="104">
        <v>20</v>
      </c>
      <c r="S71" s="105">
        <v>20</v>
      </c>
      <c r="T71" s="105">
        <v>20</v>
      </c>
      <c r="U71" s="105">
        <v>20</v>
      </c>
      <c r="V71" s="105">
        <v>20</v>
      </c>
      <c r="W71" s="105">
        <v>20</v>
      </c>
      <c r="X71" s="105">
        <v>20</v>
      </c>
      <c r="Y71" s="105">
        <v>20</v>
      </c>
      <c r="Z71" s="105">
        <v>20</v>
      </c>
      <c r="AA71" s="105">
        <v>20</v>
      </c>
      <c r="AB71" s="105">
        <v>20</v>
      </c>
      <c r="AC71" s="103">
        <v>20</v>
      </c>
      <c r="AD71" s="104">
        <v>20</v>
      </c>
      <c r="AE71" s="105">
        <v>20</v>
      </c>
      <c r="AF71" s="105">
        <v>22</v>
      </c>
      <c r="AG71" s="105">
        <v>22</v>
      </c>
      <c r="AH71" s="105">
        <v>22</v>
      </c>
      <c r="AI71" s="105">
        <v>22</v>
      </c>
      <c r="AJ71" s="105">
        <v>22</v>
      </c>
      <c r="AK71" s="105">
        <v>20</v>
      </c>
      <c r="AL71" s="105">
        <v>20</v>
      </c>
      <c r="AM71" s="105">
        <v>20</v>
      </c>
      <c r="AN71" s="105">
        <v>20</v>
      </c>
      <c r="AO71" s="106">
        <v>20</v>
      </c>
      <c r="AP71" s="104">
        <v>20</v>
      </c>
      <c r="AQ71" s="105">
        <v>20</v>
      </c>
      <c r="AR71" s="105">
        <v>20</v>
      </c>
      <c r="AS71" s="105">
        <v>20</v>
      </c>
      <c r="AT71" s="105">
        <v>20</v>
      </c>
      <c r="AU71" s="105">
        <v>20</v>
      </c>
      <c r="AV71" s="105"/>
      <c r="AW71" s="105"/>
      <c r="AX71" s="105"/>
      <c r="AY71" s="105"/>
      <c r="AZ71" s="105"/>
      <c r="BA71" s="106"/>
      <c r="BB71" s="22"/>
    </row>
    <row r="72" spans="1:54" x14ac:dyDescent="0.3">
      <c r="A72" s="16" t="s">
        <v>9</v>
      </c>
      <c r="B72" s="8"/>
      <c r="C72" s="8" t="s">
        <v>133</v>
      </c>
      <c r="D72" s="10" t="s">
        <v>69</v>
      </c>
      <c r="F72" s="55"/>
      <c r="G72" s="8"/>
      <c r="H72" s="8"/>
      <c r="I72" s="8"/>
      <c r="J72" s="8"/>
      <c r="K72" s="8"/>
      <c r="L72" s="8"/>
      <c r="M72" s="8"/>
      <c r="N72" s="8"/>
      <c r="O72" s="8"/>
      <c r="P72" s="8"/>
      <c r="Q72" s="56"/>
      <c r="R72" s="104">
        <v>930</v>
      </c>
      <c r="S72" s="105">
        <v>943.33333333333337</v>
      </c>
      <c r="T72" s="105">
        <v>940</v>
      </c>
      <c r="U72" s="105">
        <v>940</v>
      </c>
      <c r="V72" s="105">
        <v>942</v>
      </c>
      <c r="W72" s="105">
        <v>950</v>
      </c>
      <c r="X72" s="105">
        <v>947.5</v>
      </c>
      <c r="Y72" s="105">
        <v>930</v>
      </c>
      <c r="Z72" s="105">
        <v>880</v>
      </c>
      <c r="AA72" s="105">
        <v>862.5</v>
      </c>
      <c r="AB72" s="105">
        <v>852</v>
      </c>
      <c r="AC72" s="103">
        <v>830</v>
      </c>
      <c r="AD72" s="104">
        <v>828</v>
      </c>
      <c r="AE72" s="105">
        <v>840</v>
      </c>
      <c r="AF72" s="105">
        <v>823</v>
      </c>
      <c r="AG72" s="105">
        <v>765</v>
      </c>
      <c r="AH72" s="105">
        <v>782</v>
      </c>
      <c r="AI72" s="105">
        <v>807.5</v>
      </c>
      <c r="AJ72" s="105">
        <v>802</v>
      </c>
      <c r="AK72" s="105">
        <v>795</v>
      </c>
      <c r="AL72" s="105">
        <v>783</v>
      </c>
      <c r="AM72" s="105">
        <v>772</v>
      </c>
      <c r="AN72" s="105">
        <v>770</v>
      </c>
      <c r="AO72" s="106">
        <v>772.5</v>
      </c>
      <c r="AP72" s="104">
        <v>805</v>
      </c>
      <c r="AQ72" s="105">
        <v>840</v>
      </c>
      <c r="AR72" s="105">
        <v>1109</v>
      </c>
      <c r="AS72" s="105">
        <v>1194</v>
      </c>
      <c r="AT72" s="105">
        <v>1216</v>
      </c>
      <c r="AU72" s="479">
        <v>1190</v>
      </c>
      <c r="AV72" s="105"/>
      <c r="AW72" s="105"/>
      <c r="AX72" s="105"/>
      <c r="AY72" s="105"/>
      <c r="AZ72" s="105"/>
      <c r="BA72" s="106"/>
      <c r="BB72" s="22"/>
    </row>
    <row r="73" spans="1:54" x14ac:dyDescent="0.3">
      <c r="A73" s="16" t="s">
        <v>21</v>
      </c>
      <c r="B73" s="8"/>
      <c r="C73" s="8" t="s">
        <v>134</v>
      </c>
      <c r="D73" s="10" t="s">
        <v>69</v>
      </c>
      <c r="F73" s="55"/>
      <c r="G73" s="8"/>
      <c r="H73" s="8"/>
      <c r="I73" s="8"/>
      <c r="J73" s="8"/>
      <c r="K73" s="8"/>
      <c r="L73" s="8"/>
      <c r="M73" s="8"/>
      <c r="N73" s="8"/>
      <c r="O73" s="8"/>
      <c r="P73" s="8"/>
      <c r="Q73" s="56"/>
      <c r="R73" s="104">
        <v>940</v>
      </c>
      <c r="S73" s="105">
        <v>993.33333333333337</v>
      </c>
      <c r="T73" s="105">
        <v>985</v>
      </c>
      <c r="U73" s="105">
        <v>962.5</v>
      </c>
      <c r="V73" s="105">
        <v>982</v>
      </c>
      <c r="W73" s="105">
        <v>1000</v>
      </c>
      <c r="X73" s="105">
        <v>1000</v>
      </c>
      <c r="Y73" s="105">
        <v>984</v>
      </c>
      <c r="Z73" s="105">
        <v>967.5</v>
      </c>
      <c r="AA73" s="105">
        <v>965</v>
      </c>
      <c r="AB73" s="105">
        <v>974</v>
      </c>
      <c r="AC73" s="103">
        <v>956</v>
      </c>
      <c r="AD73" s="104">
        <v>940</v>
      </c>
      <c r="AE73" s="105">
        <v>918</v>
      </c>
      <c r="AF73" s="105">
        <v>896</v>
      </c>
      <c r="AG73" s="105">
        <v>891.5</v>
      </c>
      <c r="AH73" s="105">
        <v>864</v>
      </c>
      <c r="AI73" s="105">
        <v>833</v>
      </c>
      <c r="AJ73" s="105">
        <v>833</v>
      </c>
      <c r="AK73" s="105">
        <v>815</v>
      </c>
      <c r="AL73" s="105">
        <v>813</v>
      </c>
      <c r="AM73" s="105">
        <v>805</v>
      </c>
      <c r="AN73" s="105">
        <v>805</v>
      </c>
      <c r="AO73" s="106">
        <v>802.5</v>
      </c>
      <c r="AP73" s="104">
        <v>800</v>
      </c>
      <c r="AQ73" s="105">
        <v>800</v>
      </c>
      <c r="AR73" s="105">
        <v>1331</v>
      </c>
      <c r="AS73" s="105">
        <v>1590</v>
      </c>
      <c r="AT73" s="105">
        <v>1523</v>
      </c>
      <c r="AU73" s="479">
        <v>1470</v>
      </c>
      <c r="AV73" s="105"/>
      <c r="AW73" s="105"/>
      <c r="AX73" s="105"/>
      <c r="AY73" s="105"/>
      <c r="AZ73" s="105"/>
      <c r="BA73" s="106"/>
      <c r="BB73" s="22"/>
    </row>
    <row r="74" spans="1:54" x14ac:dyDescent="0.3">
      <c r="A74" s="16" t="s">
        <v>135</v>
      </c>
      <c r="B74" s="8"/>
      <c r="C74" s="8" t="s">
        <v>136</v>
      </c>
      <c r="D74" s="10" t="s">
        <v>69</v>
      </c>
      <c r="F74" s="55"/>
      <c r="G74" s="8"/>
      <c r="H74" s="8"/>
      <c r="I74" s="8"/>
      <c r="J74" s="8"/>
      <c r="K74" s="8"/>
      <c r="L74" s="8"/>
      <c r="M74" s="8"/>
      <c r="N74" s="8"/>
      <c r="O74" s="8"/>
      <c r="P74" s="8"/>
      <c r="Q74" s="56"/>
      <c r="R74" s="104">
        <v>962.5</v>
      </c>
      <c r="S74" s="105">
        <v>986.66666666666663</v>
      </c>
      <c r="T74" s="105">
        <v>990</v>
      </c>
      <c r="U74" s="105">
        <v>992.5</v>
      </c>
      <c r="V74" s="105">
        <v>1002</v>
      </c>
      <c r="W74" s="105">
        <v>1025</v>
      </c>
      <c r="X74" s="105">
        <v>1020</v>
      </c>
      <c r="Y74" s="105">
        <v>970</v>
      </c>
      <c r="Z74" s="105">
        <v>955</v>
      </c>
      <c r="AA74" s="105">
        <v>956.66666666666663</v>
      </c>
      <c r="AB74" s="105">
        <v>968</v>
      </c>
      <c r="AC74" s="103">
        <v>960</v>
      </c>
      <c r="AD74" s="104">
        <v>970</v>
      </c>
      <c r="AE74" s="105">
        <v>985</v>
      </c>
      <c r="AF74" s="105">
        <v>980</v>
      </c>
      <c r="AG74" s="105">
        <v>965</v>
      </c>
      <c r="AH74" s="105">
        <v>932</v>
      </c>
      <c r="AI74" s="105">
        <v>922.5</v>
      </c>
      <c r="AJ74" s="105">
        <v>918</v>
      </c>
      <c r="AK74" s="105">
        <v>895</v>
      </c>
      <c r="AL74" s="105">
        <v>870</v>
      </c>
      <c r="AM74" s="105">
        <v>842</v>
      </c>
      <c r="AN74" s="105">
        <v>827.5</v>
      </c>
      <c r="AO74" s="106">
        <v>820</v>
      </c>
      <c r="AP74" s="104">
        <v>816</v>
      </c>
      <c r="AQ74" s="105">
        <v>848</v>
      </c>
      <c r="AR74" s="105">
        <v>1250</v>
      </c>
      <c r="AS74" s="105">
        <v>1437</v>
      </c>
      <c r="AT74" s="105">
        <v>1385</v>
      </c>
      <c r="AU74" s="479">
        <v>1310</v>
      </c>
      <c r="AV74" s="105"/>
      <c r="AW74" s="105"/>
      <c r="AX74" s="105"/>
      <c r="AY74" s="105"/>
      <c r="AZ74" s="105"/>
      <c r="BA74" s="106"/>
      <c r="BB74" s="22"/>
    </row>
    <row r="75" spans="1:54" x14ac:dyDescent="0.3">
      <c r="A75" s="16"/>
      <c r="B75" s="8"/>
      <c r="C75" s="8"/>
      <c r="D75" s="10"/>
      <c r="F75" s="55"/>
      <c r="G75" s="8"/>
      <c r="H75" s="8"/>
      <c r="I75" s="8"/>
      <c r="J75" s="8"/>
      <c r="K75" s="8"/>
      <c r="L75" s="8"/>
      <c r="M75" s="8"/>
      <c r="N75" s="8"/>
      <c r="O75" s="8"/>
      <c r="P75" s="8"/>
      <c r="Q75" s="56"/>
      <c r="R75" s="55"/>
      <c r="S75" s="8"/>
      <c r="T75" s="8"/>
      <c r="U75" s="8"/>
      <c r="V75" s="8"/>
      <c r="W75" s="8"/>
      <c r="X75" s="8"/>
      <c r="Y75" s="8"/>
      <c r="Z75" s="8"/>
      <c r="AA75" s="8"/>
      <c r="AB75" s="8"/>
      <c r="AC75" s="56"/>
      <c r="AD75" s="55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56"/>
      <c r="AP75" s="55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56"/>
      <c r="BB75" s="22"/>
    </row>
    <row r="76" spans="1:54" x14ac:dyDescent="0.3">
      <c r="A76" s="16"/>
      <c r="B76" s="8"/>
      <c r="C76" s="8"/>
      <c r="D76" s="10"/>
      <c r="F76" s="55"/>
      <c r="G76" s="8"/>
      <c r="H76" s="8"/>
      <c r="I76" s="8"/>
      <c r="J76" s="8"/>
      <c r="K76" s="8"/>
      <c r="L76" s="8"/>
      <c r="M76" s="8"/>
      <c r="N76" s="8"/>
      <c r="O76" s="8"/>
      <c r="P76" s="8"/>
      <c r="Q76" s="56"/>
      <c r="R76" s="55"/>
      <c r="S76" s="8"/>
      <c r="T76" s="8"/>
      <c r="U76" s="8"/>
      <c r="V76" s="8"/>
      <c r="W76" s="8"/>
      <c r="X76" s="8"/>
      <c r="Y76" s="8"/>
      <c r="Z76" s="8"/>
      <c r="AA76" s="8"/>
      <c r="AB76" s="8"/>
      <c r="AC76" s="56"/>
      <c r="AD76" s="55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56"/>
      <c r="AP76" s="55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56"/>
      <c r="BB76" s="22"/>
    </row>
    <row r="77" spans="1:54" x14ac:dyDescent="0.3">
      <c r="A77" s="16"/>
      <c r="B77" s="8"/>
      <c r="C77" s="8"/>
      <c r="D77" s="10"/>
      <c r="F77" s="55"/>
      <c r="G77" s="8"/>
      <c r="H77" s="8"/>
      <c r="I77" s="8"/>
      <c r="J77" s="8"/>
      <c r="K77" s="8"/>
      <c r="L77" s="8"/>
      <c r="M77" s="8"/>
      <c r="N77" s="8"/>
      <c r="O77" s="8"/>
      <c r="P77" s="8"/>
      <c r="Q77" s="56"/>
      <c r="R77" s="55"/>
      <c r="S77" s="8"/>
      <c r="T77" s="8"/>
      <c r="U77" s="8"/>
      <c r="V77" s="8"/>
      <c r="W77" s="8"/>
      <c r="X77" s="8"/>
      <c r="Y77" s="8"/>
      <c r="Z77" s="8"/>
      <c r="AA77" s="8"/>
      <c r="AB77" s="8"/>
      <c r="AC77" s="56"/>
      <c r="AD77" s="55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56"/>
      <c r="AP77" s="55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56"/>
      <c r="BB77" s="22"/>
    </row>
    <row r="78" spans="1:54" x14ac:dyDescent="0.3">
      <c r="A78" s="16"/>
      <c r="B78" s="8"/>
      <c r="C78" s="8"/>
      <c r="D78" s="10"/>
      <c r="F78" s="55"/>
      <c r="G78" s="8"/>
      <c r="H78" s="8"/>
      <c r="I78" s="8"/>
      <c r="J78" s="8"/>
      <c r="K78" s="8"/>
      <c r="L78" s="8"/>
      <c r="M78" s="8"/>
      <c r="N78" s="8"/>
      <c r="O78" s="8"/>
      <c r="P78" s="8"/>
      <c r="Q78" s="56"/>
      <c r="R78" s="55"/>
      <c r="S78" s="8"/>
      <c r="T78" s="8"/>
      <c r="U78" s="8"/>
      <c r="V78" s="8"/>
      <c r="W78" s="8"/>
      <c r="X78" s="8"/>
      <c r="Y78" s="8"/>
      <c r="Z78" s="8"/>
      <c r="AA78" s="8"/>
      <c r="AB78" s="8"/>
      <c r="AC78" s="56"/>
      <c r="AD78" s="55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56"/>
      <c r="AP78" s="55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56"/>
      <c r="BB78" s="22"/>
    </row>
    <row r="79" spans="1:54" x14ac:dyDescent="0.3">
      <c r="A79" s="16"/>
      <c r="B79" s="8"/>
      <c r="C79" s="8"/>
      <c r="D79" s="10"/>
      <c r="F79" s="55"/>
      <c r="G79" s="8"/>
      <c r="H79" s="8"/>
      <c r="I79" s="8"/>
      <c r="J79" s="8"/>
      <c r="K79" s="8"/>
      <c r="L79" s="8"/>
      <c r="M79" s="8"/>
      <c r="N79" s="8"/>
      <c r="O79" s="8"/>
      <c r="P79" s="8"/>
      <c r="Q79" s="56"/>
      <c r="R79" s="55"/>
      <c r="S79" s="8"/>
      <c r="T79" s="8"/>
      <c r="U79" s="8"/>
      <c r="V79" s="8"/>
      <c r="W79" s="8"/>
      <c r="X79" s="8"/>
      <c r="Y79" s="8"/>
      <c r="Z79" s="8"/>
      <c r="AA79" s="8"/>
      <c r="AB79" s="8"/>
      <c r="AC79" s="56"/>
      <c r="AD79" s="55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56"/>
      <c r="AP79" s="55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56"/>
      <c r="BB79" s="22"/>
    </row>
    <row r="80" spans="1:54" x14ac:dyDescent="0.3">
      <c r="A80" s="16"/>
      <c r="B80" s="8"/>
      <c r="C80" s="8"/>
      <c r="D80" s="10"/>
      <c r="F80" s="55"/>
      <c r="G80" s="8"/>
      <c r="H80" s="8"/>
      <c r="I80" s="8"/>
      <c r="J80" s="8"/>
      <c r="K80" s="8"/>
      <c r="L80" s="8"/>
      <c r="M80" s="8"/>
      <c r="N80" s="8"/>
      <c r="O80" s="8"/>
      <c r="P80" s="8"/>
      <c r="Q80" s="56"/>
      <c r="R80" s="55"/>
      <c r="S80" s="8"/>
      <c r="T80" s="8"/>
      <c r="U80" s="8"/>
      <c r="V80" s="8"/>
      <c r="W80" s="8"/>
      <c r="X80" s="8"/>
      <c r="Y80" s="8"/>
      <c r="Z80" s="8"/>
      <c r="AA80" s="8"/>
      <c r="AB80" s="8"/>
      <c r="AC80" s="56"/>
      <c r="AD80" s="55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56"/>
      <c r="AP80" s="55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56"/>
      <c r="BB80" s="22"/>
    </row>
    <row r="81" spans="1:54" x14ac:dyDescent="0.3">
      <c r="A81" s="16"/>
      <c r="B81" s="8"/>
      <c r="C81" s="8"/>
      <c r="D81" s="10"/>
      <c r="F81" s="55"/>
      <c r="G81" s="8"/>
      <c r="H81" s="8"/>
      <c r="I81" s="8"/>
      <c r="J81" s="8"/>
      <c r="K81" s="8"/>
      <c r="L81" s="8"/>
      <c r="M81" s="8"/>
      <c r="N81" s="8"/>
      <c r="O81" s="8"/>
      <c r="P81" s="8"/>
      <c r="Q81" s="56"/>
      <c r="R81" s="55"/>
      <c r="S81" s="8"/>
      <c r="T81" s="8"/>
      <c r="U81" s="8"/>
      <c r="V81" s="8"/>
      <c r="W81" s="8"/>
      <c r="X81" s="8"/>
      <c r="Y81" s="8"/>
      <c r="Z81" s="8"/>
      <c r="AA81" s="8"/>
      <c r="AB81" s="8"/>
      <c r="AC81" s="56"/>
      <c r="AD81" s="55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56"/>
      <c r="AP81" s="55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56"/>
      <c r="BB81" s="22"/>
    </row>
    <row r="82" spans="1:54" s="1" customFormat="1" x14ac:dyDescent="0.3">
      <c r="A82" s="17"/>
      <c r="B82" s="64"/>
      <c r="C82" s="64" t="s">
        <v>515</v>
      </c>
      <c r="D82" s="65"/>
      <c r="E82" s="66"/>
      <c r="F82" s="67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8"/>
      <c r="R82" s="67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8"/>
      <c r="AD82" s="67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8"/>
      <c r="AP82" s="67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8"/>
      <c r="BB82" s="41"/>
    </row>
    <row r="83" spans="1:54" x14ac:dyDescent="0.3">
      <c r="A83" s="16"/>
      <c r="B83" s="8"/>
      <c r="C83" s="8"/>
      <c r="D83" s="10"/>
      <c r="F83" s="55"/>
      <c r="G83" s="8"/>
      <c r="H83" s="8"/>
      <c r="I83" s="8"/>
      <c r="J83" s="8"/>
      <c r="K83" s="8"/>
      <c r="L83" s="8"/>
      <c r="M83" s="8"/>
      <c r="N83" s="8"/>
      <c r="O83" s="8"/>
      <c r="P83" s="8"/>
      <c r="Q83" s="56"/>
      <c r="R83" s="55"/>
      <c r="S83" s="8"/>
      <c r="T83" s="8"/>
      <c r="U83" s="8"/>
      <c r="V83" s="8"/>
      <c r="W83" s="8"/>
      <c r="X83" s="8"/>
      <c r="Y83" s="8"/>
      <c r="Z83" s="8"/>
      <c r="AA83" s="8"/>
      <c r="AB83" s="8"/>
      <c r="AC83" s="56"/>
      <c r="AD83" s="55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56"/>
      <c r="AP83" s="55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56"/>
      <c r="BB83" s="22"/>
    </row>
    <row r="84" spans="1:54" x14ac:dyDescent="0.3">
      <c r="A84" s="16" t="s">
        <v>517</v>
      </c>
      <c r="B84" s="8"/>
      <c r="C84" s="8" t="s">
        <v>88</v>
      </c>
      <c r="D84" s="10" t="s">
        <v>516</v>
      </c>
      <c r="F84" s="49"/>
      <c r="G84" s="33"/>
      <c r="H84" s="33">
        <v>35976.996249999997</v>
      </c>
      <c r="I84" s="33">
        <v>32746.743373788911</v>
      </c>
      <c r="J84" s="33">
        <v>31882.295614973264</v>
      </c>
      <c r="K84" s="33">
        <v>29309.499515151514</v>
      </c>
      <c r="L84" s="33">
        <v>29115.852993506494</v>
      </c>
      <c r="M84" s="33">
        <v>11769.290831168832</v>
      </c>
      <c r="N84" s="33">
        <v>21312.662609090909</v>
      </c>
      <c r="O84" s="33">
        <v>22821.724392961882</v>
      </c>
      <c r="P84" s="33"/>
      <c r="Q84" s="50">
        <v>20668.2186</v>
      </c>
      <c r="R84" s="49">
        <v>21389.584219802229</v>
      </c>
      <c r="S84" s="33">
        <v>23028.202542012717</v>
      </c>
      <c r="T84" s="33">
        <v>23722.006683884301</v>
      </c>
      <c r="U84" s="33">
        <v>24486.137577175527</v>
      </c>
      <c r="V84" s="33">
        <v>24399.773065909092</v>
      </c>
      <c r="W84" s="33">
        <v>25536.196159497507</v>
      </c>
      <c r="X84" s="33">
        <v>27434.506322809782</v>
      </c>
      <c r="Y84" s="33">
        <v>31449.164572772916</v>
      </c>
      <c r="Z84" s="33">
        <v>29819.487014155431</v>
      </c>
      <c r="AA84" s="33">
        <v>28329.980723289435</v>
      </c>
      <c r="AB84" s="33">
        <v>27453.618855980902</v>
      </c>
      <c r="AC84" s="50">
        <v>26222.061167328626</v>
      </c>
      <c r="AD84" s="49">
        <v>26636.456109832565</v>
      </c>
      <c r="AE84" s="33">
        <v>26490.414989236669</v>
      </c>
      <c r="AF84" s="33">
        <v>26477.631481754092</v>
      </c>
      <c r="AG84" s="33">
        <v>26667.687142087307</v>
      </c>
      <c r="AH84" s="33">
        <v>27837.255378615369</v>
      </c>
      <c r="AI84" s="33">
        <v>28089.678886596317</v>
      </c>
      <c r="AJ84" s="33">
        <v>28745.563885997708</v>
      </c>
      <c r="AK84" s="33">
        <v>29443.125454719975</v>
      </c>
      <c r="AL84" s="33">
        <v>29577.340331610452</v>
      </c>
      <c r="AM84" s="33">
        <v>31498.868350493907</v>
      </c>
      <c r="AN84" s="33">
        <v>30470.196400702338</v>
      </c>
      <c r="AO84" s="50">
        <v>27618.799234522368</v>
      </c>
      <c r="AP84" s="49">
        <v>28347.235981463502</v>
      </c>
      <c r="AQ84" s="33">
        <v>28819.526831140734</v>
      </c>
      <c r="AR84" s="33">
        <v>28869.253751273067</v>
      </c>
      <c r="AS84" s="33">
        <v>27554.831723366649</v>
      </c>
      <c r="AT84" s="33">
        <v>29702.560721698806</v>
      </c>
      <c r="AU84" s="475">
        <f>AT84</f>
        <v>29702.560721698806</v>
      </c>
      <c r="AV84" s="33"/>
      <c r="AW84" s="33"/>
      <c r="AX84" s="33"/>
      <c r="AY84" s="33"/>
      <c r="AZ84" s="33"/>
      <c r="BA84" s="50"/>
      <c r="BB84" s="22"/>
    </row>
    <row r="85" spans="1:54" x14ac:dyDescent="0.3">
      <c r="A85" s="16" t="s">
        <v>518</v>
      </c>
      <c r="B85" s="8"/>
      <c r="C85" s="8" t="s">
        <v>91</v>
      </c>
      <c r="D85" s="10" t="s">
        <v>516</v>
      </c>
      <c r="F85" s="49">
        <v>31922.117181818183</v>
      </c>
      <c r="G85" s="33">
        <v>32769.541578648503</v>
      </c>
      <c r="H85" s="33">
        <v>31938.44455681822</v>
      </c>
      <c r="I85" s="33">
        <v>30926.823179703984</v>
      </c>
      <c r="J85" s="33">
        <v>30258.70838549429</v>
      </c>
      <c r="K85" s="33">
        <v>29147.61159312641</v>
      </c>
      <c r="L85" s="33">
        <v>27204.76217329545</v>
      </c>
      <c r="M85" s="33">
        <v>26077.179609504132</v>
      </c>
      <c r="N85" s="33">
        <v>22065.052395675939</v>
      </c>
      <c r="O85" s="33">
        <v>23962.732430944081</v>
      </c>
      <c r="P85" s="33">
        <v>22872.020800243798</v>
      </c>
      <c r="Q85" s="50">
        <v>21853.756066761365</v>
      </c>
      <c r="R85" s="49">
        <v>21544.287001974779</v>
      </c>
      <c r="S85" s="33">
        <v>21532.905500000001</v>
      </c>
      <c r="T85" s="33">
        <v>22463.400360411055</v>
      </c>
      <c r="U85" s="33">
        <v>22500.927534483704</v>
      </c>
      <c r="V85" s="33">
        <v>24333.272376623372</v>
      </c>
      <c r="W85" s="33">
        <v>23311.655821965152</v>
      </c>
      <c r="X85" s="33">
        <v>23584.127837206659</v>
      </c>
      <c r="Y85" s="33">
        <v>24061.117336006708</v>
      </c>
      <c r="Z85" s="33">
        <v>24252.639211672209</v>
      </c>
      <c r="AA85" s="33">
        <v>24677.436251970546</v>
      </c>
      <c r="AB85" s="33">
        <v>24868.437788050087</v>
      </c>
      <c r="AC85" s="50">
        <v>24989.116268071557</v>
      </c>
      <c r="AD85" s="49">
        <v>25944.259626931147</v>
      </c>
      <c r="AE85" s="33">
        <v>25218.352159860602</v>
      </c>
      <c r="AF85" s="33">
        <v>25423.797741745388</v>
      </c>
      <c r="AG85" s="33">
        <v>25224.438907951942</v>
      </c>
      <c r="AH85" s="33">
        <v>25860.387350631783</v>
      </c>
      <c r="AI85" s="33">
        <v>26988.228345211013</v>
      </c>
      <c r="AJ85" s="33">
        <v>26574.975214828555</v>
      </c>
      <c r="AK85" s="33">
        <v>26453.650506742157</v>
      </c>
      <c r="AL85" s="33">
        <v>26438.903437204914</v>
      </c>
      <c r="AM85" s="33">
        <v>26286.402634835624</v>
      </c>
      <c r="AN85" s="33">
        <v>27075.359648196878</v>
      </c>
      <c r="AO85" s="50">
        <v>27020.703858133966</v>
      </c>
      <c r="AP85" s="49">
        <v>27012.267311960346</v>
      </c>
      <c r="AQ85" s="33">
        <v>26594.724228225034</v>
      </c>
      <c r="AR85" s="33">
        <v>26455.150595891777</v>
      </c>
      <c r="AS85" s="33">
        <v>25467.709271816628</v>
      </c>
      <c r="AT85" s="33">
        <v>26275.175070898</v>
      </c>
      <c r="AU85" s="475">
        <f t="shared" ref="AT85:AU89" si="14">AT85</f>
        <v>26275.175070898</v>
      </c>
      <c r="AV85" s="33"/>
      <c r="AW85" s="33"/>
      <c r="AX85" s="33"/>
      <c r="AY85" s="33"/>
      <c r="AZ85" s="33"/>
      <c r="BA85" s="50"/>
      <c r="BB85" s="22"/>
    </row>
    <row r="86" spans="1:54" x14ac:dyDescent="0.3">
      <c r="A86" s="16" t="s">
        <v>519</v>
      </c>
      <c r="B86" s="8"/>
      <c r="C86" s="8" t="s">
        <v>94</v>
      </c>
      <c r="D86" s="10" t="s">
        <v>516</v>
      </c>
      <c r="F86" s="49">
        <v>30262.558159645232</v>
      </c>
      <c r="G86" s="33">
        <v>31121.622956818024</v>
      </c>
      <c r="H86" s="33">
        <v>30039.024487647861</v>
      </c>
      <c r="I86" s="33">
        <v>29596.993098701332</v>
      </c>
      <c r="J86" s="33">
        <v>27288.92854777251</v>
      </c>
      <c r="K86" s="33">
        <v>26367.820095648014</v>
      </c>
      <c r="L86" s="33">
        <v>27796.911962566839</v>
      </c>
      <c r="M86" s="33">
        <v>26149.563392893004</v>
      </c>
      <c r="N86" s="33">
        <v>22945.539704589421</v>
      </c>
      <c r="O86" s="33">
        <v>23286.420181361111</v>
      </c>
      <c r="P86" s="33">
        <v>24660.909269421478</v>
      </c>
      <c r="Q86" s="50">
        <v>22272.546084870832</v>
      </c>
      <c r="R86" s="49">
        <v>22790.666839444159</v>
      </c>
      <c r="S86" s="33">
        <v>23893.564243204746</v>
      </c>
      <c r="T86" s="33">
        <v>23822.747185340864</v>
      </c>
      <c r="U86" s="33">
        <v>23911.498149361763</v>
      </c>
      <c r="V86" s="33">
        <v>25128.967902454013</v>
      </c>
      <c r="W86" s="33">
        <v>24573.14850677154</v>
      </c>
      <c r="X86" s="33">
        <v>24427.594438089352</v>
      </c>
      <c r="Y86" s="33">
        <v>25034.836713283177</v>
      </c>
      <c r="Z86" s="33">
        <v>24919.001901996402</v>
      </c>
      <c r="AA86" s="33">
        <v>25113.661161080498</v>
      </c>
      <c r="AB86" s="33">
        <v>23681.848377985709</v>
      </c>
      <c r="AC86" s="50">
        <v>25071.000851480851</v>
      </c>
      <c r="AD86" s="49">
        <v>25647.93133710423</v>
      </c>
      <c r="AE86" s="33">
        <v>25154.732638191861</v>
      </c>
      <c r="AF86" s="33">
        <v>26335.813204933514</v>
      </c>
      <c r="AG86" s="33">
        <v>26958.09598552046</v>
      </c>
      <c r="AH86" s="33">
        <v>27232.899516741727</v>
      </c>
      <c r="AI86" s="33">
        <v>28067.483828693468</v>
      </c>
      <c r="AJ86" s="33">
        <v>28593.326211605989</v>
      </c>
      <c r="AK86" s="33">
        <v>27868.172078479623</v>
      </c>
      <c r="AL86" s="33">
        <v>26910.647959925955</v>
      </c>
      <c r="AM86" s="33">
        <v>26508.909560168413</v>
      </c>
      <c r="AN86" s="33">
        <v>26549.946207900648</v>
      </c>
      <c r="AO86" s="50">
        <v>26165.640893725365</v>
      </c>
      <c r="AP86" s="49">
        <v>26232.142579161115</v>
      </c>
      <c r="AQ86" s="33">
        <v>27594.090505678003</v>
      </c>
      <c r="AR86" s="33">
        <v>25556.747829795098</v>
      </c>
      <c r="AS86" s="33">
        <v>25128.614592481397</v>
      </c>
      <c r="AT86" s="33">
        <v>24688.964363517684</v>
      </c>
      <c r="AU86" s="475">
        <f t="shared" si="14"/>
        <v>24688.964363517684</v>
      </c>
      <c r="AV86" s="33"/>
      <c r="AW86" s="33"/>
      <c r="AX86" s="33"/>
      <c r="AY86" s="33"/>
      <c r="AZ86" s="33"/>
      <c r="BA86" s="50"/>
      <c r="BB86" s="22"/>
    </row>
    <row r="87" spans="1:54" x14ac:dyDescent="0.3">
      <c r="A87" s="16" t="s">
        <v>520</v>
      </c>
      <c r="B87" s="8"/>
      <c r="C87" s="8" t="s">
        <v>97</v>
      </c>
      <c r="D87" s="10" t="s">
        <v>516</v>
      </c>
      <c r="F87" s="49">
        <v>31001.667645454541</v>
      </c>
      <c r="G87" s="33">
        <v>31001.667727272728</v>
      </c>
      <c r="H87" s="33"/>
      <c r="I87" s="33">
        <v>30894.572870025269</v>
      </c>
      <c r="J87" s="33">
        <v>30203.191236363637</v>
      </c>
      <c r="K87" s="33">
        <v>29869.09287878788</v>
      </c>
      <c r="L87" s="33">
        <v>29811.571238731212</v>
      </c>
      <c r="M87" s="33">
        <v>30905.788054018449</v>
      </c>
      <c r="N87" s="33">
        <v>17487.090454545454</v>
      </c>
      <c r="O87" s="33"/>
      <c r="P87" s="33">
        <v>15997.092103896102</v>
      </c>
      <c r="Q87" s="50">
        <v>17114.303562945363</v>
      </c>
      <c r="R87" s="49">
        <v>22741.626759934676</v>
      </c>
      <c r="S87" s="33">
        <v>23808.070298592429</v>
      </c>
      <c r="T87" s="33">
        <v>24063.078626623377</v>
      </c>
      <c r="U87" s="33">
        <v>24130.613313943901</v>
      </c>
      <c r="V87" s="33">
        <v>24901.60567600487</v>
      </c>
      <c r="W87" s="33">
        <v>24653.456370728443</v>
      </c>
      <c r="X87" s="33">
        <v>27117.752795539986</v>
      </c>
      <c r="Y87" s="33">
        <v>21904.062650834228</v>
      </c>
      <c r="Z87" s="33">
        <v>22919.761835882826</v>
      </c>
      <c r="AA87" s="33">
        <v>26245.950380818591</v>
      </c>
      <c r="AB87" s="33">
        <v>26989.533629109112</v>
      </c>
      <c r="AC87" s="50">
        <v>28070.802920705119</v>
      </c>
      <c r="AD87" s="49">
        <v>28592.398082334192</v>
      </c>
      <c r="AE87" s="475">
        <v>28813.536896804573</v>
      </c>
      <c r="AF87" s="475">
        <v>28798.181640825238</v>
      </c>
      <c r="AG87" s="475">
        <v>28798.181644441302</v>
      </c>
      <c r="AH87" s="475">
        <v>28609.229831253542</v>
      </c>
      <c r="AI87" s="475">
        <v>28130.972121189083</v>
      </c>
      <c r="AJ87" s="475">
        <v>27773.65182290144</v>
      </c>
      <c r="AK87" s="475">
        <v>27712.472212019478</v>
      </c>
      <c r="AL87" s="475">
        <v>28526.644537442899</v>
      </c>
      <c r="AM87" s="33">
        <v>30296.941324226922</v>
      </c>
      <c r="AN87" s="33">
        <v>31201.669018119188</v>
      </c>
      <c r="AO87" s="50">
        <v>32050.266247794345</v>
      </c>
      <c r="AP87" s="592">
        <v>32792.9765221282</v>
      </c>
      <c r="AQ87" s="33">
        <v>32910.765751244544</v>
      </c>
      <c r="AR87" s="33">
        <v>33362.493816295806</v>
      </c>
      <c r="AS87" s="33">
        <v>33367.745365640811</v>
      </c>
      <c r="AT87" s="33">
        <v>35353.427125252863</v>
      </c>
      <c r="AU87" s="475">
        <f t="shared" si="14"/>
        <v>35353.427125252863</v>
      </c>
      <c r="AV87" s="33"/>
      <c r="AW87" s="33"/>
      <c r="AX87" s="33"/>
      <c r="AY87" s="33"/>
      <c r="AZ87" s="33"/>
      <c r="BA87" s="50"/>
      <c r="BB87" s="22"/>
    </row>
    <row r="88" spans="1:54" x14ac:dyDescent="0.3">
      <c r="A88" s="16" t="s">
        <v>521</v>
      </c>
      <c r="B88" s="8"/>
      <c r="C88" s="8" t="s">
        <v>128</v>
      </c>
      <c r="D88" s="10" t="s">
        <v>516</v>
      </c>
      <c r="F88" s="49">
        <v>42379.143566666666</v>
      </c>
      <c r="G88" s="33">
        <v>43840.534741803</v>
      </c>
      <c r="H88" s="33">
        <v>44023.467343873519</v>
      </c>
      <c r="I88" s="33">
        <v>44092.222636945124</v>
      </c>
      <c r="J88" s="33">
        <v>43440.415911059768</v>
      </c>
      <c r="K88" s="33">
        <v>39359.349935956081</v>
      </c>
      <c r="L88" s="33">
        <v>32674.596455696199</v>
      </c>
      <c r="M88" s="33">
        <v>31465.886458874462</v>
      </c>
      <c r="N88" s="33">
        <v>30170.673549606297</v>
      </c>
      <c r="O88" s="33">
        <v>30032.606079673133</v>
      </c>
      <c r="P88" s="33">
        <v>29899.837747306949</v>
      </c>
      <c r="Q88" s="50">
        <v>28219.679090909092</v>
      </c>
      <c r="R88" s="49">
        <v>27305.925305942779</v>
      </c>
      <c r="S88" s="33">
        <v>27173.31119</v>
      </c>
      <c r="T88" s="33">
        <v>27285.004349959116</v>
      </c>
      <c r="U88" s="33">
        <v>27305.015717044167</v>
      </c>
      <c r="V88" s="33">
        <v>26473.602221286441</v>
      </c>
      <c r="W88" s="33">
        <v>26308.111329545456</v>
      </c>
      <c r="X88" s="33">
        <v>26935.072798975671</v>
      </c>
      <c r="Y88" s="33">
        <v>27318.421264069264</v>
      </c>
      <c r="Z88" s="33">
        <v>27586.223522727272</v>
      </c>
      <c r="AA88" s="33">
        <v>27525.964471793959</v>
      </c>
      <c r="AB88" s="33">
        <v>27721.873863636363</v>
      </c>
      <c r="AC88" s="50">
        <v>27678.942531894012</v>
      </c>
      <c r="AD88" s="49">
        <v>27886.388615237189</v>
      </c>
      <c r="AE88" s="33">
        <v>27938.279196172251</v>
      </c>
      <c r="AF88" s="33">
        <v>27963.684036772207</v>
      </c>
      <c r="AG88" s="33">
        <v>27869.928363636365</v>
      </c>
      <c r="AH88" s="33">
        <v>27477.289609339929</v>
      </c>
      <c r="AI88" s="33">
        <v>27372.334376940129</v>
      </c>
      <c r="AJ88" s="33">
        <v>27311.250834879414</v>
      </c>
      <c r="AK88" s="33">
        <v>27111.256180971399</v>
      </c>
      <c r="AL88" s="33">
        <v>27065.02198669624</v>
      </c>
      <c r="AM88" s="33">
        <v>26983.60854816826</v>
      </c>
      <c r="AN88" s="33">
        <v>27100.633378787879</v>
      </c>
      <c r="AO88" s="50">
        <v>27808.628163992878</v>
      </c>
      <c r="AP88" s="49">
        <v>29029.363466351831</v>
      </c>
      <c r="AQ88" s="33">
        <v>29713.048821917804</v>
      </c>
      <c r="AR88" s="33">
        <v>30209.067625562559</v>
      </c>
      <c r="AS88" s="33">
        <v>29815.967063973072</v>
      </c>
      <c r="AT88" s="33">
        <v>30549.451201773827</v>
      </c>
      <c r="AU88" s="475">
        <f t="shared" si="14"/>
        <v>30549.451201773827</v>
      </c>
      <c r="AV88" s="33"/>
      <c r="AW88" s="33"/>
      <c r="AX88" s="33"/>
      <c r="AY88" s="33"/>
      <c r="AZ88" s="33"/>
      <c r="BA88" s="50"/>
      <c r="BB88" s="22"/>
    </row>
    <row r="89" spans="1:54" x14ac:dyDescent="0.3">
      <c r="A89" s="16" t="s">
        <v>522</v>
      </c>
      <c r="B89" s="8"/>
      <c r="C89" s="8" t="s">
        <v>127</v>
      </c>
      <c r="D89" s="10" t="s">
        <v>516</v>
      </c>
      <c r="F89" s="49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50"/>
      <c r="R89" s="49"/>
      <c r="S89" s="33"/>
      <c r="T89" s="33"/>
      <c r="U89" s="33"/>
      <c r="V89" s="33"/>
      <c r="W89" s="33"/>
      <c r="X89" s="33"/>
      <c r="Y89" s="33">
        <v>27389.540454545455</v>
      </c>
      <c r="Z89" s="33">
        <v>28748.856545454546</v>
      </c>
      <c r="AA89" s="33">
        <v>27943.575227272726</v>
      </c>
      <c r="AB89" s="33">
        <v>27243.497687074829</v>
      </c>
      <c r="AC89" s="50">
        <v>27168.662250000001</v>
      </c>
      <c r="AD89" s="49">
        <v>27512.615851115497</v>
      </c>
      <c r="AE89" s="33">
        <v>28201.394541666661</v>
      </c>
      <c r="AF89" s="33">
        <v>28243.987431818183</v>
      </c>
      <c r="AG89" s="33">
        <v>28253.805454545454</v>
      </c>
      <c r="AH89" s="33">
        <v>28216.093000000001</v>
      </c>
      <c r="AI89" s="33">
        <v>28180.267424242425</v>
      </c>
      <c r="AJ89" s="475">
        <v>28020.218467544168</v>
      </c>
      <c r="AK89" s="33">
        <v>28036.464499999998</v>
      </c>
      <c r="AL89" s="33">
        <v>28086.475136363635</v>
      </c>
      <c r="AM89" s="33">
        <v>28020.218363636362</v>
      </c>
      <c r="AN89" s="33">
        <v>28020.21848</v>
      </c>
      <c r="AO89" s="50">
        <v>28020.218454545455</v>
      </c>
      <c r="AP89" s="49">
        <v>28020.218545454547</v>
      </c>
      <c r="AQ89" s="33">
        <v>28020.218454545455</v>
      </c>
      <c r="AR89" s="33">
        <v>28021.294483116882</v>
      </c>
      <c r="AS89" s="33">
        <v>28021.294528925624</v>
      </c>
      <c r="AT89" s="33">
        <v>28079.399356643356</v>
      </c>
      <c r="AU89" s="475">
        <f t="shared" si="14"/>
        <v>28079.399356643356</v>
      </c>
      <c r="AV89" s="33"/>
      <c r="AW89" s="33"/>
      <c r="AX89" s="33"/>
      <c r="AY89" s="33"/>
      <c r="AZ89" s="33"/>
      <c r="BA89" s="50"/>
      <c r="BB89" s="22"/>
    </row>
    <row r="90" spans="1:54" x14ac:dyDescent="0.3">
      <c r="A90" s="16"/>
      <c r="B90" s="8"/>
      <c r="C90" s="8"/>
      <c r="D90" s="10"/>
      <c r="F90" s="49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50"/>
      <c r="R90" s="49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50"/>
      <c r="AD90" s="49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50"/>
      <c r="AP90" s="49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50"/>
      <c r="BB90" s="22"/>
    </row>
    <row r="91" spans="1:54" x14ac:dyDescent="0.3">
      <c r="A91" s="16"/>
      <c r="B91" s="8"/>
      <c r="C91" s="8"/>
      <c r="D91" s="10"/>
      <c r="F91" s="55"/>
      <c r="G91" s="8"/>
      <c r="H91" s="8"/>
      <c r="I91" s="8"/>
      <c r="J91" s="8"/>
      <c r="K91" s="8"/>
      <c r="L91" s="8"/>
      <c r="M91" s="8"/>
      <c r="N91" s="8"/>
      <c r="O91" s="8"/>
      <c r="P91" s="8"/>
      <c r="Q91" s="56"/>
      <c r="R91" s="55"/>
      <c r="S91" s="8"/>
      <c r="T91" s="8"/>
      <c r="U91" s="8"/>
      <c r="V91" s="8"/>
      <c r="W91" s="8"/>
      <c r="X91" s="8"/>
      <c r="Y91" s="8"/>
      <c r="Z91" s="8"/>
      <c r="AA91" s="8"/>
      <c r="AB91" s="8"/>
      <c r="AC91" s="56"/>
      <c r="AD91" s="55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56"/>
      <c r="AP91" s="55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56"/>
      <c r="BB91" s="22"/>
    </row>
    <row r="92" spans="1:54" x14ac:dyDescent="0.3">
      <c r="A92" s="14" t="s">
        <v>534</v>
      </c>
      <c r="B92" s="8"/>
      <c r="C92" s="8" t="s">
        <v>88</v>
      </c>
      <c r="D92" s="10" t="s">
        <v>69</v>
      </c>
      <c r="F92" s="573">
        <f>IFERROR(F84/F$27*10^3,0)</f>
        <v>0</v>
      </c>
      <c r="G92" s="574">
        <f t="shared" ref="G92:BA92" si="15">IFERROR(G84/G$27*10^3,0)</f>
        <v>0</v>
      </c>
      <c r="H92" s="574">
        <f t="shared" si="15"/>
        <v>0</v>
      </c>
      <c r="I92" s="574">
        <f t="shared" si="15"/>
        <v>0</v>
      </c>
      <c r="J92" s="574">
        <f t="shared" si="15"/>
        <v>0</v>
      </c>
      <c r="K92" s="574">
        <f t="shared" si="15"/>
        <v>0</v>
      </c>
      <c r="L92" s="574">
        <f t="shared" si="15"/>
        <v>0</v>
      </c>
      <c r="M92" s="574">
        <f t="shared" si="15"/>
        <v>0</v>
      </c>
      <c r="N92" s="574">
        <f t="shared" si="15"/>
        <v>0</v>
      </c>
      <c r="O92" s="574">
        <f t="shared" si="15"/>
        <v>0</v>
      </c>
      <c r="P92" s="574">
        <f t="shared" si="15"/>
        <v>0</v>
      </c>
      <c r="Q92" s="575">
        <f t="shared" si="15"/>
        <v>0</v>
      </c>
      <c r="R92" s="573">
        <f t="shared" si="15"/>
        <v>880.33848704787545</v>
      </c>
      <c r="S92" s="574">
        <f t="shared" si="15"/>
        <v>947.31179982774756</v>
      </c>
      <c r="T92" s="574">
        <f t="shared" si="15"/>
        <v>966.27318467960504</v>
      </c>
      <c r="U92" s="574">
        <f t="shared" si="15"/>
        <v>980.77936302072919</v>
      </c>
      <c r="V92" s="574">
        <f t="shared" si="15"/>
        <v>967.82250073020077</v>
      </c>
      <c r="W92" s="574">
        <f t="shared" si="15"/>
        <v>1011.9356512580744</v>
      </c>
      <c r="X92" s="574">
        <f t="shared" si="15"/>
        <v>1089.0598357671304</v>
      </c>
      <c r="Y92" s="574">
        <f t="shared" si="15"/>
        <v>1264.8473525085633</v>
      </c>
      <c r="Z92" s="574">
        <f t="shared" si="15"/>
        <v>1218.9628015433689</v>
      </c>
      <c r="AA92" s="574">
        <f t="shared" si="15"/>
        <v>1139.3975516123485</v>
      </c>
      <c r="AB92" s="574">
        <f t="shared" si="15"/>
        <v>1090.7278051641201</v>
      </c>
      <c r="AC92" s="575">
        <f t="shared" si="15"/>
        <v>1040.6405733521958</v>
      </c>
      <c r="AD92" s="573">
        <f t="shared" si="15"/>
        <v>1062.0596535020959</v>
      </c>
      <c r="AE92" s="574">
        <f t="shared" si="15"/>
        <v>1050.5399345350836</v>
      </c>
      <c r="AF92" s="574">
        <f t="shared" si="15"/>
        <v>1043.8236805863789</v>
      </c>
      <c r="AG92" s="574">
        <f t="shared" si="15"/>
        <v>1037.9359024671041</v>
      </c>
      <c r="AH92" s="574">
        <f t="shared" si="15"/>
        <v>1079.6748003962055</v>
      </c>
      <c r="AI92" s="574">
        <f t="shared" si="15"/>
        <v>1084.8367854862827</v>
      </c>
      <c r="AJ92" s="574">
        <f t="shared" si="15"/>
        <v>1106.8757753560922</v>
      </c>
      <c r="AK92" s="574">
        <f t="shared" si="15"/>
        <v>1128.0026608964822</v>
      </c>
      <c r="AL92" s="574">
        <f t="shared" si="15"/>
        <v>1128.9923021456009</v>
      </c>
      <c r="AM92" s="574">
        <f t="shared" si="15"/>
        <v>1204.4535160023672</v>
      </c>
      <c r="AN92" s="574">
        <f t="shared" si="15"/>
        <v>1165.3419666004643</v>
      </c>
      <c r="AO92" s="575">
        <f t="shared" si="15"/>
        <v>1056.9766258906379</v>
      </c>
      <c r="AP92" s="573">
        <f t="shared" si="15"/>
        <v>1088.6035323142667</v>
      </c>
      <c r="AQ92" s="574">
        <f t="shared" si="15"/>
        <v>1116.9493384675891</v>
      </c>
      <c r="AR92" s="574">
        <f t="shared" si="15"/>
        <v>1107.3320452331352</v>
      </c>
      <c r="AS92" s="574">
        <f t="shared" si="15"/>
        <v>1054.3268308156362</v>
      </c>
      <c r="AT92" s="574">
        <f t="shared" si="15"/>
        <v>1136.4181322148222</v>
      </c>
      <c r="AU92" s="574">
        <f t="shared" si="15"/>
        <v>1136.4181322148222</v>
      </c>
      <c r="AV92" s="574">
        <f t="shared" si="15"/>
        <v>0</v>
      </c>
      <c r="AW92" s="574">
        <f t="shared" si="15"/>
        <v>0</v>
      </c>
      <c r="AX92" s="574">
        <f t="shared" si="15"/>
        <v>0</v>
      </c>
      <c r="AY92" s="574">
        <f t="shared" si="15"/>
        <v>0</v>
      </c>
      <c r="AZ92" s="574">
        <f t="shared" si="15"/>
        <v>0</v>
      </c>
      <c r="BA92" s="575">
        <f t="shared" si="15"/>
        <v>0</v>
      </c>
      <c r="BB92" s="22"/>
    </row>
    <row r="93" spans="1:54" x14ac:dyDescent="0.3">
      <c r="A93" s="14" t="s">
        <v>535</v>
      </c>
      <c r="B93" s="8"/>
      <c r="C93" s="8" t="s">
        <v>91</v>
      </c>
      <c r="D93" s="10" t="s">
        <v>69</v>
      </c>
      <c r="F93" s="573">
        <f t="shared" ref="F93:BA93" si="16">IFERROR(F85/F$27*10^3,0)</f>
        <v>0</v>
      </c>
      <c r="G93" s="574">
        <f t="shared" si="16"/>
        <v>0</v>
      </c>
      <c r="H93" s="574">
        <f t="shared" si="16"/>
        <v>0</v>
      </c>
      <c r="I93" s="574">
        <f t="shared" si="16"/>
        <v>0</v>
      </c>
      <c r="J93" s="574">
        <f t="shared" si="16"/>
        <v>0</v>
      </c>
      <c r="K93" s="574">
        <f t="shared" si="16"/>
        <v>0</v>
      </c>
      <c r="L93" s="574">
        <f t="shared" si="16"/>
        <v>0</v>
      </c>
      <c r="M93" s="574">
        <f t="shared" si="16"/>
        <v>0</v>
      </c>
      <c r="N93" s="574">
        <f t="shared" si="16"/>
        <v>0</v>
      </c>
      <c r="O93" s="574">
        <f t="shared" si="16"/>
        <v>0</v>
      </c>
      <c r="P93" s="574">
        <f t="shared" si="16"/>
        <v>0</v>
      </c>
      <c r="Q93" s="575">
        <f t="shared" si="16"/>
        <v>0</v>
      </c>
      <c r="R93" s="573">
        <f t="shared" si="16"/>
        <v>886.70564275321146</v>
      </c>
      <c r="S93" s="574">
        <f t="shared" si="16"/>
        <v>885.79972438191623</v>
      </c>
      <c r="T93" s="574">
        <f t="shared" si="16"/>
        <v>915.00612466032806</v>
      </c>
      <c r="U93" s="574">
        <f t="shared" si="16"/>
        <v>901.2628188129338</v>
      </c>
      <c r="V93" s="574">
        <f t="shared" si="16"/>
        <v>965.18473589398957</v>
      </c>
      <c r="W93" s="574">
        <f t="shared" si="16"/>
        <v>923.78267572677441</v>
      </c>
      <c r="X93" s="574">
        <f t="shared" si="16"/>
        <v>936.21245036745893</v>
      </c>
      <c r="Y93" s="574">
        <f t="shared" si="16"/>
        <v>967.70903056655038</v>
      </c>
      <c r="Z93" s="574">
        <f t="shared" si="16"/>
        <v>991.40085891641297</v>
      </c>
      <c r="AA93" s="574">
        <f t="shared" si="16"/>
        <v>992.49663175557214</v>
      </c>
      <c r="AB93" s="574">
        <f t="shared" si="16"/>
        <v>988.01898244140193</v>
      </c>
      <c r="AC93" s="575">
        <f t="shared" si="16"/>
        <v>991.71030510641947</v>
      </c>
      <c r="AD93" s="573">
        <f t="shared" si="16"/>
        <v>1034.4601127165529</v>
      </c>
      <c r="AE93" s="574">
        <f t="shared" si="16"/>
        <v>1000.0932804513247</v>
      </c>
      <c r="AF93" s="574">
        <f t="shared" si="16"/>
        <v>1002.2785516733181</v>
      </c>
      <c r="AG93" s="574">
        <f t="shared" si="16"/>
        <v>981.76308363958833</v>
      </c>
      <c r="AH93" s="574">
        <f t="shared" si="16"/>
        <v>1003.0014874386915</v>
      </c>
      <c r="AI93" s="574">
        <f t="shared" si="16"/>
        <v>1042.2982406523388</v>
      </c>
      <c r="AJ93" s="574">
        <f t="shared" si="16"/>
        <v>1023.29515652016</v>
      </c>
      <c r="AK93" s="574">
        <f t="shared" si="16"/>
        <v>1013.4721671420641</v>
      </c>
      <c r="AL93" s="574">
        <f t="shared" si="16"/>
        <v>1009.1954896253499</v>
      </c>
      <c r="AM93" s="574">
        <f t="shared" si="16"/>
        <v>1005.1392870463301</v>
      </c>
      <c r="AN93" s="574">
        <f t="shared" si="16"/>
        <v>1035.5053982558945</v>
      </c>
      <c r="AO93" s="575">
        <f t="shared" si="16"/>
        <v>1034.0874036790649</v>
      </c>
      <c r="AP93" s="573">
        <f t="shared" si="16"/>
        <v>1037.3374543763573</v>
      </c>
      <c r="AQ93" s="574">
        <f t="shared" si="16"/>
        <v>1030.7233636239453</v>
      </c>
      <c r="AR93" s="574">
        <f t="shared" si="16"/>
        <v>1014.7347856197222</v>
      </c>
      <c r="AS93" s="574">
        <f t="shared" si="16"/>
        <v>974.46754435877665</v>
      </c>
      <c r="AT93" s="574">
        <f t="shared" si="16"/>
        <v>1005.2865696483146</v>
      </c>
      <c r="AU93" s="574">
        <f t="shared" si="16"/>
        <v>1005.2865696483146</v>
      </c>
      <c r="AV93" s="574">
        <f t="shared" si="16"/>
        <v>0</v>
      </c>
      <c r="AW93" s="574">
        <f t="shared" si="16"/>
        <v>0</v>
      </c>
      <c r="AX93" s="574">
        <f t="shared" si="16"/>
        <v>0</v>
      </c>
      <c r="AY93" s="574">
        <f t="shared" si="16"/>
        <v>0</v>
      </c>
      <c r="AZ93" s="574">
        <f t="shared" si="16"/>
        <v>0</v>
      </c>
      <c r="BA93" s="575">
        <f t="shared" si="16"/>
        <v>0</v>
      </c>
      <c r="BB93" s="22"/>
    </row>
    <row r="94" spans="1:54" x14ac:dyDescent="0.3">
      <c r="A94" s="14" t="s">
        <v>536</v>
      </c>
      <c r="B94" s="8"/>
      <c r="C94" s="8" t="s">
        <v>94</v>
      </c>
      <c r="D94" s="10" t="s">
        <v>69</v>
      </c>
      <c r="F94" s="573">
        <f t="shared" ref="F94:BA94" si="17">IFERROR(F86/F$27*10^3,0)</f>
        <v>0</v>
      </c>
      <c r="G94" s="574">
        <f t="shared" si="17"/>
        <v>0</v>
      </c>
      <c r="H94" s="574">
        <f t="shared" si="17"/>
        <v>0</v>
      </c>
      <c r="I94" s="574">
        <f t="shared" si="17"/>
        <v>0</v>
      </c>
      <c r="J94" s="574">
        <f t="shared" si="17"/>
        <v>0</v>
      </c>
      <c r="K94" s="574">
        <f t="shared" si="17"/>
        <v>0</v>
      </c>
      <c r="L94" s="574">
        <f t="shared" si="17"/>
        <v>0</v>
      </c>
      <c r="M94" s="574">
        <f t="shared" si="17"/>
        <v>0</v>
      </c>
      <c r="N94" s="574">
        <f t="shared" si="17"/>
        <v>0</v>
      </c>
      <c r="O94" s="574">
        <f t="shared" si="17"/>
        <v>0</v>
      </c>
      <c r="P94" s="574">
        <f t="shared" si="17"/>
        <v>0</v>
      </c>
      <c r="Q94" s="575">
        <f t="shared" si="17"/>
        <v>0</v>
      </c>
      <c r="R94" s="573">
        <f t="shared" si="17"/>
        <v>938.00332713685475</v>
      </c>
      <c r="S94" s="574">
        <f t="shared" si="17"/>
        <v>982.91020787382229</v>
      </c>
      <c r="T94" s="574">
        <f t="shared" si="17"/>
        <v>970.37666742732642</v>
      </c>
      <c r="U94" s="574">
        <f t="shared" si="17"/>
        <v>957.76248295128426</v>
      </c>
      <c r="V94" s="574">
        <f t="shared" si="17"/>
        <v>996.74617835286244</v>
      </c>
      <c r="W94" s="574">
        <f t="shared" si="17"/>
        <v>973.77247896855715</v>
      </c>
      <c r="X94" s="574">
        <f t="shared" si="17"/>
        <v>969.69530539039147</v>
      </c>
      <c r="Y94" s="574">
        <f t="shared" si="17"/>
        <v>1006.8708459332037</v>
      </c>
      <c r="Z94" s="574">
        <f t="shared" si="17"/>
        <v>1018.6404734495525</v>
      </c>
      <c r="AA94" s="574">
        <f t="shared" si="17"/>
        <v>1010.041069863276</v>
      </c>
      <c r="AB94" s="574">
        <f t="shared" si="17"/>
        <v>940.8759784658605</v>
      </c>
      <c r="AC94" s="575">
        <f t="shared" si="17"/>
        <v>994.95995124537069</v>
      </c>
      <c r="AD94" s="573">
        <f t="shared" si="17"/>
        <v>1022.644790155671</v>
      </c>
      <c r="AE94" s="574">
        <f t="shared" si="17"/>
        <v>997.57029815164424</v>
      </c>
      <c r="AF94" s="574">
        <f t="shared" si="17"/>
        <v>1038.2328000052635</v>
      </c>
      <c r="AG94" s="574">
        <f t="shared" si="17"/>
        <v>1049.2389361117994</v>
      </c>
      <c r="AH94" s="574">
        <f t="shared" si="17"/>
        <v>1056.23470956606</v>
      </c>
      <c r="AI94" s="574">
        <f t="shared" si="17"/>
        <v>1083.9796017724277</v>
      </c>
      <c r="AJ94" s="574">
        <f t="shared" si="17"/>
        <v>1101.0137162728529</v>
      </c>
      <c r="AK94" s="574">
        <f t="shared" si="17"/>
        <v>1067.6642432947524</v>
      </c>
      <c r="AL94" s="574">
        <f t="shared" si="17"/>
        <v>1027.2023803315501</v>
      </c>
      <c r="AM94" s="574">
        <f t="shared" si="17"/>
        <v>1013.6475053597588</v>
      </c>
      <c r="AN94" s="574">
        <f t="shared" si="17"/>
        <v>1015.4108007764045</v>
      </c>
      <c r="AO94" s="575">
        <f t="shared" si="17"/>
        <v>1001.3639836863899</v>
      </c>
      <c r="AP94" s="573">
        <f t="shared" si="17"/>
        <v>1007.3787472796128</v>
      </c>
      <c r="AQ94" s="574">
        <f t="shared" si="17"/>
        <v>1069.4554881667314</v>
      </c>
      <c r="AR94" s="574">
        <f t="shared" si="17"/>
        <v>980.27493497737328</v>
      </c>
      <c r="AS94" s="574">
        <f t="shared" si="17"/>
        <v>961.49281011981623</v>
      </c>
      <c r="AT94" s="574">
        <f t="shared" si="17"/>
        <v>944.59824629902755</v>
      </c>
      <c r="AU94" s="574">
        <f t="shared" si="17"/>
        <v>944.59824629902755</v>
      </c>
      <c r="AV94" s="574">
        <f t="shared" si="17"/>
        <v>0</v>
      </c>
      <c r="AW94" s="574">
        <f t="shared" si="17"/>
        <v>0</v>
      </c>
      <c r="AX94" s="574">
        <f t="shared" si="17"/>
        <v>0</v>
      </c>
      <c r="AY94" s="574">
        <f t="shared" si="17"/>
        <v>0</v>
      </c>
      <c r="AZ94" s="574">
        <f t="shared" si="17"/>
        <v>0</v>
      </c>
      <c r="BA94" s="575">
        <f t="shared" si="17"/>
        <v>0</v>
      </c>
      <c r="BB94" s="22"/>
    </row>
    <row r="95" spans="1:54" x14ac:dyDescent="0.3">
      <c r="A95" s="14" t="s">
        <v>537</v>
      </c>
      <c r="B95" s="8"/>
      <c r="C95" s="8" t="s">
        <v>97</v>
      </c>
      <c r="D95" s="10" t="s">
        <v>69</v>
      </c>
      <c r="F95" s="573">
        <f t="shared" ref="F95:BA95" si="18">IFERROR(F87/F$27*10^3,0)</f>
        <v>0</v>
      </c>
      <c r="G95" s="574">
        <f t="shared" si="18"/>
        <v>0</v>
      </c>
      <c r="H95" s="574">
        <f t="shared" si="18"/>
        <v>0</v>
      </c>
      <c r="I95" s="574">
        <f t="shared" si="18"/>
        <v>0</v>
      </c>
      <c r="J95" s="574">
        <f t="shared" si="18"/>
        <v>0</v>
      </c>
      <c r="K95" s="574">
        <f t="shared" si="18"/>
        <v>0</v>
      </c>
      <c r="L95" s="574">
        <f t="shared" si="18"/>
        <v>0</v>
      </c>
      <c r="M95" s="574">
        <f t="shared" si="18"/>
        <v>0</v>
      </c>
      <c r="N95" s="574">
        <f t="shared" si="18"/>
        <v>0</v>
      </c>
      <c r="O95" s="574">
        <f t="shared" si="18"/>
        <v>0</v>
      </c>
      <c r="P95" s="574">
        <f t="shared" si="18"/>
        <v>0</v>
      </c>
      <c r="Q95" s="575">
        <f t="shared" si="18"/>
        <v>0</v>
      </c>
      <c r="R95" s="573">
        <f t="shared" si="18"/>
        <v>935.98496768879602</v>
      </c>
      <c r="S95" s="574">
        <f t="shared" si="18"/>
        <v>979.39324112848863</v>
      </c>
      <c r="T95" s="574">
        <f t="shared" si="18"/>
        <v>980.16613550400723</v>
      </c>
      <c r="U95" s="574">
        <f t="shared" si="18"/>
        <v>966.53902563261636</v>
      </c>
      <c r="V95" s="574">
        <f t="shared" si="18"/>
        <v>987.72780437130098</v>
      </c>
      <c r="W95" s="574">
        <f t="shared" si="18"/>
        <v>976.95487896684926</v>
      </c>
      <c r="X95" s="574">
        <f t="shared" si="18"/>
        <v>1076.485760610535</v>
      </c>
      <c r="Y95" s="574">
        <f t="shared" si="18"/>
        <v>880.95490069313985</v>
      </c>
      <c r="Z95" s="574">
        <f t="shared" si="18"/>
        <v>936.91541658352719</v>
      </c>
      <c r="AA95" s="574">
        <f t="shared" si="18"/>
        <v>1055.58037245892</v>
      </c>
      <c r="AB95" s="574">
        <f t="shared" si="18"/>
        <v>1072.2897746964288</v>
      </c>
      <c r="AC95" s="575">
        <f t="shared" si="18"/>
        <v>1114.0091642473656</v>
      </c>
      <c r="AD95" s="573">
        <f t="shared" si="18"/>
        <v>1140.0477704279981</v>
      </c>
      <c r="AE95" s="574">
        <f t="shared" si="18"/>
        <v>1142.6688172907905</v>
      </c>
      <c r="AF95" s="574">
        <f t="shared" si="18"/>
        <v>1135.3063802264935</v>
      </c>
      <c r="AG95" s="574">
        <f t="shared" si="18"/>
        <v>1120.8571067777721</v>
      </c>
      <c r="AH95" s="574">
        <f t="shared" si="18"/>
        <v>1109.6160195188124</v>
      </c>
      <c r="AI95" s="574">
        <f t="shared" si="18"/>
        <v>1086.4315498856481</v>
      </c>
      <c r="AJ95" s="574">
        <f t="shared" si="18"/>
        <v>1069.4513601425276</v>
      </c>
      <c r="AK95" s="574">
        <f t="shared" si="18"/>
        <v>1061.6991882621821</v>
      </c>
      <c r="AL95" s="574">
        <f t="shared" si="18"/>
        <v>1088.8863477152033</v>
      </c>
      <c r="AM95" s="574">
        <f t="shared" si="18"/>
        <v>1158.494238460803</v>
      </c>
      <c r="AN95" s="574">
        <f t="shared" si="18"/>
        <v>1193.3173602370898</v>
      </c>
      <c r="AO95" s="575">
        <f t="shared" si="18"/>
        <v>1226.5696994946172</v>
      </c>
      <c r="AP95" s="573">
        <f t="shared" si="18"/>
        <v>1259.330895627043</v>
      </c>
      <c r="AQ95" s="574">
        <f t="shared" si="18"/>
        <v>1275.5121987150044</v>
      </c>
      <c r="AR95" s="574">
        <f t="shared" si="18"/>
        <v>1279.6783328716124</v>
      </c>
      <c r="AS95" s="574">
        <f t="shared" si="18"/>
        <v>1276.7455659323057</v>
      </c>
      <c r="AT95" s="574">
        <f t="shared" si="18"/>
        <v>1352.619930567887</v>
      </c>
      <c r="AU95" s="574">
        <f t="shared" si="18"/>
        <v>1352.619930567887</v>
      </c>
      <c r="AV95" s="574">
        <f t="shared" si="18"/>
        <v>0</v>
      </c>
      <c r="AW95" s="574">
        <f t="shared" si="18"/>
        <v>0</v>
      </c>
      <c r="AX95" s="574">
        <f t="shared" si="18"/>
        <v>0</v>
      </c>
      <c r="AY95" s="574">
        <f t="shared" si="18"/>
        <v>0</v>
      </c>
      <c r="AZ95" s="574">
        <f t="shared" si="18"/>
        <v>0</v>
      </c>
      <c r="BA95" s="575">
        <f t="shared" si="18"/>
        <v>0</v>
      </c>
      <c r="BB95" s="22"/>
    </row>
    <row r="96" spans="1:54" x14ac:dyDescent="0.3">
      <c r="A96" s="14" t="s">
        <v>538</v>
      </c>
      <c r="B96" s="8"/>
      <c r="C96" s="8" t="s">
        <v>128</v>
      </c>
      <c r="D96" s="10" t="s">
        <v>69</v>
      </c>
      <c r="F96" s="573">
        <f t="shared" ref="F96:BA96" si="19">IFERROR(F88/F$27*10^3,0)</f>
        <v>0</v>
      </c>
      <c r="G96" s="574">
        <f t="shared" si="19"/>
        <v>0</v>
      </c>
      <c r="H96" s="574">
        <f t="shared" si="19"/>
        <v>0</v>
      </c>
      <c r="I96" s="574">
        <f t="shared" si="19"/>
        <v>0</v>
      </c>
      <c r="J96" s="574">
        <f t="shared" si="19"/>
        <v>0</v>
      </c>
      <c r="K96" s="574">
        <f t="shared" si="19"/>
        <v>0</v>
      </c>
      <c r="L96" s="574">
        <f t="shared" si="19"/>
        <v>0</v>
      </c>
      <c r="M96" s="574">
        <f t="shared" si="19"/>
        <v>0</v>
      </c>
      <c r="N96" s="574">
        <f t="shared" si="19"/>
        <v>0</v>
      </c>
      <c r="O96" s="574">
        <f t="shared" si="19"/>
        <v>0</v>
      </c>
      <c r="P96" s="574">
        <f t="shared" si="19"/>
        <v>0</v>
      </c>
      <c r="Q96" s="575">
        <f t="shared" si="19"/>
        <v>0</v>
      </c>
      <c r="R96" s="573">
        <f t="shared" si="19"/>
        <v>1123.8393754760991</v>
      </c>
      <c r="S96" s="574">
        <f t="shared" si="19"/>
        <v>1117.8292480151383</v>
      </c>
      <c r="T96" s="574">
        <f t="shared" si="19"/>
        <v>1111.4054725034264</v>
      </c>
      <c r="U96" s="574">
        <f t="shared" si="19"/>
        <v>1093.6880444221808</v>
      </c>
      <c r="V96" s="574">
        <f t="shared" si="19"/>
        <v>1050.0814018200961</v>
      </c>
      <c r="W96" s="574">
        <f t="shared" si="19"/>
        <v>1042.5247208062397</v>
      </c>
      <c r="X96" s="574">
        <f t="shared" si="19"/>
        <v>1069.2339644704725</v>
      </c>
      <c r="Y96" s="574">
        <f t="shared" si="19"/>
        <v>1098.7138539281395</v>
      </c>
      <c r="Z96" s="574">
        <f t="shared" si="19"/>
        <v>1127.6713208816282</v>
      </c>
      <c r="AA96" s="574">
        <f t="shared" si="19"/>
        <v>1107.0609906609538</v>
      </c>
      <c r="AB96" s="574">
        <f t="shared" si="19"/>
        <v>1101.3855329215878</v>
      </c>
      <c r="AC96" s="575">
        <f t="shared" si="19"/>
        <v>1098.4579145921905</v>
      </c>
      <c r="AD96" s="573">
        <f t="shared" si="19"/>
        <v>1111.8974726968577</v>
      </c>
      <c r="AE96" s="574">
        <f t="shared" si="19"/>
        <v>1107.9584072086077</v>
      </c>
      <c r="AF96" s="574">
        <f t="shared" si="19"/>
        <v>1102.408106787519</v>
      </c>
      <c r="AG96" s="574">
        <f t="shared" si="19"/>
        <v>1084.7284615901749</v>
      </c>
      <c r="AH96" s="574">
        <f t="shared" si="19"/>
        <v>1065.7134394500224</v>
      </c>
      <c r="AI96" s="574">
        <f t="shared" si="19"/>
        <v>1057.1325986536951</v>
      </c>
      <c r="AJ96" s="574">
        <f t="shared" si="19"/>
        <v>1051.6461622980135</v>
      </c>
      <c r="AK96" s="574">
        <f t="shared" si="19"/>
        <v>1038.665856293441</v>
      </c>
      <c r="AL96" s="574">
        <f t="shared" si="19"/>
        <v>1033.0949685737933</v>
      </c>
      <c r="AM96" s="574">
        <f t="shared" si="19"/>
        <v>1031.7990420682265</v>
      </c>
      <c r="AN96" s="574">
        <f t="shared" si="19"/>
        <v>1036.4719998006608</v>
      </c>
      <c r="AO96" s="575">
        <f t="shared" si="19"/>
        <v>1064.2414146189392</v>
      </c>
      <c r="AP96" s="573">
        <f t="shared" si="19"/>
        <v>1114.7989042377815</v>
      </c>
      <c r="AQ96" s="574">
        <f t="shared" si="19"/>
        <v>1151.5792892767151</v>
      </c>
      <c r="AR96" s="574">
        <f t="shared" si="19"/>
        <v>1158.7230112217621</v>
      </c>
      <c r="AS96" s="574">
        <f t="shared" si="19"/>
        <v>1140.8443491093581</v>
      </c>
      <c r="AT96" s="574">
        <f t="shared" si="19"/>
        <v>1168.8201094912893</v>
      </c>
      <c r="AU96" s="574">
        <f t="shared" si="19"/>
        <v>1168.8201094912893</v>
      </c>
      <c r="AV96" s="574">
        <f t="shared" si="19"/>
        <v>0</v>
      </c>
      <c r="AW96" s="574">
        <f t="shared" si="19"/>
        <v>0</v>
      </c>
      <c r="AX96" s="574">
        <f t="shared" si="19"/>
        <v>0</v>
      </c>
      <c r="AY96" s="574">
        <f t="shared" si="19"/>
        <v>0</v>
      </c>
      <c r="AZ96" s="574">
        <f t="shared" si="19"/>
        <v>0</v>
      </c>
      <c r="BA96" s="575">
        <f t="shared" si="19"/>
        <v>0</v>
      </c>
      <c r="BB96" s="22"/>
    </row>
    <row r="97" spans="1:54" x14ac:dyDescent="0.3">
      <c r="A97" s="14" t="s">
        <v>539</v>
      </c>
      <c r="B97" s="8"/>
      <c r="C97" s="8" t="s">
        <v>127</v>
      </c>
      <c r="D97" s="10" t="s">
        <v>69</v>
      </c>
      <c r="F97" s="573">
        <f t="shared" ref="F97:BA97" si="20">IFERROR(F89/F$27*10^3,0)</f>
        <v>0</v>
      </c>
      <c r="G97" s="574">
        <f t="shared" si="20"/>
        <v>0</v>
      </c>
      <c r="H97" s="574">
        <f t="shared" si="20"/>
        <v>0</v>
      </c>
      <c r="I97" s="574">
        <f t="shared" si="20"/>
        <v>0</v>
      </c>
      <c r="J97" s="574">
        <f t="shared" si="20"/>
        <v>0</v>
      </c>
      <c r="K97" s="574">
        <f t="shared" si="20"/>
        <v>0</v>
      </c>
      <c r="L97" s="574">
        <f t="shared" si="20"/>
        <v>0</v>
      </c>
      <c r="M97" s="574">
        <f t="shared" si="20"/>
        <v>0</v>
      </c>
      <c r="N97" s="574">
        <f t="shared" si="20"/>
        <v>0</v>
      </c>
      <c r="O97" s="574">
        <f t="shared" si="20"/>
        <v>0</v>
      </c>
      <c r="P97" s="574">
        <f t="shared" si="20"/>
        <v>0</v>
      </c>
      <c r="Q97" s="575">
        <f t="shared" si="20"/>
        <v>0</v>
      </c>
      <c r="R97" s="573">
        <f t="shared" si="20"/>
        <v>0</v>
      </c>
      <c r="S97" s="574">
        <f t="shared" si="20"/>
        <v>0</v>
      </c>
      <c r="T97" s="574">
        <f t="shared" si="20"/>
        <v>0</v>
      </c>
      <c r="U97" s="574">
        <f t="shared" si="20"/>
        <v>0</v>
      </c>
      <c r="V97" s="574">
        <f t="shared" si="20"/>
        <v>0</v>
      </c>
      <c r="W97" s="574">
        <f t="shared" si="20"/>
        <v>0</v>
      </c>
      <c r="X97" s="574">
        <f t="shared" si="20"/>
        <v>0</v>
      </c>
      <c r="Y97" s="574">
        <f t="shared" si="20"/>
        <v>1101.5741817304317</v>
      </c>
      <c r="Z97" s="574">
        <f t="shared" si="20"/>
        <v>1175.1975042085824</v>
      </c>
      <c r="AA97" s="574">
        <f t="shared" si="20"/>
        <v>1123.8567900286648</v>
      </c>
      <c r="AB97" s="574">
        <f t="shared" si="20"/>
        <v>1082.3797253506091</v>
      </c>
      <c r="AC97" s="575">
        <f t="shared" si="20"/>
        <v>1078.2070898484005</v>
      </c>
      <c r="AD97" s="573">
        <f t="shared" si="20"/>
        <v>1096.9942524368221</v>
      </c>
      <c r="AE97" s="574">
        <f t="shared" si="20"/>
        <v>1118.3928672932527</v>
      </c>
      <c r="AF97" s="574">
        <f t="shared" si="20"/>
        <v>1113.4584653401475</v>
      </c>
      <c r="AG97" s="574">
        <f t="shared" si="20"/>
        <v>1099.6693828881585</v>
      </c>
      <c r="AH97" s="574">
        <f t="shared" si="20"/>
        <v>1094.368110770663</v>
      </c>
      <c r="AI97" s="574">
        <f t="shared" si="20"/>
        <v>1088.3353579825598</v>
      </c>
      <c r="AJ97" s="574">
        <f t="shared" si="20"/>
        <v>1078.9456475758248</v>
      </c>
      <c r="AK97" s="574">
        <f t="shared" si="20"/>
        <v>1074.1117347329705</v>
      </c>
      <c r="AL97" s="574">
        <f t="shared" si="20"/>
        <v>1072.0847063273393</v>
      </c>
      <c r="AM97" s="574">
        <f t="shared" si="20"/>
        <v>1071.436921215829</v>
      </c>
      <c r="AN97" s="574">
        <f t="shared" si="20"/>
        <v>1071.6418128274754</v>
      </c>
      <c r="AO97" s="575">
        <f t="shared" si="20"/>
        <v>1072.3390147166267</v>
      </c>
      <c r="AP97" s="573">
        <f t="shared" si="20"/>
        <v>1076.0452590420332</v>
      </c>
      <c r="AQ97" s="574">
        <f t="shared" si="20"/>
        <v>1085.9707950757868</v>
      </c>
      <c r="AR97" s="574">
        <f t="shared" si="20"/>
        <v>1074.8070454956419</v>
      </c>
      <c r="AS97" s="574">
        <f t="shared" si="20"/>
        <v>1072.1750345867849</v>
      </c>
      <c r="AT97" s="574">
        <f t="shared" si="20"/>
        <v>1074.3160789931267</v>
      </c>
      <c r="AU97" s="574">
        <f t="shared" si="20"/>
        <v>1074.3160789931267</v>
      </c>
      <c r="AV97" s="574">
        <f t="shared" si="20"/>
        <v>0</v>
      </c>
      <c r="AW97" s="574">
        <f t="shared" si="20"/>
        <v>0</v>
      </c>
      <c r="AX97" s="574">
        <f t="shared" si="20"/>
        <v>0</v>
      </c>
      <c r="AY97" s="574">
        <f t="shared" si="20"/>
        <v>0</v>
      </c>
      <c r="AZ97" s="574">
        <f t="shared" si="20"/>
        <v>0</v>
      </c>
      <c r="BA97" s="575">
        <f t="shared" si="20"/>
        <v>0</v>
      </c>
      <c r="BB97" s="22"/>
    </row>
    <row r="98" spans="1:54" x14ac:dyDescent="0.3">
      <c r="B98" s="8"/>
      <c r="C98" s="8"/>
      <c r="D98" s="10"/>
      <c r="F98" s="573"/>
      <c r="G98" s="574"/>
      <c r="H98" s="574"/>
      <c r="I98" s="574"/>
      <c r="J98" s="574"/>
      <c r="K98" s="574"/>
      <c r="L98" s="574"/>
      <c r="M98" s="574"/>
      <c r="N98" s="574"/>
      <c r="O98" s="574"/>
      <c r="P98" s="574"/>
      <c r="Q98" s="575"/>
      <c r="R98" s="573"/>
      <c r="S98" s="574"/>
      <c r="T98" s="574"/>
      <c r="U98" s="574"/>
      <c r="V98" s="574"/>
      <c r="W98" s="574"/>
      <c r="X98" s="574"/>
      <c r="Y98" s="574"/>
      <c r="Z98" s="574"/>
      <c r="AA98" s="574"/>
      <c r="AB98" s="574"/>
      <c r="AC98" s="575"/>
      <c r="AD98" s="573"/>
      <c r="AE98" s="574"/>
      <c r="AF98" s="574"/>
      <c r="AG98" s="574"/>
      <c r="AH98" s="574"/>
      <c r="AI98" s="574"/>
      <c r="AJ98" s="574"/>
      <c r="AK98" s="574"/>
      <c r="AL98" s="574"/>
      <c r="AM98" s="574"/>
      <c r="AN98" s="574"/>
      <c r="AO98" s="575"/>
      <c r="AP98" s="573"/>
      <c r="AQ98" s="574"/>
      <c r="AR98" s="574"/>
      <c r="AS98" s="574"/>
      <c r="AT98" s="574"/>
      <c r="AU98" s="574"/>
      <c r="AV98" s="574"/>
      <c r="AW98" s="574"/>
      <c r="AX98" s="574"/>
      <c r="AY98" s="574"/>
      <c r="AZ98" s="574"/>
      <c r="BA98" s="575"/>
      <c r="BB98" s="22"/>
    </row>
    <row r="99" spans="1:54" x14ac:dyDescent="0.3">
      <c r="A99" s="16"/>
      <c r="B99" s="8"/>
      <c r="C99" s="8"/>
      <c r="D99" s="10"/>
      <c r="F99" s="55"/>
      <c r="G99" s="8"/>
      <c r="H99" s="8"/>
      <c r="I99" s="8"/>
      <c r="J99" s="8"/>
      <c r="K99" s="8"/>
      <c r="L99" s="8"/>
      <c r="M99" s="8"/>
      <c r="N99" s="8"/>
      <c r="O99" s="8"/>
      <c r="P99" s="8"/>
      <c r="Q99" s="56"/>
      <c r="R99" s="55"/>
      <c r="S99" s="8"/>
      <c r="T99" s="8"/>
      <c r="U99" s="8"/>
      <c r="V99" s="8"/>
      <c r="W99" s="8"/>
      <c r="X99" s="8"/>
      <c r="Y99" s="8"/>
      <c r="Z99" s="8"/>
      <c r="AA99" s="8"/>
      <c r="AB99" s="8"/>
      <c r="AC99" s="56"/>
      <c r="AD99" s="55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56"/>
      <c r="AP99" s="55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56"/>
      <c r="BB99" s="22"/>
    </row>
    <row r="100" spans="1:54" x14ac:dyDescent="0.3">
      <c r="A100" s="16"/>
      <c r="B100" s="8"/>
      <c r="C100" s="8"/>
      <c r="D100" s="10"/>
      <c r="F100" s="5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56"/>
      <c r="R100" s="55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56"/>
      <c r="AD100" s="55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56"/>
      <c r="AP100" s="55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56"/>
      <c r="BB100" s="22"/>
    </row>
    <row r="101" spans="1:54" s="1" customFormat="1" x14ac:dyDescent="0.3">
      <c r="A101" s="17"/>
      <c r="B101" s="64"/>
      <c r="C101" s="64" t="s">
        <v>523</v>
      </c>
      <c r="D101" s="65"/>
      <c r="E101" s="66"/>
      <c r="F101" s="67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8"/>
      <c r="R101" s="67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8"/>
      <c r="AD101" s="67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8"/>
      <c r="AP101" s="67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8"/>
      <c r="BB101" s="41"/>
    </row>
    <row r="102" spans="1:54" x14ac:dyDescent="0.3">
      <c r="A102" s="16"/>
      <c r="B102" s="8"/>
      <c r="C102" s="8"/>
      <c r="D102" s="10"/>
      <c r="F102" s="5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56"/>
      <c r="R102" s="55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56"/>
      <c r="AD102" s="55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56"/>
      <c r="AP102" s="55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56"/>
      <c r="BB102" s="22"/>
    </row>
    <row r="103" spans="1:54" x14ac:dyDescent="0.3">
      <c r="A103" s="16"/>
      <c r="B103" s="8"/>
      <c r="C103" s="8" t="s">
        <v>527</v>
      </c>
      <c r="D103" s="10" t="s">
        <v>528</v>
      </c>
      <c r="F103" s="576">
        <v>24720610617</v>
      </c>
      <c r="G103" s="577">
        <v>22528841520</v>
      </c>
      <c r="H103" s="577">
        <v>57671256958</v>
      </c>
      <c r="I103" s="577">
        <v>53633710072</v>
      </c>
      <c r="J103" s="577">
        <v>56084650506</v>
      </c>
      <c r="K103" s="577">
        <v>49825953743</v>
      </c>
      <c r="L103" s="577">
        <v>52471554308</v>
      </c>
      <c r="M103" s="577">
        <v>76263993761</v>
      </c>
      <c r="N103" s="577">
        <v>63804920432</v>
      </c>
      <c r="O103" s="577">
        <v>82630363847</v>
      </c>
      <c r="P103" s="577">
        <v>61337961842</v>
      </c>
      <c r="Q103" s="578">
        <v>69897315083</v>
      </c>
      <c r="R103" s="576">
        <v>93582683552.999985</v>
      </c>
      <c r="S103" s="577">
        <v>68130110906.999985</v>
      </c>
      <c r="T103" s="577">
        <v>88846750413.999893</v>
      </c>
      <c r="U103" s="577">
        <v>93403329395.999924</v>
      </c>
      <c r="V103" s="577">
        <v>101286787230</v>
      </c>
      <c r="W103" s="577">
        <v>66318604229</v>
      </c>
      <c r="X103" s="577">
        <v>55025690339</v>
      </c>
      <c r="Y103" s="577">
        <v>146950307537.99954</v>
      </c>
      <c r="Z103" s="577">
        <v>150525224721.99994</v>
      </c>
      <c r="AA103" s="577">
        <v>113528996219.99976</v>
      </c>
      <c r="AB103" s="577">
        <v>74991247545</v>
      </c>
      <c r="AC103" s="578">
        <v>103210289749</v>
      </c>
      <c r="AD103" s="576">
        <v>111613436627.09998</v>
      </c>
      <c r="AE103" s="577">
        <v>182528128171.00012</v>
      </c>
      <c r="AF103" s="577">
        <v>147272137268.99994</v>
      </c>
      <c r="AG103" s="577">
        <v>122733564174.00021</v>
      </c>
      <c r="AH103" s="577">
        <v>148532922753</v>
      </c>
      <c r="AI103" s="577">
        <v>115116144523</v>
      </c>
      <c r="AJ103" s="577">
        <v>135366414511.99994</v>
      </c>
      <c r="AK103" s="577">
        <v>164681434635.99982</v>
      </c>
      <c r="AL103" s="577">
        <v>82890911876.999985</v>
      </c>
      <c r="AM103" s="577">
        <v>107053327568.99998</v>
      </c>
      <c r="AN103" s="577">
        <v>86348552105</v>
      </c>
      <c r="AO103" s="578">
        <v>97607880845.999969</v>
      </c>
      <c r="AP103" s="576">
        <v>123377047483.99994</v>
      </c>
      <c r="AQ103" s="577">
        <v>94305446505.999969</v>
      </c>
      <c r="AR103" s="577">
        <v>168722828692.99991</v>
      </c>
      <c r="AS103" s="577">
        <v>154829802257.99988</v>
      </c>
      <c r="AT103" s="577">
        <v>155493055198.99997</v>
      </c>
      <c r="AU103" s="577"/>
      <c r="AV103" s="577"/>
      <c r="AW103" s="577"/>
      <c r="AX103" s="577"/>
      <c r="AY103" s="577"/>
      <c r="AZ103" s="577"/>
      <c r="BA103" s="578"/>
      <c r="BB103" s="22"/>
    </row>
    <row r="104" spans="1:54" x14ac:dyDescent="0.3">
      <c r="A104" s="16"/>
      <c r="B104" s="8"/>
      <c r="C104" s="8" t="s">
        <v>545</v>
      </c>
      <c r="D104" s="10" t="s">
        <v>528</v>
      </c>
      <c r="F104" s="576">
        <v>20792367485</v>
      </c>
      <c r="G104" s="577">
        <v>21918378947</v>
      </c>
      <c r="H104" s="577">
        <v>61251223688</v>
      </c>
      <c r="I104" s="577">
        <v>53942190282</v>
      </c>
      <c r="J104" s="577">
        <v>50245648463</v>
      </c>
      <c r="K104" s="577">
        <v>7904131770</v>
      </c>
      <c r="L104" s="577">
        <v>44797235508</v>
      </c>
      <c r="M104" s="577">
        <v>62222051344</v>
      </c>
      <c r="N104" s="577">
        <v>37728980820</v>
      </c>
      <c r="O104" s="577">
        <v>61940025172</v>
      </c>
      <c r="P104" s="577">
        <v>49113504898</v>
      </c>
      <c r="Q104" s="578">
        <v>46738804301</v>
      </c>
      <c r="R104" s="576">
        <v>85841765176</v>
      </c>
      <c r="S104" s="577">
        <v>68748321616</v>
      </c>
      <c r="T104" s="577">
        <v>86824377307</v>
      </c>
      <c r="U104" s="577">
        <v>85475594862</v>
      </c>
      <c r="V104" s="577">
        <v>99208228636</v>
      </c>
      <c r="W104" s="577">
        <v>69795611979</v>
      </c>
      <c r="X104" s="577">
        <v>61217801757</v>
      </c>
      <c r="Y104" s="577">
        <v>147970813832</v>
      </c>
      <c r="Z104" s="577">
        <v>132769623597</v>
      </c>
      <c r="AA104" s="577">
        <v>112138441893</v>
      </c>
      <c r="AB104" s="577">
        <v>70998442117</v>
      </c>
      <c r="AC104" s="578">
        <v>-22758768790</v>
      </c>
      <c r="AD104" s="576">
        <v>96299447936</v>
      </c>
      <c r="AE104" s="577">
        <v>154570631505</v>
      </c>
      <c r="AF104" s="577">
        <v>129509315823</v>
      </c>
      <c r="AG104" s="577">
        <v>109641808151</v>
      </c>
      <c r="AH104" s="577">
        <v>129906078108</v>
      </c>
      <c r="AI104" s="577">
        <v>105463649620</v>
      </c>
      <c r="AJ104" s="577">
        <v>128673842020</v>
      </c>
      <c r="AK104" s="577">
        <v>155101842643</v>
      </c>
      <c r="AL104" s="577">
        <v>83113314505</v>
      </c>
      <c r="AM104" s="577">
        <v>99966937216</v>
      </c>
      <c r="AN104" s="577">
        <v>80940600844</v>
      </c>
      <c r="AO104" s="578">
        <v>70308328665</v>
      </c>
      <c r="AP104" s="576">
        <v>115079791133.74712</v>
      </c>
      <c r="AQ104" s="577">
        <v>90411470461.000214</v>
      </c>
      <c r="AR104" s="577">
        <v>165844739865.00015</v>
      </c>
      <c r="AS104" s="577">
        <v>141086003219</v>
      </c>
      <c r="AT104" s="577">
        <v>137580032058</v>
      </c>
      <c r="AU104" s="577"/>
      <c r="AV104" s="577"/>
      <c r="AW104" s="577"/>
      <c r="AX104" s="577"/>
      <c r="AY104" s="577"/>
      <c r="AZ104" s="577"/>
      <c r="BA104" s="578"/>
      <c r="BB104" s="22"/>
    </row>
    <row r="105" spans="1:54" x14ac:dyDescent="0.3">
      <c r="A105" s="16"/>
      <c r="B105" s="8"/>
      <c r="C105" s="8"/>
      <c r="D105" s="10"/>
      <c r="F105" s="576"/>
      <c r="G105" s="577"/>
      <c r="H105" s="577"/>
      <c r="I105" s="577"/>
      <c r="J105" s="577"/>
      <c r="K105" s="577"/>
      <c r="L105" s="577"/>
      <c r="M105" s="577"/>
      <c r="N105" s="577"/>
      <c r="O105" s="577"/>
      <c r="P105" s="577"/>
      <c r="Q105" s="578"/>
      <c r="R105" s="576"/>
      <c r="S105" s="577"/>
      <c r="T105" s="577"/>
      <c r="U105" s="577"/>
      <c r="V105" s="577"/>
      <c r="W105" s="577"/>
      <c r="X105" s="577"/>
      <c r="Y105" s="577"/>
      <c r="Z105" s="577"/>
      <c r="AA105" s="577"/>
      <c r="AB105" s="577"/>
      <c r="AC105" s="578"/>
      <c r="AD105" s="576"/>
      <c r="AE105" s="577"/>
      <c r="AF105" s="577"/>
      <c r="AG105" s="577"/>
      <c r="AH105" s="577"/>
      <c r="AI105" s="577"/>
      <c r="AJ105" s="577"/>
      <c r="AK105" s="577"/>
      <c r="AL105" s="577"/>
      <c r="AM105" s="577"/>
      <c r="AN105" s="577"/>
      <c r="AO105" s="578"/>
      <c r="AP105" s="576"/>
      <c r="AQ105" s="577"/>
      <c r="AR105" s="577"/>
      <c r="AS105" s="577"/>
      <c r="AT105" s="577"/>
      <c r="AU105" s="577"/>
      <c r="AV105" s="577"/>
      <c r="AW105" s="577"/>
      <c r="AX105" s="577"/>
      <c r="AY105" s="577"/>
      <c r="AZ105" s="577"/>
      <c r="BA105" s="578"/>
      <c r="BB105" s="22"/>
    </row>
    <row r="106" spans="1:54" x14ac:dyDescent="0.3">
      <c r="A106" s="16"/>
      <c r="B106" s="8"/>
      <c r="C106" s="8" t="s">
        <v>524</v>
      </c>
      <c r="D106" s="10" t="s">
        <v>528</v>
      </c>
      <c r="F106" s="576">
        <v>380614505</v>
      </c>
      <c r="G106" s="577">
        <v>477776567</v>
      </c>
      <c r="H106" s="577">
        <v>341883722</v>
      </c>
      <c r="I106" s="577">
        <v>492072421</v>
      </c>
      <c r="J106" s="577">
        <v>423034050</v>
      </c>
      <c r="K106" s="577">
        <v>381597442</v>
      </c>
      <c r="L106" s="577">
        <v>395626202</v>
      </c>
      <c r="M106" s="577">
        <v>345086770</v>
      </c>
      <c r="N106" s="577">
        <v>355328018</v>
      </c>
      <c r="O106" s="577">
        <v>257832667</v>
      </c>
      <c r="P106" s="577">
        <v>284044848</v>
      </c>
      <c r="Q106" s="578">
        <v>349591308</v>
      </c>
      <c r="R106" s="576">
        <v>467286304</v>
      </c>
      <c r="S106" s="577">
        <v>409820765</v>
      </c>
      <c r="T106" s="577">
        <v>452980324</v>
      </c>
      <c r="U106" s="577">
        <v>499396051</v>
      </c>
      <c r="V106" s="577">
        <v>615599840</v>
      </c>
      <c r="W106" s="577">
        <v>632900994</v>
      </c>
      <c r="X106" s="577">
        <v>875384984</v>
      </c>
      <c r="Y106" s="577">
        <v>1128046571</v>
      </c>
      <c r="Z106" s="577">
        <v>731857520</v>
      </c>
      <c r="AA106" s="577">
        <v>1325348668</v>
      </c>
      <c r="AB106" s="577">
        <v>814735257</v>
      </c>
      <c r="AC106" s="578">
        <v>7266949149</v>
      </c>
      <c r="AD106" s="576">
        <v>1157351074</v>
      </c>
      <c r="AE106" s="577">
        <v>842349370</v>
      </c>
      <c r="AF106" s="577">
        <v>2110349365</v>
      </c>
      <c r="AG106" s="577">
        <v>1381041053</v>
      </c>
      <c r="AH106" s="577">
        <v>1152316476</v>
      </c>
      <c r="AI106" s="577">
        <v>778201254</v>
      </c>
      <c r="AJ106" s="577">
        <v>824979963</v>
      </c>
      <c r="AK106" s="577">
        <v>1187877004</v>
      </c>
      <c r="AL106" s="577">
        <v>992075096</v>
      </c>
      <c r="AM106" s="577">
        <v>4813374843</v>
      </c>
      <c r="AN106" s="577">
        <v>1414420938</v>
      </c>
      <c r="AO106" s="578">
        <v>2666440182</v>
      </c>
      <c r="AP106" s="576">
        <v>1009808565</v>
      </c>
      <c r="AQ106" s="577">
        <v>941286482</v>
      </c>
      <c r="AR106" s="577">
        <v>1662701952</v>
      </c>
      <c r="AS106" s="577">
        <v>1594256555</v>
      </c>
      <c r="AT106" s="577">
        <v>1643051252</v>
      </c>
      <c r="AU106" s="577"/>
      <c r="AV106" s="577"/>
      <c r="AW106" s="577"/>
      <c r="AX106" s="577"/>
      <c r="AY106" s="577"/>
      <c r="AZ106" s="577"/>
      <c r="BA106" s="578"/>
      <c r="BB106" s="22"/>
    </row>
    <row r="107" spans="1:54" x14ac:dyDescent="0.3">
      <c r="A107" s="16"/>
      <c r="B107" s="8"/>
      <c r="C107" s="8" t="s">
        <v>525</v>
      </c>
      <c r="D107" s="10" t="s">
        <v>528</v>
      </c>
      <c r="F107" s="576">
        <v>2772788125</v>
      </c>
      <c r="G107" s="577">
        <v>2947588122</v>
      </c>
      <c r="H107" s="577">
        <v>3098829707</v>
      </c>
      <c r="I107" s="577">
        <v>3036290770</v>
      </c>
      <c r="J107" s="577">
        <v>3448026712</v>
      </c>
      <c r="K107" s="577">
        <v>3261800788</v>
      </c>
      <c r="L107" s="577">
        <v>3348437381</v>
      </c>
      <c r="M107" s="577">
        <v>1910475796</v>
      </c>
      <c r="N107" s="577">
        <v>3536419913</v>
      </c>
      <c r="O107" s="577">
        <v>3592592574</v>
      </c>
      <c r="P107" s="577">
        <v>3600549435</v>
      </c>
      <c r="Q107" s="578">
        <v>5720814487</v>
      </c>
      <c r="R107" s="576">
        <v>5241377343</v>
      </c>
      <c r="S107" s="577">
        <v>4647980221</v>
      </c>
      <c r="T107" s="577">
        <v>4838115306</v>
      </c>
      <c r="U107" s="577">
        <v>5132788494</v>
      </c>
      <c r="V107" s="577">
        <v>5665606587</v>
      </c>
      <c r="W107" s="577">
        <v>5470797521</v>
      </c>
      <c r="X107" s="577">
        <v>5239042307</v>
      </c>
      <c r="Y107" s="577">
        <v>6065017937</v>
      </c>
      <c r="Z107" s="577">
        <v>7524726581</v>
      </c>
      <c r="AA107" s="577">
        <v>7016385931</v>
      </c>
      <c r="AB107" s="577">
        <v>7426888275</v>
      </c>
      <c r="AC107" s="578">
        <v>5833487838</v>
      </c>
      <c r="AD107" s="576">
        <v>7638868570</v>
      </c>
      <c r="AE107" s="577">
        <v>7013534740</v>
      </c>
      <c r="AF107" s="577">
        <v>7332584934</v>
      </c>
      <c r="AG107" s="577">
        <v>7155903324</v>
      </c>
      <c r="AH107" s="577">
        <v>7948694673</v>
      </c>
      <c r="AI107" s="577">
        <v>7721648228</v>
      </c>
      <c r="AJ107" s="577">
        <v>7616453256</v>
      </c>
      <c r="AK107" s="577">
        <v>7931593154</v>
      </c>
      <c r="AL107" s="577">
        <v>9422194647</v>
      </c>
      <c r="AM107" s="577">
        <v>3775611792</v>
      </c>
      <c r="AN107" s="577">
        <v>9875644458</v>
      </c>
      <c r="AO107" s="578">
        <v>15282438636</v>
      </c>
      <c r="AP107" s="576">
        <v>8394130638</v>
      </c>
      <c r="AQ107" s="577">
        <v>7959394332</v>
      </c>
      <c r="AR107" s="577">
        <v>7329810589</v>
      </c>
      <c r="AS107" s="577">
        <v>8148952142</v>
      </c>
      <c r="AT107" s="577">
        <v>8010802475</v>
      </c>
      <c r="AU107" s="577"/>
      <c r="AV107" s="577"/>
      <c r="AW107" s="577"/>
      <c r="AX107" s="577"/>
      <c r="AY107" s="577"/>
      <c r="AZ107" s="577"/>
      <c r="BA107" s="578"/>
      <c r="BB107" s="22"/>
    </row>
    <row r="108" spans="1:54" x14ac:dyDescent="0.3">
      <c r="A108" s="16"/>
      <c r="B108" s="8"/>
      <c r="C108" s="8" t="s">
        <v>530</v>
      </c>
      <c r="D108" s="10" t="s">
        <v>528</v>
      </c>
      <c r="F108" s="576">
        <v>1</v>
      </c>
      <c r="G108" s="577">
        <v>236</v>
      </c>
      <c r="H108" s="577">
        <v>0</v>
      </c>
      <c r="I108" s="577">
        <v>7135172</v>
      </c>
      <c r="J108" s="577">
        <v>3500000</v>
      </c>
      <c r="K108" s="577">
        <v>99064</v>
      </c>
      <c r="L108" s="577">
        <v>0</v>
      </c>
      <c r="M108" s="577">
        <v>-36000</v>
      </c>
      <c r="N108" s="577">
        <v>0</v>
      </c>
      <c r="O108" s="577">
        <v>0</v>
      </c>
      <c r="P108" s="577">
        <v>0</v>
      </c>
      <c r="Q108" s="578">
        <v>187595749</v>
      </c>
      <c r="R108" s="576">
        <v>7958068</v>
      </c>
      <c r="S108" s="577">
        <v>1</v>
      </c>
      <c r="T108" s="577">
        <v>21796958</v>
      </c>
      <c r="U108" s="577">
        <v>2</v>
      </c>
      <c r="V108" s="577">
        <v>36200000</v>
      </c>
      <c r="W108" s="577">
        <v>168183405</v>
      </c>
      <c r="X108" s="577">
        <v>6000002</v>
      </c>
      <c r="Y108" s="577">
        <v>601</v>
      </c>
      <c r="Z108" s="577">
        <v>2601033</v>
      </c>
      <c r="AA108" s="577">
        <v>612598</v>
      </c>
      <c r="AB108" s="577">
        <v>202496</v>
      </c>
      <c r="AC108" s="578">
        <v>8641082896</v>
      </c>
      <c r="AD108" s="576">
        <v>1251667</v>
      </c>
      <c r="AE108" s="577">
        <v>130033300</v>
      </c>
      <c r="AF108" s="577"/>
      <c r="AG108" s="577">
        <v>17808640</v>
      </c>
      <c r="AH108" s="577">
        <v>600</v>
      </c>
      <c r="AI108" s="577">
        <v>36477376</v>
      </c>
      <c r="AJ108" s="577">
        <v>130663204</v>
      </c>
      <c r="AK108" s="577">
        <v>539898446</v>
      </c>
      <c r="AL108" s="577">
        <v>539664890</v>
      </c>
      <c r="AM108" s="577">
        <v>3515574706</v>
      </c>
      <c r="AN108" s="577">
        <v>1106262251</v>
      </c>
      <c r="AO108" s="578">
        <v>1603033842</v>
      </c>
      <c r="AP108" s="576">
        <v>106808581</v>
      </c>
      <c r="AQ108" s="577">
        <v>151000202</v>
      </c>
      <c r="AR108" s="577">
        <v>34000105</v>
      </c>
      <c r="AS108" s="577">
        <v>25463313</v>
      </c>
      <c r="AT108" s="577">
        <v>130000650</v>
      </c>
      <c r="AU108" s="577"/>
      <c r="AV108" s="577"/>
      <c r="AW108" s="577"/>
      <c r="AX108" s="577"/>
      <c r="AY108" s="577"/>
      <c r="AZ108" s="577"/>
      <c r="BA108" s="578"/>
      <c r="BB108" s="22"/>
    </row>
    <row r="109" spans="1:54" x14ac:dyDescent="0.3">
      <c r="A109" s="16"/>
      <c r="B109" s="8"/>
      <c r="C109" s="8" t="s">
        <v>526</v>
      </c>
      <c r="D109" s="10" t="s">
        <v>528</v>
      </c>
      <c r="F109" s="576">
        <v>44321388</v>
      </c>
      <c r="G109" s="577">
        <v>0</v>
      </c>
      <c r="H109" s="577">
        <v>48722388</v>
      </c>
      <c r="I109" s="577">
        <v>76187496</v>
      </c>
      <c r="J109" s="577">
        <v>68801482</v>
      </c>
      <c r="K109" s="577">
        <v>28249626</v>
      </c>
      <c r="L109" s="577">
        <v>91396439</v>
      </c>
      <c r="M109" s="577">
        <v>93845376</v>
      </c>
      <c r="N109" s="577">
        <v>109400024</v>
      </c>
      <c r="O109" s="577">
        <v>129996535</v>
      </c>
      <c r="P109" s="577">
        <v>157601782</v>
      </c>
      <c r="Q109" s="578">
        <v>316883990</v>
      </c>
      <c r="R109" s="576">
        <v>460461775</v>
      </c>
      <c r="S109" s="577">
        <v>563909516</v>
      </c>
      <c r="T109" s="577">
        <v>587315920</v>
      </c>
      <c r="U109" s="577">
        <v>905708142</v>
      </c>
      <c r="V109" s="577">
        <v>974310029</v>
      </c>
      <c r="W109" s="577">
        <v>1115056080</v>
      </c>
      <c r="X109" s="577">
        <v>1160823006</v>
      </c>
      <c r="Y109" s="577">
        <v>939585045</v>
      </c>
      <c r="Z109" s="577">
        <v>859444105</v>
      </c>
      <c r="AA109" s="577">
        <v>840165515</v>
      </c>
      <c r="AB109" s="577">
        <v>889159081</v>
      </c>
      <c r="AC109" s="578">
        <v>1032562923</v>
      </c>
      <c r="AD109" s="576">
        <v>1114824276</v>
      </c>
      <c r="AE109" s="577">
        <v>928379281</v>
      </c>
      <c r="AF109" s="577">
        <v>673966789</v>
      </c>
      <c r="AG109" s="577">
        <v>888393452</v>
      </c>
      <c r="AH109" s="577">
        <v>1186588729</v>
      </c>
      <c r="AI109" s="577">
        <v>1448899822</v>
      </c>
      <c r="AJ109" s="577">
        <v>1242023326</v>
      </c>
      <c r="AK109" s="577">
        <v>1303560910</v>
      </c>
      <c r="AL109" s="577">
        <v>1595764355</v>
      </c>
      <c r="AM109" s="577">
        <v>1368802426</v>
      </c>
      <c r="AN109" s="577">
        <v>1256132292</v>
      </c>
      <c r="AO109" s="578">
        <v>1256103396</v>
      </c>
      <c r="AP109" s="576">
        <v>1240115065</v>
      </c>
      <c r="AQ109" s="577">
        <v>1156279418</v>
      </c>
      <c r="AR109" s="577">
        <v>959718564</v>
      </c>
      <c r="AS109" s="577">
        <v>1062084475</v>
      </c>
      <c r="AT109" s="577">
        <v>838836791</v>
      </c>
      <c r="AU109" s="577"/>
      <c r="AV109" s="577"/>
      <c r="AW109" s="577"/>
      <c r="AX109" s="577"/>
      <c r="AY109" s="577"/>
      <c r="AZ109" s="577"/>
      <c r="BA109" s="578"/>
      <c r="BB109" s="22"/>
    </row>
    <row r="110" spans="1:54" x14ac:dyDescent="0.3">
      <c r="A110" s="16"/>
      <c r="B110" s="8"/>
      <c r="C110" s="8"/>
      <c r="D110" s="10"/>
      <c r="F110" s="5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56"/>
      <c r="R110" s="55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56"/>
      <c r="AD110" s="55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56"/>
      <c r="AP110" s="55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56"/>
      <c r="BB110" s="22"/>
    </row>
    <row r="111" spans="1:54" s="568" customFormat="1" x14ac:dyDescent="0.3">
      <c r="A111" s="565"/>
      <c r="B111" s="566"/>
      <c r="C111" s="566" t="s">
        <v>529</v>
      </c>
      <c r="D111" s="567"/>
      <c r="F111" s="570">
        <f>IFERROR(F106/F$103,0)</f>
        <v>1.5396646583570109E-2</v>
      </c>
      <c r="G111" s="571">
        <f t="shared" ref="G111:BA111" si="21">IFERROR(G106/G$103,0)</f>
        <v>2.1207329572443989E-2</v>
      </c>
      <c r="H111" s="571">
        <f t="shared" si="21"/>
        <v>5.9281475735648041E-3</v>
      </c>
      <c r="I111" s="571">
        <f t="shared" si="21"/>
        <v>9.1746854793267642E-3</v>
      </c>
      <c r="J111" s="571">
        <f t="shared" si="21"/>
        <v>7.5427776795139933E-3</v>
      </c>
      <c r="K111" s="571">
        <f t="shared" si="21"/>
        <v>7.6586078807093635E-3</v>
      </c>
      <c r="L111" s="571">
        <f t="shared" si="21"/>
        <v>7.5398224279337083E-3</v>
      </c>
      <c r="M111" s="571">
        <f t="shared" si="21"/>
        <v>4.524897700498751E-3</v>
      </c>
      <c r="N111" s="571">
        <f t="shared" si="21"/>
        <v>5.568975176118123E-3</v>
      </c>
      <c r="O111" s="571">
        <f t="shared" si="21"/>
        <v>3.1203138289141266E-3</v>
      </c>
      <c r="P111" s="571">
        <f t="shared" si="21"/>
        <v>4.6308165362857834E-3</v>
      </c>
      <c r="Q111" s="572">
        <f t="shared" si="21"/>
        <v>5.0014983777971391E-3</v>
      </c>
      <c r="R111" s="570">
        <f t="shared" si="21"/>
        <v>4.9932988268642162E-3</v>
      </c>
      <c r="S111" s="571">
        <f t="shared" si="21"/>
        <v>6.0152663711265618E-3</v>
      </c>
      <c r="T111" s="571">
        <f t="shared" si="21"/>
        <v>5.0984456031227263E-3</v>
      </c>
      <c r="U111" s="571">
        <f t="shared" si="21"/>
        <v>5.3466622038998435E-3</v>
      </c>
      <c r="V111" s="571">
        <f t="shared" si="21"/>
        <v>6.0777901721979612E-3</v>
      </c>
      <c r="W111" s="571">
        <f t="shared" si="21"/>
        <v>9.54334008319257E-3</v>
      </c>
      <c r="X111" s="571">
        <f t="shared" si="21"/>
        <v>1.5908659729791018E-2</v>
      </c>
      <c r="Y111" s="571">
        <f t="shared" si="21"/>
        <v>7.6763811515556104E-3</v>
      </c>
      <c r="Z111" s="571">
        <f t="shared" si="21"/>
        <v>4.862025759148631E-3</v>
      </c>
      <c r="AA111" s="571">
        <f t="shared" si="21"/>
        <v>1.1674098354852898E-2</v>
      </c>
      <c r="AB111" s="571">
        <f t="shared" si="21"/>
        <v>1.086440462950162E-2</v>
      </c>
      <c r="AC111" s="572">
        <f t="shared" si="21"/>
        <v>7.0409153648078093E-2</v>
      </c>
      <c r="AD111" s="570">
        <f t="shared" si="21"/>
        <v>1.0369280876698609E-2</v>
      </c>
      <c r="AE111" s="571">
        <f t="shared" si="21"/>
        <v>4.6149017055105677E-3</v>
      </c>
      <c r="AF111" s="571">
        <f t="shared" si="21"/>
        <v>1.43295901324861E-2</v>
      </c>
      <c r="AG111" s="571">
        <f t="shared" si="21"/>
        <v>1.1252350262085509E-2</v>
      </c>
      <c r="AH111" s="571">
        <f t="shared" si="21"/>
        <v>7.7579869475552085E-3</v>
      </c>
      <c r="AI111" s="571">
        <f t="shared" si="21"/>
        <v>6.7601400066392668E-3</v>
      </c>
      <c r="AJ111" s="571">
        <f t="shared" si="21"/>
        <v>6.0944213228523334E-3</v>
      </c>
      <c r="AK111" s="571">
        <f t="shared" si="21"/>
        <v>7.2131810524094552E-3</v>
      </c>
      <c r="AL111" s="571">
        <f t="shared" si="21"/>
        <v>1.196844230006926E-2</v>
      </c>
      <c r="AM111" s="571">
        <f t="shared" si="21"/>
        <v>4.4962402872508515E-2</v>
      </c>
      <c r="AN111" s="571">
        <f t="shared" si="21"/>
        <v>1.6380366590050769E-2</v>
      </c>
      <c r="AO111" s="572">
        <f t="shared" si="21"/>
        <v>2.7317878012401008E-2</v>
      </c>
      <c r="AP111" s="570">
        <f t="shared" si="21"/>
        <v>8.184736023375468E-3</v>
      </c>
      <c r="AQ111" s="571">
        <f t="shared" si="21"/>
        <v>9.981252587994616E-3</v>
      </c>
      <c r="AR111" s="571">
        <f t="shared" si="21"/>
        <v>9.8546353500590846E-3</v>
      </c>
      <c r="AS111" s="571">
        <f t="shared" si="21"/>
        <v>1.0296832597792887E-2</v>
      </c>
      <c r="AT111" s="571">
        <f t="shared" ref="AT111" si="22">IFERROR(AT106/AT$103,0)</f>
        <v>1.0566717914811202E-2</v>
      </c>
      <c r="AU111" s="571">
        <f t="shared" si="21"/>
        <v>0</v>
      </c>
      <c r="AV111" s="571">
        <f t="shared" si="21"/>
        <v>0</v>
      </c>
      <c r="AW111" s="571">
        <f t="shared" si="21"/>
        <v>0</v>
      </c>
      <c r="AX111" s="571">
        <f t="shared" si="21"/>
        <v>0</v>
      </c>
      <c r="AY111" s="571">
        <f t="shared" si="21"/>
        <v>0</v>
      </c>
      <c r="AZ111" s="571">
        <f t="shared" si="21"/>
        <v>0</v>
      </c>
      <c r="BA111" s="572">
        <f t="shared" si="21"/>
        <v>0</v>
      </c>
      <c r="BB111" s="569"/>
    </row>
    <row r="112" spans="1:54" s="568" customFormat="1" x14ac:dyDescent="0.3">
      <c r="A112" s="565"/>
      <c r="B112" s="566"/>
      <c r="C112" s="566" t="s">
        <v>531</v>
      </c>
      <c r="D112" s="567"/>
      <c r="F112" s="570">
        <f t="shared" ref="F112:BA112" si="23">IFERROR(F107/F$103,0)</f>
        <v>0.11216503378331578</v>
      </c>
      <c r="G112" s="571">
        <f t="shared" si="23"/>
        <v>0.13083620475483729</v>
      </c>
      <c r="H112" s="571">
        <f t="shared" si="23"/>
        <v>5.3732654193002445E-2</v>
      </c>
      <c r="I112" s="571">
        <f t="shared" si="23"/>
        <v>5.6611611725609953E-2</v>
      </c>
      <c r="J112" s="571">
        <f t="shared" si="23"/>
        <v>6.1478972961258378E-2</v>
      </c>
      <c r="K112" s="571">
        <f t="shared" si="23"/>
        <v>6.5463890662770252E-2</v>
      </c>
      <c r="L112" s="571">
        <f t="shared" si="23"/>
        <v>6.3814335694063584E-2</v>
      </c>
      <c r="M112" s="571">
        <f t="shared" si="23"/>
        <v>2.5050822829802838E-2</v>
      </c>
      <c r="N112" s="571">
        <f t="shared" si="23"/>
        <v>5.5425504632811734E-2</v>
      </c>
      <c r="O112" s="571">
        <f t="shared" si="23"/>
        <v>4.3477874315694831E-2</v>
      </c>
      <c r="P112" s="571">
        <f t="shared" si="23"/>
        <v>5.8700180554982058E-2</v>
      </c>
      <c r="Q112" s="572">
        <f t="shared" si="23"/>
        <v>8.1845983357254612E-2</v>
      </c>
      <c r="R112" s="570">
        <f t="shared" si="23"/>
        <v>5.6007982930213557E-2</v>
      </c>
      <c r="S112" s="571">
        <f t="shared" si="23"/>
        <v>6.8222114409070278E-2</v>
      </c>
      <c r="T112" s="571">
        <f t="shared" si="23"/>
        <v>5.4454611828297562E-2</v>
      </c>
      <c r="U112" s="571">
        <f t="shared" si="23"/>
        <v>5.4952950041412721E-2</v>
      </c>
      <c r="V112" s="571">
        <f t="shared" si="23"/>
        <v>5.593628489898346E-2</v>
      </c>
      <c r="W112" s="571">
        <f t="shared" si="23"/>
        <v>8.2492651716691484E-2</v>
      </c>
      <c r="X112" s="571">
        <f t="shared" si="23"/>
        <v>9.5210841967152515E-2</v>
      </c>
      <c r="Y112" s="571">
        <f t="shared" si="23"/>
        <v>4.1272577367227767E-2</v>
      </c>
      <c r="Z112" s="571">
        <f t="shared" si="23"/>
        <v>4.9989804664946812E-2</v>
      </c>
      <c r="AA112" s="571">
        <f t="shared" si="23"/>
        <v>6.1802589335005174E-2</v>
      </c>
      <c r="AB112" s="571">
        <f t="shared" si="23"/>
        <v>9.9036734527497325E-2</v>
      </c>
      <c r="AC112" s="572">
        <f t="shared" si="23"/>
        <v>5.6520409468732456E-2</v>
      </c>
      <c r="AD112" s="570">
        <f t="shared" si="23"/>
        <v>6.8440402883762352E-2</v>
      </c>
      <c r="AE112" s="571">
        <f t="shared" si="23"/>
        <v>3.8424405105548565E-2</v>
      </c>
      <c r="AF112" s="571">
        <f t="shared" si="23"/>
        <v>4.9789356425286792E-2</v>
      </c>
      <c r="AG112" s="571">
        <f t="shared" si="23"/>
        <v>5.8304371523465473E-2</v>
      </c>
      <c r="AH112" s="571">
        <f t="shared" si="23"/>
        <v>5.3514699136555273E-2</v>
      </c>
      <c r="AI112" s="571">
        <f t="shared" si="23"/>
        <v>6.70770226017883E-2</v>
      </c>
      <c r="AJ112" s="571">
        <f t="shared" si="23"/>
        <v>5.6265457598604109E-2</v>
      </c>
      <c r="AK112" s="571">
        <f t="shared" si="23"/>
        <v>4.8163250287024957E-2</v>
      </c>
      <c r="AL112" s="571">
        <f t="shared" si="23"/>
        <v>0.11366981534696335</v>
      </c>
      <c r="AM112" s="571">
        <f t="shared" si="23"/>
        <v>3.526851409234779E-2</v>
      </c>
      <c r="AN112" s="571">
        <f t="shared" si="23"/>
        <v>0.11436954317417156</v>
      </c>
      <c r="AO112" s="572">
        <f t="shared" si="23"/>
        <v>0.1565697206367152</v>
      </c>
      <c r="AP112" s="570">
        <f t="shared" si="23"/>
        <v>6.8036403927469458E-2</v>
      </c>
      <c r="AQ112" s="571">
        <f t="shared" si="23"/>
        <v>8.4400155313337083E-2</v>
      </c>
      <c r="AR112" s="571">
        <f t="shared" si="23"/>
        <v>4.3442909568194694E-2</v>
      </c>
      <c r="AS112" s="571">
        <f t="shared" si="23"/>
        <v>5.2631676997307232E-2</v>
      </c>
      <c r="AT112" s="571">
        <f t="shared" ref="AT112" si="24">IFERROR(AT107/AT$103,0)</f>
        <v>5.1518715512713913E-2</v>
      </c>
      <c r="AU112" s="571">
        <f t="shared" si="23"/>
        <v>0</v>
      </c>
      <c r="AV112" s="571">
        <f t="shared" si="23"/>
        <v>0</v>
      </c>
      <c r="AW112" s="571">
        <f t="shared" si="23"/>
        <v>0</v>
      </c>
      <c r="AX112" s="571">
        <f t="shared" si="23"/>
        <v>0</v>
      </c>
      <c r="AY112" s="571">
        <f t="shared" si="23"/>
        <v>0</v>
      </c>
      <c r="AZ112" s="571">
        <f t="shared" si="23"/>
        <v>0</v>
      </c>
      <c r="BA112" s="572">
        <f t="shared" si="23"/>
        <v>0</v>
      </c>
      <c r="BB112" s="569"/>
    </row>
    <row r="113" spans="1:54" s="568" customFormat="1" x14ac:dyDescent="0.3">
      <c r="A113" s="565"/>
      <c r="B113" s="566"/>
      <c r="C113" s="566" t="s">
        <v>532</v>
      </c>
      <c r="D113" s="567"/>
      <c r="F113" s="570">
        <f t="shared" ref="F113:BA113" si="25">IFERROR(F108/F$103,0)</f>
        <v>4.0452075213397633E-11</v>
      </c>
      <c r="G113" s="571">
        <f t="shared" si="25"/>
        <v>1.0475460968132373E-8</v>
      </c>
      <c r="H113" s="571">
        <f t="shared" si="25"/>
        <v>0</v>
      </c>
      <c r="I113" s="571">
        <f t="shared" si="25"/>
        <v>1.3303521219064401E-4</v>
      </c>
      <c r="J113" s="571">
        <f t="shared" si="25"/>
        <v>6.2405666584755949E-5</v>
      </c>
      <c r="K113" s="571">
        <f t="shared" si="25"/>
        <v>1.9882007780717576E-6</v>
      </c>
      <c r="L113" s="571">
        <f t="shared" si="25"/>
        <v>0</v>
      </c>
      <c r="M113" s="571">
        <f t="shared" si="25"/>
        <v>-4.7204451569660302E-7</v>
      </c>
      <c r="N113" s="571">
        <f t="shared" si="25"/>
        <v>0</v>
      </c>
      <c r="O113" s="571">
        <f t="shared" si="25"/>
        <v>0</v>
      </c>
      <c r="P113" s="571">
        <f t="shared" si="25"/>
        <v>0</v>
      </c>
      <c r="Q113" s="572">
        <f t="shared" si="25"/>
        <v>2.6838763231068069E-3</v>
      </c>
      <c r="R113" s="570">
        <f t="shared" si="25"/>
        <v>8.5037826421092061E-5</v>
      </c>
      <c r="S113" s="571">
        <f t="shared" si="25"/>
        <v>1.4677797917649591E-11</v>
      </c>
      <c r="T113" s="571">
        <f t="shared" si="25"/>
        <v>2.4533207909611265E-4</v>
      </c>
      <c r="U113" s="571">
        <f t="shared" si="25"/>
        <v>2.1412512947163228E-11</v>
      </c>
      <c r="V113" s="571">
        <f t="shared" si="25"/>
        <v>3.5740100945049987E-4</v>
      </c>
      <c r="W113" s="571">
        <f t="shared" si="25"/>
        <v>2.535991324836361E-3</v>
      </c>
      <c r="X113" s="571">
        <f t="shared" si="25"/>
        <v>1.0904001318357726E-4</v>
      </c>
      <c r="Y113" s="571">
        <f t="shared" si="25"/>
        <v>4.0898179123891171E-9</v>
      </c>
      <c r="Z113" s="571">
        <f t="shared" si="25"/>
        <v>1.7279715109568924E-5</v>
      </c>
      <c r="AA113" s="571">
        <f t="shared" si="25"/>
        <v>5.3959606831446828E-6</v>
      </c>
      <c r="AB113" s="571">
        <f t="shared" si="25"/>
        <v>2.7002617855968888E-6</v>
      </c>
      <c r="AC113" s="572">
        <f t="shared" si="25"/>
        <v>8.3723075645020392E-2</v>
      </c>
      <c r="AD113" s="570">
        <f t="shared" si="25"/>
        <v>1.1214303920967994E-5</v>
      </c>
      <c r="AE113" s="571">
        <f t="shared" si="25"/>
        <v>7.1240143260648176E-4</v>
      </c>
      <c r="AF113" s="571">
        <f t="shared" si="25"/>
        <v>0</v>
      </c>
      <c r="AG113" s="571">
        <f t="shared" si="25"/>
        <v>1.4509999868294031E-4</v>
      </c>
      <c r="AH113" s="571">
        <f t="shared" si="25"/>
        <v>4.0395084731333174E-9</v>
      </c>
      <c r="AI113" s="571">
        <f t="shared" si="25"/>
        <v>3.1687454571336764E-4</v>
      </c>
      <c r="AJ113" s="571">
        <f t="shared" si="25"/>
        <v>9.6525570593743539E-4</v>
      </c>
      <c r="AK113" s="571">
        <f t="shared" si="25"/>
        <v>3.2784414781991261E-3</v>
      </c>
      <c r="AL113" s="571">
        <f t="shared" si="25"/>
        <v>6.5105435297997082E-3</v>
      </c>
      <c r="AM113" s="571">
        <f t="shared" si="25"/>
        <v>3.2839471559014149E-2</v>
      </c>
      <c r="AN113" s="571">
        <f t="shared" si="25"/>
        <v>1.2811590050227861E-2</v>
      </c>
      <c r="AO113" s="572">
        <f t="shared" si="25"/>
        <v>1.6423200955762714E-2</v>
      </c>
      <c r="AP113" s="570">
        <f t="shared" si="25"/>
        <v>8.6570868065108614E-4</v>
      </c>
      <c r="AQ113" s="571">
        <f t="shared" si="25"/>
        <v>1.601182196729146E-3</v>
      </c>
      <c r="AR113" s="571">
        <f t="shared" si="25"/>
        <v>2.0151455059981828E-4</v>
      </c>
      <c r="AS113" s="571">
        <f t="shared" si="25"/>
        <v>1.6446002403057607E-4</v>
      </c>
      <c r="AT113" s="571">
        <f t="shared" ref="AT113" si="26">IFERROR(AT108/AT$103,0)</f>
        <v>8.3605438090868559E-4</v>
      </c>
      <c r="AU113" s="571">
        <f t="shared" si="25"/>
        <v>0</v>
      </c>
      <c r="AV113" s="571">
        <f t="shared" si="25"/>
        <v>0</v>
      </c>
      <c r="AW113" s="571">
        <f t="shared" si="25"/>
        <v>0</v>
      </c>
      <c r="AX113" s="571">
        <f t="shared" si="25"/>
        <v>0</v>
      </c>
      <c r="AY113" s="571">
        <f t="shared" si="25"/>
        <v>0</v>
      </c>
      <c r="AZ113" s="571">
        <f t="shared" si="25"/>
        <v>0</v>
      </c>
      <c r="BA113" s="572">
        <f t="shared" si="25"/>
        <v>0</v>
      </c>
      <c r="BB113" s="569"/>
    </row>
    <row r="114" spans="1:54" s="568" customFormat="1" x14ac:dyDescent="0.3">
      <c r="A114" s="565"/>
      <c r="B114" s="566"/>
      <c r="C114" s="566" t="s">
        <v>533</v>
      </c>
      <c r="D114" s="567"/>
      <c r="F114" s="570">
        <f t="shared" ref="F114:BA114" si="27">IFERROR(F109/F$103,0)</f>
        <v>1.7928921209381791E-3</v>
      </c>
      <c r="G114" s="571">
        <f t="shared" si="27"/>
        <v>0</v>
      </c>
      <c r="H114" s="571">
        <f t="shared" si="27"/>
        <v>8.4482965293235842E-4</v>
      </c>
      <c r="I114" s="571">
        <f t="shared" si="27"/>
        <v>1.4205151181546627E-3</v>
      </c>
      <c r="J114" s="571">
        <f t="shared" si="27"/>
        <v>1.226743527494025E-3</v>
      </c>
      <c r="K114" s="571">
        <f t="shared" si="27"/>
        <v>5.669660865040393E-4</v>
      </c>
      <c r="L114" s="571">
        <f t="shared" si="27"/>
        <v>1.7418283145095507E-3</v>
      </c>
      <c r="M114" s="571">
        <f t="shared" si="27"/>
        <v>1.2305331962301558E-3</v>
      </c>
      <c r="N114" s="571">
        <f t="shared" si="27"/>
        <v>1.7146016836835165E-3</v>
      </c>
      <c r="O114" s="571">
        <f t="shared" si="27"/>
        <v>1.5732296089208094E-3</v>
      </c>
      <c r="P114" s="571">
        <f t="shared" si="27"/>
        <v>2.5694003724148068E-3</v>
      </c>
      <c r="Q114" s="572">
        <f t="shared" si="27"/>
        <v>4.5335645528546287E-3</v>
      </c>
      <c r="R114" s="570">
        <f t="shared" si="27"/>
        <v>4.9203737007522362E-3</v>
      </c>
      <c r="S114" s="571">
        <f t="shared" si="27"/>
        <v>8.2769499196875887E-3</v>
      </c>
      <c r="T114" s="571">
        <f t="shared" si="27"/>
        <v>6.610437829895629E-3</v>
      </c>
      <c r="U114" s="571">
        <f t="shared" si="27"/>
        <v>9.6967436584630747E-3</v>
      </c>
      <c r="V114" s="571">
        <f t="shared" si="27"/>
        <v>9.6193201072471216E-3</v>
      </c>
      <c r="W114" s="571">
        <f t="shared" si="27"/>
        <v>1.6813624064669398E-2</v>
      </c>
      <c r="X114" s="571">
        <f t="shared" si="27"/>
        <v>2.1096018947666981E-2</v>
      </c>
      <c r="Y114" s="571">
        <f t="shared" si="27"/>
        <v>6.3938964180597913E-3</v>
      </c>
      <c r="Z114" s="571">
        <f t="shared" si="27"/>
        <v>5.7096350899809578E-3</v>
      </c>
      <c r="AA114" s="571">
        <f t="shared" si="27"/>
        <v>7.4004487221212027E-3</v>
      </c>
      <c r="AB114" s="571">
        <f t="shared" si="27"/>
        <v>1.1856838099225411E-2</v>
      </c>
      <c r="AC114" s="572">
        <f t="shared" si="27"/>
        <v>1.0004457167120824E-2</v>
      </c>
      <c r="AD114" s="570">
        <f t="shared" si="27"/>
        <v>9.9882622530889642E-3</v>
      </c>
      <c r="AE114" s="571">
        <f t="shared" si="27"/>
        <v>5.0862258343560875E-3</v>
      </c>
      <c r="AF114" s="571">
        <f t="shared" si="27"/>
        <v>4.5763360367953778E-3</v>
      </c>
      <c r="AG114" s="571">
        <f t="shared" si="27"/>
        <v>7.2383903945013647E-3</v>
      </c>
      <c r="AH114" s="571">
        <f t="shared" si="27"/>
        <v>7.9887253748666554E-3</v>
      </c>
      <c r="AI114" s="571">
        <f t="shared" si="27"/>
        <v>1.2586417205021251E-2</v>
      </c>
      <c r="AJ114" s="571">
        <f t="shared" si="27"/>
        <v>9.1752694379734594E-3</v>
      </c>
      <c r="AK114" s="571">
        <f t="shared" si="27"/>
        <v>7.9156518941026887E-3</v>
      </c>
      <c r="AL114" s="571">
        <f t="shared" si="27"/>
        <v>1.9251378937270226E-2</v>
      </c>
      <c r="AM114" s="571">
        <f t="shared" si="27"/>
        <v>1.2786173555583822E-2</v>
      </c>
      <c r="AN114" s="571">
        <f t="shared" si="27"/>
        <v>1.4547230513750141E-2</v>
      </c>
      <c r="AO114" s="572">
        <f t="shared" si="27"/>
        <v>1.2868872729465429E-2</v>
      </c>
      <c r="AP114" s="570">
        <f t="shared" si="27"/>
        <v>1.0051424396104335E-2</v>
      </c>
      <c r="AQ114" s="571">
        <f t="shared" si="27"/>
        <v>1.2261003588233203E-2</v>
      </c>
      <c r="AR114" s="571">
        <f t="shared" si="27"/>
        <v>5.6881369962464212E-3</v>
      </c>
      <c r="AS114" s="571">
        <f t="shared" si="27"/>
        <v>6.8596901856801491E-3</v>
      </c>
      <c r="AT114" s="571">
        <f t="shared" ref="AT114" si="28">IFERROR(AT109/AT$103,0)</f>
        <v>5.3946897494968945E-3</v>
      </c>
      <c r="AU114" s="571">
        <f t="shared" si="27"/>
        <v>0</v>
      </c>
      <c r="AV114" s="571">
        <f t="shared" si="27"/>
        <v>0</v>
      </c>
      <c r="AW114" s="571">
        <f t="shared" si="27"/>
        <v>0</v>
      </c>
      <c r="AX114" s="571">
        <f t="shared" si="27"/>
        <v>0</v>
      </c>
      <c r="AY114" s="571">
        <f t="shared" si="27"/>
        <v>0</v>
      </c>
      <c r="AZ114" s="571">
        <f t="shared" si="27"/>
        <v>0</v>
      </c>
      <c r="BA114" s="572">
        <f t="shared" si="27"/>
        <v>0</v>
      </c>
      <c r="BB114" s="569"/>
    </row>
    <row r="115" spans="1:54" x14ac:dyDescent="0.3">
      <c r="A115" s="16"/>
      <c r="B115" s="8"/>
      <c r="C115" s="8"/>
      <c r="D115" s="10"/>
      <c r="F115" s="5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56"/>
      <c r="R115" s="55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56"/>
      <c r="AD115" s="55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56"/>
      <c r="AP115" s="55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56"/>
      <c r="BB115" s="22"/>
    </row>
    <row r="116" spans="1:54" s="568" customFormat="1" x14ac:dyDescent="0.3">
      <c r="A116" s="565" t="s">
        <v>550</v>
      </c>
      <c r="B116" s="566"/>
      <c r="C116" s="566" t="s">
        <v>546</v>
      </c>
      <c r="D116" s="567"/>
      <c r="F116" s="570">
        <f>IFERROR(F106/F$104,0)</f>
        <v>1.8305491439326589E-2</v>
      </c>
      <c r="G116" s="571">
        <f t="shared" ref="G116:BA116" si="29">IFERROR(G106/G$104,0)</f>
        <v>2.1797988261599701E-2</v>
      </c>
      <c r="H116" s="571">
        <f t="shared" si="29"/>
        <v>5.5816635393519491E-3</v>
      </c>
      <c r="I116" s="571">
        <f t="shared" si="29"/>
        <v>9.1222180342980987E-3</v>
      </c>
      <c r="J116" s="571">
        <f t="shared" si="29"/>
        <v>8.4193171536340056E-3</v>
      </c>
      <c r="K116" s="571">
        <f t="shared" si="29"/>
        <v>4.8278223732092465E-2</v>
      </c>
      <c r="L116" s="571">
        <f t="shared" si="29"/>
        <v>8.8314869771226861E-3</v>
      </c>
      <c r="M116" s="571">
        <f t="shared" si="29"/>
        <v>5.5460526058865832E-3</v>
      </c>
      <c r="N116" s="571">
        <f t="shared" si="29"/>
        <v>9.4179066138898159E-3</v>
      </c>
      <c r="O116" s="571">
        <f t="shared" si="29"/>
        <v>4.1626180532544138E-3</v>
      </c>
      <c r="P116" s="571">
        <f t="shared" si="29"/>
        <v>5.7834367266174662E-3</v>
      </c>
      <c r="Q116" s="572">
        <f t="shared" si="29"/>
        <v>7.4796801764250593E-3</v>
      </c>
      <c r="R116" s="570">
        <f t="shared" si="29"/>
        <v>5.4435775294453736E-3</v>
      </c>
      <c r="S116" s="571">
        <f t="shared" si="29"/>
        <v>5.9611748384068358E-3</v>
      </c>
      <c r="T116" s="571">
        <f t="shared" si="29"/>
        <v>5.2172021044080618E-3</v>
      </c>
      <c r="U116" s="571">
        <f t="shared" si="29"/>
        <v>5.8425571861333387E-3</v>
      </c>
      <c r="V116" s="571">
        <f t="shared" si="29"/>
        <v>6.20512883320059E-3</v>
      </c>
      <c r="W116" s="571">
        <f t="shared" si="29"/>
        <v>9.0679195447190327E-3</v>
      </c>
      <c r="X116" s="571">
        <f t="shared" si="29"/>
        <v>1.4299516788838361E-2</v>
      </c>
      <c r="Y116" s="571">
        <f t="shared" si="29"/>
        <v>7.6234396620994318E-3</v>
      </c>
      <c r="Z116" s="571">
        <f t="shared" si="29"/>
        <v>5.5122361589382161E-3</v>
      </c>
      <c r="AA116" s="571">
        <f t="shared" si="29"/>
        <v>1.1818861093723937E-2</v>
      </c>
      <c r="AB116" s="571">
        <f t="shared" si="29"/>
        <v>1.1475396258095053E-2</v>
      </c>
      <c r="AC116" s="572">
        <f t="shared" si="29"/>
        <v>-0.31930326354881872</v>
      </c>
      <c r="AD116" s="570">
        <f t="shared" si="29"/>
        <v>1.2018252428291885E-2</v>
      </c>
      <c r="AE116" s="571">
        <f t="shared" si="29"/>
        <v>5.4496081292955837E-3</v>
      </c>
      <c r="AF116" s="571">
        <f t="shared" si="29"/>
        <v>1.6294961884318872E-2</v>
      </c>
      <c r="AG116" s="571">
        <f t="shared" si="29"/>
        <v>1.2595934673915756E-2</v>
      </c>
      <c r="AH116" s="571">
        <f t="shared" si="29"/>
        <v>8.8703815308934109E-3</v>
      </c>
      <c r="AI116" s="571">
        <f t="shared" si="29"/>
        <v>7.3788576140117086E-3</v>
      </c>
      <c r="AJ116" s="571">
        <f t="shared" si="29"/>
        <v>6.4114038257423907E-3</v>
      </c>
      <c r="AK116" s="571">
        <f t="shared" si="29"/>
        <v>7.6586904691658148E-3</v>
      </c>
      <c r="AL116" s="571">
        <f t="shared" si="29"/>
        <v>1.1936415987119824E-2</v>
      </c>
      <c r="AM116" s="571">
        <f t="shared" si="29"/>
        <v>4.8149668050744332E-2</v>
      </c>
      <c r="AN116" s="571">
        <f t="shared" si="29"/>
        <v>1.7474801561284045E-2</v>
      </c>
      <c r="AO116" s="572">
        <f t="shared" si="29"/>
        <v>3.7924954733383864E-2</v>
      </c>
      <c r="AP116" s="570">
        <f t="shared" si="29"/>
        <v>8.774855733152908E-3</v>
      </c>
      <c r="AQ116" s="571">
        <f t="shared" si="29"/>
        <v>1.0411140059999713E-2</v>
      </c>
      <c r="AR116" s="571">
        <f t="shared" si="29"/>
        <v>1.0025653833540104E-2</v>
      </c>
      <c r="AS116" s="571">
        <f t="shared" si="29"/>
        <v>1.1299891687521432E-2</v>
      </c>
      <c r="AT116" s="571">
        <f t="shared" ref="AT116" si="30">IFERROR(AT106/AT$104,0)</f>
        <v>1.194251249561662E-2</v>
      </c>
      <c r="AU116" s="593">
        <f>AT116</f>
        <v>1.194251249561662E-2</v>
      </c>
      <c r="AV116" s="571">
        <f t="shared" si="29"/>
        <v>0</v>
      </c>
      <c r="AW116" s="571">
        <f t="shared" si="29"/>
        <v>0</v>
      </c>
      <c r="AX116" s="571">
        <f t="shared" si="29"/>
        <v>0</v>
      </c>
      <c r="AY116" s="571">
        <f t="shared" si="29"/>
        <v>0</v>
      </c>
      <c r="AZ116" s="571">
        <f t="shared" si="29"/>
        <v>0</v>
      </c>
      <c r="BA116" s="572">
        <f t="shared" si="29"/>
        <v>0</v>
      </c>
      <c r="BB116" s="569"/>
    </row>
    <row r="117" spans="1:54" s="568" customFormat="1" x14ac:dyDescent="0.3">
      <c r="A117" s="565" t="s">
        <v>550</v>
      </c>
      <c r="B117" s="566"/>
      <c r="C117" s="566" t="s">
        <v>547</v>
      </c>
      <c r="D117" s="567"/>
      <c r="F117" s="570">
        <f t="shared" ref="F117:BA117" si="31">IFERROR(F107/F$104,0)</f>
        <v>0.13335605611050982</v>
      </c>
      <c r="G117" s="571">
        <f t="shared" si="31"/>
        <v>0.13448020627471816</v>
      </c>
      <c r="H117" s="571">
        <f t="shared" si="31"/>
        <v>5.059212731462711E-2</v>
      </c>
      <c r="I117" s="571">
        <f t="shared" si="31"/>
        <v>5.628786584539526E-2</v>
      </c>
      <c r="J117" s="571">
        <f t="shared" si="31"/>
        <v>6.8623389636200349E-2</v>
      </c>
      <c r="K117" s="571">
        <f t="shared" si="31"/>
        <v>0.41267034544896003</v>
      </c>
      <c r="L117" s="571">
        <f t="shared" si="31"/>
        <v>7.4746518239993356E-2</v>
      </c>
      <c r="M117" s="571">
        <f t="shared" si="31"/>
        <v>3.0704159614374799E-2</v>
      </c>
      <c r="N117" s="571">
        <f t="shared" si="31"/>
        <v>9.3732187727831665E-2</v>
      </c>
      <c r="O117" s="571">
        <f t="shared" si="31"/>
        <v>5.8001148110996124E-2</v>
      </c>
      <c r="P117" s="571">
        <f t="shared" si="31"/>
        <v>7.3310781677620035E-2</v>
      </c>
      <c r="Q117" s="572">
        <f t="shared" si="31"/>
        <v>0.12239967565617849</v>
      </c>
      <c r="R117" s="570">
        <f t="shared" si="31"/>
        <v>6.1058592309392611E-2</v>
      </c>
      <c r="S117" s="571">
        <f t="shared" si="31"/>
        <v>6.7608635552758894E-2</v>
      </c>
      <c r="T117" s="571">
        <f t="shared" si="31"/>
        <v>5.5723006096468013E-2</v>
      </c>
      <c r="U117" s="571">
        <f t="shared" si="31"/>
        <v>6.0049754579501506E-2</v>
      </c>
      <c r="V117" s="571">
        <f t="shared" si="31"/>
        <v>5.7108232501432883E-2</v>
      </c>
      <c r="W117" s="571">
        <f t="shared" si="31"/>
        <v>7.8383115583914434E-2</v>
      </c>
      <c r="X117" s="571">
        <f t="shared" si="31"/>
        <v>8.5580372973796587E-2</v>
      </c>
      <c r="Y117" s="571">
        <f t="shared" si="31"/>
        <v>4.0987933903546499E-2</v>
      </c>
      <c r="Z117" s="571">
        <f t="shared" si="31"/>
        <v>5.6675061487257428E-2</v>
      </c>
      <c r="AA117" s="571">
        <f t="shared" si="31"/>
        <v>6.2568962191349858E-2</v>
      </c>
      <c r="AB117" s="571">
        <f t="shared" si="31"/>
        <v>0.104606355485393</v>
      </c>
      <c r="AC117" s="572">
        <f t="shared" si="31"/>
        <v>-0.25631825217905385</v>
      </c>
      <c r="AD117" s="570">
        <f t="shared" si="31"/>
        <v>7.9324115908501816E-2</v>
      </c>
      <c r="AE117" s="571">
        <f t="shared" si="31"/>
        <v>4.5374303460571218E-2</v>
      </c>
      <c r="AF117" s="571">
        <f t="shared" si="31"/>
        <v>5.6618204546933303E-2</v>
      </c>
      <c r="AG117" s="571">
        <f t="shared" si="31"/>
        <v>6.5266192200559167E-2</v>
      </c>
      <c r="AH117" s="571">
        <f t="shared" si="31"/>
        <v>6.1188012052767034E-2</v>
      </c>
      <c r="AI117" s="571">
        <f t="shared" si="31"/>
        <v>7.3216205354377159E-2</v>
      </c>
      <c r="AJ117" s="571">
        <f t="shared" si="31"/>
        <v>5.9191931603442459E-2</v>
      </c>
      <c r="AK117" s="571">
        <f t="shared" si="31"/>
        <v>5.1137968568537605E-2</v>
      </c>
      <c r="AL117" s="571">
        <f t="shared" si="31"/>
        <v>0.11336564668508282</v>
      </c>
      <c r="AM117" s="571">
        <f t="shared" si="31"/>
        <v>3.7768605272381017E-2</v>
      </c>
      <c r="AN117" s="571">
        <f t="shared" si="31"/>
        <v>0.12201100998785168</v>
      </c>
      <c r="AO117" s="572">
        <f t="shared" si="31"/>
        <v>0.2173631335885774</v>
      </c>
      <c r="AP117" s="570">
        <f t="shared" si="31"/>
        <v>7.2941830666378604E-2</v>
      </c>
      <c r="AQ117" s="571">
        <f t="shared" si="31"/>
        <v>8.8035227072579852E-2</v>
      </c>
      <c r="AR117" s="571">
        <f t="shared" si="31"/>
        <v>4.4196822853510849E-2</v>
      </c>
      <c r="AS117" s="571">
        <f t="shared" si="31"/>
        <v>5.7758756758817753E-2</v>
      </c>
      <c r="AT117" s="571">
        <f t="shared" ref="AT117" si="32">IFERROR(AT107/AT$104,0)</f>
        <v>5.822649082988194E-2</v>
      </c>
      <c r="AU117" s="593">
        <f t="shared" ref="AU117:AU119" si="33">AT117</f>
        <v>5.822649082988194E-2</v>
      </c>
      <c r="AV117" s="571">
        <f t="shared" si="31"/>
        <v>0</v>
      </c>
      <c r="AW117" s="571">
        <f t="shared" si="31"/>
        <v>0</v>
      </c>
      <c r="AX117" s="571">
        <f t="shared" si="31"/>
        <v>0</v>
      </c>
      <c r="AY117" s="571">
        <f t="shared" si="31"/>
        <v>0</v>
      </c>
      <c r="AZ117" s="571">
        <f t="shared" si="31"/>
        <v>0</v>
      </c>
      <c r="BA117" s="572">
        <f t="shared" si="31"/>
        <v>0</v>
      </c>
      <c r="BB117" s="569"/>
    </row>
    <row r="118" spans="1:54" s="568" customFormat="1" x14ac:dyDescent="0.3">
      <c r="A118" s="565" t="s">
        <v>550</v>
      </c>
      <c r="B118" s="566"/>
      <c r="C118" s="566" t="s">
        <v>548</v>
      </c>
      <c r="D118" s="567"/>
      <c r="F118" s="570">
        <f t="shared" ref="F118:BA118" si="34">IFERROR(F108/F$104,0)</f>
        <v>4.8094571275801979E-11</v>
      </c>
      <c r="G118" s="571">
        <f t="shared" si="34"/>
        <v>1.0767219627448847E-8</v>
      </c>
      <c r="H118" s="571">
        <f t="shared" si="34"/>
        <v>0</v>
      </c>
      <c r="I118" s="571">
        <f t="shared" si="34"/>
        <v>1.3227442124056537E-4</v>
      </c>
      <c r="J118" s="571">
        <f t="shared" si="34"/>
        <v>6.9657773500074092E-5</v>
      </c>
      <c r="K118" s="571">
        <f t="shared" si="34"/>
        <v>1.2533191865044021E-5</v>
      </c>
      <c r="L118" s="571">
        <f t="shared" si="34"/>
        <v>0</v>
      </c>
      <c r="M118" s="571">
        <f t="shared" si="34"/>
        <v>-5.7857301748171051E-7</v>
      </c>
      <c r="N118" s="571">
        <f t="shared" si="34"/>
        <v>0</v>
      </c>
      <c r="O118" s="571">
        <f t="shared" si="34"/>
        <v>0</v>
      </c>
      <c r="P118" s="571">
        <f t="shared" si="34"/>
        <v>0</v>
      </c>
      <c r="Q118" s="572">
        <f t="shared" si="34"/>
        <v>4.0137044968432426E-3</v>
      </c>
      <c r="R118" s="570">
        <f t="shared" si="34"/>
        <v>9.2706248335920177E-5</v>
      </c>
      <c r="S118" s="571">
        <f t="shared" si="34"/>
        <v>1.4545809650242676E-11</v>
      </c>
      <c r="T118" s="571">
        <f t="shared" si="34"/>
        <v>2.5104652260192684E-4</v>
      </c>
      <c r="U118" s="571">
        <f t="shared" si="34"/>
        <v>2.3398491735904172E-11</v>
      </c>
      <c r="V118" s="571">
        <f t="shared" si="34"/>
        <v>3.6488908730363109E-4</v>
      </c>
      <c r="W118" s="571">
        <f t="shared" si="34"/>
        <v>2.4096558541617597E-3</v>
      </c>
      <c r="X118" s="571">
        <f t="shared" si="34"/>
        <v>9.8010739160752779E-5</v>
      </c>
      <c r="Y118" s="571">
        <f t="shared" si="34"/>
        <v>4.0616117762408927E-9</v>
      </c>
      <c r="Z118" s="571">
        <f t="shared" si="34"/>
        <v>1.9590572975449571E-5</v>
      </c>
      <c r="AA118" s="571">
        <f t="shared" si="34"/>
        <v>5.4628724071672706E-6</v>
      </c>
      <c r="AB118" s="571">
        <f t="shared" si="34"/>
        <v>2.8521189192616662E-6</v>
      </c>
      <c r="AC118" s="572">
        <f t="shared" si="34"/>
        <v>-0.37968147467611757</v>
      </c>
      <c r="AD118" s="570">
        <f t="shared" si="34"/>
        <v>1.2997654990004199E-5</v>
      </c>
      <c r="AE118" s="571">
        <f t="shared" si="34"/>
        <v>8.4125489256213417E-4</v>
      </c>
      <c r="AF118" s="571">
        <f t="shared" si="34"/>
        <v>0</v>
      </c>
      <c r="AG118" s="571">
        <f t="shared" si="34"/>
        <v>1.624256321591644E-4</v>
      </c>
      <c r="AH118" s="571">
        <f t="shared" si="34"/>
        <v>4.6187215312679834E-9</v>
      </c>
      <c r="AI118" s="571">
        <f t="shared" si="34"/>
        <v>3.4587629132343695E-4</v>
      </c>
      <c r="AJ118" s="571">
        <f t="shared" si="34"/>
        <v>1.0154605003532169E-3</v>
      </c>
      <c r="AK118" s="571">
        <f t="shared" si="34"/>
        <v>3.4809286388859449E-3</v>
      </c>
      <c r="AL118" s="571">
        <f t="shared" si="34"/>
        <v>6.4931219891072251E-3</v>
      </c>
      <c r="AM118" s="571">
        <f t="shared" si="34"/>
        <v>3.5167374373027423E-2</v>
      </c>
      <c r="AN118" s="571">
        <f t="shared" si="34"/>
        <v>1.3667581404938452E-2</v>
      </c>
      <c r="AO118" s="572">
        <f t="shared" si="34"/>
        <v>2.2800056158894331E-2</v>
      </c>
      <c r="AP118" s="570">
        <f t="shared" si="34"/>
        <v>9.2812630217468668E-4</v>
      </c>
      <c r="AQ118" s="571">
        <f t="shared" si="34"/>
        <v>1.6701442995016354E-3</v>
      </c>
      <c r="AR118" s="571">
        <f t="shared" si="34"/>
        <v>2.050116574555005E-4</v>
      </c>
      <c r="AS118" s="571">
        <f t="shared" si="34"/>
        <v>1.8048078773962224E-4</v>
      </c>
      <c r="AT118" s="571">
        <f t="shared" ref="AT118" si="35">IFERROR(AT108/AT$104,0)</f>
        <v>9.4490928701917488E-4</v>
      </c>
      <c r="AU118" s="593">
        <f t="shared" si="33"/>
        <v>9.4490928701917488E-4</v>
      </c>
      <c r="AV118" s="571">
        <f t="shared" si="34"/>
        <v>0</v>
      </c>
      <c r="AW118" s="571">
        <f t="shared" si="34"/>
        <v>0</v>
      </c>
      <c r="AX118" s="571">
        <f t="shared" si="34"/>
        <v>0</v>
      </c>
      <c r="AY118" s="571">
        <f t="shared" si="34"/>
        <v>0</v>
      </c>
      <c r="AZ118" s="571">
        <f t="shared" si="34"/>
        <v>0</v>
      </c>
      <c r="BA118" s="572">
        <f t="shared" si="34"/>
        <v>0</v>
      </c>
      <c r="BB118" s="569"/>
    </row>
    <row r="119" spans="1:54" s="568" customFormat="1" x14ac:dyDescent="0.3">
      <c r="A119" s="565" t="s">
        <v>550</v>
      </c>
      <c r="B119" s="566"/>
      <c r="C119" s="566" t="s">
        <v>549</v>
      </c>
      <c r="D119" s="567"/>
      <c r="F119" s="570">
        <f t="shared" ref="F119:BA119" si="36">IFERROR(F109/F$104,0)</f>
        <v>2.1316181542084746E-3</v>
      </c>
      <c r="G119" s="571">
        <f t="shared" si="36"/>
        <v>0</v>
      </c>
      <c r="H119" s="571">
        <f t="shared" si="36"/>
        <v>7.9545166718922907E-4</v>
      </c>
      <c r="I119" s="571">
        <f t="shared" si="36"/>
        <v>1.4123915918450025E-3</v>
      </c>
      <c r="J119" s="571">
        <f t="shared" si="36"/>
        <v>1.3693022998929785E-3</v>
      </c>
      <c r="K119" s="571">
        <f t="shared" si="36"/>
        <v>3.5740327745067439E-3</v>
      </c>
      <c r="L119" s="571">
        <f t="shared" si="36"/>
        <v>2.0402249818223315E-3</v>
      </c>
      <c r="M119" s="571">
        <f t="shared" si="36"/>
        <v>1.5082333991396025E-3</v>
      </c>
      <c r="N119" s="571">
        <f t="shared" si="36"/>
        <v>2.8996283923473339E-3</v>
      </c>
      <c r="O119" s="571">
        <f t="shared" si="36"/>
        <v>2.0987485012964597E-3</v>
      </c>
      <c r="P119" s="571">
        <f t="shared" si="36"/>
        <v>3.2089296483179285E-3</v>
      </c>
      <c r="Q119" s="572">
        <f t="shared" si="36"/>
        <v>6.7798908153330764E-3</v>
      </c>
      <c r="R119" s="570">
        <f t="shared" si="36"/>
        <v>5.3640762635288617E-3</v>
      </c>
      <c r="S119" s="571">
        <f t="shared" si="36"/>
        <v>8.2025204796964766E-3</v>
      </c>
      <c r="T119" s="571">
        <f t="shared" si="36"/>
        <v>6.7644126939525899E-3</v>
      </c>
      <c r="U119" s="571">
        <f t="shared" si="36"/>
        <v>1.0596102237864061E-2</v>
      </c>
      <c r="V119" s="571">
        <f t="shared" si="36"/>
        <v>9.8208590395741542E-3</v>
      </c>
      <c r="W119" s="571">
        <f t="shared" si="36"/>
        <v>1.5976019815335904E-2</v>
      </c>
      <c r="X119" s="571">
        <f t="shared" si="36"/>
        <v>1.8962180488084329E-2</v>
      </c>
      <c r="Y119" s="571">
        <f t="shared" si="36"/>
        <v>6.3497998062426444E-3</v>
      </c>
      <c r="Z119" s="571">
        <f t="shared" si="36"/>
        <v>6.4731983244051281E-3</v>
      </c>
      <c r="AA119" s="571">
        <f t="shared" si="36"/>
        <v>7.4922167707811311E-3</v>
      </c>
      <c r="AB119" s="571">
        <f t="shared" si="36"/>
        <v>1.2523642131960219E-2</v>
      </c>
      <c r="AC119" s="572">
        <f t="shared" si="36"/>
        <v>-4.5369893799074884E-2</v>
      </c>
      <c r="AD119" s="570">
        <f t="shared" si="36"/>
        <v>1.1576642440784345E-2</v>
      </c>
      <c r="AE119" s="571">
        <f t="shared" si="36"/>
        <v>6.0061815880591077E-3</v>
      </c>
      <c r="AF119" s="571">
        <f t="shared" si="36"/>
        <v>5.2040023894582878E-3</v>
      </c>
      <c r="AG119" s="571">
        <f t="shared" si="36"/>
        <v>8.1026888098789281E-3</v>
      </c>
      <c r="AH119" s="571">
        <f t="shared" si="36"/>
        <v>9.1342048523203496E-3</v>
      </c>
      <c r="AI119" s="571">
        <f t="shared" si="36"/>
        <v>1.3738381207369409E-2</v>
      </c>
      <c r="AJ119" s="571">
        <f t="shared" si="36"/>
        <v>9.6524927405754329E-3</v>
      </c>
      <c r="AK119" s="571">
        <f t="shared" si="36"/>
        <v>8.4045481845139887E-3</v>
      </c>
      <c r="AL119" s="571">
        <f t="shared" si="36"/>
        <v>1.9199864239609895E-2</v>
      </c>
      <c r="AM119" s="571">
        <f t="shared" si="36"/>
        <v>1.3692551398693039E-2</v>
      </c>
      <c r="AN119" s="571">
        <f t="shared" si="36"/>
        <v>1.5519186649244093E-2</v>
      </c>
      <c r="AO119" s="572">
        <f t="shared" si="36"/>
        <v>1.7865641522855562E-2</v>
      </c>
      <c r="AP119" s="570">
        <f t="shared" si="36"/>
        <v>1.0776132392860563E-2</v>
      </c>
      <c r="AQ119" s="571">
        <f t="shared" si="36"/>
        <v>1.2789078776224211E-2</v>
      </c>
      <c r="AR119" s="571">
        <f t="shared" si="36"/>
        <v>5.7868495846248955E-3</v>
      </c>
      <c r="AS119" s="571">
        <f t="shared" si="36"/>
        <v>7.5279223365012689E-3</v>
      </c>
      <c r="AT119" s="571">
        <f t="shared" ref="AT119" si="37">IFERROR(AT109/AT$104,0)</f>
        <v>6.0970823923515967E-3</v>
      </c>
      <c r="AU119" s="593">
        <f t="shared" si="33"/>
        <v>6.0970823923515967E-3</v>
      </c>
      <c r="AV119" s="571">
        <f t="shared" si="36"/>
        <v>0</v>
      </c>
      <c r="AW119" s="571">
        <f t="shared" si="36"/>
        <v>0</v>
      </c>
      <c r="AX119" s="571">
        <f t="shared" si="36"/>
        <v>0</v>
      </c>
      <c r="AY119" s="571">
        <f t="shared" si="36"/>
        <v>0</v>
      </c>
      <c r="AZ119" s="571">
        <f t="shared" si="36"/>
        <v>0</v>
      </c>
      <c r="BA119" s="572">
        <f t="shared" si="36"/>
        <v>0</v>
      </c>
      <c r="BB119" s="569"/>
    </row>
    <row r="120" spans="1:54" x14ac:dyDescent="0.3">
      <c r="A120" s="16"/>
      <c r="B120" s="8"/>
      <c r="C120" s="8"/>
      <c r="D120" s="10"/>
      <c r="F120" s="5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56"/>
      <c r="R120" s="55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56"/>
      <c r="AD120" s="55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56"/>
      <c r="AP120" s="55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56"/>
      <c r="BB120" s="22"/>
    </row>
    <row r="121" spans="1:54" x14ac:dyDescent="0.3">
      <c r="A121" s="16"/>
      <c r="B121" s="8"/>
      <c r="C121" s="8"/>
      <c r="D121" s="10"/>
      <c r="F121" s="5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56"/>
      <c r="R121" s="55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56"/>
      <c r="AD121" s="55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56"/>
      <c r="AP121" s="55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56"/>
      <c r="BB121" s="22"/>
    </row>
    <row r="122" spans="1:54" x14ac:dyDescent="0.3">
      <c r="A122" s="16"/>
      <c r="B122" s="8"/>
      <c r="C122" s="8"/>
      <c r="D122" s="10"/>
      <c r="F122" s="5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56"/>
      <c r="R122" s="55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56"/>
      <c r="AD122" s="55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56"/>
      <c r="AP122" s="55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56"/>
      <c r="BB122" s="22"/>
    </row>
    <row r="123" spans="1:54" x14ac:dyDescent="0.3">
      <c r="A123" s="16"/>
      <c r="B123" s="8"/>
      <c r="C123" s="8"/>
      <c r="D123" s="10"/>
      <c r="F123" s="5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56"/>
      <c r="R123" s="55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56"/>
      <c r="AD123" s="55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56"/>
      <c r="AP123" s="55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56"/>
      <c r="BB123" s="22"/>
    </row>
    <row r="124" spans="1:54" x14ac:dyDescent="0.3">
      <c r="A124" s="16"/>
      <c r="B124" s="8"/>
      <c r="C124" s="8"/>
      <c r="D124" s="10"/>
      <c r="F124" s="5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56"/>
      <c r="R124" s="55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56"/>
      <c r="AD124" s="55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56"/>
      <c r="AP124" s="55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56"/>
      <c r="BB124" s="22"/>
    </row>
    <row r="125" spans="1:54" x14ac:dyDescent="0.3">
      <c r="A125" s="16"/>
      <c r="B125" s="8"/>
      <c r="C125" s="8"/>
      <c r="D125" s="10"/>
      <c r="F125" s="5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56"/>
      <c r="R125" s="55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56"/>
      <c r="AD125" s="55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56"/>
      <c r="AP125" s="55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56"/>
      <c r="BB125" s="22"/>
    </row>
    <row r="126" spans="1:54" x14ac:dyDescent="0.3">
      <c r="A126" s="16"/>
      <c r="B126" s="8"/>
      <c r="C126" s="8"/>
      <c r="D126" s="10"/>
      <c r="F126" s="5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56"/>
      <c r="R126" s="55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56"/>
      <c r="AD126" s="55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56"/>
      <c r="AP126" s="55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56"/>
      <c r="BB126" s="22"/>
    </row>
    <row r="127" spans="1:54" x14ac:dyDescent="0.3">
      <c r="A127" s="16"/>
      <c r="B127" s="8"/>
      <c r="C127" s="8"/>
      <c r="D127" s="10"/>
      <c r="F127" s="5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56"/>
      <c r="R127" s="55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56"/>
      <c r="AD127" s="55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56"/>
      <c r="AP127" s="55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56"/>
      <c r="BB127" s="22"/>
    </row>
    <row r="128" spans="1:54" x14ac:dyDescent="0.3">
      <c r="A128" s="16"/>
      <c r="B128" s="8"/>
      <c r="C128" s="8"/>
      <c r="D128" s="10"/>
      <c r="F128" s="5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56"/>
      <c r="R128" s="55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56"/>
      <c r="AD128" s="55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56"/>
      <c r="AP128" s="55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56"/>
      <c r="BB128" s="22"/>
    </row>
    <row r="129" spans="1:54" x14ac:dyDescent="0.3">
      <c r="A129" s="16"/>
      <c r="B129" s="8"/>
      <c r="C129" s="8"/>
      <c r="D129" s="10"/>
      <c r="F129" s="5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56"/>
      <c r="R129" s="55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56"/>
      <c r="AD129" s="55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56"/>
      <c r="AP129" s="55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56"/>
      <c r="BB129" s="22"/>
    </row>
    <row r="130" spans="1:54" x14ac:dyDescent="0.3">
      <c r="A130" s="16"/>
      <c r="B130" s="8"/>
      <c r="C130" s="8"/>
      <c r="D130" s="10"/>
      <c r="F130" s="5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56"/>
      <c r="R130" s="55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56"/>
      <c r="AD130" s="55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56"/>
      <c r="AP130" s="55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56"/>
      <c r="BB130" s="22"/>
    </row>
    <row r="131" spans="1:54" x14ac:dyDescent="0.3">
      <c r="A131" s="16"/>
      <c r="B131" s="8"/>
      <c r="C131" s="8"/>
      <c r="D131" s="10"/>
      <c r="F131" s="5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56"/>
      <c r="R131" s="55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56"/>
      <c r="AD131" s="55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56"/>
      <c r="AP131" s="55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56"/>
      <c r="BB131" s="22"/>
    </row>
    <row r="132" spans="1:54" x14ac:dyDescent="0.3">
      <c r="A132" s="16"/>
      <c r="B132" s="8"/>
      <c r="C132" s="8"/>
      <c r="D132" s="10"/>
      <c r="F132" s="5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56"/>
      <c r="R132" s="55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56"/>
      <c r="AD132" s="55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56"/>
      <c r="AP132" s="55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56"/>
      <c r="BB132" s="22"/>
    </row>
    <row r="133" spans="1:54" x14ac:dyDescent="0.3">
      <c r="A133" s="16"/>
      <c r="B133" s="8"/>
      <c r="C133" s="8"/>
      <c r="D133" s="10"/>
      <c r="F133" s="5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56"/>
      <c r="R133" s="55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56"/>
      <c r="AD133" s="55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56"/>
      <c r="AP133" s="55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56"/>
      <c r="BB133" s="22"/>
    </row>
    <row r="134" spans="1:54" x14ac:dyDescent="0.3">
      <c r="A134" s="16"/>
      <c r="B134" s="8"/>
      <c r="C134" s="8"/>
      <c r="D134" s="10"/>
      <c r="F134" s="5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56"/>
      <c r="R134" s="55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56"/>
      <c r="AD134" s="55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56"/>
      <c r="AP134" s="55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56"/>
      <c r="BB134" s="22"/>
    </row>
    <row r="135" spans="1:54" x14ac:dyDescent="0.3">
      <c r="A135" s="16"/>
      <c r="B135" s="8"/>
      <c r="C135" s="8"/>
      <c r="D135" s="10"/>
      <c r="F135" s="5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56"/>
      <c r="R135" s="55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56"/>
      <c r="AD135" s="55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56"/>
      <c r="AP135" s="55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56"/>
      <c r="BB135" s="22"/>
    </row>
    <row r="136" spans="1:54" x14ac:dyDescent="0.3">
      <c r="A136" s="16"/>
      <c r="B136" s="8"/>
      <c r="C136" s="8"/>
      <c r="D136" s="10"/>
      <c r="F136" s="5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56"/>
      <c r="R136" s="55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56"/>
      <c r="AD136" s="55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56"/>
      <c r="AP136" s="55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56"/>
      <c r="BB136" s="22"/>
    </row>
    <row r="137" spans="1:54" x14ac:dyDescent="0.3">
      <c r="A137" s="16"/>
      <c r="B137" s="8"/>
      <c r="C137" s="8"/>
      <c r="D137" s="10"/>
      <c r="F137" s="5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56"/>
      <c r="R137" s="55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56"/>
      <c r="AD137" s="55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56"/>
      <c r="AP137" s="55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56"/>
      <c r="BB137" s="22"/>
    </row>
    <row r="138" spans="1:54" ht="15" thickBot="1" x14ac:dyDescent="0.35">
      <c r="F138" s="57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9"/>
      <c r="R138" s="57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9"/>
      <c r="AD138" s="57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9"/>
      <c r="AP138" s="452"/>
      <c r="AQ138" s="453"/>
      <c r="AR138" s="453"/>
      <c r="AS138" s="453"/>
      <c r="AT138" s="453"/>
      <c r="AU138" s="453"/>
      <c r="AV138" s="453"/>
      <c r="AW138" s="453"/>
      <c r="AX138" s="453"/>
      <c r="AY138" s="453"/>
      <c r="AZ138" s="453"/>
      <c r="BA138" s="473"/>
      <c r="BB138" s="22"/>
    </row>
    <row r="139" spans="1:54" s="7" customFormat="1" hidden="1" x14ac:dyDescent="0.3">
      <c r="A139" s="18"/>
      <c r="D139" s="11"/>
    </row>
    <row r="140" spans="1:54" x14ac:dyDescent="0.3"/>
  </sheetData>
  <mergeCells count="3">
    <mergeCell ref="B6:B7"/>
    <mergeCell ref="C6:C7"/>
    <mergeCell ref="D6:D7"/>
  </mergeCells>
  <phoneticPr fontId="9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A026-BC32-4724-82BD-F84FBBA20123}">
  <dimension ref="A1:R103"/>
  <sheetViews>
    <sheetView showGridLines="0" topLeftCell="G1" zoomScaleNormal="100" workbookViewId="0">
      <pane ySplit="2" topLeftCell="A3" activePane="bottomLeft" state="frozen"/>
      <selection activeCell="AB74" sqref="AB74"/>
      <selection pane="bottomLeft" activeCell="G26" sqref="G26"/>
    </sheetView>
  </sheetViews>
  <sheetFormatPr defaultRowHeight="14.4" x14ac:dyDescent="0.3"/>
  <cols>
    <col min="1" max="1" width="13.77734375" customWidth="1"/>
    <col min="2" max="2" width="33.21875" customWidth="1"/>
    <col min="3" max="3" width="16.109375" bestFit="1" customWidth="1"/>
    <col min="4" max="4" width="28.77734375" bestFit="1" customWidth="1"/>
    <col min="5" max="5" width="11.21875" bestFit="1" customWidth="1"/>
    <col min="6" max="6" width="13.21875" customWidth="1"/>
    <col min="7" max="7" width="135.88671875" bestFit="1" customWidth="1"/>
    <col min="8" max="8" width="10.109375" customWidth="1"/>
    <col min="9" max="9" width="13.109375" bestFit="1" customWidth="1"/>
    <col min="10" max="12" width="13.109375" customWidth="1"/>
    <col min="13" max="13" width="13.33203125" bestFit="1" customWidth="1"/>
    <col min="14" max="14" width="11.21875" bestFit="1" customWidth="1"/>
    <col min="15" max="15" width="12.6640625" bestFit="1" customWidth="1"/>
    <col min="16" max="16" width="18.77734375" bestFit="1" customWidth="1"/>
    <col min="17" max="17" width="30.21875" customWidth="1"/>
    <col min="18" max="18" width="148.6640625" bestFit="1" customWidth="1"/>
  </cols>
  <sheetData>
    <row r="1" spans="1:18" x14ac:dyDescent="0.3">
      <c r="A1" s="126" t="s">
        <v>137</v>
      </c>
      <c r="F1" s="126"/>
      <c r="M1" t="s">
        <v>138</v>
      </c>
      <c r="R1" t="s">
        <v>139</v>
      </c>
    </row>
    <row r="2" spans="1:18" x14ac:dyDescent="0.3">
      <c r="A2" s="43" t="s">
        <v>140</v>
      </c>
      <c r="B2" s="43" t="s">
        <v>141</v>
      </c>
      <c r="C2" s="43" t="s">
        <v>142</v>
      </c>
      <c r="D2" s="43" t="s">
        <v>143</v>
      </c>
      <c r="E2" s="43" t="s">
        <v>144</v>
      </c>
      <c r="F2" s="43" t="s">
        <v>145</v>
      </c>
      <c r="G2" s="43" t="s">
        <v>146</v>
      </c>
      <c r="H2" s="43" t="s">
        <v>42</v>
      </c>
      <c r="I2" s="43" t="s">
        <v>45</v>
      </c>
      <c r="J2" s="43" t="s">
        <v>46</v>
      </c>
      <c r="K2" s="43" t="s">
        <v>47</v>
      </c>
      <c r="L2" s="43" t="s">
        <v>486</v>
      </c>
      <c r="M2" s="43" t="s">
        <v>147</v>
      </c>
      <c r="N2" s="42" t="s">
        <v>148</v>
      </c>
      <c r="O2" s="42" t="s">
        <v>149</v>
      </c>
      <c r="P2" s="42" t="s">
        <v>150</v>
      </c>
      <c r="Q2" s="42" t="s">
        <v>151</v>
      </c>
      <c r="R2" s="42" t="s">
        <v>152</v>
      </c>
    </row>
    <row r="3" spans="1:18" x14ac:dyDescent="0.3">
      <c r="A3" s="80" t="s">
        <v>51</v>
      </c>
      <c r="B3" s="80" t="s">
        <v>153</v>
      </c>
      <c r="C3" s="80" t="s">
        <v>15</v>
      </c>
      <c r="D3" s="80" t="s">
        <v>94</v>
      </c>
      <c r="E3" s="81">
        <v>45292</v>
      </c>
      <c r="F3" s="82">
        <f>IF($E3="","",IF(COUNTIF(P$3:P3,$P3)=COUNTIFS($P$3:$P$102,$P3),DATE(9999,12,31),INDEX($E$3:$E$102,MATCH($P3&amp;" | "&amp;TEXT(COUNTIF(P$3:P3,$P3)+1,"00"),$Q$3:$Q$102,0))-1))</f>
        <v>45991</v>
      </c>
      <c r="G3" s="80" t="s">
        <v>154</v>
      </c>
      <c r="H3" s="80" t="s">
        <v>155</v>
      </c>
      <c r="I3" s="80" t="s">
        <v>156</v>
      </c>
      <c r="J3" s="146">
        <v>1600</v>
      </c>
      <c r="K3" s="146">
        <v>1200</v>
      </c>
      <c r="L3" s="508"/>
      <c r="M3" s="80"/>
      <c r="N3">
        <f t="shared" ref="N3:N11" si="0">IF($E3="","",YEAR($E3))</f>
        <v>2024</v>
      </c>
      <c r="O3">
        <f>IF($E3="","",MONTH($E3))</f>
        <v>1</v>
      </c>
      <c r="P3" t="str">
        <f t="shared" ref="P3:P34" si="1">IF(OR($A3="",$C3=""),"",$A3&amp;" | "&amp;$C3)</f>
        <v>200319 | 110000354</v>
      </c>
      <c r="Q3" t="str">
        <f>IF($P3="","",$P3&amp;" | "&amp;TEXT(COUNTIF(P$3:P3,$P3),"00"))</f>
        <v>200319 | 110000354 | 01</v>
      </c>
      <c r="R3" t="str">
        <f>$A3&amp;$C3&amp;$E3&amp;$G3&amp;$H3&amp;$I3</f>
        <v>20031911000035445292Giá ICIS rPET ĐNA trung bình 3 tháng trước đó với chiết khấu 10%. Giá trần $1,600; giá sàn $1,200FOBTháng</v>
      </c>
    </row>
    <row r="4" spans="1:18" x14ac:dyDescent="0.3">
      <c r="A4" s="80" t="s">
        <v>157</v>
      </c>
      <c r="B4" s="80" t="s">
        <v>158</v>
      </c>
      <c r="C4" s="80" t="s">
        <v>15</v>
      </c>
      <c r="D4" s="80" t="s">
        <v>94</v>
      </c>
      <c r="E4" s="81">
        <v>45292</v>
      </c>
      <c r="F4" s="44">
        <f>IF($E4="","",IF(COUNTIF(P$3:P4,$P4)=COUNTIFS($P$3:$P$102,$P4),DATE(9999,12,31),INDEX($E$3:$E$102,MATCH($P4&amp;" | "&amp;TEXT(COUNTIF(P$3:P4,$P4)+1,"00"),$Q$3:$Q$102,0))-1))</f>
        <v>2958465</v>
      </c>
      <c r="G4" s="80" t="s">
        <v>154</v>
      </c>
      <c r="H4" s="80" t="s">
        <v>155</v>
      </c>
      <c r="I4" s="80" t="s">
        <v>156</v>
      </c>
      <c r="J4" s="146">
        <v>1600</v>
      </c>
      <c r="K4" s="146">
        <v>1200</v>
      </c>
      <c r="L4" s="508"/>
      <c r="M4" s="80"/>
      <c r="N4">
        <f t="shared" si="0"/>
        <v>2024</v>
      </c>
      <c r="O4">
        <f t="shared" ref="O4:O67" si="2">IF($E4="","",MONTH($E4))</f>
        <v>1</v>
      </c>
      <c r="P4" t="str">
        <f t="shared" si="1"/>
        <v>200350 | 110000354</v>
      </c>
      <c r="Q4" t="str">
        <f>IF($P4="","",$P4&amp;" | "&amp;TEXT(COUNTIF(P$3:P4,$P4),"00"))</f>
        <v>200350 | 110000354 | 01</v>
      </c>
      <c r="R4" t="str">
        <f>$A4&amp;$C4&amp;$E4&amp;$G4&amp;$H4&amp;$I4</f>
        <v>20035011000035445292Giá ICIS rPET ĐNA trung bình 3 tháng trước đó với chiết khấu 10%. Giá trần $1,600; giá sàn $1,200FOBTháng</v>
      </c>
    </row>
    <row r="5" spans="1:18" x14ac:dyDescent="0.3">
      <c r="A5" s="80" t="s">
        <v>61</v>
      </c>
      <c r="B5" s="80" t="s">
        <v>159</v>
      </c>
      <c r="C5" s="80" t="s">
        <v>34</v>
      </c>
      <c r="D5" s="80" t="s">
        <v>97</v>
      </c>
      <c r="E5" s="81">
        <v>45292</v>
      </c>
      <c r="F5" s="44">
        <f>IF($E5="","",IF(COUNTIF(P$3:P5,$P5)=COUNTIFS($P$3:$P$102,$P5),DATE(9999,12,31),INDEX($E$3:$E$102,MATCH($P5&amp;" | "&amp;TEXT(COUNTIF(P$3:P5,$P5)+1,"00"),$Q$3:$Q$102,0))-1))</f>
        <v>45657</v>
      </c>
      <c r="G5" s="80" t="s">
        <v>160</v>
      </c>
      <c r="H5" s="80" t="s">
        <v>161</v>
      </c>
      <c r="I5" s="80" t="s">
        <v>162</v>
      </c>
      <c r="J5" s="146"/>
      <c r="K5" s="146"/>
      <c r="L5" s="508"/>
      <c r="M5" s="80"/>
      <c r="N5">
        <f t="shared" si="0"/>
        <v>2024</v>
      </c>
      <c r="O5">
        <f t="shared" si="2"/>
        <v>1</v>
      </c>
      <c r="P5" t="str">
        <f t="shared" si="1"/>
        <v>104909 | 110000329</v>
      </c>
      <c r="Q5" t="str">
        <f>IF($P5="","",$P5&amp;" | "&amp;TEXT(COUNTIF(P$3:P5,$P5),"00"))</f>
        <v>104909 | 110000329 | 01</v>
      </c>
      <c r="R5" t="str">
        <f>$A5&amp;$C5&amp;$E5&amp;$G5&amp;$H5&amp;$I5</f>
        <v>10490911000032945292Giá cố địnhEXWLần</v>
      </c>
    </row>
    <row r="6" spans="1:18" x14ac:dyDescent="0.3">
      <c r="A6" s="80" t="s">
        <v>39</v>
      </c>
      <c r="B6" s="80" t="s">
        <v>163</v>
      </c>
      <c r="C6" s="80" t="s">
        <v>28</v>
      </c>
      <c r="D6" s="80" t="s">
        <v>88</v>
      </c>
      <c r="E6" s="81">
        <v>45292</v>
      </c>
      <c r="F6" s="44">
        <f>IF($E6="","",IF(COUNTIF(P$3:P6,$P6)=COUNTIFS($P$3:$P$102,$P6),DATE(9999,12,31),INDEX($E$3:$E$102,MATCH($P6&amp;" | "&amp;TEXT(COUNTIF(P$3:P6,$P6)+1,"00"),$Q$3:$Q$102,0))-1))</f>
        <v>45657</v>
      </c>
      <c r="G6" s="80" t="s">
        <v>164</v>
      </c>
      <c r="H6" s="80" t="s">
        <v>165</v>
      </c>
      <c r="I6" s="80" t="s">
        <v>156</v>
      </c>
      <c r="J6" s="146"/>
      <c r="K6" s="146"/>
      <c r="L6" s="508"/>
      <c r="M6" s="80">
        <v>60</v>
      </c>
      <c r="N6">
        <f t="shared" si="0"/>
        <v>2024</v>
      </c>
      <c r="O6">
        <f t="shared" si="2"/>
        <v>1</v>
      </c>
      <c r="P6" t="str">
        <f t="shared" si="1"/>
        <v>105194 | 110000332</v>
      </c>
      <c r="Q6" t="str">
        <f>IF($P6="","",$P6&amp;" | "&amp;TEXT(COUNTIF(P$3:P6,$P6),"00"))</f>
        <v>105194 | 110000332 | 01</v>
      </c>
      <c r="R6" t="str">
        <f>$A6&amp;$C6&amp;$E6&amp;$G6&amp;$H6&amp;$I6&amp;J6&amp;K6</f>
        <v>10519411000033245292Giá ICIS rPET ĐNA trung bình từ ngày 16 tháng (X-2) đến ngày 15 tháng (X-1) +Premium ( Chi phí tăng IV ) - REBATE + Cp vận chuyểnDDPTháng</v>
      </c>
    </row>
    <row r="7" spans="1:18" x14ac:dyDescent="0.3">
      <c r="A7" s="80" t="s">
        <v>39</v>
      </c>
      <c r="B7" s="80" t="s">
        <v>163</v>
      </c>
      <c r="C7" s="80" t="s">
        <v>30</v>
      </c>
      <c r="D7" s="80" t="s">
        <v>91</v>
      </c>
      <c r="E7" s="81">
        <v>45292</v>
      </c>
      <c r="F7" s="44">
        <f>IF($E7="","",IF(COUNTIF(P$3:P7,$P7)=COUNTIFS($P$3:$P$102,$P7),DATE(9999,12,31),INDEX($E$3:$E$102,MATCH($P7&amp;" | "&amp;TEXT(COUNTIF(P$3:P7,$P7)+1,"00"),$Q$3:$Q$102,0))-1))</f>
        <v>45657</v>
      </c>
      <c r="G7" s="80" t="s">
        <v>164</v>
      </c>
      <c r="H7" s="80" t="s">
        <v>165</v>
      </c>
      <c r="I7" s="80" t="s">
        <v>156</v>
      </c>
      <c r="J7" s="146"/>
      <c r="K7" s="146"/>
      <c r="L7" s="508"/>
      <c r="M7" s="80">
        <v>60</v>
      </c>
      <c r="N7">
        <f t="shared" si="0"/>
        <v>2024</v>
      </c>
      <c r="O7">
        <f t="shared" si="2"/>
        <v>1</v>
      </c>
      <c r="P7" t="str">
        <f t="shared" si="1"/>
        <v>105194 | 110000355</v>
      </c>
      <c r="Q7" t="str">
        <f>IF($P7="","",$P7&amp;" | "&amp;TEXT(COUNTIF(P$3:P7,$P7),"00"))</f>
        <v>105194 | 110000355 | 01</v>
      </c>
      <c r="R7" t="str">
        <f t="shared" ref="R7:R71" si="3">$A7&amp;$C7&amp;$E7&amp;$G7&amp;$H7&amp;$I7&amp;J7&amp;K7</f>
        <v>10519411000035545292Giá ICIS rPET ĐNA trung bình từ ngày 16 tháng (X-2) đến ngày 15 tháng (X-1) +Premium ( Chi phí tăng IV ) - REBATE + Cp vận chuyểnDDPTháng</v>
      </c>
    </row>
    <row r="8" spans="1:18" x14ac:dyDescent="0.3">
      <c r="A8" s="80" t="s">
        <v>63</v>
      </c>
      <c r="B8" s="80" t="s">
        <v>166</v>
      </c>
      <c r="C8" s="80" t="s">
        <v>15</v>
      </c>
      <c r="D8" s="80" t="s">
        <v>94</v>
      </c>
      <c r="E8" s="81">
        <v>45200</v>
      </c>
      <c r="F8" s="44">
        <f>IF($E8="","",IF(COUNTIF(P$3:P8,$P8)=COUNTIFS($P$3:$P$102,$P8),DATE(9999,12,31),INDEX($E$3:$E$102,MATCH($P8&amp;" | "&amp;TEXT(COUNTIF(P$3:P8,$P8)+1,"00"),$Q$3:$Q$102,0))-1))</f>
        <v>45657</v>
      </c>
      <c r="G8" s="80" t="s">
        <v>167</v>
      </c>
      <c r="H8" s="80" t="s">
        <v>165</v>
      </c>
      <c r="I8" s="80" t="s">
        <v>168</v>
      </c>
      <c r="J8" s="146"/>
      <c r="K8" s="146"/>
      <c r="L8" s="508"/>
      <c r="M8" s="80">
        <v>90</v>
      </c>
      <c r="N8">
        <f t="shared" si="0"/>
        <v>2023</v>
      </c>
      <c r="O8">
        <f t="shared" si="2"/>
        <v>10</v>
      </c>
      <c r="P8" t="str">
        <f t="shared" si="1"/>
        <v>105263 | 110000354</v>
      </c>
      <c r="Q8" t="str">
        <f>IF($P8="","",$P8&amp;" | "&amp;TEXT(COUNTIF(P$3:P8,$P8),"00"))</f>
        <v>105263 | 110000354 | 01</v>
      </c>
      <c r="R8" t="str">
        <f t="shared" si="3"/>
        <v>10526311000035445200Giá Bales DTR +% Hao Hụt + Conversion costDDPQuý</v>
      </c>
    </row>
    <row r="9" spans="1:18" x14ac:dyDescent="0.3">
      <c r="A9" s="80" t="s">
        <v>63</v>
      </c>
      <c r="B9" s="80" t="s">
        <v>166</v>
      </c>
      <c r="C9" s="80" t="s">
        <v>15</v>
      </c>
      <c r="D9" s="80" t="s">
        <v>94</v>
      </c>
      <c r="E9" s="81">
        <v>45658</v>
      </c>
      <c r="F9" s="44">
        <f>IF($E9="","",IF(COUNTIF(P$3:P9,$P9)=COUNTIFS($P$3:$P$102,$P9),DATE(9999,12,31),INDEX($E$3:$E$102,MATCH($P9&amp;" | "&amp;TEXT(COUNTIF(P$3:P9,$P9)+1,"00"),$Q$3:$Q$102,0))-1))</f>
        <v>46022</v>
      </c>
      <c r="G9" s="80" t="s">
        <v>339</v>
      </c>
      <c r="H9" s="80" t="s">
        <v>165</v>
      </c>
      <c r="I9" s="80" t="s">
        <v>169</v>
      </c>
      <c r="J9" s="146"/>
      <c r="K9" s="146"/>
      <c r="L9" s="508"/>
      <c r="M9" s="80">
        <v>90</v>
      </c>
      <c r="N9">
        <f t="shared" si="0"/>
        <v>2025</v>
      </c>
      <c r="O9">
        <f t="shared" si="2"/>
        <v>1</v>
      </c>
      <c r="P9" t="str">
        <f t="shared" si="1"/>
        <v>105263 | 110000354</v>
      </c>
      <c r="Q9" t="str">
        <f>IF($P9="","",$P9&amp;" | "&amp;TEXT(COUNTIF(P$3:P9,$P9),"00"))</f>
        <v>105263 | 110000354 | 02</v>
      </c>
      <c r="R9" t="str">
        <f t="shared" si="3"/>
        <v>10526311000035445658Giá cố định (KD đề xuất)DDPNăm</v>
      </c>
    </row>
    <row r="10" spans="1:18" x14ac:dyDescent="0.3">
      <c r="A10" s="80" t="s">
        <v>63</v>
      </c>
      <c r="B10" s="80" t="s">
        <v>166</v>
      </c>
      <c r="C10" s="80" t="s">
        <v>24</v>
      </c>
      <c r="D10" s="80" t="s">
        <v>128</v>
      </c>
      <c r="E10" s="81">
        <v>45292</v>
      </c>
      <c r="F10" s="44">
        <f>IF($E10="","",IF(COUNTIF(P$3:P10,$P10)=COUNTIFS($P$3:$P$102,$P10),DATE(9999,12,31),INDEX($E$3:$E$102,MATCH($P10&amp;" | "&amp;TEXT(COUNTIF(P$3:P10,$P10)+1,"00"),$Q$3:$Q$102,0))-1))</f>
        <v>45657</v>
      </c>
      <c r="G10" s="80" t="s">
        <v>170</v>
      </c>
      <c r="H10" s="80" t="s">
        <v>165</v>
      </c>
      <c r="I10" s="80" t="s">
        <v>168</v>
      </c>
      <c r="J10" s="146"/>
      <c r="K10" s="146"/>
      <c r="L10" s="508"/>
      <c r="M10" s="80">
        <v>90</v>
      </c>
      <c r="N10">
        <f t="shared" si="0"/>
        <v>2024</v>
      </c>
      <c r="O10">
        <f t="shared" si="2"/>
        <v>1</v>
      </c>
      <c r="P10" t="str">
        <f t="shared" si="1"/>
        <v>105263 | 110000339</v>
      </c>
      <c r="Q10" t="str">
        <f>IF($P10="","",$P10&amp;" | "&amp;TEXT(COUNTIF(P$3:P10,$P10),"00"))</f>
        <v>105263 | 110000339 | 01</v>
      </c>
      <c r="R10" t="str">
        <f t="shared" si="3"/>
        <v>10526311000033945292Giá Bales DTR Mua +% Hao Hụt + Conversion costDDPQuý</v>
      </c>
    </row>
    <row r="11" spans="1:18" x14ac:dyDescent="0.3">
      <c r="A11" s="80" t="s">
        <v>63</v>
      </c>
      <c r="B11" s="80" t="s">
        <v>166</v>
      </c>
      <c r="C11" s="80" t="s">
        <v>24</v>
      </c>
      <c r="D11" s="80" t="s">
        <v>128</v>
      </c>
      <c r="E11" s="81">
        <v>45658</v>
      </c>
      <c r="F11" s="44">
        <f>IF($E11="","",IF(COUNTIF(P$3:P11,$P11)=COUNTIFS($P$3:$P$102,$P11),DATE(9999,12,31),INDEX($E$3:$E$102,MATCH($P11&amp;" | "&amp;TEXT(COUNTIF(P$3:P11,$P11)+1,"00"),$Q$3:$Q$102,0))-1))</f>
        <v>46022</v>
      </c>
      <c r="G11" s="80" t="s">
        <v>339</v>
      </c>
      <c r="H11" s="80" t="s">
        <v>165</v>
      </c>
      <c r="I11" s="80" t="s">
        <v>169</v>
      </c>
      <c r="J11" s="146"/>
      <c r="K11" s="146"/>
      <c r="L11" s="508"/>
      <c r="M11" s="80">
        <v>90</v>
      </c>
      <c r="N11">
        <f t="shared" si="0"/>
        <v>2025</v>
      </c>
      <c r="O11">
        <f t="shared" si="2"/>
        <v>1</v>
      </c>
      <c r="P11" t="str">
        <f t="shared" si="1"/>
        <v>105263 | 110000339</v>
      </c>
      <c r="Q11" t="str">
        <f>IF($P11="","",$P11&amp;" | "&amp;TEXT(COUNTIF(P$3:P11,$P11),"00"))</f>
        <v>105263 | 110000339 | 02</v>
      </c>
      <c r="R11" t="str">
        <f t="shared" si="3"/>
        <v>10526311000033945658Giá cố định (KD đề xuất)DDPNăm</v>
      </c>
    </row>
    <row r="12" spans="1:18" x14ac:dyDescent="0.3">
      <c r="A12" s="80" t="s">
        <v>63</v>
      </c>
      <c r="B12" s="80" t="s">
        <v>166</v>
      </c>
      <c r="C12" s="80" t="s">
        <v>64</v>
      </c>
      <c r="D12" s="80" t="s">
        <v>129</v>
      </c>
      <c r="E12" s="81">
        <v>45292</v>
      </c>
      <c r="F12" s="44">
        <f>IF($E12="","",IF(COUNTIF(P$3:P12,$P12)=COUNTIFS($P$3:$P$102,$P12),DATE(9999,12,31),INDEX($E$3:$E$102,MATCH($P12&amp;" | "&amp;TEXT(COUNTIF(P$3:P12,$P12)+1,"00"),$Q$3:$Q$102,0))-1))</f>
        <v>45657</v>
      </c>
      <c r="G12" s="80" t="s">
        <v>171</v>
      </c>
      <c r="H12" s="80" t="s">
        <v>165</v>
      </c>
      <c r="I12" s="80" t="s">
        <v>168</v>
      </c>
      <c r="J12" s="146"/>
      <c r="K12" s="146"/>
      <c r="L12" s="508"/>
      <c r="M12" s="80">
        <v>90</v>
      </c>
      <c r="N12">
        <f>IF($E12="","",YEAR($E12))</f>
        <v>2024</v>
      </c>
      <c r="O12">
        <f t="shared" si="2"/>
        <v>1</v>
      </c>
      <c r="P12" t="str">
        <f t="shared" si="1"/>
        <v>105263 | RHDPETHOI-MAU</v>
      </c>
      <c r="Q12" t="str">
        <f>IF($P12="","",$P12&amp;" | "&amp;TEXT(COUNTIF(P$3:P12,$P12),"00"))</f>
        <v>105263 | RHDPETHOI-MAU | 01</v>
      </c>
      <c r="R12" t="str">
        <f t="shared" si="3"/>
        <v>105263RHDPETHOI-MAU45292Giá MBF01 trừ $50DDPQuý</v>
      </c>
    </row>
    <row r="13" spans="1:18" x14ac:dyDescent="0.3">
      <c r="A13" s="80" t="s">
        <v>63</v>
      </c>
      <c r="B13" s="80" t="s">
        <v>166</v>
      </c>
      <c r="C13" s="80" t="s">
        <v>64</v>
      </c>
      <c r="D13" s="80" t="s">
        <v>129</v>
      </c>
      <c r="E13" s="81">
        <v>45658</v>
      </c>
      <c r="F13" s="44">
        <f>IF($E13="","",IF(COUNTIF(P$3:P13,$P13)=COUNTIFS($P$3:$P$102,$P13),DATE(9999,12,31),INDEX($E$3:$E$102,MATCH($P13&amp;" | "&amp;TEXT(COUNTIF(P$3:P13,$P13)+1,"00"),$Q$3:$Q$102,0))-1))</f>
        <v>46022</v>
      </c>
      <c r="G13" s="80" t="s">
        <v>252</v>
      </c>
      <c r="H13" s="80" t="s">
        <v>165</v>
      </c>
      <c r="I13" s="80" t="s">
        <v>169</v>
      </c>
      <c r="J13" s="146"/>
      <c r="K13" s="146"/>
      <c r="L13" s="508"/>
      <c r="M13" s="80">
        <v>90</v>
      </c>
      <c r="N13">
        <f t="shared" ref="N13:N77" si="4">IF($E13="","",YEAR($E13))</f>
        <v>2025</v>
      </c>
      <c r="O13">
        <f t="shared" si="2"/>
        <v>1</v>
      </c>
      <c r="P13" t="str">
        <f t="shared" si="1"/>
        <v>105263 | RHDPETHOI-MAU</v>
      </c>
      <c r="Q13" t="str">
        <f>IF($P13="","",$P13&amp;" | "&amp;TEXT(COUNTIF(P$3:P13,$P13),"00"))</f>
        <v>105263 | RHDPETHOI-MAU | 02</v>
      </c>
      <c r="R13" t="str">
        <f t="shared" si="3"/>
        <v>105263RHDPETHOI-MAU45658Giá PCF01 trừ $50DDPNăm</v>
      </c>
    </row>
    <row r="14" spans="1:18" x14ac:dyDescent="0.3">
      <c r="A14" s="80" t="s">
        <v>39</v>
      </c>
      <c r="B14" s="80" t="s">
        <v>163</v>
      </c>
      <c r="C14" s="80" t="s">
        <v>28</v>
      </c>
      <c r="D14" s="80" t="s">
        <v>88</v>
      </c>
      <c r="E14" s="81">
        <v>45658</v>
      </c>
      <c r="F14" s="44">
        <f>IF($E14="","",IF(COUNTIF(P$3:P14,$P14)=COUNTIFS($P$3:$P$102,$P14),DATE(9999,12,31),INDEX($E$3:$E$102,MATCH($P14&amp;" | "&amp;TEXT(COUNTIF(P$3:P14,$P14)+1,"00"),$Q$3:$Q$102,0))-1))</f>
        <v>46022</v>
      </c>
      <c r="G14" s="80" t="s">
        <v>172</v>
      </c>
      <c r="H14" s="80" t="s">
        <v>165</v>
      </c>
      <c r="I14" s="80" t="s">
        <v>156</v>
      </c>
      <c r="J14" s="146">
        <v>1550</v>
      </c>
      <c r="K14" s="146">
        <v>1330</v>
      </c>
      <c r="L14" s="508"/>
      <c r="M14" s="80">
        <v>90</v>
      </c>
      <c r="N14">
        <f t="shared" si="4"/>
        <v>2025</v>
      </c>
      <c r="O14">
        <f t="shared" si="2"/>
        <v>1</v>
      </c>
      <c r="P14" t="str">
        <f t="shared" si="1"/>
        <v>105194 | 110000332</v>
      </c>
      <c r="Q14" t="str">
        <f>IF($P14="","",$P14&amp;" | "&amp;TEXT(COUNTIF(P$3:P14,$P14),"00"))</f>
        <v>105194 | 110000332 | 02</v>
      </c>
      <c r="R14" t="str">
        <f t="shared" si="3"/>
        <v>10519411000033245658Giá ICIS rPET ĐNA trung bình từ ngày 16 tháng (X-2) đến ngày 15 tháng (X-1) +Premium ( Chi phí tăng IV ) - REBATE + Cp vận chuyển. Giá trần $1,550; giá sàn $1,330DDPTháng15501330</v>
      </c>
    </row>
    <row r="15" spans="1:18" x14ac:dyDescent="0.3">
      <c r="A15" s="80" t="s">
        <v>39</v>
      </c>
      <c r="B15" s="80" t="s">
        <v>163</v>
      </c>
      <c r="C15" s="80" t="s">
        <v>30</v>
      </c>
      <c r="D15" s="80" t="s">
        <v>91</v>
      </c>
      <c r="E15" s="81">
        <v>45658</v>
      </c>
      <c r="F15" s="44">
        <f>IF($E15="","",IF(COUNTIF(P$3:P15,$P15)=COUNTIFS($P$3:$P$102,$P15),DATE(9999,12,31),INDEX($E$3:$E$102,MATCH($P15&amp;" | "&amp;TEXT(COUNTIF(P$3:P15,$P15)+1,"00"),$Q$3:$Q$102,0))-1))</f>
        <v>46022</v>
      </c>
      <c r="G15" s="80" t="s">
        <v>172</v>
      </c>
      <c r="H15" s="80" t="s">
        <v>165</v>
      </c>
      <c r="I15" s="80" t="s">
        <v>156</v>
      </c>
      <c r="J15" s="146">
        <v>1550</v>
      </c>
      <c r="K15" s="146">
        <v>1330</v>
      </c>
      <c r="L15" s="508"/>
      <c r="M15" s="80">
        <v>90</v>
      </c>
      <c r="N15">
        <f t="shared" si="4"/>
        <v>2025</v>
      </c>
      <c r="O15">
        <f t="shared" si="2"/>
        <v>1</v>
      </c>
      <c r="P15" t="str">
        <f t="shared" si="1"/>
        <v>105194 | 110000355</v>
      </c>
      <c r="Q15" t="str">
        <f>IF($P15="","",$P15&amp;" | "&amp;TEXT(COUNTIF(P$3:P15,$P15),"00"))</f>
        <v>105194 | 110000355 | 02</v>
      </c>
      <c r="R15" t="str">
        <f t="shared" si="3"/>
        <v>10519411000035545658Giá ICIS rPET ĐNA trung bình từ ngày 16 tháng (X-2) đến ngày 15 tháng (X-1) +Premium ( Chi phí tăng IV ) - REBATE + Cp vận chuyển. Giá trần $1,550; giá sàn $1,330DDPTháng15501330</v>
      </c>
    </row>
    <row r="16" spans="1:18" x14ac:dyDescent="0.3">
      <c r="A16" s="80" t="s">
        <v>173</v>
      </c>
      <c r="B16" s="80" t="s">
        <v>174</v>
      </c>
      <c r="C16" s="80" t="s">
        <v>28</v>
      </c>
      <c r="D16" s="80" t="s">
        <v>88</v>
      </c>
      <c r="E16" s="81">
        <v>45017</v>
      </c>
      <c r="F16" s="44">
        <f>IF($E16="","",IF(COUNTIF(P$3:P16,$P16)=COUNTIFS($P$3:$P$102,$P16),DATE(9999,12,31),INDEX($E$3:$E$102,MATCH($P16&amp;" | "&amp;TEXT(COUNTIF(P$3:P16,$P16)+1,"00"),$Q$3:$Q$102,0))-1))</f>
        <v>2958465</v>
      </c>
      <c r="G16" s="80" t="s">
        <v>160</v>
      </c>
      <c r="H16" s="80" t="s">
        <v>165</v>
      </c>
      <c r="I16" s="80" t="s">
        <v>169</v>
      </c>
      <c r="J16" s="146"/>
      <c r="K16" s="146"/>
      <c r="L16" s="508"/>
      <c r="M16" s="80">
        <v>60</v>
      </c>
      <c r="N16">
        <f t="shared" si="4"/>
        <v>2023</v>
      </c>
      <c r="O16">
        <f t="shared" si="2"/>
        <v>4</v>
      </c>
      <c r="P16" t="str">
        <f t="shared" si="1"/>
        <v>105222 | 110000332</v>
      </c>
      <c r="Q16" t="str">
        <f>IF($P16="","",$P16&amp;" | "&amp;TEXT(COUNTIF(P$3:P16,$P16),"00"))</f>
        <v>105222 | 110000332 | 01</v>
      </c>
      <c r="R16" t="str">
        <f t="shared" si="3"/>
        <v>10522211000033245017Giá cố địnhDDPNăm</v>
      </c>
    </row>
    <row r="17" spans="1:18" x14ac:dyDescent="0.3">
      <c r="A17" s="80" t="s">
        <v>48</v>
      </c>
      <c r="B17" s="80" t="s">
        <v>175</v>
      </c>
      <c r="C17" s="80" t="s">
        <v>28</v>
      </c>
      <c r="D17" s="80" t="s">
        <v>88</v>
      </c>
      <c r="E17" s="81">
        <v>45017</v>
      </c>
      <c r="F17" s="44">
        <f>IF($E17="","",IF(COUNTIF(P$3:P17,$P17)=COUNTIFS($P$3:$P$102,$P17),DATE(9999,12,31),INDEX($E$3:$E$102,MATCH($P17&amp;" | "&amp;TEXT(COUNTIF(P$3:P17,$P17)+1,"00"),$Q$3:$Q$102,0))-1))</f>
        <v>2958465</v>
      </c>
      <c r="G17" s="80" t="s">
        <v>160</v>
      </c>
      <c r="H17" s="80" t="s">
        <v>165</v>
      </c>
      <c r="I17" s="80" t="s">
        <v>169</v>
      </c>
      <c r="J17" s="146"/>
      <c r="K17" s="146"/>
      <c r="L17" s="508"/>
      <c r="M17" s="80">
        <v>60</v>
      </c>
      <c r="N17">
        <f t="shared" si="4"/>
        <v>2023</v>
      </c>
      <c r="O17">
        <f t="shared" si="2"/>
        <v>4</v>
      </c>
      <c r="P17" t="str">
        <f t="shared" si="1"/>
        <v>102990 | 110000332</v>
      </c>
      <c r="Q17" t="str">
        <f>IF($P17="","",$P17&amp;" | "&amp;TEXT(COUNTIF(P$3:P17,$P17),"00"))</f>
        <v>102990 | 110000332 | 01</v>
      </c>
      <c r="R17" t="str">
        <f t="shared" si="3"/>
        <v>10299011000033245017Giá cố địnhDDPNăm</v>
      </c>
    </row>
    <row r="18" spans="1:18" x14ac:dyDescent="0.3">
      <c r="A18" s="80" t="s">
        <v>63</v>
      </c>
      <c r="B18" s="80" t="s">
        <v>166</v>
      </c>
      <c r="C18" s="80" t="s">
        <v>22</v>
      </c>
      <c r="D18" s="80" t="s">
        <v>127</v>
      </c>
      <c r="E18" s="81">
        <v>45658</v>
      </c>
      <c r="F18" s="44">
        <f>IF($E18="","",IF(COUNTIF(P$3:P18,$P18)=COUNTIFS($P$3:$P$102,$P18),DATE(9999,12,31),INDEX($E$3:$E$102,MATCH($P18&amp;" | "&amp;TEXT(COUNTIF(P$3:P18,$P18)+1,"00"),$Q$3:$Q$102,0))-1))</f>
        <v>46022</v>
      </c>
      <c r="G18" s="80" t="s">
        <v>340</v>
      </c>
      <c r="H18" s="80" t="s">
        <v>165</v>
      </c>
      <c r="I18" s="80" t="s">
        <v>169</v>
      </c>
      <c r="J18" s="146"/>
      <c r="K18" s="146"/>
      <c r="L18" s="508"/>
      <c r="M18" s="80">
        <v>90</v>
      </c>
      <c r="N18">
        <f t="shared" si="4"/>
        <v>2025</v>
      </c>
      <c r="O18">
        <f t="shared" si="2"/>
        <v>1</v>
      </c>
      <c r="P18" t="str">
        <f t="shared" si="1"/>
        <v>105263 | 110000481</v>
      </c>
      <c r="Q18" t="str">
        <f>IF($P18="","",$P18&amp;" | "&amp;TEXT(COUNTIF(P$3:P18,$P18),"00"))</f>
        <v>105263 | 110000481 | 01</v>
      </c>
      <c r="R18" t="str">
        <f t="shared" si="3"/>
        <v>10526311000048145658Bằng giá MBF01 (KD đề xuất)DDPNăm</v>
      </c>
    </row>
    <row r="19" spans="1:18" x14ac:dyDescent="0.3">
      <c r="A19" s="80" t="s">
        <v>61</v>
      </c>
      <c r="B19" s="80" t="s">
        <v>159</v>
      </c>
      <c r="C19" s="80" t="s">
        <v>34</v>
      </c>
      <c r="D19" s="80" t="s">
        <v>97</v>
      </c>
      <c r="E19" s="81">
        <v>45658</v>
      </c>
      <c r="F19" s="44">
        <f>IF($E19="","",IF(COUNTIF(P$3:P19,$P19)=COUNTIFS($P$3:$P$102,$P19),DATE(9999,12,31),INDEX($E$3:$E$102,MATCH($P19&amp;" | "&amp;TEXT(COUNTIF(P$3:P19,$P19)+1,"00"),$Q$3:$Q$102,0))-1))</f>
        <v>45869</v>
      </c>
      <c r="G19" s="80" t="s">
        <v>176</v>
      </c>
      <c r="H19" s="80" t="s">
        <v>161</v>
      </c>
      <c r="I19" s="80" t="s">
        <v>177</v>
      </c>
      <c r="J19" s="146"/>
      <c r="K19" s="146"/>
      <c r="L19" s="508"/>
      <c r="M19" s="80">
        <v>0</v>
      </c>
      <c r="N19">
        <f t="shared" si="4"/>
        <v>2025</v>
      </c>
      <c r="O19">
        <f t="shared" si="2"/>
        <v>1</v>
      </c>
      <c r="P19" t="str">
        <f t="shared" si="1"/>
        <v>104909 | 110000329</v>
      </c>
      <c r="Q19" t="str">
        <f>IF($P19="","",$P19&amp;" | "&amp;TEXT(COUNTIF(P$3:P19,$P19),"00"))</f>
        <v>104909 | 110000329 | 02</v>
      </c>
      <c r="R19" t="str">
        <f t="shared" si="3"/>
        <v>10490911000032945658Giá cố định (đã thanh toán 100% trong năm 2024)EXWH1.25</v>
      </c>
    </row>
    <row r="20" spans="1:18" x14ac:dyDescent="0.3">
      <c r="A20" s="80" t="s">
        <v>62</v>
      </c>
      <c r="B20" s="80" t="s">
        <v>178</v>
      </c>
      <c r="C20" s="80" t="s">
        <v>34</v>
      </c>
      <c r="D20" s="80" t="s">
        <v>97</v>
      </c>
      <c r="E20" s="81">
        <v>45566</v>
      </c>
      <c r="F20" s="44">
        <f>IF($E20="","",IF(COUNTIF(P$3:P20,$P20)=COUNTIFS($P$3:$P$102,$P20),DATE(9999,12,31),INDEX($E$3:$E$102,MATCH($P20&amp;" | "&amp;TEXT(COUNTIF(P$3:P20,$P20)+1,"00"),$Q$3:$Q$102,0))-1))</f>
        <v>2958465</v>
      </c>
      <c r="G20" s="80" t="s">
        <v>160</v>
      </c>
      <c r="H20" s="80" t="s">
        <v>165</v>
      </c>
      <c r="I20" s="80" t="s">
        <v>169</v>
      </c>
      <c r="J20" s="146"/>
      <c r="K20" s="146"/>
      <c r="L20" s="508"/>
      <c r="M20" s="80">
        <v>60</v>
      </c>
      <c r="N20">
        <f t="shared" si="4"/>
        <v>2024</v>
      </c>
      <c r="O20">
        <f t="shared" si="2"/>
        <v>10</v>
      </c>
      <c r="P20" t="str">
        <f t="shared" si="1"/>
        <v>105217 | 110000329</v>
      </c>
      <c r="Q20" t="str">
        <f>IF($P20="","",$P20&amp;" | "&amp;TEXT(COUNTIF(P$3:P20,$P20),"00"))</f>
        <v>105217 | 110000329 | 01</v>
      </c>
      <c r="R20" t="str">
        <f t="shared" si="3"/>
        <v>10521711000032945566Giá cố địnhDDPNăm</v>
      </c>
    </row>
    <row r="21" spans="1:18" x14ac:dyDescent="0.3">
      <c r="A21" s="80" t="s">
        <v>353</v>
      </c>
      <c r="B21" s="80" t="s">
        <v>351</v>
      </c>
      <c r="C21" s="80" t="s">
        <v>30</v>
      </c>
      <c r="D21" s="80" t="s">
        <v>91</v>
      </c>
      <c r="E21" s="81">
        <v>45658</v>
      </c>
      <c r="F21" s="44">
        <f>IF($E21="","",IF(COUNTIF(P$3:P21,$P21)=COUNTIFS($P$3:$P$102,$P21),DATE(9999,12,31),INDEX($E$3:$E$102,MATCH($P21&amp;" | "&amp;TEXT(COUNTIF(P$3:P21,$P21)+1,"00"),$Q$3:$Q$102,0))-1))</f>
        <v>2958465</v>
      </c>
      <c r="G21" s="80" t="s">
        <v>382</v>
      </c>
      <c r="H21" s="80" t="s">
        <v>155</v>
      </c>
      <c r="I21" s="80" t="s">
        <v>169</v>
      </c>
      <c r="J21" s="146"/>
      <c r="K21" s="146"/>
      <c r="L21" s="508"/>
      <c r="M21" s="80"/>
      <c r="N21">
        <f t="shared" si="4"/>
        <v>2025</v>
      </c>
      <c r="O21">
        <f t="shared" si="2"/>
        <v>1</v>
      </c>
      <c r="P21" t="str">
        <f t="shared" si="1"/>
        <v>200332 | 110000355</v>
      </c>
      <c r="Q21" t="str">
        <f>IF($P21="","",$P21&amp;" | "&amp;TEXT(COUNTIF(P$3:P21,$P21),"00"))</f>
        <v>200332 | 110000355 | 01</v>
      </c>
      <c r="R21" t="str">
        <f t="shared" si="3"/>
        <v>20033211000035545658Giá cố định: $1250 với sản lượng cam kết 10 ngàn tấn; nếu như sản lượng đạt 16 ngàn tấn thì giá $1230FOBNăm</v>
      </c>
    </row>
    <row r="22" spans="1:18" x14ac:dyDescent="0.3">
      <c r="A22" s="80" t="s">
        <v>61</v>
      </c>
      <c r="B22" s="80" t="s">
        <v>159</v>
      </c>
      <c r="C22" s="80" t="s">
        <v>34</v>
      </c>
      <c r="D22" s="80" t="s">
        <v>97</v>
      </c>
      <c r="E22" s="81">
        <v>45870</v>
      </c>
      <c r="F22" s="44">
        <f>IF($E22="","",IF(COUNTIF(P$3:P22,$P22)=COUNTIFS($P$3:$P$102,$P22),DATE(9999,12,31),INDEX($E$3:$E$102,MATCH($P22&amp;" | "&amp;TEXT(COUNTIF(P$3:P22,$P22)+1,"00"),$Q$3:$Q$102,0))-1))</f>
        <v>46022</v>
      </c>
      <c r="G22" s="80" t="s">
        <v>412</v>
      </c>
      <c r="H22" s="80" t="s">
        <v>161</v>
      </c>
      <c r="I22" s="80" t="s">
        <v>169</v>
      </c>
      <c r="J22" s="146"/>
      <c r="K22" s="146"/>
      <c r="L22" s="508"/>
      <c r="M22" s="80">
        <v>60</v>
      </c>
      <c r="N22">
        <f t="shared" si="4"/>
        <v>2025</v>
      </c>
      <c r="O22">
        <f t="shared" si="2"/>
        <v>8</v>
      </c>
      <c r="P22" t="str">
        <f t="shared" si="1"/>
        <v>104909 | 110000329</v>
      </c>
      <c r="Q22" t="str">
        <f>IF($P22="","",$P22&amp;" | "&amp;TEXT(COUNTIF(P$3:P22,$P22),"00"))</f>
        <v>104909 | 110000329 | 03</v>
      </c>
      <c r="R22" t="str">
        <f t="shared" si="3"/>
        <v>10490911000032945870Giá cố định (VND34,382,040/tấn ~ tỷ giá deal lúc ký hợp đồng là 26,370)EXWNăm</v>
      </c>
    </row>
    <row r="23" spans="1:18" x14ac:dyDescent="0.3">
      <c r="A23" s="80" t="s">
        <v>61</v>
      </c>
      <c r="B23" s="80" t="s">
        <v>159</v>
      </c>
      <c r="C23" s="433">
        <v>110000497</v>
      </c>
      <c r="D23" s="80" t="s">
        <v>416</v>
      </c>
      <c r="E23" s="81">
        <v>45870</v>
      </c>
      <c r="F23" s="44">
        <f>IF($E23="","",IF(COUNTIF(P$3:P23,$P23)=COUNTIFS($P$3:$P$102,$P23),DATE(9999,12,31),INDEX($E$3:$E$102,MATCH($P23&amp;" | "&amp;TEXT(COUNTIF(P$3:P23,$P23)+1,"00"),$Q$3:$Q$102,0))-1))</f>
        <v>2958465</v>
      </c>
      <c r="G23" s="80" t="s">
        <v>417</v>
      </c>
      <c r="H23" s="80" t="s">
        <v>161</v>
      </c>
      <c r="I23" s="80" t="s">
        <v>169</v>
      </c>
      <c r="J23" s="146"/>
      <c r="K23" s="146"/>
      <c r="L23" s="508"/>
      <c r="M23" s="80">
        <v>60</v>
      </c>
      <c r="N23">
        <f t="shared" si="4"/>
        <v>2025</v>
      </c>
      <c r="O23">
        <f t="shared" si="2"/>
        <v>8</v>
      </c>
      <c r="P23" t="str">
        <f t="shared" si="1"/>
        <v>104909 | 110000497</v>
      </c>
      <c r="Q23" t="str">
        <f>IF($P23="","",$P23&amp;" | "&amp;TEXT(COUNTIF(P$3:P23,$P23),"00"))</f>
        <v>104909 | 110000497 | 01</v>
      </c>
      <c r="R23" t="str">
        <f t="shared" si="3"/>
        <v>10490911000049745870Giá cố định (VND37,507,680/tấn ~ tỷ giá deal lúc ký hợp đồng là 26,370)EXWNăm</v>
      </c>
    </row>
    <row r="24" spans="1:18" x14ac:dyDescent="0.3">
      <c r="A24" s="80" t="s">
        <v>61</v>
      </c>
      <c r="B24" s="80" t="s">
        <v>159</v>
      </c>
      <c r="C24" s="433" t="s">
        <v>413</v>
      </c>
      <c r="D24" s="80" t="s">
        <v>414</v>
      </c>
      <c r="E24" s="81">
        <v>45870</v>
      </c>
      <c r="F24" s="44">
        <f>IF($E24="","",IF(COUNTIF(P$3:P24,$P24)=COUNTIFS($P$3:$P$102,$P24),DATE(9999,12,31),INDEX($E$3:$E$102,MATCH($P24&amp;" | "&amp;TEXT(COUNTIF(P$3:P24,$P24)+1,"00"),$Q$3:$Q$102,0))-1))</f>
        <v>2958465</v>
      </c>
      <c r="G24" s="80" t="s">
        <v>415</v>
      </c>
      <c r="H24" s="80" t="s">
        <v>161</v>
      </c>
      <c r="I24" s="80" t="s">
        <v>169</v>
      </c>
      <c r="J24" s="146"/>
      <c r="K24" s="146"/>
      <c r="L24" s="508"/>
      <c r="M24" s="80">
        <v>60</v>
      </c>
      <c r="N24">
        <f t="shared" si="4"/>
        <v>2025</v>
      </c>
      <c r="O24">
        <f t="shared" si="2"/>
        <v>8</v>
      </c>
      <c r="P24" t="str">
        <f t="shared" si="1"/>
        <v>104909 | 110000506</v>
      </c>
      <c r="Q24" t="str">
        <f>IF($P24="","",$P24&amp;" | "&amp;TEXT(COUNTIF(P$3:P24,$P24),"00"))</f>
        <v>104909 | 110000506 | 01</v>
      </c>
      <c r="R24" t="str">
        <f t="shared" si="3"/>
        <v>10490911000050645870Giá cố định (VND36,726,270/tấn ~ tỷ giá deal lúc ký hợp đồng là 26,370)-Tỷ lệ phối trộn 50:50 (hoặc theo tỷ lệ khác theo yêu cầu)EXWNăm</v>
      </c>
    </row>
    <row r="25" spans="1:18" x14ac:dyDescent="0.3">
      <c r="A25" s="80" t="s">
        <v>51</v>
      </c>
      <c r="B25" s="80" t="s">
        <v>153</v>
      </c>
      <c r="C25" s="433" t="s">
        <v>15</v>
      </c>
      <c r="D25" s="80" t="s">
        <v>94</v>
      </c>
      <c r="E25" s="81">
        <v>45992</v>
      </c>
      <c r="F25" s="44">
        <f>IF($E25="","",IF(COUNTIF(P$3:P25,$P25)=COUNTIFS($P$3:$P$102,$P25),DATE(9999,12,31),INDEX($E$3:$E$102,MATCH($P25&amp;" | "&amp;TEXT(COUNTIF(P$3:P25,$P25)+1,"00"),$Q$3:$Q$102,0))-1))</f>
        <v>46022</v>
      </c>
      <c r="G25" s="80" t="s">
        <v>500</v>
      </c>
      <c r="H25" s="80" t="s">
        <v>155</v>
      </c>
      <c r="I25" s="80" t="s">
        <v>156</v>
      </c>
      <c r="J25" s="146"/>
      <c r="K25" s="146"/>
      <c r="L25" s="508"/>
      <c r="M25" s="80"/>
      <c r="N25">
        <f t="shared" si="4"/>
        <v>2025</v>
      </c>
      <c r="O25">
        <f t="shared" si="2"/>
        <v>12</v>
      </c>
      <c r="P25" t="str">
        <f t="shared" si="1"/>
        <v>200319 | 110000354</v>
      </c>
      <c r="Q25" t="str">
        <f>IF($P25="","",$P25&amp;" | "&amp;TEXT(COUNTIF(P$3:P25,$P25),"00"))</f>
        <v>200319 | 110000354 | 02</v>
      </c>
      <c r="R25" t="str">
        <f t="shared" ref="R25" si="5">$A25&amp;$C25&amp;$E25&amp;$G25&amp;$H25&amp;$I25&amp;J25&amp;K25</f>
        <v>20031911000035445992Gía cố định (FOB $1,110/tấn) cho T12/25FOBTháng</v>
      </c>
    </row>
    <row r="26" spans="1:18" x14ac:dyDescent="0.3">
      <c r="A26" s="80" t="s">
        <v>51</v>
      </c>
      <c r="B26" s="80" t="s">
        <v>153</v>
      </c>
      <c r="C26" s="80" t="s">
        <v>15</v>
      </c>
      <c r="D26" s="80" t="s">
        <v>94</v>
      </c>
      <c r="E26" s="81">
        <v>46023</v>
      </c>
      <c r="F26" s="44">
        <f>IF($E26="","",IF(COUNTIF(P$3:P26,$P26)=COUNTIFS($P$3:$P$102,$P26),DATE(9999,12,31),INDEX($E$3:$E$102,MATCH($P26&amp;" | "&amp;TEXT(COUNTIF(P$3:P26,$P26)+1,"00"),$Q$3:$Q$102,0))-1))</f>
        <v>46112</v>
      </c>
      <c r="G26" s="80" t="s">
        <v>432</v>
      </c>
      <c r="H26" s="80" t="s">
        <v>155</v>
      </c>
      <c r="I26" s="80" t="s">
        <v>156</v>
      </c>
      <c r="J26" s="146">
        <v>1110</v>
      </c>
      <c r="K26" s="146">
        <v>1050</v>
      </c>
      <c r="L26" s="146"/>
      <c r="M26" s="80"/>
      <c r="N26">
        <f t="shared" si="4"/>
        <v>2026</v>
      </c>
      <c r="O26">
        <f t="shared" si="2"/>
        <v>1</v>
      </c>
      <c r="P26" t="str">
        <f t="shared" si="1"/>
        <v>200319 | 110000354</v>
      </c>
      <c r="Q26" t="str">
        <f>IF($P26="","",$P26&amp;" | "&amp;TEXT(COUNTIF(P$3:P26,$P26),"00"))</f>
        <v>200319 | 110000354 | 03</v>
      </c>
      <c r="R26" t="str">
        <f t="shared" si="3"/>
        <v>20031911000035446023Giá Base ban đầu: $1,080. Tháng tiếp theo = Giá Base tháng trước + Chênh lệch giá ICIS rPET ĐNA 2 tháng trước đó.FOBTháng11101050</v>
      </c>
    </row>
    <row r="27" spans="1:18" x14ac:dyDescent="0.3">
      <c r="A27" s="80" t="s">
        <v>430</v>
      </c>
      <c r="B27" s="80" t="s">
        <v>431</v>
      </c>
      <c r="C27" s="80" t="s">
        <v>15</v>
      </c>
      <c r="D27" s="80" t="s">
        <v>94</v>
      </c>
      <c r="E27" s="81">
        <v>46023</v>
      </c>
      <c r="F27" s="44">
        <f>IF($E27="","",IF(COUNTIF(P$3:P27,$P27)=COUNTIFS($P$3:$P$102,$P27),DATE(9999,12,31),INDEX($E$3:$E$102,MATCH($P27&amp;" | "&amp;TEXT(COUNTIF(P$3:P27,$P27)+1,"00"),$Q$3:$Q$102,0))-1))</f>
        <v>2958465</v>
      </c>
      <c r="G27" s="80" t="s">
        <v>433</v>
      </c>
      <c r="H27" s="80" t="s">
        <v>155</v>
      </c>
      <c r="I27" s="80" t="s">
        <v>156</v>
      </c>
      <c r="J27" s="146">
        <v>1150</v>
      </c>
      <c r="K27" s="146">
        <v>1090</v>
      </c>
      <c r="L27" s="146"/>
      <c r="M27" s="80"/>
      <c r="N27">
        <f t="shared" si="4"/>
        <v>2026</v>
      </c>
      <c r="O27">
        <f t="shared" si="2"/>
        <v>1</v>
      </c>
      <c r="P27" t="str">
        <f t="shared" si="1"/>
        <v>200400 | 110000354</v>
      </c>
      <c r="Q27" t="str">
        <f>IF($P27="","",$P27&amp;" | "&amp;TEXT(COUNTIF(P$3:P27,$P27),"00"))</f>
        <v>200400 | 110000354 | 01</v>
      </c>
      <c r="R27" t="str">
        <f t="shared" si="3"/>
        <v>20040011000035446023Giá Base ban đầu: $1,120. Tháng tiếp theo = Giá Base tháng trước + Chênh lệch giá ICIS rPET ĐNA 2 tháng trước đó.FOBTháng11501090</v>
      </c>
    </row>
    <row r="28" spans="1:18" x14ac:dyDescent="0.3">
      <c r="A28" s="80" t="s">
        <v>63</v>
      </c>
      <c r="B28" s="80" t="s">
        <v>166</v>
      </c>
      <c r="C28" s="80" t="s">
        <v>15</v>
      </c>
      <c r="D28" s="80" t="s">
        <v>94</v>
      </c>
      <c r="E28" s="81">
        <v>46023</v>
      </c>
      <c r="F28" s="44">
        <f>IF($E28="","",IF(COUNTIF(P$3:P28,$P28)=COUNTIFS($P$3:$P$102,$P28),DATE(9999,12,31),INDEX($E$3:$E$102,MATCH($P28&amp;" | "&amp;TEXT(COUNTIF(P$3:P28,$P28)+1,"00"),$Q$3:$Q$102,0))-1))</f>
        <v>46112</v>
      </c>
      <c r="G28" s="80" t="s">
        <v>477</v>
      </c>
      <c r="H28" s="80" t="s">
        <v>161</v>
      </c>
      <c r="I28" s="80" t="s">
        <v>168</v>
      </c>
      <c r="J28" s="146"/>
      <c r="K28" s="146"/>
      <c r="L28" s="508"/>
      <c r="M28" s="80"/>
      <c r="N28">
        <f t="shared" si="4"/>
        <v>2026</v>
      </c>
      <c r="O28">
        <f t="shared" si="2"/>
        <v>1</v>
      </c>
      <c r="P28" t="str">
        <f t="shared" si="1"/>
        <v>105263 | 110000354</v>
      </c>
      <c r="Q28" t="str">
        <f>IF($P28="","",$P28&amp;" | "&amp;TEXT(COUNTIF(P$3:P28,$P28),"00"))</f>
        <v>105263 | 110000354 | 03</v>
      </c>
      <c r="R28" t="str">
        <f t="shared" si="3"/>
        <v>10526311000035446023Giá cố định Q1: $1,250 (đã bao gồm chi phí EPR - $75 ~ tức sau EPR là $1,175) - KD đề xuấtEXWQuý</v>
      </c>
    </row>
    <row r="29" spans="1:18" x14ac:dyDescent="0.3">
      <c r="A29" s="80" t="s">
        <v>63</v>
      </c>
      <c r="B29" s="80" t="s">
        <v>166</v>
      </c>
      <c r="C29" s="80" t="s">
        <v>15</v>
      </c>
      <c r="D29" s="80" t="s">
        <v>94</v>
      </c>
      <c r="E29" s="81">
        <v>46113</v>
      </c>
      <c r="F29" s="44">
        <f>IF($E29="","",IF(COUNTIF(P$3:P29,$P29)=COUNTIFS($P$3:$P$102,$P29),DATE(9999,12,31),INDEX($E$3:$E$102,MATCH($P29&amp;" | "&amp;TEXT(COUNTIF(P$3:P29,$P29)+1,"00"),$Q$3:$Q$102,0))-1))</f>
        <v>2958465</v>
      </c>
      <c r="G29" s="80" t="s">
        <v>483</v>
      </c>
      <c r="H29" s="80"/>
      <c r="I29" s="80"/>
      <c r="J29" s="146"/>
      <c r="K29" s="146"/>
      <c r="L29" s="508">
        <v>26340</v>
      </c>
      <c r="M29" s="80"/>
      <c r="N29">
        <f t="shared" si="4"/>
        <v>2026</v>
      </c>
      <c r="O29">
        <f t="shared" si="2"/>
        <v>4</v>
      </c>
      <c r="P29" t="str">
        <f t="shared" si="1"/>
        <v>105263 | 110000354</v>
      </c>
      <c r="Q29" t="str">
        <f>IF($P29="","",$P29&amp;" | "&amp;TEXT(COUNTIF(P$3:P29,$P29),"00"))</f>
        <v>105263 | 110000354 | 04</v>
      </c>
      <c r="R29" t="str">
        <f t="shared" si="3"/>
        <v>10526311000035446113Giá cố định Q2+Q3+Q4: $1,185 (đã bao gồm chi phí EPR - $75  ~ tức sau EPR là $1,109) - KD đề xuất</v>
      </c>
    </row>
    <row r="30" spans="1:18" x14ac:dyDescent="0.3">
      <c r="A30" s="80" t="s">
        <v>63</v>
      </c>
      <c r="B30" s="80" t="s">
        <v>166</v>
      </c>
      <c r="C30" s="80" t="s">
        <v>24</v>
      </c>
      <c r="D30" s="80" t="s">
        <v>128</v>
      </c>
      <c r="E30" s="81">
        <v>46023</v>
      </c>
      <c r="F30" s="44">
        <f>IF($E30="","",IF(COUNTIF(P$3:P30,$P30)=COUNTIFS($P$3:$P$102,$P30),DATE(9999,12,31),INDEX($E$3:$E$102,MATCH($P30&amp;" | "&amp;TEXT(COUNTIF(P$3:P30,$P30)+1,"00"),$Q$3:$Q$102,0))-1))</f>
        <v>46112</v>
      </c>
      <c r="G30" s="80" t="s">
        <v>478</v>
      </c>
      <c r="H30" s="80"/>
      <c r="I30" s="80"/>
      <c r="J30" s="146"/>
      <c r="K30" s="146"/>
      <c r="L30" s="508"/>
      <c r="M30" s="80"/>
      <c r="N30">
        <f t="shared" si="4"/>
        <v>2026</v>
      </c>
      <c r="O30">
        <f t="shared" si="2"/>
        <v>1</v>
      </c>
      <c r="P30" t="str">
        <f t="shared" si="1"/>
        <v>105263 | 110000339</v>
      </c>
      <c r="Q30" t="str">
        <f>IF($P30="","",$P30&amp;" | "&amp;TEXT(COUNTIF(P$3:P30,$P30),"00"))</f>
        <v>105263 | 110000339 | 03</v>
      </c>
      <c r="R30" t="str">
        <f t="shared" si="3"/>
        <v>10526311000033946023Giá cố định Q1: $1,330 (đã bao gồm chi phí EPR - $150 ~ tức sau EPR là $1,180) - KD đề xuất</v>
      </c>
    </row>
    <row r="31" spans="1:18" x14ac:dyDescent="0.3">
      <c r="A31" s="80" t="s">
        <v>63</v>
      </c>
      <c r="B31" s="80" t="s">
        <v>166</v>
      </c>
      <c r="C31" s="80" t="s">
        <v>24</v>
      </c>
      <c r="D31" s="80" t="s">
        <v>128</v>
      </c>
      <c r="E31" s="81">
        <v>46113</v>
      </c>
      <c r="F31" s="44">
        <f>IF($E31="","",IF(COUNTIF(P$3:P31,$P31)=COUNTIFS($P$3:$P$102,$P31),DATE(9999,12,31),INDEX($E$3:$E$102,MATCH($P31&amp;" | "&amp;TEXT(COUNTIF(P$3:P31,$P31)+1,"00"),$Q$3:$Q$102,0))-1))</f>
        <v>2958465</v>
      </c>
      <c r="G31" s="80" t="s">
        <v>482</v>
      </c>
      <c r="H31" s="80"/>
      <c r="I31" s="80"/>
      <c r="J31" s="146"/>
      <c r="K31" s="146"/>
      <c r="L31" s="508">
        <v>2000</v>
      </c>
      <c r="M31" s="80"/>
      <c r="N31">
        <f t="shared" si="4"/>
        <v>2026</v>
      </c>
      <c r="O31">
        <f t="shared" si="2"/>
        <v>4</v>
      </c>
      <c r="P31" t="str">
        <f t="shared" si="1"/>
        <v>105263 | 110000339</v>
      </c>
      <c r="Q31" t="str">
        <f>IF($P31="","",$P31&amp;" | "&amp;TEXT(COUNTIF(P$3:P31,$P31),"00"))</f>
        <v>105263 | 110000339 | 04</v>
      </c>
      <c r="R31" t="str">
        <f t="shared" si="3"/>
        <v>10526311000033946113Giá cố định Q2+Q3+Q4: $1,266 (đã bao gồm chi phí EPR - $66 ~ tức sau EPR là $1,200) - KD đề xuất</v>
      </c>
    </row>
    <row r="32" spans="1:18" x14ac:dyDescent="0.3">
      <c r="A32" s="80" t="s">
        <v>63</v>
      </c>
      <c r="B32" s="80" t="s">
        <v>166</v>
      </c>
      <c r="C32" s="80" t="s">
        <v>22</v>
      </c>
      <c r="D32" s="80" t="s">
        <v>127</v>
      </c>
      <c r="E32" s="81">
        <v>46023</v>
      </c>
      <c r="F32" s="44">
        <f>IF($E32="","",IF(COUNTIF(P$3:P32,$P32)=COUNTIFS($P$3:$P$102,$P32),DATE(9999,12,31),INDEX($E$3:$E$102,MATCH($P32&amp;" | "&amp;TEXT(COUNTIF(P$3:P32,$P32)+1,"00"),$Q$3:$Q$102,0))-1))</f>
        <v>46112</v>
      </c>
      <c r="G32" s="80" t="s">
        <v>340</v>
      </c>
      <c r="H32" s="80"/>
      <c r="I32" s="80"/>
      <c r="J32" s="146"/>
      <c r="K32" s="146"/>
      <c r="L32" s="508"/>
      <c r="M32" s="80"/>
      <c r="N32">
        <f t="shared" si="4"/>
        <v>2026</v>
      </c>
      <c r="O32">
        <f t="shared" si="2"/>
        <v>1</v>
      </c>
      <c r="P32" t="str">
        <f t="shared" si="1"/>
        <v>105263 | 110000481</v>
      </c>
      <c r="Q32" t="str">
        <f>IF($P32="","",$P32&amp;" | "&amp;TEXT(COUNTIF(P$3:P32,$P32),"00"))</f>
        <v>105263 | 110000481 | 02</v>
      </c>
      <c r="R32" t="str">
        <f t="shared" si="3"/>
        <v>10526311000048146023Bằng giá MBF01 (KD đề xuất)</v>
      </c>
    </row>
    <row r="33" spans="1:18" x14ac:dyDescent="0.3">
      <c r="A33" s="80" t="s">
        <v>63</v>
      </c>
      <c r="B33" s="80" t="s">
        <v>166</v>
      </c>
      <c r="C33" s="80" t="s">
        <v>22</v>
      </c>
      <c r="D33" s="80" t="s">
        <v>127</v>
      </c>
      <c r="E33" s="81">
        <v>46113</v>
      </c>
      <c r="F33" s="44">
        <f>IF($E33="","",IF(COUNTIF(P$3:P33,$P33)=COUNTIFS($P$3:$P$102,$P33),DATE(9999,12,31),INDEX($E$3:$E$102,MATCH($P33&amp;" | "&amp;TEXT(COUNTIF(P$3:P33,$P33)+1,"00"),$Q$3:$Q$102,0))-1))</f>
        <v>2958465</v>
      </c>
      <c r="G33" s="80" t="s">
        <v>340</v>
      </c>
      <c r="H33" s="80"/>
      <c r="I33" s="80"/>
      <c r="J33" s="146"/>
      <c r="K33" s="146"/>
      <c r="L33" s="508">
        <v>2000</v>
      </c>
      <c r="M33" s="80"/>
      <c r="N33">
        <f t="shared" si="4"/>
        <v>2026</v>
      </c>
      <c r="O33">
        <f t="shared" si="2"/>
        <v>4</v>
      </c>
      <c r="P33" t="str">
        <f t="shared" si="1"/>
        <v>105263 | 110000481</v>
      </c>
      <c r="Q33" t="str">
        <f>IF($P33="","",$P33&amp;" | "&amp;TEXT(COUNTIF(P$3:P33,$P33),"00"))</f>
        <v>105263 | 110000481 | 03</v>
      </c>
      <c r="R33" t="str">
        <f t="shared" si="3"/>
        <v>10526311000048146113Bằng giá MBF01 (KD đề xuất)</v>
      </c>
    </row>
    <row r="34" spans="1:18" x14ac:dyDescent="0.3">
      <c r="A34" s="80" t="s">
        <v>63</v>
      </c>
      <c r="B34" s="80" t="s">
        <v>166</v>
      </c>
      <c r="C34" s="80" t="s">
        <v>64</v>
      </c>
      <c r="D34" s="80" t="s">
        <v>129</v>
      </c>
      <c r="E34" s="81">
        <v>46023</v>
      </c>
      <c r="F34" s="44">
        <f>IF($E34="","",IF(COUNTIF(P$3:P34,$P34)=COUNTIFS($P$3:$P$102,$P34),DATE(9999,12,31),INDEX($E$3:$E$102,MATCH($P34&amp;" | "&amp;TEXT(COUNTIF(P$3:P34,$P34)+1,"00"),$Q$3:$Q$102,0))-1))</f>
        <v>46112</v>
      </c>
      <c r="G34" s="80" t="s">
        <v>252</v>
      </c>
      <c r="H34" s="80"/>
      <c r="I34" s="80"/>
      <c r="J34" s="146"/>
      <c r="K34" s="146"/>
      <c r="L34" s="508"/>
      <c r="M34" s="80"/>
      <c r="N34">
        <f t="shared" si="4"/>
        <v>2026</v>
      </c>
      <c r="O34">
        <f t="shared" si="2"/>
        <v>1</v>
      </c>
      <c r="P34" t="str">
        <f t="shared" si="1"/>
        <v>105263 | RHDPETHOI-MAU</v>
      </c>
      <c r="Q34" t="str">
        <f>IF($P34="","",$P34&amp;" | "&amp;TEXT(COUNTIF(P$3:P34,$P34),"00"))</f>
        <v>105263 | RHDPETHOI-MAU | 03</v>
      </c>
      <c r="R34" t="str">
        <f t="shared" si="3"/>
        <v>105263RHDPETHOI-MAU46023Giá PCF01 trừ $50</v>
      </c>
    </row>
    <row r="35" spans="1:18" x14ac:dyDescent="0.3">
      <c r="A35" s="80" t="s">
        <v>63</v>
      </c>
      <c r="B35" s="80" t="s">
        <v>166</v>
      </c>
      <c r="C35" s="80" t="s">
        <v>64</v>
      </c>
      <c r="D35" s="80" t="s">
        <v>129</v>
      </c>
      <c r="E35" s="81">
        <v>46113</v>
      </c>
      <c r="F35" s="44">
        <f>IF($E35="","",IF(COUNTIF(P$3:P35,$P35)=COUNTIFS($P$3:$P$102,$P35),DATE(9999,12,31),INDEX($E$3:$E$102,MATCH($P35&amp;" | "&amp;TEXT(COUNTIF(P$3:P35,$P35)+1,"00"),$Q$3:$Q$102,0))-1))</f>
        <v>2958465</v>
      </c>
      <c r="G35" s="80" t="s">
        <v>252</v>
      </c>
      <c r="H35" s="80"/>
      <c r="I35" s="80"/>
      <c r="J35" s="146"/>
      <c r="K35" s="146"/>
      <c r="L35" s="508"/>
      <c r="M35" s="80"/>
      <c r="N35">
        <f t="shared" si="4"/>
        <v>2026</v>
      </c>
      <c r="O35">
        <f t="shared" si="2"/>
        <v>4</v>
      </c>
      <c r="P35" t="str">
        <f t="shared" ref="P35:P66" si="6">IF(OR($A35="",$C35=""),"",$A35&amp;" | "&amp;$C35)</f>
        <v>105263 | RHDPETHOI-MAU</v>
      </c>
      <c r="Q35" t="str">
        <f>IF($P35="","",$P35&amp;" | "&amp;TEXT(COUNTIF(P$3:P35,$P35),"00"))</f>
        <v>105263 | RHDPETHOI-MAU | 04</v>
      </c>
      <c r="R35" t="str">
        <f t="shared" si="3"/>
        <v>105263RHDPETHOI-MAU46113Giá PCF01 trừ $50</v>
      </c>
    </row>
    <row r="36" spans="1:18" x14ac:dyDescent="0.3">
      <c r="A36" s="433" t="s">
        <v>479</v>
      </c>
      <c r="B36" s="80" t="s">
        <v>480</v>
      </c>
      <c r="C36" s="80" t="s">
        <v>28</v>
      </c>
      <c r="D36" s="80" t="s">
        <v>88</v>
      </c>
      <c r="E36" s="81">
        <v>46023</v>
      </c>
      <c r="F36" s="44">
        <f>IF($E36="","",IF(COUNTIF(P$3:P36,$P36)=COUNTIFS($P$3:$P$102,$P36),DATE(9999,12,31),INDEX($E$3:$E$102,MATCH($P36&amp;" | "&amp;TEXT(COUNTIF(P$3:P36,$P36)+1,"00"),$Q$3:$Q$102,0))-1))</f>
        <v>2958465</v>
      </c>
      <c r="G36" s="80" t="s">
        <v>481</v>
      </c>
      <c r="H36" s="80"/>
      <c r="I36" s="80"/>
      <c r="J36" s="146"/>
      <c r="K36" s="146"/>
      <c r="L36" s="508">
        <v>650</v>
      </c>
      <c r="M36" s="80"/>
      <c r="N36">
        <f t="shared" si="4"/>
        <v>2026</v>
      </c>
      <c r="O36">
        <f t="shared" si="2"/>
        <v>1</v>
      </c>
      <c r="P36" t="str">
        <f t="shared" si="6"/>
        <v>105328 | 110000332</v>
      </c>
      <c r="Q36" t="str">
        <f>IF($P36="","",$P36&amp;" | "&amp;TEXT(COUNTIF(P$3:P36,$P36),"00"))</f>
        <v>105328 | 110000332 | 01</v>
      </c>
      <c r="R36" t="str">
        <f t="shared" si="3"/>
        <v>10532811000033246023Giá cố định: $1250</v>
      </c>
    </row>
    <row r="37" spans="1:18" x14ac:dyDescent="0.3">
      <c r="A37" s="80" t="s">
        <v>39</v>
      </c>
      <c r="B37" s="80" t="s">
        <v>163</v>
      </c>
      <c r="C37" s="80" t="s">
        <v>28</v>
      </c>
      <c r="D37" s="80" t="s">
        <v>88</v>
      </c>
      <c r="E37" s="81">
        <v>46023</v>
      </c>
      <c r="F37" s="44">
        <f>IF($E37="","",IF(COUNTIF(P$3:P37,$P37)=COUNTIFS($P$3:$P$102,$P37),DATE(9999,12,31),INDEX($E$3:$E$102,MATCH($P37&amp;" | "&amp;TEXT(COUNTIF(P$3:P37,$P37)+1,"00"),$Q$3:$Q$102,0))-1))</f>
        <v>2958465</v>
      </c>
      <c r="G37" s="80" t="s">
        <v>487</v>
      </c>
      <c r="H37" s="80"/>
      <c r="I37" s="80"/>
      <c r="J37" s="146"/>
      <c r="K37" s="146"/>
      <c r="L37" s="508">
        <v>5071</v>
      </c>
      <c r="M37" s="80"/>
      <c r="N37">
        <f t="shared" si="4"/>
        <v>2026</v>
      </c>
      <c r="O37">
        <f t="shared" si="2"/>
        <v>1</v>
      </c>
      <c r="P37" t="str">
        <f t="shared" si="6"/>
        <v>105194 | 110000332</v>
      </c>
      <c r="Q37" t="str">
        <f>IF($P37="","",$P37&amp;" | "&amp;TEXT(COUNTIF(P$3:P37,$P37),"00"))</f>
        <v>105194 | 110000332 | 03</v>
      </c>
      <c r="R37" t="str">
        <f t="shared" si="3"/>
        <v>10519411000033246023Giá cố định: $1,200 (đã bao gồm EPR) - REBATE + Cp vận chuyển</v>
      </c>
    </row>
    <row r="38" spans="1:18" x14ac:dyDescent="0.3">
      <c r="A38" s="80" t="s">
        <v>39</v>
      </c>
      <c r="B38" s="80" t="s">
        <v>163</v>
      </c>
      <c r="C38" s="80" t="s">
        <v>30</v>
      </c>
      <c r="D38" s="80" t="s">
        <v>91</v>
      </c>
      <c r="E38" s="81">
        <v>46023</v>
      </c>
      <c r="F38" s="44">
        <f>IF($E38="","",IF(COUNTIF(P$3:P38,$P38)=COUNTIFS($P$3:$P$102,$P38),DATE(9999,12,31),INDEX($E$3:$E$102,MATCH($P38&amp;" | "&amp;TEXT(COUNTIF(P$3:P38,$P38)+1,"00"),$Q$3:$Q$102,0))-1))</f>
        <v>2958465</v>
      </c>
      <c r="G38" s="80" t="s">
        <v>487</v>
      </c>
      <c r="H38" s="80"/>
      <c r="I38" s="80"/>
      <c r="J38" s="146"/>
      <c r="K38" s="146"/>
      <c r="L38" s="508">
        <v>157</v>
      </c>
      <c r="M38" s="80"/>
      <c r="N38">
        <f t="shared" si="4"/>
        <v>2026</v>
      </c>
      <c r="O38">
        <f t="shared" si="2"/>
        <v>1</v>
      </c>
      <c r="P38" t="str">
        <f t="shared" si="6"/>
        <v>105194 | 110000355</v>
      </c>
      <c r="Q38" t="str">
        <f>IF($P38="","",$P38&amp;" | "&amp;TEXT(COUNTIF(P$3:P38,$P38),"00"))</f>
        <v>105194 | 110000355 | 03</v>
      </c>
      <c r="R38" t="str">
        <f t="shared" si="3"/>
        <v>10519411000035546023Giá cố định: $1,200 (đã bao gồm EPR) - REBATE + Cp vận chuyển</v>
      </c>
    </row>
    <row r="39" spans="1:18" x14ac:dyDescent="0.3">
      <c r="A39" s="80" t="s">
        <v>61</v>
      </c>
      <c r="B39" s="80" t="s">
        <v>159</v>
      </c>
      <c r="C39" s="80" t="s">
        <v>34</v>
      </c>
      <c r="D39" s="80" t="s">
        <v>97</v>
      </c>
      <c r="E39" s="81">
        <v>46023</v>
      </c>
      <c r="F39" s="44">
        <f>IF($E39="","",IF(COUNTIF(P$3:P39,$P39)=COUNTIFS($P$3:$P$102,$P39),DATE(9999,12,31),INDEX($E$3:$E$102,MATCH($P39&amp;" | "&amp;TEXT(COUNTIF(P$3:P39,$P39)+1,"00"),$Q$3:$Q$102,0))-1))</f>
        <v>2958465</v>
      </c>
      <c r="G39" s="80" t="s">
        <v>488</v>
      </c>
      <c r="H39" s="80"/>
      <c r="I39" s="80"/>
      <c r="J39" s="146"/>
      <c r="K39" s="146"/>
      <c r="L39" s="508">
        <v>374</v>
      </c>
      <c r="M39" s="80"/>
      <c r="N39">
        <f t="shared" si="4"/>
        <v>2026</v>
      </c>
      <c r="O39">
        <f t="shared" si="2"/>
        <v>1</v>
      </c>
      <c r="P39" t="str">
        <f t="shared" si="6"/>
        <v>104909 | 110000329</v>
      </c>
      <c r="Q39" t="str">
        <f>IF($P39="","",$P39&amp;" | "&amp;TEXT(COUNTIF(P$3:P39,$P39),"00"))</f>
        <v>104909 | 110000329 | 04</v>
      </c>
      <c r="R39" t="str">
        <f t="shared" si="3"/>
        <v>10490911000032946023Giá cố định: $1290</v>
      </c>
    </row>
    <row r="40" spans="1:18" x14ac:dyDescent="0.3">
      <c r="A40" s="80" t="s">
        <v>51</v>
      </c>
      <c r="B40" s="80" t="s">
        <v>153</v>
      </c>
      <c r="C40" s="80" t="s">
        <v>15</v>
      </c>
      <c r="D40" s="80" t="s">
        <v>94</v>
      </c>
      <c r="E40" s="81">
        <v>46113</v>
      </c>
      <c r="F40" s="44">
        <f>IF($E40="","",IF(COUNTIF(P$3:P40,$P40)=COUNTIFS($P$3:$P$102,$P40),DATE(9999,12,31),INDEX($E$3:$E$102,MATCH($P40&amp;" | "&amp;TEXT(COUNTIF(P$3:P40,$P40)+1,"00"),$Q$3:$Q$102,0))-1))</f>
        <v>2958465</v>
      </c>
      <c r="G40" s="80" t="s">
        <v>498</v>
      </c>
      <c r="H40" s="80" t="s">
        <v>155</v>
      </c>
      <c r="I40" s="80" t="s">
        <v>156</v>
      </c>
      <c r="J40" s="146">
        <v>1221</v>
      </c>
      <c r="K40" s="146">
        <v>1155</v>
      </c>
      <c r="L40" s="146"/>
      <c r="M40" s="80"/>
      <c r="N40">
        <f t="shared" si="4"/>
        <v>2026</v>
      </c>
      <c r="O40">
        <f t="shared" si="2"/>
        <v>4</v>
      </c>
      <c r="P40" t="str">
        <f t="shared" si="6"/>
        <v>200319 | 110000354</v>
      </c>
      <c r="Q40" t="str">
        <f>IF($P40="","",$P40&amp;" | "&amp;TEXT(COUNTIF(P$3:P40,$P40),"00"))</f>
        <v>200319 | 110000354 | 04</v>
      </c>
      <c r="R40" t="str">
        <f t="shared" si="3"/>
        <v>20031911000035446113Giá Base ban đầu: $1,167.38. Tháng tiếp theo = Giá Base tháng trước + Chênh lệch giá ICIS rPET ĐNA 2 tháng trước đó.FOBTháng12211155</v>
      </c>
    </row>
    <row r="41" spans="1:18" x14ac:dyDescent="0.3">
      <c r="A41" s="80"/>
      <c r="B41" s="80"/>
      <c r="C41" s="80"/>
      <c r="D41" s="80"/>
      <c r="E41" s="81"/>
      <c r="F41" s="44" t="str">
        <f>IF($E41="","",IF(COUNTIF(P$3:P41,$P41)=COUNTIFS($P$3:$P$102,$P41),DATE(9999,12,31),INDEX($E$3:$E$102,MATCH($P41&amp;" | "&amp;TEXT(COUNTIF(P$3:P41,$P41)+1,"00"),$Q$3:$Q$102,0))-1))</f>
        <v/>
      </c>
      <c r="G41" s="80"/>
      <c r="H41" s="80"/>
      <c r="I41" s="80"/>
      <c r="J41" s="146"/>
      <c r="K41" s="146"/>
      <c r="L41" s="508"/>
      <c r="M41" s="80"/>
      <c r="N41" t="str">
        <f t="shared" si="4"/>
        <v/>
      </c>
      <c r="O41" t="str">
        <f t="shared" si="2"/>
        <v/>
      </c>
      <c r="P41" t="str">
        <f t="shared" si="6"/>
        <v/>
      </c>
      <c r="Q41" t="str">
        <f>IF($P41="","",$P41&amp;" | "&amp;TEXT(COUNTIF(P$3:P41,$P41),"00"))</f>
        <v/>
      </c>
      <c r="R41" t="str">
        <f t="shared" si="3"/>
        <v/>
      </c>
    </row>
    <row r="42" spans="1:18" x14ac:dyDescent="0.3">
      <c r="A42" s="80"/>
      <c r="B42" s="80"/>
      <c r="C42" s="80"/>
      <c r="D42" s="80"/>
      <c r="E42" s="80"/>
      <c r="F42" s="44" t="str">
        <f>IF($E42="","",IF(COUNTIF(P$3:P42,$P42)=COUNTIFS($P$3:$P$102,$P42),DATE(9999,12,31),INDEX($E$3:$E$102,MATCH($P42&amp;" | "&amp;TEXT(COUNTIF(P$3:P42,$P42)+1,"00"),$Q$3:$Q$102,0))-1))</f>
        <v/>
      </c>
      <c r="G42" s="80"/>
      <c r="H42" s="80"/>
      <c r="I42" s="80"/>
      <c r="J42" s="146"/>
      <c r="K42" s="146"/>
      <c r="L42" s="508"/>
      <c r="M42" s="80"/>
      <c r="N42" t="str">
        <f t="shared" si="4"/>
        <v/>
      </c>
      <c r="O42" t="str">
        <f t="shared" si="2"/>
        <v/>
      </c>
      <c r="P42" t="str">
        <f t="shared" si="6"/>
        <v/>
      </c>
      <c r="Q42" t="str">
        <f>IF($P42="","",$P42&amp;" | "&amp;TEXT(COUNTIF(P$3:P42,$P42),"00"))</f>
        <v/>
      </c>
      <c r="R42" t="str">
        <f t="shared" si="3"/>
        <v/>
      </c>
    </row>
    <row r="43" spans="1:18" x14ac:dyDescent="0.3">
      <c r="A43" s="80"/>
      <c r="B43" s="80"/>
      <c r="C43" s="80"/>
      <c r="D43" s="80"/>
      <c r="E43" s="80"/>
      <c r="F43" s="44" t="str">
        <f>IF($E43="","",IF(COUNTIF(P$3:P43,$P43)=COUNTIFS($P$3:$P$102,$P43),DATE(9999,12,31),INDEX($E$3:$E$102,MATCH($P43&amp;" | "&amp;TEXT(COUNTIF(P$3:P43,$P43)+1,"00"),$Q$3:$Q$102,0))-1))</f>
        <v/>
      </c>
      <c r="G43" s="80"/>
      <c r="H43" s="80"/>
      <c r="I43" s="80"/>
      <c r="J43" s="146"/>
      <c r="K43" s="146"/>
      <c r="L43" s="508"/>
      <c r="M43" s="80"/>
      <c r="N43" t="str">
        <f t="shared" si="4"/>
        <v/>
      </c>
      <c r="O43" t="str">
        <f t="shared" si="2"/>
        <v/>
      </c>
      <c r="P43" t="str">
        <f t="shared" si="6"/>
        <v/>
      </c>
      <c r="Q43" t="str">
        <f>IF($P43="","",$P43&amp;" | "&amp;TEXT(COUNTIF(P$3:P43,$P43),"00"))</f>
        <v/>
      </c>
      <c r="R43" t="str">
        <f t="shared" si="3"/>
        <v/>
      </c>
    </row>
    <row r="44" spans="1:18" x14ac:dyDescent="0.3">
      <c r="A44" s="80"/>
      <c r="B44" s="80"/>
      <c r="C44" s="80"/>
      <c r="D44" s="80"/>
      <c r="E44" s="80"/>
      <c r="F44" s="44" t="str">
        <f>IF($E44="","",IF(COUNTIF(P$3:P44,$P44)=COUNTIFS($P$3:$P$102,$P44),DATE(9999,12,31),INDEX($E$3:$E$102,MATCH($P44&amp;" | "&amp;TEXT(COUNTIF(P$3:P44,$P44)+1,"00"),$Q$3:$Q$102,0))-1))</f>
        <v/>
      </c>
      <c r="G44" s="80"/>
      <c r="H44" s="80"/>
      <c r="I44" s="80"/>
      <c r="J44" s="146"/>
      <c r="K44" s="146"/>
      <c r="L44" s="508"/>
      <c r="M44" s="80"/>
      <c r="N44" t="str">
        <f t="shared" si="4"/>
        <v/>
      </c>
      <c r="O44" t="str">
        <f t="shared" si="2"/>
        <v/>
      </c>
      <c r="P44" t="str">
        <f t="shared" si="6"/>
        <v/>
      </c>
      <c r="Q44" t="str">
        <f>IF($P44="","",$P44&amp;" | "&amp;TEXT(COUNTIF(P$3:P44,$P44),"00"))</f>
        <v/>
      </c>
      <c r="R44" t="str">
        <f t="shared" si="3"/>
        <v/>
      </c>
    </row>
    <row r="45" spans="1:18" x14ac:dyDescent="0.3">
      <c r="A45" s="80"/>
      <c r="B45" s="80"/>
      <c r="C45" s="80"/>
      <c r="D45" s="80"/>
      <c r="E45" s="80"/>
      <c r="F45" s="44" t="str">
        <f>IF($E45="","",IF(COUNTIF(P$3:P45,$P45)=COUNTIFS($P$3:$P$102,$P45),DATE(9999,12,31),INDEX($E$3:$E$102,MATCH($P45&amp;" | "&amp;TEXT(COUNTIF(P$3:P45,$P45)+1,"00"),$Q$3:$Q$102,0))-1))</f>
        <v/>
      </c>
      <c r="G45" s="80"/>
      <c r="H45" s="80"/>
      <c r="I45" s="80"/>
      <c r="J45" s="146"/>
      <c r="K45" s="146"/>
      <c r="L45" s="508"/>
      <c r="M45" s="80"/>
      <c r="N45" t="str">
        <f t="shared" si="4"/>
        <v/>
      </c>
      <c r="O45" t="str">
        <f t="shared" si="2"/>
        <v/>
      </c>
      <c r="P45" t="str">
        <f t="shared" si="6"/>
        <v/>
      </c>
      <c r="Q45" t="str">
        <f>IF($P45="","",$P45&amp;" | "&amp;TEXT(COUNTIF(P$3:P45,$P45),"00"))</f>
        <v/>
      </c>
      <c r="R45" t="str">
        <f t="shared" si="3"/>
        <v/>
      </c>
    </row>
    <row r="46" spans="1:18" x14ac:dyDescent="0.3">
      <c r="A46" s="80"/>
      <c r="B46" s="80"/>
      <c r="C46" s="80"/>
      <c r="D46" s="80"/>
      <c r="E46" s="80"/>
      <c r="F46" s="44" t="str">
        <f>IF($E46="","",IF(COUNTIF(P$3:P46,$P46)=COUNTIFS($P$3:$P$102,$P46),DATE(9999,12,31),INDEX($E$3:$E$102,MATCH($P46&amp;" | "&amp;TEXT(COUNTIF(P$3:P46,$P46)+1,"00"),$Q$3:$Q$102,0))-1))</f>
        <v/>
      </c>
      <c r="G46" s="80"/>
      <c r="H46" s="80"/>
      <c r="I46" s="80"/>
      <c r="J46" s="146"/>
      <c r="K46" s="146"/>
      <c r="L46" s="508"/>
      <c r="M46" s="80"/>
      <c r="N46" t="str">
        <f t="shared" si="4"/>
        <v/>
      </c>
      <c r="O46" t="str">
        <f t="shared" si="2"/>
        <v/>
      </c>
      <c r="P46" t="str">
        <f t="shared" si="6"/>
        <v/>
      </c>
      <c r="Q46" t="str">
        <f>IF($P46="","",$P46&amp;" | "&amp;TEXT(COUNTIF(P$3:P46,$P46),"00"))</f>
        <v/>
      </c>
      <c r="R46" t="str">
        <f t="shared" si="3"/>
        <v/>
      </c>
    </row>
    <row r="47" spans="1:18" x14ac:dyDescent="0.3">
      <c r="A47" s="80"/>
      <c r="B47" s="80"/>
      <c r="C47" s="80"/>
      <c r="D47" s="80"/>
      <c r="E47" s="80"/>
      <c r="F47" s="44" t="str">
        <f>IF($E47="","",IF(COUNTIF(P$3:P47,$P47)=COUNTIFS($P$3:$P$102,$P47),DATE(9999,12,31),INDEX($E$3:$E$102,MATCH($P47&amp;" | "&amp;TEXT(COUNTIF(P$3:P47,$P47)+1,"00"),$Q$3:$Q$102,0))-1))</f>
        <v/>
      </c>
      <c r="G47" s="80"/>
      <c r="H47" s="80"/>
      <c r="I47" s="80"/>
      <c r="J47" s="146"/>
      <c r="K47" s="146"/>
      <c r="L47" s="508"/>
      <c r="M47" s="80"/>
      <c r="N47" t="str">
        <f t="shared" si="4"/>
        <v/>
      </c>
      <c r="O47" t="str">
        <f t="shared" si="2"/>
        <v/>
      </c>
      <c r="P47" t="str">
        <f t="shared" si="6"/>
        <v/>
      </c>
      <c r="Q47" t="str">
        <f>IF($P47="","",$P47&amp;" | "&amp;TEXT(COUNTIF(P$3:P47,$P47),"00"))</f>
        <v/>
      </c>
      <c r="R47" t="str">
        <f t="shared" si="3"/>
        <v/>
      </c>
    </row>
    <row r="48" spans="1:18" x14ac:dyDescent="0.3">
      <c r="A48" s="80"/>
      <c r="B48" s="80"/>
      <c r="C48" s="80"/>
      <c r="D48" s="80"/>
      <c r="E48" s="80"/>
      <c r="F48" s="44" t="str">
        <f>IF($E48="","",IF(COUNTIF(P$3:P48,$P48)=COUNTIFS($P$3:$P$102,$P48),DATE(9999,12,31),INDEX($E$3:$E$102,MATCH($P48&amp;" | "&amp;TEXT(COUNTIF(P$3:P48,$P48)+1,"00"),$Q$3:$Q$102,0))-1))</f>
        <v/>
      </c>
      <c r="G48" s="80"/>
      <c r="H48" s="80"/>
      <c r="I48" s="80"/>
      <c r="J48" s="146"/>
      <c r="K48" s="146"/>
      <c r="L48" s="508"/>
      <c r="M48" s="80"/>
      <c r="N48" t="str">
        <f t="shared" si="4"/>
        <v/>
      </c>
      <c r="O48" t="str">
        <f t="shared" si="2"/>
        <v/>
      </c>
      <c r="P48" t="str">
        <f t="shared" si="6"/>
        <v/>
      </c>
      <c r="Q48" t="str">
        <f>IF($P48="","",$P48&amp;" | "&amp;TEXT(COUNTIF(P$3:P48,$P48),"00"))</f>
        <v/>
      </c>
      <c r="R48" t="str">
        <f t="shared" si="3"/>
        <v/>
      </c>
    </row>
    <row r="49" spans="1:18" x14ac:dyDescent="0.3">
      <c r="A49" s="80"/>
      <c r="B49" s="80"/>
      <c r="C49" s="80"/>
      <c r="D49" s="80"/>
      <c r="E49" s="80"/>
      <c r="F49" s="44" t="str">
        <f>IF($E49="","",IF(COUNTIF(P$3:P49,$P49)=COUNTIFS($P$3:$P$102,$P49),DATE(9999,12,31),INDEX($E$3:$E$102,MATCH($P49&amp;" | "&amp;TEXT(COUNTIF(P$3:P49,$P49)+1,"00"),$Q$3:$Q$102,0))-1))</f>
        <v/>
      </c>
      <c r="G49" s="80"/>
      <c r="H49" s="80"/>
      <c r="I49" s="80"/>
      <c r="J49" s="146"/>
      <c r="K49" s="146"/>
      <c r="L49" s="508"/>
      <c r="M49" s="80"/>
      <c r="N49" t="str">
        <f t="shared" si="4"/>
        <v/>
      </c>
      <c r="O49" t="str">
        <f t="shared" si="2"/>
        <v/>
      </c>
      <c r="P49" t="str">
        <f t="shared" si="6"/>
        <v/>
      </c>
      <c r="Q49" t="str">
        <f>IF($P49="","",$P49&amp;" | "&amp;TEXT(COUNTIF(P$3:P49,$P49),"00"))</f>
        <v/>
      </c>
      <c r="R49" t="str">
        <f t="shared" si="3"/>
        <v/>
      </c>
    </row>
    <row r="50" spans="1:18" x14ac:dyDescent="0.3">
      <c r="A50" s="80"/>
      <c r="B50" s="80"/>
      <c r="C50" s="80"/>
      <c r="D50" s="80"/>
      <c r="E50" s="80"/>
      <c r="F50" s="44" t="str">
        <f>IF($E50="","",IF(COUNTIF(P$3:P50,$P50)=COUNTIFS($P$3:$P$102,$P50),DATE(9999,12,31),INDEX($E$3:$E$102,MATCH($P50&amp;" | "&amp;TEXT(COUNTIF(P$3:P50,$P50)+1,"00"),$Q$3:$Q$102,0))-1))</f>
        <v/>
      </c>
      <c r="G50" s="80"/>
      <c r="H50" s="80"/>
      <c r="I50" s="80"/>
      <c r="J50" s="146"/>
      <c r="K50" s="146"/>
      <c r="L50" s="508"/>
      <c r="M50" s="80"/>
      <c r="N50" t="str">
        <f t="shared" si="4"/>
        <v/>
      </c>
      <c r="O50" t="str">
        <f t="shared" si="2"/>
        <v/>
      </c>
      <c r="P50" t="str">
        <f t="shared" si="6"/>
        <v/>
      </c>
      <c r="Q50" t="str">
        <f>IF($P50="","",$P50&amp;" | "&amp;TEXT(COUNTIF(P$3:P50,$P50),"00"))</f>
        <v/>
      </c>
      <c r="R50" t="str">
        <f t="shared" si="3"/>
        <v/>
      </c>
    </row>
    <row r="51" spans="1:18" x14ac:dyDescent="0.3">
      <c r="A51" s="80"/>
      <c r="B51" s="80"/>
      <c r="C51" s="80"/>
      <c r="D51" s="80"/>
      <c r="E51" s="80"/>
      <c r="F51" s="44" t="str">
        <f>IF($E51="","",IF(COUNTIF(P$3:P51,$P51)=COUNTIFS($P$3:$P$102,$P51),DATE(9999,12,31),INDEX($E$3:$E$102,MATCH($P51&amp;" | "&amp;TEXT(COUNTIF(P$3:P51,$P51)+1,"00"),$Q$3:$Q$102,0))-1))</f>
        <v/>
      </c>
      <c r="G51" s="80"/>
      <c r="H51" s="80"/>
      <c r="I51" s="80"/>
      <c r="J51" s="146"/>
      <c r="K51" s="146"/>
      <c r="L51" s="508"/>
      <c r="M51" s="80"/>
      <c r="N51" t="str">
        <f t="shared" si="4"/>
        <v/>
      </c>
      <c r="O51" t="str">
        <f t="shared" si="2"/>
        <v/>
      </c>
      <c r="P51" t="str">
        <f t="shared" si="6"/>
        <v/>
      </c>
      <c r="Q51" t="str">
        <f>IF($P51="","",$P51&amp;" | "&amp;TEXT(COUNTIF(P$3:P51,$P51),"00"))</f>
        <v/>
      </c>
      <c r="R51" t="str">
        <f t="shared" si="3"/>
        <v/>
      </c>
    </row>
    <row r="52" spans="1:18" x14ac:dyDescent="0.3">
      <c r="A52" s="80"/>
      <c r="B52" s="80"/>
      <c r="C52" s="80"/>
      <c r="D52" s="80"/>
      <c r="E52" s="80"/>
      <c r="F52" s="44" t="str">
        <f>IF($E52="","",IF(COUNTIF(P$3:P52,$P52)=COUNTIFS($P$3:$P$102,$P52),DATE(9999,12,31),INDEX($E$3:$E$102,MATCH($P52&amp;" | "&amp;TEXT(COUNTIF(P$3:P52,$P52)+1,"00"),$Q$3:$Q$102,0))-1))</f>
        <v/>
      </c>
      <c r="G52" s="80"/>
      <c r="H52" s="80"/>
      <c r="I52" s="80"/>
      <c r="J52" s="146"/>
      <c r="K52" s="146"/>
      <c r="L52" s="508"/>
      <c r="M52" s="80"/>
      <c r="N52" t="str">
        <f t="shared" si="4"/>
        <v/>
      </c>
      <c r="O52" t="str">
        <f t="shared" si="2"/>
        <v/>
      </c>
      <c r="P52" t="str">
        <f t="shared" si="6"/>
        <v/>
      </c>
      <c r="Q52" t="str">
        <f>IF($P52="","",$P52&amp;" | "&amp;TEXT(COUNTIF(P$3:P52,$P52),"00"))</f>
        <v/>
      </c>
      <c r="R52" t="str">
        <f t="shared" si="3"/>
        <v/>
      </c>
    </row>
    <row r="53" spans="1:18" x14ac:dyDescent="0.3">
      <c r="A53" s="80"/>
      <c r="B53" s="80"/>
      <c r="C53" s="80"/>
      <c r="D53" s="80"/>
      <c r="E53" s="80"/>
      <c r="F53" s="44" t="str">
        <f>IF($E53="","",IF(COUNTIF(P$3:P53,$P53)=COUNTIFS($P$3:$P$102,$P53),DATE(9999,12,31),INDEX($E$3:$E$102,MATCH($P53&amp;" | "&amp;TEXT(COUNTIF(P$3:P53,$P53)+1,"00"),$Q$3:$Q$102,0))-1))</f>
        <v/>
      </c>
      <c r="G53" s="80"/>
      <c r="H53" s="80"/>
      <c r="I53" s="80"/>
      <c r="J53" s="146"/>
      <c r="K53" s="146"/>
      <c r="L53" s="508"/>
      <c r="M53" s="80"/>
      <c r="N53" t="str">
        <f t="shared" si="4"/>
        <v/>
      </c>
      <c r="O53" t="str">
        <f t="shared" si="2"/>
        <v/>
      </c>
      <c r="P53" t="str">
        <f t="shared" si="6"/>
        <v/>
      </c>
      <c r="Q53" t="str">
        <f>IF($P53="","",$P53&amp;" | "&amp;TEXT(COUNTIF(P$3:P53,$P53),"00"))</f>
        <v/>
      </c>
      <c r="R53" t="str">
        <f t="shared" si="3"/>
        <v/>
      </c>
    </row>
    <row r="54" spans="1:18" x14ac:dyDescent="0.3">
      <c r="A54" s="80"/>
      <c r="B54" s="80"/>
      <c r="C54" s="80"/>
      <c r="D54" s="80"/>
      <c r="E54" s="80"/>
      <c r="F54" s="44" t="str">
        <f>IF($E54="","",IF(COUNTIF(P$3:P54,$P54)=COUNTIFS($P$3:$P$102,$P54),DATE(9999,12,31),INDEX($E$3:$E$102,MATCH($P54&amp;" | "&amp;TEXT(COUNTIF(P$3:P54,$P54)+1,"00"),$Q$3:$Q$102,0))-1))</f>
        <v/>
      </c>
      <c r="G54" s="80"/>
      <c r="H54" s="80"/>
      <c r="I54" s="80"/>
      <c r="J54" s="146"/>
      <c r="K54" s="146"/>
      <c r="L54" s="508"/>
      <c r="M54" s="80"/>
      <c r="N54" t="str">
        <f t="shared" si="4"/>
        <v/>
      </c>
      <c r="O54" t="str">
        <f t="shared" si="2"/>
        <v/>
      </c>
      <c r="P54" t="str">
        <f t="shared" si="6"/>
        <v/>
      </c>
      <c r="Q54" t="str">
        <f>IF($P54="","",$P54&amp;" | "&amp;TEXT(COUNTIF(P$3:P54,$P54),"00"))</f>
        <v/>
      </c>
      <c r="R54" t="str">
        <f t="shared" si="3"/>
        <v/>
      </c>
    </row>
    <row r="55" spans="1:18" x14ac:dyDescent="0.3">
      <c r="A55" s="80"/>
      <c r="B55" s="80"/>
      <c r="C55" s="80"/>
      <c r="D55" s="80"/>
      <c r="E55" s="80"/>
      <c r="F55" s="44" t="str">
        <f>IF($E55="","",IF(COUNTIF(P$3:P55,$P55)=COUNTIFS($P$3:$P$102,$P55),DATE(9999,12,31),INDEX($E$3:$E$102,MATCH($P55&amp;" | "&amp;TEXT(COUNTIF(P$3:P55,$P55)+1,"00"),$Q$3:$Q$102,0))-1))</f>
        <v/>
      </c>
      <c r="G55" s="80"/>
      <c r="H55" s="80"/>
      <c r="I55" s="80"/>
      <c r="J55" s="146"/>
      <c r="K55" s="146"/>
      <c r="L55" s="508"/>
      <c r="M55" s="80"/>
      <c r="N55" t="str">
        <f t="shared" si="4"/>
        <v/>
      </c>
      <c r="O55" t="str">
        <f t="shared" si="2"/>
        <v/>
      </c>
      <c r="P55" t="str">
        <f t="shared" si="6"/>
        <v/>
      </c>
      <c r="Q55" t="str">
        <f>IF($P55="","",$P55&amp;" | "&amp;TEXT(COUNTIF(P$3:P55,$P55),"00"))</f>
        <v/>
      </c>
      <c r="R55" t="str">
        <f t="shared" si="3"/>
        <v/>
      </c>
    </row>
    <row r="56" spans="1:18" x14ac:dyDescent="0.3">
      <c r="A56" s="80"/>
      <c r="B56" s="80"/>
      <c r="C56" s="80"/>
      <c r="D56" s="80"/>
      <c r="E56" s="80"/>
      <c r="F56" s="44" t="str">
        <f>IF($E56="","",IF(COUNTIF(P$3:P56,$P56)=COUNTIFS($P$3:$P$102,$P56),DATE(9999,12,31),INDEX($E$3:$E$102,MATCH($P56&amp;" | "&amp;TEXT(COUNTIF(P$3:P56,$P56)+1,"00"),$Q$3:$Q$102,0))-1))</f>
        <v/>
      </c>
      <c r="G56" s="80"/>
      <c r="H56" s="80"/>
      <c r="I56" s="80"/>
      <c r="J56" s="146"/>
      <c r="K56" s="146"/>
      <c r="L56" s="508"/>
      <c r="M56" s="80"/>
      <c r="N56" t="str">
        <f t="shared" si="4"/>
        <v/>
      </c>
      <c r="O56" t="str">
        <f t="shared" si="2"/>
        <v/>
      </c>
      <c r="P56" t="str">
        <f t="shared" si="6"/>
        <v/>
      </c>
      <c r="Q56" t="str">
        <f>IF($P56="","",$P56&amp;" | "&amp;TEXT(COUNTIF(P$3:P56,$P56),"00"))</f>
        <v/>
      </c>
      <c r="R56" t="str">
        <f t="shared" si="3"/>
        <v/>
      </c>
    </row>
    <row r="57" spans="1:18" x14ac:dyDescent="0.3">
      <c r="A57" s="80"/>
      <c r="B57" s="80"/>
      <c r="C57" s="80"/>
      <c r="D57" s="80"/>
      <c r="E57" s="80"/>
      <c r="F57" s="44" t="str">
        <f>IF($E57="","",IF(COUNTIF(P$3:P57,$P57)=COUNTIFS($P$3:$P$102,$P57),DATE(9999,12,31),INDEX($E$3:$E$102,MATCH($P57&amp;" | "&amp;TEXT(COUNTIF(P$3:P57,$P57)+1,"00"),$Q$3:$Q$102,0))-1))</f>
        <v/>
      </c>
      <c r="G57" s="80"/>
      <c r="H57" s="80"/>
      <c r="I57" s="80"/>
      <c r="J57" s="146"/>
      <c r="K57" s="146"/>
      <c r="L57" s="508"/>
      <c r="M57" s="80"/>
      <c r="N57" t="str">
        <f t="shared" si="4"/>
        <v/>
      </c>
      <c r="O57" t="str">
        <f t="shared" si="2"/>
        <v/>
      </c>
      <c r="P57" t="str">
        <f t="shared" si="6"/>
        <v/>
      </c>
      <c r="Q57" t="str">
        <f>IF($P57="","",$P57&amp;" | "&amp;TEXT(COUNTIF(P$3:P57,$P57),"00"))</f>
        <v/>
      </c>
      <c r="R57" t="str">
        <f t="shared" si="3"/>
        <v/>
      </c>
    </row>
    <row r="58" spans="1:18" x14ac:dyDescent="0.3">
      <c r="A58" s="80"/>
      <c r="B58" s="80"/>
      <c r="C58" s="80"/>
      <c r="D58" s="80"/>
      <c r="E58" s="80"/>
      <c r="F58" s="44" t="str">
        <f>IF($E58="","",IF(COUNTIF(P$3:P58,$P58)=COUNTIFS($P$3:$P$102,$P58),DATE(9999,12,31),INDEX($E$3:$E$102,MATCH($P58&amp;" | "&amp;TEXT(COUNTIF(P$3:P58,$P58)+1,"00"),$Q$3:$Q$102,0))-1))</f>
        <v/>
      </c>
      <c r="G58" s="80"/>
      <c r="H58" s="80"/>
      <c r="I58" s="80"/>
      <c r="J58" s="146"/>
      <c r="K58" s="146"/>
      <c r="L58" s="508"/>
      <c r="M58" s="80"/>
      <c r="N58" t="str">
        <f t="shared" si="4"/>
        <v/>
      </c>
      <c r="O58" t="str">
        <f t="shared" si="2"/>
        <v/>
      </c>
      <c r="P58" t="str">
        <f t="shared" si="6"/>
        <v/>
      </c>
      <c r="Q58" t="str">
        <f>IF($P58="","",$P58&amp;" | "&amp;TEXT(COUNTIF(P$3:P58,$P58),"00"))</f>
        <v/>
      </c>
      <c r="R58" t="str">
        <f t="shared" si="3"/>
        <v/>
      </c>
    </row>
    <row r="59" spans="1:18" x14ac:dyDescent="0.3">
      <c r="A59" s="80"/>
      <c r="B59" s="80"/>
      <c r="C59" s="80"/>
      <c r="D59" s="80"/>
      <c r="E59" s="80"/>
      <c r="F59" s="44" t="str">
        <f>IF($E59="","",IF(COUNTIF(P$3:P59,$P59)=COUNTIFS($P$3:$P$102,$P59),DATE(9999,12,31),INDEX($E$3:$E$102,MATCH($P59&amp;" | "&amp;TEXT(COUNTIF(P$3:P59,$P59)+1,"00"),$Q$3:$Q$102,0))-1))</f>
        <v/>
      </c>
      <c r="G59" s="80"/>
      <c r="H59" s="80"/>
      <c r="I59" s="80"/>
      <c r="J59" s="146"/>
      <c r="K59" s="146"/>
      <c r="L59" s="508"/>
      <c r="M59" s="80"/>
      <c r="N59" t="str">
        <f t="shared" si="4"/>
        <v/>
      </c>
      <c r="O59" t="str">
        <f t="shared" si="2"/>
        <v/>
      </c>
      <c r="P59" t="str">
        <f t="shared" si="6"/>
        <v/>
      </c>
      <c r="Q59" t="str">
        <f>IF($P59="","",$P59&amp;" | "&amp;TEXT(COUNTIF(P$3:P59,$P59),"00"))</f>
        <v/>
      </c>
      <c r="R59" t="str">
        <f t="shared" si="3"/>
        <v/>
      </c>
    </row>
    <row r="60" spans="1:18" x14ac:dyDescent="0.3">
      <c r="A60" s="80"/>
      <c r="B60" s="80"/>
      <c r="C60" s="80"/>
      <c r="D60" s="80"/>
      <c r="E60" s="80"/>
      <c r="F60" s="44" t="str">
        <f>IF($E60="","",IF(COUNTIF(P$3:P60,$P60)=COUNTIFS($P$3:$P$102,$P60),DATE(9999,12,31),INDEX($E$3:$E$102,MATCH($P60&amp;" | "&amp;TEXT(COUNTIF(P$3:P60,$P60)+1,"00"),$Q$3:$Q$102,0))-1))</f>
        <v/>
      </c>
      <c r="G60" s="80"/>
      <c r="H60" s="80"/>
      <c r="I60" s="80"/>
      <c r="J60" s="146"/>
      <c r="K60" s="146"/>
      <c r="L60" s="508"/>
      <c r="M60" s="80"/>
      <c r="N60" t="str">
        <f t="shared" si="4"/>
        <v/>
      </c>
      <c r="O60" t="str">
        <f t="shared" si="2"/>
        <v/>
      </c>
      <c r="P60" t="str">
        <f t="shared" si="6"/>
        <v/>
      </c>
      <c r="Q60" t="str">
        <f>IF($P60="","",$P60&amp;" | "&amp;TEXT(COUNTIF(P$3:P60,$P60),"00"))</f>
        <v/>
      </c>
      <c r="R60" t="str">
        <f t="shared" si="3"/>
        <v/>
      </c>
    </row>
    <row r="61" spans="1:18" x14ac:dyDescent="0.3">
      <c r="A61" s="80"/>
      <c r="B61" s="80"/>
      <c r="C61" s="80"/>
      <c r="D61" s="80"/>
      <c r="E61" s="80"/>
      <c r="F61" s="44" t="str">
        <f>IF($E61="","",IF(COUNTIF(P$3:P61,$P61)=COUNTIFS($P$3:$P$102,$P61),DATE(9999,12,31),INDEX($E$3:$E$102,MATCH($P61&amp;" | "&amp;TEXT(COUNTIF(P$3:P61,$P61)+1,"00"),$Q$3:$Q$102,0))-1))</f>
        <v/>
      </c>
      <c r="G61" s="80"/>
      <c r="H61" s="80"/>
      <c r="I61" s="80"/>
      <c r="J61" s="146"/>
      <c r="K61" s="146"/>
      <c r="L61" s="508"/>
      <c r="M61" s="80"/>
      <c r="N61" t="str">
        <f t="shared" si="4"/>
        <v/>
      </c>
      <c r="O61" t="str">
        <f t="shared" si="2"/>
        <v/>
      </c>
      <c r="P61" t="str">
        <f t="shared" si="6"/>
        <v/>
      </c>
      <c r="Q61" t="str">
        <f>IF($P61="","",$P61&amp;" | "&amp;TEXT(COUNTIF(P$3:P61,$P61),"00"))</f>
        <v/>
      </c>
      <c r="R61" t="str">
        <f t="shared" si="3"/>
        <v/>
      </c>
    </row>
    <row r="62" spans="1:18" x14ac:dyDescent="0.3">
      <c r="A62" s="80"/>
      <c r="B62" s="80"/>
      <c r="C62" s="80"/>
      <c r="D62" s="80"/>
      <c r="E62" s="80"/>
      <c r="F62" s="44" t="str">
        <f>IF($E62="","",IF(COUNTIF(P$3:P62,$P62)=COUNTIFS($P$3:$P$102,$P62),DATE(9999,12,31),INDEX($E$3:$E$102,MATCH($P62&amp;" | "&amp;TEXT(COUNTIF(P$3:P62,$P62)+1,"00"),$Q$3:$Q$102,0))-1))</f>
        <v/>
      </c>
      <c r="G62" s="80"/>
      <c r="H62" s="80"/>
      <c r="I62" s="80"/>
      <c r="J62" s="146"/>
      <c r="K62" s="146"/>
      <c r="L62" s="508"/>
      <c r="M62" s="80"/>
      <c r="N62" t="str">
        <f t="shared" si="4"/>
        <v/>
      </c>
      <c r="O62" t="str">
        <f t="shared" si="2"/>
        <v/>
      </c>
      <c r="P62" t="str">
        <f t="shared" si="6"/>
        <v/>
      </c>
      <c r="Q62" t="str">
        <f>IF($P62="","",$P62&amp;" | "&amp;TEXT(COUNTIF(P$3:P62,$P62),"00"))</f>
        <v/>
      </c>
      <c r="R62" t="str">
        <f t="shared" si="3"/>
        <v/>
      </c>
    </row>
    <row r="63" spans="1:18" x14ac:dyDescent="0.3">
      <c r="A63" s="80"/>
      <c r="B63" s="80"/>
      <c r="C63" s="80"/>
      <c r="D63" s="80"/>
      <c r="E63" s="80"/>
      <c r="F63" s="44" t="str">
        <f>IF($E63="","",IF(COUNTIF(P$3:P63,$P63)=COUNTIFS($P$3:$P$102,$P63),DATE(9999,12,31),INDEX($E$3:$E$102,MATCH($P63&amp;" | "&amp;TEXT(COUNTIF(P$3:P63,$P63)+1,"00"),$Q$3:$Q$102,0))-1))</f>
        <v/>
      </c>
      <c r="G63" s="80"/>
      <c r="H63" s="80"/>
      <c r="I63" s="80"/>
      <c r="J63" s="146"/>
      <c r="K63" s="146"/>
      <c r="L63" s="508"/>
      <c r="M63" s="80"/>
      <c r="N63" t="str">
        <f t="shared" si="4"/>
        <v/>
      </c>
      <c r="O63" t="str">
        <f t="shared" si="2"/>
        <v/>
      </c>
      <c r="P63" t="str">
        <f t="shared" si="6"/>
        <v/>
      </c>
      <c r="Q63" t="str">
        <f>IF($P63="","",$P63&amp;" | "&amp;TEXT(COUNTIF(P$3:P63,$P63),"00"))</f>
        <v/>
      </c>
      <c r="R63" t="str">
        <f t="shared" si="3"/>
        <v/>
      </c>
    </row>
    <row r="64" spans="1:18" x14ac:dyDescent="0.3">
      <c r="A64" s="80"/>
      <c r="B64" s="80"/>
      <c r="C64" s="80"/>
      <c r="D64" s="80"/>
      <c r="E64" s="80"/>
      <c r="F64" s="44" t="str">
        <f>IF($E64="","",IF(COUNTIF(P$3:P64,$P64)=COUNTIFS($P$3:$P$102,$P64),DATE(9999,12,31),INDEX($E$3:$E$102,MATCH($P64&amp;" | "&amp;TEXT(COUNTIF(P$3:P64,$P64)+1,"00"),$Q$3:$Q$102,0))-1))</f>
        <v/>
      </c>
      <c r="G64" s="80"/>
      <c r="H64" s="80"/>
      <c r="I64" s="80"/>
      <c r="J64" s="146"/>
      <c r="K64" s="146"/>
      <c r="L64" s="508"/>
      <c r="M64" s="80"/>
      <c r="N64" t="str">
        <f t="shared" si="4"/>
        <v/>
      </c>
      <c r="O64" t="str">
        <f t="shared" si="2"/>
        <v/>
      </c>
      <c r="P64" t="str">
        <f t="shared" si="6"/>
        <v/>
      </c>
      <c r="Q64" t="str">
        <f>IF($P64="","",$P64&amp;" | "&amp;TEXT(COUNTIF(P$3:P64,$P64),"00"))</f>
        <v/>
      </c>
      <c r="R64" t="str">
        <f t="shared" si="3"/>
        <v/>
      </c>
    </row>
    <row r="65" spans="1:18" x14ac:dyDescent="0.3">
      <c r="A65" s="80"/>
      <c r="B65" s="80"/>
      <c r="C65" s="80"/>
      <c r="D65" s="80"/>
      <c r="E65" s="80"/>
      <c r="F65" s="44" t="str">
        <f>IF($E65="","",IF(COUNTIF(P$3:P65,$P65)=COUNTIFS($P$3:$P$102,$P65),DATE(9999,12,31),INDEX($E$3:$E$102,MATCH($P65&amp;" | "&amp;TEXT(COUNTIF(P$3:P65,$P65)+1,"00"),$Q$3:$Q$102,0))-1))</f>
        <v/>
      </c>
      <c r="G65" s="80"/>
      <c r="H65" s="80"/>
      <c r="I65" s="80"/>
      <c r="J65" s="146"/>
      <c r="K65" s="146"/>
      <c r="L65" s="508"/>
      <c r="M65" s="80"/>
      <c r="N65" t="str">
        <f t="shared" si="4"/>
        <v/>
      </c>
      <c r="O65" t="str">
        <f t="shared" si="2"/>
        <v/>
      </c>
      <c r="P65" t="str">
        <f t="shared" si="6"/>
        <v/>
      </c>
      <c r="Q65" t="str">
        <f>IF($P65="","",$P65&amp;" | "&amp;TEXT(COUNTIF(P$3:P65,$P65),"00"))</f>
        <v/>
      </c>
      <c r="R65" t="str">
        <f t="shared" si="3"/>
        <v/>
      </c>
    </row>
    <row r="66" spans="1:18" x14ac:dyDescent="0.3">
      <c r="A66" s="80"/>
      <c r="B66" s="80"/>
      <c r="C66" s="80"/>
      <c r="D66" s="80"/>
      <c r="E66" s="80"/>
      <c r="F66" s="44" t="str">
        <f>IF($E66="","",IF(COUNTIF(P$3:P66,$P66)=COUNTIFS($P$3:$P$102,$P66),DATE(9999,12,31),INDEX($E$3:$E$102,MATCH($P66&amp;" | "&amp;TEXT(COUNTIF(P$3:P66,$P66)+1,"00"),$Q$3:$Q$102,0))-1))</f>
        <v/>
      </c>
      <c r="G66" s="80"/>
      <c r="H66" s="80"/>
      <c r="I66" s="80"/>
      <c r="J66" s="146"/>
      <c r="K66" s="146"/>
      <c r="L66" s="508"/>
      <c r="M66" s="80"/>
      <c r="N66" t="str">
        <f t="shared" si="4"/>
        <v/>
      </c>
      <c r="O66" t="str">
        <f t="shared" si="2"/>
        <v/>
      </c>
      <c r="P66" t="str">
        <f t="shared" si="6"/>
        <v/>
      </c>
      <c r="Q66" t="str">
        <f>IF($P66="","",$P66&amp;" | "&amp;TEXT(COUNTIF(P$3:P66,$P66),"00"))</f>
        <v/>
      </c>
      <c r="R66" t="str">
        <f t="shared" si="3"/>
        <v/>
      </c>
    </row>
    <row r="67" spans="1:18" x14ac:dyDescent="0.3">
      <c r="A67" s="80"/>
      <c r="B67" s="80"/>
      <c r="C67" s="80"/>
      <c r="D67" s="80"/>
      <c r="E67" s="80"/>
      <c r="F67" s="44" t="str">
        <f>IF($E67="","",IF(COUNTIF(P$3:P67,$P67)=COUNTIFS($P$3:$P$102,$P67),DATE(9999,12,31),INDEX($E$3:$E$102,MATCH($P67&amp;" | "&amp;TEXT(COUNTIF(P$3:P67,$P67)+1,"00"),$Q$3:$Q$102,0))-1))</f>
        <v/>
      </c>
      <c r="G67" s="80"/>
      <c r="H67" s="80"/>
      <c r="I67" s="80"/>
      <c r="J67" s="146"/>
      <c r="K67" s="146"/>
      <c r="L67" s="508"/>
      <c r="M67" s="80"/>
      <c r="N67" t="str">
        <f t="shared" si="4"/>
        <v/>
      </c>
      <c r="O67" t="str">
        <f t="shared" si="2"/>
        <v/>
      </c>
      <c r="P67" t="str">
        <f t="shared" ref="P67:P102" si="7">IF(OR($A67="",$C67=""),"",$A67&amp;" | "&amp;$C67)</f>
        <v/>
      </c>
      <c r="Q67" t="str">
        <f>IF($P67="","",$P67&amp;" | "&amp;TEXT(COUNTIF(P$3:P67,$P67),"00"))</f>
        <v/>
      </c>
      <c r="R67" t="str">
        <f t="shared" si="3"/>
        <v/>
      </c>
    </row>
    <row r="68" spans="1:18" x14ac:dyDescent="0.3">
      <c r="A68" s="80"/>
      <c r="B68" s="80"/>
      <c r="C68" s="80"/>
      <c r="D68" s="80"/>
      <c r="E68" s="80"/>
      <c r="F68" s="44" t="str">
        <f>IF($E68="","",IF(COUNTIF(P$3:P68,$P68)=COUNTIFS($P$3:$P$102,$P68),DATE(9999,12,31),INDEX($E$3:$E$102,MATCH($P68&amp;" | "&amp;TEXT(COUNTIF(P$3:P68,$P68)+1,"00"),$Q$3:$Q$102,0))-1))</f>
        <v/>
      </c>
      <c r="G68" s="80"/>
      <c r="H68" s="80"/>
      <c r="I68" s="80"/>
      <c r="J68" s="146"/>
      <c r="K68" s="146"/>
      <c r="L68" s="508"/>
      <c r="M68" s="80"/>
      <c r="N68" t="str">
        <f t="shared" si="4"/>
        <v/>
      </c>
      <c r="O68" t="str">
        <f t="shared" ref="O68:O102" si="8">IF($E68="","",MONTH($E68))</f>
        <v/>
      </c>
      <c r="P68" t="str">
        <f t="shared" si="7"/>
        <v/>
      </c>
      <c r="Q68" t="str">
        <f>IF($P68="","",$P68&amp;" | "&amp;TEXT(COUNTIF(P$3:P68,$P68),"00"))</f>
        <v/>
      </c>
      <c r="R68" t="str">
        <f t="shared" si="3"/>
        <v/>
      </c>
    </row>
    <row r="69" spans="1:18" x14ac:dyDescent="0.3">
      <c r="A69" s="80"/>
      <c r="B69" s="80"/>
      <c r="C69" s="80"/>
      <c r="D69" s="80"/>
      <c r="E69" s="80"/>
      <c r="F69" s="44" t="str">
        <f>IF($E69="","",IF(COUNTIF(P$3:P69,$P69)=COUNTIFS($P$3:$P$102,$P69),DATE(9999,12,31),INDEX($E$3:$E$102,MATCH($P69&amp;" | "&amp;TEXT(COUNTIF(P$3:P69,$P69)+1,"00"),$Q$3:$Q$102,0))-1))</f>
        <v/>
      </c>
      <c r="G69" s="80"/>
      <c r="H69" s="80"/>
      <c r="I69" s="80"/>
      <c r="J69" s="146"/>
      <c r="K69" s="146"/>
      <c r="L69" s="508"/>
      <c r="M69" s="80"/>
      <c r="N69" t="str">
        <f t="shared" si="4"/>
        <v/>
      </c>
      <c r="O69" t="str">
        <f t="shared" si="8"/>
        <v/>
      </c>
      <c r="P69" t="str">
        <f t="shared" si="7"/>
        <v/>
      </c>
      <c r="Q69" t="str">
        <f>IF($P69="","",$P69&amp;" | "&amp;TEXT(COUNTIF(P$3:P69,$P69),"00"))</f>
        <v/>
      </c>
      <c r="R69" t="str">
        <f t="shared" si="3"/>
        <v/>
      </c>
    </row>
    <row r="70" spans="1:18" x14ac:dyDescent="0.3">
      <c r="A70" s="80"/>
      <c r="B70" s="80"/>
      <c r="C70" s="80"/>
      <c r="D70" s="80"/>
      <c r="E70" s="80"/>
      <c r="F70" s="44" t="str">
        <f>IF($E70="","",IF(COUNTIF(P$3:P70,$P70)=COUNTIFS($P$3:$P$102,$P70),DATE(9999,12,31),INDEX($E$3:$E$102,MATCH($P70&amp;" | "&amp;TEXT(COUNTIF(P$3:P70,$P70)+1,"00"),$Q$3:$Q$102,0))-1))</f>
        <v/>
      </c>
      <c r="G70" s="80"/>
      <c r="H70" s="80"/>
      <c r="I70" s="80"/>
      <c r="J70" s="146"/>
      <c r="K70" s="146"/>
      <c r="L70" s="508"/>
      <c r="M70" s="80"/>
      <c r="N70" t="str">
        <f t="shared" si="4"/>
        <v/>
      </c>
      <c r="O70" t="str">
        <f t="shared" si="8"/>
        <v/>
      </c>
      <c r="P70" t="str">
        <f t="shared" si="7"/>
        <v/>
      </c>
      <c r="Q70" t="str">
        <f>IF($P70="","",$P70&amp;" | "&amp;TEXT(COUNTIF(P$3:P70,$P70),"00"))</f>
        <v/>
      </c>
      <c r="R70" t="str">
        <f t="shared" si="3"/>
        <v/>
      </c>
    </row>
    <row r="71" spans="1:18" x14ac:dyDescent="0.3">
      <c r="A71" s="80"/>
      <c r="B71" s="80"/>
      <c r="C71" s="80"/>
      <c r="D71" s="80"/>
      <c r="E71" s="80"/>
      <c r="F71" s="44" t="str">
        <f>IF($E71="","",IF(COUNTIF(P$3:P71,$P71)=COUNTIFS($P$3:$P$102,$P71),DATE(9999,12,31),INDEX($E$3:$E$102,MATCH($P71&amp;" | "&amp;TEXT(COUNTIF(P$3:P71,$P71)+1,"00"),$Q$3:$Q$102,0))-1))</f>
        <v/>
      </c>
      <c r="G71" s="80"/>
      <c r="H71" s="80"/>
      <c r="I71" s="80"/>
      <c r="J71" s="146"/>
      <c r="K71" s="146"/>
      <c r="L71" s="508"/>
      <c r="M71" s="80"/>
      <c r="N71" t="str">
        <f t="shared" si="4"/>
        <v/>
      </c>
      <c r="O71" t="str">
        <f t="shared" si="8"/>
        <v/>
      </c>
      <c r="P71" t="str">
        <f t="shared" si="7"/>
        <v/>
      </c>
      <c r="Q71" t="str">
        <f>IF($P71="","",$P71&amp;" | "&amp;TEXT(COUNTIF(P$3:P71,$P71),"00"))</f>
        <v/>
      </c>
      <c r="R71" t="str">
        <f t="shared" si="3"/>
        <v/>
      </c>
    </row>
    <row r="72" spans="1:18" x14ac:dyDescent="0.3">
      <c r="A72" s="80"/>
      <c r="B72" s="80"/>
      <c r="C72" s="80"/>
      <c r="D72" s="80"/>
      <c r="E72" s="80"/>
      <c r="F72" s="44" t="str">
        <f>IF($E72="","",IF(COUNTIF(P$3:P72,$P72)=COUNTIFS($P$3:$P$102,$P72),DATE(9999,12,31),INDEX($E$3:$E$102,MATCH($P72&amp;" | "&amp;TEXT(COUNTIF(P$3:P72,$P72)+1,"00"),$Q$3:$Q$102,0))-1))</f>
        <v/>
      </c>
      <c r="G72" s="80"/>
      <c r="H72" s="80"/>
      <c r="I72" s="80"/>
      <c r="J72" s="146"/>
      <c r="K72" s="146"/>
      <c r="L72" s="508"/>
      <c r="M72" s="80"/>
      <c r="N72" t="str">
        <f t="shared" si="4"/>
        <v/>
      </c>
      <c r="O72" t="str">
        <f t="shared" si="8"/>
        <v/>
      </c>
      <c r="P72" t="str">
        <f t="shared" si="7"/>
        <v/>
      </c>
      <c r="Q72" t="str">
        <f>IF($P72="","",$P72&amp;" | "&amp;TEXT(COUNTIF(P$3:P72,$P72),"00"))</f>
        <v/>
      </c>
      <c r="R72" t="str">
        <f t="shared" ref="R72:R102" si="9">$A72&amp;$C72&amp;$E72&amp;$G72&amp;$H72&amp;$I72&amp;J72&amp;K72</f>
        <v/>
      </c>
    </row>
    <row r="73" spans="1:18" x14ac:dyDescent="0.3">
      <c r="A73" s="80"/>
      <c r="B73" s="80"/>
      <c r="C73" s="80"/>
      <c r="D73" s="80"/>
      <c r="E73" s="80"/>
      <c r="F73" s="44" t="str">
        <f>IF($E73="","",IF(COUNTIF(P$3:P73,$P73)=COUNTIFS($P$3:$P$102,$P73),DATE(9999,12,31),INDEX($E$3:$E$102,MATCH($P73&amp;" | "&amp;TEXT(COUNTIF(P$3:P73,$P73)+1,"00"),$Q$3:$Q$102,0))-1))</f>
        <v/>
      </c>
      <c r="G73" s="80"/>
      <c r="H73" s="80"/>
      <c r="I73" s="80"/>
      <c r="J73" s="146"/>
      <c r="K73" s="146"/>
      <c r="L73" s="508"/>
      <c r="M73" s="80"/>
      <c r="N73" t="str">
        <f t="shared" si="4"/>
        <v/>
      </c>
      <c r="O73" t="str">
        <f t="shared" si="8"/>
        <v/>
      </c>
      <c r="P73" t="str">
        <f t="shared" si="7"/>
        <v/>
      </c>
      <c r="Q73" t="str">
        <f>IF($P73="","",$P73&amp;" | "&amp;TEXT(COUNTIF(P$3:P73,$P73),"00"))</f>
        <v/>
      </c>
      <c r="R73" t="str">
        <f t="shared" si="9"/>
        <v/>
      </c>
    </row>
    <row r="74" spans="1:18" x14ac:dyDescent="0.3">
      <c r="A74" s="80"/>
      <c r="B74" s="80"/>
      <c r="C74" s="80"/>
      <c r="D74" s="80"/>
      <c r="E74" s="80"/>
      <c r="F74" s="44" t="str">
        <f>IF($E74="","",IF(COUNTIF(P$3:P74,$P74)=COUNTIFS($P$3:$P$102,$P74),DATE(9999,12,31),INDEX($E$3:$E$102,MATCH($P74&amp;" | "&amp;TEXT(COUNTIF(P$3:P74,$P74)+1,"00"),$Q$3:$Q$102,0))-1))</f>
        <v/>
      </c>
      <c r="G74" s="80"/>
      <c r="H74" s="80"/>
      <c r="I74" s="80"/>
      <c r="J74" s="146"/>
      <c r="K74" s="146"/>
      <c r="L74" s="508"/>
      <c r="M74" s="80"/>
      <c r="N74" t="str">
        <f t="shared" si="4"/>
        <v/>
      </c>
      <c r="O74" t="str">
        <f t="shared" si="8"/>
        <v/>
      </c>
      <c r="P74" t="str">
        <f t="shared" si="7"/>
        <v/>
      </c>
      <c r="Q74" t="str">
        <f>IF($P74="","",$P74&amp;" | "&amp;TEXT(COUNTIF(P$3:P74,$P74),"00"))</f>
        <v/>
      </c>
      <c r="R74" t="str">
        <f t="shared" si="9"/>
        <v/>
      </c>
    </row>
    <row r="75" spans="1:18" x14ac:dyDescent="0.3">
      <c r="A75" s="80"/>
      <c r="B75" s="80"/>
      <c r="C75" s="80"/>
      <c r="D75" s="80"/>
      <c r="E75" s="80"/>
      <c r="F75" s="44" t="str">
        <f>IF($E75="","",IF(COUNTIF(P$3:P75,$P75)=COUNTIFS($P$3:$P$102,$P75),DATE(9999,12,31),INDEX($E$3:$E$102,MATCH($P75&amp;" | "&amp;TEXT(COUNTIF(P$3:P75,$P75)+1,"00"),$Q$3:$Q$102,0))-1))</f>
        <v/>
      </c>
      <c r="G75" s="80"/>
      <c r="H75" s="80"/>
      <c r="I75" s="80"/>
      <c r="J75" s="146"/>
      <c r="K75" s="146"/>
      <c r="L75" s="508"/>
      <c r="M75" s="80"/>
      <c r="N75" t="str">
        <f t="shared" si="4"/>
        <v/>
      </c>
      <c r="O75" t="str">
        <f t="shared" si="8"/>
        <v/>
      </c>
      <c r="P75" t="str">
        <f t="shared" si="7"/>
        <v/>
      </c>
      <c r="Q75" t="str">
        <f>IF($P75="","",$P75&amp;" | "&amp;TEXT(COUNTIF(P$3:P75,$P75),"00"))</f>
        <v/>
      </c>
      <c r="R75" t="str">
        <f t="shared" si="9"/>
        <v/>
      </c>
    </row>
    <row r="76" spans="1:18" x14ac:dyDescent="0.3">
      <c r="A76" s="80"/>
      <c r="B76" s="80"/>
      <c r="C76" s="80"/>
      <c r="D76" s="80"/>
      <c r="E76" s="80"/>
      <c r="F76" s="44" t="str">
        <f>IF($E76="","",IF(COUNTIF(P$3:P76,$P76)=COUNTIFS($P$3:$P$102,$P76),DATE(9999,12,31),INDEX($E$3:$E$102,MATCH($P76&amp;" | "&amp;TEXT(COUNTIF(P$3:P76,$P76)+1,"00"),$Q$3:$Q$102,0))-1))</f>
        <v/>
      </c>
      <c r="G76" s="80"/>
      <c r="H76" s="80"/>
      <c r="I76" s="80"/>
      <c r="J76" s="146"/>
      <c r="K76" s="146"/>
      <c r="L76" s="508"/>
      <c r="M76" s="80"/>
      <c r="N76" t="str">
        <f t="shared" si="4"/>
        <v/>
      </c>
      <c r="O76" t="str">
        <f t="shared" si="8"/>
        <v/>
      </c>
      <c r="P76" t="str">
        <f t="shared" si="7"/>
        <v/>
      </c>
      <c r="Q76" t="str">
        <f>IF($P76="","",$P76&amp;" | "&amp;TEXT(COUNTIF(P$3:P76,$P76),"00"))</f>
        <v/>
      </c>
      <c r="R76" t="str">
        <f t="shared" si="9"/>
        <v/>
      </c>
    </row>
    <row r="77" spans="1:18" x14ac:dyDescent="0.3">
      <c r="A77" s="80"/>
      <c r="B77" s="80"/>
      <c r="C77" s="80"/>
      <c r="D77" s="80"/>
      <c r="E77" s="80"/>
      <c r="F77" s="44" t="str">
        <f>IF($E77="","",IF(COUNTIF(P$3:P77,$P77)=COUNTIFS($P$3:$P$102,$P77),DATE(9999,12,31),INDEX($E$3:$E$102,MATCH($P77&amp;" | "&amp;TEXT(COUNTIF(P$3:P77,$P77)+1,"00"),$Q$3:$Q$102,0))-1))</f>
        <v/>
      </c>
      <c r="G77" s="80"/>
      <c r="H77" s="80"/>
      <c r="I77" s="80"/>
      <c r="J77" s="146"/>
      <c r="K77" s="146"/>
      <c r="L77" s="508"/>
      <c r="M77" s="80"/>
      <c r="N77" t="str">
        <f t="shared" si="4"/>
        <v/>
      </c>
      <c r="O77" t="str">
        <f t="shared" si="8"/>
        <v/>
      </c>
      <c r="P77" t="str">
        <f t="shared" si="7"/>
        <v/>
      </c>
      <c r="Q77" t="str">
        <f>IF($P77="","",$P77&amp;" | "&amp;TEXT(COUNTIF(P$3:P77,$P77),"00"))</f>
        <v/>
      </c>
      <c r="R77" t="str">
        <f t="shared" si="9"/>
        <v/>
      </c>
    </row>
    <row r="78" spans="1:18" x14ac:dyDescent="0.3">
      <c r="A78" s="80"/>
      <c r="B78" s="80"/>
      <c r="C78" s="80"/>
      <c r="D78" s="80"/>
      <c r="E78" s="80"/>
      <c r="F78" s="44" t="str">
        <f>IF($E78="","",IF(COUNTIF(P$3:P78,$P78)=COUNTIFS($P$3:$P$102,$P78),DATE(9999,12,31),INDEX($E$3:$E$102,MATCH($P78&amp;" | "&amp;TEXT(COUNTIF(P$3:P78,$P78)+1,"00"),$Q$3:$Q$102,0))-1))</f>
        <v/>
      </c>
      <c r="G78" s="80"/>
      <c r="H78" s="80"/>
      <c r="I78" s="80"/>
      <c r="J78" s="146"/>
      <c r="K78" s="146"/>
      <c r="L78" s="508"/>
      <c r="M78" s="80"/>
      <c r="N78" t="str">
        <f t="shared" ref="N78:N102" si="10">IF($E78="","",YEAR($E78))</f>
        <v/>
      </c>
      <c r="O78" t="str">
        <f t="shared" si="8"/>
        <v/>
      </c>
      <c r="P78" t="str">
        <f t="shared" si="7"/>
        <v/>
      </c>
      <c r="Q78" t="str">
        <f>IF($P78="","",$P78&amp;" | "&amp;TEXT(COUNTIF(P$3:P78,$P78),"00"))</f>
        <v/>
      </c>
      <c r="R78" t="str">
        <f t="shared" si="9"/>
        <v/>
      </c>
    </row>
    <row r="79" spans="1:18" x14ac:dyDescent="0.3">
      <c r="A79" s="80"/>
      <c r="B79" s="80"/>
      <c r="C79" s="80"/>
      <c r="D79" s="80"/>
      <c r="E79" s="80"/>
      <c r="F79" s="44" t="str">
        <f>IF($E79="","",IF(COUNTIF(P$3:P79,$P79)=COUNTIFS($P$3:$P$102,$P79),DATE(9999,12,31),INDEX($E$3:$E$102,MATCH($P79&amp;" | "&amp;TEXT(COUNTIF(P$3:P79,$P79)+1,"00"),$Q$3:$Q$102,0))-1))</f>
        <v/>
      </c>
      <c r="G79" s="80"/>
      <c r="H79" s="80"/>
      <c r="I79" s="80"/>
      <c r="J79" s="146"/>
      <c r="K79" s="146"/>
      <c r="L79" s="508"/>
      <c r="M79" s="80"/>
      <c r="N79" t="str">
        <f t="shared" si="10"/>
        <v/>
      </c>
      <c r="O79" t="str">
        <f t="shared" si="8"/>
        <v/>
      </c>
      <c r="P79" t="str">
        <f t="shared" si="7"/>
        <v/>
      </c>
      <c r="Q79" t="str">
        <f>IF($P79="","",$P79&amp;" | "&amp;TEXT(COUNTIF(P$3:P79,$P79),"00"))</f>
        <v/>
      </c>
      <c r="R79" t="str">
        <f t="shared" si="9"/>
        <v/>
      </c>
    </row>
    <row r="80" spans="1:18" x14ac:dyDescent="0.3">
      <c r="A80" s="80"/>
      <c r="B80" s="80"/>
      <c r="C80" s="80"/>
      <c r="D80" s="80"/>
      <c r="E80" s="80"/>
      <c r="F80" s="44" t="str">
        <f>IF($E80="","",IF(COUNTIF(P$3:P80,$P80)=COUNTIFS($P$3:$P$102,$P80),DATE(9999,12,31),INDEX($E$3:$E$102,MATCH($P80&amp;" | "&amp;TEXT(COUNTIF(P$3:P80,$P80)+1,"00"),$Q$3:$Q$102,0))-1))</f>
        <v/>
      </c>
      <c r="G80" s="80"/>
      <c r="H80" s="80"/>
      <c r="I80" s="80"/>
      <c r="J80" s="146"/>
      <c r="K80" s="146"/>
      <c r="L80" s="508"/>
      <c r="M80" s="80"/>
      <c r="N80" t="str">
        <f t="shared" si="10"/>
        <v/>
      </c>
      <c r="O80" t="str">
        <f t="shared" si="8"/>
        <v/>
      </c>
      <c r="P80" t="str">
        <f t="shared" si="7"/>
        <v/>
      </c>
      <c r="Q80" t="str">
        <f>IF($P80="","",$P80&amp;" | "&amp;TEXT(COUNTIF(P$3:P80,$P80),"00"))</f>
        <v/>
      </c>
      <c r="R80" t="str">
        <f t="shared" si="9"/>
        <v/>
      </c>
    </row>
    <row r="81" spans="1:18" x14ac:dyDescent="0.3">
      <c r="A81" s="80"/>
      <c r="B81" s="80"/>
      <c r="C81" s="80"/>
      <c r="D81" s="80"/>
      <c r="E81" s="80"/>
      <c r="F81" s="44" t="str">
        <f>IF($E81="","",IF(COUNTIF(P$3:P81,$P81)=COUNTIFS($P$3:$P$102,$P81),DATE(9999,12,31),INDEX($E$3:$E$102,MATCH($P81&amp;" | "&amp;TEXT(COUNTIF(P$3:P81,$P81)+1,"00"),$Q$3:$Q$102,0))-1))</f>
        <v/>
      </c>
      <c r="G81" s="80"/>
      <c r="H81" s="80"/>
      <c r="I81" s="80"/>
      <c r="J81" s="146"/>
      <c r="K81" s="146"/>
      <c r="L81" s="508"/>
      <c r="M81" s="80"/>
      <c r="N81" t="str">
        <f t="shared" si="10"/>
        <v/>
      </c>
      <c r="O81" t="str">
        <f t="shared" si="8"/>
        <v/>
      </c>
      <c r="P81" t="str">
        <f t="shared" si="7"/>
        <v/>
      </c>
      <c r="Q81" t="str">
        <f>IF($P81="","",$P81&amp;" | "&amp;TEXT(COUNTIF(P$3:P81,$P81),"00"))</f>
        <v/>
      </c>
      <c r="R81" t="str">
        <f t="shared" si="9"/>
        <v/>
      </c>
    </row>
    <row r="82" spans="1:18" x14ac:dyDescent="0.3">
      <c r="A82" s="80"/>
      <c r="B82" s="80"/>
      <c r="C82" s="80"/>
      <c r="D82" s="80"/>
      <c r="E82" s="80"/>
      <c r="F82" s="44" t="str">
        <f>IF($E82="","",IF(COUNTIF(P$3:P82,$P82)=COUNTIFS($P$3:$P$102,$P82),DATE(9999,12,31),INDEX($E$3:$E$102,MATCH($P82&amp;" | "&amp;TEXT(COUNTIF(P$3:P82,$P82)+1,"00"),$Q$3:$Q$102,0))-1))</f>
        <v/>
      </c>
      <c r="G82" s="80"/>
      <c r="H82" s="80"/>
      <c r="I82" s="80"/>
      <c r="J82" s="146"/>
      <c r="K82" s="146"/>
      <c r="L82" s="508"/>
      <c r="M82" s="80"/>
      <c r="N82" t="str">
        <f t="shared" si="10"/>
        <v/>
      </c>
      <c r="O82" t="str">
        <f t="shared" si="8"/>
        <v/>
      </c>
      <c r="P82" t="str">
        <f t="shared" si="7"/>
        <v/>
      </c>
      <c r="Q82" t="str">
        <f>IF($P82="","",$P82&amp;" | "&amp;TEXT(COUNTIF(P$3:P82,$P82),"00"))</f>
        <v/>
      </c>
      <c r="R82" t="str">
        <f t="shared" si="9"/>
        <v/>
      </c>
    </row>
    <row r="83" spans="1:18" x14ac:dyDescent="0.3">
      <c r="A83" s="80"/>
      <c r="B83" s="80"/>
      <c r="C83" s="80"/>
      <c r="D83" s="80"/>
      <c r="E83" s="80"/>
      <c r="F83" s="44" t="str">
        <f>IF($E83="","",IF(COUNTIF(P$3:P83,$P83)=COUNTIFS($P$3:$P$102,$P83),DATE(9999,12,31),INDEX($E$3:$E$102,MATCH($P83&amp;" | "&amp;TEXT(COUNTIF(P$3:P83,$P83)+1,"00"),$Q$3:$Q$102,0))-1))</f>
        <v/>
      </c>
      <c r="G83" s="80"/>
      <c r="H83" s="80"/>
      <c r="I83" s="80"/>
      <c r="J83" s="146"/>
      <c r="K83" s="146"/>
      <c r="L83" s="508"/>
      <c r="M83" s="80"/>
      <c r="N83" t="str">
        <f t="shared" si="10"/>
        <v/>
      </c>
      <c r="O83" t="str">
        <f t="shared" si="8"/>
        <v/>
      </c>
      <c r="P83" t="str">
        <f t="shared" si="7"/>
        <v/>
      </c>
      <c r="Q83" t="str">
        <f>IF($P83="","",$P83&amp;" | "&amp;TEXT(COUNTIF(P$3:P83,$P83),"00"))</f>
        <v/>
      </c>
      <c r="R83" t="str">
        <f t="shared" si="9"/>
        <v/>
      </c>
    </row>
    <row r="84" spans="1:18" x14ac:dyDescent="0.3">
      <c r="A84" s="80"/>
      <c r="B84" s="80"/>
      <c r="C84" s="80"/>
      <c r="D84" s="80"/>
      <c r="E84" s="80"/>
      <c r="F84" s="44" t="str">
        <f>IF($E84="","",IF(COUNTIF(P$3:P84,$P84)=COUNTIFS($P$3:$P$102,$P84),DATE(9999,12,31),INDEX($E$3:$E$102,MATCH($P84&amp;" | "&amp;TEXT(COUNTIF(P$3:P84,$P84)+1,"00"),$Q$3:$Q$102,0))-1))</f>
        <v/>
      </c>
      <c r="G84" s="80"/>
      <c r="H84" s="80"/>
      <c r="I84" s="80"/>
      <c r="J84" s="146"/>
      <c r="K84" s="146"/>
      <c r="L84" s="508"/>
      <c r="M84" s="80"/>
      <c r="N84" t="str">
        <f t="shared" si="10"/>
        <v/>
      </c>
      <c r="O84" t="str">
        <f t="shared" si="8"/>
        <v/>
      </c>
      <c r="P84" t="str">
        <f t="shared" si="7"/>
        <v/>
      </c>
      <c r="Q84" t="str">
        <f>IF($P84="","",$P84&amp;" | "&amp;TEXT(COUNTIF(P$3:P84,$P84),"00"))</f>
        <v/>
      </c>
      <c r="R84" t="str">
        <f t="shared" si="9"/>
        <v/>
      </c>
    </row>
    <row r="85" spans="1:18" x14ac:dyDescent="0.3">
      <c r="A85" s="80"/>
      <c r="B85" s="80"/>
      <c r="C85" s="80"/>
      <c r="D85" s="80"/>
      <c r="E85" s="80"/>
      <c r="F85" s="44" t="str">
        <f>IF($E85="","",IF(COUNTIF(P$3:P85,$P85)=COUNTIFS($P$3:$P$102,$P85),DATE(9999,12,31),INDEX($E$3:$E$102,MATCH($P85&amp;" | "&amp;TEXT(COUNTIF(P$3:P85,$P85)+1,"00"),$Q$3:$Q$102,0))-1))</f>
        <v/>
      </c>
      <c r="G85" s="80"/>
      <c r="H85" s="80"/>
      <c r="I85" s="80"/>
      <c r="J85" s="146"/>
      <c r="K85" s="146"/>
      <c r="L85" s="508"/>
      <c r="M85" s="80"/>
      <c r="N85" t="str">
        <f t="shared" si="10"/>
        <v/>
      </c>
      <c r="O85" t="str">
        <f t="shared" si="8"/>
        <v/>
      </c>
      <c r="P85" t="str">
        <f t="shared" si="7"/>
        <v/>
      </c>
      <c r="Q85" t="str">
        <f>IF($P85="","",$P85&amp;" | "&amp;TEXT(COUNTIF(P$3:P85,$P85),"00"))</f>
        <v/>
      </c>
      <c r="R85" t="str">
        <f t="shared" si="9"/>
        <v/>
      </c>
    </row>
    <row r="86" spans="1:18" x14ac:dyDescent="0.3">
      <c r="A86" s="80"/>
      <c r="B86" s="80"/>
      <c r="C86" s="80"/>
      <c r="D86" s="80"/>
      <c r="E86" s="80"/>
      <c r="F86" s="44" t="str">
        <f>IF($E86="","",IF(COUNTIF(P$3:P86,$P86)=COUNTIFS($P$3:$P$102,$P86),DATE(9999,12,31),INDEX($E$3:$E$102,MATCH($P86&amp;" | "&amp;TEXT(COUNTIF(P$3:P86,$P86)+1,"00"),$Q$3:$Q$102,0))-1))</f>
        <v/>
      </c>
      <c r="G86" s="80"/>
      <c r="H86" s="80"/>
      <c r="I86" s="80"/>
      <c r="J86" s="146"/>
      <c r="K86" s="146"/>
      <c r="L86" s="508"/>
      <c r="M86" s="80"/>
      <c r="N86" t="str">
        <f t="shared" si="10"/>
        <v/>
      </c>
      <c r="O86" t="str">
        <f t="shared" si="8"/>
        <v/>
      </c>
      <c r="P86" t="str">
        <f t="shared" si="7"/>
        <v/>
      </c>
      <c r="Q86" t="str">
        <f>IF($P86="","",$P86&amp;" | "&amp;TEXT(COUNTIF(P$3:P86,$P86),"00"))</f>
        <v/>
      </c>
      <c r="R86" t="str">
        <f t="shared" si="9"/>
        <v/>
      </c>
    </row>
    <row r="87" spans="1:18" x14ac:dyDescent="0.3">
      <c r="A87" s="80"/>
      <c r="B87" s="80"/>
      <c r="C87" s="80"/>
      <c r="D87" s="80"/>
      <c r="E87" s="80"/>
      <c r="F87" s="44" t="str">
        <f>IF($E87="","",IF(COUNTIF(P$3:P87,$P87)=COUNTIFS($P$3:$P$102,$P87),DATE(9999,12,31),INDEX($E$3:$E$102,MATCH($P87&amp;" | "&amp;TEXT(COUNTIF(P$3:P87,$P87)+1,"00"),$Q$3:$Q$102,0))-1))</f>
        <v/>
      </c>
      <c r="G87" s="80"/>
      <c r="H87" s="80"/>
      <c r="I87" s="80"/>
      <c r="J87" s="146"/>
      <c r="K87" s="146"/>
      <c r="L87" s="508"/>
      <c r="M87" s="80"/>
      <c r="N87" t="str">
        <f t="shared" si="10"/>
        <v/>
      </c>
      <c r="O87" t="str">
        <f t="shared" si="8"/>
        <v/>
      </c>
      <c r="P87" t="str">
        <f t="shared" si="7"/>
        <v/>
      </c>
      <c r="Q87" t="str">
        <f>IF($P87="","",$P87&amp;" | "&amp;TEXT(COUNTIF(P$3:P87,$P87),"00"))</f>
        <v/>
      </c>
      <c r="R87" t="str">
        <f t="shared" si="9"/>
        <v/>
      </c>
    </row>
    <row r="88" spans="1:18" x14ac:dyDescent="0.3">
      <c r="A88" s="80"/>
      <c r="B88" s="80"/>
      <c r="C88" s="80"/>
      <c r="D88" s="80"/>
      <c r="E88" s="80"/>
      <c r="F88" s="44" t="str">
        <f>IF($E88="","",IF(COUNTIF(P$3:P88,$P88)=COUNTIFS($P$3:$P$102,$P88),DATE(9999,12,31),INDEX($E$3:$E$102,MATCH($P88&amp;" | "&amp;TEXT(COUNTIF(P$3:P88,$P88)+1,"00"),$Q$3:$Q$102,0))-1))</f>
        <v/>
      </c>
      <c r="G88" s="80"/>
      <c r="H88" s="80"/>
      <c r="I88" s="80"/>
      <c r="J88" s="146"/>
      <c r="K88" s="146"/>
      <c r="L88" s="508"/>
      <c r="M88" s="80"/>
      <c r="N88" t="str">
        <f t="shared" si="10"/>
        <v/>
      </c>
      <c r="O88" t="str">
        <f t="shared" si="8"/>
        <v/>
      </c>
      <c r="P88" t="str">
        <f t="shared" si="7"/>
        <v/>
      </c>
      <c r="Q88" t="str">
        <f>IF($P88="","",$P88&amp;" | "&amp;TEXT(COUNTIF(P$3:P88,$P88),"00"))</f>
        <v/>
      </c>
      <c r="R88" t="str">
        <f t="shared" si="9"/>
        <v/>
      </c>
    </row>
    <row r="89" spans="1:18" x14ac:dyDescent="0.3">
      <c r="A89" s="80"/>
      <c r="B89" s="80"/>
      <c r="C89" s="80"/>
      <c r="D89" s="80"/>
      <c r="E89" s="80"/>
      <c r="F89" s="44" t="str">
        <f>IF($E89="","",IF(COUNTIF(P$3:P89,$P89)=COUNTIFS($P$3:$P$102,$P89),DATE(9999,12,31),INDEX($E$3:$E$102,MATCH($P89&amp;" | "&amp;TEXT(COUNTIF(P$3:P89,$P89)+1,"00"),$Q$3:$Q$102,0))-1))</f>
        <v/>
      </c>
      <c r="G89" s="80"/>
      <c r="H89" s="80"/>
      <c r="I89" s="80"/>
      <c r="J89" s="146"/>
      <c r="K89" s="146"/>
      <c r="L89" s="508"/>
      <c r="M89" s="80"/>
      <c r="N89" t="str">
        <f t="shared" si="10"/>
        <v/>
      </c>
      <c r="O89" t="str">
        <f t="shared" si="8"/>
        <v/>
      </c>
      <c r="P89" t="str">
        <f t="shared" si="7"/>
        <v/>
      </c>
      <c r="Q89" t="str">
        <f>IF($P89="","",$P89&amp;" | "&amp;TEXT(COUNTIF(P$3:P89,$P89),"00"))</f>
        <v/>
      </c>
      <c r="R89" t="str">
        <f t="shared" si="9"/>
        <v/>
      </c>
    </row>
    <row r="90" spans="1:18" x14ac:dyDescent="0.3">
      <c r="A90" s="80"/>
      <c r="B90" s="80"/>
      <c r="C90" s="80"/>
      <c r="D90" s="80"/>
      <c r="E90" s="80"/>
      <c r="F90" s="44" t="str">
        <f>IF($E90="","",IF(COUNTIF(P$3:P90,$P90)=COUNTIFS($P$3:$P$102,$P90),DATE(9999,12,31),INDEX($E$3:$E$102,MATCH($P90&amp;" | "&amp;TEXT(COUNTIF(P$3:P90,$P90)+1,"00"),$Q$3:$Q$102,0))-1))</f>
        <v/>
      </c>
      <c r="G90" s="80"/>
      <c r="H90" s="80"/>
      <c r="I90" s="80"/>
      <c r="J90" s="146"/>
      <c r="K90" s="146"/>
      <c r="L90" s="508"/>
      <c r="M90" s="80"/>
      <c r="N90" t="str">
        <f t="shared" si="10"/>
        <v/>
      </c>
      <c r="O90" t="str">
        <f t="shared" si="8"/>
        <v/>
      </c>
      <c r="P90" t="str">
        <f t="shared" si="7"/>
        <v/>
      </c>
      <c r="Q90" t="str">
        <f>IF($P90="","",$P90&amp;" | "&amp;TEXT(COUNTIF(P$3:P90,$P90),"00"))</f>
        <v/>
      </c>
      <c r="R90" t="str">
        <f t="shared" si="9"/>
        <v/>
      </c>
    </row>
    <row r="91" spans="1:18" x14ac:dyDescent="0.3">
      <c r="A91" s="80"/>
      <c r="B91" s="80"/>
      <c r="C91" s="80"/>
      <c r="D91" s="80"/>
      <c r="E91" s="80"/>
      <c r="F91" s="44" t="str">
        <f>IF($E91="","",IF(COUNTIF(P$3:P91,$P91)=COUNTIFS($P$3:$P$102,$P91),DATE(9999,12,31),INDEX($E$3:$E$102,MATCH($P91&amp;" | "&amp;TEXT(COUNTIF(P$3:P91,$P91)+1,"00"),$Q$3:$Q$102,0))-1))</f>
        <v/>
      </c>
      <c r="G91" s="80"/>
      <c r="H91" s="80"/>
      <c r="I91" s="80"/>
      <c r="J91" s="146"/>
      <c r="K91" s="146"/>
      <c r="L91" s="508"/>
      <c r="M91" s="80"/>
      <c r="N91" t="str">
        <f t="shared" si="10"/>
        <v/>
      </c>
      <c r="O91" t="str">
        <f t="shared" si="8"/>
        <v/>
      </c>
      <c r="P91" t="str">
        <f t="shared" si="7"/>
        <v/>
      </c>
      <c r="Q91" t="str">
        <f>IF($P91="","",$P91&amp;" | "&amp;TEXT(COUNTIF(P$3:P91,$P91),"00"))</f>
        <v/>
      </c>
      <c r="R91" t="str">
        <f t="shared" si="9"/>
        <v/>
      </c>
    </row>
    <row r="92" spans="1:18" x14ac:dyDescent="0.3">
      <c r="A92" s="80"/>
      <c r="B92" s="80"/>
      <c r="C92" s="80"/>
      <c r="D92" s="80"/>
      <c r="E92" s="80"/>
      <c r="F92" s="44" t="str">
        <f>IF($E92="","",IF(COUNTIF(P$3:P92,$P92)=COUNTIFS($P$3:$P$102,$P92),DATE(9999,12,31),INDEX($E$3:$E$102,MATCH($P92&amp;" | "&amp;TEXT(COUNTIF(P$3:P92,$P92)+1,"00"),$Q$3:$Q$102,0))-1))</f>
        <v/>
      </c>
      <c r="G92" s="80"/>
      <c r="H92" s="80"/>
      <c r="I92" s="80"/>
      <c r="J92" s="146"/>
      <c r="K92" s="146"/>
      <c r="L92" s="508"/>
      <c r="M92" s="80"/>
      <c r="N92" t="str">
        <f t="shared" si="10"/>
        <v/>
      </c>
      <c r="O92" t="str">
        <f t="shared" si="8"/>
        <v/>
      </c>
      <c r="P92" t="str">
        <f t="shared" si="7"/>
        <v/>
      </c>
      <c r="Q92" t="str">
        <f>IF($P92="","",$P92&amp;" | "&amp;TEXT(COUNTIF(P$3:P92,$P92),"00"))</f>
        <v/>
      </c>
      <c r="R92" t="str">
        <f t="shared" si="9"/>
        <v/>
      </c>
    </row>
    <row r="93" spans="1:18" x14ac:dyDescent="0.3">
      <c r="A93" s="80"/>
      <c r="B93" s="80"/>
      <c r="C93" s="80"/>
      <c r="D93" s="80"/>
      <c r="E93" s="80"/>
      <c r="F93" s="44" t="str">
        <f>IF($E93="","",IF(COUNTIF(P$3:P93,$P93)=COUNTIFS($P$3:$P$102,$P93),DATE(9999,12,31),INDEX($E$3:$E$102,MATCH($P93&amp;" | "&amp;TEXT(COUNTIF(P$3:P93,$P93)+1,"00"),$Q$3:$Q$102,0))-1))</f>
        <v/>
      </c>
      <c r="G93" s="80"/>
      <c r="H93" s="80"/>
      <c r="I93" s="80"/>
      <c r="J93" s="146"/>
      <c r="K93" s="146"/>
      <c r="L93" s="508"/>
      <c r="M93" s="80"/>
      <c r="N93" t="str">
        <f t="shared" si="10"/>
        <v/>
      </c>
      <c r="O93" t="str">
        <f t="shared" si="8"/>
        <v/>
      </c>
      <c r="P93" t="str">
        <f t="shared" si="7"/>
        <v/>
      </c>
      <c r="Q93" t="str">
        <f>IF($P93="","",$P93&amp;" | "&amp;TEXT(COUNTIF(P$3:P93,$P93),"00"))</f>
        <v/>
      </c>
      <c r="R93" t="str">
        <f t="shared" si="9"/>
        <v/>
      </c>
    </row>
    <row r="94" spans="1:18" x14ac:dyDescent="0.3">
      <c r="A94" s="80"/>
      <c r="B94" s="80"/>
      <c r="C94" s="80"/>
      <c r="D94" s="80"/>
      <c r="E94" s="80"/>
      <c r="F94" s="44" t="str">
        <f>IF($E94="","",IF(COUNTIF(P$3:P94,$P94)=COUNTIFS($P$3:$P$102,$P94),DATE(9999,12,31),INDEX($E$3:$E$102,MATCH($P94&amp;" | "&amp;TEXT(COUNTIF(P$3:P94,$P94)+1,"00"),$Q$3:$Q$102,0))-1))</f>
        <v/>
      </c>
      <c r="G94" s="80"/>
      <c r="H94" s="80"/>
      <c r="I94" s="80"/>
      <c r="J94" s="146"/>
      <c r="K94" s="146"/>
      <c r="L94" s="508"/>
      <c r="M94" s="80"/>
      <c r="N94" t="str">
        <f t="shared" si="10"/>
        <v/>
      </c>
      <c r="O94" t="str">
        <f t="shared" si="8"/>
        <v/>
      </c>
      <c r="P94" t="str">
        <f t="shared" si="7"/>
        <v/>
      </c>
      <c r="Q94" t="str">
        <f>IF($P94="","",$P94&amp;" | "&amp;TEXT(COUNTIF(P$3:P94,$P94),"00"))</f>
        <v/>
      </c>
      <c r="R94" t="str">
        <f t="shared" si="9"/>
        <v/>
      </c>
    </row>
    <row r="95" spans="1:18" x14ac:dyDescent="0.3">
      <c r="A95" s="80"/>
      <c r="B95" s="80"/>
      <c r="C95" s="80"/>
      <c r="D95" s="80"/>
      <c r="E95" s="80"/>
      <c r="F95" s="44" t="str">
        <f>IF($E95="","",IF(COUNTIF(P$3:P95,$P95)=COUNTIFS($P$3:$P$102,$P95),DATE(9999,12,31),INDEX($E$3:$E$102,MATCH($P95&amp;" | "&amp;TEXT(COUNTIF(P$3:P95,$P95)+1,"00"),$Q$3:$Q$102,0))-1))</f>
        <v/>
      </c>
      <c r="G95" s="80"/>
      <c r="H95" s="80"/>
      <c r="I95" s="80"/>
      <c r="J95" s="146"/>
      <c r="K95" s="146"/>
      <c r="L95" s="508"/>
      <c r="M95" s="80"/>
      <c r="N95" t="str">
        <f t="shared" si="10"/>
        <v/>
      </c>
      <c r="O95" t="str">
        <f t="shared" si="8"/>
        <v/>
      </c>
      <c r="P95" t="str">
        <f t="shared" si="7"/>
        <v/>
      </c>
      <c r="Q95" t="str">
        <f>IF($P95="","",$P95&amp;" | "&amp;TEXT(COUNTIF(P$3:P95,$P95),"00"))</f>
        <v/>
      </c>
      <c r="R95" t="str">
        <f t="shared" si="9"/>
        <v/>
      </c>
    </row>
    <row r="96" spans="1:18" x14ac:dyDescent="0.3">
      <c r="A96" s="80"/>
      <c r="B96" s="80"/>
      <c r="C96" s="80"/>
      <c r="D96" s="80"/>
      <c r="E96" s="80"/>
      <c r="F96" s="44" t="str">
        <f>IF($E96="","",IF(COUNTIF(P$3:P96,$P96)=COUNTIFS($P$3:$P$102,$P96),DATE(9999,12,31),INDEX($E$3:$E$102,MATCH($P96&amp;" | "&amp;TEXT(COUNTIF(P$3:P96,$P96)+1,"00"),$Q$3:$Q$102,0))-1))</f>
        <v/>
      </c>
      <c r="G96" s="80"/>
      <c r="H96" s="80"/>
      <c r="I96" s="80"/>
      <c r="J96" s="146"/>
      <c r="K96" s="146"/>
      <c r="L96" s="508"/>
      <c r="M96" s="80"/>
      <c r="N96" t="str">
        <f t="shared" si="10"/>
        <v/>
      </c>
      <c r="O96" t="str">
        <f t="shared" si="8"/>
        <v/>
      </c>
      <c r="P96" t="str">
        <f t="shared" si="7"/>
        <v/>
      </c>
      <c r="Q96" t="str">
        <f>IF($P96="","",$P96&amp;" | "&amp;TEXT(COUNTIF(P$3:P96,$P96),"00"))</f>
        <v/>
      </c>
      <c r="R96" t="str">
        <f t="shared" si="9"/>
        <v/>
      </c>
    </row>
    <row r="97" spans="1:18" x14ac:dyDescent="0.3">
      <c r="A97" s="80"/>
      <c r="B97" s="80"/>
      <c r="C97" s="80"/>
      <c r="D97" s="80"/>
      <c r="E97" s="80"/>
      <c r="F97" s="44" t="str">
        <f>IF($E97="","",IF(COUNTIF(P$3:P97,$P97)=COUNTIFS($P$3:$P$102,$P97),DATE(9999,12,31),INDEX($E$3:$E$102,MATCH($P97&amp;" | "&amp;TEXT(COUNTIF(P$3:P97,$P97)+1,"00"),$Q$3:$Q$102,0))-1))</f>
        <v/>
      </c>
      <c r="G97" s="80"/>
      <c r="H97" s="80"/>
      <c r="I97" s="80"/>
      <c r="J97" s="146"/>
      <c r="K97" s="146"/>
      <c r="L97" s="508"/>
      <c r="M97" s="80"/>
      <c r="N97" t="str">
        <f t="shared" si="10"/>
        <v/>
      </c>
      <c r="O97" t="str">
        <f t="shared" si="8"/>
        <v/>
      </c>
      <c r="P97" t="str">
        <f t="shared" si="7"/>
        <v/>
      </c>
      <c r="Q97" t="str">
        <f>IF($P97="","",$P97&amp;" | "&amp;TEXT(COUNTIF(P$3:P97,$P97),"00"))</f>
        <v/>
      </c>
      <c r="R97" t="str">
        <f t="shared" si="9"/>
        <v/>
      </c>
    </row>
    <row r="98" spans="1:18" x14ac:dyDescent="0.3">
      <c r="A98" s="80"/>
      <c r="B98" s="80"/>
      <c r="C98" s="80"/>
      <c r="D98" s="80"/>
      <c r="E98" s="80"/>
      <c r="F98" s="44" t="str">
        <f>IF($E98="","",IF(COUNTIF(P$3:P98,$P98)=COUNTIFS($P$3:$P$102,$P98),DATE(9999,12,31),INDEX($E$3:$E$102,MATCH($P98&amp;" | "&amp;TEXT(COUNTIF(P$3:P98,$P98)+1,"00"),$Q$3:$Q$102,0))-1))</f>
        <v/>
      </c>
      <c r="G98" s="80"/>
      <c r="H98" s="80"/>
      <c r="I98" s="80"/>
      <c r="J98" s="146"/>
      <c r="K98" s="146"/>
      <c r="L98" s="508"/>
      <c r="M98" s="80"/>
      <c r="N98" t="str">
        <f t="shared" si="10"/>
        <v/>
      </c>
      <c r="O98" t="str">
        <f t="shared" si="8"/>
        <v/>
      </c>
      <c r="P98" t="str">
        <f t="shared" si="7"/>
        <v/>
      </c>
      <c r="Q98" t="str">
        <f>IF($P98="","",$P98&amp;" | "&amp;TEXT(COUNTIF(P$3:P98,$P98),"00"))</f>
        <v/>
      </c>
      <c r="R98" t="str">
        <f t="shared" si="9"/>
        <v/>
      </c>
    </row>
    <row r="99" spans="1:18" x14ac:dyDescent="0.3">
      <c r="A99" s="80"/>
      <c r="B99" s="80"/>
      <c r="C99" s="80"/>
      <c r="D99" s="80"/>
      <c r="E99" s="80"/>
      <c r="F99" s="44" t="str">
        <f>IF($E99="","",IF(COUNTIF(P$3:P99,$P99)=COUNTIFS($P$3:$P$102,$P99),DATE(9999,12,31),INDEX($E$3:$E$102,MATCH($P99&amp;" | "&amp;TEXT(COUNTIF(P$3:P99,$P99)+1,"00"),$Q$3:$Q$102,0))-1))</f>
        <v/>
      </c>
      <c r="G99" s="80"/>
      <c r="H99" s="80"/>
      <c r="I99" s="80"/>
      <c r="J99" s="146"/>
      <c r="K99" s="146"/>
      <c r="L99" s="508"/>
      <c r="M99" s="80"/>
      <c r="N99" t="str">
        <f t="shared" si="10"/>
        <v/>
      </c>
      <c r="O99" t="str">
        <f t="shared" si="8"/>
        <v/>
      </c>
      <c r="P99" t="str">
        <f t="shared" si="7"/>
        <v/>
      </c>
      <c r="Q99" t="str">
        <f>IF($P99="","",$P99&amp;" | "&amp;TEXT(COUNTIF(P$3:P99,$P99),"00"))</f>
        <v/>
      </c>
      <c r="R99" t="str">
        <f t="shared" si="9"/>
        <v/>
      </c>
    </row>
    <row r="100" spans="1:18" x14ac:dyDescent="0.3">
      <c r="A100" s="80"/>
      <c r="B100" s="80"/>
      <c r="C100" s="80"/>
      <c r="D100" s="80"/>
      <c r="E100" s="80"/>
      <c r="F100" s="44" t="str">
        <f>IF($E100="","",IF(COUNTIF(P$3:P100,$P100)=COUNTIFS($P$3:$P$102,$P100),DATE(9999,12,31),INDEX($E$3:$E$102,MATCH($P100&amp;" | "&amp;TEXT(COUNTIF(P$3:P100,$P100)+1,"00"),$Q$3:$Q$102,0))-1))</f>
        <v/>
      </c>
      <c r="G100" s="80"/>
      <c r="H100" s="80"/>
      <c r="I100" s="80"/>
      <c r="J100" s="146"/>
      <c r="K100" s="146"/>
      <c r="L100" s="508"/>
      <c r="M100" s="80"/>
      <c r="N100" t="str">
        <f t="shared" si="10"/>
        <v/>
      </c>
      <c r="O100" t="str">
        <f t="shared" si="8"/>
        <v/>
      </c>
      <c r="P100" t="str">
        <f t="shared" si="7"/>
        <v/>
      </c>
      <c r="Q100" t="str">
        <f>IF($P100="","",$P100&amp;" | "&amp;TEXT(COUNTIF(P$3:P100,$P100),"00"))</f>
        <v/>
      </c>
      <c r="R100" t="str">
        <f t="shared" si="9"/>
        <v/>
      </c>
    </row>
    <row r="101" spans="1:18" x14ac:dyDescent="0.3">
      <c r="A101" s="80"/>
      <c r="B101" s="80"/>
      <c r="C101" s="80"/>
      <c r="D101" s="80"/>
      <c r="E101" s="80"/>
      <c r="F101" s="44" t="str">
        <f>IF($E101="","",IF(COUNTIF(P$3:P101,$P101)=COUNTIFS($P$3:$P$102,$P101),DATE(9999,12,31),INDEX($E$3:$E$102,MATCH($P101&amp;" | "&amp;TEXT(COUNTIF(P$3:P101,$P101)+1,"00"),$Q$3:$Q$102,0))-1))</f>
        <v/>
      </c>
      <c r="G101" s="80"/>
      <c r="H101" s="80"/>
      <c r="I101" s="80"/>
      <c r="J101" s="146"/>
      <c r="K101" s="146"/>
      <c r="L101" s="508"/>
      <c r="M101" s="80"/>
      <c r="N101" t="str">
        <f t="shared" si="10"/>
        <v/>
      </c>
      <c r="O101" t="str">
        <f t="shared" si="8"/>
        <v/>
      </c>
      <c r="P101" t="str">
        <f t="shared" si="7"/>
        <v/>
      </c>
      <c r="Q101" t="str">
        <f>IF($P101="","",$P101&amp;" | "&amp;TEXT(COUNTIF(P$3:P101,$P101),"00"))</f>
        <v/>
      </c>
      <c r="R101" t="str">
        <f t="shared" si="9"/>
        <v/>
      </c>
    </row>
    <row r="102" spans="1:18" ht="15" thickBot="1" x14ac:dyDescent="0.35">
      <c r="A102" s="80"/>
      <c r="B102" s="80"/>
      <c r="C102" s="80"/>
      <c r="D102" s="80"/>
      <c r="E102" s="80"/>
      <c r="F102" s="44" t="str">
        <f>IF($E102="","",IF(COUNTIF(P$3:P102,$P102)=COUNTIFS($P$3:$P$102,$P102),DATE(9999,12,31),INDEX($E$3:$E$102,MATCH($P102&amp;" | "&amp;TEXT(COUNTIF(P$3:P102,$P102)+1,"00"),$Q$3:$Q$102,0))-1))</f>
        <v/>
      </c>
      <c r="G102" s="80"/>
      <c r="H102" s="80"/>
      <c r="I102" s="80"/>
      <c r="J102" s="146"/>
      <c r="K102" s="146"/>
      <c r="L102" s="508"/>
      <c r="M102" s="80"/>
      <c r="N102" t="str">
        <f t="shared" si="10"/>
        <v/>
      </c>
      <c r="O102" t="str">
        <f t="shared" si="8"/>
        <v/>
      </c>
      <c r="P102" t="str">
        <f t="shared" si="7"/>
        <v/>
      </c>
      <c r="Q102" t="str">
        <f>IF($P102="","",$P102&amp;" | "&amp;TEXT(COUNTIF(P$3:P102,$P102),"00"))</f>
        <v/>
      </c>
      <c r="R102" t="str">
        <f t="shared" si="9"/>
        <v/>
      </c>
    </row>
    <row r="103" spans="1:18" s="7" customFormat="1" x14ac:dyDescent="0.3"/>
  </sheetData>
  <autoFilter ref="A2:R102" xr:uid="{2B1AA026-BC32-4724-82BD-F84FBBA20123}"/>
  <conditionalFormatting sqref="R3:R102">
    <cfRule type="duplicateValues" dxfId="0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D08A-F3C6-475A-AD0D-1F517963D629}">
  <dimension ref="A1"/>
  <sheetViews>
    <sheetView workbookViewId="0">
      <selection activeCell="AB74" sqref="AB74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9842-95B6-45C5-9E52-75385DE96983}">
  <dimension ref="B1:Q14"/>
  <sheetViews>
    <sheetView showGridLines="0" zoomScale="145" zoomScaleNormal="145" workbookViewId="0">
      <pane xSplit="3" ySplit="3" topLeftCell="D4" activePane="bottomRight" state="frozen"/>
      <selection activeCell="AB74" sqref="AB74"/>
      <selection pane="topRight" activeCell="AB74" sqref="AB74"/>
      <selection pane="bottomLeft" activeCell="AB74" sqref="AB74"/>
      <selection pane="bottomRight" activeCell="I31" sqref="I31"/>
    </sheetView>
  </sheetViews>
  <sheetFormatPr defaultRowHeight="14.4" x14ac:dyDescent="0.3"/>
  <cols>
    <col min="1" max="1" width="0.88671875" customWidth="1"/>
    <col min="2" max="2" width="21.109375" bestFit="1" customWidth="1"/>
    <col min="3" max="3" width="0.6640625" customWidth="1"/>
    <col min="4" max="5" width="11.33203125" customWidth="1"/>
    <col min="6" max="6" width="13.33203125" customWidth="1"/>
    <col min="8" max="8" width="0.6640625" customWidth="1"/>
    <col min="13" max="13" width="0.6640625" customWidth="1"/>
  </cols>
  <sheetData>
    <row r="1" spans="2:17" x14ac:dyDescent="0.3">
      <c r="B1" s="269"/>
    </row>
    <row r="2" spans="2:17" x14ac:dyDescent="0.3">
      <c r="D2" s="111" t="s">
        <v>179</v>
      </c>
      <c r="E2" s="111"/>
      <c r="F2" s="111"/>
      <c r="G2" s="111"/>
      <c r="I2" s="123" t="s">
        <v>180</v>
      </c>
      <c r="J2" s="123"/>
      <c r="K2" s="123"/>
      <c r="L2" s="123"/>
      <c r="N2" s="505" t="s">
        <v>485</v>
      </c>
      <c r="O2" s="505"/>
      <c r="P2" s="505"/>
      <c r="Q2" s="505"/>
    </row>
    <row r="3" spans="2:17" x14ac:dyDescent="0.3">
      <c r="D3" s="110" t="s">
        <v>181</v>
      </c>
      <c r="E3" s="110" t="s">
        <v>182</v>
      </c>
      <c r="F3" s="112" t="s">
        <v>52</v>
      </c>
      <c r="G3" s="112"/>
      <c r="I3" s="124" t="s">
        <v>181</v>
      </c>
      <c r="J3" s="124" t="s">
        <v>182</v>
      </c>
      <c r="K3" s="125" t="s">
        <v>52</v>
      </c>
      <c r="L3" s="125"/>
      <c r="N3" s="506" t="s">
        <v>181</v>
      </c>
      <c r="O3" s="506" t="s">
        <v>182</v>
      </c>
      <c r="P3" s="507" t="s">
        <v>52</v>
      </c>
      <c r="Q3" s="507"/>
    </row>
    <row r="4" spans="2:17" s="69" customFormat="1" x14ac:dyDescent="0.3">
      <c r="B4" s="69" t="s">
        <v>183</v>
      </c>
      <c r="D4" s="69" t="s">
        <v>184</v>
      </c>
      <c r="I4" s="69" t="s">
        <v>184</v>
      </c>
      <c r="N4" s="69" t="s">
        <v>184</v>
      </c>
    </row>
    <row r="5" spans="2:17" x14ac:dyDescent="0.3">
      <c r="B5" s="113" t="s">
        <v>185</v>
      </c>
      <c r="D5" s="114">
        <v>3000</v>
      </c>
      <c r="E5" s="114">
        <v>4000</v>
      </c>
      <c r="F5" s="115">
        <v>10</v>
      </c>
      <c r="G5" s="116" t="s">
        <v>186</v>
      </c>
      <c r="I5" s="114">
        <v>3000</v>
      </c>
      <c r="J5" s="114">
        <v>4000</v>
      </c>
      <c r="K5" s="117">
        <v>5.0000000000000001E-3</v>
      </c>
      <c r="L5" s="113" t="s">
        <v>187</v>
      </c>
      <c r="N5" s="114">
        <v>3000</v>
      </c>
      <c r="O5" s="114">
        <v>4000</v>
      </c>
      <c r="P5" s="117">
        <v>0.01</v>
      </c>
      <c r="Q5" s="113" t="s">
        <v>187</v>
      </c>
    </row>
    <row r="6" spans="2:17" x14ac:dyDescent="0.3">
      <c r="B6" s="113" t="s">
        <v>188</v>
      </c>
      <c r="D6" s="114">
        <v>4000</v>
      </c>
      <c r="E6" s="114">
        <v>5000</v>
      </c>
      <c r="F6" s="117">
        <v>1.4999999999999999E-2</v>
      </c>
      <c r="G6" s="113" t="s">
        <v>187</v>
      </c>
      <c r="I6" s="114">
        <v>4000</v>
      </c>
      <c r="J6" s="114">
        <v>5000</v>
      </c>
      <c r="K6" s="117">
        <v>0.01</v>
      </c>
      <c r="L6" s="113" t="s">
        <v>187</v>
      </c>
      <c r="N6" s="114">
        <v>4000</v>
      </c>
      <c r="O6" s="114">
        <v>5000</v>
      </c>
      <c r="P6" s="117">
        <v>0.02</v>
      </c>
      <c r="Q6" s="113" t="s">
        <v>187</v>
      </c>
    </row>
    <row r="7" spans="2:17" x14ac:dyDescent="0.3">
      <c r="B7" s="113" t="s">
        <v>189</v>
      </c>
      <c r="D7" s="114">
        <v>5000</v>
      </c>
      <c r="E7" s="114">
        <v>6000</v>
      </c>
      <c r="F7" s="117">
        <v>0.02</v>
      </c>
      <c r="G7" s="113" t="s">
        <v>187</v>
      </c>
      <c r="I7" s="114">
        <v>5000</v>
      </c>
      <c r="J7" s="114">
        <v>6000</v>
      </c>
      <c r="K7" s="117">
        <v>1.4999999999999999E-2</v>
      </c>
      <c r="L7" s="113" t="s">
        <v>187</v>
      </c>
      <c r="N7" s="114">
        <v>5000</v>
      </c>
      <c r="O7" s="114">
        <v>6000</v>
      </c>
      <c r="P7" s="117">
        <v>0.06</v>
      </c>
      <c r="Q7" s="113" t="s">
        <v>187</v>
      </c>
    </row>
    <row r="8" spans="2:17" x14ac:dyDescent="0.3">
      <c r="B8" s="113" t="s">
        <v>190</v>
      </c>
      <c r="D8" s="114">
        <v>6000</v>
      </c>
      <c r="E8" s="114">
        <v>8000</v>
      </c>
      <c r="F8" s="117">
        <v>2.5000000000000001E-2</v>
      </c>
      <c r="G8" s="113" t="s">
        <v>187</v>
      </c>
      <c r="I8" s="114">
        <v>6000</v>
      </c>
      <c r="J8" s="114">
        <v>7000</v>
      </c>
      <c r="K8" s="117">
        <v>0.05</v>
      </c>
      <c r="L8" s="113" t="s">
        <v>187</v>
      </c>
      <c r="N8" s="114">
        <v>6000</v>
      </c>
      <c r="O8" s="114" t="s">
        <v>192</v>
      </c>
      <c r="P8" s="117">
        <v>7.0000000000000007E-2</v>
      </c>
      <c r="Q8" s="113" t="s">
        <v>187</v>
      </c>
    </row>
    <row r="9" spans="2:17" x14ac:dyDescent="0.3">
      <c r="B9" s="113" t="s">
        <v>191</v>
      </c>
      <c r="D9" s="114">
        <v>8000</v>
      </c>
      <c r="E9" s="114">
        <v>10000</v>
      </c>
      <c r="F9" s="117">
        <v>2.5000000000000001E-2</v>
      </c>
      <c r="G9" s="113" t="s">
        <v>187</v>
      </c>
      <c r="I9" s="114">
        <v>7000</v>
      </c>
      <c r="J9" s="114" t="s">
        <v>192</v>
      </c>
      <c r="K9" s="117">
        <v>5.5E-2</v>
      </c>
      <c r="L9" s="113" t="s">
        <v>187</v>
      </c>
      <c r="N9" s="114"/>
      <c r="O9" s="114"/>
      <c r="P9" s="117"/>
      <c r="Q9" s="113"/>
    </row>
    <row r="10" spans="2:17" x14ac:dyDescent="0.3">
      <c r="B10" s="113" t="s">
        <v>193</v>
      </c>
      <c r="D10" s="114">
        <v>10000</v>
      </c>
      <c r="E10" s="114" t="s">
        <v>192</v>
      </c>
      <c r="F10" s="117">
        <v>2.5000000000000001E-2</v>
      </c>
      <c r="G10" s="113" t="s">
        <v>187</v>
      </c>
      <c r="I10" s="114"/>
      <c r="J10" s="114"/>
      <c r="K10" s="117"/>
      <c r="L10" s="113"/>
      <c r="N10" s="114"/>
      <c r="O10" s="114"/>
      <c r="P10" s="117"/>
      <c r="Q10" s="113"/>
    </row>
    <row r="11" spans="2:17" x14ac:dyDescent="0.3">
      <c r="D11" s="118"/>
      <c r="E11" s="118"/>
      <c r="F11" s="119"/>
      <c r="I11" s="118"/>
      <c r="K11" s="119"/>
      <c r="N11" s="118"/>
      <c r="P11" s="119"/>
    </row>
    <row r="12" spans="2:17" s="1" customFormat="1" x14ac:dyDescent="0.3">
      <c r="B12" s="41" t="s">
        <v>194</v>
      </c>
      <c r="C12"/>
      <c r="D12" s="120">
        <v>2326.4</v>
      </c>
      <c r="E12" s="41" t="s">
        <v>195</v>
      </c>
      <c r="H12"/>
      <c r="I12" s="120"/>
      <c r="J12" s="41"/>
      <c r="M12"/>
      <c r="N12" s="120"/>
      <c r="O12" s="41"/>
    </row>
    <row r="13" spans="2:17" x14ac:dyDescent="0.3">
      <c r="B13" s="22" t="s">
        <v>196</v>
      </c>
      <c r="D13" s="22"/>
      <c r="E13" s="22"/>
      <c r="F13" t="s">
        <v>197</v>
      </c>
      <c r="I13" s="22"/>
      <c r="J13" s="22"/>
      <c r="N13" s="22"/>
      <c r="O13" s="22"/>
    </row>
    <row r="14" spans="2:17" s="122" customFormat="1" x14ac:dyDescent="0.3">
      <c r="B14" s="121" t="s">
        <v>198</v>
      </c>
      <c r="D14" s="141">
        <v>10</v>
      </c>
      <c r="E14" s="121" t="s">
        <v>186</v>
      </c>
      <c r="F14" s="122" t="s">
        <v>199</v>
      </c>
      <c r="I14" s="474">
        <v>1.4999999999999999E-2</v>
      </c>
      <c r="J14" s="121" t="s">
        <v>187</v>
      </c>
      <c r="N14" s="474">
        <v>0.06</v>
      </c>
      <c r="O14" s="121" t="s">
        <v>187</v>
      </c>
    </row>
  </sheetData>
  <dataValidations count="1">
    <dataValidation type="list" allowBlank="1" showInputMessage="1" showErrorMessage="1" sqref="E14 J14 O14" xr:uid="{A5B00513-A575-4C5A-94EA-0FCAD42E06AB}">
      <formula1>$G$5:$G$10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EBA8-0C9A-44D9-8204-78DAEC0397F9}">
  <dimension ref="A2:E11"/>
  <sheetViews>
    <sheetView showGridLines="0" zoomScale="280" zoomScaleNormal="280" workbookViewId="0">
      <selection activeCell="F17" sqref="F17"/>
    </sheetView>
  </sheetViews>
  <sheetFormatPr defaultRowHeight="14.4" x14ac:dyDescent="0.3"/>
  <cols>
    <col min="1" max="1" width="7.21875" customWidth="1"/>
    <col min="2" max="2" width="9.44140625" bestFit="1" customWidth="1"/>
  </cols>
  <sheetData>
    <row r="2" spans="1:5" x14ac:dyDescent="0.3">
      <c r="A2" t="e" vm="1">
        <v>#VALUE!</v>
      </c>
      <c r="B2" t="s">
        <v>345</v>
      </c>
      <c r="C2" t="s">
        <v>374</v>
      </c>
      <c r="D2" s="407"/>
    </row>
    <row r="3" spans="1:5" x14ac:dyDescent="0.3">
      <c r="A3" t="e" vm="2">
        <v>#VALUE!</v>
      </c>
      <c r="B3" t="s">
        <v>373</v>
      </c>
      <c r="C3" t="s">
        <v>372</v>
      </c>
      <c r="D3" s="406"/>
    </row>
    <row r="4" spans="1:5" x14ac:dyDescent="0.3">
      <c r="A4" t="e" vm="3">
        <v>#VALUE!</v>
      </c>
      <c r="B4" t="s">
        <v>346</v>
      </c>
      <c r="C4" t="s">
        <v>375</v>
      </c>
      <c r="D4" s="408"/>
    </row>
    <row r="5" spans="1:5" x14ac:dyDescent="0.3">
      <c r="A5" t="e" vm="4">
        <v>#VALUE!</v>
      </c>
      <c r="B5" t="s">
        <v>376</v>
      </c>
      <c r="C5" t="s">
        <v>377</v>
      </c>
      <c r="D5" s="409"/>
    </row>
    <row r="6" spans="1:5" x14ac:dyDescent="0.3">
      <c r="A6" t="e" vm="5">
        <v>#VALUE!</v>
      </c>
      <c r="B6" t="s">
        <v>378</v>
      </c>
      <c r="C6" t="s">
        <v>379</v>
      </c>
      <c r="D6" s="410"/>
      <c r="E6" t="s">
        <v>380</v>
      </c>
    </row>
    <row r="7" spans="1:5" x14ac:dyDescent="0.3">
      <c r="C7" t="s">
        <v>381</v>
      </c>
      <c r="D7" s="411"/>
    </row>
    <row r="8" spans="1:5" x14ac:dyDescent="0.3">
      <c r="A8" t="e" vm="6">
        <v>#VALUE!</v>
      </c>
      <c r="B8" t="s">
        <v>418</v>
      </c>
      <c r="C8" t="s">
        <v>421</v>
      </c>
      <c r="D8" s="435"/>
      <c r="E8" t="s">
        <v>380</v>
      </c>
    </row>
    <row r="9" spans="1:5" x14ac:dyDescent="0.3">
      <c r="C9" t="s">
        <v>422</v>
      </c>
      <c r="D9" s="436"/>
    </row>
    <row r="11" spans="1:5" x14ac:dyDescent="0.3">
      <c r="C11" t="s">
        <v>429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3E42-BB0E-412D-A4FB-1A66F96BD3AF}">
  <dimension ref="A1:AL9"/>
  <sheetViews>
    <sheetView showGridLines="0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8" sqref="G38"/>
    </sheetView>
  </sheetViews>
  <sheetFormatPr defaultRowHeight="14.4" x14ac:dyDescent="0.3"/>
  <cols>
    <col min="1" max="1" width="20.33203125" bestFit="1" customWidth="1"/>
    <col min="38" max="38" width="3.88671875" customWidth="1"/>
    <col min="39" max="39" width="9" customWidth="1"/>
  </cols>
  <sheetData>
    <row r="1" spans="1:38" x14ac:dyDescent="0.3">
      <c r="A1" s="603" t="s">
        <v>425</v>
      </c>
      <c r="B1" s="437">
        <v>2024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543">
        <v>2025</v>
      </c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536"/>
      <c r="Z1" s="437">
        <v>2026</v>
      </c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t="s">
        <v>390</v>
      </c>
    </row>
    <row r="2" spans="1:38" x14ac:dyDescent="0.3">
      <c r="A2" s="603"/>
      <c r="B2" s="438">
        <v>1</v>
      </c>
      <c r="C2" s="438">
        <v>2</v>
      </c>
      <c r="D2" s="438">
        <v>3</v>
      </c>
      <c r="E2" s="438">
        <v>4</v>
      </c>
      <c r="F2" s="438">
        <v>5</v>
      </c>
      <c r="G2" s="438">
        <v>6</v>
      </c>
      <c r="H2" s="438">
        <v>7</v>
      </c>
      <c r="I2" s="438">
        <v>8</v>
      </c>
      <c r="J2" s="438">
        <v>9</v>
      </c>
      <c r="K2" s="438">
        <v>10</v>
      </c>
      <c r="L2" s="438">
        <v>11</v>
      </c>
      <c r="M2" s="438">
        <v>12</v>
      </c>
      <c r="N2" s="544">
        <v>1</v>
      </c>
      <c r="O2" s="438">
        <v>2</v>
      </c>
      <c r="P2" s="438">
        <v>3</v>
      </c>
      <c r="Q2" s="438">
        <v>4</v>
      </c>
      <c r="R2" s="438">
        <v>5</v>
      </c>
      <c r="S2" s="438">
        <v>6</v>
      </c>
      <c r="T2" s="438">
        <v>7</v>
      </c>
      <c r="U2" s="438">
        <v>8</v>
      </c>
      <c r="V2" s="438">
        <v>9</v>
      </c>
      <c r="W2" s="438">
        <v>10</v>
      </c>
      <c r="X2" s="438">
        <v>11</v>
      </c>
      <c r="Y2" s="537">
        <v>12</v>
      </c>
      <c r="Z2" s="438">
        <v>1</v>
      </c>
      <c r="AA2" s="438">
        <v>2</v>
      </c>
      <c r="AB2" s="438">
        <v>3</v>
      </c>
      <c r="AC2" s="438">
        <v>4</v>
      </c>
      <c r="AD2" s="438">
        <v>5</v>
      </c>
      <c r="AE2" s="438">
        <v>6</v>
      </c>
      <c r="AF2" s="438">
        <v>7</v>
      </c>
      <c r="AG2" s="438">
        <v>8</v>
      </c>
      <c r="AH2" s="438">
        <v>9</v>
      </c>
      <c r="AI2" s="438">
        <v>10</v>
      </c>
      <c r="AJ2" s="438">
        <v>11</v>
      </c>
      <c r="AK2" s="438">
        <v>12</v>
      </c>
      <c r="AL2" t="s">
        <v>390</v>
      </c>
    </row>
    <row r="3" spans="1:38" x14ac:dyDescent="0.3">
      <c r="A3" s="439" t="s">
        <v>423</v>
      </c>
      <c r="B3" s="584">
        <v>1182.7341298904905</v>
      </c>
      <c r="C3" s="584">
        <v>1234.9408843493675</v>
      </c>
      <c r="D3" s="584">
        <v>1226.4048849850465</v>
      </c>
      <c r="E3" s="584">
        <v>1198.424180913999</v>
      </c>
      <c r="F3" s="584">
        <v>1204.3691466122179</v>
      </c>
      <c r="G3" s="584">
        <v>1243.6153117457734</v>
      </c>
      <c r="H3" s="584">
        <v>1193.5732165230752</v>
      </c>
      <c r="I3" s="584">
        <v>1207.4818613848522</v>
      </c>
      <c r="J3" s="584">
        <v>1217.3694497778879</v>
      </c>
      <c r="K3" s="584">
        <v>1231.9768533370791</v>
      </c>
      <c r="L3" s="584">
        <v>1321.3232080920304</v>
      </c>
      <c r="M3" s="584">
        <v>1315.4587327089869</v>
      </c>
      <c r="N3" s="585">
        <v>1224.782096319489</v>
      </c>
      <c r="O3" s="584">
        <v>1269.5787015125252</v>
      </c>
      <c r="P3" s="584">
        <v>1240.8522305246768</v>
      </c>
      <c r="Q3" s="584">
        <v>1235.6657147667627</v>
      </c>
      <c r="R3" s="584">
        <v>1251.6241756270672</v>
      </c>
      <c r="S3" s="584">
        <v>1227.1759914472079</v>
      </c>
      <c r="T3" s="584">
        <v>1210.5468697839228</v>
      </c>
      <c r="U3" s="584">
        <v>1213.4371426274026</v>
      </c>
      <c r="V3" s="584">
        <v>1218.3254740739628</v>
      </c>
      <c r="W3" s="584">
        <v>1222.4027896029575</v>
      </c>
      <c r="X3" s="584">
        <v>1227.3708118790098</v>
      </c>
      <c r="Y3" s="586">
        <v>1254.4527797599321</v>
      </c>
      <c r="Z3" s="584">
        <v>1117.9149758732146</v>
      </c>
      <c r="AA3" s="584">
        <v>1124.0432602840124</v>
      </c>
      <c r="AB3" s="584">
        <v>1114.9543065541411</v>
      </c>
      <c r="AC3" s="584">
        <v>1150.9453593807511</v>
      </c>
      <c r="AD3" s="584"/>
      <c r="AE3" s="584"/>
      <c r="AF3" s="584"/>
      <c r="AG3" s="584"/>
      <c r="AH3" s="584"/>
      <c r="AI3" s="584"/>
      <c r="AJ3" s="584"/>
      <c r="AK3" s="584"/>
    </row>
    <row r="4" spans="1:38" x14ac:dyDescent="0.3">
      <c r="A4" s="8" t="s">
        <v>424</v>
      </c>
      <c r="B4" s="587">
        <v>1180.9667866323907</v>
      </c>
      <c r="C4" s="587">
        <v>1199.7013809910641</v>
      </c>
      <c r="D4" s="587">
        <v>1179.0985801217037</v>
      </c>
      <c r="E4" s="587">
        <v>1200.4389513108613</v>
      </c>
      <c r="F4" s="587">
        <v>1207.9269681742044</v>
      </c>
      <c r="G4" s="587">
        <v>1204.3674796747966</v>
      </c>
      <c r="H4" s="587">
        <v>1254.6012676056339</v>
      </c>
      <c r="I4" s="587">
        <v>1259.3826199740597</v>
      </c>
      <c r="J4" s="587">
        <v>1263.7258939893484</v>
      </c>
      <c r="K4" s="587">
        <v>1274.3542384562372</v>
      </c>
      <c r="L4" s="587">
        <v>1261.3793019282402</v>
      </c>
      <c r="M4" s="587">
        <v>1262.2590667311413</v>
      </c>
      <c r="N4" s="588">
        <v>1262.3936634028478</v>
      </c>
      <c r="O4" s="587">
        <v>1262.4865162143126</v>
      </c>
      <c r="P4" s="587">
        <v>1281.4274794843393</v>
      </c>
      <c r="Q4" s="587">
        <v>1277.287898512589</v>
      </c>
      <c r="R4" s="587">
        <v>1278.1904921580881</v>
      </c>
      <c r="S4" s="587">
        <v>1269.824865003445</v>
      </c>
      <c r="T4" s="587">
        <v>1291.0692763217255</v>
      </c>
      <c r="U4" s="587">
        <v>1312.723643450312</v>
      </c>
      <c r="V4" s="587">
        <v>1305.6954905040463</v>
      </c>
      <c r="W4" s="587">
        <v>1308.2516255567853</v>
      </c>
      <c r="X4" s="587">
        <v>1318.955257049731</v>
      </c>
      <c r="Y4" s="589">
        <v>1313.8679149899906</v>
      </c>
      <c r="Z4" s="587">
        <v>1120.5942753515076</v>
      </c>
      <c r="AA4" s="587">
        <v>1120.7764032368477</v>
      </c>
      <c r="AB4" s="587">
        <v>1122.2414622465203</v>
      </c>
      <c r="AC4" s="587">
        <v>1121.9134816835192</v>
      </c>
      <c r="AD4" s="587">
        <v>1124.3510452769053</v>
      </c>
      <c r="AE4" s="587">
        <v>1123.4956673297006</v>
      </c>
      <c r="AF4" s="587">
        <v>1124.4032620115981</v>
      </c>
      <c r="AG4" s="587">
        <v>1122.9676121042633</v>
      </c>
      <c r="AH4" s="587">
        <v>1123.9776190422963</v>
      </c>
      <c r="AI4" s="587">
        <v>1123.0967629704744</v>
      </c>
      <c r="AJ4" s="587">
        <v>1124.5716282903329</v>
      </c>
      <c r="AK4" s="587">
        <v>1123.5844047557937</v>
      </c>
    </row>
    <row r="5" spans="1:38" x14ac:dyDescent="0.3">
      <c r="A5" s="8" t="s">
        <v>11</v>
      </c>
      <c r="B5" s="33">
        <f>'General Data'!R72</f>
        <v>930</v>
      </c>
      <c r="C5" s="33">
        <f>'General Data'!S72</f>
        <v>943.33333333333337</v>
      </c>
      <c r="D5" s="33">
        <f>'General Data'!T72</f>
        <v>940</v>
      </c>
      <c r="E5" s="33">
        <f>'General Data'!U72</f>
        <v>940</v>
      </c>
      <c r="F5" s="33">
        <f>'General Data'!V72</f>
        <v>942</v>
      </c>
      <c r="G5" s="33">
        <f>'General Data'!W72</f>
        <v>950</v>
      </c>
      <c r="H5" s="33">
        <f>'General Data'!X72</f>
        <v>947.5</v>
      </c>
      <c r="I5" s="33">
        <f>'General Data'!Y72</f>
        <v>930</v>
      </c>
      <c r="J5" s="33">
        <f>'General Data'!Z72</f>
        <v>880</v>
      </c>
      <c r="K5" s="33">
        <f>'General Data'!AA72</f>
        <v>862.5</v>
      </c>
      <c r="L5" s="33">
        <f>'General Data'!AB72</f>
        <v>852</v>
      </c>
      <c r="M5" s="33">
        <f>'General Data'!AC72</f>
        <v>830</v>
      </c>
      <c r="N5" s="546">
        <f>'General Data'!AD72</f>
        <v>828</v>
      </c>
      <c r="O5" s="33">
        <f>'General Data'!AE72</f>
        <v>840</v>
      </c>
      <c r="P5" s="33">
        <f>'General Data'!AF72</f>
        <v>823</v>
      </c>
      <c r="Q5" s="33">
        <f>'General Data'!AG72</f>
        <v>765</v>
      </c>
      <c r="R5" s="33">
        <f>'General Data'!AH72</f>
        <v>782</v>
      </c>
      <c r="S5" s="33">
        <f>'General Data'!AI72</f>
        <v>807.5</v>
      </c>
      <c r="T5" s="33">
        <f>'General Data'!AJ72</f>
        <v>802</v>
      </c>
      <c r="U5" s="33">
        <f>'General Data'!AK72</f>
        <v>795</v>
      </c>
      <c r="V5" s="33">
        <f>'General Data'!AL72</f>
        <v>783</v>
      </c>
      <c r="W5" s="33">
        <f>'General Data'!AM72</f>
        <v>772</v>
      </c>
      <c r="X5" s="33">
        <f>'General Data'!AN72</f>
        <v>770</v>
      </c>
      <c r="Y5" s="539">
        <f>'General Data'!AO72</f>
        <v>772.5</v>
      </c>
      <c r="Z5" s="33">
        <f>'General Data'!AP72</f>
        <v>805</v>
      </c>
      <c r="AA5" s="33">
        <f>'General Data'!AQ72</f>
        <v>840</v>
      </c>
      <c r="AB5" s="33">
        <f>'General Data'!AR72</f>
        <v>1109</v>
      </c>
      <c r="AC5" s="33">
        <f>'General Data'!AS72</f>
        <v>1194</v>
      </c>
      <c r="AD5" s="33"/>
      <c r="AE5" s="33"/>
      <c r="AF5" s="33"/>
      <c r="AG5" s="33"/>
      <c r="AH5" s="33"/>
      <c r="AI5" s="33"/>
      <c r="AJ5" s="33"/>
      <c r="AK5" s="33"/>
    </row>
    <row r="6" spans="1:38" x14ac:dyDescent="0.3">
      <c r="A6" s="442" t="s">
        <v>426</v>
      </c>
      <c r="B6" s="441">
        <f>B3-B5</f>
        <v>252.73412989049052</v>
      </c>
      <c r="C6" s="441">
        <f t="shared" ref="C6:Y6" si="0">C3-C5</f>
        <v>291.60755101603411</v>
      </c>
      <c r="D6" s="441">
        <f t="shared" si="0"/>
        <v>286.40488498504646</v>
      </c>
      <c r="E6" s="441">
        <f t="shared" si="0"/>
        <v>258.42418091399895</v>
      </c>
      <c r="F6" s="441">
        <f t="shared" si="0"/>
        <v>262.36914661221795</v>
      </c>
      <c r="G6" s="441">
        <f t="shared" si="0"/>
        <v>293.6153117457734</v>
      </c>
      <c r="H6" s="441">
        <f t="shared" si="0"/>
        <v>246.07321652307519</v>
      </c>
      <c r="I6" s="441">
        <f t="shared" si="0"/>
        <v>277.48186138485221</v>
      </c>
      <c r="J6" s="441">
        <f t="shared" si="0"/>
        <v>337.36944977788789</v>
      </c>
      <c r="K6" s="441">
        <f t="shared" si="0"/>
        <v>369.47685333707909</v>
      </c>
      <c r="L6" s="441">
        <f t="shared" si="0"/>
        <v>469.32320809203043</v>
      </c>
      <c r="M6" s="441">
        <f t="shared" si="0"/>
        <v>485.45873270898687</v>
      </c>
      <c r="N6" s="547">
        <f t="shared" si="0"/>
        <v>396.78209631948903</v>
      </c>
      <c r="O6" s="441">
        <f t="shared" si="0"/>
        <v>429.57870151252519</v>
      </c>
      <c r="P6" s="441">
        <f t="shared" si="0"/>
        <v>417.85223052467677</v>
      </c>
      <c r="Q6" s="441">
        <f t="shared" si="0"/>
        <v>470.66571476676268</v>
      </c>
      <c r="R6" s="441">
        <f t="shared" si="0"/>
        <v>469.62417562706719</v>
      </c>
      <c r="S6" s="441">
        <f t="shared" si="0"/>
        <v>419.67599144720793</v>
      </c>
      <c r="T6" s="441">
        <f t="shared" si="0"/>
        <v>408.54686978392283</v>
      </c>
      <c r="U6" s="441">
        <f t="shared" si="0"/>
        <v>418.43714262740264</v>
      </c>
      <c r="V6" s="441">
        <f t="shared" si="0"/>
        <v>435.32547407396282</v>
      </c>
      <c r="W6" s="441">
        <f t="shared" si="0"/>
        <v>450.40278960295745</v>
      </c>
      <c r="X6" s="441">
        <f t="shared" si="0"/>
        <v>457.37081187900981</v>
      </c>
      <c r="Y6" s="540">
        <f t="shared" si="0"/>
        <v>481.95277975993213</v>
      </c>
      <c r="Z6" s="441">
        <f t="shared" ref="Z6:AB6" si="1">Z3-Z5</f>
        <v>312.91497587321464</v>
      </c>
      <c r="AA6" s="441">
        <f t="shared" si="1"/>
        <v>284.04326028401238</v>
      </c>
      <c r="AB6" s="441">
        <f t="shared" si="1"/>
        <v>5.9543065541411124</v>
      </c>
      <c r="AC6" s="441">
        <f t="shared" ref="AC6" si="2">AC3-AC5</f>
        <v>-43.054640619248858</v>
      </c>
      <c r="AD6" s="441"/>
      <c r="AE6" s="441"/>
      <c r="AF6" s="441"/>
      <c r="AG6" s="441"/>
      <c r="AH6" s="441"/>
      <c r="AI6" s="441"/>
      <c r="AJ6" s="441"/>
      <c r="AK6" s="441"/>
    </row>
    <row r="7" spans="1:38" x14ac:dyDescent="0.3">
      <c r="A7" s="442" t="s">
        <v>428</v>
      </c>
      <c r="B7" s="443">
        <f>IFERROR(B6/B5,0)</f>
        <v>0.27175712891450593</v>
      </c>
      <c r="C7" s="443">
        <f t="shared" ref="C7:Y7" si="3">IFERROR(C6/C5,0)</f>
        <v>0.30912461238448846</v>
      </c>
      <c r="D7" s="443">
        <f t="shared" si="3"/>
        <v>0.30468604785643238</v>
      </c>
      <c r="E7" s="443">
        <f t="shared" si="3"/>
        <v>0.27491934139787122</v>
      </c>
      <c r="F7" s="443">
        <f t="shared" si="3"/>
        <v>0.27852351020405303</v>
      </c>
      <c r="G7" s="443">
        <f t="shared" si="3"/>
        <v>0.30906874920607724</v>
      </c>
      <c r="H7" s="443">
        <f t="shared" si="3"/>
        <v>0.25970788023543556</v>
      </c>
      <c r="I7" s="443">
        <f t="shared" si="3"/>
        <v>0.29836759288693787</v>
      </c>
      <c r="J7" s="443">
        <f t="shared" si="3"/>
        <v>0.38337437474759989</v>
      </c>
      <c r="K7" s="443">
        <f t="shared" si="3"/>
        <v>0.42837896039081635</v>
      </c>
      <c r="L7" s="443">
        <f t="shared" si="3"/>
        <v>0.55084883578876809</v>
      </c>
      <c r="M7" s="443">
        <f t="shared" si="3"/>
        <v>0.58489003940841788</v>
      </c>
      <c r="N7" s="548">
        <f t="shared" si="3"/>
        <v>0.47920543033754714</v>
      </c>
      <c r="O7" s="443">
        <f t="shared" si="3"/>
        <v>0.51140321608633954</v>
      </c>
      <c r="P7" s="443">
        <f t="shared" si="3"/>
        <v>0.50771838459863516</v>
      </c>
      <c r="Q7" s="443">
        <f t="shared" si="3"/>
        <v>0.61524930034870939</v>
      </c>
      <c r="R7" s="443">
        <f t="shared" si="3"/>
        <v>0.60054242407553349</v>
      </c>
      <c r="S7" s="443">
        <f t="shared" si="3"/>
        <v>0.5197225900275021</v>
      </c>
      <c r="T7" s="443">
        <f t="shared" si="3"/>
        <v>0.50941006207471673</v>
      </c>
      <c r="U7" s="443">
        <f t="shared" si="3"/>
        <v>0.52633602846214167</v>
      </c>
      <c r="V7" s="443">
        <f t="shared" si="3"/>
        <v>0.55597123125665748</v>
      </c>
      <c r="W7" s="443">
        <f t="shared" si="3"/>
        <v>0.58342330259450448</v>
      </c>
      <c r="X7" s="443">
        <f t="shared" si="3"/>
        <v>0.59398806737533738</v>
      </c>
      <c r="Y7" s="541">
        <f t="shared" si="3"/>
        <v>0.6238870935403652</v>
      </c>
      <c r="Z7" s="443">
        <f t="shared" ref="Z7:AB7" si="4">IFERROR(Z6/Z5,0)</f>
        <v>0.38871425574312379</v>
      </c>
      <c r="AA7" s="443">
        <f t="shared" si="4"/>
        <v>0.33814673843334808</v>
      </c>
      <c r="AB7" s="443">
        <f t="shared" si="4"/>
        <v>5.3690771453030767E-3</v>
      </c>
      <c r="AC7" s="443">
        <f t="shared" ref="AC7" si="5">IFERROR(AC6/AC5,0)</f>
        <v>-3.6059162997695862E-2</v>
      </c>
      <c r="AD7" s="443"/>
      <c r="AE7" s="443"/>
      <c r="AF7" s="443"/>
      <c r="AG7" s="443"/>
      <c r="AH7" s="443"/>
      <c r="AI7" s="443"/>
      <c r="AJ7" s="443"/>
      <c r="AK7" s="443"/>
    </row>
    <row r="8" spans="1:38" x14ac:dyDescent="0.3">
      <c r="A8" t="s">
        <v>427</v>
      </c>
      <c r="B8" s="394">
        <f>B5+B6/2</f>
        <v>1056.3670649452451</v>
      </c>
      <c r="C8" s="394">
        <f t="shared" ref="C8:Y8" si="6">C5+C6/2</f>
        <v>1089.1371088413505</v>
      </c>
      <c r="D8" s="394">
        <f t="shared" si="6"/>
        <v>1083.2024424925232</v>
      </c>
      <c r="E8" s="394">
        <f t="shared" si="6"/>
        <v>1069.2120904569995</v>
      </c>
      <c r="F8" s="394">
        <f t="shared" si="6"/>
        <v>1073.1845733061091</v>
      </c>
      <c r="G8" s="394">
        <f t="shared" si="6"/>
        <v>1096.8076558728867</v>
      </c>
      <c r="H8" s="394">
        <f t="shared" si="6"/>
        <v>1070.5366082615376</v>
      </c>
      <c r="I8" s="394">
        <f t="shared" si="6"/>
        <v>1068.740930692426</v>
      </c>
      <c r="J8" s="394">
        <f t="shared" si="6"/>
        <v>1048.6847248889439</v>
      </c>
      <c r="K8" s="394">
        <f t="shared" si="6"/>
        <v>1047.2384266685394</v>
      </c>
      <c r="L8" s="394">
        <f t="shared" si="6"/>
        <v>1086.6616040460153</v>
      </c>
      <c r="M8" s="394">
        <f t="shared" si="6"/>
        <v>1072.7293663544933</v>
      </c>
      <c r="N8" s="549">
        <f t="shared" si="6"/>
        <v>1026.3910481597445</v>
      </c>
      <c r="O8" s="394">
        <f t="shared" si="6"/>
        <v>1054.7893507562626</v>
      </c>
      <c r="P8" s="394">
        <f t="shared" si="6"/>
        <v>1031.9261152623385</v>
      </c>
      <c r="Q8" s="394">
        <f t="shared" si="6"/>
        <v>1000.3328573833813</v>
      </c>
      <c r="R8" s="394">
        <f t="shared" si="6"/>
        <v>1016.8120878135336</v>
      </c>
      <c r="S8" s="394">
        <f t="shared" si="6"/>
        <v>1017.337995723604</v>
      </c>
      <c r="T8" s="394">
        <f t="shared" si="6"/>
        <v>1006.2734348919614</v>
      </c>
      <c r="U8" s="394">
        <f t="shared" si="6"/>
        <v>1004.2185713137013</v>
      </c>
      <c r="V8" s="394">
        <f t="shared" si="6"/>
        <v>1000.6627370369814</v>
      </c>
      <c r="W8" s="394">
        <f t="shared" si="6"/>
        <v>997.20139480147873</v>
      </c>
      <c r="X8" s="394">
        <f t="shared" si="6"/>
        <v>998.6854059395049</v>
      </c>
      <c r="Y8" s="542">
        <f t="shared" si="6"/>
        <v>1013.4763898799661</v>
      </c>
      <c r="Z8" s="394">
        <f t="shared" ref="Z8:AB8" si="7">Z5+Z6/2</f>
        <v>961.45748793660732</v>
      </c>
      <c r="AA8" s="394">
        <f t="shared" si="7"/>
        <v>982.02163014200619</v>
      </c>
      <c r="AB8" s="394">
        <f t="shared" si="7"/>
        <v>1111.9771532770706</v>
      </c>
      <c r="AC8" s="394">
        <f t="shared" ref="AC8" si="8">AC5+AC6/2</f>
        <v>1172.4726796903756</v>
      </c>
      <c r="AD8" s="394"/>
      <c r="AE8" s="394"/>
      <c r="AF8" s="394"/>
      <c r="AG8" s="394"/>
      <c r="AH8" s="394"/>
      <c r="AI8" s="394"/>
      <c r="AJ8" s="394"/>
      <c r="AK8" s="394"/>
    </row>
    <row r="9" spans="1:38" x14ac:dyDescent="0.3">
      <c r="N9" s="550"/>
      <c r="Y9" s="316"/>
    </row>
  </sheetData>
  <mergeCells count="1">
    <mergeCell ref="A1:A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41B7-D5FB-47E1-9A9A-5DB585753B48}">
  <dimension ref="A1:AL9"/>
  <sheetViews>
    <sheetView showGridLines="0" zoomScaleNormal="100"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AC3" sqref="AC3"/>
    </sheetView>
  </sheetViews>
  <sheetFormatPr defaultRowHeight="14.4" x14ac:dyDescent="0.3"/>
  <cols>
    <col min="1" max="1" width="20.33203125" bestFit="1" customWidth="1"/>
    <col min="38" max="38" width="3.88671875" customWidth="1"/>
    <col min="39" max="39" width="9" customWidth="1"/>
  </cols>
  <sheetData>
    <row r="1" spans="1:38" x14ac:dyDescent="0.3">
      <c r="A1" s="603" t="s">
        <v>425</v>
      </c>
      <c r="B1" s="437">
        <v>2024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543">
        <v>2025</v>
      </c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536"/>
      <c r="Z1" s="437">
        <v>2026</v>
      </c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t="s">
        <v>390</v>
      </c>
    </row>
    <row r="2" spans="1:38" x14ac:dyDescent="0.3">
      <c r="A2" s="603"/>
      <c r="B2" s="438">
        <v>1</v>
      </c>
      <c r="C2" s="438">
        <v>2</v>
      </c>
      <c r="D2" s="438">
        <v>3</v>
      </c>
      <c r="E2" s="438">
        <v>4</v>
      </c>
      <c r="F2" s="438">
        <v>5</v>
      </c>
      <c r="G2" s="438">
        <v>6</v>
      </c>
      <c r="H2" s="438">
        <v>7</v>
      </c>
      <c r="I2" s="438">
        <v>8</v>
      </c>
      <c r="J2" s="438">
        <v>9</v>
      </c>
      <c r="K2" s="438">
        <v>10</v>
      </c>
      <c r="L2" s="438">
        <v>11</v>
      </c>
      <c r="M2" s="438">
        <v>12</v>
      </c>
      <c r="N2" s="544">
        <v>1</v>
      </c>
      <c r="O2" s="438">
        <v>2</v>
      </c>
      <c r="P2" s="438">
        <v>3</v>
      </c>
      <c r="Q2" s="438">
        <v>4</v>
      </c>
      <c r="R2" s="438">
        <v>5</v>
      </c>
      <c r="S2" s="438">
        <v>6</v>
      </c>
      <c r="T2" s="438">
        <v>7</v>
      </c>
      <c r="U2" s="438">
        <v>8</v>
      </c>
      <c r="V2" s="438">
        <v>9</v>
      </c>
      <c r="W2" s="438">
        <v>10</v>
      </c>
      <c r="X2" s="438">
        <v>11</v>
      </c>
      <c r="Y2" s="537">
        <v>12</v>
      </c>
      <c r="Z2" s="438">
        <v>1</v>
      </c>
      <c r="AA2" s="438">
        <v>2</v>
      </c>
      <c r="AB2" s="438">
        <v>3</v>
      </c>
      <c r="AC2" s="438">
        <v>4</v>
      </c>
      <c r="AD2" s="438">
        <v>5</v>
      </c>
      <c r="AE2" s="438">
        <v>6</v>
      </c>
      <c r="AF2" s="438">
        <v>7</v>
      </c>
      <c r="AG2" s="438">
        <v>8</v>
      </c>
      <c r="AH2" s="438">
        <v>9</v>
      </c>
      <c r="AI2" s="438">
        <v>10</v>
      </c>
      <c r="AJ2" s="438">
        <v>11</v>
      </c>
      <c r="AK2" s="438">
        <v>12</v>
      </c>
      <c r="AL2" t="s">
        <v>390</v>
      </c>
    </row>
    <row r="3" spans="1:38" x14ac:dyDescent="0.3">
      <c r="A3" s="439" t="s">
        <v>502</v>
      </c>
      <c r="B3" s="579">
        <f>'Chart-Price-BCKQKD'!B3</f>
        <v>1182.7341298904905</v>
      </c>
      <c r="C3" s="579">
        <f>'Chart-Price-BCKQKD'!C3</f>
        <v>1234.9408843493675</v>
      </c>
      <c r="D3" s="579">
        <f>'Chart-Price-BCKQKD'!D3</f>
        <v>1226.4048849850465</v>
      </c>
      <c r="E3" s="579">
        <f>'Chart-Price-BCKQKD'!E3</f>
        <v>1198.424180913999</v>
      </c>
      <c r="F3" s="579">
        <f>'Chart-Price-BCKQKD'!F3</f>
        <v>1204.3691466122179</v>
      </c>
      <c r="G3" s="579">
        <f>'Chart-Price-BCKQKD'!G3</f>
        <v>1243.6153117457734</v>
      </c>
      <c r="H3" s="579">
        <f>'Chart-Price-BCKQKD'!H3</f>
        <v>1193.5732165230752</v>
      </c>
      <c r="I3" s="579">
        <f>'Chart-Price-BCKQKD'!I3</f>
        <v>1207.4818613848522</v>
      </c>
      <c r="J3" s="579">
        <f>'Chart-Price-BCKQKD'!J3</f>
        <v>1217.3694497778879</v>
      </c>
      <c r="K3" s="579">
        <f>'Chart-Price-BCKQKD'!K3</f>
        <v>1231.9768533370791</v>
      </c>
      <c r="L3" s="579">
        <f>'Chart-Price-BCKQKD'!L3</f>
        <v>1321.3232080920304</v>
      </c>
      <c r="M3" s="579">
        <f>'Chart-Price-BCKQKD'!M3</f>
        <v>1315.4587327089869</v>
      </c>
      <c r="N3" s="580">
        <f>'Chart-Price-BCKQKD'!N3</f>
        <v>1224.782096319489</v>
      </c>
      <c r="O3" s="579">
        <f>'Chart-Price-BCKQKD'!O3</f>
        <v>1269.5787015125252</v>
      </c>
      <c r="P3" s="579">
        <f>'Chart-Price-BCKQKD'!P3</f>
        <v>1240.8522305246768</v>
      </c>
      <c r="Q3" s="579">
        <f>'Chart-Price-BCKQKD'!Q3</f>
        <v>1235.6657147667627</v>
      </c>
      <c r="R3" s="579">
        <f>'Chart-Price-BCKQKD'!R3</f>
        <v>1251.6241756270672</v>
      </c>
      <c r="S3" s="579">
        <f>'Chart-Price-BCKQKD'!S3</f>
        <v>1227.1759914472079</v>
      </c>
      <c r="T3" s="579">
        <f>'Chart-Price-BCKQKD'!T3</f>
        <v>1210.5468697839228</v>
      </c>
      <c r="U3" s="579">
        <f>'Chart-Price-BCKQKD'!U3</f>
        <v>1213.4371426274026</v>
      </c>
      <c r="V3" s="579">
        <f>'Chart-Price-BCKQKD'!V3</f>
        <v>1218.3254740739628</v>
      </c>
      <c r="W3" s="579">
        <f>'Chart-Price-BCKQKD'!W3</f>
        <v>1222.4027896029575</v>
      </c>
      <c r="X3" s="579">
        <f>'Chart-Price-BCKQKD'!X3</f>
        <v>1227.3708118790098</v>
      </c>
      <c r="Y3" s="581">
        <f>'Chart-Price-BCKQKD'!Y3</f>
        <v>1254.4527797599321</v>
      </c>
      <c r="Z3" s="579">
        <f>'Chart-Price-BCKQKD'!Z3</f>
        <v>1117.9149758732146</v>
      </c>
      <c r="AA3" s="579">
        <f>'Chart-Price-BCKQKD'!AA3</f>
        <v>1124.0432602840124</v>
      </c>
      <c r="AB3" s="579">
        <f>'Chart-Price-BCKQKD'!AB3</f>
        <v>1114.9543065541411</v>
      </c>
      <c r="AC3" s="579">
        <f>'Chart-Price-BCKQKD'!AC3</f>
        <v>1150.9453593807511</v>
      </c>
      <c r="AD3" s="579"/>
      <c r="AE3" s="579"/>
      <c r="AF3" s="579"/>
      <c r="AG3" s="579"/>
      <c r="AH3" s="579"/>
      <c r="AI3" s="579"/>
      <c r="AJ3" s="579"/>
      <c r="AK3" s="579"/>
    </row>
    <row r="4" spans="1:38" x14ac:dyDescent="0.3">
      <c r="A4" s="8" t="s">
        <v>510</v>
      </c>
      <c r="B4" s="444">
        <f>'General Data'!R23</f>
        <v>666.1857941286039</v>
      </c>
      <c r="C4" s="444">
        <f>'General Data'!S23</f>
        <v>672.59553773969003</v>
      </c>
      <c r="D4" s="444">
        <f>'General Data'!T23</f>
        <v>670.07980243363613</v>
      </c>
      <c r="E4" s="444">
        <f>'General Data'!U23</f>
        <v>711.26752843174052</v>
      </c>
      <c r="F4" s="444">
        <f>'General Data'!V23</f>
        <v>684.76589495790017</v>
      </c>
      <c r="G4" s="444">
        <f>'General Data'!W23</f>
        <v>681.98127973690907</v>
      </c>
      <c r="H4" s="444">
        <f>'General Data'!X23</f>
        <v>643.68356400796733</v>
      </c>
      <c r="I4" s="444">
        <f>'General Data'!Y23</f>
        <v>664.71360176750454</v>
      </c>
      <c r="J4" s="444">
        <f>'General Data'!Z23</f>
        <v>680.41572266516528</v>
      </c>
      <c r="K4" s="444">
        <f>'General Data'!AA23</f>
        <v>663.30397508407145</v>
      </c>
      <c r="L4" s="444">
        <f>'General Data'!AB23</f>
        <v>662.42995521494436</v>
      </c>
      <c r="M4" s="444">
        <f>'General Data'!AC23</f>
        <v>658.05709912135217</v>
      </c>
      <c r="N4" s="582">
        <f>'General Data'!AD23</f>
        <v>673.16228940138978</v>
      </c>
      <c r="O4" s="444">
        <f>'General Data'!AE23</f>
        <v>685.68710455801738</v>
      </c>
      <c r="P4" s="444">
        <f>'General Data'!AF23</f>
        <v>698.90850095308986</v>
      </c>
      <c r="Q4" s="444">
        <f>'General Data'!AG23</f>
        <v>710.20899612591404</v>
      </c>
      <c r="R4" s="444">
        <f>'General Data'!AH23</f>
        <v>713.12492163074285</v>
      </c>
      <c r="S4" s="444">
        <f>'General Data'!AI23</f>
        <v>721.58995319837766</v>
      </c>
      <c r="T4" s="444">
        <f>'General Data'!AJ23</f>
        <v>727.83190145640049</v>
      </c>
      <c r="U4" s="444">
        <f>'General Data'!AK23</f>
        <v>707.86745039585003</v>
      </c>
      <c r="V4" s="444">
        <f>'General Data'!AL23</f>
        <v>608.79703849826114</v>
      </c>
      <c r="W4" s="444">
        <f>'General Data'!AM23</f>
        <v>570.96674836502893</v>
      </c>
      <c r="X4" s="444">
        <f>'General Data'!AN23</f>
        <v>568.77990129606144</v>
      </c>
      <c r="Y4" s="583">
        <f>'General Data'!AO23</f>
        <v>568.09609014670707</v>
      </c>
      <c r="Z4" s="444">
        <f>'General Data'!AP23</f>
        <v>584.79832486677731</v>
      </c>
      <c r="AA4" s="444">
        <f>'General Data'!AQ23</f>
        <v>588.18241880636572</v>
      </c>
      <c r="AB4" s="444">
        <f>'General Data'!AR23</f>
        <v>573.31787975057182</v>
      </c>
      <c r="AC4" s="444">
        <f>'General Data'!AS23</f>
        <v>577.93774079434604</v>
      </c>
      <c r="AD4" s="444"/>
      <c r="AE4" s="444"/>
      <c r="AF4" s="444"/>
      <c r="AG4" s="444"/>
      <c r="AH4" s="444"/>
      <c r="AI4" s="444"/>
      <c r="AJ4" s="444"/>
      <c r="AK4" s="444"/>
    </row>
    <row r="5" spans="1:38" x14ac:dyDescent="0.3">
      <c r="A5" s="8" t="s">
        <v>511</v>
      </c>
      <c r="B5" s="444">
        <f>'General Data'!R20</f>
        <v>454.25950671247932</v>
      </c>
      <c r="C5" s="444">
        <f>'General Data'!S20</f>
        <v>453.36515148112693</v>
      </c>
      <c r="D5" s="444">
        <f>'General Data'!T20</f>
        <v>456.81634770150117</v>
      </c>
      <c r="E5" s="444">
        <f>'General Data'!U20</f>
        <v>488.10694551710827</v>
      </c>
      <c r="F5" s="444">
        <f>'General Data'!V20</f>
        <v>507.6113288524088</v>
      </c>
      <c r="G5" s="444">
        <f>'General Data'!W20</f>
        <v>502.55195099883798</v>
      </c>
      <c r="H5" s="444">
        <f>'General Data'!X20</f>
        <v>449.44163474762649</v>
      </c>
      <c r="I5" s="444">
        <f>'General Data'!Y20</f>
        <v>460.38474938971746</v>
      </c>
      <c r="J5" s="444">
        <f>'General Data'!Z20</f>
        <v>476.3985295767223</v>
      </c>
      <c r="K5" s="444">
        <f>'General Data'!AA20</f>
        <v>463.24687500673917</v>
      </c>
      <c r="L5" s="444">
        <f>'General Data'!AB20</f>
        <v>477.21481195090115</v>
      </c>
      <c r="M5" s="444">
        <f>'General Data'!AC20</f>
        <v>470.36678970390926</v>
      </c>
      <c r="N5" s="582">
        <f>'General Data'!AD20</f>
        <v>480.89111023000731</v>
      </c>
      <c r="O5" s="444">
        <f>'General Data'!AE20</f>
        <v>480.85759859917755</v>
      </c>
      <c r="P5" s="444">
        <f>'General Data'!AF20</f>
        <v>493.5636552159383</v>
      </c>
      <c r="Q5" s="444">
        <f>'General Data'!AG20</f>
        <v>508.89826576912344</v>
      </c>
      <c r="R5" s="444">
        <f>'General Data'!AH20</f>
        <v>498.34061717195397</v>
      </c>
      <c r="S5" s="444">
        <f>'General Data'!AI20</f>
        <v>516.36068833808736</v>
      </c>
      <c r="T5" s="444">
        <f>'General Data'!AJ20</f>
        <v>522.336781192628</v>
      </c>
      <c r="U5" s="444">
        <f>'General Data'!AK20</f>
        <v>472.27438351942357</v>
      </c>
      <c r="V5" s="444">
        <f>'General Data'!AL20</f>
        <v>380.29552975264011</v>
      </c>
      <c r="W5" s="444">
        <f>'General Data'!AM20</f>
        <v>364.60900926289651</v>
      </c>
      <c r="X5" s="444">
        <f>'General Data'!AN20</f>
        <v>367.03538279109983</v>
      </c>
      <c r="Y5" s="583">
        <f>'General Data'!AO20</f>
        <v>367.30198558030338</v>
      </c>
      <c r="Z5" s="444">
        <f>'General Data'!AP20</f>
        <v>377.82148593129432</v>
      </c>
      <c r="AA5" s="444">
        <f>'General Data'!AQ20</f>
        <v>373.67359715909436</v>
      </c>
      <c r="AB5" s="444">
        <f>'General Data'!AR20</f>
        <v>366.23902802612628</v>
      </c>
      <c r="AC5" s="444">
        <f>'General Data'!AS20</f>
        <v>385.70025485453419</v>
      </c>
      <c r="AD5" s="444"/>
      <c r="AE5" s="444"/>
      <c r="AF5" s="444"/>
      <c r="AG5" s="444"/>
      <c r="AH5" s="444"/>
      <c r="AI5" s="444"/>
      <c r="AJ5" s="444"/>
      <c r="AK5" s="444"/>
    </row>
    <row r="6" spans="1:38" x14ac:dyDescent="0.3">
      <c r="A6" s="442" t="s">
        <v>506</v>
      </c>
      <c r="B6" s="441">
        <f>B3-B5</f>
        <v>728.47462317801114</v>
      </c>
      <c r="C6" s="441">
        <f t="shared" ref="C6:AC6" si="0">C3-C5</f>
        <v>781.57573286824049</v>
      </c>
      <c r="D6" s="441">
        <f t="shared" si="0"/>
        <v>769.58853728354529</v>
      </c>
      <c r="E6" s="441">
        <f t="shared" si="0"/>
        <v>710.31723539689074</v>
      </c>
      <c r="F6" s="441">
        <f t="shared" si="0"/>
        <v>696.75781775980909</v>
      </c>
      <c r="G6" s="441">
        <f t="shared" si="0"/>
        <v>741.06336074693536</v>
      </c>
      <c r="H6" s="441">
        <f t="shared" si="0"/>
        <v>744.13158177544869</v>
      </c>
      <c r="I6" s="441">
        <f t="shared" si="0"/>
        <v>747.09711199513481</v>
      </c>
      <c r="J6" s="441">
        <f t="shared" si="0"/>
        <v>740.97092020116565</v>
      </c>
      <c r="K6" s="441">
        <f t="shared" si="0"/>
        <v>768.72997833033992</v>
      </c>
      <c r="L6" s="441">
        <f t="shared" si="0"/>
        <v>844.10839614112933</v>
      </c>
      <c r="M6" s="441">
        <f t="shared" si="0"/>
        <v>845.09194300507761</v>
      </c>
      <c r="N6" s="547">
        <f t="shared" si="0"/>
        <v>743.89098608948166</v>
      </c>
      <c r="O6" s="441">
        <f t="shared" si="0"/>
        <v>788.72110291334764</v>
      </c>
      <c r="P6" s="441">
        <f t="shared" si="0"/>
        <v>747.28857530873847</v>
      </c>
      <c r="Q6" s="441">
        <f t="shared" si="0"/>
        <v>726.76744899763924</v>
      </c>
      <c r="R6" s="441">
        <f t="shared" si="0"/>
        <v>753.28355845511328</v>
      </c>
      <c r="S6" s="441">
        <f t="shared" si="0"/>
        <v>710.81530310912058</v>
      </c>
      <c r="T6" s="441">
        <f t="shared" si="0"/>
        <v>688.21008859129483</v>
      </c>
      <c r="U6" s="441">
        <f t="shared" si="0"/>
        <v>741.16275910797913</v>
      </c>
      <c r="V6" s="441">
        <f t="shared" si="0"/>
        <v>838.02994432132277</v>
      </c>
      <c r="W6" s="441">
        <f t="shared" si="0"/>
        <v>857.79378034006095</v>
      </c>
      <c r="X6" s="441">
        <f t="shared" si="0"/>
        <v>860.33542908790992</v>
      </c>
      <c r="Y6" s="540">
        <f t="shared" si="0"/>
        <v>887.15079417962875</v>
      </c>
      <c r="Z6" s="441">
        <f t="shared" si="0"/>
        <v>740.09348994192032</v>
      </c>
      <c r="AA6" s="441">
        <f t="shared" si="0"/>
        <v>750.36966312491802</v>
      </c>
      <c r="AB6" s="441">
        <f t="shared" si="0"/>
        <v>748.71527852801478</v>
      </c>
      <c r="AC6" s="441">
        <f t="shared" si="0"/>
        <v>765.24510452621689</v>
      </c>
      <c r="AD6" s="441"/>
      <c r="AE6" s="441"/>
      <c r="AF6" s="441"/>
      <c r="AG6" s="441"/>
      <c r="AH6" s="441"/>
      <c r="AI6" s="441"/>
      <c r="AJ6" s="441"/>
      <c r="AK6" s="441"/>
    </row>
    <row r="7" spans="1:38" x14ac:dyDescent="0.3">
      <c r="A7" s="442" t="s">
        <v>428</v>
      </c>
      <c r="B7" s="443">
        <f>IFERROR(B6/B5,0)</f>
        <v>1.6036530054154585</v>
      </c>
      <c r="C7" s="443">
        <f t="shared" ref="C7:AC7" si="1">IFERROR(C6/C5,0)</f>
        <v>1.7239431180690927</v>
      </c>
      <c r="D7" s="443">
        <f t="shared" si="1"/>
        <v>1.6846781888515507</v>
      </c>
      <c r="E7" s="443">
        <f t="shared" si="1"/>
        <v>1.4552491865166339</v>
      </c>
      <c r="F7" s="443">
        <f t="shared" si="1"/>
        <v>1.3726207004382989</v>
      </c>
      <c r="G7" s="443">
        <f t="shared" si="1"/>
        <v>1.4746005050304718</v>
      </c>
      <c r="H7" s="443">
        <f t="shared" si="1"/>
        <v>1.6556801245022581</v>
      </c>
      <c r="I7" s="443">
        <f t="shared" si="1"/>
        <v>1.6227668552997925</v>
      </c>
      <c r="J7" s="443">
        <f t="shared" si="1"/>
        <v>1.5553593770734653</v>
      </c>
      <c r="K7" s="443">
        <f t="shared" si="1"/>
        <v>1.659439102139991</v>
      </c>
      <c r="L7" s="443">
        <f t="shared" si="1"/>
        <v>1.7688227083529346</v>
      </c>
      <c r="M7" s="443">
        <f t="shared" si="1"/>
        <v>1.7966658393060737</v>
      </c>
      <c r="N7" s="548">
        <f t="shared" si="1"/>
        <v>1.5469010972851693</v>
      </c>
      <c r="O7" s="443">
        <f t="shared" si="1"/>
        <v>1.6402384098972969</v>
      </c>
      <c r="P7" s="443">
        <f t="shared" si="1"/>
        <v>1.5140672685507877</v>
      </c>
      <c r="Q7" s="443">
        <f t="shared" si="1"/>
        <v>1.4281193273457893</v>
      </c>
      <c r="R7" s="443">
        <f t="shared" si="1"/>
        <v>1.5115837090099973</v>
      </c>
      <c r="S7" s="443">
        <f t="shared" si="1"/>
        <v>1.3765867912928995</v>
      </c>
      <c r="T7" s="443">
        <f t="shared" si="1"/>
        <v>1.3175600749767915</v>
      </c>
      <c r="U7" s="443">
        <f t="shared" si="1"/>
        <v>1.5693477880057343</v>
      </c>
      <c r="V7" s="443">
        <f t="shared" si="1"/>
        <v>2.2036281753467151</v>
      </c>
      <c r="W7" s="443">
        <f t="shared" si="1"/>
        <v>2.3526401118672307</v>
      </c>
      <c r="X7" s="443">
        <f t="shared" si="1"/>
        <v>2.3440122381268469</v>
      </c>
      <c r="Y7" s="541">
        <f t="shared" si="1"/>
        <v>2.4153171749888909</v>
      </c>
      <c r="Z7" s="443">
        <f t="shared" si="1"/>
        <v>1.9588443683070582</v>
      </c>
      <c r="AA7" s="443">
        <f t="shared" si="1"/>
        <v>2.0080885265368171</v>
      </c>
      <c r="AB7" s="443">
        <f t="shared" si="1"/>
        <v>2.0443350414161867</v>
      </c>
      <c r="AC7" s="443">
        <f t="shared" si="1"/>
        <v>1.9840409615877153</v>
      </c>
      <c r="AD7" s="443"/>
      <c r="AE7" s="443"/>
      <c r="AF7" s="443"/>
      <c r="AG7" s="443"/>
      <c r="AH7" s="443"/>
      <c r="AI7" s="443"/>
      <c r="AJ7" s="443"/>
      <c r="AK7" s="443"/>
    </row>
    <row r="8" spans="1:38" x14ac:dyDescent="0.3">
      <c r="A8" t="s">
        <v>507</v>
      </c>
      <c r="B8" s="394">
        <f>B5+B6/2</f>
        <v>818.49681830148484</v>
      </c>
      <c r="C8" s="394">
        <f t="shared" ref="C8:AC8" si="2">C5+C6/2</f>
        <v>844.15301791524712</v>
      </c>
      <c r="D8" s="394">
        <f t="shared" si="2"/>
        <v>841.61061634327382</v>
      </c>
      <c r="E8" s="394">
        <f t="shared" si="2"/>
        <v>843.26556321555358</v>
      </c>
      <c r="F8" s="394">
        <f t="shared" si="2"/>
        <v>855.99023773231329</v>
      </c>
      <c r="G8" s="394">
        <f t="shared" si="2"/>
        <v>873.08363137230572</v>
      </c>
      <c r="H8" s="394">
        <f t="shared" si="2"/>
        <v>821.50742563535084</v>
      </c>
      <c r="I8" s="394">
        <f t="shared" si="2"/>
        <v>833.93330538728492</v>
      </c>
      <c r="J8" s="394">
        <f t="shared" si="2"/>
        <v>846.88398967730518</v>
      </c>
      <c r="K8" s="394">
        <f t="shared" si="2"/>
        <v>847.61186417190913</v>
      </c>
      <c r="L8" s="394">
        <f t="shared" si="2"/>
        <v>899.26901002146587</v>
      </c>
      <c r="M8" s="394">
        <f t="shared" si="2"/>
        <v>892.91276120644807</v>
      </c>
      <c r="N8" s="549">
        <f t="shared" si="2"/>
        <v>852.83660327474809</v>
      </c>
      <c r="O8" s="394">
        <f t="shared" si="2"/>
        <v>875.21815005585131</v>
      </c>
      <c r="P8" s="394">
        <f t="shared" si="2"/>
        <v>867.20794287030753</v>
      </c>
      <c r="Q8" s="394">
        <f t="shared" si="2"/>
        <v>872.281990267943</v>
      </c>
      <c r="R8" s="394">
        <f t="shared" si="2"/>
        <v>874.98239639951066</v>
      </c>
      <c r="S8" s="394">
        <f t="shared" si="2"/>
        <v>871.76833989264765</v>
      </c>
      <c r="T8" s="394">
        <f t="shared" si="2"/>
        <v>866.44182548827541</v>
      </c>
      <c r="U8" s="394">
        <f t="shared" si="2"/>
        <v>842.85576307341307</v>
      </c>
      <c r="V8" s="394">
        <f t="shared" si="2"/>
        <v>799.31050191330155</v>
      </c>
      <c r="W8" s="394">
        <f t="shared" si="2"/>
        <v>793.50589943292698</v>
      </c>
      <c r="X8" s="394">
        <f t="shared" si="2"/>
        <v>797.20309733505474</v>
      </c>
      <c r="Y8" s="542">
        <f t="shared" si="2"/>
        <v>810.87738267011775</v>
      </c>
      <c r="Z8" s="394">
        <f t="shared" si="2"/>
        <v>747.86823090225448</v>
      </c>
      <c r="AA8" s="394">
        <f t="shared" si="2"/>
        <v>748.85842872155331</v>
      </c>
      <c r="AB8" s="394">
        <f t="shared" si="2"/>
        <v>740.59666729013361</v>
      </c>
      <c r="AC8" s="394">
        <f t="shared" si="2"/>
        <v>768.3228071176427</v>
      </c>
      <c r="AD8" s="394"/>
      <c r="AE8" s="394"/>
      <c r="AF8" s="394"/>
      <c r="AG8" s="394"/>
      <c r="AH8" s="394"/>
      <c r="AI8" s="394"/>
      <c r="AJ8" s="394"/>
      <c r="AK8" s="394"/>
    </row>
    <row r="9" spans="1:38" x14ac:dyDescent="0.3">
      <c r="N9" s="550"/>
      <c r="Y9" s="316"/>
    </row>
  </sheetData>
  <mergeCells count="1">
    <mergeCell ref="A1:A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7A0C-9557-4EBA-BDCF-8697359F9E60}">
  <dimension ref="A1:AM13"/>
  <sheetViews>
    <sheetView showGridLines="0" zoomScale="85" zoomScaleNormal="85" workbookViewId="0">
      <pane xSplit="1" ySplit="3" topLeftCell="T4" activePane="bottomRight" state="frozen"/>
      <selection pane="topRight" activeCell="B1" sqref="B1"/>
      <selection pane="bottomLeft" activeCell="A3" sqref="A3"/>
      <selection pane="bottomRight" activeCell="AO50" sqref="AO50"/>
    </sheetView>
  </sheetViews>
  <sheetFormatPr defaultRowHeight="14.4" x14ac:dyDescent="0.3"/>
  <cols>
    <col min="1" max="1" width="25.77734375" bestFit="1" customWidth="1"/>
    <col min="38" max="38" width="12.77734375" bestFit="1" customWidth="1"/>
    <col min="39" max="39" width="3.88671875" customWidth="1"/>
    <col min="40" max="40" width="9" customWidth="1"/>
  </cols>
  <sheetData>
    <row r="1" spans="1:39" x14ac:dyDescent="0.3">
      <c r="AC1" s="556" t="s">
        <v>390</v>
      </c>
    </row>
    <row r="2" spans="1:39" x14ac:dyDescent="0.3">
      <c r="A2" s="603" t="s">
        <v>425</v>
      </c>
      <c r="B2" s="437">
        <v>2024</v>
      </c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543">
        <v>2025</v>
      </c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536"/>
      <c r="Z2" s="437">
        <v>2026</v>
      </c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t="s">
        <v>385</v>
      </c>
      <c r="AM2" t="s">
        <v>390</v>
      </c>
    </row>
    <row r="3" spans="1:39" x14ac:dyDescent="0.3">
      <c r="A3" s="603"/>
      <c r="B3" s="438">
        <v>1</v>
      </c>
      <c r="C3" s="438">
        <v>2</v>
      </c>
      <c r="D3" s="438">
        <v>3</v>
      </c>
      <c r="E3" s="438">
        <v>4</v>
      </c>
      <c r="F3" s="438">
        <v>5</v>
      </c>
      <c r="G3" s="438">
        <v>6</v>
      </c>
      <c r="H3" s="438">
        <v>7</v>
      </c>
      <c r="I3" s="438">
        <v>8</v>
      </c>
      <c r="J3" s="438">
        <v>9</v>
      </c>
      <c r="K3" s="438">
        <v>10</v>
      </c>
      <c r="L3" s="438">
        <v>11</v>
      </c>
      <c r="M3" s="438">
        <v>12</v>
      </c>
      <c r="N3" s="544">
        <v>1</v>
      </c>
      <c r="O3" s="438">
        <v>2</v>
      </c>
      <c r="P3" s="438">
        <v>3</v>
      </c>
      <c r="Q3" s="438">
        <v>4</v>
      </c>
      <c r="R3" s="438">
        <v>5</v>
      </c>
      <c r="S3" s="438">
        <v>6</v>
      </c>
      <c r="T3" s="438">
        <v>7</v>
      </c>
      <c r="U3" s="438">
        <v>8</v>
      </c>
      <c r="V3" s="438">
        <v>9</v>
      </c>
      <c r="W3" s="438">
        <v>10</v>
      </c>
      <c r="X3" s="438">
        <v>11</v>
      </c>
      <c r="Y3" s="537">
        <v>12</v>
      </c>
      <c r="Z3" s="438">
        <v>1</v>
      </c>
      <c r="AA3" s="438">
        <v>2</v>
      </c>
      <c r="AB3" s="438">
        <v>3</v>
      </c>
      <c r="AC3" s="438">
        <v>4</v>
      </c>
      <c r="AD3" s="438">
        <v>5</v>
      </c>
      <c r="AE3" s="438">
        <v>6</v>
      </c>
      <c r="AF3" s="438">
        <v>7</v>
      </c>
      <c r="AG3" s="438">
        <v>8</v>
      </c>
      <c r="AH3" s="438">
        <v>9</v>
      </c>
      <c r="AI3" s="438">
        <v>10</v>
      </c>
      <c r="AJ3" s="438">
        <v>11</v>
      </c>
      <c r="AK3" s="438">
        <v>12</v>
      </c>
      <c r="AM3" t="s">
        <v>390</v>
      </c>
    </row>
    <row r="4" spans="1:39" x14ac:dyDescent="0.3">
      <c r="A4" s="439" t="s">
        <v>502</v>
      </c>
      <c r="B4" s="440">
        <f>'Chart-Price-BCKQKD'!B3</f>
        <v>1182.7341298904905</v>
      </c>
      <c r="C4" s="440">
        <f>'Chart-Price-BCKQKD'!C3</f>
        <v>1234.9408843493675</v>
      </c>
      <c r="D4" s="440">
        <f>'Chart-Price-BCKQKD'!D3</f>
        <v>1226.4048849850465</v>
      </c>
      <c r="E4" s="440">
        <f>'Chart-Price-BCKQKD'!E3</f>
        <v>1198.424180913999</v>
      </c>
      <c r="F4" s="440">
        <f>'Chart-Price-BCKQKD'!F3</f>
        <v>1204.3691466122179</v>
      </c>
      <c r="G4" s="440">
        <f>'Chart-Price-BCKQKD'!G3</f>
        <v>1243.6153117457734</v>
      </c>
      <c r="H4" s="440">
        <f>'Chart-Price-BCKQKD'!H3</f>
        <v>1193.5732165230752</v>
      </c>
      <c r="I4" s="440">
        <f>'Chart-Price-BCKQKD'!I3</f>
        <v>1207.4818613848522</v>
      </c>
      <c r="J4" s="440">
        <f>'Chart-Price-BCKQKD'!J3</f>
        <v>1217.3694497778879</v>
      </c>
      <c r="K4" s="440">
        <f>'Chart-Price-BCKQKD'!K3</f>
        <v>1231.9768533370791</v>
      </c>
      <c r="L4" s="440">
        <f>'Chart-Price-BCKQKD'!L3</f>
        <v>1321.3232080920304</v>
      </c>
      <c r="M4" s="440">
        <f>'Chart-Price-BCKQKD'!M3</f>
        <v>1315.4587327089869</v>
      </c>
      <c r="N4" s="545">
        <f>'Chart-Price-BCKQKD'!N3</f>
        <v>1224.782096319489</v>
      </c>
      <c r="O4" s="440">
        <f>'Chart-Price-BCKQKD'!O3</f>
        <v>1269.5787015125252</v>
      </c>
      <c r="P4" s="440">
        <f>'Chart-Price-BCKQKD'!P3</f>
        <v>1240.8522305246768</v>
      </c>
      <c r="Q4" s="440">
        <f>'Chart-Price-BCKQKD'!Q3</f>
        <v>1235.6657147667627</v>
      </c>
      <c r="R4" s="440">
        <f>'Chart-Price-BCKQKD'!R3</f>
        <v>1251.6241756270672</v>
      </c>
      <c r="S4" s="440">
        <f>'Chart-Price-BCKQKD'!S3</f>
        <v>1227.1759914472079</v>
      </c>
      <c r="T4" s="440">
        <f>'Chart-Price-BCKQKD'!T3</f>
        <v>1210.5468697839228</v>
      </c>
      <c r="U4" s="440">
        <f>'Chart-Price-BCKQKD'!U3</f>
        <v>1213.4371426274026</v>
      </c>
      <c r="V4" s="440">
        <f>'Chart-Price-BCKQKD'!V3</f>
        <v>1218.3254740739628</v>
      </c>
      <c r="W4" s="440">
        <f>'Chart-Price-BCKQKD'!W3</f>
        <v>1222.4027896029575</v>
      </c>
      <c r="X4" s="440">
        <f>'Chart-Price-BCKQKD'!X3</f>
        <v>1227.3708118790098</v>
      </c>
      <c r="Y4" s="538">
        <f>'Chart-Price-BCKQKD'!Y3</f>
        <v>1254.4527797599321</v>
      </c>
      <c r="Z4" s="440">
        <f>'Chart-Price-BCKQKD'!Z3</f>
        <v>1117.9149758732146</v>
      </c>
      <c r="AA4" s="440">
        <f>'Chart-Price-BCKQKD'!AA3</f>
        <v>1124.0432602840124</v>
      </c>
      <c r="AB4" s="440">
        <f>'Chart-Price-BCKQKD'!AB3</f>
        <v>1114.9543065541411</v>
      </c>
      <c r="AC4" s="440">
        <f>'Chart-Price-BCKQKD'!AC3</f>
        <v>1150.9453593807511</v>
      </c>
      <c r="AD4" s="440"/>
      <c r="AE4" s="440"/>
      <c r="AF4" s="440"/>
      <c r="AG4" s="440"/>
      <c r="AH4" s="440"/>
      <c r="AI4" s="440"/>
      <c r="AJ4" s="440"/>
      <c r="AK4" s="440"/>
      <c r="AL4" s="394">
        <f>SUMIFS($B4:$AK4,$B$1:$AK$1,"x")*1.02</f>
        <v>1173.9642665683662</v>
      </c>
    </row>
    <row r="5" spans="1:39" x14ac:dyDescent="0.3">
      <c r="A5" s="8" t="s">
        <v>424</v>
      </c>
      <c r="B5" s="33">
        <f>'Chart-Price-BCKQKD'!B4</f>
        <v>1180.9667866323907</v>
      </c>
      <c r="C5" s="33">
        <f>'Chart-Price-BCKQKD'!C4</f>
        <v>1199.7013809910641</v>
      </c>
      <c r="D5" s="33">
        <f>'Chart-Price-BCKQKD'!D4</f>
        <v>1179.0985801217037</v>
      </c>
      <c r="E5" s="33">
        <f>'Chart-Price-BCKQKD'!E4</f>
        <v>1200.4389513108613</v>
      </c>
      <c r="F5" s="33">
        <f>'Chart-Price-BCKQKD'!F4</f>
        <v>1207.9269681742044</v>
      </c>
      <c r="G5" s="33">
        <f>'Chart-Price-BCKQKD'!G4</f>
        <v>1204.3674796747966</v>
      </c>
      <c r="H5" s="33">
        <f>'Chart-Price-BCKQKD'!H4</f>
        <v>1254.6012676056339</v>
      </c>
      <c r="I5" s="33">
        <f>'Chart-Price-BCKQKD'!I4</f>
        <v>1259.3826199740597</v>
      </c>
      <c r="J5" s="33">
        <f>'Chart-Price-BCKQKD'!J4</f>
        <v>1263.7258939893484</v>
      </c>
      <c r="K5" s="33">
        <f>'Chart-Price-BCKQKD'!K4</f>
        <v>1274.3542384562372</v>
      </c>
      <c r="L5" s="33">
        <f>'Chart-Price-BCKQKD'!L4</f>
        <v>1261.3793019282402</v>
      </c>
      <c r="M5" s="33">
        <f>'Chart-Price-BCKQKD'!M4</f>
        <v>1262.2590667311413</v>
      </c>
      <c r="N5" s="546">
        <f>'Chart-Price-BCKQKD'!N4</f>
        <v>1262.3936634028478</v>
      </c>
      <c r="O5" s="33">
        <f>'Chart-Price-BCKQKD'!O4</f>
        <v>1262.4865162143126</v>
      </c>
      <c r="P5" s="33">
        <f>'Chart-Price-BCKQKD'!P4</f>
        <v>1281.4274794843393</v>
      </c>
      <c r="Q5" s="33">
        <f>'Chart-Price-BCKQKD'!Q4</f>
        <v>1277.287898512589</v>
      </c>
      <c r="R5" s="33">
        <f>'Chart-Price-BCKQKD'!R4</f>
        <v>1278.1904921580881</v>
      </c>
      <c r="S5" s="33">
        <f>'Chart-Price-BCKQKD'!S4</f>
        <v>1269.824865003445</v>
      </c>
      <c r="T5" s="33">
        <f>'Chart-Price-BCKQKD'!T4</f>
        <v>1291.0692763217255</v>
      </c>
      <c r="U5" s="33">
        <f>'Chart-Price-BCKQKD'!U4</f>
        <v>1312.723643450312</v>
      </c>
      <c r="V5" s="33">
        <f>'Chart-Price-BCKQKD'!V4</f>
        <v>1305.6954905040463</v>
      </c>
      <c r="W5" s="33">
        <f>'Chart-Price-BCKQKD'!W4</f>
        <v>1308.2516255567853</v>
      </c>
      <c r="X5" s="33">
        <f>'Chart-Price-BCKQKD'!X4</f>
        <v>1318.955257049731</v>
      </c>
      <c r="Y5" s="539">
        <f>'Chart-Price-BCKQKD'!Y4</f>
        <v>1313.8679149899906</v>
      </c>
      <c r="Z5" s="33">
        <f>'Chart-Price-BCKQKD'!Z4</f>
        <v>1120.5942753515076</v>
      </c>
      <c r="AA5" s="33">
        <f>'Chart-Price-BCKQKD'!AA4</f>
        <v>1120.7764032368477</v>
      </c>
      <c r="AB5" s="33">
        <f>'Chart-Price-BCKQKD'!AB4</f>
        <v>1122.2414622465203</v>
      </c>
      <c r="AC5" s="33">
        <f>'Chart-Price-BCKQKD'!AC4</f>
        <v>1121.9134816835192</v>
      </c>
      <c r="AD5" s="33">
        <f>'Chart-Price-BCKQKD'!AD4</f>
        <v>1124.3510452769053</v>
      </c>
      <c r="AE5" s="33">
        <f>'Chart-Price-BCKQKD'!AE4</f>
        <v>1123.4956673297006</v>
      </c>
      <c r="AF5" s="33">
        <f>'Chart-Price-BCKQKD'!AF4</f>
        <v>1124.4032620115981</v>
      </c>
      <c r="AG5" s="33">
        <f>'Chart-Price-BCKQKD'!AG4</f>
        <v>1122.9676121042633</v>
      </c>
      <c r="AH5" s="33">
        <f>'Chart-Price-BCKQKD'!AH4</f>
        <v>1123.9776190422963</v>
      </c>
      <c r="AI5" s="33">
        <f>'Chart-Price-BCKQKD'!AI4</f>
        <v>1123.0967629704744</v>
      </c>
      <c r="AJ5" s="33">
        <f>'Chart-Price-BCKQKD'!AJ4</f>
        <v>1124.5716282903329</v>
      </c>
      <c r="AK5" s="33">
        <f>'Chart-Price-BCKQKD'!AK4</f>
        <v>1123.5844047557937</v>
      </c>
      <c r="AL5" s="394">
        <f>SUMIFS($B5:$AK5,$B$1:$AK$1,"x")*0.98</f>
        <v>1099.4752120498488</v>
      </c>
    </row>
    <row r="6" spans="1:39" x14ac:dyDescent="0.3">
      <c r="A6" s="8" t="s">
        <v>11</v>
      </c>
      <c r="B6" s="33">
        <f>'General Data'!R72</f>
        <v>930</v>
      </c>
      <c r="C6" s="33">
        <f>'General Data'!S72</f>
        <v>943.33333333333337</v>
      </c>
      <c r="D6" s="33">
        <f>'General Data'!T72</f>
        <v>940</v>
      </c>
      <c r="E6" s="33">
        <f>'General Data'!U72</f>
        <v>940</v>
      </c>
      <c r="F6" s="33">
        <f>'General Data'!V72</f>
        <v>942</v>
      </c>
      <c r="G6" s="33">
        <f>'General Data'!W72</f>
        <v>950</v>
      </c>
      <c r="H6" s="33">
        <f>'General Data'!X72</f>
        <v>947.5</v>
      </c>
      <c r="I6" s="33">
        <f>'General Data'!Y72</f>
        <v>930</v>
      </c>
      <c r="J6" s="33">
        <f>'General Data'!Z72</f>
        <v>880</v>
      </c>
      <c r="K6" s="33">
        <f>'General Data'!AA72</f>
        <v>862.5</v>
      </c>
      <c r="L6" s="33">
        <f>'General Data'!AB72</f>
        <v>852</v>
      </c>
      <c r="M6" s="33">
        <f>'General Data'!AC72</f>
        <v>830</v>
      </c>
      <c r="N6" s="546">
        <f>'General Data'!AD72</f>
        <v>828</v>
      </c>
      <c r="O6" s="33">
        <f>'General Data'!AE72</f>
        <v>840</v>
      </c>
      <c r="P6" s="33">
        <f>'General Data'!AF72</f>
        <v>823</v>
      </c>
      <c r="Q6" s="33">
        <f>'General Data'!AG72</f>
        <v>765</v>
      </c>
      <c r="R6" s="33">
        <f>'General Data'!AH72</f>
        <v>782</v>
      </c>
      <c r="S6" s="33">
        <f>'General Data'!AI72</f>
        <v>807.5</v>
      </c>
      <c r="T6" s="33">
        <f>'General Data'!AJ72</f>
        <v>802</v>
      </c>
      <c r="U6" s="33">
        <f>'General Data'!AK72</f>
        <v>795</v>
      </c>
      <c r="V6" s="33">
        <f>'General Data'!AL72</f>
        <v>783</v>
      </c>
      <c r="W6" s="33">
        <f>'General Data'!AM72</f>
        <v>772</v>
      </c>
      <c r="X6" s="33">
        <f>'General Data'!AN72</f>
        <v>770</v>
      </c>
      <c r="Y6" s="539">
        <f>'General Data'!AO72</f>
        <v>772.5</v>
      </c>
      <c r="Z6" s="33">
        <f>'General Data'!AP72</f>
        <v>805</v>
      </c>
      <c r="AA6" s="33">
        <f>'General Data'!AQ72</f>
        <v>840</v>
      </c>
      <c r="AB6" s="33">
        <f>'General Data'!AR72</f>
        <v>1109</v>
      </c>
      <c r="AC6" s="33">
        <v>1140</v>
      </c>
      <c r="AD6" s="33"/>
      <c r="AE6" s="33"/>
      <c r="AF6" s="33"/>
      <c r="AG6" s="33"/>
      <c r="AH6" s="33"/>
      <c r="AI6" s="33"/>
      <c r="AJ6" s="33"/>
      <c r="AK6" s="33"/>
      <c r="AL6" s="394">
        <f t="shared" ref="AL6" si="0">SUMIFS($B6:$AK6,$B$1:$AK$1,"x")</f>
        <v>1140</v>
      </c>
    </row>
    <row r="7" spans="1:39" s="555" customFormat="1" x14ac:dyDescent="0.3">
      <c r="A7" s="551" t="s">
        <v>503</v>
      </c>
      <c r="B7" s="552">
        <f>B4</f>
        <v>1182.7341298904905</v>
      </c>
      <c r="C7" s="552">
        <f t="shared" ref="C7:AC7" si="1">C4</f>
        <v>1234.9408843493675</v>
      </c>
      <c r="D7" s="552">
        <f t="shared" si="1"/>
        <v>1226.4048849850465</v>
      </c>
      <c r="E7" s="552">
        <f t="shared" si="1"/>
        <v>1198.424180913999</v>
      </c>
      <c r="F7" s="552">
        <f t="shared" si="1"/>
        <v>1204.3691466122179</v>
      </c>
      <c r="G7" s="552">
        <f t="shared" si="1"/>
        <v>1243.6153117457734</v>
      </c>
      <c r="H7" s="552">
        <f t="shared" si="1"/>
        <v>1193.5732165230752</v>
      </c>
      <c r="I7" s="552">
        <f t="shared" si="1"/>
        <v>1207.4818613848522</v>
      </c>
      <c r="J7" s="552">
        <f t="shared" si="1"/>
        <v>1217.3694497778879</v>
      </c>
      <c r="K7" s="552">
        <f t="shared" si="1"/>
        <v>1231.9768533370791</v>
      </c>
      <c r="L7" s="552">
        <f t="shared" si="1"/>
        <v>1321.3232080920304</v>
      </c>
      <c r="M7" s="552">
        <f t="shared" si="1"/>
        <v>1315.4587327089869</v>
      </c>
      <c r="N7" s="553">
        <f t="shared" si="1"/>
        <v>1224.782096319489</v>
      </c>
      <c r="O7" s="552">
        <f t="shared" si="1"/>
        <v>1269.5787015125252</v>
      </c>
      <c r="P7" s="552">
        <f t="shared" si="1"/>
        <v>1240.8522305246768</v>
      </c>
      <c r="Q7" s="552">
        <f t="shared" si="1"/>
        <v>1235.6657147667627</v>
      </c>
      <c r="R7" s="552">
        <f t="shared" si="1"/>
        <v>1251.6241756270672</v>
      </c>
      <c r="S7" s="552">
        <f t="shared" si="1"/>
        <v>1227.1759914472079</v>
      </c>
      <c r="T7" s="552">
        <f t="shared" si="1"/>
        <v>1210.5468697839228</v>
      </c>
      <c r="U7" s="552">
        <f t="shared" si="1"/>
        <v>1213.4371426274026</v>
      </c>
      <c r="V7" s="552">
        <f t="shared" si="1"/>
        <v>1218.3254740739628</v>
      </c>
      <c r="W7" s="552">
        <f t="shared" si="1"/>
        <v>1222.4027896029575</v>
      </c>
      <c r="X7" s="552">
        <f t="shared" si="1"/>
        <v>1227.3708118790098</v>
      </c>
      <c r="Y7" s="554">
        <f t="shared" si="1"/>
        <v>1254.4527797599321</v>
      </c>
      <c r="Z7" s="552">
        <f t="shared" si="1"/>
        <v>1117.9149758732146</v>
      </c>
      <c r="AA7" s="552">
        <f t="shared" si="1"/>
        <v>1124.0432602840124</v>
      </c>
      <c r="AB7" s="552">
        <f t="shared" si="1"/>
        <v>1114.9543065541411</v>
      </c>
      <c r="AC7" s="552">
        <f t="shared" si="1"/>
        <v>1150.9453593807511</v>
      </c>
      <c r="AD7" s="552"/>
      <c r="AE7" s="552"/>
      <c r="AF7" s="552"/>
      <c r="AG7" s="552"/>
      <c r="AH7" s="552"/>
      <c r="AI7" s="552"/>
      <c r="AJ7" s="552"/>
      <c r="AK7" s="552"/>
      <c r="AL7" s="555" t="s">
        <v>423</v>
      </c>
    </row>
    <row r="8" spans="1:39" s="555" customFormat="1" x14ac:dyDescent="0.3">
      <c r="A8" s="551" t="s">
        <v>504</v>
      </c>
      <c r="B8" s="552">
        <f t="shared" ref="B8:AC8" si="2">B5</f>
        <v>1180.9667866323907</v>
      </c>
      <c r="C8" s="552">
        <f t="shared" si="2"/>
        <v>1199.7013809910641</v>
      </c>
      <c r="D8" s="552">
        <f t="shared" si="2"/>
        <v>1179.0985801217037</v>
      </c>
      <c r="E8" s="552">
        <f t="shared" si="2"/>
        <v>1200.4389513108613</v>
      </c>
      <c r="F8" s="552">
        <f t="shared" si="2"/>
        <v>1207.9269681742044</v>
      </c>
      <c r="G8" s="552">
        <f t="shared" si="2"/>
        <v>1204.3674796747966</v>
      </c>
      <c r="H8" s="552">
        <f t="shared" si="2"/>
        <v>1254.6012676056339</v>
      </c>
      <c r="I8" s="552">
        <f t="shared" si="2"/>
        <v>1259.3826199740597</v>
      </c>
      <c r="J8" s="552">
        <f t="shared" si="2"/>
        <v>1263.7258939893484</v>
      </c>
      <c r="K8" s="552">
        <f t="shared" si="2"/>
        <v>1274.3542384562372</v>
      </c>
      <c r="L8" s="552">
        <f t="shared" si="2"/>
        <v>1261.3793019282402</v>
      </c>
      <c r="M8" s="552">
        <f t="shared" si="2"/>
        <v>1262.2590667311413</v>
      </c>
      <c r="N8" s="553">
        <f t="shared" si="2"/>
        <v>1262.3936634028478</v>
      </c>
      <c r="O8" s="552">
        <f t="shared" si="2"/>
        <v>1262.4865162143126</v>
      </c>
      <c r="P8" s="552">
        <f t="shared" si="2"/>
        <v>1281.4274794843393</v>
      </c>
      <c r="Q8" s="552">
        <f t="shared" si="2"/>
        <v>1277.287898512589</v>
      </c>
      <c r="R8" s="552">
        <f t="shared" si="2"/>
        <v>1278.1904921580881</v>
      </c>
      <c r="S8" s="552">
        <f t="shared" si="2"/>
        <v>1269.824865003445</v>
      </c>
      <c r="T8" s="552">
        <f t="shared" si="2"/>
        <v>1291.0692763217255</v>
      </c>
      <c r="U8" s="552">
        <f t="shared" si="2"/>
        <v>1312.723643450312</v>
      </c>
      <c r="V8" s="552">
        <f t="shared" si="2"/>
        <v>1305.6954905040463</v>
      </c>
      <c r="W8" s="552">
        <f t="shared" si="2"/>
        <v>1308.2516255567853</v>
      </c>
      <c r="X8" s="552">
        <f t="shared" si="2"/>
        <v>1318.955257049731</v>
      </c>
      <c r="Y8" s="554">
        <f t="shared" si="2"/>
        <v>1313.8679149899906</v>
      </c>
      <c r="Z8" s="552">
        <f t="shared" si="2"/>
        <v>1120.5942753515076</v>
      </c>
      <c r="AA8" s="552">
        <f t="shared" si="2"/>
        <v>1120.7764032368477</v>
      </c>
      <c r="AB8" s="552">
        <f t="shared" si="2"/>
        <v>1122.2414622465203</v>
      </c>
      <c r="AC8" s="552">
        <f t="shared" si="2"/>
        <v>1121.9134816835192</v>
      </c>
      <c r="AD8" s="552"/>
      <c r="AE8" s="552"/>
      <c r="AF8" s="552"/>
      <c r="AG8" s="552"/>
      <c r="AH8" s="552"/>
      <c r="AI8" s="552"/>
      <c r="AJ8" s="552"/>
      <c r="AK8" s="552"/>
      <c r="AL8" s="555" t="s">
        <v>424</v>
      </c>
    </row>
    <row r="9" spans="1:39" s="555" customFormat="1" x14ac:dyDescent="0.3">
      <c r="A9" s="551" t="s">
        <v>505</v>
      </c>
      <c r="B9" s="552">
        <f t="shared" ref="B9:AC9" si="3">B6</f>
        <v>930</v>
      </c>
      <c r="C9" s="552">
        <f t="shared" si="3"/>
        <v>943.33333333333337</v>
      </c>
      <c r="D9" s="552">
        <f t="shared" si="3"/>
        <v>940</v>
      </c>
      <c r="E9" s="552">
        <f t="shared" si="3"/>
        <v>940</v>
      </c>
      <c r="F9" s="552">
        <f t="shared" si="3"/>
        <v>942</v>
      </c>
      <c r="G9" s="552">
        <f t="shared" si="3"/>
        <v>950</v>
      </c>
      <c r="H9" s="552">
        <f t="shared" si="3"/>
        <v>947.5</v>
      </c>
      <c r="I9" s="552">
        <f t="shared" si="3"/>
        <v>930</v>
      </c>
      <c r="J9" s="552">
        <f t="shared" si="3"/>
        <v>880</v>
      </c>
      <c r="K9" s="552">
        <f t="shared" si="3"/>
        <v>862.5</v>
      </c>
      <c r="L9" s="552">
        <f t="shared" si="3"/>
        <v>852</v>
      </c>
      <c r="M9" s="552">
        <f t="shared" si="3"/>
        <v>830</v>
      </c>
      <c r="N9" s="553">
        <f t="shared" si="3"/>
        <v>828</v>
      </c>
      <c r="O9" s="552">
        <f t="shared" si="3"/>
        <v>840</v>
      </c>
      <c r="P9" s="552">
        <f t="shared" si="3"/>
        <v>823</v>
      </c>
      <c r="Q9" s="552">
        <f t="shared" si="3"/>
        <v>765</v>
      </c>
      <c r="R9" s="552">
        <f t="shared" si="3"/>
        <v>782</v>
      </c>
      <c r="S9" s="552">
        <f t="shared" si="3"/>
        <v>807.5</v>
      </c>
      <c r="T9" s="552">
        <f t="shared" si="3"/>
        <v>802</v>
      </c>
      <c r="U9" s="552">
        <f t="shared" si="3"/>
        <v>795</v>
      </c>
      <c r="V9" s="552">
        <f t="shared" si="3"/>
        <v>783</v>
      </c>
      <c r="W9" s="552">
        <f t="shared" si="3"/>
        <v>772</v>
      </c>
      <c r="X9" s="552">
        <f t="shared" si="3"/>
        <v>770</v>
      </c>
      <c r="Y9" s="554">
        <f t="shared" si="3"/>
        <v>772.5</v>
      </c>
      <c r="Z9" s="552">
        <f t="shared" si="3"/>
        <v>805</v>
      </c>
      <c r="AA9" s="552">
        <f t="shared" si="3"/>
        <v>840</v>
      </c>
      <c r="AB9" s="552">
        <f t="shared" si="3"/>
        <v>1109</v>
      </c>
      <c r="AC9" s="552">
        <f t="shared" si="3"/>
        <v>1140</v>
      </c>
      <c r="AD9" s="552"/>
      <c r="AE9" s="552"/>
      <c r="AF9" s="552"/>
      <c r="AG9" s="552"/>
      <c r="AH9" s="552"/>
      <c r="AI9" s="552"/>
      <c r="AJ9" s="552"/>
      <c r="AK9" s="552"/>
      <c r="AL9" s="555" t="s">
        <v>11</v>
      </c>
    </row>
    <row r="10" spans="1:39" x14ac:dyDescent="0.3">
      <c r="A10" s="442" t="s">
        <v>426</v>
      </c>
      <c r="B10" s="441">
        <f t="shared" ref="B10:AC10" si="4">B4-B6</f>
        <v>252.73412989049052</v>
      </c>
      <c r="C10" s="441">
        <f t="shared" si="4"/>
        <v>291.60755101603411</v>
      </c>
      <c r="D10" s="441">
        <f t="shared" si="4"/>
        <v>286.40488498504646</v>
      </c>
      <c r="E10" s="441">
        <f t="shared" si="4"/>
        <v>258.42418091399895</v>
      </c>
      <c r="F10" s="441">
        <f t="shared" si="4"/>
        <v>262.36914661221795</v>
      </c>
      <c r="G10" s="441">
        <f t="shared" si="4"/>
        <v>293.6153117457734</v>
      </c>
      <c r="H10" s="441">
        <f t="shared" si="4"/>
        <v>246.07321652307519</v>
      </c>
      <c r="I10" s="441">
        <f t="shared" si="4"/>
        <v>277.48186138485221</v>
      </c>
      <c r="J10" s="441">
        <f t="shared" si="4"/>
        <v>337.36944977788789</v>
      </c>
      <c r="K10" s="441">
        <f t="shared" si="4"/>
        <v>369.47685333707909</v>
      </c>
      <c r="L10" s="441">
        <f t="shared" si="4"/>
        <v>469.32320809203043</v>
      </c>
      <c r="M10" s="441">
        <f t="shared" si="4"/>
        <v>485.45873270898687</v>
      </c>
      <c r="N10" s="547">
        <f t="shared" si="4"/>
        <v>396.78209631948903</v>
      </c>
      <c r="O10" s="441">
        <f t="shared" si="4"/>
        <v>429.57870151252519</v>
      </c>
      <c r="P10" s="441">
        <f t="shared" si="4"/>
        <v>417.85223052467677</v>
      </c>
      <c r="Q10" s="441">
        <f t="shared" si="4"/>
        <v>470.66571476676268</v>
      </c>
      <c r="R10" s="441">
        <f t="shared" si="4"/>
        <v>469.62417562706719</v>
      </c>
      <c r="S10" s="441">
        <f t="shared" si="4"/>
        <v>419.67599144720793</v>
      </c>
      <c r="T10" s="441">
        <f t="shared" si="4"/>
        <v>408.54686978392283</v>
      </c>
      <c r="U10" s="441">
        <f t="shared" si="4"/>
        <v>418.43714262740264</v>
      </c>
      <c r="V10" s="441">
        <f t="shared" si="4"/>
        <v>435.32547407396282</v>
      </c>
      <c r="W10" s="441">
        <f t="shared" si="4"/>
        <v>450.40278960295745</v>
      </c>
      <c r="X10" s="441">
        <f t="shared" si="4"/>
        <v>457.37081187900981</v>
      </c>
      <c r="Y10" s="540">
        <f t="shared" si="4"/>
        <v>481.95277975993213</v>
      </c>
      <c r="Z10" s="441">
        <f t="shared" si="4"/>
        <v>312.91497587321464</v>
      </c>
      <c r="AA10" s="441">
        <f t="shared" si="4"/>
        <v>284.04326028401238</v>
      </c>
      <c r="AB10" s="441">
        <f t="shared" si="4"/>
        <v>5.9543065541411124</v>
      </c>
      <c r="AC10" s="441">
        <f t="shared" si="4"/>
        <v>10.945359380751142</v>
      </c>
      <c r="AD10" s="441"/>
      <c r="AE10" s="441"/>
      <c r="AF10" s="441"/>
      <c r="AG10" s="441"/>
      <c r="AH10" s="441"/>
      <c r="AI10" s="441"/>
      <c r="AJ10" s="441"/>
      <c r="AK10" s="441"/>
    </row>
    <row r="11" spans="1:39" x14ac:dyDescent="0.3">
      <c r="A11" s="442" t="s">
        <v>428</v>
      </c>
      <c r="B11" s="443">
        <f t="shared" ref="B11:AC11" si="5">IFERROR(B10/B6,0)</f>
        <v>0.27175712891450593</v>
      </c>
      <c r="C11" s="443">
        <f t="shared" si="5"/>
        <v>0.30912461238448846</v>
      </c>
      <c r="D11" s="443">
        <f t="shared" si="5"/>
        <v>0.30468604785643238</v>
      </c>
      <c r="E11" s="443">
        <f t="shared" si="5"/>
        <v>0.27491934139787122</v>
      </c>
      <c r="F11" s="443">
        <f t="shared" si="5"/>
        <v>0.27852351020405303</v>
      </c>
      <c r="G11" s="443">
        <f t="shared" si="5"/>
        <v>0.30906874920607724</v>
      </c>
      <c r="H11" s="443">
        <f t="shared" si="5"/>
        <v>0.25970788023543556</v>
      </c>
      <c r="I11" s="443">
        <f t="shared" si="5"/>
        <v>0.29836759288693787</v>
      </c>
      <c r="J11" s="443">
        <f t="shared" si="5"/>
        <v>0.38337437474759989</v>
      </c>
      <c r="K11" s="443">
        <f t="shared" si="5"/>
        <v>0.42837896039081635</v>
      </c>
      <c r="L11" s="443">
        <f t="shared" si="5"/>
        <v>0.55084883578876809</v>
      </c>
      <c r="M11" s="443">
        <f t="shared" si="5"/>
        <v>0.58489003940841788</v>
      </c>
      <c r="N11" s="548">
        <f t="shared" si="5"/>
        <v>0.47920543033754714</v>
      </c>
      <c r="O11" s="443">
        <f t="shared" si="5"/>
        <v>0.51140321608633954</v>
      </c>
      <c r="P11" s="443">
        <f t="shared" si="5"/>
        <v>0.50771838459863516</v>
      </c>
      <c r="Q11" s="443">
        <f t="shared" si="5"/>
        <v>0.61524930034870939</v>
      </c>
      <c r="R11" s="443">
        <f t="shared" si="5"/>
        <v>0.60054242407553349</v>
      </c>
      <c r="S11" s="443">
        <f t="shared" si="5"/>
        <v>0.5197225900275021</v>
      </c>
      <c r="T11" s="443">
        <f t="shared" si="5"/>
        <v>0.50941006207471673</v>
      </c>
      <c r="U11" s="443">
        <f t="shared" si="5"/>
        <v>0.52633602846214167</v>
      </c>
      <c r="V11" s="443">
        <f t="shared" si="5"/>
        <v>0.55597123125665748</v>
      </c>
      <c r="W11" s="443">
        <f t="shared" si="5"/>
        <v>0.58342330259450448</v>
      </c>
      <c r="X11" s="443">
        <f t="shared" si="5"/>
        <v>0.59398806737533738</v>
      </c>
      <c r="Y11" s="541">
        <f t="shared" si="5"/>
        <v>0.6238870935403652</v>
      </c>
      <c r="Z11" s="443">
        <f t="shared" si="5"/>
        <v>0.38871425574312379</v>
      </c>
      <c r="AA11" s="443">
        <f t="shared" si="5"/>
        <v>0.33814673843334808</v>
      </c>
      <c r="AB11" s="443">
        <f t="shared" si="5"/>
        <v>5.3690771453030767E-3</v>
      </c>
      <c r="AC11" s="443">
        <f t="shared" si="5"/>
        <v>9.6011924392553887E-3</v>
      </c>
      <c r="AD11" s="443"/>
      <c r="AE11" s="443"/>
      <c r="AF11" s="443"/>
      <c r="AG11" s="443"/>
      <c r="AH11" s="443"/>
      <c r="AI11" s="443"/>
      <c r="AJ11" s="443"/>
      <c r="AK11" s="443"/>
    </row>
    <row r="12" spans="1:39" x14ac:dyDescent="0.3">
      <c r="A12" t="s">
        <v>427</v>
      </c>
      <c r="B12" s="394">
        <f t="shared" ref="B12:AC12" si="6">B6+B10/2</f>
        <v>1056.3670649452451</v>
      </c>
      <c r="C12" s="394">
        <f t="shared" si="6"/>
        <v>1089.1371088413505</v>
      </c>
      <c r="D12" s="394">
        <f t="shared" si="6"/>
        <v>1083.2024424925232</v>
      </c>
      <c r="E12" s="394">
        <f t="shared" si="6"/>
        <v>1069.2120904569995</v>
      </c>
      <c r="F12" s="394">
        <f t="shared" si="6"/>
        <v>1073.1845733061091</v>
      </c>
      <c r="G12" s="394">
        <f t="shared" si="6"/>
        <v>1096.8076558728867</v>
      </c>
      <c r="H12" s="394">
        <f t="shared" si="6"/>
        <v>1070.5366082615376</v>
      </c>
      <c r="I12" s="394">
        <f t="shared" si="6"/>
        <v>1068.740930692426</v>
      </c>
      <c r="J12" s="394">
        <f t="shared" si="6"/>
        <v>1048.6847248889439</v>
      </c>
      <c r="K12" s="394">
        <f t="shared" si="6"/>
        <v>1047.2384266685394</v>
      </c>
      <c r="L12" s="394">
        <f t="shared" si="6"/>
        <v>1086.6616040460153</v>
      </c>
      <c r="M12" s="394">
        <f t="shared" si="6"/>
        <v>1072.7293663544933</v>
      </c>
      <c r="N12" s="549">
        <f t="shared" si="6"/>
        <v>1026.3910481597445</v>
      </c>
      <c r="O12" s="394">
        <f t="shared" si="6"/>
        <v>1054.7893507562626</v>
      </c>
      <c r="P12" s="394">
        <f t="shared" si="6"/>
        <v>1031.9261152623385</v>
      </c>
      <c r="Q12" s="394">
        <f t="shared" si="6"/>
        <v>1000.3328573833813</v>
      </c>
      <c r="R12" s="394">
        <f t="shared" si="6"/>
        <v>1016.8120878135336</v>
      </c>
      <c r="S12" s="394">
        <f t="shared" si="6"/>
        <v>1017.337995723604</v>
      </c>
      <c r="T12" s="394">
        <f t="shared" si="6"/>
        <v>1006.2734348919614</v>
      </c>
      <c r="U12" s="394">
        <f t="shared" si="6"/>
        <v>1004.2185713137013</v>
      </c>
      <c r="V12" s="394">
        <f t="shared" si="6"/>
        <v>1000.6627370369814</v>
      </c>
      <c r="W12" s="394">
        <f t="shared" si="6"/>
        <v>997.20139480147873</v>
      </c>
      <c r="X12" s="394">
        <f t="shared" si="6"/>
        <v>998.6854059395049</v>
      </c>
      <c r="Y12" s="542">
        <f t="shared" si="6"/>
        <v>1013.4763898799661</v>
      </c>
      <c r="Z12" s="394">
        <f t="shared" si="6"/>
        <v>961.45748793660732</v>
      </c>
      <c r="AA12" s="394">
        <f t="shared" si="6"/>
        <v>982.02163014200619</v>
      </c>
      <c r="AB12" s="394">
        <f t="shared" si="6"/>
        <v>1111.9771532770706</v>
      </c>
      <c r="AC12" s="394">
        <f t="shared" si="6"/>
        <v>1145.4726796903756</v>
      </c>
      <c r="AD12" s="394"/>
      <c r="AE12" s="394"/>
      <c r="AF12" s="394"/>
      <c r="AG12" s="394"/>
      <c r="AH12" s="394"/>
      <c r="AI12" s="394"/>
      <c r="AJ12" s="394"/>
      <c r="AK12" s="394"/>
    </row>
    <row r="13" spans="1:39" s="14" customFormat="1" x14ac:dyDescent="0.3">
      <c r="A13" s="14" t="s">
        <v>514</v>
      </c>
      <c r="B13" s="557">
        <f>B6</f>
        <v>930</v>
      </c>
      <c r="C13" s="557">
        <f t="shared" ref="C13:AC13" si="7">C6</f>
        <v>943.33333333333337</v>
      </c>
      <c r="D13" s="557">
        <f t="shared" si="7"/>
        <v>940</v>
      </c>
      <c r="E13" s="557">
        <f t="shared" si="7"/>
        <v>940</v>
      </c>
      <c r="F13" s="557">
        <f t="shared" si="7"/>
        <v>942</v>
      </c>
      <c r="G13" s="557">
        <f t="shared" si="7"/>
        <v>950</v>
      </c>
      <c r="H13" s="557">
        <f t="shared" si="7"/>
        <v>947.5</v>
      </c>
      <c r="I13" s="557">
        <f t="shared" si="7"/>
        <v>930</v>
      </c>
      <c r="J13" s="557">
        <f t="shared" si="7"/>
        <v>880</v>
      </c>
      <c r="K13" s="557">
        <f t="shared" si="7"/>
        <v>862.5</v>
      </c>
      <c r="L13" s="557">
        <f t="shared" si="7"/>
        <v>852</v>
      </c>
      <c r="M13" s="557">
        <f t="shared" si="7"/>
        <v>830</v>
      </c>
      <c r="N13" s="558">
        <f t="shared" si="7"/>
        <v>828</v>
      </c>
      <c r="O13" s="557">
        <f t="shared" si="7"/>
        <v>840</v>
      </c>
      <c r="P13" s="557">
        <f t="shared" si="7"/>
        <v>823</v>
      </c>
      <c r="Q13" s="557">
        <f t="shared" si="7"/>
        <v>765</v>
      </c>
      <c r="R13" s="557">
        <f t="shared" si="7"/>
        <v>782</v>
      </c>
      <c r="S13" s="557">
        <f t="shared" si="7"/>
        <v>807.5</v>
      </c>
      <c r="T13" s="557">
        <f t="shared" si="7"/>
        <v>802</v>
      </c>
      <c r="U13" s="557">
        <f t="shared" si="7"/>
        <v>795</v>
      </c>
      <c r="V13" s="557">
        <f t="shared" si="7"/>
        <v>783</v>
      </c>
      <c r="W13" s="557">
        <f t="shared" si="7"/>
        <v>772</v>
      </c>
      <c r="X13" s="557">
        <f t="shared" si="7"/>
        <v>770</v>
      </c>
      <c r="Y13" s="559">
        <f t="shared" si="7"/>
        <v>772.5</v>
      </c>
      <c r="Z13" s="557">
        <f t="shared" si="7"/>
        <v>805</v>
      </c>
      <c r="AA13" s="557">
        <f t="shared" si="7"/>
        <v>840</v>
      </c>
      <c r="AB13" s="557">
        <f t="shared" si="7"/>
        <v>1109</v>
      </c>
      <c r="AC13" s="557">
        <f t="shared" si="7"/>
        <v>1140</v>
      </c>
      <c r="AD13" s="557"/>
      <c r="AE13" s="557"/>
      <c r="AF13" s="557"/>
      <c r="AG13" s="557"/>
      <c r="AH13" s="557"/>
      <c r="AI13" s="557"/>
      <c r="AJ13" s="557"/>
      <c r="AK13" s="557"/>
      <c r="AL13" s="557"/>
    </row>
  </sheetData>
  <mergeCells count="1">
    <mergeCell ref="A2: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BÌA</vt:lpstr>
      <vt:lpstr>Giá công thức</vt:lpstr>
      <vt:lpstr>Price</vt:lpstr>
      <vt:lpstr>Biểu đồ</vt:lpstr>
      <vt:lpstr>Vẽ Biểu đồ</vt:lpstr>
      <vt:lpstr>Price_cũ</vt:lpstr>
      <vt:lpstr>General Data</vt:lpstr>
      <vt:lpstr>Note</vt:lpstr>
      <vt:lpstr>||</vt:lpstr>
      <vt:lpstr>Rebate-Suntory</vt:lpstr>
      <vt:lpstr>Ghi chú-Màu</vt:lpstr>
      <vt:lpstr>Chart-Price-BCKQKD</vt:lpstr>
      <vt:lpstr>Chart-Price-BCKQKD-B0</vt:lpstr>
      <vt:lpstr>Chart-Price-BCKQKD -v2</vt:lpstr>
      <vt:lpstr>Code_General_Data</vt:lpstr>
      <vt:lpstr>Code_General_Item</vt:lpstr>
      <vt:lpstr>General_Data</vt:lpstr>
      <vt:lpstr>Month</vt:lpstr>
      <vt:lpstr>'Biểu đồ'!Print_Area</vt:lpstr>
      <vt:lpstr>'Giá công thức'!Print_Area</vt:lpstr>
      <vt:lpstr>Price!Print_Area</vt:lpstr>
      <vt:lpstr>'Giá công thức'!Print_Titles</vt:lpstr>
      <vt:lpstr>Price!Print_Titles</vt:lpstr>
      <vt:lpstr>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Danh, Hoàng Duy</dc:creator>
  <cp:keywords/>
  <dc:description/>
  <cp:lastModifiedBy>Danh, Hoàng Duy</cp:lastModifiedBy>
  <cp:revision/>
  <cp:lastPrinted>2025-05-19T05:34:55Z</cp:lastPrinted>
  <dcterms:created xsi:type="dcterms:W3CDTF">2025-01-17T02:58:25Z</dcterms:created>
  <dcterms:modified xsi:type="dcterms:W3CDTF">2026-06-04T15:35:23Z</dcterms:modified>
  <cp:category/>
  <cp:contentStatus/>
</cp:coreProperties>
</file>