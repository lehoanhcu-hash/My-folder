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tg-my.sharepoint.com/personal/culh_duytanrecycling_com/Documents/Desktop/"/>
    </mc:Choice>
  </mc:AlternateContent>
  <xr:revisionPtr revIDLastSave="3" documentId="8_{1EC65294-F378-4EC7-9CF4-AE536ADEC440}" xr6:coauthVersionLast="47" xr6:coauthVersionMax="47" xr10:uidLastSave="{803E8EAE-5CAB-4964-BBA0-93359464C4A2}"/>
  <bookViews>
    <workbookView xWindow="-110" yWindow="-110" windowWidth="19420" windowHeight="10300" tabRatio="410" xr2:uid="{00000000-000D-0000-FFFF-FFFF00000000}"/>
  </bookViews>
  <sheets>
    <sheet name="Bam B1 RL" sheetId="31" r:id="rId1"/>
  </sheets>
  <externalReferences>
    <externalReference r:id="rId2"/>
    <externalReference r:id="rId3"/>
  </externalReferences>
  <definedNames>
    <definedName name="_" hidden="1">#REF!</definedName>
    <definedName name="__" hidden="1">#REF!</definedName>
    <definedName name="______a1" hidden="1">{"cashflow",#N/A,FALSE,"CASHFLOW "}</definedName>
    <definedName name="______a10" hidden="1">{"sales",#N/A,FALSE,"SALES"}</definedName>
    <definedName name="______a2" hidden="1">{"hilight1",#N/A,FALSE,"HILIGHT1"}</definedName>
    <definedName name="______a3" hidden="1">{"hilight2",#N/A,FALSE,"HILIGHT2"}</definedName>
    <definedName name="______a4" hidden="1">{"hilight3",#N/A,FALSE,"HILIGHT3"}</definedName>
    <definedName name="______a5" hidden="1">{"income",#N/A,FALSE,"INCOME"}</definedName>
    <definedName name="______a6" hidden="1">{"index",#N/A,FALSE,"INDEX"}</definedName>
    <definedName name="______a7" hidden="1">{"PRINT_EST",#N/A,FALSE,"ESTMON"}</definedName>
    <definedName name="______a8" hidden="1">{"revsale",#N/A,FALSE,"REV-ยุพดี"}</definedName>
    <definedName name="______a9" hidden="1">{"revable",#N/A,FALSE,"REVABLE"}</definedName>
    <definedName name="_____a1" hidden="1">{"cashflow",#N/A,FALSE,"CASHFLOW "}</definedName>
    <definedName name="_____a10" hidden="1">{"sales",#N/A,FALSE,"SALES"}</definedName>
    <definedName name="_____a2" hidden="1">{"hilight1",#N/A,FALSE,"HILIGHT1"}</definedName>
    <definedName name="_____a3" hidden="1">{"hilight2",#N/A,FALSE,"HILIGHT2"}</definedName>
    <definedName name="_____a4" hidden="1">{"hilight3",#N/A,FALSE,"HILIGHT3"}</definedName>
    <definedName name="_____a5" hidden="1">{"income",#N/A,FALSE,"INCOME"}</definedName>
    <definedName name="_____a6" hidden="1">{"index",#N/A,FALSE,"INDEX"}</definedName>
    <definedName name="_____a7" hidden="1">{"PRINT_EST",#N/A,FALSE,"ESTMON"}</definedName>
    <definedName name="_____a8" hidden="1">{"revsale",#N/A,FALSE,"REV-ยุพดี"}</definedName>
    <definedName name="_____a9" hidden="1">{"revable",#N/A,FALSE,"REVABLE"}</definedName>
    <definedName name="____a1" hidden="1">{"cashflow",#N/A,FALSE,"CASHFLOW "}</definedName>
    <definedName name="____a10" hidden="1">{"sales",#N/A,FALSE,"SALES"}</definedName>
    <definedName name="____a2" hidden="1">{"hilight1",#N/A,FALSE,"HILIGHT1"}</definedName>
    <definedName name="____a3" hidden="1">{"hilight2",#N/A,FALSE,"HILIGHT2"}</definedName>
    <definedName name="____a4" hidden="1">{"hilight3",#N/A,FALSE,"HILIGHT3"}</definedName>
    <definedName name="____a5" hidden="1">{"income",#N/A,FALSE,"INCOME"}</definedName>
    <definedName name="____a6" hidden="1">{"index",#N/A,FALSE,"INDEX"}</definedName>
    <definedName name="____a7" hidden="1">{"PRINT_EST",#N/A,FALSE,"ESTMON"}</definedName>
    <definedName name="____a8" hidden="1">{"revsale",#N/A,FALSE,"REV-ยุพดี"}</definedName>
    <definedName name="____a9" hidden="1">{"revable",#N/A,FALSE,"REVABLE"}</definedName>
    <definedName name="____NSO2" hidden="1">{"'Sheet1'!$L$16"}</definedName>
    <definedName name="___a1" hidden="1">{"cashflow",#N/A,FALSE,"CASHFLOW "}</definedName>
    <definedName name="___a10" hidden="1">{"sales",#N/A,FALSE,"SALES"}</definedName>
    <definedName name="___a2" hidden="1">{"hilight1",#N/A,FALSE,"HILIGHT1"}</definedName>
    <definedName name="___a3" hidden="1">{"hilight2",#N/A,FALSE,"HILIGHT2"}</definedName>
    <definedName name="___a4" hidden="1">{"hilight3",#N/A,FALSE,"HILIGHT3"}</definedName>
    <definedName name="___a5" hidden="1">{"income",#N/A,FALSE,"INCOME"}</definedName>
    <definedName name="___a6" hidden="1">{"index",#N/A,FALSE,"INDEX"}</definedName>
    <definedName name="___a7" hidden="1">{"PRINT_EST",#N/A,FALSE,"ESTMON"}</definedName>
    <definedName name="___a8" hidden="1">{"revsale",#N/A,FALSE,"REV-ยุพดี"}</definedName>
    <definedName name="___a9" hidden="1">{"revable",#N/A,FALSE,"REVABLE"}</definedName>
    <definedName name="___h2" hidden="1">{"'Sheet1'!$L$16"}</definedName>
    <definedName name="___NSO2" hidden="1">{"'Sheet1'!$L$16"}</definedName>
    <definedName name="___tm2" hidden="1">{#N/A,#N/A,FALSE,"Chi tiÆt"}</definedName>
    <definedName name="__a1" hidden="1">{"cashflow",#N/A,FALSE,"CASHFLOW "}</definedName>
    <definedName name="__a10" hidden="1">{"sales",#N/A,FALSE,"SALES"}</definedName>
    <definedName name="__A123" hidden="1">#REF!</definedName>
    <definedName name="__a2" hidden="1">{"hilight1",#N/A,FALSE,"HILIGHT1"}</definedName>
    <definedName name="__a3" hidden="1">{"hilight2",#N/A,FALSE,"HILIGHT2"}</definedName>
    <definedName name="__a4" hidden="1">{"hilight3",#N/A,FALSE,"HILIGHT3"}</definedName>
    <definedName name="__a5" hidden="1">{"income",#N/A,FALSE,"INCOME"}</definedName>
    <definedName name="__a6" hidden="1">{"index",#N/A,FALSE,"INDEX"}</definedName>
    <definedName name="__a7" hidden="1">{"PRINT_EST",#N/A,FALSE,"ESTMON"}</definedName>
    <definedName name="__a8" hidden="1">{"revsale",#N/A,FALSE,"REV-ยุพดี"}</definedName>
    <definedName name="__a9" hidden="1">{"revable",#N/A,FALSE,"REVABLE"}</definedName>
    <definedName name="__cad2" hidden="1">{#N/A,#N/A,TRUE,"BT M200 da 10x20"}</definedName>
    <definedName name="__f5" hidden="1">{"'Sheet1'!$L$16"}</definedName>
    <definedName name="__FDS_HYPERLINK_TOGGLE_STATE__" hidden="1">"ON"</definedName>
    <definedName name="__FOH2006" hidden="1">{#N/A,#N/A,FALSE,"TL";#N/A,#N/A,FALSE,"KK";#N/A,#N/A,FALSE,"TS";#N/A,#N/A,FALSE,"KW";#N/A,#N/A,FALSE,"LP";#N/A,#N/A,FALSE,"DC"}</definedName>
    <definedName name="__h2" hidden="1">{"'Sheet1'!$L$16"}</definedName>
    <definedName name="__huy1" hidden="1">{"'Sheet1'!$L$16"}</definedName>
    <definedName name="__IntlFixup" hidden="1">TRUE</definedName>
    <definedName name="__IntlFixupTable" hidden="1">#REF!</definedName>
    <definedName name="__KP300" hidden="1">{"level1",#N/A,FALSE,"1_LEV";"LEVEL1",#N/A,FALSE,"1_LEV"}</definedName>
    <definedName name="__NS03" hidden="1">{"'Sheet1'!$L$16"}</definedName>
    <definedName name="__NSO2" hidden="1">{"'Sheet1'!$L$16"}</definedName>
    <definedName name="__T01" hidden="1">#REF!</definedName>
    <definedName name="__tm2" hidden="1">{#N/A,#N/A,FALSE,"Chi tiÆt"}</definedName>
    <definedName name="__xlfn.BAHTTEXT" hidden="1">#NAME?</definedName>
    <definedName name="_1">#REF!</definedName>
    <definedName name="_1_" hidden="1">#REF!</definedName>
    <definedName name="_10F" hidden="1">#REF!</definedName>
    <definedName name="_11_0_0_F" hidden="1">#REF!</definedName>
    <definedName name="_12F" hidden="1">#REF!</definedName>
    <definedName name="_14F" hidden="1">#REF!</definedName>
    <definedName name="_15_0_0_F" hidden="1">#REF!</definedName>
    <definedName name="_15F" hidden="1">#REF!</definedName>
    <definedName name="_19_0_0_F" hidden="1">#REF!</definedName>
    <definedName name="_2">#REF!</definedName>
    <definedName name="_2_0_0_F" hidden="1">#REF!</definedName>
    <definedName name="_20_0_0_F" hidden="1">#REF!</definedName>
    <definedName name="_21_0_0_F" hidden="1">#REF!</definedName>
    <definedName name="_26_0_0_F" hidden="1">#REF!</definedName>
    <definedName name="_27_0_0_F" hidden="1">#REF!</definedName>
    <definedName name="_28_0_0_F" hidden="1">#REF!</definedName>
    <definedName name="_2F" hidden="1">#REF!</definedName>
    <definedName name="_3">#REF!</definedName>
    <definedName name="_3_0_0_F" hidden="1">#REF!</definedName>
    <definedName name="_300_0_0_F" hidden="1">#REF!</definedName>
    <definedName name="_301_0_0_F" hidden="1">#REF!</definedName>
    <definedName name="_36_0_0_F" hidden="1">#REF!</definedName>
    <definedName name="_37_0_0_F" hidden="1">#REF!</definedName>
    <definedName name="_4">#REF!</definedName>
    <definedName name="_4_0_0_F" hidden="1">#REF!</definedName>
    <definedName name="_4F" hidden="1">#REF!</definedName>
    <definedName name="_5">#REF!</definedName>
    <definedName name="_5_0_0_F" hidden="1">#REF!</definedName>
    <definedName name="_5F" hidden="1">#REF!</definedName>
    <definedName name="_6_0_0_F" hidden="1">#REF!</definedName>
    <definedName name="_6F" hidden="1">#REF!</definedName>
    <definedName name="_7_0_0_F" hidden="1">#REF!</definedName>
    <definedName name="_8_0_0_F" hidden="1">#REF!</definedName>
    <definedName name="_a1" hidden="1">{"'Sheet1'!$L$16"}</definedName>
    <definedName name="_a10" hidden="1">{"sales",#N/A,FALSE,"SALES"}</definedName>
    <definedName name="_A123" hidden="1">#REF!</definedName>
    <definedName name="_a2" hidden="1">{"'Sheet1'!$L$16"}</definedName>
    <definedName name="_a3" hidden="1">{"hilight2",#N/A,FALSE,"HILIGHT2"}</definedName>
    <definedName name="_a4" hidden="1">{"hilight3",#N/A,FALSE,"HILIGHT3"}</definedName>
    <definedName name="_a5" hidden="1">{"income",#N/A,FALSE,"INCOME"}</definedName>
    <definedName name="_a6" hidden="1">{"index",#N/A,FALSE,"INDEX"}</definedName>
    <definedName name="_a7" hidden="1">{"PRINT_EST",#N/A,FALSE,"ESTMON"}</definedName>
    <definedName name="_a8" hidden="1">{"revsale",#N/A,FALSE,"REV-ยุพดี"}</definedName>
    <definedName name="_a9" hidden="1">{"revable",#N/A,FALSE,"REVABLE"}</definedName>
    <definedName name="_Builtin155" hidden="1">#N/A</definedName>
    <definedName name="_cad2" hidden="1">{#N/A,#N/A,TRUE,"BT M200 da 10x20"}</definedName>
    <definedName name="_CD2" hidden="1">{"'Sheet1'!$L$16"}</definedName>
    <definedName name="_f5" hidden="1">{"'Sheet1'!$L$16"}</definedName>
    <definedName name="_Fill" hidden="1">#REF!</definedName>
    <definedName name="_xlnm._FilterDatabase" hidden="1">#REF!</definedName>
    <definedName name="_FOH2006" hidden="1">{#N/A,#N/A,FALSE,"TL";#N/A,#N/A,FALSE,"KK";#N/A,#N/A,FALSE,"TS";#N/A,#N/A,FALSE,"KW";#N/A,#N/A,FALSE,"LP";#N/A,#N/A,FALSE,"DC"}</definedName>
    <definedName name="_Goi8" hidden="1">{"'Sheet1'!$L$16"}</definedName>
    <definedName name="_h2" hidden="1">{"'Sheet1'!$L$16"}</definedName>
    <definedName name="_huy1" hidden="1">{"'Sheet1'!$L$16"}</definedName>
    <definedName name="_Key1" hidden="1">#REF!</definedName>
    <definedName name="_Key2" hidden="1">#REF!</definedName>
    <definedName name="_KP300" hidden="1">{"level1",#N/A,FALSE,"1_LEV";"LEVEL1",#N/A,FALSE,"1_LEV"}</definedName>
    <definedName name="_NS03" hidden="1">{"'Sheet1'!$L$16"}</definedName>
    <definedName name="_NSO2" hidden="1">{"'Sheet1'!$L$16"}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PL3" hidden="1">{"'Sheet1'!$L$16"}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01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m2" hidden="1">{#N/A,#N/A,FALSE,"Chi tiÆt"}</definedName>
    <definedName name="_ww2" hidden="1">{#N/A,#N/A,FALSE,"Admin";#N/A,#N/A,FALSE,"Other"}</definedName>
    <definedName name="_Z1" hidden="1">{"'ตัวอย่าง'!$A$1:$O$21"}</definedName>
    <definedName name="a">#REF!</definedName>
    <definedName name="â" hidden="1">{"'Sheet1'!$L$16"}</definedName>
    <definedName name="AA" hidden="1">{"F3 detail",#N/A,FALSE,"F1";"F3 Presentation",#N/A,FALSE,"F3 "}</definedName>
    <definedName name="AA.Report.Files" hidden="1">#REF!</definedName>
    <definedName name="AA.Reports.Available" hidden="1">#REF!</definedName>
    <definedName name="aaa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a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a" hidden="1">{"Profit",#N/A,FALSE,"448k";"Capital",#N/A,FALSE,"448k"}</definedName>
    <definedName name="AAAAAAAAAAAAA" hidden="1">#REF!</definedName>
    <definedName name="AccessOpt" hidden="1">"Yes"</definedName>
    <definedName name="Accounts">#REF!</definedName>
    <definedName name="Activity_Reports">#REF!</definedName>
    <definedName name="aef" hidden="1">{"'ตัวอย่าง'!$A$1:$O$21"}</definedName>
    <definedName name="afd" hidden="1">{"'ตัวอย่าง'!$A$1:$O$21"}</definedName>
    <definedName name="ai" hidden="1">{"level1",#N/A,FALSE,"1_LEV";"LEVEL1",#N/A,FALSE,"1_LEV"}</definedName>
    <definedName name="anscount" hidden="1">2</definedName>
    <definedName name="Application">#REF!</definedName>
    <definedName name="A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S2DocOpenMode" hidden="1">"AS2DocumentEdit"</definedName>
    <definedName name="asdf" hidden="1">#REF!</definedName>
    <definedName name="ass" hidden="1">{"revable",#N/A,FALSE,"REVABLE"}</definedName>
    <definedName name="AUGFIX01" hidden="1">{"level1",#N/A,FALSE,"1_LEV";"LEVEL1",#N/A,FALSE,"1_LEV"}</definedName>
    <definedName name="AUGFIX02" hidden="1">{"level1",#N/A,FALSE,"1_LEV";"LEVEL1",#N/A,FALSE,"1_LEV"}</definedName>
    <definedName name="B">#REF!</definedName>
    <definedName name="back">#REF!</definedName>
    <definedName name="banking1" hidden="1">{"'Sheet1'!$L$16"}</definedName>
    <definedName name="BBB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i" hidden="1">{"HK PR",#N/A,FALSE,"HK";"SUMMARY",#N/A,FALSE,"PAYROLL";"SUMMARY",#N/A,FALSE,"PAYROLL";"HK PR",#N/A,FALSE,"HK"}</definedName>
    <definedName name="bieudo" hidden="1">{"'Sheet1'!$L$16"}</definedName>
    <definedName name="bieudo1" hidden="1">{"'Sheet1'!$L$16"}</definedName>
    <definedName name="binh1" hidden="1">{"'Sheet1'!$L$16"}</definedName>
    <definedName name="BO00043B7E1E324A3B816B38E3ACAE0671" hidden="1">#REF!</definedName>
    <definedName name="BO001D509B859B4E6D8B03981122F6CF9A" hidden="1">#REF!</definedName>
    <definedName name="BO00469B4A8FC24A3B870A9D7B502678F0" hidden="1">#REF!</definedName>
    <definedName name="BO00511179B958499598FEC41C5AC390A4" hidden="1">#REF!</definedName>
    <definedName name="BO005A577D92864FC8B40998831CDFE7A8" hidden="1">#REF!</definedName>
    <definedName name="BO005BDC81E98343A093AADEF94EB59FAF" hidden="1">#REF!</definedName>
    <definedName name="BO0072FE9EACD94DEDAA496B23B65E7D1C" hidden="1">#REF!</definedName>
    <definedName name="BO00812175877B44EE88DDEE95E65B5A27" hidden="1">#REF!</definedName>
    <definedName name="BO00A6737BAC0E4619AF80A481C30796C1" hidden="1">#REF!</definedName>
    <definedName name="BO00CD9D7A0C624F4BB2AF0F67622C7F91" hidden="1">#REF!</definedName>
    <definedName name="BO00D8F3CF7CD2475BB9B1385DA290D0F5" hidden="1">#REF!</definedName>
    <definedName name="BO0129892555A4411A8EC61716113918DD" hidden="1">#REF!</definedName>
    <definedName name="BO018E3CCFDE224CDDABC737A9A76A8FDA" hidden="1">#REF!</definedName>
    <definedName name="BO01D0E16CBD0C473996504B44510A2B25" hidden="1">#REF!</definedName>
    <definedName name="BO01EF9BC3509746939ED1C0E4F00BF055" hidden="1">#REF!</definedName>
    <definedName name="BO020F2E97F5CF403D8F93927170418F64" hidden="1">#REF!</definedName>
    <definedName name="BO02392633CA99433B88D46F2EF39F428A" hidden="1">#REF!</definedName>
    <definedName name="BO02516734C6DF4EF2B0A72A47B8AABEFB" hidden="1">#REF!</definedName>
    <definedName name="BO028E39D140FF49049FAF8BBBD288FBDC" hidden="1">#REF!</definedName>
    <definedName name="BO0298FD225F294931811B0F63E6435B0F" hidden="1">#REF!</definedName>
    <definedName name="BO02A5060651364F86A67E16B0D01E5044" hidden="1">#REF!</definedName>
    <definedName name="BO02A8FD3A8942468DBAD7F1EDD7F87346" hidden="1">#REF!</definedName>
    <definedName name="BO02B4A629B0A64CA08F02737274717F08" hidden="1">#REF!</definedName>
    <definedName name="BO02DC581C85D44A4389CC4C44151E1DB0" hidden="1">#REF!</definedName>
    <definedName name="BO0316956B2BAC45A481DC8002316172FC" hidden="1">#REF!</definedName>
    <definedName name="BO031CB95051AA419CB611A1C0F7545ED6" hidden="1">#REF!</definedName>
    <definedName name="BO0328F39573D7436EA381251DD7480737" hidden="1">#REF!</definedName>
    <definedName name="BO0329DF376872482BAF40387242076A6D" hidden="1">#REF!</definedName>
    <definedName name="BO034C1D37DF534343A97C0F61C184324C" hidden="1">#REF!</definedName>
    <definedName name="BO036A36663A234B36B1D4EE07A3B64966" hidden="1">#REF!</definedName>
    <definedName name="BO03B0651779BF413996A5DE334F47529E" hidden="1">#REF!</definedName>
    <definedName name="BO03D993E14C9345D9A09E5317112E649E" hidden="1">#REF!</definedName>
    <definedName name="BO03FF099F75314586A6835C388F1BF0E1" hidden="1">#REF!</definedName>
    <definedName name="BO0417ED1D7CBF4ED2B28EA719E997CA52" hidden="1">#REF!</definedName>
    <definedName name="BO0441DA88C7F74AE9BFADC1941F5CF686" hidden="1">#REF!</definedName>
    <definedName name="BO044F0637C2AD47F09DFC37A56C115C0E" hidden="1">#REF!</definedName>
    <definedName name="BO048A491E9D8F402587ED350C273C7635" hidden="1">#REF!</definedName>
    <definedName name="BO048C4D3FE93F49AA8198D2880A899608" hidden="1">#REF!</definedName>
    <definedName name="BO049368304C694928BF12E8C39A084E34" hidden="1">#REF!</definedName>
    <definedName name="BO0497D4BA7B1F46C88C265E498D165441" hidden="1">#REF!</definedName>
    <definedName name="BO049DD26879614F4D8D1A8B4DE85A5A00" hidden="1">#REF!</definedName>
    <definedName name="BO04B25781FA1341529AF5AB3CBE3AC2CB" hidden="1">#REF!</definedName>
    <definedName name="BO04BF788D29F64A1989788FA25E12E023" hidden="1">#REF!</definedName>
    <definedName name="BO051C1091726B452B8D655520FF5EE783" hidden="1">#REF!</definedName>
    <definedName name="BO053101CB6B5347D1A1EBDB90D6FB228A" hidden="1">#REF!</definedName>
    <definedName name="BO05419C07D7B6466394350974D9D4F877" hidden="1">#REF!</definedName>
    <definedName name="BO054ED8F6C4F44487ADB29B59982252CC" hidden="1">#REF!</definedName>
    <definedName name="BO055E5CFDB95646998EC626861A0C2B73" hidden="1">#REF!</definedName>
    <definedName name="BO05825FB84EB24E3B83FF5DCC93F10D81" hidden="1">#REF!</definedName>
    <definedName name="BO05995E7AB6704082ADAB4A0B58C5CEEF" hidden="1">#REF!</definedName>
    <definedName name="BO05A3F61282EC43B3B97A691A40F7C450" hidden="1">#REF!</definedName>
    <definedName name="BO05C2DB77C7B947E98528927DCA453F7F" hidden="1">#REF!</definedName>
    <definedName name="BO05CDD744762749858557A0B082E5E0CC" hidden="1">#REF!</definedName>
    <definedName name="BO060F8C52B3094EAC877EBE571B0DF8B1" hidden="1">#REF!</definedName>
    <definedName name="BO0628130A34F34472B8E9063AF8F9AFC3" hidden="1">#REF!</definedName>
    <definedName name="BO06444E01A6B34207B4CD327BA584CFFF" hidden="1">#REF!</definedName>
    <definedName name="BO065127342F5E49D488919F425C845667" hidden="1">#REF!</definedName>
    <definedName name="BO0661E126B4BF4E8EACCA3FBD6C2C87CF" hidden="1">#REF!</definedName>
    <definedName name="BO06760500AD0C4142A407DB3927CE2BAE" hidden="1">#REF!</definedName>
    <definedName name="BO06857A035FAF4289957CDE75EB967671" hidden="1">#REF!</definedName>
    <definedName name="BO069278A1412F47DE85C43EB68CAF717F" hidden="1">#REF!</definedName>
    <definedName name="BO06A1D57108984BD8BFF93A7198192A58" hidden="1">#REF!</definedName>
    <definedName name="BO06B55AE9F1974782A547E2592A91DC44" hidden="1">#REF!</definedName>
    <definedName name="BO06CDADE6119F4877A0512DB59C5C94BF" hidden="1">#REF!</definedName>
    <definedName name="BO06E32C35EADD426283277A6F4767C6B0" hidden="1">#REF!</definedName>
    <definedName name="BO06F7275DF23345599284D3C4A571E0B7" hidden="1">#REF!</definedName>
    <definedName name="BO0748F9E9364A44AAB45528629279E47E" hidden="1">#REF!</definedName>
    <definedName name="BO076D271E53024E82B0564BC6E6B8C52B" hidden="1">#REF!</definedName>
    <definedName name="BO07720AA381684C1982634DF097D5658D" hidden="1">#REF!</definedName>
    <definedName name="BO0789E5305658448CB66B462D6CE4F4BA" hidden="1">#REF!</definedName>
    <definedName name="BO07B5E13CAA4346C2B80A18CCB51064C0" hidden="1">#REF!</definedName>
    <definedName name="BO07BC23E784F941FAADD17157A1CB33AD" hidden="1">#REF!</definedName>
    <definedName name="BO07BEF03937C14F1F82EB8B092E03BDC0" hidden="1">#REF!</definedName>
    <definedName name="BO07CF77C24A4B44DDB08669A0C267D9E2" hidden="1">#REF!</definedName>
    <definedName name="BO080FC624DC7D4EC58A73B6445EFE83D5" hidden="1">#REF!</definedName>
    <definedName name="BO08108BE3901A43B4BB727284F0DE1350" hidden="1">#REF!</definedName>
    <definedName name="BO0813779BF7A441E4B829B7EE15E1F5B1" hidden="1">#REF!</definedName>
    <definedName name="BO082937E7E8384EE39F50885F11A99C90" hidden="1">#REF!</definedName>
    <definedName name="BO0880E86E8DAA4FBE98CCD8F4F1DAC7F6" hidden="1">#REF!</definedName>
    <definedName name="BO08C624A094B64DA8B640575212B5C126" hidden="1">#REF!</definedName>
    <definedName name="BO08D9E70F5D7D4899B7F098067EC1CF0D" hidden="1">#REF!</definedName>
    <definedName name="BO08DB01CDE2CD4C38AEBBE72539089923" hidden="1">#REF!</definedName>
    <definedName name="BO08E8A4D0D99A45F4AB50AB8CCC759E80" hidden="1">#REF!</definedName>
    <definedName name="BO08EF964A3F544A6A9831BD58A1BDB761" hidden="1">#REF!</definedName>
    <definedName name="BO094B22A2B81E4A909F1E33DDC80B47F0" hidden="1">#REF!</definedName>
    <definedName name="BO096A288CD2B241D3B6E5D99F7CC46080" hidden="1">#REF!</definedName>
    <definedName name="BO096CE2A90C4A41B5B366879C41DFCDAA" hidden="1">#REF!</definedName>
    <definedName name="BO097FA591C7F24B78A7B81D10C92CD657" hidden="1">#REF!</definedName>
    <definedName name="BO09858E7F51104BCE9A132E93A02FD9A5" hidden="1">#REF!</definedName>
    <definedName name="BO099F887F9C5F4068BA6B8F1084394257" hidden="1">#REF!</definedName>
    <definedName name="BO09B01FBE487D42169A0B01DC62FE7DDC" hidden="1">#REF!</definedName>
    <definedName name="BO09B1C52A1D8443609A270B3D7E126A13" hidden="1">#REF!</definedName>
    <definedName name="BO09C22B1D529145609DEC624CE7B07293" hidden="1">#REF!</definedName>
    <definedName name="BO09C3E790E8D9462BAE7754E47C08E4E9" hidden="1">#REF!</definedName>
    <definedName name="BO09F9926728774B699D17E2EB79FE2047" hidden="1">#REF!</definedName>
    <definedName name="BO09FB4DFBEE664BB5A9A0F935EDAE0910" hidden="1">#REF!</definedName>
    <definedName name="BO0A23B7D284D446FE9C1DD53288BD27DE" hidden="1">#REF!</definedName>
    <definedName name="BO0A692014A9F34BC5A0E9C318C9192144" hidden="1">#REF!</definedName>
    <definedName name="BO0A748E0D694E4A95BE1F938C385817CA" hidden="1">#REF!</definedName>
    <definedName name="BO0A7575E7F6E74826988292EB5B4093AE" hidden="1">#REF!</definedName>
    <definedName name="BO0A920544EB81456B85FAC9B67A3FF171" hidden="1">#REF!</definedName>
    <definedName name="BO0AA2FDCFA64447DF8256CCDAAF790D83" hidden="1">#REF!</definedName>
    <definedName name="BO0AB2BAACBF594870B22CA7819C14CABA" hidden="1">#REF!</definedName>
    <definedName name="BO0AB3771B806B45068A9904218B7C5228" hidden="1">#REF!</definedName>
    <definedName name="BO0ADF9A38BBB74FA484953A9E1DBDB5E6" hidden="1">#REF!</definedName>
    <definedName name="BO0AE560EC229F4837AAC8130E0FC6643F" hidden="1">#REF!</definedName>
    <definedName name="BO0B15AAC55B6F4E83950274F89A679C15" hidden="1">#REF!</definedName>
    <definedName name="BO0B4162F0BA614929BBA6B308050817A0" hidden="1">#REF!</definedName>
    <definedName name="BO0B417597CBF74CC483AEBD408A5D6361" hidden="1">#REF!</definedName>
    <definedName name="BO0BBF1A7A0878418D95B9CAE48927AE44" hidden="1">#REF!</definedName>
    <definedName name="BO0BD0AEE8541F48F3B1E2E1BA54D1700B" hidden="1">#REF!</definedName>
    <definedName name="BO0BE3A585969F49B1B1C585B4CB0CDC8D" hidden="1">#REF!</definedName>
    <definedName name="BO0BE95B3C4C274F49B67AA10EF360BE54" hidden="1">#REF!</definedName>
    <definedName name="BO0C00665F68114FC08E6F90C337B79243" hidden="1">#REF!</definedName>
    <definedName name="BO0C0A2392D627480DAAA517D2036A1F89" hidden="1">#REF!</definedName>
    <definedName name="BO0C1588B296D24080A5CF6ADCD90CC710" hidden="1">#REF!</definedName>
    <definedName name="BO0C17E817C2D144F2834C6BD18FADD8FA" hidden="1">#REF!</definedName>
    <definedName name="BO0C38F2CF945940E5A5FE470897C4E1BF" hidden="1">#REF!</definedName>
    <definedName name="BO0C5AC168B74E4DC5B44FC5C62A5781B6" hidden="1">#REF!</definedName>
    <definedName name="BO0C6E3F00004541F98642D415C462327D" hidden="1">#REF!</definedName>
    <definedName name="BO0C6EB03FCF5943CFBD625011881D07ED" hidden="1">#REF!</definedName>
    <definedName name="BO0C7282636F7C4F2887993571F995D137" hidden="1">#REF!</definedName>
    <definedName name="BO0C8471AFC6804FFFA3591B15EACBD181" hidden="1">#REF!</definedName>
    <definedName name="BO0C8517565CE449748D03306C29DCE056" hidden="1">#REF!</definedName>
    <definedName name="BO0CD122B513B74229B1D51F8E728EC17C" hidden="1">#REF!</definedName>
    <definedName name="BO0D12A207895945AF91F604B363C11B8D" hidden="1">#REF!</definedName>
    <definedName name="BO0D2433943B3E48368AB07223E9910CAE" hidden="1">#REF!</definedName>
    <definedName name="BO0D433F8DB1E648C5BE62989780E9E6E7" hidden="1">#REF!</definedName>
    <definedName name="BO0D8012E44B8345678130C08C96324DA3" hidden="1">#REF!</definedName>
    <definedName name="BO0D8BA2F600A945BF86F3792D70670A12" hidden="1">#REF!</definedName>
    <definedName name="BO0D95BE2323944543B198A1E5AD9E727B" hidden="1">#REF!</definedName>
    <definedName name="BO0DBD8E3011484F65BB422F97E0DD5E0F" hidden="1">#REF!</definedName>
    <definedName name="BO0DCC56FC632247BBB9075437D1DA9F49" hidden="1">#REF!</definedName>
    <definedName name="BO0DE5B032BD554D358472765883129529" hidden="1">#REF!</definedName>
    <definedName name="BO0E0DCCA8662A4B7D9624048C956E2349" hidden="1">#REF!</definedName>
    <definedName name="BO0E1E2F80FC8D4C0DB3564683D16EEFC1" hidden="1">#REF!</definedName>
    <definedName name="BO0E3744B5B95B4593842CB858CD9C693E" hidden="1">#REF!</definedName>
    <definedName name="BO0E92C76E22454378A2ADA4C84B066AE2" hidden="1">#REF!</definedName>
    <definedName name="BO0ED883B059E145E7AD618EAA4D4C0021" hidden="1">#REF!</definedName>
    <definedName name="BO0EFE864F0335421B9CA21E51583EA657" hidden="1">#REF!</definedName>
    <definedName name="BO0F2F1527902543118B3B0891D0B4342A" hidden="1">#REF!</definedName>
    <definedName name="BO0F40139F378C4754978E7B648F5EF76C" hidden="1">#REF!</definedName>
    <definedName name="BO0F4D33F674534ACBAEA5A52A9D5B3732" hidden="1">#REF!</definedName>
    <definedName name="BO0F5F084DF9434109A1D0148673E339CE" hidden="1">#REF!</definedName>
    <definedName name="BO0F607125CD504928928E6D4416EEEFC4" hidden="1">#REF!</definedName>
    <definedName name="BO0F8ED4536B0445B4946298F4B61EE3C4" hidden="1">#REF!</definedName>
    <definedName name="BO0FA8E789E3794953BF206F3E6698D7B0" hidden="1">#REF!</definedName>
    <definedName name="BO0FAA206141644A4A9CC2F711A9169654" hidden="1">#REF!</definedName>
    <definedName name="BO0FE7F6805CD74E4EA2B3D39BD3AF18E3" hidden="1">#REF!</definedName>
    <definedName name="BO0FF82BB103FB4B9A882AD5330EAE4FC6" hidden="1">#REF!</definedName>
    <definedName name="BO100DAFF26E56419D9A8CFC5AE2565CB4" hidden="1">#REF!</definedName>
    <definedName name="BO1011EFDB7313475AB25630C77E2CD7FB" hidden="1">#REF!</definedName>
    <definedName name="BO101EDBA5B09D4FBEA5C83431A243009A" hidden="1">#REF!</definedName>
    <definedName name="BO1026C64ECF28460A8F1662BA42D1D66F" hidden="1">#REF!</definedName>
    <definedName name="BO1037E116A07A44E8BF4CCE2C73F3599D" hidden="1">#REF!</definedName>
    <definedName name="BO103B44D247244130906D01A5B85452F0" hidden="1">#REF!</definedName>
    <definedName name="BO10494918D7FB4CDC81288D2F49DA6940" hidden="1">#REF!</definedName>
    <definedName name="BO104E67F80A4845CEBB2B25939F001D94" hidden="1">#REF!</definedName>
    <definedName name="BO107CF8CCC73047BAA48A0F3417125FB3" hidden="1">#REF!</definedName>
    <definedName name="BO10CFBC7FAF1B442DBB6CD191B6E80A4F" hidden="1">#REF!</definedName>
    <definedName name="BO10F37521359A421C8066E3BC8A799CCA" hidden="1">#REF!</definedName>
    <definedName name="BO10FD9B82E935477A99C13BA68F0F0892" hidden="1">#REF!</definedName>
    <definedName name="BO11157839ABA24ED0B1CFAA63ED39C8AE" hidden="1">#REF!</definedName>
    <definedName name="BO113AADB3EE164AB287BD823572C08C85" hidden="1">#REF!</definedName>
    <definedName name="BO113DBA7EFF8042ED8AB3ECF88DF64EDF" hidden="1">#REF!</definedName>
    <definedName name="BO113E1DCC2AFC49139CF1B61A6B72D8D0" hidden="1">#REF!</definedName>
    <definedName name="BO115150121C404B92B8292215FD47A676" hidden="1">#REF!</definedName>
    <definedName name="BO115FA841010345EA87622617C00ED59F" hidden="1">#REF!</definedName>
    <definedName name="BO115FD69D0BB94E1398EBFC921472CD65" hidden="1">#REF!</definedName>
    <definedName name="BO1177CD42210745D08166DB6025B4FF48" hidden="1">#REF!</definedName>
    <definedName name="BO1195F61C7239451DBF66E2469B3C5F36" hidden="1">#REF!</definedName>
    <definedName name="BO11D45D2A380E4753A698027552BE513C" hidden="1">#REF!</definedName>
    <definedName name="BO11EAB705D2034743837BC0B8152BBB41" hidden="1">#REF!</definedName>
    <definedName name="BO121210BE9D85473E8E940B3B7BB1F400" hidden="1">#REF!</definedName>
    <definedName name="BO1247719AFAA8494CB660516F8BCEC32F" hidden="1">#REF!</definedName>
    <definedName name="BO127F6BE867F948EF815573ED75221EA1" hidden="1">#REF!</definedName>
    <definedName name="BO128DA76DA2644090B145C6D45306439F" hidden="1">#REF!</definedName>
    <definedName name="BO12A467DD3B954167AD2B4FF98B2FCDC7" hidden="1">#REF!</definedName>
    <definedName name="BO12C40EA206EF41DEA0E055BF665F9DCC" hidden="1">#REF!</definedName>
    <definedName name="BO12DC5938A45A4514A9A3F1A5168F3DED" hidden="1">#REF!</definedName>
    <definedName name="BO12EA6B9B0705428C95E35AC2181BA78D" hidden="1">#REF!</definedName>
    <definedName name="BO12F9F287D7A04850829E8211565B6932" hidden="1">#REF!</definedName>
    <definedName name="BO1327AE4521634660B2EA04CBE197447B" hidden="1">#REF!</definedName>
    <definedName name="BO132943BF05E04514A93936E60D34EDC6" hidden="1">#REF!</definedName>
    <definedName name="BO13509C2E07C648D7ACC69CCC771BF5CF" hidden="1">#REF!</definedName>
    <definedName name="BO13599CB01A8D47B4B378E70E8D7C41BC" hidden="1">#REF!</definedName>
    <definedName name="BO13601DDCE16947E4BBE8CFA87C2969F9" hidden="1">#REF!</definedName>
    <definedName name="BO1378F1D0A4EC4F5C83A1A4FDFA8578E9" hidden="1">#REF!</definedName>
    <definedName name="BO13AA8629806448649C43B362638EC5D5" hidden="1">#REF!</definedName>
    <definedName name="BO1429D896D9EB44B1BB7DB6A2DCCFF7AF" hidden="1">#REF!</definedName>
    <definedName name="BO142B466C524B45059DA17FB555951F6C" hidden="1">#REF!</definedName>
    <definedName name="BO1478593DE5BF432496448798888CD526" hidden="1">#REF!</definedName>
    <definedName name="BO147AF726DF344222A289DB3D24063E1C" hidden="1">#REF!</definedName>
    <definedName name="BO1488627F89A5401EA8339050A5CD2FC3" hidden="1">#REF!</definedName>
    <definedName name="BO14A602C0C40349EBBDF7570C69069E69" hidden="1">#REF!</definedName>
    <definedName name="BO14C3044CB93D4F5C9AED3ABC0CD1704D" hidden="1">#REF!</definedName>
    <definedName name="BO14DB5AB40E69462D90B5A15B8FE2BA3C" hidden="1">#REF!</definedName>
    <definedName name="BO14DD6ABB03004D7CACDDFD4CF6783330" hidden="1">#REF!</definedName>
    <definedName name="BO150F2145D9F048989F095910F6DB863A" hidden="1">#REF!</definedName>
    <definedName name="BO152D3E36CF9A407C85522B9E34DE1E18" hidden="1">#REF!</definedName>
    <definedName name="BO153483A588284650A7BD009046AA2A34" hidden="1">#REF!</definedName>
    <definedName name="BO158544AA7C2642BE9E99B8FEC83AE723" hidden="1">#REF!</definedName>
    <definedName name="BO15C144F4B3E0469891DC697BD9C1532A" hidden="1">#REF!</definedName>
    <definedName name="BO15EDE4B451AD44888135FEEE3E0298D5" hidden="1">#REF!</definedName>
    <definedName name="BO15F32B9C3C6B413C8055C2621DDF9142" hidden="1">#REF!</definedName>
    <definedName name="BO1623BAFCAF594E84A7809584A5470354" hidden="1">#REF!</definedName>
    <definedName name="BO16BAEA0CA1FE4C08A4AB96BAE8EA3C4D" hidden="1">#REF!</definedName>
    <definedName name="BO16BEC480B13743C7B4D19D3239087E0A" hidden="1">#REF!</definedName>
    <definedName name="BO171128F9C4FC4C4891D9BA50B799FCE6" hidden="1">#REF!</definedName>
    <definedName name="BO174E8E33D1F3487195DAB1253FBC4A1A" hidden="1">#REF!</definedName>
    <definedName name="BO177B0CF65E3645D0BBE680158748C808" hidden="1">#REF!</definedName>
    <definedName name="BO17BF6E1ED3D74D5C891613E72B07CFBB" hidden="1">#REF!</definedName>
    <definedName name="BO17C622E24BA8475B9EEF613B3144940E" hidden="1">#REF!</definedName>
    <definedName name="BO17EDADCCB1F2469B880B4636F8708393" hidden="1">#REF!</definedName>
    <definedName name="BO17EE338A98D9485985C87A805C6D247A" hidden="1">#REF!</definedName>
    <definedName name="BO180D5AC456C54B1AA485F04675F631C7" hidden="1">#REF!</definedName>
    <definedName name="BO18286B73E6C94321BA98CC7D3C230477" hidden="1">#REF!</definedName>
    <definedName name="BO1841E0F7D2C548279375AB6B11931155" hidden="1">#REF!</definedName>
    <definedName name="BO1860AE00FE214A399CE58B8709759EC4" hidden="1">#REF!</definedName>
    <definedName name="BO186B93828BB04A65A458AA35FB43BF82" hidden="1">#REF!</definedName>
    <definedName name="BO189425889FCB441882A0ACDE25BC335F" hidden="1">#REF!</definedName>
    <definedName name="BO18B8EA73DA0243A7A08A02D2737471FB" hidden="1">#REF!</definedName>
    <definedName name="BO18D6B184C7EB4992AA27ABFE268A664B" hidden="1">#REF!</definedName>
    <definedName name="BO18FD27173E114434BAF0E07DADAC899D" hidden="1">#REF!</definedName>
    <definedName name="BO18FF1F4F75384C64A29B08F84D535D5D" hidden="1">#REF!</definedName>
    <definedName name="BO1901F05E215441F4B85A362B44AB1606" hidden="1">#REF!</definedName>
    <definedName name="BO19031D55D27F49D9A2A13E00425DECD2" hidden="1">#REF!</definedName>
    <definedName name="BO19032ED5DCCA4E539567A43957CF8F6D" hidden="1">#REF!</definedName>
    <definedName name="BO190E33B43B6B4814BED567F6F94D0F8A" hidden="1">#REF!</definedName>
    <definedName name="BO191EB76E52D341518882C76B1B666C25" hidden="1">#REF!</definedName>
    <definedName name="BO19271774A13B4E309F1D197D8074CC60" hidden="1">#REF!</definedName>
    <definedName name="BO1948DAE2ECF640E1AB72B496B8CC297B" hidden="1">#REF!</definedName>
    <definedName name="BO19541F74D54F4C42844BF088836BCFF7" hidden="1">#REF!</definedName>
    <definedName name="BO195858CCF4FE4B8BB30D59A947338D91" hidden="1">#REF!</definedName>
    <definedName name="BO1961457D86D84BBA95FA88A8DF50B156" hidden="1">#REF!</definedName>
    <definedName name="BO196AD46038C94804B4B05CA9A5E476C0" hidden="1">#REF!</definedName>
    <definedName name="BO197553773BDA4D21AFEC976B776A0563" hidden="1">#REF!</definedName>
    <definedName name="BO197AE668082B4509A27DC19CDF4FE657" hidden="1">#REF!</definedName>
    <definedName name="BO198A513E10804472981802D3B027DECD" hidden="1">#REF!</definedName>
    <definedName name="BO1996EE9E65EB44D2A94B65EA7FA4719A" hidden="1">#REF!</definedName>
    <definedName name="BO19AC5E7FAAA44074AAE72C6AE25E9BCD" hidden="1">#REF!</definedName>
    <definedName name="BO1A2406B3F537422AAD62498E0B9D9268" hidden="1">#REF!</definedName>
    <definedName name="BO1A6C5B1CAE1345999D9DFDEED0721750" hidden="1">#REF!</definedName>
    <definedName name="BO1ADA73E3E9D246E7A2989225A110C045" hidden="1">#REF!</definedName>
    <definedName name="BO1AE9E3C4A71942E4916D9548584CBF6D" hidden="1">#REF!</definedName>
    <definedName name="BO1AEEEEBA4DB94394924EA5BB23DB97CD" hidden="1">#REF!</definedName>
    <definedName name="BO1B0C1F3412774AAD82B1A0048F43394C" hidden="1">#REF!</definedName>
    <definedName name="BO1B5944B18CAE4F4EA64888896EA98CE3" hidden="1">#REF!</definedName>
    <definedName name="BO1B6A254ADDFE4E2BB4495FF2B8DBC33D" hidden="1">#REF!</definedName>
    <definedName name="BO1B6D4533806140F4BC15106CD0280204" hidden="1">#REF!</definedName>
    <definedName name="BO1B85A883F95C49CEB98C6DF26555C60B" hidden="1">#REF!</definedName>
    <definedName name="BO1B88135960FA42718BA4F85F97379171" hidden="1">#REF!</definedName>
    <definedName name="BO1BA0F85FEE9946789FB634B8E9D9DBBB" hidden="1">#REF!</definedName>
    <definedName name="BO1BB6877A87E34858B9490BC9C17E86A9" hidden="1">#REF!</definedName>
    <definedName name="BO1BD01FF0E4524022A25C824C6E59111D" hidden="1">#REF!</definedName>
    <definedName name="BO1BD3FB86C9A0455BB37599C94BB564CE" hidden="1">#REF!</definedName>
    <definedName name="BO1BD7F6ACD4384F4B9F3447154798A6E4" hidden="1">#REF!</definedName>
    <definedName name="BO1BF9E66E763B4EB98D25AC0291A05922" hidden="1">#REF!</definedName>
    <definedName name="BO1BFBB0B2A4FD488786350A7D065100AB" hidden="1">#REF!</definedName>
    <definedName name="BO1C212F7E93FD425EB8C7E403A359ADC4" hidden="1">#REF!</definedName>
    <definedName name="BO1C221C7E133F46F290B6C8355CE46EEB" hidden="1">#REF!</definedName>
    <definedName name="BO1C36BC29610C42C4B8952DC4538EE635" hidden="1">#REF!</definedName>
    <definedName name="BO1C5C8D2C30914762A13EA7F12F743B68" hidden="1">#REF!</definedName>
    <definedName name="BO1C971F33474941669EB07DD6AEBF0DED" hidden="1">#REF!</definedName>
    <definedName name="BO1C9C013EB3684B2482400A3F3678BCBC" hidden="1">#REF!</definedName>
    <definedName name="BO1CDFABE9376F4369B49FB2A91466507B" hidden="1">#REF!</definedName>
    <definedName name="BO1CE38C2DEBA34856B512C24EE3ADC823" hidden="1">#REF!</definedName>
    <definedName name="BO1CF581918036492BA441CBB8D16F1A47" hidden="1">#REF!</definedName>
    <definedName name="BO1D05B246E26B4B8C8A2B36D4400529E2" hidden="1">#REF!</definedName>
    <definedName name="BO1D4294C1EA4C4BAEBCA94586D74D1DC5" hidden="1">#REF!</definedName>
    <definedName name="BO1D4A365C386E4B4EA630D6FCE844C385" hidden="1">#REF!</definedName>
    <definedName name="BO1D6DD3B04A7849DEB77D645CDFFD2B77" hidden="1">#REF!</definedName>
    <definedName name="BO1D951DB00F204B15B36EDAB20E703593" hidden="1">#REF!</definedName>
    <definedName name="BO1DB8A055D05744F090E605B1BB368519" hidden="1">#REF!</definedName>
    <definedName name="BO1DC1363A774A4136B6D67FACEDEFA16E" hidden="1">#REF!</definedName>
    <definedName name="BO1DC1739350EF409D823B9B266AB509D2" hidden="1">#REF!</definedName>
    <definedName name="BO1DD62ED34D4A4EB2A2EF53C6A29AB304" hidden="1">#REF!</definedName>
    <definedName name="BO1DE0C534720C457AADD6950A7451EF52" hidden="1">#REF!</definedName>
    <definedName name="BO1E2194D8CDFB4D9BA7F5D75EC1B7BF1B" hidden="1">#REF!</definedName>
    <definedName name="BO1E280BFD04604DE0915A57BBF4DA734B" hidden="1">#REF!</definedName>
    <definedName name="BO1E66013F35AB46B4BB7BA3843995F77B" hidden="1">#REF!</definedName>
    <definedName name="BO1E8D0549E90A410B9A6343B381B9A6B7" hidden="1">#REF!</definedName>
    <definedName name="BO1EEB43E5768B490D93158CAC36C32735" hidden="1">#REF!</definedName>
    <definedName name="BO1F1DA32087A64A21B113D4CC5083B6F1" hidden="1">#REF!</definedName>
    <definedName name="BO1F1F0AC333B54AB8AA0A2B6A21DD90F9" hidden="1">#REF!</definedName>
    <definedName name="BO1F2247B4D19F44989217F8B7B69B91A2" hidden="1">#REF!</definedName>
    <definedName name="BO1F2F2D39B9134E14BF6909B867BD7AF6" hidden="1">#REF!</definedName>
    <definedName name="BO1F82DEF7BC6F4ABA8238DDF74DBBDCFA" hidden="1">#REF!</definedName>
    <definedName name="BO1F89B89382C44E3E9EA1286F9B7631AA" hidden="1">#REF!</definedName>
    <definedName name="BO1F8F14A650D04420837B2B50639E20F4" hidden="1">#REF!</definedName>
    <definedName name="BO1FC573480CA240178FF48E2670B7A4A0" hidden="1">#REF!</definedName>
    <definedName name="BO1FCF13EA22DA4A34A96BB43C0482914C" hidden="1">#REF!</definedName>
    <definedName name="BO2000FE749D724E9FA707A10923AA63BA" hidden="1">#REF!</definedName>
    <definedName name="BO20321A83463342B6BE9EED47341BE910" hidden="1">#REF!</definedName>
    <definedName name="BO2034D10499B544CB9B0F74995F6888FC" hidden="1">#REF!</definedName>
    <definedName name="BO203FF1C3A1E142D1B63E1B44172413DA" hidden="1">#REF!</definedName>
    <definedName name="BO204642FE513F4864BD957482DEE68B8F" hidden="1">#REF!</definedName>
    <definedName name="BO204FF4941138448AB83E89CC50327F00" hidden="1">#REF!</definedName>
    <definedName name="BO2050121A0DF142E7ACBF0C2149DF60DB" hidden="1">#REF!</definedName>
    <definedName name="BO206329EB267149C4A8AA8B5A10CA0B23" hidden="1">#REF!</definedName>
    <definedName name="BO20B1EF585C2845948F50CE07BBB23873" hidden="1">#REF!</definedName>
    <definedName name="BO20D1E453DC204AA7855E147F78DD6AAD" hidden="1">#REF!</definedName>
    <definedName name="BO212DD771873C47AAA57B60EB6B9F57BD" hidden="1">#REF!</definedName>
    <definedName name="BO214488B37F2C49C698D6B5AB57289540" hidden="1">#REF!</definedName>
    <definedName name="BO214D132833814397B2BD1FE796DC5190" hidden="1">#REF!</definedName>
    <definedName name="BO215053EE872749AEBA9B00A1BB1FFEDA" hidden="1">#REF!</definedName>
    <definedName name="BO21545020FCFF4D56B98295C96A8B077E" hidden="1">#REF!</definedName>
    <definedName name="BO217988AF085C4BACAAF426DE9B872531" hidden="1">#REF!</definedName>
    <definedName name="BO2189DB829D7F4206905850992E33E0A4" hidden="1">#REF!</definedName>
    <definedName name="BO218F81DAEFAD49AF9B3A72E321755754" hidden="1">#REF!</definedName>
    <definedName name="BO21B7D6B787174BE2B8F6B01A9D6AA5FE" hidden="1">#REF!</definedName>
    <definedName name="BO21C4FB5FE3604329AEA394B58537129B" hidden="1">#REF!</definedName>
    <definedName name="BO21D0E81725D8466AA71608F53692D790" hidden="1">#REF!</definedName>
    <definedName name="BO21D7421808CD43AEB5C11E05C94292F9" hidden="1">#REF!</definedName>
    <definedName name="BO2205B08A30A4409FA799FD8E9BEFE75F" hidden="1">#REF!</definedName>
    <definedName name="BO220D7DC8FBCC46DB8AE26ED60EB83250" hidden="1">#REF!</definedName>
    <definedName name="BO225AD737FABD40FEB1BD400F18DAFD79" hidden="1">#REF!</definedName>
    <definedName name="BO22610F6E625A439A8F25394A176010A4" hidden="1">#REF!</definedName>
    <definedName name="BO22888E30CEE943998FCB14107ADFE414" hidden="1">#REF!</definedName>
    <definedName name="BO228F47AF9DF4454598ED125BC46429B3" hidden="1">#REF!</definedName>
    <definedName name="BO22916AF3B18045F194E6B4C88878CC89" hidden="1">#REF!</definedName>
    <definedName name="BO2293E5DE2C1E4AF389A9F0A14D86F5AF" hidden="1">#REF!</definedName>
    <definedName name="BO22A1A8DA83ED4E61AB9D4458E8BFBF5E" hidden="1">#REF!</definedName>
    <definedName name="BO22C69EDF24274F8C8A799D028C666604" hidden="1">#REF!</definedName>
    <definedName name="BO22D3C349283B473E826A3190CEF9563F" hidden="1">#REF!</definedName>
    <definedName name="BO22DAEE4154BE4F90AEB9FD073AD52242" hidden="1">#REF!</definedName>
    <definedName name="BO23012F6BDC194152B0763334AA8DE09A" hidden="1">#REF!</definedName>
    <definedName name="BO23209D5E42F647BC859A30AF7205B1EB" hidden="1">#REF!</definedName>
    <definedName name="BO232A1F5D59654CA6A0C19E0D0B1835E8" hidden="1">#REF!</definedName>
    <definedName name="BO238D5E71A2E1462CB8F96F7465F66260" hidden="1">#REF!</definedName>
    <definedName name="BO239512C7B5004432BAAF1A7F1FC243C5" hidden="1">#REF!</definedName>
    <definedName name="BO23AD48D3F0FF4E00B57ABF30917F461A" hidden="1">#REF!</definedName>
    <definedName name="BO23C11F2418AF424A9FB7F13AE8573CB8" hidden="1">#REF!</definedName>
    <definedName name="BO23C6AAE56A2449618B0EB245E68264AA" hidden="1">#REF!</definedName>
    <definedName name="BO23C787C3A9AF4D63ADA1DC818379D5A3" hidden="1">#REF!</definedName>
    <definedName name="BO23F1CFE4BC1D46BEB7ED2DB6E28AB9F7" hidden="1">#REF!</definedName>
    <definedName name="BO245314F5F48D49ECB9E2294C5FD21EF4" hidden="1">#REF!</definedName>
    <definedName name="BO246E872D11F54CBDA9CAAE7F3CEE8A3B" hidden="1">#REF!</definedName>
    <definedName name="BO248CF0663C3845EA91C27C65CD94A27B" hidden="1">#REF!</definedName>
    <definedName name="BO248FCFD187D14607903BF0499FC1EB08" hidden="1">#REF!</definedName>
    <definedName name="BO2491BAC9A38342598DD19C9D4DB0A34F" hidden="1">#REF!</definedName>
    <definedName name="BO2495A54824434CB189951F5549DEB370" hidden="1">#REF!</definedName>
    <definedName name="BO24A8918ECB1C4B1EAAC4F1A0663C1145" hidden="1">#REF!</definedName>
    <definedName name="BO24BA25EDB1A44A8E8DBB72F1D4D29577" hidden="1">#REF!</definedName>
    <definedName name="BO24E609E1B65A4E6D90B359EFB6863E2A" hidden="1">#REF!</definedName>
    <definedName name="BO2519A3AFD9904F0EA701766B92D044A5" hidden="1">#REF!</definedName>
    <definedName name="BO251EB7BFC4E14C0681BE2DCEEAD845E7" hidden="1">#REF!</definedName>
    <definedName name="BO252C3CBD29A243C0AEDAC1F87AD31F53" hidden="1">#REF!</definedName>
    <definedName name="BO253ACAECC53145009F3843BD2D2D919F" hidden="1">#REF!</definedName>
    <definedName name="BO25534CD9966549BBBEF5257F84D5DBE7" hidden="1">#REF!</definedName>
    <definedName name="BO258A9ECB60464A8388B0908E365683DA" hidden="1">#REF!</definedName>
    <definedName name="BO25972B76844C4D6090FBC7E7F45106D6" hidden="1">#REF!</definedName>
    <definedName name="BO25CC43297124428EB72F08A9A2E14CDC" hidden="1">#REF!</definedName>
    <definedName name="BO25CE6931E52947EC9FF070514959E42A" hidden="1">#REF!</definedName>
    <definedName name="BO25E9553CF8974A33892EB1745060FD61" hidden="1">#REF!</definedName>
    <definedName name="BO2605237EAE654A23B72B55DAF523B6A6" hidden="1">#REF!</definedName>
    <definedName name="BO260C75EB0FE34E039A2639B39BA79B3D" hidden="1">#REF!</definedName>
    <definedName name="BO260CD5A6C36945F0889CD82152A4F67D" hidden="1">#REF!</definedName>
    <definedName name="BO2621C14BA85E4F63813A3AA292ECE0ED" hidden="1">#REF!</definedName>
    <definedName name="BO263E075F494444DD84B1B7BE398676C9" hidden="1">#REF!</definedName>
    <definedName name="BO263FD10022B946D7941BB791BCB0FFAF" hidden="1">#REF!</definedName>
    <definedName name="BO2672883EFAC5493481EFB4B31BDD63E6" hidden="1">#REF!</definedName>
    <definedName name="BO2684A03C65AE4FAC9C61F096104EFFBA" hidden="1">#REF!</definedName>
    <definedName name="BO26B4CA84091B46B0AA4A7DC046DB89D9" hidden="1">#REF!</definedName>
    <definedName name="BO26C7B304F6FA4B03AB8CF8A8BA949F2F" hidden="1">#REF!</definedName>
    <definedName name="BO26DA3E3B12F143B6A03B8DB89DEB0945" hidden="1">#REF!</definedName>
    <definedName name="BO26E084514C0D49058DBC96E0B99F9586" hidden="1">#REF!</definedName>
    <definedName name="BO270A5D31B3524AE3B86DF95ACF263DA5" hidden="1">#REF!</definedName>
    <definedName name="BO2712061D2CEE4515A14E98D80E1B0F54" hidden="1">#REF!</definedName>
    <definedName name="BO2713576DE8C640EB8F34FBFBC18DC2CF" hidden="1">#REF!</definedName>
    <definedName name="BO2736BE2C649942CAAD9C76A4AF14A7B5" hidden="1">#REF!</definedName>
    <definedName name="BO2746CE4B614C491EB43F40E15D1840DF" hidden="1">#REF!</definedName>
    <definedName name="BO275E25DD631F40F8B24EDCD86DD7FEC2" hidden="1">#REF!</definedName>
    <definedName name="BO275E4ECEE6494ABA8F39B3E706DB36F1" hidden="1">#REF!</definedName>
    <definedName name="BO276A19D8C2B04DC29C9152E8680B3A3A" hidden="1">#REF!</definedName>
    <definedName name="BO276E5B75752E42ABA7FFE433FA7483DB" hidden="1">#REF!</definedName>
    <definedName name="BO27816D7F127044918D1598D188090C9A" hidden="1">#REF!</definedName>
    <definedName name="BO27AFB7AC1D91473EA7307E41C74A7165" hidden="1">#REF!</definedName>
    <definedName name="BO27D814C769454C58B42460776C0DC153" hidden="1">#REF!</definedName>
    <definedName name="BO27FD3284091B4111A920005D69671CC4" hidden="1">#REF!</definedName>
    <definedName name="BO28058A6D0D9E43548DE48D1A42EF83A4" hidden="1">#REF!</definedName>
    <definedName name="BO2820D853115942E2941DF3C43B838765" hidden="1">#REF!</definedName>
    <definedName name="BO2822CE5A46F546959CCC53503C2BEEA3" hidden="1">#REF!</definedName>
    <definedName name="BO287E7F9F8DFC4F1B9069C51543542F7E" hidden="1">#REF!</definedName>
    <definedName name="BO289041DB794344C0BEE419C711E28AD3" hidden="1">#REF!</definedName>
    <definedName name="BO28ADD8D60FE240D793C9FCF23B3D9EE7" hidden="1">#REF!</definedName>
    <definedName name="BO28F284D5E1154013B0BD0FEA710FFC22" hidden="1">#REF!</definedName>
    <definedName name="BO29059DBAFB024C1B8E44428FD7EDBCF7" hidden="1">#REF!</definedName>
    <definedName name="BO292558CF2526419C8B5C330E0685DA10" hidden="1">#REF!</definedName>
    <definedName name="BO2950441D89D4497BB606AF9DBCCFB690" hidden="1">#REF!</definedName>
    <definedName name="BO295EFD04D22C4A1E87AF56BE5A809813" hidden="1">#REF!</definedName>
    <definedName name="BO29999A213FBF4583A9F7E72E99075BD1" hidden="1">#REF!</definedName>
    <definedName name="BO29A9074E43644BCEA73805D4C27C8D57" hidden="1">#REF!</definedName>
    <definedName name="BO29AEF4B23C8C4922BB345307749DFED9" hidden="1">#REF!</definedName>
    <definedName name="BO29B8A7989C614484827322D582CB22D3" hidden="1">#REF!</definedName>
    <definedName name="BO29CFEBF42BA04B0F9EF2B73368DD7D36" hidden="1">#REF!</definedName>
    <definedName name="BO29D9B6BABE6F40EDA1A64BAFBAAD0029" hidden="1">#REF!</definedName>
    <definedName name="BO29DF8390BF4D4D4C9C109B7FB0800587" hidden="1">#REF!</definedName>
    <definedName name="BO29EA5B2BE6EF4D02A0D124032B2C74A3" hidden="1">#REF!</definedName>
    <definedName name="BO29F37DD04DF84D13A76F83F278993FF5" hidden="1">#REF!</definedName>
    <definedName name="BO2A3663D01ABA40F1964CB61CBC037AFA" hidden="1">#REF!</definedName>
    <definedName name="BO2A3E54D24A3B47668D71E1C7274E7F28" hidden="1">#REF!</definedName>
    <definedName name="BO2A68C8385C834137AB6A597C4C15F834" hidden="1">#REF!</definedName>
    <definedName name="BO2ACEC73771DA4CA29214F27324CDF669" hidden="1">#REF!</definedName>
    <definedName name="BO2B35EC858E5E4498AB5E85A1F36C0B55" hidden="1">#REF!</definedName>
    <definedName name="BO2B3C5F919A5A4B3E98665B4E17AFD301" hidden="1">#REF!</definedName>
    <definedName name="BO2B4252BB76D04F66A45B9EE60EBB29B5" hidden="1">#REF!</definedName>
    <definedName name="BO2B6AAA2881A84B7C9BDD628A5D6EEC2D" hidden="1">#REF!</definedName>
    <definedName name="BO2B91C0FF7A1E481CAFD2A997AED66625" hidden="1">#REF!</definedName>
    <definedName name="BO2B9FFCE021A0461C872DCA59C3D3166F" hidden="1">#REF!</definedName>
    <definedName name="BO2BA86B254A414DDB8F10CD94B5839C2C" hidden="1">#REF!</definedName>
    <definedName name="BO2BFF76DEECCD4DF484E8CCDE5D6B2362" hidden="1">#REF!</definedName>
    <definedName name="BO2BFF9769E4C94BB790EEE557FF7DDB56" hidden="1">#REF!</definedName>
    <definedName name="BO2BFFFF55E91E412EAA08B005F0A65541" hidden="1">#REF!</definedName>
    <definedName name="BO2C367D597C6245EBA841FD9D9C4237E2" hidden="1">#REF!</definedName>
    <definedName name="BO2C783B4F85E24FB88F7951E6B8A86AB0" hidden="1">#REF!</definedName>
    <definedName name="BO2C889DD7D9D4453389EF2CC7C7400910" hidden="1">#REF!</definedName>
    <definedName name="BO2C893EF3E06045B8AAE30677A78003B4" hidden="1">#REF!</definedName>
    <definedName name="BO2C8C60696A424B1EACBBFDDE272D0A50" hidden="1">#REF!</definedName>
    <definedName name="BO2C9B63E184774916BE8749B98B8AE796" hidden="1">#REF!</definedName>
    <definedName name="BO2CAEB9A05E524B25B5984BDCD9C073D6" hidden="1">#REF!</definedName>
    <definedName name="BO2CB7639AD20549F3B40E039515EFF2EA" hidden="1">#REF!</definedName>
    <definedName name="BO2CFDBA12D8E94FF6AF9B5EA62A3C061E" hidden="1">#REF!</definedName>
    <definedName name="BO2D06A4A023464C6A8482AF000275C1A3" hidden="1">#REF!</definedName>
    <definedName name="BO2D26B3DF58A8486183A106C7BF1FA67E" hidden="1">#REF!</definedName>
    <definedName name="BO2D31A6FA7EB244579F44D35B99A4A8E4" hidden="1">#REF!</definedName>
    <definedName name="BO2D54BAB3A82B44928B563DE60EC0FD7D" hidden="1">#REF!</definedName>
    <definedName name="BO2D56E23DE46E41278B653EC68C177F70" hidden="1">#REF!</definedName>
    <definedName name="BO2D5ED7DAF43E440CBA2EDD04007603F7" hidden="1">#REF!</definedName>
    <definedName name="BO2D6952FC28424398BBE67A8663C3CAAA" hidden="1">#REF!</definedName>
    <definedName name="BO2D87AEA7FFE24D6298B56D6AC2B80C69" hidden="1">#REF!</definedName>
    <definedName name="BO2D8BC348CDD041779ECE70F98BC3F557" hidden="1">#REF!</definedName>
    <definedName name="BO2D8E3A6420914965BF19B696C6FDDB98" hidden="1">#REF!</definedName>
    <definedName name="BO2D9AC84D96AF42AA92BCDA8C34005373" hidden="1">#REF!</definedName>
    <definedName name="BO2DBD82CD6B5747D7A5D8C6F9F7CDAD2F" hidden="1">#REF!</definedName>
    <definedName name="BO2DCD5B6ED5004362994797D85763A69B" hidden="1">#REF!</definedName>
    <definedName name="BO2DCF80E250E645A29463073D5E33DF72" hidden="1">#REF!</definedName>
    <definedName name="BO2DD4678FCE224E6994B756524707755F" hidden="1">#REF!</definedName>
    <definedName name="BO2DD4E3C6BF6E4DA983890148DF40506D" hidden="1">#REF!</definedName>
    <definedName name="BO2DDB0BD841F340A8880296264AC1AD09" hidden="1">#REF!</definedName>
    <definedName name="BO2DED502E1D1E4D9C9CCEC23CEB3F40DD" hidden="1">#REF!</definedName>
    <definedName name="BO2DED886FB72E452D80B8CDB76E9B61DE" hidden="1">#REF!</definedName>
    <definedName name="BO2DF6685EBC6440CEBADE1F180B3EC72A" hidden="1">#REF!</definedName>
    <definedName name="BO2E0ADDF3EDA5412893AD4ACADC83B2FE" hidden="1">#REF!</definedName>
    <definedName name="BO2E0CEBF6C3334D0486E22BAF923C84FB" hidden="1">#REF!</definedName>
    <definedName name="BO2E9E3090B08D47EBBC36CF959D2176D1" hidden="1">#REF!</definedName>
    <definedName name="BO2EC57A3E2D884825BA0BD928EF4AE1AD" hidden="1">#REF!</definedName>
    <definedName name="BO2EC6D26CDEB347D78EAE0F11E5C52867" hidden="1">#REF!</definedName>
    <definedName name="BO2EDBF44490984D53A344E7B9CA6A35D0" hidden="1">#REF!</definedName>
    <definedName name="BO2F048AD87674415EBAF572BA92AF1215" hidden="1">#REF!</definedName>
    <definedName name="BO2F166ED9BE3F4F8AB2267F7697917DD0" hidden="1">#REF!</definedName>
    <definedName name="BO2F358C635E6F441BBFA6F1602189C967" hidden="1">#REF!</definedName>
    <definedName name="BO2F4539B649B74DA99365C8555DF35795" hidden="1">#REF!</definedName>
    <definedName name="BO2F4A80B58C7249F39C3A1B337E9D6D68" hidden="1">#REF!</definedName>
    <definedName name="BO2F6D4FCC2ECE4F8E86291FE9436839CB" hidden="1">#REF!</definedName>
    <definedName name="BO2F6D718B7E994EE6A3AB38E7D4068FAD" hidden="1">#REF!</definedName>
    <definedName name="BO2FB9B240E0EA492F83769264D9892D15" hidden="1">#REF!</definedName>
    <definedName name="BO2FC349B9327645118BC37D9143F7FAD5" hidden="1">#REF!</definedName>
    <definedName name="BO2FC45C16A3F54D729E26F3464A622F47" hidden="1">#REF!</definedName>
    <definedName name="BO305FCC173BF54F10B9CFB9C7D81F1623" hidden="1">#REF!</definedName>
    <definedName name="BO30BB2A290A4B4A7A86CF91ABD473B52C" hidden="1">#REF!</definedName>
    <definedName name="BO30F82A0F45F0488B9BF672A0DD5384B3" hidden="1">#REF!</definedName>
    <definedName name="BO312587118F00438F8D4DDD5EC86D6441" hidden="1">#REF!</definedName>
    <definedName name="BO3185C5AFD18F419BAA9951E27A665BEC" hidden="1">#REF!</definedName>
    <definedName name="BO31AE2847EEBD4163AFD0D5ACEBEE6896" hidden="1">#REF!</definedName>
    <definedName name="BO31B1C27CA2784591B3BD7B8F97CEC20D" hidden="1">#REF!</definedName>
    <definedName name="BO31B3626C280842DDB0F0576C3AB66A35" hidden="1">#REF!</definedName>
    <definedName name="BO31CD43A4563F48E3ADEF3B086F77F412" hidden="1">#REF!</definedName>
    <definedName name="BO31D8C066076E4283A10C0EDC7E92C950" hidden="1">#REF!</definedName>
    <definedName name="BO31DA1E9AC58D4BD2AA9F8600C99DE660" hidden="1">#REF!</definedName>
    <definedName name="BO31FF4845F0134E159EDFA068B8DF1456" hidden="1">#REF!</definedName>
    <definedName name="BO327C7F9E4E9D4477B4611F339FE9E318" hidden="1">#REF!</definedName>
    <definedName name="BO3289F49EFC034457B8AB42EB6E44BB67" hidden="1">#REF!</definedName>
    <definedName name="BO329031B61E9B4E1CB748E2BF18453CBA" hidden="1">#REF!</definedName>
    <definedName name="BO329794FEEEA848A3A8CD1316B34A9B9B" hidden="1">#REF!</definedName>
    <definedName name="BO32CC748630CD44A78FE35D7DD55C5CB1" hidden="1">#REF!</definedName>
    <definedName name="BO32D8C11D52E246B8B1167589D681611B" hidden="1">#REF!</definedName>
    <definedName name="BO32FCC3651E0F431EB99F7A93F30F5188" hidden="1">#REF!</definedName>
    <definedName name="BO333C6704208C4D37A85C8AEE75D910E8" hidden="1">#REF!</definedName>
    <definedName name="BO3361CC5D96CC46409F71EB663340E25A" hidden="1">#REF!</definedName>
    <definedName name="BO338ED8E6AEF84AA7BEB7D4A6F5B2FAFD" hidden="1">#REF!</definedName>
    <definedName name="BO33A986EB05E14342B05CFAE40A8B8CB3" hidden="1">#REF!</definedName>
    <definedName name="BO33D5D2E635444CE09A98AAF2ADA7433D" hidden="1">#REF!</definedName>
    <definedName name="BO33E5D2DECC00492E98BB2AE9970273F4" hidden="1">#REF!</definedName>
    <definedName name="BO3401980CAE564BF1889B707647DEED49" hidden="1">#REF!</definedName>
    <definedName name="BO34546B46330B469FB089735939C3C993" hidden="1">#REF!</definedName>
    <definedName name="BO3476F33D9F5F41FAAEA1A8A30DF6E387" hidden="1">#REF!</definedName>
    <definedName name="BO348D5DD8702F4F70A5106B888B0D1864" hidden="1">#REF!</definedName>
    <definedName name="BO34B0D1C3C2DF41599DDC64764EE93927" hidden="1">#REF!</definedName>
    <definedName name="BO34B7BDFF82DF4756A8B9115EECD3DD5D" hidden="1">#REF!</definedName>
    <definedName name="BO34D62F43660440BF9F470BD093905410" hidden="1">#REF!</definedName>
    <definedName name="BO34ECD4B14C4A4E6C9DA339E125472BD3" hidden="1">#REF!</definedName>
    <definedName name="BO35264F09D5384B21A7EBC93B5F190AEB" hidden="1">#REF!</definedName>
    <definedName name="BO35622FA1F1354C5196130C748559B8D8" hidden="1">#REF!</definedName>
    <definedName name="BO35C8047FFF54448D8A6763D6C5459131" hidden="1">#REF!</definedName>
    <definedName name="BO35CA3E17081642D39D09C6DF175E5552" hidden="1">#REF!</definedName>
    <definedName name="BO35D589D7C3EF4F3FAEA7A06BFCA51C0D" hidden="1">#REF!</definedName>
    <definedName name="BO35FDB2AB3FBE44869B1B8C3CB0C955E2" hidden="1">#REF!</definedName>
    <definedName name="BO361CD271CDE149DDACAFE0A75902BEA7" hidden="1">#REF!</definedName>
    <definedName name="BO36CC36EEBD19426B8489215F05CAE479" hidden="1">#REF!</definedName>
    <definedName name="BO36FCC1C5E1AF49029E2528DB50E43E11" hidden="1">#REF!</definedName>
    <definedName name="BO3728122716B1408E8B7F370B9BBFDADD" hidden="1">#REF!</definedName>
    <definedName name="BO37357DFCCF2E4C95A13F5E9BDBE13910" hidden="1">#REF!</definedName>
    <definedName name="BO375D335D9054414FAE3AF4C765CD8FED" hidden="1">#REF!</definedName>
    <definedName name="BO377B7DA4F59240ABAFF4CD152B5A32BD" hidden="1">#REF!</definedName>
    <definedName name="BO3792264F2CE543AEB8B229F81459D3B0" hidden="1">#REF!</definedName>
    <definedName name="BO37987DC4E7E64BA0A01C92162B351132" hidden="1">#REF!</definedName>
    <definedName name="BO37A8522087C146439B47E95567DA2B00" hidden="1">#REF!</definedName>
    <definedName name="BO37B5B0565C814B4A8335B6363188FD11" hidden="1">#REF!</definedName>
    <definedName name="BO37B7674CC9D940CE88895911F98A3658" hidden="1">#REF!</definedName>
    <definedName name="BO37E5C32029EF417DBAE749FA4EA393F1" hidden="1">#REF!</definedName>
    <definedName name="BO3805FF74986D4E4E954446E3B0CA6F78" hidden="1">#REF!</definedName>
    <definedName name="BO380BDFB5B2F341DE821942CE260EF734" hidden="1">#REF!</definedName>
    <definedName name="BO380C1362F5C049059095DD3D5CD093B6" hidden="1">#REF!</definedName>
    <definedName name="BO381BA5D3D1904961827A5C2547F80342" hidden="1">#REF!</definedName>
    <definedName name="BO382AB72B5084486E8979DEAE18FAB05E" hidden="1">#REF!</definedName>
    <definedName name="BO3833AF0366A74FD49AF696A151BE080B" hidden="1">#REF!</definedName>
    <definedName name="BO38358F4EB3074DEA9456C0100889315C" hidden="1">#REF!</definedName>
    <definedName name="BO3845D84FBF0F408F8AD81ECA1975371A" hidden="1">#REF!</definedName>
    <definedName name="BO384B1C23A2F047BB88E36A83ACA8E726" hidden="1">#REF!</definedName>
    <definedName name="BO3860910B7F314B8E93C1E2BDB2BC603C" hidden="1">#REF!</definedName>
    <definedName name="BO38880C9BAD5B4C55BB1BE90ADC595507" hidden="1">#REF!</definedName>
    <definedName name="BO38A9FA4A3B584052AB9E990F00374890" hidden="1">#REF!</definedName>
    <definedName name="BO38ACFF41E1054C7884A26494448FE045" hidden="1">#REF!</definedName>
    <definedName name="BO38C7A245BD944E6DAF71D4CC689E700E" hidden="1">#REF!</definedName>
    <definedName name="BO38D898D4B14F4460A586C53095BA18F1" hidden="1">#REF!</definedName>
    <definedName name="BO38E2291784D446E59218071F4DBDB8E0" hidden="1">#REF!</definedName>
    <definedName name="BO3905A32D80CC4E4ABF239EBD20D3FB27" hidden="1">#REF!</definedName>
    <definedName name="BO3909BFA3143A4B58B6B8CEB581E9528C" hidden="1">#REF!</definedName>
    <definedName name="BO39253DB67439440A8208AFD7A588CDDB" hidden="1">#REF!</definedName>
    <definedName name="BO392A098005984AFF8D735A33037308AD" hidden="1">#REF!</definedName>
    <definedName name="BO3949FD8C43E84F93B3A81C3E9948A54A" hidden="1">#REF!</definedName>
    <definedName name="BO399E5D7E445147B68FD2A13DF7A45368" hidden="1">#REF!</definedName>
    <definedName name="BO39A392411DC44588A12AD338FD5B7171" hidden="1">#REF!</definedName>
    <definedName name="BO39A42AF3D9DD42E98E5C5FFF35775A0D" hidden="1">#REF!</definedName>
    <definedName name="BO39B7451E2AAF47BE960AD17DF0F782DE" hidden="1">#REF!</definedName>
    <definedName name="BO39D7F0EB4B3148E7B7BE8DAB5CFD140F" hidden="1">#REF!</definedName>
    <definedName name="BO39F1C0CF94004E2AAC6539D1393D3197" hidden="1">#REF!</definedName>
    <definedName name="BO39F8056FEEF141EAAC3CB8637657E823" hidden="1">#REF!</definedName>
    <definedName name="BO3A0BA0E91DAE4579BBD495FE36F95B7E" hidden="1">#REF!</definedName>
    <definedName name="BO3A309A78D58A4D8DA0112124B97664D2" hidden="1">#REF!</definedName>
    <definedName name="BO3A3BDD3BEC6C4C3997F49262585037D2" hidden="1">#REF!</definedName>
    <definedName name="BO3A6A9E2B4DE641478A77ABFA2941AA4C" hidden="1">#REF!</definedName>
    <definedName name="BO3A9B34DFE8A742B487EF3D486DAB6796" hidden="1">#REF!</definedName>
    <definedName name="BO3ACB7C4849DE463297CDF3DAC73C5285" hidden="1">#REF!</definedName>
    <definedName name="BO3B02E8F8E6B94C10B3E37C67BA50F8F7" hidden="1">#REF!</definedName>
    <definedName name="BO3B303A9A732542CEB07F8235F68B611B" hidden="1">#REF!</definedName>
    <definedName name="BO3B46AD7B22E9452EA7B74971395C2D28" hidden="1">#REF!</definedName>
    <definedName name="BO3B6144B377CE45D39F7399D88759882F" hidden="1">#REF!</definedName>
    <definedName name="BO3B704C8087B542E29B354FC73C2EB35C" hidden="1">#REF!</definedName>
    <definedName name="BO3B8EDFAE9CEF4668895EF6B04607C798" hidden="1">#REF!</definedName>
    <definedName name="BO3BB1FCE0D8D34D60B9C97911F55F888B" hidden="1">#REF!</definedName>
    <definedName name="BO3BFFC976FA9B48C4A3837B2DF792D717" hidden="1">#REF!</definedName>
    <definedName name="BO3C06EB17E87B4F95AA9705D0810CA23A" hidden="1">#REF!</definedName>
    <definedName name="BO3C2040FAEA0E4F0F9AE59BA082DF29C0" hidden="1">#REF!</definedName>
    <definedName name="BO3C27A8CCF46440DFA286B770A5F55B3C" hidden="1">#REF!</definedName>
    <definedName name="BO3C82848169FA4D11A8672F7A9FE72C51" hidden="1">#REF!</definedName>
    <definedName name="BO3C98730A70FB4EF395F688F4CD7413F7" hidden="1">#REF!</definedName>
    <definedName name="BO3C99E538887C4467A365E8624D9B808D" hidden="1">#REF!</definedName>
    <definedName name="BO3CB504CE67F84322A30047C7F65DA37A" hidden="1">#REF!</definedName>
    <definedName name="BO3CCC9B2BC38C4D488D8B1493A73B781B" hidden="1">#REF!</definedName>
    <definedName name="BO3D04697C553443CE81E5698A9A11D376" hidden="1">#REF!</definedName>
    <definedName name="BO3D1106863D374B788E66E383A493EFFD" hidden="1">#REF!</definedName>
    <definedName name="BO3D4564B23F3B4C9895009145888A42D0" hidden="1">#REF!</definedName>
    <definedName name="BO3D5A94F872944439AEFDA585DD8D96C0" hidden="1">#REF!</definedName>
    <definedName name="BO3D63A776BB8B413697ACFD0792A79F25" hidden="1">#REF!</definedName>
    <definedName name="BO3D8149A4C7DD46C098821ABD82FCCBFC" hidden="1">#REF!</definedName>
    <definedName name="BO3DFEB735DF724D6A8195AAA7B2170B35" hidden="1">#REF!</definedName>
    <definedName name="BO3E07E937F13046F48C23FB837C43BEC3" hidden="1">#REF!</definedName>
    <definedName name="BO3E0B648F64D242B6B9E0CABA98A66A26" hidden="1">#REF!</definedName>
    <definedName name="BO3E2ABB9A8F2D4DB7A7A51D906D984800" hidden="1">#REF!</definedName>
    <definedName name="BO3E4674A939C24DFAA1C88B525C373305" hidden="1">#REF!</definedName>
    <definedName name="BO3E47F0D838F3454DA566A603391E2CA9" hidden="1">#REF!</definedName>
    <definedName name="BO3E58EA1F6C6B4B1EA49307682BA84A0D" hidden="1">#REF!</definedName>
    <definedName name="BO3EB98F7D879348158884714BB62D2C9B" hidden="1">#REF!</definedName>
    <definedName name="BO3EDDDE35F2BC4BF9A8EAD3D01D0AFA69" hidden="1">#REF!</definedName>
    <definedName name="BO3EEDD1275B594EE6931BB2B423647F40" hidden="1">#REF!</definedName>
    <definedName name="BO3F00F2E605A84C248AEFDEF964BF8003" hidden="1">#REF!</definedName>
    <definedName name="BO3F0398545889487D954D70C6205F57CF" hidden="1">#REF!</definedName>
    <definedName name="BO3F1562F088B64257BDECA4996A9FB66B" hidden="1">#REF!</definedName>
    <definedName name="BO3F4B598DFBCE4609B65057CE90121278" hidden="1">#REF!</definedName>
    <definedName name="BO3F698B30FA064BED80373131F8DA772C" hidden="1">#REF!</definedName>
    <definedName name="BO3F9E4F72F7344C8797FE289DFD0BB660" hidden="1">#REF!</definedName>
    <definedName name="BO3FA34D64D5DD4492A3C440A2EB0A2226" hidden="1">#REF!</definedName>
    <definedName name="BO3FA6B2DD0EBE48EBAE25B1625634C636" hidden="1">#REF!</definedName>
    <definedName name="BO3FA804A2DEEC44DF99E6D77CD74316FA" hidden="1">#REF!</definedName>
    <definedName name="BO3FF06A3D405D4AFEBD23C74161F7F412" hidden="1">#REF!</definedName>
    <definedName name="BO401E6D3F698C4F018BDA573568ADC4E6" hidden="1">#REF!</definedName>
    <definedName name="BO40245ECD8B79440BBC14C8DF1C0BF8B2" hidden="1">#REF!</definedName>
    <definedName name="BO403079319B0C43EEB6940DB9EBC384AB" hidden="1">#REF!</definedName>
    <definedName name="BO40355E13A4AF4311A062DC0DC188997A" hidden="1">#REF!</definedName>
    <definedName name="BO4057EC314CEC47798B0627DC202DE337" hidden="1">#REF!</definedName>
    <definedName name="BO406956B8DA1449F7A85FCAF9D714DC11" hidden="1">#REF!</definedName>
    <definedName name="BO406B5E0DD44D489B88870815BE1210AE" hidden="1">#REF!</definedName>
    <definedName name="BO40A83F555A3A46FC8D7622D2461C15B6" hidden="1">#REF!</definedName>
    <definedName name="BO40E48E25225B4A02828BB2163C89438D" hidden="1">#REF!</definedName>
    <definedName name="BO410312A8086944CA8381547B55028E0E" hidden="1">#REF!</definedName>
    <definedName name="BO41031EE5E6A248E8BA41187F37ABEDC4" hidden="1">#REF!</definedName>
    <definedName name="BO41616448539148F68A11325B0B832164" hidden="1">#REF!</definedName>
    <definedName name="BO41676043571047D0A758DC87F4D8C2A4" hidden="1">#REF!</definedName>
    <definedName name="BO41736F10648940F7980E8A794564F6D4" hidden="1">#REF!</definedName>
    <definedName name="BO418270B3A37648588D932CCCDECD1D57" hidden="1">#REF!</definedName>
    <definedName name="BO41BB107A914849ABAE3078D2C7A0D711" hidden="1">#REF!</definedName>
    <definedName name="BO41C9F9AFBDC248DF84A970BBB0C13F07" hidden="1">#REF!</definedName>
    <definedName name="BO41D812429BE0472984006118F1FD8940" hidden="1">#REF!</definedName>
    <definedName name="BO41DD20B575EE48A98BE33181A6371F62" hidden="1">#REF!</definedName>
    <definedName name="BO41FF1036DC0E4DA69C38C814641389B3" hidden="1">#REF!</definedName>
    <definedName name="BO41FF61B766784424AEC7FF81791873A4" hidden="1">#REF!</definedName>
    <definedName name="BO4217883C6C8A412D9F87DEAB2DD56119" hidden="1">#REF!</definedName>
    <definedName name="BO4221A85BBAE74BFE98901247F57B8632" hidden="1">#REF!</definedName>
    <definedName name="BO42410C79967D49DA9246424E9F8E187C" hidden="1">#REF!</definedName>
    <definedName name="BO429FEAEDBFA547BF85025B1F1844D466" hidden="1">#REF!</definedName>
    <definedName name="BO42A0B3431CAC44BA97E83B69B05F5E78" hidden="1">#REF!</definedName>
    <definedName name="BO42C24C62919C4F06911501D27330F51B" hidden="1">#REF!</definedName>
    <definedName name="BO42C7102A3C9549A7A1E004531E8189D3" hidden="1">#REF!</definedName>
    <definedName name="BO42DB59B560DD480797F4E5A255CE0336" hidden="1">#REF!</definedName>
    <definedName name="BO42F344B5F6214CA8BB1AE642166F8254" hidden="1">#REF!</definedName>
    <definedName name="BO431F7CF865994F508B75F0C14E72E755" hidden="1">#REF!</definedName>
    <definedName name="BO4325C4CE5A6A40EDB239CE3FEA93D616" hidden="1">#REF!</definedName>
    <definedName name="BO433499B555AB4935A23F3FB59353D2EE" hidden="1">#REF!</definedName>
    <definedName name="BO4335FDB3189549F5BF6D0B206D64D24B" hidden="1">#REF!</definedName>
    <definedName name="BO434317F8DA9741658242E88E107EFF2F" hidden="1">#REF!</definedName>
    <definedName name="BO435DD626F933429CBF3601013675993A" hidden="1">#REF!</definedName>
    <definedName name="BO43BB16D693FD4B14A412C62D211E4945" hidden="1">#REF!</definedName>
    <definedName name="BO43C6ED75220C443CB4A3CB0484EC60D0" hidden="1">#REF!</definedName>
    <definedName name="BO43FF37EA3FEC470BAD34B6B7B9FF9C29" hidden="1">#REF!</definedName>
    <definedName name="BO4405FE650B77473191B594E32962A972" hidden="1">#REF!</definedName>
    <definedName name="BO442358FA8333417E864723C79749E79D" hidden="1">#REF!</definedName>
    <definedName name="BO44305DEC1291483A9BF50984E7D8088F" hidden="1">#REF!</definedName>
    <definedName name="BO448A7EE0DCBB4BDF9A056D395A4E5D46" hidden="1">#REF!</definedName>
    <definedName name="BO44D1CF2949C64A60A739B2A441AD051B" hidden="1">#REF!</definedName>
    <definedName name="BO44D4229713E3428698EACDF7F9B51DFC" hidden="1">#REF!</definedName>
    <definedName name="BO44DA8E66CD4940489F111E91BC74453C" hidden="1">#REF!</definedName>
    <definedName name="BO453E695211A44670A7D5BD823FFE8B9F" hidden="1">#REF!</definedName>
    <definedName name="BO454BFF91FD534BF88883176101908687" hidden="1">#REF!</definedName>
    <definedName name="BO454FCE682D15476BA296B3D94BCB2BFB" hidden="1">#REF!</definedName>
    <definedName name="BO4559A96E8A974B1DAC918F8F2EB94EF9" hidden="1">#REF!</definedName>
    <definedName name="BO45878D15BC764FF3AB65C7517F4B4468" hidden="1">#REF!</definedName>
    <definedName name="BO45904099936743BABF24BA42E132C38D" hidden="1">#REF!</definedName>
    <definedName name="BO45B21A31A07443E493B4B0CE970B67BE" hidden="1">#REF!</definedName>
    <definedName name="BO4654F35AE4A94B88914D5564F493E506" hidden="1">#REF!</definedName>
    <definedName name="BO46EA610EBFC643F5B313EF854D068321" hidden="1">#REF!</definedName>
    <definedName name="BO472FDF9D1E3B4E9991920C454290CCB8" hidden="1">#REF!</definedName>
    <definedName name="BO47305FE1425C42EE8297FD2C4DE5D7DC" hidden="1">#REF!</definedName>
    <definedName name="BO4765F1B9752F4104B13E2D2D8439107F" hidden="1">#REF!</definedName>
    <definedName name="BO47738B1418294B9889FC0348BEC8078D" hidden="1">#REF!</definedName>
    <definedName name="BO477AF323BBAF4D949363F8CF4B007300" hidden="1">#REF!</definedName>
    <definedName name="BO4792AAFA02C24ED6AA0BB01C79C4D53D" hidden="1">#REF!</definedName>
    <definedName name="BO47CB1926C4224D5191C8B45468721815" hidden="1">#REF!</definedName>
    <definedName name="BO47CF2416E1E4433CB14DF1CD9BB47325" hidden="1">#REF!</definedName>
    <definedName name="BO47F43F7C60F64E7C8F5511C18A7D9150" hidden="1">#REF!</definedName>
    <definedName name="BO47FE1908C88F4900971BC7AD61476814" hidden="1">#REF!</definedName>
    <definedName name="BO4811BB6D363246B4B8C029A31B50EC37" hidden="1">#REF!</definedName>
    <definedName name="BO48158C876A054053A8BF1B1066B5769F" hidden="1">#REF!</definedName>
    <definedName name="BO481EEF2746434CA3955011739E810936" hidden="1">#REF!</definedName>
    <definedName name="BO4831E7C9F1E24C75885AEE45966CF51F" hidden="1">#REF!</definedName>
    <definedName name="BO484DA2D43C574948877D69CEA2096392" hidden="1">#REF!</definedName>
    <definedName name="BO4874FCDB87824222B8F51298606DB3AA" hidden="1">#REF!</definedName>
    <definedName name="BO48835453620245AEB7B610E2C50EAB3D" hidden="1">#REF!</definedName>
    <definedName name="BO48B69C9C3A4A4DA2AFD812AE32ED98F2" hidden="1">#REF!</definedName>
    <definedName name="BO48D151814232468CBC2887DCAC36C30D" hidden="1">#REF!</definedName>
    <definedName name="BO48EE5418E8DD4622BB78F4DF1C2A142A" hidden="1">#REF!</definedName>
    <definedName name="BO491DF1B87A35419FB7FA4840BFC287E4" hidden="1">#REF!</definedName>
    <definedName name="BO492FF71352564A0B906D969350494321" hidden="1">#REF!</definedName>
    <definedName name="BO496A271603F746FD8768E3BE7C35AC8B" hidden="1">#REF!</definedName>
    <definedName name="BO4989BD6C49D9472F9577212E5508BA42" hidden="1">#REF!</definedName>
    <definedName name="BO49BE17222F1C4BB58D35D46E4E2F888A" hidden="1">#REF!</definedName>
    <definedName name="BO49BE7643709D4E51B4CE6E9827246CC0" hidden="1">#REF!</definedName>
    <definedName name="BO49C03189CFB64DD2ABF19BD409F593CB" hidden="1">#REF!</definedName>
    <definedName name="BO49DCD65C43EB4DFCA8847B0CC8D9697F" hidden="1">#REF!</definedName>
    <definedName name="BO4A3DBBE544E8425CA26337B568D90565" hidden="1">#REF!</definedName>
    <definedName name="BO4A3EA82712D4443FBE70BEF91D9E21B5" hidden="1">#REF!</definedName>
    <definedName name="BO4A47E059A2E64E29805369062AC0FA3B" hidden="1">#REF!</definedName>
    <definedName name="BO4A648412D7AD41F39C281FF6AACFFB1C" hidden="1">#REF!</definedName>
    <definedName name="BO4A7EDF1F721E44818AAF14D4EE421965" hidden="1">#REF!</definedName>
    <definedName name="BO4AAE3B29CE214B3288C1C3E46EDEE779" hidden="1">#REF!</definedName>
    <definedName name="BO4AAF3ED43D1F4BA0A617F05B5FA98022" hidden="1">#REF!</definedName>
    <definedName name="BO4ABD4D97307B4665ADA92858FAEF49D4" hidden="1">#REF!</definedName>
    <definedName name="BO4B55FBE7704D4E8ABFBBA6B9FCFCCE0B" hidden="1">#REF!</definedName>
    <definedName name="BO4B600A1E72F94C77B9817B555BEAFCFC" hidden="1">#REF!</definedName>
    <definedName name="BO4B85FA2CA3EB4164B387DE75A013145C" hidden="1">#REF!</definedName>
    <definedName name="BO4B9820C141B1499BB7BD6CD1C5A977AA" hidden="1">#REF!</definedName>
    <definedName name="BO4BB9A2BC1129469286DE1F8ABA253435" hidden="1">#REF!</definedName>
    <definedName name="BO4C0243B70A9541D291A1FBB0DE639578" hidden="1">#REF!</definedName>
    <definedName name="BO4C1CD1D203F04562A4E31D080D642AB1" hidden="1">#REF!</definedName>
    <definedName name="BO4C322C3F08A04888A840CDEC0E0EEECC" hidden="1">#REF!</definedName>
    <definedName name="BO4C43050B90E04C87B55DD5F46779E3E5" hidden="1">#REF!</definedName>
    <definedName name="BO4C49BA149189441D82286AD70F0DBFBA" hidden="1">#REF!</definedName>
    <definedName name="BO4C59317BCB434D4AAB8264AC52E949F2" hidden="1">#REF!</definedName>
    <definedName name="BO4C748FEDC50D4D05BF6C3AE45DF27C96" hidden="1">#REF!</definedName>
    <definedName name="BO4C74A53862CA458B84FB13899C4C27A0" hidden="1">#REF!</definedName>
    <definedName name="BO4CA027B4B11C4E88BEA7D5AB0FBFE55C" hidden="1">#REF!</definedName>
    <definedName name="BO4CABAE3124EC4EA3BBD9ACA318D3884A" hidden="1">#REF!</definedName>
    <definedName name="BO4CBA748CA1904ABEAC4916C51F3632CD" hidden="1">#REF!</definedName>
    <definedName name="BO4CC413BA91B24160B10C346B184D4378" hidden="1">#REF!</definedName>
    <definedName name="BO4CD39991FB7D4B3EA474B7C8CAB5921A" hidden="1">#REF!</definedName>
    <definedName name="BO4CFE4749AA3E4E43BC1AC4E546D31AFE" hidden="1">#REF!</definedName>
    <definedName name="BO4D111DFC879A4267A8F215A9F3EE7545" hidden="1">#REF!</definedName>
    <definedName name="BO4D176891D0D447959B2CE9E30A490257" hidden="1">#REF!</definedName>
    <definedName name="BO4D217C14FE744B10921607668507E5E5" hidden="1">#REF!</definedName>
    <definedName name="BO4D312C5249F84A419336714CC3247A5D" hidden="1">#REF!</definedName>
    <definedName name="BO4D4B68E0EB674E5A8741358C839FECA5" hidden="1">#REF!</definedName>
    <definedName name="BO4D622B63467C42F99F1CF3912C0F4402" hidden="1">#REF!</definedName>
    <definedName name="BO4D80DEACB63F40C8B074073E6B1CCF17" hidden="1">#REF!</definedName>
    <definedName name="BO4D95CA0E2A4B43CA8A504EE9704A811B" hidden="1">#REF!</definedName>
    <definedName name="BO4DD3E06B30D0453591537146FB44B655" hidden="1">#REF!</definedName>
    <definedName name="BO4DF0AF32BA4041D98D60CE58B013B4E7" hidden="1">#REF!</definedName>
    <definedName name="BO4DF2AB7750BF42EB9D57BA4D725243B3" hidden="1">#REF!</definedName>
    <definedName name="BO4E224232AAA9422ABBADA09C17231477" hidden="1">#REF!</definedName>
    <definedName name="BO4E5A5B2226B446818FD3052673DBE06E" hidden="1">#REF!</definedName>
    <definedName name="BO4EABBA73A2DA454BA953C9AE702A13FB" hidden="1">#REF!</definedName>
    <definedName name="BO4EB58024FECD4AAD9C54E6C0EC901032" hidden="1">#REF!</definedName>
    <definedName name="BO4EB62A5D99B44412981CC2DBA16B65A3" hidden="1">#REF!</definedName>
    <definedName name="BO4EC7C41902974BF0A985E634282CB07E" hidden="1">#REF!</definedName>
    <definedName name="BO4ED6C94AEE84498698E997DC83194ED4" hidden="1">#REF!</definedName>
    <definedName name="BO4F082A8E044C49F8BC480A70B601A36E" hidden="1">#REF!</definedName>
    <definedName name="BO4F0FF9C21C6E41768DF300AE990AF1DC" hidden="1">#REF!</definedName>
    <definedName name="BO4F174CF711D441F9848DE1A3F0E09B80" hidden="1">#REF!</definedName>
    <definedName name="BO4F1DDF5EB2F44AFAA8C5516DEF485905" hidden="1">#REF!</definedName>
    <definedName name="BO4F28111B51394391ABC9CC6B0B64372F" hidden="1">#REF!</definedName>
    <definedName name="BO4F382251407541D4B94F5AF416857C88" hidden="1">#REF!</definedName>
    <definedName name="BO4FB289186CC049ACAF17B8C85DFF71C8" hidden="1">#REF!</definedName>
    <definedName name="BO500F607281384E709BC81BB8D0E05040" hidden="1">#REF!</definedName>
    <definedName name="BO5041B9A4B8C146FA8D61B1D6914A3DEC" hidden="1">#REF!</definedName>
    <definedName name="BO5060B8055B22479FB2B032CFBC156B9A" hidden="1">#REF!</definedName>
    <definedName name="BO5080FCBB1AFE4582AB0AEF756E02AB2A" hidden="1">#REF!</definedName>
    <definedName name="BO50859751527B4027B87A739BAF1FB8E0" hidden="1">#REF!</definedName>
    <definedName name="BO509669C9ED7840288304BF14BF625147" hidden="1">#REF!</definedName>
    <definedName name="BO50A9A9E6831241658F508DEAFE2A7553" hidden="1">#REF!</definedName>
    <definedName name="BO510065BD015D4F95A15752285E2AE65E" hidden="1">#REF!</definedName>
    <definedName name="BO5124F12717414DAC96ABA4A8269ECB84" hidden="1">#REF!</definedName>
    <definedName name="BO513861991D7C4A5FBB93C7EA0C759CFD" hidden="1">#REF!</definedName>
    <definedName name="BO514D95FAE90F482C849C11DE38AE8DA0" hidden="1">#REF!</definedName>
    <definedName name="BO51A8FA915C9A4F9D89273CF63EE46FE8" hidden="1">#REF!</definedName>
    <definedName name="BO51C8FC979EAE441F9F289915887365C5" hidden="1">#REF!</definedName>
    <definedName name="BO51F608F52D8F4C42869432170B976399" hidden="1">#REF!</definedName>
    <definedName name="BO5225587466CB4E64950F3A977CD53BB5" hidden="1">#REF!</definedName>
    <definedName name="BO522BE2FBF700464AAFC7A88746B3102A" hidden="1">#REF!</definedName>
    <definedName name="BO523DE52BFFDA4227A8E78C3E253F130B" hidden="1">#REF!</definedName>
    <definedName name="BO523E151E1B1A4DEDAD3390FF9E08BB41" hidden="1">#REF!</definedName>
    <definedName name="BO5260A82048CC4FADAD92DC55975D9422" hidden="1">#REF!</definedName>
    <definedName name="BO526E08859F644BE480E6EA86F7851C8C" hidden="1">#REF!</definedName>
    <definedName name="BO528E13D4C0DB4D2F959E2E0AE4BF6A43" hidden="1">#REF!</definedName>
    <definedName name="BO52BE609CECE24F668D2E97E40E865353" hidden="1">#REF!</definedName>
    <definedName name="BO52D5C0A0C34646D0A9DBF31C7B4681BE" hidden="1">#REF!</definedName>
    <definedName name="BO53076DABED03457BA1A6CC7DE8E548B8" hidden="1">#REF!</definedName>
    <definedName name="BO531951EF37274BB4BA6B253AABF3B259" hidden="1">#REF!</definedName>
    <definedName name="BO531F40EBDFD2499781D4ACD8FBBC913E" hidden="1">#REF!</definedName>
    <definedName name="BO5325677A58DD4E678732C8AB1BFC801A" hidden="1">#REF!</definedName>
    <definedName name="BO53388E846AC947EB99E66A4CCDCEDD27" hidden="1">#REF!</definedName>
    <definedName name="BO535460E4AB39414AB1F623062720C048" hidden="1">#REF!</definedName>
    <definedName name="BO537518734AB84AB49EB5AAA63CCE1585" hidden="1">#REF!</definedName>
    <definedName name="BO53795B0958F44E0282061BA77BFBA6DD" hidden="1">#REF!</definedName>
    <definedName name="BO53A13D7951334900A0A1A872901E57A2" hidden="1">#REF!</definedName>
    <definedName name="BO53AB5D3CCB4A413EA144664C99503047" hidden="1">#REF!</definedName>
    <definedName name="BO53C1AD7020A246D19C492B988C284605" hidden="1">#REF!</definedName>
    <definedName name="BO53EB7E26F34145258939F9D27853A768" hidden="1">#REF!</definedName>
    <definedName name="BO53FC468444E242A794DB77EB7D6A0B1D" hidden="1">#REF!</definedName>
    <definedName name="BO53FD180040484DF9AD12C0F43F525431" hidden="1">#REF!</definedName>
    <definedName name="BO54170C69A5B443B9A46A563B24D7A02A" hidden="1">#REF!</definedName>
    <definedName name="BO541B429733D9464BAA0F472DC5A390A6" hidden="1">#REF!</definedName>
    <definedName name="BO5428BC2AC15245C392FAD48AC0E1D1D3" hidden="1">#REF!</definedName>
    <definedName name="BO54379D2A778B4EDC8D666466E7F51442" hidden="1">#REF!</definedName>
    <definedName name="BO547D617DA19944FD9F05968F08E6D309" hidden="1">#REF!</definedName>
    <definedName name="BO5480837E22434DED90AE7C00C082A9A1" hidden="1">#REF!</definedName>
    <definedName name="BO5484F71A0B8B45979B9D569008231679" hidden="1">#REF!</definedName>
    <definedName name="BO54966A0B410A4295A1BBC4E266509877" hidden="1">#REF!</definedName>
    <definedName name="BO54BC5EA573944120A2762F060194BA1E" hidden="1">#REF!</definedName>
    <definedName name="BO54DB55663F334C03B8ADD851DEA5C745" hidden="1">#REF!</definedName>
    <definedName name="BO54E8BAC9CCCE44BC963133C9AE4B630A" hidden="1">#REF!</definedName>
    <definedName name="BO5507E6215F3F4FC097A3E11986F2AC10" hidden="1">#REF!</definedName>
    <definedName name="BO550B27D935D4459DBAD38DC3153E9204" hidden="1">#REF!</definedName>
    <definedName name="BO55240D5E45B04FAE87A19DEA34A4CC05" hidden="1">#REF!</definedName>
    <definedName name="BO553136AC6422422C818B96B66C2C3990" hidden="1">#REF!</definedName>
    <definedName name="BO555B1633F11C47E89A1801F074518A32" hidden="1">#REF!</definedName>
    <definedName name="BO5567A7BED87F42A9B8315385DA7E9968" hidden="1">#REF!</definedName>
    <definedName name="BO556F9D67D63B485490BE4A5B2DAA0424" hidden="1">#REF!</definedName>
    <definedName name="BO5573662C4A00410AA097D755481BE91F" hidden="1">#REF!</definedName>
    <definedName name="BO560251BCD11740889928CA8EA1D6C8BB" hidden="1">#REF!</definedName>
    <definedName name="BO5625EF84032E4129A4F1C26C707CB6A3" hidden="1">#REF!</definedName>
    <definedName name="BO563FCE97DF97426EB7D91F44C76515D6" hidden="1">#REF!</definedName>
    <definedName name="BO56511C056B644925BB9E09A5CE15BBF3" hidden="1">#REF!</definedName>
    <definedName name="BO565771992FE84D6C9DDDD43E6049AEA8" hidden="1">#REF!</definedName>
    <definedName name="BO569A5FBFD6F24C0C8A17193DE8B0987E" hidden="1">#REF!</definedName>
    <definedName name="BO56C93C031ADA4A8CB9AA79E06B808B71" hidden="1">#REF!</definedName>
    <definedName name="BO56DC94197E294360B6A59153FF03457A" hidden="1">#REF!</definedName>
    <definedName name="BO56E22477476841508EDA127C8CFBE0CB" hidden="1">#REF!</definedName>
    <definedName name="BO57492025E3734968B443F2156F6E5611" hidden="1">#REF!</definedName>
    <definedName name="BO57544A4DD8D040EE8060E1C9E846EC7F" hidden="1">#REF!</definedName>
    <definedName name="BO575F08F36F1744AB9596B19069D05C38" hidden="1">#REF!</definedName>
    <definedName name="BO578F669344B943B2ACBCC36BC4A76D24" hidden="1">#REF!</definedName>
    <definedName name="BO5799DF1DC6FF4B2DB3252E6FB0A0F139" hidden="1">#REF!</definedName>
    <definedName name="BO57A6BD4AE8E243E494577EAD1CBE5386" hidden="1">#REF!</definedName>
    <definedName name="BO57B95B501F9743B1975E90BCF4891783" hidden="1">#REF!</definedName>
    <definedName name="BO57D32E0CD41A495289CBDB65D3B5BAA9" hidden="1">#REF!</definedName>
    <definedName name="BO57E3E16B3039468C918A2851F2906987" hidden="1">#REF!</definedName>
    <definedName name="BO57FDDF1F6FFB4E55A7F2E13CB281DAF1" hidden="1">#REF!</definedName>
    <definedName name="BO581F7C20F3F0407099EF769043553AFA" hidden="1">#REF!</definedName>
    <definedName name="BO583B69D2114749F5A55CE9DF13098368" hidden="1">#REF!</definedName>
    <definedName name="BO583C6F5C29CF4F41A54EA713AA1355F6" hidden="1">#REF!</definedName>
    <definedName name="BO58B0760CD8F245CEA3CCE06D7CF1481E" hidden="1">#REF!</definedName>
    <definedName name="BO58B56024014C4E80B3014C3EBF2F4731" hidden="1">#REF!</definedName>
    <definedName name="BO58C0409804204ACC886A26B469A98FCA" hidden="1">#REF!</definedName>
    <definedName name="BO58C4AC72229D4A05A6B102FC5BA2C9B0" hidden="1">#REF!</definedName>
    <definedName name="BO58CB515C808C48BEBC52F4E8A8B10863" hidden="1">#REF!</definedName>
    <definedName name="BO58F664DD369B413BBE0AA6C680221346" hidden="1">#REF!</definedName>
    <definedName name="BO590F0D7F6F8D46C29B2EED8932DD87BD" hidden="1">#REF!</definedName>
    <definedName name="BO592E3D457DC3430DB54EBC54823DCBC4" hidden="1">#REF!</definedName>
    <definedName name="BO59384E7DCDEE4351A4263865DC557B5A" hidden="1">#REF!</definedName>
    <definedName name="BO593C02F3586C400B9C127B9BEFF5A3A3" hidden="1">#REF!</definedName>
    <definedName name="BO594059A6BB774C32931101FDBA9AA2A6" hidden="1">#REF!</definedName>
    <definedName name="BO594A5066E3D64A9B96E87EEE60E35000" hidden="1">#REF!</definedName>
    <definedName name="BO5956D9BCE4364C56A9714DB73C6D3E8D" hidden="1">#REF!</definedName>
    <definedName name="BO596B387D06DE485CB1426B95E64D527C" hidden="1">#REF!</definedName>
    <definedName name="BO597DDE6E95004F7F9C963613977B9F66" hidden="1">#REF!</definedName>
    <definedName name="BO599B6CBC43504E33AD45ECD15A182A0F" hidden="1">#REF!</definedName>
    <definedName name="BO59C567DB691F4B6DB56F5A3F1EBC5DED" hidden="1">#REF!</definedName>
    <definedName name="BO59D768DCFA394415A9FA22D804593B67" hidden="1">#REF!</definedName>
    <definedName name="BO59EABF3D307B40AA89D51822A5BF1DDB" hidden="1">#REF!</definedName>
    <definedName name="BO59FCCD41CD2D4A809251677722F31B4F" hidden="1">#REF!</definedName>
    <definedName name="BO5A3ED020BCED4A83ABA0A0B88F8487AC" hidden="1">#REF!</definedName>
    <definedName name="BO5A6A224EDF754A9C8DAE2269DFAFB953" hidden="1">#REF!</definedName>
    <definedName name="BO5A6ACB3BF5214FB89E5482871875990D" hidden="1">#REF!</definedName>
    <definedName name="BO5A6B60F0E8034ECCBE9A1A4C0EFC6987" hidden="1">#REF!</definedName>
    <definedName name="BO5A81CA1FE8AD4707A0412775188A8DEC" hidden="1">#REF!</definedName>
    <definedName name="BO5ADD7A0B4F8643948793596858585348" hidden="1">#REF!</definedName>
    <definedName name="BO5AF15FD77702431BBFEC3BE53FAFC51F" hidden="1">#REF!</definedName>
    <definedName name="BO5B17EB1DC2314204AAAB4C10CD014779" hidden="1">#REF!</definedName>
    <definedName name="BO5B20057ECFD04152B0F8766338210D8E" hidden="1">#REF!</definedName>
    <definedName name="BO5B27E855FA5040EB86FED41A3DE59A24" hidden="1">#REF!</definedName>
    <definedName name="BO5B2C521B9D9A42D49C89CDF8F4742308" hidden="1">#REF!</definedName>
    <definedName name="BO5B3F6E178E114DF088F00C8568A47DBA" hidden="1">#REF!,#REF!,#REF!</definedName>
    <definedName name="BO5B4F0CF744DC4B488CF71D96F8AA06B0" hidden="1">#REF!</definedName>
    <definedName name="BO5B52615A450A4CC1B8803DBA2D89031C" hidden="1">#REF!</definedName>
    <definedName name="BO5B6647E500B64C49A067CFE98195A323" hidden="1">#REF!</definedName>
    <definedName name="BO5B9CA8ABC9A346AEA3B9F7CB5CF6A740" hidden="1">#REF!</definedName>
    <definedName name="BO5BB0B277A3394326AFBAAAF6450E4E42" hidden="1">#REF!</definedName>
    <definedName name="BO5BB90F35827F4C8CB35EB5880E3DFBF5" hidden="1">#REF!</definedName>
    <definedName name="BO5BC31258B8F8431DBC9B1836B8016102" hidden="1">#REF!</definedName>
    <definedName name="BO5BD8EB8E62ED48D6BA69F65CED12804D" hidden="1">#REF!</definedName>
    <definedName name="BO5BE732993B4846D58B3911D46AD6038D" hidden="1">#REF!</definedName>
    <definedName name="BO5C6AE5D18D554D7E8159E2BAE8FA382F" hidden="1">#REF!</definedName>
    <definedName name="BO5C73CAE6A2834A4B94D14E18B48EAF16" hidden="1">#REF!</definedName>
    <definedName name="BO5C8124D2D9FB4EAAB76560D5A15737B8" hidden="1">#REF!</definedName>
    <definedName name="BO5C902D60CF47456FA169B1087280482B" hidden="1">#REF!</definedName>
    <definedName name="BO5C920D0B5B1345BABC2366B7DA1C5E25" hidden="1">#REF!</definedName>
    <definedName name="BO5C93DD374DC2423B967014357CA2D571" hidden="1">#REF!</definedName>
    <definedName name="BO5CDE450990984959AE300DAC644A2FF4" hidden="1">#REF!</definedName>
    <definedName name="BO5D05E09EECF5457DA33727FC8D15191F" hidden="1">#REF!</definedName>
    <definedName name="BO5D3A29F492374C6C925AC1A20ED66BEB" hidden="1">#REF!</definedName>
    <definedName name="BO5D45774D31BA47B8AE1E174DE6B88DC5" hidden="1">#REF!</definedName>
    <definedName name="BO5D46C9AD71BC4FDD877EA97718D4BBE9" hidden="1">#REF!</definedName>
    <definedName name="BO5D5F2491E93B4AA3B9D27F259616BD98" hidden="1">#REF!</definedName>
    <definedName name="BO5D9DFDE61A224480A6661F17796BBA5F" hidden="1">#REF!</definedName>
    <definedName name="BO5DBC1413A4EF4004B35971E058515E30" hidden="1">#REF!</definedName>
    <definedName name="BO5DCAB14EFA5C4FE3BFD9A86392942047" hidden="1">#REF!</definedName>
    <definedName name="BO5DFCB56992D44322ADC1421A3B901C42" hidden="1">#REF!</definedName>
    <definedName name="BO5DFF17F65E144CB0837C415C67612916" hidden="1">#REF!</definedName>
    <definedName name="BO5E15162F9C004ABAA5599FEAD7B0B618" hidden="1">#REF!</definedName>
    <definedName name="BO5E3AEC809E10421B846FB0743CBC6A3D" hidden="1">#REF!</definedName>
    <definedName name="BO5E3D11B36BB24ABE9E39A8B7C3313197" hidden="1">#REF!</definedName>
    <definedName name="BO5E543CAB34A54B94A48D330415EE4DD1" hidden="1">#REF!</definedName>
    <definedName name="BO5E6433AEBB09449AAB690755E35CE034" hidden="1">#REF!</definedName>
    <definedName name="BO5E6F18A1750D4760B7498A21B6D88CA2" hidden="1">#REF!</definedName>
    <definedName name="BO5EABBF3BF19F4A4A85944C3DAEA4DB28" hidden="1">#REF!</definedName>
    <definedName name="BO5EB0027199674D819EBA32CE0557D9DA" hidden="1">#REF!</definedName>
    <definedName name="BO5EB3A4D52BE74C6EAB70B27B3AF53D6A" hidden="1">#REF!</definedName>
    <definedName name="BO5EB64E23C1AF448B84C2883AC71C22E3" hidden="1">#REF!</definedName>
    <definedName name="BO5EBBE63C669F462BAFB60AE49A5A162A" hidden="1">#REF!</definedName>
    <definedName name="BO5ED9A67CB86A47D68BB8537766EF330A" hidden="1">#REF!</definedName>
    <definedName name="BO5EFD84FDD9014E5C905F42675B5FBB6D" hidden="1">#REF!</definedName>
    <definedName name="BO5EFF581C31E94D0B9DC78606248B24D7" hidden="1">#REF!</definedName>
    <definedName name="BO5F0E4A5C4627496F99950E09FB952717" hidden="1">#REF!</definedName>
    <definedName name="BO5F169185BC3A43F783223A4E39E97CA7" hidden="1">#REF!</definedName>
    <definedName name="BO5F183ECE0B6F4CD582CE8D75DE8E61A1" hidden="1">#REF!</definedName>
    <definedName name="BO5F3A3B097B6E405593E1AEEA4240D978" hidden="1">#REF!</definedName>
    <definedName name="BO5F459209386748FDB50D8C98E6A67013" hidden="1">#REF!</definedName>
    <definedName name="BO5F4D61EC1AC0466F99DDD0262E888D3D" hidden="1">#REF!</definedName>
    <definedName name="BO5F7BA0B96A7C4F7A90ACFCB804B8F5F2" hidden="1">#REF!</definedName>
    <definedName name="BO5F905E63F3BB424BB231F0911BD9D24C" hidden="1">#REF!</definedName>
    <definedName name="BO5F92419A2B2042A88CF6F07560803C22" hidden="1">#REF!</definedName>
    <definedName name="BO5FA9FE156258454F97E163543A3F3899" hidden="1">#REF!</definedName>
    <definedName name="BO5FC82D2B3FCB499BAA5955760CB32BD2" hidden="1">#REF!</definedName>
    <definedName name="BO5FD18E77AE8647D2B1214CC539C6DD9C" hidden="1">#REF!</definedName>
    <definedName name="BO603BD3EE00A0424498DAF2F7E091225B" hidden="1">#REF!</definedName>
    <definedName name="BO604736B173DB48DA8E4B59C73C561390" hidden="1">#REF!</definedName>
    <definedName name="BO60496C515CE8453080E955E01CE46F24" hidden="1">#REF!</definedName>
    <definedName name="BO604C0B294184428DB9B66E0FCEDFD21D" hidden="1">#REF!</definedName>
    <definedName name="BO607D9A60550B4FA7A677D228FC06A7CB" hidden="1">#REF!</definedName>
    <definedName name="BO60BD75B8DBEA4387803CB4AFC1DE479F" hidden="1">#REF!</definedName>
    <definedName name="BO613F759C26A74335BB3EF9023610D70E" hidden="1">#REF!</definedName>
    <definedName name="BO615909B743C44F0A96BD891389726A2E" hidden="1">#REF!</definedName>
    <definedName name="BO615D15D8CAE34558B13E3F0CC5844365" hidden="1">#REF!</definedName>
    <definedName name="BO616BD729B62B4825946A716B2C525B15" hidden="1">#REF!</definedName>
    <definedName name="BO61724CCC0F794E86A985D3AADDC1FA83" hidden="1">#REF!</definedName>
    <definedName name="BO617494DDEDE24BE9B3FA2D5E1CC6872A" hidden="1">#REF!</definedName>
    <definedName name="BO6176C8ADB7DA45CAB2379E250E1F35F3" hidden="1">#REF!</definedName>
    <definedName name="BO61939F664A7B4148A014D08C0F83009E" hidden="1">#REF!</definedName>
    <definedName name="BO61BF0D9724194D4B90626961658132AD" hidden="1">#REF!</definedName>
    <definedName name="BO61C4C9B3A4784662A302783044378B55" hidden="1">#REF!</definedName>
    <definedName name="BO6236A60D4B464EC6987D2DC453EEDD17" hidden="1">#REF!</definedName>
    <definedName name="BO6255D22CCF4A48E2927E16A99513F380" hidden="1">#REF!</definedName>
    <definedName name="BO6259BB8601F74518B211D5FED555AD9C" hidden="1">#REF!</definedName>
    <definedName name="BO627607EF9B44464A878AD3A742DE38FE" hidden="1">#REF!</definedName>
    <definedName name="BO62A1E4942FED470D874ED59DCC2A4AA5" hidden="1">#REF!</definedName>
    <definedName name="BO62A400A078E0451CB6563EF81DF7EB35" hidden="1">#REF!</definedName>
    <definedName name="BO62D36540D0034AA48DE063297A413BDD" hidden="1">#REF!</definedName>
    <definedName name="BO62EA898CF22D44DF8EF3BDDF92CB0D5D" hidden="1">#REF!</definedName>
    <definedName name="BO632F30B76259416E8B4AABED4E04E9C1" hidden="1">#REF!</definedName>
    <definedName name="BO63342495192B4BB3926FE91DBC7CDF80" hidden="1">#REF!</definedName>
    <definedName name="BO6343DE6C7B704817A0546885E051A1D6" hidden="1">#REF!</definedName>
    <definedName name="BO634873F74EAC469682BBECE9867D6B58" hidden="1">#REF!</definedName>
    <definedName name="BO63594AD2F89C441C93AEE7BA06352B19" hidden="1">#REF!</definedName>
    <definedName name="BO63E38032E3F644E4BB42E4B51865F168" hidden="1">#REF!</definedName>
    <definedName name="BO63EA90CDEA784E94B8AFC4EC8E6D4E1D" hidden="1">#REF!</definedName>
    <definedName name="BO63EB694AE718408AAD85F588618E2E06" hidden="1">#REF!</definedName>
    <definedName name="BO63ED429219D8463DABEF3E421AFA5D2E" hidden="1">#REF!</definedName>
    <definedName name="BO64159BC2B6EB41A7AEDE3EC6A5A731B5" hidden="1">#REF!</definedName>
    <definedName name="BO6423233F3D194C0D8979ED4AE7B7CDB9" hidden="1">#REF!</definedName>
    <definedName name="BO6423CEBDDD0A412CBBFAAB3898A9206F" hidden="1">#REF!</definedName>
    <definedName name="BO6432D82A7F18425BBB54846393D2B2B6" hidden="1">#REF!</definedName>
    <definedName name="BO6433583BE03A4C8795312841BAC5EF1E" hidden="1">#REF!</definedName>
    <definedName name="BO643487FBABFD47D1B9671E6FF468E5ED" hidden="1">#REF!</definedName>
    <definedName name="BO6439C973EC234BA5ACB68AB3BE50D62B" hidden="1">#REF!</definedName>
    <definedName name="BO645EE44B4E7D4700B1DFD7503111F62B" hidden="1">#REF!</definedName>
    <definedName name="BO6462179A1619417A83A9792363E455E4" hidden="1">#REF!</definedName>
    <definedName name="BO6469F20DC373405B993702B81D5913A5" hidden="1">#REF!</definedName>
    <definedName name="BO6483DEE8FC8B40C7B8F594FC1921C0AB" hidden="1">#REF!</definedName>
    <definedName name="BO64859DECF7D341928F046D284A3663C8" hidden="1">#REF!</definedName>
    <definedName name="BO6497356C7659467F83DE769F74DB2C5F" hidden="1">#REF!</definedName>
    <definedName name="BO64B9D18A339B4E82BEB117EFBA715E4B" hidden="1">#REF!</definedName>
    <definedName name="BO64DD43D1C5F943F18128ECE58B8A02BC" hidden="1">#REF!</definedName>
    <definedName name="BO64F2C7DDE0A34E8BB903ADDBBF23AFA9" hidden="1">#REF!</definedName>
    <definedName name="BO650C13AE83C343EBACC8BB1D5111021D" hidden="1">#REF!</definedName>
    <definedName name="BO6532AD466881482590E03ADF20DC051D" hidden="1">#REF!</definedName>
    <definedName name="BO653AC79F78084F98BF30F3686F64DB4D" hidden="1">#REF!</definedName>
    <definedName name="BO6544D5D30FE94C7893711F5903A3B5D9" hidden="1">#REF!</definedName>
    <definedName name="BO6575576B73CA4712BEFB29A3A9A228F9" hidden="1">#REF!</definedName>
    <definedName name="BO65A8281E60C44053BCA2C62905C7294C" hidden="1">#REF!</definedName>
    <definedName name="BO65AF0ADBEA604FABB6F823015E2A0312" hidden="1">#REF!</definedName>
    <definedName name="BO65BA49055D564A788303C1D5B6B70FAE" hidden="1">#REF!</definedName>
    <definedName name="BO65D4C34990C749D99149EFB3442902EC" hidden="1">#REF!</definedName>
    <definedName name="BO65D9F3B0FD514C85A62029A7AF689E83" hidden="1">#REF!</definedName>
    <definedName name="BO66029D8B1A41481A90060C3EA1F21888" hidden="1">#REF!</definedName>
    <definedName name="BO660F27E76F2743E0A9CA43DB71AE88AD" hidden="1">#REF!</definedName>
    <definedName name="BO662440E41F1741A2A2721ECCCA48BE17" hidden="1">#REF!</definedName>
    <definedName name="BO6627790CD7274958AD09391A717C7A39" hidden="1">#REF!</definedName>
    <definedName name="BO662B6CEAD0AF4B30B7CBEFE678A5085C" hidden="1">#REF!</definedName>
    <definedName name="BO664A2099EDCA4D7DBF42D984D09C77F0" hidden="1">#REF!</definedName>
    <definedName name="BO666B53C5597A48199D7B652E49ACE44D" hidden="1">#REF!</definedName>
    <definedName name="BO667A065EC72B4C18B71122F74A6AA78A" hidden="1">#REF!</definedName>
    <definedName name="BO66986FCDE027458FA62A037F00F43F61" hidden="1">#REF!</definedName>
    <definedName name="BO66BB94EBB1DA4F5B9588AE37EECDD337" hidden="1">#REF!</definedName>
    <definedName name="BO66CAA06315CE4A0D83632A168E695E98" hidden="1">#REF!</definedName>
    <definedName name="BO66D2B05D857142ADB41334DF2CA1C491" hidden="1">#REF!</definedName>
    <definedName name="BO66ED4AA2CC034116BDB91C024F555558" hidden="1">#REF!</definedName>
    <definedName name="BO66F41CB22A0E4A64B013AF3850EBED07" hidden="1">#REF!</definedName>
    <definedName name="BO670E0CA6E03A4A80B1636E22CFB5D3A8" hidden="1">#REF!</definedName>
    <definedName name="BO67127D65C8B244B5BB412DE17003715D" hidden="1">#REF!</definedName>
    <definedName name="BO671688DCDB4B483A894E29F6D231299E" hidden="1">#REF!</definedName>
    <definedName name="BO67235AAEA53943DA8E3A17FEA2A9CDE9" hidden="1">#REF!</definedName>
    <definedName name="BO672E8FDFBD36414597A72D4B7E94182B" hidden="1">#REF!</definedName>
    <definedName name="BO6739F45E8554427FB54A8E466A8E249A" hidden="1">#REF!</definedName>
    <definedName name="BO6749F6A4197B4D6E9187ADBD4C6D3E9A" hidden="1">#REF!</definedName>
    <definedName name="BO67533EA6D04240D48B3A9395CDECDB8D" hidden="1">#REF!</definedName>
    <definedName name="BO67D49399466648019AA41AA9784A31C6" hidden="1">#REF!</definedName>
    <definedName name="BO67E874D176F9487AB65D8ED364F1979D" hidden="1">#REF!</definedName>
    <definedName name="BO680A36C2E43E4245934EE681ECC82FC1" hidden="1">#REF!</definedName>
    <definedName name="BO68175D75669744F7AF9A63EEA9BB3D66" hidden="1">#REF!</definedName>
    <definedName name="BO682A4AEBA1664BAAADB94A3FAC074D26" hidden="1">#REF!</definedName>
    <definedName name="BO684ADD0D089040709774B5CFD2C3443B" hidden="1">#REF!</definedName>
    <definedName name="BO6875B76CC8C447C0B62021C394829A61" hidden="1">#REF!</definedName>
    <definedName name="BO6877ECFB96CD4021B816A19E43C7EA90" hidden="1">#REF!</definedName>
    <definedName name="BO6885C2074E0345E486028EA8690C5A58" hidden="1">#REF!</definedName>
    <definedName name="BO68983402BEF841C6A14B8790F2BB14F3" hidden="1">#REF!</definedName>
    <definedName name="BO68A52EDB58B047EBAB692AD4AD9092B4" hidden="1">#REF!</definedName>
    <definedName name="BO68B5D0347A3B4C45B93128A49F2C24BC" hidden="1">#REF!</definedName>
    <definedName name="BO68CBB64A056C4E64BB288A7CB4A517C5" hidden="1">#REF!</definedName>
    <definedName name="BO68D12A85E19F4B13A5B938E85DFDE2C3" hidden="1">#REF!</definedName>
    <definedName name="BO68E69B5C80AA460C8EB65FD70C065684" hidden="1">#REF!</definedName>
    <definedName name="BO6918ADAA8D3B4DDAB0A5DA0166130D2D" hidden="1">#REF!</definedName>
    <definedName name="BO693117EFAD7746E0A2E0AED86126C5BC" hidden="1">#REF!</definedName>
    <definedName name="BO6932CE89466A4A42B78148CFA7240123" hidden="1">#REF!</definedName>
    <definedName name="BO693FC971D6ED4A55A86888919A9DB0CF" hidden="1">#REF!</definedName>
    <definedName name="BO696156486CFD4840B0BCEC1EFF93B48D" hidden="1">#REF!</definedName>
    <definedName name="BO69AA4ECF12B044EEAFD9A73AA05E9DD3" hidden="1">#REF!</definedName>
    <definedName name="BO69B6C97168F643EBAEAF15C4252B386D" hidden="1">#REF!</definedName>
    <definedName name="BO69BB0513E70142D1A0A910E1E9902F95" hidden="1">#REF!</definedName>
    <definedName name="BO69BDD9E0EAF141A0AE757EC95ED2148A" hidden="1">#REF!</definedName>
    <definedName name="BO69C80D35123349E5BF90B92945C649EC" hidden="1">#REF!</definedName>
    <definedName name="BO69CD81248F9B4AA3802DF8219F9F278E" hidden="1">#REF!</definedName>
    <definedName name="BO69D2D572C628441A9870809362A4640F" hidden="1">#REF!</definedName>
    <definedName name="BO69E3955CB2274252BFEEB4D5CEFF48BD" hidden="1">#REF!</definedName>
    <definedName name="BO69EFFF11C1D64A69977193D988175ABD" hidden="1">#REF!</definedName>
    <definedName name="BO69FC4A14559D4FC7A82396779DCCF87F" hidden="1">#REF!</definedName>
    <definedName name="BO6A0F97D1C1E44CB5AF6CF13D3CFF16C9" hidden="1">#REF!</definedName>
    <definedName name="BO6A3DDA6506544E82B855C0D104B49B31" hidden="1">#REF!</definedName>
    <definedName name="BO6A5FD84F6F2D4ACA986DAF8954370CFC" hidden="1">#REF!</definedName>
    <definedName name="BO6A6A105B80F247498AEB7B7C2424902B" hidden="1">#REF!</definedName>
    <definedName name="BO6A75FD17C5F84A5B895D0872AAC774EA" hidden="1">#REF!</definedName>
    <definedName name="BO6ABD9CCC4D25488E99F8208B897C4684" hidden="1">#REF!</definedName>
    <definedName name="BO6AD23BDF244147F8AF7DA4DDD31EE46C" hidden="1">#REF!</definedName>
    <definedName name="BO6ADA4A7B015A47E48CE18453C09A9A28" hidden="1">#REF!</definedName>
    <definedName name="BO6AF477B638E44E20A0BD692E64AEB6F0" hidden="1">#REF!</definedName>
    <definedName name="BO6B2CF716FD1A4BC3928BCB0EC72E3B0D" hidden="1">#REF!</definedName>
    <definedName name="BO6B633C7623204F9094615B141A8633A2" hidden="1">#REF!</definedName>
    <definedName name="BO6B71F895F44643F6AAD789C645D0E8E0" hidden="1">#REF!</definedName>
    <definedName name="BO6B9278E652164F859465D5128E6C2661" hidden="1">#REF!</definedName>
    <definedName name="BO6B9770CD5DD64888A71AF866E1317654" hidden="1">#REF!</definedName>
    <definedName name="BO6B97BB91ACFB4324BA4CFC955A81ADAA" hidden="1">#REF!</definedName>
    <definedName name="BO6BC86BAA41A547468F6E9AD7931F5287" hidden="1">#REF!</definedName>
    <definedName name="BO6BCCBE0EB9B748A89BDEE5D538ACCDED" hidden="1">#REF!</definedName>
    <definedName name="BO6BCFA7C129A2467E97E597A5147106E1" hidden="1">#REF!</definedName>
    <definedName name="BO6BD7D8156ED44891A5AF1DABF35D4404" hidden="1">#REF!</definedName>
    <definedName name="BO6C05F334454F41C8B0B3678171CEC732" hidden="1">#REF!</definedName>
    <definedName name="BO6C082E03050E482090B01D3CEE896CE6" hidden="1">#REF!</definedName>
    <definedName name="BO6C32A595014942B9A3831CB8C8F5E2EA" hidden="1">#REF!</definedName>
    <definedName name="BO6C68BCC504F8443F856209C9C3C616C1" hidden="1">#REF!</definedName>
    <definedName name="BO6C8F4C54FA22481EA25C9A6E14DB3EE0" hidden="1">#REF!</definedName>
    <definedName name="BO6CA34BCFD336480891D464857FAA1BFF" hidden="1">#REF!</definedName>
    <definedName name="BO6CAC87F339424FCBA71C90521188D9F3" hidden="1">#REF!</definedName>
    <definedName name="BO6D170E9FBADE4FC38A06EEAB1545E1EA" hidden="1">#REF!</definedName>
    <definedName name="BO6D216F35BD0F4066AC051FA2D670BD8D" hidden="1">#REF!</definedName>
    <definedName name="BO6D36F5B3B1B24C41BA7F9A26F47F6E6F" hidden="1">#REF!</definedName>
    <definedName name="BO6D446ED435C340BBB7D6E1DABF2612F9" hidden="1">#REF!</definedName>
    <definedName name="BO6D48B3A216EA475B9802212D00F2F43D" hidden="1">#REF!</definedName>
    <definedName name="BO6E20ACC79B454036B34808A961B58196" hidden="1">#REF!</definedName>
    <definedName name="BO6E21344F47774A6EB1FA9F73B7BD2423" hidden="1">#REF!</definedName>
    <definedName name="BO6E2C21D508264F6B8B5C46A44C349884" hidden="1">#REF!</definedName>
    <definedName name="BO6E3F7562572A4DBB9CCB8552A974008A" hidden="1">#REF!</definedName>
    <definedName name="BO6E525CCAF5C14CE58AA18850F7DD1E07" hidden="1">#REF!</definedName>
    <definedName name="BO6EAC14737525425DB3D048A74D3C2555" hidden="1">#REF!</definedName>
    <definedName name="BO6EB9FF4451774C2DB2F4D3926A2E04F6" hidden="1">#REF!</definedName>
    <definedName name="BO6EDC325F257E4ED6ACC7EAE5B7ACFF4E" hidden="1">#REF!</definedName>
    <definedName name="BO6EFECEF948934EE8B681373562125C2A" hidden="1">#REF!</definedName>
    <definedName name="BO6F1385820D1146F59BF8E33FCC8B729C" hidden="1">#REF!</definedName>
    <definedName name="BO6F1609D75ECD4FF6BC0FF6228940675C" hidden="1">#REF!</definedName>
    <definedName name="BO6F1E1F5F203B44BC9BB6CFF0E412E2D8" hidden="1">#REF!</definedName>
    <definedName name="BO6F28430159734749B88F699C86A3550B" hidden="1">#REF!</definedName>
    <definedName name="BO6F3A5D1BC4944DBFBC8CE1F552DF33DA" hidden="1">#REF!</definedName>
    <definedName name="BO6F5267EB45D64C5F926243284B69BCA6" hidden="1">#REF!</definedName>
    <definedName name="BO6F536741FBB948678BFEC393C691E5D5" hidden="1">#REF!</definedName>
    <definedName name="BO6F70F171E044490BBAE91DB164C68637" hidden="1">#REF!</definedName>
    <definedName name="BO6F7397E62F854ABC9A4B8569B35A4877" hidden="1">#REF!</definedName>
    <definedName name="BO6F876995575C4527A03B04DA744B73FB" hidden="1">#REF!</definedName>
    <definedName name="BO6FA06320574E4113A9F484A352C77D5F" hidden="1">#REF!</definedName>
    <definedName name="BO6FA2D2E1C86D45A9AAD071B3BB6FAF17" hidden="1">#REF!</definedName>
    <definedName name="BO6FA69CEBBC6742018331746C19B43A60" hidden="1">#REF!</definedName>
    <definedName name="BO6FC7AAE6DE0245BF93272BB56E0A78F5" hidden="1">#REF!</definedName>
    <definedName name="BO6FC857D8CD534A2BBA93AA618401DDF0" hidden="1">#REF!</definedName>
    <definedName name="BO6FDA6E7D206B4B7B81E7695256A17B10" hidden="1">#REF!</definedName>
    <definedName name="BO6FED0E09E17C44269179A5BC3F6CC318" hidden="1">#REF!</definedName>
    <definedName name="BO700D962BEB2C4A76B4DB1654681DB4D5" hidden="1">#REF!</definedName>
    <definedName name="BO703AED9A8E984D3DB066D87D9CC0AAF8" hidden="1">#REF!</definedName>
    <definedName name="BO7051D964B75444359686A6D8EA8EE8AB" hidden="1">#REF!</definedName>
    <definedName name="BO705CF1DFE0DE4D389EF730530C15C154" hidden="1">#REF!</definedName>
    <definedName name="BO7061C029DB7E4C3CB5AA4DDE2460392C" hidden="1">#REF!</definedName>
    <definedName name="BO7094E562A1184812844CD42EA41E280A" hidden="1">#REF!</definedName>
    <definedName name="BO70B2AA6445EA47EDB7786D6CD3A62236" hidden="1">#REF!</definedName>
    <definedName name="BO70BDCDFEA7D14BD68ED91DF4F317EEA2" hidden="1">#REF!</definedName>
    <definedName name="BO70ECA966E29F418D9D52FC442E1E8353" hidden="1">#REF!</definedName>
    <definedName name="BO7106DC84060C4E658091D86955D71B96" hidden="1">#REF!</definedName>
    <definedName name="BO71325101CDD14BD4847E605FB812E00E" hidden="1">#REF!</definedName>
    <definedName name="BO71392F77D91448CF871C0C981693FA2E" hidden="1">#REF!</definedName>
    <definedName name="BO713ED7417A1C4961A087E5B2B6BF355D" hidden="1">#REF!</definedName>
    <definedName name="BO7193371CFD16425AA21553D11A0FB8E3" hidden="1">#REF!</definedName>
    <definedName name="BO71A1222E47594EE5868DB4CC220999C8" hidden="1">#REF!</definedName>
    <definedName name="BO71B3C99DBD0646128A15EEAB772F5CED" hidden="1">#REF!</definedName>
    <definedName name="BO71B62A503F0F4126B139358A87402C5F" hidden="1">#REF!</definedName>
    <definedName name="BO71CBB851E18B4919B08BECFF7D168564" hidden="1">#REF!</definedName>
    <definedName name="BO71D22361E628411D99E583D71033DC8A" hidden="1">#REF!</definedName>
    <definedName name="BO71E3CA1F3102488E93395246AD1ED12F" hidden="1">#REF!</definedName>
    <definedName name="BO71E95B7CDEEB417C88423FBD234F13B1" hidden="1">#REF!</definedName>
    <definedName name="BO71F834AEB5174A799F92A83D02A96630" hidden="1">#REF!</definedName>
    <definedName name="BO720382D08E8E4C7CA64CA1B2D5DF0FB5" hidden="1">#REF!</definedName>
    <definedName name="BO72215A72BC8D474AA13A45CAD99CBE96" hidden="1">#REF!</definedName>
    <definedName name="BO723F3F9D1C9D4E4984DAF709942090DC" hidden="1">#REF!</definedName>
    <definedName name="BO72594168DF2A494A91D06EC22DAB422F" hidden="1">#REF!</definedName>
    <definedName name="BO7279B40C726743AEA1D10F4FDA82E066" hidden="1">#REF!</definedName>
    <definedName name="BO729C7144BF3B410F86A028559201D1BC" hidden="1">#REF!</definedName>
    <definedName name="BO72E529392E8C430F8DEA197B49A0A5F6" hidden="1">#REF!</definedName>
    <definedName name="BO72E60F5DCCF74F1B93CFA3ADB443A3E4" hidden="1">#REF!</definedName>
    <definedName name="BO7307D59A4B214EAE86562607C85423E4" hidden="1">#REF!</definedName>
    <definedName name="BO733E15FC2902430994339FF32CD32B87" hidden="1">#REF!</definedName>
    <definedName name="BO73C8D12805554866BDCFE518BBA0B179" hidden="1">#REF!</definedName>
    <definedName name="BO73D5E3CE0DB6414399F7EE6D4D82A5D9" hidden="1">#REF!</definedName>
    <definedName name="BO740BD9ACD53D4068A50D01FBE388B184" hidden="1">#REF!</definedName>
    <definedName name="BO745C72726784433CA2465633D103E307" hidden="1">#REF!</definedName>
    <definedName name="BO747581AAE69340A3AA55D7E0E33F3BD2" hidden="1">#REF!</definedName>
    <definedName name="BO74850815E6B1496FB74F7BD6E50A4B3F" hidden="1">#REF!</definedName>
    <definedName name="BO748A034528AC408E83941B792E8FA572" hidden="1">#REF!</definedName>
    <definedName name="BO74E54C7D3DB246FD92CE6991D9B2A618" hidden="1">#REF!</definedName>
    <definedName name="BO74EBB284B6E44D8F991552BD3F66BCEE" hidden="1">#REF!</definedName>
    <definedName name="BO74F61FD7579A48E9B280208A620C9635" hidden="1">#REF!</definedName>
    <definedName name="BO74FB646248E345A29000CB6D66A465DD" hidden="1">#REF!</definedName>
    <definedName name="BO751BB62B928C4F22B20A477A18A85A03" hidden="1">#REF!</definedName>
    <definedName name="BO75258E2858A9487EB7D94A55D3F6F8F6" hidden="1">#REF!</definedName>
    <definedName name="BO755BFAF8F1BE47CE93D2E222DC51550B" hidden="1">#REF!</definedName>
    <definedName name="BO75691212455E4A329A200FEED489F25F" hidden="1">#REF!</definedName>
    <definedName name="BO756E3C1445D247469896FA894EC4F005" hidden="1">#REF!</definedName>
    <definedName name="BO7580E6D7B3D94206932D02E17C652894" hidden="1">#REF!</definedName>
    <definedName name="BO759F8AE7EA794C918C72E12E9DCF68A2" hidden="1">#REF!</definedName>
    <definedName name="BO75A2E743AECE46AFA74D486D82926E01" hidden="1">#REF!</definedName>
    <definedName name="BO75ADB4F32A9B4C6B9B23A6F06C77B2FA" hidden="1">#REF!</definedName>
    <definedName name="BO75B1AFE3E773475FB97325EBA97E15D4" hidden="1">#REF!</definedName>
    <definedName name="BO75C4101A9A9A47BE958056E317701004" hidden="1">#REF!</definedName>
    <definedName name="BO75EC821199834E478B5ABFB12B4E254B" hidden="1">#REF!</definedName>
    <definedName name="BO75FF3FD4DDA84CB39C4F91511EB9CE55" hidden="1">#REF!</definedName>
    <definedName name="BO76000B08B14A42FA8E260991624932B5" hidden="1">#REF!</definedName>
    <definedName name="BO760478BC3AC541D48B8B653180858CA8" hidden="1">#REF!</definedName>
    <definedName name="BO7663B46CDF5746FEA8D1B90DAA9D7343" hidden="1">#REF!</definedName>
    <definedName name="BO76AB248C19CA4AC8A89A4E53C9FA6D85" hidden="1">#REF!</definedName>
    <definedName name="BO76C044F1E3A04423B809A94C35FD6957" hidden="1">#REF!</definedName>
    <definedName name="BO76CA88E084EC4A54AEC7CA1F00F2CFC4" hidden="1">#REF!</definedName>
    <definedName name="BO76DA8C49D5AC48959D01ACC0A51323E6" hidden="1">#REF!</definedName>
    <definedName name="BO76DE8D9A64C642A29533096617FC630B" hidden="1">#REF!</definedName>
    <definedName name="BO76E9430E1E124C8E90FE35356FFD4346" hidden="1">#REF!</definedName>
    <definedName name="BO7700E20E746149E291ACCD677C9D0766" hidden="1">#REF!</definedName>
    <definedName name="BO77161466E3A248C6B42360A44488D5EB" hidden="1">#REF!</definedName>
    <definedName name="BO772857C878F74C8EBAC2132A89BCE5D2" hidden="1">#REF!</definedName>
    <definedName name="BO773483D3E1804CA69CB9EBAB8EDF44E2" hidden="1">#REF!</definedName>
    <definedName name="BO7735543194A245FBAB0BB9E8F74851DA" hidden="1">#REF!</definedName>
    <definedName name="BO7764E7B14F1F4E928E4376007F22ABAF" hidden="1">#REF!</definedName>
    <definedName name="BO77723F0E62C44BD3A26ABA5DD53B4F2A" hidden="1">#REF!</definedName>
    <definedName name="BO77A82294730E49ADA1F07FC8F00AA69D" hidden="1">#REF!</definedName>
    <definedName name="BO77CC4968C6FB4AE891D9203BB882D196" hidden="1">#REF!</definedName>
    <definedName name="BO77E21B89C8AB4C31920492CF930D9D60" hidden="1">#REF!</definedName>
    <definedName name="BO77E3BD8340C8474DA7D45CEC71ECC2E7" hidden="1">#REF!</definedName>
    <definedName name="BO780FE6F4A17D423CAAAE5E547813AF83" hidden="1">#REF!</definedName>
    <definedName name="BO7825A254A3284232B88DD51D44537CE6" hidden="1">#REF!</definedName>
    <definedName name="BO78293AB6CE91423691629BC52DBE67C5" hidden="1">#REF!</definedName>
    <definedName name="BO786482A3A5514950BBE4162F7C12A46A" hidden="1">#REF!</definedName>
    <definedName name="BO788ED74ED939412CB753298F77C36E43" hidden="1">#REF!</definedName>
    <definedName name="BO7893E4A0FDDA4DEFB6C87748B1C0D7E5" hidden="1">#REF!</definedName>
    <definedName name="BO78A26449E14A4E0898706C634FB8920A" hidden="1">#REF!</definedName>
    <definedName name="BO78B26688225A431E92C72662FBF21F94" hidden="1">#REF!</definedName>
    <definedName name="BO78C24C51799B48EC9BAD7647746A6F2F" hidden="1">#REF!</definedName>
    <definedName name="BO78CEEB703E4C4D78A579EE8F6D76D929" hidden="1">#REF!</definedName>
    <definedName name="BO7900DBEF3E8C481CB1DBCA63E0704C8E" hidden="1">#REF!</definedName>
    <definedName name="BO796520ECF0BA480DBCDDCB64C9832C4C" hidden="1">#REF!</definedName>
    <definedName name="BO797DA6191F9E43AB8625A5F6351A1609" hidden="1">#REF!</definedName>
    <definedName name="BO798FD8E248DE4C92A7F81EAC0A8F29A7" hidden="1">#REF!</definedName>
    <definedName name="BO79F79C58C8A641CF81752FDEA72C10D9" hidden="1">#REF!</definedName>
    <definedName name="BO7A14BDFD5B2841A8BDFFCCE11C18BE90" hidden="1">#REF!</definedName>
    <definedName name="BO7A3E4B6B1E6246EAA461969DE7AEB47B" hidden="1">#REF!</definedName>
    <definedName name="BO7A56D81323D346BCB253ED202182F14C" hidden="1">#REF!</definedName>
    <definedName name="BO7A67D1A3C2D1457494C925FBF571D683" hidden="1">#REF!</definedName>
    <definedName name="BO7A77E7DD81CB4CC68FEEABE2F3743C94" hidden="1">#REF!</definedName>
    <definedName name="BO7A84B87F8EDA4FDBAFF63724D92A7D16" hidden="1">#REF!</definedName>
    <definedName name="BO7ADAAAF76D5D4F11A1D6DCE52EDC3F0E" hidden="1">#REF!</definedName>
    <definedName name="BO7AECE17A45E947888D280C0A3669697F" hidden="1">#REF!</definedName>
    <definedName name="BO7AF2782FB7104FC28CFE46F4B181C0A8" hidden="1">#REF!</definedName>
    <definedName name="BO7B3F57C7D37A4D9F932F412B50E3A9C5" hidden="1">#REF!</definedName>
    <definedName name="BO7B4C1F4DCA5C4F91BE3808330ED991B4" hidden="1">#REF!</definedName>
    <definedName name="BO7B5705FA795B4415A95726BFE7507495" hidden="1">#REF!</definedName>
    <definedName name="BO7BBECD97126749A5BD63E736BE94A255" hidden="1">#REF!</definedName>
    <definedName name="BO7BC170CD198B41C692619BD0B2829984" hidden="1">#REF!</definedName>
    <definedName name="BO7BFEA2FCFFCB48E5B36F4809D85D5E7B" hidden="1">#REF!</definedName>
    <definedName name="BO7BFF594E1FEE4946BBAF27C54ADD6291" hidden="1">#REF!</definedName>
    <definedName name="BO7C16913B80E24B5DBA9EBB5E5FE3FBBC" hidden="1">#REF!</definedName>
    <definedName name="BO7C47A86CF33C4FCDAA0C54AA65B095A3" hidden="1">#REF!</definedName>
    <definedName name="BO7C4CD6B9E9C044EB9EC6C389774E6C65" hidden="1">#REF!</definedName>
    <definedName name="BO7C4E1B7E876445188B34969A634BA9DA" hidden="1">#REF!</definedName>
    <definedName name="BO7C7DABCD75A7494CA0243D508880E90D" hidden="1">#REF!</definedName>
    <definedName name="BO7CB19D575BA4421B91CCC82C209C8073" hidden="1">#REF!</definedName>
    <definedName name="BO7CB713453E414A90B10F3550A0F253EC" hidden="1">#REF!</definedName>
    <definedName name="BO7D1FDB8727184C13B4570E65F80DC3A8" hidden="1">#REF!</definedName>
    <definedName name="BO7D2EA66DF2E7481DA3B087A68D516C3D" hidden="1">#REF!</definedName>
    <definedName name="BO7D74CA4352B94CADA69060B858A229A7" hidden="1">#REF!</definedName>
    <definedName name="BO7D89FACA725047CB91C9B25626B1B1A8" hidden="1">#REF!</definedName>
    <definedName name="BO7D93C65EB0A44BBF9FCB07C446798A2C" hidden="1">#REF!</definedName>
    <definedName name="BO7DB9636AF6B6464587E05192DDA8F0FA" hidden="1">#REF!</definedName>
    <definedName name="BO7DB99E66FA9F4C188B1DA2EB33053C58" hidden="1">#REF!</definedName>
    <definedName name="BO7DBBE8B2D3EF445282BC0CB8AD4B8131" hidden="1">#REF!</definedName>
    <definedName name="BO7E1EB127D17647DCAF66576435571B9D" hidden="1">#REF!</definedName>
    <definedName name="BO7E20AF36C10E4DE1ACFF5DAB21E6F0CF" hidden="1">#REF!</definedName>
    <definedName name="BO7E41D564AEEA4C6280E66CE7C612FD8B" hidden="1">#REF!</definedName>
    <definedName name="BO7E5AD48C85964A4DA0892651C66FB5FA" hidden="1">#REF!</definedName>
    <definedName name="BO7E74EB17091144229C8DA32E72D0B0DE" hidden="1">#REF!</definedName>
    <definedName name="BO7ECA0CE87AD5486E8B520A1B3C302741" hidden="1">#REF!</definedName>
    <definedName name="BO7ED2877E1E044BF588CE91B0F73A907C" hidden="1">#REF!</definedName>
    <definedName name="BO7F328DF0B87B4733927898ED428C4902" hidden="1">#REF!</definedName>
    <definedName name="BO7F5D4C35425E426D8A302B12D509ECAC" hidden="1">#REF!</definedName>
    <definedName name="BO7F733737D2164EB396378752B251DF56" hidden="1">#REF!</definedName>
    <definedName name="BO7FA568F38B8549BD8CCB4099EBA6D59E" hidden="1">#REF!</definedName>
    <definedName name="BO7FE15ABA24B8440CB3D66CB2BEB8CD57" hidden="1">#REF!</definedName>
    <definedName name="BO7FED074D327A46A5B3846340D3E435AA" hidden="1">#REF!</definedName>
    <definedName name="BO8026067F176D423BB8A45430475AA310" hidden="1">#REF!</definedName>
    <definedName name="BO806F055F6D3248B38530AA53D8ABD768" hidden="1">#REF!</definedName>
    <definedName name="BO80E41CB5CADD420F8D0E1B0833B86BE7" hidden="1">#REF!</definedName>
    <definedName name="BO80F01F433AED4BA9B57F1088CBCCE98C" hidden="1">#REF!</definedName>
    <definedName name="BO81124862005F424FA1E78C5F5A56CE77" hidden="1">#REF!</definedName>
    <definedName name="BO8116D3330FC0481ABDE5EA390248C0FB" hidden="1">#REF!</definedName>
    <definedName name="BO812D1D90173740FF9EB59A105954F73E" hidden="1">#REF!</definedName>
    <definedName name="BO81398069C13F4CF48755661AA61D4B05" hidden="1">#REF!</definedName>
    <definedName name="BO8140CB8CB4934D52A45138EFCF43482F" hidden="1">#REF!</definedName>
    <definedName name="BO8152E1CBEABA406BB88B1EA29F8BD9B5" hidden="1">#REF!</definedName>
    <definedName name="BO815A38454A38422DAE2CBA1F342AB384" hidden="1">#REF!</definedName>
    <definedName name="BO8160DAE7346B4302A174200177384D45" hidden="1">#REF!</definedName>
    <definedName name="BO8161C454A2A04D77934C4F2B83E1D4AB" hidden="1">#REF!</definedName>
    <definedName name="BO8185A22756D844D485A4345BFAA5E51B" hidden="1">#REF!</definedName>
    <definedName name="BO81889E13E8BD4C878CCC1CCC34498B32" hidden="1">#REF!</definedName>
    <definedName name="BO81D37D16DB894932AABCA35600FE54D0" hidden="1">#REF!</definedName>
    <definedName name="BO81EB4DF8F6194B6D99943B71E32D1F8E" hidden="1">#REF!</definedName>
    <definedName name="BO8204C98D845C47289C2A48ACE7BB360F" hidden="1">#REF!</definedName>
    <definedName name="BO823A35FDC9FF43708B18DB11AE72EA46" hidden="1">#REF!</definedName>
    <definedName name="BO82599D26C22F4ECBAFBDBDDD0AC6B9DC" hidden="1">#REF!</definedName>
    <definedName name="BO8270DC61B3634703802A06111963247A" hidden="1">#REF!</definedName>
    <definedName name="BO8271FF2B72A4468699A1BEBB1CE7770A" hidden="1">#REF!</definedName>
    <definedName name="BO828C727B9F184011B97187B8FE59D9AE" hidden="1">#REF!</definedName>
    <definedName name="BO82AF49A840DC4E97A1E3E116C1017164" hidden="1">#REF!</definedName>
    <definedName name="BO82BC65E019234EAF896CAC4231F81781" hidden="1">#REF!</definedName>
    <definedName name="BO82CDE0C0F8AE420C9AB086E3F934D0FC" hidden="1">#REF!</definedName>
    <definedName name="BO82D0E1CF095B4D65B4D7B212912DA8E2" hidden="1">#REF!</definedName>
    <definedName name="BO82ED3D19CD6E4FE3941A3E1F6AD39401" hidden="1">#REF!</definedName>
    <definedName name="BO834ED8D711B54779884FECD0FD6C40F5" hidden="1">#REF!</definedName>
    <definedName name="BO835775321D284060B20BC052F1967F91" hidden="1">#REF!</definedName>
    <definedName name="BO836104A2FDD3439ABE6D95097289FA9B" hidden="1">#REF!</definedName>
    <definedName name="BO83DE305067F04E1FAF2073E158A42ED1" hidden="1">#REF!</definedName>
    <definedName name="BO83F96117CD7E43729C8F78CE6AA55364" hidden="1">#REF!</definedName>
    <definedName name="BO841E9D2788184F4B99B75B2D56050952" hidden="1">#REF!</definedName>
    <definedName name="BO845C63CD4426489B984D7A614921953B" hidden="1">#REF!</definedName>
    <definedName name="BO8462467AC4C04364864AA7B0E1E7103B" hidden="1">#REF!</definedName>
    <definedName name="BO847CD7266F44473E873D0BAC81568EE4" hidden="1">#REF!</definedName>
    <definedName name="BO84816916A3374C44A33B2B1E7CCBF62D" hidden="1">#REF!</definedName>
    <definedName name="BO8490395EA5A34B7281F95374AA651140" hidden="1">#REF!</definedName>
    <definedName name="BO849DAABD57DE400C976DE83FBD70852D" hidden="1">#REF!</definedName>
    <definedName name="BO84ACB7EA827D44EA920269A783FD03AF" hidden="1">#REF!</definedName>
    <definedName name="BO851125B4C9CF4507A505DFFE9759796E" hidden="1">#REF!</definedName>
    <definedName name="BO8537B991C1704514852540F58377C0F2" hidden="1">#REF!</definedName>
    <definedName name="BO8549AD1E42034B56A5A757A435BE5F99" hidden="1">#REF!</definedName>
    <definedName name="BO859CB049DE164366843D9C4F49208836" hidden="1">#REF!</definedName>
    <definedName name="BO85A46695882A420C817331A985BB9006" hidden="1">#REF!</definedName>
    <definedName name="BO85B3AD2EFD8B4EB4ACC21B67E6729BC4" hidden="1">#REF!</definedName>
    <definedName name="BO85CA8185403D4829A471E3C021F11823" hidden="1">#REF!</definedName>
    <definedName name="BO85EB01DFCFE245209787E6272A712082" hidden="1">#REF!</definedName>
    <definedName name="BO85F78F97543D4BAEBAA665AE23BF5F6E" hidden="1">#REF!</definedName>
    <definedName name="BO8639A9B559F64F969DAB29512C30B990" hidden="1">#REF!</definedName>
    <definedName name="BO865E85FAE63F471990E87A9EEEA0EBE2" hidden="1">#REF!</definedName>
    <definedName name="BO866A0D13F47E44558B185A80CB233625" hidden="1">#REF!</definedName>
    <definedName name="BO8674B77AC9C34190AE9EF29F8B3699AA" hidden="1">#REF!</definedName>
    <definedName name="BO86887E9489924B3CB6F2E988412CFB38" hidden="1">#REF!</definedName>
    <definedName name="BO868F562CA4E84985BF12F71371CCBC43" hidden="1">#REF!</definedName>
    <definedName name="BO86B6149BCDCC48A98A3D3C8A3A2729E6" hidden="1">#REF!</definedName>
    <definedName name="BO86BA1D0544E24C5C8A8180FF78CB5B06" hidden="1">#REF!</definedName>
    <definedName name="BO86D1438E23664D2B9FCD09512F3A93F8" hidden="1">#REF!</definedName>
    <definedName name="BO8703EEC12706416FB6ED04E179922738" hidden="1">#REF!</definedName>
    <definedName name="BO870886B6C73540E7BF1183ECA9AFF2B9" hidden="1">#REF!</definedName>
    <definedName name="BO8711D358A64C4D6AA1DE8CD9A503C0BD" hidden="1">#REF!</definedName>
    <definedName name="BO87299F945EA94175941F16F36740FD72" hidden="1">#REF!</definedName>
    <definedName name="BO8774AB7115B9480BA7502A21831439EB" hidden="1">#REF!</definedName>
    <definedName name="BO879CBD59307A43159AF2A4CED84C7472" hidden="1">#REF!</definedName>
    <definedName name="BO87B8EF89B2C846A289AE2145FA25030D" hidden="1">#REF!</definedName>
    <definedName name="BO87CACAE458564193B56975B2B5153420" hidden="1">#REF!</definedName>
    <definedName name="BO87F88410ED7F4182BE480F68D5F7E898" hidden="1">#REF!</definedName>
    <definedName name="BO8803BCBBE7974E4D88C057E49C0A7E07" hidden="1">#REF!</definedName>
    <definedName name="BO8827CF9AC78B41C79197737D53769A81" hidden="1">#REF!</definedName>
    <definedName name="BO884007A616A14E82BF8896F6D6B26A5A" hidden="1">#REF!</definedName>
    <definedName name="BO886E487C7EC9459489C12770C18ABEFD" hidden="1">#REF!</definedName>
    <definedName name="BO88A0ED37476047A9B79C3A73D5CAC3D2" hidden="1">#REF!</definedName>
    <definedName name="BO88B4A6CA845B4661AD2C9B0437234540" hidden="1">#REF!</definedName>
    <definedName name="BO88D455E4ACC843D4B075A8838BBF7D0C" hidden="1">#REF!</definedName>
    <definedName name="BO8916BA3A93DA473688862DC75848CA2A" hidden="1">#REF!</definedName>
    <definedName name="BO891CBAC1FEC041A9B1D2D5CAF876C3F0" hidden="1">#REF!</definedName>
    <definedName name="BO891FBC517DE746748A172799A83F07CB" hidden="1">#REF!</definedName>
    <definedName name="BO892CFB3B77F84724BE348F89B434721C" hidden="1">#REF!</definedName>
    <definedName name="BO893A612FBBF546A793F9B2F896C82AB5" hidden="1">#REF!</definedName>
    <definedName name="BO896731F41BBF4213B3E24429048CEBA0" hidden="1">#REF!</definedName>
    <definedName name="BO897389AC65794E96B87A0E76349A7E34" hidden="1">#REF!</definedName>
    <definedName name="BO8989F6C0B5DE414BADE674ECD51A4FFF" hidden="1">#REF!</definedName>
    <definedName name="BO89D827B7EF21445F830158AB1DB86EC3" hidden="1">#REF!</definedName>
    <definedName name="BO89EB193C9BF34E028B60BA2D06CDA850" hidden="1">#REF!</definedName>
    <definedName name="BO89F9BF5F1CD24F618FE42E6AEBC567DA" hidden="1">#REF!</definedName>
    <definedName name="BO8A11D840060F48A7A732512C54D8EAE5" hidden="1">#REF!</definedName>
    <definedName name="BO8A270233A6574574A5A316C2111A6B1A" hidden="1">#REF!</definedName>
    <definedName name="BO8A64A4873C0043DFB3995AAF8DC72790" hidden="1">#REF!</definedName>
    <definedName name="BO8A6F64578EA54D39B172DBB5F3870C6C" hidden="1">#REF!</definedName>
    <definedName name="BO8A742A3411094EA2AE29F3285CBDE97D" hidden="1">#REF!</definedName>
    <definedName name="BO8A76E1E597094F4AB0C09CE276EBB2AD" hidden="1">#REF!</definedName>
    <definedName name="BO8A921E1B07E84FE58A86CBFB254FC057" hidden="1">#REF!</definedName>
    <definedName name="BO8AA1781CDFE7451D8158DA9690BFD0CF" hidden="1">#REF!</definedName>
    <definedName name="BO8ABE68A54E9F4069ADD8462748851C18" hidden="1">#REF!</definedName>
    <definedName name="BO8AC7E18C57C84E229E0484E8B9B6A88C" hidden="1">#REF!</definedName>
    <definedName name="BO8ACBA67537FE40D9B10DE69058561E8E" hidden="1">#REF!</definedName>
    <definedName name="BO8B0E799EB2E747E08CC00A5CB7983720" hidden="1">#REF!</definedName>
    <definedName name="BO8B313457CD884D279D2548003F5D238D" hidden="1">#REF!</definedName>
    <definedName name="BO8B73BD8E9A0442A5A9F90AA4A70F6203" hidden="1">#REF!</definedName>
    <definedName name="BO8B979C2BC098453D8F62F9ADF5FEC071" hidden="1">#REF!</definedName>
    <definedName name="BO8BAFA77CB8BD4A9592F0A86BBD33A1B0" hidden="1">#REF!</definedName>
    <definedName name="BO8BDE8563DFDD419597EA3D1993A8E10E" hidden="1">#REF!</definedName>
    <definedName name="BO8BEFE8F9E9D94E0B8690BCF6FF778891" hidden="1">#REF!</definedName>
    <definedName name="BO8BF82CAB71EB4877BE2981B52240CDDB" hidden="1">#REF!</definedName>
    <definedName name="BO8BFBEE5EC43D4067962E8A52A23B2D50" hidden="1">#REF!</definedName>
    <definedName name="BO8C0049F46034494F9A9EA954789841B0" hidden="1">#REF!</definedName>
    <definedName name="BO8C2C15F699E14EDC94E42D4D15367A0D" hidden="1">#REF!</definedName>
    <definedName name="BO8C46C2D3D27C44F1AA60C52DBE893015" hidden="1">#REF!</definedName>
    <definedName name="BO8C54B39154C04A089EB3A2B03C75FCAD" hidden="1">#REF!</definedName>
    <definedName name="BO8C5D16B390B84E039A4F635DC9723990" hidden="1">#REF!</definedName>
    <definedName name="BO8C5D1AEB64E34CF69E4AEDEE394D2DF0" hidden="1">#REF!</definedName>
    <definedName name="BO8C756DB6D0084392A94AD363D9B3578A" hidden="1">#REF!</definedName>
    <definedName name="BO8C78667FFC67462C9A1643AC3DEA1B4D" hidden="1">#REF!</definedName>
    <definedName name="BO8C79291520C14D76B12F6B3100DC8B42" hidden="1">#REF!</definedName>
    <definedName name="BO8CC5B39B3E324C918A32819C9A07A727" hidden="1">#REF!</definedName>
    <definedName name="BO8CD76D68B350487FA0250A4A2EC5C2AD" hidden="1">#REF!</definedName>
    <definedName name="BO8D0213375C7F4E22A8FB01B418680B0B" hidden="1">#REF!</definedName>
    <definedName name="BO8D0ABD8164D04FC8B630B28D32646B09" hidden="1">#REF!</definedName>
    <definedName name="BO8D1B1B1B73DB404588CEED5EB7DBE08B" hidden="1">#REF!</definedName>
    <definedName name="BO8D24E811C41141359E065633B90B3ACB" hidden="1">#REF!</definedName>
    <definedName name="BO8D4A19F885E642D98251152558F518D0" hidden="1">#REF!</definedName>
    <definedName name="BO8D675C8D2C204F9EA5F6FB0C91BE9377" hidden="1">#REF!</definedName>
    <definedName name="BO8D8CDB5D0D984AF78FA24D1842552A13" hidden="1">#REF!</definedName>
    <definedName name="BO8DE89F4B4DB24B028D65D7B1C37D49A6" hidden="1">#REF!</definedName>
    <definedName name="BO8E04539AF5EA48F4A85BB9D8405EFE31" hidden="1">#REF!</definedName>
    <definedName name="BO8E247A336E7641BA8C759FA12C34B429" hidden="1">#REF!</definedName>
    <definedName name="BO8E64C19B77C74B4DA67868374DB4E3C8" hidden="1">#REF!</definedName>
    <definedName name="BO8E95876454BF4F2CA6988C26A165276E" hidden="1">#REF!</definedName>
    <definedName name="BO8E9F198DEB16434A9D0753A88CDF5215" hidden="1">#REF!</definedName>
    <definedName name="BO8EA5CD8275A64439ABF3E0E90503E2EB" hidden="1">#REF!</definedName>
    <definedName name="BO8EAFF7EBC66B4843859F00C277E10C35" hidden="1">#REF!</definedName>
    <definedName name="BO8ED02D762180437385E47C88BB9EEC20" hidden="1">#REF!</definedName>
    <definedName name="BO8EDFDB3F4A244405BD653340E001817F" hidden="1">#REF!</definedName>
    <definedName name="BO8EED6EA8341647B18E46E12EF5981737" hidden="1">#REF!</definedName>
    <definedName name="BO8F3F75AB3A994609B8A1BAA8D827B7D0" hidden="1">#REF!</definedName>
    <definedName name="BO8F4458B31E284C0B90A9336E9C28C284" hidden="1">#REF!</definedName>
    <definedName name="BO8F5C237F8C7C40E58D0B879F90947365" hidden="1">#REF!</definedName>
    <definedName name="BO8F69E36AA533438FB255DE448D2F78C1" hidden="1">#REF!</definedName>
    <definedName name="BO8F9ADFA732534966ACC45B4222D08278" hidden="1">#REF!</definedName>
    <definedName name="BO8FAB3988FD7A4610BB4D6F6553753FB0" hidden="1">#REF!</definedName>
    <definedName name="BO8FB6EDE92460437DB46269B760A9FF87" hidden="1">#REF!</definedName>
    <definedName name="BO9003C2B1CEA04D4799A07D012743DEC1" hidden="1">#REF!</definedName>
    <definedName name="BO901024E83D29496B899A127B34EC4440" hidden="1">#REF!</definedName>
    <definedName name="BO9010F2C0CC9E494A99E197637D325788" hidden="1">#REF!</definedName>
    <definedName name="BO9027C5BD01DF42DC93C5D78821D24A6C" hidden="1">#REF!</definedName>
    <definedName name="BO904BCFDAB4C44A96A1BAD24E7B5C4CFB" hidden="1">#REF!</definedName>
    <definedName name="BO90721953D91A42828345C72DA2C886EF" hidden="1">#REF!</definedName>
    <definedName name="BO90D5B7AE6DF34FC6A182261CEF953B81" hidden="1">#REF!</definedName>
    <definedName name="BO90F76DFC9F5F430F88B468A9892E4AC4" hidden="1">#REF!</definedName>
    <definedName name="BO91262F6339964C14984FDE97C6306DF7" hidden="1">#REF!</definedName>
    <definedName name="BO91511019934B448E8E0723C0742ED2AE" hidden="1">#REF!</definedName>
    <definedName name="BO9155D541487B4FBC9E854615EB1B4E06" hidden="1">#REF!</definedName>
    <definedName name="BO9159C1E514C74EDAB686FCB93521755B" hidden="1">#REF!</definedName>
    <definedName name="BO91AF57D4731E42D3BD43C805328349BB" hidden="1">#REF!</definedName>
    <definedName name="BO91B1C71622B84DC09FCF82790CCC6703" hidden="1">#REF!</definedName>
    <definedName name="BO91C46125583D4C069EE7155B503E3BDC" hidden="1">#REF!</definedName>
    <definedName name="BO920A4D58587E4B348E656E2FB55DBF5A" hidden="1">#REF!</definedName>
    <definedName name="BO924B50D148534EB4BFAB07809F576F86" hidden="1">#REF!</definedName>
    <definedName name="BO92544256210E49188C03B1EBD2040774" hidden="1">#REF!</definedName>
    <definedName name="BO9268349F1CCF49DEB0561574CF57C558" hidden="1">#REF!</definedName>
    <definedName name="BO926B5DA94093402CAF44525268D29478" hidden="1">#REF!</definedName>
    <definedName name="BO92714A6ED6124D27829A03BD605CFABF" hidden="1">#REF!</definedName>
    <definedName name="BO928DC16886B2445797C8B9905F1CD971" hidden="1">#REF!</definedName>
    <definedName name="BO92C9ED6F059A4A3FBF49382DA781E052" hidden="1">#REF!</definedName>
    <definedName name="BO92EA0833D1CB48CFB02613AE12C820A4" hidden="1">#REF!</definedName>
    <definedName name="BO92EFCC3CC64A4D068BF90CD047BA59AD" hidden="1">#REF!</definedName>
    <definedName name="BO92EFFAEB634443FE91C7F58365598D5E" hidden="1">#REF!</definedName>
    <definedName name="BO92F6D42A17AC4074BBD00DCE92DF03C9" hidden="1">#REF!</definedName>
    <definedName name="BO930DA66B28B14BEAA44697A5823258AA" hidden="1">#REF!</definedName>
    <definedName name="BO930FD1E9B9EB478BBAD94346BAE68338" hidden="1">#REF!</definedName>
    <definedName name="BO9329BF9F354242D086A1F242CA6684D6" hidden="1">#REF!</definedName>
    <definedName name="BO932B0A19ACC444A2BB8954EED654465A" hidden="1">#REF!</definedName>
    <definedName name="BO933ED92411824C6FAC78C97BA2A11AAB" hidden="1">#REF!</definedName>
    <definedName name="BO933FAA4514814F85818066C84AF854C9" hidden="1">#REF!</definedName>
    <definedName name="BO93A4D280E8CA43DC8B02811F751ABAA2" hidden="1">#REF!</definedName>
    <definedName name="BO93B2980E647143A5A17C67935ED6DC7F" hidden="1">#REF!</definedName>
    <definedName name="BO93E74F3970FD46C489BC2A92AE9C7404" hidden="1">#REF!</definedName>
    <definedName name="BO93EBF6734EA34A90BA493473DE688EBF" hidden="1">#REF!</definedName>
    <definedName name="BO93ECFE632155481DA0FDBB0615E7281C" hidden="1">#REF!</definedName>
    <definedName name="BO93F310F9C2F24700BD756AB5D39C0C70" hidden="1">#REF!</definedName>
    <definedName name="BO9406D55A95A444A3B45C4B90FE2D125A" hidden="1">#REF!</definedName>
    <definedName name="BO94073230D0F44D879F25D75E8A1F6E7E" hidden="1">#REF!</definedName>
    <definedName name="BO94220D9907CC4E24A9678F2D022262BF" hidden="1">#REF!</definedName>
    <definedName name="BO94286E15B5C249DF83B6D785E99910F3" hidden="1">#REF!</definedName>
    <definedName name="BO942AFFE69A8B4A8C80C2C626B5017758" hidden="1">#REF!</definedName>
    <definedName name="BO943F7197EDF04FF2A7D1A29789D38FC7" hidden="1">#REF!</definedName>
    <definedName name="BO9440F575DEAD4D009356CD54D15D0646" hidden="1">#REF!</definedName>
    <definedName name="BO945D4AE586B049C4B26F43D2964BF053" hidden="1">#REF!</definedName>
    <definedName name="BO9479247504A240DB8AA62248BA3AD62A" hidden="1">#REF!</definedName>
    <definedName name="BO948E4098C46048728921E52405E20CE2" hidden="1">#REF!</definedName>
    <definedName name="BO9494C43445E94B2F9101B150DA348936" hidden="1">#REF!</definedName>
    <definedName name="BO94ACFBA87DCA4A049A7A7B2CF5A0099B" hidden="1">#REF!</definedName>
    <definedName name="BO94C268B1ABDC4BE5AF160FC92E6E930E" hidden="1">#REF!</definedName>
    <definedName name="BO94CAC1B2B9184A0CA149982A6B0EDA40" hidden="1">#REF!</definedName>
    <definedName name="BO95297CC5443C4A87921219AEDB0053A4" hidden="1">#REF!</definedName>
    <definedName name="BO95315A491963462088AB010F1E6536ED" hidden="1">#REF!</definedName>
    <definedName name="BO9531F6C583AD4A5B8EACA1697DCA76E5" hidden="1">#REF!</definedName>
    <definedName name="BO9546AAE559804D05934EF2CC58527114" hidden="1">#REF!</definedName>
    <definedName name="BO955821DBA81848509481FD646A939426" hidden="1">#REF!</definedName>
    <definedName name="BO9569473B49744295BBBB13BF84496763" hidden="1">#REF!</definedName>
    <definedName name="BO95B8948E71674C9BBD6DC47262E07D3C" hidden="1">#REF!</definedName>
    <definedName name="BO96012A3695F24EEDA41060270FB23FD7" hidden="1">#REF!</definedName>
    <definedName name="BO961753E720B34B64928183DBF2D50EF4" hidden="1">#REF!</definedName>
    <definedName name="BO9619A3E64E904BBF830DEA71105C6554" hidden="1">#REF!</definedName>
    <definedName name="BO961B2829573B4BF3AEDBD5F574CBDFBE" hidden="1">#REF!</definedName>
    <definedName name="BO963AA06C95F0448C98E7B7ADF814B641" hidden="1">#REF!</definedName>
    <definedName name="BO9655D4D083304B6B84234D7B3D520D2C" hidden="1">#REF!</definedName>
    <definedName name="BO96C96D0DC4524E10AD2A3B05945FC3F1" hidden="1">#REF!</definedName>
    <definedName name="BO96D6B2D14BCE426B82DFC4BC6BE36452" hidden="1">#REF!</definedName>
    <definedName name="BO96DD60ACDEAB49279901EDA429A1D057" hidden="1">#REF!</definedName>
    <definedName name="BO9705DA3C5FE549B1B6C232BEE3BE0B4A" hidden="1">#REF!</definedName>
    <definedName name="BO971ABF41FC324365BB3C3958837215AD" hidden="1">#REF!</definedName>
    <definedName name="BO972EF9E0468B46789B22F42FA9EDF429" hidden="1">#REF!</definedName>
    <definedName name="BO97435E36457D4D9F8A41E78406793419" hidden="1">#REF!</definedName>
    <definedName name="BO974DD56617CC44BB82F4580C5391D3C4" hidden="1">#REF!</definedName>
    <definedName name="BO9763C8E8672C44EE9CC8F3034DE59781" hidden="1">#REF!</definedName>
    <definedName name="BO97705033685D404CA111963901512904" hidden="1">#REF!</definedName>
    <definedName name="BO97754172F33648A1B02D0D2E9D35C937" hidden="1">#REF!</definedName>
    <definedName name="BO97B220745DA94ED7BB96EECFA8DC4E6E" hidden="1">#REF!</definedName>
    <definedName name="BO97E864FF22354435934B5E0583930B1A" hidden="1">#REF!</definedName>
    <definedName name="BO9809C12F3B384ADF849C353B35FBAA0D" hidden="1">#REF!</definedName>
    <definedName name="BO9847A201EFCB4ACB9B307CE635AEB5E1" hidden="1">#REF!</definedName>
    <definedName name="BO985BAF614F20419688C24910DA7EDD6A" hidden="1">#REF!</definedName>
    <definedName name="BO98CB2505045548E2961B8E6D1605915E" hidden="1">#REF!</definedName>
    <definedName name="BO98D37362E38B4CDA8C9E54163DEBEB0D" hidden="1">#REF!</definedName>
    <definedName name="BO98E5E992939548CE8FEDD43F3C859A4F" hidden="1">#REF!</definedName>
    <definedName name="BO98EE941FAF8946578E04E20339EF8603" hidden="1">#REF!</definedName>
    <definedName name="BO9916AA24635F4BF297FA83B8070D44FE" hidden="1">#REF!</definedName>
    <definedName name="BO9922DCDDA14C416E94C27CE584A50205" hidden="1">#REF!</definedName>
    <definedName name="BO9952FD1FDB394000A77CFF0ECF03E8D2" hidden="1">#REF!</definedName>
    <definedName name="BO9966FC2A064D44348ED41FEA6E021D6E" hidden="1">#REF!</definedName>
    <definedName name="BO99746685114E4D81834B645CEAD25AA3" hidden="1">#REF!</definedName>
    <definedName name="BO9984FAA95CC94B57809C5AA8ADD50266" hidden="1">#REF!</definedName>
    <definedName name="BO99986C2F1A874F3AB3EFFC6732063BAA" hidden="1">#REF!</definedName>
    <definedName name="BO9999A410B168401BA23B06933F517548" hidden="1">#REF!</definedName>
    <definedName name="BO99A5EA3B6465412E99F307619EFF22BA" hidden="1">#REF!</definedName>
    <definedName name="BO99BAC6217DB74194A730AF104092B111" hidden="1">#REF!</definedName>
    <definedName name="BO99C4CA4681754EEA872316A386BE91B9" hidden="1">#REF!</definedName>
    <definedName name="BO99E873DF55E2407AA79BE4AC482D57C1" hidden="1">#REF!</definedName>
    <definedName name="BO99F730DA3CE3438682559D78DBEB1137" hidden="1">#REF!</definedName>
    <definedName name="BO99FFBEBD80BD4018998241073ABBEC36" hidden="1">#REF!</definedName>
    <definedName name="BO9A05D1ED402548C7BCD6598F99A3D539" hidden="1">#REF!</definedName>
    <definedName name="BO9A0A3EF557FE4FF79C9C276FF2750A78" hidden="1">#REF!</definedName>
    <definedName name="BO9A2A567F0CC545CC9043BF9A4C5F101F" hidden="1">#REF!</definedName>
    <definedName name="BO9A4A94F5AF7D4C0395CB3119F73CE421" hidden="1">#REF!</definedName>
    <definedName name="BO9A59FC65E18E4F21B33CA5B9F96320B3" hidden="1">#REF!</definedName>
    <definedName name="BO9A78932710404751B80863614952311A" hidden="1">#REF!</definedName>
    <definedName name="BO9AB4EE1BE75A4835A849BC3D07FB835E" hidden="1">#REF!</definedName>
    <definedName name="BO9AD7468F6951475F80B883FFA1EFF394" hidden="1">#REF!</definedName>
    <definedName name="BO9AE63B8B66BF4271961E67AB87C27BE3" hidden="1">#REF!</definedName>
    <definedName name="BO9AFDD4CFEDE84C3CAEAD110DF748A416" hidden="1">#REF!</definedName>
    <definedName name="BO9B07B29E896D4E689C3E019FE42771E7" hidden="1">#REF!</definedName>
    <definedName name="BO9B3B4252A5054C8AA9BB04D57CE43C60" hidden="1">#REF!</definedName>
    <definedName name="BO9B3B6F3CBDDD4CB0B98E9DAC2E6DFBB4" hidden="1">#REF!</definedName>
    <definedName name="BO9B640C81FAC3478A9C0CE081CB3E73D5" hidden="1">#REF!</definedName>
    <definedName name="BO9B6675559D5942B3B387B2E69918ECCC" hidden="1">#REF!</definedName>
    <definedName name="BO9B9AF7C9673C48CD8E8EAE4AC4E281CA" hidden="1">#REF!</definedName>
    <definedName name="BO9BAECBA19405487FB031825E7B70BE1C" hidden="1">#REF!</definedName>
    <definedName name="BO9BB7786E205641A9BCB10515C5FB9C5C" hidden="1">#REF!</definedName>
    <definedName name="BO9BBBD5E6AA58480F99501CB155F50055" hidden="1">#REF!</definedName>
    <definedName name="BO9BC62009464D4CDC8AFA09C3FB8BBE87" hidden="1">#REF!</definedName>
    <definedName name="BO9BCF658BBEEB42C89189AA47132AC73A" hidden="1">#REF!</definedName>
    <definedName name="BO9BE41D1F231A418F830EAA8396305640" hidden="1">#REF!</definedName>
    <definedName name="BO9C17161872F74DB0BA6C03506E72CEFE" hidden="1">#REF!</definedName>
    <definedName name="BO9C95306ECA8A4DF29A67E71B4C27512C" hidden="1">#REF!</definedName>
    <definedName name="BO9CA845EC09454761BFF0DC05A2EB3A06" hidden="1">#REF!</definedName>
    <definedName name="BO9CBCC0D3894A44B58DAC2B863B7E25B3" hidden="1">#REF!</definedName>
    <definedName name="BO9D0FB7C1C3B841A59A5E9CAD840B8C0F" hidden="1">#REF!</definedName>
    <definedName name="BO9D2EC89415594DFCBFA383F91B4F5835" hidden="1">#REF!</definedName>
    <definedName name="BO9D31DD6E049A4E7FB735DB29E71A97F2" hidden="1">#REF!</definedName>
    <definedName name="BO9D382EA010864BB39B897D3D6C08CE6F" hidden="1">#REF!</definedName>
    <definedName name="BO9D566E07211A4542B709221142FB26CC" hidden="1">#REF!</definedName>
    <definedName name="BO9D5B83458C744002B63E411CDE03ECB7" hidden="1">#REF!</definedName>
    <definedName name="BO9D679CDB0BC745C492504DED9E16F0C1" hidden="1">#REF!</definedName>
    <definedName name="BO9D9E159D0FE347688EBFFA8002E44AD0" hidden="1">#REF!</definedName>
    <definedName name="BO9DBFA7A314A14358A1BDB1236CC63047" hidden="1">#REF!</definedName>
    <definedName name="BO9DE21AB0C811455699C778ECB24B4AD9" hidden="1">#REF!</definedName>
    <definedName name="BO9DEF2EE08D964A7E8310419E9921EE75" hidden="1">#REF!</definedName>
    <definedName name="BO9E003DA1F36B44AB9EC08ACBAEE6F65D" hidden="1">#REF!</definedName>
    <definedName name="BO9E0C25B7E0C84BFE9426A44CBF8937BB" hidden="1">#REF!</definedName>
    <definedName name="BO9E3D1164FF204D198D23C9100A1AEA98" hidden="1">#REF!</definedName>
    <definedName name="BO9E4FD01082214E3F8437C9DF0F856DBF" hidden="1">#REF!</definedName>
    <definedName name="BO9E592C4A1FD54960AAB050B54EBC10CB" hidden="1">#REF!</definedName>
    <definedName name="BO9E99CD5583BF4ABC9E6E2B3ECDCCA708" hidden="1">#REF!</definedName>
    <definedName name="BO9EC96CBE66E94173B9AD6AFFF322328A" hidden="1">#REF!</definedName>
    <definedName name="BO9EE40B3D0579479EA703138ABB06409C" hidden="1">#REF!</definedName>
    <definedName name="BO9EE65237CE8142E28DABAA00F78B15A0" hidden="1">#REF!</definedName>
    <definedName name="BO9EEDCF5DB65140C1B2B70A982B0F3E91" hidden="1">#REF!</definedName>
    <definedName name="BO9F07CBAC4C5F49DE92CC2A52C21CAB7E" hidden="1">#REF!</definedName>
    <definedName name="BO9F10FA186178484FABB4E8B074B15420" hidden="1">#REF!</definedName>
    <definedName name="BO9F34E55FDD3A4D32B20E4E980B02C425" hidden="1">#REF!</definedName>
    <definedName name="BO9F40D694D9684B508FA9A8F103228394" hidden="1">#REF!</definedName>
    <definedName name="BO9F54818F41EF40E6A9F3633AB2F2EA20" hidden="1">#REF!</definedName>
    <definedName name="BO9F6B8C696CF146C280FEB5D6C749222C" hidden="1">#REF!</definedName>
    <definedName name="BO9F71EDDE4E924BF3A0A7E8E09E21BF3A" hidden="1">#REF!</definedName>
    <definedName name="BO9F7F85E5F8D34CDDA86FC6528443462F" hidden="1">#REF!</definedName>
    <definedName name="BO9F8DFCDB096345B68BCF462FC11B9706" hidden="1">#REF!</definedName>
    <definedName name="BO9FBFFA7083694DD3AD4640D05A58F483" hidden="1">#REF!</definedName>
    <definedName name="BO9FDB53228D304274A31FEEB51F85A06C" hidden="1">#REF!</definedName>
    <definedName name="BO9FDC777231194DEBAE529B75C7703B12" hidden="1">#REF!</definedName>
    <definedName name="BOA006F4ABB05B4841864CE9366EE3464D" hidden="1">#REF!</definedName>
    <definedName name="BOA01AB44C3CB1473A905F71A02375605D" hidden="1">#REF!</definedName>
    <definedName name="BOA03D360312ED4F30BACC528D9A68ADA8" hidden="1">#REF!</definedName>
    <definedName name="BOA092EBD10A39436D961FC4626BA9D54B" hidden="1">#REF!</definedName>
    <definedName name="BOA0973CD7CB0D4427822DCC15C8DC36E6" hidden="1">#REF!</definedName>
    <definedName name="BOA09939E62F734F3790CB58BAACFAF893" hidden="1">#REF!</definedName>
    <definedName name="BOA0A6F7DBC13340D99A8C09D43A8C5FDD" hidden="1">#REF!</definedName>
    <definedName name="BOA0A8CC93F5D64DCD97471686FFBAD7A1" hidden="1">#REF!</definedName>
    <definedName name="BOA103EFA0D3EE40399ECD9FAE4B4DC409" hidden="1">#REF!</definedName>
    <definedName name="BOA11A3364279C4FC0B49B5233DDFB7141" hidden="1">#REF!</definedName>
    <definedName name="BOA12F3EEDA20B4FD9B8C4F5748C7E15C6" hidden="1">#REF!</definedName>
    <definedName name="BOA1352C67E57F45F18A3132F095B04042" hidden="1">#REF!</definedName>
    <definedName name="BOA13EC5CDB2214E749DF116E65443FF6F" hidden="1">#REF!</definedName>
    <definedName name="BOA141CE166F8440C3A8CD0C0AB35AE9C6" hidden="1">#REF!</definedName>
    <definedName name="BOA152F44A37C4455681690219A61BB8B3" hidden="1">#REF!</definedName>
    <definedName name="BOA15AEAA763514B49B56E0598A1F4F5B6" hidden="1">#REF!</definedName>
    <definedName name="BOA161645A570249BAA9140EF1ADACF4CD" hidden="1">#REF!</definedName>
    <definedName name="BOA169A3CB6EE44860BB3708E0DF1BC3AF" hidden="1">#REF!</definedName>
    <definedName name="BOA1758065E1644D98A1D35456D11460EC" hidden="1">#REF!</definedName>
    <definedName name="BOA1A05E26429E4F3195FA94B46415BFDA" hidden="1">#REF!</definedName>
    <definedName name="BOA1E2A5EE861F49C38EE305E436EEFE96" hidden="1">#REF!</definedName>
    <definedName name="BOA1FF26CC55B443828B3455BBCDFFD9E1" hidden="1">#REF!</definedName>
    <definedName name="BOA22B3CD7328748DCA7244693DF118DB7" hidden="1">#REF!</definedName>
    <definedName name="BOA2412A5E6D57468B938BE2B72C05DA56" hidden="1">#REF!</definedName>
    <definedName name="BOA2534E435EDB40A392C16CD7756BF8AC" hidden="1">#REF!</definedName>
    <definedName name="BOA27561E4E6D54D2E82204A11F24FBE9A" hidden="1">#REF!</definedName>
    <definedName name="BOA283388003664BE3B1DC3A3FFF38FE73" hidden="1">#REF!</definedName>
    <definedName name="BOA2859B8A4F184F7D8C8ACEB84BCC80E1" hidden="1">#REF!</definedName>
    <definedName name="BOA289AA4645634A87B4FB1CCD6F128776" hidden="1">#REF!</definedName>
    <definedName name="BOA29B3938849B4A3C87A0DE3336238EAE" hidden="1">#REF!</definedName>
    <definedName name="BOA2A0FA23CD564225A72813CC35CFC8D6" hidden="1">#REF!</definedName>
    <definedName name="BOA2CC00FFAA57489F9D9480BE93021654" hidden="1">#REF!</definedName>
    <definedName name="BOA2D1DDA741CE4F6B9D71E5D5771574D6" hidden="1">#REF!</definedName>
    <definedName name="BOA2E484543D694D02994BC4EC2F655330" hidden="1">#REF!</definedName>
    <definedName name="BOA315AA4931CC4001A9EC8F6920A91C79" hidden="1">#REF!</definedName>
    <definedName name="BOA32426FCD5BF4607A33D160E9645EB0D" hidden="1">#REF!</definedName>
    <definedName name="BOA33A7D819F024B85B56B7D2A2E4484D7" hidden="1">#REF!</definedName>
    <definedName name="BOA352B72344F0429E86D9ED262C4398FA" hidden="1">#REF!</definedName>
    <definedName name="BOA35594FBAC6C4023A87A6DCB6BA099EA" hidden="1">#REF!</definedName>
    <definedName name="BOA39EB795244B453F9C0B7BB24072C50B" hidden="1">#REF!</definedName>
    <definedName name="BOA3ABC3ACDB7C467FA9004B72803A383E" hidden="1">#REF!</definedName>
    <definedName name="BOA3B2EB35C3BF4AD2AE5C9FBEA422359B" hidden="1">#REF!</definedName>
    <definedName name="BOA3B6C2E31A424B5884BD468565BC45E1" hidden="1">#REF!</definedName>
    <definedName name="BOA3C4CE09FB0449E9B7E9CA671975ACCF" hidden="1">#REF!</definedName>
    <definedName name="BOA3F98ABF94274EBDBA8B8C0A346CF6BF" hidden="1">#REF!</definedName>
    <definedName name="BOA42602D37E80421497F71AE8DF396BFB" hidden="1">#REF!</definedName>
    <definedName name="BOA439A957F73944B38D8C767CF10E9716" hidden="1">#REF!</definedName>
    <definedName name="BOA44AE348903746CA9B8ABE6EF71D1077" hidden="1">#REF!</definedName>
    <definedName name="BOA462C80DE3494FC685782204231EF933" hidden="1">#REF!</definedName>
    <definedName name="BOA4649298C78E4096A85D8FD30642C288" hidden="1">#REF!</definedName>
    <definedName name="BOA4748AD854304C5B817167E99614D86A" hidden="1">#REF!</definedName>
    <definedName name="BOA47E09412705450888DD8453BF6DCA12" hidden="1">#REF!</definedName>
    <definedName name="BOA4940DB879CF4599A4F180784D029065" hidden="1">#REF!</definedName>
    <definedName name="BOA4A383CBB5DA4205B715E501850002D6" hidden="1">#REF!</definedName>
    <definedName name="BOA4B854E4A98E4EE8B599A4C36A99C92F" hidden="1">#REF!</definedName>
    <definedName name="BOA4DF3CBC0DFB41228237A09E59236542" hidden="1">#REF!</definedName>
    <definedName name="BOA4F66357C5124D408BDE2D48F6F81BDA" hidden="1">#REF!</definedName>
    <definedName name="BOA50372BAFCAA49439AF1A75FA936229B" hidden="1">#REF!</definedName>
    <definedName name="BOA50776DD34F341719EF3B1C7B8D350A9" hidden="1">#REF!</definedName>
    <definedName name="BOA52077D9BB274AFAB79A440D6D5E9C65" hidden="1">#REF!</definedName>
    <definedName name="BOA55144CF16B44B83A70A3CE1429CAB79" hidden="1">#REF!</definedName>
    <definedName name="BOA5563290A14545B291A1460769DA573E" hidden="1">#REF!</definedName>
    <definedName name="BOA56250C6D113490494A85508FA96F117" hidden="1">#REF!</definedName>
    <definedName name="BOA569850F54084856964BAC3DD63DE6CF" hidden="1">#REF!</definedName>
    <definedName name="BOA57BAACC082A40159BEF18E4E3DB2ACD" hidden="1">#REF!</definedName>
    <definedName name="BOA581B3576FD14DDA8428A257E41BD465" hidden="1">#REF!</definedName>
    <definedName name="BOA59812A6C8F6471D8B7808CD5A2D4E46" hidden="1">#REF!</definedName>
    <definedName name="BOA5F52A81589749329CDCE8685E3175F2" hidden="1">#REF!</definedName>
    <definedName name="BOA61A6AC1202F4579BCCF9BDB3C59424F" hidden="1">#REF!</definedName>
    <definedName name="BOA632E1E19F6146D8B540BA96DD9F15BF" hidden="1">#REF!</definedName>
    <definedName name="BOA65CEC24542D4292AAD5283DBB046FE4" hidden="1">#REF!</definedName>
    <definedName name="BOA6CEB363B62D4A5E8653E0BEE5CE80FD" hidden="1">#REF!</definedName>
    <definedName name="BOA6E203E4C48E4F42A3FA31107DA549DE" hidden="1">#REF!</definedName>
    <definedName name="BOA707A60280214C118EE4576BCB8B7DAB" hidden="1">#REF!</definedName>
    <definedName name="BOA712AA636CCB425093E780C6F6E88895" hidden="1">#REF!</definedName>
    <definedName name="BOA71E9E0A6B654860B10DCBA2CFBBCEE1" hidden="1">#REF!</definedName>
    <definedName name="BOA728B6EAF7A14885845F7AA7D62EB408" hidden="1">#REF!</definedName>
    <definedName name="BOA7455FF6DF214261A4347081C1D9C8EE" hidden="1">#REF!</definedName>
    <definedName name="BOA746A2AB5671481DA3DD991C94176C8A" hidden="1">#REF!</definedName>
    <definedName name="BOA74AA104568E47BD86B932FFDA257D7C" hidden="1">#REF!</definedName>
    <definedName name="BOA75545E5DDD144219F5A61A771BF481F" hidden="1">#REF!</definedName>
    <definedName name="BOA78A2F476D7443DA9A43D445AD643547" hidden="1">#REF!</definedName>
    <definedName name="BOA791A74458E94B4FBEE935AC97E2C20A" hidden="1">#REF!</definedName>
    <definedName name="BOA79FF83862C844F696454C0522D0843E" hidden="1">#REF!</definedName>
    <definedName name="BOA7DEC5F243FB4F35912907E0D2F89E0A" hidden="1">#REF!</definedName>
    <definedName name="BOA7FF2C28276841DDA5FD8013F2976256" hidden="1">#REF!</definedName>
    <definedName name="BOA80A354E42AB46F8BB5D1820B60A5551" hidden="1">#REF!</definedName>
    <definedName name="BOA8206628314E4A578EFEF6514ED8FA60" hidden="1">#REF!</definedName>
    <definedName name="BOA845FB7BA6F94DD384D9239414F1084D" hidden="1">#REF!</definedName>
    <definedName name="BOA8540DFBF8EF49C5AB8D4B08918806F3" hidden="1">#REF!</definedName>
    <definedName name="BOA86399A514B142459FA538ED95ED75D7" hidden="1">#REF!</definedName>
    <definedName name="BOA867A12A4E9B4122A055945A85515980" hidden="1">#REF!</definedName>
    <definedName name="BOA879FFE6ECBE4F8ABCD12D7BCBA427F4" hidden="1">#REF!</definedName>
    <definedName name="BOA880BD92CB5B4C59AA5C0A8CA4F5372F" hidden="1">#REF!</definedName>
    <definedName name="BOA8957C86FB6643AC809FD39567629B64" hidden="1">#REF!</definedName>
    <definedName name="BOA8AB53237752430BB0B4104856BA4E2A" hidden="1">#REF!</definedName>
    <definedName name="BOA8B6E7E580EC46D5A167ECCE259105F9" hidden="1">#REF!</definedName>
    <definedName name="BOA8BDC17C9B004D55A015D84C15CB45EB" hidden="1">#REF!</definedName>
    <definedName name="BOA8D1E2E64BB645C680E24AB89AEDFCE3" hidden="1">#REF!</definedName>
    <definedName name="BOA901AF30926D453BB7505F619BF078C6" hidden="1">#REF!</definedName>
    <definedName name="BOA905A35F3C83427BAF8078DEA92E3DCC" hidden="1">#REF!</definedName>
    <definedName name="BOA91942887A174391853984C0DB8FA258" hidden="1">#REF!</definedName>
    <definedName name="BOA924C8471B3D4BEFBFB2779ECB07D4B5" hidden="1">#REF!</definedName>
    <definedName name="BOA92CD5ABDF7142A9A3BBE8219AB7AD1E" hidden="1">#REF!</definedName>
    <definedName name="BOA941C0CD3F314CADA478A0C1CD85D250" hidden="1">#REF!</definedName>
    <definedName name="BOA960BBD34FE24271BB6009F552117A5E" hidden="1">#REF!</definedName>
    <definedName name="BOA97D1C5882D9460FB9B7E8BE3E06D7C7" hidden="1">#REF!</definedName>
    <definedName name="BOA99B3EA44A6444AD81F311DA7CDA0E02" hidden="1">#REF!</definedName>
    <definedName name="BOA9AFF096E6444A7E8455417EDE43E417" hidden="1">#REF!</definedName>
    <definedName name="BOA9DCE25621BA40C296FF0BBC64986F2B" hidden="1">#REF!</definedName>
    <definedName name="BOAA01475766094341BAC5937C45B98679" hidden="1">#REF!</definedName>
    <definedName name="BOAA0860BF715E47AC9514FA50EA6E61AF" hidden="1">#REF!</definedName>
    <definedName name="BOAA1E223595434D068D4C203B89333068" hidden="1">#REF!</definedName>
    <definedName name="BOAA37683A5AAF416AA96E3DADC31E1AC4" hidden="1">#REF!</definedName>
    <definedName name="BOAA3F9143BD93402B92B4D5E889675490" hidden="1">#REF!</definedName>
    <definedName name="BOAA7F88AD6DC24F15815B41B5545C66B0" hidden="1">#REF!</definedName>
    <definedName name="BOAA98F55B3C264C12B78EEDFCEDE06C07" hidden="1">#REF!</definedName>
    <definedName name="BOAAB11C84339D4299BFC1AA6D04698F2A" hidden="1">#REF!</definedName>
    <definedName name="BOAAF327AFC0664C7091659BAFCB27C490" hidden="1">#REF!</definedName>
    <definedName name="BOAAFFA14D3B8C42998A9CCDB720EFA746" hidden="1">#REF!</definedName>
    <definedName name="BOAB2FFF70AB0E4B7DBDC7FC821977E79A" hidden="1">#REF!</definedName>
    <definedName name="BOAB55A49C750F4A04BB95727169E240E7" hidden="1">#REF!</definedName>
    <definedName name="BOAB82E269C9C44E749643F11D7E8DC781" hidden="1">#REF!</definedName>
    <definedName name="BOABA37D4AAAF34670989EA3781641E276" hidden="1">#REF!</definedName>
    <definedName name="BOABBB8A5582AF477181C945BF9631CC31" hidden="1">#REF!</definedName>
    <definedName name="BOABBCC65C502741CFA6171DACF843BA39" hidden="1">#REF!</definedName>
    <definedName name="BOABBEDF0B098A4D5BAD03B9ADDF109A8A" hidden="1">#REF!</definedName>
    <definedName name="BOABE634B5257648299573C5F63F4789DB" hidden="1">#REF!</definedName>
    <definedName name="BOABE796C119AC4DD4AD13723882F95431" hidden="1">#REF!</definedName>
    <definedName name="BOABF49C33DA224342BB7F2E87F17C1DB3" hidden="1">#REF!</definedName>
    <definedName name="BOAC02D46F12594606ADE7DD9C89989778" hidden="1">#REF!</definedName>
    <definedName name="BOAC079C7332FB405D90554C0619547187" hidden="1">#REF!</definedName>
    <definedName name="BOAC20EFF8A0BF4A449CF6FC64F7797071" hidden="1">#REF!</definedName>
    <definedName name="BOAC254DA305B94649A40A1818F4397657" hidden="1">#REF!</definedName>
    <definedName name="BOAC42AA5A12354BB6ABF8F402A90E9584" hidden="1">#REF!</definedName>
    <definedName name="BOAC589E242BED4D2782DB5354106024F8" hidden="1">#REF!</definedName>
    <definedName name="BOAC61F7699EB644B28983D0AA8E23DC41" hidden="1">#REF!</definedName>
    <definedName name="BOAC6F009BD4564DF482F3FD521B8DD5EC" hidden="1">#REF!</definedName>
    <definedName name="BOAC99D26F3C3749C0B07E837B64380195" hidden="1">#REF!</definedName>
    <definedName name="BOAC9D19CAAE6E4BA58BB8B42C2FEB90A0" hidden="1">#REF!</definedName>
    <definedName name="BOACB4EB5ACCF641E594B4370068A37C9C" hidden="1">#REF!</definedName>
    <definedName name="BOACBE6399B62B4EE0940B3DE41E102E4C" hidden="1">#REF!</definedName>
    <definedName name="BOAD109524018746029F061D1102BE87A6" hidden="1">#REF!</definedName>
    <definedName name="BOAD20497ABDDF428683C9AA6B905928CA" hidden="1">#REF!</definedName>
    <definedName name="BOAD4C8585543C420C9900B3D1DE628AFD" hidden="1">#REF!</definedName>
    <definedName name="BOAD51D154FD2A44888BB75B466BB3E12D" hidden="1">#REF!</definedName>
    <definedName name="BOAD616A0644E843968166BAAF341567A8" hidden="1">#REF!</definedName>
    <definedName name="BOADA7B463158B4CDE8AB36B4F72817DAD" hidden="1">#REF!</definedName>
    <definedName name="BOADEA752D0A9F4765BC7D7C566BFED409" hidden="1">#REF!</definedName>
    <definedName name="BOADF5449B6E78471788DE53CF0F67654B" hidden="1">#REF!</definedName>
    <definedName name="BOAE03B6416C174C3C959BE294997057DF" hidden="1">#REF!</definedName>
    <definedName name="BOAE216CC5B8D845F8813B2A359845EA1B" hidden="1">#REF!</definedName>
    <definedName name="BOAE43C9E5ED7544BF9AA630E3E7AC4A0F" hidden="1">#REF!</definedName>
    <definedName name="BOAE62644DF78A4A79879DE7E6C0CC7E80" hidden="1">#REF!</definedName>
    <definedName name="BOAE845F26838B4190AB1940D3C571CCD4" hidden="1">#REF!</definedName>
    <definedName name="BOAE8A454357A54A7496954F9B58CDE6BA" hidden="1">#REF!</definedName>
    <definedName name="BOAE9A5402D50645F0AF1D1E3ECB6210EA" hidden="1">#REF!</definedName>
    <definedName name="BOAECC4E2710DA49978423665B98EFB884" hidden="1">#REF!</definedName>
    <definedName name="BOAEDE2D12CB7E485F9D076390A0D1B42E" hidden="1">#REF!</definedName>
    <definedName name="BOAEE4C7AD3A0D4945BAAE43130AE8345F" hidden="1">#REF!</definedName>
    <definedName name="BOAF1B98F1E4DC4A63B1711F6E8BC3F91E" hidden="1">#REF!</definedName>
    <definedName name="BOAF651A9896FF42F0BDE2EF05576DFDD4" hidden="1">#REF!</definedName>
    <definedName name="BOAF70E8C078C44B15848B0157DAEB030D" hidden="1">#REF!</definedName>
    <definedName name="BOAF8E97A633AE4FB7BA6538C295FFDAB0" hidden="1">#REF!</definedName>
    <definedName name="BOAFB48AC82A044805A64B6552F84ABBAA" hidden="1">#REF!</definedName>
    <definedName name="BOAFE182F766BE4779BE06CF0DCFCE9311" hidden="1">#REF!</definedName>
    <definedName name="BOAFEF08D3BC8E4FA4AF0F9B54EC8311E3" hidden="1">#REF!</definedName>
    <definedName name="BOB0005FEC357741F1B08AFDCDA6737282" hidden="1">#REF!</definedName>
    <definedName name="BOB024CCF181264ECE85BFF081215167FF" hidden="1">#REF!</definedName>
    <definedName name="BOB06879D010704034846308A026AC0104" hidden="1">#REF!</definedName>
    <definedName name="BOB07B7C18C6C940DCA55EFA4F331BC4D8" hidden="1">#REF!</definedName>
    <definedName name="BOB0ADE433516B4482B5672D405EDF049B" hidden="1">#REF!</definedName>
    <definedName name="BOB0C47C0F6B6341EDA110D37233A5DC39" hidden="1">#REF!</definedName>
    <definedName name="BOB0CACCD738524BF98BF13A8D99CB826A" hidden="1">#REF!</definedName>
    <definedName name="BOB0D1157E835946EF8B49FC7A4D347D33" hidden="1">#REF!</definedName>
    <definedName name="BOB0DB03BB544B4DDC80F0339B570ABDFD" hidden="1">#REF!</definedName>
    <definedName name="BOB0DE2293AB3D439CABB387AA445D830E" hidden="1">#REF!</definedName>
    <definedName name="BOB0E665E57F50460EAFE68DA73B20B1FB" hidden="1">#REF!</definedName>
    <definedName name="BOB118B30094824A7BB27DE65C8F1CA545" hidden="1">#REF!</definedName>
    <definedName name="BOB11D84AB9CB346269E0235E71A883A60" hidden="1">#REF!</definedName>
    <definedName name="BOB11E3C10088E4498AEAA83D086237A5F" hidden="1">#REF!</definedName>
    <definedName name="BOB1378CE222264DCFA73EBB47436B5203" hidden="1">#REF!</definedName>
    <definedName name="BOB13AB377472C4EDEBB446C5D4CFD7FF3" hidden="1">#REF!</definedName>
    <definedName name="BOB184616FB5BC4637B82004F40B23E788" hidden="1">#REF!</definedName>
    <definedName name="BOB185D168B4244E8483A302F590E19A55" hidden="1">#REF!</definedName>
    <definedName name="BOB18CA3F64CB04767AED01AA8490DB779" hidden="1">#REF!</definedName>
    <definedName name="BOB19B4ED5A5DF4C8AAA9FAB05B282DC3E" hidden="1">#REF!</definedName>
    <definedName name="BOB1F1C272A006471A914ACD7DF91D3F84" hidden="1">#REF!</definedName>
    <definedName name="BOB1F3558029C34A18BE2B422B0D9601AB" hidden="1">#REF!</definedName>
    <definedName name="BOB1FC6C03F3E749DF83826D310F4971EC" hidden="1">#REF!</definedName>
    <definedName name="BOB2121768159748418F929263EFA12598" hidden="1">#REF!</definedName>
    <definedName name="BOB2174B9FD1A845A0AE1CE36C64119C7B" hidden="1">#REF!</definedName>
    <definedName name="BOB2187ECA0E1B4D86BE3F24606F147AA6" hidden="1">#REF!</definedName>
    <definedName name="BOB25C2C23C245424EB9EE1D9E9F34950B" hidden="1">#REF!</definedName>
    <definedName name="BOB26205A33F8B495DB98591C55C49AFEB" hidden="1">#REF!</definedName>
    <definedName name="BOB262E38128BE44AFACB9773BC536ACC0" hidden="1">#REF!</definedName>
    <definedName name="BOB28D198A17724199854C56E873CA3CD9" hidden="1">#REF!</definedName>
    <definedName name="BOB2CFF02E995448899DD7AA9BFA754975" hidden="1">#REF!</definedName>
    <definedName name="BOB2E6C59B39DD4FDDADBB253AB1CA4A42" hidden="1">#REF!</definedName>
    <definedName name="BOB2EC1F6E53524B0FB3EAAB47B75E1A4A" hidden="1">#REF!</definedName>
    <definedName name="BOB2FF2C05B4B24566A4378E9F6A30DAA6" hidden="1">#REF!</definedName>
    <definedName name="BOB30878E62D94405B94EB42E77D410AA6" hidden="1">#REF!</definedName>
    <definedName name="BOB35A440D208A4881A3ABF94FA1592708" hidden="1">#REF!</definedName>
    <definedName name="BOB394F8C1BC9E4FFFB00A89B6B1F07030" hidden="1">#REF!</definedName>
    <definedName name="BOB3BED51348A144A482D58659F020672D" hidden="1">#REF!</definedName>
    <definedName name="BOB3E2F4C5C24F4FDB859294B731A7526D" hidden="1">#REF!</definedName>
    <definedName name="BOB40E52CEE8564B77A41F6A21CE7B305D" hidden="1">#REF!</definedName>
    <definedName name="BOB416943CDCFB4F43AA7C6819E2F9B12D" hidden="1">#REF!</definedName>
    <definedName name="BOB42CD81F746C4B4E95ACCE3D02580BE7" hidden="1">#REF!</definedName>
    <definedName name="BOB43F86CF00F74F48B06EECB2304B477D" hidden="1">#REF!</definedName>
    <definedName name="BOB445E9AD75E847939A2B1557BF5971F9" hidden="1">#REF!</definedName>
    <definedName name="BOB479A46B5B804011BD5757EB99D00230" hidden="1">#REF!</definedName>
    <definedName name="BOB47FC43118E146BDB3CAAF1100AE4BA9" hidden="1">#REF!</definedName>
    <definedName name="BOB499772055A24A87B84BB365CB71EF04" hidden="1">#REF!</definedName>
    <definedName name="BOB49D75FC4F944B8BA43274A1AC9F7C6C" hidden="1">#REF!</definedName>
    <definedName name="BOB4AC7EF692F84E2DA30ABC01858F46BF" hidden="1">#REF!</definedName>
    <definedName name="BOB4E2CA0EE6E74647B60DA3564245A717" hidden="1">#REF!</definedName>
    <definedName name="BOB50BF41DCD164684B1F2B21C949F656F" hidden="1">#REF!</definedName>
    <definedName name="BOB53972A3FF444E36B5C5A6F9314FEF44" hidden="1">#REF!</definedName>
    <definedName name="BOB56475FD822948B7A28C547B153EB0B6" hidden="1">#REF!</definedName>
    <definedName name="BOB57709B4B68746E7B7B36AE6CD17CA91" hidden="1">#REF!</definedName>
    <definedName name="BOB58C2859469F4F7E8180DA5462279541" hidden="1">#REF!</definedName>
    <definedName name="BOB596E9268DED478AB9C99865ADF4A688" hidden="1">#REF!</definedName>
    <definedName name="BOB599A09F8E8C43EDA96DE5174F3C32D0" hidden="1">#REF!</definedName>
    <definedName name="BOB5D1339BC11C47F9996A96FA13719AC5" hidden="1">#REF!</definedName>
    <definedName name="BOB5D16031AAE94686A01B98E3F1B32BB1" hidden="1">#REF!</definedName>
    <definedName name="BOB61F1D7767114687812A69756748869E" hidden="1">#REF!</definedName>
    <definedName name="BOB63700DC41E8405192EC6B4CED6A1B62" hidden="1">#REF!</definedName>
    <definedName name="BOB664A434F7C242089CB97CD90496E73A" hidden="1">#REF!</definedName>
    <definedName name="BOB666B5A1CA664A37B71F765D2CEA59FD" hidden="1">#REF!</definedName>
    <definedName name="BOB6711245BFC04DC491D154B426C58F12" hidden="1">#REF!</definedName>
    <definedName name="BOB6870DB4AF074130A54E1277C2C63A76" hidden="1">#REF!</definedName>
    <definedName name="BOB69A54AB6B0843AA8F5A296614E69E51" hidden="1">#REF!</definedName>
    <definedName name="BOB6A0A16FDDBC445698D5A7013BFF4FAD" hidden="1">#REF!</definedName>
    <definedName name="BOB6A457D7367441AF833D44B69FA81AB6" hidden="1">#REF!</definedName>
    <definedName name="BOB6D73283C9BC4F85BC7AEA002E570DEE" hidden="1">#REF!</definedName>
    <definedName name="BOB6E1122AFC4141AA87003E5075AEB9A7" hidden="1">#REF!</definedName>
    <definedName name="BOB7145384A50344518D8FD9948CD1C4E7" hidden="1">#REF!</definedName>
    <definedName name="BOB72930F608574554957BB4C2630750F3" hidden="1">#REF!</definedName>
    <definedName name="BOB740B50D59FA4EB29F2E8DBE8D7A2963" hidden="1">#REF!</definedName>
    <definedName name="BOB76C63B311474B4E869F1347F0606665" hidden="1">#REF!</definedName>
    <definedName name="BOB82684B002CF467A9A281F1253F57824" hidden="1">#REF!</definedName>
    <definedName name="BOB832FDF088D846C4895BA05113DA0AD7" hidden="1">#REF!</definedName>
    <definedName name="BOB85A3D6CAB4F43F29017967DC75100EA" hidden="1">#REF!</definedName>
    <definedName name="BOB86C8D0306854CD4B0F867E8A8158DAB" hidden="1">#REF!</definedName>
    <definedName name="BOB87165E3118C47D38853C793508C9940" hidden="1">#REF!</definedName>
    <definedName name="BOB883505093734FB1AB2DD45A35A46C3D" hidden="1">#REF!</definedName>
    <definedName name="BOB8C1A9F1BC7A40A998408F04E6A4901D" hidden="1">#REF!</definedName>
    <definedName name="BOB8D84C69820C440982813CB320AAA6A8" hidden="1">#REF!</definedName>
    <definedName name="BOB8E45A4C043B45E088448297898BB517" hidden="1">#REF!</definedName>
    <definedName name="BOB8FA4CCA1A4B448494A6D5FBD7007F00" hidden="1">#REF!</definedName>
    <definedName name="BOB90EAF3FF0A343A7BFDA7E349CB8A6C8" hidden="1">#REF!</definedName>
    <definedName name="BOB916E67475FD40C0B6F612D224A65F1D" hidden="1">#REF!</definedName>
    <definedName name="BOB921C37B1DC4491B8A8F9B327DF07744" hidden="1">#REF!</definedName>
    <definedName name="BOB92EC7BA00894C32BC9F274B21BD4F7B" hidden="1">#REF!</definedName>
    <definedName name="BOB9304C7E29B04D9C9C77B24A55EEE53F" hidden="1">#REF!</definedName>
    <definedName name="BOB933B109328E43B08122C926D1EEDE14" hidden="1">#REF!</definedName>
    <definedName name="BOB94BA94A44584A5AB62D61925DD38822" hidden="1">#REF!</definedName>
    <definedName name="BOB9A9269337994CD9995912095A03586A" hidden="1">#REF!</definedName>
    <definedName name="BOBA07D5FEDDBF4CFFACB6E315D8998C1F" hidden="1">#REF!</definedName>
    <definedName name="BOBA12CCBB83DC490293B4024877957D98" hidden="1">#REF!</definedName>
    <definedName name="BOBA181222A7AE4A45AD62F5ED0E622660" hidden="1">#REF!</definedName>
    <definedName name="BOBA24DFB554AF460B8AB282C13492A629" hidden="1">#REF!</definedName>
    <definedName name="BOBA2A09FA3F74474E9CB8537C38559D3A" hidden="1">#REF!</definedName>
    <definedName name="BOBA34D01E25FC4AF18006E289F2DEA305" hidden="1">#REF!</definedName>
    <definedName name="BOBA6F771A713D44818466A48A99D86999" hidden="1">#REF!</definedName>
    <definedName name="BOBA7996250A2C48C0A1B2A9E9E89C4F08" hidden="1">#REF!</definedName>
    <definedName name="BOBA83205E5F2841FC8E5118CDCEC79269" hidden="1">#REF!</definedName>
    <definedName name="BOBAB788881F1D4460854EE1FBFFE8B2E0" hidden="1">#REF!</definedName>
    <definedName name="BOBACC3EB41E7D4536869AAA67F5F9FB2B" hidden="1">#REF!</definedName>
    <definedName name="BOBADED6FB922F4A3CAA610B246C015166" hidden="1">#REF!</definedName>
    <definedName name="BOBAE47B872A5345298D6CFC1292FF0229" hidden="1">#REF!</definedName>
    <definedName name="BOBB2CD22C468846029AA7E79B86A82CEF" hidden="1">#REF!</definedName>
    <definedName name="BOBB45F71539614D0090D4B6087D188B78" hidden="1">#REF!</definedName>
    <definedName name="BOBB58D5EDD0B1467AB5D9915F132ADF94" hidden="1">#REF!</definedName>
    <definedName name="BOBB5BB6FEEFA64B79BB64C92031FA3AE8" hidden="1">#REF!</definedName>
    <definedName name="BOBB6AE77CF3A54CC3AC51350B77472DF8" hidden="1">#REF!</definedName>
    <definedName name="BOBB9D4C0897DA494AA513D0A883F9D1D4" hidden="1">#REF!</definedName>
    <definedName name="BOBBAA7F824582476F88CDCFB08F1934D5" hidden="1">#REF!</definedName>
    <definedName name="BOBBDC73CDE37B4F45AB68C38A9635AF80" hidden="1">#REF!</definedName>
    <definedName name="BOBBE4AA840EEC4997B000A639F871E6CE" hidden="1">#REF!</definedName>
    <definedName name="BOBBEA4F95A23E45E1B25DDDD7FC411C90" hidden="1">#REF!</definedName>
    <definedName name="BOBC04FB3E707E4D2489786AEF4796C806" hidden="1">#REF!</definedName>
    <definedName name="BOBC16CFAF95AD4A8D86D3641EA9FE0CCA" hidden="1">#REF!</definedName>
    <definedName name="BOBC26361192634C519AD3E18D48CFA644" hidden="1">#REF!</definedName>
    <definedName name="BOBC4B15CA572E4683B22D1E93207B42A3" hidden="1">#REF!</definedName>
    <definedName name="BOBC7C71DE64364CBC9244EA234BE295B4" hidden="1">#REF!</definedName>
    <definedName name="BOBC8009AB97724AB7B944FF6F455E412C" hidden="1">#REF!</definedName>
    <definedName name="BOBC9E30F080984844B237570A172714A0" hidden="1">#REF!</definedName>
    <definedName name="BOBCAADD13A1F84467B1BBFB74C99EC30A" hidden="1">#REF!</definedName>
    <definedName name="BOBCB33588A4614DF39553836F9E9B99A7" hidden="1">#REF!</definedName>
    <definedName name="BOBCD1D56E09DB4DFAA7DB1D9A7130ED97" hidden="1">#REF!</definedName>
    <definedName name="BOBCE6D0590F1F4A9BBA41EA7B159799C7" hidden="1">#REF!</definedName>
    <definedName name="BOBCEF82B4A18646D583662D742CB2C342" hidden="1">#REF!</definedName>
    <definedName name="BOBCF840ED273A41608C4A037ED35225A8" hidden="1">#REF!</definedName>
    <definedName name="BOBD17A2C2D8F347BD99946B7CD678E633" hidden="1">#REF!</definedName>
    <definedName name="BOBD17ACF591A04BA2A7F3EA73A1F5EFD0" hidden="1">#REF!</definedName>
    <definedName name="BOBD3418D3E6034A599B7DAEA5496D5FDE" hidden="1">#REF!</definedName>
    <definedName name="BOBD4AB5E2FE574DC99B097054215C9A1B" hidden="1">#REF!</definedName>
    <definedName name="BOBD51A79D7FDA451D81D3D3FA930EF10E" hidden="1">#REF!</definedName>
    <definedName name="BOBDCBC5CEFC9147E19737AA97A932005B" hidden="1">#REF!</definedName>
    <definedName name="BOBDD7F3ADA3694C6E8F1CAE0F4BE4749B" hidden="1">#REF!</definedName>
    <definedName name="BOBDDDE587C0FE4B2BB4CA177ADFC0167B" hidden="1">#REF!</definedName>
    <definedName name="BOBE539086D02E49FCAA6D14E00A770963" hidden="1">#REF!</definedName>
    <definedName name="BOBE836A4F3D514C76A86E6929F69D34D2" hidden="1">#REF!</definedName>
    <definedName name="BOBE8F924DB3BC4F038EED0771BA85527D" hidden="1">#REF!</definedName>
    <definedName name="BOBE9E067C7210472B81073CBDC8230580" hidden="1">#REF!</definedName>
    <definedName name="BOBE9E33F6E4374A1FA4BDFB49B0EC0372" hidden="1">#REF!</definedName>
    <definedName name="BOBEA7830841314FCDB7120FD70396E04B" hidden="1">#REF!</definedName>
    <definedName name="BOBEA7B5BBB87048D49DF67B697A931813" hidden="1">#REF!</definedName>
    <definedName name="BOBEBC91AB89344689A508D7928603507D" hidden="1">#REF!</definedName>
    <definedName name="BOBEDB25FFFAF545899AA7025FE56C6C2F" hidden="1">#REF!</definedName>
    <definedName name="BOBEDF7874AE9D470FA8757B3FE1C5C49B" hidden="1">#REF!</definedName>
    <definedName name="BOBF066253C59B4751B64F555F9CA9FFAF" hidden="1">#REF!</definedName>
    <definedName name="BOBF14B3CAA77F4CC1B3F7F20024F8A96A" hidden="1">#REF!</definedName>
    <definedName name="BOBF166ABC8C78432CA8BFD934BBE79972" hidden="1">#REF!</definedName>
    <definedName name="BOBF218951A49F4995BB917FB43DBD1E9A" hidden="1">#REF!</definedName>
    <definedName name="BOBF2EB7AC0C2E4E0C9817C4936D0FC1CA" hidden="1">#REF!</definedName>
    <definedName name="BOBF387716EA054B5A88F16E8D2F5071A2" hidden="1">#REF!</definedName>
    <definedName name="BOBF44EA3972BE4BD4AD10908DF27E5F85" hidden="1">#REF!</definedName>
    <definedName name="BOBF4988CD268949D4A253EEEA2B64894B" hidden="1">#REF!</definedName>
    <definedName name="BOBF71F05A89BF45EA8C5D468675F75348" hidden="1">#REF!</definedName>
    <definedName name="BOBF72A77C10CA4EB1AB2AE062D421AC07" hidden="1">#REF!</definedName>
    <definedName name="BOBF8216921A30407686F2EBD0638399EE" hidden="1">#REF!</definedName>
    <definedName name="BOBF946EC04D3547D3BB1C2D55230B5FB2" hidden="1">#REF!</definedName>
    <definedName name="BOBFB6324E87F045BD9652F2FD4088F44D" hidden="1">#REF!</definedName>
    <definedName name="BOBFB9EA6C68994C4DA36158FCBD8427AF" hidden="1">#REF!</definedName>
    <definedName name="BOBFCE70D506DA4B6EB944A29AC6F839D9" hidden="1">#REF!</definedName>
    <definedName name="BOBFFDDF01966245CEAD50F02A4E5CFF2B" hidden="1">#REF!</definedName>
    <definedName name="BOC029C03D489640C28C30B97E1E431499" hidden="1">#REF!</definedName>
    <definedName name="BOC03D34745BAC448FBC3B84E6F54C143B" hidden="1">#REF!</definedName>
    <definedName name="BOC04CF57DCDFC4B82907B0EB8306FB82B" hidden="1">#REF!</definedName>
    <definedName name="BOC083451CA9584C4B9FAD7385194CD451" hidden="1">#REF!</definedName>
    <definedName name="BOC09371D1F2E84BEEAD586C8440AF9E85" hidden="1">#REF!</definedName>
    <definedName name="BOC107B6717B674C2EB1E24E70C8A2D78E" hidden="1">#REF!</definedName>
    <definedName name="BOC1331A3748714271B2B009F21159B493" hidden="1">#REF!</definedName>
    <definedName name="BOC1540D5EA63B44AAB228E5C3495F8EA1" hidden="1">#REF!</definedName>
    <definedName name="BOC156AACB264943ED8DE9584787C81FE3" hidden="1">#REF!</definedName>
    <definedName name="BOC15FB12785484F4FA926E3E4BA4FA48C" hidden="1">#REF!</definedName>
    <definedName name="BOC1665FF270474C74A986A0655C0C97F8" hidden="1">#REF!</definedName>
    <definedName name="BOC1BF282BE1BE476088A0D359CD2ABE06" hidden="1">#REF!</definedName>
    <definedName name="BOC1D51866C6B14E63851A380E2D581C14" hidden="1">#REF!</definedName>
    <definedName name="BOC1DD356020184557A3FA39220108A500" hidden="1">#REF!</definedName>
    <definedName name="BOC1E3AFDEC6DE4B529A2CC02210E9AD12" hidden="1">#REF!</definedName>
    <definedName name="BOC1EB78BA40C6402384910947B22306F7" hidden="1">#REF!</definedName>
    <definedName name="BOC20D6A8136474E8982B135F07AD78981" hidden="1">#REF!</definedName>
    <definedName name="BOC22B8AB3BC004F3E84FF5709DE8AB691" hidden="1">#REF!</definedName>
    <definedName name="BOC2452160117D45398C90A3A74E219282" hidden="1">#REF!</definedName>
    <definedName name="BOC25CA19C04EB461383765BC725F1A9C0" hidden="1">#REF!</definedName>
    <definedName name="BOC2A368458B8C466A8EAB350D814B6553" hidden="1">#REF!</definedName>
    <definedName name="BOC2BD5FFDAEE6428485C3A37469FC06C9" hidden="1">#REF!</definedName>
    <definedName name="BOC30112A4C82B4FDB9A0BE4DE668F4582" hidden="1">#REF!</definedName>
    <definedName name="BOC343F21B6DD940F0A688481148243E9A" hidden="1">#REF!</definedName>
    <definedName name="BOC3568EEBF2E1419EA9BEFDDFA241C67E" hidden="1">#REF!</definedName>
    <definedName name="BOC35ADF6F14B948919BD25280A05E3AC1" hidden="1">#REF!</definedName>
    <definedName name="BOC365FC61CAF6449BB1865E7D5BCCE2C3" hidden="1">#REF!</definedName>
    <definedName name="BOC39750E43B5B4EC892EABA56991C183A" hidden="1">#REF!</definedName>
    <definedName name="BOC3A2C5E32A78490FA02F0D6AFD24DFC0" hidden="1">#REF!</definedName>
    <definedName name="BOC3CBB290D163430A91DDA7599ED108F6" hidden="1">#REF!</definedName>
    <definedName name="BOC438E5AB00C9410DAB817A8739F9C426" hidden="1">#REF!</definedName>
    <definedName name="BOC43B69839854400A904778932A9E664F" hidden="1">#REF!</definedName>
    <definedName name="BOC4471151C06B43499A16E3B350A1CB30" hidden="1">#REF!</definedName>
    <definedName name="BOC473037395EF41CB9003BD66C5957660" hidden="1">#REF!</definedName>
    <definedName name="BOC482F327D8574379A20E908BC5EB2993" hidden="1">#REF!</definedName>
    <definedName name="BOC49D30DCC91B4948B1B91B358D1BFDF4" hidden="1">#REF!</definedName>
    <definedName name="BOC4A6BB89CD2B435293F191D82C0F58C9" hidden="1">#REF!</definedName>
    <definedName name="BOC4B00C308D204BE4B36D6D0F97F6EE83" hidden="1">#REF!</definedName>
    <definedName name="BOC4C301D63FB048DFBBB6C1766C1386B8" hidden="1">#REF!</definedName>
    <definedName name="BOC511D83A0C974EF8AD8E92A38214A8D5" hidden="1">#REF!</definedName>
    <definedName name="BOC522634DDC464314809CDF99493533FC" hidden="1">#REF!</definedName>
    <definedName name="BOC54204551F1D42B9BD6174DBDD9D741F" hidden="1">#REF!</definedName>
    <definedName name="BOC551D7779FF74F4EB6CC609F3CB55CD9" hidden="1">#REF!</definedName>
    <definedName name="BOC551DE2E91D44244ADD2A1963C33F5E1" hidden="1">#REF!</definedName>
    <definedName name="BOC57265C045CA450DBB172F33D90D9979" hidden="1">#REF!</definedName>
    <definedName name="BOC594B4F835E7418D90F061F92E8FB202" hidden="1">#REF!</definedName>
    <definedName name="BOC5AAE40B455D4043B6078A525F8433B7" hidden="1">#REF!</definedName>
    <definedName name="BOC5B50A3B093A4281A75D4209F6A75893" hidden="1">#REF!</definedName>
    <definedName name="BOC5C310983B4A4E16AECA5B9C6C7341BA" hidden="1">#REF!</definedName>
    <definedName name="BOC5FB79A4E3E540F8AE42FE861B1410EC" hidden="1">#REF!</definedName>
    <definedName name="BOC611376B3C6C45C99450D1DCF9397302" hidden="1">#REF!</definedName>
    <definedName name="BOC612254B51284FEE866CB31C88AFD453" hidden="1">#REF!</definedName>
    <definedName name="BOC6136ACAF1304E288216E27040F4D5E2" hidden="1">#REF!</definedName>
    <definedName name="BOC61DAC29429047E49941643414EF43CB" hidden="1">#REF!</definedName>
    <definedName name="BOC6468585AB6A4AE28970E03B2C62231E" hidden="1">#REF!</definedName>
    <definedName name="BOC65919DB60B64FFF93DB70579668EFC1" hidden="1">#REF!</definedName>
    <definedName name="BOC659C53743D5499EADD2474C5A6BE0FB" hidden="1">#REF!</definedName>
    <definedName name="BOC6601207ADB74941835C10583405D57E" hidden="1">#REF!</definedName>
    <definedName name="BOC6AF8DD1DEA34721BD0118E22F55322B" hidden="1">#REF!</definedName>
    <definedName name="BOC720578C9E594CF695ACFADC24BF33A4" hidden="1">#REF!</definedName>
    <definedName name="BOC72BB273A64E48D8828E544B36E74CCB" hidden="1">#REF!</definedName>
    <definedName name="BOC7B274FF472245C2B140F67E5FD1665B" hidden="1">#REF!</definedName>
    <definedName name="BOC7D2E11843E0453DB764C67C96D9ADF1" hidden="1">#REF!</definedName>
    <definedName name="BOC7FECB190F654212AF3F13F583581D59" hidden="1">#REF!</definedName>
    <definedName name="BOC809B7F8F4B14E208E5C54561FDB0F73" hidden="1">#REF!</definedName>
    <definedName name="BOC812A08FFF08478E87D119AB81FAE120" hidden="1">#REF!</definedName>
    <definedName name="BOC8137838440B47DAAC1ED794C15C441F" hidden="1">#REF!</definedName>
    <definedName name="BOC8231C2E9D8D4406BEC83D6F992CA139" hidden="1">#REF!</definedName>
    <definedName name="BOC869EDE25CC544CEA5A645A5E7A6B9AD" hidden="1">#REF!</definedName>
    <definedName name="BOC87D3336154245E3827858692226AFA4" hidden="1">#REF!</definedName>
    <definedName name="BOC88CDAF756A04342B92A57969166ABBF" hidden="1">#REF!</definedName>
    <definedName name="BOC896FC9D8F0841CAB1EA5A7E80358CCE" hidden="1">#REF!</definedName>
    <definedName name="BOC89ECEB280F34A1B87031041C2CF7847" hidden="1">#REF!</definedName>
    <definedName name="BOC8BC5627E1B34E0A8B05A4AAB8DD2DE8" hidden="1">#REF!</definedName>
    <definedName name="BOC8C22820924F41ED968636277E46E23C" hidden="1">#REF!</definedName>
    <definedName name="BOC8CE017DA77240AD9FD0EC7D16051AA6" hidden="1">#REF!</definedName>
    <definedName name="BOC8D9B846059147558F9CDF6DDE6F808E" hidden="1">#REF!</definedName>
    <definedName name="BOC8F24FC03F1147E9972C8D9D76295327" hidden="1">#REF!</definedName>
    <definedName name="BOC9021DAEC8534AA88821959B876F2AB8" hidden="1">#REF!</definedName>
    <definedName name="BOC9078726475D48768A4B800B228B8B8C" hidden="1">#REF!</definedName>
    <definedName name="BOC92BDE64A88C4F4888056339739F0504" hidden="1">#REF!</definedName>
    <definedName name="BOC93D76F627824034AADA8A9F13A2889A" hidden="1">#REF!</definedName>
    <definedName name="BOC96D8191DBAE4D6183DEA37F46B8436D" hidden="1">#REF!</definedName>
    <definedName name="BOC9786DD1B39B43A0BD52CC797EB809F9" hidden="1">#REF!</definedName>
    <definedName name="BOC979AF26AC844C15B0C4A390E47EDEFD" hidden="1">#REF!</definedName>
    <definedName name="BOC98DCB7764E4486B867068ABA319D462" hidden="1">#REF!</definedName>
    <definedName name="BOC9B43FE1F9D84461AFB00DB17BAEB487" hidden="1">#REF!</definedName>
    <definedName name="BOC9CF91C01B79495EB3EDF264630F3035" hidden="1">#REF!</definedName>
    <definedName name="BOC9D043ABD5CB459188E6E3FD93946123" hidden="1">#REF!</definedName>
    <definedName name="BOCA1F88327DEB4D2DBBA1D321DBFE4FA3" hidden="1">#REF!</definedName>
    <definedName name="BOCA1FB259D8714151AA2B3C6AEA1F0770" hidden="1">#REF!</definedName>
    <definedName name="BOCA37046B007E407686AA5E82F7A8FFC7" hidden="1">#REF!</definedName>
    <definedName name="BOCA5133A1A0DD490591E8590A5076EDB5" hidden="1">#REF!</definedName>
    <definedName name="BOCA7ED576C19B404997CEB1F51D09DA13" hidden="1">#REF!</definedName>
    <definedName name="BOCAE778C3378D4DEA8C59D3D493F17D92" hidden="1">#REF!</definedName>
    <definedName name="BOCB20F1B9F3C846A48126BE531FB918DF" hidden="1">#REF!</definedName>
    <definedName name="BOCB275BC87A58422EA0F9349C40EF7779" hidden="1">#REF!</definedName>
    <definedName name="BOCBA1B95825D144B78E2D686F9E99757B" hidden="1">#REF!</definedName>
    <definedName name="BOCBECE0B77CC842D393B20B9F944CEBB5" hidden="1">#REF!</definedName>
    <definedName name="BOCBF59B6853AE4F78B44ECC74F3D6E9CA" hidden="1">#REF!</definedName>
    <definedName name="BOCBFAF1D642934F1D84D4B8F7579C0857" hidden="1">#REF!</definedName>
    <definedName name="BOCC1EA691A78A4CF0974017D9802E6A50" hidden="1">#REF!</definedName>
    <definedName name="BOCC330219F2FA42238AA019FA4A7434C7" hidden="1">#REF!</definedName>
    <definedName name="BOCC4E1F0139CA4CCE842276D221283B25" hidden="1">#REF!</definedName>
    <definedName name="BOCC858C19D7F047F6ADFC5A40DFBF24A1" hidden="1">#REF!</definedName>
    <definedName name="BOCCE1C932CCA344CE9ECE3EB0DD94638C" hidden="1">#REF!</definedName>
    <definedName name="BOCCF334A9BDB64C2697AE9352A937B6E5" hidden="1">#REF!</definedName>
    <definedName name="BOCD19B2F2E8774A589EFF3317FDB5225C" hidden="1">#REF!</definedName>
    <definedName name="BOCD20F214D4AA41C281599C484FB99FDC" hidden="1">#REF!</definedName>
    <definedName name="BOCD23F0C3BE5D4A57B07C7B46AAE9B586" hidden="1">#REF!</definedName>
    <definedName name="BOCD2C6B11CEED44B287F63EABF1C67668" hidden="1">#REF!</definedName>
    <definedName name="BOCD316364C89949588B6EA9EFB7EFED71" hidden="1">#REF!</definedName>
    <definedName name="BOCD3E920BAE7C41B5B4C491D4AB8D55B6" hidden="1">#REF!</definedName>
    <definedName name="BOCD94EC8563CB4322AAB39F7BBEABB319" hidden="1">#REF!</definedName>
    <definedName name="BOCD97881AE04342B9B58E7D82FD2B45E9" hidden="1">#REF!</definedName>
    <definedName name="BOCDA9B7CBD5D9427E84053F8E38F252A0" hidden="1">#REF!</definedName>
    <definedName name="BOCDBD4F3A3DA349B2A9734E12B4FA4152" hidden="1">#REF!</definedName>
    <definedName name="BOCDCDF8EF0E5646DAB0D5AEEACD436DBA" hidden="1">#REF!</definedName>
    <definedName name="BOCDD9929C645542878E90D6D900B798EE" hidden="1">#REF!</definedName>
    <definedName name="BOCDE7F75740B346FC9E55D667CD9EC425" hidden="1">#REF!</definedName>
    <definedName name="BOCDED67C8566647ED9C954DE6FCEBFBFF" hidden="1">#REF!</definedName>
    <definedName name="BOCDF00353D53047B6A4A85487D43B9AF1" hidden="1">#REF!</definedName>
    <definedName name="BOCE1431147F334E33B41B0302E1BD9519" hidden="1">#REF!</definedName>
    <definedName name="BOCE1BF69715794F4E87C7B791630E9EED" hidden="1">#REF!</definedName>
    <definedName name="BOCE1D2212C92D4302ADFD62D5ACB65176" hidden="1">#REF!</definedName>
    <definedName name="BOCE3F4651FC6D47F6888CAACD6B895BD6" hidden="1">#REF!</definedName>
    <definedName name="BOCE5078CB7E104277832DC3F09395B864" hidden="1">#REF!</definedName>
    <definedName name="BOCE59D3DAB1844F599AC2D0EF7482C0ED" hidden="1">#REF!</definedName>
    <definedName name="BOCEBE29A3E8094395A0CF9CD1AAA1D065" hidden="1">#REF!</definedName>
    <definedName name="BOCED7368BDC814EA9977A0FC117CC1EEF" hidden="1">#REF!</definedName>
    <definedName name="BOCF038B17D1434B6A86DE2821F3844C2A" hidden="1">#REF!</definedName>
    <definedName name="BOCF2CA454D7714DF7803655110854DC0F" hidden="1">#REF!</definedName>
    <definedName name="BOCF3D1CC14C5E4EFAA13121DC4E701CF2" hidden="1">#REF!</definedName>
    <definedName name="BOCF523EEE92D345E98BFF5F175FC3CF90" hidden="1">#REF!</definedName>
    <definedName name="BOCF5983A1FADD40DAAC7E6892F1622A11" hidden="1">#REF!</definedName>
    <definedName name="BOCF7C5B983CBF42DBBDD6CD92650B00B0" hidden="1">#REF!</definedName>
    <definedName name="BOCF89873156A349CD99C522010DADF9FB" hidden="1">#REF!</definedName>
    <definedName name="BOCF96717DA6014EDC80C3AA39BE91443A" hidden="1">#REF!</definedName>
    <definedName name="BOCFC28344B50E4F72945BC627F69A7D0D" hidden="1">#REF!</definedName>
    <definedName name="BOCFC5F04A27E646818E21BB31308C53B4" hidden="1">#REF!</definedName>
    <definedName name="BOD0382903153C4298A06C72FB4C2F82BC" hidden="1">#REF!</definedName>
    <definedName name="BOD03FD50591A1425293C16D8979726923" hidden="1">#REF!</definedName>
    <definedName name="BOD0447A1F84A848AE8FE0265DA4E43469" hidden="1">#REF!</definedName>
    <definedName name="BOD049906584524697915E494D82ABEA6C" hidden="1">#REF!</definedName>
    <definedName name="BOD0ACCA99C91345F482A513BFCE9186E0" hidden="1">#REF!</definedName>
    <definedName name="BOD0CE909846AF4B5C93B759B9FE505ADE" hidden="1">#REF!</definedName>
    <definedName name="BOD129B1AAD1A8454A988FD077660E0746" hidden="1">#REF!</definedName>
    <definedName name="BOD14638B491F746CA808EE455711E2DFA" hidden="1">#REF!</definedName>
    <definedName name="BOD1571EBC9EFC4719B17E00444AC145C8" hidden="1">#REF!</definedName>
    <definedName name="BOD16D4E30F94E4951AB3786D1D961D3FE" hidden="1">#REF!</definedName>
    <definedName name="BOD19EE91F5D99468F9C79D62A64548F42" hidden="1">#REF!</definedName>
    <definedName name="BOD1D5BE4C0FB24EE798AA74F90F407A1A" hidden="1">#REF!</definedName>
    <definedName name="BOD1F9357DA9A64BF5B6306A06275A8872" hidden="1">#REF!</definedName>
    <definedName name="BOD211DE122DB3497AB5D76A1542188482" hidden="1">#REF!</definedName>
    <definedName name="BOD22B62E0D3D9450598F759030DDF895E" hidden="1">#REF!</definedName>
    <definedName name="BOD230302E244347D0800B1FE794A98043" hidden="1">#REF!</definedName>
    <definedName name="BOD2367E7BD60547E68E9D20C429DC1536" hidden="1">#REF!</definedName>
    <definedName name="BOD2974288C8344CB9981C0B5A2E924BBC" hidden="1">#REF!</definedName>
    <definedName name="BOD30584112A9549E48949A93D8039E4F6" hidden="1">#REF!</definedName>
    <definedName name="BOD307E5F479264767B463B99E251AE3B1" hidden="1">#REF!</definedName>
    <definedName name="BOD362591848624AB7BE2C8B3AAD7614EC" hidden="1">#REF!</definedName>
    <definedName name="BOD3AC1AE62968479AA5A373821C711DA4" hidden="1">#REF!</definedName>
    <definedName name="BOD3B4567942A74870ACFA86C24659E392" hidden="1">#REF!</definedName>
    <definedName name="BOD3C8E760EBF4481FA1151651A2CE45F5" hidden="1">#REF!</definedName>
    <definedName name="BOD3CF0471BBA140C293A38AE7B62C4035" hidden="1">#REF!</definedName>
    <definedName name="BOD3D164D82A744D349944A2A4C12AC6C2" hidden="1">#REF!</definedName>
    <definedName name="BOD3D705DAB5324AE6A0460FD1B8021FD2" hidden="1">#REF!</definedName>
    <definedName name="BOD404D5F4D6104339BA3ACB5CB4FD091A" hidden="1">#REF!</definedName>
    <definedName name="BOD475444D2F7646A1932BB6C5A1117279" hidden="1">#REF!</definedName>
    <definedName name="BOD484ECF67C214C179402F1A9DB88B556" hidden="1">#REF!</definedName>
    <definedName name="BOD4B8AEC8EB9B455EBC82ADE84BFE1969" hidden="1">#REF!</definedName>
    <definedName name="BOD4C2216847B647D8B4D3A0954B6CB148" hidden="1">#REF!</definedName>
    <definedName name="BOD4C74FD8D1C64510899C02AFBA21037D" hidden="1">#REF!</definedName>
    <definedName name="BOD4D26CA1C52F43BDBE4F64A3B560F6ED" hidden="1">#REF!</definedName>
    <definedName name="BOD4F0099CA2E5413C90FDBEAE610F6613" hidden="1">#REF!</definedName>
    <definedName name="BOD4F78C2E32CE40AEB95B29DBD0B9E6A8" hidden="1">#REF!</definedName>
    <definedName name="BOD56983E5837D4255991E6CB791DEA783" hidden="1">#REF!</definedName>
    <definedName name="BOD589C64A18FB4E39808CD1A9801D9FF1" hidden="1">#REF!</definedName>
    <definedName name="BOD5A1654692584EBD9A4C27B60244E347" hidden="1">#REF!</definedName>
    <definedName name="BOD5AC6DCB5AFB4CAB92836B1090B745A2" hidden="1">#REF!</definedName>
    <definedName name="BOD5B944D7D611407DBE1C2E9AD4B12423" hidden="1">#REF!</definedName>
    <definedName name="BOD5BA562CEF6B4E8593C7650256496875" hidden="1">#REF!</definedName>
    <definedName name="BOD5F38165B4F64CCEAE1233F99E1C1D10" hidden="1">#REF!</definedName>
    <definedName name="BOD5FBDB6792ED490294B58B91280CB793" hidden="1">#REF!</definedName>
    <definedName name="BOD6000BBE6ADA4F37B41FCA2EA4794054" hidden="1">#REF!</definedName>
    <definedName name="BOD6091EBE9E4D4E7088A85736BE77FBC4" hidden="1">#REF!</definedName>
    <definedName name="BOD6093DB2F42544739F3F0BC6B185776E" hidden="1">#REF!</definedName>
    <definedName name="BOD616EB6B252A485DB2E914540E19A79E" hidden="1">#REF!</definedName>
    <definedName name="BOD666E0EA748C4906A50FDE186DC7A343" hidden="1">#REF!</definedName>
    <definedName name="BOD689611FA42248308D3AEC62500BF17E" hidden="1">#REF!</definedName>
    <definedName name="BOD6C2AF20BFCC436F8212AE446F7FBF3F" hidden="1">#REF!</definedName>
    <definedName name="BOD6F75FC25E2D470E8DEA7A2C735F8787" hidden="1">#REF!</definedName>
    <definedName name="BOD7117E6358C242E3A1E99B0A14C7E296" hidden="1">#REF!</definedName>
    <definedName name="BOD7359D4D72344971A55B6DE10166EC3A" hidden="1">#REF!</definedName>
    <definedName name="BOD74816BF53604C1A8EBE7794E78C6157" hidden="1">#REF!</definedName>
    <definedName name="BOD75E9FD91EEB4991967840667D14ADE1" hidden="1">#REF!</definedName>
    <definedName name="BOD7619C4CBE234EA9ACB18176025ACAF4" hidden="1">#REF!</definedName>
    <definedName name="BOD76C4C62ED6349BA82C6E762885F9C42" hidden="1">#REF!</definedName>
    <definedName name="BOD7827679259E487A82EFBD97FB249CE4" hidden="1">#REF!</definedName>
    <definedName name="BOD789790B96514DC59042719B5805E3D6" hidden="1">#REF!</definedName>
    <definedName name="BOD7A20F011DC3496F8EABD9053412155F" hidden="1">#REF!</definedName>
    <definedName name="BOD7D258278B4E4E4AA509D9197261A0B6" hidden="1">#REF!</definedName>
    <definedName name="BOD7D4711B87494F72B9462DABAD2DC16A" hidden="1">#REF!</definedName>
    <definedName name="BOD7D61BB333884A59A2C1D33A88CD9F47" hidden="1">#REF!</definedName>
    <definedName name="BOD7DA78831B7D48AE8E9730BE01D093B4" hidden="1">#REF!</definedName>
    <definedName name="BOD829974450B945C5A22B9631131E3E46" hidden="1">#REF!</definedName>
    <definedName name="BOD850650076FB4BE9871891647862E226" hidden="1">#REF!</definedName>
    <definedName name="BOD86240FF503D4482871F210F78E6EAF1" hidden="1">#REF!</definedName>
    <definedName name="BOD8667399EA71405F87B99EFA114442CA" hidden="1">#REF!</definedName>
    <definedName name="BOD874E9B7452B43E3896CE7DCCA6B8098" hidden="1">#REF!</definedName>
    <definedName name="BOD87AF798F4114AAE832DA72E182DC955" hidden="1">#REF!</definedName>
    <definedName name="BOD89421961BB04B30A18D09156E068BB7" hidden="1">#REF!</definedName>
    <definedName name="BOD8F132C61D834425A5AB58E021D51B78" hidden="1">#REF!</definedName>
    <definedName name="BOD9075F94CA5E4DF49026448EF16C6BC2" hidden="1">#REF!</definedName>
    <definedName name="BOD932BB85A2EA4DE7821393AA49C1C395" hidden="1">#REF!</definedName>
    <definedName name="BOD943A115A65C44929A9117010923227D" hidden="1">#REF!</definedName>
    <definedName name="BOD9559A9C37E4433E9A2515161293F207" hidden="1">#REF!</definedName>
    <definedName name="BOD95A4F3C7E5643819BB2404D8D3C844B" hidden="1">#REF!</definedName>
    <definedName name="BOD96324D7AA0D403DA0608422F8714591" hidden="1">#REF!</definedName>
    <definedName name="BOD96AF82529F54504A665EA4AEF6C316F" hidden="1">#REF!</definedName>
    <definedName name="BOD96E3FB0F08B4BA793D580A9BB11918A" hidden="1">#REF!</definedName>
    <definedName name="BOD985D8DFEF844A22A4066793823C10D6" hidden="1">#REF!</definedName>
    <definedName name="BOD99A1BF81C5B41C8AE446A73B518337B" hidden="1">#REF!</definedName>
    <definedName name="BOD99BCDC70C184DDFAF6D60D7C6E5517B" hidden="1">#REF!</definedName>
    <definedName name="BOD9A42C58406D4E608CC8FCBA4AFB85CF" hidden="1">#REF!</definedName>
    <definedName name="BODA375714EEA345AB87E9DFF80B6A4F21" hidden="1">#REF!</definedName>
    <definedName name="BODA43B8E6CC44409AB32EDA5EC1C2D534" hidden="1">#REF!</definedName>
    <definedName name="BODA4BB33FF9E64FF5820E7F9B0AA4D353" hidden="1">#REF!</definedName>
    <definedName name="BODA5A40D6E6F14474A347255EB2CE0830" hidden="1">#REF!</definedName>
    <definedName name="BODA7B6ECB5BD9411FA5F149FBD6A417D8" hidden="1">#REF!</definedName>
    <definedName name="BODA96815803994119B481057BFF9E1AFA" hidden="1">#REF!</definedName>
    <definedName name="BODADA2F4581F642CE9110CA83D2F68CC5" hidden="1">#REF!</definedName>
    <definedName name="BODAFE33F3F0F24DF68180B0C5FACF094E" hidden="1">#REF!</definedName>
    <definedName name="BODAFE438D2A524D94896C2A23B0EBD390" hidden="1">#REF!</definedName>
    <definedName name="BODB51402C13E54FD9ACD87EBAAB07CBAD" hidden="1">#REF!</definedName>
    <definedName name="BODB6D0286CAFA43D0B1FF4F03C3CCED95" hidden="1">#REF!</definedName>
    <definedName name="BODB8D1BF6E5DA4A67AC16C08B05DABAF3" hidden="1">#REF!</definedName>
    <definedName name="BODBA61B9A973B4DBF80DAFFCFA52A46F7" hidden="1">#REF!</definedName>
    <definedName name="BODBC3E114B6BA433B95744F76179805E1" hidden="1">#REF!</definedName>
    <definedName name="BODBD351D67E7342638656268F62E3FEAD" hidden="1">#REF!</definedName>
    <definedName name="BODC12D5C9AE1345F38FFB7CC8A3BE043C" hidden="1">#REF!</definedName>
    <definedName name="BODC2F0323AD924436ABFB4D23525B29AF" hidden="1">#REF!</definedName>
    <definedName name="BODC342A3652B944F09E1FCD60DF1F133D" hidden="1">#REF!</definedName>
    <definedName name="BODC35D2D9197948F5B41EF4D2CE5E8576" hidden="1">#REF!</definedName>
    <definedName name="BODC43C42893F5471992092AACDD77C08F" hidden="1">#REF!</definedName>
    <definedName name="BODC4D145DB1F54CE999BD1B07C1604457" hidden="1">#REF!</definedName>
    <definedName name="BODCACB442AFF147DA8534A6D75C35399F" hidden="1">#REF!</definedName>
    <definedName name="BODCDC60E0DAE14E1A87E177A39424DBBA" hidden="1">#REF!</definedName>
    <definedName name="BODCF9B3C3B64847C5B7AA49E141E8367F" hidden="1">#REF!</definedName>
    <definedName name="BODD55D711679540EBA8B4626BAFC0C961" hidden="1">#REF!</definedName>
    <definedName name="BODD87356B32F3448BA7F6D80C4681836A" hidden="1">#REF!</definedName>
    <definedName name="BODD912D5833004681A88D2F9EF257B7C0" hidden="1">#REF!</definedName>
    <definedName name="BODD9480E3CACE4F268ADF8A4111607E56" hidden="1">#REF!</definedName>
    <definedName name="BODDA82180A02945AABDD7BADBD4BB12C4" hidden="1">#REF!</definedName>
    <definedName name="BODDC65C1306484FAD8C5B5098B18FA369" hidden="1">#REF!</definedName>
    <definedName name="BODDE486C3BA604263A250727A6C11879D" hidden="1">#REF!</definedName>
    <definedName name="BODDEFC0D0572B4042AB60AB186BB501E7" hidden="1">#REF!</definedName>
    <definedName name="BODE40BF5CBE26430282B79A6769A9E4EE" hidden="1">#REF!</definedName>
    <definedName name="BODE5C9656178241B9854DC0E7B7BB4C1D" hidden="1">#REF!</definedName>
    <definedName name="BODE768A9B2D54461F9A71EC094B8BFEA9" hidden="1">#REF!</definedName>
    <definedName name="BODE811A6228654F54939A745212057316" hidden="1">#REF!</definedName>
    <definedName name="BODE89B1DA731A4454A01E45129D52F892" hidden="1">#REF!</definedName>
    <definedName name="BODE9072EB3BFB4B1C92C8FCDBBE8360D7" hidden="1">#REF!</definedName>
    <definedName name="BODEC00C0FE625435EAB16BBF3CF5423FA" hidden="1">#REF!</definedName>
    <definedName name="BODECEBD48E9604A83A10F1F22350794BF" hidden="1">#REF!</definedName>
    <definedName name="BODECF7922D5794E779C6CADC7B440F3E1" hidden="1">#REF!</definedName>
    <definedName name="BODEF3253214EB42739241C6059132B79D" hidden="1">#REF!</definedName>
    <definedName name="BODF01B683526347E0ACBE5A579DBFCF9C" hidden="1">#REF!</definedName>
    <definedName name="BODF073AE731E849BDACD3A7E9DA3E9CE6" hidden="1">#REF!</definedName>
    <definedName name="BODF094FBD134141929A57AFD3107DEBE1" hidden="1">#REF!</definedName>
    <definedName name="BODF0BD33E1E0443CE8483C28E0E36B7C7" hidden="1">#REF!</definedName>
    <definedName name="BODF744399BFC0430AA3F357277380EE88" hidden="1">#REF!</definedName>
    <definedName name="BODFAFE6B7B5DD494DA46E02F336EB4451" hidden="1">#REF!</definedName>
    <definedName name="BODFB578F516AA465893C1FE1B2B12D366" hidden="1">#REF!</definedName>
    <definedName name="BOE006847D0A6D4D4D8D2533E19C49D667" hidden="1">#REF!</definedName>
    <definedName name="BOE006ED9E20C3444F8CEAF6E03763551D" hidden="1">#REF!</definedName>
    <definedName name="BOE00DA9EEAD2747C89688401F227A1B47" hidden="1">#REF!</definedName>
    <definedName name="BOE017B1FDF9474AB39B4D907FFF9B93B4" hidden="1">#REF!</definedName>
    <definedName name="BOE026125E78E5458981F88E04737F5FDD" hidden="1">#REF!</definedName>
    <definedName name="BOE034E323591D4D3081245B383BB615E3" hidden="1">#REF!</definedName>
    <definedName name="BOE0360C2D533540EA91E5BF1F73B1D78C" hidden="1">#REF!</definedName>
    <definedName name="BOE0576357A0FB48FFB1C2EE97C539209D" hidden="1">#REF!</definedName>
    <definedName name="BOE05AB811E6DC47F588E989213BDA0E49" hidden="1">#REF!</definedName>
    <definedName name="BOE072055565B440F0B96E015B8A86281B" hidden="1">#REF!</definedName>
    <definedName name="BOE07673114B354AADB2FE0F4CF47306B1" hidden="1">#REF!</definedName>
    <definedName name="BOE07C99ECF2B04F24AF66BE9134092175" hidden="1">#REF!</definedName>
    <definedName name="BOE0B675C6FF644F25ABE231535B04807E" hidden="1">#REF!</definedName>
    <definedName name="BOE0BE8FB3CBC74049B3BDC5FBC4F0515A" hidden="1">#REF!</definedName>
    <definedName name="BOE0F80A181E3C4F628830B11216FE6E5C" hidden="1">#REF!</definedName>
    <definedName name="BOE11978DCD81043259E316E7A919B3956" hidden="1">#REF!</definedName>
    <definedName name="BOE12937672CEA40B2A2C0AC7904CC44AE" hidden="1">#REF!</definedName>
    <definedName name="BOE13AB4235AC2402DAB027B3936B550B9" hidden="1">#REF!</definedName>
    <definedName name="BOE153C64737424AE6B4DB32194D7FF0E2" hidden="1">#REF!</definedName>
    <definedName name="BOE18C517FEAEA45E8BCA8C8C731F3D920" hidden="1">#REF!</definedName>
    <definedName name="BOE18EC19E8AEF402EAE2B0F9CB5CCA3AB" hidden="1">#REF!</definedName>
    <definedName name="BOE19089FAC16F4B8688A0492982FF446E" hidden="1">#REF!</definedName>
    <definedName name="BOE1D5BDF45331474CB5BCDA5D62240B3B" hidden="1">#REF!</definedName>
    <definedName name="BOE1D864672D394290A795746A1DE77B08" hidden="1">#REF!</definedName>
    <definedName name="BOE2120FD099664455B8C4D55E1FF026FD" hidden="1">#REF!</definedName>
    <definedName name="BOE214051AC1A748E081A158A11E4ADD05" hidden="1">#REF!</definedName>
    <definedName name="BOE22CD0E0569A49439417A071544CE72A" hidden="1">#REF!</definedName>
    <definedName name="BOE25B77D6C27540E6AAA556148B083B53" hidden="1">#REF!</definedName>
    <definedName name="BOE263959986DE4AC8B573670D83DDB9EF" hidden="1">#REF!</definedName>
    <definedName name="BOE28EA0D9163A45FDBB2590D2729647C9" hidden="1">#REF!</definedName>
    <definedName name="BOE2D85861CE134B2899A88CE95589BEA9" hidden="1">#REF!</definedName>
    <definedName name="BOE307F88CF982433D8A5E1A5800FD2AD4" hidden="1">#REF!</definedName>
    <definedName name="BOE32845D4217248B5A29BB1EF05A74B53" hidden="1">#REF!</definedName>
    <definedName name="BOE337F40BCDB04761B6982A92D8288043" hidden="1">#REF!</definedName>
    <definedName name="BOE376496472834A1187F8B2D218F47A9C" hidden="1">#REF!</definedName>
    <definedName name="BOE3903726787A43369D14E2CFD75168C1" hidden="1">#REF!</definedName>
    <definedName name="BOE398E17A4D2C4403AC2E55DCE59A4DB3" hidden="1">#REF!</definedName>
    <definedName name="BOE3A961B9C77F419C80AA8DBDE61BF21F" hidden="1">#REF!</definedName>
    <definedName name="BOE3D3C537354043529495944246227E54" hidden="1">#REF!</definedName>
    <definedName name="BOE3EAB94B34994813A192F85F34F64788" hidden="1">#REF!</definedName>
    <definedName name="BOE447A50A6A0445EDA278C8F6684F9F56" hidden="1">#REF!</definedName>
    <definedName name="BOE449661142474D1998C432F3D15150A8" hidden="1">#REF!</definedName>
    <definedName name="BOE4553A17435E44E1A73A3E8C5BB03776" hidden="1">#REF!</definedName>
    <definedName name="BOE4570C8160CD449BA2EB7A5799F3D970" hidden="1">#REF!</definedName>
    <definedName name="BOE46F6DB57CC5418DB632FD6AA4046084" hidden="1">#REF!</definedName>
    <definedName name="BOE4864185A3864D3AB1C30FBB75915886" hidden="1">#REF!</definedName>
    <definedName name="BOE49A28902F614E22AADB7D311EBA846E" hidden="1">#REF!</definedName>
    <definedName name="BOE4CBEA97B39C41D8BA6F03263BFA8066" hidden="1">#REF!</definedName>
    <definedName name="BOE4D5A5154F4C482B944548BC47E31E5D" hidden="1">#REF!</definedName>
    <definedName name="BOE4EC52FAC01E4D389789FE914DC05BF6" hidden="1">#REF!</definedName>
    <definedName name="BOE503A37C2DDD4514A5244826E6A6DB54" hidden="1">#REF!</definedName>
    <definedName name="BOE51DFD1C9562469194F32690B232F3D3" hidden="1">#REF!</definedName>
    <definedName name="BOE545914D51B74F8F80A99121E9F681D3" hidden="1">#REF!</definedName>
    <definedName name="BOE5480C2C9C554E828BCF6B26CE00644E" hidden="1">#REF!</definedName>
    <definedName name="BOE549C9E705DE4877993E07C59BDC0CE5" hidden="1">#REF!</definedName>
    <definedName name="BOE55435D37049454395ECA083E501131D" hidden="1">#REF!</definedName>
    <definedName name="BOE57D2810DF2F40AA8FB1D0C2ECDAA661" hidden="1">#REF!</definedName>
    <definedName name="BOE585DC72C4564FA68F5AA993D43A7E96" hidden="1">#REF!</definedName>
    <definedName name="BOE5AA83923A2A4251A365967B0FABE997" hidden="1">#REF!</definedName>
    <definedName name="BOE5C36DE72DD74A34BA37E9397BF4B1BF" hidden="1">#REF!</definedName>
    <definedName name="BOE5D737DF7DC04EF4A3F1879E3C59FBA5" hidden="1">#REF!</definedName>
    <definedName name="BOE5DB18EC4BF143CAB33F7AB9CE0BC7AD" hidden="1">#REF!</definedName>
    <definedName name="BOE5E15CBA8693404E95C6E7532B0455DE" hidden="1">#REF!</definedName>
    <definedName name="BOE5F1AA16B89C46E08917B4E586F61146" hidden="1">#REF!</definedName>
    <definedName name="BOE6016488BD9B43AB807B2FDE97A1E5C6" hidden="1">#REF!</definedName>
    <definedName name="BOE642644C80644606B590C952B2B679BB" hidden="1">#REF!</definedName>
    <definedName name="BOE6472F62E05843E3A42485F3FC4DAA7B" hidden="1">#REF!</definedName>
    <definedName name="BOE64B65D0B2E3477D965DA34BE633B705" hidden="1">#REF!</definedName>
    <definedName name="BOE671A811FEE443B0AF77FFD7B973E3D8" hidden="1">#REF!</definedName>
    <definedName name="BOE69EC63A965D4D389109A1397229FE81" hidden="1">#REF!</definedName>
    <definedName name="BOE6CF0641D1CF4974818BF6A3C75563DF" hidden="1">#REF!</definedName>
    <definedName name="BOE6CF7371C48B4B4CA75BF8C02972E606" hidden="1">#REF!</definedName>
    <definedName name="BOE6D827D9E2DE489ABEBB24B97E6503E8" hidden="1">#REF!</definedName>
    <definedName name="BOE6EC2B01DAAC4CAA860BFF94370676C8" hidden="1">#REF!</definedName>
    <definedName name="BOE723E5A34F7C49D89A97CE036F53E20A" hidden="1">#REF!</definedName>
    <definedName name="BOE741AA47A5B7491BB12A8962C001BCD6" hidden="1">#REF!</definedName>
    <definedName name="BOE74688F5AC1E4867865C628E71974C74" hidden="1">#REF!</definedName>
    <definedName name="BOE749E2E453224EDE819CB02CD51A08BE" hidden="1">#REF!</definedName>
    <definedName name="BOE75B49FAF61B4EF69763E611B56CE634" hidden="1">#REF!</definedName>
    <definedName name="BOE76250712D36454EA8BD340089539AD6" hidden="1">#REF!</definedName>
    <definedName name="BOE76431D47602405BB3C0FF818CC34755" hidden="1">#REF!</definedName>
    <definedName name="BOE776B09F34E244928F8EA22D197685DA" hidden="1">#REF!</definedName>
    <definedName name="BOE798598350E04FBFAF7A6A194F1568BE" hidden="1">#REF!</definedName>
    <definedName name="BOE7CBB0CC34384B958962B499B09B2EFE" hidden="1">#REF!</definedName>
    <definedName name="BOE7DFAF165385446BA6A3484A6449F5EB" hidden="1">#REF!</definedName>
    <definedName name="BOE7EC9B4E00164CB5B67EF6A26F794461" hidden="1">#REF!</definedName>
    <definedName name="BOE7F286C313164F68BF206AFA08DBC094" hidden="1">#REF!</definedName>
    <definedName name="BOE7FB822E1C854B0080C789D2304CB9DE" hidden="1">#REF!</definedName>
    <definedName name="BOE7FF59A65485454D9BAF35A631532BE7" hidden="1">#REF!</definedName>
    <definedName name="BOE8052FE958B8496D959F6782B970EA25" hidden="1">#REF!</definedName>
    <definedName name="BOE8473256F0E74B51A0AF9E07903BA006" hidden="1">#REF!</definedName>
    <definedName name="BOE84E82EEFCCE41D0BA91EFACF23EBFA7" hidden="1">#REF!</definedName>
    <definedName name="BOE84FCC406C184191AFE42CCF04997FEE" hidden="1">#REF!</definedName>
    <definedName name="BOE884DB0E080F4026AEDEAD76588B78FC" hidden="1">#REF!</definedName>
    <definedName name="BOE8970DB59C714C8BA0FB79E01170D916" hidden="1">#REF!</definedName>
    <definedName name="BOE8C9C3ED265B48589109A08A9505A1D1" hidden="1">#REF!</definedName>
    <definedName name="BOE8DBD581E91E43A295718AF22899C040" hidden="1">#REF!</definedName>
    <definedName name="BOE8FD561F920B4D0EB0A7FF754C48EC59" hidden="1">#REF!</definedName>
    <definedName name="BOE9070F3F0E5C4CECA88BDCD0FE83FACA" hidden="1">#REF!</definedName>
    <definedName name="BOE9145CAB99E74AFE9E99E9CC29206FC8" hidden="1">#REF!</definedName>
    <definedName name="BOE919721A160440009B2F08B691E057F6" hidden="1">#REF!</definedName>
    <definedName name="BOE9365DA92F0142D688109164C3F00B4C" hidden="1">#REF!</definedName>
    <definedName name="BOE93FF485CBB143C8B17639519B225C67" hidden="1">#REF!</definedName>
    <definedName name="BOE9711470A17248E1818E183991FEFBE1" hidden="1">#REF!</definedName>
    <definedName name="BOE986E94CE98349AE8748D58895E44442" hidden="1">#REF!</definedName>
    <definedName name="BOE9A94086040D4182824491AC50D5A715" hidden="1">#REF!</definedName>
    <definedName name="BOE9C1CB3E7BDF4A4B99B9C11169458EA4" hidden="1">#REF!</definedName>
    <definedName name="BOE9D930B87D734F9798F59AA71877AC27" hidden="1">#REF!</definedName>
    <definedName name="BOE9E6BF7CEFB94FE1A00EF1AF9DE0670D" hidden="1">#REF!</definedName>
    <definedName name="BOEA23F73FE7434EFCA0F38B740B2A71CE" hidden="1">#REF!</definedName>
    <definedName name="BOEA24131FE3B34D1F9614F7212C119A06" hidden="1">#REF!</definedName>
    <definedName name="BOEA250B12AC0048F08246845DA3D06B8B" hidden="1">#REF!</definedName>
    <definedName name="BOEA3DBC7CAAA9402E85E619F5B8A0658D" hidden="1">#REF!</definedName>
    <definedName name="BOEA45133290A5471DA1865C6961B27895" hidden="1">#REF!</definedName>
    <definedName name="BOEA487DFBBB0446B0A8D7FEFB2D9E7C93" hidden="1">#REF!</definedName>
    <definedName name="BOEAD6D7767DC54CBEBCE421A3DB34DE6B" hidden="1">#REF!</definedName>
    <definedName name="BOEADD9A517C9E4CB4999114D4B9BD6920" hidden="1">#REF!</definedName>
    <definedName name="BOEAF3B895ABCD49308AF2F5A2E22BBC94" hidden="1">#REF!</definedName>
    <definedName name="BOEAFDF322262145CB86BF48DC1DB6B5A2" hidden="1">#REF!</definedName>
    <definedName name="BOEB0E75BF9AEA444FA574EF153F2DE2A5" hidden="1">#REF!</definedName>
    <definedName name="BOEB1FBF1FAD7F4ECC8BB20074F709319C" hidden="1">#REF!</definedName>
    <definedName name="BOEB217BD039004C72ABA77A436DA8A424" hidden="1">#REF!</definedName>
    <definedName name="BOEB458FBEB36F4ACDA8C9CB398BDD60AB" hidden="1">#REF!</definedName>
    <definedName name="BOEB7ECE9285934C488E6B2136A2F0641C" hidden="1">#REF!</definedName>
    <definedName name="BOEBB477EA004747AC923498244421587D" hidden="1">#REF!</definedName>
    <definedName name="BOEBBC73E30C5E459DB8E9982D70CCFA83" hidden="1">#REF!</definedName>
    <definedName name="BOEC0BCDB4FA624FE89507CCDAFB2DE5F3" hidden="1">#REF!</definedName>
    <definedName name="BOEC0DD3F439BA4003AD46A41F29874030" hidden="1">#REF!</definedName>
    <definedName name="BOEC1A5FBA282D4E98AC0A8B6E60EA9049" hidden="1">#REF!</definedName>
    <definedName name="BOEC3F2E58E5E44307B2E206499188E1FC" hidden="1">#REF!</definedName>
    <definedName name="BOEC425E786A5F4CE78604F43CC4690D0E" hidden="1">#REF!</definedName>
    <definedName name="BOEC5B408FC72D40DAAEAB05CE85838531" hidden="1">#REF!</definedName>
    <definedName name="BOEC6B3D1B408C4BEA9A1E84D8EDF0F1D8" hidden="1">#REF!</definedName>
    <definedName name="BOEC9B5B1AD36D4F2AA7A07F0BDCAA69E4" hidden="1">#REF!</definedName>
    <definedName name="BOECDF813F5B044D3090546B36A2795F21" hidden="1">#REF!</definedName>
    <definedName name="BOECF8FF9A3492427BA40FF8CA6171F72D" hidden="1">#REF!</definedName>
    <definedName name="BOED05B2F2B9E94F6187B09D58E9239D88" hidden="1">#REF!</definedName>
    <definedName name="BOED1EA8F825644ABA99CA16B474D79E3E" hidden="1">#REF!</definedName>
    <definedName name="BOED562F54123C431F9027C5E4DD931301" hidden="1">#REF!</definedName>
    <definedName name="BOED90211738DC45B88535CD01C1135A78" hidden="1">#REF!</definedName>
    <definedName name="BOED9EE50BAF774E2AA4A7596663A49FC4" hidden="1">#REF!</definedName>
    <definedName name="BOEDA36C9CE4FA4581A52255AF23DB93A0" hidden="1">#REF!</definedName>
    <definedName name="BOEDB3BA53AFC3453DB990331E0B5780A0" hidden="1">#REF!</definedName>
    <definedName name="BOEDBABC0C059545189DC8E8F1C8E61166" hidden="1">#REF!</definedName>
    <definedName name="BOEDE32FE5EB604C1F930D99BA4C3B57D5" hidden="1">#REF!</definedName>
    <definedName name="BOEDE768E044204D4896FC83EA9E0DED28" hidden="1">#REF!</definedName>
    <definedName name="BOEDF260BEC9454C2AAB8653DAA455274C" hidden="1">#REF!</definedName>
    <definedName name="BOEDFE33E509F943EB8068C63B6FBA2CD7" hidden="1">#REF!</definedName>
    <definedName name="BOEE0353DEA87047D1BC8BA1A10AA66E19" hidden="1">#REF!</definedName>
    <definedName name="BOEE89452115254AA5AD1B4A4D53F5D207" hidden="1">#REF!</definedName>
    <definedName name="BOEEACC20B9FE44B1AA33590292E5D0028" hidden="1">#REF!</definedName>
    <definedName name="BOEEDA0B6B46114ED382263C8C9D55A945" hidden="1">#REF!</definedName>
    <definedName name="BOEEE402F4521E4129B8F3DAFD319B8DE9" hidden="1">#REF!</definedName>
    <definedName name="BOEF3940E6E677491BAE23FF17364EF17E" hidden="1">#REF!</definedName>
    <definedName name="BOEF406C0827AE4CBCAA017E0C0DCC3DED" hidden="1">#REF!</definedName>
    <definedName name="BOEF56D01AD3D14C099D494FBC502954D5" hidden="1">#REF!</definedName>
    <definedName name="BOEF7322C278CF4E74A4F50631FF61E1A4" hidden="1">#REF!</definedName>
    <definedName name="BOEFBD1451554C46C5B09F0AEEE7170DBE" hidden="1">#REF!</definedName>
    <definedName name="BOEFC38C6084D4401087A1495EDEB30DD0" hidden="1">#REF!</definedName>
    <definedName name="BOEFED11C55B7D42F0BA74E1AC52FFFCB6" hidden="1">#REF!</definedName>
    <definedName name="BOEFFA9E855A8D4352994E68849AF48905" hidden="1">#REF!</definedName>
    <definedName name="BOF0100A92ADA14111A38DCB300766F521" hidden="1">#REF!</definedName>
    <definedName name="BOF01838A6DDBE45D4B2B655AAD88D5B0E" hidden="1">#REF!</definedName>
    <definedName name="BOF02333F78A05422AA5A1F733A8834CD6" hidden="1">#REF!</definedName>
    <definedName name="BOF05E6310E06849798562BB8BD53C4F28" hidden="1">#REF!</definedName>
    <definedName name="BOF05FFF3AC94B4E36925B5EDAAC8C1C53" hidden="1">#REF!</definedName>
    <definedName name="BOF0905563093845A997A50AF692884153" hidden="1">#REF!</definedName>
    <definedName name="BOF0A825745E464D13A54ABA20B609B9E8" hidden="1">#REF!</definedName>
    <definedName name="BOF0C59731D4AE4017B5B4169F3C9AA2A6" hidden="1">#REF!</definedName>
    <definedName name="BOF0CBC11E611C46CAA732EB2558A413AB" hidden="1">#REF!</definedName>
    <definedName name="BOF0D4EF18741047F1B1043984130F0FA6" hidden="1">#REF!</definedName>
    <definedName name="BOF0DBB60FBA7B487483C6404113C66C6E" hidden="1">#REF!</definedName>
    <definedName name="BOF0E3743744E240A992B06E29FA68C50A" hidden="1">#REF!</definedName>
    <definedName name="BOF0E6E6B0E78C42E08BE2CDEA8CF44D78" hidden="1">#REF!</definedName>
    <definedName name="BOF109CEBDEEAC441FA6E936017139B088" hidden="1">#REF!</definedName>
    <definedName name="BOF15E20C21B1C4680B293AE7291F7DD0F" hidden="1">#REF!</definedName>
    <definedName name="BOF1ABC4FD00E64BA58CFF06D348B0C5C3" hidden="1">#REF!</definedName>
    <definedName name="BOF1AEBC9A7BD44233A1943849C28C4FEC" hidden="1">#REF!</definedName>
    <definedName name="BOF1B8AD00099048A2A8AEC0999BE156F5" hidden="1">#REF!</definedName>
    <definedName name="BOF20CCB7468C540F09F18FAB754EC370F" hidden="1">#REF!</definedName>
    <definedName name="BOF23D7E5217A24026827BA1D213504D2A" hidden="1">#REF!</definedName>
    <definedName name="BOF24947DB82D64635840A8DB5866B51FD" hidden="1">#REF!</definedName>
    <definedName name="BOF27712BD4E094407ACB4899BA5C49295" hidden="1">#REF!</definedName>
    <definedName name="BOF28675E81D624568B83E5006EE4DAB41" hidden="1">#REF!</definedName>
    <definedName name="BOF287C0DE87E04A9FA22B2ECD2F94C614" hidden="1">#REF!</definedName>
    <definedName name="BOF2E4E26EFA1B45A6B451A32AF9340BA2" hidden="1">#REF!</definedName>
    <definedName name="BOF2E9D408E0CE4BE8BFEABB6B73934CC2" hidden="1">#REF!</definedName>
    <definedName name="BOF2EBB03F32CB43D982795A06A0CE7F14" hidden="1">#REF!</definedName>
    <definedName name="BOF2ED9B84F0014707AE8E96E655EA83CB" hidden="1">#REF!</definedName>
    <definedName name="BOF2FF48AA091D4BA99B50E6B5AC55A3E5" hidden="1">#REF!</definedName>
    <definedName name="BOF33D6B6D93C74BB18FE3D6E0FF794B23" hidden="1">#REF!</definedName>
    <definedName name="BOF36997466DCA419EB5BB546C26585165" hidden="1">#REF!</definedName>
    <definedName name="BOF36B04952D7E494D8982DF32678ED517" hidden="1">#REF!</definedName>
    <definedName name="BOF37F793DBD86486CB8F124C4A5B4790A" hidden="1">#REF!</definedName>
    <definedName name="BOF3A90882C3F646AC8E52826DE77B4F42" hidden="1">#REF!</definedName>
    <definedName name="BOF3C2FA67E9714243A6A0E31921FBEEBC" hidden="1">#REF!</definedName>
    <definedName name="BOF3E50E227A544F7F8427DB69807893E0" hidden="1">#REF!</definedName>
    <definedName name="BOF3F8EC36F0584B21B040E4FAE9B8810F" hidden="1">#REF!</definedName>
    <definedName name="BOF40B8D5DE4EF48C8A142F2738685DF4E" hidden="1">#REF!</definedName>
    <definedName name="BOF4CCF65C0AB248CE8B3EBF1FF477CB5C" hidden="1">#REF!</definedName>
    <definedName name="BOF4E734F5E0B346399B3F74EDDE1364EA" hidden="1">#REF!</definedName>
    <definedName name="BOF4F541C0A6C94B61A4CE373A6C565169" hidden="1">#REF!</definedName>
    <definedName name="BOF51A52841A654E94BE5B17633A966825" hidden="1">#REF!</definedName>
    <definedName name="BOF53CCAFB02904DA4AF21417141E6C458" hidden="1">#REF!</definedName>
    <definedName name="BOF5497173AE06489E9550275FB325A5AD" hidden="1">#REF!</definedName>
    <definedName name="BOF55CF31ECD7A406CA38DE801694F8552" hidden="1">#REF!</definedName>
    <definedName name="BOF5631028159044D78779C45CA65FC43B" hidden="1">#REF!</definedName>
    <definedName name="BOF585D8968C854C30B591C88227EDB648" hidden="1">#REF!</definedName>
    <definedName name="BOF5AEE545461542C7A1A82997EB41AB35" hidden="1">#REF!</definedName>
    <definedName name="BOF5CB44B1A6E44FDC89B7F2976A7CE3A8" hidden="1">#REF!</definedName>
    <definedName name="BOF5DC32DE31BD4B50B0267F468F4E4CB0" hidden="1">#REF!</definedName>
    <definedName name="BOF604F32E6DAC49BBA3716C381BEBAB3A" hidden="1">#REF!</definedName>
    <definedName name="BOF611A9E8BB0F49E497EFF27831772058" hidden="1">#REF!</definedName>
    <definedName name="BOF63D3B4EB0E544EFA271FEA8860AC25D" hidden="1">#REF!</definedName>
    <definedName name="BOF669A2D2BA994424B1F5A8AC117A55CA" hidden="1">#REF!</definedName>
    <definedName name="BOF66F23777B7C431BBA70EAF3374BA9DD" hidden="1">#REF!</definedName>
    <definedName name="BOF67F5AA185884F23B340D90B4494144F" hidden="1">#REF!</definedName>
    <definedName name="BOF687F176C001453A8BDD5BE28067C5E9" hidden="1">#REF!</definedName>
    <definedName name="BOF6AE8BD0902148AA869657E40D971E11" hidden="1">#REF!</definedName>
    <definedName name="BOF6C435831C884A2B958ECF1499C5AE81" hidden="1">#REF!</definedName>
    <definedName name="BOF6C9B9EED16443ED8CB7FF99A5DBCC26" hidden="1">#REF!</definedName>
    <definedName name="BOF6CDA264C92D4DF2907EB1622B5003D6" hidden="1">#REF!</definedName>
    <definedName name="BOF708D1281373454597A1A056AB3A3531" hidden="1">#REF!</definedName>
    <definedName name="BOF72B7E5688A24599B26396DA1025418E" hidden="1">#REF!</definedName>
    <definedName name="BOF75BD264DBB04172906E6710FDC5CE9B" hidden="1">#REF!</definedName>
    <definedName name="BOF770BE81EB0647A29E9CE4D634384356" hidden="1">#REF!</definedName>
    <definedName name="BOF77B331BE93848B7BCD11717BB266D2A" hidden="1">#REF!</definedName>
    <definedName name="BOF7976E88AE214F67B9CBB47608F7DDA9" hidden="1">#REF!</definedName>
    <definedName name="BOF79C8057618541DB900AC860DEA92122" hidden="1">#REF!</definedName>
    <definedName name="BOF7B5D1FBB8764A4FB0220E77B2881D62" hidden="1">#REF!</definedName>
    <definedName name="BOF7B5FA1754E0413AAFB010856810A5BA" hidden="1">#REF!</definedName>
    <definedName name="BOF7C0B15686234EACBE0FB09FC35AFFF4" hidden="1">#REF!</definedName>
    <definedName name="BOF7CF94FFA36A46ACB0FCB81905FBD824" hidden="1">#REF!</definedName>
    <definedName name="BOF83559FBC7D04204ADB4B6AED114EAF7" hidden="1">#REF!</definedName>
    <definedName name="BOF835CA3093464BB98CC8821172B1F91C" hidden="1">#REF!</definedName>
    <definedName name="BOF85E6CCF6A57462A8CA36AA9540D141F" hidden="1">#REF!</definedName>
    <definedName name="BOF861024EEF514C6389B851E8D3982275" hidden="1">#REF!</definedName>
    <definedName name="BOF86B41F85B3F42E4B7EFE1B2C2199C1B" hidden="1">#REF!</definedName>
    <definedName name="BOF87E495A74FB4EFAB3F46E6715C2B04E" hidden="1">#REF!</definedName>
    <definedName name="BOF8B846D7E8B34D05B384F863E85A28E5" hidden="1">#REF!</definedName>
    <definedName name="BOF8E521594CB6424A882EA938563567D8" hidden="1">#REF!</definedName>
    <definedName name="BOF8F113671AB242A0A31C324D25132756" hidden="1">#REF!</definedName>
    <definedName name="BOF90C081FC31448DE8B5AE57F93E88D5A" hidden="1">#REF!</definedName>
    <definedName name="BOF9376400C8CF4FCD85B320E7EAD04A94" hidden="1">#REF!</definedName>
    <definedName name="BOF9495CF6160944879E041E0D38789F50" hidden="1">#REF!</definedName>
    <definedName name="BOF9509C2000054150B4B30DF7C43A4A51" hidden="1">#REF!</definedName>
    <definedName name="BOF96D6F15B6C64D5C8030DD9389EA8255" hidden="1">#REF!</definedName>
    <definedName name="BOF976143D93AF4A00A035132360605823" hidden="1">#REF!</definedName>
    <definedName name="BOF97FF29AFA964EB4A7194CFD2D06893A" hidden="1">#REF!</definedName>
    <definedName name="BOF982D863C97441DE8C3A59719A3F7A1C" hidden="1">#REF!</definedName>
    <definedName name="BOF991385FBFDD4DD7AD5E7F1640C78BB8" hidden="1">#REF!</definedName>
    <definedName name="BOF9958D4FBFBF40E68FCC6DC7A805A18F" hidden="1">#REF!</definedName>
    <definedName name="BOF9A745490A1F4A0695067659AAAB07E4" hidden="1">#REF!</definedName>
    <definedName name="BOF9CCA466DDE34243A28BEC11EA7696FC" hidden="1">#REF!</definedName>
    <definedName name="BOF9D0F7B0FC8745ADA15A7F51ACA86046" hidden="1">#REF!</definedName>
    <definedName name="BOF9E3ACA774784CC185178823C21D0683" hidden="1">#REF!</definedName>
    <definedName name="BOF9E4F58BD63540A68A019559C64FCADD" hidden="1">#REF!</definedName>
    <definedName name="BOF9F15082364A4134B98686203548E9D2" hidden="1">#REF!</definedName>
    <definedName name="BOF9F2E505E437475E8029DC8D894C88D9" hidden="1">#REF!</definedName>
    <definedName name="BOF9F503D5C8DC4F159CA92378C6C2F165" hidden="1">#REF!</definedName>
    <definedName name="BOFA14A2D8CB234719B612B2CD55B5C9B9" hidden="1">#REF!</definedName>
    <definedName name="BOFA189D6399D741059121AB58C4681E1B" hidden="1">#REF!</definedName>
    <definedName name="BOFA2EA8565515456BB492A0487B3028BB" hidden="1">#REF!</definedName>
    <definedName name="BOFA2F87762DFD484D94075FC95CB64240" hidden="1">#REF!</definedName>
    <definedName name="BOFA6FBCF148F348859DF1A84441CCBAE5" hidden="1">#REF!</definedName>
    <definedName name="BOFA864009E0984036BEA4C678AD54A99F" hidden="1">#REF!</definedName>
    <definedName name="BOFAABE7614B284661B98C71FC73AF5357" hidden="1">#REF!</definedName>
    <definedName name="BOFAC709B4C59A409D8062E376F00BEAEB" hidden="1">#REF!</definedName>
    <definedName name="BOFAD762ED2D514C759268845816353004" hidden="1">#REF!</definedName>
    <definedName name="BOFB1C41C30B6E4FDDB1D2E412168345EA" hidden="1">#REF!</definedName>
    <definedName name="BOFB336458987A4A00A14567345C5A3BC3" hidden="1">#REF!</definedName>
    <definedName name="BOFB68B3AB13A949D6B91D57867C55ACBD" hidden="1">#REF!</definedName>
    <definedName name="BOFB8FF5299BAC4A3980A0C9D97B2C2A8F" hidden="1">#REF!</definedName>
    <definedName name="BOFBD1BBF7BCC14007A52AFA1AC14DFD90" hidden="1">#REF!</definedName>
    <definedName name="BOFC008101E26942739BCE45A22FDC1809" hidden="1">#REF!</definedName>
    <definedName name="BOFC101594CCBD46F69B92FD32FB5B2967" hidden="1">#REF!</definedName>
    <definedName name="BOFC3CE9B777E942BF8427BC366D3B0A70" hidden="1">#REF!</definedName>
    <definedName name="BOFC5BF5B340284577A6C0DA03F1824FF8" hidden="1">#REF!</definedName>
    <definedName name="BOFC691235AADD4AF99E5F69CD249F2546" hidden="1">#REF!</definedName>
    <definedName name="BOFC779837E3E04A1985835E5DF253266E" hidden="1">#REF!</definedName>
    <definedName name="BOFC9287FB937E45768ACB07545CEEA2D9" hidden="1">#REF!</definedName>
    <definedName name="BOFCAD2E401667477E9D464FB1AA22C096" hidden="1">#REF!</definedName>
    <definedName name="BOFCB243D312254A6495E9987C2B550B68" hidden="1">#REF!</definedName>
    <definedName name="BOFCBD10D75B584C3B8A3E8226942B145A" hidden="1">#REF!</definedName>
    <definedName name="BOFCED67DF69DE4476812BDAF010897053" hidden="1">#REF!</definedName>
    <definedName name="BOFCF51C93505B48AC82B9911B1E5E5C72" hidden="1">#REF!</definedName>
    <definedName name="BOFD09022DAC094A40B6A03F0E06944AFA" hidden="1">#REF!</definedName>
    <definedName name="BOFD529BCDFD5B4DC1A3A3F2BB939D10F7" hidden="1">#REF!</definedName>
    <definedName name="BOFD8DF3176E384B91BF0EC93EA8ADD67B" hidden="1">#REF!</definedName>
    <definedName name="BOFE0305390B704C48BA2EC4A05D8EC976" hidden="1">#REF!</definedName>
    <definedName name="BOFE0FFADB41B0470093CD34743DAA5984" hidden="1">#REF!</definedName>
    <definedName name="BOFE2E98B7B96147599125BD16B196EA9A" hidden="1">#REF!</definedName>
    <definedName name="BOFE80B2BAD5AA490FB1090A0F5A6B2D3E" hidden="1">#REF!</definedName>
    <definedName name="BOFEA5122D1E64440F99EE2A3A11DF2E00" hidden="1">#REF!</definedName>
    <definedName name="BOFEA6BEA308954340BEC08D6EE88D6232" hidden="1">#REF!</definedName>
    <definedName name="BOFEBB355536364ED8B2C1BF3DA875F9C0" hidden="1">#REF!</definedName>
    <definedName name="BOFEEA8528210641EAAB5BD7AF7B5A478A" hidden="1">#REF!</definedName>
    <definedName name="BOFEEC3A32A9914EA8B78F465349332185" hidden="1">#REF!</definedName>
    <definedName name="BOFF2E1E2C77F74388A8E5E3760D657FFD" hidden="1">#REF!</definedName>
    <definedName name="BOFF3F97E7FAA347979ACC7B2E0F8F09D1" hidden="1">#REF!</definedName>
    <definedName name="BOFF4D952AA1C249788BD8E15A5BF80074" hidden="1">#REF!</definedName>
    <definedName name="BOFF5544F0476F470FA140C6EE947E013F" hidden="1">#REF!</definedName>
    <definedName name="BOFF61E3DC87BE4E8894E44CFB42BEB0B5" hidden="1">#REF!</definedName>
    <definedName name="BOFF7CC3ACE061481A91BF100123E466EF" hidden="1">#REF!</definedName>
    <definedName name="BOFFC6A738E872423F9F535B7F1AC62C55" hidden="1">#REF!</definedName>
    <definedName name="BOFFD8B225E60E4EF78F585F6FA950656C" hidden="1">#REF!</definedName>
    <definedName name="boonthak" hidden="1">{"'ตัวอย่าง'!$A$1:$O$21"}</definedName>
    <definedName name="caccccc" hidden="1">{"'Sheet1'!$L$16"}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talogue_xls">#REF!</definedName>
    <definedName name="ccc" hidden="1">{"PRINT_EST",#N/A,FALSE,"ESTMON"}</definedName>
    <definedName name="CCÑCangdung10.2" hidden="1">{"'Sheet1'!$L$16"}</definedName>
    <definedName name="Chart3" hidden="1">{"'Sheet1'!$L$16"}</definedName>
    <definedName name="Chiphi" hidden="1">{"'Sheet1'!$L$16"}</definedName>
    <definedName name="CIQWBGuid" hidden="1">"31f98984-787e-48fc-adc8-ee1c3151ce60"</definedName>
    <definedName name="Code" hidden="1">#REF!</definedName>
    <definedName name="CompanyCode">#REF!</definedName>
    <definedName name="Contractingdiv">#REF!</definedName>
    <definedName name="corporate_affairs">#REF!</definedName>
    <definedName name="cotid">[1]DSid!$D:$E</definedName>
    <definedName name="cotnh">[1]dstinhNH!$B:$B</definedName>
    <definedName name="cottinh">[1]dstinhNH!$A:$A</definedName>
    <definedName name="CP" hidden="1">{"'Sheet1'!$L$16"}</definedName>
    <definedName name="CT" hidden="1">{#N/A,#N/A,TRUE,"BT M200 da 10x20"}</definedName>
    <definedName name="CTY">'[2]0.CTY'!$D:$D</definedName>
    <definedName name="d" hidden="1">#REF!</definedName>
    <definedName name="da" hidden="1">{"'Sheet1'!$L$16"}</definedName>
    <definedName name="Data.Dump" hidden="1">OFFSET(#REF!,1,0)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7" hidden="1">#REF!</definedName>
    <definedName name="Data_Values">#REF!</definedName>
    <definedName name="data1" hidden="1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 hidden="1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 hidden="1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_xlnm.Database">#REF!</definedName>
    <definedName name="Database.File" hidden="1">#REF!</definedName>
    <definedName name="Date_of_separation">#REF!</definedName>
    <definedName name="d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d" hidden="1">{"'Sheet1'!$L$16"}</definedName>
    <definedName name="del" hidden="1">{"level1",#N/A,FALSE,"1_LEV";"LEVEL1",#N/A,FALSE,"1_LEV"}</definedName>
    <definedName name="DenDK" hidden="1">{"'Sheet1'!$L$16"}</definedName>
    <definedName name="DeptCode">#REF!</definedName>
    <definedName name="deryhrfm" hidden="1">{"'Sheet1'!$L$16"}</definedName>
    <definedName name="detail" hidden="1">{"index",#N/A,FALSE,"INDEX"}</definedName>
    <definedName name="df" hidden="1">#REF!</definedName>
    <definedName name="dfdsfsdfds" hidden="1">{"HK PR",#N/A,FALSE,"HK";"SUMMARY",#N/A,FALSE,"PAYROLL";"SUMMARY",#N/A,FALSE,"PAYROLL";"HK PR",#N/A,FALSE,"HK"}</definedName>
    <definedName name="dfsd" hidden="1">{"HK PR",#N/A,FALSE,"HK";"SUMMARY",#N/A,FALSE,"PAYROLL";"SUMMARY",#N/A,FALSE,"PAYROLL";"HK PR",#N/A,FALSE,"HK"}</definedName>
    <definedName name="dfsdfsdf" hidden="1">{"HK PR",#N/A,FALSE,"HK";"SUMMARY",#N/A,FALSE,"PAYROLL";"SUMMARY",#N/A,FALSE,"PAYROLL";"HK PR",#N/A,FALSE,"HK"}</definedName>
    <definedName name="dfsdsd" hidden="1">{"HK PR",#N/A,FALSE,"HK";"SUMMARY",#N/A,FALSE,"PAYROLL";"SUMMARY",#N/A,FALSE,"PAYROLL";"HK PR",#N/A,FALSE,"HK"}</definedName>
    <definedName name="DGFDGJEROYTMHTRH" hidden="1">{#N/A,#N/A,TRUE,"BT M200 da 10x20"}</definedName>
    <definedName name="Discount" hidden="1">#REF!</definedName>
    <definedName name="display_area_2" hidden="1">#REF!</definedName>
    <definedName name="DivisionCode">#REF!</definedName>
    <definedName name="djt" hidden="1">{"'Sheet1'!$L$16"}</definedName>
    <definedName name="DN" hidden="1">#REF!</definedName>
    <definedName name="dow">#REF!</definedName>
    <definedName name="ds\" hidden="1">#REF!</definedName>
    <definedName name="dsad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d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NH">[1]dstinhNH!$B$1</definedName>
    <definedName name="dsovd" hidden="1">{"'Sheet1'!$L$16"}</definedName>
    <definedName name="dstinh">[1]dstinhNH!$A$1</definedName>
    <definedName name="DT">#REF!</definedName>
    <definedName name="DWPRICE" hidden="1">#REF!</definedName>
    <definedName name="eee" hidden="1">{"revsale",#N/A,FALSE,"REV-ยุพดี"}</definedName>
    <definedName name="ERP">#REF!</definedName>
    <definedName name="EVOLUTION_DES_ROI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we" hidden="1">{"'ตัวอย่าง'!$A$1:$O$21"}</definedName>
    <definedName name="Excise">#REF!</definedName>
    <definedName name="Expectations">#REF!</definedName>
    <definedName name="EXPORT_รายหน่วยงาน" hidden="1">{"'ตัวอย่าง'!$A$1:$O$21"}</definedName>
    <definedName name="FCode" hidden="1">#REF!</definedName>
    <definedName name="fdfdf" hidden="1">{"HK PR",#N/A,FALSE,"HK";"SUMMARY",#N/A,FALSE,"PAYROLL";"SUMMARY",#N/A,FALSE,"PAYROLL";"HK PR",#N/A,FALSE,"HK"}</definedName>
    <definedName name="fdg">#REF!</definedName>
    <definedName name="ff" hidden="1">{"'ตัวอย่าง'!$A$1:$O$21"}</definedName>
    <definedName name="ffff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gafg" hidden="1">#REF!</definedName>
    <definedName name="fgfgfgfg" hidden="1">#REF!</definedName>
    <definedName name="fggdfg" hidden="1">{"HK PR",#N/A,FALSE,"HK";"SUMMARY",#N/A,FALSE,"PAYROLL";"SUMMARY",#N/A,FALSE,"PAYROLL";"HK PR",#N/A,FALSE,"HK"}</definedName>
    <definedName name="FiCo" hidden="1">#REF!</definedName>
    <definedName name="File.Type" hidden="1">#REF!</definedName>
    <definedName name="Finanacialsys">#REF!</definedName>
    <definedName name="Financialsys">#REF!</definedName>
    <definedName name="FOREVER" hidden="1">{#N/A,#N/A,FALSE,"Chi tiÆt"}</definedName>
    <definedName name="fre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sdfdsf" hidden="1">{"HK PR",#N/A,FALSE,"HK";"SUMMARY",#N/A,FALSE,"PAYROLL";"SUMMARY",#N/A,FALSE,"PAYROLL";"HK PR",#N/A,FALSE,"HK"}</definedName>
    <definedName name="gg" hidden="1">{"'ตัวอย่าง'!$A$1:$O$21"}</definedName>
    <definedName name="gh" hidden="1">{"revsale",#N/A,FALSE,"REV-ยุพดี"}</definedName>
    <definedName name="ghdfgdf" hidden="1">{"HK PR",#N/A,FALSE,"HK";"SUMMARY",#N/A,FALSE,"PAYROLL";"SUMMARY",#N/A,FALSE,"PAYROLL";"HK PR",#N/A,FALSE,"HK"}</definedName>
    <definedName name="GHF" hidden="1">{#N/A,#N/A,FALSE,"sum";#N/A,#N/A,FALSE,"MARTV";#N/A,#N/A,FALSE,"APRTV"}</definedName>
    <definedName name="GJVIF" hidden="1">{"Profit",#N/A,FALSE,"4500(12)";"Capital",#N/A,FALSE,"4500(12)";"Profit",#N/A,FALSE,"Cisco4000";"Capital",#N/A,FALSE,"Cisco4000"}</definedName>
    <definedName name="gnfg" hidden="1">{"HK PR",#N/A,FALSE,"HK";"SUMMARY",#N/A,FALSE,"PAYROLL";"SUMMARY",#N/A,FALSE,"PAYROLL";"HK PR",#N/A,FALSE,"HK"}</definedName>
    <definedName name="group_matters">#REF!</definedName>
    <definedName name="GTM" hidden="1">{"'Sheet1'!$L$16"}</definedName>
    <definedName name="h" hidden="1">{"'Sheet1'!$L$16"}</definedName>
    <definedName name="ha" hidden="1">{"Reader",#N/A,FALSE,"Summary";"Reader",#N/A,FALSE,"Buildup";"Reader",#N/A,FALSE,"Financials";"Reader",#N/A,FALSE,"Debt &amp; Other"}</definedName>
    <definedName name="hanh" hidden="1">{"'Sheet1'!$L$16"}</definedName>
    <definedName name="hbbbbbb" hidden="1">{"'Sheet1'!$L$16"}</definedName>
    <definedName name="hfgdas" hidden="1">#REF!</definedName>
    <definedName name="hghghg" hidden="1">{"HK PR",#N/A,FALSE,"HK";"SUMMARY",#N/A,FALSE,"PAYROLL";"SUMMARY",#N/A,FALSE,"PAYROLL";"HK PR",#N/A,FALSE,"HK"}</definedName>
    <definedName name="hghghghg" hidden="1">{"'Sheet1'!$L$16"}</definedName>
    <definedName name="hh" hidden="1">{"'Sheet1'!$L$16"}</definedName>
    <definedName name="hhh" hidden="1">{"'Sheet1'!$L$16"}</definedName>
    <definedName name="hhhh" hidden="1">{"'Sheet1'!$L$16"}</definedName>
    <definedName name="hhhhh" hidden="1">{"'Sheet1'!$L$16"}</definedName>
    <definedName name="hhhhhh" hidden="1">{"'Sheet1'!$L$16"}</definedName>
    <definedName name="HiddenRows" hidden="1">#REF!</definedName>
    <definedName name="HIEU" hidden="1">{"'Sheet1'!$L$16"}</definedName>
    <definedName name="hjjkl" hidden="1">{"'Sheet1'!$L$16"}</definedName>
    <definedName name="HK" hidden="1">{"Reader",#N/A,FALSE,"Summary";"Reader",#N/A,FALSE,"Buildup";"Reader",#N/A,FALSE,"Financials";"Reader",#N/A,FALSE,"Debt &amp; Other"}</definedName>
    <definedName name="hka" hidden="1">{"Reader",#N/A,FALSE,"Summary";"Reader",#N/A,FALSE,"Buildup";"Reader",#N/A,FALSE,"Financials";"Reader",#N/A,FALSE,"Debt &amp; Other"}</definedName>
    <definedName name="hp" hidden="1">{"Reader",#N/A,FALSE,"Summary";"Reader",#N/A,FALSE,"Buildup";"Reader",#N/A,FALSE,"Financials";"Reader",#N/A,FALSE,"Debt &amp; Other"}</definedName>
    <definedName name="htg" hidden="1">{#N/A,#N/A,TRUE,"BT M200 da 10x20"}</definedName>
    <definedName name="html" hidden="1">{"'Sheet1'!$L$16"}</definedName>
    <definedName name="HTML_CodePage" hidden="1">950</definedName>
    <definedName name="HTML_Control" hidden="1">{"'Sheet1'!$L$16"}</definedName>
    <definedName name="HTML_Control1" hidden="1">{"'Model'!$A$1:$N$53"}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"C:\2689\Q\??\00q3961????PTA3??\MyHTML.htm"</definedName>
    <definedName name="HTML_Title" hidden="1">"00Q3961-SUM"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htmll" hidden="1">{"'Sheet1'!$L$16"}</definedName>
    <definedName name="huong" hidden="1">{"HK PR",#N/A,FALSE,"HK";"SUMMARY",#N/A,FALSE,"PAYROLL";"SUMMARY",#N/A,FALSE,"PAYROLL";"HK PR",#N/A,FALSE,"HK"}</definedName>
    <definedName name="huongu" hidden="1">{"HK PR",#N/A,FALSE,"HK";"SUMMARY",#N/A,FALSE,"PAYROLL";"SUMMARY",#N/A,FALSE,"PAYROLL";"HK PR",#N/A,FALSE,"HK"}</definedName>
    <definedName name="huy" hidden="1">{"'Sheet1'!$L$16"}</definedName>
    <definedName name="huyy" hidden="1">{"'Sheet1'!$L$16"}</definedName>
    <definedName name="huyyy" hidden="1">{"'Sheet1'!$L$16"}</definedName>
    <definedName name="IdcotNH">[1]DSid!$A:$A</definedName>
    <definedName name="IdTenCN">[1]DSid!$C$1</definedName>
    <definedName name="IdTtinh">[1]DSid!$B$1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Mpact">#REF!</definedName>
    <definedName name="in" hidden="1">#REF!</definedName>
    <definedName name="INCOME_TAX">#REF!</definedName>
    <definedName name="info2" hidden="1">{"level1",#N/A,FALSE,"1_LEV";"LEVEL1",#N/A,FALSE,"1_LEV"}</definedName>
    <definedName name="Internalaudit">#REF!</definedName>
    <definedName name="IntroPrintArea" hidden="1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"c360"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"c373"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"02/13/2012 06:38:23"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"c362"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"c1026"</definedName>
    <definedName name="IQ_PRICE_OVER_LTM_EPS" hidden="1">"c1029"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39258.6779861111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" hidden="1">{"HK PR",#N/A,FALSE,"HK";"SUMMARY",#N/A,FALSE,"PAYROLL";"SUMMARY",#N/A,FALSE,"PAYROLL";"HK PR",#N/A,FALSE,"HK"}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j" hidden="1">{"'Sheet1'!$L$16"}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obTileCode">#REF!</definedName>
    <definedName name="ju" hidden="1">{"'Sheet1'!$L$16"}</definedName>
    <definedName name="K" hidden="1">{"'Sheet1'!$L$16"}</definedName>
    <definedName name="KH">#REF!</definedName>
    <definedName name="kk" hidden="1">#REF!</definedName>
    <definedName name="KU" hidden="1">{"'Sheet1'!$L$16"}</definedName>
    <definedName name="kyd.ChngCell.01." hidden="1">#REF!</definedName>
    <definedName name="kyd.CounterLimitCell.01." hidden="1">"x"</definedName>
    <definedName name="kyd.Dim.01." hidden="1">"UNISONUS:M-2003"</definedName>
    <definedName name="kyd.ElementList.01." hidden="1">#REF!</definedName>
    <definedName name="kyd.ElementType.01." hidden="1">3</definedName>
    <definedName name="kyd.ItemType.01." hidden="1">2</definedName>
    <definedName name="kyd.NumLevels.01." hidden="1">1</definedName>
    <definedName name="kyd.ParentName.01." hidden="1">""</definedName>
    <definedName name="kyd.PrintParent.01." hidden="1">TRUE</definedName>
    <definedName name="kyd.SelectString.01." hidden="1">"*"</definedName>
    <definedName name="LABOR_TAX" hidden="1">#REF!</definedName>
    <definedName name="Lai" hidden="1">{"'Sheet1'!$L$16"}</definedName>
    <definedName name="LAM" hidden="1">{#N/A,#N/A,TRUE,"BT M200 da 10x20"}</definedName>
    <definedName name="lan" hidden="1">{#N/A,#N/A,TRUE,"BT M200 da 10x20"}</definedName>
    <definedName name="legal">#REF!</definedName>
    <definedName name="limcount" hidden="1">1</definedName>
    <definedName name="liza" hidden="1">{"level1",#N/A,FALSE,"1_LEV";"LEVEL1",#N/A,FALSE,"1_LEV"}</definedName>
    <definedName name="lll" hidden="1">{"sales",#N/A,FALSE,"SALES"}</definedName>
    <definedName name="LLLL" hidden="1">{#N/A,#N/A,FALSE,"Chi tiÆt"}</definedName>
    <definedName name="LLLLL" hidden="1">{#N/A,#N/A,FALSE,"Chi tiÆt"}</definedName>
    <definedName name="Loan" hidden="1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arc">#REF!</definedName>
    <definedName name="marce">#REF!</definedName>
    <definedName name="mco" hidden="1">{"'Sheet1'!$L$16"}</definedName>
    <definedName name="MeasureListbox">#REF!</definedName>
    <definedName name="mg" hidden="1">{#N/A,#N/A,FALSE,"Chi tiÆt"}</definedName>
    <definedName name="mnth">#REF!</definedName>
    <definedName name="mnth_tab">#REF!</definedName>
    <definedName name="moi" hidden="1">{"'Sheet1'!$L$16"}</definedName>
    <definedName name="mua" hidden="1">{"'Sheet1'!$L$16"}</definedName>
    <definedName name="n" hidden="1">{"F3 detail",#N/A,FALSE,"F1";"F3 Presentation",#N/A,FALSE,"F3 "}</definedName>
    <definedName name="neww" hidden="1">OFFSET(#REF!,1,0)</definedName>
    <definedName name="ngonngu">#REF!</definedName>
    <definedName name="nn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n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n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omination">#REF!</definedName>
    <definedName name="NotUse" hidden="1">{"'ตัวอย่าง'!$A$1:$O$21"}</definedName>
    <definedName name="NPP" hidden="1">#REF!</definedName>
    <definedName name="nwe" hidden="1">{"'Sheet1'!$L$16"}</definedName>
    <definedName name="O">#REF!</definedName>
    <definedName name="ooooo" hidden="1">{"'connew '!$C$40:$C$60"}</definedName>
    <definedName name="OrderTable" hidden="1">#REF!</definedName>
    <definedName name="orgn_issues">#REF!</definedName>
    <definedName name="OrgUnitList">#REF!</definedName>
    <definedName name="Ownership" hidden="1">OFFSET(#REF!,1,0)</definedName>
    <definedName name="p" hidden="1">{"'ตัวอย่าง'!$A$1:$O$21"}</definedName>
    <definedName name="PARTS_TAX" hidden="1">#REF!</definedName>
    <definedName name="PC_msg" hidden="1">"Yes"</definedName>
    <definedName name="pending_settlement">#REF!</definedName>
    <definedName name="Pending_Settlements___Employees_who_have_left_and_F_F_papers_are_yet_to_come_to_payroll">#REF!</definedName>
    <definedName name="PeriodListbox">#REF!</definedName>
    <definedName name="PHUONG" hidden="1">{#N/A,#N/A,TRUE,"BT M200 da 10x20"}</definedName>
    <definedName name="pis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KTN." hidden="1">{"'Sheet1'!$L$16"}</definedName>
    <definedName name="PKTNN" hidden="1">{"'Sheet1'!$L$16"}</definedName>
    <definedName name="PP" hidden="1">{"'Model'!$A$1:$N$53"}</definedName>
    <definedName name="prev_mnth">#REF!</definedName>
    <definedName name="Process">#REF!</definedName>
    <definedName name="ProdForm" hidden="1">#REF!</definedName>
    <definedName name="Product" hidden="1">#REF!</definedName>
    <definedName name="PUTA" hidden="1">{"revsale",#N/A,FALSE,"REV-ยุพดี"}</definedName>
    <definedName name="qeqe" hidden="1">{"'Sheet1'!$L$16"}</definedName>
    <definedName name="qq" hidden="1">{"'ตัวอย่าง'!$A$1:$O$21"}</definedName>
    <definedName name="qqq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RCArea" hidden="1">#REF!</definedName>
    <definedName name="rd" hidden="1">{"'ตัวอย่าง'!$A$1:$O$21"}</definedName>
    <definedName name="rfju" hidden="1">{"'Sheet1'!$L$16"}</definedName>
    <definedName name="rrer" hidden="1">{"'ตัวอย่าง'!$A$1:$O$21"}</definedName>
    <definedName name="rrrr" hidden="1">{"'ตัวอย่าง'!$A$1:$O$21"}</definedName>
    <definedName name="rter" hidden="1">{#N/A,#N/A,FALSE,"sum";#N/A,#N/A,FALSE,"MARTV";#N/A,#N/A,FALSE,"APRTV"}</definedName>
    <definedName name="ru" hidden="1">{"'Sheet1'!$L$16"}</definedName>
    <definedName name="rung" hidden="1">"sci"</definedName>
    <definedName name="S" hidden="1">{"'Sheet1'!$L$16"}</definedName>
    <definedName name="sad" hidden="1">{0}</definedName>
    <definedName name="SALES_TAX">#REF!</definedName>
    <definedName name="SANG" hidden="1">{#N/A,#N/A,FALSE,"sum";#N/A,#N/A,FALSE,"MARTV";#N/A,#N/A,FALSE,"APRTV"}</definedName>
    <definedName name="SAPBEXrevision" hidden="1">3</definedName>
    <definedName name="SAPBEXsysID" hidden="1">"EPB"</definedName>
    <definedName name="SAPBEXwbID" hidden="1">"3UK6UXLZHQ3KXE93XFRP3AZAH"</definedName>
    <definedName name="sas" hidden="1">{"'ตัวอย่าง'!$A$1:$O$21"}</definedName>
    <definedName name="SC" hidden="1">{"'Sheet1'!$L$16"}</definedName>
    <definedName name="sdadss" hidden="1">{"HK PR",#N/A,FALSE,"HK";"SUMMARY",#N/A,FALSE,"PAYROLL";"SUMMARY",#N/A,FALSE,"PAYROLL";"HK PR",#N/A,FALSE,"HK"}</definedName>
    <definedName name="sdf" hidden="1">{"'ตัวอย่าง'!$A$1:$O$21"}</definedName>
    <definedName name="sdsdasd" hidden="1">{"HK PR",#N/A,FALSE,"HK";"SUMMARY",#N/A,FALSE,"PAYROLL";"SUMMARY",#N/A,FALSE,"PAYROLL";"HK PR",#N/A,FALSE,"HK"}</definedName>
    <definedName name="sdsds" hidden="1">{"HK PR",#N/A,FALSE,"HK";"SUMMARY",#N/A,FALSE,"PAYROLL";"SUMMARY",#N/A,FALSE,"PAYROLL";"HK PR",#N/A,FALSE,"HK"}</definedName>
    <definedName name="SectionCode">#REF!</definedName>
    <definedName name="sencount" hidden="1">1</definedName>
    <definedName name="SEPFIX01" hidden="1">{"income",#N/A,FALSE,"INCOME"}</definedName>
    <definedName name="Settlement_pending_on_account_of_recovery">#REF!</definedName>
    <definedName name="sfe" hidden="1">{"'ตัวอย่าง'!$A$1:$O$21"}</definedName>
    <definedName name="sheet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ow.Acct.Update.Warning" hidden="1">#REF!</definedName>
    <definedName name="Show.MDB.Update.Warning" hidden="1">#REF!</definedName>
    <definedName name="SL" hidden="1">{"Profit",#N/A,FALSE,"Cisco4500";"Capital",#N/A,FALSE,"Cisco4500"}</definedName>
    <definedName name="SMT_Owner_1">#REF!</definedName>
    <definedName name="solver_adj" hidden="1">#REF!</definedName>
    <definedName name="solver_lhs1" hidden="1">#REF!</definedName>
    <definedName name="solver_lin" hidden="1">0</definedName>
    <definedName name="solver_num" hidden="1">1</definedName>
    <definedName name="solver_opt" hidden="1">#REF!</definedName>
    <definedName name="solver_rel1" hidden="1">1</definedName>
    <definedName name="solver_rhs1" hidden="1">0.15</definedName>
    <definedName name="solver_tmp" hidden="1">0.15</definedName>
    <definedName name="solver_typ" hidden="1">3</definedName>
    <definedName name="solver_val" hidden="1">0.25</definedName>
    <definedName name="SpecialPrice" hidden="1">#REF!</definedName>
    <definedName name="srgsaergfsergaerg" hidden="1">{"month_a",#N/A,FALSE,"ACTUALS";"ytd_a",#N/A,FALSE,"ACTUALS"}</definedName>
    <definedName name="SS" hidden="1">{"'Sheet1'!$L$16"}</definedName>
    <definedName name="ss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ssss" hidden="1">{"'ตัวอย่าง'!$A$1:$O$21"}</definedName>
    <definedName name="sssss" hidden="1">{"'ตัวอย่าง'!$A$1:$O$21"}</definedName>
    <definedName name="ssxsdcdsfcdsf" hidden="1">{"HK PR",#N/A,FALSE,"HK";"SUMMARY",#N/A,FALSE,"PAYROLL";"SUMMARY",#N/A,FALSE,"PAYROLL";"HK PR",#N/A,FALSE,"HK"}</definedName>
    <definedName name="summary">#REF!</definedName>
    <definedName name="Summary_Of_Activities__July_2000">#REF!</definedName>
    <definedName name="SuperUser" hidden="1">FALSE</definedName>
    <definedName name="t" hidden="1">{"F3 Presentation",#N/A,FALSE,"F3 ";"F3 detail",#N/A,FALSE,"F3 "}</definedName>
    <definedName name="taisan" hidden="1">{"'Sheet1'!$L$16"}</definedName>
    <definedName name="Tan" hidden="1">{"'Sheet1'!$L$16"}</definedName>
    <definedName name="tast" hidden="1">{"'connew '!$C$40:$C$60"}</definedName>
    <definedName name="tbl_ProdInfo" hidden="1">#REF!</definedName>
    <definedName name="test" hidden="1">{"'ตัวอย่าง'!$A$1:$O$21"}</definedName>
    <definedName name="test77" hidden="1">{"'ตัวอย่าง'!$A$1:$O$21"}</definedName>
    <definedName name="test8888" hidden="1">{"'ตัวอย่าง'!$A$1:$O$21"}</definedName>
    <definedName name="testa" hidden="1">{"'ตัวอย่าง'!$A$1:$O$21"}</definedName>
    <definedName name="TextRefCopyRangeCount" hidden="1">5</definedName>
    <definedName name="TH" hidden="1">{"'Sheet1'!$L$16"}</definedName>
    <definedName name="tha" hidden="1">{"'Sheet1'!$L$16"}</definedName>
    <definedName name="thanh" hidden="1">{"'Sheet1'!$L$16"}</definedName>
    <definedName name="thanhthao" hidden="1">{#N/A,#N/A,FALSE,"Chi tiÆt"}</definedName>
    <definedName name="THCP2" hidden="1">{"'Sheet1'!$L$16"}</definedName>
    <definedName name="THCPCTD" hidden="1">{"'Sheet1'!$L$16"}</definedName>
    <definedName name="Thepsan" hidden="1">{"'Sheet1'!$L$16"}</definedName>
    <definedName name="thepsan2" hidden="1">{"'Sheet1'!$L$16"}</definedName>
    <definedName name="thu" hidden="1">{"'Sheet1'!$L$16"}</definedName>
    <definedName name="TM" hidden="1">{"'Sheet1'!$L$16"}</definedName>
    <definedName name="Tonghop" hidden="1">{"'Sheet1'!$L$16"}</definedName>
    <definedName name="trygmdgdh" hidden="1">{"'Sheet1'!$L$16"}</definedName>
    <definedName name="tt" hidden="1">{"'connew '!$C$40:$C$60"}</definedName>
    <definedName name="TTE" hidden="1">{"'ตัวอย่าง'!$A$1:$O$21"}</definedName>
    <definedName name="TTSC" hidden="1">{"'Sheet1'!$L$16"}</definedName>
    <definedName name="ttt" hidden="1">{"Teacher",#N/A,FALSE,"Summary";"Teacher",#N/A,FALSE,"Assumptions";"Teacher",#N/A,FALSE,"Buildup";"Teacher",#N/A,FALSE,"Financials";"Teacher",#N/A,FALSE,"Debt &amp; Other"}</definedName>
    <definedName name="tttt" hidden="1">#REF!</definedName>
    <definedName name="ttttt" hidden="1">{"Reader",#N/A,FALSE,"Summary";"Reader",#N/A,FALSE,"Buildup";"Reader",#N/A,FALSE,"Financials";"Reader",#N/A,FALSE,"Debt &amp; Other"}</definedName>
    <definedName name="TU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uy" hidden="1">{"'Sheet1'!$L$16"}</definedName>
    <definedName name="Types" hidden="1">#REF!</definedName>
    <definedName name="UGVG" hidden="1">{#N/A,#N/A,TRUE,"BT M200 da 10x20"}</definedName>
    <definedName name="unfair_comp">#REF!</definedName>
    <definedName name="Unit_Of_Measure">#REF!</definedName>
    <definedName name="WEE" hidden="1">{"'ตัวอย่าง'!$A$1:$O$21"}</definedName>
    <definedName name="wf" hidden="1">#REF!</definedName>
    <definedName name="wqwqw" hidden="1">{"'ตัวอย่าง'!$A$1:$O$21"}</definedName>
    <definedName name="wrn.1_lev." hidden="1">{"level1",#N/A,FALSE,"1_LEV";"LEVEL1",#N/A,FALSE,"1_LEV"}</definedName>
    <definedName name="wrn.1_levbt." hidden="1">{"lev1bt",#N/A,FALSE,"1_LEVB-T"}</definedName>
    <definedName name="wrn.2_levmon." hidden="1">{"lev2mon",#N/A,FALSE,"2_levmon"}</definedName>
    <definedName name="wrn.2_levmonbt." hidden="1">{"lev2monbt",#N/A,FALSE,"2_levmonB-T"}</definedName>
    <definedName name="wrn.2_levytd." hidden="1">{"lev2ytd",#N/A,FALSE,"2_LEVYTD"}</definedName>
    <definedName name="wrn.2_levytdbt." hidden="1">{"lev2tytbt",#N/A,FALSE,"2_LEVYTDB-T"}</definedName>
    <definedName name="wrn.448k." hidden="1">{"Profit",#N/A,FALSE,"448k";"Capital",#N/A,FALSE,"448k"}</definedName>
    <definedName name="wrn.4500_4P." hidden="1">{"Profit",#N/A,FALSE,"4500(4P)";"Capital",#N/A,FALSE,"4500(4P)"}</definedName>
    <definedName name="wrn.4500_6P." hidden="1">{"Profit",#N/A,FALSE,"4500(6P)";"Capital",#N/A,FALSE,"4500(6P)"}</definedName>
    <definedName name="wrn.4500_8P." hidden="1">{"Profit",#N/A,FALSE,"4500(8P)";"Capital",#N/A,FALSE,"4500(8P)"}</definedName>
    <definedName name="wrn.ACCRUE._.PAYROLL." hidden="1">{"HK PR",#N/A,FALSE,"HK";"SUMMARY",#N/A,FALSE,"PAYROLL";"SUMMARY",#N/A,FALSE,"PAYROLL";"HK PR",#N/A,FALSE,"HK"}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LL.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QUIROR._.DCF." hidden="1">{"AQUIRORDCF",#N/A,FALSE,"Merger consequences";"Acquirorassns",#N/A,FALSE,"Merger consequences"}</definedName>
    <definedName name="wrn.ASSDEPART2.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ALANCE." hidden="1">{"balance",#N/A,FALSE,"BALANCE"}</definedName>
    <definedName name="wrn.BAOCAO." hidden="1">{#N/A,#N/A,FALSE,"sum";#N/A,#N/A,FALSE,"MARTV";#N/A,#N/A,FALSE,"APRTV"}</definedName>
    <definedName name="wrn.BidReview.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Capital." hidden="1">{"CapitalInput",#N/A,FALSE,"Equipt Input";"Capital Profile",#N/A,FALSE,"Equipt Input"}</definedName>
    <definedName name="wrn.cashflow." hidden="1">{"cashflow",#N/A,FALSE,"CASHFLOW "}</definedName>
    <definedName name="wrn.chi._.tiÆt." hidden="1">{#N/A,#N/A,FALSE,"Chi tiÆt"}</definedName>
    <definedName name="wrn.cisco2501." hidden="1">{"Profit",#N/A,FALSE,"cisco2501";"Capital",#N/A,FALSE,"cisco2501"}</definedName>
    <definedName name="wrn.cisco2501a." hidden="1">{"Profit",#N/A,FALSE,"Cisco2501a";"Capital",#N/A,FALSE,"Cisco2501a"}</definedName>
    <definedName name="wrn.cisco2514." hidden="1">{"Profit",#N/A,FALSE,"Cisco2514";"Capital",#N/A,FALSE,"Cisco2514"}</definedName>
    <definedName name="wrn.cisco4000." hidden="1">{"Profit",#N/A,FALSE,"4500(12)";"Capital",#N/A,FALSE,"4500(12)";"Profit",#N/A,FALSE,"Cisco4000";"Capital",#N/A,FALSE,"Cisco4000"}</definedName>
    <definedName name="wrn.cisco4500." hidden="1">{"Profit",#N/A,FALSE,"Cisco4500";"Capital",#N/A,FALSE,"Cisco4500"}</definedName>
    <definedName name="wrn.Cisco4500p." hidden="1">{"Profit",#N/A,FALSE,"Cisco 4500p";"Capital",#N/A,FALSE,"Cisco 4500p"}</definedName>
    <definedName name="wrn.cisco7000a." hidden="1">{"Profit",#N/A,FALSE,"Cisco7000a";"Capital",#N/A,FALSE,"Cisco7000a"}</definedName>
    <definedName name="wrn.CiscoAGS." hidden="1">{"Profit",#N/A,FALSE,"ciscoags+";"Capital",#N/A,FALSE,"ciscoags+"}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ustomPrice." hidden="1">{"PLCustom",#N/A,FALSE,"P&amp;L summary"}</definedName>
    <definedName name="wrn.DCF." hidden="1">{"DCF1",#N/A,FALSE,"SIERRA DCF";"MATRIX1",#N/A,FALSE,"SIERRA DCF"}</definedName>
    <definedName name="wrn.DCF_Terminal_Value_qchm." hidden="1">{"qchm_dcf",#N/A,FALSE,"QCHMDCF2";"qchm_terminal",#N/A,FALSE,"QCHMDCF2"}</definedName>
    <definedName name="wrn.dep12." hidden="1">{#N/A,#N/A,FALSE,"PM1";#N/A,#N/A,FALSE,"PM2";#N/A,#N/A,FALSE,"PM3";#N/A,#N/A,FALSE,"PM4";#N/A,#N/A,FALSE,"PM5";#N/A,#N/A,FALSE,"PM6";#N/A,#N/A,FALSE,"CM1"}</definedName>
    <definedName name="wrn.Depn." hidden="1">{"Depn",#N/A,TRUE,"Equipt Input"}</definedName>
    <definedName name="wrn.Economic._.Value._.Added._.Analysis." hidden="1">{"EVA",#N/A,FALSE,"EVA";"WACC",#N/A,FALSE,"WACC"}</definedName>
    <definedName name="wrn.extn_2501." hidden="1">{"Profit",#N/A,FALSE,"extn_2501";"Capital",#N/A,FALSE,"extn_2501"}</definedName>
    <definedName name="wrn.Financials.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summary." hidden="1">{"finsumm",#N/A,FALSE,"Finsumm";"graph",#N/A,FALSE,"Finsumm";"costgraph",#N/A,FALSE,"Finsumm";"costbreakdown",#N/A,FALSE,"Finsumm"}</definedName>
    <definedName name="wrn.FIX." hidden="1">{#N/A,#N/A,FALSE,"TL";#N/A,#N/A,FALSE,"KK";#N/A,#N/A,FALSE,"TS";#N/A,#N/A,FALSE,"KW";#N/A,#N/A,FALSE,"LP";#N/A,#N/A,FALSE,"DC"}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RDEPART2.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het.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ilight1." hidden="1">{"hilight1",#N/A,FALSE,"HILIGHT1"}</definedName>
    <definedName name="wrn.hilight2." hidden="1">{"hilight2",#N/A,FALSE,"HILIGHT2"}</definedName>
    <definedName name="wrn.hilight3." hidden="1">{"hilight3",#N/A,FALSE,"HILIGHT3"}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ncome." hidden="1">{"income",#N/A,FALSE,"INCOME"}</definedName>
    <definedName name="wrn.index." hidden="1">{"index",#N/A,FALSE,"INDEX"}</definedName>
    <definedName name="wrn.Inputs.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MONTH._.YTD." hidden="1">{"month_a",#N/A,FALSE,"ACTUALS";"ytd_a",#N/A,FALSE,"ACTUALS"}</definedName>
    <definedName name="wrn.MONTHLY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_.Statement." hidden="1">{#N/A,#N/A,FALSE,"Tabelle2";#N/A,#N/A,FALSE,"Tabelle1"}</definedName>
    <definedName name="wrn.NonPay." hidden="1">{"ResourceNonPay",#N/A,FALSE,"pay_non pay input";"CapMaint",#N/A,FALSE,"Equipt Input";"CurrEqptProfile",#N/A,FALSE,"Equipt Input";"Curr Eqpt Mtce",#N/A,FALSE,"Equipt Input";"Miscellaneous",#N/A,FALSE,"Misc."}</definedName>
    <definedName name="wrn.Notes." hidden="1">{#N/A,#N/A,FALSE,"Assumptions";"Basedata",#N/A,FALSE,"BASEINPUT";"Checklist",#N/A,FALSE,"BASEINPUT"}</definedName>
    <definedName name="wrn.OUTPUT." hidden="1">{"DCF","UPSIDE CASE",FALSE,"Sheet1";"DCF","BASE CASE",FALSE,"Sheet1";"DCF","DOWNSIDE CASE",FALSE,"Sheet1"}</definedName>
    <definedName name="wrn.phak." hidden="1">{#N/A,#N/A,TRUE,"Tæng hîp"}</definedName>
    <definedName name="wrn.PMDEPAER2.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rice.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nt." hidden="1">{#N/A,#N/A,FALSE,"Admin";#N/A,#N/A,FALSE,"Other"}</definedName>
    <definedName name="wrn.Reader." hidden="1">{"Reader",#N/A,FALSE,"Summary";"Reader",#N/A,FALSE,"Buildup";"Reader",#N/A,FALSE,"Financials";"Reader",#N/A,FALSE,"Debt &amp; Other"}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_EST." hidden="1">{"PRINT_EST",#N/A,FALSE,"ESTMON"}</definedName>
    <definedName name="wrn.rev_sale._.report." hidden="1">{"revsale",#N/A,FALSE,"REV-ยุพดี"}</definedName>
    <definedName name="wrn.revable." hidden="1">{"revable",#N/A,FALSE,"REVABLE"}</definedName>
    <definedName name="wrn.RLDEPART2.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sales._.report." hidden="1">{"sales",#N/A,FALSE,"SALES"}</definedName>
    <definedName name="wrn.SOCIEDAD.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ummaryReport." hidden="1">{"Header",#N/A,TRUE,"Summary";"ProjectInfo",#N/A,TRUE,"Total Value"}</definedName>
    <definedName name="wrn.TARGET._.DCF." hidden="1">{"targetdcf",#N/A,FALSE,"Merger consequences";"TARGETASSU",#N/A,FALSE,"Merger consequences";"TERMINAL VALUE",#N/A,FALSE,"Merger consequences"}</definedName>
    <definedName name="wrn.tat.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eacher." hidden="1">{"Teacher",#N/A,FALSE,"Summary";"Teacher",#N/A,FALSE,"Assumptions";"Teacher",#N/A,FALSE,"Buildup";"Teacher",#N/A,FALSE,"Financials";"Teacher",#N/A,FALSE,"Debt &amp; Other"}</definedName>
    <definedName name="wrn.test." hidden="1">{"F3 Presentation",#N/A,FALSE,"F3 ";"F3 detail",#N/A,FALSE,"F3 "}</definedName>
    <definedName name="wrn.test2." hidden="1">{"F3 detail",#N/A,FALSE,"F3 ";"F3 Presentation",#N/A,FALSE,"F3 "}</definedName>
    <definedName name="wrn.test3." hidden="1">{"F3 detail",#N/A,FALSE,"F1";"F3 Presentation",#N/A,FALSE,"F3 "}</definedName>
    <definedName name="wrn.Validation._.Report." hidden="1">{#N/A,#N/A,FALSE,"Capacity";#N/A,#N/A,FALSE,"TAAdjmts";#N/A,#N/A,FALSE,"MatlBal";#N/A,#N/A,FALSE,"YldRatio";#N/A,#N/A,FALSE,"EEICalc";#N/A,#N/A,FALSE,"YIRCalc";#N/A,#N/A,FALSE,"Prodn";#N/A,#N/A,FALSE,"OtherProducts";#N/A,#N/A,FALSE,"Quality";#N/A,#N/A,FALSE,"EnergyCheck";#N/A,#N/A,FALSE,"EnergyCost";#N/A,#N/A,FALSE,"Personnel";#N/A,#N/A,FALSE,"Pricing";#N/A,#N/A,FALSE,"MiscCalcs";#N/A,#N/A,FALSE,"OPEX";#N/A,#N/A,FALSE,"Margin";#N/A,#N/A,FALSE,"ReplVal"}</definedName>
    <definedName name="wrn.vd." hidden="1">{#N/A,#N/A,TRUE,"BT M200 da 10x20"}</definedName>
    <definedName name="WRN2.NONPAY" hidden="1">{"ResourceNonPay",#N/A,FALSE,"pay_non pay input";"CapMaint",#N/A,FALSE,"Equipt Input";"CurrEqptProfile",#N/A,FALSE,"Equipt Input";"Curr Eqpt Mtce",#N/A,FALSE,"Equipt Input";"Miscellaneous",#N/A,FALSE,"Misc."}</definedName>
    <definedName name="ww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ww" hidden="1">{"'ตัวอย่าง'!$A$1:$O$21"}</definedName>
    <definedName name="wwwewe" hidden="1">{"'ตัวอย่าง'!$A$1:$O$21"}</definedName>
    <definedName name="Xadas" hidden="1">#REF!</definedName>
    <definedName name="xdfgsg" hidden="1">{"Profit",#N/A,FALSE,"Cisco7000a";"Capital",#N/A,FALSE,"Cisco7000a"}</definedName>
    <definedName name="xkeogjana" hidden="1">{"Reader",#N/A,FALSE,"Summary";"Reader",#N/A,FALSE,"Buildup";"Reader",#N/A,FALSE,"Financials";"Reader",#N/A,FALSE,"Debt &amp; Other"}</definedName>
    <definedName name="xls" hidden="1">{"F3 detail",#N/A,FALSE,"F1";"F3 Presentation",#N/A,FALSE,"F3 "}</definedName>
    <definedName name="xx" hidden="1">#REF!</definedName>
    <definedName name="xxxx" hidden="1">{"HK PR",#N/A,FALSE,"HK";"SUMMARY",#N/A,FALSE,"PAYROLL";"SUMMARY",#N/A,FALSE,"PAYROLL";"HK PR",#N/A,FALSE,"HK"}</definedName>
    <definedName name="xxxxx" hidden="1">{"HK PR",#N/A,FALSE,"HK";"SUMMARY",#N/A,FALSE,"PAYROLL";"SUMMARY",#N/A,FALSE,"PAYROLL";"HK PR",#N/A,FALSE,"HK"}</definedName>
    <definedName name="yu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yyy">#REF!</definedName>
    <definedName name="z" hidden="1">{"'ตัวอย่าง'!$A$1:$O$21"}</definedName>
    <definedName name="Z_2AD71782_13C6_11D6_A210_0000E8DA5A4F_.wvu.FilterData" hidden="1">#REF!</definedName>
    <definedName name="Z_344D8229_C927_11D5_A210_0000E8DA5A4F_.wvu.FilterData" hidden="1">#REF!</definedName>
    <definedName name="Z_3507F3CB_00E6_11D6_A210_0000E8DA5A4F_.wvu.Cols" hidden="1">#REF!</definedName>
    <definedName name="Z_351C250E_CF83_11D5_A210_0000E8DA5A4F_.wvu.FilterData" hidden="1">#REF!</definedName>
    <definedName name="Z_446B9FEB_D1FE_11D5_A210_0000E8DA5A4F_.wvu.FilterData" hidden="1">#REF!</definedName>
    <definedName name="Z_5B0390EB_D420_11D5_A210_0000E8DA5A4F_.wvu.FilterData" hidden="1">#REF!</definedName>
    <definedName name="Z_5B0390EE_D420_11D5_A210_0000E8DA5A4F_.wvu.FilterData" hidden="1">#REF!</definedName>
    <definedName name="Z_5B0390F4_D420_11D5_A210_0000E8DA5A4F_.wvu.FilterData" hidden="1">#REF!</definedName>
    <definedName name="Z_5BF7A5D4_C926_11D5_AFB4_0000E8DA5A50_.wvu.FilterData" hidden="1">#REF!</definedName>
    <definedName name="Z_674301AC_C86E_11D5_A210_0000E8DA5A4F_.wvu.FilterData" hidden="1">#REF!</definedName>
    <definedName name="Z_674301B0_C86E_11D5_A210_0000E8DA5A4F_.wvu.FilterData" hidden="1">#REF!</definedName>
    <definedName name="Z_674301B5_C86E_11D5_A210_0000E8DA5A4F_.wvu.FilterData" hidden="1">#REF!</definedName>
    <definedName name="Z_674301B7_C86E_11D5_A210_0000E8DA5A4F_.wvu.FilterData" hidden="1">#REF!</definedName>
    <definedName name="Z_69241FD2_0E61_11D6_BC55_0000E8DD881D_.wvu.FilterData" hidden="1">#REF!</definedName>
    <definedName name="Z_6F27534C_00E4_11D6_BC55_0000E8DD881D_.wvu.FilterData" hidden="1">#REF!</definedName>
    <definedName name="Z_73AB618A_D291_11D5_9D56_000021CF477C_.wvu.FilterData" hidden="1">#REF!</definedName>
    <definedName name="Z_75DB6D8D_EA22_11D5_A210_0000E8DA5A4F_.wvu.FilterData" hidden="1">#REF!</definedName>
    <definedName name="Z_86ABA799_0F13_11D6_9259_0040953083C3_.wvu.FilterData" hidden="1">#REF!</definedName>
    <definedName name="Z_86ABA79C_0F13_11D6_9259_0040953083C3_.wvu.FilterData" hidden="1">#REF!</definedName>
    <definedName name="Z_DA6D18CB_CF6F_11D5_BC57_0000E8DD881D_.wvu.FilterData" hidden="1">#REF!</definedName>
    <definedName name="Z_DA6D18CE_CF6F_11D5_BC57_0000E8DD881D_.wvu.FilterData" hidden="1">#REF!</definedName>
    <definedName name="Z_ECD86340_00F5_11D6_9D56_000021CF477C_.wvu.Cols" hidden="1">#REF!</definedName>
    <definedName name="Z_F4AAFAEB_D28F_11D5_A210_0000E8DA5A4F_.wvu.FilterData" hidden="1">#REF!</definedName>
    <definedName name="Z_F4AAFAED_D28F_11D5_A210_0000E8DA5A4F_.wvu.FilterData" hidden="1">#REF!</definedName>
    <definedName name="zz" hidden="1">{"cashflow",#N/A,FALSE,"CASHFLOW "}</definedName>
    <definedName name="zzz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เม.ย" hidden="1">{"'ตัวอย่าง'!$A$1:$O$21"}</definedName>
    <definedName name="เมษายน" hidden="1">{"'ตัวอย่าง'!$A$1:$O$21"}</definedName>
    <definedName name="เมษายน๑" hidden="1">{"'ตัวอย่าง'!$A$1:$O$21"}</definedName>
    <definedName name="ก" hidden="1">{"index",#N/A,FALSE,"INDEX"}</definedName>
    <definedName name="กกกกกก" hidden="1">{"PRINT_EST",#N/A,FALSE,"ESTMON"}</definedName>
    <definedName name="กดฟหกด" hidden="1">{"'ตัวอย่าง'!$A$1:$O$21"}</definedName>
    <definedName name="ชัยเจริญมารีน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ฏฏฏ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ด" hidden="1">{"'ตัวอย่าง'!$A$1:$O$21"}</definedName>
    <definedName name="ดา" hidden="1">{"'ตัวอย่าง'!$A$1:$O$21"}</definedName>
    <definedName name="ดารา" hidden="1">{"'ตัวอย่าง'!$A$1:$O$21"}</definedName>
    <definedName name="ปั๊มดูดน้ำมันเก่าเข้า" hidden="1">{"'ตัวอย่าง'!$A$1:$O$21"}</definedName>
    <definedName name="ปั๊มน้ำท้าย" hidden="1">{"'ตัวอย่าง'!$A$1:$O$21"}</definedName>
    <definedName name="ปืน" hidden="1">{"'ตัวอย่าง'!$A$1:$O$21"}</definedName>
    <definedName name="พ" hidden="1">{"'ตัวอย่าง'!$A$1:$O$21"}</definedName>
    <definedName name="พ.ค." hidden="1">{"'ตัวอย่าง'!$A$1:$O$21"}</definedName>
    <definedName name="พด" hidden="1">{"'ตัวอย่าง'!$A$1:$O$21"}</definedName>
    <definedName name="พฤษภาคม" hidden="1">{"'ตัวอย่าง'!$A$1:$O$21"}</definedName>
    <definedName name="ฟ" hidden="1">{"hilight2",#N/A,FALSE,"HILIGHT2"}</definedName>
    <definedName name="ฟหด" hidden="1">{"'ตัวอย่าง'!$A$1:$O$21"}</definedName>
    <definedName name="ฟำ" hidden="1">{"'ตัวอย่าง'!$A$1:$O$21"}</definedName>
    <definedName name="ฟำดฟำ" hidden="1">{"'ตัวอย่าง'!$A$1:$O$21"}</definedName>
    <definedName name="ระบบโฟม" hidden="1">{"'ตัวอย่าง'!$A$1:$O$21"}</definedName>
    <definedName name="ศูนย์พัฒนา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ห" hidden="1">{"'ตัวอย่าง'!$A$1:$O$21"}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31" l="1"/>
  <c r="H26" i="31"/>
  <c r="F20" i="31" l="1"/>
  <c r="G15" i="31"/>
  <c r="H15" i="31" s="1"/>
  <c r="E24" i="31"/>
  <c r="H24" i="31" s="1"/>
  <c r="G23" i="31"/>
  <c r="H23" i="31" s="1"/>
  <c r="A23" i="31"/>
  <c r="F31" i="31" l="1"/>
  <c r="F29" i="31"/>
  <c r="E10" i="31"/>
  <c r="G10" i="31" s="1"/>
  <c r="E9" i="31"/>
  <c r="E8" i="31" s="1"/>
  <c r="J7" i="31"/>
  <c r="G29" i="31"/>
  <c r="H29" i="31" s="1"/>
  <c r="G19" i="31"/>
  <c r="H19" i="31" s="1"/>
  <c r="G11" i="31"/>
  <c r="G12" i="31"/>
  <c r="G13" i="31"/>
  <c r="H34" i="31"/>
  <c r="H30" i="31"/>
  <c r="H28" i="31"/>
  <c r="G9" i="31" l="1"/>
  <c r="I6" i="31" s="1"/>
  <c r="J6" i="31" s="1"/>
  <c r="G24" i="31"/>
  <c r="G31" i="31" l="1"/>
  <c r="H31" i="31" s="1"/>
  <c r="H25" i="31" l="1"/>
  <c r="H33" i="31"/>
  <c r="H36" i="31" s="1"/>
  <c r="G32" i="31"/>
  <c r="H32" i="31" s="1"/>
  <c r="A24" i="31" l="1"/>
  <c r="E18" i="31" l="1"/>
  <c r="E16" i="31"/>
  <c r="G16" i="31" s="1"/>
  <c r="H16" i="31" s="1"/>
  <c r="H27" i="31" l="1"/>
  <c r="G17" i="31"/>
  <c r="H17" i="31" s="1"/>
  <c r="G18" i="31"/>
  <c r="H18" i="31" s="1"/>
  <c r="G20" i="31"/>
  <c r="H20" i="31" s="1"/>
  <c r="G21" i="31"/>
  <c r="H21" i="31" s="1"/>
  <c r="G22" i="31"/>
  <c r="H22" i="31" s="1"/>
  <c r="A16" i="31"/>
  <c r="A17" i="31"/>
  <c r="A18" i="31"/>
  <c r="A19" i="31"/>
  <c r="A20" i="31"/>
  <c r="A21" i="31"/>
  <c r="A22" i="31"/>
  <c r="A15" i="31"/>
  <c r="H14" i="31" l="1"/>
  <c r="H6" i="31" s="1"/>
</calcChain>
</file>

<file path=xl/sharedStrings.xml><?xml version="1.0" encoding="utf-8"?>
<sst xmlns="http://schemas.openxmlformats.org/spreadsheetml/2006/main" count="67" uniqueCount="57">
  <si>
    <t>Nội dung</t>
  </si>
  <si>
    <t>Đvt</t>
  </si>
  <si>
    <t>SL</t>
  </si>
  <si>
    <t>Thành tiền</t>
  </si>
  <si>
    <t>Kg</t>
  </si>
  <si>
    <t>Cái</t>
  </si>
  <si>
    <t>Điện - Hồ xử lý nước thải</t>
  </si>
  <si>
    <t>m3</t>
  </si>
  <si>
    <t>h</t>
  </si>
  <si>
    <t>Ghi chú</t>
  </si>
  <si>
    <t>CP lương gián tiếp</t>
  </si>
  <si>
    <t>Chi phí xử lý bùn</t>
  </si>
  <si>
    <t>Chi phí khác</t>
  </si>
  <si>
    <t>CP Đ/kg</t>
  </si>
  <si>
    <t>Thành phẩm thu được</t>
  </si>
  <si>
    <t>Vảy PET B1 Rửa lạnh</t>
  </si>
  <si>
    <t>Vảy nắp tuyển nỗi</t>
  </si>
  <si>
    <t>Phó sản bụi cám</t>
  </si>
  <si>
    <t>Bộ</t>
  </si>
  <si>
    <t>Tỷ lệ</t>
  </si>
  <si>
    <t>Hao hụt - Bùn (đem xử lý)</t>
  </si>
  <si>
    <t>Hao hụt - Vô hình</t>
  </si>
  <si>
    <t>TỔNG CHI PHÍ SẢN XUẤT (CHƯA BAO GỒM CP NVL VÀ HAO HỤT)</t>
  </si>
  <si>
    <t>Tổng Định phí Quản Lý</t>
  </si>
  <si>
    <t>Chi phí vận chuyển</t>
  </si>
  <si>
    <t>Chuyến</t>
  </si>
  <si>
    <t>Dao băm Chuyền Pullian</t>
  </si>
  <si>
    <t>2. BIẾN PHÍ VẬN CHUYỂN</t>
  </si>
  <si>
    <t>3. ĐỊNH PHÍ SẢN XUẤT</t>
  </si>
  <si>
    <t>Kw/h</t>
  </si>
  <si>
    <t>m3/h</t>
  </si>
  <si>
    <t>Chi phí Khấu hao - chuyền Pullian</t>
  </si>
  <si>
    <t>Đơn giá theo KH 2026</t>
  </si>
  <si>
    <t>Chi phí thuê xưởng HD</t>
  </si>
  <si>
    <t>Tháng</t>
  </si>
  <si>
    <t>Công suất chạy (sau khi cải tạo)</t>
  </si>
  <si>
    <t>Đơn giá bán BQ</t>
  </si>
  <si>
    <t>1. BIẾN PHÍ SẢN XUẤT</t>
  </si>
  <si>
    <t>2% NVL đầu vào</t>
  </si>
  <si>
    <t>1 bao đựng 300kg</t>
  </si>
  <si>
    <t>1 cái đựng được 350kg thành phẩm tái sử dụng 2 lần</t>
  </si>
  <si>
    <t>4. ĐỊNH PHÍ QUẢN LÝ</t>
  </si>
  <si>
    <t>Xăng dầu xe nâng</t>
  </si>
  <si>
    <t>Lít/giờ</t>
  </si>
  <si>
    <t>Bình quân 1 h: 2.5 lít, hiệu suất sử dụng: 60%</t>
  </si>
  <si>
    <t>Chi phí phân bổ CCDC - CPTT, Sữa chưa MMTB</t>
  </si>
  <si>
    <t>CHI PHÍ SẢN XUẤT BĂM VẢY B1 RỬA LẠNH</t>
  </si>
  <si>
    <t>Nước đàu vào</t>
  </si>
  <si>
    <t>Chi phí xử lý nước đầu ra</t>
  </si>
  <si>
    <t>Bao Jumbo đựng vảy</t>
  </si>
  <si>
    <t>Bao Jumbo đựng bùn</t>
  </si>
  <si>
    <t>Giả định lấy theo Dm dao chuyền FS:  200 tấn/bộ</t>
  </si>
  <si>
    <t>Điện sản xuất</t>
  </si>
  <si>
    <t>Chí phí lương - NCTT băm</t>
  </si>
  <si>
    <t>Năng suất băm: 1500kg/h; băm 24/24h</t>
  </si>
  <si>
    <t>Xe chở 12 tấn/chuyến</t>
  </si>
  <si>
    <t>ĐP phân bổ 1.000 tấn/ tháng (Tổng sản lượng của nhà máy/tháng)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</si>
</sst>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_-* #,##0.00_-;\-* #,##0.00_-;_-* &quot;-&quot;??_-;_-@_-"/>
    <numFmt numFmtId="167" formatCode="_(* #,##0.0_);_(* \(#,##0.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color theme="1"/>
      <name val="segoe UI"/>
      <family val="2"/>
      <charset val="163"/>
    </font>
    <font>
      <b/>
      <sz val="12"/>
      <color theme="1"/>
      <name val="Arial"/>
      <family val="2"/>
    </font>
    <font>
      <b/>
      <sz val="12"/>
      <color rgb="FF0070C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rgb="FF00B0F0"/>
      <name val="Arial"/>
      <family val="2"/>
    </font>
    <font>
      <sz val="10"/>
      <name val="Arial"/>
      <family val="2"/>
    </font>
    <font>
      <sz val="10"/>
      <color theme="1"/>
      <name val="Times New Roman"/>
      <family val="2"/>
    </font>
    <font>
      <sz val="12"/>
      <color rgb="FF0070C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name val="Arial"/>
      <family val="2"/>
    </font>
    <font>
      <sz val="12"/>
      <color rgb="FF0000FF"/>
      <name val="Arial"/>
      <family val="2"/>
    </font>
    <font>
      <sz val="11"/>
      <color theme="0"/>
      <name val="Arial"/>
      <family val="2"/>
    </font>
    <font>
      <b/>
      <sz val="12"/>
      <color rgb="FFFFFFCC"/>
      <name val="Arial"/>
      <family val="2"/>
    </font>
    <font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9" fillId="0" borderId="0"/>
    <xf numFmtId="43" fontId="10" fillId="0" borderId="0" applyFont="0" applyFill="0" applyBorder="0" applyAlignment="0" applyProtection="0"/>
    <xf numFmtId="0" fontId="10" fillId="0" borderId="0"/>
    <xf numFmtId="0" fontId="3" fillId="0" borderId="0"/>
    <xf numFmtId="166" fontId="3" fillId="0" borderId="0" applyFont="0" applyFill="0" applyBorder="0" applyAlignment="0" applyProtection="0"/>
    <xf numFmtId="0" fontId="12" fillId="0" borderId="0"/>
    <xf numFmtId="43" fontId="9" fillId="0" borderId="0" applyFont="0" applyFill="0" applyBorder="0" applyAlignment="0" applyProtection="0"/>
    <xf numFmtId="0" fontId="13" fillId="0" borderId="0"/>
  </cellStyleXfs>
  <cellXfs count="66">
    <xf numFmtId="0" fontId="0" fillId="0" borderId="0" xfId="0"/>
    <xf numFmtId="165" fontId="2" fillId="0" borderId="0" xfId="1" applyNumberFormat="1" applyFont="1" applyAlignment="1">
      <alignment vertical="center" wrapText="1"/>
    </xf>
    <xf numFmtId="0" fontId="7" fillId="0" borderId="0" xfId="0" applyFont="1"/>
    <xf numFmtId="0" fontId="5" fillId="0" borderId="0" xfId="0" applyFont="1"/>
    <xf numFmtId="165" fontId="7" fillId="0" borderId="0" xfId="1" applyNumberFormat="1" applyFont="1"/>
    <xf numFmtId="164" fontId="7" fillId="0" borderId="0" xfId="1" applyNumberFormat="1" applyFont="1"/>
    <xf numFmtId="9" fontId="7" fillId="0" borderId="0" xfId="2" applyFont="1"/>
    <xf numFmtId="164" fontId="7" fillId="0" borderId="0" xfId="3" applyNumberFormat="1" applyFont="1"/>
    <xf numFmtId="0" fontId="2" fillId="2" borderId="1" xfId="4" applyFont="1" applyFill="1" applyBorder="1"/>
    <xf numFmtId="0" fontId="4" fillId="2" borderId="1" xfId="0" applyFont="1" applyFill="1" applyBorder="1" applyAlignment="1">
      <alignment horizontal="center"/>
    </xf>
    <xf numFmtId="164" fontId="4" fillId="2" borderId="1" xfId="3" applyNumberFormat="1" applyFont="1" applyFill="1" applyBorder="1" applyAlignment="1">
      <alignment horizontal="center"/>
    </xf>
    <xf numFmtId="165" fontId="4" fillId="2" borderId="1" xfId="1" applyNumberFormat="1" applyFont="1" applyFill="1" applyBorder="1" applyAlignment="1">
      <alignment horizontal="center"/>
    </xf>
    <xf numFmtId="0" fontId="8" fillId="2" borderId="1" xfId="4" applyFont="1" applyFill="1" applyBorder="1"/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164" fontId="5" fillId="2" borderId="1" xfId="3" applyNumberFormat="1" applyFont="1" applyFill="1" applyBorder="1" applyAlignment="1">
      <alignment horizontal="center"/>
    </xf>
    <xf numFmtId="0" fontId="2" fillId="0" borderId="1" xfId="4" applyFont="1" applyBorder="1"/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164" fontId="5" fillId="0" borderId="1" xfId="3" applyNumberFormat="1" applyFont="1" applyFill="1" applyBorder="1" applyAlignment="1">
      <alignment horizontal="center"/>
    </xf>
    <xf numFmtId="164" fontId="7" fillId="0" borderId="0" xfId="0" applyNumberFormat="1" applyFont="1"/>
    <xf numFmtId="0" fontId="7" fillId="0" borderId="1" xfId="0" applyFont="1" applyBorder="1" applyAlignment="1">
      <alignment horizontal="center"/>
    </xf>
    <xf numFmtId="164" fontId="7" fillId="0" borderId="1" xfId="3" applyNumberFormat="1" applyFont="1" applyFill="1" applyBorder="1"/>
    <xf numFmtId="164" fontId="2" fillId="0" borderId="1" xfId="1" applyNumberFormat="1" applyFont="1" applyBorder="1"/>
    <xf numFmtId="164" fontId="5" fillId="0" borderId="1" xfId="1" applyNumberFormat="1" applyFont="1" applyBorder="1"/>
    <xf numFmtId="164" fontId="5" fillId="0" borderId="0" xfId="1" applyNumberFormat="1" applyFont="1"/>
    <xf numFmtId="0" fontId="2" fillId="0" borderId="1" xfId="0" applyFont="1" applyBorder="1" applyAlignment="1">
      <alignment horizontal="center"/>
    </xf>
    <xf numFmtId="0" fontId="6" fillId="0" borderId="0" xfId="0" applyFont="1"/>
    <xf numFmtId="164" fontId="4" fillId="2" borderId="1" xfId="1" applyNumberFormat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left" wrapText="1"/>
    </xf>
    <xf numFmtId="164" fontId="5" fillId="0" borderId="1" xfId="1" applyNumberFormat="1" applyFont="1" applyFill="1" applyBorder="1" applyAlignment="1">
      <alignment horizontal="center"/>
    </xf>
    <xf numFmtId="164" fontId="2" fillId="0" borderId="1" xfId="3" applyNumberFormat="1" applyFont="1" applyBorder="1"/>
    <xf numFmtId="164" fontId="7" fillId="0" borderId="1" xfId="1" applyNumberFormat="1" applyFont="1" applyFill="1" applyBorder="1"/>
    <xf numFmtId="0" fontId="7" fillId="0" borderId="1" xfId="0" applyFont="1" applyBorder="1" applyAlignment="1">
      <alignment horizontal="left" wrapText="1"/>
    </xf>
    <xf numFmtId="167" fontId="7" fillId="0" borderId="1" xfId="1" applyNumberFormat="1" applyFont="1" applyFill="1" applyBorder="1"/>
    <xf numFmtId="9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164" fontId="5" fillId="0" borderId="0" xfId="0" applyNumberFormat="1" applyFont="1"/>
    <xf numFmtId="0" fontId="5" fillId="0" borderId="1" xfId="4" applyFont="1" applyBorder="1"/>
    <xf numFmtId="0" fontId="5" fillId="0" borderId="1" xfId="0" applyFont="1" applyBorder="1"/>
    <xf numFmtId="164" fontId="5" fillId="0" borderId="1" xfId="3" applyNumberFormat="1" applyFont="1" applyBorder="1"/>
    <xf numFmtId="0" fontId="11" fillId="0" borderId="1" xfId="4" applyFont="1" applyBorder="1"/>
    <xf numFmtId="0" fontId="11" fillId="0" borderId="1" xfId="0" applyFont="1" applyBorder="1" applyAlignment="1">
      <alignment horizontal="center"/>
    </xf>
    <xf numFmtId="164" fontId="11" fillId="0" borderId="1" xfId="1" applyNumberFormat="1" applyFont="1" applyFill="1" applyBorder="1" applyAlignment="1">
      <alignment horizontal="center"/>
    </xf>
    <xf numFmtId="164" fontId="11" fillId="0" borderId="1" xfId="3" applyNumberFormat="1" applyFont="1" applyFill="1" applyBorder="1" applyAlignment="1">
      <alignment horizontal="center"/>
    </xf>
    <xf numFmtId="0" fontId="11" fillId="0" borderId="0" xfId="0" applyFont="1"/>
    <xf numFmtId="164" fontId="11" fillId="0" borderId="0" xfId="1" applyNumberFormat="1" applyFont="1"/>
    <xf numFmtId="164" fontId="5" fillId="0" borderId="1" xfId="1" applyNumberFormat="1" applyFont="1" applyFill="1" applyBorder="1"/>
    <xf numFmtId="164" fontId="5" fillId="0" borderId="1" xfId="3" applyNumberFormat="1" applyFont="1" applyFill="1" applyBorder="1"/>
    <xf numFmtId="165" fontId="14" fillId="0" borderId="1" xfId="1" applyNumberFormat="1" applyFont="1" applyFill="1" applyBorder="1" applyAlignment="1">
      <alignment wrapText="1"/>
    </xf>
    <xf numFmtId="0" fontId="2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 indent="2"/>
    </xf>
    <xf numFmtId="0" fontId="7" fillId="0" borderId="1" xfId="0" applyFont="1" applyBorder="1" applyAlignment="1">
      <alignment horizontal="left" wrapText="1" indent="1"/>
    </xf>
    <xf numFmtId="43" fontId="7" fillId="0" borderId="0" xfId="0" applyNumberFormat="1" applyFont="1"/>
    <xf numFmtId="164" fontId="4" fillId="2" borderId="1" xfId="3" applyNumberFormat="1" applyFont="1" applyFill="1" applyBorder="1" applyAlignment="1">
      <alignment horizontal="center" wrapText="1"/>
    </xf>
    <xf numFmtId="164" fontId="7" fillId="0" borderId="2" xfId="1" applyNumberFormat="1" applyFont="1" applyFill="1" applyBorder="1"/>
    <xf numFmtId="164" fontId="7" fillId="0" borderId="3" xfId="1" applyNumberFormat="1" applyFont="1" applyFill="1" applyBorder="1"/>
    <xf numFmtId="164" fontId="7" fillId="0" borderId="4" xfId="1" applyNumberFormat="1" applyFont="1" applyFill="1" applyBorder="1"/>
    <xf numFmtId="43" fontId="7" fillId="0" borderId="0" xfId="1" applyFont="1"/>
    <xf numFmtId="164" fontId="15" fillId="0" borderId="1" xfId="1" applyNumberFormat="1" applyFont="1" applyFill="1" applyBorder="1"/>
    <xf numFmtId="165" fontId="16" fillId="0" borderId="1" xfId="1" applyNumberFormat="1" applyFont="1" applyFill="1" applyBorder="1" applyAlignment="1">
      <alignment wrapText="1"/>
    </xf>
    <xf numFmtId="165" fontId="17" fillId="2" borderId="1" xfId="1" applyNumberFormat="1" applyFont="1" applyFill="1" applyBorder="1" applyAlignment="1">
      <alignment horizontal="center"/>
    </xf>
    <xf numFmtId="165" fontId="14" fillId="0" borderId="2" xfId="1" applyNumberFormat="1" applyFont="1" applyFill="1" applyBorder="1" applyAlignment="1">
      <alignment vertical="center" wrapText="1"/>
    </xf>
    <xf numFmtId="165" fontId="14" fillId="0" borderId="1" xfId="1" applyNumberFormat="1" applyFont="1" applyFill="1" applyBorder="1" applyAlignment="1">
      <alignment vertical="center" wrapText="1"/>
    </xf>
    <xf numFmtId="164" fontId="18" fillId="0" borderId="0" xfId="3" applyNumberFormat="1" applyFont="1"/>
  </cellXfs>
  <cellStyles count="13">
    <cellStyle name="Comma" xfId="1" builtinId="3"/>
    <cellStyle name="Comma 2" xfId="6" xr:uid="{00000000-0005-0000-0000-000001000000}"/>
    <cellStyle name="Comma 3" xfId="11" xr:uid="{00000000-0005-0000-0000-000002000000}"/>
    <cellStyle name="Comma 3 5" xfId="3" xr:uid="{00000000-0005-0000-0000-000003000000}"/>
    <cellStyle name="Comma 4 4" xfId="9" xr:uid="{00000000-0005-0000-0000-000004000000}"/>
    <cellStyle name="Normal" xfId="0" builtinId="0"/>
    <cellStyle name="Normal 2" xfId="7" xr:uid="{00000000-0005-0000-0000-000006000000}"/>
    <cellStyle name="Normal 3" xfId="10" xr:uid="{00000000-0005-0000-0000-000007000000}"/>
    <cellStyle name="Normal 3 2" xfId="5" xr:uid="{00000000-0005-0000-0000-000008000000}"/>
    <cellStyle name="Normal 5" xfId="4" xr:uid="{00000000-0005-0000-0000-000009000000}"/>
    <cellStyle name="Normal 5 2" xfId="12" xr:uid="{00000000-0005-0000-0000-00000A000000}"/>
    <cellStyle name="Normal 7" xfId="8" xr:uid="{00000000-0005-0000-0000-00000B000000}"/>
    <cellStyle name="Percent" xfId="2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nguyenthithao_dailoc-recycling_vn/Documents/NH&#194;N%20S&#7920;%20TH&#7842;O/L&#192;M%20TH&#7866;%20ACB/ChiHoLuong.xls" TargetMode="External"/><Relationship Id="rId1" Type="http://schemas.openxmlformats.org/officeDocument/2006/relationships/externalLinkPath" Target="/personal/nguyenthithao_dailoc-recycling_vn/Documents/NH&#194;N%20S&#7920;%20TH&#7842;O/L&#192;M%20TH&#7866;%20ACB/ChiHoLuong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ranthihuong_dailoc-recycling_vn/Documents/Documents/HUONG%20TRAN/SAN%20XUAT/NAM%202025/01.25/DAILOC_2025_KHNS_V3_2024.12.12.xlsx" TargetMode="External"/><Relationship Id="rId1" Type="http://schemas.openxmlformats.org/officeDocument/2006/relationships/externalLinkPath" Target="/personal/tranthihuong_dailoc-recycling_vn/Documents/Documents/HUONG%20TRAN/SAN%20XUAT/NAM%202025/01.25/DAILOC_2025_KHNS_V3_2024.12.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án giá trị vào đây để TT"/>
      <sheetName val="Soạn lệnh"/>
      <sheetName val="DSid"/>
      <sheetName val="dstinhNH"/>
    </sheetNames>
    <sheetDataSet>
      <sheetData sheetId="0"/>
      <sheetData sheetId="1"/>
      <sheetData sheetId="2">
        <row r="1">
          <cell r="A1" t="str">
            <v>NHOMNGANHANG</v>
          </cell>
          <cell r="B1" t="str">
            <v>TENTINH</v>
          </cell>
          <cell r="C1" t="str">
            <v>TENNH</v>
          </cell>
          <cell r="D1" t="str">
            <v>Ten&amp;Tinh</v>
          </cell>
          <cell r="E1" t="str">
            <v>ID</v>
          </cell>
        </row>
        <row r="2">
          <cell r="A2" t="str">
            <v>BANGKOK BANK</v>
          </cell>
          <cell r="D2" t="str">
            <v>Ha NoiBANGKOK BANK Ha Noi</v>
          </cell>
          <cell r="E2">
            <v>17</v>
          </cell>
        </row>
        <row r="3">
          <cell r="A3" t="str">
            <v>BANGKOK BANK</v>
          </cell>
          <cell r="D3" t="str">
            <v>Ho Chi MinhBANGKOK BANK CN HCM</v>
          </cell>
          <cell r="E3">
            <v>5</v>
          </cell>
        </row>
        <row r="4">
          <cell r="A4" t="str">
            <v>BANK OF CHINA</v>
          </cell>
          <cell r="D4" t="str">
            <v>Ho Chi MinhBANK OF CHINA HCM</v>
          </cell>
          <cell r="E4">
            <v>8</v>
          </cell>
        </row>
        <row r="5">
          <cell r="A5" t="str">
            <v>Bank of Communications</v>
          </cell>
          <cell r="D5" t="str">
            <v>Ho Chi MinhBank of Communications CN HCM</v>
          </cell>
          <cell r="E5">
            <v>2536</v>
          </cell>
        </row>
        <row r="6">
          <cell r="A6" t="str">
            <v>Bank of India</v>
          </cell>
          <cell r="D6" t="str">
            <v>Ho Chi MinhBank of India CN TP HCM</v>
          </cell>
          <cell r="E6">
            <v>5124</v>
          </cell>
        </row>
        <row r="7">
          <cell r="A7" t="str">
            <v>BANK OF TOKYO - MITSUBISHI</v>
          </cell>
          <cell r="D7" t="str">
            <v>Ha NoiBANK OF TOKYO MITSUBISHI Ha Noi</v>
          </cell>
          <cell r="E7">
            <v>19</v>
          </cell>
        </row>
        <row r="8">
          <cell r="A8" t="str">
            <v>BANK OF TOKYO - MITSUBISHI</v>
          </cell>
          <cell r="D8" t="str">
            <v>Ho Chi MinhBANK OF TOKYO MITSUBISHI HCM</v>
          </cell>
          <cell r="E8">
            <v>9</v>
          </cell>
        </row>
        <row r="9">
          <cell r="A9" t="str">
            <v>BNP PARIBAS BANK</v>
          </cell>
          <cell r="D9" t="str">
            <v>Ha NoiBNP Paribas Bank - CN Ha Noi</v>
          </cell>
          <cell r="E9">
            <v>5090</v>
          </cell>
        </row>
        <row r="10">
          <cell r="A10" t="str">
            <v>BNP PARIBAS BANK</v>
          </cell>
          <cell r="D10" t="str">
            <v>Ho Chi MinhBNP PARIBAS BANK - CN HCM</v>
          </cell>
          <cell r="E10">
            <v>11</v>
          </cell>
        </row>
        <row r="11">
          <cell r="A11" t="str">
            <v>BPCEIOM</v>
          </cell>
          <cell r="D11" t="str">
            <v>Ho Chi MinhBPCEIOM CN TP HCM</v>
          </cell>
          <cell r="E11">
            <v>1248</v>
          </cell>
        </row>
        <row r="12">
          <cell r="A12" t="str">
            <v>Cac ngan hang khac</v>
          </cell>
          <cell r="D12" t="str">
            <v>Ha NoiTaipei Fubon CN Ha Noi</v>
          </cell>
          <cell r="E12">
            <v>13</v>
          </cell>
        </row>
        <row r="13">
          <cell r="A13" t="str">
            <v>Cac ngan hang khac</v>
          </cell>
          <cell r="D13" t="str">
            <v>Ha NoiWOORI BANK Ha Noi</v>
          </cell>
          <cell r="E13">
            <v>1346</v>
          </cell>
        </row>
        <row r="14">
          <cell r="A14" t="str">
            <v>Cac ngan hang khac</v>
          </cell>
          <cell r="D14" t="str">
            <v>Bac NinhVCB Bac Ninh</v>
          </cell>
          <cell r="E14">
            <v>2618</v>
          </cell>
        </row>
        <row r="15">
          <cell r="A15" t="str">
            <v>Cac ngan hang khac</v>
          </cell>
          <cell r="D15" t="str">
            <v>Ho Chi MinhFirst Commercial Bank  HCM</v>
          </cell>
          <cell r="E15">
            <v>662</v>
          </cell>
        </row>
        <row r="16">
          <cell r="A16" t="str">
            <v>Cac ngan hang khac</v>
          </cell>
          <cell r="D16" t="str">
            <v>Ho Chi MinhTAIPEI FUBON CN HCM</v>
          </cell>
          <cell r="E16">
            <v>12</v>
          </cell>
        </row>
        <row r="17">
          <cell r="A17" t="str">
            <v>Cac ngan hang khac</v>
          </cell>
          <cell r="D17" t="str">
            <v>Ho Chi MinhMalayan Banking Berhad HCM</v>
          </cell>
          <cell r="E17">
            <v>1245</v>
          </cell>
        </row>
        <row r="18">
          <cell r="A18" t="str">
            <v>Cac ngan hang khac</v>
          </cell>
          <cell r="D18" t="str">
            <v>Ho Chi MinhNN&amp;PTNT 8 HCM</v>
          </cell>
          <cell r="E18">
            <v>606</v>
          </cell>
        </row>
        <row r="19">
          <cell r="A19" t="str">
            <v>Cac ngan hang khac</v>
          </cell>
          <cell r="D19" t="str">
            <v>An GiangDau Tu &amp; PT Chau Doc</v>
          </cell>
          <cell r="E19">
            <v>117</v>
          </cell>
        </row>
        <row r="20">
          <cell r="A20" t="str">
            <v>China Construction Bank Corp</v>
          </cell>
          <cell r="D20" t="str">
            <v>Ho Chi MinhChina Construction Bank Corp CN HCM</v>
          </cell>
          <cell r="E20">
            <v>668</v>
          </cell>
        </row>
        <row r="21">
          <cell r="A21" t="str">
            <v>CITI BANK</v>
          </cell>
          <cell r="D21" t="str">
            <v>Ha NoiCITI BANK Ha Noi</v>
          </cell>
          <cell r="E21">
            <v>16</v>
          </cell>
        </row>
        <row r="22">
          <cell r="A22" t="str">
            <v>CITI BANK</v>
          </cell>
          <cell r="D22" t="str">
            <v>Ho Chi MinhCITI BANK HCM (HO)</v>
          </cell>
          <cell r="E22">
            <v>15</v>
          </cell>
        </row>
        <row r="23">
          <cell r="A23" t="str">
            <v>DEUTSCHE BANK</v>
          </cell>
          <cell r="D23" t="str">
            <v>Ho Chi MinhDEUTSCHE BANK HCM</v>
          </cell>
          <cell r="E23">
            <v>660</v>
          </cell>
        </row>
        <row r="24">
          <cell r="A24" t="str">
            <v>First Commercial Bank</v>
          </cell>
          <cell r="D24" t="str">
            <v>Ha NoiFirst Commercial Bank CN Ha Noi</v>
          </cell>
          <cell r="E24">
            <v>3866</v>
          </cell>
        </row>
        <row r="25">
          <cell r="A25" t="str">
            <v>First Commercial Bank</v>
          </cell>
          <cell r="D25" t="str">
            <v>Ho Chi MinhFirst Commercial Bank  HCM</v>
          </cell>
          <cell r="E25">
            <v>2765</v>
          </cell>
        </row>
        <row r="26">
          <cell r="A26" t="str">
            <v>Hua Nan Commercial Bank CN. HCM</v>
          </cell>
          <cell r="D26" t="str">
            <v>Ho Chi MinhHua Nan Commercial Bank HCM</v>
          </cell>
          <cell r="E26">
            <v>2797</v>
          </cell>
        </row>
        <row r="27">
          <cell r="A27" t="str">
            <v>INDOVINA BANK</v>
          </cell>
          <cell r="D27" t="str">
            <v>Ha NoiIndovina CN My Dinh</v>
          </cell>
          <cell r="E27">
            <v>4572</v>
          </cell>
        </row>
        <row r="28">
          <cell r="A28" t="str">
            <v>INDOVINA BANK</v>
          </cell>
          <cell r="D28" t="str">
            <v>Ha NoiIndovina CN Thien Long</v>
          </cell>
          <cell r="E28">
            <v>4573</v>
          </cell>
        </row>
        <row r="29">
          <cell r="A29" t="str">
            <v>INDOVINA BANK</v>
          </cell>
          <cell r="D29" t="str">
            <v>Ha NoiINDOVINA BANK CN Dong Da</v>
          </cell>
          <cell r="E29">
            <v>4167</v>
          </cell>
        </row>
        <row r="30">
          <cell r="A30" t="str">
            <v>INDOVINA BANK</v>
          </cell>
          <cell r="D30" t="str">
            <v>Ha NoiINDOVINA BANK CN Ha Noi</v>
          </cell>
          <cell r="E30">
            <v>183</v>
          </cell>
        </row>
        <row r="31">
          <cell r="A31" t="str">
            <v>INDOVINA BANK</v>
          </cell>
          <cell r="D31" t="str">
            <v>Hai PhongINDOVINA BANK Hai Phong</v>
          </cell>
          <cell r="E31">
            <v>184</v>
          </cell>
        </row>
        <row r="32">
          <cell r="A32" t="str">
            <v>INDOVINA BANK</v>
          </cell>
          <cell r="D32" t="str">
            <v>Ho Chi MinhINDOVINA BANK CN Tan Binh</v>
          </cell>
          <cell r="E32">
            <v>4207</v>
          </cell>
        </row>
        <row r="33">
          <cell r="A33" t="str">
            <v>INDOVINA BANK</v>
          </cell>
          <cell r="D33" t="str">
            <v>Ho Chi MinhINDOVINA BANK CN HCM</v>
          </cell>
          <cell r="E33">
            <v>665</v>
          </cell>
        </row>
        <row r="34">
          <cell r="A34" t="str">
            <v>INDOVINA BANK</v>
          </cell>
          <cell r="D34" t="str">
            <v>Ho Chi MinhINDOVINA BANK CN Cho Lon</v>
          </cell>
          <cell r="E34">
            <v>4206</v>
          </cell>
        </row>
        <row r="35">
          <cell r="A35" t="str">
            <v>INDOVINA BANK</v>
          </cell>
          <cell r="D35" t="str">
            <v>Ho Chi MinhIndovina CN Ben Thanh</v>
          </cell>
          <cell r="E35">
            <v>4571</v>
          </cell>
        </row>
        <row r="36">
          <cell r="A36" t="str">
            <v>INDOVINA BANK</v>
          </cell>
          <cell r="D36" t="str">
            <v>Da NangINDOVINA BANK Da Nang</v>
          </cell>
          <cell r="E36">
            <v>2895</v>
          </cell>
        </row>
        <row r="37">
          <cell r="A37" t="str">
            <v>INDOVINA BANK</v>
          </cell>
          <cell r="D37" t="str">
            <v>Quang NamIndovina Bank CN Hoi An</v>
          </cell>
          <cell r="E37">
            <v>5224</v>
          </cell>
        </row>
        <row r="38">
          <cell r="A38" t="str">
            <v>INDOVINA BANK</v>
          </cell>
          <cell r="D38" t="str">
            <v>Binh DuongINDOVINA BANK CN Binh Duong</v>
          </cell>
          <cell r="E38">
            <v>182</v>
          </cell>
        </row>
        <row r="39">
          <cell r="A39" t="str">
            <v>INDOVINA BANK</v>
          </cell>
          <cell r="D39" t="str">
            <v>Dong NaiINDOVINA BANK CN Dong Nai</v>
          </cell>
          <cell r="E39">
            <v>3290</v>
          </cell>
        </row>
        <row r="40">
          <cell r="A40" t="str">
            <v>INDOVINA BANK</v>
          </cell>
          <cell r="D40" t="str">
            <v>Can ThoINDOVINA BANK Can Tho</v>
          </cell>
          <cell r="E40">
            <v>185</v>
          </cell>
        </row>
        <row r="41">
          <cell r="A41" t="str">
            <v>Industrial and commercial Bank of China</v>
          </cell>
          <cell r="D41" t="str">
            <v>Ha NoiIndustrial and commercial Bank of China CN Hanoi</v>
          </cell>
          <cell r="E41">
            <v>3974</v>
          </cell>
        </row>
        <row r="42">
          <cell r="A42" t="str">
            <v>Industrial Bank of Korea CN TP.HCM</v>
          </cell>
          <cell r="D42" t="str">
            <v>Ho Chi MinhIndustrial Bank of Korea HCM</v>
          </cell>
          <cell r="E42">
            <v>3306</v>
          </cell>
        </row>
        <row r="43">
          <cell r="A43" t="str">
            <v>JPMORGAN CHASE BANK</v>
          </cell>
          <cell r="D43" t="str">
            <v>Ho Chi MinhJPMORGAN CHASE BANK HCM</v>
          </cell>
          <cell r="E43">
            <v>670</v>
          </cell>
        </row>
        <row r="44">
          <cell r="A44" t="str">
            <v>KEB HANA BANK</v>
          </cell>
          <cell r="D44" t="str">
            <v>Ha NoiKEB Hana Bank CN Ha Noi</v>
          </cell>
          <cell r="E44">
            <v>673</v>
          </cell>
        </row>
        <row r="45">
          <cell r="A45" t="str">
            <v>Kho Bac Nha Nuoc</v>
          </cell>
          <cell r="D45" t="str">
            <v>Ha NoiKBNN Hoan Kiem Ha Noi</v>
          </cell>
          <cell r="E45">
            <v>4934</v>
          </cell>
        </row>
        <row r="46">
          <cell r="A46" t="str">
            <v>Kho Bac Nha Nuoc</v>
          </cell>
          <cell r="D46" t="str">
            <v>Ha NoiKBNN SGD Ha Noi</v>
          </cell>
          <cell r="E46">
            <v>4027</v>
          </cell>
        </row>
        <row r="47">
          <cell r="A47" t="str">
            <v>Kho Bac Nha Nuoc</v>
          </cell>
          <cell r="D47" t="str">
            <v>Ha NoiKBNN Trung Uong</v>
          </cell>
          <cell r="E47">
            <v>1193</v>
          </cell>
        </row>
        <row r="48">
          <cell r="A48" t="str">
            <v>Kho Bac Nha Nuoc</v>
          </cell>
          <cell r="D48" t="str">
            <v>Ha NoiKBNN Ha Noi</v>
          </cell>
          <cell r="E48">
            <v>1068</v>
          </cell>
        </row>
        <row r="49">
          <cell r="A49" t="str">
            <v>Kho Bac Nha Nuoc</v>
          </cell>
          <cell r="D49" t="str">
            <v>Ha NoiKBNN CN Ha Tay</v>
          </cell>
          <cell r="E49">
            <v>1148</v>
          </cell>
        </row>
        <row r="50">
          <cell r="A50" t="str">
            <v>Kho Bac Nha Nuoc</v>
          </cell>
          <cell r="D50" t="str">
            <v>Tuyen QuangKBNN Son Duong</v>
          </cell>
          <cell r="E50">
            <v>1055</v>
          </cell>
        </row>
        <row r="51">
          <cell r="A51" t="str">
            <v>Kho Bac Nha Nuoc</v>
          </cell>
          <cell r="D51" t="str">
            <v>Tuyen QuangKBNN Yen Son</v>
          </cell>
          <cell r="E51">
            <v>1238</v>
          </cell>
        </row>
        <row r="52">
          <cell r="A52" t="str">
            <v>Kho Bac Nha Nuoc</v>
          </cell>
          <cell r="D52" t="str">
            <v>Tuyen QuangKBNN Tinh Tuyen Quang</v>
          </cell>
          <cell r="E52">
            <v>1180</v>
          </cell>
        </row>
        <row r="53">
          <cell r="A53" t="str">
            <v>Kho Bac Nha Nuoc</v>
          </cell>
          <cell r="D53" t="str">
            <v>Tuyen QuangKBNN Chiem Hoa</v>
          </cell>
          <cell r="E53">
            <v>736</v>
          </cell>
        </row>
        <row r="54">
          <cell r="A54" t="str">
            <v>Kho Bac Nha Nuoc</v>
          </cell>
          <cell r="D54" t="str">
            <v>Tuyen QuangKBNN Ham Yen</v>
          </cell>
          <cell r="E54">
            <v>818</v>
          </cell>
        </row>
        <row r="55">
          <cell r="A55" t="str">
            <v>Kho Bac Nha Nuoc</v>
          </cell>
          <cell r="D55" t="str">
            <v>Tuyen QuangKBNN Na Hang</v>
          </cell>
          <cell r="E55">
            <v>976</v>
          </cell>
        </row>
        <row r="56">
          <cell r="A56" t="str">
            <v>Kho Bac Nha Nuoc</v>
          </cell>
          <cell r="D56" t="str">
            <v>Ha GiangKBNN Tinh Ha Giang</v>
          </cell>
          <cell r="E56">
            <v>1146</v>
          </cell>
        </row>
        <row r="57">
          <cell r="A57" t="str">
            <v>Kho Bac Nha Nuoc</v>
          </cell>
          <cell r="D57" t="str">
            <v>Ha GiangKBNN Bac Giang</v>
          </cell>
          <cell r="E57">
            <v>690</v>
          </cell>
        </row>
        <row r="58">
          <cell r="A58" t="str">
            <v>Kho Bac Nha Nuoc</v>
          </cell>
          <cell r="D58" t="str">
            <v>Cao BangKBNN Tinh Cao Bang</v>
          </cell>
          <cell r="E58">
            <v>1141</v>
          </cell>
        </row>
        <row r="59">
          <cell r="A59" t="str">
            <v>Kho Bac Nha Nuoc</v>
          </cell>
          <cell r="D59" t="str">
            <v>Lang SonKBNN Tinh Lang Son</v>
          </cell>
          <cell r="E59">
            <v>1158</v>
          </cell>
        </row>
        <row r="60">
          <cell r="A60" t="str">
            <v>Kho Bac Nha Nuoc</v>
          </cell>
          <cell r="D60" t="str">
            <v>Bac CanKBNN Tinh Bac Can</v>
          </cell>
          <cell r="E60">
            <v>1131</v>
          </cell>
        </row>
        <row r="61">
          <cell r="A61" t="str">
            <v>Kho Bac Nha Nuoc</v>
          </cell>
          <cell r="D61" t="str">
            <v>Thai NguyenKBNN TP Thai Nguyen</v>
          </cell>
          <cell r="E61">
            <v>4936</v>
          </cell>
        </row>
        <row r="62">
          <cell r="A62" t="str">
            <v>Kho Bac Nha Nuoc</v>
          </cell>
          <cell r="D62" t="str">
            <v>Thai NguyenKBNN Tinh Thai Nguyen</v>
          </cell>
          <cell r="E62">
            <v>1176</v>
          </cell>
        </row>
        <row r="63">
          <cell r="A63" t="str">
            <v>Kho Bac Nha Nuoc</v>
          </cell>
          <cell r="D63" t="str">
            <v>Yen BaiKBNN Tinh Yen Bai</v>
          </cell>
          <cell r="E63">
            <v>1183</v>
          </cell>
        </row>
        <row r="64">
          <cell r="A64" t="str">
            <v>Kho Bac Nha Nuoc</v>
          </cell>
          <cell r="D64" t="str">
            <v>Lao CaiKBNN Tinh Lao Cai</v>
          </cell>
          <cell r="E64">
            <v>1159</v>
          </cell>
        </row>
        <row r="65">
          <cell r="A65" t="str">
            <v>Kho Bac Nha Nuoc</v>
          </cell>
          <cell r="D65" t="str">
            <v>Dien BienKBNN Tinh Dien Bien</v>
          </cell>
          <cell r="E65">
            <v>1156</v>
          </cell>
        </row>
        <row r="66">
          <cell r="A66" t="str">
            <v>Kho Bac Nha Nuoc</v>
          </cell>
          <cell r="D66" t="str">
            <v>Son LaKBNN Tinh Son La</v>
          </cell>
          <cell r="E66">
            <v>1173</v>
          </cell>
        </row>
        <row r="67">
          <cell r="A67" t="str">
            <v>Kho Bac Nha Nuoc</v>
          </cell>
          <cell r="D67" t="str">
            <v>Quang NinhKBNN Tinh Quang Ninh</v>
          </cell>
          <cell r="E67">
            <v>1170</v>
          </cell>
        </row>
        <row r="68">
          <cell r="A68" t="str">
            <v>Kho Bac Nha Nuoc</v>
          </cell>
          <cell r="D68" t="str">
            <v>Lai ChauKBNN Tinh Lai Chau</v>
          </cell>
          <cell r="E68">
            <v>4031</v>
          </cell>
        </row>
        <row r="69">
          <cell r="A69" t="str">
            <v>Kho Bac Nha Nuoc</v>
          </cell>
          <cell r="D69" t="str">
            <v>Hai PhongKBNN An Hai HP</v>
          </cell>
          <cell r="E69">
            <v>675</v>
          </cell>
        </row>
        <row r="70">
          <cell r="A70" t="str">
            <v>Kho Bac Nha Nuoc</v>
          </cell>
          <cell r="D70" t="str">
            <v>Hai PhongKBNN Cat Hai HP</v>
          </cell>
          <cell r="E70">
            <v>726</v>
          </cell>
        </row>
        <row r="71">
          <cell r="A71" t="str">
            <v>Kho Bac Nha Nuoc</v>
          </cell>
          <cell r="D71" t="str">
            <v>Hai PhongKBNN Do Son HP</v>
          </cell>
          <cell r="E71">
            <v>771</v>
          </cell>
        </row>
        <row r="72">
          <cell r="A72" t="str">
            <v>Kho Bac Nha Nuoc</v>
          </cell>
          <cell r="D72" t="str">
            <v>Hai PhongKBNN TP Hai Phong</v>
          </cell>
          <cell r="E72">
            <v>814</v>
          </cell>
        </row>
        <row r="73">
          <cell r="A73" t="str">
            <v>Kho Bac Nha Nuoc</v>
          </cell>
          <cell r="D73" t="str">
            <v>Hai PhongKBNN Kien An HP</v>
          </cell>
          <cell r="E73">
            <v>916</v>
          </cell>
        </row>
        <row r="74">
          <cell r="A74" t="str">
            <v>Kho Bac Nha Nuoc</v>
          </cell>
          <cell r="D74" t="str">
            <v>Hai PhongKBNN Le Chan HP</v>
          </cell>
          <cell r="E74">
            <v>943</v>
          </cell>
        </row>
        <row r="75">
          <cell r="A75" t="str">
            <v>Kho Bac Nha Nuoc</v>
          </cell>
          <cell r="D75" t="str">
            <v>Hai PhongKBNN Ngo Quyen HP</v>
          </cell>
          <cell r="E75">
            <v>991</v>
          </cell>
        </row>
        <row r="76">
          <cell r="A76" t="str">
            <v>Kho Bac Nha Nuoc</v>
          </cell>
          <cell r="D76" t="str">
            <v>Hai PhongKBNN Thuy Nguyen HP</v>
          </cell>
          <cell r="E76">
            <v>1124</v>
          </cell>
        </row>
        <row r="77">
          <cell r="A77" t="str">
            <v>Kho Bac Nha Nuoc</v>
          </cell>
          <cell r="D77" t="str">
            <v>Hai PhongKBNN Tien Lang HP</v>
          </cell>
          <cell r="E77">
            <v>1126</v>
          </cell>
        </row>
        <row r="78">
          <cell r="A78" t="str">
            <v>Kho Bac Nha Nuoc</v>
          </cell>
          <cell r="D78" t="str">
            <v>Hai PhongKBNN Vinh Bao</v>
          </cell>
          <cell r="E78">
            <v>1214</v>
          </cell>
        </row>
        <row r="79">
          <cell r="A79" t="str">
            <v>Kho Bac Nha Nuoc</v>
          </cell>
          <cell r="D79" t="str">
            <v>Hai PhongKBNN An Lao HP</v>
          </cell>
          <cell r="E79">
            <v>677</v>
          </cell>
        </row>
        <row r="80">
          <cell r="A80" t="str">
            <v>Kho Bac Nha Nuoc</v>
          </cell>
          <cell r="D80" t="str">
            <v>Hai PhongKBNN Cat Ba HP</v>
          </cell>
          <cell r="E80">
            <v>4933</v>
          </cell>
        </row>
        <row r="81">
          <cell r="A81" t="str">
            <v>Kho Bac Nha Nuoc</v>
          </cell>
          <cell r="D81" t="str">
            <v>Hai DuongKBNN Tinh Hai Duong</v>
          </cell>
          <cell r="E81">
            <v>1150</v>
          </cell>
        </row>
        <row r="82">
          <cell r="A82" t="str">
            <v>Kho Bac Nha Nuoc</v>
          </cell>
          <cell r="D82" t="str">
            <v>Hung YenKBNN Tinh Hung Yen</v>
          </cell>
          <cell r="E82">
            <v>1152</v>
          </cell>
        </row>
        <row r="83">
          <cell r="A83" t="str">
            <v>Kho Bac Nha Nuoc</v>
          </cell>
          <cell r="D83" t="str">
            <v>Bac GiangKBNN Tinh Bac Giang</v>
          </cell>
          <cell r="E83">
            <v>1132</v>
          </cell>
        </row>
        <row r="84">
          <cell r="A84" t="str">
            <v>Kho Bac Nha Nuoc</v>
          </cell>
          <cell r="D84" t="str">
            <v>Bac NinhKBNN Tinh Bac Ninh</v>
          </cell>
          <cell r="E84">
            <v>1134</v>
          </cell>
        </row>
        <row r="85">
          <cell r="A85" t="str">
            <v>Kho Bac Nha Nuoc</v>
          </cell>
          <cell r="D85" t="str">
            <v>Bac NinhKBNN TP Bac Ninh</v>
          </cell>
          <cell r="E85">
            <v>4935</v>
          </cell>
        </row>
        <row r="86">
          <cell r="A86" t="str">
            <v>Kho Bac Nha Nuoc</v>
          </cell>
          <cell r="D86" t="str">
            <v>Phu ThoKBNN Tinh Phu Tho</v>
          </cell>
          <cell r="E86">
            <v>1165</v>
          </cell>
        </row>
        <row r="87">
          <cell r="A87" t="str">
            <v>Kho Bac Nha Nuoc</v>
          </cell>
          <cell r="D87" t="str">
            <v>Vinh PhucKBNN Tinh Vinh Phuc</v>
          </cell>
          <cell r="E87">
            <v>1182</v>
          </cell>
        </row>
        <row r="88">
          <cell r="A88" t="str">
            <v>Kho Bac Nha Nuoc</v>
          </cell>
          <cell r="D88" t="str">
            <v>Hoa BinhKBNN Tinh Hoa Binh</v>
          </cell>
          <cell r="E88">
            <v>1151</v>
          </cell>
        </row>
        <row r="89">
          <cell r="A89" t="str">
            <v>Kho Bac Nha Nuoc</v>
          </cell>
          <cell r="D89" t="str">
            <v>Ha NamKBNN Tinh Ha Nam</v>
          </cell>
          <cell r="E89">
            <v>1147</v>
          </cell>
        </row>
        <row r="90">
          <cell r="A90" t="str">
            <v>Kho Bac Nha Nuoc</v>
          </cell>
          <cell r="D90" t="str">
            <v>Nam DinhKBNN Tinh Nam Dinh</v>
          </cell>
          <cell r="E90">
            <v>1161</v>
          </cell>
        </row>
        <row r="91">
          <cell r="A91" t="str">
            <v>Kho Bac Nha Nuoc</v>
          </cell>
          <cell r="D91" t="str">
            <v>Ninh BinhKBNN Tinh Ninh Binh</v>
          </cell>
          <cell r="E91">
            <v>1163</v>
          </cell>
        </row>
        <row r="92">
          <cell r="A92" t="str">
            <v>Kho Bac Nha Nuoc</v>
          </cell>
          <cell r="D92" t="str">
            <v>Thai BinhKBNN Tinh Thai Binh</v>
          </cell>
          <cell r="E92">
            <v>1175</v>
          </cell>
        </row>
        <row r="93">
          <cell r="A93" t="str">
            <v>Kho Bac Nha Nuoc</v>
          </cell>
          <cell r="D93" t="str">
            <v>Thanh HoaKBNN TP Thanh Hoa</v>
          </cell>
          <cell r="E93">
            <v>4937</v>
          </cell>
        </row>
        <row r="94">
          <cell r="A94" t="str">
            <v>Kho Bac Nha Nuoc</v>
          </cell>
          <cell r="D94" t="str">
            <v>Thanh HoaKBNN Tinh Thanh Hoa</v>
          </cell>
          <cell r="E94">
            <v>1177</v>
          </cell>
        </row>
        <row r="95">
          <cell r="A95" t="str">
            <v>Kho Bac Nha Nuoc</v>
          </cell>
          <cell r="D95" t="str">
            <v>Nghe AnKBNN Tinh Nghe An</v>
          </cell>
          <cell r="E95">
            <v>1162</v>
          </cell>
        </row>
        <row r="96">
          <cell r="A96" t="str">
            <v>Kho Bac Nha Nuoc</v>
          </cell>
          <cell r="D96" t="str">
            <v>Ha TinhKBNN Tinh Ha Tinh</v>
          </cell>
          <cell r="E96">
            <v>1149</v>
          </cell>
        </row>
        <row r="97">
          <cell r="A97" t="str">
            <v>Kho Bac Nha Nuoc</v>
          </cell>
          <cell r="D97" t="str">
            <v>Quang BinhKBNN Tinh Quang Binh</v>
          </cell>
          <cell r="E97">
            <v>1167</v>
          </cell>
        </row>
        <row r="98">
          <cell r="A98" t="str">
            <v>Kho Bac Nha Nuoc</v>
          </cell>
          <cell r="D98" t="str">
            <v>Quang TriKBNN Tinh Quang Tri</v>
          </cell>
          <cell r="E98">
            <v>1171</v>
          </cell>
        </row>
        <row r="99">
          <cell r="A99" t="str">
            <v>Kho Bac Nha Nuoc</v>
          </cell>
          <cell r="D99" t="str">
            <v>Thua Thien HueKBNN Thua Thien Hue</v>
          </cell>
          <cell r="E99">
            <v>1118</v>
          </cell>
        </row>
        <row r="100">
          <cell r="A100" t="str">
            <v>Kho Bac Nha Nuoc</v>
          </cell>
          <cell r="D100" t="str">
            <v>Ho Chi MinhKBNN TP HCM</v>
          </cell>
          <cell r="E100">
            <v>1184</v>
          </cell>
        </row>
        <row r="101">
          <cell r="A101" t="str">
            <v>Kho Bac Nha Nuoc</v>
          </cell>
          <cell r="D101" t="str">
            <v>Da NangKBNN Hai Chau Da Nang</v>
          </cell>
          <cell r="E101">
            <v>3464</v>
          </cell>
        </row>
        <row r="102">
          <cell r="A102" t="str">
            <v>Kho Bac Nha Nuoc</v>
          </cell>
          <cell r="D102" t="str">
            <v>Quang NamKBNN Tinh Quang Nam</v>
          </cell>
          <cell r="E102">
            <v>1168</v>
          </cell>
        </row>
        <row r="103">
          <cell r="A103" t="str">
            <v>Kho Bac Nha Nuoc</v>
          </cell>
          <cell r="D103" t="str">
            <v>Quang NgaiKBNN Tinh Quang Ngai</v>
          </cell>
          <cell r="E103">
            <v>1169</v>
          </cell>
        </row>
        <row r="104">
          <cell r="A104" t="str">
            <v>Kho Bac Nha Nuoc</v>
          </cell>
          <cell r="D104" t="str">
            <v>Binh DinhKBNN Tinh Binh Dinh</v>
          </cell>
          <cell r="E104">
            <v>1136</v>
          </cell>
        </row>
        <row r="105">
          <cell r="A105" t="str">
            <v>Kho Bac Nha Nuoc</v>
          </cell>
          <cell r="D105" t="str">
            <v>Phu YenKBNN Tinh Phu Yen</v>
          </cell>
          <cell r="E105">
            <v>1166</v>
          </cell>
        </row>
        <row r="106">
          <cell r="A106" t="str">
            <v>Kho Bac Nha Nuoc</v>
          </cell>
          <cell r="D106" t="str">
            <v>Khanh HoaKBNN Tinh Khanh Hoa</v>
          </cell>
          <cell r="E106">
            <v>1153</v>
          </cell>
        </row>
        <row r="107">
          <cell r="A107" t="str">
            <v>Kho Bac Nha Nuoc</v>
          </cell>
          <cell r="D107" t="str">
            <v>Khanh HoaKBNN TP Nha Trang</v>
          </cell>
          <cell r="E107">
            <v>718</v>
          </cell>
        </row>
        <row r="108">
          <cell r="A108" t="str">
            <v>Kho Bac Nha Nuoc</v>
          </cell>
          <cell r="D108" t="str">
            <v>Dak NongKBNN Tinh Dak Nong</v>
          </cell>
          <cell r="E108">
            <v>3846</v>
          </cell>
        </row>
        <row r="109">
          <cell r="A109" t="str">
            <v>Kho Bac Nha Nuoc</v>
          </cell>
          <cell r="D109" t="str">
            <v>Binh ThuanKBNN Tinh Binh Thuan</v>
          </cell>
          <cell r="E109">
            <v>1138</v>
          </cell>
        </row>
        <row r="110">
          <cell r="A110" t="str">
            <v>Kho Bac Nha Nuoc</v>
          </cell>
          <cell r="D110" t="str">
            <v>Ninh ThuanKBNN Tinh Ninh Thuan</v>
          </cell>
          <cell r="E110">
            <v>1164</v>
          </cell>
        </row>
        <row r="111">
          <cell r="A111" t="str">
            <v>Kho Bac Nha Nuoc</v>
          </cell>
          <cell r="D111" t="str">
            <v>Gia LaiKBNN Tinh Gia Lai</v>
          </cell>
          <cell r="E111">
            <v>1145</v>
          </cell>
        </row>
        <row r="112">
          <cell r="A112" t="str">
            <v>Kho Bac Nha Nuoc</v>
          </cell>
          <cell r="D112" t="str">
            <v>Kon TumKBNN Tinh Kon Tum</v>
          </cell>
          <cell r="E112">
            <v>1155</v>
          </cell>
        </row>
        <row r="113">
          <cell r="A113" t="str">
            <v>Kho Bac Nha Nuoc</v>
          </cell>
          <cell r="D113" t="str">
            <v>Dac LacKBNN Tinh Dak Lak</v>
          </cell>
          <cell r="E113">
            <v>1142</v>
          </cell>
        </row>
        <row r="114">
          <cell r="A114" t="str">
            <v>Kho Bac Nha Nuoc</v>
          </cell>
          <cell r="D114" t="str">
            <v>Lam DongKBNN Tinh Lam Dong</v>
          </cell>
          <cell r="E114">
            <v>1157</v>
          </cell>
        </row>
        <row r="115">
          <cell r="A115" t="str">
            <v>Kho Bac Nha Nuoc</v>
          </cell>
          <cell r="D115" t="str">
            <v>Hau GiangKBNN Tinh Hau Giang</v>
          </cell>
          <cell r="E115">
            <v>3756</v>
          </cell>
        </row>
        <row r="116">
          <cell r="A116" t="str">
            <v>Kho Bac Nha Nuoc</v>
          </cell>
          <cell r="D116" t="str">
            <v>Binh DuongKBNN Tinh Binh Duong</v>
          </cell>
          <cell r="E116">
            <v>18</v>
          </cell>
        </row>
        <row r="117">
          <cell r="A117" t="str">
            <v>Kho Bac Nha Nuoc</v>
          </cell>
          <cell r="D117" t="str">
            <v>Binh PhuocKBNN Tinh Binh Phuoc</v>
          </cell>
          <cell r="E117">
            <v>1137</v>
          </cell>
        </row>
        <row r="118">
          <cell r="A118" t="str">
            <v>Kho Bac Nha Nuoc</v>
          </cell>
          <cell r="D118" t="str">
            <v>Tay NinhKBNN Tinh Tay Ninh</v>
          </cell>
          <cell r="E118">
            <v>1174</v>
          </cell>
        </row>
        <row r="119">
          <cell r="A119" t="str">
            <v>Kho Bac Nha Nuoc</v>
          </cell>
          <cell r="D119" t="str">
            <v>Dong NaiKBNN Tinh Dong Nai</v>
          </cell>
          <cell r="E119">
            <v>1143</v>
          </cell>
        </row>
        <row r="120">
          <cell r="A120" t="str">
            <v>Kho Bac Nha Nuoc</v>
          </cell>
          <cell r="D120" t="str">
            <v>Dong NaiKBNN TP Bien Hoa</v>
          </cell>
          <cell r="E120">
            <v>1067</v>
          </cell>
        </row>
        <row r="121">
          <cell r="A121" t="str">
            <v>Kho Bac Nha Nuoc</v>
          </cell>
          <cell r="D121" t="str">
            <v>Ba Ria-Vung TauKBNN Tinh Ba Ria Vung Tau</v>
          </cell>
          <cell r="E121">
            <v>1066</v>
          </cell>
        </row>
        <row r="122">
          <cell r="A122" t="str">
            <v>Kho Bac Nha Nuoc</v>
          </cell>
          <cell r="D122" t="str">
            <v>Long AnKBNN Tinh Long An</v>
          </cell>
          <cell r="E122">
            <v>1160</v>
          </cell>
        </row>
        <row r="123">
          <cell r="A123" t="str">
            <v>Kho Bac Nha Nuoc</v>
          </cell>
          <cell r="D123" t="str">
            <v>Dong ThapKBNN Tinh Dong Thap</v>
          </cell>
          <cell r="E123">
            <v>779</v>
          </cell>
        </row>
        <row r="124">
          <cell r="A124" t="str">
            <v>Kho Bac Nha Nuoc</v>
          </cell>
          <cell r="D124" t="str">
            <v>An GiangKBNN Tinh An Giang</v>
          </cell>
          <cell r="E124">
            <v>1130</v>
          </cell>
        </row>
        <row r="125">
          <cell r="A125" t="str">
            <v>Kho Bac Nha Nuoc</v>
          </cell>
          <cell r="D125" t="str">
            <v>Tien GiangKBNN Tinh Tien Giang</v>
          </cell>
          <cell r="E125">
            <v>1178</v>
          </cell>
        </row>
        <row r="126">
          <cell r="A126" t="str">
            <v>Kho Bac Nha Nuoc</v>
          </cell>
          <cell r="D126" t="str">
            <v>Ben TreKBNN Tinh Ben Tre</v>
          </cell>
          <cell r="E126">
            <v>702</v>
          </cell>
        </row>
        <row r="127">
          <cell r="A127" t="str">
            <v>Kho Bac Nha Nuoc</v>
          </cell>
          <cell r="D127" t="str">
            <v>Vinh LongKBNN Tinh Vinh Long</v>
          </cell>
          <cell r="E127">
            <v>1181</v>
          </cell>
        </row>
        <row r="128">
          <cell r="A128" t="str">
            <v>Kho Bac Nha Nuoc</v>
          </cell>
          <cell r="D128" t="str">
            <v>Tra VinhKBNN Tinh Tra Vinh</v>
          </cell>
          <cell r="E128">
            <v>1179</v>
          </cell>
        </row>
        <row r="129">
          <cell r="A129" t="str">
            <v>Kho Bac Nha Nuoc</v>
          </cell>
          <cell r="D129" t="str">
            <v>Can ThoKBNN Tinh Can Tho</v>
          </cell>
          <cell r="E129">
            <v>1140</v>
          </cell>
        </row>
        <row r="130">
          <cell r="A130" t="str">
            <v>Kho Bac Nha Nuoc</v>
          </cell>
          <cell r="D130" t="str">
            <v>Soc TrangKBNN Tinh Soc Trang</v>
          </cell>
          <cell r="E130">
            <v>1172</v>
          </cell>
        </row>
        <row r="131">
          <cell r="A131" t="str">
            <v>Kho Bac Nha Nuoc</v>
          </cell>
          <cell r="D131" t="str">
            <v>Kien GiangKBNN Tinh Kien Giang</v>
          </cell>
          <cell r="E131">
            <v>1154</v>
          </cell>
        </row>
        <row r="132">
          <cell r="A132" t="str">
            <v>Kho Bac Nha Nuoc</v>
          </cell>
          <cell r="D132" t="str">
            <v>Bac LieuKBNN Tinh Bac Lieu</v>
          </cell>
          <cell r="E132">
            <v>1133</v>
          </cell>
        </row>
        <row r="133">
          <cell r="A133" t="str">
            <v>Kho Bac Nha Nuoc</v>
          </cell>
          <cell r="D133" t="str">
            <v>Ca MauKBNN Tinh Ca Mau</v>
          </cell>
          <cell r="E133">
            <v>1139</v>
          </cell>
        </row>
        <row r="134">
          <cell r="A134" t="str">
            <v>Malayan Banking Berhad - CN HCM</v>
          </cell>
          <cell r="D134" t="str">
            <v>Ho Chi MinhMalayan Banking Berhad HCM</v>
          </cell>
          <cell r="E134">
            <v>2763</v>
          </cell>
        </row>
        <row r="135">
          <cell r="A135" t="str">
            <v>MAY BANK</v>
          </cell>
          <cell r="D135" t="str">
            <v>Ha NoiMAY BANK Ha Noi</v>
          </cell>
          <cell r="E135">
            <v>1246</v>
          </cell>
        </row>
        <row r="136">
          <cell r="A136" t="str">
            <v>MIZUHO BANK</v>
          </cell>
          <cell r="D136" t="str">
            <v>Ha NoiMIZUHO BANK HA NOI</v>
          </cell>
          <cell r="E136">
            <v>1247</v>
          </cell>
        </row>
        <row r="137">
          <cell r="A137" t="str">
            <v>MIZUHO BANK</v>
          </cell>
          <cell r="D137" t="str">
            <v>Ho Chi MinhMIZUHO BANK TP HCM</v>
          </cell>
          <cell r="E137">
            <v>2759</v>
          </cell>
        </row>
        <row r="138">
          <cell r="A138" t="str">
            <v>Ngan hang Hop Tac</v>
          </cell>
          <cell r="D138" t="str">
            <v>Ha NoiNH Hop Tac CN SGD</v>
          </cell>
          <cell r="E138">
            <v>4647</v>
          </cell>
        </row>
        <row r="139">
          <cell r="A139" t="str">
            <v>Ngan hang Hop Tac</v>
          </cell>
          <cell r="D139" t="str">
            <v>Ha NoiNH Hop Tac Hoi So Chinh</v>
          </cell>
          <cell r="E139">
            <v>2510</v>
          </cell>
        </row>
        <row r="140">
          <cell r="A140" t="str">
            <v>Ngan hang Hop Tac</v>
          </cell>
          <cell r="D140" t="str">
            <v>Ha NoiNH Hop Tac CN Ha Tay</v>
          </cell>
          <cell r="E140">
            <v>2282</v>
          </cell>
        </row>
        <row r="141">
          <cell r="A141" t="str">
            <v>Ngan hang Hop Tac</v>
          </cell>
          <cell r="D141" t="str">
            <v>Hai PhongNH Hop Tac CN Hai Phong</v>
          </cell>
          <cell r="E141">
            <v>4196</v>
          </cell>
        </row>
        <row r="142">
          <cell r="A142" t="str">
            <v>Ngan hang Hop Tac</v>
          </cell>
          <cell r="D142" t="str">
            <v>Hai DuongNH Hop Tac CN Hai Duong</v>
          </cell>
          <cell r="E142">
            <v>2283</v>
          </cell>
        </row>
        <row r="143">
          <cell r="A143" t="str">
            <v>Ngan hang Hop Tac</v>
          </cell>
          <cell r="D143" t="str">
            <v>Hung YenNH Hop Tac CN Hung Yen</v>
          </cell>
          <cell r="E143">
            <v>2295</v>
          </cell>
        </row>
        <row r="144">
          <cell r="A144" t="str">
            <v>Ngan hang Hop Tac</v>
          </cell>
          <cell r="D144" t="str">
            <v>Bac NinhNH Hop Tac CN Bac Ninh</v>
          </cell>
          <cell r="E144">
            <v>2277</v>
          </cell>
        </row>
        <row r="145">
          <cell r="A145" t="str">
            <v>Ngan hang Hop Tac</v>
          </cell>
          <cell r="D145" t="str">
            <v>Phu ThoNH Hop Tac CN Phu Tho</v>
          </cell>
          <cell r="E145">
            <v>2289</v>
          </cell>
        </row>
        <row r="146">
          <cell r="A146" t="str">
            <v>Ngan hang Hop Tac</v>
          </cell>
          <cell r="D146" t="str">
            <v>Vinh PhucNH Hop Tac CN Vinh Phuc</v>
          </cell>
          <cell r="E146">
            <v>2294</v>
          </cell>
        </row>
        <row r="147">
          <cell r="A147" t="str">
            <v>Ngan hang Hop Tac</v>
          </cell>
          <cell r="D147" t="str">
            <v>Ha NamNH Hop Tac CN Ha Nam</v>
          </cell>
          <cell r="E147">
            <v>4645</v>
          </cell>
        </row>
        <row r="148">
          <cell r="A148" t="str">
            <v>Ngan hang Hop Tac</v>
          </cell>
          <cell r="D148" t="str">
            <v>Ha NamNH Hop Tac CN Hai Ba Trung</v>
          </cell>
          <cell r="E148">
            <v>4646</v>
          </cell>
        </row>
        <row r="149">
          <cell r="A149" t="str">
            <v>Ngan hang Hop Tac</v>
          </cell>
          <cell r="D149" t="str">
            <v>Nam DinhNH Hop Tac CN Nam Dinh</v>
          </cell>
          <cell r="E149">
            <v>2287</v>
          </cell>
        </row>
        <row r="150">
          <cell r="A150" t="str">
            <v>Ngan hang Hop Tac</v>
          </cell>
          <cell r="D150" t="str">
            <v>Ninh BinhNH Hop Tac CN Ninh Binh</v>
          </cell>
          <cell r="E150">
            <v>2297</v>
          </cell>
        </row>
        <row r="151">
          <cell r="A151" t="str">
            <v>Ngan hang Hop Tac</v>
          </cell>
          <cell r="D151" t="str">
            <v>Thai BinhNH Hop Tac CN Thai Binh</v>
          </cell>
          <cell r="E151">
            <v>2292</v>
          </cell>
        </row>
        <row r="152">
          <cell r="A152" t="str">
            <v>Ngan hang Hop Tac</v>
          </cell>
          <cell r="D152" t="str">
            <v>Thanh HoaNH Hop Tac CN Thanh Hoa</v>
          </cell>
          <cell r="E152">
            <v>1921</v>
          </cell>
        </row>
        <row r="153">
          <cell r="A153" t="str">
            <v>Ngan hang Hop Tac</v>
          </cell>
          <cell r="D153" t="str">
            <v>Nghe AnNH Hop Tac CN Nghe An</v>
          </cell>
          <cell r="E153">
            <v>2288</v>
          </cell>
        </row>
        <row r="154">
          <cell r="A154" t="str">
            <v>Ngan hang Hop Tac</v>
          </cell>
          <cell r="D154" t="str">
            <v>Quang BinhNH Hop Tac CN Quang Binh</v>
          </cell>
          <cell r="E154">
            <v>2290</v>
          </cell>
        </row>
        <row r="155">
          <cell r="A155" t="str">
            <v>Ngan hang Hop Tac</v>
          </cell>
          <cell r="D155" t="str">
            <v>Ho Chi MinhNH Hop Tac CN HCM</v>
          </cell>
          <cell r="E155">
            <v>2296</v>
          </cell>
        </row>
        <row r="156">
          <cell r="A156" t="str">
            <v>Ngan hang Hop Tac</v>
          </cell>
          <cell r="D156" t="str">
            <v>Binh DinhNH Hop Tac CN Binh Dinh</v>
          </cell>
          <cell r="E156">
            <v>2278</v>
          </cell>
        </row>
        <row r="157">
          <cell r="A157" t="str">
            <v>Ngan hang Hop Tac</v>
          </cell>
          <cell r="D157" t="str">
            <v>Binh ThuanNH Hop Tac CN Binh Thuan</v>
          </cell>
          <cell r="E157">
            <v>2279</v>
          </cell>
        </row>
        <row r="158">
          <cell r="A158" t="str">
            <v>Ngan hang Hop Tac</v>
          </cell>
          <cell r="D158" t="str">
            <v>Dac LacNH Hop Tac CN Dak Lak</v>
          </cell>
          <cell r="E158">
            <v>2280</v>
          </cell>
        </row>
        <row r="159">
          <cell r="A159" t="str">
            <v>Ngan hang Hop Tac</v>
          </cell>
          <cell r="D159" t="str">
            <v>Lam DongNH Hop Tac CN Lam Dong</v>
          </cell>
          <cell r="E159">
            <v>2285</v>
          </cell>
        </row>
        <row r="160">
          <cell r="A160" t="str">
            <v>Ngan hang Hop Tac</v>
          </cell>
          <cell r="D160" t="str">
            <v>Dong NaiNH Hop Tac CN Dong Nai</v>
          </cell>
          <cell r="E160">
            <v>2281</v>
          </cell>
        </row>
        <row r="161">
          <cell r="A161" t="str">
            <v>Ngan hang Hop Tac</v>
          </cell>
          <cell r="D161" t="str">
            <v>Long AnNH Hop Tac CN Long An</v>
          </cell>
          <cell r="E161">
            <v>2286</v>
          </cell>
        </row>
        <row r="162">
          <cell r="A162" t="str">
            <v>Ngan hang Hop Tac</v>
          </cell>
          <cell r="D162" t="str">
            <v>An GiangNH Hop Tac CN An Giang</v>
          </cell>
          <cell r="E162">
            <v>2276</v>
          </cell>
        </row>
        <row r="163">
          <cell r="A163" t="str">
            <v>Ngan hang Hop Tac</v>
          </cell>
          <cell r="D163" t="str">
            <v>Tra VinhNH Hop Tac CN Tra Vinh</v>
          </cell>
          <cell r="E163">
            <v>2293</v>
          </cell>
        </row>
        <row r="164">
          <cell r="A164" t="str">
            <v>Ngan hang Hop Tac</v>
          </cell>
          <cell r="D164" t="str">
            <v>Soc TrangNH Hop Tac CN Soc Trang</v>
          </cell>
          <cell r="E164">
            <v>2291</v>
          </cell>
        </row>
        <row r="165">
          <cell r="A165" t="str">
            <v>Ngan hang Hop Tac</v>
          </cell>
          <cell r="D165" t="str">
            <v>Kien GiangNH Hop Tac CN Kien Giang</v>
          </cell>
          <cell r="E165">
            <v>2284</v>
          </cell>
        </row>
        <row r="166">
          <cell r="A166" t="str">
            <v>Ngan hang Nha Nuoc</v>
          </cell>
          <cell r="D166" t="str">
            <v>Ha NoiNHNN SGD</v>
          </cell>
          <cell r="E166">
            <v>2531</v>
          </cell>
        </row>
        <row r="167">
          <cell r="A167" t="str">
            <v>Ngan hang Nha Nuoc</v>
          </cell>
          <cell r="D167" t="str">
            <v>Ha NoiNHNN Vu Tai Chinh Ke Toan</v>
          </cell>
          <cell r="E167">
            <v>2542</v>
          </cell>
        </row>
        <row r="168">
          <cell r="A168" t="str">
            <v>Ngan hang Nha Nuoc</v>
          </cell>
          <cell r="D168" t="str">
            <v>Ha NoiNHNN Ha Noi</v>
          </cell>
          <cell r="E168">
            <v>658</v>
          </cell>
        </row>
        <row r="169">
          <cell r="A169" t="str">
            <v>Ngan hang Nha Nuoc</v>
          </cell>
          <cell r="D169" t="str">
            <v>Ha NoiNHNN Cuc Quan Tri</v>
          </cell>
          <cell r="E169">
            <v>659</v>
          </cell>
        </row>
        <row r="170">
          <cell r="A170" t="str">
            <v>Ngan hang Nha Nuoc</v>
          </cell>
          <cell r="D170" t="str">
            <v>Tuyen QuangNHNN Tinh Tuyen Quang</v>
          </cell>
          <cell r="E170">
            <v>322</v>
          </cell>
        </row>
        <row r="171">
          <cell r="A171" t="str">
            <v>Ngan hang Nha Nuoc</v>
          </cell>
          <cell r="D171" t="str">
            <v>Ha GiangNHNN Tinh Ha Giang</v>
          </cell>
          <cell r="E171">
            <v>287</v>
          </cell>
        </row>
        <row r="172">
          <cell r="A172" t="str">
            <v>Ngan hang Nha Nuoc</v>
          </cell>
          <cell r="D172" t="str">
            <v>Cao BangNHNN Tinh Cao Bang</v>
          </cell>
          <cell r="E172">
            <v>282</v>
          </cell>
        </row>
        <row r="173">
          <cell r="A173" t="str">
            <v>Ngan hang Nha Nuoc</v>
          </cell>
          <cell r="D173" t="str">
            <v>Lang SonNHNN Tinh Lang Son</v>
          </cell>
          <cell r="E173">
            <v>299</v>
          </cell>
        </row>
        <row r="174">
          <cell r="A174" t="str">
            <v>Ngan hang Nha Nuoc</v>
          </cell>
          <cell r="D174" t="str">
            <v>Bac CanNHNN Tinh Bac Kan</v>
          </cell>
          <cell r="E174">
            <v>271</v>
          </cell>
        </row>
        <row r="175">
          <cell r="A175" t="str">
            <v>Ngan hang Nha Nuoc</v>
          </cell>
          <cell r="D175" t="str">
            <v>Thai NguyenNHNN Tinh Thai Nguyen</v>
          </cell>
          <cell r="E175">
            <v>317</v>
          </cell>
        </row>
        <row r="176">
          <cell r="A176" t="str">
            <v>Ngan hang Nha Nuoc</v>
          </cell>
          <cell r="D176" t="str">
            <v>Yen BaiNHNN Tinh Yen Bai</v>
          </cell>
          <cell r="E176">
            <v>325</v>
          </cell>
        </row>
        <row r="177">
          <cell r="A177" t="str">
            <v>Ngan hang Nha Nuoc</v>
          </cell>
          <cell r="D177" t="str">
            <v>Lao CaiNHNN Tinh Lao Cai</v>
          </cell>
          <cell r="E177">
            <v>300</v>
          </cell>
        </row>
        <row r="178">
          <cell r="A178" t="str">
            <v>Ngan hang Nha Nuoc</v>
          </cell>
          <cell r="D178" t="str">
            <v>Dien BienNHNN Tinh Dien Bien</v>
          </cell>
          <cell r="E178">
            <v>4669</v>
          </cell>
        </row>
        <row r="179">
          <cell r="A179" t="str">
            <v>Ngan hang Nha Nuoc</v>
          </cell>
          <cell r="D179" t="str">
            <v>Son LaNHNN Tinh Son La</v>
          </cell>
          <cell r="E179">
            <v>314</v>
          </cell>
        </row>
        <row r="180">
          <cell r="A180" t="str">
            <v>Ngan hang Nha Nuoc</v>
          </cell>
          <cell r="D180" t="str">
            <v>Quang NinhNHNN Tinh Quang Ninh</v>
          </cell>
          <cell r="E180">
            <v>311</v>
          </cell>
        </row>
        <row r="181">
          <cell r="A181" t="str">
            <v>Ngan hang Nha Nuoc</v>
          </cell>
          <cell r="D181" t="str">
            <v>Lai ChauNHNN Tinh Lai Chau</v>
          </cell>
          <cell r="E181">
            <v>297</v>
          </cell>
        </row>
        <row r="182">
          <cell r="A182" t="str">
            <v>Ngan hang Nha Nuoc</v>
          </cell>
          <cell r="D182" t="str">
            <v>Hai PhongNHNN TP Hai Phong</v>
          </cell>
          <cell r="E182">
            <v>267</v>
          </cell>
        </row>
        <row r="183">
          <cell r="A183" t="str">
            <v>Ngan hang Nha Nuoc</v>
          </cell>
          <cell r="D183" t="str">
            <v>Hai DuongNHNN Tinh Hai Duong</v>
          </cell>
          <cell r="E183">
            <v>291</v>
          </cell>
        </row>
        <row r="184">
          <cell r="A184" t="str">
            <v>Ngan hang Nha Nuoc</v>
          </cell>
          <cell r="D184" t="str">
            <v>Hung YenNHNN Tinh Hung Yen</v>
          </cell>
          <cell r="E184">
            <v>293</v>
          </cell>
        </row>
        <row r="185">
          <cell r="A185" t="str">
            <v>Ngan hang Nha Nuoc</v>
          </cell>
          <cell r="D185" t="str">
            <v>Bac GiangNHNN Tinh Bac Giang</v>
          </cell>
          <cell r="E185">
            <v>272</v>
          </cell>
        </row>
        <row r="186">
          <cell r="A186" t="str">
            <v>Ngan hang Nha Nuoc</v>
          </cell>
          <cell r="D186" t="str">
            <v>Bac NinhNHNN Tinh Bac Ninh</v>
          </cell>
          <cell r="E186">
            <v>274</v>
          </cell>
        </row>
        <row r="187">
          <cell r="A187" t="str">
            <v>Ngan hang Nha Nuoc</v>
          </cell>
          <cell r="D187" t="str">
            <v>Phu ThoNHNN Tinh Phu Tho</v>
          </cell>
          <cell r="E187">
            <v>306</v>
          </cell>
        </row>
        <row r="188">
          <cell r="A188" t="str">
            <v>Ngan hang Nha Nuoc</v>
          </cell>
          <cell r="D188" t="str">
            <v>Vinh PhucNHNN Tinh Vinh Phuc</v>
          </cell>
          <cell r="E188">
            <v>324</v>
          </cell>
        </row>
        <row r="189">
          <cell r="A189" t="str">
            <v>Ngan hang Nha Nuoc</v>
          </cell>
          <cell r="D189" t="str">
            <v>Hoa BinhNHNN Tinh Hoa Binh</v>
          </cell>
          <cell r="E189">
            <v>292</v>
          </cell>
        </row>
        <row r="190">
          <cell r="A190" t="str">
            <v>Ngan hang Nha Nuoc</v>
          </cell>
          <cell r="D190" t="str">
            <v>Ha NamNHNN Tinh Ha Nam</v>
          </cell>
          <cell r="E190">
            <v>288</v>
          </cell>
        </row>
        <row r="191">
          <cell r="A191" t="str">
            <v>Ngan hang Nha Nuoc</v>
          </cell>
          <cell r="D191" t="str">
            <v>Nam DinhNHNN Tinh Nam Dinh</v>
          </cell>
          <cell r="E191">
            <v>302</v>
          </cell>
        </row>
        <row r="192">
          <cell r="A192" t="str">
            <v>Ngan hang Nha Nuoc</v>
          </cell>
          <cell r="D192" t="str">
            <v>Ninh BinhNHNN Tinh Ninh Binh</v>
          </cell>
          <cell r="E192">
            <v>304</v>
          </cell>
        </row>
        <row r="193">
          <cell r="A193" t="str">
            <v>Ngan hang Nha Nuoc</v>
          </cell>
          <cell r="D193" t="str">
            <v>Thai BinhNHNN Tinh Thai Binh</v>
          </cell>
          <cell r="E193">
            <v>316</v>
          </cell>
        </row>
        <row r="194">
          <cell r="A194" t="str">
            <v>Ngan hang Nha Nuoc</v>
          </cell>
          <cell r="D194" t="str">
            <v>Thanh HoaNHNN Tinh Thanh Hoa</v>
          </cell>
          <cell r="E194">
            <v>318</v>
          </cell>
        </row>
        <row r="195">
          <cell r="A195" t="str">
            <v>Ngan hang Nha Nuoc</v>
          </cell>
          <cell r="D195" t="str">
            <v>Nghe AnNHNN Tinh Nghe An</v>
          </cell>
          <cell r="E195">
            <v>303</v>
          </cell>
        </row>
        <row r="196">
          <cell r="A196" t="str">
            <v>Ngan hang Nha Nuoc</v>
          </cell>
          <cell r="D196" t="str">
            <v>Ha TinhNHNN Tinh Ha Tinh</v>
          </cell>
          <cell r="E196">
            <v>290</v>
          </cell>
        </row>
        <row r="197">
          <cell r="A197" t="str">
            <v>Ngan hang Nha Nuoc</v>
          </cell>
          <cell r="D197" t="str">
            <v>Quang BinhNHNN Tinh Quang Binh</v>
          </cell>
          <cell r="E197">
            <v>308</v>
          </cell>
        </row>
        <row r="198">
          <cell r="A198" t="str">
            <v>Ngan hang Nha Nuoc</v>
          </cell>
          <cell r="D198" t="str">
            <v>Quang TriNHNN Tinh Quang Tri</v>
          </cell>
          <cell r="E198">
            <v>312</v>
          </cell>
        </row>
        <row r="199">
          <cell r="A199" t="str">
            <v>Ngan hang Nha Nuoc</v>
          </cell>
          <cell r="D199" t="str">
            <v>Thua Thien HueNHNN Thua Thien Hue</v>
          </cell>
          <cell r="E199">
            <v>319</v>
          </cell>
        </row>
        <row r="200">
          <cell r="A200" t="str">
            <v>Ngan hang Nha Nuoc</v>
          </cell>
          <cell r="D200" t="str">
            <v>Ho Chi MinhNHNN TPHCM</v>
          </cell>
          <cell r="E200">
            <v>268</v>
          </cell>
        </row>
        <row r="201">
          <cell r="A201" t="str">
            <v>Ngan hang Nha Nuoc</v>
          </cell>
          <cell r="D201" t="str">
            <v>Ho Chi MinhNHNN VPDD tai TPHCM</v>
          </cell>
          <cell r="E201">
            <v>2541</v>
          </cell>
        </row>
        <row r="202">
          <cell r="A202" t="str">
            <v>Ngan hang Nha Nuoc</v>
          </cell>
          <cell r="D202" t="str">
            <v>Da NangNHNN TP Da Nang</v>
          </cell>
          <cell r="E202">
            <v>654</v>
          </cell>
        </row>
        <row r="203">
          <cell r="A203" t="str">
            <v>Ngan hang Nha Nuoc</v>
          </cell>
          <cell r="D203" t="str">
            <v>Quang NamNHNN Tinh Quang Nam</v>
          </cell>
          <cell r="E203">
            <v>309</v>
          </cell>
        </row>
        <row r="204">
          <cell r="A204" t="str">
            <v>Ngan hang Nha Nuoc</v>
          </cell>
          <cell r="D204" t="str">
            <v>Quang NgaiNHNN Tinh Quang Ngai</v>
          </cell>
          <cell r="E204">
            <v>310</v>
          </cell>
        </row>
        <row r="205">
          <cell r="A205" t="str">
            <v>Ngan hang Nha Nuoc</v>
          </cell>
          <cell r="D205" t="str">
            <v>Binh DinhNHNN Tinh Binh Dinh</v>
          </cell>
          <cell r="E205">
            <v>276</v>
          </cell>
        </row>
        <row r="206">
          <cell r="A206" t="str">
            <v>Ngan hang Nha Nuoc</v>
          </cell>
          <cell r="D206" t="str">
            <v>Phu YenNHNN Tinh Phu Yen</v>
          </cell>
          <cell r="E206">
            <v>307</v>
          </cell>
        </row>
        <row r="207">
          <cell r="A207" t="str">
            <v>Ngan hang Nha Nuoc</v>
          </cell>
          <cell r="D207" t="str">
            <v>Khanh HoaNHNN Tinh Khanh Hoa</v>
          </cell>
          <cell r="E207">
            <v>294</v>
          </cell>
        </row>
        <row r="208">
          <cell r="A208" t="str">
            <v>Ngan hang Nha Nuoc</v>
          </cell>
          <cell r="D208" t="str">
            <v>Dak NongNHNN Tinh Dak Nong</v>
          </cell>
          <cell r="E208">
            <v>4668</v>
          </cell>
        </row>
        <row r="209">
          <cell r="A209" t="str">
            <v>Ngan hang Nha Nuoc</v>
          </cell>
          <cell r="D209" t="str">
            <v>Binh ThuanNHNN Tinh Binh Thuan</v>
          </cell>
          <cell r="E209">
            <v>279</v>
          </cell>
        </row>
        <row r="210">
          <cell r="A210" t="str">
            <v>Ngan hang Nha Nuoc</v>
          </cell>
          <cell r="D210" t="str">
            <v>Ninh ThuanNHNN Tinh Ninh Thuan</v>
          </cell>
          <cell r="E210">
            <v>305</v>
          </cell>
        </row>
        <row r="211">
          <cell r="A211" t="str">
            <v>Ngan hang Nha Nuoc</v>
          </cell>
          <cell r="D211" t="str">
            <v>Gia LaiNHNN Tinh Gia Lai</v>
          </cell>
          <cell r="E211">
            <v>286</v>
          </cell>
        </row>
        <row r="212">
          <cell r="A212" t="str">
            <v>Ngan hang Nha Nuoc</v>
          </cell>
          <cell r="D212" t="str">
            <v>Kon TumNHNN Tinh Kon Tum</v>
          </cell>
          <cell r="E212">
            <v>296</v>
          </cell>
        </row>
        <row r="213">
          <cell r="A213" t="str">
            <v>Ngan hang Nha Nuoc</v>
          </cell>
          <cell r="D213" t="str">
            <v>Dac LacNHNN Tinh Dak Lak</v>
          </cell>
          <cell r="E213">
            <v>283</v>
          </cell>
        </row>
        <row r="214">
          <cell r="A214" t="str">
            <v>Ngan hang Nha Nuoc</v>
          </cell>
          <cell r="D214" t="str">
            <v>Lam DongNHNN Tinh Lam Dong</v>
          </cell>
          <cell r="E214">
            <v>298</v>
          </cell>
        </row>
        <row r="215">
          <cell r="A215" t="str">
            <v>Ngan hang Nha Nuoc</v>
          </cell>
          <cell r="D215" t="str">
            <v>Hau GiangNHNN Tinh Hau Giang</v>
          </cell>
          <cell r="E215">
            <v>4102</v>
          </cell>
        </row>
        <row r="216">
          <cell r="A216" t="str">
            <v>Ngan hang Nha Nuoc</v>
          </cell>
          <cell r="D216" t="str">
            <v>Binh DuongNHNN Tinh Binh Duong</v>
          </cell>
          <cell r="E216">
            <v>277</v>
          </cell>
        </row>
        <row r="217">
          <cell r="A217" t="str">
            <v>Ngan hang Nha Nuoc</v>
          </cell>
          <cell r="D217" t="str">
            <v>Binh PhuocNHNN Tinh Binh Phuoc</v>
          </cell>
          <cell r="E217">
            <v>278</v>
          </cell>
        </row>
        <row r="218">
          <cell r="A218" t="str">
            <v>Ngan hang Nha Nuoc</v>
          </cell>
          <cell r="D218" t="str">
            <v>Tay NinhNHNN Tinh Tay Ninh</v>
          </cell>
          <cell r="E218">
            <v>315</v>
          </cell>
        </row>
        <row r="219">
          <cell r="A219" t="str">
            <v>Ngan hang Nha Nuoc</v>
          </cell>
          <cell r="D219" t="str">
            <v>Dong NaiNHNN Tinh Dong Nai</v>
          </cell>
          <cell r="E219">
            <v>284</v>
          </cell>
        </row>
        <row r="220">
          <cell r="A220" t="str">
            <v>Ngan hang Nha Nuoc</v>
          </cell>
          <cell r="D220" t="str">
            <v>Ba Ria-Vung TauNHNN Tinh Ba Ria Vung Tau</v>
          </cell>
          <cell r="E220">
            <v>270</v>
          </cell>
        </row>
        <row r="221">
          <cell r="A221" t="str">
            <v>Ngan hang Nha Nuoc</v>
          </cell>
          <cell r="D221" t="str">
            <v>Long AnNHNN Tinh Long An</v>
          </cell>
          <cell r="E221">
            <v>301</v>
          </cell>
        </row>
        <row r="222">
          <cell r="A222" t="str">
            <v>Ngan hang Nha Nuoc</v>
          </cell>
          <cell r="D222" t="str">
            <v>Dong ThapNHNN Tinh Dong Thap</v>
          </cell>
          <cell r="E222">
            <v>285</v>
          </cell>
        </row>
        <row r="223">
          <cell r="A223" t="str">
            <v>Ngan hang Nha Nuoc</v>
          </cell>
          <cell r="D223" t="str">
            <v>An GiangNHNN Tinh An Giang</v>
          </cell>
          <cell r="E223">
            <v>269</v>
          </cell>
        </row>
        <row r="224">
          <cell r="A224" t="str">
            <v>Ngan hang Nha Nuoc</v>
          </cell>
          <cell r="D224" t="str">
            <v>Tien GiangNHNN Tinh Tien Giang</v>
          </cell>
          <cell r="E224">
            <v>320</v>
          </cell>
        </row>
        <row r="225">
          <cell r="A225" t="str">
            <v>Ngan hang Nha Nuoc</v>
          </cell>
          <cell r="D225" t="str">
            <v>Ben TreNHNN Tinh Ben Tre</v>
          </cell>
          <cell r="E225">
            <v>275</v>
          </cell>
        </row>
        <row r="226">
          <cell r="A226" t="str">
            <v>Ngan hang Nha Nuoc</v>
          </cell>
          <cell r="D226" t="str">
            <v>Vinh LongNHNN Tinh Vinh Long</v>
          </cell>
          <cell r="E226">
            <v>323</v>
          </cell>
        </row>
        <row r="227">
          <cell r="A227" t="str">
            <v>Ngan hang Nha Nuoc</v>
          </cell>
          <cell r="D227" t="str">
            <v>Tra VinhNHNN Tinh Tra Vinh</v>
          </cell>
          <cell r="E227">
            <v>321</v>
          </cell>
        </row>
        <row r="228">
          <cell r="A228" t="str">
            <v>Ngan hang Nha Nuoc</v>
          </cell>
          <cell r="D228" t="str">
            <v>Can ThoNHNN TP Can Tho</v>
          </cell>
          <cell r="E228">
            <v>281</v>
          </cell>
        </row>
        <row r="229">
          <cell r="A229" t="str">
            <v>Ngan hang Nha Nuoc</v>
          </cell>
          <cell r="D229" t="str">
            <v>Soc TrangNHNN Tinh Soc Trang</v>
          </cell>
          <cell r="E229">
            <v>313</v>
          </cell>
        </row>
        <row r="230">
          <cell r="A230" t="str">
            <v>Ngan hang Nha Nuoc</v>
          </cell>
          <cell r="D230" t="str">
            <v>Kien GiangNHNN Tinh Kien Giang</v>
          </cell>
          <cell r="E230">
            <v>295</v>
          </cell>
        </row>
        <row r="231">
          <cell r="A231" t="str">
            <v>Ngan hang Nha Nuoc</v>
          </cell>
          <cell r="D231" t="str">
            <v>Bac LieuNHNN Tinh Bac Lieu</v>
          </cell>
          <cell r="E231">
            <v>273</v>
          </cell>
        </row>
        <row r="232">
          <cell r="A232" t="str">
            <v>Ngan hang Nha Nuoc</v>
          </cell>
          <cell r="D232" t="str">
            <v>Ca MauNHNN Tinh Ca Mau</v>
          </cell>
          <cell r="E232">
            <v>280</v>
          </cell>
        </row>
        <row r="233">
          <cell r="A233" t="str">
            <v>Ngan Hang Phat Trien Viet Nam (VDB)</v>
          </cell>
          <cell r="D233" t="str">
            <v>Ha NoiPhat Trien VN Hoi so chinh</v>
          </cell>
          <cell r="E233">
            <v>3955</v>
          </cell>
        </row>
        <row r="234">
          <cell r="A234" t="str">
            <v>Ngan Hang Phat Trien Viet Nam (VDB)</v>
          </cell>
          <cell r="D234" t="str">
            <v>Ha NoiPhat Trien VN So Giao Dich I</v>
          </cell>
          <cell r="E234">
            <v>3956</v>
          </cell>
        </row>
        <row r="235">
          <cell r="A235" t="str">
            <v>Ngan Hang Phat Trien Viet Nam (VDB)</v>
          </cell>
          <cell r="D235" t="str">
            <v>Tuyen QuangPhat Trien VN CN Tuyen Quang</v>
          </cell>
          <cell r="E235">
            <v>4172</v>
          </cell>
        </row>
        <row r="236">
          <cell r="A236" t="str">
            <v>Ngan Hang Phat Trien Viet Nam (VDB)</v>
          </cell>
          <cell r="D236" t="str">
            <v>Ha GiangPhat Trien VN CN Ha Giang</v>
          </cell>
          <cell r="E236">
            <v>4169</v>
          </cell>
        </row>
        <row r="237">
          <cell r="A237" t="str">
            <v>Ngan Hang Phat Trien Viet Nam (VDB)</v>
          </cell>
          <cell r="D237" t="str">
            <v>Cao BangPhat Trien VN CN Cao Bang</v>
          </cell>
          <cell r="E237">
            <v>4171</v>
          </cell>
        </row>
        <row r="238">
          <cell r="A238" t="str">
            <v>Ngan Hang Phat Trien Viet Nam (VDB)</v>
          </cell>
          <cell r="D238" t="str">
            <v>Lang SonPhat Trien VN CN Lang Son</v>
          </cell>
          <cell r="E238">
            <v>4186</v>
          </cell>
        </row>
        <row r="239">
          <cell r="A239" t="str">
            <v>Ngan Hang Phat Trien Viet Nam (VDB)</v>
          </cell>
          <cell r="D239" t="str">
            <v>Bac CanPhat Trien VN CN Bac Kan</v>
          </cell>
          <cell r="E239">
            <v>4738</v>
          </cell>
        </row>
        <row r="240">
          <cell r="A240" t="str">
            <v>Ngan Hang Phat Trien Viet Nam (VDB)</v>
          </cell>
          <cell r="D240" t="str">
            <v>Thai NguyenPhat trien VN KV Bac Can Thai Nguyen</v>
          </cell>
          <cell r="E240">
            <v>4764</v>
          </cell>
        </row>
        <row r="241">
          <cell r="A241" t="str">
            <v>Ngan Hang Phat Trien Viet Nam (VDB)</v>
          </cell>
          <cell r="D241" t="str">
            <v>Yen BaiPhat Trien VN CN Yen Bai</v>
          </cell>
          <cell r="E241">
            <v>4179</v>
          </cell>
        </row>
        <row r="242">
          <cell r="A242" t="str">
            <v>Ngan Hang Phat Trien Viet Nam (VDB)</v>
          </cell>
          <cell r="D242" t="str">
            <v>Lao CaiPhat Trien VN CN Lao Cai</v>
          </cell>
          <cell r="E242">
            <v>4174</v>
          </cell>
        </row>
        <row r="243">
          <cell r="A243" t="str">
            <v>Ngan Hang Phat Trien Viet Nam (VDB)</v>
          </cell>
          <cell r="D243" t="str">
            <v>Dien BienPhat Trien VN CN Dien Bien</v>
          </cell>
          <cell r="E243">
            <v>4175</v>
          </cell>
        </row>
        <row r="244">
          <cell r="A244" t="str">
            <v>Ngan Hang Phat Trien Viet Nam (VDB)</v>
          </cell>
          <cell r="D244" t="str">
            <v>Son LaPhat Trien VN CN Son La</v>
          </cell>
          <cell r="E244">
            <v>4178</v>
          </cell>
        </row>
        <row r="245">
          <cell r="A245" t="str">
            <v>Ngan Hang Phat Trien Viet Nam (VDB)</v>
          </cell>
          <cell r="D245" t="str">
            <v>Quang NinhPhat Trien VN CN Quang Ninh</v>
          </cell>
          <cell r="E245">
            <v>4758</v>
          </cell>
        </row>
        <row r="246">
          <cell r="A246" t="str">
            <v>Ngan Hang Phat Trien Viet Nam (VDB)</v>
          </cell>
          <cell r="D246" t="str">
            <v>Lai ChauPhat Trien VN CN Lai Chau</v>
          </cell>
          <cell r="E246">
            <v>4177</v>
          </cell>
        </row>
        <row r="247">
          <cell r="A247" t="str">
            <v>Ngan Hang Phat Trien Viet Nam (VDB)</v>
          </cell>
          <cell r="D247" t="str">
            <v>Hai PhongPhat Trien VN CN Hai Phong</v>
          </cell>
          <cell r="E247">
            <v>2843</v>
          </cell>
        </row>
        <row r="248">
          <cell r="A248" t="str">
            <v>Ngan Hang Phat Trien Viet Nam (VDB)</v>
          </cell>
          <cell r="D248" t="str">
            <v>Hai DuongPhat Trien VN CN Hai Duong</v>
          </cell>
          <cell r="E248">
            <v>4746</v>
          </cell>
        </row>
        <row r="249">
          <cell r="A249" t="str">
            <v>Ngan Hang Phat Trien Viet Nam (VDB)</v>
          </cell>
          <cell r="D249" t="str">
            <v>Hung YenPhat trien VN CN Hung Yen</v>
          </cell>
          <cell r="E249">
            <v>4748</v>
          </cell>
        </row>
        <row r="250">
          <cell r="A250" t="str">
            <v>Ngan Hang Phat Trien Viet Nam (VDB)</v>
          </cell>
          <cell r="D250" t="str">
            <v>Bac GiangPhat Trien VN khu vuc Bac Ninh Bac Giang</v>
          </cell>
          <cell r="E250">
            <v>4763</v>
          </cell>
        </row>
        <row r="251">
          <cell r="A251" t="str">
            <v>Ngan Hang Phat Trien Viet Nam (VDB)</v>
          </cell>
          <cell r="D251" t="str">
            <v>Bac NinhPhat Trien VN CN Bac Ninh</v>
          </cell>
          <cell r="E251">
            <v>4739</v>
          </cell>
        </row>
        <row r="252">
          <cell r="A252" t="str">
            <v>Ngan Hang Phat Trien Viet Nam (VDB)</v>
          </cell>
          <cell r="D252" t="str">
            <v>Phu ThoPhat Trien VN CN Phu Tho</v>
          </cell>
          <cell r="E252">
            <v>4753</v>
          </cell>
        </row>
        <row r="253">
          <cell r="A253" t="str">
            <v>Ngan Hang Phat Trien Viet Nam (VDB)</v>
          </cell>
          <cell r="D253" t="str">
            <v>Hoa BinhPhat Trien VN CN Hoa Binh</v>
          </cell>
          <cell r="E253">
            <v>4747</v>
          </cell>
        </row>
        <row r="254">
          <cell r="A254" t="str">
            <v>Ngan Hang Phat Trien Viet Nam (VDB)</v>
          </cell>
          <cell r="D254" t="str">
            <v>Ha NamPhat Trien VN CN Ha Nam</v>
          </cell>
          <cell r="E254">
            <v>4744</v>
          </cell>
        </row>
        <row r="255">
          <cell r="A255" t="str">
            <v>Ngan Hang Phat Trien Viet Nam (VDB)</v>
          </cell>
          <cell r="D255" t="str">
            <v>Nam DinhPhat Trien VN CN Nam Dinh</v>
          </cell>
          <cell r="E255">
            <v>4749</v>
          </cell>
        </row>
        <row r="256">
          <cell r="A256" t="str">
            <v>Ngan Hang Phat Trien Viet Nam (VDB)</v>
          </cell>
          <cell r="D256" t="str">
            <v>Ninh BinhPhat Trien VN CN Ninh Binh</v>
          </cell>
          <cell r="E256">
            <v>4751</v>
          </cell>
        </row>
        <row r="257">
          <cell r="A257" t="str">
            <v>Ngan Hang Phat Trien Viet Nam (VDB)</v>
          </cell>
          <cell r="D257" t="str">
            <v>Thai BinhPhat Trien VN CN Thai Binh</v>
          </cell>
          <cell r="E257">
            <v>4760</v>
          </cell>
        </row>
        <row r="258">
          <cell r="A258" t="str">
            <v>Ngan Hang Phat Trien Viet Nam (VDB)</v>
          </cell>
          <cell r="D258" t="str">
            <v>Thanh HoaPhat Trien VN CN Thanh Hoa</v>
          </cell>
          <cell r="E258">
            <v>4761</v>
          </cell>
        </row>
        <row r="259">
          <cell r="A259" t="str">
            <v>Ngan Hang Phat Trien Viet Nam (VDB)</v>
          </cell>
          <cell r="D259" t="str">
            <v>Nghe AnPhat Trien VN CN Nghe An</v>
          </cell>
          <cell r="E259">
            <v>4750</v>
          </cell>
        </row>
        <row r="260">
          <cell r="A260" t="str">
            <v>Ngan Hang Phat Trien Viet Nam (VDB)</v>
          </cell>
          <cell r="D260" t="str">
            <v>Ha TinhPhat Trien VN CN Ha Tinh</v>
          </cell>
          <cell r="E260">
            <v>4745</v>
          </cell>
        </row>
        <row r="261">
          <cell r="A261" t="str">
            <v>Ngan Hang Phat Trien Viet Nam (VDB)</v>
          </cell>
          <cell r="D261" t="str">
            <v>Quang BinhPhat Trien VN CN Quang Binh</v>
          </cell>
          <cell r="E261">
            <v>4755</v>
          </cell>
        </row>
        <row r="262">
          <cell r="A262" t="str">
            <v>Ngan Hang Phat Trien Viet Nam (VDB)</v>
          </cell>
          <cell r="D262" t="str">
            <v>Quang TriPhat Trien VN CN Quang Tri</v>
          </cell>
          <cell r="E262">
            <v>4759</v>
          </cell>
        </row>
        <row r="263">
          <cell r="A263" t="str">
            <v>Ngan Hang Phat Trien Viet Nam (VDB)</v>
          </cell>
          <cell r="D263" t="str">
            <v>Thua Thien HuePhat Trien VN CN Thua Thien Hue</v>
          </cell>
          <cell r="E263">
            <v>4762</v>
          </cell>
        </row>
        <row r="264">
          <cell r="A264" t="str">
            <v>Ngan Hang Phat Trien Viet Nam (VDB)</v>
          </cell>
          <cell r="D264" t="str">
            <v>Ho Chi MinhPhat Trien VN SGD 2</v>
          </cell>
          <cell r="E264">
            <v>2973</v>
          </cell>
        </row>
        <row r="265">
          <cell r="A265" t="str">
            <v>Ngan Hang Phat Trien Viet Nam (VDB)</v>
          </cell>
          <cell r="D265" t="str">
            <v>Da NangPhat Trien VN CN Da Nang</v>
          </cell>
          <cell r="E265">
            <v>4742</v>
          </cell>
        </row>
        <row r="266">
          <cell r="A266" t="str">
            <v>Ngan Hang Phat Trien Viet Nam (VDB)</v>
          </cell>
          <cell r="D266" t="str">
            <v>Quang NamPhat Trien VN CN Quang Nam</v>
          </cell>
          <cell r="E266">
            <v>4756</v>
          </cell>
        </row>
        <row r="267">
          <cell r="A267" t="str">
            <v>Ngan Hang Phat Trien Viet Nam (VDB)</v>
          </cell>
          <cell r="D267" t="str">
            <v>Quang NgaiPhat Trien VN CN Quang Ngai</v>
          </cell>
          <cell r="E267">
            <v>4757</v>
          </cell>
        </row>
        <row r="268">
          <cell r="A268" t="str">
            <v>Ngan Hang Phat Trien Viet Nam (VDB)</v>
          </cell>
          <cell r="D268" t="str">
            <v>Binh DinhPhat Trien VN CN Binh Dinh</v>
          </cell>
          <cell r="E268">
            <v>4740</v>
          </cell>
        </row>
        <row r="269">
          <cell r="A269" t="str">
            <v>Ngan Hang Phat Trien Viet Nam (VDB)</v>
          </cell>
          <cell r="D269" t="str">
            <v>Phu YenPhat Trien VN CN Phu Yen</v>
          </cell>
          <cell r="E269">
            <v>4754</v>
          </cell>
        </row>
        <row r="270">
          <cell r="A270" t="str">
            <v>Ngan Hang Phat Trien Viet Nam (VDB)</v>
          </cell>
          <cell r="D270" t="str">
            <v>Khanh HoaPhat Trien VN CN Khanh Hoa</v>
          </cell>
          <cell r="E270">
            <v>3171</v>
          </cell>
        </row>
        <row r="271">
          <cell r="A271" t="str">
            <v>Ngan Hang Phat Trien Viet Nam (VDB)</v>
          </cell>
          <cell r="D271" t="str">
            <v>Binh ThuanPhat Trien VN CN Binh Thuan</v>
          </cell>
          <cell r="E271">
            <v>4741</v>
          </cell>
        </row>
        <row r="272">
          <cell r="A272" t="str">
            <v>Ngan Hang Phat Trien Viet Nam (VDB)</v>
          </cell>
          <cell r="D272" t="str">
            <v>Ninh ThuanPhat Trien VN CN Ninh Thuan</v>
          </cell>
          <cell r="E272">
            <v>4752</v>
          </cell>
        </row>
        <row r="273">
          <cell r="A273" t="str">
            <v>Ngan Hang Phat Trien Viet Nam (VDB)</v>
          </cell>
          <cell r="D273" t="str">
            <v>Gia LaiPhat Trien VN CN Gia Lai</v>
          </cell>
          <cell r="E273">
            <v>4743</v>
          </cell>
        </row>
        <row r="274">
          <cell r="A274" t="str">
            <v>Ngan Hang Phat Trien Viet Nam (VDB)</v>
          </cell>
          <cell r="D274" t="str">
            <v>Dac LacPhat Trien VN khu vuc Dak Lak - Dak Nong</v>
          </cell>
          <cell r="E274">
            <v>4272</v>
          </cell>
        </row>
        <row r="275">
          <cell r="A275" t="str">
            <v>Ngan Hang Phat Trien Viet Nam (VDB)</v>
          </cell>
          <cell r="D275" t="str">
            <v>Lam DongPhat Trien VN CN Lam Dong</v>
          </cell>
          <cell r="E275">
            <v>4268</v>
          </cell>
        </row>
        <row r="276">
          <cell r="A276" t="str">
            <v>Ngan Hang Phat Trien Viet Nam (VDB)</v>
          </cell>
          <cell r="D276" t="str">
            <v>Binh DuongPhat Trien VN CN Binh Duong</v>
          </cell>
          <cell r="E276">
            <v>3344</v>
          </cell>
        </row>
        <row r="277">
          <cell r="A277" t="str">
            <v>Ngan Hang Phat Trien Viet Nam (VDB)</v>
          </cell>
          <cell r="D277" t="str">
            <v>Binh PhuocPhat Trien VN CN Binh Phuoc</v>
          </cell>
          <cell r="E277">
            <v>4267</v>
          </cell>
        </row>
        <row r="278">
          <cell r="A278" t="str">
            <v>Ngan Hang Phat Trien Viet Nam (VDB)</v>
          </cell>
          <cell r="D278" t="str">
            <v>Tay NinhPhat Trien Viet Nam CN Tay Ninh</v>
          </cell>
          <cell r="E278">
            <v>4264</v>
          </cell>
        </row>
        <row r="279">
          <cell r="A279" t="str">
            <v>Ngan Hang Phat Trien Viet Nam (VDB)</v>
          </cell>
          <cell r="D279" t="str">
            <v>Dong NaiPhat Trien VN CN Dong Nai</v>
          </cell>
          <cell r="E279">
            <v>4258</v>
          </cell>
        </row>
        <row r="280">
          <cell r="A280" t="str">
            <v>Ngan Hang Phat Trien Viet Nam (VDB)</v>
          </cell>
          <cell r="D280" t="str">
            <v>Ba Ria-Vung TauPhat Trien VN CN Ba Ria Vung Tau</v>
          </cell>
          <cell r="E280">
            <v>4253</v>
          </cell>
        </row>
        <row r="281">
          <cell r="A281" t="str">
            <v>Ngan Hang Phat Trien Viet Nam (VDB)</v>
          </cell>
          <cell r="D281" t="str">
            <v>Dong ThapPhat Trien VN CN Dong Thap</v>
          </cell>
          <cell r="E281">
            <v>3000</v>
          </cell>
        </row>
        <row r="282">
          <cell r="A282" t="str">
            <v>Ngan Hang Phat Trien Viet Nam (VDB)</v>
          </cell>
          <cell r="D282" t="str">
            <v>An GiangPhat Trien VN CN An Giang</v>
          </cell>
          <cell r="E282">
            <v>4134</v>
          </cell>
        </row>
        <row r="283">
          <cell r="A283" t="str">
            <v>Ngan Hang Phat Trien Viet Nam (VDB)</v>
          </cell>
          <cell r="D283" t="str">
            <v>Tien GiangPhat Trien VN CN Tien Giang</v>
          </cell>
          <cell r="E283">
            <v>4237</v>
          </cell>
        </row>
        <row r="284">
          <cell r="A284" t="str">
            <v>Ngan Hang Phat Trien Viet Nam (VDB)</v>
          </cell>
          <cell r="D284" t="str">
            <v>Ben TrePhat Trien VN CN Ben Tre</v>
          </cell>
          <cell r="E284">
            <v>4231</v>
          </cell>
        </row>
        <row r="285">
          <cell r="A285" t="str">
            <v>Ngan Hang Phat Trien Viet Nam (VDB)</v>
          </cell>
          <cell r="D285" t="str">
            <v>Vinh LongPhat Trien VN CN Vinh Long</v>
          </cell>
          <cell r="E285">
            <v>4194</v>
          </cell>
        </row>
        <row r="286">
          <cell r="A286" t="str">
            <v>Ngan Hang Phat Trien Viet Nam (VDB)</v>
          </cell>
          <cell r="D286" t="str">
            <v>Tra VinhPhat Trien VN CN Tra Vinh</v>
          </cell>
          <cell r="E286">
            <v>4226</v>
          </cell>
        </row>
        <row r="287">
          <cell r="A287" t="str">
            <v>Ngan Hang Phat Trien Viet Nam (VDB)</v>
          </cell>
          <cell r="D287" t="str">
            <v>Can ThoPhat Trien VN CN Can Tho</v>
          </cell>
          <cell r="E287">
            <v>4125</v>
          </cell>
        </row>
        <row r="288">
          <cell r="A288" t="str">
            <v>Ngan Hang Phat Trien Viet Nam (VDB)</v>
          </cell>
          <cell r="D288" t="str">
            <v>Soc TrangPhat Trien VN CN Soc Trang</v>
          </cell>
          <cell r="E288">
            <v>4114</v>
          </cell>
        </row>
        <row r="289">
          <cell r="A289" t="str">
            <v>Ngan Hang Phat Trien Viet Nam (VDB)</v>
          </cell>
          <cell r="D289" t="str">
            <v>Kien GiangPhat Trien VN CN Kien Giang</v>
          </cell>
          <cell r="E289">
            <v>4129</v>
          </cell>
        </row>
        <row r="290">
          <cell r="A290" t="str">
            <v>Ngan Hang Phat Trien Viet Nam (VDB)</v>
          </cell>
          <cell r="D290" t="str">
            <v>Bac LieuPhat Trien VN CN Bac Lieu</v>
          </cell>
          <cell r="E290">
            <v>4107</v>
          </cell>
        </row>
        <row r="291">
          <cell r="A291" t="str">
            <v>Ngan Hang Phat Trien Viet Nam (VDB)</v>
          </cell>
          <cell r="D291" t="str">
            <v>Ca MauPhat Trien VN CN khu vuc Minh Hai</v>
          </cell>
          <cell r="E291">
            <v>4050</v>
          </cell>
        </row>
        <row r="292">
          <cell r="A292" t="str">
            <v>NH Chinh Sach Xa Hoi</v>
          </cell>
          <cell r="D292" t="str">
            <v>Ha NoiNH CSXH So Giao Dich</v>
          </cell>
          <cell r="E292">
            <v>4616</v>
          </cell>
        </row>
        <row r="293">
          <cell r="A293" t="str">
            <v>NH Chinh Sach Xa Hoi</v>
          </cell>
          <cell r="D293" t="str">
            <v>Ha NoiNH CSXH CN Ha Tay</v>
          </cell>
          <cell r="E293">
            <v>2586</v>
          </cell>
        </row>
        <row r="294">
          <cell r="A294" t="str">
            <v>NH Chinh Sach Xa Hoi</v>
          </cell>
          <cell r="D294" t="str">
            <v>Ha NoiNH CSXH CN Ha Noi</v>
          </cell>
          <cell r="E294">
            <v>26</v>
          </cell>
        </row>
        <row r="295">
          <cell r="A295" t="str">
            <v>NH Chinh Sach Xa Hoi</v>
          </cell>
          <cell r="D295" t="str">
            <v xml:space="preserve">Ha NoiNH CSXH Hoi so chinh </v>
          </cell>
          <cell r="E295">
            <v>2521</v>
          </cell>
        </row>
        <row r="296">
          <cell r="A296" t="str">
            <v>NH Chinh Sach Xa Hoi</v>
          </cell>
          <cell r="D296" t="str">
            <v>Tuyen QuangNH CSXH Tinh Tuyen Quang</v>
          </cell>
          <cell r="E296">
            <v>4641</v>
          </cell>
        </row>
        <row r="297">
          <cell r="A297" t="str">
            <v>NH Chinh Sach Xa Hoi</v>
          </cell>
          <cell r="D297" t="str">
            <v>Ha GiangNH CSXH Tinh Ha Giang</v>
          </cell>
          <cell r="E297">
            <v>4625</v>
          </cell>
        </row>
        <row r="298">
          <cell r="A298" t="str">
            <v>NH Chinh Sach Xa Hoi</v>
          </cell>
          <cell r="D298" t="str">
            <v>Cao BangNH CSXH Tinh Cao Bang</v>
          </cell>
          <cell r="E298">
            <v>4622</v>
          </cell>
        </row>
        <row r="299">
          <cell r="A299" t="str">
            <v>NH Chinh Sach Xa Hoi</v>
          </cell>
          <cell r="D299" t="str">
            <v>Lang SonNH CSXH Tinh Lang Son</v>
          </cell>
          <cell r="E299">
            <v>4633</v>
          </cell>
        </row>
        <row r="300">
          <cell r="A300" t="str">
            <v>NH Chinh Sach Xa Hoi</v>
          </cell>
          <cell r="D300" t="str">
            <v>Bac CanNH CSXH Tinh Bac Kan</v>
          </cell>
          <cell r="E300">
            <v>4619</v>
          </cell>
        </row>
        <row r="301">
          <cell r="A301" t="str">
            <v>NH Chinh Sach Xa Hoi</v>
          </cell>
          <cell r="D301" t="str">
            <v>Thai NguyenNH CSXH CN Thai Nguyen</v>
          </cell>
          <cell r="E301">
            <v>4615</v>
          </cell>
        </row>
        <row r="302">
          <cell r="A302" t="str">
            <v>NH Chinh Sach Xa Hoi</v>
          </cell>
          <cell r="D302" t="str">
            <v>Yen BaiNH CSXH Tinh Yen Bai</v>
          </cell>
          <cell r="E302">
            <v>4643</v>
          </cell>
        </row>
        <row r="303">
          <cell r="A303" t="str">
            <v>NH Chinh Sach Xa Hoi</v>
          </cell>
          <cell r="D303" t="str">
            <v>Lao CaiNH CSXH Tinh Lao Cai</v>
          </cell>
          <cell r="E303">
            <v>2576</v>
          </cell>
        </row>
        <row r="304">
          <cell r="A304" t="str">
            <v>NH Chinh Sach Xa Hoi</v>
          </cell>
          <cell r="D304" t="str">
            <v>Dien BienNH CSXH Tinh Dien Bien</v>
          </cell>
          <cell r="E304">
            <v>4624</v>
          </cell>
        </row>
        <row r="305">
          <cell r="A305" t="str">
            <v>NH Chinh Sach Xa Hoi</v>
          </cell>
          <cell r="D305" t="str">
            <v>Son LaNH CSXH Tinh Son La</v>
          </cell>
          <cell r="E305">
            <v>4639</v>
          </cell>
        </row>
        <row r="306">
          <cell r="A306" t="str">
            <v>NH Chinh Sach Xa Hoi</v>
          </cell>
          <cell r="D306" t="str">
            <v>Quang NinhNH CSXH Tinh Quang Ninh</v>
          </cell>
          <cell r="E306">
            <v>34</v>
          </cell>
        </row>
        <row r="307">
          <cell r="A307" t="str">
            <v>NH Chinh Sach Xa Hoi</v>
          </cell>
          <cell r="D307" t="str">
            <v>Lai ChauNH CSXH Tinh Lai Chau</v>
          </cell>
          <cell r="E307">
            <v>4632</v>
          </cell>
        </row>
        <row r="308">
          <cell r="A308" t="str">
            <v>NH Chinh Sach Xa Hoi</v>
          </cell>
          <cell r="D308" t="str">
            <v>Hai PhongNH CSXH Tinh Hai Phong</v>
          </cell>
          <cell r="E308">
            <v>4628</v>
          </cell>
        </row>
        <row r="309">
          <cell r="A309" t="str">
            <v>NH Chinh Sach Xa Hoi</v>
          </cell>
          <cell r="D309" t="str">
            <v>Hai DuongNH CSXH Tinh Hai Duong</v>
          </cell>
          <cell r="E309">
            <v>4627</v>
          </cell>
        </row>
        <row r="310">
          <cell r="A310" t="str">
            <v>NH Chinh Sach Xa Hoi</v>
          </cell>
          <cell r="D310" t="str">
            <v>Hung YenNH CSXH Tinh Hung Yen</v>
          </cell>
          <cell r="E310">
            <v>4631</v>
          </cell>
        </row>
        <row r="311">
          <cell r="A311" t="str">
            <v>NH Chinh Sach Xa Hoi</v>
          </cell>
          <cell r="D311" t="str">
            <v>Bac GiangNH CSXH Tinh Bac Giang</v>
          </cell>
          <cell r="E311">
            <v>4618</v>
          </cell>
        </row>
        <row r="312">
          <cell r="A312" t="str">
            <v>NH Chinh Sach Xa Hoi</v>
          </cell>
          <cell r="D312" t="str">
            <v>Bac NinhNH CSXH Tinh Bac Ninh</v>
          </cell>
          <cell r="E312">
            <v>22</v>
          </cell>
        </row>
        <row r="313">
          <cell r="A313" t="str">
            <v>NH Chinh Sach Xa Hoi</v>
          </cell>
          <cell r="D313" t="str">
            <v>Phu ThoNH CSXH Tinh Phu Tho</v>
          </cell>
          <cell r="E313">
            <v>31</v>
          </cell>
        </row>
        <row r="314">
          <cell r="A314" t="str">
            <v>NH Chinh Sach Xa Hoi</v>
          </cell>
          <cell r="D314" t="str">
            <v>Vinh PhucNH CSXH Tinh Vinh Phuc</v>
          </cell>
          <cell r="E314">
            <v>36</v>
          </cell>
        </row>
        <row r="315">
          <cell r="A315" t="str">
            <v>NH Chinh Sach Xa Hoi</v>
          </cell>
          <cell r="D315" t="str">
            <v>Hoa BinhNH CSXH Tinh Hoa Binh</v>
          </cell>
          <cell r="E315">
            <v>4630</v>
          </cell>
        </row>
        <row r="316">
          <cell r="A316" t="str">
            <v>NH Chinh Sach Xa Hoi</v>
          </cell>
          <cell r="D316" t="str">
            <v>Ha NamNH CSXH Tinh Ha Nam</v>
          </cell>
          <cell r="E316">
            <v>4626</v>
          </cell>
        </row>
        <row r="317">
          <cell r="A317" t="str">
            <v>NH Chinh Sach Xa Hoi</v>
          </cell>
          <cell r="D317" t="str">
            <v>Nam DinhNH CSXH Tinh Nam Dinh</v>
          </cell>
          <cell r="E317">
            <v>30</v>
          </cell>
        </row>
        <row r="318">
          <cell r="A318" t="str">
            <v>NH Chinh Sach Xa Hoi</v>
          </cell>
          <cell r="D318" t="str">
            <v>Ninh BinhNH CSXH Tinh Ninh Binh</v>
          </cell>
          <cell r="E318">
            <v>4634</v>
          </cell>
        </row>
        <row r="319">
          <cell r="A319" t="str">
            <v>NH Chinh Sach Xa Hoi</v>
          </cell>
          <cell r="D319" t="str">
            <v>Thai BinhNH CSXH Tinh Thai Binh</v>
          </cell>
          <cell r="E319">
            <v>4640</v>
          </cell>
        </row>
        <row r="320">
          <cell r="A320" t="str">
            <v>NH Chinh Sach Xa Hoi</v>
          </cell>
          <cell r="D320" t="str">
            <v>Thanh HoaNH CSXH Tinh Thanh Hoa</v>
          </cell>
          <cell r="E320">
            <v>2578</v>
          </cell>
        </row>
        <row r="321">
          <cell r="A321" t="str">
            <v>NH Chinh Sach Xa Hoi</v>
          </cell>
          <cell r="D321" t="str">
            <v>Nghe AnNH CSXH CN Nghe An</v>
          </cell>
          <cell r="E321">
            <v>4613</v>
          </cell>
        </row>
        <row r="322">
          <cell r="A322" t="str">
            <v>NH Chinh Sach Xa Hoi</v>
          </cell>
          <cell r="D322" t="str">
            <v>Ha TinhNH CSXH CN Ha Tinh</v>
          </cell>
          <cell r="E322">
            <v>4611</v>
          </cell>
        </row>
        <row r="323">
          <cell r="A323" t="str">
            <v>NH Chinh Sach Xa Hoi</v>
          </cell>
          <cell r="D323" t="str">
            <v>Quang BinhNH CSXH Tinh Quang Binh</v>
          </cell>
          <cell r="E323">
            <v>33</v>
          </cell>
        </row>
        <row r="324">
          <cell r="A324" t="str">
            <v>NH Chinh Sach Xa Hoi</v>
          </cell>
          <cell r="D324" t="str">
            <v>Quang TriNH CSXH Tinh Quang Tri</v>
          </cell>
          <cell r="E324">
            <v>4637</v>
          </cell>
        </row>
        <row r="325">
          <cell r="A325" t="str">
            <v>NH Chinh Sach Xa Hoi</v>
          </cell>
          <cell r="D325" t="str">
            <v>Thua Thien HueNH CSXH Tinh Thua Thien Hue</v>
          </cell>
          <cell r="E325">
            <v>35</v>
          </cell>
        </row>
        <row r="326">
          <cell r="A326" t="str">
            <v>NH Chinh Sach Xa Hoi</v>
          </cell>
          <cell r="D326" t="str">
            <v>Ho Chi MinhNH CSXH TPHCM</v>
          </cell>
          <cell r="E326">
            <v>4644</v>
          </cell>
        </row>
        <row r="327">
          <cell r="A327" t="str">
            <v>NH Chinh Sach Xa Hoi</v>
          </cell>
          <cell r="D327" t="str">
            <v>Da NangNH CSXH TP Da Nang</v>
          </cell>
          <cell r="E327">
            <v>24</v>
          </cell>
        </row>
        <row r="328">
          <cell r="A328" t="str">
            <v>NH Chinh Sach Xa Hoi</v>
          </cell>
          <cell r="D328" t="str">
            <v>Quang NamNH CSXH Tinh Quang Nam</v>
          </cell>
          <cell r="E328">
            <v>2587</v>
          </cell>
        </row>
        <row r="329">
          <cell r="A329" t="str">
            <v>NH Chinh Sach Xa Hoi</v>
          </cell>
          <cell r="D329" t="str">
            <v>Quang NamNH CSXH Tinh Quang Nam</v>
          </cell>
          <cell r="E329">
            <v>4636</v>
          </cell>
        </row>
        <row r="330">
          <cell r="A330" t="str">
            <v>NH Chinh Sach Xa Hoi</v>
          </cell>
          <cell r="D330" t="str">
            <v>Quang NgaiNH CSXH CN Quang Ngai</v>
          </cell>
          <cell r="E330">
            <v>4614</v>
          </cell>
        </row>
        <row r="331">
          <cell r="A331" t="str">
            <v>NH Chinh Sach Xa Hoi</v>
          </cell>
          <cell r="D331" t="str">
            <v>Binh DinhNH CSXH Tinh Binh Dinh</v>
          </cell>
          <cell r="E331">
            <v>23</v>
          </cell>
        </row>
        <row r="332">
          <cell r="A332" t="str">
            <v>NH Chinh Sach Xa Hoi</v>
          </cell>
          <cell r="D332" t="str">
            <v>Phu YenNH CSXH Tinh Phu Yen</v>
          </cell>
          <cell r="E332">
            <v>32</v>
          </cell>
        </row>
        <row r="333">
          <cell r="A333" t="str">
            <v>NH Chinh Sach Xa Hoi</v>
          </cell>
          <cell r="D333" t="str">
            <v>Khanh HoaNH CSXH Tinh Khanh Hoa</v>
          </cell>
          <cell r="E333">
            <v>27</v>
          </cell>
        </row>
        <row r="334">
          <cell r="A334" t="str">
            <v>NH Chinh Sach Xa Hoi</v>
          </cell>
          <cell r="D334" t="str">
            <v>Dak NongNH CSXH Tinh Dac Nong</v>
          </cell>
          <cell r="E334">
            <v>4623</v>
          </cell>
        </row>
        <row r="335">
          <cell r="A335" t="str">
            <v>NH Chinh Sach Xa Hoi</v>
          </cell>
          <cell r="D335" t="str">
            <v>Binh ThuanNH CSXH Tinh Binh Thuan</v>
          </cell>
          <cell r="E335">
            <v>2579</v>
          </cell>
        </row>
        <row r="336">
          <cell r="A336" t="str">
            <v>NH Chinh Sach Xa Hoi</v>
          </cell>
          <cell r="D336" t="str">
            <v>Ninh ThuanNH CSXH Tinh Ninh Thuan</v>
          </cell>
          <cell r="E336">
            <v>4635</v>
          </cell>
        </row>
        <row r="337">
          <cell r="A337" t="str">
            <v>NH Chinh Sach Xa Hoi</v>
          </cell>
          <cell r="D337" t="str">
            <v>Gia LaiNH CSXH Tinh Gia Lai</v>
          </cell>
          <cell r="E337">
            <v>25</v>
          </cell>
        </row>
        <row r="338">
          <cell r="A338" t="str">
            <v>NH Chinh Sach Xa Hoi</v>
          </cell>
          <cell r="D338" t="str">
            <v>Kon TumNH CSXH Tinh Kon Tum</v>
          </cell>
          <cell r="E338">
            <v>28</v>
          </cell>
        </row>
        <row r="339">
          <cell r="A339" t="str">
            <v>NH Chinh Sach Xa Hoi</v>
          </cell>
          <cell r="D339" t="str">
            <v>Dac LacNH CSXH CN Dak Lak</v>
          </cell>
          <cell r="E339">
            <v>4610</v>
          </cell>
        </row>
        <row r="340">
          <cell r="A340" t="str">
            <v>NH Chinh Sach Xa Hoi</v>
          </cell>
          <cell r="D340" t="str">
            <v>Lam DongNH CSXH Tinh Lam Dong</v>
          </cell>
          <cell r="E340">
            <v>4352</v>
          </cell>
        </row>
        <row r="341">
          <cell r="A341" t="str">
            <v>NH Chinh Sach Xa Hoi</v>
          </cell>
          <cell r="D341" t="str">
            <v>Hau GiangNH CSXH Tinh Hau Giang</v>
          </cell>
          <cell r="E341">
            <v>4629</v>
          </cell>
        </row>
        <row r="342">
          <cell r="A342" t="str">
            <v>NH Chinh Sach Xa Hoi</v>
          </cell>
          <cell r="D342" t="str">
            <v>Binh DuongNH CSXH Tinh Binh Duong</v>
          </cell>
          <cell r="E342">
            <v>4620</v>
          </cell>
        </row>
        <row r="343">
          <cell r="A343" t="str">
            <v>NH Chinh Sach Xa Hoi</v>
          </cell>
          <cell r="D343" t="str">
            <v>Binh PhuocNH CSXH Tinh Binh Phuoc</v>
          </cell>
          <cell r="E343">
            <v>4621</v>
          </cell>
        </row>
        <row r="344">
          <cell r="A344" t="str">
            <v>NH Chinh Sach Xa Hoi</v>
          </cell>
          <cell r="D344" t="str">
            <v>Tay NinhNH CSXH Tinh Tay Ninh</v>
          </cell>
          <cell r="E344">
            <v>2580</v>
          </cell>
        </row>
        <row r="345">
          <cell r="A345" t="str">
            <v>NH Chinh Sach Xa Hoi</v>
          </cell>
          <cell r="D345" t="str">
            <v>Dong NaiNH CSXH CN Dong Nai</v>
          </cell>
          <cell r="E345">
            <v>4609</v>
          </cell>
        </row>
        <row r="346">
          <cell r="A346" t="str">
            <v>NH Chinh Sach Xa Hoi</v>
          </cell>
          <cell r="D346" t="str">
            <v>Ba Ria-Vung TauNH CSXH Tinh Ba Ria Vung Tau</v>
          </cell>
          <cell r="E346">
            <v>4617</v>
          </cell>
        </row>
        <row r="347">
          <cell r="A347" t="str">
            <v>NH Chinh Sach Xa Hoi</v>
          </cell>
          <cell r="D347" t="str">
            <v>Long AnNH CSXH Tinh Long An</v>
          </cell>
          <cell r="E347">
            <v>29</v>
          </cell>
        </row>
        <row r="348">
          <cell r="A348" t="str">
            <v>NH Chinh Sach Xa Hoi</v>
          </cell>
          <cell r="D348" t="str">
            <v>Dong ThapNH CSXH Tinh Dong Thap</v>
          </cell>
          <cell r="E348">
            <v>2999</v>
          </cell>
        </row>
        <row r="349">
          <cell r="A349" t="str">
            <v>NH Chinh Sach Xa Hoi</v>
          </cell>
          <cell r="D349" t="str">
            <v>An GiangNH CSXH Tinh An Giang</v>
          </cell>
          <cell r="E349">
            <v>21</v>
          </cell>
        </row>
        <row r="350">
          <cell r="A350" t="str">
            <v>NH Chinh Sach Xa Hoi</v>
          </cell>
          <cell r="D350" t="str">
            <v>Tien GiangNH CSXH Tinh Tien Giang</v>
          </cell>
          <cell r="E350">
            <v>4239</v>
          </cell>
        </row>
        <row r="351">
          <cell r="A351" t="str">
            <v>NH Chinh Sach Xa Hoi</v>
          </cell>
          <cell r="D351" t="str">
            <v>Ben TreNH CSXH Tinh Ben Tre</v>
          </cell>
          <cell r="E351">
            <v>2585</v>
          </cell>
        </row>
        <row r="352">
          <cell r="A352" t="str">
            <v>NH Chinh Sach Xa Hoi</v>
          </cell>
          <cell r="D352" t="str">
            <v>Vinh LongNH CSXH Tinh Vinh Long</v>
          </cell>
          <cell r="E352">
            <v>4642</v>
          </cell>
        </row>
        <row r="353">
          <cell r="A353" t="str">
            <v>NH Chinh Sach Xa Hoi</v>
          </cell>
          <cell r="D353" t="str">
            <v>Tra VinhNH CSXH Tinh Tra Vinh</v>
          </cell>
          <cell r="E353">
            <v>2645</v>
          </cell>
        </row>
        <row r="354">
          <cell r="A354" t="str">
            <v>NH Chinh Sach Xa Hoi</v>
          </cell>
          <cell r="D354" t="str">
            <v>Can ThoNH CSXH TP Can Tho</v>
          </cell>
          <cell r="E354">
            <v>4128</v>
          </cell>
        </row>
        <row r="355">
          <cell r="A355" t="str">
            <v>NH Chinh Sach Xa Hoi</v>
          </cell>
          <cell r="D355" t="str">
            <v>Soc TrangNH CSXH Tinh Soc Trang</v>
          </cell>
          <cell r="E355">
            <v>4638</v>
          </cell>
        </row>
        <row r="356">
          <cell r="A356" t="str">
            <v>NH Chinh Sach Xa Hoi</v>
          </cell>
          <cell r="D356" t="str">
            <v>Kien GiangNH CSXH CN Kien Giang</v>
          </cell>
          <cell r="E356">
            <v>4612</v>
          </cell>
        </row>
        <row r="357">
          <cell r="A357" t="str">
            <v>NH Chinh Sach Xa Hoi</v>
          </cell>
          <cell r="D357" t="str">
            <v>Bac LieuNH CSXH Tinh Bac Lieu</v>
          </cell>
          <cell r="E357">
            <v>4052</v>
          </cell>
        </row>
        <row r="358">
          <cell r="A358" t="str">
            <v>NH Chinh Sach Xa Hoi</v>
          </cell>
          <cell r="D358" t="str">
            <v>Ca MauNH CSXH Tinh Ca Mau</v>
          </cell>
          <cell r="E358">
            <v>4049</v>
          </cell>
        </row>
        <row r="359">
          <cell r="A359" t="str">
            <v>NH Commonwealth Bank of Australia (HO)</v>
          </cell>
          <cell r="D359" t="str">
            <v>Ho Chi MinhCommonwealth Bank of Australia HCM</v>
          </cell>
          <cell r="E359">
            <v>3004</v>
          </cell>
        </row>
        <row r="360">
          <cell r="A360" t="str">
            <v>NH Cong Nghiep Han Quoc</v>
          </cell>
          <cell r="D360" t="str">
            <v>Ha NoiCong Nghiep Han Quoc CN Ha Noi (HO)</v>
          </cell>
          <cell r="E360">
            <v>4361</v>
          </cell>
        </row>
        <row r="361">
          <cell r="A361" t="str">
            <v>NH Cong thuong (VietinBank)</v>
          </cell>
          <cell r="D361" t="str">
            <v>Ha NoiCong Thuong TT QL Tien mat HN</v>
          </cell>
          <cell r="E361">
            <v>5213</v>
          </cell>
        </row>
        <row r="362">
          <cell r="A362" t="str">
            <v>NH Cong thuong (VietinBank)</v>
          </cell>
          <cell r="D362" t="str">
            <v>Ha NoiCong Thuong CN Ha Thanh</v>
          </cell>
          <cell r="E362">
            <v>5214</v>
          </cell>
        </row>
        <row r="363">
          <cell r="A363" t="str">
            <v>NH Cong thuong (VietinBank)</v>
          </cell>
          <cell r="D363" t="str">
            <v>Ha NoiCong Thuong CN Trang An</v>
          </cell>
          <cell r="E363">
            <v>5215</v>
          </cell>
        </row>
        <row r="364">
          <cell r="A364" t="str">
            <v>NH Cong thuong (VietinBank)</v>
          </cell>
          <cell r="D364" t="str">
            <v>Ha NoiCong Thuong CN Bac Thang Long</v>
          </cell>
          <cell r="E364">
            <v>4412</v>
          </cell>
        </row>
        <row r="365">
          <cell r="A365" t="str">
            <v>NH Cong thuong (VietinBank)</v>
          </cell>
          <cell r="D365" t="str">
            <v>Ha NoiCong Thuong CN Dong Ha Noi</v>
          </cell>
          <cell r="E365">
            <v>3856</v>
          </cell>
        </row>
        <row r="366">
          <cell r="A366" t="str">
            <v>NH Cong thuong (VietinBank)</v>
          </cell>
          <cell r="D366" t="str">
            <v>Ha NoiCong Thuong CN Nam Thang Long</v>
          </cell>
          <cell r="E366">
            <v>3905</v>
          </cell>
        </row>
        <row r="367">
          <cell r="A367" t="str">
            <v>NH Cong thuong (VietinBank)</v>
          </cell>
          <cell r="D367" t="str">
            <v>Ha NoiCong Thuong CN Quang Minh</v>
          </cell>
          <cell r="E367">
            <v>3674</v>
          </cell>
        </row>
        <row r="368">
          <cell r="A368" t="str">
            <v>NH Cong thuong (VietinBank)</v>
          </cell>
          <cell r="D368" t="str">
            <v>Ha NoiCong Thuong CN Quang Trung</v>
          </cell>
          <cell r="E368">
            <v>3824</v>
          </cell>
        </row>
        <row r="369">
          <cell r="A369" t="str">
            <v>NH Cong thuong (VietinBank)</v>
          </cell>
          <cell r="D369" t="str">
            <v>Ha NoiCong Thuong CN Nguyen Trai</v>
          </cell>
          <cell r="E369">
            <v>4091</v>
          </cell>
        </row>
        <row r="370">
          <cell r="A370" t="str">
            <v>NH Cong thuong (VietinBank)</v>
          </cell>
          <cell r="D370" t="str">
            <v>Ha NoiCong Thuong CN Lang Hoa Lac</v>
          </cell>
          <cell r="E370">
            <v>3668</v>
          </cell>
        </row>
        <row r="371">
          <cell r="A371" t="str">
            <v>NH Cong thuong (VietinBank)</v>
          </cell>
          <cell r="D371" t="str">
            <v>Ha NoiCong Thuong CN Song Nhue</v>
          </cell>
          <cell r="E371">
            <v>4028</v>
          </cell>
        </row>
        <row r="372">
          <cell r="A372" t="str">
            <v>NH Cong thuong (VietinBank)</v>
          </cell>
          <cell r="D372" t="str">
            <v>Ha NoiCong Thuong CN Ha Noi</v>
          </cell>
          <cell r="E372">
            <v>2528</v>
          </cell>
        </row>
        <row r="373">
          <cell r="A373" t="str">
            <v>NH Cong thuong (VietinBank)</v>
          </cell>
          <cell r="D373" t="str">
            <v>Ha NoiCong Thuong CN Hoang Mai</v>
          </cell>
          <cell r="E373">
            <v>3209</v>
          </cell>
        </row>
        <row r="374">
          <cell r="A374" t="str">
            <v>NH Cong thuong (VietinBank)</v>
          </cell>
          <cell r="D374" t="str">
            <v>Ha NoiCong Thuong CN Chuong Duong</v>
          </cell>
          <cell r="E374">
            <v>51</v>
          </cell>
        </row>
        <row r="375">
          <cell r="A375" t="str">
            <v>NH Cong thuong (VietinBank)</v>
          </cell>
          <cell r="D375" t="str">
            <v>Ha NoiCong Thuong CN Dong Anh</v>
          </cell>
          <cell r="E375">
            <v>52</v>
          </cell>
        </row>
        <row r="376">
          <cell r="A376" t="str">
            <v>NH Cong thuong (VietinBank)</v>
          </cell>
          <cell r="D376" t="str">
            <v>Ha NoiCong Thuong CN Dong Da</v>
          </cell>
          <cell r="E376">
            <v>53</v>
          </cell>
        </row>
        <row r="377">
          <cell r="A377" t="str">
            <v>NH Cong thuong (VietinBank)</v>
          </cell>
          <cell r="D377" t="str">
            <v>Ha NoiCong Thuong CN Hai Ba Trung</v>
          </cell>
          <cell r="E377">
            <v>54</v>
          </cell>
        </row>
        <row r="378">
          <cell r="A378" t="str">
            <v>NH Cong thuong (VietinBank)</v>
          </cell>
          <cell r="D378" t="str">
            <v>Ha NoiCong Thuong CN Hoan Kiem</v>
          </cell>
          <cell r="E378">
            <v>57</v>
          </cell>
        </row>
        <row r="379">
          <cell r="A379" t="str">
            <v>NH Cong thuong (VietinBank)</v>
          </cell>
          <cell r="D379" t="str">
            <v>Ha NoiCong Thuong Viet Nam</v>
          </cell>
          <cell r="E379">
            <v>1263</v>
          </cell>
        </row>
        <row r="380">
          <cell r="A380" t="str">
            <v>NH Cong thuong (VietinBank)</v>
          </cell>
          <cell r="D380" t="str">
            <v>Ha NoiCong Thuong CN Bac Ha Noi</v>
          </cell>
          <cell r="E380">
            <v>254</v>
          </cell>
        </row>
        <row r="381">
          <cell r="A381" t="str">
            <v>NH Cong thuong (VietinBank)</v>
          </cell>
          <cell r="D381" t="str">
            <v>Ha NoiCong Thuong CN Thanh Xuan</v>
          </cell>
          <cell r="E381">
            <v>259</v>
          </cell>
        </row>
        <row r="382">
          <cell r="A382" t="str">
            <v>NH Cong thuong (VietinBank)</v>
          </cell>
          <cell r="D382" t="str">
            <v>Ha NoiCong Thuong CN Tay Ha Noi</v>
          </cell>
          <cell r="E382">
            <v>265</v>
          </cell>
        </row>
        <row r="383">
          <cell r="A383" t="str">
            <v>NH Cong thuong (VietinBank)</v>
          </cell>
          <cell r="D383" t="str">
            <v>Ha NoiCong Thuong CN Ha Tay</v>
          </cell>
          <cell r="E383">
            <v>91</v>
          </cell>
        </row>
        <row r="384">
          <cell r="A384" t="str">
            <v>NH Cong thuong (VietinBank)</v>
          </cell>
          <cell r="D384" t="str">
            <v>Ha NoiCong Thuong CN Ba Dinh</v>
          </cell>
          <cell r="E384">
            <v>37</v>
          </cell>
        </row>
        <row r="385">
          <cell r="A385" t="str">
            <v>NH Cong thuong (VietinBank)</v>
          </cell>
          <cell r="D385" t="str">
            <v>Tuyen QuangCong Thuong CN Tuyen Quang</v>
          </cell>
          <cell r="E385">
            <v>3927</v>
          </cell>
        </row>
        <row r="386">
          <cell r="A386" t="str">
            <v>NH Cong thuong (VietinBank)</v>
          </cell>
          <cell r="D386" t="str">
            <v>Ha GiangCong Thuong CN Ha Giang</v>
          </cell>
          <cell r="E386">
            <v>4168</v>
          </cell>
        </row>
        <row r="387">
          <cell r="A387" t="str">
            <v>NH Cong thuong (VietinBank)</v>
          </cell>
          <cell r="D387" t="str">
            <v>Cao BangCong Thuong CN Cao Bang</v>
          </cell>
          <cell r="E387">
            <v>4002</v>
          </cell>
        </row>
        <row r="388">
          <cell r="A388" t="str">
            <v>NH Cong thuong (VietinBank)</v>
          </cell>
          <cell r="D388" t="str">
            <v>Lang SonCong Thuong CN Lang Son</v>
          </cell>
          <cell r="E388">
            <v>96</v>
          </cell>
        </row>
        <row r="389">
          <cell r="A389" t="str">
            <v>NH Cong thuong (VietinBank)</v>
          </cell>
          <cell r="D389" t="str">
            <v>Bac CanCong Thuong CN Bac Kan</v>
          </cell>
          <cell r="E389">
            <v>262</v>
          </cell>
        </row>
        <row r="390">
          <cell r="A390" t="str">
            <v>NH Cong thuong (VietinBank)</v>
          </cell>
          <cell r="D390" t="str">
            <v>Thai NguyenCong Thuong CN Luu Xa</v>
          </cell>
          <cell r="E390">
            <v>1254</v>
          </cell>
        </row>
        <row r="391">
          <cell r="A391" t="str">
            <v>NH Cong thuong (VietinBank)</v>
          </cell>
          <cell r="D391" t="str">
            <v>Thai NguyenCong Thuong CN Song Cong</v>
          </cell>
          <cell r="E391">
            <v>1256</v>
          </cell>
        </row>
        <row r="392">
          <cell r="A392" t="str">
            <v>NH Cong thuong (VietinBank)</v>
          </cell>
          <cell r="D392" t="str">
            <v>Thai NguyenCong Thuong CN Thai Nguyen</v>
          </cell>
          <cell r="E392">
            <v>108</v>
          </cell>
        </row>
        <row r="393">
          <cell r="A393" t="str">
            <v>NH Cong thuong (VietinBank)</v>
          </cell>
          <cell r="D393" t="str">
            <v>Yen BaiCong Thuong CN Yen Bai</v>
          </cell>
          <cell r="E393">
            <v>3716</v>
          </cell>
        </row>
        <row r="394">
          <cell r="A394" t="str">
            <v>NH Cong thuong (VietinBank)</v>
          </cell>
          <cell r="D394" t="str">
            <v>Lao CaiCong Thuong CN Lao Cai</v>
          </cell>
          <cell r="E394">
            <v>3591</v>
          </cell>
        </row>
        <row r="395">
          <cell r="A395" t="str">
            <v>NH Cong thuong (VietinBank)</v>
          </cell>
          <cell r="D395" t="str">
            <v>Dien BienCong Thuong CN Dien Bien</v>
          </cell>
          <cell r="E395">
            <v>3983</v>
          </cell>
        </row>
        <row r="396">
          <cell r="A396" t="str">
            <v>NH Cong thuong (VietinBank)</v>
          </cell>
          <cell r="D396" t="str">
            <v>Son LaCong Thuong CN Son La</v>
          </cell>
          <cell r="E396">
            <v>3802</v>
          </cell>
        </row>
        <row r="397">
          <cell r="A397" t="str">
            <v>NH Cong thuong (VietinBank)</v>
          </cell>
          <cell r="D397" t="str">
            <v>Quang NinhCong Thuong CN Van Don</v>
          </cell>
          <cell r="E397">
            <v>4417</v>
          </cell>
        </row>
        <row r="398">
          <cell r="A398" t="str">
            <v>NH Cong thuong (VietinBank)</v>
          </cell>
          <cell r="D398" t="str">
            <v>Quang NinhCong Thuong CN Cam Pha</v>
          </cell>
          <cell r="E398">
            <v>1259</v>
          </cell>
        </row>
        <row r="399">
          <cell r="A399" t="str">
            <v>NH Cong thuong (VietinBank)</v>
          </cell>
          <cell r="D399" t="str">
            <v>Quang NinhCong Thuong CN Uong Bi</v>
          </cell>
          <cell r="E399">
            <v>1261</v>
          </cell>
        </row>
        <row r="400">
          <cell r="A400" t="str">
            <v>NH Cong thuong (VietinBank)</v>
          </cell>
          <cell r="D400" t="str">
            <v>Quang NinhCong Thuong CN Quang Ninh</v>
          </cell>
          <cell r="E400">
            <v>105</v>
          </cell>
        </row>
        <row r="401">
          <cell r="A401" t="str">
            <v>NH Cong thuong (VietinBank)</v>
          </cell>
          <cell r="D401" t="str">
            <v>Quang NinhCong Thuong CN Mong Cai</v>
          </cell>
          <cell r="E401">
            <v>1250</v>
          </cell>
        </row>
        <row r="402">
          <cell r="A402" t="str">
            <v>NH Cong thuong (VietinBank)</v>
          </cell>
          <cell r="D402" t="str">
            <v>Quang NinhCong Thuong CN Bai Chay</v>
          </cell>
          <cell r="E402">
            <v>1252</v>
          </cell>
        </row>
        <row r="403">
          <cell r="A403" t="str">
            <v>NH Cong thuong (VietinBank)</v>
          </cell>
          <cell r="D403" t="str">
            <v>Lai ChauCong Thuong CN Lai Chau</v>
          </cell>
          <cell r="E403">
            <v>4176</v>
          </cell>
        </row>
        <row r="404">
          <cell r="A404" t="str">
            <v>NH Cong thuong (VietinBank)</v>
          </cell>
          <cell r="D404" t="str">
            <v>Hai PhongCong Thuong CN Le Chan</v>
          </cell>
          <cell r="E404">
            <v>66</v>
          </cell>
        </row>
        <row r="405">
          <cell r="A405" t="str">
            <v>NH Cong thuong (VietinBank)</v>
          </cell>
          <cell r="D405" t="str">
            <v>Hai PhongCong Thuong CN Ngo Quyen</v>
          </cell>
          <cell r="E405">
            <v>67</v>
          </cell>
        </row>
        <row r="406">
          <cell r="A406" t="str">
            <v>NH Cong thuong (VietinBank)</v>
          </cell>
          <cell r="D406" t="str">
            <v>Hai PhongCong Thuong TP Hai Phong</v>
          </cell>
          <cell r="E406">
            <v>69</v>
          </cell>
        </row>
        <row r="407">
          <cell r="A407" t="str">
            <v>NH Cong thuong (VietinBank)</v>
          </cell>
          <cell r="D407" t="str">
            <v>Hai PhongCong Thuong CN Hong Bang</v>
          </cell>
          <cell r="E407">
            <v>58</v>
          </cell>
        </row>
        <row r="408">
          <cell r="A408" t="str">
            <v>NH Cong thuong (VietinBank)</v>
          </cell>
          <cell r="D408" t="str">
            <v>Hai PhongCong Thuong CN Do Son</v>
          </cell>
          <cell r="E408">
            <v>1249</v>
          </cell>
        </row>
        <row r="409">
          <cell r="A409" t="str">
            <v>NH Cong thuong (VietinBank)</v>
          </cell>
          <cell r="D409" t="str">
            <v>Hai PhongCong Thuong CN To Hieu</v>
          </cell>
          <cell r="E409">
            <v>2844</v>
          </cell>
        </row>
        <row r="410">
          <cell r="A410" t="str">
            <v>NH Cong thuong (VietinBank)</v>
          </cell>
          <cell r="D410" t="str">
            <v>Hai PhongCong Thuong CN Kien An</v>
          </cell>
          <cell r="E410">
            <v>3686</v>
          </cell>
        </row>
        <row r="411">
          <cell r="A411" t="str">
            <v>NH Cong thuong (VietinBank)</v>
          </cell>
          <cell r="D411" t="str">
            <v>Hai DuongCong Thuong CN KCN Hai Duong</v>
          </cell>
          <cell r="E411">
            <v>4016</v>
          </cell>
        </row>
        <row r="412">
          <cell r="A412" t="str">
            <v>NH Cong thuong (VietinBank)</v>
          </cell>
          <cell r="D412" t="str">
            <v>Hai DuongCong Thuong CN Hai Duong</v>
          </cell>
          <cell r="E412">
            <v>92</v>
          </cell>
        </row>
        <row r="413">
          <cell r="A413" t="str">
            <v>NH Cong thuong (VietinBank)</v>
          </cell>
          <cell r="D413" t="str">
            <v>Hai DuongCong Thuong CN Nhi Chieu</v>
          </cell>
          <cell r="E413">
            <v>1255</v>
          </cell>
        </row>
        <row r="414">
          <cell r="A414" t="str">
            <v>NH Cong thuong (VietinBank)</v>
          </cell>
          <cell r="D414" t="str">
            <v>Hung YenCong Thuong CN My Hao</v>
          </cell>
          <cell r="E414">
            <v>4415</v>
          </cell>
        </row>
        <row r="415">
          <cell r="A415" t="str">
            <v>NH Cong thuong (VietinBank)</v>
          </cell>
          <cell r="D415" t="str">
            <v>Hung YenCong Thuong CN Hung Yen</v>
          </cell>
          <cell r="E415">
            <v>93</v>
          </cell>
        </row>
        <row r="416">
          <cell r="A416" t="str">
            <v>NH Cong thuong (VietinBank)</v>
          </cell>
          <cell r="D416" t="str">
            <v>Bac GiangCong Thuong CN Bac Giang</v>
          </cell>
          <cell r="E416">
            <v>77</v>
          </cell>
        </row>
        <row r="417">
          <cell r="A417" t="str">
            <v>NH Cong thuong (VietinBank)</v>
          </cell>
          <cell r="D417" t="str">
            <v>Bac NinhCong Thuong CN KCN Que Vo</v>
          </cell>
          <cell r="E417">
            <v>4414</v>
          </cell>
        </row>
        <row r="418">
          <cell r="A418" t="str">
            <v>NH Cong thuong (VietinBank)</v>
          </cell>
          <cell r="D418" t="str">
            <v>Bac NinhCong Thuong CN KCN Tien Son</v>
          </cell>
          <cell r="E418">
            <v>4180</v>
          </cell>
        </row>
        <row r="419">
          <cell r="A419" t="str">
            <v>NH Cong thuong (VietinBank)</v>
          </cell>
          <cell r="D419" t="str">
            <v>Bac NinhCong Thuong CN Tien Son</v>
          </cell>
          <cell r="E419">
            <v>260</v>
          </cell>
        </row>
        <row r="420">
          <cell r="A420" t="str">
            <v>NH Cong thuong (VietinBank)</v>
          </cell>
          <cell r="D420" t="str">
            <v>Bac NinhCong Thuong CN Bac Ninh</v>
          </cell>
          <cell r="E420">
            <v>79</v>
          </cell>
        </row>
        <row r="421">
          <cell r="A421" t="str">
            <v>NH Cong thuong (VietinBank)</v>
          </cell>
          <cell r="D421" t="str">
            <v>Phu ThoCong Thuong CN Phu Tho</v>
          </cell>
          <cell r="E421">
            <v>5126</v>
          </cell>
        </row>
        <row r="422">
          <cell r="A422" t="str">
            <v>NH Cong thuong (VietinBank)</v>
          </cell>
          <cell r="D422" t="str">
            <v>Phu ThoCong Thuong CN TX Phu Tho</v>
          </cell>
          <cell r="E422">
            <v>4332</v>
          </cell>
        </row>
        <row r="423">
          <cell r="A423" t="str">
            <v>NH Cong thuong (VietinBank)</v>
          </cell>
          <cell r="D423" t="str">
            <v>Phu ThoCong Thuong CN Hung Vuong</v>
          </cell>
          <cell r="E423">
            <v>4331</v>
          </cell>
        </row>
        <row r="424">
          <cell r="A424" t="str">
            <v>NH Cong thuong (VietinBank)</v>
          </cell>
          <cell r="D424" t="str">
            <v>Phu ThoCong Thuong CN Den Hung</v>
          </cell>
          <cell r="E424">
            <v>256</v>
          </cell>
        </row>
        <row r="425">
          <cell r="A425" t="str">
            <v>NH Cong thuong (VietinBank)</v>
          </cell>
          <cell r="D425" t="str">
            <v>Vinh PhucCong Thuong CN Binh Xuyen</v>
          </cell>
          <cell r="E425">
            <v>4326</v>
          </cell>
        </row>
        <row r="426">
          <cell r="A426" t="str">
            <v>NH Cong thuong (VietinBank)</v>
          </cell>
          <cell r="D426" t="str">
            <v>Vinh PhucCong Thuong CN Vinh Phuc</v>
          </cell>
          <cell r="E426">
            <v>113</v>
          </cell>
        </row>
        <row r="427">
          <cell r="A427" t="str">
            <v>NH Cong thuong (VietinBank)</v>
          </cell>
          <cell r="D427" t="str">
            <v>Vinh PhucCong Thuong CN Phuc Yen</v>
          </cell>
          <cell r="E427">
            <v>1251</v>
          </cell>
        </row>
        <row r="428">
          <cell r="A428" t="str">
            <v>NH Cong thuong (VietinBank)</v>
          </cell>
          <cell r="D428" t="str">
            <v>Hoa BinhCong Thuong CN Hoa Binh</v>
          </cell>
          <cell r="E428">
            <v>1262</v>
          </cell>
        </row>
        <row r="429">
          <cell r="A429" t="str">
            <v>NH Cong thuong (VietinBank)</v>
          </cell>
          <cell r="D429" t="str">
            <v>Ha NamCong Thuong CN Ha Nam</v>
          </cell>
          <cell r="E429">
            <v>90</v>
          </cell>
        </row>
        <row r="430">
          <cell r="A430" t="str">
            <v>NH Cong thuong (VietinBank)</v>
          </cell>
          <cell r="D430" t="str">
            <v>Nam DinhCong Thuong TP Nam Dinh</v>
          </cell>
          <cell r="E430">
            <v>70</v>
          </cell>
        </row>
        <row r="431">
          <cell r="A431" t="str">
            <v>NH Cong thuong (VietinBank)</v>
          </cell>
          <cell r="D431" t="str">
            <v>Nam DinhCong Thuong Tinh Nam Dinh</v>
          </cell>
          <cell r="E431">
            <v>98</v>
          </cell>
        </row>
        <row r="432">
          <cell r="A432" t="str">
            <v>NH Cong thuong (VietinBank)</v>
          </cell>
          <cell r="D432" t="str">
            <v>Ninh BinhCong Thuong CN Ninh Binh</v>
          </cell>
          <cell r="E432">
            <v>5125</v>
          </cell>
        </row>
        <row r="433">
          <cell r="A433" t="str">
            <v>NH Cong thuong (VietinBank)</v>
          </cell>
          <cell r="D433" t="str">
            <v>Ninh BinhCong Thuong CN Tam Diep</v>
          </cell>
          <cell r="E433">
            <v>3842</v>
          </cell>
        </row>
        <row r="434">
          <cell r="A434" t="str">
            <v>NH Cong thuong (VietinBank)</v>
          </cell>
          <cell r="D434" t="str">
            <v>Thai BinhCong Thuong CN Thai Binh</v>
          </cell>
          <cell r="E434">
            <v>107</v>
          </cell>
        </row>
        <row r="435">
          <cell r="A435" t="str">
            <v>NH Cong thuong (VietinBank)</v>
          </cell>
          <cell r="D435" t="str">
            <v>Thanh HoaCong Thuong CN Bim Son</v>
          </cell>
          <cell r="E435">
            <v>1258</v>
          </cell>
        </row>
        <row r="436">
          <cell r="A436" t="str">
            <v>NH Cong thuong (VietinBank)</v>
          </cell>
          <cell r="D436" t="str">
            <v>Thanh HoaCong Thuong CN Sam Son</v>
          </cell>
          <cell r="E436">
            <v>1260</v>
          </cell>
        </row>
        <row r="437">
          <cell r="A437" t="str">
            <v>NH Cong thuong (VietinBank)</v>
          </cell>
          <cell r="D437" t="str">
            <v>Thanh HoaCong Thuong CN Thanh Hoa</v>
          </cell>
          <cell r="E437">
            <v>109</v>
          </cell>
        </row>
        <row r="438">
          <cell r="A438" t="str">
            <v>NH Cong thuong (VietinBank)</v>
          </cell>
          <cell r="D438" t="str">
            <v>Nghe AnCong Thuong CN Bac Nghe An</v>
          </cell>
          <cell r="E438">
            <v>4046</v>
          </cell>
        </row>
        <row r="439">
          <cell r="A439" t="str">
            <v>NH Cong thuong (VietinBank)</v>
          </cell>
          <cell r="D439" t="str">
            <v>Nghe AnCong Thuong CN Cua Lo</v>
          </cell>
          <cell r="E439">
            <v>4413</v>
          </cell>
        </row>
        <row r="440">
          <cell r="A440" t="str">
            <v>NH Cong thuong (VietinBank)</v>
          </cell>
          <cell r="D440" t="str">
            <v>Nghe AnCong Thuong CN Ben Thuy</v>
          </cell>
          <cell r="E440">
            <v>65</v>
          </cell>
        </row>
        <row r="441">
          <cell r="A441" t="str">
            <v>NH Cong thuong (VietinBank)</v>
          </cell>
          <cell r="D441" t="str">
            <v>Nghe AnCong Thuong CN Nghe An</v>
          </cell>
          <cell r="E441">
            <v>99</v>
          </cell>
        </row>
        <row r="442">
          <cell r="A442" t="str">
            <v>NH Cong thuong (VietinBank)</v>
          </cell>
          <cell r="D442" t="str">
            <v>Ha TinhCong Thuong CN Ha Tinh</v>
          </cell>
          <cell r="E442">
            <v>3496</v>
          </cell>
        </row>
        <row r="443">
          <cell r="A443" t="str">
            <v>NH Cong thuong (VietinBank)</v>
          </cell>
          <cell r="D443" t="str">
            <v>Quang BinhCong Thuong CN Quang Binh</v>
          </cell>
          <cell r="E443">
            <v>3712</v>
          </cell>
        </row>
        <row r="444">
          <cell r="A444" t="str">
            <v>NH Cong thuong (VietinBank)</v>
          </cell>
          <cell r="D444" t="str">
            <v>Quang TriCong Thuong CN Quang Tri</v>
          </cell>
          <cell r="E444">
            <v>106</v>
          </cell>
        </row>
        <row r="445">
          <cell r="A445" t="str">
            <v>NH Cong thuong (VietinBank)</v>
          </cell>
          <cell r="D445" t="str">
            <v>Thua Thien HueCong Thuong CN Nam Thua Thien Hue</v>
          </cell>
          <cell r="E445">
            <v>4303</v>
          </cell>
        </row>
        <row r="446">
          <cell r="A446" t="str">
            <v>NH Cong thuong (VietinBank)</v>
          </cell>
          <cell r="D446" t="str">
            <v>Thua Thien HueCong Thuong CN Thua Thien Hue</v>
          </cell>
          <cell r="E446">
            <v>75</v>
          </cell>
        </row>
        <row r="447">
          <cell r="A447" t="str">
            <v>NH Cong thuong (VietinBank)</v>
          </cell>
          <cell r="D447" t="str">
            <v>Ho Chi MinhCong Thuong CN 1 HCM</v>
          </cell>
          <cell r="E447">
            <v>38</v>
          </cell>
        </row>
        <row r="448">
          <cell r="A448" t="str">
            <v>NH Cong thuong (VietinBank)</v>
          </cell>
          <cell r="D448" t="str">
            <v>Ho Chi MinhCong Thuong CN 10 HCM</v>
          </cell>
          <cell r="E448">
            <v>39</v>
          </cell>
        </row>
        <row r="449">
          <cell r="A449" t="str">
            <v>NH Cong thuong (VietinBank)</v>
          </cell>
          <cell r="D449" t="str">
            <v>Ho Chi MinhCong Thuong CN 11 HCM</v>
          </cell>
          <cell r="E449">
            <v>40</v>
          </cell>
        </row>
        <row r="450">
          <cell r="A450" t="str">
            <v>NH Cong thuong (VietinBank)</v>
          </cell>
          <cell r="D450" t="str">
            <v>Ho Chi MinhCong Thuong CN 12 HCM</v>
          </cell>
          <cell r="E450">
            <v>41</v>
          </cell>
        </row>
        <row r="451">
          <cell r="A451" t="str">
            <v>NH Cong thuong (VietinBank)</v>
          </cell>
          <cell r="D451" t="str">
            <v>Ho Chi MinhCong Thuong CN 2 HCM</v>
          </cell>
          <cell r="E451">
            <v>43</v>
          </cell>
        </row>
        <row r="452">
          <cell r="A452" t="str">
            <v>NH Cong thuong (VietinBank)</v>
          </cell>
          <cell r="D452" t="str">
            <v>Ho Chi MinhCong Thuong CN 7 HCM</v>
          </cell>
          <cell r="E452">
            <v>48</v>
          </cell>
        </row>
        <row r="453">
          <cell r="A453" t="str">
            <v>NH Cong thuong (VietinBank)</v>
          </cell>
          <cell r="D453" t="str">
            <v>Ho Chi MinhCong Thuong CN 8 HCM</v>
          </cell>
          <cell r="E453">
            <v>49</v>
          </cell>
        </row>
        <row r="454">
          <cell r="A454" t="str">
            <v>NH Cong thuong (VietinBank)</v>
          </cell>
          <cell r="D454" t="str">
            <v>Ho Chi MinhCong Thuong CN 9 HCM</v>
          </cell>
          <cell r="E454">
            <v>50</v>
          </cell>
        </row>
        <row r="455">
          <cell r="A455" t="str">
            <v>NH Cong thuong (VietinBank)</v>
          </cell>
          <cell r="D455" t="str">
            <v>Ho Chi MinhCong Thuong CN 3 HCM</v>
          </cell>
          <cell r="E455">
            <v>44</v>
          </cell>
        </row>
        <row r="456">
          <cell r="A456" t="str">
            <v>NH Cong thuong (VietinBank)</v>
          </cell>
          <cell r="D456" t="str">
            <v>Ho Chi MinhCong Thuong CN 4 HCM</v>
          </cell>
          <cell r="E456">
            <v>45</v>
          </cell>
        </row>
        <row r="457">
          <cell r="A457" t="str">
            <v>NH Cong thuong (VietinBank)</v>
          </cell>
          <cell r="D457" t="str">
            <v>Ho Chi MinhCong Thuong CN 5 HCM</v>
          </cell>
          <cell r="E457">
            <v>46</v>
          </cell>
        </row>
        <row r="458">
          <cell r="A458" t="str">
            <v>NH Cong thuong (VietinBank)</v>
          </cell>
          <cell r="D458" t="str">
            <v>Ho Chi MinhCong Thuong CN 6 HCM</v>
          </cell>
          <cell r="E458">
            <v>47</v>
          </cell>
        </row>
        <row r="459">
          <cell r="A459" t="str">
            <v>NH Cong thuong (VietinBank)</v>
          </cell>
          <cell r="D459" t="str">
            <v>Ho Chi MinhCong Thuong CN Tay Sai Gon</v>
          </cell>
          <cell r="E459">
            <v>2605</v>
          </cell>
        </row>
        <row r="460">
          <cell r="A460" t="str">
            <v>NH Cong thuong (VietinBank)</v>
          </cell>
          <cell r="D460" t="str">
            <v>Ho Chi MinhCong Thuong TP Ho Chi Minh</v>
          </cell>
          <cell r="E460">
            <v>2533</v>
          </cell>
        </row>
        <row r="461">
          <cell r="A461" t="str">
            <v>NH Cong thuong (VietinBank)</v>
          </cell>
          <cell r="D461" t="str">
            <v>Ho Chi MinhCong Thuong CN Thu Duc</v>
          </cell>
          <cell r="E461">
            <v>2807</v>
          </cell>
        </row>
        <row r="462">
          <cell r="A462" t="str">
            <v>NH Cong thuong (VietinBank)</v>
          </cell>
          <cell r="D462" t="str">
            <v>Ho Chi MinhCong Thuong CN Tay Sai Gon</v>
          </cell>
          <cell r="E462">
            <v>2716</v>
          </cell>
        </row>
        <row r="463">
          <cell r="A463" t="str">
            <v>NH Cong thuong (VietinBank)</v>
          </cell>
          <cell r="D463" t="str">
            <v>Ho Chi MinhCong Thuong CN Tan Binh</v>
          </cell>
          <cell r="E463">
            <v>2767</v>
          </cell>
        </row>
        <row r="464">
          <cell r="A464" t="str">
            <v>NH Cong thuong (VietinBank)</v>
          </cell>
          <cell r="D464" t="str">
            <v>Ho Chi MinhCong Thuong CN Nam Sai Gon</v>
          </cell>
          <cell r="E464">
            <v>3732</v>
          </cell>
        </row>
        <row r="465">
          <cell r="A465" t="str">
            <v>NH Cong thuong (VietinBank)</v>
          </cell>
          <cell r="D465" t="str">
            <v>Ho Chi MinhCong Thuong CN Thu Thiem</v>
          </cell>
          <cell r="E465">
            <v>3904</v>
          </cell>
        </row>
        <row r="466">
          <cell r="A466" t="str">
            <v>NH Cong thuong (VietinBank)</v>
          </cell>
          <cell r="D466" t="str">
            <v>Ho Chi MinhCong Thuong CN Nha Be</v>
          </cell>
          <cell r="E466">
            <v>3672</v>
          </cell>
        </row>
        <row r="467">
          <cell r="A467" t="str">
            <v>NH Cong thuong (VietinBank)</v>
          </cell>
          <cell r="D467" t="str">
            <v>Ho Chi MinhCong Thuong CN Dong Sai Gon</v>
          </cell>
          <cell r="E467">
            <v>3831</v>
          </cell>
        </row>
        <row r="468">
          <cell r="A468" t="str">
            <v>NH Cong thuong (VietinBank)</v>
          </cell>
          <cell r="D468" t="str">
            <v>Ho Chi MinhCong Thuong CN Bac Sai Gon</v>
          </cell>
          <cell r="E468">
            <v>4411</v>
          </cell>
        </row>
        <row r="469">
          <cell r="A469" t="str">
            <v>NH Cong thuong (VietinBank)</v>
          </cell>
          <cell r="D469" t="str">
            <v>Ho Chi MinhCong Thuong TT QL Tien mat HCM</v>
          </cell>
          <cell r="E469">
            <v>5217</v>
          </cell>
        </row>
        <row r="470">
          <cell r="A470" t="str">
            <v>NH Cong thuong (VietinBank)</v>
          </cell>
          <cell r="D470" t="str">
            <v>Ho Chi MinhCong Thuong CN Gia Dinh</v>
          </cell>
          <cell r="E470">
            <v>5218</v>
          </cell>
        </row>
        <row r="471">
          <cell r="A471" t="str">
            <v>NH Cong thuong (VietinBank)</v>
          </cell>
          <cell r="D471" t="str">
            <v>Ho Chi MinhCong Thuong CN Cho Lon</v>
          </cell>
          <cell r="E471">
            <v>5219</v>
          </cell>
        </row>
        <row r="472">
          <cell r="A472" t="str">
            <v>NH Cong thuong (VietinBank)</v>
          </cell>
          <cell r="D472" t="str">
            <v>Da NangCong Thuong CN Song Han</v>
          </cell>
          <cell r="E472">
            <v>5216</v>
          </cell>
        </row>
        <row r="473">
          <cell r="A473" t="str">
            <v>NH Cong thuong (VietinBank)</v>
          </cell>
          <cell r="D473" t="str">
            <v>Da NangCong Thuong CN Da Nang</v>
          </cell>
          <cell r="E473">
            <v>68</v>
          </cell>
        </row>
        <row r="474">
          <cell r="A474" t="str">
            <v>NH Cong thuong (VietinBank)</v>
          </cell>
          <cell r="D474" t="str">
            <v>Da NangCong Thuong CN Bac Da Nang</v>
          </cell>
          <cell r="E474">
            <v>55</v>
          </cell>
        </row>
        <row r="475">
          <cell r="A475" t="str">
            <v>NH Cong thuong (VietinBank)</v>
          </cell>
          <cell r="D475" t="str">
            <v>Da NangCong Thuong CN Ngu Hanh Son</v>
          </cell>
          <cell r="E475">
            <v>4297</v>
          </cell>
        </row>
        <row r="476">
          <cell r="A476" t="str">
            <v>NH Cong thuong (VietinBank)</v>
          </cell>
          <cell r="D476" t="str">
            <v>Quang NamCong Thuong CN Hoi An</v>
          </cell>
          <cell r="E476">
            <v>74</v>
          </cell>
        </row>
        <row r="477">
          <cell r="A477" t="str">
            <v>NH Cong thuong (VietinBank)</v>
          </cell>
          <cell r="D477" t="str">
            <v>Quang NamCong Thuong CN Quang Nam</v>
          </cell>
          <cell r="E477">
            <v>103</v>
          </cell>
        </row>
        <row r="478">
          <cell r="A478" t="str">
            <v>NH Cong thuong (VietinBank)</v>
          </cell>
          <cell r="D478" t="str">
            <v>Quang NgaiCong Thuong CN Quang Ngai</v>
          </cell>
          <cell r="E478">
            <v>104</v>
          </cell>
        </row>
        <row r="479">
          <cell r="A479" t="str">
            <v>NH Cong thuong (VietinBank)</v>
          </cell>
          <cell r="D479" t="str">
            <v>Binh DinhCong Thuong CN Binh Dinh</v>
          </cell>
          <cell r="E479">
            <v>81</v>
          </cell>
        </row>
        <row r="480">
          <cell r="A480" t="str">
            <v>NH Cong thuong (VietinBank)</v>
          </cell>
          <cell r="D480" t="str">
            <v>Binh DinhCong Thuong CN KCN Phu Tai</v>
          </cell>
          <cell r="E480">
            <v>4288</v>
          </cell>
        </row>
        <row r="481">
          <cell r="A481" t="str">
            <v>NH Cong thuong (VietinBank)</v>
          </cell>
          <cell r="D481" t="str">
            <v>Phu YenCong Thuong CN Phu Yen</v>
          </cell>
          <cell r="E481">
            <v>102</v>
          </cell>
        </row>
        <row r="482">
          <cell r="A482" t="str">
            <v>NH Cong thuong (VietinBank)</v>
          </cell>
          <cell r="D482" t="str">
            <v>Khanh HoaCong Thuong CN Khanh Hoa</v>
          </cell>
          <cell r="E482">
            <v>264</v>
          </cell>
        </row>
        <row r="483">
          <cell r="A483" t="str">
            <v>NH Cong thuong (VietinBank)</v>
          </cell>
          <cell r="D483" t="str">
            <v>Dak NongCong Thuong CN Dak Nong</v>
          </cell>
          <cell r="E483">
            <v>3745</v>
          </cell>
        </row>
        <row r="484">
          <cell r="A484" t="str">
            <v>NH Cong thuong (VietinBank)</v>
          </cell>
          <cell r="D484" t="str">
            <v>Binh ThuanCong Thuong CN Binh Thuan</v>
          </cell>
          <cell r="E484">
            <v>83</v>
          </cell>
        </row>
        <row r="485">
          <cell r="A485" t="str">
            <v>NH Cong thuong (VietinBank)</v>
          </cell>
          <cell r="D485" t="str">
            <v>Ninh ThuanCong Thuong CN Ninh Thuan</v>
          </cell>
          <cell r="E485">
            <v>2607</v>
          </cell>
        </row>
        <row r="486">
          <cell r="A486" t="str">
            <v>NH Cong thuong (VietinBank)</v>
          </cell>
          <cell r="D486" t="str">
            <v>Gia LaiCong Thuong CN Gia Lai</v>
          </cell>
          <cell r="E486">
            <v>89</v>
          </cell>
        </row>
        <row r="487">
          <cell r="A487" t="str">
            <v>NH Cong thuong (VietinBank)</v>
          </cell>
          <cell r="D487" t="str">
            <v>Kon TumCong Thuong CN Kon Tum</v>
          </cell>
          <cell r="E487">
            <v>3226</v>
          </cell>
        </row>
        <row r="488">
          <cell r="A488" t="str">
            <v>NH Cong thuong (VietinBank)</v>
          </cell>
          <cell r="D488" t="str">
            <v>Dac LacCong Thuong CN Dak Lak</v>
          </cell>
          <cell r="E488">
            <v>86</v>
          </cell>
        </row>
        <row r="489">
          <cell r="A489" t="str">
            <v>NH Cong thuong (VietinBank)</v>
          </cell>
          <cell r="D489" t="str">
            <v>Lam DongCong Thuong CN Bao Loc</v>
          </cell>
          <cell r="E489">
            <v>64</v>
          </cell>
        </row>
        <row r="490">
          <cell r="A490" t="str">
            <v>NH Cong thuong (VietinBank)</v>
          </cell>
          <cell r="D490" t="str">
            <v>Lam DongCong Thuong CN Lam Dong</v>
          </cell>
          <cell r="E490">
            <v>95</v>
          </cell>
        </row>
        <row r="491">
          <cell r="A491" t="str">
            <v>NH Cong thuong (VietinBank)</v>
          </cell>
          <cell r="D491" t="str">
            <v>Hau GiangCong Thuong CN Hau Giang</v>
          </cell>
          <cell r="E491">
            <v>3520</v>
          </cell>
        </row>
        <row r="492">
          <cell r="A492" t="str">
            <v>NH Cong thuong (VietinBank)</v>
          </cell>
          <cell r="D492" t="str">
            <v>Binh DuongCong Thuong CN KCN Binh Duong</v>
          </cell>
          <cell r="E492">
            <v>60</v>
          </cell>
        </row>
        <row r="493">
          <cell r="A493" t="str">
            <v>NH Cong thuong (VietinBank)</v>
          </cell>
          <cell r="D493" t="str">
            <v>Binh DuongCong Thuong CN Binh Duong</v>
          </cell>
          <cell r="E493">
            <v>82</v>
          </cell>
        </row>
        <row r="494">
          <cell r="A494" t="str">
            <v>NH Cong thuong (VietinBank)</v>
          </cell>
          <cell r="D494" t="str">
            <v>Binh PhuocCong Thuong CN Binh Phuoc</v>
          </cell>
          <cell r="E494">
            <v>263</v>
          </cell>
        </row>
        <row r="495">
          <cell r="A495" t="str">
            <v>NH Cong thuong (VietinBank)</v>
          </cell>
          <cell r="D495" t="str">
            <v>Tay NinhCong Thuong CN Hoa Thanh</v>
          </cell>
          <cell r="E495">
            <v>56</v>
          </cell>
        </row>
        <row r="496">
          <cell r="A496" t="str">
            <v>NH Cong thuong (VietinBank)</v>
          </cell>
          <cell r="D496" t="str">
            <v>Tay NinhCong Thuong CN Tay Ninh</v>
          </cell>
          <cell r="E496">
            <v>72</v>
          </cell>
        </row>
        <row r="497">
          <cell r="A497" t="str">
            <v>NH Cong thuong (VietinBank)</v>
          </cell>
          <cell r="D497" t="str">
            <v>Tay NinhCong Thuong CN KCN Trang Bang</v>
          </cell>
          <cell r="E497">
            <v>3870</v>
          </cell>
        </row>
        <row r="498">
          <cell r="A498" t="str">
            <v>NH Cong thuong (VietinBank)</v>
          </cell>
          <cell r="D498" t="str">
            <v>Dong NaiCong Thuong CN Nhon Trach</v>
          </cell>
          <cell r="E498">
            <v>4416</v>
          </cell>
        </row>
        <row r="499">
          <cell r="A499" t="str">
            <v>NH Cong thuong (VietinBank)</v>
          </cell>
          <cell r="D499" t="str">
            <v>Dong NaiCong Thuong CN KCN Bien Hoa</v>
          </cell>
          <cell r="E499">
            <v>255</v>
          </cell>
        </row>
        <row r="500">
          <cell r="A500" t="str">
            <v>NH Cong thuong (VietinBank)</v>
          </cell>
          <cell r="D500" t="str">
            <v>Dong NaiCong Thuong CN Dong Nai</v>
          </cell>
          <cell r="E500">
            <v>87</v>
          </cell>
        </row>
        <row r="501">
          <cell r="A501" t="str">
            <v>NH Cong thuong (VietinBank)</v>
          </cell>
          <cell r="D501" t="str">
            <v>Ba Ria-Vung TauCong Thuong CN Ba Ria Vung Tau</v>
          </cell>
          <cell r="E501">
            <v>261</v>
          </cell>
        </row>
        <row r="502">
          <cell r="A502" t="str">
            <v>NH Cong thuong (VietinBank)</v>
          </cell>
          <cell r="D502" t="str">
            <v>Long AnCong Thuong CN Long An</v>
          </cell>
          <cell r="E502">
            <v>97</v>
          </cell>
        </row>
        <row r="503">
          <cell r="A503" t="str">
            <v>NH Cong thuong (VietinBank)</v>
          </cell>
          <cell r="D503" t="str">
            <v>Long AnCong Thuong CN Ben Luc</v>
          </cell>
          <cell r="E503">
            <v>59</v>
          </cell>
        </row>
        <row r="504">
          <cell r="A504" t="str">
            <v>NH Cong thuong (VietinBank)</v>
          </cell>
          <cell r="D504" t="str">
            <v>Dong ThapCong Thuong CN Sa Dec</v>
          </cell>
          <cell r="E504">
            <v>2998</v>
          </cell>
        </row>
        <row r="505">
          <cell r="A505" t="str">
            <v>NH Cong thuong (VietinBank)</v>
          </cell>
          <cell r="D505" t="str">
            <v>Dong ThapCong Thuong CN Dong Thap</v>
          </cell>
          <cell r="E505">
            <v>88</v>
          </cell>
        </row>
        <row r="506">
          <cell r="A506" t="str">
            <v>NH Cong thuong (VietinBank)</v>
          </cell>
          <cell r="D506" t="str">
            <v>An GiangCong Thuong CN Chau Doc</v>
          </cell>
          <cell r="E506">
            <v>73</v>
          </cell>
        </row>
        <row r="507">
          <cell r="A507" t="str">
            <v>NH Cong thuong (VietinBank)</v>
          </cell>
          <cell r="D507" t="str">
            <v>An GiangCong Thuong CN An Giang</v>
          </cell>
          <cell r="E507">
            <v>76</v>
          </cell>
        </row>
        <row r="508">
          <cell r="A508" t="str">
            <v>NH Cong thuong (VietinBank)</v>
          </cell>
          <cell r="D508" t="str">
            <v>Tien GiangCong Thuong CN Tien Giang</v>
          </cell>
          <cell r="E508">
            <v>110</v>
          </cell>
        </row>
        <row r="509">
          <cell r="A509" t="str">
            <v>NH Cong thuong (VietinBank)</v>
          </cell>
          <cell r="D509" t="str">
            <v>Tien GiangCong Thuong CN Tay Tien Giang</v>
          </cell>
          <cell r="E509">
            <v>3925</v>
          </cell>
        </row>
        <row r="510">
          <cell r="A510" t="str">
            <v>NH Cong thuong (VietinBank)</v>
          </cell>
          <cell r="D510" t="str">
            <v>Ben TreCong Thuong CN Ben Tre</v>
          </cell>
          <cell r="E510">
            <v>80</v>
          </cell>
        </row>
        <row r="511">
          <cell r="A511" t="str">
            <v>NH Cong thuong (VietinBank)</v>
          </cell>
          <cell r="D511" t="str">
            <v>Vinh LongCong Thuong CN Vinh Long</v>
          </cell>
          <cell r="E511">
            <v>112</v>
          </cell>
        </row>
        <row r="512">
          <cell r="A512" t="str">
            <v>NH Cong thuong (VietinBank)</v>
          </cell>
          <cell r="D512" t="str">
            <v>Tra VinhCong Thuong CN Tra Vinh</v>
          </cell>
          <cell r="E512">
            <v>111</v>
          </cell>
        </row>
        <row r="513">
          <cell r="A513" t="str">
            <v>NH Cong thuong (VietinBank)</v>
          </cell>
          <cell r="D513" t="str">
            <v>Can ThoCong Thuong CN Can Tho</v>
          </cell>
          <cell r="E513">
            <v>85</v>
          </cell>
        </row>
        <row r="514">
          <cell r="A514" t="str">
            <v>NH Cong thuong (VietinBank)</v>
          </cell>
          <cell r="D514" t="str">
            <v>Can ThoCong Thuong CN Tay Do</v>
          </cell>
          <cell r="E514">
            <v>4127</v>
          </cell>
        </row>
        <row r="515">
          <cell r="A515" t="str">
            <v>NH Cong thuong (VietinBank)</v>
          </cell>
          <cell r="D515" t="str">
            <v>Soc TrangCong Thuong CN Soc Trang</v>
          </cell>
          <cell r="E515">
            <v>258</v>
          </cell>
        </row>
        <row r="516">
          <cell r="A516" t="str">
            <v>NH Cong thuong (VietinBank)</v>
          </cell>
          <cell r="D516" t="str">
            <v>Kien GiangCong Thuong CN Kien Giang</v>
          </cell>
          <cell r="E516">
            <v>94</v>
          </cell>
        </row>
        <row r="517">
          <cell r="A517" t="str">
            <v>NH Cong thuong (VietinBank)</v>
          </cell>
          <cell r="D517" t="str">
            <v>Kien GiangCong Thuong CN Phu Quoc</v>
          </cell>
          <cell r="E517">
            <v>5220</v>
          </cell>
        </row>
        <row r="518">
          <cell r="A518" t="str">
            <v>NH Cong thuong (VietinBank)</v>
          </cell>
          <cell r="D518" t="str">
            <v>Bac LieuCong Thuong CN Bac Lieu</v>
          </cell>
          <cell r="E518">
            <v>78</v>
          </cell>
        </row>
        <row r="519">
          <cell r="A519" t="str">
            <v>NH Cong thuong (VietinBank)</v>
          </cell>
          <cell r="D519" t="str">
            <v>Ca MauCong Thuong CN Ca Mau</v>
          </cell>
          <cell r="E519">
            <v>84</v>
          </cell>
        </row>
        <row r="520">
          <cell r="A520" t="str">
            <v>NH CREDIT AGRICOLE CIB</v>
          </cell>
          <cell r="D520" t="str">
            <v>Ha NoiCREDIT AGRICOLE CIB CN Ha Noi</v>
          </cell>
          <cell r="E520">
            <v>2749</v>
          </cell>
        </row>
        <row r="521">
          <cell r="A521" t="str">
            <v>NH CREDIT AGRICOLE CIB</v>
          </cell>
          <cell r="D521" t="str">
            <v>Ho Chi MinhCREDIT AGRICOLE CIB CN HCM</v>
          </cell>
          <cell r="E521">
            <v>655</v>
          </cell>
        </row>
        <row r="522">
          <cell r="A522" t="str">
            <v>NH CTBC</v>
          </cell>
          <cell r="D522" t="str">
            <v>Ho Chi MinhNH CTBC CN HCM</v>
          </cell>
          <cell r="E522">
            <v>1627</v>
          </cell>
        </row>
        <row r="523">
          <cell r="A523" t="str">
            <v>NH Dau Tu va Phat Trien (BIDV)</v>
          </cell>
          <cell r="D523" t="str">
            <v>Ha NoiDT&amp;PT CN Hoai Duc</v>
          </cell>
          <cell r="E523">
            <v>5131</v>
          </cell>
        </row>
        <row r="524">
          <cell r="A524" t="str">
            <v>NH Dau Tu va Phat Trien (BIDV)</v>
          </cell>
          <cell r="D524" t="str">
            <v>Ha NoiDT&amp;PT CN Thanh Tri</v>
          </cell>
          <cell r="E524">
            <v>5132</v>
          </cell>
        </row>
        <row r="525">
          <cell r="A525" t="str">
            <v>NH Dau Tu va Phat Trien (BIDV)</v>
          </cell>
          <cell r="D525" t="str">
            <v>Ha NoiDT&amp;PT CN Ngoc Khanh</v>
          </cell>
          <cell r="E525">
            <v>5133</v>
          </cell>
        </row>
        <row r="526">
          <cell r="A526" t="str">
            <v>NH Dau Tu va Phat Trien (BIDV)</v>
          </cell>
          <cell r="D526" t="str">
            <v>Ha NoiDT&amp;PT CN Ba Dinh</v>
          </cell>
          <cell r="E526">
            <v>4473</v>
          </cell>
        </row>
        <row r="527">
          <cell r="A527" t="str">
            <v>NH Dau Tu va Phat Trien (BIDV)</v>
          </cell>
          <cell r="D527" t="str">
            <v>Ha NoiDT&amp;PT CN Bac Ha</v>
          </cell>
          <cell r="E527">
            <v>4475</v>
          </cell>
        </row>
        <row r="528">
          <cell r="A528" t="str">
            <v>NH Dau Tu va Phat Trien (BIDV)</v>
          </cell>
          <cell r="D528" t="str">
            <v>Ha NoiDT&amp;PT CN Chuong Duong</v>
          </cell>
          <cell r="E528">
            <v>4485</v>
          </cell>
        </row>
        <row r="529">
          <cell r="A529" t="str">
            <v>NH Dau Tu va Phat Trien (BIDV)</v>
          </cell>
          <cell r="D529" t="str">
            <v>Ha NoiDT&amp;PT CN Dai La</v>
          </cell>
          <cell r="E529">
            <v>4490</v>
          </cell>
        </row>
        <row r="530">
          <cell r="A530" t="str">
            <v>NH Dau Tu va Phat Trien (BIDV)</v>
          </cell>
          <cell r="D530" t="str">
            <v>Ha NoiDT&amp;PT CN Dong Da</v>
          </cell>
          <cell r="E530">
            <v>4492</v>
          </cell>
        </row>
        <row r="531">
          <cell r="A531" t="str">
            <v>NH Dau Tu va Phat Trien (BIDV)</v>
          </cell>
          <cell r="D531" t="str">
            <v>Ha NoiDT&amp;PT CN Hai Ba Trung</v>
          </cell>
          <cell r="E531">
            <v>4501</v>
          </cell>
        </row>
        <row r="532">
          <cell r="A532" t="str">
            <v>NH Dau Tu va Phat Trien (BIDV)</v>
          </cell>
          <cell r="D532" t="str">
            <v>Ha NoiDT&amp;PT CN Hoan Kiem</v>
          </cell>
          <cell r="E532">
            <v>4503</v>
          </cell>
        </row>
        <row r="533">
          <cell r="A533" t="str">
            <v>NH Dau Tu va Phat Trien (BIDV)</v>
          </cell>
          <cell r="D533" t="str">
            <v>Ha NoiDT&amp;PT CN Hong Ha</v>
          </cell>
          <cell r="E533">
            <v>4506</v>
          </cell>
        </row>
        <row r="534">
          <cell r="A534" t="str">
            <v>NH Dau Tu va Phat Trien (BIDV)</v>
          </cell>
          <cell r="D534" t="str">
            <v>Ha NoiDT&amp;PT CN Quang Minh</v>
          </cell>
          <cell r="E534">
            <v>4530</v>
          </cell>
        </row>
        <row r="535">
          <cell r="A535" t="str">
            <v>NH Dau Tu va Phat Trien (BIDV)</v>
          </cell>
          <cell r="D535" t="str">
            <v>Ha NoiDT&amp;PT CN Tay Ha Noi</v>
          </cell>
          <cell r="E535">
            <v>4540</v>
          </cell>
        </row>
        <row r="536">
          <cell r="A536" t="str">
            <v>NH Dau Tu va Phat Trien (BIDV)</v>
          </cell>
          <cell r="D536" t="str">
            <v>Ha NoiDT&amp;PT CN Tay Ho</v>
          </cell>
          <cell r="E536">
            <v>4541</v>
          </cell>
        </row>
        <row r="537">
          <cell r="A537" t="str">
            <v>NH Dau Tu va Phat Trien (BIDV)</v>
          </cell>
          <cell r="D537" t="str">
            <v>Ha NoiDT&amp;PT CN Thach That</v>
          </cell>
          <cell r="E537">
            <v>4545</v>
          </cell>
        </row>
        <row r="538">
          <cell r="A538" t="str">
            <v>NH Dau Tu va Phat Trien (BIDV)</v>
          </cell>
          <cell r="D538" t="str">
            <v>Ha NoiDT&amp;PT CN Thanh Xuan</v>
          </cell>
          <cell r="E538">
            <v>4547</v>
          </cell>
        </row>
        <row r="539">
          <cell r="A539" t="str">
            <v>NH Dau Tu va Phat Trien (BIDV)</v>
          </cell>
          <cell r="D539" t="str">
            <v>Ha NoiDT&amp;PT SGD III</v>
          </cell>
          <cell r="E539">
            <v>4554</v>
          </cell>
        </row>
        <row r="540">
          <cell r="A540" t="str">
            <v>NH Dau Tu va Phat Trien (BIDV)</v>
          </cell>
          <cell r="D540" t="str">
            <v>Ha NoiDT&amp;PT CN Trang An</v>
          </cell>
          <cell r="E540">
            <v>4550</v>
          </cell>
        </row>
        <row r="541">
          <cell r="A541" t="str">
            <v>NH Dau Tu va Phat Trien (BIDV)</v>
          </cell>
          <cell r="D541" t="str">
            <v>Ha NoiDT&amp;PT CN Dong Ha Noi</v>
          </cell>
          <cell r="E541">
            <v>3833</v>
          </cell>
        </row>
        <row r="542">
          <cell r="A542" t="str">
            <v>NH Dau Tu va Phat Trien (BIDV)</v>
          </cell>
          <cell r="D542" t="str">
            <v>Ha NoiDT&amp;PT CN Nam Ha Noi</v>
          </cell>
          <cell r="E542">
            <v>3222</v>
          </cell>
        </row>
        <row r="543">
          <cell r="A543" t="str">
            <v>NH Dau Tu va Phat Trien (BIDV)</v>
          </cell>
          <cell r="D543" t="str">
            <v>Ha NoiDT&amp;PT CN Ha Thanh</v>
          </cell>
          <cell r="E543">
            <v>2649</v>
          </cell>
        </row>
        <row r="544">
          <cell r="A544" t="str">
            <v>NH Dau Tu va Phat Trien (BIDV)</v>
          </cell>
          <cell r="D544" t="str">
            <v>Ha NoiDT&amp;PT CN Dong Do</v>
          </cell>
          <cell r="E544">
            <v>2732</v>
          </cell>
        </row>
        <row r="545">
          <cell r="A545" t="str">
            <v>NH Dau Tu va Phat Trien (BIDV)</v>
          </cell>
          <cell r="D545" t="str">
            <v>Ha NoiDT&amp;PT CN Quang Trung</v>
          </cell>
          <cell r="E545">
            <v>2750</v>
          </cell>
        </row>
        <row r="546">
          <cell r="A546" t="str">
            <v>NH Dau Tu va Phat Trien (BIDV)</v>
          </cell>
          <cell r="D546" t="str">
            <v>Ha NoiDT&amp;PT CN Son Tay</v>
          </cell>
          <cell r="E546">
            <v>1281</v>
          </cell>
        </row>
        <row r="547">
          <cell r="A547" t="str">
            <v>NH Dau Tu va Phat Trien (BIDV)</v>
          </cell>
          <cell r="D547" t="str">
            <v>Ha NoiDT&amp;PT CN Thanh Do</v>
          </cell>
          <cell r="E547">
            <v>3133</v>
          </cell>
        </row>
        <row r="548">
          <cell r="A548" t="str">
            <v>NH Dau Tu va Phat Trien (BIDV)</v>
          </cell>
          <cell r="D548" t="str">
            <v>Ha NoiDT&amp;PT CN Ha Tay</v>
          </cell>
          <cell r="E548">
            <v>141</v>
          </cell>
        </row>
        <row r="549">
          <cell r="A549" t="str">
            <v>NH Dau Tu va Phat Trien (BIDV)</v>
          </cell>
          <cell r="D549" t="str">
            <v>Ha NoiDT&amp;PT CN Ha Noi</v>
          </cell>
          <cell r="E549">
            <v>176</v>
          </cell>
        </row>
        <row r="550">
          <cell r="A550" t="str">
            <v>NH Dau Tu va Phat Trien (BIDV)</v>
          </cell>
          <cell r="D550" t="str">
            <v>Ha NoiDT&amp;PT CN Bac Ha Noi</v>
          </cell>
          <cell r="E550">
            <v>179</v>
          </cell>
        </row>
        <row r="551">
          <cell r="A551" t="str">
            <v>NH Dau Tu va Phat Trien (BIDV)</v>
          </cell>
          <cell r="D551" t="str">
            <v>Ha NoiDT&amp;PT CN Thang Long</v>
          </cell>
          <cell r="E551">
            <v>180</v>
          </cell>
        </row>
        <row r="552">
          <cell r="A552" t="str">
            <v>NH Dau Tu va Phat Trien (BIDV)</v>
          </cell>
          <cell r="D552" t="str">
            <v>Ha NoiDT&amp;PT SGD 1</v>
          </cell>
          <cell r="E552">
            <v>2522</v>
          </cell>
        </row>
        <row r="553">
          <cell r="A553" t="str">
            <v>NH Dau Tu va Phat Trien (BIDV)</v>
          </cell>
          <cell r="D553" t="str">
            <v>Ha NoiDT&amp;PT CN Cau Giay</v>
          </cell>
          <cell r="E553">
            <v>1283</v>
          </cell>
        </row>
        <row r="554">
          <cell r="A554" t="str">
            <v>NH Dau Tu va Phat Trien (BIDV)</v>
          </cell>
          <cell r="D554" t="str">
            <v>Ha NoiDT&amp;PT CN CN Gia Lam</v>
          </cell>
          <cell r="E554">
            <v>1285</v>
          </cell>
        </row>
        <row r="555">
          <cell r="A555" t="str">
            <v>NH Dau Tu va Phat Trien (BIDV)</v>
          </cell>
          <cell r="D555" t="str">
            <v>Ha NoiDT&amp;PT CN Tu Liem</v>
          </cell>
          <cell r="E555">
            <v>1287</v>
          </cell>
        </row>
        <row r="556">
          <cell r="A556" t="str">
            <v>NH Dau Tu va Phat Trien (BIDV)</v>
          </cell>
          <cell r="D556" t="str">
            <v>Ha NoiDT&amp;PT Viet Nam</v>
          </cell>
          <cell r="E556">
            <v>1288</v>
          </cell>
        </row>
        <row r="557">
          <cell r="A557" t="str">
            <v>NH Dau Tu va Phat Trien (BIDV)</v>
          </cell>
          <cell r="D557" t="str">
            <v>Tuyen QuangDT&amp;PT CN Tuyen Quang</v>
          </cell>
          <cell r="E557">
            <v>171</v>
          </cell>
        </row>
        <row r="558">
          <cell r="A558" t="str">
            <v>NH Dau Tu va Phat Trien (BIDV)</v>
          </cell>
          <cell r="D558" t="str">
            <v>Ha GiangDT&amp;PT CN Ha Giang</v>
          </cell>
          <cell r="E558">
            <v>139</v>
          </cell>
        </row>
        <row r="559">
          <cell r="A559" t="str">
            <v>NH Dau Tu va Phat Trien (BIDV)</v>
          </cell>
          <cell r="D559" t="str">
            <v>Cao BangDT&amp;PT CN Cao Bang</v>
          </cell>
          <cell r="E559">
            <v>134</v>
          </cell>
        </row>
        <row r="560">
          <cell r="A560" t="str">
            <v>NH Dau Tu va Phat Trien (BIDV)</v>
          </cell>
          <cell r="D560" t="str">
            <v>Lang SonDT&amp;PT CN Lang Son</v>
          </cell>
          <cell r="E560">
            <v>150</v>
          </cell>
        </row>
        <row r="561">
          <cell r="A561" t="str">
            <v>NH Dau Tu va Phat Trien (BIDV)</v>
          </cell>
          <cell r="D561" t="str">
            <v>Bac CanDT&amp;PT CN Bac Kan</v>
          </cell>
          <cell r="E561">
            <v>123</v>
          </cell>
        </row>
        <row r="562">
          <cell r="A562" t="str">
            <v>NH Dau Tu va Phat Trien (BIDV)</v>
          </cell>
          <cell r="D562" t="str">
            <v>Thai NguyenDT&amp;PT CN Nam Thai Nguyen</v>
          </cell>
          <cell r="E562">
            <v>4521</v>
          </cell>
        </row>
        <row r="563">
          <cell r="A563" t="str">
            <v>NH Dau Tu va Phat Trien (BIDV)</v>
          </cell>
          <cell r="D563" t="str">
            <v>Thai NguyenDT&amp;PT CN Thai Nguyen</v>
          </cell>
          <cell r="E563">
            <v>167</v>
          </cell>
        </row>
        <row r="564">
          <cell r="A564" t="str">
            <v>NH Dau Tu va Phat Trien (BIDV)</v>
          </cell>
          <cell r="D564" t="str">
            <v>Yen BaiDT&amp;PT CN Yen Bai</v>
          </cell>
          <cell r="E564">
            <v>174</v>
          </cell>
        </row>
        <row r="565">
          <cell r="A565" t="str">
            <v>NH Dau Tu va Phat Trien (BIDV)</v>
          </cell>
          <cell r="D565" t="str">
            <v>Lao CaiDT&amp;PT CN Lao Cai</v>
          </cell>
          <cell r="E565">
            <v>151</v>
          </cell>
        </row>
        <row r="566">
          <cell r="A566" t="str">
            <v>NH Dau Tu va Phat Trien (BIDV)</v>
          </cell>
          <cell r="D566" t="str">
            <v>Lao CaiDT&amp;PT CN SaPa</v>
          </cell>
          <cell r="E566">
            <v>5135</v>
          </cell>
        </row>
        <row r="567">
          <cell r="A567" t="str">
            <v>NH Dau Tu va Phat Trien (BIDV)</v>
          </cell>
          <cell r="D567" t="str">
            <v>Dien BienDT&amp;PT CN Dien Bien</v>
          </cell>
          <cell r="E567">
            <v>148</v>
          </cell>
        </row>
        <row r="568">
          <cell r="A568" t="str">
            <v>NH Dau Tu va Phat Trien (BIDV)</v>
          </cell>
          <cell r="D568" t="str">
            <v>Son LaDT&amp;PT CN Son La</v>
          </cell>
          <cell r="E568">
            <v>164</v>
          </cell>
        </row>
        <row r="569">
          <cell r="A569" t="str">
            <v>NH Dau Tu va Phat Trien (BIDV)</v>
          </cell>
          <cell r="D569" t="str">
            <v>Quang NinhDT&amp;PT CN Ha Long</v>
          </cell>
          <cell r="E569">
            <v>4500</v>
          </cell>
        </row>
        <row r="570">
          <cell r="A570" t="str">
            <v>NH Dau Tu va Phat Trien (BIDV)</v>
          </cell>
          <cell r="D570" t="str">
            <v>Quang NinhDT&amp;PT CN Mong Cai</v>
          </cell>
          <cell r="E570">
            <v>4515</v>
          </cell>
        </row>
        <row r="571">
          <cell r="A571" t="str">
            <v>NH Dau Tu va Phat Trien (BIDV)</v>
          </cell>
          <cell r="D571" t="str">
            <v>Quang NinhDT&amp;PT CN Tay Nam Quang Ninh</v>
          </cell>
          <cell r="E571">
            <v>4543</v>
          </cell>
        </row>
        <row r="572">
          <cell r="A572" t="str">
            <v>NH Dau Tu va Phat Trien (BIDV)</v>
          </cell>
          <cell r="D572" t="str">
            <v>Quang NinhDT&amp;PT CN Cam Pha</v>
          </cell>
          <cell r="E572">
            <v>4549</v>
          </cell>
        </row>
        <row r="573">
          <cell r="A573" t="str">
            <v>NH Dau Tu va Phat Trien (BIDV)</v>
          </cell>
          <cell r="D573" t="str">
            <v>Quang NinhDT&amp;PT CN Quang Ninh</v>
          </cell>
          <cell r="E573">
            <v>162</v>
          </cell>
        </row>
        <row r="574">
          <cell r="A574" t="str">
            <v>NH Dau Tu va Phat Trien (BIDV)</v>
          </cell>
          <cell r="D574" t="str">
            <v>Lai ChauDT&amp;PT CN Lai Chau</v>
          </cell>
          <cell r="E574">
            <v>3896</v>
          </cell>
        </row>
        <row r="575">
          <cell r="A575" t="str">
            <v>NH Dau Tu va Phat Trien (BIDV)</v>
          </cell>
          <cell r="D575" t="str">
            <v>Hai PhongDT&amp;PT CN Hai Phong</v>
          </cell>
          <cell r="E575">
            <v>121</v>
          </cell>
        </row>
        <row r="576">
          <cell r="A576" t="str">
            <v>NH Dau Tu va Phat Trien (BIDV)</v>
          </cell>
          <cell r="D576" t="str">
            <v>Hai PhongDT&amp;PT CN Dong Hai Phong</v>
          </cell>
          <cell r="E576">
            <v>4495</v>
          </cell>
        </row>
        <row r="577">
          <cell r="A577" t="str">
            <v>NH Dau Tu va Phat Trien (BIDV)</v>
          </cell>
          <cell r="D577" t="str">
            <v>Hai PhongDT&amp;PT CN Lach Tray</v>
          </cell>
          <cell r="E577">
            <v>4510</v>
          </cell>
        </row>
        <row r="578">
          <cell r="A578" t="str">
            <v>NH Dau Tu va Phat Trien (BIDV)</v>
          </cell>
          <cell r="D578" t="str">
            <v>Hai DuongDT&amp;PT CN Bac Hai Duong</v>
          </cell>
          <cell r="E578">
            <v>4477</v>
          </cell>
        </row>
        <row r="579">
          <cell r="A579" t="str">
            <v>NH Dau Tu va Phat Trien (BIDV)</v>
          </cell>
          <cell r="D579" t="str">
            <v>Hai DuongDT&amp;PT CN Thanh Dong</v>
          </cell>
          <cell r="E579">
            <v>2616</v>
          </cell>
        </row>
        <row r="580">
          <cell r="A580" t="str">
            <v>NH Dau Tu va Phat Trien (BIDV)</v>
          </cell>
          <cell r="D580" t="str">
            <v>Hai DuongDT&amp;PT CN Hai Duong</v>
          </cell>
          <cell r="E580">
            <v>142</v>
          </cell>
        </row>
        <row r="581">
          <cell r="A581" t="str">
            <v>NH Dau Tu va Phat Trien (BIDV)</v>
          </cell>
          <cell r="D581" t="str">
            <v>Hung YenDT&amp;PT CN Bac Hung Yen</v>
          </cell>
          <cell r="E581">
            <v>4478</v>
          </cell>
        </row>
        <row r="582">
          <cell r="A582" t="str">
            <v>NH Dau Tu va Phat Trien (BIDV)</v>
          </cell>
          <cell r="D582" t="str">
            <v>Hung YenDT&amp;PT CN Hung Yen</v>
          </cell>
          <cell r="E582">
            <v>144</v>
          </cell>
        </row>
        <row r="583">
          <cell r="A583" t="str">
            <v>NH Dau Tu va Phat Trien (BIDV)</v>
          </cell>
          <cell r="D583" t="str">
            <v>Bac GiangDT&amp;PT CN Bac Giang</v>
          </cell>
          <cell r="E583">
            <v>124</v>
          </cell>
        </row>
        <row r="584">
          <cell r="A584" t="str">
            <v>NH Dau Tu va Phat Trien (BIDV)</v>
          </cell>
          <cell r="D584" t="str">
            <v>Bac NinhDT&amp;PT CN Kinh Bac</v>
          </cell>
          <cell r="E584">
            <v>4508</v>
          </cell>
        </row>
        <row r="585">
          <cell r="A585" t="str">
            <v>NH Dau Tu va Phat Trien (BIDV)</v>
          </cell>
          <cell r="D585" t="str">
            <v>Bac NinhDT&amp;PT CN Tu Son</v>
          </cell>
          <cell r="E585">
            <v>4552</v>
          </cell>
        </row>
        <row r="586">
          <cell r="A586" t="str">
            <v>NH Dau Tu va Phat Trien (BIDV)</v>
          </cell>
          <cell r="D586" t="str">
            <v>Bac NinhDT&amp;PT CN Bac Ninh</v>
          </cell>
          <cell r="E586">
            <v>126</v>
          </cell>
        </row>
        <row r="587">
          <cell r="A587" t="str">
            <v>NH Dau Tu va Phat Trien (BIDV)</v>
          </cell>
          <cell r="D587" t="str">
            <v>Phu ThoDT&amp;PT CN Phu Tho</v>
          </cell>
          <cell r="E587">
            <v>157</v>
          </cell>
        </row>
        <row r="588">
          <cell r="A588" t="str">
            <v>NH Dau Tu va Phat Trien (BIDV)</v>
          </cell>
          <cell r="D588" t="str">
            <v>Phu ThoDT&amp;PT CN Hung Vuong</v>
          </cell>
          <cell r="E588">
            <v>4507</v>
          </cell>
        </row>
        <row r="589">
          <cell r="A589" t="str">
            <v>NH Dau Tu va Phat Trien (BIDV)</v>
          </cell>
          <cell r="D589" t="str">
            <v>Vinh PhucDT&amp;PT CN Phuc Yen</v>
          </cell>
          <cell r="E589">
            <v>4327</v>
          </cell>
        </row>
        <row r="590">
          <cell r="A590" t="str">
            <v>NH Dau Tu va Phat Trien (BIDV)</v>
          </cell>
          <cell r="D590" t="str">
            <v>Vinh PhucDT&amp;PT CN Vinh Phuc</v>
          </cell>
          <cell r="E590">
            <v>173</v>
          </cell>
        </row>
        <row r="591">
          <cell r="A591" t="str">
            <v>NH Dau Tu va Phat Trien (BIDV)</v>
          </cell>
          <cell r="D591" t="str">
            <v>Hoa BinhDT&amp;PT CN Hoa Binh</v>
          </cell>
          <cell r="E591">
            <v>143</v>
          </cell>
        </row>
        <row r="592">
          <cell r="A592" t="str">
            <v>NH Dau Tu va Phat Trien (BIDV)</v>
          </cell>
          <cell r="D592" t="str">
            <v>Ha NamDT&amp;PT CN Ha Nam</v>
          </cell>
          <cell r="E592">
            <v>140</v>
          </cell>
        </row>
        <row r="593">
          <cell r="A593" t="str">
            <v>NH Dau Tu va Phat Trien (BIDV)</v>
          </cell>
          <cell r="D593" t="str">
            <v>Nam DinhDT&amp;PT CN Nam Dinh</v>
          </cell>
          <cell r="E593">
            <v>153</v>
          </cell>
        </row>
        <row r="594">
          <cell r="A594" t="str">
            <v>NH Dau Tu va Phat Trien (BIDV)</v>
          </cell>
          <cell r="D594" t="str">
            <v>Ninh BinhDT&amp;PT CN Ninh Binh</v>
          </cell>
          <cell r="E594">
            <v>155</v>
          </cell>
        </row>
        <row r="595">
          <cell r="A595" t="str">
            <v>NH Dau Tu va Phat Trien (BIDV)</v>
          </cell>
          <cell r="D595" t="str">
            <v>Ninh BinhDT&amp;PT CN Tam Diep</v>
          </cell>
          <cell r="E595">
            <v>4536</v>
          </cell>
        </row>
        <row r="596">
          <cell r="A596" t="str">
            <v>NH Dau Tu va Phat Trien (BIDV)</v>
          </cell>
          <cell r="D596" t="str">
            <v>Thai BinhDT&amp;PT CN Thai Binh</v>
          </cell>
          <cell r="E596">
            <v>166</v>
          </cell>
        </row>
        <row r="597">
          <cell r="A597" t="str">
            <v>NH Dau Tu va Phat Trien (BIDV)</v>
          </cell>
          <cell r="D597" t="str">
            <v>Thanh HoaDT&amp;PT CN Lam Son</v>
          </cell>
          <cell r="E597">
            <v>4511</v>
          </cell>
        </row>
        <row r="598">
          <cell r="A598" t="str">
            <v>NH Dau Tu va Phat Trien (BIDV)</v>
          </cell>
          <cell r="D598" t="str">
            <v>Thanh HoaDT&amp;PT CN Bim Son</v>
          </cell>
          <cell r="E598">
            <v>1279</v>
          </cell>
        </row>
        <row r="599">
          <cell r="A599" t="str">
            <v>NH Dau Tu va Phat Trien (BIDV)</v>
          </cell>
          <cell r="D599" t="str">
            <v>Thanh HoaDT&amp;PT CN Thanh Hoa</v>
          </cell>
          <cell r="E599">
            <v>168</v>
          </cell>
        </row>
        <row r="600">
          <cell r="A600" t="str">
            <v>NH Dau Tu va Phat Trien (BIDV)</v>
          </cell>
          <cell r="D600" t="str">
            <v>Nghe AnDT&amp;PT CN Phu Dien</v>
          </cell>
          <cell r="E600">
            <v>4524</v>
          </cell>
        </row>
        <row r="601">
          <cell r="A601" t="str">
            <v>NH Dau Tu va Phat Trien (BIDV)</v>
          </cell>
          <cell r="D601" t="str">
            <v>Nghe AnDT&amp;PT CN Phu Quy</v>
          </cell>
          <cell r="E601">
            <v>4528</v>
          </cell>
        </row>
        <row r="602">
          <cell r="A602" t="str">
            <v>NH Dau Tu va Phat Trien (BIDV)</v>
          </cell>
          <cell r="D602" t="str">
            <v>Nghe AnDT&amp;PT CN Thanh Vinh</v>
          </cell>
          <cell r="E602">
            <v>4546</v>
          </cell>
        </row>
        <row r="603">
          <cell r="A603" t="str">
            <v>NH Dau Tu va Phat Trien (BIDV)</v>
          </cell>
          <cell r="D603" t="str">
            <v>Nghe AnDT&amp;PT CN Nghe An</v>
          </cell>
          <cell r="E603">
            <v>154</v>
          </cell>
        </row>
        <row r="604">
          <cell r="A604" t="str">
            <v>NH Dau Tu va Phat Trien (BIDV)</v>
          </cell>
          <cell r="D604" t="str">
            <v>Ha TinhDT&amp;PT CN Ha Tinh</v>
          </cell>
          <cell r="E604">
            <v>175</v>
          </cell>
        </row>
        <row r="605">
          <cell r="A605" t="str">
            <v>NH Dau Tu va Phat Trien (BIDV)</v>
          </cell>
          <cell r="D605" t="str">
            <v>Ha TinhDT&amp;PT CN Ky Anh</v>
          </cell>
          <cell r="E605">
            <v>5137</v>
          </cell>
        </row>
        <row r="606">
          <cell r="A606" t="str">
            <v>NH Dau Tu va Phat Trien (BIDV)</v>
          </cell>
          <cell r="D606" t="str">
            <v>Quang BinhDT&amp;PT CN Quang Binh</v>
          </cell>
          <cell r="E606">
            <v>159</v>
          </cell>
        </row>
        <row r="607">
          <cell r="A607" t="str">
            <v>NH Dau Tu va Phat Trien (BIDV)</v>
          </cell>
          <cell r="D607" t="str">
            <v>Quang BinhDT&amp;PT CN Bac Quang Binh</v>
          </cell>
          <cell r="E607">
            <v>1275</v>
          </cell>
        </row>
        <row r="608">
          <cell r="A608" t="str">
            <v>NH Dau Tu va Phat Trien (BIDV)</v>
          </cell>
          <cell r="D608" t="str">
            <v>Quang TriDT&amp;PT CN Quang Tri</v>
          </cell>
          <cell r="E608">
            <v>115</v>
          </cell>
        </row>
        <row r="609">
          <cell r="A609" t="str">
            <v>NH Dau Tu va Phat Trien (BIDV)</v>
          </cell>
          <cell r="D609" t="str">
            <v>Thua Thien HueDT&amp;PT CN Phu Xuan</v>
          </cell>
          <cell r="E609">
            <v>4529</v>
          </cell>
        </row>
        <row r="610">
          <cell r="A610" t="str">
            <v>NH Dau Tu va Phat Trien (BIDV)</v>
          </cell>
          <cell r="D610" t="str">
            <v>Thua Thien HueDT&amp;PT CN Thua Thien Hue</v>
          </cell>
          <cell r="E610">
            <v>181</v>
          </cell>
        </row>
        <row r="611">
          <cell r="A611" t="str">
            <v>NH Dau Tu va Phat Trien (BIDV)</v>
          </cell>
          <cell r="D611" t="str">
            <v>Ho Chi MinhDT&amp;PT CN TPHCM</v>
          </cell>
          <cell r="E611">
            <v>177</v>
          </cell>
        </row>
        <row r="612">
          <cell r="A612" t="str">
            <v>NH Dau Tu va Phat Trien (BIDV)</v>
          </cell>
          <cell r="D612" t="str">
            <v>Ho Chi MinhDT&amp;PT CN Ben Nghe</v>
          </cell>
          <cell r="E612">
            <v>188</v>
          </cell>
        </row>
        <row r="613">
          <cell r="A613" t="str">
            <v>NH Dau Tu va Phat Trien (BIDV)</v>
          </cell>
          <cell r="D613" t="str">
            <v>Ho Chi MinhDT&amp;PT CN Sai Gon</v>
          </cell>
          <cell r="E613">
            <v>1265</v>
          </cell>
        </row>
        <row r="614">
          <cell r="A614" t="str">
            <v>NH Dau Tu va Phat Trien (BIDV)</v>
          </cell>
          <cell r="D614" t="str">
            <v>Ho Chi MinhDT&amp;PT CN Dong Sai Gon</v>
          </cell>
          <cell r="E614">
            <v>2736</v>
          </cell>
        </row>
        <row r="615">
          <cell r="A615" t="str">
            <v>NH Dau Tu va Phat Trien (BIDV)</v>
          </cell>
          <cell r="D615" t="str">
            <v>Ho Chi MinhDT&amp;PT CN Bac Sai Gon</v>
          </cell>
          <cell r="E615">
            <v>3121</v>
          </cell>
        </row>
        <row r="616">
          <cell r="A616" t="str">
            <v>NH Dau Tu va Phat Trien (BIDV)</v>
          </cell>
          <cell r="D616" t="str">
            <v>Ho Chi MinhDT&amp;PT CN So Giao dich 2</v>
          </cell>
          <cell r="E616">
            <v>2527</v>
          </cell>
        </row>
        <row r="617">
          <cell r="A617" t="str">
            <v>NH Dau Tu va Phat Trien (BIDV)</v>
          </cell>
          <cell r="D617" t="str">
            <v>Ho Chi MinhDT&amp;PT CN Gia Dinh</v>
          </cell>
          <cell r="E617">
            <v>2706</v>
          </cell>
        </row>
        <row r="618">
          <cell r="A618" t="str">
            <v>NH Dau Tu va Phat Trien (BIDV)</v>
          </cell>
          <cell r="D618" t="str">
            <v>Ho Chi MinhDT&amp;PT CN Tay Sai Gon</v>
          </cell>
          <cell r="E618">
            <v>2573</v>
          </cell>
        </row>
        <row r="619">
          <cell r="A619" t="str">
            <v>NH Dau Tu va Phat Trien (BIDV)</v>
          </cell>
          <cell r="D619" t="str">
            <v>Ho Chi MinhDT&amp;PT CN Nam Ky Khoi Nghia</v>
          </cell>
          <cell r="E619">
            <v>2575</v>
          </cell>
        </row>
        <row r="620">
          <cell r="A620" t="str">
            <v>NH Dau Tu va Phat Trien (BIDV)</v>
          </cell>
          <cell r="D620" t="str">
            <v>Ho Chi MinhDT&amp;PT Campuchia CN HCM</v>
          </cell>
          <cell r="E620">
            <v>4471</v>
          </cell>
        </row>
        <row r="621">
          <cell r="A621" t="str">
            <v>NH Dau Tu va Phat Trien (BIDV)</v>
          </cell>
          <cell r="D621" t="str">
            <v>Ho Chi MinhDT&amp;PT CN Ba Chieu</v>
          </cell>
          <cell r="E621">
            <v>4472</v>
          </cell>
        </row>
        <row r="622">
          <cell r="A622" t="str">
            <v>NH Dau Tu va Phat Trien (BIDV)</v>
          </cell>
          <cell r="D622" t="str">
            <v>Ho Chi MinhDT&amp;PT CN Ba Thang Hai</v>
          </cell>
          <cell r="E622">
            <v>4474</v>
          </cell>
        </row>
        <row r="623">
          <cell r="A623" t="str">
            <v>NH Dau Tu va Phat Trien (BIDV)</v>
          </cell>
          <cell r="D623" t="str">
            <v>Ho Chi MinhDT&amp;PT CN Ben Thanh</v>
          </cell>
          <cell r="E623">
            <v>4480</v>
          </cell>
        </row>
        <row r="624">
          <cell r="A624" t="str">
            <v>NH Dau Tu va Phat Trien (BIDV)</v>
          </cell>
          <cell r="D624" t="str">
            <v>Ho Chi MinhDT&amp;PT CN Binh Chanh</v>
          </cell>
          <cell r="E624">
            <v>4482</v>
          </cell>
        </row>
        <row r="625">
          <cell r="A625" t="str">
            <v>NH Dau Tu va Phat Trien (BIDV)</v>
          </cell>
          <cell r="D625" t="str">
            <v>Ho Chi MinhDT&amp;PT CN Cu Chi</v>
          </cell>
          <cell r="E625">
            <v>4487</v>
          </cell>
        </row>
        <row r="626">
          <cell r="A626" t="str">
            <v>NH Dau Tu va Phat Trien (BIDV)</v>
          </cell>
          <cell r="D626" t="str">
            <v>Ho Chi MinhDT&amp;PT CN Ham Nghi</v>
          </cell>
          <cell r="E626">
            <v>4502</v>
          </cell>
        </row>
        <row r="627">
          <cell r="A627" t="str">
            <v>NH Dau Tu va Phat Trien (BIDV)</v>
          </cell>
          <cell r="D627" t="str">
            <v>Ho Chi MinhDT&amp;PT CN Hoc Mon</v>
          </cell>
          <cell r="E627">
            <v>4504</v>
          </cell>
        </row>
        <row r="628">
          <cell r="A628" t="str">
            <v>NH Dau Tu va Phat Trien (BIDV)</v>
          </cell>
          <cell r="D628" t="str">
            <v>Ho Chi MinhDT&amp;PT CN Ky Hoa</v>
          </cell>
          <cell r="E628">
            <v>4509</v>
          </cell>
        </row>
        <row r="629">
          <cell r="A629" t="str">
            <v>NH Dau Tu va Phat Trien (BIDV)</v>
          </cell>
          <cell r="D629" t="str">
            <v>Ho Chi MinhDT&amp;PT CN Nam Sai Gon</v>
          </cell>
          <cell r="E629">
            <v>4520</v>
          </cell>
        </row>
        <row r="630">
          <cell r="A630" t="str">
            <v>NH Dau Tu va Phat Trien (BIDV)</v>
          </cell>
          <cell r="D630" t="str">
            <v>Ho Chi MinhDT&amp;PT CN Phu My Hung</v>
          </cell>
          <cell r="E630">
            <v>4526</v>
          </cell>
        </row>
        <row r="631">
          <cell r="A631" t="str">
            <v>NH Dau Tu va Phat Trien (BIDV)</v>
          </cell>
          <cell r="D631" t="str">
            <v>Ho Chi MinhDT&amp;PT CN Truong Son</v>
          </cell>
          <cell r="E631">
            <v>4551</v>
          </cell>
        </row>
        <row r="632">
          <cell r="A632" t="str">
            <v>NH Dau Tu va Phat Trien (BIDV)</v>
          </cell>
          <cell r="D632" t="str">
            <v>Ho Chi MinhDT&amp;PT CN Tan Binh</v>
          </cell>
          <cell r="E632">
            <v>4538</v>
          </cell>
        </row>
        <row r="633">
          <cell r="A633" t="str">
            <v>NH Dau Tu va Phat Trien (BIDV)</v>
          </cell>
          <cell r="D633" t="str">
            <v>Ho Chi MinhDT&amp;PT CN Nha Be</v>
          </cell>
          <cell r="E633">
            <v>5139</v>
          </cell>
        </row>
        <row r="634">
          <cell r="A634" t="str">
            <v>NH Dau Tu va Phat Trien (BIDV)</v>
          </cell>
          <cell r="D634" t="str">
            <v>Ho Chi MinhDT&amp;PT CN Ba Muoi Thang Tu</v>
          </cell>
          <cell r="E634">
            <v>5140</v>
          </cell>
        </row>
        <row r="635">
          <cell r="A635" t="str">
            <v>NH Dau Tu va Phat Trien (BIDV)</v>
          </cell>
          <cell r="D635" t="str">
            <v>Ho Chi MinhDT&amp;PT CN Thong Nhat</v>
          </cell>
          <cell r="E635">
            <v>5141</v>
          </cell>
        </row>
        <row r="636">
          <cell r="A636" t="str">
            <v>NH Dau Tu va Phat Trien (BIDV)</v>
          </cell>
          <cell r="D636" t="str">
            <v>Ho Chi MinhDT&amp;PT CN Binh Hung</v>
          </cell>
          <cell r="E636">
            <v>5142</v>
          </cell>
        </row>
        <row r="637">
          <cell r="A637" t="str">
            <v>NH Dau Tu va Phat Trien (BIDV)</v>
          </cell>
          <cell r="D637" t="str">
            <v>Ho Chi MinhDT&amp;PT CN Thu Thiem</v>
          </cell>
          <cell r="E637">
            <v>5143</v>
          </cell>
        </row>
        <row r="638">
          <cell r="A638" t="str">
            <v>NH Dau Tu va Phat Trien (BIDV)</v>
          </cell>
          <cell r="D638" t="str">
            <v>Ho Chi MinhDT&amp;PT CN Thu Duc</v>
          </cell>
          <cell r="E638">
            <v>5144</v>
          </cell>
        </row>
        <row r="639">
          <cell r="A639" t="str">
            <v>NH Dau Tu va Phat Trien (BIDV)</v>
          </cell>
          <cell r="D639" t="str">
            <v>Ho Chi MinhDT&amp;PT CN Binh Dien Sai Gon</v>
          </cell>
          <cell r="E639">
            <v>5145</v>
          </cell>
        </row>
        <row r="640">
          <cell r="A640" t="str">
            <v>NH Dau Tu va Phat Trien (BIDV)</v>
          </cell>
          <cell r="D640" t="str">
            <v>Ho Chi MinhDT&amp;PT CN Chau Thanh SG</v>
          </cell>
          <cell r="E640">
            <v>5146</v>
          </cell>
        </row>
        <row r="641">
          <cell r="A641" t="str">
            <v>NH Dau Tu va Phat Trien (BIDV)</v>
          </cell>
          <cell r="D641" t="str">
            <v>Ho Chi MinhDT&amp;PT CN Binh Tan</v>
          </cell>
          <cell r="E641">
            <v>5147</v>
          </cell>
        </row>
        <row r="642">
          <cell r="A642" t="str">
            <v>NH Dau Tu va Phat Trien (BIDV)</v>
          </cell>
          <cell r="D642" t="str">
            <v>Ho Chi MinhDT&amp;PT CN Hiep Phu SG</v>
          </cell>
          <cell r="E642">
            <v>5148</v>
          </cell>
        </row>
        <row r="643">
          <cell r="A643" t="str">
            <v>NH Dau Tu va Phat Trien (BIDV)</v>
          </cell>
          <cell r="D643" t="str">
            <v>Ho Chi MinhDT&amp;PT CN Binh Tay SG</v>
          </cell>
          <cell r="E643">
            <v>5149</v>
          </cell>
        </row>
        <row r="644">
          <cell r="A644" t="str">
            <v>NH Dau Tu va Phat Trien (BIDV)</v>
          </cell>
          <cell r="D644" t="str">
            <v>Ho Chi MinhDT&amp;PT CN Binh Thach</v>
          </cell>
          <cell r="E644">
            <v>5150</v>
          </cell>
        </row>
        <row r="645">
          <cell r="A645" t="str">
            <v>NH Dau Tu va Phat Trien (BIDV)</v>
          </cell>
          <cell r="D645" t="str">
            <v>Ho Chi MinhDT&amp;PT CN Cat Lai SG</v>
          </cell>
          <cell r="E645">
            <v>5151</v>
          </cell>
        </row>
        <row r="646">
          <cell r="A646" t="str">
            <v>NH Dau Tu va Phat Trien (BIDV)</v>
          </cell>
          <cell r="D646" t="str">
            <v>Ho Chi MinhDT&amp;PT CN Phu Nhuan</v>
          </cell>
          <cell r="E646">
            <v>5225</v>
          </cell>
        </row>
        <row r="647">
          <cell r="A647" t="str">
            <v>NH Dau Tu va Phat Trien (BIDV)</v>
          </cell>
          <cell r="D647" t="str">
            <v>Da NangDT&amp;PT CN Song Han</v>
          </cell>
          <cell r="E647">
            <v>4534</v>
          </cell>
        </row>
        <row r="648">
          <cell r="A648" t="str">
            <v>NH Dau Tu va Phat Trien (BIDV)</v>
          </cell>
          <cell r="D648" t="str">
            <v>Da NangDT&amp;PT CN Hai Van</v>
          </cell>
          <cell r="E648">
            <v>114</v>
          </cell>
        </row>
        <row r="649">
          <cell r="A649" t="str">
            <v>NH Dau Tu va Phat Trien (BIDV)</v>
          </cell>
          <cell r="D649" t="str">
            <v>Da NangDT&amp;PT CN Da Nang</v>
          </cell>
          <cell r="E649">
            <v>116</v>
          </cell>
        </row>
        <row r="650">
          <cell r="A650" t="str">
            <v>NH Dau Tu va Phat Trien (BIDV)</v>
          </cell>
          <cell r="D650" t="str">
            <v>Quang NamDT&amp;PT CN Hoi An</v>
          </cell>
          <cell r="E650">
            <v>4505</v>
          </cell>
        </row>
        <row r="651">
          <cell r="A651" t="str">
            <v>NH Dau Tu va Phat Trien (BIDV)</v>
          </cell>
          <cell r="D651" t="str">
            <v>Quang NamDT&amp;PT CN Quang Nam</v>
          </cell>
          <cell r="E651">
            <v>160</v>
          </cell>
        </row>
        <row r="652">
          <cell r="A652" t="str">
            <v>NH Dau Tu va Phat Trien (BIDV)</v>
          </cell>
          <cell r="D652" t="str">
            <v>Quang NgaiDT&amp;PT CN Quang Ngai</v>
          </cell>
          <cell r="E652">
            <v>161</v>
          </cell>
        </row>
        <row r="653">
          <cell r="A653" t="str">
            <v>NH Dau Tu va Phat Trien (BIDV)</v>
          </cell>
          <cell r="D653" t="str">
            <v>Quang NgaiDT&amp;PT CN Dung Quat</v>
          </cell>
          <cell r="E653">
            <v>5138</v>
          </cell>
        </row>
        <row r="654">
          <cell r="A654" t="str">
            <v>NH Dau Tu va Phat Trien (BIDV)</v>
          </cell>
          <cell r="D654" t="str">
            <v>Binh DinhDT&amp;PT CN Phu Tai</v>
          </cell>
          <cell r="E654">
            <v>120</v>
          </cell>
        </row>
        <row r="655">
          <cell r="A655" t="str">
            <v>NH Dau Tu va Phat Trien (BIDV)</v>
          </cell>
          <cell r="D655" t="str">
            <v>Binh DinhDT&amp;PT CN Tay Son</v>
          </cell>
          <cell r="E655">
            <v>4544</v>
          </cell>
        </row>
        <row r="656">
          <cell r="A656" t="str">
            <v>NH Dau Tu va Phat Trien (BIDV)</v>
          </cell>
          <cell r="D656" t="str">
            <v>Binh DinhDT&amp;PT CN Binh Dinh</v>
          </cell>
          <cell r="E656">
            <v>128</v>
          </cell>
        </row>
        <row r="657">
          <cell r="A657" t="str">
            <v>NH Dau Tu va Phat Trien (BIDV)</v>
          </cell>
          <cell r="D657" t="str">
            <v>Phu YenDT&amp;PT CN Phu Yen</v>
          </cell>
          <cell r="E657">
            <v>158</v>
          </cell>
        </row>
        <row r="658">
          <cell r="A658" t="str">
            <v>NH Dau Tu va Phat Trien (BIDV)</v>
          </cell>
          <cell r="D658" t="str">
            <v>Khanh HoaDT&amp;PT CN Khanh Hoa</v>
          </cell>
          <cell r="E658">
            <v>145</v>
          </cell>
        </row>
        <row r="659">
          <cell r="A659" t="str">
            <v>NH Dau Tu va Phat Trien (BIDV)</v>
          </cell>
          <cell r="D659" t="str">
            <v>Khanh HoaDT&amp;PT CN Nha Trang</v>
          </cell>
          <cell r="E659">
            <v>4522</v>
          </cell>
        </row>
        <row r="660">
          <cell r="A660" t="str">
            <v>NH Dau Tu va Phat Trien (BIDV)</v>
          </cell>
          <cell r="D660" t="str">
            <v>Dak NongDT&amp;PT CN Dak Nong</v>
          </cell>
          <cell r="E660">
            <v>3586</v>
          </cell>
        </row>
        <row r="661">
          <cell r="A661" t="str">
            <v>NH Dau Tu va Phat Trien (BIDV)</v>
          </cell>
          <cell r="D661" t="str">
            <v>Binh ThuanDT&amp;PT CN Binh Thuan</v>
          </cell>
          <cell r="E661">
            <v>131</v>
          </cell>
        </row>
        <row r="662">
          <cell r="A662" t="str">
            <v>NH Dau Tu va Phat Trien (BIDV)</v>
          </cell>
          <cell r="D662" t="str">
            <v>Ninh ThuanDT&amp;PT CN Ninh Thuan</v>
          </cell>
          <cell r="E662">
            <v>156</v>
          </cell>
        </row>
        <row r="663">
          <cell r="A663" t="str">
            <v>NH Dau Tu va Phat Trien (BIDV)</v>
          </cell>
          <cell r="D663" t="str">
            <v>Gia LaiDT&amp;PT CN Gia Lai</v>
          </cell>
          <cell r="E663">
            <v>138</v>
          </cell>
        </row>
        <row r="664">
          <cell r="A664" t="str">
            <v>NH Dau Tu va Phat Trien (BIDV)</v>
          </cell>
          <cell r="D664" t="str">
            <v>Gia LaiDT&amp;PT CN Nam Gia Lai</v>
          </cell>
          <cell r="E664">
            <v>4519</v>
          </cell>
        </row>
        <row r="665">
          <cell r="A665" t="str">
            <v>NH Dau Tu va Phat Trien (BIDV)</v>
          </cell>
          <cell r="D665" t="str">
            <v>Gia LaiDT&amp;PT CN Pho Nui</v>
          </cell>
          <cell r="E665">
            <v>4523</v>
          </cell>
        </row>
        <row r="666">
          <cell r="A666" t="str">
            <v>NH Dau Tu va Phat Trien (BIDV)</v>
          </cell>
          <cell r="D666" t="str">
            <v>Kon TumDT&amp;PT CN Kon Tum</v>
          </cell>
          <cell r="E666">
            <v>147</v>
          </cell>
        </row>
        <row r="667">
          <cell r="A667" t="str">
            <v>NH Dau Tu va Phat Trien (BIDV)</v>
          </cell>
          <cell r="D667" t="str">
            <v>Dac LacDT&amp;PT CN Dong Dak Lak</v>
          </cell>
          <cell r="E667">
            <v>4270</v>
          </cell>
        </row>
        <row r="668">
          <cell r="A668" t="str">
            <v>NH Dau Tu va Phat Trien (BIDV)</v>
          </cell>
          <cell r="D668" t="str">
            <v>Dac LacDT&amp;PT CN Bac Dak Lak</v>
          </cell>
          <cell r="E668">
            <v>4269</v>
          </cell>
        </row>
        <row r="669">
          <cell r="A669" t="str">
            <v>NH Dau Tu va Phat Trien (BIDV)</v>
          </cell>
          <cell r="D669" t="str">
            <v>Dac LacDT&amp;PT CN Dak Lak</v>
          </cell>
          <cell r="E669">
            <v>135</v>
          </cell>
        </row>
        <row r="670">
          <cell r="A670" t="str">
            <v>NH Dau Tu va Phat Trien (BIDV)</v>
          </cell>
          <cell r="D670" t="str">
            <v>Dac LacDT&amp;PT CN Ban Me</v>
          </cell>
          <cell r="E670">
            <v>4479</v>
          </cell>
        </row>
        <row r="671">
          <cell r="A671" t="str">
            <v>NH Dau Tu va Phat Trien (BIDV)</v>
          </cell>
          <cell r="D671" t="str">
            <v>Lam DongDT&amp;PT CN Lam Dong</v>
          </cell>
          <cell r="E671">
            <v>149</v>
          </cell>
        </row>
        <row r="672">
          <cell r="A672" t="str">
            <v>NH Dau Tu va Phat Trien (BIDV)</v>
          </cell>
          <cell r="D672" t="str">
            <v>Lam DongDT&amp;PT CN Bao Loc</v>
          </cell>
          <cell r="E672">
            <v>2775</v>
          </cell>
        </row>
        <row r="673">
          <cell r="A673" t="str">
            <v>NH Dau Tu va Phat Trien (BIDV)</v>
          </cell>
          <cell r="D673" t="str">
            <v>Lam DongDT&amp;PT CN Da Lat</v>
          </cell>
          <cell r="E673">
            <v>4489</v>
          </cell>
        </row>
        <row r="674">
          <cell r="A674" t="str">
            <v>NH Dau Tu va Phat Trien (BIDV)</v>
          </cell>
          <cell r="D674" t="str">
            <v>Hau GiangDT&amp;PT CN Hau Giang</v>
          </cell>
          <cell r="E674">
            <v>4103</v>
          </cell>
        </row>
        <row r="675">
          <cell r="A675" t="str">
            <v>NH Dau Tu va Phat Trien (BIDV)</v>
          </cell>
          <cell r="D675" t="str">
            <v>Binh DuongDT&amp;PT CN My Phuoc</v>
          </cell>
          <cell r="E675">
            <v>4516</v>
          </cell>
        </row>
        <row r="676">
          <cell r="A676" t="str">
            <v>NH Dau Tu va Phat Trien (BIDV)</v>
          </cell>
          <cell r="D676" t="str">
            <v>Binh DuongDT&amp;PT CN Binh Duong</v>
          </cell>
          <cell r="E676">
            <v>129</v>
          </cell>
        </row>
        <row r="677">
          <cell r="A677" t="str">
            <v>NH Dau Tu va Phat Trien (BIDV)</v>
          </cell>
          <cell r="D677" t="str">
            <v>Binh DuongDT&amp;PT CN Nam Binh Duong</v>
          </cell>
          <cell r="E677">
            <v>3906</v>
          </cell>
        </row>
        <row r="678">
          <cell r="A678" t="str">
            <v>NH Dau Tu va Phat Trien (BIDV)</v>
          </cell>
          <cell r="D678" t="str">
            <v>Binh DuongDT&amp;PT CN Song Be</v>
          </cell>
          <cell r="E678">
            <v>4533</v>
          </cell>
        </row>
        <row r="679">
          <cell r="A679" t="str">
            <v>NH Dau Tu va Phat Trien (BIDV)</v>
          </cell>
          <cell r="D679" t="str">
            <v>Binh DuongDT&amp;PT CN Thu Dau Mot</v>
          </cell>
          <cell r="E679">
            <v>4548</v>
          </cell>
        </row>
        <row r="680">
          <cell r="A680" t="str">
            <v>NH Dau Tu va Phat Trien (BIDV)</v>
          </cell>
          <cell r="D680" t="str">
            <v>Binh PhuocDT&amp;PT CN Binh Phuoc</v>
          </cell>
          <cell r="E680">
            <v>130</v>
          </cell>
        </row>
        <row r="681">
          <cell r="A681" t="str">
            <v>NH Dau Tu va Phat Trien (BIDV)</v>
          </cell>
          <cell r="D681" t="str">
            <v>Tay NinhDT&amp;PT CN Tay Ninh</v>
          </cell>
          <cell r="E681">
            <v>165</v>
          </cell>
        </row>
        <row r="682">
          <cell r="A682" t="str">
            <v>NH Dau Tu va Phat Trien (BIDV)</v>
          </cell>
          <cell r="D682" t="str">
            <v>Dong NaiDT&amp;PT CN Nam Dong Nai</v>
          </cell>
          <cell r="E682">
            <v>4518</v>
          </cell>
        </row>
        <row r="683">
          <cell r="A683" t="str">
            <v>NH Dau Tu va Phat Trien (BIDV)</v>
          </cell>
          <cell r="D683" t="str">
            <v>Dong NaiDT&amp;PT CN Bien Hoa</v>
          </cell>
          <cell r="E683">
            <v>4481</v>
          </cell>
        </row>
        <row r="684">
          <cell r="A684" t="str">
            <v>NH Dau Tu va Phat Trien (BIDV)</v>
          </cell>
          <cell r="D684" t="str">
            <v>Dong NaiDT&amp;PT CN Dong Dong Nai</v>
          </cell>
          <cell r="E684">
            <v>4494</v>
          </cell>
        </row>
        <row r="685">
          <cell r="A685" t="str">
            <v>NH Dau Tu va Phat Trien (BIDV)</v>
          </cell>
          <cell r="D685" t="str">
            <v>Dong NaiDT&amp;PT CN Dong Nai</v>
          </cell>
          <cell r="E685">
            <v>136</v>
          </cell>
        </row>
        <row r="686">
          <cell r="A686" t="str">
            <v>NH Dau Tu va Phat Trien (BIDV)</v>
          </cell>
          <cell r="D686" t="str">
            <v>Ba Ria-Vung TauDT&amp;PT CN Ba Ria Vung Tau</v>
          </cell>
          <cell r="E686">
            <v>178</v>
          </cell>
        </row>
        <row r="687">
          <cell r="A687" t="str">
            <v>NH Dau Tu va Phat Trien (BIDV)</v>
          </cell>
          <cell r="D687" t="str">
            <v>Ba Ria-Vung TauDT&amp;PT CN Phu My</v>
          </cell>
          <cell r="E687">
            <v>4525</v>
          </cell>
        </row>
        <row r="688">
          <cell r="A688" t="str">
            <v>NH Dau Tu va Phat Trien (BIDV)</v>
          </cell>
          <cell r="D688" t="str">
            <v>Ba Ria-Vung TauDT&amp;PT CN Con Dao</v>
          </cell>
          <cell r="E688">
            <v>4486</v>
          </cell>
        </row>
        <row r="689">
          <cell r="A689" t="str">
            <v>NH Dau Tu va Phat Trien (BIDV)</v>
          </cell>
          <cell r="D689" t="str">
            <v>Long AnDT&amp;PT CN Moc Hoa</v>
          </cell>
          <cell r="E689">
            <v>4514</v>
          </cell>
        </row>
        <row r="690">
          <cell r="A690" t="str">
            <v>NH Dau Tu va Phat Trien (BIDV)</v>
          </cell>
          <cell r="D690" t="str">
            <v>Long AnDT&amp;PT CN Long An</v>
          </cell>
          <cell r="E690">
            <v>152</v>
          </cell>
        </row>
        <row r="691">
          <cell r="A691" t="str">
            <v>NH Dau Tu va Phat Trien (BIDV)</v>
          </cell>
          <cell r="D691" t="str">
            <v>Dong ThapDT&amp;PT CN Sa Dec</v>
          </cell>
          <cell r="E691">
            <v>4532</v>
          </cell>
        </row>
        <row r="692">
          <cell r="A692" t="str">
            <v>NH Dau Tu va Phat Trien (BIDV)</v>
          </cell>
          <cell r="D692" t="str">
            <v>Dong ThapDT&amp;PT CN Dong Thap</v>
          </cell>
          <cell r="E692">
            <v>137</v>
          </cell>
        </row>
        <row r="693">
          <cell r="A693" t="str">
            <v>NH Dau Tu va Phat Trien (BIDV)</v>
          </cell>
          <cell r="D693" t="str">
            <v>An GiangDT&amp;PT CN An Giang</v>
          </cell>
          <cell r="E693">
            <v>122</v>
          </cell>
        </row>
        <row r="694">
          <cell r="A694" t="str">
            <v>NH Dau Tu va Phat Trien (BIDV)</v>
          </cell>
          <cell r="D694" t="str">
            <v>An GiangDT&amp;PT CN Bac An Giang</v>
          </cell>
          <cell r="E694">
            <v>4476</v>
          </cell>
        </row>
        <row r="695">
          <cell r="A695" t="str">
            <v>NH Dau Tu va Phat Trien (BIDV)</v>
          </cell>
          <cell r="D695" t="str">
            <v>An GiangDT&amp;PT CN Long Xuyen</v>
          </cell>
          <cell r="E695">
            <v>4512</v>
          </cell>
        </row>
        <row r="696">
          <cell r="A696" t="str">
            <v>NH Dau Tu va Phat Trien (BIDV)</v>
          </cell>
          <cell r="D696" t="str">
            <v>Tien GiangDT&amp;PT CN Tien Giang</v>
          </cell>
          <cell r="E696">
            <v>169</v>
          </cell>
        </row>
        <row r="697">
          <cell r="A697" t="str">
            <v>NH Dau Tu va Phat Trien (BIDV)</v>
          </cell>
          <cell r="D697" t="str">
            <v>Tien GiangDT&amp;PT CN My Tho</v>
          </cell>
          <cell r="E697">
            <v>4517</v>
          </cell>
        </row>
        <row r="698">
          <cell r="A698" t="str">
            <v>NH Dau Tu va Phat Trien (BIDV)</v>
          </cell>
          <cell r="D698" t="str">
            <v>Ben TreDT&amp;PT CN Ben Tre</v>
          </cell>
          <cell r="E698">
            <v>127</v>
          </cell>
        </row>
        <row r="699">
          <cell r="A699" t="str">
            <v>NH Dau Tu va Phat Trien (BIDV)</v>
          </cell>
          <cell r="D699" t="str">
            <v>Ben TreDT&amp;PT CN Dong Khoi</v>
          </cell>
          <cell r="E699">
            <v>4496</v>
          </cell>
        </row>
        <row r="700">
          <cell r="A700" t="str">
            <v>NH Dau Tu va Phat Trien (BIDV)</v>
          </cell>
          <cell r="D700" t="str">
            <v>Vinh LongDT&amp;PT CN Vinh Long</v>
          </cell>
          <cell r="E700">
            <v>172</v>
          </cell>
        </row>
        <row r="701">
          <cell r="A701" t="str">
            <v>NH Dau Tu va Phat Trien (BIDV)</v>
          </cell>
          <cell r="D701" t="str">
            <v>Tra VinhDT&amp;PT CN Tra Vinh</v>
          </cell>
          <cell r="E701">
            <v>170</v>
          </cell>
        </row>
        <row r="702">
          <cell r="A702" t="str">
            <v>NH Dau Tu va Phat Trien (BIDV)</v>
          </cell>
          <cell r="D702" t="str">
            <v>Tra VinhDT&amp;PT CN Ha Dong</v>
          </cell>
          <cell r="E702">
            <v>4499</v>
          </cell>
        </row>
        <row r="703">
          <cell r="A703" t="str">
            <v>NH Dau Tu va Phat Trien (BIDV)</v>
          </cell>
          <cell r="D703" t="str">
            <v>Can ThoDT&amp;PT CN Can Tho</v>
          </cell>
          <cell r="E703">
            <v>133</v>
          </cell>
        </row>
        <row r="704">
          <cell r="A704" t="str">
            <v>NH Dau Tu va Phat Trien (BIDV)</v>
          </cell>
          <cell r="D704" t="str">
            <v>Can ThoDT&amp;PT CN Tay Do</v>
          </cell>
          <cell r="E704">
            <v>4539</v>
          </cell>
        </row>
        <row r="705">
          <cell r="A705" t="str">
            <v>NH Dau Tu va Phat Trien (BIDV)</v>
          </cell>
          <cell r="D705" t="str">
            <v>Soc TrangDT&amp;PT CN Soc Trang</v>
          </cell>
          <cell r="E705">
            <v>163</v>
          </cell>
        </row>
        <row r="706">
          <cell r="A706" t="str">
            <v>NH Dau Tu va Phat Trien (BIDV)</v>
          </cell>
          <cell r="D706" t="str">
            <v>Kien GiangDT&amp;PT CN Kien Giang</v>
          </cell>
          <cell r="E706">
            <v>146</v>
          </cell>
        </row>
        <row r="707">
          <cell r="A707" t="str">
            <v>NH Dau Tu va Phat Trien (BIDV)</v>
          </cell>
          <cell r="D707" t="str">
            <v>Kien GiangDT&amp;PT CN Phu Quoc</v>
          </cell>
          <cell r="E707">
            <v>4527</v>
          </cell>
        </row>
        <row r="708">
          <cell r="A708" t="str">
            <v>NH Dau Tu va Phat Trien (BIDV)</v>
          </cell>
          <cell r="D708" t="str">
            <v>Bac LieuDT&amp;PT CN Bac Lieu</v>
          </cell>
          <cell r="E708">
            <v>125</v>
          </cell>
        </row>
        <row r="709">
          <cell r="A709" t="str">
            <v>NH Dau Tu va Phat Trien (BIDV)</v>
          </cell>
          <cell r="D709" t="str">
            <v>Ca MauDT&amp;PT CN Ca Mau</v>
          </cell>
          <cell r="E709">
            <v>132</v>
          </cell>
        </row>
        <row r="710">
          <cell r="A710" t="str">
            <v>NH Dau Tu va Phat Trien (BIDV)</v>
          </cell>
          <cell r="D710" t="str">
            <v>Ca MauDT&amp;PT CN Dat Mui</v>
          </cell>
          <cell r="E710">
            <v>4491</v>
          </cell>
        </row>
        <row r="711">
          <cell r="A711" t="str">
            <v>NH DBS Bank Ltd</v>
          </cell>
          <cell r="D711" t="str">
            <v>Ho Chi MinhDBS LTD CN HCM</v>
          </cell>
          <cell r="E711">
            <v>3670</v>
          </cell>
        </row>
        <row r="712">
          <cell r="A712" t="str">
            <v xml:space="preserve">NH DT&amp;PT Campuchia </v>
          </cell>
          <cell r="D712" t="str">
            <v>Ha NoiDT&amp;PT Campuchia CN Ha Noi</v>
          </cell>
          <cell r="E712">
            <v>4470</v>
          </cell>
        </row>
        <row r="713">
          <cell r="A713" t="str">
            <v xml:space="preserve">NH DT&amp;PT Campuchia </v>
          </cell>
          <cell r="D713" t="str">
            <v>Ho Chi MinhDT&amp;PT Campuchia CN HCM</v>
          </cell>
          <cell r="E713">
            <v>3543</v>
          </cell>
        </row>
        <row r="714">
          <cell r="A714" t="str">
            <v>NH Hana Han Quoc</v>
          </cell>
          <cell r="D714" t="str">
            <v>Ho Chi MinhKEB Hana Bank CN TPHCM</v>
          </cell>
          <cell r="E714">
            <v>5128</v>
          </cell>
        </row>
        <row r="715">
          <cell r="A715" t="str">
            <v>NH Kookmin</v>
          </cell>
          <cell r="D715" t="str">
            <v>Ho Chi MinhKOOKMIN CN HCM</v>
          </cell>
          <cell r="E715">
            <v>4023</v>
          </cell>
        </row>
        <row r="716">
          <cell r="A716" t="str">
            <v>NH Lien Doanh Lao - Viet</v>
          </cell>
          <cell r="D716" t="str">
            <v>Ha NoiLien doanh Lao Viet CN Ha Noi</v>
          </cell>
          <cell r="E716">
            <v>1634</v>
          </cell>
        </row>
        <row r="717">
          <cell r="A717" t="str">
            <v>NH Lien Doanh Viet - Nga</v>
          </cell>
          <cell r="D717" t="str">
            <v>Ha NoiLien Doanh Viet Nga SGD</v>
          </cell>
          <cell r="E717">
            <v>4594</v>
          </cell>
        </row>
        <row r="718">
          <cell r="A718" t="str">
            <v>NH Lien Doanh Viet - Nga</v>
          </cell>
          <cell r="D718" t="str">
            <v>Ha NoiLien Doanh Viet Nga Ha Noi</v>
          </cell>
          <cell r="E718">
            <v>2867</v>
          </cell>
        </row>
        <row r="719">
          <cell r="A719" t="str">
            <v>NH Lien Doanh Viet - Nga</v>
          </cell>
          <cell r="D719" t="str">
            <v>Hai PhongLien Doanh Viet Nga CN Hai Phong</v>
          </cell>
          <cell r="E719">
            <v>3418</v>
          </cell>
        </row>
        <row r="720">
          <cell r="A720" t="str">
            <v>NH Lien Doanh Viet - Nga</v>
          </cell>
          <cell r="D720" t="str">
            <v>Ho Chi MinhLien Doanh Viet Nga CN HCM</v>
          </cell>
          <cell r="E720">
            <v>3417</v>
          </cell>
        </row>
        <row r="721">
          <cell r="A721" t="str">
            <v>NH Lien Doanh Viet - Nga</v>
          </cell>
          <cell r="D721" t="str">
            <v>Da NangLien Doanh Viet Nga Da Nang</v>
          </cell>
          <cell r="E721">
            <v>3419</v>
          </cell>
        </row>
        <row r="722">
          <cell r="A722" t="str">
            <v>NH Lien Doanh Viet - Nga</v>
          </cell>
          <cell r="D722" t="str">
            <v>Khanh HoaLien Doanh Viet Nga CN Khanh Hoa</v>
          </cell>
          <cell r="E722">
            <v>3630</v>
          </cell>
        </row>
        <row r="723">
          <cell r="A723" t="str">
            <v>NH Lien Doanh Viet - Nga</v>
          </cell>
          <cell r="D723" t="str">
            <v>Ba Ria-Vung TauLien Doanh Viet Nga CN Vung Tau</v>
          </cell>
          <cell r="E723">
            <v>3216</v>
          </cell>
        </row>
        <row r="724">
          <cell r="A724" t="str">
            <v>NH Mega ICBC TPHCM</v>
          </cell>
          <cell r="D724" t="str">
            <v>Ho Chi MinhMega ICBC HCM</v>
          </cell>
          <cell r="E724">
            <v>2535</v>
          </cell>
        </row>
        <row r="725">
          <cell r="A725" t="str">
            <v>NH Ngoai Thuong (VCB)</v>
          </cell>
          <cell r="D725" t="str">
            <v>Ha NoiVCB CN Dong Anh</v>
          </cell>
          <cell r="E725">
            <v>4897</v>
          </cell>
        </row>
        <row r="726">
          <cell r="A726" t="str">
            <v>NH Ngoai Thuong (VCB)</v>
          </cell>
          <cell r="D726" t="str">
            <v>Ha NoiVCB CN Hoan Kiem</v>
          </cell>
          <cell r="E726">
            <v>4901</v>
          </cell>
        </row>
        <row r="727">
          <cell r="A727" t="str">
            <v>NH Ngoai Thuong (VCB)</v>
          </cell>
          <cell r="D727" t="str">
            <v>Ha NoiVCB CN Hoang Mai</v>
          </cell>
          <cell r="E727">
            <v>4902</v>
          </cell>
        </row>
        <row r="728">
          <cell r="A728" t="str">
            <v>NH Ngoai Thuong (VCB)</v>
          </cell>
          <cell r="D728" t="str">
            <v>Ha NoiVCB CN Soc Son</v>
          </cell>
          <cell r="E728">
            <v>4908</v>
          </cell>
        </row>
        <row r="729">
          <cell r="A729" t="str">
            <v>NH Ngoai Thuong (VCB)</v>
          </cell>
          <cell r="D729" t="str">
            <v>Ha NoiVCB CN Tay Ho</v>
          </cell>
          <cell r="E729">
            <v>4911</v>
          </cell>
        </row>
        <row r="730">
          <cell r="A730" t="str">
            <v>NH Ngoai Thuong (VCB)</v>
          </cell>
          <cell r="D730" t="str">
            <v>Ha NoiVCB CN Thang Long</v>
          </cell>
          <cell r="E730">
            <v>4912</v>
          </cell>
        </row>
        <row r="731">
          <cell r="A731" t="str">
            <v>NH Ngoai Thuong (VCB)</v>
          </cell>
          <cell r="D731" t="str">
            <v>Ha NoiVCB CN Thanh Tri</v>
          </cell>
          <cell r="E731">
            <v>4913</v>
          </cell>
        </row>
        <row r="732">
          <cell r="A732" t="str">
            <v>NH Ngoai Thuong (VCB)</v>
          </cell>
          <cell r="D732" t="str">
            <v>Ha NoiVCB CN Thanh Xuan</v>
          </cell>
          <cell r="E732">
            <v>4914</v>
          </cell>
        </row>
        <row r="733">
          <cell r="A733" t="str">
            <v>NH Ngoai Thuong (VCB)</v>
          </cell>
          <cell r="D733" t="str">
            <v>Ha NoiVCB CN Ha Tay</v>
          </cell>
          <cell r="E733">
            <v>3750</v>
          </cell>
        </row>
        <row r="734">
          <cell r="A734" t="str">
            <v>NH Ngoai Thuong (VCB)</v>
          </cell>
          <cell r="D734" t="str">
            <v>Ha NoiVCB SGD</v>
          </cell>
          <cell r="E734">
            <v>2852</v>
          </cell>
        </row>
        <row r="735">
          <cell r="A735" t="str">
            <v>NH Ngoai Thuong (VCB)</v>
          </cell>
          <cell r="D735" t="str">
            <v>Ha NoiVCB CN Thanh Cong</v>
          </cell>
          <cell r="E735">
            <v>3013</v>
          </cell>
        </row>
        <row r="736">
          <cell r="A736" t="str">
            <v>NH Ngoai Thuong (VCB)</v>
          </cell>
          <cell r="D736" t="str">
            <v>Ha NoiVCB Cau Giay</v>
          </cell>
          <cell r="E736">
            <v>3014</v>
          </cell>
        </row>
        <row r="737">
          <cell r="A737" t="str">
            <v>NH Ngoai Thuong (VCB)</v>
          </cell>
          <cell r="D737" t="str">
            <v>Ha NoiVCB CN Ba Dinh</v>
          </cell>
          <cell r="E737">
            <v>3015</v>
          </cell>
        </row>
        <row r="738">
          <cell r="A738" t="str">
            <v>NH Ngoai Thuong (VCB)</v>
          </cell>
          <cell r="D738" t="str">
            <v>Ha NoiVCB CN Chuong Duong</v>
          </cell>
          <cell r="E738">
            <v>3016</v>
          </cell>
        </row>
        <row r="739">
          <cell r="A739" t="str">
            <v>NH Ngoai Thuong (VCB)</v>
          </cell>
          <cell r="D739" t="str">
            <v>Ha NoiVCB Hoi So Chinh</v>
          </cell>
          <cell r="E739">
            <v>2529</v>
          </cell>
        </row>
        <row r="740">
          <cell r="A740" t="str">
            <v>NH Ngoai Thuong (VCB)</v>
          </cell>
          <cell r="D740" t="str">
            <v>Ha NoiVCB CN Ha Noi</v>
          </cell>
          <cell r="E740">
            <v>200</v>
          </cell>
        </row>
        <row r="741">
          <cell r="A741" t="str">
            <v>NH Ngoai Thuong (VCB)</v>
          </cell>
          <cell r="D741" t="str">
            <v>Ha NoiVCB Trung Uong</v>
          </cell>
          <cell r="E741">
            <v>1356</v>
          </cell>
        </row>
        <row r="742">
          <cell r="A742" t="str">
            <v>NH Ngoai Thuong (VCB)</v>
          </cell>
          <cell r="D742" t="str">
            <v>Lang SonVCB CN Lang Son</v>
          </cell>
          <cell r="E742">
            <v>4903</v>
          </cell>
        </row>
        <row r="743">
          <cell r="A743" t="str">
            <v>NH Ngoai Thuong (VCB)</v>
          </cell>
          <cell r="D743" t="str">
            <v>Thai NguyenVCB CN Thai Nguyen</v>
          </cell>
          <cell r="E743">
            <v>4737</v>
          </cell>
        </row>
        <row r="744">
          <cell r="A744" t="str">
            <v>NH Ngoai Thuong (VCB)</v>
          </cell>
          <cell r="D744" t="str">
            <v>Lao CaiVCB CN Lao Cai</v>
          </cell>
          <cell r="E744">
            <v>4904</v>
          </cell>
        </row>
        <row r="745">
          <cell r="A745" t="str">
            <v>NH Ngoai Thuong (VCB)</v>
          </cell>
          <cell r="D745" t="str">
            <v>Quang NinhVCB CN Ha Long</v>
          </cell>
          <cell r="E745">
            <v>4899</v>
          </cell>
        </row>
        <row r="746">
          <cell r="A746" t="str">
            <v>NH Ngoai Thuong (VCB)</v>
          </cell>
          <cell r="D746" t="str">
            <v>Quang NinhVCB CN Mong Cai</v>
          </cell>
          <cell r="E746">
            <v>3020</v>
          </cell>
        </row>
        <row r="747">
          <cell r="A747" t="str">
            <v>NH Ngoai Thuong (VCB)</v>
          </cell>
          <cell r="D747" t="str">
            <v>Quang NinhVCB CN Quang Ninh</v>
          </cell>
          <cell r="E747">
            <v>253</v>
          </cell>
        </row>
        <row r="748">
          <cell r="A748" t="str">
            <v>NH Ngoai Thuong (VCB)</v>
          </cell>
          <cell r="D748" t="str">
            <v>Hai PhongVCB Hai Phong</v>
          </cell>
          <cell r="E748">
            <v>201</v>
          </cell>
        </row>
        <row r="749">
          <cell r="A749" t="str">
            <v>NH Ngoai Thuong (VCB)</v>
          </cell>
          <cell r="D749" t="str">
            <v>Hai DuongVCB CN Hai Duong</v>
          </cell>
          <cell r="E749">
            <v>193</v>
          </cell>
        </row>
        <row r="750">
          <cell r="A750" t="str">
            <v>NH Ngoai Thuong (VCB)</v>
          </cell>
          <cell r="D750" t="str">
            <v>Hung YenVCB CN Hung Yen</v>
          </cell>
          <cell r="E750">
            <v>3019</v>
          </cell>
        </row>
        <row r="751">
          <cell r="A751" t="str">
            <v>NH Ngoai Thuong (VCB)</v>
          </cell>
          <cell r="D751" t="str">
            <v>Bac GiangVCB CN Bac Giang</v>
          </cell>
          <cell r="E751">
            <v>4891</v>
          </cell>
        </row>
        <row r="752">
          <cell r="A752" t="str">
            <v>NH Ngoai Thuong (VCB)</v>
          </cell>
          <cell r="D752" t="str">
            <v>Bac NinhVCB CN Bac Ninh</v>
          </cell>
          <cell r="E752">
            <v>3292</v>
          </cell>
        </row>
        <row r="753">
          <cell r="A753" t="str">
            <v>NH Ngoai Thuong (VCB)</v>
          </cell>
          <cell r="D753" t="str">
            <v>Phu ThoVCB CN Viet Tri</v>
          </cell>
          <cell r="E753">
            <v>4915</v>
          </cell>
        </row>
        <row r="754">
          <cell r="A754" t="str">
            <v>NH Ngoai Thuong (VCB)</v>
          </cell>
          <cell r="D754" t="str">
            <v>Vinh PhucVCB CN Vinh Phuc</v>
          </cell>
          <cell r="E754">
            <v>3024</v>
          </cell>
        </row>
        <row r="755">
          <cell r="A755" t="str">
            <v>NH Ngoai Thuong (VCB)</v>
          </cell>
          <cell r="D755" t="str">
            <v>Ha NamVCB CN Ha Nam</v>
          </cell>
          <cell r="E755">
            <v>4900</v>
          </cell>
        </row>
        <row r="756">
          <cell r="A756" t="str">
            <v>NH Ngoai Thuong (VCB)</v>
          </cell>
          <cell r="D756" t="str">
            <v>Nam DinhVCB CN Nam Dinh</v>
          </cell>
          <cell r="E756">
            <v>4349</v>
          </cell>
        </row>
        <row r="757">
          <cell r="A757" t="str">
            <v>NH Ngoai Thuong (VCB)</v>
          </cell>
          <cell r="D757" t="str">
            <v>Ninh BinhVCB CN Ninh Binh</v>
          </cell>
          <cell r="E757">
            <v>4348</v>
          </cell>
        </row>
        <row r="758">
          <cell r="A758" t="str">
            <v>NH Ngoai Thuong (VCB)</v>
          </cell>
          <cell r="D758" t="str">
            <v>Thai BinhVCB CN Thai Binh</v>
          </cell>
          <cell r="E758">
            <v>210</v>
          </cell>
        </row>
        <row r="759">
          <cell r="A759" t="str">
            <v>NH Ngoai Thuong (VCB)</v>
          </cell>
          <cell r="D759" t="str">
            <v>Thanh HoaVCB CN Thanh Hoa</v>
          </cell>
          <cell r="E759">
            <v>3612</v>
          </cell>
        </row>
        <row r="760">
          <cell r="A760" t="str">
            <v>NH Ngoai Thuong (VCB)</v>
          </cell>
          <cell r="D760" t="str">
            <v>Nghe AnVCB Trung Do</v>
          </cell>
          <cell r="E760">
            <v>4917</v>
          </cell>
        </row>
        <row r="761">
          <cell r="A761" t="str">
            <v>NH Ngoai Thuong (VCB)</v>
          </cell>
          <cell r="D761" t="str">
            <v>Nghe AnVCB Vinh</v>
          </cell>
          <cell r="E761">
            <v>212</v>
          </cell>
        </row>
        <row r="762">
          <cell r="A762" t="str">
            <v>NH Ngoai Thuong (VCB)</v>
          </cell>
          <cell r="D762" t="str">
            <v>Ha TinhVCB Ha Tinh</v>
          </cell>
          <cell r="E762">
            <v>192</v>
          </cell>
        </row>
        <row r="763">
          <cell r="A763" t="str">
            <v>NH Ngoai Thuong (VCB)</v>
          </cell>
          <cell r="D763" t="str">
            <v>Ha TinhVCB CN Bac Ha Tinh</v>
          </cell>
          <cell r="E763">
            <v>4892</v>
          </cell>
        </row>
        <row r="764">
          <cell r="A764" t="str">
            <v>NH Ngoai Thuong (VCB)</v>
          </cell>
          <cell r="D764" t="str">
            <v>Quang BinhVCB CN Quang Binh</v>
          </cell>
          <cell r="E764">
            <v>190</v>
          </cell>
        </row>
        <row r="765">
          <cell r="A765" t="str">
            <v>NH Ngoai Thuong (VCB)</v>
          </cell>
          <cell r="D765" t="str">
            <v>Quang TriVCB CN Quang Tri</v>
          </cell>
          <cell r="E765">
            <v>4907</v>
          </cell>
        </row>
        <row r="766">
          <cell r="A766" t="str">
            <v>NH Ngoai Thuong (VCB)</v>
          </cell>
          <cell r="D766" t="str">
            <v>Thua Thien HueVCB CN Hue</v>
          </cell>
          <cell r="E766">
            <v>194</v>
          </cell>
        </row>
        <row r="767">
          <cell r="A767" t="str">
            <v>NH Ngoai Thuong (VCB)</v>
          </cell>
          <cell r="D767" t="str">
            <v>Ho Chi MinhVCB CN Tan Dinh</v>
          </cell>
          <cell r="E767">
            <v>2565</v>
          </cell>
        </row>
        <row r="768">
          <cell r="A768" t="str">
            <v>NH Ngoai Thuong (VCB)</v>
          </cell>
          <cell r="D768" t="str">
            <v>Ho Chi MinhVCB CN Binh Tay</v>
          </cell>
          <cell r="E768">
            <v>191</v>
          </cell>
        </row>
        <row r="769">
          <cell r="A769" t="str">
            <v>NH Ngoai Thuong (VCB)</v>
          </cell>
          <cell r="D769" t="str">
            <v>Ho Chi MinhVCB KCX TanThuan</v>
          </cell>
          <cell r="E769">
            <v>195</v>
          </cell>
        </row>
        <row r="770">
          <cell r="A770" t="str">
            <v>NH Ngoai Thuong (VCB)</v>
          </cell>
          <cell r="D770" t="str">
            <v>Ho Chi MinhVCB HCM</v>
          </cell>
          <cell r="E770">
            <v>211</v>
          </cell>
        </row>
        <row r="771">
          <cell r="A771" t="str">
            <v>NH Ngoai Thuong (VCB)</v>
          </cell>
          <cell r="D771" t="str">
            <v>Ho Chi MinhVCB CN Phu Tho</v>
          </cell>
          <cell r="E771">
            <v>2571</v>
          </cell>
        </row>
        <row r="772">
          <cell r="A772" t="str">
            <v>NH Ngoai Thuong (VCB)</v>
          </cell>
          <cell r="D772" t="str">
            <v>Ho Chi MinhVCB CN Ben Thanh</v>
          </cell>
          <cell r="E772">
            <v>2572</v>
          </cell>
        </row>
        <row r="773">
          <cell r="A773" t="str">
            <v>NH Ngoai Thuong (VCB)</v>
          </cell>
          <cell r="D773" t="str">
            <v>Ho Chi MinhVCB CN Quan 5</v>
          </cell>
          <cell r="E773">
            <v>2568</v>
          </cell>
        </row>
        <row r="774">
          <cell r="A774" t="str">
            <v>NH Ngoai Thuong (VCB)</v>
          </cell>
          <cell r="D774" t="str">
            <v>Ho Chi MinhVCB CN Tan Binh</v>
          </cell>
          <cell r="E774">
            <v>2591</v>
          </cell>
        </row>
        <row r="775">
          <cell r="A775" t="str">
            <v>NH Ngoai Thuong (VCB)</v>
          </cell>
          <cell r="D775" t="str">
            <v>Ho Chi MinhVCB Khu CN Song Than</v>
          </cell>
          <cell r="E775">
            <v>2594</v>
          </cell>
        </row>
        <row r="776">
          <cell r="A776" t="str">
            <v>NH Ngoai Thuong (VCB)</v>
          </cell>
          <cell r="D776" t="str">
            <v>Ho Chi MinhVCB CN Nam Sai Gon</v>
          </cell>
          <cell r="E776">
            <v>3234</v>
          </cell>
        </row>
        <row r="777">
          <cell r="A777" t="str">
            <v>NH Ngoai Thuong (VCB)</v>
          </cell>
          <cell r="D777" t="str">
            <v>Ho Chi MinhVCB CN Thu Duc</v>
          </cell>
          <cell r="E777">
            <v>2866</v>
          </cell>
        </row>
        <row r="778">
          <cell r="A778" t="str">
            <v>NH Ngoai Thuong (VCB)</v>
          </cell>
          <cell r="D778" t="str">
            <v>Ho Chi MinhVCB CN Ky Dong</v>
          </cell>
          <cell r="E778">
            <v>2615</v>
          </cell>
        </row>
        <row r="779">
          <cell r="A779" t="str">
            <v>NH Ngoai Thuong (VCB)</v>
          </cell>
          <cell r="D779" t="str">
            <v>Ho Chi MinhVCB Tan Thuan CN Binh Thanh</v>
          </cell>
          <cell r="E779">
            <v>2624</v>
          </cell>
        </row>
        <row r="780">
          <cell r="A780" t="str">
            <v>NH Ngoai Thuong (VCB)</v>
          </cell>
          <cell r="D780" t="str">
            <v>Ho Chi MinhVCB CN Bac Sai Gon</v>
          </cell>
          <cell r="E780">
            <v>4893</v>
          </cell>
        </row>
        <row r="781">
          <cell r="A781" t="str">
            <v>NH Ngoai Thuong (VCB)</v>
          </cell>
          <cell r="D781" t="str">
            <v>Ho Chi MinhVCB CN Binh Thanh</v>
          </cell>
          <cell r="E781">
            <v>4894</v>
          </cell>
        </row>
        <row r="782">
          <cell r="A782" t="str">
            <v>NH Ngoai Thuong (VCB)</v>
          </cell>
          <cell r="D782" t="str">
            <v>Ho Chi MinhVCB Quan 9</v>
          </cell>
          <cell r="E782">
            <v>5117</v>
          </cell>
        </row>
        <row r="783">
          <cell r="A783" t="str">
            <v>NH Ngoai Thuong (VCB)</v>
          </cell>
          <cell r="D783" t="str">
            <v>Ho Chi MinhVCB Go Vap</v>
          </cell>
          <cell r="E783">
            <v>5118</v>
          </cell>
        </row>
        <row r="784">
          <cell r="A784" t="str">
            <v>NH Ngoai Thuong (VCB)</v>
          </cell>
          <cell r="D784" t="str">
            <v>Ho Chi MinhVCB Tay Sai Gon</v>
          </cell>
          <cell r="E784">
            <v>5119</v>
          </cell>
        </row>
        <row r="785">
          <cell r="A785" t="str">
            <v>NH Ngoai Thuong (VCB)</v>
          </cell>
          <cell r="D785" t="str">
            <v>Ho Chi MinhVCB Quan 2</v>
          </cell>
          <cell r="E785">
            <v>5120</v>
          </cell>
        </row>
        <row r="786">
          <cell r="A786" t="str">
            <v>NH Ngoai Thuong (VCB)</v>
          </cell>
          <cell r="D786" t="str">
            <v>Ho Chi MinhVCB Quan 8</v>
          </cell>
          <cell r="E786">
            <v>5121</v>
          </cell>
        </row>
        <row r="787">
          <cell r="A787" t="str">
            <v>NH Ngoai Thuong (VCB)</v>
          </cell>
          <cell r="D787" t="str">
            <v>Da NangVCB Da Nang</v>
          </cell>
          <cell r="E787">
            <v>199</v>
          </cell>
        </row>
        <row r="788">
          <cell r="A788" t="str">
            <v>NH Ngoai Thuong (VCB)</v>
          </cell>
          <cell r="D788" t="str">
            <v>Quang NamVCB CN Quang Nam</v>
          </cell>
          <cell r="E788">
            <v>3017</v>
          </cell>
        </row>
        <row r="789">
          <cell r="A789" t="str">
            <v>NH Ngoai Thuong (VCB)</v>
          </cell>
          <cell r="D789" t="str">
            <v>Quang NgaiVCB CN Dung Quat</v>
          </cell>
          <cell r="E789">
            <v>4898</v>
          </cell>
        </row>
        <row r="790">
          <cell r="A790" t="str">
            <v>NH Ngoai Thuong (VCB)</v>
          </cell>
          <cell r="D790" t="str">
            <v>Quang NgaiVCB CN Quang Ngai</v>
          </cell>
          <cell r="E790">
            <v>197</v>
          </cell>
        </row>
        <row r="791">
          <cell r="A791" t="str">
            <v>NH Ngoai Thuong (VCB)</v>
          </cell>
          <cell r="D791" t="str">
            <v>Binh DinhVCB CN Quy Nhon</v>
          </cell>
          <cell r="E791">
            <v>198</v>
          </cell>
        </row>
        <row r="792">
          <cell r="A792" t="str">
            <v>NH Ngoai Thuong (VCB)</v>
          </cell>
          <cell r="D792" t="str">
            <v>Binh DinhVCB CN Phu Tai</v>
          </cell>
          <cell r="E792">
            <v>4362</v>
          </cell>
        </row>
        <row r="793">
          <cell r="A793" t="str">
            <v>NH Ngoai Thuong (VCB)</v>
          </cell>
          <cell r="D793" t="str">
            <v>Phu YenVCB CN Phu Yen</v>
          </cell>
          <cell r="E793">
            <v>4409</v>
          </cell>
        </row>
        <row r="794">
          <cell r="A794" t="str">
            <v>NH Ngoai Thuong (VCB)</v>
          </cell>
          <cell r="D794" t="str">
            <v>Khanh HoaVCB CN Nha Trang</v>
          </cell>
          <cell r="E794">
            <v>196</v>
          </cell>
        </row>
        <row r="795">
          <cell r="A795" t="str">
            <v>NH Ngoai Thuong (VCB)</v>
          </cell>
          <cell r="D795" t="str">
            <v>Khanh HoaVCB CN Khanh Hoa</v>
          </cell>
          <cell r="E795">
            <v>208</v>
          </cell>
        </row>
        <row r="796">
          <cell r="A796" t="str">
            <v>NH Ngoai Thuong (VCB)</v>
          </cell>
          <cell r="D796" t="str">
            <v>Binh ThuanVCB CN Binh Thuan</v>
          </cell>
          <cell r="E796">
            <v>3023</v>
          </cell>
        </row>
        <row r="797">
          <cell r="A797" t="str">
            <v>NH Ngoai Thuong (VCB)</v>
          </cell>
          <cell r="D797" t="str">
            <v>Ninh ThuanVCB CN Ninh Thuan</v>
          </cell>
          <cell r="E797">
            <v>3671</v>
          </cell>
        </row>
        <row r="798">
          <cell r="A798" t="str">
            <v>NH Ngoai Thuong (VCB)</v>
          </cell>
          <cell r="D798" t="str">
            <v>Gia LaiVCB Gia Lai</v>
          </cell>
          <cell r="E798">
            <v>213</v>
          </cell>
        </row>
        <row r="799">
          <cell r="A799" t="str">
            <v>NH Ngoai Thuong (VCB)</v>
          </cell>
          <cell r="D799" t="str">
            <v>Kon TumVCB CN KonTum</v>
          </cell>
          <cell r="E799">
            <v>4408</v>
          </cell>
        </row>
        <row r="800">
          <cell r="A800" t="str">
            <v>NH Ngoai Thuong (VCB)</v>
          </cell>
          <cell r="D800" t="str">
            <v>Dac LacVCB CN DakLak</v>
          </cell>
          <cell r="E800">
            <v>206</v>
          </cell>
        </row>
        <row r="801">
          <cell r="A801" t="str">
            <v>NH Ngoai Thuong (VCB)</v>
          </cell>
          <cell r="D801" t="str">
            <v>Lam DongVCB Da Lat</v>
          </cell>
          <cell r="E801">
            <v>3100</v>
          </cell>
        </row>
        <row r="802">
          <cell r="A802" t="str">
            <v>NH Ngoai Thuong (VCB)</v>
          </cell>
          <cell r="D802" t="str">
            <v>Binh DuongVCB Binh Duong</v>
          </cell>
          <cell r="E802">
            <v>203</v>
          </cell>
        </row>
        <row r="803">
          <cell r="A803" t="str">
            <v>NH Ngoai Thuong (VCB)</v>
          </cell>
          <cell r="D803" t="str">
            <v>Binh DuongVCB Khu Cong Nghiep</v>
          </cell>
          <cell r="E803">
            <v>3022</v>
          </cell>
        </row>
        <row r="804">
          <cell r="A804" t="str">
            <v>NH Ngoai Thuong (VCB)</v>
          </cell>
          <cell r="D804" t="str">
            <v>Binh DuongVCB CN Bac Binh Duong</v>
          </cell>
          <cell r="E804">
            <v>4890</v>
          </cell>
        </row>
        <row r="805">
          <cell r="A805" t="str">
            <v>NH Ngoai Thuong (VCB)</v>
          </cell>
          <cell r="D805" t="str">
            <v>Binh DuongVCB CN Nam Binh Duong</v>
          </cell>
          <cell r="E805">
            <v>4906</v>
          </cell>
        </row>
        <row r="806">
          <cell r="A806" t="str">
            <v>NH Ngoai Thuong (VCB)</v>
          </cell>
          <cell r="D806" t="str">
            <v>Binh DuongVCB CN Song Than</v>
          </cell>
          <cell r="E806">
            <v>4909</v>
          </cell>
        </row>
        <row r="807">
          <cell r="A807" t="str">
            <v>NH Ngoai Thuong (VCB)</v>
          </cell>
          <cell r="D807" t="str">
            <v>Tay NinhVCB CN Tay Ninh</v>
          </cell>
          <cell r="E807">
            <v>3658</v>
          </cell>
        </row>
        <row r="808">
          <cell r="A808" t="str">
            <v>NH Ngoai Thuong (VCB)</v>
          </cell>
          <cell r="D808" t="str">
            <v>Dong NaiVCB CN Long Khanh</v>
          </cell>
          <cell r="E808">
            <v>4905</v>
          </cell>
        </row>
        <row r="809">
          <cell r="A809" t="str">
            <v>NH Ngoai Thuong (VCB)</v>
          </cell>
          <cell r="D809" t="str">
            <v>Dong NaiVCB CN Dong Nai</v>
          </cell>
          <cell r="E809">
            <v>207</v>
          </cell>
        </row>
        <row r="810">
          <cell r="A810" t="str">
            <v>NH Ngoai Thuong (VCB)</v>
          </cell>
          <cell r="D810" t="str">
            <v>Dong NaiVCB CN Nhon Trach</v>
          </cell>
          <cell r="E810">
            <v>2622</v>
          </cell>
        </row>
        <row r="811">
          <cell r="A811" t="str">
            <v>NH Ngoai Thuong (VCB)</v>
          </cell>
          <cell r="D811" t="str">
            <v>Dong NaiVCB CN Bien Hoa</v>
          </cell>
          <cell r="E811">
            <v>3115</v>
          </cell>
        </row>
        <row r="812">
          <cell r="A812" t="str">
            <v>NH Ngoai Thuong (VCB)</v>
          </cell>
          <cell r="D812" t="str">
            <v>Ba Ria-Vung TauVCB CN Ba Ria Vung Tau</v>
          </cell>
          <cell r="E812">
            <v>328</v>
          </cell>
        </row>
        <row r="813">
          <cell r="A813" t="str">
            <v>NH Ngoai Thuong (VCB)</v>
          </cell>
          <cell r="D813" t="str">
            <v>Long AnVCB CN Long An</v>
          </cell>
          <cell r="E813">
            <v>2730</v>
          </cell>
        </row>
        <row r="814">
          <cell r="A814" t="str">
            <v>NH Ngoai Thuong (VCB)</v>
          </cell>
          <cell r="D814" t="str">
            <v>Dong ThapVCB CN Dong Thap</v>
          </cell>
          <cell r="E814">
            <v>2984</v>
          </cell>
        </row>
        <row r="815">
          <cell r="A815" t="str">
            <v>NH Ngoai Thuong (VCB)</v>
          </cell>
          <cell r="D815" t="str">
            <v>An GiangVCB CN An Giang</v>
          </cell>
          <cell r="E815">
            <v>202</v>
          </cell>
        </row>
        <row r="816">
          <cell r="A816" t="str">
            <v>NH Ngoai Thuong (VCB)</v>
          </cell>
          <cell r="D816" t="str">
            <v>An GiangVCB CN Chau Doc</v>
          </cell>
          <cell r="E816">
            <v>4895</v>
          </cell>
        </row>
        <row r="817">
          <cell r="A817" t="str">
            <v>NH Ngoai Thuong (VCB)</v>
          </cell>
          <cell r="D817" t="str">
            <v>Tien GiangVCB CN Tien Giang</v>
          </cell>
          <cell r="E817">
            <v>3099</v>
          </cell>
        </row>
        <row r="818">
          <cell r="A818" t="str">
            <v>NH Ngoai Thuong (VCB)</v>
          </cell>
          <cell r="D818" t="str">
            <v>Ben TreVCB CN Ben Tre</v>
          </cell>
          <cell r="E818">
            <v>5130</v>
          </cell>
        </row>
        <row r="819">
          <cell r="A819" t="str">
            <v>NH Ngoai Thuong (VCB)</v>
          </cell>
          <cell r="D819" t="str">
            <v>Vinh LongVCB CN Vinh Long</v>
          </cell>
          <cell r="E819">
            <v>4916</v>
          </cell>
        </row>
        <row r="820">
          <cell r="A820" t="str">
            <v>NH Ngoai Thuong (VCB)</v>
          </cell>
          <cell r="D820" t="str">
            <v>Tra VinhVCB Tra Vinh</v>
          </cell>
          <cell r="E820">
            <v>3097</v>
          </cell>
        </row>
        <row r="821">
          <cell r="A821" t="str">
            <v>NH Ngoai Thuong (VCB)</v>
          </cell>
          <cell r="D821" t="str">
            <v>Can ThoVCB Tra Noc</v>
          </cell>
          <cell r="E821">
            <v>3021</v>
          </cell>
        </row>
        <row r="822">
          <cell r="A822" t="str">
            <v>NH Ngoai Thuong (VCB)</v>
          </cell>
          <cell r="D822" t="str">
            <v>Can ThoVCB CN Can Tho</v>
          </cell>
          <cell r="E822">
            <v>205</v>
          </cell>
        </row>
        <row r="823">
          <cell r="A823" t="str">
            <v>NH Ngoai Thuong (VCB)</v>
          </cell>
          <cell r="D823" t="str">
            <v>Can ThoVCB CN Tay Do</v>
          </cell>
          <cell r="E823">
            <v>4910</v>
          </cell>
        </row>
        <row r="824">
          <cell r="A824" t="str">
            <v>NH Ngoai Thuong (VCB)</v>
          </cell>
          <cell r="D824" t="str">
            <v>Soc TrangVCB CN Soc Trang</v>
          </cell>
          <cell r="E824">
            <v>189</v>
          </cell>
        </row>
        <row r="825">
          <cell r="A825" t="str">
            <v>NH Ngoai Thuong (VCB)</v>
          </cell>
          <cell r="D825" t="str">
            <v>Kien GiangVCB CN Kien Giang</v>
          </cell>
          <cell r="E825">
            <v>209</v>
          </cell>
        </row>
        <row r="826">
          <cell r="A826" t="str">
            <v>NH Ngoai Thuong (VCB)</v>
          </cell>
          <cell r="D826" t="str">
            <v>Bac LieuVCB CN Bac Lieu</v>
          </cell>
          <cell r="E826">
            <v>3165</v>
          </cell>
        </row>
        <row r="827">
          <cell r="A827" t="str">
            <v>NH Ngoai Thuong (VCB)</v>
          </cell>
          <cell r="D827" t="str">
            <v>Ca MauVCB CN Ca Mau</v>
          </cell>
          <cell r="E827">
            <v>204</v>
          </cell>
        </row>
        <row r="828">
          <cell r="A828" t="str">
            <v>NH Nong Nghiep va Phat Trien Nong Thon (AGRIBANK)</v>
          </cell>
          <cell r="D828" t="str">
            <v>Ha NoiNN&amp;PTNT Viet Nam Hoi So Chinh</v>
          </cell>
          <cell r="E828">
            <v>5104</v>
          </cell>
        </row>
        <row r="829">
          <cell r="A829" t="str">
            <v>NH Nong Nghiep va Phat Trien Nong Thon (AGRIBANK)</v>
          </cell>
          <cell r="D829" t="str">
            <v>Ha NoiNN&amp;PTNT CN Me Linh</v>
          </cell>
          <cell r="E829">
            <v>4679</v>
          </cell>
        </row>
        <row r="830">
          <cell r="A830" t="str">
            <v>NH Nong Nghiep va Phat Trien Nong Thon (AGRIBANK)</v>
          </cell>
          <cell r="D830" t="str">
            <v>Ha NoiNN&amp;PTNT CN Hoa Lac</v>
          </cell>
          <cell r="E830">
            <v>5093</v>
          </cell>
        </row>
        <row r="831">
          <cell r="A831" t="str">
            <v>NH Nong Nghiep va Phat Trien Nong Thon (AGRIBANK)</v>
          </cell>
          <cell r="D831" t="str">
            <v>Ha NoiNN&amp;PTNT CN Xuan Mai</v>
          </cell>
          <cell r="E831">
            <v>5094</v>
          </cell>
        </row>
        <row r="832">
          <cell r="A832" t="str">
            <v>NH Nong Nghiep va Phat Trien Nong Thon (AGRIBANK)</v>
          </cell>
          <cell r="D832" t="str">
            <v>Ha NoiNN&amp;PTNT Hung Vuong Ha Noi</v>
          </cell>
          <cell r="E832">
            <v>3680</v>
          </cell>
        </row>
        <row r="833">
          <cell r="A833" t="str">
            <v>NH Nong Nghiep va Phat Trien Nong Thon (AGRIBANK)</v>
          </cell>
          <cell r="D833" t="str">
            <v>Ha NoiNN&amp;PTNT My Dinh</v>
          </cell>
          <cell r="E833">
            <v>3632</v>
          </cell>
        </row>
        <row r="834">
          <cell r="A834" t="str">
            <v>NH Nong Nghiep va Phat Trien Nong Thon (AGRIBANK)</v>
          </cell>
          <cell r="D834" t="str">
            <v>Ha NoiNN&amp;PTNT Huyen Thanh Oai</v>
          </cell>
          <cell r="E834">
            <v>3463</v>
          </cell>
        </row>
        <row r="835">
          <cell r="A835" t="str">
            <v>NH Nong Nghiep va Phat Trien Nong Thon (AGRIBANK)</v>
          </cell>
          <cell r="D835" t="str">
            <v>Ha NoiNN&amp;PTNT Ha Thanh</v>
          </cell>
          <cell r="E835">
            <v>3470</v>
          </cell>
        </row>
        <row r="836">
          <cell r="A836" t="str">
            <v>NH Nong Nghiep va Phat Trien Nong Thon (AGRIBANK)</v>
          </cell>
          <cell r="D836" t="str">
            <v>Ha NoiNN&amp;PTNT Thu Do</v>
          </cell>
          <cell r="E836">
            <v>3475</v>
          </cell>
        </row>
        <row r="837">
          <cell r="A837" t="str">
            <v>NH Nong Nghiep va Phat Trien Nong Thon (AGRIBANK)</v>
          </cell>
          <cell r="D837" t="str">
            <v>Ha NoiNN&amp;PTNT Trang An</v>
          </cell>
          <cell r="E837">
            <v>3472</v>
          </cell>
        </row>
        <row r="838">
          <cell r="A838" t="str">
            <v>NH Nong Nghiep va Phat Trien Nong Thon (AGRIBANK)</v>
          </cell>
          <cell r="D838" t="str">
            <v>Ha NoiNN&amp;PTNT CN Trung Yen</v>
          </cell>
          <cell r="E838">
            <v>3492</v>
          </cell>
        </row>
        <row r="839">
          <cell r="A839" t="str">
            <v>NH Nong Nghiep va Phat Trien Nong Thon (AGRIBANK)</v>
          </cell>
          <cell r="D839" t="str">
            <v xml:space="preserve">Ha NoiNN&amp;PTNT Huyen Ung Hoa </v>
          </cell>
          <cell r="E839">
            <v>3513</v>
          </cell>
        </row>
        <row r="840">
          <cell r="A840" t="str">
            <v>NH Nong Nghiep va Phat Trien Nong Thon (AGRIBANK)</v>
          </cell>
          <cell r="D840" t="str">
            <v>Ha NoiNN&amp;PTNT CN TX Son Tay</v>
          </cell>
          <cell r="E840">
            <v>3610</v>
          </cell>
        </row>
        <row r="841">
          <cell r="A841" t="str">
            <v>NH Nong Nghiep va Phat Trien Nong Thon (AGRIBANK)</v>
          </cell>
          <cell r="D841" t="str">
            <v>Ha NoiNN&amp;PTNT Huyen Dan Phuong</v>
          </cell>
          <cell r="E841">
            <v>3898</v>
          </cell>
        </row>
        <row r="842">
          <cell r="A842" t="str">
            <v>NH Nong Nghiep va Phat Trien Nong Thon (AGRIBANK)</v>
          </cell>
          <cell r="D842" t="str">
            <v>Ha NoiNN&amp;PTNT Hoang Quoc Viet</v>
          </cell>
          <cell r="E842">
            <v>3321</v>
          </cell>
        </row>
        <row r="843">
          <cell r="A843" t="str">
            <v>NH Nong Nghiep va Phat Trien Nong Thon (AGRIBANK)</v>
          </cell>
          <cell r="D843" t="str">
            <v>Ha NoiNN&amp;PTNT Long Bien</v>
          </cell>
          <cell r="E843">
            <v>2851</v>
          </cell>
        </row>
        <row r="844">
          <cell r="A844" t="str">
            <v>NH Nong Nghiep va Phat Trien Nong Thon (AGRIBANK)</v>
          </cell>
          <cell r="D844" t="str">
            <v>Ha NoiNN&amp;PTNT Tay Ha Noi</v>
          </cell>
          <cell r="E844">
            <v>2874</v>
          </cell>
        </row>
        <row r="845">
          <cell r="A845" t="str">
            <v>NH Nong Nghiep va Phat Trien Nong Thon (AGRIBANK)</v>
          </cell>
          <cell r="D845" t="str">
            <v>Ha NoiNN&amp;PTNT Dong Ha Noi</v>
          </cell>
          <cell r="E845">
            <v>2875</v>
          </cell>
        </row>
        <row r="846">
          <cell r="A846" t="str">
            <v>NH Nong Nghiep va Phat Trien Nong Thon (AGRIBANK)</v>
          </cell>
          <cell r="D846" t="str">
            <v>Ha NoiNN&amp;PTNT Hoang Mai</v>
          </cell>
          <cell r="E846">
            <v>2718</v>
          </cell>
        </row>
        <row r="847">
          <cell r="A847" t="str">
            <v>NH Nong Nghiep va Phat Trien Nong Thon (AGRIBANK)</v>
          </cell>
          <cell r="D847" t="str">
            <v>Ha NoiNN&amp;PTNT Tam Trinh</v>
          </cell>
          <cell r="E847">
            <v>3608</v>
          </cell>
        </row>
        <row r="848">
          <cell r="A848" t="str">
            <v>NH Nong Nghiep va Phat Trien Nong Thon (AGRIBANK)</v>
          </cell>
          <cell r="D848" t="str">
            <v>Ha NoiNN&amp;PTNT Hong Ha</v>
          </cell>
          <cell r="E848">
            <v>3243</v>
          </cell>
        </row>
        <row r="849">
          <cell r="A849" t="str">
            <v>NH Nong Nghiep va Phat Trien Nong Thon (AGRIBANK)</v>
          </cell>
          <cell r="D849" t="str">
            <v>Ha NoiNN&amp;PTNT So Giao Dich</v>
          </cell>
          <cell r="E849">
            <v>2532</v>
          </cell>
        </row>
        <row r="850">
          <cell r="A850" t="str">
            <v>NH Nong Nghiep va Phat Trien Nong Thon (AGRIBANK)</v>
          </cell>
          <cell r="D850" t="str">
            <v>Ha NoiNN&amp;PTNT Tay Do</v>
          </cell>
          <cell r="E850">
            <v>3228</v>
          </cell>
        </row>
        <row r="851">
          <cell r="A851" t="str">
            <v>NH Nong Nghiep va Phat Trien Nong Thon (AGRIBANK)</v>
          </cell>
          <cell r="D851" t="str">
            <v>Ha NoiNN&amp;PTNT Bach Khoa</v>
          </cell>
          <cell r="E851">
            <v>3391</v>
          </cell>
        </row>
        <row r="852">
          <cell r="A852" t="str">
            <v>NH Nong Nghiep va Phat Trien Nong Thon (AGRIBANK)</v>
          </cell>
          <cell r="D852" t="str">
            <v>Ha NoiNN&amp;PTNT Huyen Thach That</v>
          </cell>
          <cell r="E852">
            <v>1521</v>
          </cell>
        </row>
        <row r="853">
          <cell r="A853" t="str">
            <v>NH Nong Nghiep va Phat Trien Nong Thon (AGRIBANK)</v>
          </cell>
          <cell r="D853" t="str">
            <v>Ha NoiNN&amp;PTNT Huyen Thuong Tin</v>
          </cell>
          <cell r="E853">
            <v>1534</v>
          </cell>
        </row>
        <row r="854">
          <cell r="A854" t="str">
            <v>NH Nong Nghiep va Phat Trien Nong Thon (AGRIBANK)</v>
          </cell>
          <cell r="D854" t="str">
            <v>Ha NoiNN&amp;PTNT Dong Anh</v>
          </cell>
          <cell r="E854">
            <v>338</v>
          </cell>
        </row>
        <row r="855">
          <cell r="A855" t="str">
            <v>NH Nong Nghiep va Phat Trien Nong Thon (AGRIBANK)</v>
          </cell>
          <cell r="D855" t="str">
            <v>Ha NoiNN&amp;PTNT Gia Lam</v>
          </cell>
          <cell r="E855">
            <v>341</v>
          </cell>
        </row>
        <row r="856">
          <cell r="A856" t="str">
            <v>NH Nong Nghiep va Phat Trien Nong Thon (AGRIBANK)</v>
          </cell>
          <cell r="D856" t="str">
            <v>Ha NoiNN&amp;PTNT Ha Tay</v>
          </cell>
          <cell r="E856">
            <v>561</v>
          </cell>
        </row>
        <row r="857">
          <cell r="A857" t="str">
            <v>NH Nong Nghiep va Phat Trien Nong Thon (AGRIBANK)</v>
          </cell>
          <cell r="D857" t="str">
            <v>Ha NoiNN&amp;PTNT Tu Liem Ha Noi</v>
          </cell>
          <cell r="E857">
            <v>594</v>
          </cell>
        </row>
        <row r="858">
          <cell r="A858" t="str">
            <v>NH Nong Nghiep va Phat Trien Nong Thon (AGRIBANK)</v>
          </cell>
          <cell r="D858" t="str">
            <v>Ha NoiNN&amp;PTNT Lang Ha</v>
          </cell>
          <cell r="E858">
            <v>604</v>
          </cell>
        </row>
        <row r="859">
          <cell r="A859" t="str">
            <v>NH Nong Nghiep va Phat Trien Nong Thon (AGRIBANK)</v>
          </cell>
          <cell r="D859" t="str">
            <v>Ha NoiNN&amp;PTNT Bac Ha Noi</v>
          </cell>
          <cell r="E859">
            <v>613</v>
          </cell>
        </row>
        <row r="860">
          <cell r="A860" t="str">
            <v>NH Nong Nghiep va Phat Trien Nong Thon (AGRIBANK)</v>
          </cell>
          <cell r="D860" t="str">
            <v>Ha NoiNN&amp;PTNT Nam Ha Noi</v>
          </cell>
          <cell r="E860">
            <v>620</v>
          </cell>
        </row>
        <row r="861">
          <cell r="A861" t="str">
            <v>NH Nong Nghiep va Phat Trien Nong Thon (AGRIBANK)</v>
          </cell>
          <cell r="D861" t="str">
            <v>Ha NoiNN&amp;PTNT Thang Long</v>
          </cell>
          <cell r="E861">
            <v>644</v>
          </cell>
        </row>
        <row r="862">
          <cell r="A862" t="str">
            <v>NH Nong Nghiep va Phat Trien Nong Thon (AGRIBANK)</v>
          </cell>
          <cell r="D862" t="str">
            <v>Ha NoiNN&amp;PTNT Soc Son Ha Noi</v>
          </cell>
          <cell r="E862">
            <v>523</v>
          </cell>
        </row>
        <row r="863">
          <cell r="A863" t="str">
            <v>NH Nong Nghiep va Phat Trien Nong Thon (AGRIBANK)</v>
          </cell>
          <cell r="D863" t="str">
            <v>Ha NoiNN&amp;PTNT Ha Noi</v>
          </cell>
          <cell r="E863">
            <v>526</v>
          </cell>
        </row>
        <row r="864">
          <cell r="A864" t="str">
            <v>NH Nong Nghiep va Phat Trien Nong Thon (AGRIBANK)</v>
          </cell>
          <cell r="D864" t="str">
            <v>Ha NoiNN&amp;PTNT Huyen Ba Vi</v>
          </cell>
          <cell r="E864">
            <v>1374</v>
          </cell>
        </row>
        <row r="865">
          <cell r="A865" t="str">
            <v>NH Nong Nghiep va Phat Trien Nong Thon (AGRIBANK)</v>
          </cell>
          <cell r="D865" t="str">
            <v>Ha NoiNN&amp;PTNT Huyen Chuong My</v>
          </cell>
          <cell r="E865">
            <v>1398</v>
          </cell>
        </row>
        <row r="866">
          <cell r="A866" t="str">
            <v>NH Nong Nghiep va Phat Trien Nong Thon (AGRIBANK)</v>
          </cell>
          <cell r="D866" t="str">
            <v>Ha NoiNN&amp;PTNT Huyen Hoai Duc</v>
          </cell>
          <cell r="E866">
            <v>1429</v>
          </cell>
        </row>
        <row r="867">
          <cell r="A867" t="str">
            <v>NH Nong Nghiep va Phat Trien Nong Thon (AGRIBANK)</v>
          </cell>
          <cell r="D867" t="str">
            <v>Ha NoiNN&amp;PTNT Thanh Tri Ha Noi</v>
          </cell>
          <cell r="E867">
            <v>534</v>
          </cell>
        </row>
        <row r="868">
          <cell r="A868" t="str">
            <v>NH Nong Nghiep va Phat Trien Nong Thon (AGRIBANK)</v>
          </cell>
          <cell r="D868" t="str">
            <v>Ha NoiNN&amp;PTNT Cau Giay</v>
          </cell>
          <cell r="E868">
            <v>1611</v>
          </cell>
        </row>
        <row r="869">
          <cell r="A869" t="str">
            <v>NH Nong Nghiep va Phat Trien Nong Thon (AGRIBANK)</v>
          </cell>
          <cell r="D869" t="str">
            <v>Ha NoiNN&amp;PTNT Dong Da</v>
          </cell>
          <cell r="E869">
            <v>1613</v>
          </cell>
        </row>
        <row r="870">
          <cell r="A870" t="str">
            <v>NH Nong Nghiep va Phat Trien Nong Thon (AGRIBANK)</v>
          </cell>
          <cell r="D870" t="str">
            <v>Ha NoiNN&amp;PTNT Hoan Kiem</v>
          </cell>
          <cell r="E870">
            <v>1616</v>
          </cell>
        </row>
        <row r="871">
          <cell r="A871" t="str">
            <v>NH Nong Nghiep va Phat Trien Nong Thon (AGRIBANK)</v>
          </cell>
          <cell r="D871" t="str">
            <v>Ha NoiNN&amp;PTNT Tay Ho</v>
          </cell>
          <cell r="E871">
            <v>1618</v>
          </cell>
        </row>
        <row r="872">
          <cell r="A872" t="str">
            <v>NH Nong Nghiep va Phat Trien Nong Thon (AGRIBANK)</v>
          </cell>
          <cell r="D872" t="str">
            <v>Ha NoiNN&amp;PTNT Thanh Xuan</v>
          </cell>
          <cell r="E872">
            <v>1619</v>
          </cell>
        </row>
        <row r="873">
          <cell r="A873" t="str">
            <v>NH Nong Nghiep va Phat Trien Nong Thon (AGRIBANK)</v>
          </cell>
          <cell r="D873" t="str">
            <v>Ha NoiNN&amp;PTNT Trung Tam Thanh Toan</v>
          </cell>
          <cell r="E873">
            <v>1621</v>
          </cell>
        </row>
        <row r="874">
          <cell r="A874" t="str">
            <v>NH Nong Nghiep va Phat Trien Nong Thon (AGRIBANK)</v>
          </cell>
          <cell r="D874" t="str">
            <v>Ha NoiNN&amp;PTNT Huyen My Duc</v>
          </cell>
          <cell r="E874">
            <v>1470</v>
          </cell>
        </row>
        <row r="875">
          <cell r="A875" t="str">
            <v>NH Nong Nghiep va Phat Trien Nong Thon (AGRIBANK)</v>
          </cell>
          <cell r="D875" t="str">
            <v>Ha NoiNN&amp;PTNT Huyen Phu Xuyen</v>
          </cell>
          <cell r="E875">
            <v>1492</v>
          </cell>
        </row>
        <row r="876">
          <cell r="A876" t="str">
            <v>NH Nong Nghiep va Phat Trien Nong Thon (AGRIBANK)</v>
          </cell>
          <cell r="D876" t="str">
            <v>Ha NoiNN&amp;PTNT Huyen Phuc Tho</v>
          </cell>
          <cell r="E876">
            <v>1494</v>
          </cell>
        </row>
        <row r="877">
          <cell r="A877" t="str">
            <v>NH Nong Nghiep va Phat Trien Nong Thon (AGRIBANK)</v>
          </cell>
          <cell r="D877" t="str">
            <v>Ha NoiNN&amp;PTNT Huyen Quoc Oai</v>
          </cell>
          <cell r="E877">
            <v>1502</v>
          </cell>
        </row>
        <row r="878">
          <cell r="A878" t="str">
            <v>NH Nong Nghiep va Phat Trien Nong Thon (AGRIBANK)</v>
          </cell>
          <cell r="D878" t="str">
            <v>Tuyen QuangNN&amp;PTNT TP Tuyen Quang</v>
          </cell>
          <cell r="E878">
            <v>4939</v>
          </cell>
        </row>
        <row r="879">
          <cell r="A879" t="str">
            <v>NH Nong Nghiep va Phat Trien Nong Thon (AGRIBANK)</v>
          </cell>
          <cell r="D879" t="str">
            <v>Tuyen QuangNN&amp;PTNT Huyen Lam Binh - Tuyen Quang</v>
          </cell>
          <cell r="E879">
            <v>5191</v>
          </cell>
        </row>
        <row r="880">
          <cell r="A880" t="str">
            <v>NH Nong Nghiep va Phat Trien Nong Thon (AGRIBANK)</v>
          </cell>
          <cell r="D880" t="str">
            <v>Tuyen QuangNN&amp;PTNT Huyen Yen Son</v>
          </cell>
          <cell r="E880">
            <v>1576</v>
          </cell>
        </row>
        <row r="881">
          <cell r="A881" t="str">
            <v>NH Nong Nghiep va Phat Trien Nong Thon (AGRIBANK)</v>
          </cell>
          <cell r="D881" t="str">
            <v>Tuyen QuangNN&amp;PTNT Tinh Tuyen Quang</v>
          </cell>
          <cell r="E881">
            <v>632</v>
          </cell>
        </row>
        <row r="882">
          <cell r="A882" t="str">
            <v>NH Nong Nghiep va Phat Trien Nong Thon (AGRIBANK)</v>
          </cell>
          <cell r="D882" t="str">
            <v>Tuyen QuangNN&amp;PTNT Huyen Chiem Hoa</v>
          </cell>
          <cell r="E882">
            <v>1396</v>
          </cell>
        </row>
        <row r="883">
          <cell r="A883" t="str">
            <v>NH Nong Nghiep va Phat Trien Nong Thon (AGRIBANK)</v>
          </cell>
          <cell r="D883" t="str">
            <v>Tuyen QuangNN&amp;PTNT Huyen Ham Yen</v>
          </cell>
          <cell r="E883">
            <v>1424</v>
          </cell>
        </row>
        <row r="884">
          <cell r="A884" t="str">
            <v>NH Nong Nghiep va Phat Trien Nong Thon (AGRIBANK)</v>
          </cell>
          <cell r="D884" t="str">
            <v>Tuyen QuangNN&amp;PTNT Huyen Na Hang</v>
          </cell>
          <cell r="E884">
            <v>1472</v>
          </cell>
        </row>
        <row r="885">
          <cell r="A885" t="str">
            <v>NH Nong Nghiep va Phat Trien Nong Thon (AGRIBANK)</v>
          </cell>
          <cell r="D885" t="str">
            <v>Tuyen QuangNN&amp;PTNT Huyen Son Duong</v>
          </cell>
          <cell r="E885">
            <v>1510</v>
          </cell>
        </row>
        <row r="886">
          <cell r="A886" t="str">
            <v>NH Nong Nghiep va Phat Trien Nong Thon (AGRIBANK)</v>
          </cell>
          <cell r="D886" t="str">
            <v>Ha GiangNN&amp;PTNT Huyen Quang Binh</v>
          </cell>
          <cell r="E886">
            <v>4961</v>
          </cell>
        </row>
        <row r="887">
          <cell r="A887" t="str">
            <v>NH Nong Nghiep va Phat Trien Nong Thon (AGRIBANK)</v>
          </cell>
          <cell r="D887" t="str">
            <v>Ha GiangNN&amp;PTNT Tinh Ha Giang</v>
          </cell>
          <cell r="E887">
            <v>559</v>
          </cell>
        </row>
        <row r="888">
          <cell r="A888" t="str">
            <v>NH Nong Nghiep va Phat Trien Nong Thon (AGRIBANK)</v>
          </cell>
          <cell r="D888" t="str">
            <v>Ha GiangNN&amp;PTNT Huyen Hoang Su Phi</v>
          </cell>
          <cell r="E888">
            <v>1366</v>
          </cell>
        </row>
        <row r="889">
          <cell r="A889" t="str">
            <v>NH Nong Nghiep va Phat Trien Nong Thon (AGRIBANK)</v>
          </cell>
          <cell r="D889" t="str">
            <v>Ha GiangNN&amp;PTNT Huyen Bac Quang</v>
          </cell>
          <cell r="E889">
            <v>1357</v>
          </cell>
        </row>
        <row r="890">
          <cell r="A890" t="str">
            <v>NH Nong Nghiep va Phat Trien Nong Thon (AGRIBANK)</v>
          </cell>
          <cell r="D890" t="str">
            <v>Ha GiangNN&amp;PTNT Huyen Bac Me</v>
          </cell>
          <cell r="E890">
            <v>1358</v>
          </cell>
        </row>
        <row r="891">
          <cell r="A891" t="str">
            <v>NH Nong Nghiep va Phat Trien Nong Thon (AGRIBANK)</v>
          </cell>
          <cell r="D891" t="str">
            <v>Ha GiangNN&amp;PTNT Huyen Dong Van</v>
          </cell>
          <cell r="E891">
            <v>1362</v>
          </cell>
        </row>
        <row r="892">
          <cell r="A892" t="str">
            <v>NH Nong Nghiep va Phat Trien Nong Thon (AGRIBANK)</v>
          </cell>
          <cell r="D892" t="str">
            <v>Ha GiangNN&amp;PTNT Huyen Meo Vac</v>
          </cell>
          <cell r="E892">
            <v>1585</v>
          </cell>
        </row>
        <row r="893">
          <cell r="A893" t="str">
            <v>NH Nong Nghiep va Phat Trien Nong Thon (AGRIBANK)</v>
          </cell>
          <cell r="D893" t="str">
            <v>Ha GiangNN&amp;PTNT Huyen Quan Ba</v>
          </cell>
          <cell r="E893">
            <v>1591</v>
          </cell>
        </row>
        <row r="894">
          <cell r="A894" t="str">
            <v>NH Nong Nghiep va Phat Trien Nong Thon (AGRIBANK)</v>
          </cell>
          <cell r="D894" t="str">
            <v>Ha GiangNN&amp;PTNT Huyen Xin Man</v>
          </cell>
          <cell r="E894">
            <v>1593</v>
          </cell>
        </row>
        <row r="895">
          <cell r="A895" t="str">
            <v>NH Nong Nghiep va Phat Trien Nong Thon (AGRIBANK)</v>
          </cell>
          <cell r="D895" t="str">
            <v>Ha GiangNN&amp;PTNT Huyen Vi Xuyen</v>
          </cell>
          <cell r="E895">
            <v>1605</v>
          </cell>
        </row>
        <row r="896">
          <cell r="A896" t="str">
            <v>NH Nong Nghiep va Phat Trien Nong Thon (AGRIBANK)</v>
          </cell>
          <cell r="D896" t="str">
            <v>Ha GiangNN&amp;PTNT Huyen Yen Minh</v>
          </cell>
          <cell r="E896">
            <v>1607</v>
          </cell>
        </row>
        <row r="897">
          <cell r="A897" t="str">
            <v>NH Nong Nghiep va Phat Trien Nong Thon (AGRIBANK)</v>
          </cell>
          <cell r="D897" t="str">
            <v>Ha GiangNN&amp;PTNT CN Thanh Thuy</v>
          </cell>
          <cell r="E897">
            <v>4960</v>
          </cell>
        </row>
        <row r="898">
          <cell r="A898" t="str">
            <v>NH Nong Nghiep va Phat Trien Nong Thon (AGRIBANK)</v>
          </cell>
          <cell r="D898" t="str">
            <v>Cao BangNN&amp;PTNT Huyen Quang Uyen</v>
          </cell>
          <cell r="E898">
            <v>5189</v>
          </cell>
        </row>
        <row r="899">
          <cell r="A899" t="str">
            <v>NH Nong Nghiep va Phat Trien Nong Thon (AGRIBANK)</v>
          </cell>
          <cell r="D899" t="str">
            <v>Cao BangNN&amp;PTNT Huyen Phuc Hoa</v>
          </cell>
          <cell r="E899">
            <v>3679</v>
          </cell>
        </row>
        <row r="900">
          <cell r="A900" t="str">
            <v>NH Nong Nghiep va Phat Trien Nong Thon (AGRIBANK)</v>
          </cell>
          <cell r="D900" t="str">
            <v>Cao BangNN&amp;PTNT TP Cao Bang</v>
          </cell>
          <cell r="E900">
            <v>4170</v>
          </cell>
        </row>
        <row r="901">
          <cell r="A901" t="str">
            <v>NH Nong Nghiep va Phat Trien Nong Thon (AGRIBANK)</v>
          </cell>
          <cell r="D901" t="str">
            <v>Cao BangNN&amp;PTNT Huyen Thach An</v>
          </cell>
          <cell r="E901">
            <v>1518</v>
          </cell>
        </row>
        <row r="902">
          <cell r="A902" t="str">
            <v>NH Nong Nghiep va Phat Trien Nong Thon (AGRIBANK)</v>
          </cell>
          <cell r="D902" t="str">
            <v>Cao BangNN&amp;PTNT Huyen Thong Nong</v>
          </cell>
          <cell r="E902">
            <v>1532</v>
          </cell>
        </row>
        <row r="903">
          <cell r="A903" t="str">
            <v>NH Nong Nghiep va Phat Trien Nong Thon (AGRIBANK)</v>
          </cell>
          <cell r="D903" t="str">
            <v>Cao BangNN&amp;PTNT Huyen Tra Linh</v>
          </cell>
          <cell r="E903">
            <v>1541</v>
          </cell>
        </row>
        <row r="904">
          <cell r="A904" t="str">
            <v>NH Nong Nghiep va Phat Trien Nong Thon (AGRIBANK)</v>
          </cell>
          <cell r="D904" t="str">
            <v>Cao BangNN&amp;PTNT Huyen Trung Khanh</v>
          </cell>
          <cell r="E904">
            <v>1546</v>
          </cell>
        </row>
        <row r="905">
          <cell r="A905" t="str">
            <v>NH Nong Nghiep va Phat Trien Nong Thon (AGRIBANK)</v>
          </cell>
          <cell r="D905" t="str">
            <v>Cao BangNN&amp;PTNT Tinh Cao Bang</v>
          </cell>
          <cell r="E905">
            <v>554</v>
          </cell>
        </row>
        <row r="906">
          <cell r="A906" t="str">
            <v>NH Nong Nghiep va Phat Trien Nong Thon (AGRIBANK)</v>
          </cell>
          <cell r="D906" t="str">
            <v>Cao BangNN&amp;PTNT Huyen Bao Lac</v>
          </cell>
          <cell r="E906">
            <v>1378</v>
          </cell>
        </row>
        <row r="907">
          <cell r="A907" t="str">
            <v>NH Nong Nghiep va Phat Trien Nong Thon (AGRIBANK)</v>
          </cell>
          <cell r="D907" t="str">
            <v>Cao BangNN&amp;PTNT Huyen Ha Lang</v>
          </cell>
          <cell r="E907">
            <v>1418</v>
          </cell>
        </row>
        <row r="908">
          <cell r="A908" t="str">
            <v>NH Nong Nghiep va Phat Trien Nong Thon (AGRIBANK)</v>
          </cell>
          <cell r="D908" t="str">
            <v>Cao BangNN&amp;PTNT Huyen Ha Quang</v>
          </cell>
          <cell r="E908">
            <v>1419</v>
          </cell>
        </row>
        <row r="909">
          <cell r="A909" t="str">
            <v>NH Nong Nghiep va Phat Trien Nong Thon (AGRIBANK)</v>
          </cell>
          <cell r="D909" t="str">
            <v>Cao BangNN&amp;PTNT Huyen Hoa An</v>
          </cell>
          <cell r="E909">
            <v>1427</v>
          </cell>
        </row>
        <row r="910">
          <cell r="A910" t="str">
            <v>NH Nong Nghiep va Phat Trien Nong Thon (AGRIBANK)</v>
          </cell>
          <cell r="D910" t="str">
            <v>Cao BangNN&amp;PTNT Huyen Nguyen Binh</v>
          </cell>
          <cell r="E910">
            <v>1482</v>
          </cell>
        </row>
        <row r="911">
          <cell r="A911" t="str">
            <v>NH Nong Nghiep va Phat Trien Nong Thon (AGRIBANK)</v>
          </cell>
          <cell r="D911" t="str">
            <v>Cao BangNN&amp;PTNT Huyen Bao Lam</v>
          </cell>
          <cell r="E911">
            <v>5190</v>
          </cell>
        </row>
        <row r="912">
          <cell r="A912" t="str">
            <v>NH Nong Nghiep va Phat Trien Nong Thon (AGRIBANK)</v>
          </cell>
          <cell r="D912" t="str">
            <v>Lang SonNN&amp;PTNT Huyen Loc Binh</v>
          </cell>
          <cell r="E912">
            <v>1457</v>
          </cell>
        </row>
        <row r="913">
          <cell r="A913" t="str">
            <v>NH Nong Nghiep va Phat Trien Nong Thon (AGRIBANK)</v>
          </cell>
          <cell r="D913" t="str">
            <v>Lang SonNN&amp;PTNT PGD Tan Thanh</v>
          </cell>
          <cell r="E913">
            <v>3948</v>
          </cell>
        </row>
        <row r="914">
          <cell r="A914" t="str">
            <v>NH Nong Nghiep va Phat Trien Nong Thon (AGRIBANK)</v>
          </cell>
          <cell r="D914" t="str">
            <v>Lang SonNN&amp;PTNT TP Lang Son</v>
          </cell>
          <cell r="E914">
            <v>3540</v>
          </cell>
        </row>
        <row r="915">
          <cell r="A915" t="str">
            <v>NH Nong Nghiep va Phat Trien Nong Thon (AGRIBANK)</v>
          </cell>
          <cell r="D915" t="str">
            <v>Lang SonNN&amp;PTNT Huyen Trang Dinh</v>
          </cell>
          <cell r="E915">
            <v>1544</v>
          </cell>
        </row>
        <row r="916">
          <cell r="A916" t="str">
            <v>NH Nong Nghiep va Phat Trien Nong Thon (AGRIBANK)</v>
          </cell>
          <cell r="D916" t="str">
            <v>Lang SonNN&amp;PTNT Huyen Van Lang</v>
          </cell>
          <cell r="E916">
            <v>1556</v>
          </cell>
        </row>
        <row r="917">
          <cell r="A917" t="str">
            <v>NH Nong Nghiep va Phat Trien Nong Thon (AGRIBANK)</v>
          </cell>
          <cell r="D917" t="str">
            <v>Lang SonNN&amp;PTNT Huyen Van Quan</v>
          </cell>
          <cell r="E917">
            <v>1557</v>
          </cell>
        </row>
        <row r="918">
          <cell r="A918" t="str">
            <v>NH Nong Nghiep va Phat Trien Nong Thon (AGRIBANK)</v>
          </cell>
          <cell r="D918" t="str">
            <v>Lang SonNN&amp;PTNT Tinh Lang Son</v>
          </cell>
          <cell r="E918">
            <v>568</v>
          </cell>
        </row>
        <row r="919">
          <cell r="A919" t="str">
            <v>NH Nong Nghiep va Phat Trien Nong Thon (AGRIBANK)</v>
          </cell>
          <cell r="D919" t="str">
            <v>Lang SonNN&amp;PTNT Huyen Bac Son</v>
          </cell>
          <cell r="E919">
            <v>1375</v>
          </cell>
        </row>
        <row r="920">
          <cell r="A920" t="str">
            <v>NH Nong Nghiep va Phat Trien Nong Thon (AGRIBANK)</v>
          </cell>
          <cell r="D920" t="str">
            <v>Lang SonNN&amp;PTNT Huyen Binh Gia</v>
          </cell>
          <cell r="E920">
            <v>1381</v>
          </cell>
        </row>
        <row r="921">
          <cell r="A921" t="str">
            <v>NH Nong Nghiep va Phat Trien Nong Thon (AGRIBANK)</v>
          </cell>
          <cell r="D921" t="str">
            <v>Lang SonNN&amp;PTNT Huyen Cao Loc</v>
          </cell>
          <cell r="E921">
            <v>1391</v>
          </cell>
        </row>
        <row r="922">
          <cell r="A922" t="str">
            <v>NH Nong Nghiep va Phat Trien Nong Thon (AGRIBANK)</v>
          </cell>
          <cell r="D922" t="str">
            <v>Lang SonNN&amp;PTNT Huyen Chi Lang</v>
          </cell>
          <cell r="E922">
            <v>1395</v>
          </cell>
        </row>
        <row r="923">
          <cell r="A923" t="str">
            <v>NH Nong Nghiep va Phat Trien Nong Thon (AGRIBANK)</v>
          </cell>
          <cell r="D923" t="str">
            <v>Lang SonNN&amp;PTNT Huyen Dinh Lap</v>
          </cell>
          <cell r="E923">
            <v>1405</v>
          </cell>
        </row>
        <row r="924">
          <cell r="A924" t="str">
            <v>NH Nong Nghiep va Phat Trien Nong Thon (AGRIBANK)</v>
          </cell>
          <cell r="D924" t="str">
            <v>Lang SonNN&amp;PTNT Huyen Dong Dang</v>
          </cell>
          <cell r="E924">
            <v>1408</v>
          </cell>
        </row>
        <row r="925">
          <cell r="A925" t="str">
            <v>NH Nong Nghiep va Phat Trien Nong Thon (AGRIBANK)</v>
          </cell>
          <cell r="D925" t="str">
            <v>Lang SonNN&amp;PTNT Huyen Huu Lung</v>
          </cell>
          <cell r="E925">
            <v>1439</v>
          </cell>
        </row>
        <row r="926">
          <cell r="A926" t="str">
            <v>NH Nong Nghiep va Phat Trien Nong Thon (AGRIBANK)</v>
          </cell>
          <cell r="D926" t="str">
            <v>Bac CanNN&amp;PTNT Huyen Pac Nam</v>
          </cell>
          <cell r="E926">
            <v>4962</v>
          </cell>
        </row>
        <row r="927">
          <cell r="A927" t="str">
            <v>NH Nong Nghiep va Phat Trien Nong Thon (AGRIBANK)</v>
          </cell>
          <cell r="D927" t="str">
            <v>Bac CanNN&amp;PTNT Tinh Bac Kan</v>
          </cell>
          <cell r="E927">
            <v>609</v>
          </cell>
        </row>
        <row r="928">
          <cell r="A928" t="str">
            <v>NH Nong Nghiep va Phat Trien Nong Thon (AGRIBANK)</v>
          </cell>
          <cell r="D928" t="str">
            <v>Bac CanNN&amp;PTNT Huyen Ba Be</v>
          </cell>
          <cell r="E928">
            <v>1371</v>
          </cell>
        </row>
        <row r="929">
          <cell r="A929" t="str">
            <v>NH Nong Nghiep va Phat Trien Nong Thon (AGRIBANK)</v>
          </cell>
          <cell r="D929" t="str">
            <v>Bac CanNN&amp;PTNT Huyen Bach Thong</v>
          </cell>
          <cell r="E929">
            <v>1377</v>
          </cell>
        </row>
        <row r="930">
          <cell r="A930" t="str">
            <v>NH Nong Nghiep va Phat Trien Nong Thon (AGRIBANK)</v>
          </cell>
          <cell r="D930" t="str">
            <v>Bac CanNN&amp;PTNT Huyen Cho Don</v>
          </cell>
          <cell r="E930">
            <v>1397</v>
          </cell>
        </row>
        <row r="931">
          <cell r="A931" t="str">
            <v>NH Nong Nghiep va Phat Trien Nong Thon (AGRIBANK)</v>
          </cell>
          <cell r="D931" t="str">
            <v>Bac CanNN&amp;PTNT Huyen Ngan Son</v>
          </cell>
          <cell r="E931">
            <v>458</v>
          </cell>
        </row>
        <row r="932">
          <cell r="A932" t="str">
            <v>NH Nong Nghiep va Phat Trien Nong Thon (AGRIBANK)</v>
          </cell>
          <cell r="D932" t="str">
            <v>Bac CanNN&amp;PTNT Huyen Na Ri</v>
          </cell>
          <cell r="E932">
            <v>1473</v>
          </cell>
        </row>
        <row r="933">
          <cell r="A933" t="str">
            <v>NH Nong Nghiep va Phat Trien Nong Thon (AGRIBANK)</v>
          </cell>
          <cell r="D933" t="str">
            <v>Bac CanNN&amp;PTNT Huyen Cho Moi</v>
          </cell>
          <cell r="E933">
            <v>4963</v>
          </cell>
        </row>
        <row r="934">
          <cell r="A934" t="str">
            <v>NH Nong Nghiep va Phat Trien Nong Thon (AGRIBANK)</v>
          </cell>
          <cell r="D934" t="str">
            <v>Thai NguyenNN&amp;PTNT CN Song Cau</v>
          </cell>
          <cell r="E934">
            <v>5095</v>
          </cell>
        </row>
        <row r="935">
          <cell r="A935" t="str">
            <v>NH Nong Nghiep va Phat Trien Nong Thon (AGRIBANK)</v>
          </cell>
          <cell r="D935" t="str">
            <v>Thai NguyenNN&amp;PTNT  Vo Nhai</v>
          </cell>
          <cell r="E935">
            <v>1606</v>
          </cell>
        </row>
        <row r="936">
          <cell r="A936" t="str">
            <v>NH Nong Nghiep va Phat Trien Nong Thon (AGRIBANK)</v>
          </cell>
          <cell r="D936" t="str">
            <v>Thai NguyenNN&amp;PTNT  Song Cong</v>
          </cell>
          <cell r="E936">
            <v>3518</v>
          </cell>
        </row>
        <row r="937">
          <cell r="A937" t="str">
            <v>NH Nong Nghiep va Phat Trien Nong Thon (AGRIBANK)</v>
          </cell>
          <cell r="D937" t="str">
            <v>Thai NguyenNN&amp;PTNT Tinh Thai Nguyen</v>
          </cell>
          <cell r="E937">
            <v>532</v>
          </cell>
        </row>
        <row r="938">
          <cell r="A938" t="str">
            <v>NH Nong Nghiep va Phat Trien Nong Thon (AGRIBANK)</v>
          </cell>
          <cell r="D938" t="str">
            <v>Thai NguyenNN&amp;PTNT  Dai Tu</v>
          </cell>
          <cell r="E938">
            <v>1359</v>
          </cell>
        </row>
        <row r="939">
          <cell r="A939" t="str">
            <v>NH Nong Nghiep va Phat Trien Nong Thon (AGRIBANK)</v>
          </cell>
          <cell r="D939" t="str">
            <v>Thai NguyenNN&amp;PTNT  Dinh Hoa</v>
          </cell>
          <cell r="E939">
            <v>1360</v>
          </cell>
        </row>
        <row r="940">
          <cell r="A940" t="str">
            <v>NH Nong Nghiep va Phat Trien Nong Thon (AGRIBANK)</v>
          </cell>
          <cell r="D940" t="str">
            <v>Thai NguyenNN&amp;PTNT  Dong Hy</v>
          </cell>
          <cell r="E940">
            <v>1361</v>
          </cell>
        </row>
        <row r="941">
          <cell r="A941" t="str">
            <v>NH Nong Nghiep va Phat Trien Nong Thon (AGRIBANK)</v>
          </cell>
          <cell r="D941" t="str">
            <v>Thai NguyenNN&amp;PTNT  Pho Yen</v>
          </cell>
          <cell r="E941">
            <v>1587</v>
          </cell>
        </row>
        <row r="942">
          <cell r="A942" t="str">
            <v>NH Nong Nghiep va Phat Trien Nong Thon (AGRIBANK)</v>
          </cell>
          <cell r="D942" t="str">
            <v>Thai NguyenNN&amp;PTNT  Phu Binh</v>
          </cell>
          <cell r="E942">
            <v>1589</v>
          </cell>
        </row>
        <row r="943">
          <cell r="A943" t="str">
            <v>NH Nong Nghiep va Phat Trien Nong Thon (AGRIBANK)</v>
          </cell>
          <cell r="D943" t="str">
            <v>Thai NguyenNN&amp;PTNT  Phu Luong</v>
          </cell>
          <cell r="E943">
            <v>1590</v>
          </cell>
        </row>
        <row r="944">
          <cell r="A944" t="str">
            <v>NH Nong Nghiep va Phat Trien Nong Thon (AGRIBANK)</v>
          </cell>
          <cell r="D944" t="str">
            <v>Thai NguyenNN&amp;PTNT  TP Thai Nguyen</v>
          </cell>
          <cell r="E944">
            <v>1595</v>
          </cell>
        </row>
        <row r="945">
          <cell r="A945" t="str">
            <v>NH Nong Nghiep va Phat Trien Nong Thon (AGRIBANK)</v>
          </cell>
          <cell r="D945" t="str">
            <v>Yen BaiNN&amp;PTNT Huyen Luc Yen</v>
          </cell>
          <cell r="E945">
            <v>1460</v>
          </cell>
        </row>
        <row r="946">
          <cell r="A946" t="str">
            <v>NH Nong Nghiep va Phat Trien Nong Thon (AGRIBANK)</v>
          </cell>
          <cell r="D946" t="str">
            <v>Yen BaiNN&amp;PTNT TP Yen Bai II</v>
          </cell>
          <cell r="E946">
            <v>3718</v>
          </cell>
        </row>
        <row r="947">
          <cell r="A947" t="str">
            <v>NH Nong Nghiep va Phat Trien Nong Thon (AGRIBANK)</v>
          </cell>
          <cell r="D947" t="str">
            <v>Yen BaiNN&amp;PTNT Huyen Tram Tau</v>
          </cell>
          <cell r="E947">
            <v>1542</v>
          </cell>
        </row>
        <row r="948">
          <cell r="A948" t="str">
            <v>NH Nong Nghiep va Phat Trien Nong Thon (AGRIBANK)</v>
          </cell>
          <cell r="D948" t="str">
            <v>Yen BaiNN&amp;PTNT Huyen Tran Yen</v>
          </cell>
          <cell r="E948">
            <v>1543</v>
          </cell>
        </row>
        <row r="949">
          <cell r="A949" t="str">
            <v>NH Nong Nghiep va Phat Trien Nong Thon (AGRIBANK)</v>
          </cell>
          <cell r="D949" t="str">
            <v>Yen BaiNN&amp;PTNT Huyen Van Chan</v>
          </cell>
          <cell r="E949">
            <v>1554</v>
          </cell>
        </row>
        <row r="950">
          <cell r="A950" t="str">
            <v>NH Nong Nghiep va Phat Trien Nong Thon (AGRIBANK)</v>
          </cell>
          <cell r="D950" t="str">
            <v>Yen BaiNN&amp;PTNT Huyen Van Yen</v>
          </cell>
          <cell r="E950">
            <v>1558</v>
          </cell>
        </row>
        <row r="951">
          <cell r="A951" t="str">
            <v>NH Nong Nghiep va Phat Trien Nong Thon (AGRIBANK)</v>
          </cell>
          <cell r="D951" t="str">
            <v>Yen BaiNN&amp;PTNT Huyen Yen Binh</v>
          </cell>
          <cell r="E951">
            <v>1567</v>
          </cell>
        </row>
        <row r="952">
          <cell r="A952" t="str">
            <v>NH Nong Nghiep va Phat Trien Nong Thon (AGRIBANK)</v>
          </cell>
          <cell r="D952" t="str">
            <v>Yen BaiNN&amp;PTNT Tinh Yen Bai</v>
          </cell>
          <cell r="E952">
            <v>589</v>
          </cell>
        </row>
        <row r="953">
          <cell r="A953" t="str">
            <v>NH Nong Nghiep va Phat Trien Nong Thon (AGRIBANK)</v>
          </cell>
          <cell r="D953" t="str">
            <v>Yen BaiNN&amp;PTNT Huyen Mu Cang Chai</v>
          </cell>
          <cell r="E953">
            <v>1364</v>
          </cell>
        </row>
        <row r="954">
          <cell r="A954" t="str">
            <v>NH Nong Nghiep va Phat Trien Nong Thon (AGRIBANK)</v>
          </cell>
          <cell r="D954" t="str">
            <v>Yen BaiNN&amp;PTNT TP Yen Bai</v>
          </cell>
          <cell r="E954">
            <v>1602</v>
          </cell>
        </row>
        <row r="955">
          <cell r="A955" t="str">
            <v>NH Nong Nghiep va Phat Trien Nong Thon (AGRIBANK)</v>
          </cell>
          <cell r="D955" t="str">
            <v>Yen BaiNN&amp;PTNT TX Nghia Lo</v>
          </cell>
          <cell r="E955">
            <v>4971</v>
          </cell>
        </row>
        <row r="956">
          <cell r="A956" t="str">
            <v>NH Nong Nghiep va Phat Trien Nong Thon (AGRIBANK)</v>
          </cell>
          <cell r="D956" t="str">
            <v>Lao CaiNN&amp;PTNT  CN Cam Duong</v>
          </cell>
          <cell r="E956">
            <v>1596</v>
          </cell>
        </row>
        <row r="957">
          <cell r="A957" t="str">
            <v>NH Nong Nghiep va Phat Trien Nong Thon (AGRIBANK)</v>
          </cell>
          <cell r="D957" t="str">
            <v>Lao CaiNN&amp;PTNT Huyen Sa Pa</v>
          </cell>
          <cell r="E957">
            <v>5166</v>
          </cell>
        </row>
        <row r="958">
          <cell r="A958" t="str">
            <v>NH Nong Nghiep va Phat Trien Nong Thon (AGRIBANK)</v>
          </cell>
          <cell r="D958" t="str">
            <v>Lao CaiNN&amp;PTNT Huyen Bat Xat</v>
          </cell>
          <cell r="E958">
            <v>5167</v>
          </cell>
        </row>
        <row r="959">
          <cell r="A959" t="str">
            <v>NH Nong Nghiep va Phat Trien Nong Thon (AGRIBANK)</v>
          </cell>
          <cell r="D959" t="str">
            <v>Lao CaiNN&amp;PTNT Huyen Muong Khuong</v>
          </cell>
          <cell r="E959">
            <v>5168</v>
          </cell>
        </row>
        <row r="960">
          <cell r="A960" t="str">
            <v>NH Nong Nghiep va Phat Trien Nong Thon (AGRIBANK)</v>
          </cell>
          <cell r="D960" t="str">
            <v>Lao CaiNN&amp;PTNT CN Kim Tan</v>
          </cell>
          <cell r="E960">
            <v>5169</v>
          </cell>
        </row>
        <row r="961">
          <cell r="A961" t="str">
            <v>NH Nong Nghiep va Phat Trien Nong Thon (AGRIBANK)</v>
          </cell>
          <cell r="D961" t="str">
            <v>Lao CaiNN&amp;PTNT CN Kim Thanh Lao Cai</v>
          </cell>
          <cell r="E961">
            <v>5170</v>
          </cell>
        </row>
        <row r="962">
          <cell r="A962" t="str">
            <v>NH Nong Nghiep va Phat Trien Nong Thon (AGRIBANK)</v>
          </cell>
          <cell r="D962" t="str">
            <v>Lao CaiNN&amp;PTNT  Huyen Bac Ha</v>
          </cell>
          <cell r="E962">
            <v>3843</v>
          </cell>
        </row>
        <row r="963">
          <cell r="A963" t="str">
            <v>NH Nong Nghiep va Phat Trien Nong Thon (AGRIBANK)</v>
          </cell>
          <cell r="D963" t="str">
            <v>Lao CaiNN&amp;PTNT  TP Lao Cai</v>
          </cell>
          <cell r="E963">
            <v>2646</v>
          </cell>
        </row>
        <row r="964">
          <cell r="A964" t="str">
            <v>NH Nong Nghiep va Phat Trien Nong Thon (AGRIBANK)</v>
          </cell>
          <cell r="D964" t="str">
            <v>Lao CaiNN&amp;PTNT  CN Coc Leu</v>
          </cell>
          <cell r="E964">
            <v>4013</v>
          </cell>
        </row>
        <row r="965">
          <cell r="A965" t="str">
            <v>NH Nong Nghiep va Phat Trien Nong Thon (AGRIBANK)</v>
          </cell>
          <cell r="D965" t="str">
            <v>Lao CaiNN&amp;PTNT  Huyen Van Ban</v>
          </cell>
          <cell r="E965">
            <v>1553</v>
          </cell>
        </row>
        <row r="966">
          <cell r="A966" t="str">
            <v>NH Nong Nghiep va Phat Trien Nong Thon (AGRIBANK)</v>
          </cell>
          <cell r="D966" t="str">
            <v>Lao CaiNN&amp;PTNT Tinh Lao Cai</v>
          </cell>
          <cell r="E966">
            <v>569</v>
          </cell>
        </row>
        <row r="967">
          <cell r="A967" t="str">
            <v>NH Nong Nghiep va Phat Trien Nong Thon (AGRIBANK)</v>
          </cell>
          <cell r="D967" t="str">
            <v>Lao CaiNN&amp;PTNT  Huyen Bao Thang</v>
          </cell>
          <cell r="E967">
            <v>1379</v>
          </cell>
        </row>
        <row r="968">
          <cell r="A968" t="str">
            <v>NH Nong Nghiep va Phat Trien Nong Thon (AGRIBANK)</v>
          </cell>
          <cell r="D968" t="str">
            <v>Lao CaiNN&amp;PTNT  Huyen Bao Yen</v>
          </cell>
          <cell r="E968">
            <v>1380</v>
          </cell>
        </row>
        <row r="969">
          <cell r="A969" t="str">
            <v>NH Nong Nghiep va Phat Trien Nong Thon (AGRIBANK)</v>
          </cell>
          <cell r="D969" t="str">
            <v>Dien BienNN&amp;PTNT Thi Xa Muong Lay</v>
          </cell>
          <cell r="E969">
            <v>1468</v>
          </cell>
        </row>
        <row r="970">
          <cell r="A970" t="str">
            <v>NH Nong Nghiep va Phat Trien Nong Thon (AGRIBANK)</v>
          </cell>
          <cell r="D970" t="str">
            <v>Dien BienNN&amp;PTNT TP Dien Bien Phu</v>
          </cell>
          <cell r="E970">
            <v>4941</v>
          </cell>
        </row>
        <row r="971">
          <cell r="A971" t="str">
            <v>NH Nong Nghiep va Phat Trien Nong Thon (AGRIBANK)</v>
          </cell>
          <cell r="D971" t="str">
            <v>Dien BienNN&amp;PTNT Huyen Muong Cha</v>
          </cell>
          <cell r="E971">
            <v>4942</v>
          </cell>
        </row>
        <row r="972">
          <cell r="A972" t="str">
            <v>NH Nong Nghiep va Phat Trien Nong Thon (AGRIBANK)</v>
          </cell>
          <cell r="D972" t="str">
            <v>Dien BienNN&amp;PTNT Huyen Muong Ang</v>
          </cell>
          <cell r="E972">
            <v>4943</v>
          </cell>
        </row>
        <row r="973">
          <cell r="A973" t="str">
            <v>NH Nong Nghiep va Phat Trien Nong Thon (AGRIBANK)</v>
          </cell>
          <cell r="D973" t="str">
            <v>Dien BienNN&amp;PTNT Huyen Muong Nhe</v>
          </cell>
          <cell r="E973">
            <v>4944</v>
          </cell>
        </row>
        <row r="974">
          <cell r="A974" t="str">
            <v>NH Nong Nghiep va Phat Trien Nong Thon (AGRIBANK)</v>
          </cell>
          <cell r="D974" t="str">
            <v>Dien BienNN&amp;PTNT Huyen Tua Chua</v>
          </cell>
          <cell r="E974">
            <v>1549</v>
          </cell>
        </row>
        <row r="975">
          <cell r="A975" t="str">
            <v>NH Nong Nghiep va Phat Trien Nong Thon (AGRIBANK)</v>
          </cell>
          <cell r="D975" t="str">
            <v>Dien BienNN&amp;PTNT Huyen Tuan Giao</v>
          </cell>
          <cell r="E975">
            <v>1550</v>
          </cell>
        </row>
        <row r="976">
          <cell r="A976" t="str">
            <v>NH Nong Nghiep va Phat Trien Nong Thon (AGRIBANK)</v>
          </cell>
          <cell r="D976" t="str">
            <v>Dien BienNN&amp;PTNT Tinh Dien Bien</v>
          </cell>
          <cell r="E976">
            <v>566</v>
          </cell>
        </row>
        <row r="977">
          <cell r="A977" t="str">
            <v>NH Nong Nghiep va Phat Trien Nong Thon (AGRIBANK)</v>
          </cell>
          <cell r="D977" t="str">
            <v>Dien BienNN&amp;PTNT Huyen Dien Bien Dong</v>
          </cell>
          <cell r="E977">
            <v>1363</v>
          </cell>
        </row>
        <row r="978">
          <cell r="A978" t="str">
            <v>NH Nong Nghiep va Phat Trien Nong Thon (AGRIBANK)</v>
          </cell>
          <cell r="D978" t="str">
            <v>Dien BienNN&amp;PTNT Huyen Dien Bien</v>
          </cell>
          <cell r="E978">
            <v>4940</v>
          </cell>
        </row>
        <row r="979">
          <cell r="A979" t="str">
            <v>NH Nong Nghiep va Phat Trien Nong Thon (AGRIBANK)</v>
          </cell>
          <cell r="D979" t="str">
            <v>Son LaNN&amp;PTNT Huyen Bac Yen</v>
          </cell>
          <cell r="E979">
            <v>1376</v>
          </cell>
        </row>
        <row r="980">
          <cell r="A980" t="str">
            <v>NH Nong Nghiep va Phat Trien Nong Thon (AGRIBANK)</v>
          </cell>
          <cell r="D980" t="str">
            <v>Son LaNN&amp;PTNT Tinh Son La</v>
          </cell>
          <cell r="E980">
            <v>581</v>
          </cell>
        </row>
        <row r="981">
          <cell r="A981" t="str">
            <v>NH Nong Nghiep va Phat Trien Nong Thon (AGRIBANK)</v>
          </cell>
          <cell r="D981" t="str">
            <v>Son LaNN&amp;PTNT Huyen Thuan Chau</v>
          </cell>
          <cell r="E981">
            <v>1533</v>
          </cell>
        </row>
        <row r="982">
          <cell r="A982" t="str">
            <v>NH Nong Nghiep va Phat Trien Nong Thon (AGRIBANK)</v>
          </cell>
          <cell r="D982" t="str">
            <v>Son LaNN&amp;PTNT Huyen Yen Chau</v>
          </cell>
          <cell r="E982">
            <v>1568</v>
          </cell>
        </row>
        <row r="983">
          <cell r="A983" t="str">
            <v>NH Nong Nghiep va Phat Trien Nong Thon (AGRIBANK)</v>
          </cell>
          <cell r="D983" t="str">
            <v>Son LaNN&amp;PTNT Huyen Mai Son</v>
          </cell>
          <cell r="E983">
            <v>1464</v>
          </cell>
        </row>
        <row r="984">
          <cell r="A984" t="str">
            <v>NH Nong Nghiep va Phat Trien Nong Thon (AGRIBANK)</v>
          </cell>
          <cell r="D984" t="str">
            <v>Son LaNN&amp;PTNT Huyen Moc Chau</v>
          </cell>
          <cell r="E984">
            <v>1466</v>
          </cell>
        </row>
        <row r="985">
          <cell r="A985" t="str">
            <v>NH Nong Nghiep va Phat Trien Nong Thon (AGRIBANK)</v>
          </cell>
          <cell r="D985" t="str">
            <v>Son LaNN&amp;PTNT Huyen Muong La</v>
          </cell>
          <cell r="E985">
            <v>1467</v>
          </cell>
        </row>
        <row r="986">
          <cell r="A986" t="str">
            <v>NH Nong Nghiep va Phat Trien Nong Thon (AGRIBANK)</v>
          </cell>
          <cell r="D986" t="str">
            <v>Son LaNN&amp;PTNT Huyen Phu Yen</v>
          </cell>
          <cell r="E986">
            <v>1493</v>
          </cell>
        </row>
        <row r="987">
          <cell r="A987" t="str">
            <v>NH Nong Nghiep va Phat Trien Nong Thon (AGRIBANK)</v>
          </cell>
          <cell r="D987" t="str">
            <v>Son LaNN&amp;PTNT Huyen Quynh Nhai</v>
          </cell>
          <cell r="E987">
            <v>1506</v>
          </cell>
        </row>
        <row r="988">
          <cell r="A988" t="str">
            <v>NH Nong Nghiep va Phat Trien Nong Thon (AGRIBANK)</v>
          </cell>
          <cell r="D988" t="str">
            <v>Son LaNN&amp;PTNT Huyen Song Ma</v>
          </cell>
          <cell r="E988">
            <v>1511</v>
          </cell>
        </row>
        <row r="989">
          <cell r="A989" t="str">
            <v>NH Nong Nghiep va Phat Trien Nong Thon (AGRIBANK)</v>
          </cell>
          <cell r="D989" t="str">
            <v>Son LaNN&amp;PTNT TP Son La</v>
          </cell>
          <cell r="E989">
            <v>5171</v>
          </cell>
        </row>
        <row r="990">
          <cell r="A990" t="str">
            <v>NH Nong Nghiep va Phat Trien Nong Thon (AGRIBANK)</v>
          </cell>
          <cell r="D990" t="str">
            <v>Quang NinhNN&amp;PTNT Thi Xa Cam Pha</v>
          </cell>
          <cell r="E990">
            <v>1387</v>
          </cell>
        </row>
        <row r="991">
          <cell r="A991" t="str">
            <v>NH Nong Nghiep va Phat Trien Nong Thon (AGRIBANK)</v>
          </cell>
          <cell r="D991" t="str">
            <v>Quang NinhNN&amp;PTNT Huyen Co To</v>
          </cell>
          <cell r="E991">
            <v>1399</v>
          </cell>
        </row>
        <row r="992">
          <cell r="A992" t="str">
            <v>NH Nong Nghiep va Phat Trien Nong Thon (AGRIBANK)</v>
          </cell>
          <cell r="D992" t="str">
            <v>Quang NinhNN&amp;PTNT Huyen Dong Trieu</v>
          </cell>
          <cell r="E992">
            <v>1411</v>
          </cell>
        </row>
        <row r="993">
          <cell r="A993" t="str">
            <v>NH Nong Nghiep va Phat Trien Nong Thon (AGRIBANK)</v>
          </cell>
          <cell r="D993" t="str">
            <v>Quang NinhNN&amp;PTNT Huyen Hoanh Bo</v>
          </cell>
          <cell r="E993">
            <v>1431</v>
          </cell>
        </row>
        <row r="994">
          <cell r="A994" t="str">
            <v>NH Nong Nghiep va Phat Trien Nong Thon (AGRIBANK)</v>
          </cell>
          <cell r="D994" t="str">
            <v>Quang NinhNN&amp;PTNT Thi Xa Quang Yen</v>
          </cell>
          <cell r="E994">
            <v>4945</v>
          </cell>
        </row>
        <row r="995">
          <cell r="A995" t="str">
            <v>NH Nong Nghiep va Phat Trien Nong Thon (AGRIBANK)</v>
          </cell>
          <cell r="D995" t="str">
            <v>Quang NinhNN&amp;PTNT Huyen Dam Ha</v>
          </cell>
          <cell r="E995">
            <v>4946</v>
          </cell>
        </row>
        <row r="996">
          <cell r="A996" t="str">
            <v>NH Nong Nghiep va Phat Trien Nong Thon (AGRIBANK)</v>
          </cell>
          <cell r="D996" t="str">
            <v>Quang NinhNN&amp;PTNT TP Ha Long</v>
          </cell>
          <cell r="E996">
            <v>4947</v>
          </cell>
        </row>
        <row r="997">
          <cell r="A997" t="str">
            <v>NH Nong Nghiep va Phat Trien Nong Thon (AGRIBANK)</v>
          </cell>
          <cell r="D997" t="str">
            <v>Quang NinhNN&amp;PTNT Huyen Hai Ha</v>
          </cell>
          <cell r="E997">
            <v>4948</v>
          </cell>
        </row>
        <row r="998">
          <cell r="A998" t="str">
            <v>NH Nong Nghiep va Phat Trien Nong Thon (AGRIBANK)</v>
          </cell>
          <cell r="D998" t="str">
            <v>Quang NinhNN&amp;PTNT CN Ha Long I</v>
          </cell>
          <cell r="E998">
            <v>4949</v>
          </cell>
        </row>
        <row r="999">
          <cell r="A999" t="str">
            <v>NH Nong Nghiep va Phat Trien Nong Thon (AGRIBANK)</v>
          </cell>
          <cell r="D999" t="str">
            <v>Quang NinhNN&amp;PTNT CN Cao Thang</v>
          </cell>
          <cell r="E999">
            <v>4950</v>
          </cell>
        </row>
        <row r="1000">
          <cell r="A1000" t="str">
            <v>NH Nong Nghiep va Phat Trien Nong Thon (AGRIBANK)</v>
          </cell>
          <cell r="D1000" t="str">
            <v>Quang NinhNN&amp;PTNT CN Mao Khe</v>
          </cell>
          <cell r="E1000">
            <v>4951</v>
          </cell>
        </row>
        <row r="1001">
          <cell r="A1001" t="str">
            <v>NH Nong Nghiep va Phat Trien Nong Thon (AGRIBANK)</v>
          </cell>
          <cell r="D1001" t="str">
            <v>Quang NinhNN&amp;PTNT CN Nam Cam Pha</v>
          </cell>
          <cell r="E1001">
            <v>3783</v>
          </cell>
        </row>
        <row r="1002">
          <cell r="A1002" t="str">
            <v>NH Nong Nghiep va Phat Trien Nong Thon (AGRIBANK)</v>
          </cell>
          <cell r="D1002" t="str">
            <v>Quang NinhNN&amp;PTNT TP Mong Cai</v>
          </cell>
          <cell r="E1002">
            <v>2647</v>
          </cell>
        </row>
        <row r="1003">
          <cell r="A1003" t="str">
            <v>NH Nong Nghiep va Phat Trien Nong Thon (AGRIBANK)</v>
          </cell>
          <cell r="D1003" t="str">
            <v>Quang NinhNN&amp;PTNT Thi Xa Uong Bi</v>
          </cell>
          <cell r="E1003">
            <v>538</v>
          </cell>
        </row>
        <row r="1004">
          <cell r="A1004" t="str">
            <v>NH Nong Nghiep va Phat Trien Nong Thon (AGRIBANK)</v>
          </cell>
          <cell r="D1004" t="str">
            <v>Quang NinhNN&amp;PTNT Tinh Quang Ninh</v>
          </cell>
          <cell r="E1004">
            <v>578</v>
          </cell>
        </row>
        <row r="1005">
          <cell r="A1005" t="str">
            <v>NH Nong Nghiep va Phat Trien Nong Thon (AGRIBANK)</v>
          </cell>
          <cell r="D1005" t="str">
            <v>Quang NinhNN&amp;PTNT Huyen Tien Yen</v>
          </cell>
          <cell r="E1005">
            <v>1539</v>
          </cell>
        </row>
        <row r="1006">
          <cell r="A1006" t="str">
            <v>NH Nong Nghiep va Phat Trien Nong Thon (AGRIBANK)</v>
          </cell>
          <cell r="D1006" t="str">
            <v>Quang NinhNN&amp;PTNT Huyen Van Don</v>
          </cell>
          <cell r="E1006">
            <v>1555</v>
          </cell>
        </row>
        <row r="1007">
          <cell r="A1007" t="str">
            <v>NH Nong Nghiep va Phat Trien Nong Thon (AGRIBANK)</v>
          </cell>
          <cell r="D1007" t="str">
            <v>Quang NinhNN&amp;PTNT Khu Vuc Bai Chay</v>
          </cell>
          <cell r="E1007">
            <v>1583</v>
          </cell>
        </row>
        <row r="1008">
          <cell r="A1008" t="str">
            <v>NH Nong Nghiep va Phat Trien Nong Thon (AGRIBANK)</v>
          </cell>
          <cell r="D1008" t="str">
            <v>Quang NinhNN&amp;PTNT Huyen Ba Che</v>
          </cell>
          <cell r="E1008">
            <v>1372</v>
          </cell>
        </row>
        <row r="1009">
          <cell r="A1009" t="str">
            <v>NH Nong Nghiep va Phat Trien Nong Thon (AGRIBANK)</v>
          </cell>
          <cell r="D1009" t="str">
            <v>Quang NinhNN&amp;PTNT Huyen Binh Lieu</v>
          </cell>
          <cell r="E1009">
            <v>1382</v>
          </cell>
        </row>
        <row r="1010">
          <cell r="A1010" t="str">
            <v>NH Nong Nghiep va Phat Trien Nong Thon (AGRIBANK)</v>
          </cell>
          <cell r="D1010" t="str">
            <v>Lai ChauNN&amp;PTNT TP Lai Chau</v>
          </cell>
          <cell r="E1010">
            <v>4964</v>
          </cell>
        </row>
        <row r="1011">
          <cell r="A1011" t="str">
            <v>NH Nong Nghiep va Phat Trien Nong Thon (AGRIBANK)</v>
          </cell>
          <cell r="D1011" t="str">
            <v>Lai ChauNN&amp;PTNT Huyen Tam Duong</v>
          </cell>
          <cell r="E1011">
            <v>4965</v>
          </cell>
        </row>
        <row r="1012">
          <cell r="A1012" t="str">
            <v>NH Nong Nghiep va Phat Trien Nong Thon (AGRIBANK)</v>
          </cell>
          <cell r="D1012" t="str">
            <v>Lai ChauNN&amp;PTNT Huyen Phong Tho</v>
          </cell>
          <cell r="E1012">
            <v>4966</v>
          </cell>
        </row>
        <row r="1013">
          <cell r="A1013" t="str">
            <v>NH Nong Nghiep va Phat Trien Nong Thon (AGRIBANK)</v>
          </cell>
          <cell r="D1013" t="str">
            <v>Lai ChauNN&amp;PTNT Huyen Sin Ho</v>
          </cell>
          <cell r="E1013">
            <v>4967</v>
          </cell>
        </row>
        <row r="1014">
          <cell r="A1014" t="str">
            <v>NH Nong Nghiep va Phat Trien Nong Thon (AGRIBANK)</v>
          </cell>
          <cell r="D1014" t="str">
            <v>Lai ChauNN&amp;PTNT Huyen Muong Te</v>
          </cell>
          <cell r="E1014">
            <v>4968</v>
          </cell>
        </row>
        <row r="1015">
          <cell r="A1015" t="str">
            <v>NH Nong Nghiep va Phat Trien Nong Thon (AGRIBANK)</v>
          </cell>
          <cell r="D1015" t="str">
            <v>Lai ChauNN&amp;PTNT Huyen Tan Uyen</v>
          </cell>
          <cell r="E1015">
            <v>4970</v>
          </cell>
        </row>
        <row r="1016">
          <cell r="A1016" t="str">
            <v>NH Nong Nghiep va Phat Trien Nong Thon (AGRIBANK)</v>
          </cell>
          <cell r="D1016" t="str">
            <v>Lai ChauNN&amp;PTNT Tinh Lai Chau</v>
          </cell>
          <cell r="E1016">
            <v>3788</v>
          </cell>
        </row>
        <row r="1017">
          <cell r="A1017" t="str">
            <v>NH Nong Nghiep va Phat Trien Nong Thon (AGRIBANK)</v>
          </cell>
          <cell r="D1017" t="str">
            <v>Lai ChauNN&amp;PTNT Huyen Than Uyen</v>
          </cell>
          <cell r="E1017">
            <v>4969</v>
          </cell>
        </row>
        <row r="1018">
          <cell r="A1018" t="str">
            <v>NH Nong Nghiep va Phat Trien Nong Thon (AGRIBANK)</v>
          </cell>
          <cell r="D1018" t="str">
            <v>Hai PhongNN&amp;PTNT Thuy Nguyen</v>
          </cell>
          <cell r="E1018">
            <v>1536</v>
          </cell>
        </row>
        <row r="1019">
          <cell r="A1019" t="str">
            <v>NH Nong Nghiep va Phat Trien Nong Thon (AGRIBANK)</v>
          </cell>
          <cell r="D1019" t="str">
            <v>Hai PhongNN&amp;PTNT Tien Lang</v>
          </cell>
          <cell r="E1019">
            <v>1538</v>
          </cell>
        </row>
        <row r="1020">
          <cell r="A1020" t="str">
            <v>NH Nong Nghiep va Phat Trien Nong Thon (AGRIBANK)</v>
          </cell>
          <cell r="D1020" t="str">
            <v>Hai PhongNN&amp;PTNT Vinh Bao</v>
          </cell>
          <cell r="E1020">
            <v>1560</v>
          </cell>
        </row>
        <row r="1021">
          <cell r="A1021" t="str">
            <v>NH Nong Nghiep va Phat Trien Nong Thon (AGRIBANK)</v>
          </cell>
          <cell r="D1021" t="str">
            <v>Hai PhongNN&amp;PTNT Kien An</v>
          </cell>
          <cell r="E1021">
            <v>1592</v>
          </cell>
        </row>
        <row r="1022">
          <cell r="A1022" t="str">
            <v>NH Nong Nghiep va Phat Trien Nong Thon (AGRIBANK)</v>
          </cell>
          <cell r="D1022" t="str">
            <v>Hai PhongNN&amp;PTNT An Duong</v>
          </cell>
          <cell r="E1022">
            <v>1368</v>
          </cell>
        </row>
        <row r="1023">
          <cell r="A1023" t="str">
            <v>NH Nong Nghiep va Phat Trien Nong Thon (AGRIBANK)</v>
          </cell>
          <cell r="D1023" t="str">
            <v>Hai PhongNN&amp;PTNT An Lao</v>
          </cell>
          <cell r="E1023">
            <v>1369</v>
          </cell>
        </row>
        <row r="1024">
          <cell r="A1024" t="str">
            <v>NH Nong Nghiep va Phat Trien Nong Thon (AGRIBANK)</v>
          </cell>
          <cell r="D1024" t="str">
            <v>Hai PhongNN&amp;PTNT Cat Ba</v>
          </cell>
          <cell r="E1024">
            <v>1392</v>
          </cell>
        </row>
        <row r="1025">
          <cell r="A1025" t="str">
            <v>NH Nong Nghiep va Phat Trien Nong Thon (AGRIBANK)</v>
          </cell>
          <cell r="D1025" t="str">
            <v>Hai PhongNN&amp;PTNT Cat Hai</v>
          </cell>
          <cell r="E1025">
            <v>1393</v>
          </cell>
        </row>
        <row r="1026">
          <cell r="A1026" t="str">
            <v>NH Nong Nghiep va Phat Trien Nong Thon (AGRIBANK)</v>
          </cell>
          <cell r="D1026" t="str">
            <v>Hai PhongNN&amp;PTNT Kien Thuy</v>
          </cell>
          <cell r="E1026">
            <v>1440</v>
          </cell>
        </row>
        <row r="1027">
          <cell r="A1027" t="str">
            <v>NH Nong Nghiep va Phat Trien Nong Thon (AGRIBANK)</v>
          </cell>
          <cell r="D1027" t="str">
            <v>Hai PhongNN&amp;PTNT CN Dai Hop</v>
          </cell>
          <cell r="E1027">
            <v>4674</v>
          </cell>
        </row>
        <row r="1028">
          <cell r="A1028" t="str">
            <v>NH Nong Nghiep va Phat Trien Nong Thon (AGRIBANK)</v>
          </cell>
          <cell r="D1028" t="str">
            <v>Hai PhongNN&amp;PTNT CN Do Son</v>
          </cell>
          <cell r="E1028">
            <v>4675</v>
          </cell>
        </row>
        <row r="1029">
          <cell r="A1029" t="str">
            <v>NH Nong Nghiep va Phat Trien Nong Thon (AGRIBANK)</v>
          </cell>
          <cell r="D1029" t="str">
            <v>Hai PhongNN&amp;PTNT CN Duong Kinh</v>
          </cell>
          <cell r="E1029">
            <v>4676</v>
          </cell>
        </row>
        <row r="1030">
          <cell r="A1030" t="str">
            <v>NH Nong Nghiep va Phat Trien Nong Thon (AGRIBANK)</v>
          </cell>
          <cell r="D1030" t="str">
            <v>Hai PhongNN&amp;PTNT CN Ky Son</v>
          </cell>
          <cell r="E1030">
            <v>4678</v>
          </cell>
        </row>
        <row r="1031">
          <cell r="A1031" t="str">
            <v>NH Nong Nghiep va Phat Trien Nong Thon (AGRIBANK)</v>
          </cell>
          <cell r="D1031" t="str">
            <v>Hai PhongNN&amp;PTNT CN Nam Am</v>
          </cell>
          <cell r="E1031">
            <v>4680</v>
          </cell>
        </row>
        <row r="1032">
          <cell r="A1032" t="str">
            <v>NH Nong Nghiep va Phat Trien Nong Thon (AGRIBANK)</v>
          </cell>
          <cell r="D1032" t="str">
            <v>Hai PhongNN&amp;PTNT CN Ngu Lao</v>
          </cell>
          <cell r="E1032">
            <v>4681</v>
          </cell>
        </row>
        <row r="1033">
          <cell r="A1033" t="str">
            <v>NH Nong Nghiep va Phat Trien Nong Thon (AGRIBANK)</v>
          </cell>
          <cell r="D1033" t="str">
            <v>Hai PhongNN&amp;PTNT CN Dong Hai Phong</v>
          </cell>
          <cell r="E1033">
            <v>3879</v>
          </cell>
        </row>
        <row r="1034">
          <cell r="A1034" t="str">
            <v>NH Nong Nghiep va Phat Trien Nong Thon (AGRIBANK)</v>
          </cell>
          <cell r="D1034" t="str">
            <v>Hai PhongNN&amp;PTNT An Hung</v>
          </cell>
          <cell r="E1034">
            <v>4347</v>
          </cell>
        </row>
        <row r="1035">
          <cell r="A1035" t="str">
            <v>NH Nong Nghiep va Phat Trien Nong Thon (AGRIBANK)</v>
          </cell>
          <cell r="D1035" t="str">
            <v>Hai PhongNN&amp;PTNT Ngo Quyen</v>
          </cell>
          <cell r="E1035">
            <v>2845</v>
          </cell>
        </row>
        <row r="1036">
          <cell r="A1036" t="str">
            <v>NH Nong Nghiep va Phat Trien Nong Thon (AGRIBANK)</v>
          </cell>
          <cell r="D1036" t="str">
            <v>Hai PhongNN&amp;PTNT CN Tran Phu</v>
          </cell>
          <cell r="E1036">
            <v>3813</v>
          </cell>
        </row>
        <row r="1037">
          <cell r="A1037" t="str">
            <v>NH Nong Nghiep va Phat Trien Nong Thon (AGRIBANK)</v>
          </cell>
          <cell r="D1037" t="str">
            <v>Hai PhongNN&amp;PTNT CN Vam Lang</v>
          </cell>
          <cell r="E1037">
            <v>3511</v>
          </cell>
        </row>
        <row r="1038">
          <cell r="A1038" t="str">
            <v>NH Nong Nghiep va Phat Trien Nong Thon (AGRIBANK)</v>
          </cell>
          <cell r="D1038" t="str">
            <v xml:space="preserve">Hai PhongNN&amp;PTNT CN Hai An </v>
          </cell>
          <cell r="E1038">
            <v>3603</v>
          </cell>
        </row>
        <row r="1039">
          <cell r="A1039" t="str">
            <v>NH Nong Nghiep va Phat Trien Nong Thon (AGRIBANK)</v>
          </cell>
          <cell r="D1039" t="str">
            <v>Hai PhongNN&amp;PTNT TP Hai Phong</v>
          </cell>
          <cell r="E1039">
            <v>527</v>
          </cell>
        </row>
        <row r="1040">
          <cell r="A1040" t="str">
            <v>NH Nong Nghiep va Phat Trien Nong Thon (AGRIBANK)</v>
          </cell>
          <cell r="D1040" t="str">
            <v>Hai PhongNN&amp;PTNT Bac Hai Phong</v>
          </cell>
          <cell r="E1040">
            <v>3268</v>
          </cell>
        </row>
        <row r="1041">
          <cell r="A1041" t="str">
            <v>NH Nong Nghiep va Phat Trien Nong Thon (AGRIBANK)</v>
          </cell>
          <cell r="D1041" t="str">
            <v>Hai DuongNN&amp;PTNT Sao Do</v>
          </cell>
          <cell r="E1041">
            <v>4685</v>
          </cell>
        </row>
        <row r="1042">
          <cell r="A1042" t="str">
            <v>NH Nong Nghiep va Phat Trien Nong Thon (AGRIBANK)</v>
          </cell>
          <cell r="D1042" t="str">
            <v>Hai DuongNN&amp;PTNT Huyen Gia Loc</v>
          </cell>
          <cell r="E1042">
            <v>1414</v>
          </cell>
        </row>
        <row r="1043">
          <cell r="A1043" t="str">
            <v>NH Nong Nghiep va Phat Trien Nong Thon (AGRIBANK)</v>
          </cell>
          <cell r="D1043" t="str">
            <v>Hai DuongNN&amp;PTNT TP Hai Duong</v>
          </cell>
          <cell r="E1043">
            <v>4978</v>
          </cell>
        </row>
        <row r="1044">
          <cell r="A1044" t="str">
            <v>NH Nong Nghiep va Phat Trien Nong Thon (AGRIBANK)</v>
          </cell>
          <cell r="D1044" t="str">
            <v>Hai DuongNN&amp;PTNT Huyen Thanh Dong</v>
          </cell>
          <cell r="E1044">
            <v>4979</v>
          </cell>
        </row>
        <row r="1045">
          <cell r="A1045" t="str">
            <v>NH Nong Nghiep va Phat Trien Nong Thon (AGRIBANK)</v>
          </cell>
          <cell r="D1045" t="str">
            <v>Hai DuongNN&amp;PTNT CN Pha Lai</v>
          </cell>
          <cell r="E1045">
            <v>4980</v>
          </cell>
        </row>
        <row r="1046">
          <cell r="A1046" t="str">
            <v>NH Nong Nghiep va Phat Trien Nong Thon (AGRIBANK)</v>
          </cell>
          <cell r="D1046" t="str">
            <v>Hai DuongNN&amp;PTNT CN Dai Tan</v>
          </cell>
          <cell r="E1046">
            <v>4981</v>
          </cell>
        </row>
        <row r="1047">
          <cell r="A1047" t="str">
            <v>NH Nong Nghiep va Phat Trien Nong Thon (AGRIBANK)</v>
          </cell>
          <cell r="D1047" t="str">
            <v>Hai DuongNN&amp;PTNT Huyen Thanh Ha</v>
          </cell>
          <cell r="E1047">
            <v>3985</v>
          </cell>
        </row>
        <row r="1048">
          <cell r="A1048" t="str">
            <v>NH Nong Nghiep va Phat Trien Nong Thon (AGRIBANK)</v>
          </cell>
          <cell r="D1048" t="str">
            <v>Hai DuongNN&amp;PTNT Huyen Ninh Giang</v>
          </cell>
          <cell r="E1048">
            <v>1486</v>
          </cell>
        </row>
        <row r="1049">
          <cell r="A1049" t="str">
            <v>NH Nong Nghiep va Phat Trien Nong Thon (AGRIBANK)</v>
          </cell>
          <cell r="D1049" t="str">
            <v>Hai DuongNN&amp;PTNT Huyen Kim Thanh</v>
          </cell>
          <cell r="E1049">
            <v>2661</v>
          </cell>
        </row>
        <row r="1050">
          <cell r="A1050" t="str">
            <v>NH Nong Nghiep va Phat Trien Nong Thon (AGRIBANK)</v>
          </cell>
          <cell r="D1050" t="str">
            <v>Hai DuongNN&amp;PTNT Huyen Binh Giang</v>
          </cell>
          <cell r="E1050">
            <v>3727</v>
          </cell>
        </row>
        <row r="1051">
          <cell r="A1051" t="str">
            <v>NH Nong Nghiep va Phat Trien Nong Thon (AGRIBANK)</v>
          </cell>
          <cell r="D1051" t="str">
            <v>Hai DuongNN&amp;PTNT Tinh Hai Duong</v>
          </cell>
          <cell r="E1051">
            <v>562</v>
          </cell>
        </row>
        <row r="1052">
          <cell r="A1052" t="str">
            <v>NH Nong Nghiep va Phat Trien Nong Thon (AGRIBANK)</v>
          </cell>
          <cell r="D1052" t="str">
            <v>Hai DuongNN&amp;PTNT Huyen Cam Giang</v>
          </cell>
          <cell r="E1052">
            <v>3363</v>
          </cell>
        </row>
        <row r="1053">
          <cell r="A1053" t="str">
            <v>NH Nong Nghiep va Phat Trien Nong Thon (AGRIBANK)</v>
          </cell>
          <cell r="D1053" t="str">
            <v>Hai DuongNN&amp;PTNT Huyen Nam Sach</v>
          </cell>
          <cell r="E1053">
            <v>2812</v>
          </cell>
        </row>
        <row r="1054">
          <cell r="A1054" t="str">
            <v>NH Nong Nghiep va Phat Trien Nong Thon (AGRIBANK)</v>
          </cell>
          <cell r="D1054" t="str">
            <v>Hai DuongNN&amp;PTNT Huyen Kinh Mon</v>
          </cell>
          <cell r="E1054">
            <v>1445</v>
          </cell>
        </row>
        <row r="1055">
          <cell r="A1055" t="str">
            <v>NH Nong Nghiep va Phat Trien Nong Thon (AGRIBANK)</v>
          </cell>
          <cell r="D1055" t="str">
            <v>Hai DuongNN&amp;PTNT Huyen Thanh Mien</v>
          </cell>
          <cell r="E1055">
            <v>1526</v>
          </cell>
        </row>
        <row r="1056">
          <cell r="A1056" t="str">
            <v>NH Nong Nghiep va Phat Trien Nong Thon (AGRIBANK)</v>
          </cell>
          <cell r="D1056" t="str">
            <v>Hai DuongNN&amp;PTNT Huyen Tu Ky</v>
          </cell>
          <cell r="E1056">
            <v>1547</v>
          </cell>
        </row>
        <row r="1057">
          <cell r="A1057" t="str">
            <v>NH Nong Nghiep va Phat Trien Nong Thon (AGRIBANK)</v>
          </cell>
          <cell r="D1057" t="str">
            <v>Hung YenNN&amp;PTNT KCN Minh Duc</v>
          </cell>
          <cell r="E1057">
            <v>4982</v>
          </cell>
        </row>
        <row r="1058">
          <cell r="A1058" t="str">
            <v>NH Nong Nghiep va Phat Trien Nong Thon (AGRIBANK)</v>
          </cell>
          <cell r="D1058" t="str">
            <v>Hung YenNN&amp;PTNT Huyen Van Giang</v>
          </cell>
          <cell r="E1058">
            <v>4983</v>
          </cell>
        </row>
        <row r="1059">
          <cell r="A1059" t="str">
            <v>NH Nong Nghiep va Phat Trien Nong Thon (AGRIBANK)</v>
          </cell>
          <cell r="D1059" t="str">
            <v>Hung YenNN&amp;PTNT Huyen Phu Cu</v>
          </cell>
          <cell r="E1059">
            <v>4984</v>
          </cell>
        </row>
        <row r="1060">
          <cell r="A1060" t="str">
            <v>NH Nong Nghiep va Phat Trien Nong Thon (AGRIBANK)</v>
          </cell>
          <cell r="D1060" t="str">
            <v>Hung YenNN&amp;PTNT TP Hung Yen</v>
          </cell>
          <cell r="E1060">
            <v>4985</v>
          </cell>
        </row>
        <row r="1061">
          <cell r="A1061" t="str">
            <v>NH Nong Nghiep va Phat Trien Nong Thon (AGRIBANK)</v>
          </cell>
          <cell r="D1061" t="str">
            <v>Hung YenNN&amp;PTNT Huyen Tien Lu</v>
          </cell>
          <cell r="E1061">
            <v>3973</v>
          </cell>
        </row>
        <row r="1062">
          <cell r="A1062" t="str">
            <v>NH Nong Nghiep va Phat Trien Nong Thon (AGRIBANK)</v>
          </cell>
          <cell r="D1062" t="str">
            <v>Hung YenNN&amp;PTNT Huyen Van Lam</v>
          </cell>
          <cell r="E1062">
            <v>2652</v>
          </cell>
        </row>
        <row r="1063">
          <cell r="A1063" t="str">
            <v>NH Nong Nghiep va Phat Trien Nong Thon (AGRIBANK)</v>
          </cell>
          <cell r="D1063" t="str">
            <v>Hung YenNN&amp;PTNT Huyen Yen My</v>
          </cell>
          <cell r="E1063">
            <v>3845</v>
          </cell>
        </row>
        <row r="1064">
          <cell r="A1064" t="str">
            <v>NH Nong Nghiep va Phat Trien Nong Thon (AGRIBANK)</v>
          </cell>
          <cell r="D1064" t="str">
            <v>Hung YenNN&amp;PTNT Huyen Khoai Chau</v>
          </cell>
          <cell r="E1064">
            <v>3512</v>
          </cell>
        </row>
        <row r="1065">
          <cell r="A1065" t="str">
            <v>NH Nong Nghiep va Phat Trien Nong Thon (AGRIBANK)</v>
          </cell>
          <cell r="D1065" t="str">
            <v>Hung YenNN&amp;PTNT Hung Yen</v>
          </cell>
          <cell r="E1065">
            <v>564</v>
          </cell>
        </row>
        <row r="1066">
          <cell r="A1066" t="str">
            <v>NH Nong Nghiep va Phat Trien Nong Thon (AGRIBANK)</v>
          </cell>
          <cell r="D1066" t="str">
            <v>Hung YenNN&amp;PTNT My Hao</v>
          </cell>
          <cell r="E1066">
            <v>2822</v>
          </cell>
        </row>
        <row r="1067">
          <cell r="A1067" t="str">
            <v>NH Nong Nghiep va Phat Trien Nong Thon (AGRIBANK)</v>
          </cell>
          <cell r="D1067" t="str">
            <v>Hung YenNN&amp;PTNT Huyen an Thi</v>
          </cell>
          <cell r="E1067">
            <v>1580</v>
          </cell>
        </row>
        <row r="1068">
          <cell r="A1068" t="str">
            <v>NH Nong Nghiep va Phat Trien Nong Thon (AGRIBANK)</v>
          </cell>
          <cell r="D1068" t="str">
            <v>Hung YenNN&amp;PTNT Huyen Kim Dong</v>
          </cell>
          <cell r="E1068">
            <v>1444</v>
          </cell>
        </row>
        <row r="1069">
          <cell r="A1069" t="str">
            <v>NH Nong Nghiep va Phat Trien Nong Thon (AGRIBANK)</v>
          </cell>
          <cell r="D1069" t="str">
            <v>Bac GiangNN&amp;PTNT Huyen Hiep Hoa</v>
          </cell>
          <cell r="E1069">
            <v>1426</v>
          </cell>
        </row>
        <row r="1070">
          <cell r="A1070" t="str">
            <v>NH Nong Nghiep va Phat Trien Nong Thon (AGRIBANK)</v>
          </cell>
          <cell r="D1070" t="str">
            <v>Bac GiangNN&amp;PTNT TP Bac Giang</v>
          </cell>
          <cell r="E1070">
            <v>5172</v>
          </cell>
        </row>
        <row r="1071">
          <cell r="A1071" t="str">
            <v>NH Nong Nghiep va Phat Trien Nong Thon (AGRIBANK)</v>
          </cell>
          <cell r="D1071" t="str">
            <v>Bac GiangNN&amp;PTNT CN Xuong Giang</v>
          </cell>
          <cell r="E1071">
            <v>5173</v>
          </cell>
        </row>
        <row r="1072">
          <cell r="A1072" t="str">
            <v>NH Nong Nghiep va Phat Trien Nong Thon (AGRIBANK)</v>
          </cell>
          <cell r="D1072" t="str">
            <v>Bac GiangNN&amp;PTNT CN Bo Ha</v>
          </cell>
          <cell r="E1072">
            <v>5174</v>
          </cell>
        </row>
        <row r="1073">
          <cell r="A1073" t="str">
            <v>NH Nong Nghiep va Phat Trien Nong Thon (AGRIBANK)</v>
          </cell>
          <cell r="D1073" t="str">
            <v>Bac GiangNN&amp;PTNT KCN Dinh Tram</v>
          </cell>
          <cell r="E1073">
            <v>3719</v>
          </cell>
        </row>
        <row r="1074">
          <cell r="A1074" t="str">
            <v>NH Nong Nghiep va Phat Trien Nong Thon (AGRIBANK)</v>
          </cell>
          <cell r="D1074" t="str">
            <v>Bac GiangNN&amp;PTNT Tinh Bac Giang</v>
          </cell>
          <cell r="E1074">
            <v>545</v>
          </cell>
        </row>
        <row r="1075">
          <cell r="A1075" t="str">
            <v>NH Nong Nghiep va Phat Trien Nong Thon (AGRIBANK)</v>
          </cell>
          <cell r="D1075" t="str">
            <v>Bac GiangNN&amp;PTNT Huyen Tan Yen</v>
          </cell>
          <cell r="E1075">
            <v>1517</v>
          </cell>
        </row>
        <row r="1076">
          <cell r="A1076" t="str">
            <v>NH Nong Nghiep va Phat Trien Nong Thon (AGRIBANK)</v>
          </cell>
          <cell r="D1076" t="str">
            <v>Bac GiangNN&amp;PTNT Huyen Viet Yen</v>
          </cell>
          <cell r="E1076">
            <v>1559</v>
          </cell>
        </row>
        <row r="1077">
          <cell r="A1077" t="str">
            <v>NH Nong Nghiep va Phat Trien Nong Thon (AGRIBANK)</v>
          </cell>
          <cell r="D1077" t="str">
            <v>Bac GiangNN&amp;PTNT Huyen Yen Dung</v>
          </cell>
          <cell r="E1077">
            <v>1570</v>
          </cell>
        </row>
        <row r="1078">
          <cell r="A1078" t="str">
            <v>NH Nong Nghiep va Phat Trien Nong Thon (AGRIBANK)</v>
          </cell>
          <cell r="D1078" t="str">
            <v>Bac GiangNN&amp;PTNT Huyen Yen The</v>
          </cell>
          <cell r="E1078">
            <v>1578</v>
          </cell>
        </row>
        <row r="1079">
          <cell r="A1079" t="str">
            <v>NH Nong Nghiep va Phat Trien Nong Thon (AGRIBANK)</v>
          </cell>
          <cell r="D1079" t="str">
            <v>Bac GiangNN&amp;PTNT Huyen Lang Giang</v>
          </cell>
          <cell r="E1079">
            <v>1454</v>
          </cell>
        </row>
        <row r="1080">
          <cell r="A1080" t="str">
            <v>NH Nong Nghiep va Phat Trien Nong Thon (AGRIBANK)</v>
          </cell>
          <cell r="D1080" t="str">
            <v>Bac GiangNN&amp;PTNT Huyen Luc Nam</v>
          </cell>
          <cell r="E1080">
            <v>1458</v>
          </cell>
        </row>
        <row r="1081">
          <cell r="A1081" t="str">
            <v>NH Nong Nghiep va Phat Trien Nong Thon (AGRIBANK)</v>
          </cell>
          <cell r="D1081" t="str">
            <v>Bac GiangNN&amp;PTNT Huyen Luc Ngan</v>
          </cell>
          <cell r="E1081">
            <v>1459</v>
          </cell>
        </row>
        <row r="1082">
          <cell r="A1082" t="str">
            <v>NH Nong Nghiep va Phat Trien Nong Thon (AGRIBANK)</v>
          </cell>
          <cell r="D1082" t="str">
            <v>Bac GiangNN&amp;PTNT Huyen Son Dong</v>
          </cell>
          <cell r="E1082">
            <v>1509</v>
          </cell>
        </row>
        <row r="1083">
          <cell r="A1083" t="str">
            <v>NH Nong Nghiep va Phat Trien Nong Thon (AGRIBANK)</v>
          </cell>
          <cell r="D1083" t="str">
            <v>Bac NinhNN&amp;PTNT Huyen Gia Binh</v>
          </cell>
          <cell r="E1083">
            <v>4683</v>
          </cell>
        </row>
        <row r="1084">
          <cell r="A1084" t="str">
            <v>NH Nong Nghiep va Phat Trien Nong Thon (AGRIBANK)</v>
          </cell>
          <cell r="D1084" t="str">
            <v>Bac NinhNN&amp;PTNT Huyen Tien Du</v>
          </cell>
          <cell r="E1084">
            <v>3584</v>
          </cell>
        </row>
        <row r="1085">
          <cell r="A1085" t="str">
            <v>NH Nong Nghiep va Phat Trien Nong Thon (AGRIBANK)</v>
          </cell>
          <cell r="D1085" t="str">
            <v>Bac NinhNN&amp;PTNT Huyen Luong Tai</v>
          </cell>
          <cell r="E1085">
            <v>2651</v>
          </cell>
        </row>
        <row r="1086">
          <cell r="A1086" t="str">
            <v>NH Nong Nghiep va Phat Trien Nong Thon (AGRIBANK)</v>
          </cell>
          <cell r="D1086" t="str">
            <v>Bac NinhNN&amp;PTNT Tinh Bac Ninh</v>
          </cell>
          <cell r="E1086">
            <v>547</v>
          </cell>
        </row>
        <row r="1087">
          <cell r="A1087" t="str">
            <v>NH Nong Nghiep va Phat Trien Nong Thon (AGRIBANK)</v>
          </cell>
          <cell r="D1087" t="str">
            <v>Bac NinhNN&amp;PTNT Huyen Thuan Thanh</v>
          </cell>
          <cell r="E1087">
            <v>1347</v>
          </cell>
        </row>
        <row r="1088">
          <cell r="A1088" t="str">
            <v>NH Nong Nghiep va Phat Trien Nong Thon (AGRIBANK)</v>
          </cell>
          <cell r="D1088" t="str">
            <v>Bac NinhNN&amp;PTNT Huyen Que Vo</v>
          </cell>
          <cell r="E1088">
            <v>1351</v>
          </cell>
        </row>
        <row r="1089">
          <cell r="A1089" t="str">
            <v>NH Nong Nghiep va Phat Trien Nong Thon (AGRIBANK)</v>
          </cell>
          <cell r="D1089" t="str">
            <v>Bac NinhNN&amp;PTNT KCN Tien Son</v>
          </cell>
          <cell r="E1089">
            <v>1352</v>
          </cell>
        </row>
        <row r="1090">
          <cell r="A1090" t="str">
            <v>NH Nong Nghiep va Phat Trien Nong Thon (AGRIBANK)</v>
          </cell>
          <cell r="D1090" t="str">
            <v>Bac NinhNN&amp;PTNT Huyen Yen Phong</v>
          </cell>
          <cell r="E1090">
            <v>1353</v>
          </cell>
        </row>
        <row r="1091">
          <cell r="A1091" t="str">
            <v>NH Nong Nghiep va Phat Trien Nong Thon (AGRIBANK)</v>
          </cell>
          <cell r="D1091" t="str">
            <v>Bac NinhNN&amp;PTNT CN Thi Xa Tu Son</v>
          </cell>
          <cell r="E1091">
            <v>1355</v>
          </cell>
        </row>
        <row r="1092">
          <cell r="A1092" t="str">
            <v>NH Nong Nghiep va Phat Trien Nong Thon (AGRIBANK)</v>
          </cell>
          <cell r="D1092" t="str">
            <v>Bac NinhNN&amp;PTNT TP Bac Ninh</v>
          </cell>
          <cell r="E1092">
            <v>4686</v>
          </cell>
        </row>
        <row r="1093">
          <cell r="A1093" t="str">
            <v>NH Nong Nghiep va Phat Trien Nong Thon (AGRIBANK)</v>
          </cell>
          <cell r="D1093" t="str">
            <v>Phu ThoNN&amp;PTNT Huyen Ha Hoa</v>
          </cell>
          <cell r="E1093">
            <v>1417</v>
          </cell>
        </row>
        <row r="1094">
          <cell r="A1094" t="str">
            <v>NH Nong Nghiep va Phat Trien Nong Thon (AGRIBANK)</v>
          </cell>
          <cell r="D1094" t="str">
            <v>Phu ThoNN&amp;PTNT Huyen Cam Khe</v>
          </cell>
          <cell r="E1094">
            <v>4972</v>
          </cell>
        </row>
        <row r="1095">
          <cell r="A1095" t="str">
            <v>NH Nong Nghiep va Phat Trien Nong Thon (AGRIBANK)</v>
          </cell>
          <cell r="D1095" t="str">
            <v>Phu ThoNN&amp;PTNT Huyen Van Co</v>
          </cell>
          <cell r="E1095">
            <v>4973</v>
          </cell>
        </row>
        <row r="1096">
          <cell r="A1096" t="str">
            <v>NH Nong Nghiep va Phat Trien Nong Thon (AGRIBANK)</v>
          </cell>
          <cell r="D1096" t="str">
            <v>Phu ThoNN&amp;PTNT TX Phu Tho</v>
          </cell>
          <cell r="E1096">
            <v>4974</v>
          </cell>
        </row>
        <row r="1097">
          <cell r="A1097" t="str">
            <v>NH Nong Nghiep va Phat Trien Nong Thon (AGRIBANK)</v>
          </cell>
          <cell r="D1097" t="str">
            <v>Phu ThoNN&amp;PTNT Huyen Thanh Son</v>
          </cell>
          <cell r="E1097">
            <v>4975</v>
          </cell>
        </row>
        <row r="1098">
          <cell r="A1098" t="str">
            <v>NH Nong Nghiep va Phat Trien Nong Thon (AGRIBANK)</v>
          </cell>
          <cell r="D1098" t="str">
            <v>Phu ThoNN&amp;PTNT Huyen Thanh Thuy</v>
          </cell>
          <cell r="E1098">
            <v>4976</v>
          </cell>
        </row>
        <row r="1099">
          <cell r="A1099" t="str">
            <v>NH Nong Nghiep va Phat Trien Nong Thon (AGRIBANK)</v>
          </cell>
          <cell r="D1099" t="str">
            <v>Phu ThoNN&amp;PTNT Huyen Gia Cam</v>
          </cell>
          <cell r="E1099">
            <v>4977</v>
          </cell>
        </row>
        <row r="1100">
          <cell r="A1100" t="str">
            <v>NH Nong Nghiep va Phat Trien Nong Thon (AGRIBANK)</v>
          </cell>
          <cell r="D1100" t="str">
            <v>Phu ThoNN&amp;PTNT Huyen Phu Ninh</v>
          </cell>
          <cell r="E1100">
            <v>2772</v>
          </cell>
        </row>
        <row r="1101">
          <cell r="A1101" t="str">
            <v>NH Nong Nghiep va Phat Trien Nong Thon (AGRIBANK)</v>
          </cell>
          <cell r="D1101" t="str">
            <v>Phu ThoNN&amp;PTNT Huyen Thanh Mieu</v>
          </cell>
          <cell r="E1101">
            <v>3841</v>
          </cell>
        </row>
        <row r="1102">
          <cell r="A1102" t="str">
            <v>NH Nong Nghiep va Phat Trien Nong Thon (AGRIBANK)</v>
          </cell>
          <cell r="D1102" t="str">
            <v>Phu ThoNN&amp;PTNT Huyen Tam Nong</v>
          </cell>
          <cell r="E1102">
            <v>3590</v>
          </cell>
        </row>
        <row r="1103">
          <cell r="A1103" t="str">
            <v>NH Nong Nghiep va Phat Trien Nong Thon (AGRIBANK)</v>
          </cell>
          <cell r="D1103" t="str">
            <v>Phu ThoNN&amp;PTNT Tinh Phu Tho</v>
          </cell>
          <cell r="E1103">
            <v>574</v>
          </cell>
        </row>
        <row r="1104">
          <cell r="A1104" t="str">
            <v>NH Nong Nghiep va Phat Trien Nong Thon (AGRIBANK)</v>
          </cell>
          <cell r="D1104" t="str">
            <v>Phu ThoNN&amp;PTNT Huyen Thanh Ba</v>
          </cell>
          <cell r="E1104">
            <v>1524</v>
          </cell>
        </row>
        <row r="1105">
          <cell r="A1105" t="str">
            <v>NH Nong Nghiep va Phat Trien Nong Thon (AGRIBANK)</v>
          </cell>
          <cell r="D1105" t="str">
            <v>Phu ThoNN&amp;PTNT Huyen Tan Son</v>
          </cell>
          <cell r="E1105">
            <v>1528</v>
          </cell>
        </row>
        <row r="1106">
          <cell r="A1106" t="str">
            <v>NH Nong Nghiep va Phat Trien Nong Thon (AGRIBANK)</v>
          </cell>
          <cell r="D1106" t="str">
            <v>Phu ThoNN&amp;PTNT Huyen Yen Lap</v>
          </cell>
          <cell r="E1106">
            <v>1574</v>
          </cell>
        </row>
        <row r="1107">
          <cell r="A1107" t="str">
            <v>NH Nong Nghiep va Phat Trien Nong Thon (AGRIBANK)</v>
          </cell>
          <cell r="D1107" t="str">
            <v>Phu ThoNN&amp;PTNT Huyen Lam Thao</v>
          </cell>
          <cell r="E1107">
            <v>1594</v>
          </cell>
        </row>
        <row r="1108">
          <cell r="A1108" t="str">
            <v>NH Nong Nghiep va Phat Trien Nong Thon (AGRIBANK)</v>
          </cell>
          <cell r="D1108" t="str">
            <v>Phu ThoNN&amp;PTNT Huyen Doan Hung</v>
          </cell>
          <cell r="E1108">
            <v>1407</v>
          </cell>
        </row>
        <row r="1109">
          <cell r="A1109" t="str">
            <v>NH Nong Nghiep va Phat Trien Nong Thon (AGRIBANK)</v>
          </cell>
          <cell r="D1109" t="str">
            <v>Vinh PhucNN&amp;PTNT Huyen Song Lo</v>
          </cell>
          <cell r="E1109">
            <v>5197</v>
          </cell>
        </row>
        <row r="1110">
          <cell r="A1110" t="str">
            <v>NH Nong Nghiep va Phat Trien Nong Thon (AGRIBANK)</v>
          </cell>
          <cell r="D1110" t="str">
            <v>Vinh PhucNN&amp;PTNT Huyen Tam Duong</v>
          </cell>
          <cell r="E1110">
            <v>5194</v>
          </cell>
        </row>
        <row r="1111">
          <cell r="A1111" t="str">
            <v>NH Nong Nghiep va Phat Trien Nong Thon (AGRIBANK)</v>
          </cell>
          <cell r="D1111" t="str">
            <v>Vinh PhucNN&amp;PTNT CN Tho Tang</v>
          </cell>
          <cell r="E1111">
            <v>5195</v>
          </cell>
        </row>
        <row r="1112">
          <cell r="A1112" t="str">
            <v>NH Nong Nghiep va Phat Trien Nong Thon (AGRIBANK)</v>
          </cell>
          <cell r="D1112" t="str">
            <v>Vinh PhucNN&amp;PTNT CN TP Vinh Yen</v>
          </cell>
          <cell r="E1112">
            <v>5196</v>
          </cell>
        </row>
        <row r="1113">
          <cell r="A1113" t="str">
            <v>NH Nong Nghiep va Phat Trien Nong Thon (AGRIBANK)</v>
          </cell>
          <cell r="D1113" t="str">
            <v>Vinh PhucNN&amp;PTNT CN Phuc Yen</v>
          </cell>
          <cell r="E1113">
            <v>3848</v>
          </cell>
        </row>
        <row r="1114">
          <cell r="A1114" t="str">
            <v>NH Nong Nghiep va Phat Trien Nong Thon (AGRIBANK)</v>
          </cell>
          <cell r="D1114" t="str">
            <v>Vinh PhucNN&amp;PTNT Huyen Binh Xuyen</v>
          </cell>
          <cell r="E1114">
            <v>3915</v>
          </cell>
        </row>
        <row r="1115">
          <cell r="A1115" t="str">
            <v>NH Nong Nghiep va Phat Trien Nong Thon (AGRIBANK)</v>
          </cell>
          <cell r="D1115" t="str">
            <v>Vinh PhucNN&amp;PTNT Tinh Vinh Phuc</v>
          </cell>
          <cell r="E1115">
            <v>588</v>
          </cell>
        </row>
        <row r="1116">
          <cell r="A1116" t="str">
            <v>NH Nong Nghiep va Phat Trien Nong Thon (AGRIBANK)</v>
          </cell>
          <cell r="D1116" t="str">
            <v>Vinh PhucNN&amp;PTNT Huyen Vinh Tuong</v>
          </cell>
          <cell r="E1116">
            <v>1563</v>
          </cell>
        </row>
        <row r="1117">
          <cell r="A1117" t="str">
            <v>NH Nong Nghiep va Phat Trien Nong Thon (AGRIBANK)</v>
          </cell>
          <cell r="D1117" t="str">
            <v>Vinh PhucNN&amp;PTNT Huyen Yen Lac</v>
          </cell>
          <cell r="E1117">
            <v>1573</v>
          </cell>
        </row>
        <row r="1118">
          <cell r="A1118" t="str">
            <v>NH Nong Nghiep va Phat Trien Nong Thon (AGRIBANK)</v>
          </cell>
          <cell r="D1118" t="str">
            <v>Vinh PhucNN&amp;PTNT Huyen Lap Thach</v>
          </cell>
          <cell r="E1118">
            <v>1455</v>
          </cell>
        </row>
        <row r="1119">
          <cell r="A1119" t="str">
            <v>NH Nong Nghiep va Phat Trien Nong Thon (AGRIBANK)</v>
          </cell>
          <cell r="D1119" t="str">
            <v>Vinh PhucNN&amp;PTNT Huyen Tam Dao</v>
          </cell>
          <cell r="E1119">
            <v>1513</v>
          </cell>
        </row>
        <row r="1120">
          <cell r="A1120" t="str">
            <v>NH Nong Nghiep va Phat Trien Nong Thon (AGRIBANK)</v>
          </cell>
          <cell r="D1120" t="str">
            <v>Hoa BinhNN&amp;PTNT Huyen Da Bac</v>
          </cell>
          <cell r="E1120">
            <v>1402</v>
          </cell>
        </row>
        <row r="1121">
          <cell r="A1121" t="str">
            <v>NH Nong Nghiep va Phat Trien Nong Thon (AGRIBANK)</v>
          </cell>
          <cell r="D1121" t="str">
            <v>Hoa BinhNN&amp;PTNT CN Phuong Lam</v>
          </cell>
          <cell r="E1121">
            <v>5192</v>
          </cell>
        </row>
        <row r="1122">
          <cell r="A1122" t="str">
            <v>NH Nong Nghiep va Phat Trien Nong Thon (AGRIBANK)</v>
          </cell>
          <cell r="D1122" t="str">
            <v>Hoa BinhNN&amp;PTNT Huyen Cao Phong</v>
          </cell>
          <cell r="E1122">
            <v>5193</v>
          </cell>
        </row>
        <row r="1123">
          <cell r="A1123" t="str">
            <v>NH Nong Nghiep va Phat Trien Nong Thon (AGRIBANK)</v>
          </cell>
          <cell r="D1123" t="str">
            <v>Hoa BinhNN&amp;PTNT Huyen Yen Thuy</v>
          </cell>
          <cell r="E1123">
            <v>1579</v>
          </cell>
        </row>
        <row r="1124">
          <cell r="A1124" t="str">
            <v>NH Nong Nghiep va Phat Trien Nong Thon (AGRIBANK)</v>
          </cell>
          <cell r="D1124" t="str">
            <v>Hoa BinhNN&amp;PTNT Tinh Hoa Binh</v>
          </cell>
          <cell r="E1124">
            <v>563</v>
          </cell>
        </row>
        <row r="1125">
          <cell r="A1125" t="str">
            <v>NH Nong Nghiep va Phat Trien Nong Thon (AGRIBANK)</v>
          </cell>
          <cell r="D1125" t="str">
            <v>Hoa BinhNN&amp;PTNT CN Song Da</v>
          </cell>
          <cell r="E1125">
            <v>3899</v>
          </cell>
        </row>
        <row r="1126">
          <cell r="A1126" t="str">
            <v>NH Nong Nghiep va Phat Trien Nong Thon (AGRIBANK)</v>
          </cell>
          <cell r="D1126" t="str">
            <v>Hoa BinhNN&amp;PTNT Huyen Kim Boi</v>
          </cell>
          <cell r="E1126">
            <v>1443</v>
          </cell>
        </row>
        <row r="1127">
          <cell r="A1127" t="str">
            <v>NH Nong Nghiep va Phat Trien Nong Thon (AGRIBANK)</v>
          </cell>
          <cell r="D1127" t="str">
            <v>Hoa BinhNN&amp;PTNT Huyen Ky Son</v>
          </cell>
          <cell r="E1127">
            <v>1449</v>
          </cell>
        </row>
        <row r="1128">
          <cell r="A1128" t="str">
            <v>NH Nong Nghiep va Phat Trien Nong Thon (AGRIBANK)</v>
          </cell>
          <cell r="D1128" t="str">
            <v>Hoa BinhNN&amp;PTNT Huyen Lac Son</v>
          </cell>
          <cell r="E1128">
            <v>1451</v>
          </cell>
        </row>
        <row r="1129">
          <cell r="A1129" t="str">
            <v>NH Nong Nghiep va Phat Trien Nong Thon (AGRIBANK)</v>
          </cell>
          <cell r="D1129" t="str">
            <v>Hoa BinhNN&amp;PTNT Huyen Lac Thuy</v>
          </cell>
          <cell r="E1129">
            <v>1452</v>
          </cell>
        </row>
        <row r="1130">
          <cell r="A1130" t="str">
            <v>NH Nong Nghiep va Phat Trien Nong Thon (AGRIBANK)</v>
          </cell>
          <cell r="D1130" t="str">
            <v>Hoa BinhNN&amp;PTNT Huyen Luong Son - Hoa Binh</v>
          </cell>
          <cell r="E1130">
            <v>1461</v>
          </cell>
        </row>
        <row r="1131">
          <cell r="A1131" t="str">
            <v>NH Nong Nghiep va Phat Trien Nong Thon (AGRIBANK)</v>
          </cell>
          <cell r="D1131" t="str">
            <v>Hoa BinhNN&amp;PTNT Huyen Mai Chau</v>
          </cell>
          <cell r="E1131">
            <v>1463</v>
          </cell>
        </row>
        <row r="1132">
          <cell r="A1132" t="str">
            <v>NH Nong Nghiep va Phat Trien Nong Thon (AGRIBANK)</v>
          </cell>
          <cell r="D1132" t="str">
            <v>Hoa BinhNN&amp;PTNT Huyen Tan Lac</v>
          </cell>
          <cell r="E1132">
            <v>1516</v>
          </cell>
        </row>
        <row r="1133">
          <cell r="A1133" t="str">
            <v>NH Nong Nghiep va Phat Trien Nong Thon (AGRIBANK)</v>
          </cell>
          <cell r="D1133" t="str">
            <v>Ha NamNN&amp;PTNT  Huyen Binh Luc</v>
          </cell>
          <cell r="E1133">
            <v>1383</v>
          </cell>
        </row>
        <row r="1134">
          <cell r="A1134" t="str">
            <v>NH Nong Nghiep va Phat Trien Nong Thon (AGRIBANK)</v>
          </cell>
          <cell r="D1134" t="str">
            <v>Ha NamNN&amp;PTNT TP Phu Ly</v>
          </cell>
          <cell r="E1134">
            <v>5175</v>
          </cell>
        </row>
        <row r="1135">
          <cell r="A1135" t="str">
            <v>NH Nong Nghiep va Phat Trien Nong Thon (AGRIBANK)</v>
          </cell>
          <cell r="D1135" t="str">
            <v>Ha NamNN&amp;PTNT Tinh Ha Nam</v>
          </cell>
          <cell r="E1135">
            <v>560</v>
          </cell>
        </row>
        <row r="1136">
          <cell r="A1136" t="str">
            <v>NH Nong Nghiep va Phat Trien Nong Thon (AGRIBANK)</v>
          </cell>
          <cell r="D1136" t="str">
            <v>Ha NamNN&amp;PTNT  Huyen Duy Tien</v>
          </cell>
          <cell r="E1136">
            <v>1413</v>
          </cell>
        </row>
        <row r="1137">
          <cell r="A1137" t="str">
            <v>NH Nong Nghiep va Phat Trien Nong Thon (AGRIBANK)</v>
          </cell>
          <cell r="D1137" t="str">
            <v>Ha NamNN&amp;PTNT  Huyen Kim Bang</v>
          </cell>
          <cell r="E1137">
            <v>1442</v>
          </cell>
        </row>
        <row r="1138">
          <cell r="A1138" t="str">
            <v>NH Nong Nghiep va Phat Trien Nong Thon (AGRIBANK)</v>
          </cell>
          <cell r="D1138" t="str">
            <v>Ha NamNN&amp;PTNT  Huyen Thanh Liem</v>
          </cell>
          <cell r="E1138">
            <v>1525</v>
          </cell>
        </row>
        <row r="1139">
          <cell r="A1139" t="str">
            <v>NH Nong Nghiep va Phat Trien Nong Thon (AGRIBANK)</v>
          </cell>
          <cell r="D1139" t="str">
            <v>Ha NamNN&amp;PTNT  Huyen Ly Nhan</v>
          </cell>
          <cell r="E1139">
            <v>1462</v>
          </cell>
        </row>
        <row r="1140">
          <cell r="A1140" t="str">
            <v>NH Nong Nghiep va Phat Trien Nong Thon (AGRIBANK)</v>
          </cell>
          <cell r="D1140" t="str">
            <v>Nam DinhNN&amp;PTNT Bac Nam Dinh</v>
          </cell>
          <cell r="E1140">
            <v>4670</v>
          </cell>
        </row>
        <row r="1141">
          <cell r="A1141" t="str">
            <v>NH Nong Nghiep va Phat Trien Nong Thon (AGRIBANK)</v>
          </cell>
          <cell r="D1141" t="str">
            <v>Nam DinhNN&amp;PTNT CN Thinh Long</v>
          </cell>
          <cell r="E1141">
            <v>4987</v>
          </cell>
        </row>
        <row r="1142">
          <cell r="A1142" t="str">
            <v>NH Nong Nghiep va Phat Trien Nong Thon (AGRIBANK)</v>
          </cell>
          <cell r="D1142" t="str">
            <v>Nam DinhNN&amp;PTNT Huyen My Loc</v>
          </cell>
          <cell r="E1142">
            <v>4988</v>
          </cell>
        </row>
        <row r="1143">
          <cell r="A1143" t="str">
            <v>NH Nong Nghiep va Phat Trien Nong Thon (AGRIBANK)</v>
          </cell>
          <cell r="D1143" t="str">
            <v>Nam DinhNN&amp;PTNT CN Dong Binh</v>
          </cell>
          <cell r="E1143">
            <v>4989</v>
          </cell>
        </row>
        <row r="1144">
          <cell r="A1144" t="str">
            <v>NH Nong Nghiep va Phat Trien Nong Thon (AGRIBANK)</v>
          </cell>
          <cell r="D1144" t="str">
            <v>Nam DinhNN&amp;PTNT CN Con</v>
          </cell>
          <cell r="E1144">
            <v>4990</v>
          </cell>
        </row>
        <row r="1145">
          <cell r="A1145" t="str">
            <v>NH Nong Nghiep va Phat Trien Nong Thon (AGRIBANK)</v>
          </cell>
          <cell r="D1145" t="str">
            <v>Nam DinhNN&amp;PTNT Huyen Vu Ban</v>
          </cell>
          <cell r="E1145">
            <v>1564</v>
          </cell>
        </row>
        <row r="1146">
          <cell r="A1146" t="str">
            <v>NH Nong Nghiep va Phat Trien Nong Thon (AGRIBANK)</v>
          </cell>
          <cell r="D1146" t="str">
            <v>Nam DinhNN&amp;PTNT Tinh Nam Dinh</v>
          </cell>
          <cell r="E1146">
            <v>571</v>
          </cell>
        </row>
        <row r="1147">
          <cell r="A1147" t="str">
            <v>NH Nong Nghiep va Phat Trien Nong Thon (AGRIBANK)</v>
          </cell>
          <cell r="D1147" t="str">
            <v>Nam DinhNN&amp;PTNT TP Nam Dinh</v>
          </cell>
          <cell r="E1147">
            <v>3369</v>
          </cell>
        </row>
        <row r="1148">
          <cell r="A1148" t="str">
            <v>NH Nong Nghiep va Phat Trien Nong Thon (AGRIBANK)</v>
          </cell>
          <cell r="D1148" t="str">
            <v>Nam DinhNN&amp;PTNT Thanh Nam</v>
          </cell>
          <cell r="E1148">
            <v>3459</v>
          </cell>
        </row>
        <row r="1149">
          <cell r="A1149" t="str">
            <v>NH Nong Nghiep va Phat Trien Nong Thon (AGRIBANK)</v>
          </cell>
          <cell r="D1149" t="str">
            <v>Nam DinhNN&amp;PTNT CN Nam Truc</v>
          </cell>
          <cell r="E1149">
            <v>2785</v>
          </cell>
        </row>
        <row r="1150">
          <cell r="A1150" t="str">
            <v>NH Nong Nghiep va Phat Trien Nong Thon (AGRIBANK)</v>
          </cell>
          <cell r="D1150" t="str">
            <v>Nam DinhNN&amp;PTNT Huyen Truc Ninh</v>
          </cell>
          <cell r="E1150">
            <v>3729</v>
          </cell>
        </row>
        <row r="1151">
          <cell r="A1151" t="str">
            <v>NH Nong Nghiep va Phat Trien Nong Thon (AGRIBANK)</v>
          </cell>
          <cell r="D1151" t="str">
            <v>Nam DinhNN&amp;PTNT Xuan Truong</v>
          </cell>
          <cell r="E1151">
            <v>3989</v>
          </cell>
        </row>
        <row r="1152">
          <cell r="A1152" t="str">
            <v>NH Nong Nghiep va Phat Trien Nong Thon (AGRIBANK)</v>
          </cell>
          <cell r="D1152" t="str">
            <v>Nam DinhNN&amp;PTNT Huyen Giao Thuy</v>
          </cell>
          <cell r="E1152">
            <v>3509</v>
          </cell>
        </row>
        <row r="1153">
          <cell r="A1153" t="str">
            <v>NH Nong Nghiep va Phat Trien Nong Thon (AGRIBANK)</v>
          </cell>
          <cell r="D1153" t="str">
            <v>Nam DinhNN&amp;PTNT Huyen Hai Hau</v>
          </cell>
          <cell r="E1153">
            <v>1421</v>
          </cell>
        </row>
        <row r="1154">
          <cell r="A1154" t="str">
            <v>NH Nong Nghiep va Phat Trien Nong Thon (AGRIBANK)</v>
          </cell>
          <cell r="D1154" t="str">
            <v>Nam DinhNN&amp;PTNT Huyen y Yen</v>
          </cell>
          <cell r="E1154">
            <v>1582</v>
          </cell>
        </row>
        <row r="1155">
          <cell r="A1155" t="str">
            <v>NH Nong Nghiep va Phat Trien Nong Thon (AGRIBANK)</v>
          </cell>
          <cell r="D1155" t="str">
            <v>Nam DinhNN&amp;PTNT Huyen Nghia Hung</v>
          </cell>
          <cell r="E1155">
            <v>1480</v>
          </cell>
        </row>
        <row r="1156">
          <cell r="A1156" t="str">
            <v>NH Nong Nghiep va Phat Trien Nong Thon (AGRIBANK)</v>
          </cell>
          <cell r="D1156" t="str">
            <v>Ninh BinhNN&amp;PTNT KV Ria Ninh Binh</v>
          </cell>
          <cell r="E1156">
            <v>5176</v>
          </cell>
        </row>
        <row r="1157">
          <cell r="A1157" t="str">
            <v>NH Nong Nghiep va Phat Trien Nong Thon (AGRIBANK)</v>
          </cell>
          <cell r="D1157" t="str">
            <v>Ninh BinhNN&amp;PTNT KV Binh Minh Ninh Binh</v>
          </cell>
          <cell r="E1157">
            <v>5177</v>
          </cell>
        </row>
        <row r="1158">
          <cell r="A1158" t="str">
            <v>NH Nong Nghiep va Phat Trien Nong Thon (AGRIBANK)</v>
          </cell>
          <cell r="D1158" t="str">
            <v>Ninh BinhNN&amp;PTNT KV Giang Khau Ninh Binh</v>
          </cell>
          <cell r="E1158">
            <v>5178</v>
          </cell>
        </row>
        <row r="1159">
          <cell r="A1159" t="str">
            <v>NH Nong Nghiep va Phat Trien Nong Thon (AGRIBANK)</v>
          </cell>
          <cell r="D1159" t="str">
            <v>Ninh BinhNN&amp;PTNT Huyen Yen Khanh</v>
          </cell>
          <cell r="E1159">
            <v>1572</v>
          </cell>
        </row>
        <row r="1160">
          <cell r="A1160" t="str">
            <v>NH Nong Nghiep va Phat Trien Nong Thon (AGRIBANK)</v>
          </cell>
          <cell r="D1160" t="str">
            <v>Ninh BinhNN&amp;PTNT Huyen Yen Mo</v>
          </cell>
          <cell r="E1160">
            <v>1575</v>
          </cell>
        </row>
        <row r="1161">
          <cell r="A1161" t="str">
            <v>NH Nong Nghiep va Phat Trien Nong Thon (AGRIBANK)</v>
          </cell>
          <cell r="D1161" t="str">
            <v>Ninh BinhNN&amp;PTNT Tinh Ninh Binh</v>
          </cell>
          <cell r="E1161">
            <v>572</v>
          </cell>
        </row>
        <row r="1162">
          <cell r="A1162" t="str">
            <v>NH Nong Nghiep va Phat Trien Nong Thon (AGRIBANK)</v>
          </cell>
          <cell r="D1162" t="str">
            <v>Ninh BinhNN&amp;PTNT Song Van</v>
          </cell>
          <cell r="E1162">
            <v>4067</v>
          </cell>
        </row>
        <row r="1163">
          <cell r="A1163" t="str">
            <v>NH Nong Nghiep va Phat Trien Nong Thon (AGRIBANK)</v>
          </cell>
          <cell r="D1163" t="str">
            <v>Ninh BinhNN&amp;PTNT Huyen Gia Vien</v>
          </cell>
          <cell r="E1163">
            <v>1415</v>
          </cell>
        </row>
        <row r="1164">
          <cell r="A1164" t="str">
            <v>NH Nong Nghiep va Phat Trien Nong Thon (AGRIBANK)</v>
          </cell>
          <cell r="D1164" t="str">
            <v>Ninh BinhNN&amp;PTNT Huyen Hoa Lu</v>
          </cell>
          <cell r="E1164">
            <v>1428</v>
          </cell>
        </row>
        <row r="1165">
          <cell r="A1165" t="str">
            <v>NH Nong Nghiep va Phat Trien Nong Thon (AGRIBANK)</v>
          </cell>
          <cell r="D1165" t="str">
            <v>Ninh BinhNN&amp;PTNT Huyen Kim Son</v>
          </cell>
          <cell r="E1165">
            <v>1446</v>
          </cell>
        </row>
        <row r="1166">
          <cell r="A1166" t="str">
            <v>NH Nong Nghiep va Phat Trien Nong Thon (AGRIBANK)</v>
          </cell>
          <cell r="D1166" t="str">
            <v>Ninh BinhNN&amp;PTNT TP Ninh Binh</v>
          </cell>
          <cell r="E1166">
            <v>1599</v>
          </cell>
        </row>
        <row r="1167">
          <cell r="A1167" t="str">
            <v>NH Nong Nghiep va Phat Trien Nong Thon (AGRIBANK)</v>
          </cell>
          <cell r="D1167" t="str">
            <v>Ninh BinhNN&amp;PTNT TP Tam Diep</v>
          </cell>
          <cell r="E1167">
            <v>1601</v>
          </cell>
        </row>
        <row r="1168">
          <cell r="A1168" t="str">
            <v>NH Nong Nghiep va Phat Trien Nong Thon (AGRIBANK)</v>
          </cell>
          <cell r="D1168" t="str">
            <v>Ninh BinhNN&amp;PTNT Huyen Nho Quan</v>
          </cell>
          <cell r="E1168">
            <v>1483</v>
          </cell>
        </row>
        <row r="1169">
          <cell r="A1169" t="str">
            <v>NH Nong Nghiep va Phat Trien Nong Thon (AGRIBANK)</v>
          </cell>
          <cell r="D1169" t="str">
            <v>Thai BinhNN&amp;PTNT CN Khu vuc I</v>
          </cell>
          <cell r="E1169">
            <v>4986</v>
          </cell>
        </row>
        <row r="1170">
          <cell r="A1170" t="str">
            <v>NH Nong Nghiep va Phat Trien Nong Thon (AGRIBANK)</v>
          </cell>
          <cell r="D1170" t="str">
            <v>Thai BinhNN&amp;PTNT Huyen Vu Thu</v>
          </cell>
          <cell r="E1170">
            <v>1565</v>
          </cell>
        </row>
        <row r="1171">
          <cell r="A1171" t="str">
            <v>NH Nong Nghiep va Phat Trien Nong Thon (AGRIBANK)</v>
          </cell>
          <cell r="D1171" t="str">
            <v>Thai BinhNN&amp;PTNT TP Thai Binh</v>
          </cell>
          <cell r="E1171">
            <v>583</v>
          </cell>
        </row>
        <row r="1172">
          <cell r="A1172" t="str">
            <v>NH Nong Nghiep va Phat Trien Nong Thon (AGRIBANK)</v>
          </cell>
          <cell r="D1172" t="str">
            <v>Thai BinhNN&amp;PTNT Tinh Thai Binh</v>
          </cell>
          <cell r="E1172">
            <v>3375</v>
          </cell>
        </row>
        <row r="1173">
          <cell r="A1173" t="str">
            <v>NH Nong Nghiep va Phat Trien Nong Thon (AGRIBANK)</v>
          </cell>
          <cell r="D1173" t="str">
            <v>Thai BinhNN&amp;PTNT Huyen Dong Hung</v>
          </cell>
          <cell r="E1173">
            <v>1409</v>
          </cell>
        </row>
        <row r="1174">
          <cell r="A1174" t="str">
            <v>NH Nong Nghiep va Phat Trien Nong Thon (AGRIBANK)</v>
          </cell>
          <cell r="D1174" t="str">
            <v>Thai BinhNN&amp;PTNT Huyen Hung Ha</v>
          </cell>
          <cell r="E1174">
            <v>1432</v>
          </cell>
        </row>
        <row r="1175">
          <cell r="A1175" t="str">
            <v>NH Nong Nghiep va Phat Trien Nong Thon (AGRIBANK)</v>
          </cell>
          <cell r="D1175" t="str">
            <v>Thai BinhNN&amp;PTNT Huyen Kien Xuong</v>
          </cell>
          <cell r="E1175">
            <v>1441</v>
          </cell>
        </row>
        <row r="1176">
          <cell r="A1176" t="str">
            <v>NH Nong Nghiep va Phat Trien Nong Thon (AGRIBANK)</v>
          </cell>
          <cell r="D1176" t="str">
            <v>Thai BinhNN&amp;PTNT Huyen Thai Thuy</v>
          </cell>
          <cell r="E1176">
            <v>1522</v>
          </cell>
        </row>
        <row r="1177">
          <cell r="A1177" t="str">
            <v>NH Nong Nghiep va Phat Trien Nong Thon (AGRIBANK)</v>
          </cell>
          <cell r="D1177" t="str">
            <v>Thai BinhNN&amp;PTNT Huyen Tien Hai</v>
          </cell>
          <cell r="E1177">
            <v>1537</v>
          </cell>
        </row>
        <row r="1178">
          <cell r="A1178" t="str">
            <v>NH Nong Nghiep va Phat Trien Nong Thon (AGRIBANK)</v>
          </cell>
          <cell r="D1178" t="str">
            <v>Thai BinhNN&amp;PTNT Huyen Quynh Phu</v>
          </cell>
          <cell r="E1178">
            <v>1507</v>
          </cell>
        </row>
        <row r="1179">
          <cell r="A1179" t="str">
            <v>NH Nong Nghiep va Phat Trien Nong Thon (AGRIBANK)</v>
          </cell>
          <cell r="D1179" t="str">
            <v>Thanh HoaNN&amp;PTNT Huyen Ba Thuoc</v>
          </cell>
          <cell r="E1179">
            <v>1373</v>
          </cell>
        </row>
        <row r="1180">
          <cell r="A1180" t="str">
            <v>NH Nong Nghiep va Phat Trien Nong Thon (AGRIBANK)</v>
          </cell>
          <cell r="D1180" t="str">
            <v>Thanh HoaNN&amp;PTNT Huyen Cam Thuy</v>
          </cell>
          <cell r="E1180">
            <v>1388</v>
          </cell>
        </row>
        <row r="1181">
          <cell r="A1181" t="str">
            <v>NH Nong Nghiep va Phat Trien Nong Thon (AGRIBANK)</v>
          </cell>
          <cell r="D1181" t="str">
            <v>Thanh HoaNN&amp;PTNT CN Lam Son</v>
          </cell>
          <cell r="E1181">
            <v>4991</v>
          </cell>
        </row>
        <row r="1182">
          <cell r="A1182" t="str">
            <v>NH Nong Nghiep va Phat Trien Nong Thon (AGRIBANK)</v>
          </cell>
          <cell r="D1182" t="str">
            <v>Thanh HoaNN&amp;PTNT CN So 2</v>
          </cell>
          <cell r="E1182">
            <v>4992</v>
          </cell>
        </row>
        <row r="1183">
          <cell r="A1183" t="str">
            <v>NH Nong Nghiep va Phat Trien Nong Thon (AGRIBANK)</v>
          </cell>
          <cell r="D1183" t="str">
            <v>Thanh HoaNN&amp;PTNT Huyen Nhu Thanh</v>
          </cell>
          <cell r="E1183">
            <v>4993</v>
          </cell>
        </row>
        <row r="1184">
          <cell r="A1184" t="str">
            <v>NH Nong Nghiep va Phat Trien Nong Thon (AGRIBANK)</v>
          </cell>
          <cell r="D1184" t="str">
            <v>Thanh HoaNN&amp;PTNT TX Bim Son</v>
          </cell>
          <cell r="E1184">
            <v>4994</v>
          </cell>
        </row>
        <row r="1185">
          <cell r="A1185" t="str">
            <v>NH Nong Nghiep va Phat Trien Nong Thon (AGRIBANK)</v>
          </cell>
          <cell r="D1185" t="str">
            <v>Thanh HoaNN&amp;PTNT CN So 3</v>
          </cell>
          <cell r="E1185">
            <v>4995</v>
          </cell>
        </row>
        <row r="1186">
          <cell r="A1186" t="str">
            <v>NH Nong Nghiep va Phat Trien Nong Thon (AGRIBANK)</v>
          </cell>
          <cell r="D1186" t="str">
            <v>Thanh HoaNN&amp;PTNT CN So 4</v>
          </cell>
          <cell r="E1186">
            <v>4996</v>
          </cell>
        </row>
        <row r="1187">
          <cell r="A1187" t="str">
            <v>NH Nong Nghiep va Phat Trien Nong Thon (AGRIBANK)</v>
          </cell>
          <cell r="D1187" t="str">
            <v>Thanh HoaNN&amp;PTNT CN Ba Dinh</v>
          </cell>
          <cell r="E1187">
            <v>4997</v>
          </cell>
        </row>
        <row r="1188">
          <cell r="A1188" t="str">
            <v>NH Nong Nghiep va Phat Trien Nong Thon (AGRIBANK)</v>
          </cell>
          <cell r="D1188" t="str">
            <v>Thanh HoaNN&amp;PTNT TP Thanh Hoa</v>
          </cell>
          <cell r="E1188">
            <v>4998</v>
          </cell>
        </row>
        <row r="1189">
          <cell r="A1189" t="str">
            <v>NH Nong Nghiep va Phat Trien Nong Thon (AGRIBANK)</v>
          </cell>
          <cell r="D1189" t="str">
            <v>Thanh HoaNN&amp;PTNT Huyen Muong Lat</v>
          </cell>
          <cell r="E1189">
            <v>4999</v>
          </cell>
        </row>
        <row r="1190">
          <cell r="A1190" t="str">
            <v>NH Nong Nghiep va Phat Trien Nong Thon (AGRIBANK)</v>
          </cell>
          <cell r="D1190" t="str">
            <v>Thanh HoaNN&amp;PTNT Huyen Quan Son</v>
          </cell>
          <cell r="E1190">
            <v>5000</v>
          </cell>
        </row>
        <row r="1191">
          <cell r="A1191" t="str">
            <v>NH Nong Nghiep va Phat Trien Nong Thon (AGRIBANK)</v>
          </cell>
          <cell r="D1191" t="str">
            <v>Thanh HoaNN&amp;PTNT Huyen Nga Son</v>
          </cell>
          <cell r="E1191">
            <v>3797</v>
          </cell>
        </row>
        <row r="1192">
          <cell r="A1192" t="str">
            <v>NH Nong Nghiep va Phat Trien Nong Thon (AGRIBANK)</v>
          </cell>
          <cell r="D1192" t="str">
            <v>Thanh HoaNN&amp;PTNT Nghi Son</v>
          </cell>
          <cell r="E1192">
            <v>3738</v>
          </cell>
        </row>
        <row r="1193">
          <cell r="A1193" t="str">
            <v>NH Nong Nghiep va Phat Trien Nong Thon (AGRIBANK)</v>
          </cell>
          <cell r="D1193" t="str">
            <v>Thanh HoaNN&amp;PTNT Huyen Yen Dinh</v>
          </cell>
          <cell r="E1193">
            <v>1569</v>
          </cell>
        </row>
        <row r="1194">
          <cell r="A1194" t="str">
            <v>NH Nong Nghiep va Phat Trien Nong Thon (AGRIBANK)</v>
          </cell>
          <cell r="D1194" t="str">
            <v>Thanh HoaNN&amp;PTNT Tinh Thanh Hoa</v>
          </cell>
          <cell r="E1194">
            <v>584</v>
          </cell>
        </row>
        <row r="1195">
          <cell r="A1195" t="str">
            <v>NH Nong Nghiep va Phat Trien Nong Thon (AGRIBANK)</v>
          </cell>
          <cell r="D1195" t="str">
            <v>Thanh HoaNN&amp;PTNT Huyen Dong Son</v>
          </cell>
          <cell r="E1195">
            <v>1410</v>
          </cell>
        </row>
        <row r="1196">
          <cell r="A1196" t="str">
            <v>NH Nong Nghiep va Phat Trien Nong Thon (AGRIBANK)</v>
          </cell>
          <cell r="D1196" t="str">
            <v>Thanh HoaNN&amp;PTNT Huyen Ha Trung</v>
          </cell>
          <cell r="E1196">
            <v>1420</v>
          </cell>
        </row>
        <row r="1197">
          <cell r="A1197" t="str">
            <v>NH Nong Nghiep va Phat Trien Nong Thon (AGRIBANK)</v>
          </cell>
          <cell r="D1197" t="str">
            <v>Thanh HoaNN&amp;PTNT Huyen Hau Loc</v>
          </cell>
          <cell r="E1197">
            <v>1425</v>
          </cell>
        </row>
        <row r="1198">
          <cell r="A1198" t="str">
            <v>NH Nong Nghiep va Phat Trien Nong Thon (AGRIBANK)</v>
          </cell>
          <cell r="D1198" t="str">
            <v>Thanh HoaNN&amp;PTNT Huyen Hoang Hoa</v>
          </cell>
          <cell r="E1198">
            <v>1430</v>
          </cell>
        </row>
        <row r="1199">
          <cell r="A1199" t="str">
            <v>NH Nong Nghiep va Phat Trien Nong Thon (AGRIBANK)</v>
          </cell>
          <cell r="D1199" t="str">
            <v>Thanh HoaNN&amp;PTNT Huyen Thach Thanh</v>
          </cell>
          <cell r="E1199">
            <v>1520</v>
          </cell>
        </row>
        <row r="1200">
          <cell r="A1200" t="str">
            <v>NH Nong Nghiep va Phat Trien Nong Thon (AGRIBANK)</v>
          </cell>
          <cell r="D1200" t="str">
            <v>Thanh HoaNN&amp;PTNT Huyen Thieu Hoa</v>
          </cell>
          <cell r="E1200">
            <v>1529</v>
          </cell>
        </row>
        <row r="1201">
          <cell r="A1201" t="str">
            <v>NH Nong Nghiep va Phat Trien Nong Thon (AGRIBANK)</v>
          </cell>
          <cell r="D1201" t="str">
            <v>Thanh HoaNN&amp;PTNT Huyen Trieu Son</v>
          </cell>
          <cell r="E1201">
            <v>1530</v>
          </cell>
        </row>
        <row r="1202">
          <cell r="A1202" t="str">
            <v>NH Nong Nghiep va Phat Trien Nong Thon (AGRIBANK)</v>
          </cell>
          <cell r="D1202" t="str">
            <v>Thanh HoaNN&amp;PTNT Huyen Tho Xuan</v>
          </cell>
          <cell r="E1202">
            <v>1531</v>
          </cell>
        </row>
        <row r="1203">
          <cell r="A1203" t="str">
            <v>NH Nong Nghiep va Phat Trien Nong Thon (AGRIBANK)</v>
          </cell>
          <cell r="D1203" t="str">
            <v>Thanh HoaNN&amp;PTNT Huyen Thuong Xuan</v>
          </cell>
          <cell r="E1203">
            <v>1535</v>
          </cell>
        </row>
        <row r="1204">
          <cell r="A1204" t="str">
            <v>NH Nong Nghiep va Phat Trien Nong Thon (AGRIBANK)</v>
          </cell>
          <cell r="D1204" t="str">
            <v>Thanh HoaNN&amp;PTNT Huyen Tinh Gia</v>
          </cell>
          <cell r="E1204">
            <v>1540</v>
          </cell>
        </row>
        <row r="1205">
          <cell r="A1205" t="str">
            <v>NH Nong Nghiep va Phat Trien Nong Thon (AGRIBANK)</v>
          </cell>
          <cell r="D1205" t="str">
            <v>Thanh HoaNN&amp;PTNT Huyen Vinh Loc</v>
          </cell>
          <cell r="E1205">
            <v>1562</v>
          </cell>
        </row>
        <row r="1206">
          <cell r="A1206" t="str">
            <v>NH Nong Nghiep va Phat Trien Nong Thon (AGRIBANK)</v>
          </cell>
          <cell r="D1206" t="str">
            <v>Thanh HoaNN&amp;PTNT Huyen Lang Chanh</v>
          </cell>
          <cell r="E1206">
            <v>1453</v>
          </cell>
        </row>
        <row r="1207">
          <cell r="A1207" t="str">
            <v>NH Nong Nghiep va Phat Trien Nong Thon (AGRIBANK)</v>
          </cell>
          <cell r="D1207" t="str">
            <v>Thanh HoaNN&amp;PTNT Sam Son Thanh Hoa</v>
          </cell>
          <cell r="E1207">
            <v>1477</v>
          </cell>
        </row>
        <row r="1208">
          <cell r="A1208" t="str">
            <v>NH Nong Nghiep va Phat Trien Nong Thon (AGRIBANK)</v>
          </cell>
          <cell r="D1208" t="str">
            <v>Thanh HoaNN&amp;PTNT Huyen Ngoc Lac</v>
          </cell>
          <cell r="E1208">
            <v>1481</v>
          </cell>
        </row>
        <row r="1209">
          <cell r="A1209" t="str">
            <v>NH Nong Nghiep va Phat Trien Nong Thon (AGRIBANK)</v>
          </cell>
          <cell r="D1209" t="str">
            <v>Thanh HoaNN&amp;PTNT Huyen Nhu Xuan</v>
          </cell>
          <cell r="E1209">
            <v>1485</v>
          </cell>
        </row>
        <row r="1210">
          <cell r="A1210" t="str">
            <v>NH Nong Nghiep va Phat Trien Nong Thon (AGRIBANK)</v>
          </cell>
          <cell r="D1210" t="str">
            <v>Thanh HoaNN&amp;PTNT Huyen Nong Cong</v>
          </cell>
          <cell r="E1210">
            <v>1487</v>
          </cell>
        </row>
        <row r="1211">
          <cell r="A1211" t="str">
            <v>NH Nong Nghiep va Phat Trien Nong Thon (AGRIBANK)</v>
          </cell>
          <cell r="D1211" t="str">
            <v>Thanh HoaNN&amp;PTNT Huyen Quan Hoa</v>
          </cell>
          <cell r="E1211">
            <v>1495</v>
          </cell>
        </row>
        <row r="1212">
          <cell r="A1212" t="str">
            <v>NH Nong Nghiep va Phat Trien Nong Thon (AGRIBANK)</v>
          </cell>
          <cell r="D1212" t="str">
            <v>Thanh HoaNN&amp;PTNT Huyen Quang Xuong</v>
          </cell>
          <cell r="E1212">
            <v>1500</v>
          </cell>
        </row>
        <row r="1213">
          <cell r="A1213" t="str">
            <v>NH Nong Nghiep va Phat Trien Nong Thon (AGRIBANK)</v>
          </cell>
          <cell r="D1213" t="str">
            <v>Nghe AnNN&amp;PTNT CN Hoang Mai</v>
          </cell>
          <cell r="E1213">
            <v>4952</v>
          </cell>
        </row>
        <row r="1214">
          <cell r="A1214" t="str">
            <v>NH Nong Nghiep va Phat Trien Nong Thon (AGRIBANK)</v>
          </cell>
          <cell r="D1214" t="str">
            <v>Nghe AnNN&amp;PTNT Huyen Nam Dan</v>
          </cell>
          <cell r="E1214">
            <v>4953</v>
          </cell>
        </row>
        <row r="1215">
          <cell r="A1215" t="str">
            <v>NH Nong Nghiep va Phat Trien Nong Thon (AGRIBANK)</v>
          </cell>
          <cell r="D1215" t="str">
            <v>Nghe AnNN&amp;PTNT Thi Xa Thai Hoa</v>
          </cell>
          <cell r="E1215">
            <v>4032</v>
          </cell>
        </row>
        <row r="1216">
          <cell r="A1216" t="str">
            <v>NH Nong Nghiep va Phat Trien Nong Thon (AGRIBANK)</v>
          </cell>
          <cell r="D1216" t="str">
            <v>Nghe AnNN&amp;PTNT Huyen Nghia Dan</v>
          </cell>
          <cell r="E1216">
            <v>1479</v>
          </cell>
        </row>
        <row r="1217">
          <cell r="A1217" t="str">
            <v>NH Nong Nghiep va Phat Trien Nong Thon (AGRIBANK)</v>
          </cell>
          <cell r="D1217" t="str">
            <v>Nghe AnNN&amp;PTNT Huyen Yen Thanh</v>
          </cell>
          <cell r="E1217">
            <v>1577</v>
          </cell>
        </row>
        <row r="1218">
          <cell r="A1218" t="str">
            <v>NH Nong Nghiep va Phat Trien Nong Thon (AGRIBANK)</v>
          </cell>
          <cell r="D1218" t="str">
            <v>Nghe AnNN&amp;PTNT TP Vinh</v>
          </cell>
          <cell r="E1218">
            <v>529</v>
          </cell>
        </row>
        <row r="1219">
          <cell r="A1219" t="str">
            <v>NH Nong Nghiep va Phat Trien Nong Thon (AGRIBANK)</v>
          </cell>
          <cell r="D1219" t="str">
            <v>Nghe AnNN&amp;PTNT Huyen Nghi Loc</v>
          </cell>
          <cell r="E1219">
            <v>4075</v>
          </cell>
        </row>
        <row r="1220">
          <cell r="A1220" t="str">
            <v>NH Nong Nghiep va Phat Trien Nong Thon (AGRIBANK)</v>
          </cell>
          <cell r="D1220" t="str">
            <v>Nghe AnNN&amp;PTNT Huyen Hung Nguyen</v>
          </cell>
          <cell r="E1220">
            <v>1433</v>
          </cell>
        </row>
        <row r="1221">
          <cell r="A1221" t="str">
            <v>NH Nong Nghiep va Phat Trien Nong Thon (AGRIBANK)</v>
          </cell>
          <cell r="D1221" t="str">
            <v>Nghe AnNN&amp;PTNT Huyen Ky Son</v>
          </cell>
          <cell r="E1221">
            <v>1450</v>
          </cell>
        </row>
        <row r="1222">
          <cell r="A1222" t="str">
            <v>NH Nong Nghiep va Phat Trien Nong Thon (AGRIBANK)</v>
          </cell>
          <cell r="D1222" t="str">
            <v>Nghe AnNN&amp;PTNT Huyen Tuong Duong</v>
          </cell>
          <cell r="E1222">
            <v>1551</v>
          </cell>
        </row>
        <row r="1223">
          <cell r="A1223" t="str">
            <v>NH Nong Nghiep va Phat Trien Nong Thon (AGRIBANK)</v>
          </cell>
          <cell r="D1223" t="str">
            <v>Nghe AnNN&amp;PTNT Nghe An</v>
          </cell>
          <cell r="E1223">
            <v>1604</v>
          </cell>
        </row>
        <row r="1224">
          <cell r="A1224" t="str">
            <v>NH Nong Nghiep va Phat Trien Nong Thon (AGRIBANK)</v>
          </cell>
          <cell r="D1224" t="str">
            <v>Nghe AnNN&amp;PTNT Huyen Que Phong</v>
          </cell>
          <cell r="E1224">
            <v>1501</v>
          </cell>
        </row>
        <row r="1225">
          <cell r="A1225" t="str">
            <v>NH Nong Nghiep va Phat Trien Nong Thon (AGRIBANK)</v>
          </cell>
          <cell r="D1225" t="str">
            <v>Nghe AnNN&amp;PTNT Huyen Quy Chau</v>
          </cell>
          <cell r="E1225">
            <v>1503</v>
          </cell>
        </row>
        <row r="1226">
          <cell r="A1226" t="str">
            <v>NH Nong Nghiep va Phat Trien Nong Thon (AGRIBANK)</v>
          </cell>
          <cell r="D1226" t="str">
            <v>Nghe AnNN&amp;PTNT Huyen Quy Hop</v>
          </cell>
          <cell r="E1226">
            <v>1504</v>
          </cell>
        </row>
        <row r="1227">
          <cell r="A1227" t="str">
            <v>NH Nong Nghiep va Phat Trien Nong Thon (AGRIBANK)</v>
          </cell>
          <cell r="D1227" t="str">
            <v>Nghe AnNN&amp;PTNT Huyen Quynh Luu</v>
          </cell>
          <cell r="E1227">
            <v>1505</v>
          </cell>
        </row>
        <row r="1228">
          <cell r="A1228" t="str">
            <v>NH Nong Nghiep va Phat Trien Nong Thon (AGRIBANK)</v>
          </cell>
          <cell r="D1228" t="str">
            <v>Nghe AnNN&amp;PTNT Huyen Tan Ky</v>
          </cell>
          <cell r="E1228">
            <v>1515</v>
          </cell>
        </row>
        <row r="1229">
          <cell r="A1229" t="str">
            <v>NH Nong Nghiep va Phat Trien Nong Thon (AGRIBANK)</v>
          </cell>
          <cell r="D1229" t="str">
            <v>Nghe AnNN&amp;PTNT Huyen Thanh Chuong</v>
          </cell>
          <cell r="E1229">
            <v>1365</v>
          </cell>
        </row>
        <row r="1230">
          <cell r="A1230" t="str">
            <v>NH Nong Nghiep va Phat Trien Nong Thon (AGRIBANK)</v>
          </cell>
          <cell r="D1230" t="str">
            <v>Nghe AnNN&amp;PTNT Huyen Anh Son</v>
          </cell>
          <cell r="E1230">
            <v>1370</v>
          </cell>
        </row>
        <row r="1231">
          <cell r="A1231" t="str">
            <v>NH Nong Nghiep va Phat Trien Nong Thon (AGRIBANK)</v>
          </cell>
          <cell r="D1231" t="str">
            <v>Nghe AnNN&amp;PTNT Huyen Con Cuong</v>
          </cell>
          <cell r="E1231">
            <v>1400</v>
          </cell>
        </row>
        <row r="1232">
          <cell r="A1232" t="str">
            <v>NH Nong Nghiep va Phat Trien Nong Thon (AGRIBANK)</v>
          </cell>
          <cell r="D1232" t="str">
            <v>Nghe AnNN&amp;PTNT Thi Xa Cua Lo</v>
          </cell>
          <cell r="E1232">
            <v>1401</v>
          </cell>
        </row>
        <row r="1233">
          <cell r="A1233" t="str">
            <v>NH Nong Nghiep va Phat Trien Nong Thon (AGRIBANK)</v>
          </cell>
          <cell r="D1233" t="str">
            <v>Nghe AnNN&amp;PTNT Huyen Dien Chau</v>
          </cell>
          <cell r="E1233">
            <v>1404</v>
          </cell>
        </row>
        <row r="1234">
          <cell r="A1234" t="str">
            <v>NH Nong Nghiep va Phat Trien Nong Thon (AGRIBANK)</v>
          </cell>
          <cell r="D1234" t="str">
            <v>Nghe AnNN&amp;PTNT Huyen Do Luong</v>
          </cell>
          <cell r="E1234">
            <v>1406</v>
          </cell>
        </row>
        <row r="1235">
          <cell r="A1235" t="str">
            <v>NH Nong Nghiep va Phat Trien Nong Thon (AGRIBANK)</v>
          </cell>
          <cell r="D1235" t="str">
            <v>Ha TinhNN&amp;PTNT Huyen Can Loc</v>
          </cell>
          <cell r="E1235">
            <v>1390</v>
          </cell>
        </row>
        <row r="1236">
          <cell r="A1236" t="str">
            <v>NH Nong Nghiep va Phat Trien Nong Thon (AGRIBANK)</v>
          </cell>
          <cell r="D1236" t="str">
            <v>Ha TinhNN&amp;PTNT Huyen Cam Xuyen</v>
          </cell>
          <cell r="E1236">
            <v>1389</v>
          </cell>
        </row>
        <row r="1237">
          <cell r="A1237" t="str">
            <v>NH Nong Nghiep va Phat Trien Nong Thon (AGRIBANK)</v>
          </cell>
          <cell r="D1237" t="str">
            <v>Ha TinhNN&amp;PTNT Huyen Nghi Xuan</v>
          </cell>
          <cell r="E1237">
            <v>1478</v>
          </cell>
        </row>
        <row r="1238">
          <cell r="A1238" t="str">
            <v>NH Nong Nghiep va Phat Trien Nong Thon (AGRIBANK)</v>
          </cell>
          <cell r="D1238" t="str">
            <v>Ha TinhNN&amp;PTNT Thi Xa Hong Linh</v>
          </cell>
          <cell r="E1238">
            <v>1597</v>
          </cell>
        </row>
        <row r="1239">
          <cell r="A1239" t="str">
            <v>NH Nong Nghiep va Phat Trien Nong Thon (AGRIBANK)</v>
          </cell>
          <cell r="D1239" t="str">
            <v>Ha TinhNN&amp;PTNT Huyen Thach Ha</v>
          </cell>
          <cell r="E1239">
            <v>1519</v>
          </cell>
        </row>
        <row r="1240">
          <cell r="A1240" t="str">
            <v>NH Nong Nghiep va Phat Trien Nong Thon (AGRIBANK)</v>
          </cell>
          <cell r="D1240" t="str">
            <v>Ha TinhNN&amp;PTNT Huyen Ky Anh</v>
          </cell>
          <cell r="E1240">
            <v>1447</v>
          </cell>
        </row>
        <row r="1241">
          <cell r="A1241" t="str">
            <v>NH Nong Nghiep va Phat Trien Nong Thon (AGRIBANK)</v>
          </cell>
          <cell r="D1241" t="str">
            <v>Ha TinhNN&amp;PTNT Huyen Huong Son</v>
          </cell>
          <cell r="E1241">
            <v>1436</v>
          </cell>
        </row>
        <row r="1242">
          <cell r="A1242" t="str">
            <v>NH Nong Nghiep va Phat Trien Nong Thon (AGRIBANK)</v>
          </cell>
          <cell r="D1242" t="str">
            <v>Ha TinhNN&amp;PTNT Huyen Huong Khe</v>
          </cell>
          <cell r="E1242">
            <v>1435</v>
          </cell>
        </row>
        <row r="1243">
          <cell r="A1243" t="str">
            <v>NH Nong Nghiep va Phat Trien Nong Thon (AGRIBANK)</v>
          </cell>
          <cell r="D1243" t="str">
            <v>Ha TinhNN&amp;PTNT Huyen Duc Tho</v>
          </cell>
          <cell r="E1243">
            <v>1412</v>
          </cell>
        </row>
        <row r="1244">
          <cell r="A1244" t="str">
            <v>NH Nong Nghiep va Phat Trien Nong Thon (AGRIBANK)</v>
          </cell>
          <cell r="D1244" t="str">
            <v>Ha TinhNN&amp;PTNT Ha Tinh</v>
          </cell>
          <cell r="E1244">
            <v>610</v>
          </cell>
        </row>
        <row r="1245">
          <cell r="A1245" t="str">
            <v>NH Nong Nghiep va Phat Trien Nong Thon (AGRIBANK)</v>
          </cell>
          <cell r="D1245" t="str">
            <v>Ha TinhNN&amp;PTNT CN Tay Son - Ha Tinh</v>
          </cell>
          <cell r="E1245">
            <v>3560</v>
          </cell>
        </row>
        <row r="1246">
          <cell r="A1246" t="str">
            <v>NH Nong Nghiep va Phat Trien Nong Thon (AGRIBANK)</v>
          </cell>
          <cell r="D1246" t="str">
            <v>Ha TinhNN&amp;PTNT TP Ha Tinh</v>
          </cell>
          <cell r="E1246">
            <v>5097</v>
          </cell>
        </row>
        <row r="1247">
          <cell r="A1247" t="str">
            <v>NH Nong Nghiep va Phat Trien Nong Thon (AGRIBANK)</v>
          </cell>
          <cell r="D1247" t="str">
            <v>Ha TinhNN&amp;PTNT Huyen Loc Ha</v>
          </cell>
          <cell r="E1247">
            <v>5098</v>
          </cell>
        </row>
        <row r="1248">
          <cell r="A1248" t="str">
            <v>NH Nong Nghiep va Phat Trien Nong Thon (AGRIBANK)</v>
          </cell>
          <cell r="D1248" t="str">
            <v>Ha TinhNN&amp;PTNT CN Voi</v>
          </cell>
          <cell r="E1248">
            <v>5099</v>
          </cell>
        </row>
        <row r="1249">
          <cell r="A1249" t="str">
            <v>NH Nong Nghiep va Phat Trien Nong Thon (AGRIBANK)</v>
          </cell>
          <cell r="D1249" t="str">
            <v>Ha TinhNN&amp;PTNT Huyen Vu Quang</v>
          </cell>
          <cell r="E1249">
            <v>5100</v>
          </cell>
        </row>
        <row r="1250">
          <cell r="A1250" t="str">
            <v>NH Nong Nghiep va Phat Trien Nong Thon (AGRIBANK)</v>
          </cell>
          <cell r="D1250" t="str">
            <v>Ha TinhNN&amp;PTNT CN Thanh Sen</v>
          </cell>
          <cell r="E1250">
            <v>5101</v>
          </cell>
        </row>
        <row r="1251">
          <cell r="A1251" t="str">
            <v>NH Nong Nghiep va Phat Trien Nong Thon (AGRIBANK)</v>
          </cell>
          <cell r="D1251" t="str">
            <v>Ha TinhNN&amp;PTNT CN Khu KT Vung Ang</v>
          </cell>
          <cell r="E1251">
            <v>5102</v>
          </cell>
        </row>
        <row r="1252">
          <cell r="A1252" t="str">
            <v>NH Nong Nghiep va Phat Trien Nong Thon (AGRIBANK)</v>
          </cell>
          <cell r="D1252" t="str">
            <v>Quang BinhNN&amp;PTNT CN Quang Trung</v>
          </cell>
          <cell r="E1252">
            <v>5001</v>
          </cell>
        </row>
        <row r="1253">
          <cell r="A1253" t="str">
            <v>NH Nong Nghiep va Phat Trien Nong Thon (AGRIBANK)</v>
          </cell>
          <cell r="D1253" t="str">
            <v>Quang BinhNN&amp;PTNT CN Tran Hung Dao</v>
          </cell>
          <cell r="E1253">
            <v>3984</v>
          </cell>
        </row>
        <row r="1254">
          <cell r="A1254" t="str">
            <v>NH Nong Nghiep va Phat Trien Nong Thon (AGRIBANK)</v>
          </cell>
          <cell r="D1254" t="str">
            <v>Quang BinhNN&amp;PTNT Huyen Le Thuy</v>
          </cell>
          <cell r="E1254">
            <v>1456</v>
          </cell>
        </row>
        <row r="1255">
          <cell r="A1255" t="str">
            <v>NH Nong Nghiep va Phat Trien Nong Thon (AGRIBANK)</v>
          </cell>
          <cell r="D1255" t="str">
            <v>Quang BinhNN&amp;PTNT Huyen Tuyen Hoa</v>
          </cell>
          <cell r="E1255">
            <v>1552</v>
          </cell>
        </row>
        <row r="1256">
          <cell r="A1256" t="str">
            <v>NH Nong Nghiep va Phat Trien Nong Thon (AGRIBANK)</v>
          </cell>
          <cell r="D1256" t="str">
            <v>Quang BinhNN&amp;PTNT Quang Binh</v>
          </cell>
          <cell r="E1256">
            <v>631</v>
          </cell>
        </row>
        <row r="1257">
          <cell r="A1257" t="str">
            <v>NH Nong Nghiep va Phat Trien Nong Thon (AGRIBANK)</v>
          </cell>
          <cell r="D1257" t="str">
            <v>Quang BinhNN&amp;PTNT Huyen Bo Trach</v>
          </cell>
          <cell r="E1257">
            <v>1384</v>
          </cell>
        </row>
        <row r="1258">
          <cell r="A1258" t="str">
            <v>NH Nong Nghiep va Phat Trien Nong Thon (AGRIBANK)</v>
          </cell>
          <cell r="D1258" t="str">
            <v>Quang BinhNN&amp;PTNT Huyen Quang Trach</v>
          </cell>
          <cell r="E1258">
            <v>1499</v>
          </cell>
        </row>
        <row r="1259">
          <cell r="A1259" t="str">
            <v>NH Nong Nghiep va Phat Trien Nong Thon (AGRIBANK)</v>
          </cell>
          <cell r="D1259" t="str">
            <v>Quang BinhNN&amp;PTNT CN Ly Thai To</v>
          </cell>
          <cell r="E1259">
            <v>5004</v>
          </cell>
        </row>
        <row r="1260">
          <cell r="A1260" t="str">
            <v>NH Nong Nghiep va Phat Trien Nong Thon (AGRIBANK)</v>
          </cell>
          <cell r="D1260" t="str">
            <v>Quang BinhNN&amp;PTNT Huyen Minh Hoa</v>
          </cell>
          <cell r="E1260">
            <v>5003</v>
          </cell>
        </row>
        <row r="1261">
          <cell r="A1261" t="str">
            <v>NH Nong Nghiep va Phat Trien Nong Thon (AGRIBANK)</v>
          </cell>
          <cell r="D1261" t="str">
            <v>Quang BinhNN&amp;PTNT CN Ly Thuong Kiet</v>
          </cell>
          <cell r="E1261">
            <v>5002</v>
          </cell>
        </row>
        <row r="1262">
          <cell r="A1262" t="str">
            <v>NH Nong Nghiep va Phat Trien Nong Thon (AGRIBANK)</v>
          </cell>
          <cell r="D1262" t="str">
            <v>Quang BinhNN&amp;PTNT Huyen Quang Ninh</v>
          </cell>
          <cell r="E1262">
            <v>1498</v>
          </cell>
        </row>
        <row r="1263">
          <cell r="A1263" t="str">
            <v>NH Nong Nghiep va Phat Trien Nong Thon (AGRIBANK)</v>
          </cell>
          <cell r="D1263" t="str">
            <v>Quang TriNN&amp;PTNT TX Quang Tri</v>
          </cell>
          <cell r="E1263">
            <v>4688</v>
          </cell>
        </row>
        <row r="1264">
          <cell r="A1264" t="str">
            <v>NH Nong Nghiep va Phat Trien Nong Thon (AGRIBANK)</v>
          </cell>
          <cell r="D1264" t="str">
            <v>Quang TriNN&amp;PTNT Lao Bao</v>
          </cell>
          <cell r="E1264">
            <v>4684</v>
          </cell>
        </row>
        <row r="1265">
          <cell r="A1265" t="str">
            <v>NH Nong Nghiep va Phat Trien Nong Thon (AGRIBANK)</v>
          </cell>
          <cell r="D1265" t="str">
            <v>Quang TriNN&amp;PTNT Huyen Huong Hoa</v>
          </cell>
          <cell r="E1265">
            <v>1434</v>
          </cell>
        </row>
        <row r="1266">
          <cell r="A1266" t="str">
            <v>NH Nong Nghiep va Phat Trien Nong Thon (AGRIBANK)</v>
          </cell>
          <cell r="D1266" t="str">
            <v>Quang TriNN&amp;PTNT Huyen Hai Lang</v>
          </cell>
          <cell r="E1266">
            <v>1422</v>
          </cell>
        </row>
        <row r="1267">
          <cell r="A1267" t="str">
            <v>NH Nong Nghiep va Phat Trien Nong Thon (AGRIBANK)</v>
          </cell>
          <cell r="D1267" t="str">
            <v>Quang TriNN&amp;PTNT Huyen Gio Linh</v>
          </cell>
          <cell r="E1267">
            <v>1416</v>
          </cell>
        </row>
        <row r="1268">
          <cell r="A1268" t="str">
            <v>NH Nong Nghiep va Phat Trien Nong Thon (AGRIBANK)</v>
          </cell>
          <cell r="D1268" t="str">
            <v>Quang TriNN&amp;PTNT Tinh Quang Tri</v>
          </cell>
          <cell r="E1268">
            <v>579</v>
          </cell>
        </row>
        <row r="1269">
          <cell r="A1269" t="str">
            <v>NH Nong Nghiep va Phat Trien Nong Thon (AGRIBANK)</v>
          </cell>
          <cell r="D1269" t="str">
            <v>Quang TriNN&amp;PTNT Huyen Da Krong</v>
          </cell>
          <cell r="E1269">
            <v>3420</v>
          </cell>
        </row>
        <row r="1270">
          <cell r="A1270" t="str">
            <v>NH Nong Nghiep va Phat Trien Nong Thon (AGRIBANK)</v>
          </cell>
          <cell r="D1270" t="str">
            <v>Quang TriNN&amp;PTNT Huyen Trieu Phong</v>
          </cell>
          <cell r="E1270">
            <v>4060</v>
          </cell>
        </row>
        <row r="1271">
          <cell r="A1271" t="str">
            <v>NH Nong Nghiep va Phat Trien Nong Thon (AGRIBANK)</v>
          </cell>
          <cell r="D1271" t="str">
            <v>Quang TriNN&amp;PTNT Huyen Cam Lo</v>
          </cell>
          <cell r="E1271">
            <v>1386</v>
          </cell>
        </row>
        <row r="1272">
          <cell r="A1272" t="str">
            <v>NH Nong Nghiep va Phat Trien Nong Thon (AGRIBANK)</v>
          </cell>
          <cell r="D1272" t="str">
            <v>Quang TriNN&amp;PTNT Huyen Vinh Linh</v>
          </cell>
          <cell r="E1272">
            <v>1561</v>
          </cell>
        </row>
        <row r="1273">
          <cell r="A1273" t="str">
            <v>NH Nong Nghiep va Phat Trien Nong Thon (AGRIBANK)</v>
          </cell>
          <cell r="D1273" t="str">
            <v>Quang TriNN&amp;PTNT TP Dong Ha</v>
          </cell>
          <cell r="E1273">
            <v>4687</v>
          </cell>
        </row>
        <row r="1274">
          <cell r="A1274" t="str">
            <v>NH Nong Nghiep va Phat Trien Nong Thon (AGRIBANK)</v>
          </cell>
          <cell r="D1274" t="str">
            <v>Thua Thien HueNN&amp;PTNT CN Bac Song Huong</v>
          </cell>
          <cell r="E1274">
            <v>2668</v>
          </cell>
        </row>
        <row r="1275">
          <cell r="A1275" t="str">
            <v>NH Nong Nghiep va Phat Trien Nong Thon (AGRIBANK)</v>
          </cell>
          <cell r="D1275" t="str">
            <v>Thua Thien HueNN&amp;PTNT CN Truong An</v>
          </cell>
          <cell r="E1275">
            <v>3785</v>
          </cell>
        </row>
        <row r="1276">
          <cell r="A1276" t="str">
            <v>NH Nong Nghiep va Phat Trien Nong Thon (AGRIBANK)</v>
          </cell>
          <cell r="D1276" t="str">
            <v>Thua Thien HueNN&amp;PTNT Huyen Quang Dien</v>
          </cell>
          <cell r="E1276">
            <v>5198</v>
          </cell>
        </row>
        <row r="1277">
          <cell r="A1277" t="str">
            <v>NH Nong Nghiep va Phat Trien Nong Thon (AGRIBANK)</v>
          </cell>
          <cell r="D1277" t="str">
            <v>Thua Thien HueNN&amp;PTNT CN Nam Song Huong</v>
          </cell>
          <cell r="E1277">
            <v>5199</v>
          </cell>
        </row>
        <row r="1278">
          <cell r="A1278" t="str">
            <v>NH Nong Nghiep va Phat Trien Nong Thon (AGRIBANK)</v>
          </cell>
          <cell r="D1278" t="str">
            <v>Thua Thien HueNN&amp;PTNT Thua Thien Hue</v>
          </cell>
          <cell r="E1278">
            <v>542</v>
          </cell>
        </row>
        <row r="1279">
          <cell r="A1279" t="str">
            <v>NH Nong Nghiep va Phat Trien Nong Thon (AGRIBANK)</v>
          </cell>
          <cell r="D1279" t="str">
            <v>Thua Thien HueNN&amp;PTNT Huyen Huong Tra</v>
          </cell>
          <cell r="E1279">
            <v>1438</v>
          </cell>
        </row>
        <row r="1280">
          <cell r="A1280" t="str">
            <v>NH Nong Nghiep va Phat Trien Nong Thon (AGRIBANK)</v>
          </cell>
          <cell r="D1280" t="str">
            <v>Thua Thien HueNN&amp;PTNT Huyen Huong Thuy</v>
          </cell>
          <cell r="E1280">
            <v>1437</v>
          </cell>
        </row>
        <row r="1281">
          <cell r="A1281" t="str">
            <v>NH Nong Nghiep va Phat Trien Nong Thon (AGRIBANK)</v>
          </cell>
          <cell r="D1281" t="str">
            <v>Thua Thien HueNN&amp;PTNT Huyen Phu Vang</v>
          </cell>
          <cell r="E1281">
            <v>1491</v>
          </cell>
        </row>
        <row r="1282">
          <cell r="A1282" t="str">
            <v>NH Nong Nghiep va Phat Trien Nong Thon (AGRIBANK)</v>
          </cell>
          <cell r="D1282" t="str">
            <v>Thua Thien HueNN&amp;PTNT Huyen Phu Loc</v>
          </cell>
          <cell r="E1282">
            <v>1490</v>
          </cell>
        </row>
        <row r="1283">
          <cell r="A1283" t="str">
            <v>NH Nong Nghiep va Phat Trien Nong Thon (AGRIBANK)</v>
          </cell>
          <cell r="D1283" t="str">
            <v>Thua Thien HueNN&amp;PTNT Huyen Nam Dong</v>
          </cell>
          <cell r="E1283">
            <v>1474</v>
          </cell>
        </row>
        <row r="1284">
          <cell r="A1284" t="str">
            <v>NH Nong Nghiep va Phat Trien Nong Thon (AGRIBANK)</v>
          </cell>
          <cell r="D1284" t="str">
            <v>Thua Thien HueNN&amp;PTNT Huyen A Luoi</v>
          </cell>
          <cell r="E1284">
            <v>1348</v>
          </cell>
        </row>
        <row r="1285">
          <cell r="A1285" t="str">
            <v>NH Nong Nghiep va Phat Trien Nong Thon (AGRIBANK)</v>
          </cell>
          <cell r="D1285" t="str">
            <v>Thua Thien HueNN&amp;PTNT Phong Dien</v>
          </cell>
          <cell r="E1285">
            <v>1588</v>
          </cell>
        </row>
        <row r="1286">
          <cell r="A1286" t="str">
            <v>NH Nong Nghiep va Phat Trien Nong Thon (AGRIBANK)</v>
          </cell>
          <cell r="D1286" t="str">
            <v>Ho Chi MinhNN&amp;PTNT Nha Be</v>
          </cell>
          <cell r="E1286">
            <v>1586</v>
          </cell>
        </row>
        <row r="1287">
          <cell r="A1287" t="str">
            <v>NH Nong Nghiep va Phat Trien Nong Thon (AGRIBANK)</v>
          </cell>
          <cell r="D1287" t="str">
            <v>Ho Chi MinhNN&amp;PTNT Hoc Mon</v>
          </cell>
          <cell r="E1287">
            <v>1367</v>
          </cell>
        </row>
        <row r="1288">
          <cell r="A1288" t="str">
            <v>NH Nong Nghiep va Phat Trien Nong Thon (AGRIBANK)</v>
          </cell>
          <cell r="D1288" t="str">
            <v>Ho Chi MinhNN&amp;PTNT Binh Thanh</v>
          </cell>
          <cell r="E1288">
            <v>331</v>
          </cell>
        </row>
        <row r="1289">
          <cell r="A1289" t="str">
            <v>NH Nong Nghiep va Phat Trien Nong Thon (AGRIBANK)</v>
          </cell>
          <cell r="D1289" t="str">
            <v>Ho Chi MinhNN&amp;PTNT Can Gio</v>
          </cell>
          <cell r="E1289">
            <v>333</v>
          </cell>
        </row>
        <row r="1290">
          <cell r="A1290" t="str">
            <v>NH Nong Nghiep va Phat Trien Nong Thon (AGRIBANK)</v>
          </cell>
          <cell r="D1290" t="str">
            <v>Ho Chi MinhNN&amp;PTNT Cu Chi</v>
          </cell>
          <cell r="E1290">
            <v>334</v>
          </cell>
        </row>
        <row r="1291">
          <cell r="A1291" t="str">
            <v>NH Nong Nghiep va Phat Trien Nong Thon (AGRIBANK)</v>
          </cell>
          <cell r="D1291" t="str">
            <v>Ho Chi MinhNN&amp;PTNT Gia Dinh</v>
          </cell>
          <cell r="E1291">
            <v>343</v>
          </cell>
        </row>
        <row r="1292">
          <cell r="A1292" t="str">
            <v>NH Nong Nghiep va Phat Trien Nong Thon (AGRIBANK)</v>
          </cell>
          <cell r="D1292" t="str">
            <v>Ho Chi MinhNN&amp;PTNT CN Trung Tam Sai Gon</v>
          </cell>
          <cell r="E1292">
            <v>605</v>
          </cell>
        </row>
        <row r="1293">
          <cell r="A1293" t="str">
            <v>NH Nong Nghiep va Phat Trien Nong Thon (AGRIBANK)</v>
          </cell>
          <cell r="D1293" t="str">
            <v>Ho Chi MinhNN&amp;PTNT CN 9</v>
          </cell>
          <cell r="E1293">
            <v>612</v>
          </cell>
        </row>
        <row r="1294">
          <cell r="A1294" t="str">
            <v>NH Nong Nghiep va Phat Trien Nong Thon (AGRIBANK)</v>
          </cell>
          <cell r="D1294" t="str">
            <v>Ho Chi MinhNN&amp;PTNT Binh Tan</v>
          </cell>
          <cell r="E1294">
            <v>614</v>
          </cell>
        </row>
        <row r="1295">
          <cell r="A1295" t="str">
            <v>NH Nong Nghiep va Phat Trien Nong Thon (AGRIBANK)</v>
          </cell>
          <cell r="D1295" t="str">
            <v>Ho Chi MinhNN&amp;PTNT Cho Lon</v>
          </cell>
          <cell r="E1295">
            <v>615</v>
          </cell>
        </row>
        <row r="1296">
          <cell r="A1296" t="str">
            <v>NH Nong Nghiep va Phat Trien Nong Thon (AGRIBANK)</v>
          </cell>
          <cell r="D1296" t="str">
            <v>Ho Chi MinhNN&amp;PTNT Dong Sai Gon</v>
          </cell>
          <cell r="E1296">
            <v>617</v>
          </cell>
        </row>
        <row r="1297">
          <cell r="A1297" t="str">
            <v>NH Nong Nghiep va Phat Trien Nong Thon (AGRIBANK)</v>
          </cell>
          <cell r="D1297" t="str">
            <v>Ho Chi MinhNN&amp;PTNT Nam Sai Gon</v>
          </cell>
          <cell r="E1297">
            <v>621</v>
          </cell>
        </row>
        <row r="1298">
          <cell r="A1298" t="str">
            <v>NH Nong Nghiep va Phat Trien Nong Thon (AGRIBANK)</v>
          </cell>
          <cell r="D1298" t="str">
            <v>Ho Chi MinhNN&amp;PTNT Sai Gon</v>
          </cell>
          <cell r="E1298">
            <v>624</v>
          </cell>
        </row>
        <row r="1299">
          <cell r="A1299" t="str">
            <v>NH Nong Nghiep va Phat Trien Nong Thon (AGRIBANK)</v>
          </cell>
          <cell r="D1299" t="str">
            <v>Ho Chi MinhNN&amp;PTNT Tan Binh</v>
          </cell>
          <cell r="E1299">
            <v>626</v>
          </cell>
        </row>
        <row r="1300">
          <cell r="A1300" t="str">
            <v>NH Nong Nghiep va Phat Trien Nong Thon (AGRIBANK)</v>
          </cell>
          <cell r="D1300" t="str">
            <v>Ho Chi MinhNN&amp;PTNT Thu Duc</v>
          </cell>
          <cell r="E1300">
            <v>628</v>
          </cell>
        </row>
        <row r="1301">
          <cell r="A1301" t="str">
            <v>NH Nong Nghiep va Phat Trien Nong Thon (AGRIBANK)</v>
          </cell>
          <cell r="D1301" t="str">
            <v>Ho Chi MinhNN&amp;PTNT CN 10</v>
          </cell>
          <cell r="E1301">
            <v>521</v>
          </cell>
        </row>
        <row r="1302">
          <cell r="A1302" t="str">
            <v>NH Nong Nghiep va Phat Trien Nong Thon (AGRIBANK)</v>
          </cell>
          <cell r="D1302" t="str">
            <v>Ho Chi MinhNN&amp;PTNT TPHCM</v>
          </cell>
          <cell r="E1302">
            <v>528</v>
          </cell>
        </row>
        <row r="1303">
          <cell r="A1303" t="str">
            <v>NH Nong Nghiep va Phat Trien Nong Thon (AGRIBANK)</v>
          </cell>
          <cell r="D1303" t="str">
            <v>Ho Chi MinhNN&amp;PTNT Truong Son</v>
          </cell>
          <cell r="E1303">
            <v>2613</v>
          </cell>
        </row>
        <row r="1304">
          <cell r="A1304" t="str">
            <v>NH Nong Nghiep va Phat Trien Nong Thon (AGRIBANK)</v>
          </cell>
          <cell r="D1304" t="str">
            <v>Ho Chi MinhNN&amp;PTNT CN 8</v>
          </cell>
          <cell r="E1304">
            <v>2733</v>
          </cell>
        </row>
        <row r="1305">
          <cell r="A1305" t="str">
            <v>NH Nong Nghiep va Phat Trien Nong Thon (AGRIBANK)</v>
          </cell>
          <cell r="D1305" t="str">
            <v>Ho Chi MinhNN&amp;PTNT CN 4</v>
          </cell>
          <cell r="E1305">
            <v>2737</v>
          </cell>
        </row>
        <row r="1306">
          <cell r="A1306" t="str">
            <v>NH Nong Nghiep va Phat Trien Nong Thon (AGRIBANK)</v>
          </cell>
          <cell r="D1306" t="str">
            <v>Ho Chi MinhNN&amp;PTNT Quan 1</v>
          </cell>
          <cell r="E1306">
            <v>3007</v>
          </cell>
        </row>
        <row r="1307">
          <cell r="A1307" t="str">
            <v>NH Nong Nghiep va Phat Trien Nong Thon (AGRIBANK)</v>
          </cell>
          <cell r="D1307" t="str">
            <v>Ho Chi MinhNN&amp;PTNT An Phu</v>
          </cell>
          <cell r="E1307">
            <v>3008</v>
          </cell>
        </row>
        <row r="1308">
          <cell r="A1308" t="str">
            <v>NH Nong Nghiep va Phat Trien Nong Thon (AGRIBANK)</v>
          </cell>
          <cell r="D1308" t="str">
            <v>Ho Chi MinhNN&amp;PTNT Phan Dinh Phung</v>
          </cell>
          <cell r="E1308">
            <v>3009</v>
          </cell>
        </row>
        <row r="1309">
          <cell r="A1309" t="str">
            <v>NH Nong Nghiep va Phat Trien Nong Thon (AGRIBANK)</v>
          </cell>
          <cell r="D1309" t="str">
            <v>Ho Chi MinhNN&amp;PTNT Hung Vuong</v>
          </cell>
          <cell r="E1309">
            <v>3033</v>
          </cell>
        </row>
        <row r="1310">
          <cell r="A1310" t="str">
            <v>NH Nong Nghiep va Phat Trien Nong Thon (AGRIBANK)</v>
          </cell>
          <cell r="D1310" t="str">
            <v>Ho Chi MinhNN&amp;PTNT CN 7</v>
          </cell>
          <cell r="E1310">
            <v>3191</v>
          </cell>
        </row>
        <row r="1311">
          <cell r="A1311" t="str">
            <v>NH Nong Nghiep va Phat Trien Nong Thon (AGRIBANK)</v>
          </cell>
          <cell r="D1311" t="str">
            <v>Ho Chi MinhNN&amp;PTNT Quan 5</v>
          </cell>
          <cell r="E1311">
            <v>3193</v>
          </cell>
        </row>
        <row r="1312">
          <cell r="A1312" t="str">
            <v>NH Nong Nghiep va Phat Trien Nong Thon (AGRIBANK)</v>
          </cell>
          <cell r="D1312" t="str">
            <v>Ho Chi MinhNN&amp;PTNT Tan Tao</v>
          </cell>
          <cell r="E1312">
            <v>3230</v>
          </cell>
        </row>
        <row r="1313">
          <cell r="A1313" t="str">
            <v>NH Nong Nghiep va Phat Trien Nong Thon (AGRIBANK)</v>
          </cell>
          <cell r="D1313" t="str">
            <v>Ho Chi MinhNN&amp;PTNT Xuyen A</v>
          </cell>
          <cell r="E1313">
            <v>3232</v>
          </cell>
        </row>
        <row r="1314">
          <cell r="A1314" t="str">
            <v>NH Nong Nghiep va Phat Trien Nong Thon (AGRIBANK)</v>
          </cell>
          <cell r="D1314" t="str">
            <v>Ho Chi MinhNN&amp;PTNT Nam Hoa</v>
          </cell>
          <cell r="E1314">
            <v>3244</v>
          </cell>
        </row>
        <row r="1315">
          <cell r="A1315" t="str">
            <v>NH Nong Nghiep va Phat Trien Nong Thon (AGRIBANK)</v>
          </cell>
          <cell r="D1315" t="str">
            <v>Ho Chi MinhNN&amp;PTNT Binh Phu</v>
          </cell>
          <cell r="E1315">
            <v>3248</v>
          </cell>
        </row>
        <row r="1316">
          <cell r="A1316" t="str">
            <v>NH Nong Nghiep va Phat Trien Nong Thon (AGRIBANK)</v>
          </cell>
          <cell r="D1316" t="str">
            <v>Ho Chi MinhNN&amp;PTNT Binh Trieu</v>
          </cell>
          <cell r="E1316">
            <v>3249</v>
          </cell>
        </row>
        <row r="1317">
          <cell r="A1317" t="str">
            <v>NH Nong Nghiep va Phat Trien Nong Thon (AGRIBANK)</v>
          </cell>
          <cell r="D1317" t="str">
            <v>Ho Chi MinhNN&amp;PTNT Mien Dong</v>
          </cell>
          <cell r="E1317">
            <v>3250</v>
          </cell>
        </row>
        <row r="1318">
          <cell r="A1318" t="str">
            <v>NH Nong Nghiep va Phat Trien Nong Thon (AGRIBANK)</v>
          </cell>
          <cell r="D1318" t="str">
            <v>Ho Chi MinhNN&amp;PTNT Phuoc Kien</v>
          </cell>
          <cell r="E1318">
            <v>3251</v>
          </cell>
        </row>
        <row r="1319">
          <cell r="A1319" t="str">
            <v>NH Nong Nghiep va Phat Trien Nong Thon (AGRIBANK)</v>
          </cell>
          <cell r="D1319" t="str">
            <v>Ho Chi MinhNN&amp;PTNT Thanh Do</v>
          </cell>
          <cell r="E1319">
            <v>3252</v>
          </cell>
        </row>
        <row r="1320">
          <cell r="A1320" t="str">
            <v>NH Nong Nghiep va Phat Trien Nong Thon (AGRIBANK)</v>
          </cell>
          <cell r="D1320" t="str">
            <v>Ho Chi MinhNN&amp;PTNT An Suong</v>
          </cell>
          <cell r="E1320">
            <v>3253</v>
          </cell>
        </row>
        <row r="1321">
          <cell r="A1321" t="str">
            <v>NH Nong Nghiep va Phat Trien Nong Thon (AGRIBANK)</v>
          </cell>
          <cell r="D1321" t="str">
            <v>Ho Chi MinhNN&amp;PTNT Bac Sai Gon</v>
          </cell>
          <cell r="E1321">
            <v>3254</v>
          </cell>
        </row>
        <row r="1322">
          <cell r="A1322" t="str">
            <v>NH Nong Nghiep va Phat Trien Nong Thon (AGRIBANK)</v>
          </cell>
          <cell r="D1322" t="str">
            <v>Ho Chi MinhNN&amp;PTNT My Thanh</v>
          </cell>
          <cell r="E1322">
            <v>3255</v>
          </cell>
        </row>
        <row r="1323">
          <cell r="A1323" t="str">
            <v>NH Nong Nghiep va Phat Trien Nong Thon (AGRIBANK)</v>
          </cell>
          <cell r="D1323" t="str">
            <v>Ho Chi MinhNN&amp;PTNT Ben Thanh</v>
          </cell>
          <cell r="E1323">
            <v>3256</v>
          </cell>
        </row>
        <row r="1324">
          <cell r="A1324" t="str">
            <v>NH Nong Nghiep va Phat Trien Nong Thon (AGRIBANK)</v>
          </cell>
          <cell r="D1324" t="str">
            <v>Ho Chi MinhNN&amp;PTNT Phu My Hung</v>
          </cell>
          <cell r="E1324">
            <v>3257</v>
          </cell>
        </row>
        <row r="1325">
          <cell r="A1325" t="str">
            <v>NH Nong Nghiep va Phat Trien Nong Thon (AGRIBANK)</v>
          </cell>
          <cell r="D1325" t="str">
            <v>Ho Chi MinhNN&amp;PTNT Ly Thuong Kiet</v>
          </cell>
          <cell r="E1325">
            <v>2566</v>
          </cell>
        </row>
        <row r="1326">
          <cell r="A1326" t="str">
            <v>NH Nong Nghiep va Phat Trien Nong Thon (AGRIBANK)</v>
          </cell>
          <cell r="D1326" t="str">
            <v>Ho Chi MinhNN&amp;PTNT Tay Sai Gon</v>
          </cell>
          <cell r="E1326">
            <v>3261</v>
          </cell>
        </row>
        <row r="1327">
          <cell r="A1327" t="str">
            <v>NH Nong Nghiep va Phat Trien Nong Thon (AGRIBANK)</v>
          </cell>
          <cell r="D1327" t="str">
            <v>Ho Chi MinhNN&amp;PTNT Hiep Phuoc</v>
          </cell>
          <cell r="E1327">
            <v>3233</v>
          </cell>
        </row>
        <row r="1328">
          <cell r="A1328" t="str">
            <v>NH Nong Nghiep va Phat Trien Nong Thon (AGRIBANK)</v>
          </cell>
          <cell r="D1328" t="str">
            <v>Ho Chi MinhNN&amp;PTNT CN 11</v>
          </cell>
          <cell r="E1328">
            <v>2720</v>
          </cell>
        </row>
        <row r="1329">
          <cell r="A1329" t="str">
            <v>NH Nong Nghiep va Phat Trien Nong Thon (AGRIBANK)</v>
          </cell>
          <cell r="D1329" t="str">
            <v>Ho Chi MinhNN&amp;PTNT CN 3</v>
          </cell>
          <cell r="E1329">
            <v>2724</v>
          </cell>
        </row>
        <row r="1330">
          <cell r="A1330" t="str">
            <v>NH Nong Nghiep va Phat Trien Nong Thon (AGRIBANK)</v>
          </cell>
          <cell r="D1330" t="str">
            <v>Ho Chi MinhNN&amp;PTNT CN 6</v>
          </cell>
          <cell r="E1330">
            <v>2725</v>
          </cell>
        </row>
        <row r="1331">
          <cell r="A1331" t="str">
            <v>NH Nong Nghiep va Phat Trien Nong Thon (AGRIBANK)</v>
          </cell>
          <cell r="D1331" t="str">
            <v>Ho Chi MinhNN&amp;PTNT Phu Nhuan</v>
          </cell>
          <cell r="E1331">
            <v>2726</v>
          </cell>
        </row>
        <row r="1332">
          <cell r="A1332" t="str">
            <v>NH Nong Nghiep va Phat Trien Nong Thon (AGRIBANK)</v>
          </cell>
          <cell r="D1332" t="str">
            <v>Ho Chi MinhNN&amp;PTNT Binh Chanh</v>
          </cell>
          <cell r="E1332">
            <v>2728</v>
          </cell>
        </row>
        <row r="1333">
          <cell r="A1333" t="str">
            <v>NH Nong Nghiep va Phat Trien Nong Thon (AGRIBANK)</v>
          </cell>
          <cell r="D1333" t="str">
            <v>Ho Chi MinhNN&amp;PTNT Tan Phu</v>
          </cell>
          <cell r="E1333">
            <v>2717</v>
          </cell>
        </row>
        <row r="1334">
          <cell r="A1334" t="str">
            <v>NH Nong Nghiep va Phat Trien Nong Thon (AGRIBANK)</v>
          </cell>
          <cell r="D1334" t="str">
            <v>Ho Chi MinhNN&amp;PTNT KCN Tan Tao</v>
          </cell>
          <cell r="E1334">
            <v>3818</v>
          </cell>
        </row>
        <row r="1335">
          <cell r="A1335" t="str">
            <v>NH Nong Nghiep va Phat Trien Nong Thon (AGRIBANK)</v>
          </cell>
          <cell r="D1335" t="str">
            <v>Ho Chi MinhNN&amp;PTNT VPDD KV Mien Nam</v>
          </cell>
          <cell r="E1335">
            <v>5164</v>
          </cell>
        </row>
        <row r="1336">
          <cell r="A1336" t="str">
            <v>NH Nong Nghiep va Phat Trien Nong Thon (AGRIBANK)</v>
          </cell>
          <cell r="D1336" t="str">
            <v>Da NangNN&amp;PTNT Cho Con</v>
          </cell>
          <cell r="E1336">
            <v>3849</v>
          </cell>
        </row>
        <row r="1337">
          <cell r="A1337" t="str">
            <v>NH Nong Nghiep va Phat Trien Nong Thon (AGRIBANK)</v>
          </cell>
          <cell r="D1337" t="str">
            <v>Da NangNN&amp;PTNT Dong Da</v>
          </cell>
          <cell r="E1337">
            <v>3940</v>
          </cell>
        </row>
        <row r="1338">
          <cell r="A1338" t="str">
            <v>NH Nong Nghiep va Phat Trien Nong Thon (AGRIBANK)</v>
          </cell>
          <cell r="D1338" t="str">
            <v>Da NangNN&amp;PTNT VPDD KV Mien Trung</v>
          </cell>
          <cell r="E1338">
            <v>5163</v>
          </cell>
        </row>
        <row r="1339">
          <cell r="A1339" t="str">
            <v>NH Nong Nghiep va Phat Trien Nong Thon (AGRIBANK)</v>
          </cell>
          <cell r="D1339" t="str">
            <v>Da NangNN&amp;PTNT Chi Lang</v>
          </cell>
          <cell r="E1339">
            <v>4671</v>
          </cell>
        </row>
        <row r="1340">
          <cell r="A1340" t="str">
            <v>NH Nong Nghiep va Phat Trien Nong Thon (AGRIBANK)</v>
          </cell>
          <cell r="D1340" t="str">
            <v>Da NangNN&amp;PTNT Cho Moi</v>
          </cell>
          <cell r="E1340">
            <v>4672</v>
          </cell>
        </row>
        <row r="1341">
          <cell r="A1341" t="str">
            <v>NH Nong Nghiep va Phat Trien Nong Thon (AGRIBANK)</v>
          </cell>
          <cell r="D1341" t="str">
            <v>Da NangNN&amp;PTNT TP Da Nang</v>
          </cell>
          <cell r="E1341">
            <v>607</v>
          </cell>
        </row>
        <row r="1342">
          <cell r="A1342" t="str">
            <v>NH Nong Nghiep va Phat Trien Nong Thon (AGRIBANK)</v>
          </cell>
          <cell r="D1342" t="str">
            <v>Da NangNN&amp;PTNT Lien Chieu</v>
          </cell>
          <cell r="E1342">
            <v>619</v>
          </cell>
        </row>
        <row r="1343">
          <cell r="A1343" t="str">
            <v>NH Nong Nghiep va Phat Trien Nong Thon (AGRIBANK)</v>
          </cell>
          <cell r="D1343" t="str">
            <v>Da NangNN&amp;PTNT Hai Chau</v>
          </cell>
          <cell r="E1343">
            <v>622</v>
          </cell>
        </row>
        <row r="1344">
          <cell r="A1344" t="str">
            <v>NH Nong Nghiep va Phat Trien Nong Thon (AGRIBANK)</v>
          </cell>
          <cell r="D1344" t="str">
            <v>Da NangNN&amp;PTNT Thanh Khe DN</v>
          </cell>
          <cell r="E1344">
            <v>627</v>
          </cell>
        </row>
        <row r="1345">
          <cell r="A1345" t="str">
            <v>NH Nong Nghiep va Phat Trien Nong Thon (AGRIBANK)</v>
          </cell>
          <cell r="D1345" t="str">
            <v>Da NangNN&amp;PTNT Hoa Vang</v>
          </cell>
          <cell r="E1345">
            <v>430</v>
          </cell>
        </row>
        <row r="1346">
          <cell r="A1346" t="str">
            <v>NH Nong Nghiep va Phat Trien Nong Thon (AGRIBANK)</v>
          </cell>
          <cell r="D1346" t="str">
            <v>Da NangNN&amp;PTNT Ngu Hanh Son</v>
          </cell>
          <cell r="E1346">
            <v>3501</v>
          </cell>
        </row>
        <row r="1347">
          <cell r="A1347" t="str">
            <v>NH Nong Nghiep va Phat Trien Nong Thon (AGRIBANK)</v>
          </cell>
          <cell r="D1347" t="str">
            <v>Da NangNN&amp;PTNT Cam Le</v>
          </cell>
          <cell r="E1347">
            <v>3740</v>
          </cell>
        </row>
        <row r="1348">
          <cell r="A1348" t="str">
            <v>NH Nong Nghiep va Phat Trien Nong Thon (AGRIBANK)</v>
          </cell>
          <cell r="D1348" t="str">
            <v>Da NangNN&amp;PTNT KCN Da Nang</v>
          </cell>
          <cell r="E1348">
            <v>3883</v>
          </cell>
        </row>
        <row r="1349">
          <cell r="A1349" t="str">
            <v>NH Nong Nghiep va Phat Trien Nong Thon (AGRIBANK)</v>
          </cell>
          <cell r="D1349" t="str">
            <v>Da NangNN&amp;PTNT Son Tra</v>
          </cell>
          <cell r="E1349">
            <v>3758</v>
          </cell>
        </row>
        <row r="1350">
          <cell r="A1350" t="str">
            <v>NH Nong Nghiep va Phat Trien Nong Thon (AGRIBANK)</v>
          </cell>
          <cell r="D1350" t="str">
            <v>Da NangNN&amp;PTNT KCN Hoa Khanh</v>
          </cell>
          <cell r="E1350">
            <v>3808</v>
          </cell>
        </row>
        <row r="1351">
          <cell r="A1351" t="str">
            <v>NH Nong Nghiep va Phat Trien Nong Thon (AGRIBANK)</v>
          </cell>
          <cell r="D1351" t="str">
            <v>Da NangNN&amp;PTNT Ong Ich Khiem</v>
          </cell>
          <cell r="E1351">
            <v>4358</v>
          </cell>
        </row>
        <row r="1352">
          <cell r="A1352" t="str">
            <v>NH Nong Nghiep va Phat Trien Nong Thon (AGRIBANK)</v>
          </cell>
          <cell r="D1352" t="str">
            <v>Da NangNN&amp;PTNT Tan Chinh</v>
          </cell>
          <cell r="E1352">
            <v>3844</v>
          </cell>
        </row>
        <row r="1353">
          <cell r="A1353" t="str">
            <v>NH Nong Nghiep va Phat Trien Nong Thon (AGRIBANK)</v>
          </cell>
          <cell r="D1353" t="str">
            <v>Quang NamNN&amp;PTNT Thang Binh</v>
          </cell>
          <cell r="E1353">
            <v>533</v>
          </cell>
        </row>
        <row r="1354">
          <cell r="A1354" t="str">
            <v>NH Nong Nghiep va Phat Trien Nong Thon (AGRIBANK)</v>
          </cell>
          <cell r="D1354" t="str">
            <v>Quang NamNN&amp;PTNT Nui Thanh</v>
          </cell>
          <cell r="E1354">
            <v>519</v>
          </cell>
        </row>
        <row r="1355">
          <cell r="A1355" t="str">
            <v>NH Nong Nghiep va Phat Trien Nong Thon (AGRIBANK)</v>
          </cell>
          <cell r="D1355" t="str">
            <v>Quang NamNN&amp;PTNT Phuoc Son</v>
          </cell>
          <cell r="E1355">
            <v>520</v>
          </cell>
        </row>
        <row r="1356">
          <cell r="A1356" t="str">
            <v>NH Nong Nghiep va Phat Trien Nong Thon (AGRIBANK)</v>
          </cell>
          <cell r="D1356" t="str">
            <v>Quang NamNN&amp;PTNT Que Son</v>
          </cell>
          <cell r="E1356">
            <v>522</v>
          </cell>
        </row>
        <row r="1357">
          <cell r="A1357" t="str">
            <v>NH Nong Nghiep va Phat Trien Nong Thon (AGRIBANK)</v>
          </cell>
          <cell r="D1357" t="str">
            <v>Quang NamNN&amp;PTNT Huyen Hiep Duc</v>
          </cell>
          <cell r="E1357">
            <v>366</v>
          </cell>
        </row>
        <row r="1358">
          <cell r="A1358" t="str">
            <v>NH Nong Nghiep va Phat Trien Nong Thon (AGRIBANK)</v>
          </cell>
          <cell r="D1358" t="str">
            <v>Quang NamNN&amp;PTNT TP Hoi An</v>
          </cell>
          <cell r="E1358">
            <v>367</v>
          </cell>
        </row>
        <row r="1359">
          <cell r="A1359" t="str">
            <v>NH Nong Nghiep va Phat Trien Nong Thon (AGRIBANK)</v>
          </cell>
          <cell r="D1359" t="str">
            <v>Quang NamNN&amp;PTNT Bac Tra My</v>
          </cell>
          <cell r="E1359">
            <v>591</v>
          </cell>
        </row>
        <row r="1360">
          <cell r="A1360" t="str">
            <v>NH Nong Nghiep va Phat Trien Nong Thon (AGRIBANK)</v>
          </cell>
          <cell r="D1360" t="str">
            <v>Quang NamNN&amp;PTNT Dai Loc</v>
          </cell>
          <cell r="E1360">
            <v>335</v>
          </cell>
        </row>
        <row r="1361">
          <cell r="A1361" t="str">
            <v>NH Nong Nghiep va Phat Trien Nong Thon (AGRIBANK)</v>
          </cell>
          <cell r="D1361" t="str">
            <v>Quang NamNN&amp;PTNT Dien Ban</v>
          </cell>
          <cell r="E1361">
            <v>336</v>
          </cell>
        </row>
        <row r="1362">
          <cell r="A1362" t="str">
            <v>NH Nong Nghiep va Phat Trien Nong Thon (AGRIBANK)</v>
          </cell>
          <cell r="D1362" t="str">
            <v>Quang NamNN&amp;PTNT Duy Xuyen</v>
          </cell>
          <cell r="E1362">
            <v>340</v>
          </cell>
        </row>
        <row r="1363">
          <cell r="A1363" t="str">
            <v>NH Nong Nghiep va Phat Trien Nong Thon (AGRIBANK)</v>
          </cell>
          <cell r="D1363" t="str">
            <v>Quang NamNN&amp;PTNT Huyen Dong Giang</v>
          </cell>
          <cell r="E1363">
            <v>342</v>
          </cell>
        </row>
        <row r="1364">
          <cell r="A1364" t="str">
            <v>NH Nong Nghiep va Phat Trien Nong Thon (AGRIBANK)</v>
          </cell>
          <cell r="D1364" t="str">
            <v>Quang NamNN&amp;PTNT TP Tam Ky</v>
          </cell>
          <cell r="E1364">
            <v>537</v>
          </cell>
        </row>
        <row r="1365">
          <cell r="A1365" t="str">
            <v>NH Nong Nghiep va Phat Trien Nong Thon (AGRIBANK)</v>
          </cell>
          <cell r="D1365" t="str">
            <v>Quang NamNN&amp;PTNT Tien Phuoc</v>
          </cell>
          <cell r="E1365">
            <v>543</v>
          </cell>
        </row>
        <row r="1366">
          <cell r="A1366" t="str">
            <v>NH Nong Nghiep va Phat Trien Nong Thon (AGRIBANK)</v>
          </cell>
          <cell r="D1366" t="str">
            <v>Quang NamNN&amp;PTNT Tinh Quang Nam</v>
          </cell>
          <cell r="E1366">
            <v>576</v>
          </cell>
        </row>
        <row r="1367">
          <cell r="A1367" t="str">
            <v>NH Nong Nghiep va Phat Trien Nong Thon (AGRIBANK)</v>
          </cell>
          <cell r="D1367" t="str">
            <v>Quang NamNN&amp;PTNT Cua Dai</v>
          </cell>
          <cell r="E1367">
            <v>2685</v>
          </cell>
        </row>
        <row r="1368">
          <cell r="A1368" t="str">
            <v>NH Nong Nghiep va Phat Trien Nong Thon (AGRIBANK)</v>
          </cell>
          <cell r="D1368" t="str">
            <v>Quang NamNN&amp;PTNT Bac Dien Ban</v>
          </cell>
          <cell r="E1368">
            <v>2777</v>
          </cell>
        </row>
        <row r="1369">
          <cell r="A1369" t="str">
            <v>NH Nong Nghiep va Phat Trien Nong Thon (AGRIBANK)</v>
          </cell>
          <cell r="D1369" t="str">
            <v>Quang NamNN&amp;PTNT Nam Tra My</v>
          </cell>
          <cell r="E1369">
            <v>3491</v>
          </cell>
        </row>
        <row r="1370">
          <cell r="A1370" t="str">
            <v>NH Nong Nghiep va Phat Trien Nong Thon (AGRIBANK)</v>
          </cell>
          <cell r="D1370" t="str">
            <v>Quang NamNN&amp;PTNT Huyen Nong Son</v>
          </cell>
          <cell r="E1370">
            <v>3739</v>
          </cell>
        </row>
        <row r="1371">
          <cell r="A1371" t="str">
            <v>NH Nong Nghiep va Phat Trien Nong Thon (AGRIBANK)</v>
          </cell>
          <cell r="D1371" t="str">
            <v>Quang NamNN&amp;PTNT Khu Kinh te mo Chu Lai</v>
          </cell>
          <cell r="E1371">
            <v>3519</v>
          </cell>
        </row>
        <row r="1372">
          <cell r="A1372" t="str">
            <v>NH Nong Nghiep va Phat Trien Nong Thon (AGRIBANK)</v>
          </cell>
          <cell r="D1372" t="str">
            <v>Quang NamNN&amp;PTNT Dien Nam - Dien Ngoc</v>
          </cell>
          <cell r="E1372">
            <v>3765</v>
          </cell>
        </row>
        <row r="1373">
          <cell r="A1373" t="str">
            <v>NH Nong Nghiep va Phat Trien Nong Thon (AGRIBANK)</v>
          </cell>
          <cell r="D1373" t="str">
            <v>Quang NamNN&amp;PTNT Nam Phuoc</v>
          </cell>
          <cell r="E1373">
            <v>4008</v>
          </cell>
        </row>
        <row r="1374">
          <cell r="A1374" t="str">
            <v>NH Nong Nghiep va Phat Trien Nong Thon (AGRIBANK)</v>
          </cell>
          <cell r="D1374" t="str">
            <v>Quang NamNN&amp;PTNT CN Huong An</v>
          </cell>
          <cell r="E1374">
            <v>5005</v>
          </cell>
        </row>
        <row r="1375">
          <cell r="A1375" t="str">
            <v>NH Nong Nghiep va Phat Trien Nong Thon (AGRIBANK)</v>
          </cell>
          <cell r="D1375" t="str">
            <v>Quang NamNN&amp;PTNT Huyen Nam Giang</v>
          </cell>
          <cell r="E1375">
            <v>5006</v>
          </cell>
        </row>
        <row r="1376">
          <cell r="A1376" t="str">
            <v>NH Nong Nghiep va Phat Trien Nong Thon (AGRIBANK)</v>
          </cell>
          <cell r="D1376" t="str">
            <v>Quang NamNN&amp;PTNT Huyen Tay Giang</v>
          </cell>
          <cell r="E1376">
            <v>5007</v>
          </cell>
        </row>
        <row r="1377">
          <cell r="A1377" t="str">
            <v>NH Nong Nghiep va Phat Trien Nong Thon (AGRIBANK)</v>
          </cell>
          <cell r="D1377" t="str">
            <v>Quang NamNN&amp;PTNT Huyen Phu Ninh</v>
          </cell>
          <cell r="E1377">
            <v>5010</v>
          </cell>
        </row>
        <row r="1378">
          <cell r="A1378" t="str">
            <v>NH Nong Nghiep va Phat Trien Nong Thon (AGRIBANK)</v>
          </cell>
          <cell r="D1378" t="str">
            <v>Quang NgaiNN&amp;PTNT Mo Duc</v>
          </cell>
          <cell r="E1378">
            <v>517</v>
          </cell>
        </row>
        <row r="1379">
          <cell r="A1379" t="str">
            <v>NH Nong Nghiep va Phat Trien Nong Thon (AGRIBANK)</v>
          </cell>
          <cell r="D1379" t="str">
            <v>Quang NgaiNN&amp;PTNT Son Ha</v>
          </cell>
          <cell r="E1379">
            <v>524</v>
          </cell>
        </row>
        <row r="1380">
          <cell r="A1380" t="str">
            <v>NH Nong Nghiep va Phat Trien Nong Thon (AGRIBANK)</v>
          </cell>
          <cell r="D1380" t="str">
            <v>Quang NgaiNN&amp;PTNT Son Tinh</v>
          </cell>
          <cell r="E1380">
            <v>525</v>
          </cell>
        </row>
        <row r="1381">
          <cell r="A1381" t="str">
            <v>NH Nong Nghiep va Phat Trien Nong Thon (AGRIBANK)</v>
          </cell>
          <cell r="D1381" t="str">
            <v>Quang NgaiNN&amp;PTNT Tra Bong</v>
          </cell>
          <cell r="E1381">
            <v>590</v>
          </cell>
        </row>
        <row r="1382">
          <cell r="A1382" t="str">
            <v>NH Nong Nghiep va Phat Trien Nong Thon (AGRIBANK)</v>
          </cell>
          <cell r="D1382" t="str">
            <v>Quang NgaiNN&amp;PTNT Tu Nghia</v>
          </cell>
          <cell r="E1382">
            <v>595</v>
          </cell>
        </row>
        <row r="1383">
          <cell r="A1383" t="str">
            <v>NH Nong Nghiep va Phat Trien Nong Thon (AGRIBANK)</v>
          </cell>
          <cell r="D1383" t="str">
            <v>Quang NgaiNN&amp;PTNT Binh Son</v>
          </cell>
          <cell r="E1383">
            <v>330</v>
          </cell>
        </row>
        <row r="1384">
          <cell r="A1384" t="str">
            <v>NH Nong Nghiep va Phat Trien Nong Thon (AGRIBANK)</v>
          </cell>
          <cell r="D1384" t="str">
            <v>Quang NgaiNN&amp;PTNT Duc Pho</v>
          </cell>
          <cell r="E1384">
            <v>339</v>
          </cell>
        </row>
        <row r="1385">
          <cell r="A1385" t="str">
            <v>NH Nong Nghiep va Phat Trien Nong Thon (AGRIBANK)</v>
          </cell>
          <cell r="D1385" t="str">
            <v>Quang NgaiNN&amp;PTNT Quang Ngai</v>
          </cell>
          <cell r="E1385">
            <v>577</v>
          </cell>
        </row>
        <row r="1386">
          <cell r="A1386" t="str">
            <v>NH Nong Nghiep va Phat Trien Nong Thon (AGRIBANK)</v>
          </cell>
          <cell r="D1386" t="str">
            <v>Quang NgaiNN&amp;PTNT Huyen Ba To</v>
          </cell>
          <cell r="E1386">
            <v>4026</v>
          </cell>
        </row>
        <row r="1387">
          <cell r="A1387" t="str">
            <v>NH Nong Nghiep va Phat Trien Nong Thon (AGRIBANK)</v>
          </cell>
          <cell r="D1387" t="str">
            <v>Quang NgaiNN&amp;PTNT Ly Son</v>
          </cell>
          <cell r="E1387">
            <v>4066</v>
          </cell>
        </row>
        <row r="1388">
          <cell r="A1388" t="str">
            <v>NH Nong Nghiep va Phat Trien Nong Thon (AGRIBANK)</v>
          </cell>
          <cell r="D1388" t="str">
            <v>Quang NgaiNN&amp;PTNT Sa Huynh</v>
          </cell>
          <cell r="E1388">
            <v>4071</v>
          </cell>
        </row>
        <row r="1389">
          <cell r="A1389" t="str">
            <v>NH Nong Nghiep va Phat Trien Nong Thon (AGRIBANK)</v>
          </cell>
          <cell r="D1389" t="str">
            <v>Quang NgaiNN&amp;PTNT CN Dung Quat</v>
          </cell>
          <cell r="E1389">
            <v>5011</v>
          </cell>
        </row>
        <row r="1390">
          <cell r="A1390" t="str">
            <v>NH Nong Nghiep va Phat Trien Nong Thon (AGRIBANK)</v>
          </cell>
          <cell r="D1390" t="str">
            <v>Quang NgaiNN&amp;PTNT CN Minh Long</v>
          </cell>
          <cell r="E1390">
            <v>5012</v>
          </cell>
        </row>
        <row r="1391">
          <cell r="A1391" t="str">
            <v>NH Nong Nghiep va Phat Trien Nong Thon (AGRIBANK)</v>
          </cell>
          <cell r="D1391" t="str">
            <v>Quang NgaiNN&amp;PTNT Huyen Nghia Hanh</v>
          </cell>
          <cell r="E1391">
            <v>5013</v>
          </cell>
        </row>
        <row r="1392">
          <cell r="A1392" t="str">
            <v>NH Nong Nghiep va Phat Trien Nong Thon (AGRIBANK)</v>
          </cell>
          <cell r="D1392" t="str">
            <v>Quang NgaiNN&amp;PTNT TP Quang Ngai</v>
          </cell>
          <cell r="E1392">
            <v>5014</v>
          </cell>
        </row>
        <row r="1393">
          <cell r="A1393" t="str">
            <v>NH Nong Nghiep va Phat Trien Nong Thon (AGRIBANK)</v>
          </cell>
          <cell r="D1393" t="str">
            <v>Binh DinhNN&amp;PTNT Huyen Van Canh</v>
          </cell>
          <cell r="E1393">
            <v>5017</v>
          </cell>
        </row>
        <row r="1394">
          <cell r="A1394" t="str">
            <v>NH Nong Nghiep va Phat Trien Nong Thon (AGRIBANK)</v>
          </cell>
          <cell r="D1394" t="str">
            <v>Binh DinhNN&amp;PTNT Huyen Phu Cat</v>
          </cell>
          <cell r="E1394">
            <v>464</v>
          </cell>
        </row>
        <row r="1395">
          <cell r="A1395" t="str">
            <v>NH Nong Nghiep va Phat Trien Nong Thon (AGRIBANK)</v>
          </cell>
          <cell r="D1395" t="str">
            <v>Binh DinhNN&amp;PTNT Huyen Phu My</v>
          </cell>
          <cell r="E1395">
            <v>465</v>
          </cell>
        </row>
        <row r="1396">
          <cell r="A1396" t="str">
            <v>NH Nong Nghiep va Phat Trien Nong Thon (AGRIBANK)</v>
          </cell>
          <cell r="D1396" t="str">
            <v>Binh DinhNN&amp;PTNT TP Quy Nhon</v>
          </cell>
          <cell r="E1396">
            <v>608</v>
          </cell>
        </row>
        <row r="1397">
          <cell r="A1397" t="str">
            <v>NH Nong Nghiep va Phat Trien Nong Thon (AGRIBANK)</v>
          </cell>
          <cell r="D1397" t="str">
            <v>Binh DinhNN&amp;PTNT Huyen Hoai Nhon</v>
          </cell>
          <cell r="E1397">
            <v>634</v>
          </cell>
        </row>
        <row r="1398">
          <cell r="A1398" t="str">
            <v>NH Nong Nghiep va Phat Trien Nong Thon (AGRIBANK)</v>
          </cell>
          <cell r="D1398" t="str">
            <v>Binh DinhNN&amp;PTNT Huyen Tuy Phuoc</v>
          </cell>
          <cell r="E1398">
            <v>639</v>
          </cell>
        </row>
        <row r="1399">
          <cell r="A1399" t="str">
            <v>NH Nong Nghiep va Phat Trien Nong Thon (AGRIBANK)</v>
          </cell>
          <cell r="D1399" t="str">
            <v>Binh DinhNN&amp;PTNT Huyen Tay Son</v>
          </cell>
          <cell r="E1399">
            <v>485</v>
          </cell>
        </row>
        <row r="1400">
          <cell r="A1400" t="str">
            <v>NH Nong Nghiep va Phat Trien Nong Thon (AGRIBANK)</v>
          </cell>
          <cell r="D1400" t="str">
            <v>Binh DinhNN&amp;PTNT Binh Dinh</v>
          </cell>
          <cell r="E1400">
            <v>549</v>
          </cell>
        </row>
        <row r="1401">
          <cell r="A1401" t="str">
            <v>NH Nong Nghiep va Phat Trien Nong Thon (AGRIBANK)</v>
          </cell>
          <cell r="D1401" t="str">
            <v>Binh DinhNN&amp;PTNT Huyen Hoai An</v>
          </cell>
          <cell r="E1401">
            <v>431</v>
          </cell>
        </row>
        <row r="1402">
          <cell r="A1402" t="str">
            <v>NH Nong Nghiep va Phat Trien Nong Thon (AGRIBANK)</v>
          </cell>
          <cell r="D1402" t="str">
            <v>Binh DinhNN&amp;PTNT Huyen Vinh Thanh</v>
          </cell>
          <cell r="E1402">
            <v>3614</v>
          </cell>
        </row>
        <row r="1403">
          <cell r="A1403" t="str">
            <v>NH Nong Nghiep va Phat Trien Nong Thon (AGRIBANK)</v>
          </cell>
          <cell r="D1403" t="str">
            <v>Binh DinhNN&amp;PTNT KCN Phu Tai</v>
          </cell>
          <cell r="E1403">
            <v>2610</v>
          </cell>
        </row>
        <row r="1404">
          <cell r="A1404" t="str">
            <v>NH Nong Nghiep va Phat Trien Nong Thon (AGRIBANK)</v>
          </cell>
          <cell r="D1404" t="str">
            <v>Binh DinhNN&amp;PTNT TX An Nhon</v>
          </cell>
          <cell r="E1404">
            <v>5015</v>
          </cell>
        </row>
        <row r="1405">
          <cell r="A1405" t="str">
            <v>NH Nong Nghiep va Phat Trien Nong Thon (AGRIBANK)</v>
          </cell>
          <cell r="D1405" t="str">
            <v>Binh DinhNN&amp;PTNT Huyen An Lao</v>
          </cell>
          <cell r="E1405">
            <v>5016</v>
          </cell>
        </row>
        <row r="1406">
          <cell r="A1406" t="str">
            <v>NH Nong Nghiep va Phat Trien Nong Thon (AGRIBANK)</v>
          </cell>
          <cell r="D1406" t="str">
            <v>Phu YenNN&amp;PTNT Huyen Son Hoa</v>
          </cell>
          <cell r="E1406">
            <v>470</v>
          </cell>
        </row>
        <row r="1407">
          <cell r="A1407" t="str">
            <v>NH Nong Nghiep va Phat Trien Nong Thon (AGRIBANK)</v>
          </cell>
          <cell r="D1407" t="str">
            <v>Phu YenNN&amp;PTNT TX Song Cau</v>
          </cell>
          <cell r="E1407">
            <v>471</v>
          </cell>
        </row>
        <row r="1408">
          <cell r="A1408" t="str">
            <v>NH Nong Nghiep va Phat Trien Nong Thon (AGRIBANK)</v>
          </cell>
          <cell r="D1408" t="str">
            <v>Phu YenNN&amp;PTNT Huyen Dong Xuan</v>
          </cell>
          <cell r="E1408">
            <v>633</v>
          </cell>
        </row>
        <row r="1409">
          <cell r="A1409" t="str">
            <v>NH Nong Nghiep va Phat Trien Nong Thon (AGRIBANK)</v>
          </cell>
          <cell r="D1409" t="str">
            <v>Phu YenNN&amp;PTNT Huyen Song Hinh</v>
          </cell>
          <cell r="E1409">
            <v>636</v>
          </cell>
        </row>
        <row r="1410">
          <cell r="A1410" t="str">
            <v>NH Nong Nghiep va Phat Trien Nong Thon (AGRIBANK)</v>
          </cell>
          <cell r="D1410" t="str">
            <v>Phu YenNN&amp;PTNT Huyen Tuy An</v>
          </cell>
          <cell r="E1410">
            <v>499</v>
          </cell>
        </row>
        <row r="1411">
          <cell r="A1411" t="str">
            <v>NH Nong Nghiep va Phat Trien Nong Thon (AGRIBANK)</v>
          </cell>
          <cell r="D1411" t="str">
            <v>Phu YenNN&amp;PTNT CN Nam TP Tuy Hoa</v>
          </cell>
          <cell r="E1411">
            <v>500</v>
          </cell>
        </row>
        <row r="1412">
          <cell r="A1412" t="str">
            <v>NH Nong Nghiep va Phat Trien Nong Thon (AGRIBANK)</v>
          </cell>
          <cell r="D1412" t="str">
            <v>Phu YenNN&amp;PTNT Tinh Phu Yen</v>
          </cell>
          <cell r="E1412">
            <v>575</v>
          </cell>
        </row>
        <row r="1413">
          <cell r="A1413" t="str">
            <v>NH Nong Nghiep va Phat Trien Nong Thon (AGRIBANK)</v>
          </cell>
          <cell r="D1413" t="str">
            <v>Phu YenNN&amp;PTNT TP Tuy Hoa</v>
          </cell>
          <cell r="E1413">
            <v>3554</v>
          </cell>
        </row>
        <row r="1414">
          <cell r="A1414" t="str">
            <v>NH Nong Nghiep va Phat Trien Nong Thon (AGRIBANK)</v>
          </cell>
          <cell r="D1414" t="str">
            <v>Phu YenNN&amp;PTNT Huyen Dong Hoa</v>
          </cell>
          <cell r="E1414">
            <v>3799</v>
          </cell>
        </row>
        <row r="1415">
          <cell r="A1415" t="str">
            <v>NH Nong Nghiep va Phat Trien Nong Thon (AGRIBANK)</v>
          </cell>
          <cell r="D1415" t="str">
            <v>Phu YenNN&amp;PTNT Huyen Phu Hoa</v>
          </cell>
          <cell r="E1415">
            <v>4015</v>
          </cell>
        </row>
        <row r="1416">
          <cell r="A1416" t="str">
            <v>NH Nong Nghiep va Phat Trien Nong Thon (AGRIBANK)</v>
          </cell>
          <cell r="D1416" t="str">
            <v>Phu YenNN&amp;PTNT Huyen Tay Hoa</v>
          </cell>
          <cell r="E1416">
            <v>4000</v>
          </cell>
        </row>
        <row r="1417">
          <cell r="A1417" t="str">
            <v>NH Nong Nghiep va Phat Trien Nong Thon (AGRIBANK)</v>
          </cell>
          <cell r="D1417" t="str">
            <v>Khanh HoaNN&amp;PTNT Huyen Ninh Hoa</v>
          </cell>
          <cell r="E1417">
            <v>462</v>
          </cell>
        </row>
        <row r="1418">
          <cell r="A1418" t="str">
            <v>NH Nong Nghiep va Phat Trien Nong Thon (AGRIBANK)</v>
          </cell>
          <cell r="D1418" t="str">
            <v>Khanh HoaNN&amp;PTNT Thi Xa Cam Ranh</v>
          </cell>
          <cell r="E1418">
            <v>389</v>
          </cell>
        </row>
        <row r="1419">
          <cell r="A1419" t="str">
            <v>NH Nong Nghiep va Phat Trien Nong Thon (AGRIBANK)</v>
          </cell>
          <cell r="D1419" t="str">
            <v>Khanh HoaNN&amp;PTNT Tinh Khanh Hoa</v>
          </cell>
          <cell r="E1419">
            <v>603</v>
          </cell>
        </row>
        <row r="1420">
          <cell r="A1420" t="str">
            <v>NH Nong Nghiep va Phat Trien Nong Thon (AGRIBANK)</v>
          </cell>
          <cell r="D1420" t="str">
            <v>Khanh HoaNN&amp;PTNT Huyen Van Ninh</v>
          </cell>
          <cell r="E1420">
            <v>503</v>
          </cell>
        </row>
        <row r="1421">
          <cell r="A1421" t="str">
            <v>NH Nong Nghiep va Phat Trien Nong Thon (AGRIBANK)</v>
          </cell>
          <cell r="D1421" t="str">
            <v>Khanh HoaNN&amp;PTNT Huyen Dien Khanh</v>
          </cell>
          <cell r="E1421">
            <v>353</v>
          </cell>
        </row>
        <row r="1422">
          <cell r="A1422" t="str">
            <v>NH Nong Nghiep va Phat Trien Nong Thon (AGRIBANK)</v>
          </cell>
          <cell r="D1422" t="str">
            <v>Khanh HoaNN&amp;PTNT CN Vinh Hiep</v>
          </cell>
          <cell r="E1422">
            <v>3529</v>
          </cell>
        </row>
        <row r="1423">
          <cell r="A1423" t="str">
            <v>NH Nong Nghiep va Phat Trien Nong Thon (AGRIBANK)</v>
          </cell>
          <cell r="D1423" t="str">
            <v>Khanh HoaNN&amp;PTNT CN Vinh Tho</v>
          </cell>
          <cell r="E1423">
            <v>3713</v>
          </cell>
        </row>
        <row r="1424">
          <cell r="A1424" t="str">
            <v>NH Nong Nghiep va Phat Trien Nong Thon (AGRIBANK)</v>
          </cell>
          <cell r="D1424" t="str">
            <v>Khanh HoaNN&amp;PTNT CN Cho Xom Moi</v>
          </cell>
          <cell r="E1424">
            <v>3835</v>
          </cell>
        </row>
        <row r="1425">
          <cell r="A1425" t="str">
            <v>NH Nong Nghiep va Phat Trien Nong Thon (AGRIBANK)</v>
          </cell>
          <cell r="D1425" t="str">
            <v>Khanh HoaNN&amp;PTNT TP Nha Trang</v>
          </cell>
          <cell r="E1425">
            <v>601</v>
          </cell>
        </row>
        <row r="1426">
          <cell r="A1426" t="str">
            <v>NH Nong Nghiep va Phat Trien Nong Thon (AGRIBANK)</v>
          </cell>
          <cell r="D1426" t="str">
            <v>Khanh HoaNN&amp;PTNT Huyen Cam Lam</v>
          </cell>
          <cell r="E1426">
            <v>3839</v>
          </cell>
        </row>
        <row r="1427">
          <cell r="A1427" t="str">
            <v>NH Nong Nghiep va Phat Trien Nong Thon (AGRIBANK)</v>
          </cell>
          <cell r="D1427" t="str">
            <v>Khanh HoaNN&amp;PTNT CN Nam Nha Trang</v>
          </cell>
          <cell r="E1427">
            <v>4954</v>
          </cell>
        </row>
        <row r="1428">
          <cell r="A1428" t="str">
            <v>NH Nong Nghiep va Phat Trien Nong Thon (AGRIBANK)</v>
          </cell>
          <cell r="D1428" t="str">
            <v>Khanh HoaNN&amp;PTNT Huyen Khanh Vinh</v>
          </cell>
          <cell r="E1428">
            <v>4955</v>
          </cell>
        </row>
        <row r="1429">
          <cell r="A1429" t="str">
            <v>NH Nong Nghiep va Phat Trien Nong Thon (AGRIBANK)</v>
          </cell>
          <cell r="D1429" t="str">
            <v>Khanh HoaNN&amp;PTNT Huyen Khanh Son</v>
          </cell>
          <cell r="E1429">
            <v>4956</v>
          </cell>
        </row>
        <row r="1430">
          <cell r="A1430" t="str">
            <v>NH Nong Nghiep va Phat Trien Nong Thon (AGRIBANK)</v>
          </cell>
          <cell r="D1430" t="str">
            <v>Dak NongNN&amp;PTNT Dak Nong</v>
          </cell>
          <cell r="E1430">
            <v>3225</v>
          </cell>
        </row>
        <row r="1431">
          <cell r="A1431" t="str">
            <v>NH Nong Nghiep va Phat Trien Nong Thon (AGRIBANK)</v>
          </cell>
          <cell r="D1431" t="str">
            <v>Dak NongN&amp;PTNT CN Cu Jut</v>
          </cell>
          <cell r="E1431">
            <v>5043</v>
          </cell>
        </row>
        <row r="1432">
          <cell r="A1432" t="str">
            <v>NH Nong Nghiep va Phat Trien Nong Thon (AGRIBANK)</v>
          </cell>
          <cell r="D1432" t="str">
            <v>Dak NongNN&amp;PTNT Huyen Dak Rlap</v>
          </cell>
          <cell r="E1432">
            <v>5036</v>
          </cell>
        </row>
        <row r="1433">
          <cell r="A1433" t="str">
            <v>NH Nong Nghiep va Phat Trien Nong Thon (AGRIBANK)</v>
          </cell>
          <cell r="D1433" t="str">
            <v>Dak NongNN&amp;PTNT CN Dak Song</v>
          </cell>
          <cell r="E1433">
            <v>5037</v>
          </cell>
        </row>
        <row r="1434">
          <cell r="A1434" t="str">
            <v>NH Nong Nghiep va Phat Trien Nong Thon (AGRIBANK)</v>
          </cell>
          <cell r="D1434" t="str">
            <v>Dak NongNN&amp;PTNT TX Gia Nghia</v>
          </cell>
          <cell r="E1434">
            <v>5038</v>
          </cell>
        </row>
        <row r="1435">
          <cell r="A1435" t="str">
            <v>NH Nong Nghiep va Phat Trien Nong Thon (AGRIBANK)</v>
          </cell>
          <cell r="D1435" t="str">
            <v>Dak NongNN&amp;PTNT Huyen Dak Glong</v>
          </cell>
          <cell r="E1435">
            <v>5039</v>
          </cell>
        </row>
        <row r="1436">
          <cell r="A1436" t="str">
            <v>NH Nong Nghiep va Phat Trien Nong Thon (AGRIBANK)</v>
          </cell>
          <cell r="D1436" t="str">
            <v>Dak NongNN&amp;PTNT CN Dak Mil</v>
          </cell>
          <cell r="E1436">
            <v>5040</v>
          </cell>
        </row>
        <row r="1437">
          <cell r="A1437" t="str">
            <v>NH Nong Nghiep va Phat Trien Nong Thon (AGRIBANK)</v>
          </cell>
          <cell r="D1437" t="str">
            <v>Dak NongNN&amp;PTNT CN Nam Dong</v>
          </cell>
          <cell r="E1437">
            <v>5041</v>
          </cell>
        </row>
        <row r="1438">
          <cell r="A1438" t="str">
            <v>NH Nong Nghiep va Phat Trien Nong Thon (AGRIBANK)</v>
          </cell>
          <cell r="D1438" t="str">
            <v>Dak NongNN&amp;PTNT CN Krong No</v>
          </cell>
          <cell r="E1438">
            <v>5042</v>
          </cell>
        </row>
        <row r="1439">
          <cell r="A1439" t="str">
            <v>NH Nong Nghiep va Phat Trien Nong Thon (AGRIBANK)</v>
          </cell>
          <cell r="D1439" t="str">
            <v>Binh ThuanNN&amp;PTNT Huyen Phu Quy</v>
          </cell>
          <cell r="E1439">
            <v>467</v>
          </cell>
        </row>
        <row r="1440">
          <cell r="A1440" t="str">
            <v>NH Nong Nghiep va Phat Trien Nong Thon (AGRIBANK)</v>
          </cell>
          <cell r="D1440" t="str">
            <v>Binh ThuanNN&amp;PTNT Huyen Bac Binh</v>
          </cell>
          <cell r="E1440">
            <v>377</v>
          </cell>
        </row>
        <row r="1441">
          <cell r="A1441" t="str">
            <v>NH Nong Nghiep va Phat Trien Nong Thon (AGRIBANK)</v>
          </cell>
          <cell r="D1441" t="str">
            <v>Binh ThuanNN&amp;PTNT Huyen Tanh Linh</v>
          </cell>
          <cell r="E1441">
            <v>484</v>
          </cell>
        </row>
        <row r="1442">
          <cell r="A1442" t="str">
            <v>NH Nong Nghiep va Phat Trien Nong Thon (AGRIBANK)</v>
          </cell>
          <cell r="D1442" t="str">
            <v>Binh ThuanNN&amp;PTNT Huyen Tuy Phong</v>
          </cell>
          <cell r="E1442">
            <v>501</v>
          </cell>
        </row>
        <row r="1443">
          <cell r="A1443" t="str">
            <v>NH Nong Nghiep va Phat Trien Nong Thon (AGRIBANK)</v>
          </cell>
          <cell r="D1443" t="str">
            <v>Binh ThuanNN&amp;PTNT Huyen Ham Thuan Bac</v>
          </cell>
          <cell r="E1443">
            <v>344</v>
          </cell>
        </row>
        <row r="1444">
          <cell r="A1444" t="str">
            <v>NH Nong Nghiep va Phat Trien Nong Thon (AGRIBANK)</v>
          </cell>
          <cell r="D1444" t="str">
            <v>Binh ThuanNN&amp;PTNT Huyen Ham Thuan Nam</v>
          </cell>
          <cell r="E1444">
            <v>345</v>
          </cell>
        </row>
        <row r="1445">
          <cell r="A1445" t="str">
            <v>NH Nong Nghiep va Phat Trien Nong Thon (AGRIBANK)</v>
          </cell>
          <cell r="D1445" t="str">
            <v>Binh ThuanNN&amp;PTNT Tinh Binh Thuan</v>
          </cell>
          <cell r="E1445">
            <v>551</v>
          </cell>
        </row>
        <row r="1446">
          <cell r="A1446" t="str">
            <v>NH Nong Nghiep va Phat Trien Nong Thon (AGRIBANK)</v>
          </cell>
          <cell r="D1446" t="str">
            <v>Binh ThuanNN&amp;PTNT Huyen Duc Linh</v>
          </cell>
          <cell r="E1446">
            <v>419</v>
          </cell>
        </row>
        <row r="1447">
          <cell r="A1447" t="str">
            <v>NH Nong Nghiep va Phat Trien Nong Thon (AGRIBANK)</v>
          </cell>
          <cell r="D1447" t="str">
            <v>Binh ThuanNN&amp;PTNT Huyen Ham Tan</v>
          </cell>
          <cell r="E1447">
            <v>427</v>
          </cell>
        </row>
        <row r="1448">
          <cell r="A1448" t="str">
            <v>NH Nong Nghiep va Phat Trien Nong Thon (AGRIBANK)</v>
          </cell>
          <cell r="D1448" t="str">
            <v>Binh ThuanNN&amp;PTNT Luong Son</v>
          </cell>
          <cell r="E1448">
            <v>3786</v>
          </cell>
        </row>
        <row r="1449">
          <cell r="A1449" t="str">
            <v>NH Nong Nghiep va Phat Trien Nong Thon (AGRIBANK)</v>
          </cell>
          <cell r="D1449" t="str">
            <v>Binh ThuanNN&amp;PTNT Nam Phan Thiet</v>
          </cell>
          <cell r="E1449">
            <v>3709</v>
          </cell>
        </row>
        <row r="1450">
          <cell r="A1450" t="str">
            <v>NH Nong Nghiep va Phat Trien Nong Thon (AGRIBANK)</v>
          </cell>
          <cell r="D1450" t="str">
            <v>Binh ThuanNN&amp;PTNT CN Phan Ri Cua</v>
          </cell>
          <cell r="E1450">
            <v>2630</v>
          </cell>
        </row>
        <row r="1451">
          <cell r="A1451" t="str">
            <v>NH Nong Nghiep va Phat Trien Nong Thon (AGRIBANK)</v>
          </cell>
          <cell r="D1451" t="str">
            <v>Binh ThuanNN&amp;PTNT Thi Xa La Gi</v>
          </cell>
          <cell r="E1451">
            <v>3900</v>
          </cell>
        </row>
        <row r="1452">
          <cell r="A1452" t="str">
            <v>NH Nong Nghiep va Phat Trien Nong Thon (AGRIBANK)</v>
          </cell>
          <cell r="D1452" t="str">
            <v>Binh ThuanNN&amp;PTNT CN Ham My</v>
          </cell>
          <cell r="E1452">
            <v>5018</v>
          </cell>
        </row>
        <row r="1453">
          <cell r="A1453" t="str">
            <v>NH Nong Nghiep va Phat Trien Nong Thon (AGRIBANK)</v>
          </cell>
          <cell r="D1453" t="str">
            <v>Binh ThuanNN&amp;PTNT TP Phan Thiet</v>
          </cell>
          <cell r="E1453">
            <v>5019</v>
          </cell>
        </row>
        <row r="1454">
          <cell r="A1454" t="str">
            <v>NH Nong Nghiep va Phat Trien Nong Thon (AGRIBANK)</v>
          </cell>
          <cell r="D1454" t="str">
            <v>Ninh ThuanNN&amp;PTNT Huyen Ninh Hai</v>
          </cell>
          <cell r="E1454">
            <v>461</v>
          </cell>
        </row>
        <row r="1455">
          <cell r="A1455" t="str">
            <v>NH Nong Nghiep va Phat Trien Nong Thon (AGRIBANK)</v>
          </cell>
          <cell r="D1455" t="str">
            <v>Ninh ThuanNN&amp;PTNT Huyen Ninh Son</v>
          </cell>
          <cell r="E1455">
            <v>463</v>
          </cell>
        </row>
        <row r="1456">
          <cell r="A1456" t="str">
            <v>NH Nong Nghiep va Phat Trien Nong Thon (AGRIBANK)</v>
          </cell>
          <cell r="D1456" t="str">
            <v>Ninh ThuanNN&amp;PTNT Huyen Ninh Phuoc</v>
          </cell>
          <cell r="E1456">
            <v>356</v>
          </cell>
        </row>
        <row r="1457">
          <cell r="A1457" t="str">
            <v>NH Nong Nghiep va Phat Trien Nong Thon (AGRIBANK)</v>
          </cell>
          <cell r="D1457" t="str">
            <v>Ninh ThuanNN&amp;PTNT Tinh Ninh Thuan</v>
          </cell>
          <cell r="E1457">
            <v>573</v>
          </cell>
        </row>
        <row r="1458">
          <cell r="A1458" t="str">
            <v>NH Nong Nghiep va Phat Trien Nong Thon (AGRIBANK)</v>
          </cell>
          <cell r="D1458" t="str">
            <v>Ninh ThuanNN&amp;PTNT CN Thap Cham</v>
          </cell>
          <cell r="E1458">
            <v>3894</v>
          </cell>
        </row>
        <row r="1459">
          <cell r="A1459" t="str">
            <v>NH Nong Nghiep va Phat Trien Nong Thon (AGRIBANK)</v>
          </cell>
          <cell r="D1459" t="str">
            <v>Ninh ThuanNN&amp;PTNT Dong My Hai</v>
          </cell>
          <cell r="E1459">
            <v>3537</v>
          </cell>
        </row>
        <row r="1460">
          <cell r="A1460" t="str">
            <v>NH Nong Nghiep va Phat Trien Nong Thon (AGRIBANK)</v>
          </cell>
          <cell r="D1460" t="str">
            <v>Ninh ThuanNN&amp;PTNT TP Phan Rang</v>
          </cell>
          <cell r="E1460">
            <v>5179</v>
          </cell>
        </row>
        <row r="1461">
          <cell r="A1461" t="str">
            <v>NH Nong Nghiep va Phat Trien Nong Thon (AGRIBANK)</v>
          </cell>
          <cell r="D1461" t="str">
            <v>Ninh ThuanNN&amp;PTNT Huyen Bac Ai</v>
          </cell>
          <cell r="E1461">
            <v>5180</v>
          </cell>
        </row>
        <row r="1462">
          <cell r="A1462" t="str">
            <v>NH Nong Nghiep va Phat Trien Nong Thon (AGRIBANK)</v>
          </cell>
          <cell r="D1462" t="str">
            <v>Gia LaiNN&amp;PTNT Huyen Mang Yang</v>
          </cell>
          <cell r="E1462">
            <v>453</v>
          </cell>
        </row>
        <row r="1463">
          <cell r="A1463" t="str">
            <v>NH Nong Nghiep va Phat Trien Nong Thon (AGRIBANK)</v>
          </cell>
          <cell r="D1463" t="str">
            <v>Gia LaiNN&amp;PTNT Huyen la Grai</v>
          </cell>
          <cell r="E1463">
            <v>510</v>
          </cell>
        </row>
        <row r="1464">
          <cell r="A1464" t="str">
            <v>NH Nong Nghiep va Phat Trien Nong Thon (AGRIBANK)</v>
          </cell>
          <cell r="D1464" t="str">
            <v>Gia LaiNN&amp;PTNT Gia Lai</v>
          </cell>
          <cell r="E1464">
            <v>558</v>
          </cell>
        </row>
        <row r="1465">
          <cell r="A1465" t="str">
            <v>NH Nong Nghiep va Phat Trien Nong Thon (AGRIBANK)</v>
          </cell>
          <cell r="D1465" t="str">
            <v>Gia LaiNN&amp;PTNT Huyen KRong Pa</v>
          </cell>
          <cell r="E1465">
            <v>435</v>
          </cell>
        </row>
        <row r="1466">
          <cell r="A1466" t="str">
            <v>NH Nong Nghiep va Phat Trien Nong Thon (AGRIBANK)</v>
          </cell>
          <cell r="D1466" t="str">
            <v>Gia LaiNN&amp;PTNT Huyen Kbang</v>
          </cell>
          <cell r="E1466">
            <v>436</v>
          </cell>
        </row>
        <row r="1467">
          <cell r="A1467" t="str">
            <v>NH Nong Nghiep va Phat Trien Nong Thon (AGRIBANK)</v>
          </cell>
          <cell r="D1467" t="str">
            <v>Gia LaiNN&amp;PTNT Huyen AYunPa</v>
          </cell>
          <cell r="E1467">
            <v>369</v>
          </cell>
        </row>
        <row r="1468">
          <cell r="A1468" t="str">
            <v>NH Nong Nghiep va Phat Trien Nong Thon (AGRIBANK)</v>
          </cell>
          <cell r="D1468" t="str">
            <v>Gia LaiNN&amp;PTNT Huyen An Khe</v>
          </cell>
          <cell r="E1468">
            <v>371</v>
          </cell>
        </row>
        <row r="1469">
          <cell r="A1469" t="str">
            <v>NH Nong Nghiep va Phat Trien Nong Thon (AGRIBANK)</v>
          </cell>
          <cell r="D1469" t="str">
            <v>Gia LaiNN&amp;PTNT Huyen Chu Pah</v>
          </cell>
          <cell r="E1469">
            <v>402</v>
          </cell>
        </row>
        <row r="1470">
          <cell r="A1470" t="str">
            <v>NH Nong Nghiep va Phat Trien Nong Thon (AGRIBANK)</v>
          </cell>
          <cell r="D1470" t="str">
            <v>Gia LaiNN&amp;PTNT Huyen Chu Se</v>
          </cell>
          <cell r="E1470">
            <v>403</v>
          </cell>
        </row>
        <row r="1471">
          <cell r="A1471" t="str">
            <v>NH Nong Nghiep va Phat Trien Nong Thon (AGRIBANK)</v>
          </cell>
          <cell r="D1471" t="str">
            <v>Gia LaiNN&amp;PTNT Huyen Dak Doa</v>
          </cell>
          <cell r="E1471">
            <v>3460</v>
          </cell>
        </row>
        <row r="1472">
          <cell r="A1472" t="str">
            <v>NH Nong Nghiep va Phat Trien Nong Thon (AGRIBANK)</v>
          </cell>
          <cell r="D1472" t="str">
            <v>Gia LaiNN&amp;PTNT CN Yen Do</v>
          </cell>
          <cell r="E1472">
            <v>2667</v>
          </cell>
        </row>
        <row r="1473">
          <cell r="A1473" t="str">
            <v>NH Nong Nghiep va Phat Trien Nong Thon (AGRIBANK)</v>
          </cell>
          <cell r="D1473" t="str">
            <v>Gia LaiNN&amp;PTNT Huyen KongChro</v>
          </cell>
          <cell r="E1473">
            <v>3568</v>
          </cell>
        </row>
        <row r="1474">
          <cell r="A1474" t="str">
            <v>NH Nong Nghiep va Phat Trien Nong Thon (AGRIBANK)</v>
          </cell>
          <cell r="D1474" t="str">
            <v>Gia LaiNN&amp;PTNT Huyen IaPa</v>
          </cell>
          <cell r="E1474">
            <v>3939</v>
          </cell>
        </row>
        <row r="1475">
          <cell r="A1475" t="str">
            <v>NH Nong Nghiep va Phat Trien Nong Thon (AGRIBANK)</v>
          </cell>
          <cell r="D1475" t="str">
            <v>Gia LaiNN&amp;PTNT Huyen Dak Po</v>
          </cell>
          <cell r="E1475">
            <v>3696</v>
          </cell>
        </row>
        <row r="1476">
          <cell r="A1476" t="str">
            <v>NH Nong Nghiep va Phat Trien Nong Thon (AGRIBANK)</v>
          </cell>
          <cell r="D1476" t="str">
            <v>Gia LaiNN&amp;PTNT CN Dien Hong</v>
          </cell>
          <cell r="E1476">
            <v>5204</v>
          </cell>
        </row>
        <row r="1477">
          <cell r="A1477" t="str">
            <v>NH Nong Nghiep va Phat Trien Nong Thon (AGRIBANK)</v>
          </cell>
          <cell r="D1477" t="str">
            <v>Gia LaiNN&amp;PTNT CN Hoi Thuong</v>
          </cell>
          <cell r="E1477">
            <v>5205</v>
          </cell>
        </row>
        <row r="1478">
          <cell r="A1478" t="str">
            <v>NH Nong Nghiep va Phat Trien Nong Thon (AGRIBANK)</v>
          </cell>
          <cell r="D1478" t="str">
            <v>Gia LaiNN&amp;PTNT CN Bien Ho</v>
          </cell>
          <cell r="E1478">
            <v>5206</v>
          </cell>
        </row>
        <row r="1479">
          <cell r="A1479" t="str">
            <v>NH Nong Nghiep va Phat Trien Nong Thon (AGRIBANK)</v>
          </cell>
          <cell r="D1479" t="str">
            <v>Gia LaiNN&amp;PTNT CN TP Pleiku</v>
          </cell>
          <cell r="E1479">
            <v>5207</v>
          </cell>
        </row>
        <row r="1480">
          <cell r="A1480" t="str">
            <v>NH Nong Nghiep va Phat Trien Nong Thon (AGRIBANK)</v>
          </cell>
          <cell r="D1480" t="str">
            <v>Gia LaiNN&amp;PTNT CN Hoa Lu</v>
          </cell>
          <cell r="E1480">
            <v>5208</v>
          </cell>
        </row>
        <row r="1481">
          <cell r="A1481" t="str">
            <v>NH Nong Nghiep va Phat Trien Nong Thon (AGRIBANK)</v>
          </cell>
          <cell r="D1481" t="str">
            <v>Gia LaiNN&amp;PTNT CN Tra Ba</v>
          </cell>
          <cell r="E1481">
            <v>5209</v>
          </cell>
        </row>
        <row r="1482">
          <cell r="A1482" t="str">
            <v>NH Nong Nghiep va Phat Trien Nong Thon (AGRIBANK)</v>
          </cell>
          <cell r="D1482" t="str">
            <v>Gia LaiNN&amp;PTNT Huyen Chu Puh</v>
          </cell>
          <cell r="E1482">
            <v>5210</v>
          </cell>
        </row>
        <row r="1483">
          <cell r="A1483" t="str">
            <v>NH Nong Nghiep va Phat Trien Nong Thon (AGRIBANK)</v>
          </cell>
          <cell r="D1483" t="str">
            <v>Gia LaiNN&amp;PTNT Huyen Phu Thien</v>
          </cell>
          <cell r="E1483">
            <v>5211</v>
          </cell>
        </row>
        <row r="1484">
          <cell r="A1484" t="str">
            <v>NH Nong Nghiep va Phat Trien Nong Thon (AGRIBANK)</v>
          </cell>
          <cell r="D1484" t="str">
            <v>Gia LaiNN&amp;PTNT Chu Prong</v>
          </cell>
          <cell r="E1484">
            <v>4673</v>
          </cell>
        </row>
        <row r="1485">
          <cell r="A1485" t="str">
            <v>NH Nong Nghiep va Phat Trien Nong Thon (AGRIBANK)</v>
          </cell>
          <cell r="D1485" t="str">
            <v>Gia LaiNN&amp;PTNT Duc Co</v>
          </cell>
          <cell r="E1485">
            <v>4682</v>
          </cell>
        </row>
        <row r="1486">
          <cell r="A1486" t="str">
            <v>NH Nong Nghiep va Phat Trien Nong Thon (AGRIBANK)</v>
          </cell>
          <cell r="D1486" t="str">
            <v>Kon TumNN&amp;PTNT Huyen Sa Thay</v>
          </cell>
          <cell r="E1486">
            <v>468</v>
          </cell>
        </row>
        <row r="1487">
          <cell r="A1487" t="str">
            <v>NH Nong Nghiep va Phat Trien Nong Thon (AGRIBANK)</v>
          </cell>
          <cell r="D1487" t="str">
            <v>Kon TumNN&amp;PTNT Tinh Kon Tum</v>
          </cell>
          <cell r="E1487">
            <v>565</v>
          </cell>
        </row>
        <row r="1488">
          <cell r="A1488" t="str">
            <v>NH Nong Nghiep va Phat Trien Nong Thon (AGRIBANK)</v>
          </cell>
          <cell r="D1488" t="str">
            <v>Kon TumNN&amp;PTNT Huyen Dak Ha</v>
          </cell>
          <cell r="E1488">
            <v>408</v>
          </cell>
        </row>
        <row r="1489">
          <cell r="A1489" t="str">
            <v>NH Nong Nghiep va Phat Trien Nong Thon (AGRIBANK)</v>
          </cell>
          <cell r="D1489" t="str">
            <v>Kon TumNN&amp;PTNT Huyen Dak To</v>
          </cell>
          <cell r="E1489">
            <v>412</v>
          </cell>
        </row>
        <row r="1490">
          <cell r="A1490" t="str">
            <v>NH Nong Nghiep va Phat Trien Nong Thon (AGRIBANK)</v>
          </cell>
          <cell r="D1490" t="str">
            <v>Kon TumNN&amp;PTNT PGD Thang Loi</v>
          </cell>
          <cell r="E1490">
            <v>3598</v>
          </cell>
        </row>
        <row r="1491">
          <cell r="A1491" t="str">
            <v>NH Nong Nghiep va Phat Trien Nong Thon (AGRIBANK)</v>
          </cell>
          <cell r="D1491" t="str">
            <v>Kon TumNN&amp;PTNT CN Quyet Thang</v>
          </cell>
          <cell r="E1491">
            <v>4058</v>
          </cell>
        </row>
        <row r="1492">
          <cell r="A1492" t="str">
            <v>NH Nong Nghiep va Phat Trien Nong Thon (AGRIBANK)</v>
          </cell>
          <cell r="D1492" t="str">
            <v>Kon TumNN&amp;PTNT CN Quang Trung - Kon Tum</v>
          </cell>
          <cell r="E1492">
            <v>5200</v>
          </cell>
        </row>
        <row r="1493">
          <cell r="A1493" t="str">
            <v>NH Nong Nghiep va Phat Trien Nong Thon (AGRIBANK)</v>
          </cell>
          <cell r="D1493" t="str">
            <v>Kon TumNN&amp;PTNT Huyen DakGlei</v>
          </cell>
          <cell r="E1493">
            <v>5201</v>
          </cell>
        </row>
        <row r="1494">
          <cell r="A1494" t="str">
            <v>NH Nong Nghiep va Phat Trien Nong Thon (AGRIBANK)</v>
          </cell>
          <cell r="D1494" t="str">
            <v>Kon TumNN&amp;PTNT Huyen Kon Ray</v>
          </cell>
          <cell r="E1494">
            <v>5202</v>
          </cell>
        </row>
        <row r="1495">
          <cell r="A1495" t="str">
            <v>NH Nong Nghiep va Phat Trien Nong Thon (AGRIBANK)</v>
          </cell>
          <cell r="D1495" t="str">
            <v>Kon TumNN&amp;PTNT PGD Le Loi</v>
          </cell>
          <cell r="E1495">
            <v>5203</v>
          </cell>
        </row>
        <row r="1496">
          <cell r="A1496" t="str">
            <v>NH Nong Nghiep va Phat Trien Nong Thon (AGRIBANK)</v>
          </cell>
          <cell r="D1496" t="str">
            <v>Kon TumNN&amp;PTNT Huyen Ngoc Hoi</v>
          </cell>
          <cell r="E1496">
            <v>460</v>
          </cell>
        </row>
        <row r="1497">
          <cell r="A1497" t="str">
            <v>NH Nong Nghiep va Phat Trien Nong Thon (AGRIBANK)</v>
          </cell>
          <cell r="D1497" t="str">
            <v>Dac LacNN&amp;PTNT CN Hoa Thang</v>
          </cell>
          <cell r="E1497">
            <v>5028</v>
          </cell>
        </row>
        <row r="1498">
          <cell r="A1498" t="str">
            <v>NH Nong Nghiep va Phat Trien Nong Thon (AGRIBANK)</v>
          </cell>
          <cell r="D1498" t="str">
            <v>Dac LacNN&amp;PTNT CN Tan Lap</v>
          </cell>
          <cell r="E1498">
            <v>5029</v>
          </cell>
        </row>
        <row r="1499">
          <cell r="A1499" t="str">
            <v>NH Nong Nghiep va Phat Trien Nong Thon (AGRIBANK)</v>
          </cell>
          <cell r="D1499" t="str">
            <v>Dac LacNN&amp;PTNT CN Hoa Khanh</v>
          </cell>
          <cell r="E1499">
            <v>5030</v>
          </cell>
        </row>
        <row r="1500">
          <cell r="A1500" t="str">
            <v>NH Nong Nghiep va Phat Trien Nong Thon (AGRIBANK)</v>
          </cell>
          <cell r="D1500" t="str">
            <v>Dac LacNN&amp;PTNT TX Buon Ho</v>
          </cell>
          <cell r="E1500">
            <v>4271</v>
          </cell>
        </row>
        <row r="1501">
          <cell r="A1501" t="str">
            <v>NH Nong Nghiep va Phat Trien Nong Thon (AGRIBANK)</v>
          </cell>
          <cell r="D1501" t="str">
            <v>Dac LacNN&amp;PTNT Huyen Krong ANa</v>
          </cell>
          <cell r="E1501">
            <v>360</v>
          </cell>
        </row>
        <row r="1502">
          <cell r="A1502" t="str">
            <v>NH Nong Nghiep va Phat Trien Nong Thon (AGRIBANK)</v>
          </cell>
          <cell r="D1502" t="str">
            <v>Dac LacNN&amp;PTNT Tinh Dak Lak</v>
          </cell>
          <cell r="E1502">
            <v>555</v>
          </cell>
        </row>
        <row r="1503">
          <cell r="A1503" t="str">
            <v>NH Nong Nghiep va Phat Trien Nong Thon (AGRIBANK)</v>
          </cell>
          <cell r="D1503" t="str">
            <v>Dac LacNN&amp;PTNT Huyen Ea Sup</v>
          </cell>
          <cell r="E1503">
            <v>422</v>
          </cell>
        </row>
        <row r="1504">
          <cell r="A1504" t="str">
            <v>NH Nong Nghiep va Phat Trien Nong Thon (AGRIBANK)</v>
          </cell>
          <cell r="D1504" t="str">
            <v>Dac LacNN&amp;PTNT Huyen KrongPak</v>
          </cell>
          <cell r="E1504">
            <v>442</v>
          </cell>
        </row>
        <row r="1505">
          <cell r="A1505" t="str">
            <v>NH Nong Nghiep va Phat Trien Nong Thon (AGRIBANK)</v>
          </cell>
          <cell r="D1505" t="str">
            <v>Dac LacNN&amp;PTNT Huyen Lak</v>
          </cell>
          <cell r="E1505">
            <v>445</v>
          </cell>
        </row>
        <row r="1506">
          <cell r="A1506" t="str">
            <v>NH Nong Nghiep va Phat Trien Nong Thon (AGRIBANK)</v>
          </cell>
          <cell r="D1506" t="str">
            <v>Dac LacNN&amp;PTNT Huyen Buon Don</v>
          </cell>
          <cell r="E1506">
            <v>385</v>
          </cell>
        </row>
        <row r="1507">
          <cell r="A1507" t="str">
            <v>NH Nong Nghiep va Phat Trien Nong Thon (AGRIBANK)</v>
          </cell>
          <cell r="D1507" t="str">
            <v>Dac LacNN&amp;PTNT Huyen Cu Mgar</v>
          </cell>
          <cell r="E1507">
            <v>405</v>
          </cell>
        </row>
        <row r="1508">
          <cell r="A1508" t="str">
            <v>NH Nong Nghiep va Phat Trien Nong Thon (AGRIBANK)</v>
          </cell>
          <cell r="D1508" t="str">
            <v>Dac LacNN&amp;PTNT TP.Buon Ma Thuot</v>
          </cell>
          <cell r="E1508">
            <v>630</v>
          </cell>
        </row>
        <row r="1509">
          <cell r="A1509" t="str">
            <v>NH Nong Nghiep va Phat Trien Nong Thon (AGRIBANK)</v>
          </cell>
          <cell r="D1509" t="str">
            <v>Dac LacNN&amp;PTNT Huyen Krong Bong</v>
          </cell>
          <cell r="E1509">
            <v>3430</v>
          </cell>
        </row>
        <row r="1510">
          <cell r="A1510" t="str">
            <v>NH Nong Nghiep va Phat Trien Nong Thon (AGRIBANK)</v>
          </cell>
          <cell r="D1510" t="str">
            <v>Dac LacNN&amp;PTNT Huyen Krong Nang</v>
          </cell>
          <cell r="E1510">
            <v>4025</v>
          </cell>
        </row>
        <row r="1511">
          <cell r="A1511" t="str">
            <v>NH Nong Nghiep va Phat Trien Nong Thon (AGRIBANK)</v>
          </cell>
          <cell r="D1511" t="str">
            <v>Dac LacNN&amp;PTNT Ea Knop</v>
          </cell>
          <cell r="E1511">
            <v>3681</v>
          </cell>
        </row>
        <row r="1512">
          <cell r="A1512" t="str">
            <v>NH Nong Nghiep va Phat Trien Nong Thon (AGRIBANK)</v>
          </cell>
          <cell r="D1512" t="str">
            <v>Dac LacNN&amp;PTNT Pong Drang</v>
          </cell>
          <cell r="E1512">
            <v>3902</v>
          </cell>
        </row>
        <row r="1513">
          <cell r="A1513" t="str">
            <v>NH Nong Nghiep va Phat Trien Nong Thon (AGRIBANK)</v>
          </cell>
          <cell r="D1513" t="str">
            <v>Dac LacNN&amp;PTNT Huyen Ea H'Leo</v>
          </cell>
          <cell r="E1513">
            <v>4006</v>
          </cell>
        </row>
        <row r="1514">
          <cell r="A1514" t="str">
            <v>NH Nong Nghiep va Phat Trien Nong Thon (AGRIBANK)</v>
          </cell>
          <cell r="D1514" t="str">
            <v>Dac LacNN&amp;PTNT Huyen Ea Tam</v>
          </cell>
          <cell r="E1514">
            <v>5031</v>
          </cell>
        </row>
        <row r="1515">
          <cell r="A1515" t="str">
            <v>NH Nong Nghiep va Phat Trien Nong Thon (AGRIBANK)</v>
          </cell>
          <cell r="D1515" t="str">
            <v>Dac LacNN&amp;PTNT CN No Trang Long</v>
          </cell>
          <cell r="E1515">
            <v>5032</v>
          </cell>
        </row>
        <row r="1516">
          <cell r="A1516" t="str">
            <v>NH Nong Nghiep va Phat Trien Nong Thon (AGRIBANK)</v>
          </cell>
          <cell r="D1516" t="str">
            <v>Dac LacNN&amp;PTNT CN Le Hong Phong</v>
          </cell>
          <cell r="E1516">
            <v>5033</v>
          </cell>
        </row>
        <row r="1517">
          <cell r="A1517" t="str">
            <v>NH Nong Nghiep va Phat Trien Nong Thon (AGRIBANK)</v>
          </cell>
          <cell r="D1517" t="str">
            <v>Dac LacNN&amp;PTNT CN Hoa Thuan</v>
          </cell>
          <cell r="E1517">
            <v>5034</v>
          </cell>
        </row>
        <row r="1518">
          <cell r="A1518" t="str">
            <v>NH Nong Nghiep va Phat Trien Nong Thon (AGRIBANK)</v>
          </cell>
          <cell r="D1518" t="str">
            <v>Dac LacNN&amp;PTNT CN Ea Cpam</v>
          </cell>
          <cell r="E1518">
            <v>5035</v>
          </cell>
        </row>
        <row r="1519">
          <cell r="A1519" t="str">
            <v>NH Nong Nghiep va Phat Trien Nong Thon (AGRIBANK)</v>
          </cell>
          <cell r="D1519" t="str">
            <v>Dac LacNN&amp;PTNT Ea Toh</v>
          </cell>
          <cell r="E1519">
            <v>3901</v>
          </cell>
        </row>
        <row r="1520">
          <cell r="A1520" t="str">
            <v>NH Nong Nghiep va Phat Trien Nong Thon (AGRIBANK)</v>
          </cell>
          <cell r="D1520" t="str">
            <v>Dac LacNN&amp;PTNT Huyen Ea Kar</v>
          </cell>
          <cell r="E1520">
            <v>5020</v>
          </cell>
        </row>
        <row r="1521">
          <cell r="A1521" t="str">
            <v>NH Nong Nghiep va Phat Trien Nong Thon (AGRIBANK)</v>
          </cell>
          <cell r="D1521" t="str">
            <v>Dac LacNN&amp;PTNT CN Cu Kuin</v>
          </cell>
          <cell r="E1521">
            <v>5021</v>
          </cell>
        </row>
        <row r="1522">
          <cell r="A1522" t="str">
            <v>NH Nong Nghiep va Phat Trien Nong Thon (AGRIBANK)</v>
          </cell>
          <cell r="D1522" t="str">
            <v>Dac LacNN&amp;PTNT Huyen M' Drak</v>
          </cell>
          <cell r="E1522">
            <v>5022</v>
          </cell>
        </row>
        <row r="1523">
          <cell r="A1523" t="str">
            <v>NH Nong Nghiep va Phat Trien Nong Thon (AGRIBANK)</v>
          </cell>
          <cell r="D1523" t="str">
            <v>Dac LacNN&amp;PTNT CN Le Thanh Tong</v>
          </cell>
          <cell r="E1523">
            <v>5023</v>
          </cell>
        </row>
        <row r="1524">
          <cell r="A1524" t="str">
            <v>NH Nong Nghiep va Phat Trien Nong Thon (AGRIBANK)</v>
          </cell>
          <cell r="D1524" t="str">
            <v>Dac LacNN&amp;PTNT CN Tan An</v>
          </cell>
          <cell r="E1524">
            <v>5024</v>
          </cell>
        </row>
        <row r="1525">
          <cell r="A1525" t="str">
            <v>NH Nong Nghiep va Phat Trien Nong Thon (AGRIBANK)</v>
          </cell>
          <cell r="D1525" t="str">
            <v>Dac LacNN&amp;PTNT CN Phan Chu Trinh</v>
          </cell>
          <cell r="E1525">
            <v>5025</v>
          </cell>
        </row>
        <row r="1526">
          <cell r="A1526" t="str">
            <v>NH Nong Nghiep va Phat Trien Nong Thon (AGRIBANK)</v>
          </cell>
          <cell r="D1526" t="str">
            <v>Dac LacNN&amp;PTNT Huyen Ea Phe</v>
          </cell>
          <cell r="E1526">
            <v>5026</v>
          </cell>
        </row>
        <row r="1527">
          <cell r="A1527" t="str">
            <v>NH Nong Nghiep va Phat Trien Nong Thon (AGRIBANK)</v>
          </cell>
          <cell r="D1527" t="str">
            <v>Dac LacNN&amp;PTNT Huyen Ea Ral</v>
          </cell>
          <cell r="E1527">
            <v>5027</v>
          </cell>
        </row>
        <row r="1528">
          <cell r="A1528" t="str">
            <v>NH Nong Nghiep va Phat Trien Nong Thon (AGRIBANK)</v>
          </cell>
          <cell r="D1528" t="str">
            <v>Lam DongNN&amp;PTNT Huyen Lam Ha</v>
          </cell>
          <cell r="E1528">
            <v>446</v>
          </cell>
        </row>
        <row r="1529">
          <cell r="A1529" t="str">
            <v>NH Nong Nghiep va Phat Trien Nong Thon (AGRIBANK)</v>
          </cell>
          <cell r="D1529" t="str">
            <v>Lam DongNN&amp;PTNT CN Nam Lam Dong (Dau Tam To)</v>
          </cell>
          <cell r="E1529">
            <v>327</v>
          </cell>
        </row>
        <row r="1530">
          <cell r="A1530" t="str">
            <v>NH Nong Nghiep va Phat Trien Nong Thon (AGRIBANK)</v>
          </cell>
          <cell r="D1530" t="str">
            <v>Lam DongNN&amp;PTNT Lam Dong</v>
          </cell>
          <cell r="E1530">
            <v>567</v>
          </cell>
        </row>
        <row r="1531">
          <cell r="A1531" t="str">
            <v>NH Nong Nghiep va Phat Trien Nong Thon (AGRIBANK)</v>
          </cell>
          <cell r="D1531" t="str">
            <v>Lam DongNN&amp;PTNT Huyen Duc Trong</v>
          </cell>
          <cell r="E1531">
            <v>420</v>
          </cell>
        </row>
        <row r="1532">
          <cell r="A1532" t="str">
            <v>NH Nong Nghiep va Phat Trien Nong Thon (AGRIBANK)</v>
          </cell>
          <cell r="D1532" t="str">
            <v>Lam DongNN&amp;PTNT Huyen Lac Duong</v>
          </cell>
          <cell r="E1532">
            <v>443</v>
          </cell>
        </row>
        <row r="1533">
          <cell r="A1533" t="str">
            <v>NH Nong Nghiep va Phat Trien Nong Thon (AGRIBANK)</v>
          </cell>
          <cell r="D1533" t="str">
            <v>Lam DongNN&amp;PTNT Huyen Da Huoai</v>
          </cell>
          <cell r="E1533">
            <v>406</v>
          </cell>
        </row>
        <row r="1534">
          <cell r="A1534" t="str">
            <v>NH Nong Nghiep va Phat Trien Nong Thon (AGRIBANK)</v>
          </cell>
          <cell r="D1534" t="str">
            <v>Lam DongNN&amp;PTNT Huyen Da.Teh</v>
          </cell>
          <cell r="E1534">
            <v>407</v>
          </cell>
        </row>
        <row r="1535">
          <cell r="A1535" t="str">
            <v>NH Nong Nghiep va Phat Trien Nong Thon (AGRIBANK)</v>
          </cell>
          <cell r="D1535" t="str">
            <v>Lam DongNN&amp;PTNT Huyen Di Linh</v>
          </cell>
          <cell r="E1535">
            <v>414</v>
          </cell>
        </row>
        <row r="1536">
          <cell r="A1536" t="str">
            <v>NH Nong Nghiep va Phat Trien Nong Thon (AGRIBANK)</v>
          </cell>
          <cell r="D1536" t="str">
            <v>Lam DongNN&amp;PTNT Huyen Don Duong</v>
          </cell>
          <cell r="E1536">
            <v>415</v>
          </cell>
        </row>
        <row r="1537">
          <cell r="A1537" t="str">
            <v>NH Nong Nghiep va Phat Trien Nong Thon (AGRIBANK)</v>
          </cell>
          <cell r="D1537" t="str">
            <v>Lam DongNN&amp;PTNT TP Da Lat</v>
          </cell>
          <cell r="E1537">
            <v>2787</v>
          </cell>
        </row>
        <row r="1538">
          <cell r="A1538" t="str">
            <v>NH Nong Nghiep va Phat Trien Nong Thon (AGRIBANK)</v>
          </cell>
          <cell r="D1538" t="str">
            <v>Lam DongNN&amp;PTNT Hiep Thanh</v>
          </cell>
          <cell r="E1538">
            <v>3992</v>
          </cell>
        </row>
        <row r="1539">
          <cell r="A1539" t="str">
            <v>NH Nong Nghiep va Phat Trien Nong Thon (AGRIBANK)</v>
          </cell>
          <cell r="D1539" t="str">
            <v>Lam DongNN&amp;PTNT Huyen Cat Tien</v>
          </cell>
          <cell r="E1539">
            <v>3683</v>
          </cell>
        </row>
        <row r="1540">
          <cell r="A1540" t="str">
            <v>NH Nong Nghiep va Phat Trien Nong Thon (AGRIBANK)</v>
          </cell>
          <cell r="D1540" t="str">
            <v xml:space="preserve">Lam DongNN&amp;PTNT CN Hoa Ninh </v>
          </cell>
          <cell r="E1540">
            <v>5044</v>
          </cell>
        </row>
        <row r="1541">
          <cell r="A1541" t="str">
            <v>NH Nong Nghiep va Phat Trien Nong Thon (AGRIBANK)</v>
          </cell>
          <cell r="D1541" t="str">
            <v>Lam DongNN&amp;PTNT CN Loc An Nam</v>
          </cell>
          <cell r="E1541">
            <v>5045</v>
          </cell>
        </row>
        <row r="1542">
          <cell r="A1542" t="str">
            <v>NH Nong Nghiep va Phat Trien Nong Thon (AGRIBANK)</v>
          </cell>
          <cell r="D1542" t="str">
            <v>Lam DongNN&amp;PTNT CN Bao Lam Nam</v>
          </cell>
          <cell r="E1542">
            <v>5046</v>
          </cell>
        </row>
        <row r="1543">
          <cell r="A1543" t="str">
            <v>NH Nong Nghiep va Phat Trien Nong Thon (AGRIBANK)</v>
          </cell>
          <cell r="D1543" t="str">
            <v>Lam DongNN&amp;PTNT CN Loc Phat Nam</v>
          </cell>
          <cell r="E1543">
            <v>5047</v>
          </cell>
        </row>
        <row r="1544">
          <cell r="A1544" t="str">
            <v>NH Nong Nghiep va Phat Trien Nong Thon (AGRIBANK)</v>
          </cell>
          <cell r="D1544" t="str">
            <v>Lam DongNN&amp;PTNT CN Loc Thanh Nam</v>
          </cell>
          <cell r="E1544">
            <v>5048</v>
          </cell>
        </row>
        <row r="1545">
          <cell r="A1545" t="str">
            <v>NH Nong Nghiep va Phat Trien Nong Thon (AGRIBANK)</v>
          </cell>
          <cell r="D1545" t="str">
            <v>Hau GiangNN&amp;PTNT Hau Giang</v>
          </cell>
          <cell r="E1545">
            <v>3447</v>
          </cell>
        </row>
        <row r="1546">
          <cell r="A1546" t="str">
            <v>NH Nong Nghiep va Phat Trien Nong Thon (AGRIBANK)</v>
          </cell>
          <cell r="D1546" t="str">
            <v>Hau GiangNN&amp;PTNT Hoa Luu</v>
          </cell>
          <cell r="E1546">
            <v>3639</v>
          </cell>
        </row>
        <row r="1547">
          <cell r="A1547" t="str">
            <v>NH Nong Nghiep va Phat Trien Nong Thon (AGRIBANK)</v>
          </cell>
          <cell r="D1547" t="str">
            <v>Hau GiangNN&amp;PTNT Huyen Long My</v>
          </cell>
          <cell r="E1547">
            <v>3772</v>
          </cell>
        </row>
        <row r="1548">
          <cell r="A1548" t="str">
            <v>NH Nong Nghiep va Phat Trien Nong Thon (AGRIBANK)</v>
          </cell>
          <cell r="D1548" t="str">
            <v>Hau GiangNN&amp;PTNT TX Nga Bay</v>
          </cell>
          <cell r="E1548">
            <v>5076</v>
          </cell>
        </row>
        <row r="1549">
          <cell r="A1549" t="str">
            <v>NH Nong Nghiep va Phat Trien Nong Thon (AGRIBANK)</v>
          </cell>
          <cell r="D1549" t="str">
            <v>Hau GiangNN&amp;PTNT Huyen Vi Thuy</v>
          </cell>
          <cell r="E1549">
            <v>5077</v>
          </cell>
        </row>
        <row r="1550">
          <cell r="A1550" t="str">
            <v>NH Nong Nghiep va Phat Trien Nong Thon (AGRIBANK)</v>
          </cell>
          <cell r="D1550" t="str">
            <v>Hau GiangNN&amp;PTNT Huyen Chau Thanh A</v>
          </cell>
          <cell r="E1550">
            <v>5078</v>
          </cell>
        </row>
        <row r="1551">
          <cell r="A1551" t="str">
            <v>NH Nong Nghiep va Phat Trien Nong Thon (AGRIBANK)</v>
          </cell>
          <cell r="D1551" t="str">
            <v>Hau GiangNN&amp;PTNT Huyen Chau Thanh</v>
          </cell>
          <cell r="E1551">
            <v>5079</v>
          </cell>
        </row>
        <row r="1552">
          <cell r="A1552" t="str">
            <v>NH Nong Nghiep va Phat Trien Nong Thon (AGRIBANK)</v>
          </cell>
          <cell r="D1552" t="str">
            <v>Hau GiangNN&amp;PTNT Huyen Phung Hiep</v>
          </cell>
          <cell r="E1552">
            <v>5080</v>
          </cell>
        </row>
        <row r="1553">
          <cell r="A1553" t="str">
            <v>NH Nong Nghiep va Phat Trien Nong Thon (AGRIBANK)</v>
          </cell>
          <cell r="D1553" t="str">
            <v>Hau GiangNN&amp;PTNT CN Cai Tac</v>
          </cell>
          <cell r="E1553">
            <v>5081</v>
          </cell>
        </row>
        <row r="1554">
          <cell r="A1554" t="str">
            <v>NH Nong Nghiep va Phat Trien Nong Thon (AGRIBANK)</v>
          </cell>
          <cell r="D1554" t="str">
            <v>Binh DuongNN&amp;PTNT CN So Sao</v>
          </cell>
          <cell r="E1554">
            <v>5212</v>
          </cell>
        </row>
        <row r="1555">
          <cell r="A1555" t="str">
            <v>NH Nong Nghiep va Phat Trien Nong Thon (AGRIBANK)</v>
          </cell>
          <cell r="D1555" t="str">
            <v>Binh DuongNN&amp;PTNT Huyen Tan Uyen</v>
          </cell>
          <cell r="E1555">
            <v>483</v>
          </cell>
        </row>
        <row r="1556">
          <cell r="A1556" t="str">
            <v>NH Nong Nghiep va Phat Trien Nong Thon (AGRIBANK)</v>
          </cell>
          <cell r="D1556" t="str">
            <v>Binh DuongNN&amp;PTNT Binh Duong</v>
          </cell>
          <cell r="E1556">
            <v>550</v>
          </cell>
        </row>
        <row r="1557">
          <cell r="A1557" t="str">
            <v>NH Nong Nghiep va Phat Trien Nong Thon (AGRIBANK)</v>
          </cell>
          <cell r="D1557" t="str">
            <v>Binh DuongNN&amp;PTNT Huyen Ben Cat</v>
          </cell>
          <cell r="E1557">
            <v>378</v>
          </cell>
        </row>
        <row r="1558">
          <cell r="A1558" t="str">
            <v>NH Nong Nghiep va Phat Trien Nong Thon (AGRIBANK)</v>
          </cell>
          <cell r="D1558" t="str">
            <v>Binh DuongNN&amp;PTNT KCN Song Than</v>
          </cell>
          <cell r="E1558">
            <v>618</v>
          </cell>
        </row>
        <row r="1559">
          <cell r="A1559" t="str">
            <v>NH Nong Nghiep va Phat Trien Nong Thon (AGRIBANK)</v>
          </cell>
          <cell r="D1559" t="str">
            <v>Binh DuongNN&amp;PTNT Tan Phuoc Khanh</v>
          </cell>
          <cell r="E1559">
            <v>3438</v>
          </cell>
        </row>
        <row r="1560">
          <cell r="A1560" t="str">
            <v>NH Nong Nghiep va Phat Trien Nong Thon (AGRIBANK)</v>
          </cell>
          <cell r="D1560" t="str">
            <v>Binh DuongNN&amp;PTNT Huyen Dau Tieng</v>
          </cell>
          <cell r="E1560">
            <v>3682</v>
          </cell>
        </row>
        <row r="1561">
          <cell r="A1561" t="str">
            <v>NH Nong Nghiep va Phat Trien Nong Thon (AGRIBANK)</v>
          </cell>
          <cell r="D1561" t="str">
            <v>Binh DuongNN&amp;PTNT Huyen Phu Giao</v>
          </cell>
          <cell r="E1561">
            <v>3768</v>
          </cell>
        </row>
        <row r="1562">
          <cell r="A1562" t="str">
            <v>NH Nong Nghiep va Phat Trien Nong Thon (AGRIBANK)</v>
          </cell>
          <cell r="D1562" t="str">
            <v>Binh DuongNN&amp;PTNT TX Thu Dau Mot</v>
          </cell>
          <cell r="E1562">
            <v>3907</v>
          </cell>
        </row>
        <row r="1563">
          <cell r="A1563" t="str">
            <v>NH Nong Nghiep va Phat Trien Nong Thon (AGRIBANK)</v>
          </cell>
          <cell r="D1563" t="str">
            <v>Binh DuongNN&amp;PTNT TX Thuan An</v>
          </cell>
          <cell r="E1563">
            <v>5050</v>
          </cell>
        </row>
        <row r="1564">
          <cell r="A1564" t="str">
            <v>NH Nong Nghiep va Phat Trien Nong Thon (AGRIBANK)</v>
          </cell>
          <cell r="D1564" t="str">
            <v>Binh DuongNN&amp;PTNT TX Di An</v>
          </cell>
          <cell r="E1564">
            <v>5051</v>
          </cell>
        </row>
        <row r="1565">
          <cell r="A1565" t="str">
            <v>NH Nong Nghiep va Phat Trien Nong Thon (AGRIBANK)</v>
          </cell>
          <cell r="D1565" t="str">
            <v>Binh PhuocNN&amp;PTNT Huyen Bu Gia Map Binh Phuoc</v>
          </cell>
          <cell r="E1565">
            <v>362</v>
          </cell>
        </row>
        <row r="1566">
          <cell r="A1566" t="str">
            <v>NH Nong Nghiep va Phat Trien Nong Thon (AGRIBANK)</v>
          </cell>
          <cell r="D1566" t="str">
            <v>Binh PhuocNN&amp;PTNT Huyen Binh Long</v>
          </cell>
          <cell r="E1566">
            <v>382</v>
          </cell>
        </row>
        <row r="1567">
          <cell r="A1567" t="str">
            <v>NH Nong Nghiep va Phat Trien Nong Thon (AGRIBANK)</v>
          </cell>
          <cell r="D1567" t="str">
            <v>Binh PhuocNN&amp;PTNT Huyen Bu Dang</v>
          </cell>
          <cell r="E1567">
            <v>384</v>
          </cell>
        </row>
        <row r="1568">
          <cell r="A1568" t="str">
            <v>NH Nong Nghiep va Phat Trien Nong Thon (AGRIBANK)</v>
          </cell>
          <cell r="D1568" t="str">
            <v>Binh PhuocNN&amp;PTNT Tinh Binh Phuoc</v>
          </cell>
          <cell r="E1568">
            <v>602</v>
          </cell>
        </row>
        <row r="1569">
          <cell r="A1569" t="str">
            <v>NH Nong Nghiep va Phat Trien Nong Thon (AGRIBANK)</v>
          </cell>
          <cell r="D1569" t="str">
            <v>Binh PhuocNN&amp;PTNT Huyen Chon Thanh</v>
          </cell>
          <cell r="E1569">
            <v>2814</v>
          </cell>
        </row>
        <row r="1570">
          <cell r="A1570" t="str">
            <v>NH Nong Nghiep va Phat Trien Nong Thon (AGRIBANK)</v>
          </cell>
          <cell r="D1570" t="str">
            <v>Binh PhuocNN&amp;PTNT Phu Rieng</v>
          </cell>
          <cell r="E1570">
            <v>3882</v>
          </cell>
        </row>
        <row r="1571">
          <cell r="A1571" t="str">
            <v>NH Nong Nghiep va Phat Trien Nong Thon (AGRIBANK)</v>
          </cell>
          <cell r="D1571" t="str">
            <v>Binh PhuocNN&amp;PTNT Da Kia</v>
          </cell>
          <cell r="E1571">
            <v>3914</v>
          </cell>
        </row>
        <row r="1572">
          <cell r="A1572" t="str">
            <v>NH Nong Nghiep va Phat Trien Nong Thon (AGRIBANK)</v>
          </cell>
          <cell r="D1572" t="str">
            <v>Binh PhuocNN&amp;PTNT Huyen Phuoc Long</v>
          </cell>
          <cell r="E1572">
            <v>3795</v>
          </cell>
        </row>
        <row r="1573">
          <cell r="A1573" t="str">
            <v>NH Nong Nghiep va Phat Trien Nong Thon (AGRIBANK)</v>
          </cell>
          <cell r="D1573" t="str">
            <v>Binh PhuocNN&amp;PTNT Huyen Bu Dop</v>
          </cell>
          <cell r="E1573">
            <v>3725</v>
          </cell>
        </row>
        <row r="1574">
          <cell r="A1574" t="str">
            <v>NH Nong Nghiep va Phat Trien Nong Thon (AGRIBANK)</v>
          </cell>
          <cell r="D1574" t="str">
            <v>Binh PhuocNN&amp;PTNT Bu Nho</v>
          </cell>
          <cell r="E1574">
            <v>3891</v>
          </cell>
        </row>
        <row r="1575">
          <cell r="A1575" t="str">
            <v>NH Nong Nghiep va Phat Trien Nong Thon (AGRIBANK)</v>
          </cell>
          <cell r="D1575" t="str">
            <v>Binh PhuocNN&amp;PTNT TX Dong Xoai</v>
          </cell>
          <cell r="E1575">
            <v>5181</v>
          </cell>
        </row>
        <row r="1576">
          <cell r="A1576" t="str">
            <v>NH Nong Nghiep va Phat Trien Nong Thon (AGRIBANK)</v>
          </cell>
          <cell r="D1576" t="str">
            <v>Binh PhuocNN&amp;PTNT Huyen Dong Phu</v>
          </cell>
          <cell r="E1576">
            <v>5182</v>
          </cell>
        </row>
        <row r="1577">
          <cell r="A1577" t="str">
            <v>NH Nong Nghiep va Phat Trien Nong Thon (AGRIBANK)</v>
          </cell>
          <cell r="D1577" t="str">
            <v>Binh PhuocNN&amp;PTNT CN Duc Lieu</v>
          </cell>
          <cell r="E1577">
            <v>5183</v>
          </cell>
        </row>
        <row r="1578">
          <cell r="A1578" t="str">
            <v>NH Nong Nghiep va Phat Trien Nong Thon (AGRIBANK)</v>
          </cell>
          <cell r="D1578" t="str">
            <v>Binh PhuocNN&amp;PTNT CN Phuoc Binh</v>
          </cell>
          <cell r="E1578">
            <v>5184</v>
          </cell>
        </row>
        <row r="1579">
          <cell r="A1579" t="str">
            <v>NH Nong Nghiep va Phat Trien Nong Thon (AGRIBANK)</v>
          </cell>
          <cell r="D1579" t="str">
            <v>Binh PhuocNN&amp;PTNT CN Loc Hiep</v>
          </cell>
          <cell r="E1579">
            <v>5185</v>
          </cell>
        </row>
        <row r="1580">
          <cell r="A1580" t="str">
            <v>NH Nong Nghiep va Phat Trien Nong Thon (AGRIBANK)</v>
          </cell>
          <cell r="D1580" t="str">
            <v>Binh PhuocNN&amp;PTNT CN Tan Thanh</v>
          </cell>
          <cell r="E1580">
            <v>5186</v>
          </cell>
        </row>
        <row r="1581">
          <cell r="A1581" t="str">
            <v>NH Nong Nghiep va Phat Trien Nong Thon (AGRIBANK)</v>
          </cell>
          <cell r="D1581" t="str">
            <v>Binh PhuocNN&amp;PTNT Huyen Hon Quan Binh Phuoc</v>
          </cell>
          <cell r="E1581">
            <v>5187</v>
          </cell>
        </row>
        <row r="1582">
          <cell r="A1582" t="str">
            <v>NH Nong Nghiep va Phat Trien Nong Thon (AGRIBANK)</v>
          </cell>
          <cell r="D1582" t="str">
            <v>Binh PhuocNN&amp;PTNT Huyen Loc Ninh</v>
          </cell>
          <cell r="E1582">
            <v>448</v>
          </cell>
        </row>
        <row r="1583">
          <cell r="A1583" t="str">
            <v>NH Nong Nghiep va Phat Trien Nong Thon (AGRIBANK)</v>
          </cell>
          <cell r="D1583" t="str">
            <v>Tay NinhNN&amp;PTNT Huyen Chau Thanh</v>
          </cell>
          <cell r="E1583">
            <v>358</v>
          </cell>
        </row>
        <row r="1584">
          <cell r="A1584" t="str">
            <v>NH Nong Nghiep va Phat Trien Nong Thon (AGRIBANK)</v>
          </cell>
          <cell r="D1584" t="str">
            <v>Tay NinhNN&amp;PTNT Huyen Trang Bang</v>
          </cell>
          <cell r="E1584">
            <v>364</v>
          </cell>
        </row>
        <row r="1585">
          <cell r="A1585" t="str">
            <v>NH Nong Nghiep va Phat Trien Nong Thon (AGRIBANK)</v>
          </cell>
          <cell r="D1585" t="str">
            <v>Tay NinhNN&amp;PTNT Huyen Tan Bien</v>
          </cell>
          <cell r="E1585">
            <v>474</v>
          </cell>
        </row>
        <row r="1586">
          <cell r="A1586" t="str">
            <v>NH Nong Nghiep va Phat Trien Nong Thon (AGRIBANK)</v>
          </cell>
          <cell r="D1586" t="str">
            <v>Tay NinhNN&amp;PTNT Huyen Tan Chau</v>
          </cell>
          <cell r="E1586">
            <v>475</v>
          </cell>
        </row>
        <row r="1587">
          <cell r="A1587" t="str">
            <v>NH Nong Nghiep va Phat Trien Nong Thon (AGRIBANK)</v>
          </cell>
          <cell r="D1587" t="str">
            <v>Tay NinhNN&amp;PTNT Huyen Go Dau</v>
          </cell>
          <cell r="E1587">
            <v>424</v>
          </cell>
        </row>
        <row r="1588">
          <cell r="A1588" t="str">
            <v>NH Nong Nghiep va Phat Trien Nong Thon (AGRIBANK)</v>
          </cell>
          <cell r="D1588" t="str">
            <v>Tay NinhNN&amp;PTNT Huyen Hoa Thanh</v>
          </cell>
          <cell r="E1588">
            <v>429</v>
          </cell>
        </row>
        <row r="1589">
          <cell r="A1589" t="str">
            <v>NH Nong Nghiep va Phat Trien Nong Thon (AGRIBANK)</v>
          </cell>
          <cell r="D1589" t="str">
            <v>Tay NinhNN&amp;PTNT Huyen Ben Cau</v>
          </cell>
          <cell r="E1589">
            <v>379</v>
          </cell>
        </row>
        <row r="1590">
          <cell r="A1590" t="str">
            <v>NH Nong Nghiep va Phat Trien Nong Thon (AGRIBANK)</v>
          </cell>
          <cell r="D1590" t="str">
            <v>Tay NinhNN&amp;PTNT Tay Ninh</v>
          </cell>
          <cell r="E1590">
            <v>582</v>
          </cell>
        </row>
        <row r="1591">
          <cell r="A1591" t="str">
            <v>NH Nong Nghiep va Phat Trien Nong Thon (AGRIBANK)</v>
          </cell>
          <cell r="D1591" t="str">
            <v>Tay NinhNN&amp;PTNT Huyen Duong Minh Chau</v>
          </cell>
          <cell r="E1591">
            <v>598</v>
          </cell>
        </row>
        <row r="1592">
          <cell r="A1592" t="str">
            <v>NH Nong Nghiep va Phat Trien Nong Thon (AGRIBANK)</v>
          </cell>
          <cell r="D1592" t="str">
            <v>Tay NinhNN&amp;PTNT CN KCN Trang Bang</v>
          </cell>
          <cell r="E1592">
            <v>3231</v>
          </cell>
        </row>
        <row r="1593">
          <cell r="A1593" t="str">
            <v>NH Nong Nghiep va Phat Trien Nong Thon (AGRIBANK)</v>
          </cell>
          <cell r="D1593" t="str">
            <v>Tay NinhNN&amp;PTNT CN KV Mia duong Tan Hung</v>
          </cell>
          <cell r="E1593">
            <v>5049</v>
          </cell>
        </row>
        <row r="1594">
          <cell r="A1594" t="str">
            <v>NH Nong Nghiep va Phat Trien Nong Thon (AGRIBANK)</v>
          </cell>
          <cell r="D1594" t="str">
            <v>Dong NaiNN&amp;PTNT Tan Hiep</v>
          </cell>
          <cell r="E1594">
            <v>3684</v>
          </cell>
        </row>
        <row r="1595">
          <cell r="A1595" t="str">
            <v>NH Nong Nghiep va Phat Trien Nong Thon (AGRIBANK)</v>
          </cell>
          <cell r="D1595" t="str">
            <v>Dong NaiNN&amp;PTNT CN TX Long Khanh</v>
          </cell>
          <cell r="E1595">
            <v>515</v>
          </cell>
        </row>
        <row r="1596">
          <cell r="A1596" t="str">
            <v>NH Nong Nghiep va Phat Trien Nong Thon (AGRIBANK)</v>
          </cell>
          <cell r="D1596" t="str">
            <v>Dong NaiNN&amp;PTNT Huyen Long Thanh</v>
          </cell>
          <cell r="E1596">
            <v>516</v>
          </cell>
        </row>
        <row r="1597">
          <cell r="A1597" t="str">
            <v>NH Nong Nghiep va Phat Trien Nong Thon (AGRIBANK)</v>
          </cell>
          <cell r="D1597" t="str">
            <v>Dong NaiNN&amp;PTNT Dinh Quan</v>
          </cell>
          <cell r="E1597">
            <v>337</v>
          </cell>
        </row>
        <row r="1598">
          <cell r="A1598" t="str">
            <v>NH Nong Nghiep va Phat Trien Nong Thon (AGRIBANK)</v>
          </cell>
          <cell r="D1598" t="str">
            <v>Dong NaiNN&amp;PTNT Thong Nhat</v>
          </cell>
          <cell r="E1598">
            <v>540</v>
          </cell>
        </row>
        <row r="1599">
          <cell r="A1599" t="str">
            <v>NH Nong Nghiep va Phat Trien Nong Thon (AGRIBANK)</v>
          </cell>
          <cell r="D1599" t="str">
            <v>Dong NaiNN&amp;PTNT Dong Nai</v>
          </cell>
          <cell r="E1599">
            <v>556</v>
          </cell>
        </row>
        <row r="1600">
          <cell r="A1600" t="str">
            <v>NH Nong Nghiep va Phat Trien Nong Thon (AGRIBANK)</v>
          </cell>
          <cell r="D1600" t="str">
            <v>Dong NaiNN&amp;PTNT Huyen Xuan Loc</v>
          </cell>
          <cell r="E1600">
            <v>597</v>
          </cell>
        </row>
        <row r="1601">
          <cell r="A1601" t="str">
            <v>NH Nong Nghiep va Phat Trien Nong Thon (AGRIBANK)</v>
          </cell>
          <cell r="D1601" t="str">
            <v>Dong NaiNN&amp;PTNT Vinh Cuu</v>
          </cell>
          <cell r="E1601">
            <v>596</v>
          </cell>
        </row>
        <row r="1602">
          <cell r="A1602" t="str">
            <v>NH Nong Nghiep va Phat Trien Nong Thon (AGRIBANK)</v>
          </cell>
          <cell r="D1602" t="str">
            <v>Dong NaiNN&amp;PTNT Tan Phu</v>
          </cell>
          <cell r="E1602">
            <v>531</v>
          </cell>
        </row>
        <row r="1603">
          <cell r="A1603" t="str">
            <v>NH Nong Nghiep va Phat Trien Nong Thon (AGRIBANK)</v>
          </cell>
          <cell r="D1603" t="str">
            <v>Dong NaiNN&amp;PTNT CN KCN Tam Phuoc</v>
          </cell>
          <cell r="E1603">
            <v>3374</v>
          </cell>
        </row>
        <row r="1604">
          <cell r="A1604" t="str">
            <v>NH Nong Nghiep va Phat Trien Nong Thon (AGRIBANK)</v>
          </cell>
          <cell r="D1604" t="str">
            <v>Dong NaiNN&amp;PTNT Tan Bien</v>
          </cell>
          <cell r="E1604">
            <v>3792</v>
          </cell>
        </row>
        <row r="1605">
          <cell r="A1605" t="str">
            <v>NH Nong Nghiep va Phat Trien Nong Thon (AGRIBANK)</v>
          </cell>
          <cell r="D1605" t="str">
            <v>Dong NaiNN&amp;PTNT Huyen Trang Bom</v>
          </cell>
          <cell r="E1605">
            <v>3655</v>
          </cell>
        </row>
        <row r="1606">
          <cell r="A1606" t="str">
            <v>NH Nong Nghiep va Phat Trien Nong Thon (AGRIBANK)</v>
          </cell>
          <cell r="D1606" t="str">
            <v>Dong NaiNN&amp;PTNT Huyen Nhon Trach</v>
          </cell>
          <cell r="E1606">
            <v>3676</v>
          </cell>
        </row>
        <row r="1607">
          <cell r="A1607" t="str">
            <v>NH Nong Nghiep va Phat Trien Nong Thon (AGRIBANK)</v>
          </cell>
          <cell r="D1607" t="str">
            <v>Dong NaiNN&amp;PTNT Bien Hoa</v>
          </cell>
          <cell r="E1607">
            <v>3436</v>
          </cell>
        </row>
        <row r="1608">
          <cell r="A1608" t="str">
            <v>NH Nong Nghiep va Phat Trien Nong Thon (AGRIBANK)</v>
          </cell>
          <cell r="D1608" t="str">
            <v>Dong NaiNN&amp;PTNT Huyen Cam My</v>
          </cell>
          <cell r="E1608">
            <v>3917</v>
          </cell>
        </row>
        <row r="1609">
          <cell r="A1609" t="str">
            <v>NH Nong Nghiep va Phat Trien Nong Thon (AGRIBANK)</v>
          </cell>
          <cell r="D1609" t="str">
            <v>Ba Ria-Vung TauNN&amp;PTNT CN Huyen Con Dao</v>
          </cell>
          <cell r="E1609">
            <v>4677</v>
          </cell>
        </row>
        <row r="1610">
          <cell r="A1610" t="str">
            <v>NH Nong Nghiep va Phat Trien Nong Thon (AGRIBANK)</v>
          </cell>
          <cell r="D1610" t="str">
            <v>Ba Ria-Vung TauNN&amp;PTNT Ba Ria Vung Tau</v>
          </cell>
          <cell r="E1610">
            <v>641</v>
          </cell>
        </row>
        <row r="1611">
          <cell r="A1611" t="str">
            <v>NH Nong Nghiep va Phat Trien Nong Thon (AGRIBANK)</v>
          </cell>
          <cell r="D1611" t="str">
            <v>Ba Ria-Vung TauNN&amp;PTNT Huyen Xuyen Moc</v>
          </cell>
          <cell r="E1611">
            <v>509</v>
          </cell>
        </row>
        <row r="1612">
          <cell r="A1612" t="str">
            <v>NH Nong Nghiep va Phat Trien Nong Thon (AGRIBANK)</v>
          </cell>
          <cell r="D1612" t="str">
            <v>Ba Ria-Vung TauNN&amp;PTNT Huyen Tan Thanh</v>
          </cell>
          <cell r="E1612">
            <v>479</v>
          </cell>
        </row>
        <row r="1613">
          <cell r="A1613" t="str">
            <v>NH Nong Nghiep va Phat Trien Nong Thon (AGRIBANK)</v>
          </cell>
          <cell r="D1613" t="str">
            <v>Ba Ria-Vung TauNN&amp;PTNT CN Vung Tau</v>
          </cell>
          <cell r="E1613">
            <v>530</v>
          </cell>
        </row>
        <row r="1614">
          <cell r="A1614" t="str">
            <v>NH Nong Nghiep va Phat Trien Nong Thon (AGRIBANK)</v>
          </cell>
          <cell r="D1614" t="str">
            <v>Ba Ria-Vung TauNN&amp;PTNT Huyen Chau Duc</v>
          </cell>
          <cell r="E1614">
            <v>397</v>
          </cell>
        </row>
        <row r="1615">
          <cell r="A1615" t="str">
            <v>NH Nong Nghiep va Phat Trien Nong Thon (AGRIBANK)</v>
          </cell>
          <cell r="D1615" t="str">
            <v>Ba Ria-Vung TauNN&amp;PTNT Huyen Long Dien</v>
          </cell>
          <cell r="E1615">
            <v>3656</v>
          </cell>
        </row>
        <row r="1616">
          <cell r="A1616" t="str">
            <v>NH Nong Nghiep va Phat Trien Nong Thon (AGRIBANK)</v>
          </cell>
          <cell r="D1616" t="str">
            <v>Ba Ria-Vung TauNN&amp;PTNT KCN Tan Thanh</v>
          </cell>
          <cell r="E1616">
            <v>4064</v>
          </cell>
        </row>
        <row r="1617">
          <cell r="A1617" t="str">
            <v>NH Nong Nghiep va Phat Trien Nong Thon (AGRIBANK)</v>
          </cell>
          <cell r="D1617" t="str">
            <v>Ba Ria-Vung TauNN&amp;PTNT Huyen Dat Do</v>
          </cell>
          <cell r="E1617">
            <v>3692</v>
          </cell>
        </row>
        <row r="1618">
          <cell r="A1618" t="str">
            <v>NH Nong Nghiep va Phat Trien Nong Thon (AGRIBANK)</v>
          </cell>
          <cell r="D1618" t="str">
            <v>Long AnNN&amp;PTNT Thi Xa Kien Tuong</v>
          </cell>
          <cell r="E1618">
            <v>4958</v>
          </cell>
        </row>
        <row r="1619">
          <cell r="A1619" t="str">
            <v>NH Nong Nghiep va Phat Trien Nong Thon (AGRIBANK)</v>
          </cell>
          <cell r="D1619" t="str">
            <v>Long AnNN&amp;PTNT Khu vuc 2</v>
          </cell>
          <cell r="E1619">
            <v>3951</v>
          </cell>
        </row>
        <row r="1620">
          <cell r="A1620" t="str">
            <v>NH Nong Nghiep va Phat Trien Nong Thon (AGRIBANK)</v>
          </cell>
          <cell r="D1620" t="str">
            <v>Long AnNN&amp;PTNT Huyen Chau Thanh</v>
          </cell>
          <cell r="E1620">
            <v>3726</v>
          </cell>
        </row>
        <row r="1621">
          <cell r="A1621" t="str">
            <v>NH Nong Nghiep va Phat Trien Nong Thon (AGRIBANK)</v>
          </cell>
          <cell r="D1621" t="str">
            <v>Long AnNN&amp;PTNT Thi Xa Tan An</v>
          </cell>
          <cell r="E1621">
            <v>3665</v>
          </cell>
        </row>
        <row r="1622">
          <cell r="A1622" t="str">
            <v>NH Nong Nghiep va Phat Trien Nong Thon (AGRIBANK)</v>
          </cell>
          <cell r="D1622" t="str">
            <v>Long AnNN&amp;PTNT Huyen Tan Hung</v>
          </cell>
          <cell r="E1622">
            <v>3429</v>
          </cell>
        </row>
        <row r="1623">
          <cell r="A1623" t="str">
            <v>NH Nong Nghiep va Phat Trien Nong Thon (AGRIBANK)</v>
          </cell>
          <cell r="D1623" t="str">
            <v>Long AnNN&amp;PTNT Huyen Duc Hue</v>
          </cell>
          <cell r="E1623">
            <v>418</v>
          </cell>
        </row>
        <row r="1624">
          <cell r="A1624" t="str">
            <v>NH Nong Nghiep va Phat Trien Nong Thon (AGRIBANK)</v>
          </cell>
          <cell r="D1624" t="str">
            <v>Long AnNN&amp;PTNT Huyen Ben Luc</v>
          </cell>
          <cell r="E1624">
            <v>380</v>
          </cell>
        </row>
        <row r="1625">
          <cell r="A1625" t="str">
            <v>NH Nong Nghiep va Phat Trien Nong Thon (AGRIBANK)</v>
          </cell>
          <cell r="D1625" t="str">
            <v>Long AnNN&amp;PTNT Huyen Can Duoc</v>
          </cell>
          <cell r="E1625">
            <v>390</v>
          </cell>
        </row>
        <row r="1626">
          <cell r="A1626" t="str">
            <v>NH Nong Nghiep va Phat Trien Nong Thon (AGRIBANK)</v>
          </cell>
          <cell r="D1626" t="str">
            <v>Long AnNN&amp;PTNT Huyen Can Giuoc</v>
          </cell>
          <cell r="E1626">
            <v>391</v>
          </cell>
        </row>
        <row r="1627">
          <cell r="A1627" t="str">
            <v>NH Nong Nghiep va Phat Trien Nong Thon (AGRIBANK)</v>
          </cell>
          <cell r="D1627" t="str">
            <v>Long AnNN&amp;PTNT Huyen Duc Hoa</v>
          </cell>
          <cell r="E1627">
            <v>417</v>
          </cell>
        </row>
        <row r="1628">
          <cell r="A1628" t="str">
            <v>NH Nong Nghiep va Phat Trien Nong Thon (AGRIBANK)</v>
          </cell>
          <cell r="D1628" t="str">
            <v>Long AnNN&amp;PTNT Huyen Tan Thanh</v>
          </cell>
          <cell r="E1628">
            <v>481</v>
          </cell>
        </row>
        <row r="1629">
          <cell r="A1629" t="str">
            <v>NH Nong Nghiep va Phat Trien Nong Thon (AGRIBANK)</v>
          </cell>
          <cell r="D1629" t="str">
            <v>Long AnNN&amp;PTNT Huyen Tan Tru</v>
          </cell>
          <cell r="E1629">
            <v>482</v>
          </cell>
        </row>
        <row r="1630">
          <cell r="A1630" t="str">
            <v>NH Nong Nghiep va Phat Trien Nong Thon (AGRIBANK)</v>
          </cell>
          <cell r="D1630" t="str">
            <v>Long AnNN&amp;PTNT Huyen Thanh Hoa</v>
          </cell>
          <cell r="E1630">
            <v>486</v>
          </cell>
        </row>
        <row r="1631">
          <cell r="A1631" t="str">
            <v>NH Nong Nghiep va Phat Trien Nong Thon (AGRIBANK)</v>
          </cell>
          <cell r="D1631" t="str">
            <v>Long AnNN&amp;PTNT Huyen Thu Thua</v>
          </cell>
          <cell r="E1631">
            <v>492</v>
          </cell>
        </row>
        <row r="1632">
          <cell r="A1632" t="str">
            <v>NH Nong Nghiep va Phat Trien Nong Thon (AGRIBANK)</v>
          </cell>
          <cell r="D1632" t="str">
            <v>Long AnNN&amp;PTNT Huyen Vinh Hung</v>
          </cell>
          <cell r="E1632">
            <v>506</v>
          </cell>
        </row>
        <row r="1633">
          <cell r="A1633" t="str">
            <v>NH Nong Nghiep va Phat Trien Nong Thon (AGRIBANK)</v>
          </cell>
          <cell r="D1633" t="str">
            <v>Long AnNN&amp;PTNT Khu Vuc Cau Voi</v>
          </cell>
          <cell r="E1633">
            <v>512</v>
          </cell>
        </row>
        <row r="1634">
          <cell r="A1634" t="str">
            <v>NH Nong Nghiep va Phat Trien Nong Thon (AGRIBANK)</v>
          </cell>
          <cell r="D1634" t="str">
            <v>Long AnNN&amp;PTNT Khu Vuc Duc Hoa</v>
          </cell>
          <cell r="E1634">
            <v>513</v>
          </cell>
        </row>
        <row r="1635">
          <cell r="A1635" t="str">
            <v>NH Nong Nghiep va Phat Trien Nong Thon (AGRIBANK)</v>
          </cell>
          <cell r="D1635" t="str">
            <v>Long AnNN&amp;PTNT Khu Vuc Go Den</v>
          </cell>
          <cell r="E1635">
            <v>514</v>
          </cell>
        </row>
        <row r="1636">
          <cell r="A1636" t="str">
            <v>NH Nong Nghiep va Phat Trien Nong Thon (AGRIBANK)</v>
          </cell>
          <cell r="D1636" t="str">
            <v>Long AnNN&amp;PTNT Tinh Long An</v>
          </cell>
          <cell r="E1636">
            <v>570</v>
          </cell>
        </row>
        <row r="1637">
          <cell r="A1637" t="str">
            <v>NH Nong Nghiep va Phat Trien Nong Thon (AGRIBANK)</v>
          </cell>
          <cell r="D1637" t="str">
            <v>Long AnNN&amp;PTNT CN Khu Vuc 3</v>
          </cell>
          <cell r="E1637">
            <v>4957</v>
          </cell>
        </row>
        <row r="1638">
          <cell r="A1638" t="str">
            <v>NH Nong Nghiep va Phat Trien Nong Thon (AGRIBANK)</v>
          </cell>
          <cell r="D1638" t="str">
            <v>Dong ThapNN&amp;PTNT TP Cao Lanh</v>
          </cell>
          <cell r="E1638">
            <v>5069</v>
          </cell>
        </row>
        <row r="1639">
          <cell r="A1639" t="str">
            <v>NH Nong Nghiep va Phat Trien Nong Thon (AGRIBANK)</v>
          </cell>
          <cell r="D1639" t="str">
            <v>Dong ThapNN&amp;PTNT Huyen Hong Ngu</v>
          </cell>
          <cell r="E1639">
            <v>434</v>
          </cell>
        </row>
        <row r="1640">
          <cell r="A1640" t="str">
            <v>NH Nong Nghiep va Phat Trien Nong Thon (AGRIBANK)</v>
          </cell>
          <cell r="D1640" t="str">
            <v>Dong ThapNN&amp;PTNT Huyen Lai Vung</v>
          </cell>
          <cell r="E1640">
            <v>444</v>
          </cell>
        </row>
        <row r="1641">
          <cell r="A1641" t="str">
            <v>NH Nong Nghiep va Phat Trien Nong Thon (AGRIBANK)</v>
          </cell>
          <cell r="D1641" t="str">
            <v>Dong ThapNN&amp;PTNT Huyen Cao Lanh</v>
          </cell>
          <cell r="E1641">
            <v>393</v>
          </cell>
        </row>
        <row r="1642">
          <cell r="A1642" t="str">
            <v>NH Nong Nghiep va Phat Trien Nong Thon (AGRIBANK)</v>
          </cell>
          <cell r="D1642" t="str">
            <v>Dong ThapNN&amp;PTNT Huyen Chau Thanh</v>
          </cell>
          <cell r="E1642">
            <v>629</v>
          </cell>
        </row>
        <row r="1643">
          <cell r="A1643" t="str">
            <v>NH Nong Nghiep va Phat Trien Nong Thon (AGRIBANK)</v>
          </cell>
          <cell r="D1643" t="str">
            <v>Dong ThapNN&amp;PTNT Huyen Thap Muoi</v>
          </cell>
          <cell r="E1643">
            <v>488</v>
          </cell>
        </row>
        <row r="1644">
          <cell r="A1644" t="str">
            <v>NH Nong Nghiep va Phat Trien Nong Thon (AGRIBANK)</v>
          </cell>
          <cell r="D1644" t="str">
            <v>Dong ThapNN&amp;PTNT TP Sa Dec</v>
          </cell>
          <cell r="E1644">
            <v>536</v>
          </cell>
        </row>
        <row r="1645">
          <cell r="A1645" t="str">
            <v>NH Nong Nghiep va Phat Trien Nong Thon (AGRIBANK)</v>
          </cell>
          <cell r="D1645" t="str">
            <v>Dong ThapNN&amp;PTNT HuyenThanh Binh</v>
          </cell>
          <cell r="E1645">
            <v>363</v>
          </cell>
        </row>
        <row r="1646">
          <cell r="A1646" t="str">
            <v>NH Nong Nghiep va Phat Trien Nong Thon (AGRIBANK)</v>
          </cell>
          <cell r="D1646" t="str">
            <v>Dong ThapNN&amp;PTNT Dong Thap</v>
          </cell>
          <cell r="E1646">
            <v>557</v>
          </cell>
        </row>
        <row r="1647">
          <cell r="A1647" t="str">
            <v>NH Nong Nghiep va Phat Trien Nong Thon (AGRIBANK)</v>
          </cell>
          <cell r="D1647" t="str">
            <v>Dong ThapNN&amp;PTNT Huyen Tam Nong</v>
          </cell>
          <cell r="E1647">
            <v>473</v>
          </cell>
        </row>
        <row r="1648">
          <cell r="A1648" t="str">
            <v>NH Nong Nghiep va Phat Trien Nong Thon (AGRIBANK)</v>
          </cell>
          <cell r="D1648" t="str">
            <v>Dong ThapNN&amp;PTNT Huyen Tan Hong</v>
          </cell>
          <cell r="E1648">
            <v>478</v>
          </cell>
        </row>
        <row r="1649">
          <cell r="A1649" t="str">
            <v>NH Nong Nghiep va Phat Trien Nong Thon (AGRIBANK)</v>
          </cell>
          <cell r="D1649" t="str">
            <v>Dong ThapNN&amp;PTNT Huyen Lap Vo</v>
          </cell>
          <cell r="E1649">
            <v>447</v>
          </cell>
        </row>
        <row r="1650">
          <cell r="A1650" t="str">
            <v>NH Nong Nghiep va Phat Trien Nong Thon (AGRIBANK)</v>
          </cell>
          <cell r="D1650" t="str">
            <v>An GiangNN&amp;PTNT Huyen Thoai Son</v>
          </cell>
          <cell r="E1650">
            <v>489</v>
          </cell>
        </row>
        <row r="1651">
          <cell r="A1651" t="str">
            <v>NH Nong Nghiep va Phat Trien Nong Thon (AGRIBANK)</v>
          </cell>
          <cell r="D1651" t="str">
            <v>An GiangNN&amp;PTNT Huyen Tri Ton</v>
          </cell>
          <cell r="E1651">
            <v>497</v>
          </cell>
        </row>
        <row r="1652">
          <cell r="A1652" t="str">
            <v>NH Nong Nghiep va Phat Trien Nong Thon (AGRIBANK)</v>
          </cell>
          <cell r="D1652" t="str">
            <v>An GiangNN&amp;PTNT H. Chau Thanh</v>
          </cell>
          <cell r="E1652">
            <v>347</v>
          </cell>
        </row>
        <row r="1653">
          <cell r="A1653" t="str">
            <v>NH Nong Nghiep va Phat Trien Nong Thon (AGRIBANK)</v>
          </cell>
          <cell r="D1653" t="str">
            <v>An GiangNN&amp;PTNT Tinh An Giang</v>
          </cell>
          <cell r="E1653">
            <v>544</v>
          </cell>
        </row>
        <row r="1654">
          <cell r="A1654" t="str">
            <v>NH Nong Nghiep va Phat Trien Nong Thon (AGRIBANK)</v>
          </cell>
          <cell r="D1654" t="str">
            <v>An GiangNN&amp;PTNT TX Tan Chau</v>
          </cell>
          <cell r="E1654">
            <v>476</v>
          </cell>
        </row>
        <row r="1655">
          <cell r="A1655" t="str">
            <v>NH Nong Nghiep va Phat Trien Nong Thon (AGRIBANK)</v>
          </cell>
          <cell r="D1655" t="str">
            <v>An GiangNN&amp;PTNT Chi Lang</v>
          </cell>
          <cell r="E1655">
            <v>3721</v>
          </cell>
        </row>
        <row r="1656">
          <cell r="A1656" t="str">
            <v>NH Nong Nghiep va Phat Trien Nong Thon (AGRIBANK)</v>
          </cell>
          <cell r="D1656" t="str">
            <v>An GiangNN&amp;PTNT My Luong</v>
          </cell>
          <cell r="E1656">
            <v>3456</v>
          </cell>
        </row>
        <row r="1657">
          <cell r="A1657" t="str">
            <v>NH Nong Nghiep va Phat Trien Nong Thon (AGRIBANK)</v>
          </cell>
          <cell r="D1657" t="str">
            <v>An GiangNN&amp;PTNT Huyen An Phu</v>
          </cell>
          <cell r="E1657">
            <v>374</v>
          </cell>
        </row>
        <row r="1658">
          <cell r="A1658" t="str">
            <v>NH Nong Nghiep va Phat Trien Nong Thon (AGRIBANK)</v>
          </cell>
          <cell r="D1658" t="str">
            <v>An GiangNN&amp;PTNT TP Chau Doc</v>
          </cell>
          <cell r="E1658">
            <v>396</v>
          </cell>
        </row>
        <row r="1659">
          <cell r="A1659" t="str">
            <v>NH Nong Nghiep va Phat Trien Nong Thon (AGRIBANK)</v>
          </cell>
          <cell r="D1659" t="str">
            <v>An GiangNN&amp;PTNT Huyen Chau Phu</v>
          </cell>
          <cell r="E1659">
            <v>398</v>
          </cell>
        </row>
        <row r="1660">
          <cell r="A1660" t="str">
            <v>NH Nong Nghiep va Phat Trien Nong Thon (AGRIBANK)</v>
          </cell>
          <cell r="D1660" t="str">
            <v>An GiangNN&amp;PTNT Huyen Cho Moi</v>
          </cell>
          <cell r="E1660">
            <v>401</v>
          </cell>
        </row>
        <row r="1661">
          <cell r="A1661" t="str">
            <v>NH Nong Nghiep va Phat Trien Nong Thon (AGRIBANK)</v>
          </cell>
          <cell r="D1661" t="str">
            <v>An GiangNN&amp;PTNT Huyen Tinh Bien</v>
          </cell>
          <cell r="E1661">
            <v>638</v>
          </cell>
        </row>
        <row r="1662">
          <cell r="A1662" t="str">
            <v>NH Nong Nghiep va Phat Trien Nong Thon (AGRIBANK)</v>
          </cell>
          <cell r="D1662" t="str">
            <v>An GiangNN&amp;PTNT Huyen Phu Tan</v>
          </cell>
          <cell r="E1662">
            <v>5070</v>
          </cell>
        </row>
        <row r="1663">
          <cell r="A1663" t="str">
            <v>NH Nong Nghiep va Phat Trien Nong Thon (AGRIBANK)</v>
          </cell>
          <cell r="D1663" t="str">
            <v>An GiangNN&amp;PTNT TP Long Xuyen</v>
          </cell>
          <cell r="E1663">
            <v>5071</v>
          </cell>
        </row>
        <row r="1664">
          <cell r="A1664" t="str">
            <v>NH Nong Nghiep va Phat Trien Nong Thon (AGRIBANK)</v>
          </cell>
          <cell r="D1664" t="str">
            <v>An GiangNN&amp;PTNT CN Cho Vam</v>
          </cell>
          <cell r="E1664">
            <v>5072</v>
          </cell>
        </row>
        <row r="1665">
          <cell r="A1665" t="str">
            <v>NH Nong Nghiep va Phat Trien Nong Thon (AGRIBANK)</v>
          </cell>
          <cell r="D1665" t="str">
            <v>Tien GiangNN&amp;PTNT Huyen Go Cong Tay</v>
          </cell>
          <cell r="E1665">
            <v>355</v>
          </cell>
        </row>
        <row r="1666">
          <cell r="A1666" t="str">
            <v>NH Nong Nghiep va Phat Trien Nong Thon (AGRIBANK)</v>
          </cell>
          <cell r="D1666" t="str">
            <v>Tien GiangNN&amp;PTNT Thi Xa Go Cong</v>
          </cell>
          <cell r="E1666">
            <v>535</v>
          </cell>
        </row>
        <row r="1667">
          <cell r="A1667" t="str">
            <v>NH Nong Nghiep va Phat Trien Nong Thon (AGRIBANK)</v>
          </cell>
          <cell r="D1667" t="str">
            <v>Tien GiangNN&amp;PTNT Huyen Cai Be</v>
          </cell>
          <cell r="E1667">
            <v>386</v>
          </cell>
        </row>
        <row r="1668">
          <cell r="A1668" t="str">
            <v>NH Nong Nghiep va Phat Trien Nong Thon (AGRIBANK)</v>
          </cell>
          <cell r="D1668" t="str">
            <v>Tien GiangNN&amp;PTNT TX Cai Lay</v>
          </cell>
          <cell r="E1668">
            <v>387</v>
          </cell>
        </row>
        <row r="1669">
          <cell r="A1669" t="str">
            <v>NH Nong Nghiep va Phat Trien Nong Thon (AGRIBANK)</v>
          </cell>
          <cell r="D1669" t="str">
            <v>Tien GiangNN&amp;PTNT Huyen Cho Gao</v>
          </cell>
          <cell r="E1669">
            <v>399</v>
          </cell>
        </row>
        <row r="1670">
          <cell r="A1670" t="str">
            <v>NH Nong Nghiep va Phat Trien Nong Thon (AGRIBANK)</v>
          </cell>
          <cell r="D1670" t="str">
            <v>Tien GiangNN&amp;PTNT Tinh Tien Giang</v>
          </cell>
          <cell r="E1670">
            <v>585</v>
          </cell>
        </row>
        <row r="1671">
          <cell r="A1671" t="str">
            <v>NH Nong Nghiep va Phat Trien Nong Thon (AGRIBANK)</v>
          </cell>
          <cell r="D1671" t="str">
            <v>Tien GiangNN&amp;PTNT CN Tan Phu Dong</v>
          </cell>
          <cell r="E1671">
            <v>5062</v>
          </cell>
        </row>
        <row r="1672">
          <cell r="A1672" t="str">
            <v>NH Nong Nghiep va Phat Trien Nong Thon (AGRIBANK)</v>
          </cell>
          <cell r="D1672" t="str">
            <v>Tien GiangNN&amp;PTNT Huyen Go Cong Dong</v>
          </cell>
          <cell r="E1672">
            <v>5063</v>
          </cell>
        </row>
        <row r="1673">
          <cell r="A1673" t="str">
            <v>NH Nong Nghiep va Phat Trien Nong Thon (AGRIBANK)</v>
          </cell>
          <cell r="D1673" t="str">
            <v>Tien GiangNN&amp;PTNT KCN My Tho</v>
          </cell>
          <cell r="E1673">
            <v>5064</v>
          </cell>
        </row>
        <row r="1674">
          <cell r="A1674" t="str">
            <v>NH Nong Nghiep va Phat Trien Nong Thon (AGRIBANK)</v>
          </cell>
          <cell r="D1674" t="str">
            <v>Tien GiangNN&amp;PTNT TP My Tho</v>
          </cell>
          <cell r="E1674">
            <v>3817</v>
          </cell>
        </row>
        <row r="1675">
          <cell r="A1675" t="str">
            <v>NH Nong Nghiep va Phat Trien Nong Thon (AGRIBANK)</v>
          </cell>
          <cell r="D1675" t="str">
            <v>Tien GiangNN&amp;PTNT Huyen Tan Phuoc</v>
          </cell>
          <cell r="E1675">
            <v>3662</v>
          </cell>
        </row>
        <row r="1676">
          <cell r="A1676" t="str">
            <v>NH Nong Nghiep va Phat Trien Nong Thon (AGRIBANK)</v>
          </cell>
          <cell r="D1676" t="str">
            <v>Tien GiangNN&amp;PTNT Huyen Chau Thanh</v>
          </cell>
          <cell r="E1676">
            <v>351</v>
          </cell>
        </row>
        <row r="1677">
          <cell r="A1677" t="str">
            <v>NH Nong Nghiep va Phat Trien Nong Thon (AGRIBANK)</v>
          </cell>
          <cell r="D1677" t="str">
            <v>Ben TreNN&amp;PTNT Huyen Thanh Phu</v>
          </cell>
          <cell r="E1677">
            <v>487</v>
          </cell>
        </row>
        <row r="1678">
          <cell r="A1678" t="str">
            <v>NH Nong Nghiep va Phat Trien Nong Thon (AGRIBANK)</v>
          </cell>
          <cell r="D1678" t="str">
            <v>Ben TreNN&amp;PTNT TP Ben Tre</v>
          </cell>
          <cell r="E1678">
            <v>3886</v>
          </cell>
        </row>
        <row r="1679">
          <cell r="A1679" t="str">
            <v>NH Nong Nghiep va Phat Trien Nong Thon (AGRIBANK)</v>
          </cell>
          <cell r="D1679" t="str">
            <v>Ben TreNN&amp;PTNT Huyen Giong Trom</v>
          </cell>
          <cell r="E1679">
            <v>354</v>
          </cell>
        </row>
        <row r="1680">
          <cell r="A1680" t="str">
            <v>NH Nong Nghiep va Phat Trien Nong Thon (AGRIBANK)</v>
          </cell>
          <cell r="D1680" t="str">
            <v>Ben TreNN&amp;PTNT Tinh Ben Tre</v>
          </cell>
          <cell r="E1680">
            <v>548</v>
          </cell>
        </row>
        <row r="1681">
          <cell r="A1681" t="str">
            <v>NH Nong Nghiep va Phat Trien Nong Thon (AGRIBANK)</v>
          </cell>
          <cell r="D1681" t="str">
            <v>Ben TreNN&amp;PTNT Huyen Mo Cay Nam</v>
          </cell>
          <cell r="E1681">
            <v>454</v>
          </cell>
        </row>
        <row r="1682">
          <cell r="A1682" t="str">
            <v>NH Nong Nghiep va Phat Trien Nong Thon (AGRIBANK)</v>
          </cell>
          <cell r="D1682" t="str">
            <v>Ben TreNN&amp;PTNT CN Dong Khoi</v>
          </cell>
          <cell r="E1682">
            <v>3715</v>
          </cell>
        </row>
        <row r="1683">
          <cell r="A1683" t="str">
            <v>NH Nong Nghiep va Phat Trien Nong Thon (AGRIBANK)</v>
          </cell>
          <cell r="D1683" t="str">
            <v>Ben TreNN&amp;PTNT Huyen Ba Tri</v>
          </cell>
          <cell r="E1683">
            <v>376</v>
          </cell>
        </row>
        <row r="1684">
          <cell r="A1684" t="str">
            <v>NH Nong Nghiep va Phat Trien Nong Thon (AGRIBANK)</v>
          </cell>
          <cell r="D1684" t="str">
            <v>Ben TreNN&amp;PTNT Huyen Binh Dai</v>
          </cell>
          <cell r="E1684">
            <v>381</v>
          </cell>
        </row>
        <row r="1685">
          <cell r="A1685" t="str">
            <v>NH Nong Nghiep va Phat Trien Nong Thon (AGRIBANK)</v>
          </cell>
          <cell r="D1685" t="str">
            <v>Ben TreNN&amp;PTNT Huyen Cho Lach</v>
          </cell>
          <cell r="E1685">
            <v>400</v>
          </cell>
        </row>
        <row r="1686">
          <cell r="A1686" t="str">
            <v>NH Nong Nghiep va Phat Trien Nong Thon (AGRIBANK)</v>
          </cell>
          <cell r="D1686" t="str">
            <v>Ben TreNN&amp;PTNT Huyen Mo Cay Bac</v>
          </cell>
          <cell r="E1686">
            <v>5065</v>
          </cell>
        </row>
        <row r="1687">
          <cell r="A1687" t="str">
            <v>NH Nong Nghiep va Phat Trien Nong Thon (AGRIBANK)</v>
          </cell>
          <cell r="D1687" t="str">
            <v>Ben TreNN&amp;PTNT Huyen Chau Thanh</v>
          </cell>
          <cell r="E1687">
            <v>348</v>
          </cell>
        </row>
        <row r="1688">
          <cell r="A1688" t="str">
            <v>NH Nong Nghiep va Phat Trien Nong Thon (AGRIBANK)</v>
          </cell>
          <cell r="D1688" t="str">
            <v>Vinh LongNN&amp;PTNT Huyen Tra on</v>
          </cell>
          <cell r="E1688">
            <v>496</v>
          </cell>
        </row>
        <row r="1689">
          <cell r="A1689" t="str">
            <v>NH Nong Nghiep va Phat Trien Nong Thon (AGRIBANK)</v>
          </cell>
          <cell r="D1689" t="str">
            <v>Vinh LongNN&amp;PTNT Huyen Mang Thit</v>
          </cell>
          <cell r="E1689">
            <v>3687</v>
          </cell>
        </row>
        <row r="1690">
          <cell r="A1690" t="str">
            <v>NH Nong Nghiep va Phat Trien Nong Thon (AGRIBANK)</v>
          </cell>
          <cell r="D1690" t="str">
            <v>Vinh LongNN&amp;PTNT Huyen Tam Binh</v>
          </cell>
          <cell r="E1690">
            <v>472</v>
          </cell>
        </row>
        <row r="1691">
          <cell r="A1691" t="str">
            <v>NH Nong Nghiep va Phat Trien Nong Thon (AGRIBANK)</v>
          </cell>
          <cell r="D1691" t="str">
            <v>Vinh LongNN&amp;PTNT Huyen Long Ho</v>
          </cell>
          <cell r="E1691">
            <v>450</v>
          </cell>
        </row>
        <row r="1692">
          <cell r="A1692" t="str">
            <v>NH Nong Nghiep va Phat Trien Nong Thon (AGRIBANK)</v>
          </cell>
          <cell r="D1692" t="str">
            <v>Vinh LongNN&amp;PTNT TX Binh Minh</v>
          </cell>
          <cell r="E1692">
            <v>383</v>
          </cell>
        </row>
        <row r="1693">
          <cell r="A1693" t="str">
            <v>NH Nong Nghiep va Phat Trien Nong Thon (AGRIBANK)</v>
          </cell>
          <cell r="D1693" t="str">
            <v>Vinh LongNN&amp;PTNT Tinh Vinh Long</v>
          </cell>
          <cell r="E1693">
            <v>587</v>
          </cell>
        </row>
        <row r="1694">
          <cell r="A1694" t="str">
            <v>NH Nong Nghiep va Phat Trien Nong Thon (AGRIBANK)</v>
          </cell>
          <cell r="D1694" t="str">
            <v>Vinh LongNN&amp;PTNT CN Binh Tan</v>
          </cell>
          <cell r="E1694">
            <v>5066</v>
          </cell>
        </row>
        <row r="1695">
          <cell r="A1695" t="str">
            <v>NH Nong Nghiep va Phat Trien Nong Thon (AGRIBANK)</v>
          </cell>
          <cell r="D1695" t="str">
            <v>Vinh LongNN&amp;PTNT KCN Hoa Phu</v>
          </cell>
          <cell r="E1695">
            <v>5067</v>
          </cell>
        </row>
        <row r="1696">
          <cell r="A1696" t="str">
            <v>NH Nong Nghiep va Phat Trien Nong Thon (AGRIBANK)</v>
          </cell>
          <cell r="D1696" t="str">
            <v>Vinh LongNN&amp;PTNT TP Vinh Long</v>
          </cell>
          <cell r="E1696">
            <v>5068</v>
          </cell>
        </row>
        <row r="1697">
          <cell r="A1697" t="str">
            <v>NH Nong Nghiep va Phat Trien Nong Thon (AGRIBANK)</v>
          </cell>
          <cell r="D1697" t="str">
            <v>Vinh LongNN&amp;PTNT Huyen Vung Liem</v>
          </cell>
          <cell r="E1697">
            <v>508</v>
          </cell>
        </row>
        <row r="1698">
          <cell r="A1698" t="str">
            <v>NH Nong Nghiep va Phat Trien Nong Thon (AGRIBANK)</v>
          </cell>
          <cell r="D1698" t="str">
            <v>Tra VinhNN&amp;PTNT Huyen Tieu Can</v>
          </cell>
          <cell r="E1698">
            <v>494</v>
          </cell>
        </row>
        <row r="1699">
          <cell r="A1699" t="str">
            <v>NH Nong Nghiep va Phat Trien Nong Thon (AGRIBANK)</v>
          </cell>
          <cell r="D1699" t="str">
            <v>Tra VinhNN&amp;PTNT Huyen Chau Thanh</v>
          </cell>
          <cell r="E1699">
            <v>350</v>
          </cell>
        </row>
        <row r="1700">
          <cell r="A1700" t="str">
            <v>NH Nong Nghiep va Phat Trien Nong Thon (AGRIBANK)</v>
          </cell>
          <cell r="D1700" t="str">
            <v>Tra VinhNN&amp;PTNT TP Tra Vinh</v>
          </cell>
          <cell r="E1700">
            <v>3634</v>
          </cell>
        </row>
        <row r="1701">
          <cell r="A1701" t="str">
            <v>NH Nong Nghiep va Phat Trien Nong Thon (AGRIBANK)</v>
          </cell>
          <cell r="D1701" t="str">
            <v>Tra VinhNN&amp;PTNT CN So 1</v>
          </cell>
          <cell r="E1701">
            <v>599</v>
          </cell>
        </row>
        <row r="1702">
          <cell r="A1702" t="str">
            <v>NH Nong Nghiep va Phat Trien Nong Thon (AGRIBANK)</v>
          </cell>
          <cell r="D1702" t="str">
            <v>Tra VinhNN&amp;PTNT CN So 2</v>
          </cell>
          <cell r="E1702">
            <v>600</v>
          </cell>
        </row>
        <row r="1703">
          <cell r="A1703" t="str">
            <v>NH Nong Nghiep va Phat Trien Nong Thon (AGRIBANK)</v>
          </cell>
          <cell r="D1703" t="str">
            <v>Tra VinhNN&amp;PTNT Huyen Duyen Hai</v>
          </cell>
          <cell r="E1703">
            <v>421</v>
          </cell>
        </row>
        <row r="1704">
          <cell r="A1704" t="str">
            <v>NH Nong Nghiep va Phat Trien Nong Thon (AGRIBANK)</v>
          </cell>
          <cell r="D1704" t="str">
            <v>Tra VinhNN&amp;PTNT Huyen Cang Long</v>
          </cell>
          <cell r="E1704">
            <v>392</v>
          </cell>
        </row>
        <row r="1705">
          <cell r="A1705" t="str">
            <v>NH Nong Nghiep va Phat Trien Nong Thon (AGRIBANK)</v>
          </cell>
          <cell r="D1705" t="str">
            <v>Tra VinhNN&amp;PTNT Huyen Cau Ke</v>
          </cell>
          <cell r="E1705">
            <v>394</v>
          </cell>
        </row>
        <row r="1706">
          <cell r="A1706" t="str">
            <v>NH Nong Nghiep va Phat Trien Nong Thon (AGRIBANK)</v>
          </cell>
          <cell r="D1706" t="str">
            <v>Tra VinhNN&amp;PTNT Huyen Cau Ngang</v>
          </cell>
          <cell r="E1706">
            <v>395</v>
          </cell>
        </row>
        <row r="1707">
          <cell r="A1707" t="str">
            <v>NH Nong Nghiep va Phat Trien Nong Thon (AGRIBANK)</v>
          </cell>
          <cell r="D1707" t="str">
            <v>Tra VinhNN&amp;PTNT Tinh Tra Vinh</v>
          </cell>
          <cell r="E1707">
            <v>586</v>
          </cell>
        </row>
        <row r="1708">
          <cell r="A1708" t="str">
            <v>NH Nong Nghiep va Phat Trien Nong Thon (AGRIBANK)</v>
          </cell>
          <cell r="D1708" t="str">
            <v>Tra VinhNN&amp;PTNT Huyen Tra Cu</v>
          </cell>
          <cell r="E1708">
            <v>495</v>
          </cell>
        </row>
        <row r="1709">
          <cell r="A1709" t="str">
            <v>NH Nong Nghiep va Phat Trien Nong Thon (AGRIBANK)</v>
          </cell>
          <cell r="D1709" t="str">
            <v>Can ThoNN&amp;PTNT Thot Not Can Tho</v>
          </cell>
          <cell r="E1709">
            <v>491</v>
          </cell>
        </row>
        <row r="1710">
          <cell r="A1710" t="str">
            <v>NH Nong Nghiep va Phat Trien Nong Thon (AGRIBANK)</v>
          </cell>
          <cell r="D1710" t="str">
            <v>Can ThoNN&amp;PTNT Binh Thuy</v>
          </cell>
          <cell r="E1710">
            <v>504</v>
          </cell>
        </row>
        <row r="1711">
          <cell r="A1711" t="str">
            <v>NH Nong Nghiep va Phat Trien Nong Thon (AGRIBANK)</v>
          </cell>
          <cell r="D1711" t="str">
            <v>Can ThoNN&amp;PTNT Quan O Mon</v>
          </cell>
          <cell r="E1711">
            <v>511</v>
          </cell>
        </row>
        <row r="1712">
          <cell r="A1712" t="str">
            <v>NH Nong Nghiep va Phat Trien Nong Thon (AGRIBANK)</v>
          </cell>
          <cell r="D1712" t="str">
            <v>Can ThoNN&amp;PTNT Cai Rang</v>
          </cell>
          <cell r="E1712">
            <v>359</v>
          </cell>
        </row>
        <row r="1713">
          <cell r="A1713" t="str">
            <v>NH Nong Nghiep va Phat Trien Nong Thon (AGRIBANK)</v>
          </cell>
          <cell r="D1713" t="str">
            <v>Can ThoNN&amp;PTNT Huyen Thoi Lai</v>
          </cell>
          <cell r="E1713">
            <v>361</v>
          </cell>
        </row>
        <row r="1714">
          <cell r="A1714" t="str">
            <v>NH Nong Nghiep va Phat Trien Nong Thon (AGRIBANK)</v>
          </cell>
          <cell r="D1714" t="str">
            <v>Can ThoNN&amp;PTNT Can Tho</v>
          </cell>
          <cell r="E1714">
            <v>553</v>
          </cell>
        </row>
        <row r="1715">
          <cell r="A1715" t="str">
            <v>NH Nong Nghiep va Phat Trien Nong Thon (AGRIBANK)</v>
          </cell>
          <cell r="D1715" t="str">
            <v>Can ThoNN&amp;PTNT Vinh Thanh</v>
          </cell>
          <cell r="E1715">
            <v>3910</v>
          </cell>
        </row>
        <row r="1716">
          <cell r="A1716" t="str">
            <v>NH Nong Nghiep va Phat Trien Nong Thon (AGRIBANK)</v>
          </cell>
          <cell r="D1716" t="str">
            <v>Can ThoNN&amp;PTNT Ninh Kieu</v>
          </cell>
          <cell r="E1716">
            <v>4126</v>
          </cell>
        </row>
        <row r="1717">
          <cell r="A1717" t="str">
            <v>NH Nong Nghiep va Phat Trien Nong Thon (AGRIBANK)</v>
          </cell>
          <cell r="D1717" t="str">
            <v>Can ThoNN&amp;PTNT Phong Dien</v>
          </cell>
          <cell r="E1717">
            <v>4079</v>
          </cell>
        </row>
        <row r="1718">
          <cell r="A1718" t="str">
            <v>NH Nong Nghiep va Phat Trien Nong Thon (AGRIBANK)</v>
          </cell>
          <cell r="D1718" t="str">
            <v>Can ThoNN&amp;PTNT VPDD KV Tay Nam Bo</v>
          </cell>
          <cell r="E1718">
            <v>5165</v>
          </cell>
        </row>
        <row r="1719">
          <cell r="A1719" t="str">
            <v>NH Nong Nghiep va Phat Trien Nong Thon (AGRIBANK)</v>
          </cell>
          <cell r="D1719" t="str">
            <v>Can ThoNN&amp;PTNT Co Do</v>
          </cell>
          <cell r="E1719">
            <v>3823</v>
          </cell>
        </row>
        <row r="1720">
          <cell r="A1720" t="str">
            <v>NH Nong Nghiep va Phat Trien Nong Thon (AGRIBANK)</v>
          </cell>
          <cell r="D1720" t="str">
            <v>Soc TrangNN&amp;PTNT Huyen My Tu</v>
          </cell>
          <cell r="E1720">
            <v>456</v>
          </cell>
        </row>
        <row r="1721">
          <cell r="A1721" t="str">
            <v>NH Nong Nghiep va Phat Trien Nong Thon (AGRIBANK)</v>
          </cell>
          <cell r="D1721" t="str">
            <v>Soc TrangNN&amp;PTNT Huyen My Xuyen</v>
          </cell>
          <cell r="E1721">
            <v>457</v>
          </cell>
        </row>
        <row r="1722">
          <cell r="A1722" t="str">
            <v>NH Nong Nghiep va Phat Trien Nong Thon (AGRIBANK)</v>
          </cell>
          <cell r="D1722" t="str">
            <v>Soc TrangNN&amp;PTNT Huyen Chau Thanh</v>
          </cell>
          <cell r="E1722">
            <v>469</v>
          </cell>
        </row>
        <row r="1723">
          <cell r="A1723" t="str">
            <v>NH Nong Nghiep va Phat Trien Nong Thon (AGRIBANK)</v>
          </cell>
          <cell r="D1723" t="str">
            <v>Soc TrangNN&amp;PTNT Huyen Ke Sach</v>
          </cell>
          <cell r="E1723">
            <v>437</v>
          </cell>
        </row>
        <row r="1724">
          <cell r="A1724" t="str">
            <v>NH Nong Nghiep va Phat Trien Nong Thon (AGRIBANK)</v>
          </cell>
          <cell r="D1724" t="str">
            <v>Soc TrangNN&amp;PTNT Tinh Soc Trang</v>
          </cell>
          <cell r="E1724">
            <v>580</v>
          </cell>
        </row>
        <row r="1725">
          <cell r="A1725" t="str">
            <v>NH Nong Nghiep va Phat Trien Nong Thon (AGRIBANK)</v>
          </cell>
          <cell r="D1725" t="str">
            <v>Soc TrangNN&amp;PTNT Huyen Vinh Chau</v>
          </cell>
          <cell r="E1725">
            <v>505</v>
          </cell>
        </row>
        <row r="1726">
          <cell r="A1726" t="str">
            <v>NH Nong Nghiep va Phat Trien Nong Thon (AGRIBANK)</v>
          </cell>
          <cell r="D1726" t="str">
            <v>Soc TrangNN&amp;PTNT TP Soc Trang</v>
          </cell>
          <cell r="E1726">
            <v>3978</v>
          </cell>
        </row>
        <row r="1727">
          <cell r="A1727" t="str">
            <v>NH Nong Nghiep va Phat Trien Nong Thon (AGRIBANK)</v>
          </cell>
          <cell r="D1727" t="str">
            <v>Soc TrangNN&amp;PTNT Huyen Thanh Tri</v>
          </cell>
          <cell r="E1727">
            <v>3364</v>
          </cell>
        </row>
        <row r="1728">
          <cell r="A1728" t="str">
            <v>NH Nong Nghiep va Phat Trien Nong Thon (AGRIBANK)</v>
          </cell>
          <cell r="D1728" t="str">
            <v>Soc TrangNN&amp;PTNT CN Ba Xuyen</v>
          </cell>
          <cell r="E1728">
            <v>5082</v>
          </cell>
        </row>
        <row r="1729">
          <cell r="A1729" t="str">
            <v>NH Nong Nghiep va Phat Trien Nong Thon (AGRIBANK)</v>
          </cell>
          <cell r="D1729" t="str">
            <v>Soc TrangNN&amp;PTNT Huyen Nga Nam</v>
          </cell>
          <cell r="E1729">
            <v>5083</v>
          </cell>
        </row>
        <row r="1730">
          <cell r="A1730" t="str">
            <v>NH Nong Nghiep va Phat Trien Nong Thon (AGRIBANK)</v>
          </cell>
          <cell r="D1730" t="str">
            <v>Soc TrangNN&amp;PTNT CN Thanh Phu</v>
          </cell>
          <cell r="E1730">
            <v>5084</v>
          </cell>
        </row>
        <row r="1731">
          <cell r="A1731" t="str">
            <v>NH Nong Nghiep va Phat Trien Nong Thon (AGRIBANK)</v>
          </cell>
          <cell r="D1731" t="str">
            <v>Soc TrangNN&amp;PTNT CN Tran De</v>
          </cell>
          <cell r="E1731">
            <v>5085</v>
          </cell>
        </row>
        <row r="1732">
          <cell r="A1732" t="str">
            <v>NH Nong Nghiep va Phat Trien Nong Thon (AGRIBANK)</v>
          </cell>
          <cell r="D1732" t="str">
            <v>Soc TrangNN&amp;PTNT PGD Dai Nghia</v>
          </cell>
          <cell r="E1732">
            <v>5096</v>
          </cell>
        </row>
        <row r="1733">
          <cell r="A1733" t="str">
            <v>NH Nong Nghiep va Phat Trien Nong Thon (AGRIBANK)</v>
          </cell>
          <cell r="D1733" t="str">
            <v>Soc TrangNN&amp;PTNT Huyen Cu Lao Dung</v>
          </cell>
          <cell r="E1733">
            <v>3566</v>
          </cell>
        </row>
        <row r="1734">
          <cell r="A1734" t="str">
            <v>NH Nong Nghiep va Phat Trien Nong Thon (AGRIBANK)</v>
          </cell>
          <cell r="D1734" t="str">
            <v>Soc TrangNN&amp;PTNT Huyen Long Phu</v>
          </cell>
          <cell r="E1734">
            <v>452</v>
          </cell>
        </row>
        <row r="1735">
          <cell r="A1735" t="str">
            <v>NH Nong Nghiep va Phat Trien Nong Thon (AGRIBANK)</v>
          </cell>
          <cell r="D1735" t="str">
            <v>Kien GiangNN&amp;PTNT Phu Quoc</v>
          </cell>
          <cell r="E1735">
            <v>466</v>
          </cell>
        </row>
        <row r="1736">
          <cell r="A1736" t="str">
            <v>NH Nong Nghiep va Phat Trien Nong Thon (AGRIBANK)</v>
          </cell>
          <cell r="D1736" t="str">
            <v>Kien GiangNN&amp;PTNT Huyen Hon Dat</v>
          </cell>
          <cell r="E1736">
            <v>432</v>
          </cell>
        </row>
        <row r="1737">
          <cell r="A1737" t="str">
            <v>NH Nong Nghiep va Phat Trien Nong Thon (AGRIBANK)</v>
          </cell>
          <cell r="D1737" t="str">
            <v>Kien GiangNN&amp;PTNT Huyen Kien Hai</v>
          </cell>
          <cell r="E1737">
            <v>438</v>
          </cell>
        </row>
        <row r="1738">
          <cell r="A1738" t="str">
            <v>NH Nong Nghiep va Phat Trien Nong Thon (AGRIBANK)</v>
          </cell>
          <cell r="D1738" t="str">
            <v>Kien GiangNN&amp;PTNT Huyen An Bien</v>
          </cell>
          <cell r="E1738">
            <v>370</v>
          </cell>
        </row>
        <row r="1739">
          <cell r="A1739" t="str">
            <v>NH Nong Nghiep va Phat Trien Nong Thon (AGRIBANK)</v>
          </cell>
          <cell r="D1739" t="str">
            <v>Kien GiangNN&amp;PTNT Huyen An Minh</v>
          </cell>
          <cell r="E1739">
            <v>372</v>
          </cell>
        </row>
        <row r="1740">
          <cell r="A1740" t="str">
            <v>NH Nong Nghiep va Phat Trien Nong Thon (AGRIBANK)</v>
          </cell>
          <cell r="D1740" t="str">
            <v>Kien GiangNN&amp;PTNT Kien Giang</v>
          </cell>
          <cell r="E1740">
            <v>640</v>
          </cell>
        </row>
        <row r="1741">
          <cell r="A1741" t="str">
            <v>NH Nong Nghiep va Phat Trien Nong Thon (AGRIBANK)</v>
          </cell>
          <cell r="D1741" t="str">
            <v>Kien GiangNN&amp;PTNT Huyen Giong Rieng</v>
          </cell>
          <cell r="E1741">
            <v>326</v>
          </cell>
        </row>
        <row r="1742">
          <cell r="A1742" t="str">
            <v>NH Nong Nghiep va Phat Trien Nong Thon (AGRIBANK)</v>
          </cell>
          <cell r="D1742" t="str">
            <v>Kien GiangNN&amp;PTNT Huyen Chau Thanh</v>
          </cell>
          <cell r="E1742">
            <v>349</v>
          </cell>
        </row>
        <row r="1743">
          <cell r="A1743" t="str">
            <v>NH Nong Nghiep va Phat Trien Nong Thon (AGRIBANK)</v>
          </cell>
          <cell r="D1743" t="str">
            <v>Kien GiangNN&amp;PTNT Huyen Vinh Thuan</v>
          </cell>
          <cell r="E1743">
            <v>357</v>
          </cell>
        </row>
        <row r="1744">
          <cell r="A1744" t="str">
            <v>NH Nong Nghiep va Phat Trien Nong Thon (AGRIBANK)</v>
          </cell>
          <cell r="D1744" t="str">
            <v>Kien GiangNN&amp;PTNT Huyen Tan Hiep</v>
          </cell>
          <cell r="E1744">
            <v>477</v>
          </cell>
        </row>
        <row r="1745">
          <cell r="A1745" t="str">
            <v>NH Nong Nghiep va Phat Trien Nong Thon (AGRIBANK)</v>
          </cell>
          <cell r="D1745" t="str">
            <v>Kien GiangNN&amp;PTNT CN Rach Soi</v>
          </cell>
          <cell r="E1745">
            <v>3806</v>
          </cell>
        </row>
        <row r="1746">
          <cell r="A1746" t="str">
            <v>NH Nong Nghiep va Phat Trien Nong Thon (AGRIBANK)</v>
          </cell>
          <cell r="D1746" t="str">
            <v>Kien GiangNN&amp;PTNT CN Vinh Lac</v>
          </cell>
          <cell r="E1746">
            <v>3814</v>
          </cell>
        </row>
        <row r="1747">
          <cell r="A1747" t="str">
            <v>NH Nong Nghiep va Phat Trien Nong Thon (AGRIBANK)</v>
          </cell>
          <cell r="D1747" t="str">
            <v>Kien GiangNN&amp;PTNT Huyen Kien Luong</v>
          </cell>
          <cell r="E1747">
            <v>3426</v>
          </cell>
        </row>
        <row r="1748">
          <cell r="A1748" t="str">
            <v>NH Nong Nghiep va Phat Trien Nong Thon (AGRIBANK)</v>
          </cell>
          <cell r="D1748" t="str">
            <v>Kien GiangNN&amp;PTNT Huyen Go Quao</v>
          </cell>
          <cell r="E1748">
            <v>425</v>
          </cell>
        </row>
        <row r="1749">
          <cell r="A1749" t="str">
            <v>NH Nong Nghiep va Phat Trien Nong Thon (AGRIBANK)</v>
          </cell>
          <cell r="D1749" t="str">
            <v>Kien GiangNN&amp;PTNT TX Ha Tien</v>
          </cell>
          <cell r="E1749">
            <v>426</v>
          </cell>
        </row>
        <row r="1750">
          <cell r="A1750" t="str">
            <v>NH Nong Nghiep va Phat Trien Nong Thon (AGRIBANK)</v>
          </cell>
          <cell r="D1750" t="str">
            <v>Kien GiangNN&amp;PTNT CN U Minh Thuong</v>
          </cell>
          <cell r="E1750">
            <v>5188</v>
          </cell>
        </row>
        <row r="1751">
          <cell r="A1751" t="str">
            <v>NH Nong Nghiep va Phat Trien Nong Thon (AGRIBANK)</v>
          </cell>
          <cell r="D1751" t="str">
            <v>Kien GiangNN&amp;PTNT CN Ben Nhat</v>
          </cell>
          <cell r="E1751">
            <v>5073</v>
          </cell>
        </row>
        <row r="1752">
          <cell r="A1752" t="str">
            <v>NH Nong Nghiep va Phat Trien Nong Thon (AGRIBANK)</v>
          </cell>
          <cell r="D1752" t="str">
            <v>Kien GiangNN&amp;PTNT CN Ba Hon</v>
          </cell>
          <cell r="E1752">
            <v>5074</v>
          </cell>
        </row>
        <row r="1753">
          <cell r="A1753" t="str">
            <v>NH Nong Nghiep va Phat Trien Nong Thon (AGRIBANK)</v>
          </cell>
          <cell r="D1753" t="str">
            <v>Kien GiangNN&amp;PTNT CN My Lam</v>
          </cell>
          <cell r="E1753">
            <v>5075</v>
          </cell>
        </row>
        <row r="1754">
          <cell r="A1754" t="str">
            <v>NH Nong Nghiep va Phat Trien Nong Thon (AGRIBANK)</v>
          </cell>
          <cell r="D1754" t="str">
            <v>Bac LieuNN&amp;PTNT Huyen Dong Hai</v>
          </cell>
          <cell r="E1754">
            <v>3595</v>
          </cell>
        </row>
        <row r="1755">
          <cell r="A1755" t="str">
            <v>NH Nong Nghiep va Phat Trien Nong Thon (AGRIBANK)</v>
          </cell>
          <cell r="D1755" t="str">
            <v>Bac LieuNN&amp;PTNT Huyen Phuoc Long</v>
          </cell>
          <cell r="E1755">
            <v>3594</v>
          </cell>
        </row>
        <row r="1756">
          <cell r="A1756" t="str">
            <v>NH Nong Nghiep va Phat Trien Nong Thon (AGRIBANK)</v>
          </cell>
          <cell r="D1756" t="str">
            <v>Bac LieuNN&amp;PTNT Huyen Hoa Binh</v>
          </cell>
          <cell r="E1756">
            <v>5087</v>
          </cell>
        </row>
        <row r="1757">
          <cell r="A1757" t="str">
            <v>NH Nong Nghiep va Phat Trien Nong Thon (AGRIBANK)</v>
          </cell>
          <cell r="D1757" t="str">
            <v>Bac LieuNN&amp;PTNT TP Bac Lieu</v>
          </cell>
          <cell r="E1757">
            <v>5086</v>
          </cell>
        </row>
        <row r="1758">
          <cell r="A1758" t="str">
            <v>NH Nong Nghiep va Phat Trien Nong Thon (AGRIBANK)</v>
          </cell>
          <cell r="D1758" t="str">
            <v>Bac LieuNN&amp;PTNT Huyen Gia Rai</v>
          </cell>
          <cell r="E1758">
            <v>423</v>
          </cell>
        </row>
        <row r="1759">
          <cell r="A1759" t="str">
            <v>NH Nong Nghiep va Phat Trien Nong Thon (AGRIBANK)</v>
          </cell>
          <cell r="D1759" t="str">
            <v>Bac LieuNN&amp;PTNT Tinh Bac Lieu</v>
          </cell>
          <cell r="E1759">
            <v>546</v>
          </cell>
        </row>
        <row r="1760">
          <cell r="A1760" t="str">
            <v>NH Nong Nghiep va Phat Trien Nong Thon (AGRIBANK)</v>
          </cell>
          <cell r="D1760" t="str">
            <v>Bac LieuNN&amp;PTNT Huyen Vinh Loi</v>
          </cell>
          <cell r="E1760">
            <v>507</v>
          </cell>
        </row>
        <row r="1761">
          <cell r="A1761" t="str">
            <v>NH Nong Nghiep va Phat Trien Nong Thon (AGRIBANK)</v>
          </cell>
          <cell r="D1761" t="str">
            <v>Bac LieuNN&amp;PTNT Huyen Hong Dan</v>
          </cell>
          <cell r="E1761">
            <v>433</v>
          </cell>
        </row>
        <row r="1762">
          <cell r="A1762" t="str">
            <v>NH Nong Nghiep va Phat Trien Nong Thon (AGRIBANK)</v>
          </cell>
          <cell r="D1762" t="str">
            <v>Ca MauNN&amp;PTNT Huyen Ngoc Hien</v>
          </cell>
          <cell r="E1762">
            <v>459</v>
          </cell>
        </row>
        <row r="1763">
          <cell r="A1763" t="str">
            <v>NH Nong Nghiep va Phat Trien Nong Thon (AGRIBANK)</v>
          </cell>
          <cell r="D1763" t="str">
            <v>Ca MauNN&amp;PTNT Huyen Phu Tan</v>
          </cell>
          <cell r="E1763">
            <v>3596</v>
          </cell>
        </row>
        <row r="1764">
          <cell r="A1764" t="str">
            <v>NH Nong Nghiep va Phat Trien Nong Thon (AGRIBANK)</v>
          </cell>
          <cell r="D1764" t="str">
            <v>Ca MauNN&amp;PTNT Huyen Nam Can</v>
          </cell>
          <cell r="E1764">
            <v>5089</v>
          </cell>
        </row>
        <row r="1765">
          <cell r="A1765" t="str">
            <v>NH Nong Nghiep va Phat Trien Nong Thon (AGRIBANK)</v>
          </cell>
          <cell r="D1765" t="str">
            <v>Ca MauNN&amp;PTNT Tinh Ca Mau</v>
          </cell>
          <cell r="E1765">
            <v>552</v>
          </cell>
        </row>
        <row r="1766">
          <cell r="A1766" t="str">
            <v>NH Nong Nghiep va Phat Trien Nong Thon (AGRIBANK)</v>
          </cell>
          <cell r="D1766" t="str">
            <v>Ca MauNN&amp;PTNT TP Ca Mau</v>
          </cell>
          <cell r="E1766">
            <v>5088</v>
          </cell>
        </row>
        <row r="1767">
          <cell r="A1767" t="str">
            <v>NH Nong Nghiep va Phat Trien Nong Thon (AGRIBANK)</v>
          </cell>
          <cell r="D1767" t="str">
            <v>Ca MauNN&amp;PTNT Huyen Tran Van Thoi</v>
          </cell>
          <cell r="E1767">
            <v>346</v>
          </cell>
        </row>
        <row r="1768">
          <cell r="A1768" t="str">
            <v>NH Nong Nghiep va Phat Trien Nong Thon (AGRIBANK)</v>
          </cell>
          <cell r="D1768" t="str">
            <v>Ca MauNN&amp;PTNT Huyen U Minh</v>
          </cell>
          <cell r="E1768">
            <v>502</v>
          </cell>
        </row>
        <row r="1769">
          <cell r="A1769" t="str">
            <v>NH Nong Nghiep va Phat Trien Nong Thon (AGRIBANK)</v>
          </cell>
          <cell r="D1769" t="str">
            <v>Ca MauNN&amp;PTNT Huyen Thoi Binh</v>
          </cell>
          <cell r="E1769">
            <v>490</v>
          </cell>
        </row>
        <row r="1770">
          <cell r="A1770" t="str">
            <v>NH Nong Nghiep va Phat Trien Nong Thon (AGRIBANK)</v>
          </cell>
          <cell r="D1770" t="str">
            <v>Ca MauNN&amp;PTNT Huyen Dam Doi</v>
          </cell>
          <cell r="E1770">
            <v>413</v>
          </cell>
        </row>
        <row r="1771">
          <cell r="A1771" t="str">
            <v>NH Nong Nghiep va Phat Trien Nong Thon (AGRIBANK)</v>
          </cell>
          <cell r="D1771" t="str">
            <v>Ca MauNN&amp;PTNT Huyen Cai Nuoc</v>
          </cell>
          <cell r="E1771">
            <v>388</v>
          </cell>
        </row>
        <row r="1772">
          <cell r="A1772" t="str">
            <v>NH Taipei Fubon Commercial Bank-CN TP.HCM</v>
          </cell>
          <cell r="D1772" t="str">
            <v>Ha NoiTaipei Fubon CN Ha Noi</v>
          </cell>
          <cell r="E1772">
            <v>3659</v>
          </cell>
        </row>
        <row r="1773">
          <cell r="A1773" t="str">
            <v>NH Taipei Fubon Commercial Bank-CN TP.HCM</v>
          </cell>
          <cell r="D1773" t="str">
            <v>Ho Chi MinhTAIPEI FUBON CN HCM</v>
          </cell>
          <cell r="E1773">
            <v>3005</v>
          </cell>
        </row>
        <row r="1774">
          <cell r="A1774" t="str">
            <v>NH Taipei Fubon Commercial Bank-CN TP.HCM</v>
          </cell>
          <cell r="D1774" t="str">
            <v>Binh DuongTaipei Fubon CN Binh Duong (HO)</v>
          </cell>
          <cell r="E1774">
            <v>4355</v>
          </cell>
        </row>
        <row r="1775">
          <cell r="A1775" t="str">
            <v>NH TMCP A Chau (ACB)</v>
          </cell>
          <cell r="D1775" t="str">
            <v>Ha NoiACB - PGD BACH MAI</v>
          </cell>
          <cell r="E1775">
            <v>3688</v>
          </cell>
        </row>
        <row r="1776">
          <cell r="A1776" t="str">
            <v>NH TMCP A Chau (ACB)</v>
          </cell>
          <cell r="D1776" t="str">
            <v>Ha NoiACB - PGD XUAN THUY</v>
          </cell>
          <cell r="E1776">
            <v>3562</v>
          </cell>
        </row>
        <row r="1777">
          <cell r="A1777" t="str">
            <v>NH TMCP A Chau (ACB)</v>
          </cell>
          <cell r="D1777" t="str">
            <v>Ha NoiACB - TIEU TRUNG TAM THE HN</v>
          </cell>
          <cell r="E1777">
            <v>3935</v>
          </cell>
        </row>
        <row r="1778">
          <cell r="A1778" t="str">
            <v>NH TMCP A Chau (ACB)</v>
          </cell>
          <cell r="D1778" t="str">
            <v>Ha NoiACB - PGD THANH CONG</v>
          </cell>
          <cell r="E1778">
            <v>3557</v>
          </cell>
        </row>
        <row r="1779">
          <cell r="A1779" t="str">
            <v>NH TMCP A Chau (ACB)</v>
          </cell>
          <cell r="D1779" t="str">
            <v>Ha NoiACB - PGD HO TUNG MAU</v>
          </cell>
          <cell r="E1779">
            <v>3517</v>
          </cell>
        </row>
        <row r="1780">
          <cell r="A1780" t="str">
            <v>NH TMCP A Chau (ACB)</v>
          </cell>
          <cell r="D1780" t="str">
            <v>Ha NoiACB - PGD NGUYEN THI DINH</v>
          </cell>
          <cell r="E1780">
            <v>3530</v>
          </cell>
        </row>
        <row r="1781">
          <cell r="A1781" t="str">
            <v>NH TMCP A Chau (ACB)</v>
          </cell>
          <cell r="D1781" t="str">
            <v>Ha NoiACB - PGD LO DUC</v>
          </cell>
          <cell r="E1781">
            <v>3531</v>
          </cell>
        </row>
        <row r="1782">
          <cell r="A1782" t="str">
            <v>NH TMCP A Chau (ACB)</v>
          </cell>
          <cell r="D1782" t="str">
            <v>Ha NoiACB - PGD NGUYEN KHANH TOAN</v>
          </cell>
          <cell r="E1782">
            <v>3393</v>
          </cell>
        </row>
        <row r="1783">
          <cell r="A1783" t="str">
            <v>NH TMCP A Chau (ACB)</v>
          </cell>
          <cell r="D1783" t="str">
            <v>Ha NoiACB - PGD TRUNG VAN</v>
          </cell>
          <cell r="E1783">
            <v>3401</v>
          </cell>
        </row>
        <row r="1784">
          <cell r="A1784" t="str">
            <v>NH TMCP A Chau (ACB)</v>
          </cell>
          <cell r="D1784" t="str">
            <v>Ha NoiACB - PGD HOANG CAU</v>
          </cell>
          <cell r="E1784">
            <v>3307</v>
          </cell>
        </row>
        <row r="1785">
          <cell r="A1785" t="str">
            <v>NH TMCP A Chau (ACB)</v>
          </cell>
          <cell r="D1785" t="str">
            <v>Ha NoiACB - PGD CUA NAM</v>
          </cell>
          <cell r="E1785">
            <v>3386</v>
          </cell>
        </row>
        <row r="1786">
          <cell r="A1786" t="str">
            <v>NH TMCP A Chau (ACB)</v>
          </cell>
          <cell r="D1786" t="str">
            <v>Ha NoiACB - PGD NGOC HA</v>
          </cell>
          <cell r="E1786">
            <v>3402</v>
          </cell>
        </row>
        <row r="1787">
          <cell r="A1787" t="str">
            <v>NH TMCP A Chau (ACB)</v>
          </cell>
          <cell r="D1787" t="str">
            <v>Ha NoiACB - PGD DUC GIANG</v>
          </cell>
          <cell r="E1787">
            <v>3409</v>
          </cell>
        </row>
        <row r="1788">
          <cell r="A1788" t="str">
            <v>NH TMCP A Chau (ACB)</v>
          </cell>
          <cell r="D1788" t="str">
            <v>Ha NoiACB - PGD DEN LU</v>
          </cell>
          <cell r="E1788">
            <v>3416</v>
          </cell>
        </row>
        <row r="1789">
          <cell r="A1789" t="str">
            <v>NH TMCP A Chau (ACB)</v>
          </cell>
          <cell r="D1789" t="str">
            <v>Ha NoiACB - PGD AU CO</v>
          </cell>
          <cell r="E1789">
            <v>3434</v>
          </cell>
        </row>
        <row r="1790">
          <cell r="A1790" t="str">
            <v>NH TMCP A Chau (ACB)</v>
          </cell>
          <cell r="D1790" t="str">
            <v>Ha NoiACB - PGD THUY KHUE</v>
          </cell>
          <cell r="E1790">
            <v>3448</v>
          </cell>
        </row>
        <row r="1791">
          <cell r="A1791" t="str">
            <v>NH TMCP A Chau (ACB)</v>
          </cell>
          <cell r="D1791" t="str">
            <v>Ha NoiACB - PGD VAN QUAN</v>
          </cell>
          <cell r="E1791">
            <v>3450</v>
          </cell>
        </row>
        <row r="1792">
          <cell r="A1792" t="str">
            <v>NH TMCP A Chau (ACB)</v>
          </cell>
          <cell r="D1792" t="str">
            <v>Ha NoiACB - PGD LANG THUONG</v>
          </cell>
          <cell r="E1792">
            <v>3452</v>
          </cell>
        </row>
        <row r="1793">
          <cell r="A1793" t="str">
            <v>NH TMCP A Chau (ACB)</v>
          </cell>
          <cell r="D1793" t="str">
            <v>Ha NoiACB - PGD DONG ANH</v>
          </cell>
          <cell r="E1793">
            <v>3494</v>
          </cell>
        </row>
        <row r="1794">
          <cell r="A1794" t="str">
            <v>NH TMCP A Chau (ACB)</v>
          </cell>
          <cell r="D1794" t="str">
            <v>Ha NoiACB - PGD TRANG THI</v>
          </cell>
          <cell r="E1794">
            <v>2694</v>
          </cell>
        </row>
        <row r="1795">
          <cell r="A1795" t="str">
            <v>NH TMCP A Chau (ACB)</v>
          </cell>
          <cell r="D1795" t="str">
            <v>Ha NoiACB - CN HA THANH</v>
          </cell>
          <cell r="E1795">
            <v>2700</v>
          </cell>
        </row>
        <row r="1796">
          <cell r="A1796" t="str">
            <v>NH TMCP A Chau (ACB)</v>
          </cell>
          <cell r="D1796" t="str">
            <v>Ha NoiACB - PGD NGUYEN HUU HUAN</v>
          </cell>
          <cell r="E1796">
            <v>3514</v>
          </cell>
        </row>
        <row r="1797">
          <cell r="A1797" t="str">
            <v>NH TMCP A Chau (ACB)</v>
          </cell>
          <cell r="D1797" t="str">
            <v>Ha NoiACB - PGD TRAN QUOC HOAN</v>
          </cell>
          <cell r="E1797">
            <v>3618</v>
          </cell>
        </row>
        <row r="1798">
          <cell r="A1798" t="str">
            <v>NH TMCP A Chau (ACB)</v>
          </cell>
          <cell r="D1798" t="str">
            <v>Ha NoiACB - CN HA NOI</v>
          </cell>
          <cell r="E1798">
            <v>221</v>
          </cell>
        </row>
        <row r="1799">
          <cell r="A1799" t="str">
            <v>NH TMCP A Chau (ACB)</v>
          </cell>
          <cell r="D1799" t="str">
            <v>Ha NoiACB - PGD HOANG HOA THAM</v>
          </cell>
          <cell r="E1799">
            <v>2803</v>
          </cell>
        </row>
        <row r="1800">
          <cell r="A1800" t="str">
            <v>NH TMCP A Chau (ACB)</v>
          </cell>
          <cell r="D1800" t="str">
            <v>Ha NoiACB - PGD THANH XUAN</v>
          </cell>
          <cell r="E1800">
            <v>2940</v>
          </cell>
        </row>
        <row r="1801">
          <cell r="A1801" t="str">
            <v>NH TMCP A Chau (ACB)</v>
          </cell>
          <cell r="D1801" t="str">
            <v>Ha NoiACB - PGD BAT DAN</v>
          </cell>
          <cell r="E1801">
            <v>3038</v>
          </cell>
        </row>
        <row r="1802">
          <cell r="A1802" t="str">
            <v>NH TMCP A Chau (ACB)</v>
          </cell>
          <cell r="D1802" t="str">
            <v>Ha NoiACB - PGD DINH CONG</v>
          </cell>
          <cell r="E1802">
            <v>3039</v>
          </cell>
        </row>
        <row r="1803">
          <cell r="A1803" t="str">
            <v>NH TMCP A Chau (ACB)</v>
          </cell>
          <cell r="D1803" t="str">
            <v>Ha NoiACB - PGD DONG XUAN</v>
          </cell>
          <cell r="E1803">
            <v>3040</v>
          </cell>
        </row>
        <row r="1804">
          <cell r="A1804" t="str">
            <v>NH TMCP A Chau (ACB)</v>
          </cell>
          <cell r="D1804" t="str">
            <v>Ha NoiACB - PGD KIM DONG</v>
          </cell>
          <cell r="E1804">
            <v>3041</v>
          </cell>
        </row>
        <row r="1805">
          <cell r="A1805" t="str">
            <v>NH TMCP A Chau (ACB)</v>
          </cell>
          <cell r="D1805" t="str">
            <v>Ha NoiACB - PGD MY DINH</v>
          </cell>
          <cell r="E1805">
            <v>3042</v>
          </cell>
        </row>
        <row r="1806">
          <cell r="A1806" t="str">
            <v>NH TMCP A Chau (ACB)</v>
          </cell>
          <cell r="D1806" t="str">
            <v>Ha NoiACB - PGD NGOC LAM</v>
          </cell>
          <cell r="E1806">
            <v>3043</v>
          </cell>
        </row>
        <row r="1807">
          <cell r="A1807" t="str">
            <v>NH TMCP A Chau (ACB)</v>
          </cell>
          <cell r="D1807" t="str">
            <v>Ha NoiACB - PGD NOI BAI</v>
          </cell>
          <cell r="E1807">
            <v>3044</v>
          </cell>
        </row>
        <row r="1808">
          <cell r="A1808" t="str">
            <v>NH TMCP A Chau (ACB)</v>
          </cell>
          <cell r="D1808" t="str">
            <v>Ha NoiACB - PGD TON DUC THANG</v>
          </cell>
          <cell r="E1808">
            <v>3045</v>
          </cell>
        </row>
        <row r="1809">
          <cell r="A1809" t="str">
            <v>NH TMCP A Chau (ACB)</v>
          </cell>
          <cell r="D1809" t="str">
            <v>Ha NoiACB - PGD TRAN QUOC TOAN</v>
          </cell>
          <cell r="E1809">
            <v>3046</v>
          </cell>
        </row>
        <row r="1810">
          <cell r="A1810" t="str">
            <v>NH TMCP A Chau (ACB)</v>
          </cell>
          <cell r="D1810" t="str">
            <v>Ha NoiACB - PGD KIM LIEN</v>
          </cell>
          <cell r="E1810">
            <v>3029</v>
          </cell>
        </row>
        <row r="1811">
          <cell r="A1811" t="str">
            <v>NH TMCP A Chau (ACB)</v>
          </cell>
          <cell r="D1811" t="str">
            <v>Ha NoiACB - PGD O CHO DUA</v>
          </cell>
          <cell r="E1811">
            <v>3309</v>
          </cell>
        </row>
        <row r="1812">
          <cell r="A1812" t="str">
            <v>NH TMCP A Chau (ACB)</v>
          </cell>
          <cell r="D1812" t="str">
            <v>Ha NoiACB - PGD HA DONG</v>
          </cell>
          <cell r="E1812">
            <v>3149</v>
          </cell>
        </row>
        <row r="1813">
          <cell r="A1813" t="str">
            <v>NH TMCP A Chau (ACB)</v>
          </cell>
          <cell r="D1813" t="str">
            <v>Ha NoiACB - PGD HOANG QUOC VIET</v>
          </cell>
          <cell r="E1813">
            <v>3150</v>
          </cell>
        </row>
        <row r="1814">
          <cell r="A1814" t="str">
            <v>NH TMCP A Chau (ACB)</v>
          </cell>
          <cell r="D1814" t="str">
            <v>Ha NoiACB - PGD KHAM THIEN</v>
          </cell>
          <cell r="E1814">
            <v>3151</v>
          </cell>
        </row>
        <row r="1815">
          <cell r="A1815" t="str">
            <v>NH TMCP A Chau (ACB)</v>
          </cell>
          <cell r="D1815" t="str">
            <v>Ha NoiACB - PGD THANH TRI</v>
          </cell>
          <cell r="E1815">
            <v>3152</v>
          </cell>
        </row>
        <row r="1816">
          <cell r="A1816" t="str">
            <v>NH TMCP A Chau (ACB)</v>
          </cell>
          <cell r="D1816" t="str">
            <v>Ha NoiACB - PGD TRAN DAI NGHIA</v>
          </cell>
          <cell r="E1816">
            <v>3153</v>
          </cell>
        </row>
        <row r="1817">
          <cell r="A1817" t="str">
            <v>NH TMCP A Chau (ACB)</v>
          </cell>
          <cell r="D1817" t="str">
            <v>Ha NoiACB - PGD LIEU GIAI</v>
          </cell>
          <cell r="E1817">
            <v>3236</v>
          </cell>
        </row>
        <row r="1818">
          <cell r="A1818" t="str">
            <v>NH TMCP A Chau (ACB)</v>
          </cell>
          <cell r="D1818" t="str">
            <v>Ha NoiACB - CN THANG LONG</v>
          </cell>
          <cell r="E1818">
            <v>2897</v>
          </cell>
        </row>
        <row r="1819">
          <cell r="A1819" t="str">
            <v>NH TMCP A Chau (ACB)</v>
          </cell>
          <cell r="D1819" t="str">
            <v>Ha NoiACB - PGD TRAN DUY HUNG</v>
          </cell>
          <cell r="E1819">
            <v>2967</v>
          </cell>
        </row>
        <row r="1820">
          <cell r="A1820" t="str">
            <v>NH TMCP A Chau (ACB)</v>
          </cell>
          <cell r="D1820" t="str">
            <v>Ha NoiACB - PGD LINH DAM</v>
          </cell>
          <cell r="E1820">
            <v>3288</v>
          </cell>
        </row>
        <row r="1821">
          <cell r="A1821" t="str">
            <v>NH TMCP A Chau (ACB)</v>
          </cell>
          <cell r="D1821" t="str">
            <v>Ha NoiACB - PGD TAY HO</v>
          </cell>
          <cell r="E1821">
            <v>3300</v>
          </cell>
        </row>
        <row r="1822">
          <cell r="A1822" t="str">
            <v>NH TMCP A Chau (ACB)</v>
          </cell>
          <cell r="D1822" t="str">
            <v>Ha NoiACB - PGD HUYNH THUC KHANG</v>
          </cell>
          <cell r="E1822">
            <v>3305</v>
          </cell>
        </row>
        <row r="1823">
          <cell r="A1823" t="str">
            <v>NH TMCP A Chau (ACB)</v>
          </cell>
          <cell r="D1823" t="str">
            <v>Ha NoiACB - PGD TUONG MAI</v>
          </cell>
          <cell r="E1823">
            <v>3311</v>
          </cell>
        </row>
        <row r="1824">
          <cell r="A1824" t="str">
            <v>NH TMCP A Chau (ACB)</v>
          </cell>
          <cell r="D1824" t="str">
            <v>Ha NoiACB - PGD THANH NHAN</v>
          </cell>
          <cell r="E1824">
            <v>3317</v>
          </cell>
        </row>
        <row r="1825">
          <cell r="A1825" t="str">
            <v>NH TMCP A Chau (ACB)</v>
          </cell>
          <cell r="D1825" t="str">
            <v>Ha NoiACB - PGD GIANG VO</v>
          </cell>
          <cell r="E1825">
            <v>3324</v>
          </cell>
        </row>
        <row r="1826">
          <cell r="A1826" t="str">
            <v>NH TMCP A Chau (ACB)</v>
          </cell>
          <cell r="D1826" t="str">
            <v>Ha NoiACB - PGD QUAN SU</v>
          </cell>
          <cell r="E1826">
            <v>3332</v>
          </cell>
        </row>
        <row r="1827">
          <cell r="A1827" t="str">
            <v>NH TMCP A Chau (ACB)</v>
          </cell>
          <cell r="D1827" t="str">
            <v>Ha NoiACB - PGD CUA BAC</v>
          </cell>
          <cell r="E1827">
            <v>3340</v>
          </cell>
        </row>
        <row r="1828">
          <cell r="A1828" t="str">
            <v>NH TMCP A Chau (ACB)</v>
          </cell>
          <cell r="D1828" t="str">
            <v>Ha NoiACB - PGD MINH KHAI</v>
          </cell>
          <cell r="E1828">
            <v>3371</v>
          </cell>
        </row>
        <row r="1829">
          <cell r="A1829" t="str">
            <v>NH TMCP A Chau (ACB)</v>
          </cell>
          <cell r="D1829" t="str">
            <v>Ha NoiACB - PGD GIANG VAN MINH</v>
          </cell>
          <cell r="E1829">
            <v>3376</v>
          </cell>
        </row>
        <row r="1830">
          <cell r="A1830" t="str">
            <v>NH TMCP A Chau (ACB)</v>
          </cell>
          <cell r="D1830" t="str">
            <v>Ha NoiACB - CN CUA NAM</v>
          </cell>
          <cell r="E1830">
            <v>2551</v>
          </cell>
        </row>
        <row r="1831">
          <cell r="A1831" t="str">
            <v>NH TMCP A Chau (ACB)</v>
          </cell>
          <cell r="D1831" t="str">
            <v>Thai NguyenACB - CN THAI NGUYEN</v>
          </cell>
          <cell r="E1831">
            <v>3482</v>
          </cell>
        </row>
        <row r="1832">
          <cell r="A1832" t="str">
            <v>NH TMCP A Chau (ACB)</v>
          </cell>
          <cell r="D1832" t="str">
            <v>Quang NinhACB - PGD COT 8 - HONG HA</v>
          </cell>
          <cell r="E1832">
            <v>3958</v>
          </cell>
        </row>
        <row r="1833">
          <cell r="A1833" t="str">
            <v>NH TMCP A Chau (ACB)</v>
          </cell>
          <cell r="D1833" t="str">
            <v>Quang NinhACB - PGD UONG BI</v>
          </cell>
          <cell r="E1833">
            <v>3972</v>
          </cell>
        </row>
        <row r="1834">
          <cell r="A1834" t="str">
            <v>NH TMCP A Chau (ACB)</v>
          </cell>
          <cell r="D1834" t="str">
            <v>Quang NinhACB - CN QUANG NINH</v>
          </cell>
          <cell r="E1834">
            <v>2783</v>
          </cell>
        </row>
        <row r="1835">
          <cell r="A1835" t="str">
            <v>NH TMCP A Chau (ACB)</v>
          </cell>
          <cell r="D1835" t="str">
            <v>Quang NinhACB - PGD CAM PHA</v>
          </cell>
          <cell r="E1835">
            <v>3065</v>
          </cell>
        </row>
        <row r="1836">
          <cell r="A1836" t="str">
            <v>NH TMCP A Chau (ACB)</v>
          </cell>
          <cell r="D1836" t="str">
            <v>Quang NinhACB - PGD MONG CAI</v>
          </cell>
          <cell r="E1836">
            <v>3439</v>
          </cell>
        </row>
        <row r="1837">
          <cell r="A1837" t="str">
            <v>NH TMCP A Chau (ACB)</v>
          </cell>
          <cell r="D1837" t="str">
            <v>Quang NinhACB - PGD BAI CHAY</v>
          </cell>
          <cell r="E1837">
            <v>3442</v>
          </cell>
        </row>
        <row r="1838">
          <cell r="A1838" t="str">
            <v>NH TMCP A Chau (ACB)</v>
          </cell>
          <cell r="D1838" t="str">
            <v>Hai PhongACB - PGD TD PLAZA</v>
          </cell>
          <cell r="E1838">
            <v>3331</v>
          </cell>
        </row>
        <row r="1839">
          <cell r="A1839" t="str">
            <v>NH TMCP A Chau (ACB)</v>
          </cell>
          <cell r="D1839" t="str">
            <v>Hai PhongACB - CN HAI PHONG</v>
          </cell>
          <cell r="E1839">
            <v>251</v>
          </cell>
        </row>
        <row r="1840">
          <cell r="A1840" t="str">
            <v>NH TMCP A Chau (ACB)</v>
          </cell>
          <cell r="D1840" t="str">
            <v>Hai PhongACB - PGD LACH TRAY</v>
          </cell>
          <cell r="E1840">
            <v>3617</v>
          </cell>
        </row>
        <row r="1841">
          <cell r="A1841" t="str">
            <v>NH TMCP A Chau (ACB)</v>
          </cell>
          <cell r="D1841" t="str">
            <v>Hai PhongACB - CN DUYEN HAI</v>
          </cell>
          <cell r="E1841">
            <v>2804</v>
          </cell>
        </row>
        <row r="1842">
          <cell r="A1842" t="str">
            <v>NH TMCP A Chau (ACB)</v>
          </cell>
          <cell r="D1842" t="str">
            <v>Hai PhongACB - CN THUY NGUYEN</v>
          </cell>
          <cell r="E1842">
            <v>2898</v>
          </cell>
        </row>
        <row r="1843">
          <cell r="A1843" t="str">
            <v>NH TMCP A Chau (ACB)</v>
          </cell>
          <cell r="D1843" t="str">
            <v>Hai PhongACB - PGD NGO QUYEN</v>
          </cell>
          <cell r="E1843">
            <v>3061</v>
          </cell>
        </row>
        <row r="1844">
          <cell r="A1844" t="str">
            <v>NH TMCP A Chau (ACB)</v>
          </cell>
          <cell r="D1844" t="str">
            <v>Hai PhongACB - PGD TO HIEU</v>
          </cell>
          <cell r="E1844">
            <v>3062</v>
          </cell>
        </row>
        <row r="1845">
          <cell r="A1845" t="str">
            <v>NH TMCP A Chau (ACB)</v>
          </cell>
          <cell r="D1845" t="str">
            <v>Hai PhongACB - PGD TRAN NGUYEN HAN</v>
          </cell>
          <cell r="E1845">
            <v>3157</v>
          </cell>
        </row>
        <row r="1846">
          <cell r="A1846" t="str">
            <v>NH TMCP A Chau (ACB)</v>
          </cell>
          <cell r="D1846" t="str">
            <v>Hai PhongACB - PGD THAI PHIEN</v>
          </cell>
          <cell r="E1846">
            <v>3246</v>
          </cell>
        </row>
        <row r="1847">
          <cell r="A1847" t="str">
            <v>NH TMCP A Chau (ACB)</v>
          </cell>
          <cell r="D1847" t="str">
            <v>Hai PhongACB - PGD QUAN TOAN</v>
          </cell>
          <cell r="E1847">
            <v>2603</v>
          </cell>
        </row>
        <row r="1848">
          <cell r="A1848" t="str">
            <v>NH TMCP A Chau (ACB)</v>
          </cell>
          <cell r="D1848" t="str">
            <v>Hai DuongACB - PGD LE THANH NGHI</v>
          </cell>
          <cell r="E1848">
            <v>3761</v>
          </cell>
        </row>
        <row r="1849">
          <cell r="A1849" t="str">
            <v>NH TMCP A Chau (ACB)</v>
          </cell>
          <cell r="D1849" t="str">
            <v>Hai DuongACB - CN HAI DUONG</v>
          </cell>
          <cell r="E1849">
            <v>3181</v>
          </cell>
        </row>
        <row r="1850">
          <cell r="A1850" t="str">
            <v>NH TMCP A Chau (ACB)</v>
          </cell>
          <cell r="D1850" t="str">
            <v>Hung YenACB - PGD PHO HIEN</v>
          </cell>
          <cell r="E1850">
            <v>3704</v>
          </cell>
        </row>
        <row r="1851">
          <cell r="A1851" t="str">
            <v>NH TMCP A Chau (ACB)</v>
          </cell>
          <cell r="D1851" t="str">
            <v>Hung YenACB - PGD VAN GIANG</v>
          </cell>
          <cell r="E1851">
            <v>3966</v>
          </cell>
        </row>
        <row r="1852">
          <cell r="A1852" t="str">
            <v>NH TMCP A Chau (ACB)</v>
          </cell>
          <cell r="D1852" t="str">
            <v>Hung YenACB - PGD VAN LAM</v>
          </cell>
          <cell r="E1852">
            <v>3498</v>
          </cell>
        </row>
        <row r="1853">
          <cell r="A1853" t="str">
            <v>NH TMCP A Chau (ACB)</v>
          </cell>
          <cell r="D1853" t="str">
            <v>Hung YenACB - CN HUNG YEN</v>
          </cell>
          <cell r="E1853">
            <v>2553</v>
          </cell>
        </row>
        <row r="1854">
          <cell r="A1854" t="str">
            <v>NH TMCP A Chau (ACB)</v>
          </cell>
          <cell r="D1854" t="str">
            <v>Bac GiangACB - CN BAC GIANG</v>
          </cell>
          <cell r="E1854">
            <v>3405</v>
          </cell>
        </row>
        <row r="1855">
          <cell r="A1855" t="str">
            <v>NH TMCP A Chau (ACB)</v>
          </cell>
          <cell r="D1855" t="str">
            <v>Bac NinhACB - PGD TIEN DU</v>
          </cell>
          <cell r="E1855">
            <v>3749</v>
          </cell>
        </row>
        <row r="1856">
          <cell r="A1856" t="str">
            <v>NH TMCP A Chau (ACB)</v>
          </cell>
          <cell r="D1856" t="str">
            <v>Bac NinhACB - CN BAC NINH</v>
          </cell>
          <cell r="E1856">
            <v>2589</v>
          </cell>
        </row>
        <row r="1857">
          <cell r="A1857" t="str">
            <v>NH TMCP A Chau (ACB)</v>
          </cell>
          <cell r="D1857" t="str">
            <v>Bac NinhACB - PGD KINH BAC</v>
          </cell>
          <cell r="E1857">
            <v>3378</v>
          </cell>
        </row>
        <row r="1858">
          <cell r="A1858" t="str">
            <v>NH TMCP A Chau (ACB)</v>
          </cell>
          <cell r="D1858" t="str">
            <v>Vinh PhucACB - CN VINH PHUC</v>
          </cell>
          <cell r="E1858">
            <v>3238</v>
          </cell>
        </row>
        <row r="1859">
          <cell r="A1859" t="str">
            <v>NH TMCP A Chau (ACB)</v>
          </cell>
          <cell r="D1859" t="str">
            <v>Ha NamACB - CN HA NAM</v>
          </cell>
          <cell r="E1859">
            <v>3888</v>
          </cell>
        </row>
        <row r="1860">
          <cell r="A1860" t="str">
            <v>NH TMCP A Chau (ACB)</v>
          </cell>
          <cell r="D1860" t="str">
            <v>Nam DinhACB - CN NAM DINH</v>
          </cell>
          <cell r="E1860">
            <v>3468</v>
          </cell>
        </row>
        <row r="1861">
          <cell r="A1861" t="str">
            <v>NH TMCP A Chau (ACB)</v>
          </cell>
          <cell r="D1861" t="str">
            <v>Nam DinhACB - PGD THANH NAM</v>
          </cell>
          <cell r="E1861">
            <v>4024</v>
          </cell>
        </row>
        <row r="1862">
          <cell r="A1862" t="str">
            <v>NH TMCP A Chau (ACB)</v>
          </cell>
          <cell r="D1862" t="str">
            <v>Thanh HoaACB - PGD BIM SON</v>
          </cell>
          <cell r="E1862">
            <v>3759</v>
          </cell>
        </row>
        <row r="1863">
          <cell r="A1863" t="str">
            <v>NH TMCP A Chau (ACB)</v>
          </cell>
          <cell r="D1863" t="str">
            <v>Thanh HoaACB - PGD PHU SON</v>
          </cell>
          <cell r="E1863">
            <v>3890</v>
          </cell>
        </row>
        <row r="1864">
          <cell r="A1864" t="str">
            <v>NH TMCP A Chau (ACB)</v>
          </cell>
          <cell r="D1864" t="str">
            <v>Thanh HoaACB - PGD QUANG TRUNG</v>
          </cell>
          <cell r="E1864">
            <v>4350</v>
          </cell>
        </row>
        <row r="1865">
          <cell r="A1865" t="str">
            <v>NH TMCP A Chau (ACB)</v>
          </cell>
          <cell r="D1865" t="str">
            <v>Thanh HoaACB - PGD BA TRIEU</v>
          </cell>
          <cell r="E1865">
            <v>4018</v>
          </cell>
        </row>
        <row r="1866">
          <cell r="A1866" t="str">
            <v>NH TMCP A Chau (ACB)</v>
          </cell>
          <cell r="D1866" t="str">
            <v>Thanh HoaACB - CN THANH HOA</v>
          </cell>
          <cell r="E1866">
            <v>3237</v>
          </cell>
        </row>
        <row r="1867">
          <cell r="A1867" t="str">
            <v>NH TMCP A Chau (ACB)</v>
          </cell>
          <cell r="D1867" t="str">
            <v>Nghe AnACB - PGD DIEN CHAU</v>
          </cell>
          <cell r="E1867">
            <v>4069</v>
          </cell>
        </row>
        <row r="1868">
          <cell r="A1868" t="str">
            <v>NH TMCP A Chau (ACB)</v>
          </cell>
          <cell r="D1868" t="str">
            <v>Nghe AnACB - PGD QUAN BAU</v>
          </cell>
          <cell r="E1868">
            <v>3524</v>
          </cell>
        </row>
        <row r="1869">
          <cell r="A1869" t="str">
            <v>NH TMCP A Chau (ACB)</v>
          </cell>
          <cell r="D1869" t="str">
            <v>Nghe AnACB - PGD THAI HOA</v>
          </cell>
          <cell r="E1869">
            <v>3975</v>
          </cell>
        </row>
        <row r="1870">
          <cell r="A1870" t="str">
            <v>NH TMCP A Chau (ACB)</v>
          </cell>
          <cell r="D1870" t="str">
            <v>Nghe AnACB - CN NGHE AN</v>
          </cell>
          <cell r="E1870">
            <v>3390</v>
          </cell>
        </row>
        <row r="1871">
          <cell r="A1871" t="str">
            <v>NH TMCP A Chau (ACB)</v>
          </cell>
          <cell r="D1871" t="str">
            <v>Nghe AnACB - PGD NGUYEN PHONG SAC</v>
          </cell>
          <cell r="E1871">
            <v>3854</v>
          </cell>
        </row>
        <row r="1872">
          <cell r="A1872" t="str">
            <v>NH TMCP A Chau (ACB)</v>
          </cell>
          <cell r="D1872" t="str">
            <v>Nghe AnACB - PGD CHO VINH</v>
          </cell>
          <cell r="E1872">
            <v>3563</v>
          </cell>
        </row>
        <row r="1873">
          <cell r="A1873" t="str">
            <v>NH TMCP A Chau (ACB)</v>
          </cell>
          <cell r="D1873" t="str">
            <v>Ha TinhACB - PGD KY ANH</v>
          </cell>
          <cell r="E1873">
            <v>5127</v>
          </cell>
        </row>
        <row r="1874">
          <cell r="A1874" t="str">
            <v>NH TMCP A Chau (ACB)</v>
          </cell>
          <cell r="D1874" t="str">
            <v>Ha TinhACB - PGD HONG LINH</v>
          </cell>
          <cell r="E1874">
            <v>4020</v>
          </cell>
        </row>
        <row r="1875">
          <cell r="A1875" t="str">
            <v>NH TMCP A Chau (ACB)</v>
          </cell>
          <cell r="D1875" t="str">
            <v>Ha TinhACB - CN HA TINH</v>
          </cell>
          <cell r="E1875">
            <v>3889</v>
          </cell>
        </row>
        <row r="1876">
          <cell r="A1876" t="str">
            <v>NH TMCP A Chau (ACB)</v>
          </cell>
          <cell r="D1876" t="str">
            <v>Quang BinhACB - CN QUANG BINH</v>
          </cell>
          <cell r="E1876">
            <v>3852</v>
          </cell>
        </row>
        <row r="1877">
          <cell r="A1877" t="str">
            <v>NH TMCP A Chau (ACB)</v>
          </cell>
          <cell r="D1877" t="str">
            <v>Thua Thien HueACB - PGD AN CUU</v>
          </cell>
          <cell r="E1877">
            <v>3413</v>
          </cell>
        </row>
        <row r="1878">
          <cell r="A1878" t="str">
            <v>NH TMCP A Chau (ACB)</v>
          </cell>
          <cell r="D1878" t="str">
            <v>Thua Thien HueACB - CN HUE</v>
          </cell>
          <cell r="E1878">
            <v>2673</v>
          </cell>
        </row>
        <row r="1879">
          <cell r="A1879" t="str">
            <v>NH TMCP A Chau (ACB)</v>
          </cell>
          <cell r="D1879" t="str">
            <v>Thua Thien HueACB - PGD PHU HOI</v>
          </cell>
          <cell r="E1879">
            <v>3156</v>
          </cell>
        </row>
        <row r="1880">
          <cell r="A1880" t="str">
            <v>NH TMCP A Chau (ACB)</v>
          </cell>
          <cell r="D1880" t="str">
            <v>Ho Chi MinhACB - HOI SO</v>
          </cell>
          <cell r="E1880">
            <v>1294</v>
          </cell>
        </row>
        <row r="1881">
          <cell r="A1881" t="str">
            <v>NH TMCP A Chau (ACB)</v>
          </cell>
          <cell r="D1881" t="str">
            <v>Ho Chi MinhACB - PGD PHU NHUAN</v>
          </cell>
          <cell r="E1881">
            <v>3214</v>
          </cell>
        </row>
        <row r="1882">
          <cell r="A1882" t="str">
            <v>NH TMCP A Chau (ACB)</v>
          </cell>
          <cell r="D1882" t="str">
            <v>Ho Chi MinhACB - CN BINH THANH</v>
          </cell>
          <cell r="E1882">
            <v>2703</v>
          </cell>
        </row>
        <row r="1883">
          <cell r="A1883" t="str">
            <v>NH TMCP A Chau (ACB)</v>
          </cell>
          <cell r="D1883" t="str">
            <v>Ho Chi MinhACB - PGD VAN HANH</v>
          </cell>
          <cell r="E1883">
            <v>2704</v>
          </cell>
        </row>
        <row r="1884">
          <cell r="A1884" t="str">
            <v>NH TMCP A Chau (ACB)</v>
          </cell>
          <cell r="D1884" t="str">
            <v>Ho Chi MinhACB - PGD BA CHIEU</v>
          </cell>
          <cell r="E1884">
            <v>3382</v>
          </cell>
        </row>
        <row r="1885">
          <cell r="A1885" t="str">
            <v>NH TMCP A Chau (ACB)</v>
          </cell>
          <cell r="D1885" t="str">
            <v>Ho Chi MinhACB - CN BA THANG HAI</v>
          </cell>
          <cell r="E1885">
            <v>2549</v>
          </cell>
        </row>
        <row r="1886">
          <cell r="A1886" t="str">
            <v>NH TMCP A Chau (ACB)</v>
          </cell>
          <cell r="D1886" t="str">
            <v>Ho Chi MinhACB - CN PHU THO</v>
          </cell>
          <cell r="E1886">
            <v>2550</v>
          </cell>
        </row>
        <row r="1887">
          <cell r="A1887" t="str">
            <v>NH TMCP A Chau (ACB)</v>
          </cell>
          <cell r="D1887" t="str">
            <v>Ho Chi MinhACB - CN PHU LAM</v>
          </cell>
          <cell r="E1887">
            <v>2552</v>
          </cell>
        </row>
        <row r="1888">
          <cell r="A1888" t="str">
            <v>NH TMCP A Chau (ACB)</v>
          </cell>
          <cell r="D1888" t="str">
            <v>Ho Chi MinhACB - CN CHAU VAN LIEM</v>
          </cell>
          <cell r="E1888">
            <v>2554</v>
          </cell>
        </row>
        <row r="1889">
          <cell r="A1889" t="str">
            <v>NH TMCP A Chau (ACB)</v>
          </cell>
          <cell r="D1889" t="str">
            <v>Ho Chi MinhACB - PGD LE NGO CAT</v>
          </cell>
          <cell r="E1889">
            <v>2556</v>
          </cell>
        </row>
        <row r="1890">
          <cell r="A1890" t="str">
            <v>NH TMCP A Chau (ACB)</v>
          </cell>
          <cell r="D1890" t="str">
            <v>Ho Chi MinhACB - CN NGUYEN VAN TROI</v>
          </cell>
          <cell r="E1890">
            <v>2557</v>
          </cell>
        </row>
        <row r="1891">
          <cell r="A1891" t="str">
            <v>NH TMCP A Chau (ACB)</v>
          </cell>
          <cell r="D1891" t="str">
            <v>Ho Chi MinhACB - CN TP.HO CHI MINH</v>
          </cell>
          <cell r="E1891">
            <v>2558</v>
          </cell>
        </row>
        <row r="1892">
          <cell r="A1892" t="str">
            <v>NH TMCP A Chau (ACB)</v>
          </cell>
          <cell r="D1892" t="str">
            <v>Ho Chi MinhACB - PGD AN DONG</v>
          </cell>
          <cell r="E1892">
            <v>2962</v>
          </cell>
        </row>
        <row r="1893">
          <cell r="A1893" t="str">
            <v>NH TMCP A Chau (ACB)</v>
          </cell>
          <cell r="D1893" t="str">
            <v>Ho Chi MinhACB - PGD CAT LAI</v>
          </cell>
          <cell r="E1893">
            <v>3186</v>
          </cell>
        </row>
        <row r="1894">
          <cell r="A1894" t="str">
            <v>NH TMCP A Chau (ACB)</v>
          </cell>
          <cell r="D1894" t="str">
            <v>Ho Chi MinhACB - CN BINH TAY</v>
          </cell>
          <cell r="E1894">
            <v>2682</v>
          </cell>
        </row>
        <row r="1895">
          <cell r="A1895" t="str">
            <v>NH TMCP A Chau (ACB)</v>
          </cell>
          <cell r="D1895" t="str">
            <v>Ho Chi MinhACB - CN BAY HIEN</v>
          </cell>
          <cell r="E1895">
            <v>2705</v>
          </cell>
        </row>
        <row r="1896">
          <cell r="A1896" t="str">
            <v>NH TMCP A Chau (ACB)</v>
          </cell>
          <cell r="D1896" t="str">
            <v>Ho Chi MinhACB - PGD LE DAI HANH</v>
          </cell>
          <cell r="E1896">
            <v>2908</v>
          </cell>
        </row>
        <row r="1897">
          <cell r="A1897" t="str">
            <v>NH TMCP A Chau (ACB)</v>
          </cell>
          <cell r="D1897" t="str">
            <v>Ho Chi MinhACB - PGD DIEN BIEN PHU</v>
          </cell>
          <cell r="E1897">
            <v>2909</v>
          </cell>
        </row>
        <row r="1898">
          <cell r="A1898" t="str">
            <v>NH TMCP A Chau (ACB)</v>
          </cell>
          <cell r="D1898" t="str">
            <v>Ho Chi MinhACB - PGD THI NGHE</v>
          </cell>
          <cell r="E1898">
            <v>2910</v>
          </cell>
        </row>
        <row r="1899">
          <cell r="A1899" t="str">
            <v>NH TMCP A Chau (ACB)</v>
          </cell>
          <cell r="D1899" t="str">
            <v>Ho Chi MinhACB - PGD DA KAO</v>
          </cell>
          <cell r="E1899">
            <v>2945</v>
          </cell>
        </row>
        <row r="1900">
          <cell r="A1900" t="str">
            <v>NH TMCP A Chau (ACB)</v>
          </cell>
          <cell r="D1900" t="str">
            <v>Ho Chi MinhACB - PGD TAN SON NHI</v>
          </cell>
          <cell r="E1900">
            <v>2946</v>
          </cell>
        </row>
        <row r="1901">
          <cell r="A1901" t="str">
            <v>NH TMCP A Chau (ACB)</v>
          </cell>
          <cell r="D1901" t="str">
            <v>Ho Chi MinhACB - PGD NGUYEN CONG TRU</v>
          </cell>
          <cell r="E1901">
            <v>2948</v>
          </cell>
        </row>
        <row r="1902">
          <cell r="A1902" t="str">
            <v>NH TMCP A Chau (ACB)</v>
          </cell>
          <cell r="D1902" t="str">
            <v>Ho Chi MinhACB - PGD HOC MON</v>
          </cell>
          <cell r="E1902">
            <v>2952</v>
          </cell>
        </row>
        <row r="1903">
          <cell r="A1903" t="str">
            <v>NH TMCP A Chau (ACB)</v>
          </cell>
          <cell r="D1903" t="str">
            <v>Ho Chi MinhACB - PGD HUNG VUONG</v>
          </cell>
          <cell r="E1903">
            <v>3031</v>
          </cell>
        </row>
        <row r="1904">
          <cell r="A1904" t="str">
            <v>NH TMCP A Chau (ACB)</v>
          </cell>
          <cell r="D1904" t="str">
            <v>Ho Chi MinhACB - PGD BACH DANG</v>
          </cell>
          <cell r="E1904">
            <v>3032</v>
          </cell>
        </row>
        <row r="1905">
          <cell r="A1905" t="str">
            <v>NH TMCP A Chau (ACB)</v>
          </cell>
          <cell r="D1905" t="str">
            <v>Ho Chi MinhACB - PGD BINH CHANH</v>
          </cell>
          <cell r="E1905">
            <v>2937</v>
          </cell>
        </row>
        <row r="1906">
          <cell r="A1906" t="str">
            <v>NH TMCP A Chau (ACB)</v>
          </cell>
          <cell r="D1906" t="str">
            <v>Ho Chi MinhACB - PGD NGUYEN THAI BINH</v>
          </cell>
          <cell r="E1906">
            <v>3079</v>
          </cell>
        </row>
        <row r="1907">
          <cell r="A1907" t="str">
            <v>NH TMCP A Chau (ACB)</v>
          </cell>
          <cell r="D1907" t="str">
            <v>Ho Chi MinhACB - PGD BINH PHU</v>
          </cell>
          <cell r="E1907">
            <v>2939</v>
          </cell>
        </row>
        <row r="1908">
          <cell r="A1908" t="str">
            <v>NH TMCP A Chau (ACB)</v>
          </cell>
          <cell r="D1908" t="str">
            <v>Ho Chi MinhACB - CN NAM SAI GON</v>
          </cell>
          <cell r="E1908">
            <v>2941</v>
          </cell>
        </row>
        <row r="1909">
          <cell r="A1909" t="str">
            <v>NH TMCP A Chau (ACB)</v>
          </cell>
          <cell r="D1909" t="str">
            <v>Ho Chi MinhACB - PGD THANH DA</v>
          </cell>
          <cell r="E1909">
            <v>2968</v>
          </cell>
        </row>
        <row r="1910">
          <cell r="A1910" t="str">
            <v>NH TMCP A Chau (ACB)</v>
          </cell>
          <cell r="D1910" t="str">
            <v>Ho Chi MinhACB - PGD NGUYEN BIEU</v>
          </cell>
          <cell r="E1910">
            <v>2969</v>
          </cell>
        </row>
        <row r="1911">
          <cell r="A1911" t="str">
            <v>NH TMCP A Chau (ACB)</v>
          </cell>
          <cell r="D1911" t="str">
            <v>Ho Chi MinhACB - PGD KY HOA</v>
          </cell>
          <cell r="E1911">
            <v>3066</v>
          </cell>
        </row>
        <row r="1912">
          <cell r="A1912" t="str">
            <v>NH TMCP A Chau (ACB)</v>
          </cell>
          <cell r="D1912" t="str">
            <v>Ho Chi MinhACB - PGD BAU CAT</v>
          </cell>
          <cell r="E1912">
            <v>3067</v>
          </cell>
        </row>
        <row r="1913">
          <cell r="A1913" t="str">
            <v>NH TMCP A Chau (ACB)</v>
          </cell>
          <cell r="D1913" t="str">
            <v>Ho Chi MinhACB - PGD BINH HOA 2</v>
          </cell>
          <cell r="E1913">
            <v>3068</v>
          </cell>
        </row>
        <row r="1914">
          <cell r="A1914" t="str">
            <v>NH TMCP A Chau (ACB)</v>
          </cell>
          <cell r="D1914" t="str">
            <v>Ho Chi MinhACB - PGD BINH TRI DONG</v>
          </cell>
          <cell r="E1914">
            <v>3069</v>
          </cell>
        </row>
        <row r="1915">
          <cell r="A1915" t="str">
            <v>NH TMCP A Chau (ACB)</v>
          </cell>
          <cell r="D1915" t="str">
            <v>Ho Chi MinhACB - PGD TRUONG CHINH</v>
          </cell>
          <cell r="E1915">
            <v>3070</v>
          </cell>
        </row>
        <row r="1916">
          <cell r="A1916" t="str">
            <v>NH TMCP A Chau (ACB)</v>
          </cell>
          <cell r="D1916" t="str">
            <v>Ho Chi MinhACB - PGD HANG XANH</v>
          </cell>
          <cell r="E1916">
            <v>3071</v>
          </cell>
        </row>
        <row r="1917">
          <cell r="A1917" t="str">
            <v>NH TMCP A Chau (ACB)</v>
          </cell>
          <cell r="D1917" t="str">
            <v>Ho Chi MinhACB - PGD HO VAN HUE</v>
          </cell>
          <cell r="E1917">
            <v>3072</v>
          </cell>
        </row>
        <row r="1918">
          <cell r="A1918" t="str">
            <v>NH TMCP A Chau (ACB)</v>
          </cell>
          <cell r="D1918" t="str">
            <v>Ho Chi MinhACB - PGD HUYNH TAN PHAT</v>
          </cell>
          <cell r="E1918">
            <v>3073</v>
          </cell>
        </row>
        <row r="1919">
          <cell r="A1919" t="str">
            <v>NH TMCP A Chau (ACB)</v>
          </cell>
          <cell r="D1919" t="str">
            <v>Ho Chi MinhACB - PGD PHAN HUY ICH</v>
          </cell>
          <cell r="E1919">
            <v>3074</v>
          </cell>
        </row>
        <row r="1920">
          <cell r="A1920" t="str">
            <v>NH TMCP A Chau (ACB)</v>
          </cell>
          <cell r="D1920" t="str">
            <v>Ho Chi MinhACB - PGD NGUYEN VAN LUONG</v>
          </cell>
          <cell r="E1920">
            <v>3075</v>
          </cell>
        </row>
        <row r="1921">
          <cell r="A1921" t="str">
            <v>NH TMCP A Chau (ACB)</v>
          </cell>
          <cell r="D1921" t="str">
            <v>Ho Chi MinhACB - PGD NGA BAY SAI GON</v>
          </cell>
          <cell r="E1921">
            <v>3076</v>
          </cell>
        </row>
        <row r="1922">
          <cell r="A1922" t="str">
            <v>NH TMCP A Chau (ACB)</v>
          </cell>
          <cell r="D1922" t="str">
            <v>Ho Chi MinhACB - PGD NGUYEN CHI THANH</v>
          </cell>
          <cell r="E1922">
            <v>3077</v>
          </cell>
        </row>
        <row r="1923">
          <cell r="A1923" t="str">
            <v>NH TMCP A Chau (ACB)</v>
          </cell>
          <cell r="D1923" t="str">
            <v>Ho Chi MinhACB - PGD NGUYEN THAI SON</v>
          </cell>
          <cell r="E1923">
            <v>3080</v>
          </cell>
        </row>
        <row r="1924">
          <cell r="A1924" t="str">
            <v>NH TMCP A Chau (ACB)</v>
          </cell>
          <cell r="D1924" t="str">
            <v>Ho Chi MinhACB - PGD TAN CHANH HIEP</v>
          </cell>
          <cell r="E1924">
            <v>3081</v>
          </cell>
        </row>
        <row r="1925">
          <cell r="A1925" t="str">
            <v>NH TMCP A Chau (ACB)</v>
          </cell>
          <cell r="D1925" t="str">
            <v>Ho Chi MinhACB - PGD TAN SON NHAT</v>
          </cell>
          <cell r="E1925">
            <v>3082</v>
          </cell>
        </row>
        <row r="1926">
          <cell r="A1926" t="str">
            <v>NH TMCP A Chau (ACB)</v>
          </cell>
          <cell r="D1926" t="str">
            <v>Ho Chi MinhACB - PGD TO KY</v>
          </cell>
          <cell r="E1926">
            <v>3083</v>
          </cell>
        </row>
        <row r="1927">
          <cell r="A1927" t="str">
            <v>NH TMCP A Chau (ACB)</v>
          </cell>
          <cell r="D1927" t="str">
            <v>Ho Chi MinhACB - PGD HAI BA TRUNG</v>
          </cell>
          <cell r="E1927">
            <v>3084</v>
          </cell>
        </row>
        <row r="1928">
          <cell r="A1928" t="str">
            <v>NH TMCP A Chau (ACB)</v>
          </cell>
          <cell r="D1928" t="str">
            <v>Ho Chi MinhACB - PGD TRUONG DINH</v>
          </cell>
          <cell r="E1928">
            <v>3085</v>
          </cell>
        </row>
        <row r="1929">
          <cell r="A1929" t="str">
            <v>NH TMCP A Chau (ACB)</v>
          </cell>
          <cell r="D1929" t="str">
            <v>Ho Chi MinhACB - PGD VO THANH TRANG</v>
          </cell>
          <cell r="E1929">
            <v>3086</v>
          </cell>
        </row>
        <row r="1930">
          <cell r="A1930" t="str">
            <v>NH TMCP A Chau (ACB)</v>
          </cell>
          <cell r="D1930" t="str">
            <v>Ho Chi MinhACB - PGD HUNG PHU</v>
          </cell>
          <cell r="E1930">
            <v>3087</v>
          </cell>
        </row>
        <row r="1931">
          <cell r="A1931" t="str">
            <v>NH TMCP A Chau (ACB)</v>
          </cell>
          <cell r="D1931" t="str">
            <v>Ho Chi MinhACB - PGD LY THUONG KIET</v>
          </cell>
          <cell r="E1931">
            <v>3128</v>
          </cell>
        </row>
        <row r="1932">
          <cell r="A1932" t="str">
            <v>NH TMCP A Chau (ACB)</v>
          </cell>
          <cell r="D1932" t="str">
            <v>Ho Chi MinhACB - PGD BAC HAI</v>
          </cell>
          <cell r="E1932">
            <v>3129</v>
          </cell>
        </row>
        <row r="1933">
          <cell r="A1933" t="str">
            <v>NH TMCP A Chau (ACB)</v>
          </cell>
          <cell r="D1933" t="str">
            <v>Ho Chi MinhACB - PGD BINH DANG</v>
          </cell>
          <cell r="E1933">
            <v>3134</v>
          </cell>
        </row>
        <row r="1934">
          <cell r="A1934" t="str">
            <v>NH TMCP A Chau (ACB)</v>
          </cell>
          <cell r="D1934" t="str">
            <v>Ho Chi MinhACB - PGD HOA HUNG 2</v>
          </cell>
          <cell r="E1934">
            <v>3141</v>
          </cell>
        </row>
        <row r="1935">
          <cell r="A1935" t="str">
            <v>NH TMCP A Chau (ACB)</v>
          </cell>
          <cell r="D1935" t="str">
            <v>Ho Chi MinhACB - PGD MINH PHUNG</v>
          </cell>
          <cell r="E1935">
            <v>3142</v>
          </cell>
        </row>
        <row r="1936">
          <cell r="A1936" t="str">
            <v>NH TMCP A Chau (ACB)</v>
          </cell>
          <cell r="D1936" t="str">
            <v>Ho Chi MinhACB - PGD NGUYEN ANH THU</v>
          </cell>
          <cell r="E1936">
            <v>3143</v>
          </cell>
        </row>
        <row r="1937">
          <cell r="A1937" t="str">
            <v>NH TMCP A Chau (ACB)</v>
          </cell>
          <cell r="D1937" t="str">
            <v>Ho Chi MinhACB - PGD LY CHINH THANG</v>
          </cell>
          <cell r="E1937">
            <v>3144</v>
          </cell>
        </row>
        <row r="1938">
          <cell r="A1938" t="str">
            <v>NH TMCP A Chau (ACB)</v>
          </cell>
          <cell r="D1938" t="str">
            <v>Ho Chi MinhACB - PGD PHAN VAN TRI</v>
          </cell>
          <cell r="E1938">
            <v>3145</v>
          </cell>
        </row>
        <row r="1939">
          <cell r="A1939" t="str">
            <v>NH TMCP A Chau (ACB)</v>
          </cell>
          <cell r="D1939" t="str">
            <v>Ho Chi MinhACB - PGD PHU TRUNG</v>
          </cell>
          <cell r="E1939">
            <v>3146</v>
          </cell>
        </row>
        <row r="1940">
          <cell r="A1940" t="str">
            <v>NH TMCP A Chau (ACB)</v>
          </cell>
          <cell r="D1940" t="str">
            <v>Ho Chi MinhACB - CN LAC LONG QUAN</v>
          </cell>
          <cell r="E1940">
            <v>2604</v>
          </cell>
        </row>
        <row r="1941">
          <cell r="A1941" t="str">
            <v>NH TMCP A Chau (ACB)</v>
          </cell>
          <cell r="D1941" t="str">
            <v>Ho Chi MinhACB - TRUNG TAM THE</v>
          </cell>
          <cell r="E1941">
            <v>2537</v>
          </cell>
        </row>
        <row r="1942">
          <cell r="A1942" t="str">
            <v>NH TMCP A Chau (ACB)</v>
          </cell>
          <cell r="D1942" t="str">
            <v>Ho Chi MinhACB - CN SAI GON</v>
          </cell>
          <cell r="E1942">
            <v>2543</v>
          </cell>
        </row>
        <row r="1943">
          <cell r="A1943" t="str">
            <v>NH TMCP A Chau (ACB)</v>
          </cell>
          <cell r="D1943" t="str">
            <v>Ho Chi MinhACB - CN CHO LON</v>
          </cell>
          <cell r="E1943">
            <v>2544</v>
          </cell>
        </row>
        <row r="1944">
          <cell r="A1944" t="str">
            <v>NH TMCP A Chau (ACB)</v>
          </cell>
          <cell r="D1944" t="str">
            <v>Ho Chi MinhACB - CN LE VAN SY</v>
          </cell>
          <cell r="E1944">
            <v>2545</v>
          </cell>
        </row>
        <row r="1945">
          <cell r="A1945" t="str">
            <v>NH TMCP A Chau (ACB)</v>
          </cell>
          <cell r="D1945" t="str">
            <v>Ho Chi MinhACB - CN THU DUC</v>
          </cell>
          <cell r="E1945">
            <v>2546</v>
          </cell>
        </row>
        <row r="1946">
          <cell r="A1946" t="str">
            <v>NH TMCP A Chau (ACB)</v>
          </cell>
          <cell r="D1946" t="str">
            <v>Ho Chi MinhACB - PGD LE LOI</v>
          </cell>
          <cell r="E1946">
            <v>2547</v>
          </cell>
        </row>
        <row r="1947">
          <cell r="A1947" t="str">
            <v>NH TMCP A Chau (ACB)</v>
          </cell>
          <cell r="D1947" t="str">
            <v>Ho Chi MinhACB - CN HOA HUNG</v>
          </cell>
          <cell r="E1947">
            <v>2548</v>
          </cell>
        </row>
        <row r="1948">
          <cell r="A1948" t="str">
            <v>NH TMCP A Chau (ACB)</v>
          </cell>
          <cell r="D1948" t="str">
            <v>Ho Chi MinhACB - PGD VAN THANH</v>
          </cell>
          <cell r="E1948">
            <v>3291</v>
          </cell>
        </row>
        <row r="1949">
          <cell r="A1949" t="str">
            <v>NH TMCP A Chau (ACB)</v>
          </cell>
          <cell r="D1949" t="str">
            <v>Ho Chi MinhACB - CN TRAN KHAI NGUYEN</v>
          </cell>
          <cell r="E1949">
            <v>2943</v>
          </cell>
        </row>
        <row r="1950">
          <cell r="A1950" t="str">
            <v>NH TMCP A Chau (ACB)</v>
          </cell>
          <cell r="D1950" t="str">
            <v>Ho Chi MinhACB - CN DONG SAI GON</v>
          </cell>
          <cell r="E1950">
            <v>2956</v>
          </cell>
        </row>
        <row r="1951">
          <cell r="A1951" t="str">
            <v>NH TMCP A Chau (ACB)</v>
          </cell>
          <cell r="D1951" t="str">
            <v>Ho Chi MinhACB - CN PHAN DINH PHUNG</v>
          </cell>
          <cell r="E1951">
            <v>2957</v>
          </cell>
        </row>
        <row r="1952">
          <cell r="A1952" t="str">
            <v>NH TMCP A Chau (ACB)</v>
          </cell>
          <cell r="D1952" t="str">
            <v>Ho Chi MinhACB - PGD NGUYEN TRAI</v>
          </cell>
          <cell r="E1952">
            <v>3036</v>
          </cell>
        </row>
        <row r="1953">
          <cell r="A1953" t="str">
            <v>NH TMCP A Chau (ACB)</v>
          </cell>
          <cell r="D1953" t="str">
            <v>Ho Chi MinhACB - PGD PHAN XICH LONG</v>
          </cell>
          <cell r="E1953">
            <v>3126</v>
          </cell>
        </row>
        <row r="1954">
          <cell r="A1954" t="str">
            <v>NH TMCP A Chau (ACB)</v>
          </cell>
          <cell r="D1954" t="str">
            <v>Ho Chi MinhACB - PGD MAXIMARK CHOA 2</v>
          </cell>
          <cell r="E1954">
            <v>3127</v>
          </cell>
        </row>
        <row r="1955">
          <cell r="A1955" t="str">
            <v>NH TMCP A Chau (ACB)</v>
          </cell>
          <cell r="D1955" t="str">
            <v>Ho Chi MinhACB - PGD LE TRONG TAN</v>
          </cell>
          <cell r="E1955">
            <v>3138</v>
          </cell>
        </row>
        <row r="1956">
          <cell r="A1956" t="str">
            <v>NH TMCP A Chau (ACB)</v>
          </cell>
          <cell r="D1956" t="str">
            <v>Ho Chi MinhACB - PGD NGUYEN DINH CHIEU</v>
          </cell>
          <cell r="E1956">
            <v>3229</v>
          </cell>
        </row>
        <row r="1957">
          <cell r="A1957" t="str">
            <v>NH TMCP A Chau (ACB)</v>
          </cell>
          <cell r="D1957" t="str">
            <v>Ho Chi MinhACB - PGD NGO GIA TU</v>
          </cell>
          <cell r="E1957">
            <v>3279</v>
          </cell>
        </row>
        <row r="1958">
          <cell r="A1958" t="str">
            <v>NH TMCP A Chau (ACB)</v>
          </cell>
          <cell r="D1958" t="str">
            <v>Ho Chi MinhACB - PGD LE VAN KHUONG</v>
          </cell>
          <cell r="E1958">
            <v>3281</v>
          </cell>
        </row>
        <row r="1959">
          <cell r="A1959" t="str">
            <v>NH TMCP A Chau (ACB)</v>
          </cell>
          <cell r="D1959" t="str">
            <v>Ho Chi MinhACB - PGD TAN PHONG</v>
          </cell>
          <cell r="E1959">
            <v>3293</v>
          </cell>
        </row>
        <row r="1960">
          <cell r="A1960" t="str">
            <v>NH TMCP A Chau (ACB)</v>
          </cell>
          <cell r="D1960" t="str">
            <v>Ho Chi MinhACB - PGD CHANH HUNG</v>
          </cell>
          <cell r="E1960">
            <v>3301</v>
          </cell>
        </row>
        <row r="1961">
          <cell r="A1961" t="str">
            <v>NH TMCP A Chau (ACB)</v>
          </cell>
          <cell r="D1961" t="str">
            <v>Ho Chi MinhACB - PGD TAM HA</v>
          </cell>
          <cell r="E1961">
            <v>3315</v>
          </cell>
        </row>
        <row r="1962">
          <cell r="A1962" t="str">
            <v>NH TMCP A Chau (ACB)</v>
          </cell>
          <cell r="D1962" t="str">
            <v>Ho Chi MinhACB - PGD TRAN KHAC CHAN</v>
          </cell>
          <cell r="E1962">
            <v>3320</v>
          </cell>
        </row>
        <row r="1963">
          <cell r="A1963" t="str">
            <v>NH TMCP A Chau (ACB)</v>
          </cell>
          <cell r="D1963" t="str">
            <v>Ho Chi MinhACB - PGD BUI DINH TUY</v>
          </cell>
          <cell r="E1963">
            <v>3335</v>
          </cell>
        </row>
        <row r="1964">
          <cell r="A1964" t="str">
            <v>NH TMCP A Chau (ACB)</v>
          </cell>
          <cell r="D1964" t="str">
            <v>Ho Chi MinhACB - PGD BINH TIEN</v>
          </cell>
          <cell r="E1964">
            <v>3337</v>
          </cell>
        </row>
        <row r="1965">
          <cell r="A1965" t="str">
            <v>NH TMCP A Chau (ACB)</v>
          </cell>
          <cell r="D1965" t="str">
            <v>Ho Chi MinhACB - PGD BEN CHUONG DUONG</v>
          </cell>
          <cell r="E1965">
            <v>3342</v>
          </cell>
        </row>
        <row r="1966">
          <cell r="A1966" t="str">
            <v>NH TMCP A Chau (ACB)</v>
          </cell>
          <cell r="D1966" t="str">
            <v>Ho Chi MinhACB - PGD BINH TRIEU</v>
          </cell>
          <cell r="E1966">
            <v>3365</v>
          </cell>
        </row>
        <row r="1967">
          <cell r="A1967" t="str">
            <v>NH TMCP A Chau (ACB)</v>
          </cell>
          <cell r="D1967" t="str">
            <v>Ho Chi MinhACB - PGD HOANG VIET</v>
          </cell>
          <cell r="E1967">
            <v>3366</v>
          </cell>
        </row>
        <row r="1968">
          <cell r="A1968" t="str">
            <v>NH TMCP A Chau (ACB)</v>
          </cell>
          <cell r="D1968" t="str">
            <v>Ho Chi MinhACB - PGD THAO DIEN</v>
          </cell>
          <cell r="E1968">
            <v>3372</v>
          </cell>
        </row>
        <row r="1969">
          <cell r="A1969" t="str">
            <v>NH TMCP A Chau (ACB)</v>
          </cell>
          <cell r="D1969" t="str">
            <v>Ho Chi MinhACB - PGD KHANH HOI</v>
          </cell>
          <cell r="E1969">
            <v>3377</v>
          </cell>
        </row>
        <row r="1970">
          <cell r="A1970" t="str">
            <v>NH TMCP A Chau (ACB)</v>
          </cell>
          <cell r="D1970" t="str">
            <v>Ho Chi MinhACB - PGD TRAN HUNG DAO</v>
          </cell>
          <cell r="E1970">
            <v>3387</v>
          </cell>
        </row>
        <row r="1971">
          <cell r="A1971" t="str">
            <v>NH TMCP A Chau (ACB)</v>
          </cell>
          <cell r="D1971" t="str">
            <v>Ho Chi MinhACB - PGD THACH DA</v>
          </cell>
          <cell r="E1971">
            <v>3392</v>
          </cell>
        </row>
        <row r="1972">
          <cell r="A1972" t="str">
            <v>NH TMCP A Chau (ACB)</v>
          </cell>
          <cell r="D1972" t="str">
            <v>Ho Chi MinhACB - PGD BINH TAN</v>
          </cell>
          <cell r="E1972">
            <v>3398</v>
          </cell>
        </row>
        <row r="1973">
          <cell r="A1973" t="str">
            <v>NH TMCP A Chau (ACB)</v>
          </cell>
          <cell r="D1973" t="str">
            <v>Ho Chi MinhACB - PGD PHUOC BINH</v>
          </cell>
          <cell r="E1973">
            <v>3399</v>
          </cell>
        </row>
        <row r="1974">
          <cell r="A1974" t="str">
            <v>NH TMCP A Chau (ACB)</v>
          </cell>
          <cell r="D1974" t="str">
            <v>Ho Chi MinhACB - PGD AN LAC</v>
          </cell>
          <cell r="E1974">
            <v>2936</v>
          </cell>
        </row>
        <row r="1975">
          <cell r="A1975" t="str">
            <v>NH TMCP A Chau (ACB)</v>
          </cell>
          <cell r="D1975" t="str">
            <v>Ho Chi MinhACB - PGD THONG NHAT</v>
          </cell>
          <cell r="E1975">
            <v>3035</v>
          </cell>
        </row>
        <row r="1976">
          <cell r="A1976" t="str">
            <v>NH TMCP A Chau (ACB)</v>
          </cell>
          <cell r="D1976" t="str">
            <v>Ho Chi MinhACB - PGD LE QUANG DINH</v>
          </cell>
          <cell r="E1976">
            <v>3135</v>
          </cell>
        </row>
        <row r="1977">
          <cell r="A1977" t="str">
            <v>NH TMCP A Chau (ACB)</v>
          </cell>
          <cell r="D1977" t="str">
            <v>Ho Chi MinhACB - PGD AN PHU</v>
          </cell>
          <cell r="E1977">
            <v>3358</v>
          </cell>
        </row>
        <row r="1978">
          <cell r="A1978" t="str">
            <v>NH TMCP A Chau (ACB)</v>
          </cell>
          <cell r="D1978" t="str">
            <v>Ho Chi MinhACB - PGD TRUNG SON</v>
          </cell>
          <cell r="E1978">
            <v>3385</v>
          </cell>
        </row>
        <row r="1979">
          <cell r="A1979" t="str">
            <v>NH TMCP A Chau (ACB)</v>
          </cell>
          <cell r="D1979" t="str">
            <v>Ho Chi MinhACB - PGD LINH XUAN</v>
          </cell>
          <cell r="E1979">
            <v>3404</v>
          </cell>
        </row>
        <row r="1980">
          <cell r="A1980" t="str">
            <v>NH TMCP A Chau (ACB)</v>
          </cell>
          <cell r="D1980" t="str">
            <v>Ho Chi MinhACB - PGD KY DONG</v>
          </cell>
          <cell r="E1980">
            <v>3427</v>
          </cell>
        </row>
        <row r="1981">
          <cell r="A1981" t="str">
            <v>NH TMCP A Chau (ACB)</v>
          </cell>
          <cell r="D1981" t="str">
            <v>Ho Chi MinhACB - PGD TAN HUONG</v>
          </cell>
          <cell r="E1981">
            <v>3431</v>
          </cell>
        </row>
        <row r="1982">
          <cell r="A1982" t="str">
            <v>NH TMCP A Chau (ACB)</v>
          </cell>
          <cell r="D1982" t="str">
            <v>Ho Chi MinhACB - PGD PHU XUAN</v>
          </cell>
          <cell r="E1982">
            <v>3440</v>
          </cell>
        </row>
        <row r="1983">
          <cell r="A1983" t="str">
            <v>NH TMCP A Chau (ACB)</v>
          </cell>
          <cell r="D1983" t="str">
            <v>Ho Chi MinhACB - PGD PHAM NGOC THACH</v>
          </cell>
          <cell r="E1983">
            <v>3443</v>
          </cell>
        </row>
        <row r="1984">
          <cell r="A1984" t="str">
            <v>NH TMCP A Chau (ACB)</v>
          </cell>
          <cell r="D1984" t="str">
            <v>Ho Chi MinhACB - PGD GO MAY</v>
          </cell>
          <cell r="E1984">
            <v>3446</v>
          </cell>
        </row>
        <row r="1985">
          <cell r="A1985" t="str">
            <v>NH TMCP A Chau (ACB)</v>
          </cell>
          <cell r="D1985" t="str">
            <v>Ho Chi MinhACB - PGD TAY THANH</v>
          </cell>
          <cell r="E1985">
            <v>3449</v>
          </cell>
        </row>
        <row r="1986">
          <cell r="A1986" t="str">
            <v>NH TMCP A Chau (ACB)</v>
          </cell>
          <cell r="D1986" t="str">
            <v>Ho Chi MinhNH TMCP A CHAU</v>
          </cell>
          <cell r="E1986">
            <v>2876</v>
          </cell>
        </row>
        <row r="1987">
          <cell r="A1987" t="str">
            <v>NH TMCP A Chau (ACB)</v>
          </cell>
          <cell r="D1987" t="str">
            <v>Ho Chi MinhACB - PGD NGO TAT TO</v>
          </cell>
          <cell r="E1987">
            <v>3130</v>
          </cell>
        </row>
        <row r="1988">
          <cell r="A1988" t="str">
            <v>NH TMCP A Chau (ACB)</v>
          </cell>
          <cell r="D1988" t="str">
            <v>Ho Chi MinhACB - PGD NGUYEN SON</v>
          </cell>
          <cell r="E1988">
            <v>3132</v>
          </cell>
        </row>
        <row r="1989">
          <cell r="A1989" t="str">
            <v>NH TMCP A Chau (ACB)</v>
          </cell>
          <cell r="D1989" t="str">
            <v>Ho Chi MinhACB - CN BEN THANH</v>
          </cell>
          <cell r="E1989">
            <v>2935</v>
          </cell>
        </row>
        <row r="1990">
          <cell r="A1990" t="str">
            <v>NH TMCP A Chau (ACB)</v>
          </cell>
          <cell r="D1990" t="str">
            <v>Ho Chi MinhACB - CN PHAN DANG LUU</v>
          </cell>
          <cell r="E1990">
            <v>2669</v>
          </cell>
        </row>
        <row r="1991">
          <cell r="A1991" t="str">
            <v>NH TMCP A Chau (ACB)</v>
          </cell>
          <cell r="D1991" t="str">
            <v>Ho Chi MinhACB - PGD NGUYEN TRI PHUONG</v>
          </cell>
          <cell r="E1991">
            <v>2670</v>
          </cell>
        </row>
        <row r="1992">
          <cell r="A1992" t="str">
            <v>NH TMCP A Chau (ACB)</v>
          </cell>
          <cell r="D1992" t="str">
            <v>Ho Chi MinhACB - CN CU CHI</v>
          </cell>
          <cell r="E1992">
            <v>2671</v>
          </cell>
        </row>
        <row r="1993">
          <cell r="A1993" t="str">
            <v>NH TMCP A Chau (ACB)</v>
          </cell>
          <cell r="D1993" t="str">
            <v>Ho Chi MinhACB - CN TAN THUAN</v>
          </cell>
          <cell r="E1993">
            <v>2676</v>
          </cell>
        </row>
        <row r="1994">
          <cell r="A1994" t="str">
            <v>NH TMCP A Chau (ACB)</v>
          </cell>
          <cell r="D1994" t="str">
            <v>Ho Chi MinhACB - CN ONG ICH KHIEM</v>
          </cell>
          <cell r="E1994">
            <v>2677</v>
          </cell>
        </row>
        <row r="1995">
          <cell r="A1995" t="str">
            <v>NH TMCP A Chau (ACB)</v>
          </cell>
          <cell r="D1995" t="str">
            <v>Ho Chi MinhACB - PGD TA UYEN</v>
          </cell>
          <cell r="E1995">
            <v>2679</v>
          </cell>
        </row>
        <row r="1996">
          <cell r="A1996" t="str">
            <v>NH TMCP A Chau (ACB)</v>
          </cell>
          <cell r="D1996" t="str">
            <v>Ho Chi MinhACB - CN AN SUONG</v>
          </cell>
          <cell r="E1996">
            <v>2680</v>
          </cell>
        </row>
        <row r="1997">
          <cell r="A1997" t="str">
            <v>NH TMCP A Chau (ACB)</v>
          </cell>
          <cell r="D1997" t="str">
            <v>Ho Chi MinhACB - CN VAN LANG</v>
          </cell>
          <cell r="E1997">
            <v>2681</v>
          </cell>
        </row>
        <row r="1998">
          <cell r="A1998" t="str">
            <v>NH TMCP A Chau (ACB)</v>
          </cell>
          <cell r="D1998" t="str">
            <v>Ho Chi MinhACB - CN TAN BINH</v>
          </cell>
          <cell r="E1998">
            <v>2684</v>
          </cell>
        </row>
        <row r="1999">
          <cell r="A1999" t="str">
            <v>NH TMCP A Chau (ACB)</v>
          </cell>
          <cell r="D1999" t="str">
            <v>Ho Chi MinhACB - PGD BEN XE MIEN DONG</v>
          </cell>
          <cell r="E1999">
            <v>2757</v>
          </cell>
        </row>
        <row r="2000">
          <cell r="A2000" t="str">
            <v>NH TMCP A Chau (ACB)</v>
          </cell>
          <cell r="D2000" t="str">
            <v>Ho Chi MinhACB - PGD BINH HOA</v>
          </cell>
          <cell r="E2000">
            <v>2758</v>
          </cell>
        </row>
        <row r="2001">
          <cell r="A2001" t="str">
            <v>NH TMCP A Chau (ACB)</v>
          </cell>
          <cell r="D2001" t="str">
            <v>Ho Chi MinhACB - PGD GO VAP</v>
          </cell>
          <cell r="E2001">
            <v>2686</v>
          </cell>
        </row>
        <row r="2002">
          <cell r="A2002" t="str">
            <v>NH TMCP A Chau (ACB)</v>
          </cell>
          <cell r="D2002" t="str">
            <v>Ho Chi MinhACB - CN LUY BAN BICH</v>
          </cell>
          <cell r="E2002">
            <v>2688</v>
          </cell>
        </row>
        <row r="2003">
          <cell r="A2003" t="str">
            <v>NH TMCP A Chau (ACB)</v>
          </cell>
          <cell r="D2003" t="str">
            <v>Ho Chi MinhACB - PGD KIEN THIET</v>
          </cell>
          <cell r="E2003">
            <v>2691</v>
          </cell>
        </row>
        <row r="2004">
          <cell r="A2004" t="str">
            <v>NH TMCP A Chau (ACB)</v>
          </cell>
          <cell r="D2004" t="str">
            <v>Ho Chi MinhACB - PGD CONG QUYNH</v>
          </cell>
          <cell r="E2004">
            <v>2692</v>
          </cell>
        </row>
        <row r="2005">
          <cell r="A2005" t="str">
            <v>NH TMCP A Chau (ACB)</v>
          </cell>
          <cell r="D2005" t="str">
            <v>Ho Chi MinhACB - CN TUNG THIEN VUONG</v>
          </cell>
          <cell r="E2005">
            <v>2693</v>
          </cell>
        </row>
        <row r="2006">
          <cell r="A2006" t="str">
            <v>NH TMCP A Chau (ACB)</v>
          </cell>
          <cell r="D2006" t="str">
            <v>Ho Chi MinhACB - PGD MAXIMARK CONG HOA</v>
          </cell>
          <cell r="E2006">
            <v>2695</v>
          </cell>
        </row>
        <row r="2007">
          <cell r="A2007" t="str">
            <v>NH TMCP A Chau (ACB)</v>
          </cell>
          <cell r="D2007" t="str">
            <v>Ho Chi MinhACB - PGD PHU MY</v>
          </cell>
          <cell r="E2007">
            <v>2696</v>
          </cell>
        </row>
        <row r="2008">
          <cell r="A2008" t="str">
            <v>NH TMCP A Chau (ACB)</v>
          </cell>
          <cell r="D2008" t="str">
            <v>Ho Chi MinhACB - PGD NHA RONG</v>
          </cell>
          <cell r="E2008">
            <v>2698</v>
          </cell>
        </row>
        <row r="2009">
          <cell r="A2009" t="str">
            <v>NH TMCP A Chau (ACB)</v>
          </cell>
          <cell r="D2009" t="str">
            <v>Ho Chi MinhACB - PGD MINH CHAU</v>
          </cell>
          <cell r="E2009">
            <v>3037</v>
          </cell>
        </row>
        <row r="2010">
          <cell r="A2010" t="str">
            <v>NH TMCP A Chau (ACB)</v>
          </cell>
          <cell r="D2010" t="str">
            <v>Ho Chi MinhACB - PGD LE VAN QUOI</v>
          </cell>
          <cell r="E2010">
            <v>3616</v>
          </cell>
        </row>
        <row r="2011">
          <cell r="A2011" t="str">
            <v>NH TMCP A Chau (ACB)</v>
          </cell>
          <cell r="D2011" t="str">
            <v>Ho Chi MinhACB - PGD NGUYEN KHOAI</v>
          </cell>
          <cell r="E2011">
            <v>3621</v>
          </cell>
        </row>
        <row r="2012">
          <cell r="A2012" t="str">
            <v>NH TMCP A Chau (ACB)</v>
          </cell>
          <cell r="D2012" t="str">
            <v>Ho Chi MinhACB - PGD MINH KHAI - SAI GON</v>
          </cell>
          <cell r="E2012">
            <v>3959</v>
          </cell>
        </row>
        <row r="2013">
          <cell r="A2013" t="str">
            <v>NH TMCP A Chau (ACB)</v>
          </cell>
          <cell r="D2013" t="str">
            <v>Ho Chi MinhACB - PGD BINH TRUNG</v>
          </cell>
          <cell r="E2013">
            <v>3926</v>
          </cell>
        </row>
        <row r="2014">
          <cell r="A2014" t="str">
            <v>NH TMCP A Chau (ACB)</v>
          </cell>
          <cell r="D2014" t="str">
            <v>Ho Chi MinhACB - PGD GO CAT</v>
          </cell>
          <cell r="E2014">
            <v>3497</v>
          </cell>
        </row>
        <row r="2015">
          <cell r="A2015" t="str">
            <v>NH TMCP A Chau (ACB)</v>
          </cell>
          <cell r="D2015" t="str">
            <v>Ho Chi MinhACB - PGD HAM TU</v>
          </cell>
          <cell r="E2015">
            <v>3508</v>
          </cell>
        </row>
        <row r="2016">
          <cell r="A2016" t="str">
            <v>NH TMCP A Chau (ACB)</v>
          </cell>
          <cell r="D2016" t="str">
            <v>Ho Chi MinhACB - PGD TON DAN</v>
          </cell>
          <cell r="E2016">
            <v>3493</v>
          </cell>
        </row>
        <row r="2017">
          <cell r="A2017" t="str">
            <v>NH TMCP A Chau (ACB)</v>
          </cell>
          <cell r="D2017" t="str">
            <v>Ho Chi MinhACB - PGD THANH LOC</v>
          </cell>
          <cell r="E2017">
            <v>3698</v>
          </cell>
        </row>
        <row r="2018">
          <cell r="A2018" t="str">
            <v>NH TMCP A Chau (ACB)</v>
          </cell>
          <cell r="D2018" t="str">
            <v>Ho Chi MinhACB - PGD TTTM Sai Gon</v>
          </cell>
          <cell r="E2018">
            <v>3699</v>
          </cell>
        </row>
        <row r="2019">
          <cell r="A2019" t="str">
            <v>NH TMCP A Chau (ACB)</v>
          </cell>
          <cell r="D2019" t="str">
            <v>Ho Chi MinhACB - PGD PHO QUANG</v>
          </cell>
          <cell r="E2019">
            <v>3957</v>
          </cell>
        </row>
        <row r="2020">
          <cell r="A2020" t="str">
            <v>NH TMCP A Chau (ACB)</v>
          </cell>
          <cell r="D2020" t="str">
            <v>Ho Chi MinhACB - PGD NHIEU LOC</v>
          </cell>
          <cell r="E2020">
            <v>3539</v>
          </cell>
        </row>
        <row r="2021">
          <cell r="A2021" t="str">
            <v>NH TMCP A Chau (ACB)</v>
          </cell>
          <cell r="D2021" t="str">
            <v>Ho Chi MinhACB - CN CONG HOA</v>
          </cell>
          <cell r="E2021">
            <v>2555</v>
          </cell>
        </row>
        <row r="2022">
          <cell r="A2022" t="str">
            <v>NH TMCP A Chau (ACB)</v>
          </cell>
          <cell r="D2022" t="str">
            <v>Da NangACB - PGD HOA KHANH</v>
          </cell>
          <cell r="E2022">
            <v>3702</v>
          </cell>
        </row>
        <row r="2023">
          <cell r="A2023" t="str">
            <v>NH TMCP A Chau (ACB)</v>
          </cell>
          <cell r="D2023" t="str">
            <v>Da NangACB - PGD HOANG DIEU</v>
          </cell>
          <cell r="E2023">
            <v>3054</v>
          </cell>
        </row>
        <row r="2024">
          <cell r="A2024" t="str">
            <v>NH TMCP A Chau (ACB)</v>
          </cell>
          <cell r="D2024" t="str">
            <v>Da NangACB - PGD THANH KHE</v>
          </cell>
          <cell r="E2024">
            <v>3055</v>
          </cell>
        </row>
        <row r="2025">
          <cell r="A2025" t="str">
            <v>NH TMCP A Chau (ACB)</v>
          </cell>
          <cell r="D2025" t="str">
            <v>Da NangACB - CN DA NANG</v>
          </cell>
          <cell r="E2025">
            <v>220</v>
          </cell>
        </row>
        <row r="2026">
          <cell r="A2026" t="str">
            <v>NH TMCP A Chau (ACB)</v>
          </cell>
          <cell r="D2026" t="str">
            <v>Da NangACB - CN CAU VONG</v>
          </cell>
          <cell r="E2026">
            <v>2687</v>
          </cell>
        </row>
        <row r="2027">
          <cell r="A2027" t="str">
            <v>NH TMCP A Chau (ACB)</v>
          </cell>
          <cell r="D2027" t="str">
            <v>Da NangACB - PGD Ly Thai To</v>
          </cell>
          <cell r="E2027">
            <v>3380</v>
          </cell>
        </row>
        <row r="2028">
          <cell r="A2028" t="str">
            <v>NH TMCP A Chau (ACB)</v>
          </cell>
          <cell r="D2028" t="str">
            <v>Da NangACB - PGD THUAN PHUOC</v>
          </cell>
          <cell r="E2028">
            <v>3294</v>
          </cell>
        </row>
        <row r="2029">
          <cell r="A2029" t="str">
            <v>NH TMCP A Chau (ACB)</v>
          </cell>
          <cell r="D2029" t="str">
            <v>Da NangACB - PGD HOA CUONG</v>
          </cell>
          <cell r="E2029">
            <v>3148</v>
          </cell>
        </row>
        <row r="2030">
          <cell r="A2030" t="str">
            <v>NH TMCP A Chau (ACB)</v>
          </cell>
          <cell r="D2030" t="str">
            <v>Da NangACB - PGD SON TRA</v>
          </cell>
          <cell r="E2030">
            <v>3622</v>
          </cell>
        </row>
        <row r="2031">
          <cell r="A2031" t="str">
            <v>NH TMCP A Chau (ACB)</v>
          </cell>
          <cell r="D2031" t="str">
            <v>Da NangACB - PGD HAI CHAU</v>
          </cell>
          <cell r="E2031">
            <v>3453</v>
          </cell>
        </row>
        <row r="2032">
          <cell r="A2032" t="str">
            <v>NH TMCP A Chau (ACB)</v>
          </cell>
          <cell r="D2032" t="str">
            <v>Quang NamACB - PGD PHO CO HOI AN</v>
          </cell>
          <cell r="E2032">
            <v>3403</v>
          </cell>
        </row>
        <row r="2033">
          <cell r="A2033" t="str">
            <v>NH TMCP A Chau (ACB)</v>
          </cell>
          <cell r="D2033" t="str">
            <v>Quang NamACB - PGD TAM KY</v>
          </cell>
          <cell r="E2033">
            <v>3064</v>
          </cell>
        </row>
        <row r="2034">
          <cell r="A2034" t="str">
            <v>NH TMCP A Chau (ACB)</v>
          </cell>
          <cell r="D2034" t="str">
            <v>Quang NamACB - CN HOI AN</v>
          </cell>
          <cell r="E2034">
            <v>2606</v>
          </cell>
        </row>
        <row r="2035">
          <cell r="A2035" t="str">
            <v>NH TMCP A Chau (ACB)</v>
          </cell>
          <cell r="D2035" t="str">
            <v>Quang NgaiACB - CN QUANG NGAI</v>
          </cell>
          <cell r="E2035">
            <v>3697</v>
          </cell>
        </row>
        <row r="2036">
          <cell r="A2036" t="str">
            <v>NH TMCP A Chau (ACB)</v>
          </cell>
          <cell r="D2036" t="str">
            <v>Binh DinhACB - PGD CHO KHU SAU</v>
          </cell>
          <cell r="E2036">
            <v>3406</v>
          </cell>
        </row>
        <row r="2037">
          <cell r="A2037" t="str">
            <v>NH TMCP A Chau (ACB)</v>
          </cell>
          <cell r="D2037" t="str">
            <v>Binh DinhACB - CN BINH DINH</v>
          </cell>
          <cell r="E2037">
            <v>2782</v>
          </cell>
        </row>
        <row r="2038">
          <cell r="A2038" t="str">
            <v>NH TMCP A Chau (ACB)</v>
          </cell>
          <cell r="D2038" t="str">
            <v>Binh DinhACB - PGD QUY NHON</v>
          </cell>
          <cell r="E2038">
            <v>3507</v>
          </cell>
        </row>
        <row r="2039">
          <cell r="A2039" t="str">
            <v>NH TMCP A Chau (ACB)</v>
          </cell>
          <cell r="D2039" t="str">
            <v>Binh DinhACB - PGD BONG SON</v>
          </cell>
          <cell r="E2039">
            <v>4047</v>
          </cell>
        </row>
        <row r="2040">
          <cell r="A2040" t="str">
            <v>NH TMCP A Chau (ACB)</v>
          </cell>
          <cell r="D2040" t="str">
            <v>Phu YenACB - CN PHU YEN</v>
          </cell>
          <cell r="E2040">
            <v>3703</v>
          </cell>
        </row>
        <row r="2041">
          <cell r="A2041" t="str">
            <v>NH TMCP A Chau (ACB)</v>
          </cell>
          <cell r="D2041" t="str">
            <v>Khanh HoaACB - PGD PHUONG SON</v>
          </cell>
          <cell r="E2041">
            <v>3063</v>
          </cell>
        </row>
        <row r="2042">
          <cell r="A2042" t="str">
            <v>NH TMCP A Chau (ACB)</v>
          </cell>
          <cell r="D2042" t="str">
            <v>Khanh HoaACB - CN KHANH HOA</v>
          </cell>
          <cell r="E2042">
            <v>2600</v>
          </cell>
        </row>
        <row r="2043">
          <cell r="A2043" t="str">
            <v>NH TMCP A Chau (ACB)</v>
          </cell>
          <cell r="D2043" t="str">
            <v>Khanh HoaACB - PGD CHO DAM</v>
          </cell>
          <cell r="E2043">
            <v>2899</v>
          </cell>
        </row>
        <row r="2044">
          <cell r="A2044" t="str">
            <v>NH TMCP A Chau (ACB)</v>
          </cell>
          <cell r="D2044" t="str">
            <v>Khanh HoaACB - PGD VINH PHUOC</v>
          </cell>
          <cell r="E2044">
            <v>3451</v>
          </cell>
        </row>
        <row r="2045">
          <cell r="A2045" t="str">
            <v>NH TMCP A Chau (ACB)</v>
          </cell>
          <cell r="D2045" t="str">
            <v>Khanh HoaACB - PGD CAM RANH</v>
          </cell>
          <cell r="E2045">
            <v>3717</v>
          </cell>
        </row>
        <row r="2046">
          <cell r="A2046" t="str">
            <v>NH TMCP A Chau (ACB)</v>
          </cell>
          <cell r="D2046" t="str">
            <v>Khanh HoaACB - PGD NINH HOA</v>
          </cell>
          <cell r="E2046">
            <v>3743</v>
          </cell>
        </row>
        <row r="2047">
          <cell r="A2047" t="str">
            <v>NH TMCP A Chau (ACB)</v>
          </cell>
          <cell r="D2047" t="str">
            <v>Khanh HoaACB - PGD PHUOC LONG - KHOA</v>
          </cell>
          <cell r="E2047">
            <v>3970</v>
          </cell>
        </row>
        <row r="2048">
          <cell r="A2048" t="str">
            <v>NH TMCP A Chau (ACB)</v>
          </cell>
          <cell r="D2048" t="str">
            <v>Binh ThuanACB - CN PHAN THIET</v>
          </cell>
          <cell r="E2048">
            <v>3190</v>
          </cell>
        </row>
        <row r="2049">
          <cell r="A2049" t="str">
            <v>NH TMCP A Chau (ACB)</v>
          </cell>
          <cell r="D2049" t="str">
            <v>Binh ThuanACB - PGD LA GI</v>
          </cell>
          <cell r="E2049">
            <v>3969</v>
          </cell>
        </row>
        <row r="2050">
          <cell r="A2050" t="str">
            <v>NH TMCP A Chau (ACB)</v>
          </cell>
          <cell r="D2050" t="str">
            <v>Ninh ThuanACB - CN PHAN RANG</v>
          </cell>
          <cell r="E2050">
            <v>3240</v>
          </cell>
        </row>
        <row r="2051">
          <cell r="A2051" t="str">
            <v>NH TMCP A Chau (ACB)</v>
          </cell>
          <cell r="D2051" t="str">
            <v>Gia LaiACB - CN GIA LAI</v>
          </cell>
          <cell r="E2051">
            <v>3308</v>
          </cell>
        </row>
        <row r="2052">
          <cell r="A2052" t="str">
            <v>NH TMCP A Chau (ACB)</v>
          </cell>
          <cell r="D2052" t="str">
            <v>Gia LaiACB - PGD AYUN PA</v>
          </cell>
          <cell r="E2052">
            <v>5107</v>
          </cell>
        </row>
        <row r="2053">
          <cell r="A2053" t="str">
            <v>NH TMCP A Chau (ACB)</v>
          </cell>
          <cell r="D2053" t="str">
            <v>Kon TumACB - CN KON TUM</v>
          </cell>
          <cell r="E2053">
            <v>3706</v>
          </cell>
        </row>
        <row r="2054">
          <cell r="A2054" t="str">
            <v>NH TMCP A Chau (ACB)</v>
          </cell>
          <cell r="D2054" t="str">
            <v>Dac LacACB - PGD KRONG PAK</v>
          </cell>
          <cell r="E2054">
            <v>3056</v>
          </cell>
        </row>
        <row r="2055">
          <cell r="A2055" t="str">
            <v>NH TMCP A Chau (ACB)</v>
          </cell>
          <cell r="D2055" t="str">
            <v>Dac LacACB - CN DAC LAC</v>
          </cell>
          <cell r="E2055">
            <v>223</v>
          </cell>
        </row>
        <row r="2056">
          <cell r="A2056" t="str">
            <v>NH TMCP A Chau (ACB)</v>
          </cell>
          <cell r="D2056" t="str">
            <v>Dac LacACB - PGD BUON MA THUOT</v>
          </cell>
          <cell r="E2056">
            <v>3444</v>
          </cell>
        </row>
        <row r="2057">
          <cell r="A2057" t="str">
            <v>NH TMCP A Chau (ACB)</v>
          </cell>
          <cell r="D2057" t="str">
            <v>Dac LacACB - PGD QUANG PHU</v>
          </cell>
          <cell r="E2057">
            <v>3971</v>
          </cell>
        </row>
        <row r="2058">
          <cell r="A2058" t="str">
            <v>NH TMCP A Chau (ACB)</v>
          </cell>
          <cell r="D2058" t="str">
            <v>Dac LacACB - PGD BUON HO</v>
          </cell>
          <cell r="E2058">
            <v>3735</v>
          </cell>
        </row>
        <row r="2059">
          <cell r="A2059" t="str">
            <v>NH TMCP A Chau (ACB)</v>
          </cell>
          <cell r="D2059" t="str">
            <v>Dac LacACB - PGD LE HONG PHONG DAKLAK</v>
          </cell>
          <cell r="E2059">
            <v>3523</v>
          </cell>
        </row>
        <row r="2060">
          <cell r="A2060" t="str">
            <v>NH TMCP A Chau (ACB)</v>
          </cell>
          <cell r="D2060" t="str">
            <v>Lam DongACB - CN LAM DONG</v>
          </cell>
          <cell r="E2060">
            <v>3381</v>
          </cell>
        </row>
        <row r="2061">
          <cell r="A2061" t="str">
            <v>NH TMCP A Chau (ACB)</v>
          </cell>
          <cell r="D2061" t="str">
            <v>Lam DongACB - PGD DA LAT</v>
          </cell>
          <cell r="E2061">
            <v>3918</v>
          </cell>
        </row>
        <row r="2062">
          <cell r="A2062" t="str">
            <v>NH TMCP A Chau (ACB)</v>
          </cell>
          <cell r="D2062" t="str">
            <v>Lam DongACB - PGD LAM HA</v>
          </cell>
          <cell r="E2062">
            <v>3763</v>
          </cell>
        </row>
        <row r="2063">
          <cell r="A2063" t="str">
            <v>NH TMCP A Chau (ACB)</v>
          </cell>
          <cell r="D2063" t="str">
            <v>Lam DongACB - PGD DI LINH</v>
          </cell>
          <cell r="E2063">
            <v>3701</v>
          </cell>
        </row>
        <row r="2064">
          <cell r="A2064" t="str">
            <v>NH TMCP A Chau (ACB)</v>
          </cell>
          <cell r="D2064" t="str">
            <v>Lam DongACB - PGD DUC TRONG</v>
          </cell>
          <cell r="E2064">
            <v>3532</v>
          </cell>
        </row>
        <row r="2065">
          <cell r="A2065" t="str">
            <v>NH TMCP A Chau (ACB)</v>
          </cell>
          <cell r="D2065" t="str">
            <v>Lam DongACB - PGD BAO LOC</v>
          </cell>
          <cell r="E2065">
            <v>3804</v>
          </cell>
        </row>
        <row r="2066">
          <cell r="A2066" t="str">
            <v>NH TMCP A Chau (ACB)</v>
          </cell>
          <cell r="D2066" t="str">
            <v>Hau GiangACB - CN HAU GIANG</v>
          </cell>
          <cell r="E2066">
            <v>3838</v>
          </cell>
        </row>
        <row r="2067">
          <cell r="A2067" t="str">
            <v>NH TMCP A Chau (ACB)</v>
          </cell>
          <cell r="D2067" t="str">
            <v>Hau GiangACB - PGD CHAU THANH A</v>
          </cell>
          <cell r="E2067">
            <v>5108</v>
          </cell>
        </row>
        <row r="2068">
          <cell r="A2068" t="str">
            <v>NH TMCP A Chau (ACB)</v>
          </cell>
          <cell r="D2068" t="str">
            <v>Binh DuongACB - CN BINH DUONG</v>
          </cell>
          <cell r="E2068">
            <v>2599</v>
          </cell>
        </row>
        <row r="2069">
          <cell r="A2069" t="str">
            <v>NH TMCP A Chau (ACB)</v>
          </cell>
          <cell r="D2069" t="str">
            <v>Binh DuongACB - PGD LAI THIEU</v>
          </cell>
          <cell r="E2069">
            <v>2947</v>
          </cell>
        </row>
        <row r="2070">
          <cell r="A2070" t="str">
            <v>NH TMCP A Chau (ACB)</v>
          </cell>
          <cell r="D2070" t="str">
            <v>Binh DuongACB - PGD KCN SONG THAN</v>
          </cell>
          <cell r="E2070">
            <v>3050</v>
          </cell>
        </row>
        <row r="2071">
          <cell r="A2071" t="str">
            <v>NH TMCP A Chau (ACB)</v>
          </cell>
          <cell r="D2071" t="str">
            <v>Binh DuongACB - PGD THU DAU MOT</v>
          </cell>
          <cell r="E2071">
            <v>3051</v>
          </cell>
        </row>
        <row r="2072">
          <cell r="A2072" t="str">
            <v>NH TMCP A Chau (ACB)</v>
          </cell>
          <cell r="D2072" t="str">
            <v>Binh DuongACB - PGD DI AN</v>
          </cell>
          <cell r="E2072">
            <v>3330</v>
          </cell>
        </row>
        <row r="2073">
          <cell r="A2073" t="str">
            <v>NH TMCP A Chau (ACB)</v>
          </cell>
          <cell r="D2073" t="str">
            <v>Binh DuongACB - PGD BEN CAT</v>
          </cell>
          <cell r="E2073">
            <v>3922</v>
          </cell>
        </row>
        <row r="2074">
          <cell r="A2074" t="str">
            <v>NH TMCP A Chau (ACB)</v>
          </cell>
          <cell r="D2074" t="str">
            <v>Binh DuongACB - PGD CHO DINH</v>
          </cell>
          <cell r="E2074">
            <v>3525</v>
          </cell>
        </row>
        <row r="2075">
          <cell r="A2075" t="str">
            <v>NH TMCP A Chau (ACB)</v>
          </cell>
          <cell r="D2075" t="str">
            <v>Binh PhuocACB - CN BINH PHUOC</v>
          </cell>
          <cell r="E2075">
            <v>3201</v>
          </cell>
        </row>
        <row r="2076">
          <cell r="A2076" t="str">
            <v>NH TMCP A Chau (ACB)</v>
          </cell>
          <cell r="D2076" t="str">
            <v>Binh PhuocACB - PGD BINH LONG</v>
          </cell>
          <cell r="E2076">
            <v>3624</v>
          </cell>
        </row>
        <row r="2077">
          <cell r="A2077" t="str">
            <v>NH TMCP A Chau (ACB)</v>
          </cell>
          <cell r="D2077" t="str">
            <v>Binh PhuocACB - PGD CHON THANH</v>
          </cell>
          <cell r="E2077">
            <v>4019</v>
          </cell>
        </row>
        <row r="2078">
          <cell r="A2078" t="str">
            <v>NH TMCP A Chau (ACB)</v>
          </cell>
          <cell r="D2078" t="str">
            <v>Binh PhuocACB - PGD PHUOC LONG BINH PHUOC</v>
          </cell>
          <cell r="E2078">
            <v>3774</v>
          </cell>
        </row>
        <row r="2079">
          <cell r="A2079" t="str">
            <v>NH TMCP A Chau (ACB)</v>
          </cell>
          <cell r="D2079" t="str">
            <v>Binh PhuocACB - PGD LOC NINH</v>
          </cell>
          <cell r="E2079">
            <v>3976</v>
          </cell>
        </row>
        <row r="2080">
          <cell r="A2080" t="str">
            <v>NH TMCP A Chau (ACB)</v>
          </cell>
          <cell r="D2080" t="str">
            <v>Tay NinhACB - CN TAY NINH</v>
          </cell>
          <cell r="E2080">
            <v>3296</v>
          </cell>
        </row>
        <row r="2081">
          <cell r="A2081" t="str">
            <v>NH TMCP A Chau (ACB)</v>
          </cell>
          <cell r="D2081" t="str">
            <v>Tay NinhACB - PGD LONG HOA</v>
          </cell>
          <cell r="E2081">
            <v>3220</v>
          </cell>
        </row>
        <row r="2082">
          <cell r="A2082" t="str">
            <v>NH TMCP A Chau (ACB)</v>
          </cell>
          <cell r="D2082" t="str">
            <v>Tay NinhACB - PGD TRANG BANG</v>
          </cell>
          <cell r="E2082">
            <v>3920</v>
          </cell>
        </row>
        <row r="2083">
          <cell r="A2083" t="str">
            <v>NH TMCP A Chau (ACB)</v>
          </cell>
          <cell r="D2083" t="str">
            <v>Tay NinhACB - PGD TAN BIEN</v>
          </cell>
          <cell r="E2083">
            <v>3962</v>
          </cell>
        </row>
        <row r="2084">
          <cell r="A2084" t="str">
            <v>NH TMCP A Chau (ACB)</v>
          </cell>
          <cell r="D2084" t="str">
            <v>Dong NaiACB - PGD LONG THANH</v>
          </cell>
          <cell r="E2084">
            <v>3500</v>
          </cell>
        </row>
        <row r="2085">
          <cell r="A2085" t="str">
            <v>NH TMCP A Chau (ACB)</v>
          </cell>
          <cell r="D2085" t="str">
            <v>Dong NaiACB - PGD LONG KHANH</v>
          </cell>
          <cell r="E2085">
            <v>3361</v>
          </cell>
        </row>
        <row r="2086">
          <cell r="A2086" t="str">
            <v>NH TMCP A Chau (ACB)</v>
          </cell>
          <cell r="D2086" t="str">
            <v>Dong NaiACB - PGD TAN TIEN</v>
          </cell>
          <cell r="E2086">
            <v>3262</v>
          </cell>
        </row>
        <row r="2087">
          <cell r="A2087" t="str">
            <v>NH TMCP A Chau (ACB)</v>
          </cell>
          <cell r="D2087" t="str">
            <v>Dong NaiACB - CN DONG NAI</v>
          </cell>
          <cell r="E2087">
            <v>2602</v>
          </cell>
        </row>
        <row r="2088">
          <cell r="A2088" t="str">
            <v>NH TMCP A Chau (ACB)</v>
          </cell>
          <cell r="D2088" t="str">
            <v>Dong NaiACB - PGD BIEN HOA</v>
          </cell>
          <cell r="E2088">
            <v>3057</v>
          </cell>
        </row>
        <row r="2089">
          <cell r="A2089" t="str">
            <v>NH TMCP A Chau (ACB)</v>
          </cell>
          <cell r="D2089" t="str">
            <v>Dong NaiACB - PGD HO NAI</v>
          </cell>
          <cell r="E2089">
            <v>2672</v>
          </cell>
        </row>
        <row r="2090">
          <cell r="A2090" t="str">
            <v>NH TMCP A Chau (ACB)</v>
          </cell>
          <cell r="D2090" t="str">
            <v>Dong NaiACB - PGD DONG KHOI</v>
          </cell>
          <cell r="E2090">
            <v>3362</v>
          </cell>
        </row>
        <row r="2091">
          <cell r="A2091" t="str">
            <v>NH TMCP A Chau (ACB)</v>
          </cell>
          <cell r="D2091" t="str">
            <v>Dong NaiACB - PGD TRANG BOM</v>
          </cell>
          <cell r="E2091">
            <v>3793</v>
          </cell>
        </row>
        <row r="2092">
          <cell r="A2092" t="str">
            <v>NH TMCP A Chau (ACB)</v>
          </cell>
          <cell r="D2092" t="str">
            <v>Dong NaiACB - PGD GIA KIEM</v>
          </cell>
          <cell r="E2092">
            <v>3620</v>
          </cell>
        </row>
        <row r="2093">
          <cell r="A2093" t="str">
            <v>NH TMCP A Chau (ACB)</v>
          </cell>
          <cell r="D2093" t="str">
            <v>Dong NaiACB - PGD LONG BINH TAN</v>
          </cell>
          <cell r="E2093">
            <v>3748</v>
          </cell>
        </row>
        <row r="2094">
          <cell r="A2094" t="str">
            <v>NH TMCP A Chau (ACB)</v>
          </cell>
          <cell r="D2094" t="str">
            <v>Ba Ria-Vung TauACB - CN VUNG TAU</v>
          </cell>
          <cell r="E2094">
            <v>2674</v>
          </cell>
        </row>
        <row r="2095">
          <cell r="A2095" t="str">
            <v>NH TMCP A Chau (ACB)</v>
          </cell>
          <cell r="D2095" t="str">
            <v>Ba Ria-Vung TauACB - PGD BA RIA</v>
          </cell>
          <cell r="E2095">
            <v>3047</v>
          </cell>
        </row>
        <row r="2096">
          <cell r="A2096" t="str">
            <v>NH TMCP A Chau (ACB)</v>
          </cell>
          <cell r="D2096" t="str">
            <v>Ba Ria-Vung TauACB - PGD NGUYEN AN NINH</v>
          </cell>
          <cell r="E2096">
            <v>3048</v>
          </cell>
        </row>
        <row r="2097">
          <cell r="A2097" t="str">
            <v>NH TMCP A Chau (ACB)</v>
          </cell>
          <cell r="D2097" t="str">
            <v>Ba Ria-Vung TauACB - PGD RACH DUA</v>
          </cell>
          <cell r="E2097">
            <v>3397</v>
          </cell>
        </row>
        <row r="2098">
          <cell r="A2098" t="str">
            <v>NH TMCP A Chau (ACB)</v>
          </cell>
          <cell r="D2098" t="str">
            <v>Ba Ria-Vung TauACB - PGD LE HONG PHONG</v>
          </cell>
          <cell r="E2098">
            <v>3034</v>
          </cell>
        </row>
        <row r="2099">
          <cell r="A2099" t="str">
            <v>NH TMCP A Chau (ACB)</v>
          </cell>
          <cell r="D2099" t="str">
            <v>Ba Ria-Vung TauACB - PGD TTTM VUNG TAU</v>
          </cell>
          <cell r="E2099">
            <v>3269</v>
          </cell>
        </row>
        <row r="2100">
          <cell r="A2100" t="str">
            <v>NH TMCP A Chau (ACB)</v>
          </cell>
          <cell r="D2100" t="str">
            <v>Ba Ria-Vung TauACB - PGD TAN THANH</v>
          </cell>
          <cell r="E2100">
            <v>3762</v>
          </cell>
        </row>
        <row r="2101">
          <cell r="A2101" t="str">
            <v>NH TMCP A Chau (ACB)</v>
          </cell>
          <cell r="D2101" t="str">
            <v>Ba Ria-Vung TauACB - PGD LONG DIEN</v>
          </cell>
          <cell r="E2101">
            <v>3711</v>
          </cell>
        </row>
        <row r="2102">
          <cell r="A2102" t="str">
            <v>NH TMCP A Chau (ACB)</v>
          </cell>
          <cell r="D2102" t="str">
            <v>Long AnACB - PGD BEN LUC</v>
          </cell>
          <cell r="E2102">
            <v>3341</v>
          </cell>
        </row>
        <row r="2103">
          <cell r="A2103" t="str">
            <v>NH TMCP A Chau (ACB)</v>
          </cell>
          <cell r="D2103" t="str">
            <v>Long AnACB - CN LONG AN</v>
          </cell>
          <cell r="E2103">
            <v>2702</v>
          </cell>
        </row>
        <row r="2104">
          <cell r="A2104" t="str">
            <v>NH TMCP A Chau (ACB)</v>
          </cell>
          <cell r="D2104" t="str">
            <v>Dong ThapACB - PGD SA DEC</v>
          </cell>
          <cell r="E2104">
            <v>3623</v>
          </cell>
        </row>
        <row r="2105">
          <cell r="A2105" t="str">
            <v>NH TMCP A Chau (ACB)</v>
          </cell>
          <cell r="D2105" t="str">
            <v>Dong ThapACB - CN DONG THAP</v>
          </cell>
          <cell r="E2105">
            <v>3058</v>
          </cell>
        </row>
        <row r="2106">
          <cell r="A2106" t="str">
            <v>NH TMCP A Chau (ACB)</v>
          </cell>
          <cell r="D2106" t="str">
            <v>An GiangACB - PGD LONG XUYEN</v>
          </cell>
          <cell r="E2106">
            <v>3689</v>
          </cell>
        </row>
        <row r="2107">
          <cell r="A2107" t="str">
            <v>NH TMCP A Chau (ACB)</v>
          </cell>
          <cell r="D2107" t="str">
            <v>An GiangACB - PGD Chau Doc</v>
          </cell>
          <cell r="E2107">
            <v>3274</v>
          </cell>
        </row>
        <row r="2108">
          <cell r="A2108" t="str">
            <v>NH TMCP A Chau (ACB)</v>
          </cell>
          <cell r="D2108" t="str">
            <v>An GiangACB - CN AN GIANG</v>
          </cell>
          <cell r="E2108">
            <v>647</v>
          </cell>
        </row>
        <row r="2109">
          <cell r="A2109" t="str">
            <v>NH TMCP A Chau (ACB)</v>
          </cell>
          <cell r="D2109" t="str">
            <v>An GiangACB - PGD TAN CHAU</v>
          </cell>
          <cell r="E2109">
            <v>3773</v>
          </cell>
        </row>
        <row r="2110">
          <cell r="A2110" t="str">
            <v>NH TMCP A Chau (ACB)</v>
          </cell>
          <cell r="D2110" t="str">
            <v>An GiangACB - PGD BINH KHANH</v>
          </cell>
          <cell r="E2110">
            <v>3744</v>
          </cell>
        </row>
        <row r="2111">
          <cell r="A2111" t="str">
            <v>NH TMCP A Chau (ACB)</v>
          </cell>
          <cell r="D2111" t="str">
            <v>Tien GiangACB - PGD MY THO</v>
          </cell>
          <cell r="E2111">
            <v>3506</v>
          </cell>
        </row>
        <row r="2112">
          <cell r="A2112" t="str">
            <v>NH TMCP A Chau (ACB)</v>
          </cell>
          <cell r="D2112" t="str">
            <v>Tien GiangACB - CN TIEN GIANG</v>
          </cell>
          <cell r="E2112">
            <v>3158</v>
          </cell>
        </row>
        <row r="2113">
          <cell r="A2113" t="str">
            <v>NH TMCP A Chau (ACB)</v>
          </cell>
          <cell r="D2113" t="str">
            <v>Tien GiangACB - PGD GO CONG</v>
          </cell>
          <cell r="E2113">
            <v>3705</v>
          </cell>
        </row>
        <row r="2114">
          <cell r="A2114" t="str">
            <v>NH TMCP A Chau (ACB)</v>
          </cell>
          <cell r="D2114" t="str">
            <v>Tien GiangACB - PGD CAI LAY</v>
          </cell>
          <cell r="E2114">
            <v>3710</v>
          </cell>
        </row>
        <row r="2115">
          <cell r="A2115" t="str">
            <v>NH TMCP A Chau (ACB)</v>
          </cell>
          <cell r="D2115" t="str">
            <v>Ben TreACB - CN BEN TRE</v>
          </cell>
          <cell r="E2115">
            <v>3619</v>
          </cell>
        </row>
        <row r="2116">
          <cell r="A2116" t="str">
            <v>NH TMCP A Chau (ACB)</v>
          </cell>
          <cell r="D2116" t="str">
            <v>Vinh LongACB - CN VINH LONG</v>
          </cell>
          <cell r="E2116">
            <v>3192</v>
          </cell>
        </row>
        <row r="2117">
          <cell r="A2117" t="str">
            <v>NH TMCP A Chau (ACB)</v>
          </cell>
          <cell r="D2117" t="str">
            <v>Tra VinhACB - CN TRA VINH</v>
          </cell>
          <cell r="E2117">
            <v>3794</v>
          </cell>
        </row>
        <row r="2118">
          <cell r="A2118" t="str">
            <v>NH TMCP A Chau (ACB)</v>
          </cell>
          <cell r="D2118" t="str">
            <v>Can ThoACB - PGD NINH KIEU</v>
          </cell>
          <cell r="E2118">
            <v>3028</v>
          </cell>
        </row>
        <row r="2119">
          <cell r="A2119" t="str">
            <v>NH TMCP A Chau (ACB)</v>
          </cell>
          <cell r="D2119" t="str">
            <v>Can ThoACB - PGD AN THOI</v>
          </cell>
          <cell r="E2119">
            <v>3052</v>
          </cell>
        </row>
        <row r="2120">
          <cell r="A2120" t="str">
            <v>NH TMCP A Chau (ACB)</v>
          </cell>
          <cell r="D2120" t="str">
            <v>Can ThoACB - PGD THOT NOT</v>
          </cell>
          <cell r="E2120">
            <v>3053</v>
          </cell>
        </row>
        <row r="2121">
          <cell r="A2121" t="str">
            <v>NH TMCP A Chau (ACB)</v>
          </cell>
          <cell r="D2121" t="str">
            <v>Can ThoACB - CN CAN THO</v>
          </cell>
          <cell r="E2121">
            <v>219</v>
          </cell>
        </row>
        <row r="2122">
          <cell r="A2122" t="str">
            <v>NH TMCP A Chau (ACB)</v>
          </cell>
          <cell r="D2122" t="str">
            <v>Can ThoACB - PGD XUAN KHANH</v>
          </cell>
          <cell r="E2122">
            <v>3280</v>
          </cell>
        </row>
        <row r="2123">
          <cell r="A2123" t="str">
            <v>NH TMCP A Chau (ACB)</v>
          </cell>
          <cell r="D2123" t="str">
            <v>Can ThoACB - PGD TAY DO</v>
          </cell>
          <cell r="E2123">
            <v>3423</v>
          </cell>
        </row>
        <row r="2124">
          <cell r="A2124" t="str">
            <v>NH TMCP A Chau (ACB)</v>
          </cell>
          <cell r="D2124" t="str">
            <v>Soc TrangACB - CN SOC TRANG</v>
          </cell>
          <cell r="E2124">
            <v>3853</v>
          </cell>
        </row>
        <row r="2125">
          <cell r="A2125" t="str">
            <v>NH TMCP A Chau (ACB)</v>
          </cell>
          <cell r="D2125" t="str">
            <v>Kien GiangACB - PGD RACH SOI</v>
          </cell>
          <cell r="E2125">
            <v>3476</v>
          </cell>
        </row>
        <row r="2126">
          <cell r="A2126" t="str">
            <v>NH TMCP A Chau (ACB)</v>
          </cell>
          <cell r="D2126" t="str">
            <v>Kien GiangACB - CN KIEN GIANG</v>
          </cell>
          <cell r="E2126">
            <v>3174</v>
          </cell>
        </row>
        <row r="2127">
          <cell r="A2127" t="str">
            <v>NH TMCP A Chau (ACB)</v>
          </cell>
          <cell r="D2127" t="str">
            <v>Kien GiangACB - PGD PHU QUOC</v>
          </cell>
          <cell r="E2127">
            <v>5109</v>
          </cell>
        </row>
        <row r="2128">
          <cell r="A2128" t="str">
            <v>NH TMCP A Chau (ACB)</v>
          </cell>
          <cell r="D2128" t="str">
            <v>Bac LieuACB - CN BAC LIEU</v>
          </cell>
          <cell r="E2128">
            <v>3755</v>
          </cell>
        </row>
        <row r="2129">
          <cell r="A2129" t="str">
            <v>NH TMCP A Chau (ACB)</v>
          </cell>
          <cell r="D2129" t="str">
            <v>Ca MauACB - CN CA MAU</v>
          </cell>
          <cell r="E2129">
            <v>222</v>
          </cell>
        </row>
        <row r="2130">
          <cell r="A2130" t="str">
            <v>NH TMCP An Binh (ABBANK)</v>
          </cell>
          <cell r="D2130" t="str">
            <v>Ha NoiAn Binh CN Ha Noi</v>
          </cell>
          <cell r="E2130">
            <v>2858</v>
          </cell>
        </row>
        <row r="2131">
          <cell r="A2131" t="str">
            <v>NH TMCP An Binh (ABBANK)</v>
          </cell>
          <cell r="D2131" t="str">
            <v>Thai NguyenAn Binh CN Thai Nguyen</v>
          </cell>
          <cell r="E2131">
            <v>3471</v>
          </cell>
        </row>
        <row r="2132">
          <cell r="A2132" t="str">
            <v>NH TMCP An Binh (ABBANK)</v>
          </cell>
          <cell r="D2132" t="str">
            <v>Son LaAn Binh Tinh Son La</v>
          </cell>
          <cell r="E2132">
            <v>4345</v>
          </cell>
        </row>
        <row r="2133">
          <cell r="A2133" t="str">
            <v>NH TMCP An Binh (ABBANK)</v>
          </cell>
          <cell r="D2133" t="str">
            <v>Quang NinhAn Binh CN Quang Ninh</v>
          </cell>
          <cell r="E2133">
            <v>3649</v>
          </cell>
        </row>
        <row r="2134">
          <cell r="A2134" t="str">
            <v>NH TMCP An Binh (ABBANK)</v>
          </cell>
          <cell r="D2134" t="str">
            <v>Hai PhongAn Binh CN Hai Phong</v>
          </cell>
          <cell r="E2134">
            <v>3760</v>
          </cell>
        </row>
        <row r="2135">
          <cell r="A2135" t="str">
            <v>NH TMCP An Binh (ABBANK)</v>
          </cell>
          <cell r="D2135" t="str">
            <v>Hung YenAn Binh CN My Hung Yen</v>
          </cell>
          <cell r="E2135">
            <v>3857</v>
          </cell>
        </row>
        <row r="2136">
          <cell r="A2136" t="str">
            <v>NH TMCP An Binh (ABBANK)</v>
          </cell>
          <cell r="D2136" t="str">
            <v>Bac NinhAn Binh CN Bac Ninh</v>
          </cell>
          <cell r="E2136">
            <v>3570</v>
          </cell>
        </row>
        <row r="2137">
          <cell r="A2137" t="str">
            <v>NH TMCP An Binh (ABBANK)</v>
          </cell>
          <cell r="D2137" t="str">
            <v>Vinh PhucAn Binh CN Vinh Phuc</v>
          </cell>
          <cell r="E2137">
            <v>3874</v>
          </cell>
        </row>
        <row r="2138">
          <cell r="A2138" t="str">
            <v>NH TMCP An Binh (ABBANK)</v>
          </cell>
          <cell r="D2138" t="str">
            <v>Thua Thien HueAn Binh CN Hue</v>
          </cell>
          <cell r="E2138">
            <v>3690</v>
          </cell>
        </row>
        <row r="2139">
          <cell r="A2139" t="str">
            <v>NH TMCP An Binh (ABBANK)</v>
          </cell>
          <cell r="D2139" t="str">
            <v>Ho Chi MinhAn Binh TP HCM</v>
          </cell>
          <cell r="E2139">
            <v>1313</v>
          </cell>
        </row>
        <row r="2140">
          <cell r="A2140" t="str">
            <v>NH TMCP An Binh (ABBANK)</v>
          </cell>
          <cell r="D2140" t="str">
            <v>Ho Chi MinhAn Binh SGD</v>
          </cell>
          <cell r="E2140">
            <v>4363</v>
          </cell>
        </row>
        <row r="2141">
          <cell r="A2141" t="str">
            <v>NH TMCP An Binh (ABBANK)</v>
          </cell>
          <cell r="D2141" t="str">
            <v>Ho Chi MinhAn Binh CN Sai Gon</v>
          </cell>
          <cell r="E2141">
            <v>4364</v>
          </cell>
        </row>
        <row r="2142">
          <cell r="A2142" t="str">
            <v>NH TMCP An Binh (ABBANK)</v>
          </cell>
          <cell r="D2142" t="str">
            <v>Da NangAn Binh CN Da Nang</v>
          </cell>
          <cell r="E2142">
            <v>3542</v>
          </cell>
        </row>
        <row r="2143">
          <cell r="A2143" t="str">
            <v>NH TMCP An Binh (ABBANK)</v>
          </cell>
          <cell r="D2143" t="str">
            <v>Quang NamAn Binh CN Quang Nam</v>
          </cell>
          <cell r="E2143">
            <v>4295</v>
          </cell>
        </row>
        <row r="2144">
          <cell r="A2144" t="str">
            <v>NH TMCP An Binh (ABBANK)</v>
          </cell>
          <cell r="D2144" t="str">
            <v>Khanh HoaAn Binh CN Khanh Hoa</v>
          </cell>
          <cell r="E2144">
            <v>3822</v>
          </cell>
        </row>
        <row r="2145">
          <cell r="A2145" t="str">
            <v>NH TMCP An Binh (ABBANK)</v>
          </cell>
          <cell r="D2145" t="str">
            <v>Binh ThuanAn Binh CN Binh Thuan</v>
          </cell>
          <cell r="E2145">
            <v>3644</v>
          </cell>
        </row>
        <row r="2146">
          <cell r="A2146" t="str">
            <v>NH TMCP An Binh (ABBANK)</v>
          </cell>
          <cell r="D2146" t="str">
            <v>Gia LaiAn Binh CN Gia Lai</v>
          </cell>
          <cell r="E2146">
            <v>4278</v>
          </cell>
        </row>
        <row r="2147">
          <cell r="A2147" t="str">
            <v>NH TMCP An Binh (ABBANK)</v>
          </cell>
          <cell r="D2147" t="str">
            <v>Binh DuongAn Binh CN Binh Duong</v>
          </cell>
          <cell r="E2147">
            <v>3224</v>
          </cell>
        </row>
        <row r="2148">
          <cell r="A2148" t="str">
            <v>NH TMCP An Binh (ABBANK)</v>
          </cell>
          <cell r="D2148" t="str">
            <v>Binh PhuocAn Binh CN Binh Phuoc</v>
          </cell>
          <cell r="E2148">
            <v>3986</v>
          </cell>
        </row>
        <row r="2149">
          <cell r="A2149" t="str">
            <v>NH TMCP An Binh (ABBANK)</v>
          </cell>
          <cell r="D2149" t="str">
            <v>Tay NinhAn Binh CN Tay Ninh</v>
          </cell>
          <cell r="E2149">
            <v>4199</v>
          </cell>
        </row>
        <row r="2150">
          <cell r="A2150" t="str">
            <v>NH TMCP An Binh (ABBANK)</v>
          </cell>
          <cell r="D2150" t="str">
            <v>Dong NaiAn Binh CN Dong Nai</v>
          </cell>
          <cell r="E2150">
            <v>3184</v>
          </cell>
        </row>
        <row r="2151">
          <cell r="A2151" t="str">
            <v>NH TMCP An Binh (ABBANK)</v>
          </cell>
          <cell r="D2151" t="str">
            <v>Ba Ria-Vung TauAn Binh CN Ba Ria Vung Tau</v>
          </cell>
          <cell r="E2151">
            <v>3677</v>
          </cell>
        </row>
        <row r="2152">
          <cell r="A2152" t="str">
            <v>NH TMCP An Binh (ABBANK)</v>
          </cell>
          <cell r="D2152" t="str">
            <v>Long AnAn Binh CN Long An</v>
          </cell>
          <cell r="E2152">
            <v>3593</v>
          </cell>
        </row>
        <row r="2153">
          <cell r="A2153" t="str">
            <v>NH TMCP An Binh (ABBANK)</v>
          </cell>
          <cell r="D2153" t="str">
            <v>Dong ThapAn Binh CN Dong Thap</v>
          </cell>
          <cell r="E2153">
            <v>4223</v>
          </cell>
        </row>
        <row r="2154">
          <cell r="A2154" t="str">
            <v>NH TMCP An Binh (ABBANK)</v>
          </cell>
          <cell r="D2154" t="str">
            <v>An GiangAn Binh CN An Giang</v>
          </cell>
          <cell r="E2154">
            <v>3569</v>
          </cell>
        </row>
        <row r="2155">
          <cell r="A2155" t="str">
            <v>NH TMCP An Binh (ABBANK)</v>
          </cell>
          <cell r="D2155" t="str">
            <v>Tien GiangAn Binh CN Tien Giang</v>
          </cell>
          <cell r="E2155">
            <v>3336</v>
          </cell>
        </row>
        <row r="2156">
          <cell r="A2156" t="str">
            <v>NH TMCP An Binh (ABBANK)</v>
          </cell>
          <cell r="D2156" t="str">
            <v>Vinh LongAn Binh CN Vinh Long</v>
          </cell>
          <cell r="E2156">
            <v>4038</v>
          </cell>
        </row>
        <row r="2157">
          <cell r="A2157" t="str">
            <v>NH TMCP An Binh (ABBANK)</v>
          </cell>
          <cell r="D2157" t="str">
            <v>Can ThoAn Binh CN Can Tho</v>
          </cell>
          <cell r="E2157">
            <v>3561</v>
          </cell>
        </row>
        <row r="2158">
          <cell r="A2158" t="str">
            <v>NH TMCP An Binh (ABBANK)</v>
          </cell>
          <cell r="D2158" t="str">
            <v>Soc TrangAn Binh CN Soc Trang</v>
          </cell>
          <cell r="E2158">
            <v>4112</v>
          </cell>
        </row>
        <row r="2159">
          <cell r="A2159" t="str">
            <v>NH TMCP An Binh (ABBANK)</v>
          </cell>
          <cell r="D2159" t="str">
            <v>Kien GiangAn Binh CN Kien Giang</v>
          </cell>
          <cell r="E2159">
            <v>4211</v>
          </cell>
        </row>
        <row r="2160">
          <cell r="A2160" t="str">
            <v>NH TMCP An Binh (ABBANK)</v>
          </cell>
          <cell r="D2160" t="str">
            <v>Bac LieuAn Binh CN Bac Lieu</v>
          </cell>
          <cell r="E2160">
            <v>3408</v>
          </cell>
        </row>
        <row r="2161">
          <cell r="A2161" t="str">
            <v>NH TMCP Bac A</v>
          </cell>
          <cell r="D2161" t="str">
            <v>Ha NoiBac A CN Cat Linh</v>
          </cell>
          <cell r="E2161">
            <v>4365</v>
          </cell>
        </row>
        <row r="2162">
          <cell r="A2162" t="str">
            <v>NH TMCP Bac A</v>
          </cell>
          <cell r="D2162" t="str">
            <v>Ha NoiBac A CN Cau Giay</v>
          </cell>
          <cell r="E2162">
            <v>4366</v>
          </cell>
        </row>
        <row r="2163">
          <cell r="A2163" t="str">
            <v>NH TMCP Bac A</v>
          </cell>
          <cell r="D2163" t="str">
            <v>Ha NoiBac A CN Hang Dau</v>
          </cell>
          <cell r="E2163">
            <v>4367</v>
          </cell>
        </row>
        <row r="2164">
          <cell r="A2164" t="str">
            <v>NH TMCP Bac A</v>
          </cell>
          <cell r="D2164" t="str">
            <v>Ha NoiBac A CN Phuong Mai</v>
          </cell>
          <cell r="E2164">
            <v>4369</v>
          </cell>
        </row>
        <row r="2165">
          <cell r="A2165" t="str">
            <v>NH TMCP Bac A</v>
          </cell>
          <cell r="D2165" t="str">
            <v>Ha NoiBac A CN Thai Ha</v>
          </cell>
          <cell r="E2165">
            <v>4370</v>
          </cell>
        </row>
        <row r="2166">
          <cell r="A2166" t="str">
            <v>NH TMCP Bac A</v>
          </cell>
          <cell r="D2166" t="str">
            <v>Ha NoiBac A Ha Noi</v>
          </cell>
          <cell r="E2166">
            <v>224</v>
          </cell>
        </row>
        <row r="2167">
          <cell r="A2167" t="str">
            <v>NH TMCP Bac A</v>
          </cell>
          <cell r="D2167" t="str">
            <v>Ha NoiBac A CN Kim Lien</v>
          </cell>
          <cell r="E2167">
            <v>2974</v>
          </cell>
        </row>
        <row r="2168">
          <cell r="A2168" t="str">
            <v>NH TMCP Bac A</v>
          </cell>
          <cell r="D2168" t="str">
            <v>Thai NguyenBac A CN Thai Nguyen</v>
          </cell>
          <cell r="E2168">
            <v>5222</v>
          </cell>
        </row>
        <row r="2169">
          <cell r="A2169" t="str">
            <v>NH TMCP Bac A</v>
          </cell>
          <cell r="D2169" t="str">
            <v>Hai PhongBac A CN Hai Phong</v>
          </cell>
          <cell r="E2169">
            <v>3994</v>
          </cell>
        </row>
        <row r="2170">
          <cell r="A2170" t="str">
            <v>NH TMCP Bac A</v>
          </cell>
          <cell r="D2170" t="str">
            <v>Hung YenBac A CN Hung Yen</v>
          </cell>
          <cell r="E2170">
            <v>4073</v>
          </cell>
        </row>
        <row r="2171">
          <cell r="A2171" t="str">
            <v>NH TMCP Bac A</v>
          </cell>
          <cell r="D2171" t="str">
            <v>Thanh HoaBac A CN Thanh Hoa</v>
          </cell>
          <cell r="E2171">
            <v>4371</v>
          </cell>
        </row>
        <row r="2172">
          <cell r="A2172" t="str">
            <v>NH TMCP Bac A</v>
          </cell>
          <cell r="D2172" t="str">
            <v>Nghe AnBac A CN Nghe An</v>
          </cell>
          <cell r="E2172">
            <v>1295</v>
          </cell>
        </row>
        <row r="2173">
          <cell r="A2173" t="str">
            <v>NH TMCP Bac A</v>
          </cell>
          <cell r="D2173" t="str">
            <v>Ha TinhBac A CN Ha Tinh</v>
          </cell>
          <cell r="E2173">
            <v>4307</v>
          </cell>
        </row>
        <row r="2174">
          <cell r="A2174" t="str">
            <v>NH TMCP Bac A</v>
          </cell>
          <cell r="D2174" t="str">
            <v>Quang BinhBac A CN Quang Binh</v>
          </cell>
          <cell r="E2174">
            <v>4306</v>
          </cell>
        </row>
        <row r="2175">
          <cell r="A2175" t="str">
            <v>NH TMCP Bac A</v>
          </cell>
          <cell r="D2175" t="str">
            <v>Thua Thien HueBac A CN Hue</v>
          </cell>
          <cell r="E2175">
            <v>3384</v>
          </cell>
        </row>
        <row r="2176">
          <cell r="A2176" t="str">
            <v>NH TMCP Bac A</v>
          </cell>
          <cell r="D2176" t="str">
            <v>Ho Chi MinhBac A CN TP Ho Chi Minh</v>
          </cell>
          <cell r="E2176">
            <v>3180</v>
          </cell>
        </row>
        <row r="2177">
          <cell r="A2177" t="str">
            <v>NH TMCP Bac A</v>
          </cell>
          <cell r="D2177" t="str">
            <v>Ho Chi MinhBac A CN Phan Dang Luu</v>
          </cell>
          <cell r="E2177">
            <v>4368</v>
          </cell>
        </row>
        <row r="2178">
          <cell r="A2178" t="str">
            <v>NH TMCP Bac A</v>
          </cell>
          <cell r="D2178" t="str">
            <v>Da NangBac A CN Da Nang</v>
          </cell>
          <cell r="E2178">
            <v>4140</v>
          </cell>
        </row>
        <row r="2179">
          <cell r="A2179" t="str">
            <v>NH TMCP Bac A</v>
          </cell>
          <cell r="D2179" t="str">
            <v>Can ThoBac A CN DBSCL</v>
          </cell>
          <cell r="E2179">
            <v>4122</v>
          </cell>
        </row>
        <row r="2180">
          <cell r="A2180" t="str">
            <v>NH TMCP Bac A</v>
          </cell>
          <cell r="D2180" t="str">
            <v>Kien GiangBac A CN Kien Giang</v>
          </cell>
          <cell r="E2180">
            <v>3963</v>
          </cell>
        </row>
        <row r="2181">
          <cell r="A2181" t="str">
            <v>NH TMCP Ban Viet (Viet Capital Bank)</v>
          </cell>
          <cell r="D2181" t="str">
            <v>Ha NoiBan Viet CN Ha Noi</v>
          </cell>
          <cell r="E2181">
            <v>3757</v>
          </cell>
        </row>
        <row r="2182">
          <cell r="A2182" t="str">
            <v>NH TMCP Ban Viet (Viet Capital Bank)</v>
          </cell>
          <cell r="D2182" t="str">
            <v>Ho Chi MinhBan Viet Hoi so chinh</v>
          </cell>
          <cell r="E2182">
            <v>1301</v>
          </cell>
        </row>
        <row r="2183">
          <cell r="A2183" t="str">
            <v>NH TMCP Ban Viet (Viet Capital Bank)</v>
          </cell>
          <cell r="D2183" t="str">
            <v>Ho Chi MinhBan Viet CN Bach Dang</v>
          </cell>
          <cell r="E2183">
            <v>4372</v>
          </cell>
        </row>
        <row r="2184">
          <cell r="A2184" t="str">
            <v>NH TMCP Ban Viet (Viet Capital Bank)</v>
          </cell>
          <cell r="D2184" t="str">
            <v>Ho Chi MinhBan Viet CN Hang Xanh</v>
          </cell>
          <cell r="E2184">
            <v>4373</v>
          </cell>
        </row>
        <row r="2185">
          <cell r="A2185" t="str">
            <v>NH TMCP Ban Viet (Viet Capital Bank)</v>
          </cell>
          <cell r="D2185" t="str">
            <v>Ho Chi MinhBan Viet CN Sai Gon</v>
          </cell>
          <cell r="E2185">
            <v>4374</v>
          </cell>
        </row>
        <row r="2186">
          <cell r="A2186" t="str">
            <v>NH TMCP Ban Viet (Viet Capital Bank)</v>
          </cell>
          <cell r="D2186" t="str">
            <v>Da NangBan Viet CN Da Nang</v>
          </cell>
          <cell r="E2186">
            <v>3968</v>
          </cell>
        </row>
        <row r="2187">
          <cell r="A2187" t="str">
            <v>NH TMCP Ban Viet (Viet Capital Bank)</v>
          </cell>
          <cell r="D2187" t="str">
            <v>Khanh HoaBan Viet CN Nha Trang</v>
          </cell>
          <cell r="E2187">
            <v>4084</v>
          </cell>
        </row>
        <row r="2188">
          <cell r="A2188" t="str">
            <v>NH TMCP Ban Viet (Viet Capital Bank)</v>
          </cell>
          <cell r="D2188" t="str">
            <v>Binh ThuanBan Viet CN Phan Thiet</v>
          </cell>
          <cell r="E2188">
            <v>4281</v>
          </cell>
        </row>
        <row r="2189">
          <cell r="A2189" t="str">
            <v>NH TMCP Ban Viet (Viet Capital Bank)</v>
          </cell>
          <cell r="D2189" t="str">
            <v>Dac LacBan Viet CN Buon Ma Thuot</v>
          </cell>
          <cell r="E2189">
            <v>3769</v>
          </cell>
        </row>
        <row r="2190">
          <cell r="A2190" t="str">
            <v>NH TMCP Ban Viet (Viet Capital Bank)</v>
          </cell>
          <cell r="D2190" t="str">
            <v>Binh DuongBan Viet CN Binh Duong</v>
          </cell>
          <cell r="E2190">
            <v>4262</v>
          </cell>
        </row>
        <row r="2191">
          <cell r="A2191" t="str">
            <v>NH TMCP Ban Viet (Viet Capital Bank)</v>
          </cell>
          <cell r="D2191" t="str">
            <v>Tay NinhBan Viet CN Tay Ninh</v>
          </cell>
          <cell r="E2191">
            <v>4056</v>
          </cell>
        </row>
        <row r="2192">
          <cell r="A2192" t="str">
            <v>NH TMCP Ban Viet (Viet Capital Bank)</v>
          </cell>
          <cell r="D2192" t="str">
            <v>Dong NaiBan Viet CN Dong Nai</v>
          </cell>
          <cell r="E2192">
            <v>4255</v>
          </cell>
        </row>
        <row r="2193">
          <cell r="A2193" t="str">
            <v>NH TMCP Ban Viet (Viet Capital Bank)</v>
          </cell>
          <cell r="D2193" t="str">
            <v>Ba Ria-Vung TauBan Viet CN Vung Tau</v>
          </cell>
          <cell r="E2193">
            <v>4252</v>
          </cell>
        </row>
        <row r="2194">
          <cell r="A2194" t="str">
            <v>NH TMCP Ban Viet (Viet Capital Bank)</v>
          </cell>
          <cell r="D2194" t="str">
            <v>Long AnBan Viet CN Long An</v>
          </cell>
          <cell r="E2194">
            <v>4089</v>
          </cell>
        </row>
        <row r="2195">
          <cell r="A2195" t="str">
            <v>NH TMCP Ban Viet (Viet Capital Bank)</v>
          </cell>
          <cell r="D2195" t="str">
            <v>An GiangBan Viet CN An Giang</v>
          </cell>
          <cell r="E2195">
            <v>4190</v>
          </cell>
        </row>
        <row r="2196">
          <cell r="A2196" t="str">
            <v>NH TMCP Ban Viet (Viet Capital Bank)</v>
          </cell>
          <cell r="D2196" t="str">
            <v>Tien GiangBan Viet CN Tien Giang</v>
          </cell>
          <cell r="E2196">
            <v>4234</v>
          </cell>
        </row>
        <row r="2197">
          <cell r="A2197" t="str">
            <v>NH TMCP Ban Viet (Viet Capital Bank)</v>
          </cell>
          <cell r="D2197" t="str">
            <v>Can ThoBan Viet CN Can Tho</v>
          </cell>
          <cell r="E2197">
            <v>4119</v>
          </cell>
        </row>
        <row r="2198">
          <cell r="A2198" t="str">
            <v>NH TMCP Ban Viet (Viet Capital Bank)</v>
          </cell>
          <cell r="D2198" t="str">
            <v>Ca MauBan Viet CN Ca Mau</v>
          </cell>
          <cell r="E2198">
            <v>4051</v>
          </cell>
        </row>
        <row r="2199">
          <cell r="A2199" t="str">
            <v>NH TMCP Bao Viet</v>
          </cell>
          <cell r="D2199" t="str">
            <v>Ha NoiBao Viet CN Cau Giay</v>
          </cell>
          <cell r="E2199">
            <v>5111</v>
          </cell>
        </row>
        <row r="2200">
          <cell r="A2200" t="str">
            <v>NH TMCP Bao Viet</v>
          </cell>
          <cell r="D2200" t="str">
            <v>Ha NoiBao Viet CN Ha Noi</v>
          </cell>
          <cell r="E2200">
            <v>4375</v>
          </cell>
        </row>
        <row r="2201">
          <cell r="A2201" t="str">
            <v>NH TMCP Bao Viet</v>
          </cell>
          <cell r="D2201" t="str">
            <v>Ha NoiBao Viet SGD</v>
          </cell>
          <cell r="E2201">
            <v>4377</v>
          </cell>
        </row>
        <row r="2202">
          <cell r="A2202" t="str">
            <v>NH TMCP Bao Viet</v>
          </cell>
          <cell r="D2202" t="str">
            <v>Ha NoiBao Viet Hoi so chinh</v>
          </cell>
          <cell r="E2202">
            <v>3338</v>
          </cell>
        </row>
        <row r="2203">
          <cell r="A2203" t="str">
            <v>NH TMCP Bao Viet</v>
          </cell>
          <cell r="D2203" t="str">
            <v>Hai PhongBao Viet CN Hai Phong</v>
          </cell>
          <cell r="E2203">
            <v>4313</v>
          </cell>
        </row>
        <row r="2204">
          <cell r="A2204" t="str">
            <v>NH TMCP Bao Viet</v>
          </cell>
          <cell r="D2204" t="str">
            <v>Nghe AnBao Viet CN Nghe An</v>
          </cell>
          <cell r="E2204">
            <v>3685</v>
          </cell>
        </row>
        <row r="2205">
          <cell r="A2205" t="str">
            <v>NH TMCP Bao Viet</v>
          </cell>
          <cell r="D2205" t="str">
            <v>Ho Chi MinhBao Viet CN HCM</v>
          </cell>
          <cell r="E2205">
            <v>3283</v>
          </cell>
        </row>
        <row r="2206">
          <cell r="A2206" t="str">
            <v>NH TMCP Bao Viet</v>
          </cell>
          <cell r="D2206" t="str">
            <v>Ho Chi MinhBao Viet CN Sai Gon</v>
          </cell>
          <cell r="E2206">
            <v>4376</v>
          </cell>
        </row>
        <row r="2207">
          <cell r="A2207" t="str">
            <v>NH TMCP Bao Viet</v>
          </cell>
          <cell r="D2207" t="str">
            <v>Da NangBao Viet CN Da Nang</v>
          </cell>
          <cell r="E2207">
            <v>4083</v>
          </cell>
        </row>
        <row r="2208">
          <cell r="A2208" t="str">
            <v>NH TMCP Bao Viet</v>
          </cell>
          <cell r="D2208" t="str">
            <v>Dac LacBao Viet CN Dac Lac</v>
          </cell>
          <cell r="E2208">
            <v>4055</v>
          </cell>
        </row>
        <row r="2209">
          <cell r="A2209" t="str">
            <v>NH TMCP Bao Viet</v>
          </cell>
          <cell r="D2209" t="str">
            <v>Binh DuongBao Viet CN Binh Duong</v>
          </cell>
          <cell r="E2209">
            <v>5116</v>
          </cell>
        </row>
        <row r="2210">
          <cell r="A2210" t="str">
            <v>NH TMCP Bao Viet</v>
          </cell>
          <cell r="D2210" t="str">
            <v>Can ThoBao Viet CN Can Tho</v>
          </cell>
          <cell r="E2210">
            <v>4115</v>
          </cell>
        </row>
        <row r="2211">
          <cell r="A2211" t="str">
            <v>NH TMCP Buu Dien Lien Viet (HO)</v>
          </cell>
          <cell r="D2211" t="str">
            <v>Ha NoiBuu Dien Lien Viet CN Dong Do</v>
          </cell>
          <cell r="E2211">
            <v>4386</v>
          </cell>
        </row>
        <row r="2212">
          <cell r="A2212" t="str">
            <v>NH TMCP Buu Dien Lien Viet (HO)</v>
          </cell>
          <cell r="D2212" t="str">
            <v>Ha NoiBuu Dien Lien Viet CN Thang Long</v>
          </cell>
          <cell r="E2212">
            <v>4401</v>
          </cell>
        </row>
        <row r="2213">
          <cell r="A2213" t="str">
            <v>NH TMCP Buu Dien Lien Viet (HO)</v>
          </cell>
          <cell r="D2213" t="str">
            <v>Ha NoiBuu Dien Lien Viet CN Tiet kiem Buu dien</v>
          </cell>
          <cell r="E2213">
            <v>4403</v>
          </cell>
        </row>
        <row r="2214">
          <cell r="A2214" t="str">
            <v>NH TMCP Buu Dien Lien Viet (HO)</v>
          </cell>
          <cell r="D2214" t="str">
            <v>Ha NoiBuu Dien Lien Viet CN Ha Noi</v>
          </cell>
          <cell r="E2214">
            <v>3095</v>
          </cell>
        </row>
        <row r="2215">
          <cell r="A2215" t="str">
            <v>NH TMCP Buu Dien Lien Viet (HO)</v>
          </cell>
          <cell r="D2215" t="str">
            <v>Tuyen QuangBuu Dien Lien Viet CN Tuyen Quang</v>
          </cell>
          <cell r="E2215">
            <v>4405</v>
          </cell>
        </row>
        <row r="2216">
          <cell r="A2216" t="str">
            <v>NH TMCP Buu Dien Lien Viet (HO)</v>
          </cell>
          <cell r="D2216" t="str">
            <v>Ha GiangBuu Dien Lien Viet CN Ha Giang</v>
          </cell>
          <cell r="E2216">
            <v>4388</v>
          </cell>
        </row>
        <row r="2217">
          <cell r="A2217" t="str">
            <v>NH TMCP Buu Dien Lien Viet (HO)</v>
          </cell>
          <cell r="D2217" t="str">
            <v>Cao BangBuu Dien Lien Viet CN Cao Bang</v>
          </cell>
          <cell r="E2217">
            <v>4382</v>
          </cell>
        </row>
        <row r="2218">
          <cell r="A2218" t="str">
            <v>NH TMCP Buu Dien Lien Viet (HO)</v>
          </cell>
          <cell r="D2218" t="str">
            <v>Lang SonBuu Dien Lien Viet CN Lang Son</v>
          </cell>
          <cell r="E2218">
            <v>4341</v>
          </cell>
        </row>
        <row r="2219">
          <cell r="A2219" t="str">
            <v>NH TMCP Buu Dien Lien Viet (HO)</v>
          </cell>
          <cell r="D2219" t="str">
            <v>Bac CanBuu Dien Lien Viet CN Bac Can</v>
          </cell>
          <cell r="E2219">
            <v>4342</v>
          </cell>
        </row>
        <row r="2220">
          <cell r="A2220" t="str">
            <v>NH TMCP Buu Dien Lien Viet (HO)</v>
          </cell>
          <cell r="D2220" t="str">
            <v>Thai NguyenBuu Dien Lien Viet CN Thai Nguyen</v>
          </cell>
          <cell r="E2220">
            <v>4400</v>
          </cell>
        </row>
        <row r="2221">
          <cell r="A2221" t="str">
            <v>NH TMCP Buu Dien Lien Viet (HO)</v>
          </cell>
          <cell r="D2221" t="str">
            <v>Yen BaiBuu Dien Lien Viet CN Yen Bai</v>
          </cell>
          <cell r="E2221">
            <v>4410</v>
          </cell>
        </row>
        <row r="2222">
          <cell r="A2222" t="str">
            <v>NH TMCP Buu Dien Lien Viet (HO)</v>
          </cell>
          <cell r="D2222" t="str">
            <v>Lao CaiBuu Dien Lien Viet CN Lao Cai</v>
          </cell>
          <cell r="E2222">
            <v>4392</v>
          </cell>
        </row>
        <row r="2223">
          <cell r="A2223" t="str">
            <v>NH TMCP Buu Dien Lien Viet (HO)</v>
          </cell>
          <cell r="D2223" t="str">
            <v>Dien BienBuu Dien Lien Viet CN Dien Bien</v>
          </cell>
          <cell r="E2223">
            <v>4385</v>
          </cell>
        </row>
        <row r="2224">
          <cell r="A2224" t="str">
            <v>NH TMCP Buu Dien Lien Viet (HO)</v>
          </cell>
          <cell r="D2224" t="str">
            <v>Quang NinhBuu Dien Lien Viet CN Quang Ninh</v>
          </cell>
          <cell r="E2224">
            <v>4339</v>
          </cell>
        </row>
        <row r="2225">
          <cell r="A2225" t="str">
            <v>NH TMCP Buu Dien Lien Viet (HO)</v>
          </cell>
          <cell r="D2225" t="str">
            <v>Hai PhongBuu Dien Lien Viet CN Hai Phong</v>
          </cell>
          <cell r="E2225">
            <v>3884</v>
          </cell>
        </row>
        <row r="2226">
          <cell r="A2226" t="str">
            <v>NH TMCP Buu Dien Lien Viet (HO)</v>
          </cell>
          <cell r="D2226" t="str">
            <v>Hai DuongBuu Dien Lien Viet CN Hai Duong</v>
          </cell>
          <cell r="E2226">
            <v>4390</v>
          </cell>
        </row>
        <row r="2227">
          <cell r="A2227" t="str">
            <v>NH TMCP Buu Dien Lien Viet (HO)</v>
          </cell>
          <cell r="D2227" t="str">
            <v>Hung YenBuu Dien Lien Viet CN Hung Yen</v>
          </cell>
          <cell r="E2227">
            <v>5223</v>
          </cell>
        </row>
        <row r="2228">
          <cell r="A2228" t="str">
            <v>NH TMCP Buu Dien Lien Viet (HO)</v>
          </cell>
          <cell r="D2228" t="str">
            <v>Bac GiangBuu Dien Lien Viet CN Bac Giang</v>
          </cell>
          <cell r="E2228">
            <v>4048</v>
          </cell>
        </row>
        <row r="2229">
          <cell r="A2229" t="str">
            <v>NH TMCP Buu Dien Lien Viet (HO)</v>
          </cell>
          <cell r="D2229" t="str">
            <v>Bac NinhBuu Dien Lien Viet CN Bac Ninh</v>
          </cell>
          <cell r="E2229">
            <v>4090</v>
          </cell>
        </row>
        <row r="2230">
          <cell r="A2230" t="str">
            <v>NH TMCP Buu Dien Lien Viet (HO)</v>
          </cell>
          <cell r="D2230" t="str">
            <v>Phu ThoBuu Dien Lien Viet CN Phu Tho</v>
          </cell>
          <cell r="E2230">
            <v>4395</v>
          </cell>
        </row>
        <row r="2231">
          <cell r="A2231" t="str">
            <v>NH TMCP Buu Dien Lien Viet (HO)</v>
          </cell>
          <cell r="D2231" t="str">
            <v>Vinh PhucBuu Dien Lien Viet CN Vinh Phuc</v>
          </cell>
          <cell r="E2231">
            <v>4407</v>
          </cell>
        </row>
        <row r="2232">
          <cell r="A2232" t="str">
            <v>NH TMCP Buu Dien Lien Viet (HO)</v>
          </cell>
          <cell r="D2232" t="str">
            <v>Hoa BinhBuu Dien Lien Viet CN Hoa Binh</v>
          </cell>
          <cell r="E2232">
            <v>4391</v>
          </cell>
        </row>
        <row r="2233">
          <cell r="A2233" t="str">
            <v>NH TMCP Buu Dien Lien Viet (HO)</v>
          </cell>
          <cell r="D2233" t="str">
            <v>Ha NamBuu Dien Lien Viet CN Ha Nam</v>
          </cell>
          <cell r="E2233">
            <v>4389</v>
          </cell>
        </row>
        <row r="2234">
          <cell r="A2234" t="str">
            <v>NH TMCP Buu Dien Lien Viet (HO)</v>
          </cell>
          <cell r="D2234" t="str">
            <v>Nam DinhBuu Dien Lien Viet CN Nam Dinh</v>
          </cell>
          <cell r="E2234">
            <v>4393</v>
          </cell>
        </row>
        <row r="2235">
          <cell r="A2235" t="str">
            <v>NH TMCP Buu Dien Lien Viet (HO)</v>
          </cell>
          <cell r="D2235" t="str">
            <v>Ninh BinhBuu Dien Lien Viet CN Ninh Binh</v>
          </cell>
          <cell r="E2235">
            <v>4314</v>
          </cell>
        </row>
        <row r="2236">
          <cell r="A2236" t="str">
            <v>NH TMCP Buu Dien Lien Viet (HO)</v>
          </cell>
          <cell r="D2236" t="str">
            <v>Thai BinhBuu Dien Lien Viet CN Thai Binh</v>
          </cell>
          <cell r="E2236">
            <v>4399</v>
          </cell>
        </row>
        <row r="2237">
          <cell r="A2237" t="str">
            <v>NH TMCP Buu Dien Lien Viet (HO)</v>
          </cell>
          <cell r="D2237" t="str">
            <v>Thanh HoaBuu Dien Lien Viet CN Thanh Hoa</v>
          </cell>
          <cell r="E2237">
            <v>4061</v>
          </cell>
        </row>
        <row r="2238">
          <cell r="A2238" t="str">
            <v>NH TMCP Buu Dien Lien Viet (HO)</v>
          </cell>
          <cell r="D2238" t="str">
            <v>Nghe AnBuu Dien Lien Viet CN Nghe An</v>
          </cell>
          <cell r="E2238">
            <v>4312</v>
          </cell>
        </row>
        <row r="2239">
          <cell r="A2239" t="str">
            <v>NH TMCP Buu Dien Lien Viet (HO)</v>
          </cell>
          <cell r="D2239" t="str">
            <v>Quang BinhBuu Dien Lien Viet CN Quang Binh</v>
          </cell>
          <cell r="E2239">
            <v>4396</v>
          </cell>
        </row>
        <row r="2240">
          <cell r="A2240" t="str">
            <v>NH TMCP Buu Dien Lien Viet (HO)</v>
          </cell>
          <cell r="D2240" t="str">
            <v>Quang TriBuu Dien Lien Viet CN Quang Tri</v>
          </cell>
          <cell r="E2240">
            <v>5158</v>
          </cell>
        </row>
        <row r="2241">
          <cell r="A2241" t="str">
            <v>NH TMCP Buu Dien Lien Viet (HO)</v>
          </cell>
          <cell r="D2241" t="str">
            <v>Thua Thien HueBuu Dien Lien Viet CN Hue</v>
          </cell>
          <cell r="E2241">
            <v>4070</v>
          </cell>
        </row>
        <row r="2242">
          <cell r="A2242" t="str">
            <v>NH TMCP Buu Dien Lien Viet (HO)</v>
          </cell>
          <cell r="D2242" t="str">
            <v>Ho Chi MinhBuu Dien Lien Viet CN HCM</v>
          </cell>
          <cell r="E2242">
            <v>3235</v>
          </cell>
        </row>
        <row r="2243">
          <cell r="A2243" t="str">
            <v>NH TMCP Buu Dien Lien Viet (HO)</v>
          </cell>
          <cell r="D2243" t="str">
            <v>Ho Chi MinhBuu Dien Lien Viet CN Cho Lon</v>
          </cell>
          <cell r="E2243">
            <v>4383</v>
          </cell>
        </row>
        <row r="2244">
          <cell r="A2244" t="str">
            <v>NH TMCP Buu Dien Lien Viet (HO)</v>
          </cell>
          <cell r="D2244" t="str">
            <v>Ho Chi MinhBuu Dien Lien Viet CN Tan Binh</v>
          </cell>
          <cell r="E2244">
            <v>4398</v>
          </cell>
        </row>
        <row r="2245">
          <cell r="A2245" t="str">
            <v>NH TMCP Buu Dien Lien Viet (HO)</v>
          </cell>
          <cell r="D2245" t="str">
            <v>Ho Chi MinhBuu Dien Lien Viet Hoi So Chinh</v>
          </cell>
          <cell r="E2245">
            <v>5092</v>
          </cell>
        </row>
        <row r="2246">
          <cell r="A2246" t="str">
            <v>NH TMCP Buu Dien Lien Viet (HO)</v>
          </cell>
          <cell r="D2246" t="str">
            <v>Da NangBuu Dien Lien Viet CN Da Nang</v>
          </cell>
          <cell r="E2246">
            <v>4299</v>
          </cell>
        </row>
        <row r="2247">
          <cell r="A2247" t="str">
            <v>NH TMCP Buu Dien Lien Viet (HO)</v>
          </cell>
          <cell r="D2247" t="str">
            <v>Quang NamBuu Dien Lien Viet CN Quang Nam</v>
          </cell>
          <cell r="E2247">
            <v>4397</v>
          </cell>
        </row>
        <row r="2248">
          <cell r="A2248" t="str">
            <v>NH TMCP Buu Dien Lien Viet (HO)</v>
          </cell>
          <cell r="D2248" t="str">
            <v>Quang NgaiBuu Dien Lien Viet CN Dung Quat</v>
          </cell>
          <cell r="E2248">
            <v>4293</v>
          </cell>
        </row>
        <row r="2249">
          <cell r="A2249" t="str">
            <v>NH TMCP Buu Dien Lien Viet (HO)</v>
          </cell>
          <cell r="D2249" t="str">
            <v>Khanh HoaBuu Dien Lien Viet CN Khanh Hoa</v>
          </cell>
          <cell r="E2249">
            <v>4081</v>
          </cell>
        </row>
        <row r="2250">
          <cell r="A2250" t="str">
            <v>NH TMCP Buu Dien Lien Viet (HO)</v>
          </cell>
          <cell r="D2250" t="str">
            <v>Dak NongBuu Dien Lien Viet CN Dak Nong</v>
          </cell>
          <cell r="E2250">
            <v>4384</v>
          </cell>
        </row>
        <row r="2251">
          <cell r="A2251" t="str">
            <v>NH TMCP Buu Dien Lien Viet (HO)</v>
          </cell>
          <cell r="D2251" t="str">
            <v>Binh ThuanBuu Dien Lien Viet CN Binh Thuan</v>
          </cell>
          <cell r="E2251">
            <v>4381</v>
          </cell>
        </row>
        <row r="2252">
          <cell r="A2252" t="str">
            <v>NH TMCP Buu Dien Lien Viet (HO)</v>
          </cell>
          <cell r="D2252" t="str">
            <v>Ninh ThuanBuu Dien Lien Viet CN Ninh Thuan</v>
          </cell>
          <cell r="E2252">
            <v>4394</v>
          </cell>
        </row>
        <row r="2253">
          <cell r="A2253" t="str">
            <v>NH TMCP Buu Dien Lien Viet (HO)</v>
          </cell>
          <cell r="D2253" t="str">
            <v>Gia LaiBuu Dien Lien Viet CN Gia Lai</v>
          </cell>
          <cell r="E2253">
            <v>4280</v>
          </cell>
        </row>
        <row r="2254">
          <cell r="A2254" t="str">
            <v>NH TMCP Buu Dien Lien Viet (HO)</v>
          </cell>
          <cell r="D2254" t="str">
            <v>Kon TumBuu Dien Lien Viet CN Kon Tum</v>
          </cell>
          <cell r="E2254">
            <v>5112</v>
          </cell>
        </row>
        <row r="2255">
          <cell r="A2255" t="str">
            <v>NH TMCP Buu Dien Lien Viet (HO)</v>
          </cell>
          <cell r="D2255" t="str">
            <v>Dac LacBuu Dien Lien Viet CN Dac Lac</v>
          </cell>
          <cell r="E2255">
            <v>4276</v>
          </cell>
        </row>
        <row r="2256">
          <cell r="A2256" t="str">
            <v>NH TMCP Buu Dien Lien Viet (HO)</v>
          </cell>
          <cell r="D2256" t="str">
            <v>Lam DongBuu Dien Lien Viet CN Lam Dong</v>
          </cell>
          <cell r="E2256">
            <v>5115</v>
          </cell>
        </row>
        <row r="2257">
          <cell r="A2257" t="str">
            <v>NH TMCP Buu Dien Lien Viet (HO)</v>
          </cell>
          <cell r="D2257" t="str">
            <v>Binh DuongBuu Dien Lien Viet CN Binh Duong</v>
          </cell>
          <cell r="E2257">
            <v>4260</v>
          </cell>
        </row>
        <row r="2258">
          <cell r="A2258" t="str">
            <v>NH TMCP Buu Dien Lien Viet (HO)</v>
          </cell>
          <cell r="D2258" t="str">
            <v>Binh PhuocBuu Dien Lien Viet CN Binh Phuoc</v>
          </cell>
          <cell r="E2258">
            <v>4380</v>
          </cell>
        </row>
        <row r="2259">
          <cell r="A2259" t="str">
            <v>NH TMCP Buu Dien Lien Viet (HO)</v>
          </cell>
          <cell r="D2259" t="str">
            <v>Dong NaiBuu Dien Lien Viet CN Dong Nai</v>
          </cell>
          <cell r="E2259">
            <v>3868</v>
          </cell>
        </row>
        <row r="2260">
          <cell r="A2260" t="str">
            <v>NH TMCP Buu Dien Lien Viet (HO)</v>
          </cell>
          <cell r="D2260" t="str">
            <v>Ba Ria-Vung TauBuu Dien Lien Viet CN Vung Tau</v>
          </cell>
          <cell r="E2260">
            <v>4017</v>
          </cell>
        </row>
        <row r="2261">
          <cell r="A2261" t="str">
            <v>NH TMCP Buu Dien Lien Viet (HO)</v>
          </cell>
          <cell r="D2261" t="str">
            <v>Long AnBuu Dien Lien Viet CN Long An</v>
          </cell>
          <cell r="E2261">
            <v>4248</v>
          </cell>
        </row>
        <row r="2262">
          <cell r="A2262" t="str">
            <v>NH TMCP Buu Dien Lien Viet (HO)</v>
          </cell>
          <cell r="D2262" t="str">
            <v>Dong ThapBuu Dien Lien Viet CN Dong Thap</v>
          </cell>
          <cell r="E2262">
            <v>4387</v>
          </cell>
        </row>
        <row r="2263">
          <cell r="A2263" t="str">
            <v>NH TMCP Buu Dien Lien Viet (HO)</v>
          </cell>
          <cell r="D2263" t="str">
            <v>An GiangBuu Dien Lien Viet CN An Giang</v>
          </cell>
          <cell r="E2263">
            <v>4131</v>
          </cell>
        </row>
        <row r="2264">
          <cell r="A2264" t="str">
            <v>NH TMCP Buu Dien Lien Viet (HO)</v>
          </cell>
          <cell r="D2264" t="str">
            <v>Tien GiangBuu Dien Lien Viet CN Tien Giang</v>
          </cell>
          <cell r="E2264">
            <v>4402</v>
          </cell>
        </row>
        <row r="2265">
          <cell r="A2265" t="str">
            <v>NH TMCP Buu Dien Lien Viet (HO)</v>
          </cell>
          <cell r="D2265" t="str">
            <v>Ben TreBuu Dien Lien Viet CN Ben Tre</v>
          </cell>
          <cell r="E2265">
            <v>4379</v>
          </cell>
        </row>
        <row r="2266">
          <cell r="A2266" t="str">
            <v>NH TMCP Buu Dien Lien Viet (HO)</v>
          </cell>
          <cell r="D2266" t="str">
            <v>Vinh LongBuu Dien Lien Viet CN Vinh Long</v>
          </cell>
          <cell r="E2266">
            <v>4406</v>
          </cell>
        </row>
        <row r="2267">
          <cell r="A2267" t="str">
            <v>NH TMCP Buu Dien Lien Viet (HO)</v>
          </cell>
          <cell r="D2267" t="str">
            <v>Tra VinhBuu Dien Lien Viet CN Tra Vinh</v>
          </cell>
          <cell r="E2267">
            <v>4404</v>
          </cell>
        </row>
        <row r="2268">
          <cell r="A2268" t="str">
            <v>NH TMCP Buu Dien Lien Viet (HO)</v>
          </cell>
          <cell r="D2268" t="str">
            <v>Can ThoBuu Dien Lien Viet CN Can Tho</v>
          </cell>
          <cell r="E2268">
            <v>4076</v>
          </cell>
        </row>
        <row r="2269">
          <cell r="A2269" t="str">
            <v>NH TMCP Buu Dien Lien Viet (HO)</v>
          </cell>
          <cell r="D2269" t="str">
            <v>Soc TrangBuu Dien Lien Viet CN Soc Trang</v>
          </cell>
          <cell r="E2269">
            <v>4108</v>
          </cell>
        </row>
        <row r="2270">
          <cell r="A2270" t="str">
            <v>NH TMCP Buu Dien Lien Viet (HO)</v>
          </cell>
          <cell r="D2270" t="str">
            <v>Kien GiangBuu Dien Lien Viet CN Kien Giang</v>
          </cell>
          <cell r="E2270">
            <v>4053</v>
          </cell>
        </row>
        <row r="2271">
          <cell r="A2271" t="str">
            <v>NH TMCP Buu Dien Lien Viet (HO)</v>
          </cell>
          <cell r="D2271" t="str">
            <v>Bac LieuBuu Dien Lien Viet CN Bac Lieu</v>
          </cell>
          <cell r="E2271">
            <v>4378</v>
          </cell>
        </row>
        <row r="2272">
          <cell r="A2272" t="str">
            <v>NH TMCP Buu Dien Lien Viet (HO)</v>
          </cell>
          <cell r="D2272" t="str">
            <v>Ca MauBuu Dien Lien Viet CN Ca Mau</v>
          </cell>
          <cell r="E2272">
            <v>4092</v>
          </cell>
        </row>
        <row r="2273">
          <cell r="A2273" t="str">
            <v>NH TMCP Dai Chung Viet Nam</v>
          </cell>
          <cell r="D2273" t="str">
            <v>Ha NoiDai Chung VN CN Dong Da</v>
          </cell>
          <cell r="E2273">
            <v>4420</v>
          </cell>
        </row>
        <row r="2274">
          <cell r="A2274" t="str">
            <v>NH TMCP Dai Chung Viet Nam</v>
          </cell>
          <cell r="D2274" t="str">
            <v>Ha NoiDai Chung VN CN Dong Do</v>
          </cell>
          <cell r="E2274">
            <v>4421</v>
          </cell>
        </row>
        <row r="2275">
          <cell r="A2275" t="str">
            <v>NH TMCP Dai Chung Viet Nam</v>
          </cell>
          <cell r="D2275" t="str">
            <v>Ha NoiDai Chung VN CN Hai Ba Trung</v>
          </cell>
          <cell r="E2275">
            <v>4424</v>
          </cell>
        </row>
        <row r="2276">
          <cell r="A2276" t="str">
            <v>NH TMCP Dai Chung Viet Nam</v>
          </cell>
          <cell r="D2276" t="str">
            <v>Ha NoiDai Chung Viet Nam (HO)</v>
          </cell>
          <cell r="E2276">
            <v>4153</v>
          </cell>
        </row>
        <row r="2277">
          <cell r="A2277" t="str">
            <v>NH TMCP Dai Chung Viet Nam</v>
          </cell>
          <cell r="D2277" t="str">
            <v>Ha NoiDai Chung VN CN Thang Long</v>
          </cell>
          <cell r="E2277">
            <v>4155</v>
          </cell>
        </row>
        <row r="2278">
          <cell r="A2278" t="str">
            <v>NH TMCP Dai Chung Viet Nam</v>
          </cell>
          <cell r="D2278" t="str">
            <v>Ha NoiDai Chung VN CN Ha Noi</v>
          </cell>
          <cell r="E2278">
            <v>2976</v>
          </cell>
        </row>
        <row r="2279">
          <cell r="A2279" t="str">
            <v>NH TMCP Dai Chung Viet Nam</v>
          </cell>
          <cell r="D2279" t="str">
            <v>Quang NinhDai Chung VN CN Quang Ninh</v>
          </cell>
          <cell r="E2279">
            <v>4431</v>
          </cell>
        </row>
        <row r="2280">
          <cell r="A2280" t="str">
            <v>NH TMCP Dai Chung Viet Nam</v>
          </cell>
          <cell r="D2280" t="str">
            <v>Hai PhongDai Chung VN CN Hai Phong</v>
          </cell>
          <cell r="E2280">
            <v>4161</v>
          </cell>
        </row>
        <row r="2281">
          <cell r="A2281" t="str">
            <v>NH TMCP Dai Chung Viet Nam</v>
          </cell>
          <cell r="D2281" t="str">
            <v>Bac NinhDai Chung VN CN Bac Ninh</v>
          </cell>
          <cell r="E2281">
            <v>4150</v>
          </cell>
        </row>
        <row r="2282">
          <cell r="A2282" t="str">
            <v>NH TMCP Dai Chung Viet Nam</v>
          </cell>
          <cell r="D2282" t="str">
            <v>Nam DinhDai Chung VN CN Nam Dinh</v>
          </cell>
          <cell r="E2282">
            <v>4160</v>
          </cell>
        </row>
        <row r="2283">
          <cell r="A2283" t="str">
            <v>NH TMCP Dai Chung Viet Nam</v>
          </cell>
          <cell r="D2283" t="str">
            <v>Thai BinhDai Chung VN CN Thai Binh</v>
          </cell>
          <cell r="E2283">
            <v>4433</v>
          </cell>
        </row>
        <row r="2284">
          <cell r="A2284" t="str">
            <v>NH TMCP Dai Chung Viet Nam</v>
          </cell>
          <cell r="D2284" t="str">
            <v>Thanh HoaDai Chung VN CN Thanh Hoa</v>
          </cell>
          <cell r="E2284">
            <v>4162</v>
          </cell>
        </row>
        <row r="2285">
          <cell r="A2285" t="str">
            <v>NH TMCP Dai Chung Viet Nam</v>
          </cell>
          <cell r="D2285" t="str">
            <v>Nghe AnDai Chung VN CN Nghe An</v>
          </cell>
          <cell r="E2285">
            <v>4429</v>
          </cell>
        </row>
        <row r="2286">
          <cell r="A2286" t="str">
            <v>NH TMCP Dai Chung Viet Nam</v>
          </cell>
          <cell r="D2286" t="str">
            <v>Thua Thien HueDai Chung VN CN Hue</v>
          </cell>
          <cell r="E2286">
            <v>4149</v>
          </cell>
        </row>
        <row r="2287">
          <cell r="A2287" t="str">
            <v>NH TMCP Dai Chung Viet Nam</v>
          </cell>
          <cell r="D2287" t="str">
            <v>Ho Chi MinhDai Chung VN CN SG Gia Dinh</v>
          </cell>
          <cell r="E2287">
            <v>2983</v>
          </cell>
        </row>
        <row r="2288">
          <cell r="A2288" t="str">
            <v>NH TMCP Dai Chung Viet Nam</v>
          </cell>
          <cell r="D2288" t="str">
            <v>Ho Chi MinhDai Chung VN CN Sai Gon</v>
          </cell>
          <cell r="E2288">
            <v>4156</v>
          </cell>
        </row>
        <row r="2289">
          <cell r="A2289" t="str">
            <v>NH TMCP Dai Chung Viet Nam</v>
          </cell>
          <cell r="D2289" t="str">
            <v>Ho Chi MinhDai Chung VN CN HCM</v>
          </cell>
          <cell r="E2289">
            <v>4154</v>
          </cell>
        </row>
        <row r="2290">
          <cell r="A2290" t="str">
            <v>NH TMCP Dai Chung Viet Nam</v>
          </cell>
          <cell r="D2290" t="str">
            <v>Ho Chi MinhDai Chung VN CN Ben Thanh</v>
          </cell>
          <cell r="E2290">
            <v>4418</v>
          </cell>
        </row>
        <row r="2291">
          <cell r="A2291" t="str">
            <v>NH TMCP Dai Chung Viet Nam</v>
          </cell>
          <cell r="D2291" t="str">
            <v>Ho Chi MinhDai Chung VN CN Dong Khoi</v>
          </cell>
          <cell r="E2291">
            <v>4422</v>
          </cell>
        </row>
        <row r="2292">
          <cell r="A2292" t="str">
            <v>NH TMCP Dai Chung Viet Nam</v>
          </cell>
          <cell r="D2292" t="str">
            <v>Ho Chi MinhDai Chung VN CN Thu Thiem</v>
          </cell>
          <cell r="E2292">
            <v>4434</v>
          </cell>
        </row>
        <row r="2293">
          <cell r="A2293" t="str">
            <v>NH TMCP Dai Chung Viet Nam</v>
          </cell>
          <cell r="D2293" t="str">
            <v>Da NangDai Chung VN CN Song Han</v>
          </cell>
          <cell r="E2293">
            <v>4159</v>
          </cell>
        </row>
        <row r="2294">
          <cell r="A2294" t="str">
            <v>NH TMCP Dai Chung Viet Nam</v>
          </cell>
          <cell r="D2294" t="str">
            <v>Da NangDai Chung VN CN Da Nang</v>
          </cell>
          <cell r="E2294">
            <v>3753</v>
          </cell>
        </row>
        <row r="2295">
          <cell r="A2295" t="str">
            <v>NH TMCP Dai Chung Viet Nam</v>
          </cell>
          <cell r="D2295" t="str">
            <v>Quang NamDai Chung VN CN Quang Nam</v>
          </cell>
          <cell r="E2295">
            <v>4430</v>
          </cell>
        </row>
        <row r="2296">
          <cell r="A2296" t="str">
            <v>NH TMCP Dai Chung Viet Nam</v>
          </cell>
          <cell r="D2296" t="str">
            <v>Quang NgaiDai Chung VN CN Quang Ngai</v>
          </cell>
          <cell r="E2296">
            <v>4163</v>
          </cell>
        </row>
        <row r="2297">
          <cell r="A2297" t="str">
            <v>NH TMCP Dai Chung Viet Nam</v>
          </cell>
          <cell r="D2297" t="str">
            <v>Binh DinhDai Chung VN CN Quy Nhon</v>
          </cell>
          <cell r="E2297">
            <v>4151</v>
          </cell>
        </row>
        <row r="2298">
          <cell r="A2298" t="str">
            <v>NH TMCP Dai Chung Viet Nam</v>
          </cell>
          <cell r="D2298" t="str">
            <v>Khanh HoaDai Chung VN CN Khanh Hoa</v>
          </cell>
          <cell r="E2298">
            <v>4426</v>
          </cell>
        </row>
        <row r="2299">
          <cell r="A2299" t="str">
            <v>NH TMCP Dai Chung Viet Nam</v>
          </cell>
          <cell r="D2299" t="str">
            <v>Lam DongDai Chung VN CN Da Lat</v>
          </cell>
          <cell r="E2299">
            <v>4152</v>
          </cell>
        </row>
        <row r="2300">
          <cell r="A2300" t="str">
            <v>NH TMCP Dai Chung Viet Nam</v>
          </cell>
          <cell r="D2300" t="str">
            <v>Hau GiangDai Chung VN CN Hau Giang</v>
          </cell>
          <cell r="E2300">
            <v>4425</v>
          </cell>
        </row>
        <row r="2301">
          <cell r="A2301" t="str">
            <v>NH TMCP Dai Chung Viet Nam</v>
          </cell>
          <cell r="D2301" t="str">
            <v>Binh DuongDai Chung VN CN Binh Duong</v>
          </cell>
          <cell r="E2301">
            <v>4147</v>
          </cell>
        </row>
        <row r="2302">
          <cell r="A2302" t="str">
            <v>NH TMCP Dai Chung Viet Nam</v>
          </cell>
          <cell r="D2302" t="str">
            <v>Tay NinhDai Chung VN CN Tay Ninh</v>
          </cell>
          <cell r="E2302">
            <v>4432</v>
          </cell>
        </row>
        <row r="2303">
          <cell r="A2303" t="str">
            <v>NH TMCP Dai Chung Viet Nam</v>
          </cell>
          <cell r="D2303" t="str">
            <v>Dong NaiDai Chung VN CN Dong Nai</v>
          </cell>
          <cell r="E2303">
            <v>3730</v>
          </cell>
        </row>
        <row r="2304">
          <cell r="A2304" t="str">
            <v>NH TMCP Dai Chung Viet Nam</v>
          </cell>
          <cell r="D2304" t="str">
            <v>Ba Ria-Vung TauDai Chung VN CN Ba Ria Vung Tau</v>
          </cell>
          <cell r="E2304">
            <v>4158</v>
          </cell>
        </row>
        <row r="2305">
          <cell r="A2305" t="str">
            <v>NH TMCP Dai Chung Viet Nam</v>
          </cell>
          <cell r="D2305" t="str">
            <v>Ba Ria-Vung TauDai Chung VN CN Vung Tau</v>
          </cell>
          <cell r="E2305">
            <v>4146</v>
          </cell>
        </row>
        <row r="2306">
          <cell r="A2306" t="str">
            <v>NH TMCP Dai Chung Viet Nam</v>
          </cell>
          <cell r="D2306" t="str">
            <v>Long AnDai Chung VN CN Long An</v>
          </cell>
          <cell r="E2306">
            <v>4428</v>
          </cell>
        </row>
        <row r="2307">
          <cell r="A2307" t="str">
            <v>NH TMCP Dai Chung Viet Nam</v>
          </cell>
          <cell r="D2307" t="str">
            <v>Dong ThapDai Chung VN CN Dong Thap</v>
          </cell>
          <cell r="E2307">
            <v>4423</v>
          </cell>
        </row>
        <row r="2308">
          <cell r="A2308" t="str">
            <v>NH TMCP Dai Chung Viet Nam</v>
          </cell>
          <cell r="D2308" t="str">
            <v>An GiangDai Chung VN CN An Giang</v>
          </cell>
          <cell r="E2308">
            <v>4145</v>
          </cell>
        </row>
        <row r="2309">
          <cell r="A2309" t="str">
            <v>NH TMCP Dai Chung Viet Nam</v>
          </cell>
          <cell r="D2309" t="str">
            <v>Tien GiangDai Chung VN CN Tien Giang</v>
          </cell>
          <cell r="E2309">
            <v>4148</v>
          </cell>
        </row>
        <row r="2310">
          <cell r="A2310" t="str">
            <v>NH TMCP Dai Chung Viet Nam</v>
          </cell>
          <cell r="D2310" t="str">
            <v>Vinh LongDai Chung VN CN Vinh Long</v>
          </cell>
          <cell r="E2310">
            <v>4043</v>
          </cell>
        </row>
        <row r="2311">
          <cell r="A2311" t="str">
            <v>NH TMCP Dai Chung Viet Nam</v>
          </cell>
          <cell r="D2311" t="str">
            <v>Can ThoDai Chung VN CN Tay Do</v>
          </cell>
          <cell r="E2311">
            <v>1316</v>
          </cell>
        </row>
        <row r="2312">
          <cell r="A2312" t="str">
            <v>NH TMCP Dai Chung Viet Nam</v>
          </cell>
          <cell r="D2312" t="str">
            <v>Can ThoDai Chung VN CN Can Tho</v>
          </cell>
          <cell r="E2312">
            <v>4157</v>
          </cell>
        </row>
        <row r="2313">
          <cell r="A2313" t="str">
            <v>NH TMCP Dai Chung Viet Nam</v>
          </cell>
          <cell r="D2313" t="str">
            <v>Kien GiangDai Chung VN CN Kien Giang</v>
          </cell>
          <cell r="E2313">
            <v>4427</v>
          </cell>
        </row>
        <row r="2314">
          <cell r="A2314" t="str">
            <v>NH TMCP Dai Chung Viet Nam</v>
          </cell>
          <cell r="D2314" t="str">
            <v>Ca MauDai Chung VN CN Ca Mau</v>
          </cell>
          <cell r="E2314">
            <v>4419</v>
          </cell>
        </row>
        <row r="2315">
          <cell r="A2315" t="str">
            <v>NH TMCP Dai Duong (OceanBank)</v>
          </cell>
          <cell r="D2315" t="str">
            <v>Ha NoiDai Duong CN Thang Long</v>
          </cell>
          <cell r="E2315">
            <v>4435</v>
          </cell>
        </row>
        <row r="2316">
          <cell r="A2316" t="str">
            <v>NH TMCP Dai Duong (OceanBank)</v>
          </cell>
          <cell r="D2316" t="str">
            <v>Ha NoiDai Duong CN Ha Noi</v>
          </cell>
          <cell r="E2316">
            <v>2846</v>
          </cell>
        </row>
        <row r="2317">
          <cell r="A2317" t="str">
            <v>NH TMCP Dai Duong (OceanBank)</v>
          </cell>
          <cell r="D2317" t="str">
            <v>Quang NinhDai Duong CN Quang Ninh</v>
          </cell>
          <cell r="E2317">
            <v>2995</v>
          </cell>
        </row>
        <row r="2318">
          <cell r="A2318" t="str">
            <v>NH TMCP Dai Duong (OceanBank)</v>
          </cell>
          <cell r="D2318" t="str">
            <v>Hai PhongDai Duong CN Hai Phong</v>
          </cell>
          <cell r="E2318">
            <v>3877</v>
          </cell>
        </row>
        <row r="2319">
          <cell r="A2319" t="str">
            <v>NH TMCP Dai Duong (OceanBank)</v>
          </cell>
          <cell r="D2319" t="str">
            <v>Hai DuongDai Duong CN Hai Duong</v>
          </cell>
          <cell r="E2319">
            <v>4319</v>
          </cell>
        </row>
        <row r="2320">
          <cell r="A2320" t="str">
            <v>NH TMCP Dai Duong (OceanBank)</v>
          </cell>
          <cell r="D2320" t="str">
            <v>Bac GiangDai Duong CN Bac Giang</v>
          </cell>
          <cell r="E2320">
            <v>4333</v>
          </cell>
        </row>
        <row r="2321">
          <cell r="A2321" t="str">
            <v>NH TMCP Dai Duong (OceanBank)</v>
          </cell>
          <cell r="D2321" t="str">
            <v>Thai BinhDai Duong CN Thai Binh</v>
          </cell>
          <cell r="E2321">
            <v>4001</v>
          </cell>
        </row>
        <row r="2322">
          <cell r="A2322" t="str">
            <v>NH TMCP Dai Duong (OceanBank)</v>
          </cell>
          <cell r="D2322" t="str">
            <v>Thanh HoaDai Duong CN Thanh Hoa</v>
          </cell>
          <cell r="E2322">
            <v>3942</v>
          </cell>
        </row>
        <row r="2323">
          <cell r="A2323" t="str">
            <v>NH TMCP Dai Duong (OceanBank)</v>
          </cell>
          <cell r="D2323" t="str">
            <v>Nghe AnDai Duong CN Vinh</v>
          </cell>
          <cell r="E2323">
            <v>3982</v>
          </cell>
        </row>
        <row r="2324">
          <cell r="A2324" t="str">
            <v>NH TMCP Dai Duong (OceanBank)</v>
          </cell>
          <cell r="D2324" t="str">
            <v>Ha TinhDai Duong CN Ha Tinh</v>
          </cell>
          <cell r="E2324">
            <v>4308</v>
          </cell>
        </row>
        <row r="2325">
          <cell r="A2325" t="str">
            <v>NH TMCP Dai Duong (OceanBank)</v>
          </cell>
          <cell r="D2325" t="str">
            <v>Ho Chi MinhDai duong CN Sai Gon</v>
          </cell>
          <cell r="E2325">
            <v>2810</v>
          </cell>
        </row>
        <row r="2326">
          <cell r="A2326" t="str">
            <v>NH TMCP Dai Duong (OceanBank)</v>
          </cell>
          <cell r="D2326" t="str">
            <v>Ho Chi MinhDai Duong CN Ho Chi Minh</v>
          </cell>
          <cell r="E2326">
            <v>3869</v>
          </cell>
        </row>
        <row r="2327">
          <cell r="A2327" t="str">
            <v>NH TMCP Dai Duong (OceanBank)</v>
          </cell>
          <cell r="D2327" t="str">
            <v>Da NangDai Duong CN Da Nang</v>
          </cell>
          <cell r="E2327">
            <v>3360</v>
          </cell>
        </row>
        <row r="2328">
          <cell r="A2328" t="str">
            <v>NH TMCP Dai Duong (OceanBank)</v>
          </cell>
          <cell r="D2328" t="str">
            <v>Quang NgaiDai Duong CN Quang Ngai</v>
          </cell>
          <cell r="E2328">
            <v>3789</v>
          </cell>
        </row>
        <row r="2329">
          <cell r="A2329" t="str">
            <v>NH TMCP Dai Duong (OceanBank)</v>
          </cell>
          <cell r="D2329" t="str">
            <v>Binh DinhDai Duong CN Quy Nhon</v>
          </cell>
          <cell r="E2329">
            <v>4290</v>
          </cell>
        </row>
        <row r="2330">
          <cell r="A2330" t="str">
            <v>NH TMCP Dai Duong (OceanBank)</v>
          </cell>
          <cell r="D2330" t="str">
            <v>Khanh HoaDai Duong CN Nha Trang</v>
          </cell>
          <cell r="E2330">
            <v>4283</v>
          </cell>
        </row>
        <row r="2331">
          <cell r="A2331" t="str">
            <v>NH TMCP Dai Duong (OceanBank)</v>
          </cell>
          <cell r="D2331" t="str">
            <v>Binh DuongDai Duong CN Binh Duong</v>
          </cell>
          <cell r="E2331">
            <v>4263</v>
          </cell>
        </row>
        <row r="2332">
          <cell r="A2332" t="str">
            <v>NH TMCP Dai Duong (OceanBank)</v>
          </cell>
          <cell r="D2332" t="str">
            <v>Dong NaiDai Duong CN Dong Nai</v>
          </cell>
          <cell r="E2332">
            <v>3933</v>
          </cell>
        </row>
        <row r="2333">
          <cell r="A2333" t="str">
            <v>NH TMCP Dai Duong (OceanBank)</v>
          </cell>
          <cell r="D2333" t="str">
            <v>Ba Ria-Vung TauDai Duong CN Vung Tau</v>
          </cell>
          <cell r="E2333">
            <v>3510</v>
          </cell>
        </row>
        <row r="2334">
          <cell r="A2334" t="str">
            <v>NH TMCP Dai Duong (OceanBank)</v>
          </cell>
          <cell r="D2334" t="str">
            <v>Can ThoDai Duong CN Can Tho</v>
          </cell>
          <cell r="E2334">
            <v>4120</v>
          </cell>
        </row>
        <row r="2335">
          <cell r="A2335" t="str">
            <v>NH TMCP Dai Duong (OceanBank)</v>
          </cell>
          <cell r="D2335" t="str">
            <v>Ca MauDai Duong CN Ca Mau</v>
          </cell>
          <cell r="E2335">
            <v>3997</v>
          </cell>
        </row>
        <row r="2336">
          <cell r="A2336" t="str">
            <v>NH TMCP Dau Khi Toan Cau (GP.Bank)</v>
          </cell>
          <cell r="D2336" t="str">
            <v>Ha NoiDau Khi Toan Cau CN Hoan Kiem</v>
          </cell>
          <cell r="E2336">
            <v>4437</v>
          </cell>
        </row>
        <row r="2337">
          <cell r="A2337" t="str">
            <v>NH TMCP Dau Khi Toan Cau (GP.Bank)</v>
          </cell>
          <cell r="D2337" t="str">
            <v>Ha NoiDau Khi Toan Cau CN Thang Long</v>
          </cell>
          <cell r="E2337">
            <v>4439</v>
          </cell>
        </row>
        <row r="2338">
          <cell r="A2338" t="str">
            <v>NH TMCP Dau Khi Toan Cau (GP.Bank)</v>
          </cell>
          <cell r="D2338" t="str">
            <v>Ha NoiDau Khi Toan Cau Ha Noi</v>
          </cell>
          <cell r="E2338">
            <v>2863</v>
          </cell>
        </row>
        <row r="2339">
          <cell r="A2339" t="str">
            <v>NH TMCP Dau Khi Toan Cau (GP.Bank)</v>
          </cell>
          <cell r="D2339" t="str">
            <v>Quang NinhDau Khi Toan Cau CN Quang Ninh</v>
          </cell>
          <cell r="E2339">
            <v>4338</v>
          </cell>
        </row>
        <row r="2340">
          <cell r="A2340" t="str">
            <v>NH TMCP Dau Khi Toan Cau (GP.Bank)</v>
          </cell>
          <cell r="D2340" t="str">
            <v>Hai PhongDau Khi Toan Cau CN Hai Phong</v>
          </cell>
          <cell r="E2340">
            <v>2904</v>
          </cell>
        </row>
        <row r="2341">
          <cell r="A2341" t="str">
            <v>NH TMCP Dau Khi Toan Cau (GP.Bank)</v>
          </cell>
          <cell r="D2341" t="str">
            <v>Ninh BinhDau Khi Toan Cau CN Ninh Binh</v>
          </cell>
          <cell r="E2341">
            <v>1322</v>
          </cell>
        </row>
        <row r="2342">
          <cell r="A2342" t="str">
            <v>NH TMCP Dau Khi Toan Cau (GP.Bank)</v>
          </cell>
          <cell r="D2342" t="str">
            <v>Nghe AnDau Khi Toan Cau CN Nghe An</v>
          </cell>
          <cell r="E2342">
            <v>4310</v>
          </cell>
        </row>
        <row r="2343">
          <cell r="A2343" t="str">
            <v>NH TMCP Dau Khi Toan Cau (GP.Bank)</v>
          </cell>
          <cell r="D2343" t="str">
            <v>Ho Chi MinhDau khi Toan Cau CN TP HCM</v>
          </cell>
          <cell r="E2343">
            <v>2885</v>
          </cell>
        </row>
        <row r="2344">
          <cell r="A2344" t="str">
            <v>NH TMCP Dau Khi Toan Cau (GP.Bank)</v>
          </cell>
          <cell r="D2344" t="str">
            <v>Ho Chi MinhDau khi Toan Cau CN Sai Gon</v>
          </cell>
          <cell r="E2344">
            <v>4438</v>
          </cell>
        </row>
        <row r="2345">
          <cell r="A2345" t="str">
            <v>NH TMCP Dau Khi Toan Cau (GP.Bank)</v>
          </cell>
          <cell r="D2345" t="str">
            <v>Da NangDau Khi Toan Cau CN Da Nang</v>
          </cell>
          <cell r="E2345">
            <v>2961</v>
          </cell>
        </row>
        <row r="2346">
          <cell r="A2346" t="str">
            <v>NH TMCP Dau Khi Toan Cau (GP.Bank)</v>
          </cell>
          <cell r="D2346" t="str">
            <v>Gia LaiDau Khi Toan Cau CN Gia Lai</v>
          </cell>
          <cell r="E2346">
            <v>4277</v>
          </cell>
        </row>
        <row r="2347">
          <cell r="A2347" t="str">
            <v>NH TMCP Dau Khi Toan Cau (GP.Bank)</v>
          </cell>
          <cell r="D2347" t="str">
            <v>Binh DuongDau Khi Toan Cau CN Binh Duong</v>
          </cell>
          <cell r="E2347">
            <v>4436</v>
          </cell>
        </row>
        <row r="2348">
          <cell r="A2348" t="str">
            <v>NH TMCP Dau Khi Toan Cau (GP.Bank)</v>
          </cell>
          <cell r="D2348" t="str">
            <v>Ba Ria-Vung TauDau Khi Toan Cau CN Vung Tau</v>
          </cell>
          <cell r="E2348">
            <v>3599</v>
          </cell>
        </row>
        <row r="2349">
          <cell r="A2349" t="str">
            <v>NH TMCP De Nhat</v>
          </cell>
          <cell r="D2349" t="str">
            <v>Ho Chi MinhNH TMCP De Nhat CN HCM</v>
          </cell>
          <cell r="E2349">
            <v>1297</v>
          </cell>
        </row>
        <row r="2350">
          <cell r="A2350" t="str">
            <v>NH TMCP De Nhat</v>
          </cell>
          <cell r="D2350" t="str">
            <v>Long AnNH TMCP De Nhat Duc Hoa Long An</v>
          </cell>
          <cell r="E2350">
            <v>2799</v>
          </cell>
        </row>
        <row r="2351">
          <cell r="A2351" t="str">
            <v>NH TMCP Dong A (DongA Bank)</v>
          </cell>
          <cell r="D2351" t="str">
            <v>Ha NoiDong A CN Ha Noi</v>
          </cell>
          <cell r="E2351">
            <v>228</v>
          </cell>
        </row>
        <row r="2352">
          <cell r="A2352" t="str">
            <v>NH TMCP Dong A (DongA Bank)</v>
          </cell>
          <cell r="D2352" t="str">
            <v>Thai NguyenDong A CN Thai Nguyen</v>
          </cell>
          <cell r="E2352">
            <v>4183</v>
          </cell>
        </row>
        <row r="2353">
          <cell r="A2353" t="str">
            <v>NH TMCP Dong A (DongA Bank)</v>
          </cell>
          <cell r="D2353" t="str">
            <v>Quang NinhDong A CN Quang Ninh</v>
          </cell>
          <cell r="E2353">
            <v>3991</v>
          </cell>
        </row>
        <row r="2354">
          <cell r="A2354" t="str">
            <v>NH TMCP Dong A (DongA Bank)</v>
          </cell>
          <cell r="D2354" t="str">
            <v>Hai PhongDong A CN Hai Phong</v>
          </cell>
          <cell r="E2354">
            <v>2839</v>
          </cell>
        </row>
        <row r="2355">
          <cell r="A2355" t="str">
            <v>NH TMCP Dong A (DongA Bank)</v>
          </cell>
          <cell r="D2355" t="str">
            <v>Hung YenDong a CN Hung Yen</v>
          </cell>
          <cell r="E2355">
            <v>3477</v>
          </cell>
        </row>
        <row r="2356">
          <cell r="A2356" t="str">
            <v>NH TMCP Dong A (DongA Bank)</v>
          </cell>
          <cell r="D2356" t="str">
            <v>Bac GiangDong A CN Bac Giang</v>
          </cell>
          <cell r="E2356">
            <v>3733</v>
          </cell>
        </row>
        <row r="2357">
          <cell r="A2357" t="str">
            <v>NH TMCP Dong A (DongA Bank)</v>
          </cell>
          <cell r="D2357" t="str">
            <v>Bac NinhDong A CN Bac Ninh</v>
          </cell>
          <cell r="E2357">
            <v>3461</v>
          </cell>
        </row>
        <row r="2358">
          <cell r="A2358" t="str">
            <v>NH TMCP Dong A (DongA Bank)</v>
          </cell>
          <cell r="D2358" t="str">
            <v>Vinh PhucDong A CN Vinh Phuc</v>
          </cell>
          <cell r="E2358">
            <v>4328</v>
          </cell>
        </row>
        <row r="2359">
          <cell r="A2359" t="str">
            <v>NH TMCP Dong A (DongA Bank)</v>
          </cell>
          <cell r="D2359" t="str">
            <v>Ha NamDong A CN Ha Nam</v>
          </cell>
          <cell r="E2359">
            <v>3383</v>
          </cell>
        </row>
        <row r="2360">
          <cell r="A2360" t="str">
            <v>NH TMCP Dong A (DongA Bank)</v>
          </cell>
          <cell r="D2360" t="str">
            <v>Nam DinhDong A CN Nam Dinh</v>
          </cell>
          <cell r="E2360">
            <v>3611</v>
          </cell>
        </row>
        <row r="2361">
          <cell r="A2361" t="str">
            <v>NH TMCP Dong A (DongA Bank)</v>
          </cell>
          <cell r="D2361" t="str">
            <v>Thai BinhDong A CN Thai Binh</v>
          </cell>
          <cell r="E2361">
            <v>3445</v>
          </cell>
        </row>
        <row r="2362">
          <cell r="A2362" t="str">
            <v>NH TMCP Dong A (DongA Bank)</v>
          </cell>
          <cell r="D2362" t="str">
            <v>Thua Thien HueDong A CN Hue</v>
          </cell>
          <cell r="E2362">
            <v>3368</v>
          </cell>
        </row>
        <row r="2363">
          <cell r="A2363" t="str">
            <v>NH TMCP Dong A (DongA Bank)</v>
          </cell>
          <cell r="D2363" t="str">
            <v>Ho Chi MinhDong A CN HCM</v>
          </cell>
          <cell r="E2363">
            <v>1298</v>
          </cell>
        </row>
        <row r="2364">
          <cell r="A2364" t="str">
            <v>NH TMCP Dong A (DongA Bank)</v>
          </cell>
          <cell r="D2364" t="str">
            <v>Ho Chi MinhDong A CN Dinh Tien Hoang</v>
          </cell>
          <cell r="E2364">
            <v>4441</v>
          </cell>
        </row>
        <row r="2365">
          <cell r="A2365" t="str">
            <v>NH TMCP Dong A (DongA Bank)</v>
          </cell>
          <cell r="D2365" t="str">
            <v>Ho Chi MinhDong A CN Go Vap</v>
          </cell>
          <cell r="E2365">
            <v>4442</v>
          </cell>
        </row>
        <row r="2366">
          <cell r="A2366" t="str">
            <v>NH TMCP Dong A (DongA Bank)</v>
          </cell>
          <cell r="D2366" t="str">
            <v>Ho Chi MinhDong A CN Phu Nhuan</v>
          </cell>
          <cell r="E2366">
            <v>4444</v>
          </cell>
        </row>
        <row r="2367">
          <cell r="A2367" t="str">
            <v>NH TMCP Dong A (DongA Bank)</v>
          </cell>
          <cell r="D2367" t="str">
            <v>Ho Chi MinhDong A CN Quan 1</v>
          </cell>
          <cell r="E2367">
            <v>4445</v>
          </cell>
        </row>
        <row r="2368">
          <cell r="A2368" t="str">
            <v>NH TMCP Dong A (DongA Bank)</v>
          </cell>
          <cell r="D2368" t="str">
            <v>Ho Chi MinhDong A CN Quan 10</v>
          </cell>
          <cell r="E2368">
            <v>4446</v>
          </cell>
        </row>
        <row r="2369">
          <cell r="A2369" t="str">
            <v>NH TMCP Dong A (DongA Bank)</v>
          </cell>
          <cell r="D2369" t="str">
            <v>Ho Chi MinhDong A CN Quan 3</v>
          </cell>
          <cell r="E2369">
            <v>4447</v>
          </cell>
        </row>
        <row r="2370">
          <cell r="A2370" t="str">
            <v>NH TMCP Dong A (DongA Bank)</v>
          </cell>
          <cell r="D2370" t="str">
            <v>Ho Chi MinhDong A CN Quan 4</v>
          </cell>
          <cell r="E2370">
            <v>4448</v>
          </cell>
        </row>
        <row r="2371">
          <cell r="A2371" t="str">
            <v>NH TMCP Dong A (DongA Bank)</v>
          </cell>
          <cell r="D2371" t="str">
            <v>Ho Chi MinhDong A CN Quan 5</v>
          </cell>
          <cell r="E2371">
            <v>4449</v>
          </cell>
        </row>
        <row r="2372">
          <cell r="A2372" t="str">
            <v>NH TMCP Dong A (DongA Bank)</v>
          </cell>
          <cell r="D2372" t="str">
            <v>Ho Chi MinhDong A CN Quan 7</v>
          </cell>
          <cell r="E2372">
            <v>4450</v>
          </cell>
        </row>
        <row r="2373">
          <cell r="A2373" t="str">
            <v>NH TMCP Dong A (DongA Bank)</v>
          </cell>
          <cell r="D2373" t="str">
            <v>Ho Chi MinhDong A CN Quan 9</v>
          </cell>
          <cell r="E2373">
            <v>4451</v>
          </cell>
        </row>
        <row r="2374">
          <cell r="A2374" t="str">
            <v>NH TMCP Dong A (DongA Bank)</v>
          </cell>
          <cell r="D2374" t="str">
            <v>Ho Chi MinhDong A CN Tan Binh</v>
          </cell>
          <cell r="E2374">
            <v>4452</v>
          </cell>
        </row>
        <row r="2375">
          <cell r="A2375" t="str">
            <v>NH TMCP Dong A (DongA Bank)</v>
          </cell>
          <cell r="D2375" t="str">
            <v>Ho Chi MinhDong A PGD Binh Tay</v>
          </cell>
          <cell r="E2375">
            <v>4454</v>
          </cell>
        </row>
        <row r="2376">
          <cell r="A2376" t="str">
            <v>NH TMCP Dong A (DongA Bank)</v>
          </cell>
          <cell r="D2376" t="str">
            <v>Ho Chi MinhDong A PGD Le Dai Hanh</v>
          </cell>
          <cell r="E2376">
            <v>4455</v>
          </cell>
        </row>
        <row r="2377">
          <cell r="A2377" t="str">
            <v>NH TMCP Dong A (DongA Bank)</v>
          </cell>
          <cell r="D2377" t="str">
            <v>Da NangDong A CN Da Nang</v>
          </cell>
          <cell r="E2377">
            <v>1299</v>
          </cell>
        </row>
        <row r="2378">
          <cell r="A2378" t="str">
            <v>NH TMCP Dong A (DongA Bank)</v>
          </cell>
          <cell r="D2378" t="str">
            <v>Quang NamDong A CN Quang Nam</v>
          </cell>
          <cell r="E2378">
            <v>3215</v>
          </cell>
        </row>
        <row r="2379">
          <cell r="A2379" t="str">
            <v>NH TMCP Dong A (DongA Bank)</v>
          </cell>
          <cell r="D2379" t="str">
            <v>Quang NamDong A PGD Hoi An</v>
          </cell>
          <cell r="E2379">
            <v>4294</v>
          </cell>
        </row>
        <row r="2380">
          <cell r="A2380" t="str">
            <v>NH TMCP Dong A (DongA Bank)</v>
          </cell>
          <cell r="D2380" t="str">
            <v>Quang NgaiDong A CN Quang Ngai</v>
          </cell>
          <cell r="E2380">
            <v>3465</v>
          </cell>
        </row>
        <row r="2381">
          <cell r="A2381" t="str">
            <v>NH TMCP Dong A (DongA Bank)</v>
          </cell>
          <cell r="D2381" t="str">
            <v>Binh DinhDong A CN Binh Dinh</v>
          </cell>
          <cell r="E2381">
            <v>3295</v>
          </cell>
        </row>
        <row r="2382">
          <cell r="A2382" t="str">
            <v>NH TMCP Dong A (DongA Bank)</v>
          </cell>
          <cell r="D2382" t="str">
            <v>Phu YenDong A CN Phu Yen</v>
          </cell>
          <cell r="E2382">
            <v>3479</v>
          </cell>
        </row>
        <row r="2383">
          <cell r="A2383" t="str">
            <v>NH TMCP Dong A (DongA Bank)</v>
          </cell>
          <cell r="D2383" t="str">
            <v>Khanh HoaDong A CN Nha Trang</v>
          </cell>
          <cell r="E2383">
            <v>2955</v>
          </cell>
        </row>
        <row r="2384">
          <cell r="A2384" t="str">
            <v>NH TMCP Dong A (DongA Bank)</v>
          </cell>
          <cell r="D2384" t="str">
            <v>Dak NongDong A CN Dak Nong</v>
          </cell>
          <cell r="E2384">
            <v>4440</v>
          </cell>
        </row>
        <row r="2385">
          <cell r="A2385" t="str">
            <v>NH TMCP Dong A (DongA Bank)</v>
          </cell>
          <cell r="D2385" t="str">
            <v>Binh ThuanDong A CN Binh Thuan</v>
          </cell>
          <cell r="E2385">
            <v>3457</v>
          </cell>
        </row>
        <row r="2386">
          <cell r="A2386" t="str">
            <v>NH TMCP Dong A (DongA Bank)</v>
          </cell>
          <cell r="D2386" t="str">
            <v>Ninh ThuanDong A CN Ninh Thuan</v>
          </cell>
          <cell r="E2386">
            <v>3272</v>
          </cell>
        </row>
        <row r="2387">
          <cell r="A2387" t="str">
            <v>NH TMCP Dong A (DongA Bank)</v>
          </cell>
          <cell r="D2387" t="str">
            <v>Gia LaiDong A CN Pleiku</v>
          </cell>
          <cell r="E2387">
            <v>3737</v>
          </cell>
        </row>
        <row r="2388">
          <cell r="A2388" t="str">
            <v>NH TMCP Dong A (DongA Bank)</v>
          </cell>
          <cell r="D2388" t="str">
            <v>Kon TumDong A CN Kon Tum</v>
          </cell>
          <cell r="E2388">
            <v>3310</v>
          </cell>
        </row>
        <row r="2389">
          <cell r="A2389" t="str">
            <v>NH TMCP Dong A (DongA Bank)</v>
          </cell>
          <cell r="D2389" t="str">
            <v>Dac LacDong A CN Dak Lak</v>
          </cell>
          <cell r="E2389">
            <v>229</v>
          </cell>
        </row>
        <row r="2390">
          <cell r="A2390" t="str">
            <v>NH TMCP Dong A (DongA Bank)</v>
          </cell>
          <cell r="D2390" t="str">
            <v>Lam DongDong A PGD Da Lat</v>
          </cell>
          <cell r="E2390">
            <v>3487</v>
          </cell>
        </row>
        <row r="2391">
          <cell r="A2391" t="str">
            <v>NH TMCP Dong A (DongA Bank)</v>
          </cell>
          <cell r="D2391" t="str">
            <v>Hau GiangDong A CN Hau Giang</v>
          </cell>
          <cell r="E2391">
            <v>4443</v>
          </cell>
        </row>
        <row r="2392">
          <cell r="A2392" t="str">
            <v>NH TMCP Dong A (DongA Bank)</v>
          </cell>
          <cell r="D2392" t="str">
            <v>Binh DuongDong A CN Thuan An</v>
          </cell>
          <cell r="E2392">
            <v>4453</v>
          </cell>
        </row>
        <row r="2393">
          <cell r="A2393" t="str">
            <v>NH TMCP Dong A (DongA Bank)</v>
          </cell>
          <cell r="D2393" t="str">
            <v>Binh DuongDong A CN Binh Duong</v>
          </cell>
          <cell r="E2393">
            <v>1629</v>
          </cell>
        </row>
        <row r="2394">
          <cell r="A2394" t="str">
            <v>NH TMCP Dong A (DongA Bank)</v>
          </cell>
          <cell r="D2394" t="str">
            <v>Binh PhuocDong A CN Binh Phuoc</v>
          </cell>
          <cell r="E2394">
            <v>3286</v>
          </cell>
        </row>
        <row r="2395">
          <cell r="A2395" t="str">
            <v>NH TMCP Dong A (DongA Bank)</v>
          </cell>
          <cell r="D2395" t="str">
            <v>Tay NinhDong A CN Tay Ninh</v>
          </cell>
          <cell r="E2395">
            <v>3179</v>
          </cell>
        </row>
        <row r="2396">
          <cell r="A2396" t="str">
            <v>NH TMCP Dong A (DongA Bank)</v>
          </cell>
          <cell r="D2396" t="str">
            <v>Dong NaiDong A CN Dong Nai</v>
          </cell>
          <cell r="E2396">
            <v>3094</v>
          </cell>
        </row>
        <row r="2397">
          <cell r="A2397" t="str">
            <v>NH TMCP Dong A (DongA Bank)</v>
          </cell>
          <cell r="D2397" t="str">
            <v>Ba Ria-Vung TauDong A PGD Vung Tau</v>
          </cell>
          <cell r="E2397">
            <v>3483</v>
          </cell>
        </row>
        <row r="2398">
          <cell r="A2398" t="str">
            <v>NH TMCP Dong A (DongA Bank)</v>
          </cell>
          <cell r="D2398" t="str">
            <v>Long AnDong A CN Long An</v>
          </cell>
          <cell r="E2398">
            <v>3011</v>
          </cell>
        </row>
        <row r="2399">
          <cell r="A2399" t="str">
            <v>NH TMCP Dong A (DongA Bank)</v>
          </cell>
          <cell r="D2399" t="str">
            <v>Dong ThapDong A PGD Cao Lanh</v>
          </cell>
          <cell r="E2399">
            <v>3003</v>
          </cell>
        </row>
        <row r="2400">
          <cell r="A2400" t="str">
            <v>NH TMCP Dong A (DongA Bank)</v>
          </cell>
          <cell r="D2400" t="str">
            <v>An GiangDong a Tinh An Giang</v>
          </cell>
          <cell r="E2400">
            <v>649</v>
          </cell>
        </row>
        <row r="2401">
          <cell r="A2401" t="str">
            <v>NH TMCP Dong A (DongA Bank)</v>
          </cell>
          <cell r="D2401" t="str">
            <v>Tien GiangDong A CN Tien Giang</v>
          </cell>
          <cell r="E2401">
            <v>3185</v>
          </cell>
        </row>
        <row r="2402">
          <cell r="A2402" t="str">
            <v>NH TMCP Dong A (DongA Bank)</v>
          </cell>
          <cell r="D2402" t="str">
            <v>Ben TreDong A CN Ben Tre</v>
          </cell>
          <cell r="E2402">
            <v>3316</v>
          </cell>
        </row>
        <row r="2403">
          <cell r="A2403" t="str">
            <v>NH TMCP Dong A (DongA Bank)</v>
          </cell>
          <cell r="D2403" t="str">
            <v>Vinh LongDong A CN Vinh Long</v>
          </cell>
          <cell r="E2403">
            <v>3088</v>
          </cell>
        </row>
        <row r="2404">
          <cell r="A2404" t="str">
            <v>NH TMCP Dong A (DongA Bank)</v>
          </cell>
          <cell r="D2404" t="str">
            <v>Tra VinhDong A CN Tra Vinh</v>
          </cell>
          <cell r="E2404">
            <v>3462</v>
          </cell>
        </row>
        <row r="2405">
          <cell r="A2405" t="str">
            <v>NH TMCP Dong A (DongA Bank)</v>
          </cell>
          <cell r="D2405" t="str">
            <v>Can ThoDong A CN Can Tho</v>
          </cell>
          <cell r="E2405">
            <v>227</v>
          </cell>
        </row>
        <row r="2406">
          <cell r="A2406" t="str">
            <v>NH TMCP Dong A (DongA Bank)</v>
          </cell>
          <cell r="D2406" t="str">
            <v>Soc TrangDong A CN Soc Trang</v>
          </cell>
          <cell r="E2406">
            <v>3343</v>
          </cell>
        </row>
        <row r="2407">
          <cell r="A2407" t="str">
            <v>NH TMCP Dong A (DongA Bank)</v>
          </cell>
          <cell r="D2407" t="str">
            <v>Kien GiangDong A CN Kien Giang</v>
          </cell>
          <cell r="E2407">
            <v>3140</v>
          </cell>
        </row>
        <row r="2408">
          <cell r="A2408" t="str">
            <v>NH TMCP Dong A (DongA Bank)</v>
          </cell>
          <cell r="D2408" t="str">
            <v>Bac LieuDong A CN Bac Lieu</v>
          </cell>
          <cell r="E2408">
            <v>1628</v>
          </cell>
        </row>
        <row r="2409">
          <cell r="A2409" t="str">
            <v>NH TMCP Dong A (DongA Bank)</v>
          </cell>
          <cell r="D2409" t="str">
            <v>Ca MauDong A CN Ca Mau</v>
          </cell>
          <cell r="E2409">
            <v>3490</v>
          </cell>
        </row>
        <row r="2410">
          <cell r="A2410" t="str">
            <v>NH TMCP Dong Nam A (Sea Bank)</v>
          </cell>
          <cell r="D2410" t="str">
            <v>Ha NoiDong Nam A SGD</v>
          </cell>
          <cell r="E2410">
            <v>5221</v>
          </cell>
        </row>
        <row r="2411">
          <cell r="A2411" t="str">
            <v>NH TMCP Dong Nam A (Sea Bank)</v>
          </cell>
          <cell r="D2411" t="str">
            <v>Ha NoiDong Nam A CN Ba Dinh</v>
          </cell>
          <cell r="E2411">
            <v>4456</v>
          </cell>
        </row>
        <row r="2412">
          <cell r="A2412" t="str">
            <v>NH TMCP Dong Nam A (Sea Bank)</v>
          </cell>
          <cell r="D2412" t="str">
            <v>Ha NoiDong Nam A CN Cau Giay</v>
          </cell>
          <cell r="E2412">
            <v>4458</v>
          </cell>
        </row>
        <row r="2413">
          <cell r="A2413" t="str">
            <v>NH TMCP Dong Nam A (Sea Bank)</v>
          </cell>
          <cell r="D2413" t="str">
            <v>Ha NoiDong Nam A CN Dong Da</v>
          </cell>
          <cell r="E2413">
            <v>4460</v>
          </cell>
        </row>
        <row r="2414">
          <cell r="A2414" t="str">
            <v>NH TMCP Dong Nam A (Sea Bank)</v>
          </cell>
          <cell r="D2414" t="str">
            <v>Ha NoiDong Nam A CN Ha Dong</v>
          </cell>
          <cell r="E2414">
            <v>4461</v>
          </cell>
        </row>
        <row r="2415">
          <cell r="A2415" t="str">
            <v>NH TMCP Dong Nam A (Sea Bank)</v>
          </cell>
          <cell r="D2415" t="str">
            <v>Ha NoiDong Nam A CN Hai Ba Trung</v>
          </cell>
          <cell r="E2415">
            <v>4463</v>
          </cell>
        </row>
        <row r="2416">
          <cell r="A2416" t="str">
            <v>NH TMCP Dong Nam A (Sea Bank)</v>
          </cell>
          <cell r="D2416" t="str">
            <v>Ha NoiDong Nam A CN Lang Ha HN</v>
          </cell>
          <cell r="E2416">
            <v>4465</v>
          </cell>
        </row>
        <row r="2417">
          <cell r="A2417" t="str">
            <v>NH TMCP Dong Nam A (Sea Bank)</v>
          </cell>
          <cell r="D2417" t="str">
            <v>Ha NoiDong Nam A CN Ha Noi</v>
          </cell>
          <cell r="E2417">
            <v>2832</v>
          </cell>
        </row>
        <row r="2418">
          <cell r="A2418" t="str">
            <v>NH TMCP Dong Nam A (Sea Bank)</v>
          </cell>
          <cell r="D2418" t="str">
            <v>Ha NoiDong Nam A HSC Ha Noi</v>
          </cell>
          <cell r="E2418">
            <v>2833</v>
          </cell>
        </row>
        <row r="2419">
          <cell r="A2419" t="str">
            <v>NH TMCP Dong Nam A (Sea Bank)</v>
          </cell>
          <cell r="D2419" t="str">
            <v>Thai NguyenDong Nam A CN Thai Nguyen</v>
          </cell>
          <cell r="E2419">
            <v>4012</v>
          </cell>
        </row>
        <row r="2420">
          <cell r="A2420" t="str">
            <v>NH TMCP Dong Nam A (Sea Bank)</v>
          </cell>
          <cell r="D2420" t="str">
            <v>Quang NinhDong Nam A CN Quang Ninh</v>
          </cell>
          <cell r="E2420">
            <v>2994</v>
          </cell>
        </row>
        <row r="2421">
          <cell r="A2421" t="str">
            <v>NH TMCP Dong Nam A (Sea Bank)</v>
          </cell>
          <cell r="D2421" t="str">
            <v>Hai PhongDong Nam A CN Hai Phong</v>
          </cell>
          <cell r="E2421">
            <v>2811</v>
          </cell>
        </row>
        <row r="2422">
          <cell r="A2422" t="str">
            <v>NH TMCP Dong Nam A (Sea Bank)</v>
          </cell>
          <cell r="D2422" t="str">
            <v>Hai PhongDong Nam A CN Hai An</v>
          </cell>
          <cell r="E2422">
            <v>4462</v>
          </cell>
        </row>
        <row r="2423">
          <cell r="A2423" t="str">
            <v>NH TMCP Dong Nam A (Sea Bank)</v>
          </cell>
          <cell r="D2423" t="str">
            <v>Hai DuongDong Nam A CN Hai Duong</v>
          </cell>
          <cell r="E2423">
            <v>4318</v>
          </cell>
        </row>
        <row r="2424">
          <cell r="A2424" t="str">
            <v>NH TMCP Dong Nam A (Sea Bank)</v>
          </cell>
          <cell r="D2424" t="str">
            <v>Bac NinhDong Nam A CN Bac Ninh</v>
          </cell>
          <cell r="E2424">
            <v>3742</v>
          </cell>
        </row>
        <row r="2425">
          <cell r="A2425" t="str">
            <v>NH TMCP Dong Nam A (Sea Bank)</v>
          </cell>
          <cell r="D2425" t="str">
            <v>Vinh PhucDong Nam A CN Vinh Phuc</v>
          </cell>
          <cell r="E2425">
            <v>3950</v>
          </cell>
        </row>
        <row r="2426">
          <cell r="A2426" t="str">
            <v>NH TMCP Dong Nam A (Sea Bank)</v>
          </cell>
          <cell r="D2426" t="str">
            <v>Thanh HoaDong Nam A CN Thanh Hoa</v>
          </cell>
          <cell r="E2426">
            <v>4469</v>
          </cell>
        </row>
        <row r="2427">
          <cell r="A2427" t="str">
            <v>NH TMCP Dong Nam A (Sea Bank)</v>
          </cell>
          <cell r="D2427" t="str">
            <v>Nghe AnDong Nam A CN Nghe An</v>
          </cell>
          <cell r="E2427">
            <v>3778</v>
          </cell>
        </row>
        <row r="2428">
          <cell r="A2428" t="str">
            <v>NH TMCP Dong Nam A (Sea Bank)</v>
          </cell>
          <cell r="D2428" t="str">
            <v>Thua Thien HueDong Nam A CN Hue</v>
          </cell>
          <cell r="E2428">
            <v>4464</v>
          </cell>
        </row>
        <row r="2429">
          <cell r="A2429" t="str">
            <v>NH TMCP Dong Nam A (Sea Bank)</v>
          </cell>
          <cell r="D2429" t="str">
            <v>Ho Chi MinhDong Nam A CN HCM</v>
          </cell>
          <cell r="E2429">
            <v>2632</v>
          </cell>
        </row>
        <row r="2430">
          <cell r="A2430" t="str">
            <v>NH TMCP Dong Nam A (Sea Bank)</v>
          </cell>
          <cell r="D2430" t="str">
            <v>Ho Chi MinhDong Nam A CN Cho Lon</v>
          </cell>
          <cell r="E2430">
            <v>4459</v>
          </cell>
        </row>
        <row r="2431">
          <cell r="A2431" t="str">
            <v>NH TMCP Dong Nam A (Sea Bank)</v>
          </cell>
          <cell r="D2431" t="str">
            <v>Ho Chi MinhDong Nam A CN Nha Be</v>
          </cell>
          <cell r="E2431">
            <v>4466</v>
          </cell>
        </row>
        <row r="2432">
          <cell r="A2432" t="str">
            <v>NH TMCP Dong Nam A (Sea Bank)</v>
          </cell>
          <cell r="D2432" t="str">
            <v>Ho Chi MinhDong Nam A CN Tan Binh</v>
          </cell>
          <cell r="E2432">
            <v>4467</v>
          </cell>
        </row>
        <row r="2433">
          <cell r="A2433" t="str">
            <v>NH TMCP Dong Nam A (Sea Bank)</v>
          </cell>
          <cell r="D2433" t="str">
            <v>Ho Chi MinhDong Nam A CN Tan Phu</v>
          </cell>
          <cell r="E2433">
            <v>4468</v>
          </cell>
        </row>
        <row r="2434">
          <cell r="A2434" t="str">
            <v>NH TMCP Dong Nam A (Sea Bank)</v>
          </cell>
          <cell r="D2434" t="str">
            <v>Da NangDong Nam A CN Da Nang</v>
          </cell>
          <cell r="E2434">
            <v>3558</v>
          </cell>
        </row>
        <row r="2435">
          <cell r="A2435" t="str">
            <v>NH TMCP Dong Nam A (Sea Bank)</v>
          </cell>
          <cell r="D2435" t="str">
            <v>Quang NgaiDong Nam A CN Quang Ngai</v>
          </cell>
          <cell r="E2435">
            <v>3965</v>
          </cell>
        </row>
        <row r="2436">
          <cell r="A2436" t="str">
            <v>NH TMCP Dong Nam A (Sea Bank)</v>
          </cell>
          <cell r="D2436" t="str">
            <v>Binh DinhDong Nam A CN Binh Dinh</v>
          </cell>
          <cell r="E2436">
            <v>4292</v>
          </cell>
        </row>
        <row r="2437">
          <cell r="A2437" t="str">
            <v>NH TMCP Dong Nam A (Sea Bank)</v>
          </cell>
          <cell r="D2437" t="str">
            <v>Khanh HoaDong Nam A CN Nha Trang</v>
          </cell>
          <cell r="E2437">
            <v>3167</v>
          </cell>
        </row>
        <row r="2438">
          <cell r="A2438" t="str">
            <v>NH TMCP Dong Nam A (Sea Bank)</v>
          </cell>
          <cell r="D2438" t="str">
            <v>Dac LacDong Nam A CN Dak Lak</v>
          </cell>
          <cell r="E2438">
            <v>3516</v>
          </cell>
        </row>
        <row r="2439">
          <cell r="A2439" t="str">
            <v>NH TMCP Dong Nam A (Sea Bank)</v>
          </cell>
          <cell r="D2439" t="str">
            <v>Binh DuongDong Nam A CN Binh Duong</v>
          </cell>
          <cell r="E2439">
            <v>3349</v>
          </cell>
        </row>
        <row r="2440">
          <cell r="A2440" t="str">
            <v>NH TMCP Dong Nam A (Sea Bank)</v>
          </cell>
          <cell r="D2440" t="str">
            <v>Dong NaiDong Nam A CN Dong Nai</v>
          </cell>
          <cell r="E2440">
            <v>3499</v>
          </cell>
        </row>
        <row r="2441">
          <cell r="A2441" t="str">
            <v>NH TMCP Dong Nam A (Sea Bank)</v>
          </cell>
          <cell r="D2441" t="str">
            <v>Ba Ria-Vung TauDong Nam A CN Vung Tau</v>
          </cell>
          <cell r="E2441">
            <v>3455</v>
          </cell>
        </row>
        <row r="2442">
          <cell r="A2442" t="str">
            <v>NH TMCP Dong Nam A (Sea Bank)</v>
          </cell>
          <cell r="D2442" t="str">
            <v>An GiangDong Nam A CN An Giang</v>
          </cell>
          <cell r="E2442">
            <v>4188</v>
          </cell>
        </row>
        <row r="2443">
          <cell r="A2443" t="str">
            <v>NH TMCP Dong Nam A (Sea Bank)</v>
          </cell>
          <cell r="D2443" t="str">
            <v>Tien GiangDong Nam A CN Tien Giang</v>
          </cell>
          <cell r="E2443">
            <v>5230</v>
          </cell>
        </row>
        <row r="2444">
          <cell r="A2444" t="str">
            <v>NH TMCP Dong Nam A (Sea Bank)</v>
          </cell>
          <cell r="D2444" t="str">
            <v>Can ThoDong Nam A CN Can Tho</v>
          </cell>
          <cell r="E2444">
            <v>4121</v>
          </cell>
        </row>
        <row r="2445">
          <cell r="A2445" t="str">
            <v>NH TMCP Dong Nam A (Sea Bank)</v>
          </cell>
          <cell r="D2445" t="str">
            <v>Kien GiangDong Nam A CN Kien Giang</v>
          </cell>
          <cell r="E2445">
            <v>4210</v>
          </cell>
        </row>
        <row r="2446">
          <cell r="A2446" t="str">
            <v>NH TMCP Dong Nam A (Sea Bank)</v>
          </cell>
          <cell r="D2446" t="str">
            <v>Ca MauDong Nam A CN Ca Mau</v>
          </cell>
          <cell r="E2446">
            <v>4457</v>
          </cell>
        </row>
        <row r="2447">
          <cell r="A2447" t="str">
            <v>NH TMCP Hang Hai (MSB)</v>
          </cell>
          <cell r="D2447" t="str">
            <v>Ha NoiHang Hai CN Cau Giay</v>
          </cell>
          <cell r="E2447">
            <v>4565</v>
          </cell>
        </row>
        <row r="2448">
          <cell r="A2448" t="str">
            <v>NH TMCP Hang Hai (MSB)</v>
          </cell>
          <cell r="D2448" t="str">
            <v>Ha NoiHang Hai CN Dong Da</v>
          </cell>
          <cell r="E2448">
            <v>4566</v>
          </cell>
        </row>
        <row r="2449">
          <cell r="A2449" t="str">
            <v>NH TMCP Hang Hai (MSB)</v>
          </cell>
          <cell r="D2449" t="str">
            <v>Ha NoiHang Hai CN Long Bien HN</v>
          </cell>
          <cell r="E2449">
            <v>4568</v>
          </cell>
        </row>
        <row r="2450">
          <cell r="A2450" t="str">
            <v>NH TMCP Hang Hai (MSB)</v>
          </cell>
          <cell r="D2450" t="str">
            <v>Ha NoiHang Hai CN Thanh Xuan</v>
          </cell>
          <cell r="E2450">
            <v>4569</v>
          </cell>
        </row>
        <row r="2451">
          <cell r="A2451" t="str">
            <v>NH TMCP Hang Hai (MSB)</v>
          </cell>
          <cell r="D2451" t="str">
            <v>Ha NoiHang Hai Tru so chinh</v>
          </cell>
          <cell r="E2451">
            <v>2847</v>
          </cell>
        </row>
        <row r="2452">
          <cell r="A2452" t="str">
            <v>NH TMCP Hang Hai (MSB)</v>
          </cell>
          <cell r="D2452" t="str">
            <v>Ha NoiHang Hai SGD</v>
          </cell>
          <cell r="E2452">
            <v>2911</v>
          </cell>
        </row>
        <row r="2453">
          <cell r="A2453" t="str">
            <v>NH TMCP Hang Hai (MSB)</v>
          </cell>
          <cell r="D2453" t="str">
            <v>Ha NoiHang Hai CN Ha Noi</v>
          </cell>
          <cell r="E2453">
            <v>230</v>
          </cell>
        </row>
        <row r="2454">
          <cell r="A2454" t="str">
            <v>NH TMCP Hang Hai (MSB)</v>
          </cell>
          <cell r="D2454" t="str">
            <v>Thai NguyenHang Hai CN Thai Nguyen</v>
          </cell>
          <cell r="E2454">
            <v>4141</v>
          </cell>
        </row>
        <row r="2455">
          <cell r="A2455" t="str">
            <v>NH TMCP Hang Hai (MSB)</v>
          </cell>
          <cell r="D2455" t="str">
            <v>Quang NinhHang Hai CN Quang Ninh</v>
          </cell>
          <cell r="E2455">
            <v>232</v>
          </cell>
        </row>
        <row r="2456">
          <cell r="A2456" t="str">
            <v>NH TMCP Hang Hai (MSB)</v>
          </cell>
          <cell r="D2456" t="str">
            <v>Hai PhongHang Hai CN  Hong Bang</v>
          </cell>
          <cell r="E2456">
            <v>4562</v>
          </cell>
        </row>
        <row r="2457">
          <cell r="A2457" t="str">
            <v>NH TMCP Hang Hai (MSB)</v>
          </cell>
          <cell r="D2457" t="str">
            <v>Hai PhongHang Hai CN  Hai Phong</v>
          </cell>
          <cell r="E2457">
            <v>2523</v>
          </cell>
        </row>
        <row r="2458">
          <cell r="A2458" t="str">
            <v>NH TMCP Hang Hai (MSB)</v>
          </cell>
          <cell r="D2458" t="str">
            <v>Hai DuongHang Hai CN  Hai Duong</v>
          </cell>
          <cell r="E2458">
            <v>4062</v>
          </cell>
        </row>
        <row r="2459">
          <cell r="A2459" t="str">
            <v>NH TMCP Hang Hai (MSB)</v>
          </cell>
          <cell r="D2459" t="str">
            <v>Bac GiangHang Hai CN Bac Giang</v>
          </cell>
          <cell r="E2459">
            <v>4335</v>
          </cell>
        </row>
        <row r="2460">
          <cell r="A2460" t="str">
            <v>NH TMCP Hang Hai (MSB)</v>
          </cell>
          <cell r="D2460" t="str">
            <v>Bac NinhHang Hai CN Bac Ninh</v>
          </cell>
          <cell r="E2460">
            <v>3801</v>
          </cell>
        </row>
        <row r="2461">
          <cell r="A2461" t="str">
            <v>NH TMCP Hang Hai (MSB)</v>
          </cell>
          <cell r="D2461" t="str">
            <v>Phu ThoHang Hai CN Phu Tho</v>
          </cell>
          <cell r="E2461">
            <v>4010</v>
          </cell>
        </row>
        <row r="2462">
          <cell r="A2462" t="str">
            <v>NH TMCP Hang Hai (MSB)</v>
          </cell>
          <cell r="D2462" t="str">
            <v>Vinh PhucHang Hai CN Vinh Phuc</v>
          </cell>
          <cell r="E2462">
            <v>4045</v>
          </cell>
        </row>
        <row r="2463">
          <cell r="A2463" t="str">
            <v>NH TMCP Hang Hai (MSB)</v>
          </cell>
          <cell r="D2463" t="str">
            <v>Ha NamHang Hai CN  Ha Nam</v>
          </cell>
          <cell r="E2463">
            <v>4059</v>
          </cell>
        </row>
        <row r="2464">
          <cell r="A2464" t="str">
            <v>NH TMCP Hang Hai (MSB)</v>
          </cell>
          <cell r="D2464" t="str">
            <v>Nam DinhHang Hai CN Nam Dinh</v>
          </cell>
          <cell r="E2464">
            <v>3522</v>
          </cell>
        </row>
        <row r="2465">
          <cell r="A2465" t="str">
            <v>NH TMCP Hang Hai (MSB)</v>
          </cell>
          <cell r="D2465" t="str">
            <v>Ninh BinhHang Hai CN Ninh Binh</v>
          </cell>
          <cell r="E2465">
            <v>3921</v>
          </cell>
        </row>
        <row r="2466">
          <cell r="A2466" t="str">
            <v>NH TMCP Hang Hai (MSB)</v>
          </cell>
          <cell r="D2466" t="str">
            <v>Thai BinhHang Hai CN Thai Binh</v>
          </cell>
          <cell r="E2466">
            <v>3861</v>
          </cell>
        </row>
        <row r="2467">
          <cell r="A2467" t="str">
            <v>NH TMCP Hang Hai (MSB)</v>
          </cell>
          <cell r="D2467" t="str">
            <v>Thanh HoaHang Hai CN Thanh Hoa</v>
          </cell>
          <cell r="E2467">
            <v>3821</v>
          </cell>
        </row>
        <row r="2468">
          <cell r="A2468" t="str">
            <v>NH TMCP Hang Hai (MSB)</v>
          </cell>
          <cell r="D2468" t="str">
            <v>Nghe AnHang Hai CN Nghe An</v>
          </cell>
          <cell r="E2468">
            <v>3851</v>
          </cell>
        </row>
        <row r="2469">
          <cell r="A2469" t="str">
            <v>NH TMCP Hang Hai (MSB)</v>
          </cell>
          <cell r="D2469" t="str">
            <v>Ha TinhHang Hai CN  Ha Tinh</v>
          </cell>
          <cell r="E2469">
            <v>3987</v>
          </cell>
        </row>
        <row r="2470">
          <cell r="A2470" t="str">
            <v>NH TMCP Hang Hai (MSB)</v>
          </cell>
          <cell r="D2470" t="str">
            <v>Quang BinhHang Hai CN Quang Binh</v>
          </cell>
          <cell r="E2470">
            <v>4305</v>
          </cell>
        </row>
        <row r="2471">
          <cell r="A2471" t="str">
            <v>NH TMCP Hang Hai (MSB)</v>
          </cell>
          <cell r="D2471" t="str">
            <v>Thua Thien HueHang Hai CN Hue</v>
          </cell>
          <cell r="E2471">
            <v>3694</v>
          </cell>
        </row>
        <row r="2472">
          <cell r="A2472" t="str">
            <v>NH TMCP Hang Hai (MSB)</v>
          </cell>
          <cell r="D2472" t="str">
            <v>Ho Chi MinhHang Hai CN  HCM</v>
          </cell>
          <cell r="E2472">
            <v>233</v>
          </cell>
        </row>
        <row r="2473">
          <cell r="A2473" t="str">
            <v>NH TMCP Hang Hai (MSB)</v>
          </cell>
          <cell r="D2473" t="str">
            <v>Ho Chi MinhHang Hai CN  Sai Gon</v>
          </cell>
          <cell r="E2473">
            <v>4563</v>
          </cell>
        </row>
        <row r="2474">
          <cell r="A2474" t="str">
            <v>NH TMCP Hang Hai (MSB)</v>
          </cell>
          <cell r="D2474" t="str">
            <v>Ho Chi MinhHang Hai CN  Tan Binh</v>
          </cell>
          <cell r="E2474">
            <v>4564</v>
          </cell>
        </row>
        <row r="2475">
          <cell r="A2475" t="str">
            <v>NH TMCP Hang Hai (MSB)</v>
          </cell>
          <cell r="D2475" t="str">
            <v>Ho Chi MinhHang Hai CN Cong Hoa</v>
          </cell>
          <cell r="E2475">
            <v>4560</v>
          </cell>
        </row>
        <row r="2476">
          <cell r="A2476" t="str">
            <v>NH TMCP Hang Hai (MSB)</v>
          </cell>
          <cell r="D2476" t="str">
            <v>Ho Chi MinhHang Hai CN Do Thanh</v>
          </cell>
          <cell r="E2476">
            <v>4561</v>
          </cell>
        </row>
        <row r="2477">
          <cell r="A2477" t="str">
            <v>NH TMCP Hang Hai (MSB)</v>
          </cell>
          <cell r="D2477" t="str">
            <v>Da NangHang Hai CN Da Nang</v>
          </cell>
          <cell r="E2477">
            <v>235</v>
          </cell>
        </row>
        <row r="2478">
          <cell r="A2478" t="str">
            <v>NH TMCP Hang Hai (MSB)</v>
          </cell>
          <cell r="D2478" t="str">
            <v>Quang NamHang Hai CN Quang Nam</v>
          </cell>
          <cell r="E2478">
            <v>4074</v>
          </cell>
        </row>
        <row r="2479">
          <cell r="A2479" t="str">
            <v>NH TMCP Hang Hai (MSB)</v>
          </cell>
          <cell r="D2479" t="str">
            <v>Binh DinhHang Hai CN  Binh Dinh</v>
          </cell>
          <cell r="E2479">
            <v>3980</v>
          </cell>
        </row>
        <row r="2480">
          <cell r="A2480" t="str">
            <v>NH TMCP Hang Hai (MSB)</v>
          </cell>
          <cell r="D2480" t="str">
            <v>Phu YenHang Hai CN Phu Yen</v>
          </cell>
          <cell r="E2480">
            <v>4286</v>
          </cell>
        </row>
        <row r="2481">
          <cell r="A2481" t="str">
            <v>NH TMCP Hang Hai (MSB)</v>
          </cell>
          <cell r="D2481" t="str">
            <v>Khanh HoaHang Hai CN Khanh Hoa</v>
          </cell>
          <cell r="E2481">
            <v>3168</v>
          </cell>
        </row>
        <row r="2482">
          <cell r="A2482" t="str">
            <v>NH TMCP Hang Hai (MSB)</v>
          </cell>
          <cell r="D2482" t="str">
            <v>Binh ThuanHang Hai CN Binh Thuan</v>
          </cell>
          <cell r="E2482">
            <v>3930</v>
          </cell>
        </row>
        <row r="2483">
          <cell r="A2483" t="str">
            <v>NH TMCP Hang Hai (MSB)</v>
          </cell>
          <cell r="D2483" t="str">
            <v>Dac LacHang Hai CN Dak Lak</v>
          </cell>
          <cell r="E2483">
            <v>3771</v>
          </cell>
        </row>
        <row r="2484">
          <cell r="A2484" t="str">
            <v>NH TMCP Hang Hai (MSB)</v>
          </cell>
          <cell r="D2484" t="str">
            <v>Lam DongHang Hai CN Lam Dong</v>
          </cell>
          <cell r="E2484">
            <v>4181</v>
          </cell>
        </row>
        <row r="2485">
          <cell r="A2485" t="str">
            <v>NH TMCP Hang Hai (MSB)</v>
          </cell>
          <cell r="D2485" t="str">
            <v>Binh DuongHang Hai CN  Binh Duong</v>
          </cell>
          <cell r="E2485">
            <v>3355</v>
          </cell>
        </row>
        <row r="2486">
          <cell r="A2486" t="str">
            <v>NH TMCP Hang Hai (MSB)</v>
          </cell>
          <cell r="D2486" t="str">
            <v>Tay NinhHang Hai CN Tay Ninh</v>
          </cell>
          <cell r="E2486">
            <v>3812</v>
          </cell>
        </row>
        <row r="2487">
          <cell r="A2487" t="str">
            <v>NH TMCP Hang Hai (MSB)</v>
          </cell>
          <cell r="D2487" t="str">
            <v>Dong NaiHang Hai CN Dong Nai</v>
          </cell>
          <cell r="E2487">
            <v>3597</v>
          </cell>
        </row>
        <row r="2488">
          <cell r="A2488" t="str">
            <v>NH TMCP Hang Hai (MSB)</v>
          </cell>
          <cell r="D2488" t="str">
            <v>Ba Ria-Vung TauHang Hai CN Vung Tau</v>
          </cell>
          <cell r="E2488">
            <v>234</v>
          </cell>
        </row>
        <row r="2489">
          <cell r="A2489" t="str">
            <v>NH TMCP Hang Hai (MSB)</v>
          </cell>
          <cell r="D2489" t="str">
            <v>Long AnHang Hai CN Long An</v>
          </cell>
          <cell r="E2489">
            <v>3881</v>
          </cell>
        </row>
        <row r="2490">
          <cell r="A2490" t="str">
            <v>NH TMCP Hang Hai (MSB)</v>
          </cell>
          <cell r="D2490" t="str">
            <v>An GiangHang Hai CN Long Xuyen</v>
          </cell>
          <cell r="E2490">
            <v>5105</v>
          </cell>
        </row>
        <row r="2491">
          <cell r="A2491" t="str">
            <v>NH TMCP Hang Hai (MSB)</v>
          </cell>
          <cell r="D2491" t="str">
            <v>An GiangHang Hai CN Chau Doc</v>
          </cell>
          <cell r="E2491">
            <v>5106</v>
          </cell>
        </row>
        <row r="2492">
          <cell r="A2492" t="str">
            <v>NH TMCP Hang Hai (MSB)</v>
          </cell>
          <cell r="D2492" t="str">
            <v>Tien GiangHang Hai CN Tien Giang</v>
          </cell>
          <cell r="E2492">
            <v>4238</v>
          </cell>
        </row>
        <row r="2493">
          <cell r="A2493" t="str">
            <v>NH TMCP Hang Hai (MSB)</v>
          </cell>
          <cell r="D2493" t="str">
            <v>Can ThoHang Hai CN Can Tho</v>
          </cell>
          <cell r="E2493">
            <v>231</v>
          </cell>
        </row>
        <row r="2494">
          <cell r="A2494" t="str">
            <v>NH TMCP Hang Hai (MSB)</v>
          </cell>
          <cell r="D2494" t="str">
            <v>Kien GiangHang Hai CN Kien Giang</v>
          </cell>
          <cell r="E2494">
            <v>4054</v>
          </cell>
        </row>
        <row r="2495">
          <cell r="A2495" t="str">
            <v>NH TMCP Kien Long</v>
          </cell>
          <cell r="D2495" t="str">
            <v>Ha NoiKien Long CN Ha Noi</v>
          </cell>
          <cell r="E2495">
            <v>3903</v>
          </cell>
        </row>
        <row r="2496">
          <cell r="A2496" t="str">
            <v>NH TMCP Kien Long</v>
          </cell>
          <cell r="D2496" t="str">
            <v>Hai PhongKien Long CN Hai Phong</v>
          </cell>
          <cell r="E2496">
            <v>3807</v>
          </cell>
        </row>
        <row r="2497">
          <cell r="A2497" t="str">
            <v>NH TMCP Kien Long</v>
          </cell>
          <cell r="D2497" t="str">
            <v>Ho Chi MinhKien Long CN Sai Gon</v>
          </cell>
          <cell r="E2497">
            <v>3304</v>
          </cell>
        </row>
        <row r="2498">
          <cell r="A2498" t="str">
            <v>NH TMCP Kien Long</v>
          </cell>
          <cell r="D2498" t="str">
            <v>Ho Chi MinhKien Long CN Nha Be</v>
          </cell>
          <cell r="E2498">
            <v>5227</v>
          </cell>
        </row>
        <row r="2499">
          <cell r="A2499" t="str">
            <v>NH TMCP Kien Long</v>
          </cell>
          <cell r="D2499" t="str">
            <v>Da NangKien Long CN Da Nang</v>
          </cell>
          <cell r="E2499">
            <v>4300</v>
          </cell>
        </row>
        <row r="2500">
          <cell r="A2500" t="str">
            <v>NH TMCP Kien Long</v>
          </cell>
          <cell r="D2500" t="str">
            <v>Binh DinhKien Long CN Binh Dinh</v>
          </cell>
          <cell r="E2500">
            <v>4291</v>
          </cell>
        </row>
        <row r="2501">
          <cell r="A2501" t="str">
            <v>NH TMCP Kien Long</v>
          </cell>
          <cell r="D2501" t="str">
            <v>Phu YenKien Long CN Phu Yen</v>
          </cell>
          <cell r="E2501">
            <v>4287</v>
          </cell>
        </row>
        <row r="2502">
          <cell r="A2502" t="str">
            <v>NH TMCP Kien Long</v>
          </cell>
          <cell r="D2502" t="str">
            <v>Khanh HoaKien Long CN Khanh Hoa</v>
          </cell>
          <cell r="E2502">
            <v>3172</v>
          </cell>
        </row>
        <row r="2503">
          <cell r="A2503" t="str">
            <v>NH TMCP Kien Long</v>
          </cell>
          <cell r="D2503" t="str">
            <v>Dac LacKien Long CN Dak Lak</v>
          </cell>
          <cell r="E2503">
            <v>4274</v>
          </cell>
        </row>
        <row r="2504">
          <cell r="A2504" t="str">
            <v>NH TMCP Kien Long</v>
          </cell>
          <cell r="D2504" t="str">
            <v>Hau GiangKien Long CN Hau Giang</v>
          </cell>
          <cell r="E2504">
            <v>4106</v>
          </cell>
        </row>
        <row r="2505">
          <cell r="A2505" t="str">
            <v>NH TMCP Kien Long</v>
          </cell>
          <cell r="D2505" t="str">
            <v>Binh DuongKien Long CN Binh Duong</v>
          </cell>
          <cell r="E2505">
            <v>3352</v>
          </cell>
        </row>
        <row r="2506">
          <cell r="A2506" t="str">
            <v>NH TMCP Kien Long</v>
          </cell>
          <cell r="D2506" t="str">
            <v>Dong NaiKien Long CN Dong Nai</v>
          </cell>
          <cell r="E2506">
            <v>4254</v>
          </cell>
        </row>
        <row r="2507">
          <cell r="A2507" t="str">
            <v>NH TMCP Kien Long</v>
          </cell>
          <cell r="D2507" t="str">
            <v>Ba Ria-Vung TauKien Long CN Vung Tau</v>
          </cell>
          <cell r="E2507">
            <v>4250</v>
          </cell>
        </row>
        <row r="2508">
          <cell r="A2508" t="str">
            <v>NH TMCP Kien Long</v>
          </cell>
          <cell r="D2508" t="str">
            <v>Long AnKien Long CN Long An</v>
          </cell>
          <cell r="E2508">
            <v>4247</v>
          </cell>
        </row>
        <row r="2509">
          <cell r="A2509" t="str">
            <v>NH TMCP Kien Long</v>
          </cell>
          <cell r="D2509" t="str">
            <v>Dong ThapKien Long CN Dong Thap</v>
          </cell>
          <cell r="E2509">
            <v>4193</v>
          </cell>
        </row>
        <row r="2510">
          <cell r="A2510" t="str">
            <v>NH TMCP Kien Long</v>
          </cell>
          <cell r="D2510" t="str">
            <v>An GiangKien Long CN An Giang</v>
          </cell>
          <cell r="E2510">
            <v>4132</v>
          </cell>
        </row>
        <row r="2511">
          <cell r="A2511" t="str">
            <v>NH TMCP Kien Long</v>
          </cell>
          <cell r="D2511" t="str">
            <v>Tien GiangKien Long CN Tien Giang</v>
          </cell>
          <cell r="E2511">
            <v>4236</v>
          </cell>
        </row>
        <row r="2512">
          <cell r="A2512" t="str">
            <v>NH TMCP Kien Long</v>
          </cell>
          <cell r="D2512" t="str">
            <v>Ben TreKien Long CN Ben Tre</v>
          </cell>
          <cell r="E2512">
            <v>4232</v>
          </cell>
        </row>
        <row r="2513">
          <cell r="A2513" t="str">
            <v>NH TMCP Kien Long</v>
          </cell>
          <cell r="D2513" t="str">
            <v>Vinh LongKien Long CN Vinh Long</v>
          </cell>
          <cell r="E2513">
            <v>3669</v>
          </cell>
        </row>
        <row r="2514">
          <cell r="A2514" t="str">
            <v>NH TMCP Kien Long</v>
          </cell>
          <cell r="D2514" t="str">
            <v>Tra VinhKien Long CN Tra Vinh</v>
          </cell>
          <cell r="E2514">
            <v>3999</v>
          </cell>
        </row>
        <row r="2515">
          <cell r="A2515" t="str">
            <v>NH TMCP Kien Long</v>
          </cell>
          <cell r="D2515" t="str">
            <v>Can ThoKien Long CN Can Tho</v>
          </cell>
          <cell r="E2515">
            <v>4116</v>
          </cell>
        </row>
        <row r="2516">
          <cell r="A2516" t="str">
            <v>NH TMCP Kien Long</v>
          </cell>
          <cell r="D2516" t="str">
            <v>Soc TrangKien Long CN Soc Trang</v>
          </cell>
          <cell r="E2516">
            <v>4109</v>
          </cell>
        </row>
        <row r="2517">
          <cell r="A2517" t="str">
            <v>NH TMCP Kien Long</v>
          </cell>
          <cell r="D2517" t="str">
            <v>Kien GiangKien Long Hoi So</v>
          </cell>
          <cell r="E2517">
            <v>1319</v>
          </cell>
        </row>
        <row r="2518">
          <cell r="A2518" t="str">
            <v>NH TMCP Kien Long</v>
          </cell>
          <cell r="D2518" t="str">
            <v>Kien GiangKien Long PGD Ben Nhut</v>
          </cell>
          <cell r="E2518">
            <v>4217</v>
          </cell>
        </row>
        <row r="2519">
          <cell r="A2519" t="str">
            <v>NH TMCP Kien Long</v>
          </cell>
          <cell r="D2519" t="str">
            <v>Kien GiangKien Long CN Rach Gia</v>
          </cell>
          <cell r="E2519">
            <v>4218</v>
          </cell>
        </row>
        <row r="2520">
          <cell r="A2520" t="str">
            <v>NH TMCP Kien Long</v>
          </cell>
          <cell r="D2520" t="str">
            <v>Kien GiangKien Long CN Phu Quoc</v>
          </cell>
          <cell r="E2520">
            <v>4219</v>
          </cell>
        </row>
        <row r="2521">
          <cell r="A2521" t="str">
            <v>NH TMCP Kien Long</v>
          </cell>
          <cell r="D2521" t="str">
            <v>Bac LieuKien Long CN Bac Lieu</v>
          </cell>
          <cell r="E2521">
            <v>3947</v>
          </cell>
        </row>
        <row r="2522">
          <cell r="A2522" t="str">
            <v>NH TMCP Kien Long</v>
          </cell>
          <cell r="D2522" t="str">
            <v>Ca MauKien Long CN Ca Mau</v>
          </cell>
          <cell r="E2522">
            <v>4093</v>
          </cell>
        </row>
        <row r="2523">
          <cell r="A2523" t="str">
            <v>NH TMCP Ky Thuong (Techcombank)</v>
          </cell>
          <cell r="D2523" t="str">
            <v>Ha NoiKy Thuong CN Ba Dinh</v>
          </cell>
          <cell r="E2523">
            <v>4574</v>
          </cell>
        </row>
        <row r="2524">
          <cell r="A2524" t="str">
            <v>NH TMCP Ky Thuong (Techcombank)</v>
          </cell>
          <cell r="D2524" t="str">
            <v>Ha NoiKy Thuong CN Chuong Duong</v>
          </cell>
          <cell r="E2524">
            <v>4576</v>
          </cell>
        </row>
        <row r="2525">
          <cell r="A2525" t="str">
            <v>NH TMCP Ky Thuong (Techcombank)</v>
          </cell>
          <cell r="D2525" t="str">
            <v>Ha NoiKy Thuong CN Dong Do</v>
          </cell>
          <cell r="E2525">
            <v>4577</v>
          </cell>
        </row>
        <row r="2526">
          <cell r="A2526" t="str">
            <v>NH TMCP Ky Thuong (Techcombank)</v>
          </cell>
          <cell r="D2526" t="str">
            <v>Ha NoiKy Thuong CN Ha Noi</v>
          </cell>
          <cell r="E2526">
            <v>4580</v>
          </cell>
        </row>
        <row r="2527">
          <cell r="A2527" t="str">
            <v>NH TMCP Ky Thuong (Techcombank)</v>
          </cell>
          <cell r="D2527" t="str">
            <v>Ha NoiKy Thuong CN Ha Thanh</v>
          </cell>
          <cell r="E2527">
            <v>4582</v>
          </cell>
        </row>
        <row r="2528">
          <cell r="A2528" t="str">
            <v>NH TMCP Ky Thuong (Techcombank)</v>
          </cell>
          <cell r="D2528" t="str">
            <v>Ha NoiKy Thuong CN Hai Ba Trung</v>
          </cell>
          <cell r="E2528">
            <v>4583</v>
          </cell>
        </row>
        <row r="2529">
          <cell r="A2529" t="str">
            <v>NH TMCP Ky Thuong (Techcombank)</v>
          </cell>
          <cell r="D2529" t="str">
            <v>Ha NoiKy Thuong CN Hoan Kiem</v>
          </cell>
          <cell r="E2529">
            <v>4584</v>
          </cell>
        </row>
        <row r="2530">
          <cell r="A2530" t="str">
            <v>NH TMCP Ky Thuong (Techcombank)</v>
          </cell>
          <cell r="D2530" t="str">
            <v>Ha NoiKy Thuong CN Hoang Quoc Viet</v>
          </cell>
          <cell r="E2530">
            <v>4585</v>
          </cell>
        </row>
        <row r="2531">
          <cell r="A2531" t="str">
            <v>NH TMCP Ky Thuong (Techcombank)</v>
          </cell>
          <cell r="D2531" t="str">
            <v>Ha NoiKy Thuong CN Noi Bai</v>
          </cell>
          <cell r="E2531">
            <v>4588</v>
          </cell>
        </row>
        <row r="2532">
          <cell r="A2532" t="str">
            <v>NH TMCP Ky Thuong (Techcombank)</v>
          </cell>
          <cell r="D2532" t="str">
            <v>Ha NoiKy Thuong CN Thang Long</v>
          </cell>
          <cell r="E2532">
            <v>4592</v>
          </cell>
        </row>
        <row r="2533">
          <cell r="A2533" t="str">
            <v>NH TMCP Ky Thuong (Techcombank)</v>
          </cell>
          <cell r="D2533" t="str">
            <v>Ha NoiKy Thuong CN Ha Tay</v>
          </cell>
          <cell r="E2533">
            <v>3421</v>
          </cell>
        </row>
        <row r="2534">
          <cell r="A2534" t="str">
            <v>NH TMCP Ky Thuong (Techcombank)</v>
          </cell>
          <cell r="D2534" t="str">
            <v>Ha NoiKy Thuong Hoi so chinh</v>
          </cell>
          <cell r="E2534">
            <v>1304</v>
          </cell>
        </row>
        <row r="2535">
          <cell r="A2535" t="str">
            <v>NH TMCP Ky Thuong (Techcombank)</v>
          </cell>
          <cell r="D2535" t="str">
            <v>Lang SonKy Thuong CN Lang Son</v>
          </cell>
          <cell r="E2535">
            <v>3604</v>
          </cell>
        </row>
        <row r="2536">
          <cell r="A2536" t="str">
            <v>NH TMCP Ky Thuong (Techcombank)</v>
          </cell>
          <cell r="D2536" t="str">
            <v>Thai NguyenKy Thuong CN Thai Nguyen</v>
          </cell>
          <cell r="E2536">
            <v>3736</v>
          </cell>
        </row>
        <row r="2537">
          <cell r="A2537" t="str">
            <v>NH TMCP Ky Thuong (Techcombank)</v>
          </cell>
          <cell r="D2537" t="str">
            <v>Yen BaiKy Thuong CN Yen Bai</v>
          </cell>
          <cell r="E2537">
            <v>3859</v>
          </cell>
        </row>
        <row r="2538">
          <cell r="A2538" t="str">
            <v>NH TMCP Ky Thuong (Techcombank)</v>
          </cell>
          <cell r="D2538" t="str">
            <v>Lao CaiKy Thuong CN Lao Cai</v>
          </cell>
          <cell r="E2538">
            <v>2942</v>
          </cell>
        </row>
        <row r="2539">
          <cell r="A2539" t="str">
            <v>NH TMCP Ky Thuong (Techcombank)</v>
          </cell>
          <cell r="D2539" t="str">
            <v>Quang NinhKy Thuong CN Mong Cai</v>
          </cell>
          <cell r="E2539">
            <v>4587</v>
          </cell>
        </row>
        <row r="2540">
          <cell r="A2540" t="str">
            <v>NH TMCP Ky Thuong (Techcombank)</v>
          </cell>
          <cell r="D2540" t="str">
            <v>Quang NinhKy Thuong CN Quang Ninh</v>
          </cell>
          <cell r="E2540">
            <v>2990</v>
          </cell>
        </row>
        <row r="2541">
          <cell r="A2541" t="str">
            <v>NH TMCP Ky Thuong (Techcombank)</v>
          </cell>
          <cell r="D2541" t="str">
            <v>Hai PhongKy Thuong CN Hai Phong</v>
          </cell>
          <cell r="E2541">
            <v>1630</v>
          </cell>
        </row>
        <row r="2542">
          <cell r="A2542" t="str">
            <v>NH TMCP Ky Thuong (Techcombank)</v>
          </cell>
          <cell r="D2542" t="str">
            <v>Hai DuongKy Thuong CN Hai Duong</v>
          </cell>
          <cell r="E2542">
            <v>3314</v>
          </cell>
        </row>
        <row r="2543">
          <cell r="A2543" t="str">
            <v>NH TMCP Ky Thuong (Techcombank)</v>
          </cell>
          <cell r="D2543" t="str">
            <v>Hung YenKy Thuong CN Hung Yen</v>
          </cell>
          <cell r="E2543">
            <v>3162</v>
          </cell>
        </row>
        <row r="2544">
          <cell r="A2544" t="str">
            <v>NH TMCP Ky Thuong (Techcombank)</v>
          </cell>
          <cell r="D2544" t="str">
            <v>Bac GiangKy Thuong CN Bac Giang</v>
          </cell>
          <cell r="E2544">
            <v>3929</v>
          </cell>
        </row>
        <row r="2545">
          <cell r="A2545" t="str">
            <v>NH TMCP Ky Thuong (Techcombank)</v>
          </cell>
          <cell r="D2545" t="str">
            <v>Bac NinhKy Thuong CN Bac Ninh</v>
          </cell>
          <cell r="E2545">
            <v>3223</v>
          </cell>
        </row>
        <row r="2546">
          <cell r="A2546" t="str">
            <v>NH TMCP Ky Thuong (Techcombank)</v>
          </cell>
          <cell r="D2546" t="str">
            <v>Phu ThoKy Thuong CN Viet Tri</v>
          </cell>
          <cell r="E2546">
            <v>3720</v>
          </cell>
        </row>
        <row r="2547">
          <cell r="A2547" t="str">
            <v>NH TMCP Ky Thuong (Techcombank)</v>
          </cell>
          <cell r="D2547" t="str">
            <v>Vinh PhucKy Thuong CN Vinh Phuc</v>
          </cell>
          <cell r="E2547">
            <v>3567</v>
          </cell>
        </row>
        <row r="2548">
          <cell r="A2548" t="str">
            <v>NH TMCP Ky Thuong (Techcombank)</v>
          </cell>
          <cell r="D2548" t="str">
            <v>Ha NamKy Thuong CN Ha Nam</v>
          </cell>
          <cell r="E2548">
            <v>4579</v>
          </cell>
        </row>
        <row r="2549">
          <cell r="A2549" t="str">
            <v>NH TMCP Ky Thuong (Techcombank)</v>
          </cell>
          <cell r="D2549" t="str">
            <v>Nam DinhKy Thuong CN Nam Dinh</v>
          </cell>
          <cell r="E2549">
            <v>3467</v>
          </cell>
        </row>
        <row r="2550">
          <cell r="A2550" t="str">
            <v>NH TMCP Ky Thuong (Techcombank)</v>
          </cell>
          <cell r="D2550" t="str">
            <v>Ninh BinhKy Thuong CN Ninh Binh</v>
          </cell>
          <cell r="E2550">
            <v>3664</v>
          </cell>
        </row>
        <row r="2551">
          <cell r="A2551" t="str">
            <v>NH TMCP Ky Thuong (Techcombank)</v>
          </cell>
          <cell r="D2551" t="str">
            <v>Thai BinhKy Thuong CN Thai Binh</v>
          </cell>
          <cell r="E2551">
            <v>3860</v>
          </cell>
        </row>
        <row r="2552">
          <cell r="A2552" t="str">
            <v>NH TMCP Ky Thuong (Techcombank)</v>
          </cell>
          <cell r="D2552" t="str">
            <v>Thanh HoaKy Thuong CN Thanh Hoa</v>
          </cell>
          <cell r="E2552">
            <v>3809</v>
          </cell>
        </row>
        <row r="2553">
          <cell r="A2553" t="str">
            <v>NH TMCP Ky Thuong (Techcombank)</v>
          </cell>
          <cell r="D2553" t="str">
            <v>Nghe AnKy Thuong CN Nghe An</v>
          </cell>
          <cell r="E2553">
            <v>3303</v>
          </cell>
        </row>
        <row r="2554">
          <cell r="A2554" t="str">
            <v>NH TMCP Ky Thuong (Techcombank)</v>
          </cell>
          <cell r="D2554" t="str">
            <v>Ha TinhKy Thuong CN Ha Tinh</v>
          </cell>
          <cell r="E2554">
            <v>3533</v>
          </cell>
        </row>
        <row r="2555">
          <cell r="A2555" t="str">
            <v>NH TMCP Ky Thuong (Techcombank)</v>
          </cell>
          <cell r="D2555" t="str">
            <v>Thua Thien HueKy Thuong CN Hue</v>
          </cell>
          <cell r="E2555">
            <v>2949</v>
          </cell>
        </row>
        <row r="2556">
          <cell r="A2556" t="str">
            <v>NH TMCP Ky Thuong (Techcombank)</v>
          </cell>
          <cell r="D2556" t="str">
            <v>Ho Chi MinhKy Thuong HCM</v>
          </cell>
          <cell r="E2556">
            <v>1303</v>
          </cell>
        </row>
        <row r="2557">
          <cell r="A2557" t="str">
            <v>NH TMCP Ky Thuong (Techcombank)</v>
          </cell>
          <cell r="D2557" t="str">
            <v>Ho Chi MinhKy Thuong CN Quan 3</v>
          </cell>
          <cell r="E2557">
            <v>3213</v>
          </cell>
        </row>
        <row r="2558">
          <cell r="A2558" t="str">
            <v>NH TMCP Ky Thuong (Techcombank)</v>
          </cell>
          <cell r="D2558" t="str">
            <v>Ho Chi MinhKy Thuong CN Cho Lon</v>
          </cell>
          <cell r="E2558">
            <v>4575</v>
          </cell>
        </row>
        <row r="2559">
          <cell r="A2559" t="str">
            <v>NH TMCP Ky Thuong (Techcombank)</v>
          </cell>
          <cell r="D2559" t="str">
            <v>Ho Chi MinhKy Thuong CN Phu My Hung</v>
          </cell>
          <cell r="E2559">
            <v>4589</v>
          </cell>
        </row>
        <row r="2560">
          <cell r="A2560" t="str">
            <v>NH TMCP Ky Thuong (Techcombank)</v>
          </cell>
          <cell r="D2560" t="str">
            <v>Ho Chi MinhKy Thuong CN Quang Trung</v>
          </cell>
          <cell r="E2560">
            <v>4590</v>
          </cell>
        </row>
        <row r="2561">
          <cell r="A2561" t="str">
            <v>NH TMCP Ky Thuong (Techcombank)</v>
          </cell>
          <cell r="D2561" t="str">
            <v>Ho Chi MinhKy Thuong CN Tan Binh</v>
          </cell>
          <cell r="E2561">
            <v>4591</v>
          </cell>
        </row>
        <row r="2562">
          <cell r="A2562" t="str">
            <v>NH TMCP Ky Thuong (Techcombank)</v>
          </cell>
          <cell r="D2562" t="str">
            <v>Ho Chi MinhKy Thuong CN Gia Dinh</v>
          </cell>
          <cell r="E2562">
            <v>4578</v>
          </cell>
        </row>
        <row r="2563">
          <cell r="A2563" t="str">
            <v>NH TMCP Ky Thuong (Techcombank)</v>
          </cell>
          <cell r="D2563" t="str">
            <v>Da NangKy Thuong CN Thanh Khe</v>
          </cell>
          <cell r="E2563">
            <v>4593</v>
          </cell>
        </row>
        <row r="2564">
          <cell r="A2564" t="str">
            <v>NH TMCP Ky Thuong (Techcombank)</v>
          </cell>
          <cell r="D2564" t="str">
            <v>Da NangKy Thuong CN Da Nang</v>
          </cell>
          <cell r="E2564">
            <v>236</v>
          </cell>
        </row>
        <row r="2565">
          <cell r="A2565" t="str">
            <v>NH TMCP Ky Thuong (Techcombank)</v>
          </cell>
          <cell r="D2565" t="str">
            <v>Quang NamKy Thuong CN Quang Nam</v>
          </cell>
          <cell r="E2565">
            <v>3182</v>
          </cell>
        </row>
        <row r="2566">
          <cell r="A2566" t="str">
            <v>NH TMCP Ky Thuong (Techcombank)</v>
          </cell>
          <cell r="D2566" t="str">
            <v>Quang NgaiKy Thuong CN Quang Ngai</v>
          </cell>
          <cell r="E2566">
            <v>3934</v>
          </cell>
        </row>
        <row r="2567">
          <cell r="A2567" t="str">
            <v>NH TMCP Ky Thuong (Techcombank)</v>
          </cell>
          <cell r="D2567" t="str">
            <v>Binh DinhKy Thuong CN Binh Dinh</v>
          </cell>
          <cell r="E2567">
            <v>3333</v>
          </cell>
        </row>
        <row r="2568">
          <cell r="A2568" t="str">
            <v>NH TMCP Ky Thuong (Techcombank)</v>
          </cell>
          <cell r="D2568" t="str">
            <v>Binh DinhKy Thuong CN Quy Nhon</v>
          </cell>
          <cell r="E2568">
            <v>4357</v>
          </cell>
        </row>
        <row r="2569">
          <cell r="A2569" t="str">
            <v>NH TMCP Ky Thuong (Techcombank)</v>
          </cell>
          <cell r="D2569" t="str">
            <v>Khanh HoaKy Thuong CN Nha Trang</v>
          </cell>
          <cell r="E2569">
            <v>3169</v>
          </cell>
        </row>
        <row r="2570">
          <cell r="A2570" t="str">
            <v>NH TMCP Ky Thuong (Techcombank)</v>
          </cell>
          <cell r="D2570" t="str">
            <v>Binh ThuanKy Thuong CN Binh Thuan</v>
          </cell>
          <cell r="E2570">
            <v>4088</v>
          </cell>
        </row>
        <row r="2571">
          <cell r="A2571" t="str">
            <v>NH TMCP Ky Thuong (Techcombank)</v>
          </cell>
          <cell r="D2571" t="str">
            <v>Gia LaiKy Thuong CN Pleiku</v>
          </cell>
          <cell r="E2571">
            <v>4200</v>
          </cell>
        </row>
        <row r="2572">
          <cell r="A2572" t="str">
            <v>NH TMCP Ky Thuong (Techcombank)</v>
          </cell>
          <cell r="D2572" t="str">
            <v>Dac LacKy Thuong CN Dak Lak</v>
          </cell>
          <cell r="E2572">
            <v>3275</v>
          </cell>
        </row>
        <row r="2573">
          <cell r="A2573" t="str">
            <v>NH TMCP Ky Thuong (Techcombank)</v>
          </cell>
          <cell r="D2573" t="str">
            <v>Lam DongKy Thuong CN Lam Dong</v>
          </cell>
          <cell r="E2573">
            <v>3437</v>
          </cell>
        </row>
        <row r="2574">
          <cell r="A2574" t="str">
            <v>NH TMCP Ky Thuong (Techcombank)</v>
          </cell>
          <cell r="D2574" t="str">
            <v>Binh DuongKy Thuong CN Binh Duong</v>
          </cell>
          <cell r="E2574">
            <v>2882</v>
          </cell>
        </row>
        <row r="2575">
          <cell r="A2575" t="str">
            <v>NH TMCP Ky Thuong (Techcombank)</v>
          </cell>
          <cell r="D2575" t="str">
            <v>Binh PhuocKy Thuong CN Binh Phuoc</v>
          </cell>
          <cell r="E2575">
            <v>3897</v>
          </cell>
        </row>
        <row r="2576">
          <cell r="A2576" t="str">
            <v>NH TMCP Ky Thuong (Techcombank)</v>
          </cell>
          <cell r="D2576" t="str">
            <v>Tay NinhKy Thuong Viet Nam CN Tay Ninh</v>
          </cell>
          <cell r="E2576">
            <v>3667</v>
          </cell>
        </row>
        <row r="2577">
          <cell r="A2577" t="str">
            <v>NH TMCP Ky Thuong (Techcombank)</v>
          </cell>
          <cell r="D2577" t="str">
            <v>Dong NaiKy Thuong CN Dong Nai</v>
          </cell>
          <cell r="E2577">
            <v>2965</v>
          </cell>
        </row>
        <row r="2578">
          <cell r="A2578" t="str">
            <v>NH TMCP Ky Thuong (Techcombank)</v>
          </cell>
          <cell r="D2578" t="str">
            <v>Dong NaiKy Thuong CN Bien Hoa Dong Nai</v>
          </cell>
          <cell r="E2578">
            <v>2881</v>
          </cell>
        </row>
        <row r="2579">
          <cell r="A2579" t="str">
            <v>NH TMCP Ky Thuong (Techcombank)</v>
          </cell>
          <cell r="D2579" t="str">
            <v>Ba Ria-Vung TauKy Thuong CN Vung Tau</v>
          </cell>
          <cell r="E2579">
            <v>2719</v>
          </cell>
        </row>
        <row r="2580">
          <cell r="A2580" t="str">
            <v>NH TMCP Ky Thuong (Techcombank)</v>
          </cell>
          <cell r="D2580" t="str">
            <v>Long AnKy Thuong CN Long An</v>
          </cell>
          <cell r="E2580">
            <v>3827</v>
          </cell>
        </row>
        <row r="2581">
          <cell r="A2581" t="str">
            <v>NH TMCP Ky Thuong (Techcombank)</v>
          </cell>
          <cell r="D2581" t="str">
            <v>Dong ThapKy Thuong CN Dong Thap</v>
          </cell>
          <cell r="E2581">
            <v>4220</v>
          </cell>
        </row>
        <row r="2582">
          <cell r="A2582" t="str">
            <v>NH TMCP Ky Thuong (Techcombank)</v>
          </cell>
          <cell r="D2582" t="str">
            <v>An GiangKy Thuong CN An Giang</v>
          </cell>
          <cell r="E2582">
            <v>3816</v>
          </cell>
        </row>
        <row r="2583">
          <cell r="A2583" t="str">
            <v>NH TMCP Ky Thuong (Techcombank)</v>
          </cell>
          <cell r="D2583" t="str">
            <v>Tien GiangKy Thuong CN Tien Giang</v>
          </cell>
          <cell r="E2583">
            <v>3746</v>
          </cell>
        </row>
        <row r="2584">
          <cell r="A2584" t="str">
            <v>NH TMCP Ky Thuong (Techcombank)</v>
          </cell>
          <cell r="D2584" t="str">
            <v>Vinh LongKy Thuong CN Vinh Long</v>
          </cell>
          <cell r="E2584">
            <v>3325</v>
          </cell>
        </row>
        <row r="2585">
          <cell r="A2585" t="str">
            <v>NH TMCP Ky Thuong (Techcombank)</v>
          </cell>
          <cell r="D2585" t="str">
            <v>Can ThoKy Thuong CN Can Tho</v>
          </cell>
          <cell r="E2585">
            <v>3090</v>
          </cell>
        </row>
        <row r="2586">
          <cell r="A2586" t="str">
            <v>NH TMCP Ky Thuong (Techcombank)</v>
          </cell>
          <cell r="D2586" t="str">
            <v>Soc TrangKy Thuong CN Soc Trang</v>
          </cell>
          <cell r="E2586">
            <v>4113</v>
          </cell>
        </row>
        <row r="2587">
          <cell r="A2587" t="str">
            <v>NH TMCP Ky Thuong (Techcombank)</v>
          </cell>
          <cell r="D2587" t="str">
            <v>Kien GiangKy Thuong CN Kien Giang</v>
          </cell>
          <cell r="E2587">
            <v>3741</v>
          </cell>
        </row>
        <row r="2588">
          <cell r="A2588" t="str">
            <v>NH TMCP Ky Thuong (Techcombank)</v>
          </cell>
          <cell r="D2588" t="str">
            <v>Ca MauKy Thuong CN Ca Mau</v>
          </cell>
          <cell r="E2588">
            <v>3977</v>
          </cell>
        </row>
        <row r="2589">
          <cell r="A2589" t="str">
            <v>NH TMCP Nam A</v>
          </cell>
          <cell r="D2589" t="str">
            <v>Ha NoiNam A CN Ha Noi</v>
          </cell>
          <cell r="E2589">
            <v>238</v>
          </cell>
        </row>
        <row r="2590">
          <cell r="A2590" t="str">
            <v>NH TMCP Nam A</v>
          </cell>
          <cell r="D2590" t="str">
            <v>Ho Chi MinhNam A CN HCM</v>
          </cell>
          <cell r="E2590">
            <v>1310</v>
          </cell>
        </row>
        <row r="2591">
          <cell r="A2591" t="str">
            <v>NH TMCP Nam A</v>
          </cell>
          <cell r="D2591" t="str">
            <v>Ho Chi MinhNam A CN An Dong</v>
          </cell>
          <cell r="E2591">
            <v>4595</v>
          </cell>
        </row>
        <row r="2592">
          <cell r="A2592" t="str">
            <v>NH TMCP Nam A</v>
          </cell>
          <cell r="D2592" t="str">
            <v>Ho Chi MinhNam A CN Ben Thanh</v>
          </cell>
          <cell r="E2592">
            <v>4596</v>
          </cell>
        </row>
        <row r="2593">
          <cell r="A2593" t="str">
            <v>NH TMCP Nam A</v>
          </cell>
          <cell r="D2593" t="str">
            <v>Ho Chi MinhNam A CN Ham Nghi</v>
          </cell>
          <cell r="E2593">
            <v>4599</v>
          </cell>
        </row>
        <row r="2594">
          <cell r="A2594" t="str">
            <v>NH TMCP Nam A</v>
          </cell>
          <cell r="D2594" t="str">
            <v>Ho Chi MinhNam A CN Nga Bay</v>
          </cell>
          <cell r="E2594">
            <v>4601</v>
          </cell>
        </row>
        <row r="2595">
          <cell r="A2595" t="str">
            <v>NH TMCP Nam A</v>
          </cell>
          <cell r="D2595" t="str">
            <v>Ho Chi MinhNam A CN Quang Trung</v>
          </cell>
          <cell r="E2595">
            <v>4603</v>
          </cell>
        </row>
        <row r="2596">
          <cell r="A2596" t="str">
            <v>NH TMCP Nam A</v>
          </cell>
          <cell r="D2596" t="str">
            <v>Ho Chi MinhNam A CN Tan Dinh</v>
          </cell>
          <cell r="E2596">
            <v>4604</v>
          </cell>
        </row>
        <row r="2597">
          <cell r="A2597" t="str">
            <v>NH TMCP Nam A</v>
          </cell>
          <cell r="D2597" t="str">
            <v>Ho Chi MinhNam A CN Thi Nghe</v>
          </cell>
          <cell r="E2597">
            <v>4605</v>
          </cell>
        </row>
        <row r="2598">
          <cell r="A2598" t="str">
            <v>NH TMCP Nam A</v>
          </cell>
          <cell r="D2598" t="str">
            <v>Ho Chi MinhNam A CN Quang Trung PGD Truong Chinh</v>
          </cell>
          <cell r="E2598">
            <v>4606</v>
          </cell>
        </row>
        <row r="2599">
          <cell r="A2599" t="str">
            <v>NH TMCP Nam A</v>
          </cell>
          <cell r="D2599" t="str">
            <v>Ho Chi MinhNam A CN Van Thanh</v>
          </cell>
          <cell r="E2599">
            <v>4607</v>
          </cell>
        </row>
        <row r="2600">
          <cell r="A2600" t="str">
            <v>NH TMCP Nam A</v>
          </cell>
          <cell r="D2600" t="str">
            <v>Da NangNam A CN Da Nang</v>
          </cell>
          <cell r="E2600">
            <v>3606</v>
          </cell>
        </row>
        <row r="2601">
          <cell r="A2601" t="str">
            <v>NH TMCP Nam A</v>
          </cell>
          <cell r="D2601" t="str">
            <v>Binh DinhNam A CN Cap 1 Quy Nhon</v>
          </cell>
          <cell r="E2601">
            <v>2954</v>
          </cell>
        </row>
        <row r="2602">
          <cell r="A2602" t="str">
            <v>NH TMCP Nam A</v>
          </cell>
          <cell r="D2602" t="str">
            <v>Khanh HoaNam A CN Nha Trang</v>
          </cell>
          <cell r="E2602">
            <v>2729</v>
          </cell>
        </row>
        <row r="2603">
          <cell r="A2603" t="str">
            <v>NH TMCP Nam A</v>
          </cell>
          <cell r="D2603" t="str">
            <v>Ninh ThuanNam A CN Ninh Thuan</v>
          </cell>
          <cell r="E2603">
            <v>4602</v>
          </cell>
        </row>
        <row r="2604">
          <cell r="A2604" t="str">
            <v>NH TMCP Nam A</v>
          </cell>
          <cell r="D2604" t="str">
            <v>Dac LacNam A CN Dak Lak</v>
          </cell>
          <cell r="E2604">
            <v>5160</v>
          </cell>
        </row>
        <row r="2605">
          <cell r="A2605" t="str">
            <v>NH TMCP Nam A</v>
          </cell>
          <cell r="D2605" t="str">
            <v>Lam DongNam A CN Lam Dong</v>
          </cell>
          <cell r="E2605">
            <v>4600</v>
          </cell>
        </row>
        <row r="2606">
          <cell r="A2606" t="str">
            <v>NH TMCP Nam A</v>
          </cell>
          <cell r="D2606" t="str">
            <v>Binh DuongNam A CN Binh Duong</v>
          </cell>
          <cell r="E2606">
            <v>3345</v>
          </cell>
        </row>
        <row r="2607">
          <cell r="A2607" t="str">
            <v>NH TMCP Nam A</v>
          </cell>
          <cell r="D2607" t="str">
            <v>Binh PhuocNam A CN Cap 1 Binh Phuoc</v>
          </cell>
          <cell r="E2607">
            <v>4266</v>
          </cell>
        </row>
        <row r="2608">
          <cell r="A2608" t="str">
            <v>NH TMCP Nam A</v>
          </cell>
          <cell r="D2608" t="str">
            <v>Tay NinhNam A CN Tay Ninh</v>
          </cell>
          <cell r="E2608">
            <v>5161</v>
          </cell>
        </row>
        <row r="2609">
          <cell r="A2609" t="str">
            <v>NH TMCP Nam A</v>
          </cell>
          <cell r="D2609" t="str">
            <v>Dong NaiNam A CN Dong Nai</v>
          </cell>
          <cell r="E2609">
            <v>4598</v>
          </cell>
        </row>
        <row r="2610">
          <cell r="A2610" t="str">
            <v>NH TMCP Nam A</v>
          </cell>
          <cell r="D2610" t="str">
            <v>Ba Ria-Vung TauNam A CN Vung Tau</v>
          </cell>
          <cell r="E2610">
            <v>4608</v>
          </cell>
        </row>
        <row r="2611">
          <cell r="A2611" t="str">
            <v>NH TMCP Nam A</v>
          </cell>
          <cell r="D2611" t="str">
            <v>An GiangNam A CN Kien Giang</v>
          </cell>
          <cell r="E2611">
            <v>5231</v>
          </cell>
        </row>
        <row r="2612">
          <cell r="A2612" t="str">
            <v>NH TMCP Nam A</v>
          </cell>
          <cell r="D2612" t="str">
            <v>Ben TreNam A CN Ben Tre</v>
          </cell>
          <cell r="E2612">
            <v>4597</v>
          </cell>
        </row>
        <row r="2613">
          <cell r="A2613" t="str">
            <v>NH TMCP Nam A</v>
          </cell>
          <cell r="D2613" t="str">
            <v>Can ThoNam A CN Can Tho</v>
          </cell>
          <cell r="E2613">
            <v>5232</v>
          </cell>
        </row>
        <row r="2614">
          <cell r="A2614" t="str">
            <v>NH TMCP Nha Ha Noi (HABUBANK)</v>
          </cell>
          <cell r="D2614" t="str">
            <v>Ho Chi MinhNha Ha Noi CN TPHCM</v>
          </cell>
          <cell r="E2614">
            <v>2559</v>
          </cell>
        </row>
        <row r="2615">
          <cell r="A2615" t="str">
            <v>NH TMCP Phat trien Tp.HCM (HDBank)</v>
          </cell>
          <cell r="D2615" t="str">
            <v>Ha NoiPhat Trien TPHCM CN Ba Dinh</v>
          </cell>
          <cell r="E2615">
            <v>4699</v>
          </cell>
        </row>
        <row r="2616">
          <cell r="A2616" t="str">
            <v>NH TMCP Phat trien Tp.HCM (HDBank)</v>
          </cell>
          <cell r="D2616" t="str">
            <v>Ha NoiPhat Trien TPHCM CN Ho Guom</v>
          </cell>
          <cell r="E2616">
            <v>4711</v>
          </cell>
        </row>
        <row r="2617">
          <cell r="A2617" t="str">
            <v>NH TMCP Phat trien Tp.HCM (HDBank)</v>
          </cell>
          <cell r="D2617" t="str">
            <v>Ha NoiPhat Trien TPHCM CN Hoan Kiem</v>
          </cell>
          <cell r="E2617">
            <v>4712</v>
          </cell>
        </row>
        <row r="2618">
          <cell r="A2618" t="str">
            <v>NH TMCP Phat trien Tp.HCM (HDBank)</v>
          </cell>
          <cell r="D2618" t="str">
            <v>Ha NoiPhat Trien TPHCM CN Hung Vuong</v>
          </cell>
          <cell r="E2618">
            <v>4714</v>
          </cell>
        </row>
        <row r="2619">
          <cell r="A2619" t="str">
            <v>NH TMCP Phat trien Tp.HCM (HDBank)</v>
          </cell>
          <cell r="D2619" t="str">
            <v>Ha NoiPhat Trien TPHCM CN Ha Noi</v>
          </cell>
          <cell r="E2619">
            <v>2859</v>
          </cell>
        </row>
        <row r="2620">
          <cell r="A2620" t="str">
            <v>NH TMCP Phat trien Tp.HCM (HDBank)</v>
          </cell>
          <cell r="D2620" t="str">
            <v>Lang SonPhat Trien TPHCM CN Lang Son</v>
          </cell>
          <cell r="E2620">
            <v>4718</v>
          </cell>
        </row>
        <row r="2621">
          <cell r="A2621" t="str">
            <v>NH TMCP Phat trien Tp.HCM (HDBank)</v>
          </cell>
          <cell r="D2621" t="str">
            <v>Lao CaiPhat Trien TPHCM CN Lao Cai</v>
          </cell>
          <cell r="E2621">
            <v>4720</v>
          </cell>
        </row>
        <row r="2622">
          <cell r="A2622" t="str">
            <v>NH TMCP Phat trien Tp.HCM (HDBank)</v>
          </cell>
          <cell r="D2622" t="str">
            <v>Quang NinhPhat Trien TPHCM CN Quang Ninh</v>
          </cell>
          <cell r="E2622">
            <v>4726</v>
          </cell>
        </row>
        <row r="2623">
          <cell r="A2623" t="str">
            <v>NH TMCP Phat trien Tp.HCM (HDBank)</v>
          </cell>
          <cell r="D2623" t="str">
            <v>Hai PhongPhat Trien TPHCM PGD Hai Dang</v>
          </cell>
          <cell r="E2623">
            <v>4733</v>
          </cell>
        </row>
        <row r="2624">
          <cell r="A2624" t="str">
            <v>NH TMCP Phat trien Tp.HCM (HDBank)</v>
          </cell>
          <cell r="D2624" t="str">
            <v>Hai PhongPhat Trien TPHCM CN Hai Phong</v>
          </cell>
          <cell r="E2624">
            <v>3892</v>
          </cell>
        </row>
        <row r="2625">
          <cell r="A2625" t="str">
            <v>NH TMCP Phat trien Tp.HCM (HDBank)</v>
          </cell>
          <cell r="D2625" t="str">
            <v>Hai DuongPhat Trien TPHCM CN Hai Duong</v>
          </cell>
          <cell r="E2625">
            <v>4086</v>
          </cell>
        </row>
        <row r="2626">
          <cell r="A2626" t="str">
            <v>NH TMCP Phat trien Tp.HCM (HDBank)</v>
          </cell>
          <cell r="D2626" t="str">
            <v>Bac NinhPhat Trien TPHCM CN Bac Ninh</v>
          </cell>
          <cell r="E2626">
            <v>4321</v>
          </cell>
        </row>
        <row r="2627">
          <cell r="A2627" t="str">
            <v>NH TMCP Phat trien Tp.HCM (HDBank)</v>
          </cell>
          <cell r="D2627" t="str">
            <v>Thanh HoaPhat Trien TPHCM CN Thanh Hoa</v>
          </cell>
          <cell r="E2627">
            <v>4730</v>
          </cell>
        </row>
        <row r="2628">
          <cell r="A2628" t="str">
            <v>NH TMCP Phat trien Tp.HCM (HDBank)</v>
          </cell>
          <cell r="D2628" t="str">
            <v>Nghe AnPhat Trien TPHCM PGD Vinh</v>
          </cell>
          <cell r="E2628">
            <v>4736</v>
          </cell>
        </row>
        <row r="2629">
          <cell r="A2629" t="str">
            <v>NH TMCP Phat trien Tp.HCM (HDBank)</v>
          </cell>
          <cell r="D2629" t="str">
            <v>Nghe AnPhat Trien TPHCM CN Nghe An</v>
          </cell>
          <cell r="E2629">
            <v>3777</v>
          </cell>
        </row>
        <row r="2630">
          <cell r="A2630" t="str">
            <v>NH TMCP Phat trien Tp.HCM (HDBank)</v>
          </cell>
          <cell r="D2630" t="str">
            <v>Ha TinhPhat Trien TPHCM CN Ha Tinh</v>
          </cell>
          <cell r="E2630">
            <v>4707</v>
          </cell>
        </row>
        <row r="2631">
          <cell r="A2631" t="str">
            <v>NH TMCP Phat trien Tp.HCM (HDBank)</v>
          </cell>
          <cell r="D2631" t="str">
            <v>Thua Thien HuePhat Trien TPHCM CN Hue</v>
          </cell>
          <cell r="E2631">
            <v>4713</v>
          </cell>
        </row>
        <row r="2632">
          <cell r="A2632" t="str">
            <v>NH TMCP Phat trien Tp.HCM (HDBank)</v>
          </cell>
          <cell r="D2632" t="str">
            <v>Ho Chi MinhPhat Trien TPHCM Hoi so chinh</v>
          </cell>
          <cell r="E2632">
            <v>1330</v>
          </cell>
        </row>
        <row r="2633">
          <cell r="A2633" t="str">
            <v>NH TMCP Phat trien Tp.HCM (HDBank)</v>
          </cell>
          <cell r="D2633" t="str">
            <v>Ho Chi MinhPhat trien TPHCM CN Cong Hoa</v>
          </cell>
          <cell r="E2633">
            <v>4703</v>
          </cell>
        </row>
        <row r="2634">
          <cell r="A2634" t="str">
            <v>NH TMCP Phat trien Tp.HCM (HDBank)</v>
          </cell>
          <cell r="D2634" t="str">
            <v>Ho Chi MinhPhat trien TPHCM CN Gia Dinh</v>
          </cell>
          <cell r="E2634">
            <v>4705</v>
          </cell>
        </row>
        <row r="2635">
          <cell r="A2635" t="str">
            <v>NH TMCP Phat trien Tp.HCM (HDBank)</v>
          </cell>
          <cell r="D2635" t="str">
            <v>Ho Chi MinhPhat trien TPHCM CN Hang Xanh</v>
          </cell>
          <cell r="E2635">
            <v>4708</v>
          </cell>
        </row>
        <row r="2636">
          <cell r="A2636" t="str">
            <v>NH TMCP Phat trien Tp.HCM (HDBank)</v>
          </cell>
          <cell r="D2636" t="str">
            <v>Ho Chi MinhPhat trien TPHCM CN HCM</v>
          </cell>
          <cell r="E2636">
            <v>4709</v>
          </cell>
        </row>
        <row r="2637">
          <cell r="A2637" t="str">
            <v>NH TMCP Phat trien Tp.HCM (HDBank)</v>
          </cell>
          <cell r="D2637" t="str">
            <v>Ho Chi MinhPhat trien TPHCM CN Hiep Phu</v>
          </cell>
          <cell r="E2637">
            <v>4710</v>
          </cell>
        </row>
        <row r="2638">
          <cell r="A2638" t="str">
            <v>NH TMCP Phat trien Tp.HCM (HDBank)</v>
          </cell>
          <cell r="D2638" t="str">
            <v>Ho Chi MinhPhat trien TPHCM CN Lanh Binh Thang</v>
          </cell>
          <cell r="E2638">
            <v>4719</v>
          </cell>
        </row>
        <row r="2639">
          <cell r="A2639" t="str">
            <v>NH TMCP Phat trien Tp.HCM (HDBank)</v>
          </cell>
          <cell r="D2639" t="str">
            <v>Ho Chi MinhPhat trien TPHCM CN Nguyen Dinh Chieu</v>
          </cell>
          <cell r="E2639">
            <v>4722</v>
          </cell>
        </row>
        <row r="2640">
          <cell r="A2640" t="str">
            <v>NH TMCP Phat trien Tp.HCM (HDBank)</v>
          </cell>
          <cell r="D2640" t="str">
            <v>Ho Chi MinhPhat trien TPHCM CN Nguyen Trai</v>
          </cell>
          <cell r="E2640">
            <v>4723</v>
          </cell>
        </row>
        <row r="2641">
          <cell r="A2641" t="str">
            <v>NH TMCP Phat trien Tp.HCM (HDBank)</v>
          </cell>
          <cell r="D2641" t="str">
            <v>Ho Chi MinhPhat trien TPHCM CN Phu Nhuan</v>
          </cell>
          <cell r="E2641">
            <v>4724</v>
          </cell>
        </row>
        <row r="2642">
          <cell r="A2642" t="str">
            <v>NH TMCP Phat trien Tp.HCM (HDBank)</v>
          </cell>
          <cell r="D2642" t="str">
            <v>Ho Chi MinhPhat trien TPHCM CN Sai Gon</v>
          </cell>
          <cell r="E2642">
            <v>4727</v>
          </cell>
        </row>
        <row r="2643">
          <cell r="A2643" t="str">
            <v>NH TMCP Phat trien Tp.HCM (HDBank)</v>
          </cell>
          <cell r="D2643" t="str">
            <v>Ho Chi MinhPhat trien TPHCM CN Van Hanh</v>
          </cell>
          <cell r="E2643">
            <v>4731</v>
          </cell>
        </row>
        <row r="2644">
          <cell r="A2644" t="str">
            <v>NH TMCP Phat trien Tp.HCM (HDBank)</v>
          </cell>
          <cell r="D2644" t="str">
            <v>Da NangPhat Trien TPHCM CN Da Nang</v>
          </cell>
          <cell r="E2644">
            <v>3407</v>
          </cell>
        </row>
        <row r="2645">
          <cell r="A2645" t="str">
            <v>NH TMCP Phat trien Tp.HCM (HDBank)</v>
          </cell>
          <cell r="D2645" t="str">
            <v>Quang NamPhat trien TPHCM CN Quang Nam</v>
          </cell>
          <cell r="E2645">
            <v>5159</v>
          </cell>
        </row>
        <row r="2646">
          <cell r="A2646" t="str">
            <v>NH TMCP Phat trien Tp.HCM (HDBank)</v>
          </cell>
          <cell r="D2646" t="str">
            <v>Quang NgaiPhat Trien TPHCM CN Quang Ngai</v>
          </cell>
          <cell r="E2646">
            <v>4725</v>
          </cell>
        </row>
        <row r="2647">
          <cell r="A2647" t="str">
            <v>NH TMCP Phat trien Tp.HCM (HDBank)</v>
          </cell>
          <cell r="D2647" t="str">
            <v>Binh DinhPhat Trien TPHCM CN Binh Dinh</v>
          </cell>
          <cell r="E2647">
            <v>4700</v>
          </cell>
        </row>
        <row r="2648">
          <cell r="A2648" t="str">
            <v>NH TMCP Phat trien Tp.HCM (HDBank)</v>
          </cell>
          <cell r="D2648" t="str">
            <v>Khanh HoaPhat Trien TPHCM CN Nha Trang</v>
          </cell>
          <cell r="E2648">
            <v>4005</v>
          </cell>
        </row>
        <row r="2649">
          <cell r="A2649" t="str">
            <v>NH TMCP Phat trien Tp.HCM (HDBank)</v>
          </cell>
          <cell r="D2649" t="str">
            <v>Binh ThuanPhat Trien TPHCM CN Binh Thuan</v>
          </cell>
          <cell r="E2649">
            <v>4701</v>
          </cell>
        </row>
        <row r="2650">
          <cell r="A2650" t="str">
            <v>NH TMCP Phat trien Tp.HCM (HDBank)</v>
          </cell>
          <cell r="D2650" t="str">
            <v>Gia LaiPhat Trien TPHCM CN Gia Lai</v>
          </cell>
          <cell r="E2650">
            <v>4706</v>
          </cell>
        </row>
        <row r="2651">
          <cell r="A2651" t="str">
            <v>NH TMCP Phat trien Tp.HCM (HDBank)</v>
          </cell>
          <cell r="D2651" t="str">
            <v>Kon TumPhat Trien TPHCM CN Kon Tum</v>
          </cell>
          <cell r="E2651">
            <v>4716</v>
          </cell>
        </row>
        <row r="2652">
          <cell r="A2652" t="str">
            <v>NH TMCP Phat trien Tp.HCM (HDBank)</v>
          </cell>
          <cell r="D2652" t="str">
            <v>Dac LacPhat Trien TPHCM CN Dac Lac</v>
          </cell>
          <cell r="E2652">
            <v>3954</v>
          </cell>
        </row>
        <row r="2653">
          <cell r="A2653" t="str">
            <v>NH TMCP Phat trien Tp.HCM (HDBank)</v>
          </cell>
          <cell r="D2653" t="str">
            <v>Lam DongPhat Trien TPHCM CN Lam Dong</v>
          </cell>
          <cell r="E2653">
            <v>4717</v>
          </cell>
        </row>
        <row r="2654">
          <cell r="A2654" t="str">
            <v>NH TMCP Phat trien Tp.HCM (HDBank)</v>
          </cell>
          <cell r="D2654" t="str">
            <v>Binh DuongPhat Trien TPHCM PGD Thu Dau Mot</v>
          </cell>
          <cell r="E2654">
            <v>4735</v>
          </cell>
        </row>
        <row r="2655">
          <cell r="A2655" t="str">
            <v>NH TMCP Phat trien Tp.HCM (HDBank)</v>
          </cell>
          <cell r="D2655" t="str">
            <v>Binh DuongPhat Trien TPHCM CN Binh Duong</v>
          </cell>
          <cell r="E2655">
            <v>2963</v>
          </cell>
        </row>
        <row r="2656">
          <cell r="A2656" t="str">
            <v>NH TMCP Phat trien Tp.HCM (HDBank)</v>
          </cell>
          <cell r="D2656" t="str">
            <v>Tay NinhPhat Trien TPHCM CN Tay Ninh</v>
          </cell>
          <cell r="E2656">
            <v>4729</v>
          </cell>
        </row>
        <row r="2657">
          <cell r="A2657" t="str">
            <v>NH TMCP Phat trien Tp.HCM (HDBank)</v>
          </cell>
          <cell r="D2657" t="str">
            <v>Dong NaiPhat Trien TPHCM CN Ho Nai</v>
          </cell>
          <cell r="E2657">
            <v>4693</v>
          </cell>
        </row>
        <row r="2658">
          <cell r="A2658" t="str">
            <v>NH TMCP Phat trien Tp.HCM (HDBank)</v>
          </cell>
          <cell r="D2658" t="str">
            <v>Dong NaiPhat Trien TPHCM CN Tam Hiep</v>
          </cell>
          <cell r="E2658">
            <v>4694</v>
          </cell>
        </row>
        <row r="2659">
          <cell r="A2659" t="str">
            <v>NH TMCP Phat trien Tp.HCM (HDBank)</v>
          </cell>
          <cell r="D2659" t="str">
            <v>Dong NaiPhat Trien TPHCM CN Trang Bom</v>
          </cell>
          <cell r="E2659">
            <v>4695</v>
          </cell>
        </row>
        <row r="2660">
          <cell r="A2660" t="str">
            <v>NH TMCP Phat trien Tp.HCM (HDBank)</v>
          </cell>
          <cell r="D2660" t="str">
            <v>Dong NaiPhat Trien TPHCM CN Xuan Hoa</v>
          </cell>
          <cell r="E2660">
            <v>4696</v>
          </cell>
        </row>
        <row r="2661">
          <cell r="A2661" t="str">
            <v>NH TMCP Phat trien Tp.HCM (HDBank)</v>
          </cell>
          <cell r="D2661" t="str">
            <v>Dong NaiPhat Trien TPHCM PGD Quang Vinh</v>
          </cell>
          <cell r="E2661">
            <v>4697</v>
          </cell>
        </row>
        <row r="2662">
          <cell r="A2662" t="str">
            <v>NH TMCP Phat trien Tp.HCM (HDBank)</v>
          </cell>
          <cell r="D2662" t="str">
            <v>Dong NaiPhat Trien TPHCM SGD Dong Nai</v>
          </cell>
          <cell r="E2662">
            <v>4698</v>
          </cell>
        </row>
        <row r="2663">
          <cell r="A2663" t="str">
            <v>NH TMCP Phat trien Tp.HCM (HDBank)</v>
          </cell>
          <cell r="D2663" t="str">
            <v>Dong NaiPhat Trien TPHCM CN Dong Nai</v>
          </cell>
          <cell r="E2663">
            <v>4014</v>
          </cell>
        </row>
        <row r="2664">
          <cell r="A2664" t="str">
            <v>NH TMCP Phat trien Tp.HCM (HDBank)</v>
          </cell>
          <cell r="D2664" t="str">
            <v>Ba Ria-Vung TauPhat Trien TPHCM CN Vung Tau</v>
          </cell>
          <cell r="E2664">
            <v>3546</v>
          </cell>
        </row>
        <row r="2665">
          <cell r="A2665" t="str">
            <v>NH TMCP Phat trien Tp.HCM (HDBank)</v>
          </cell>
          <cell r="D2665" t="str">
            <v>Ba Ria-Vung TauPhat Trien TPHCM PGD Le Hong Phong</v>
          </cell>
          <cell r="E2665">
            <v>4734</v>
          </cell>
        </row>
        <row r="2666">
          <cell r="A2666" t="str">
            <v>NH TMCP Phat trien Tp.HCM (HDBank)</v>
          </cell>
          <cell r="D2666" t="str">
            <v>Long AnPhat Trien TPHCM CN Long An</v>
          </cell>
          <cell r="E2666">
            <v>4721</v>
          </cell>
        </row>
        <row r="2667">
          <cell r="A2667" t="str">
            <v>NH TMCP Phat trien Tp.HCM (HDBank)</v>
          </cell>
          <cell r="D2667" t="str">
            <v>Dong ThapPhat Trien TPHCM CN Dong Thap</v>
          </cell>
          <cell r="E2667">
            <v>4704</v>
          </cell>
        </row>
        <row r="2668">
          <cell r="A2668" t="str">
            <v>NH TMCP Phat trien Tp.HCM (HDBank)</v>
          </cell>
          <cell r="D2668" t="str">
            <v>An GiangPhat Trien TPHCM CN An Giang</v>
          </cell>
          <cell r="E2668">
            <v>4189</v>
          </cell>
        </row>
        <row r="2669">
          <cell r="A2669" t="str">
            <v>NH TMCP Phat trien Tp.HCM (HDBank)</v>
          </cell>
          <cell r="D2669" t="str">
            <v>Vinh LongPhat Trien TPHCM CN Vinh Long</v>
          </cell>
          <cell r="E2669">
            <v>4732</v>
          </cell>
        </row>
        <row r="2670">
          <cell r="A2670" t="str">
            <v>NH TMCP Phat trien Tp.HCM (HDBank)</v>
          </cell>
          <cell r="D2670" t="str">
            <v>Can ThoPhat Trien TPHCM CN Can Tho</v>
          </cell>
          <cell r="E2670">
            <v>3547</v>
          </cell>
        </row>
        <row r="2671">
          <cell r="A2671" t="str">
            <v>NH TMCP Phat trien Tp.HCM (HDBank)</v>
          </cell>
          <cell r="D2671" t="str">
            <v>Soc TrangPhat Trien TPHCM CN Soc Trang</v>
          </cell>
          <cell r="E2671">
            <v>4728</v>
          </cell>
        </row>
        <row r="2672">
          <cell r="A2672" t="str">
            <v>NH TMCP Phat trien Tp.HCM (HDBank)</v>
          </cell>
          <cell r="D2672" t="str">
            <v>Kien GiangPhat Trien TPHCM CN Kien Giang</v>
          </cell>
          <cell r="E2672">
            <v>4715</v>
          </cell>
        </row>
        <row r="2673">
          <cell r="A2673" t="str">
            <v>NH TMCP Phat trien Tp.HCM (HDBank)</v>
          </cell>
          <cell r="D2673" t="str">
            <v>Ca MauPhat Trien TPHCM CN Ca Mau</v>
          </cell>
          <cell r="E2673">
            <v>4702</v>
          </cell>
        </row>
        <row r="2674">
          <cell r="A2674" t="str">
            <v>NH TMCP Phuong Dong (OCB)</v>
          </cell>
          <cell r="D2674" t="str">
            <v>Ha NoiPhuong Dong CN Cau Giay</v>
          </cell>
          <cell r="E2674">
            <v>4766</v>
          </cell>
        </row>
        <row r="2675">
          <cell r="A2675" t="str">
            <v>NH TMCP Phuong Dong (OCB)</v>
          </cell>
          <cell r="D2675" t="str">
            <v>Ha NoiPhuong Dong CN Ha Noi</v>
          </cell>
          <cell r="E2675">
            <v>651</v>
          </cell>
        </row>
        <row r="2676">
          <cell r="A2676" t="str">
            <v>NH TMCP Phuong Dong (OCB)</v>
          </cell>
          <cell r="D2676" t="str">
            <v>Quang NinhPhuong Dong CN Quang Ninh</v>
          </cell>
          <cell r="E2676">
            <v>4187</v>
          </cell>
        </row>
        <row r="2677">
          <cell r="A2677" t="str">
            <v>NH TMCP Phuong Dong (OCB)</v>
          </cell>
          <cell r="D2677" t="str">
            <v>Hai PhongPhuong Dong CN Hai Phong</v>
          </cell>
          <cell r="E2677">
            <v>3796</v>
          </cell>
        </row>
        <row r="2678">
          <cell r="A2678" t="str">
            <v>NH TMCP Phuong Dong (OCB)</v>
          </cell>
          <cell r="D2678" t="str">
            <v>Thanh HoaPhuong Dong CN Thanh Hoa</v>
          </cell>
          <cell r="E2678">
            <v>4774</v>
          </cell>
        </row>
        <row r="2679">
          <cell r="A2679" t="str">
            <v>NH TMCP Phuong Dong (OCB)</v>
          </cell>
          <cell r="D2679" t="str">
            <v>Nghe AnPhuong Dong CN Nghe An</v>
          </cell>
          <cell r="E2679">
            <v>4311</v>
          </cell>
        </row>
        <row r="2680">
          <cell r="A2680" t="str">
            <v>NH TMCP Phuong Dong (OCB)</v>
          </cell>
          <cell r="D2680" t="str">
            <v>Ho Chi MinhPhuong Dong HCM</v>
          </cell>
          <cell r="E2680">
            <v>1331</v>
          </cell>
        </row>
        <row r="2681">
          <cell r="A2681" t="str">
            <v>NH TMCP Phuong Dong (OCB)</v>
          </cell>
          <cell r="D2681" t="str">
            <v>Ho Chi MinhPhuong Dong CN Ben Thanh</v>
          </cell>
          <cell r="E2681">
            <v>4765</v>
          </cell>
        </row>
        <row r="2682">
          <cell r="A2682" t="str">
            <v>NH TMCP Phuong Dong (OCB)</v>
          </cell>
          <cell r="D2682" t="str">
            <v>Ho Chi MinhPhuong Dong CN Cho Lon</v>
          </cell>
          <cell r="E2682">
            <v>4767</v>
          </cell>
        </row>
        <row r="2683">
          <cell r="A2683" t="str">
            <v>NH TMCP Phuong Dong (OCB)</v>
          </cell>
          <cell r="D2683" t="str">
            <v>Ho Chi MinhPhuong Dong CN Gia Dinh</v>
          </cell>
          <cell r="E2683">
            <v>4768</v>
          </cell>
        </row>
        <row r="2684">
          <cell r="A2684" t="str">
            <v>NH TMCP Phuong Dong (OCB)</v>
          </cell>
          <cell r="D2684" t="str">
            <v>Ho Chi MinhPhuong Dong CN Phu Lam</v>
          </cell>
          <cell r="E2684">
            <v>4769</v>
          </cell>
        </row>
        <row r="2685">
          <cell r="A2685" t="str">
            <v>NH TMCP Phuong Dong (OCB)</v>
          </cell>
          <cell r="D2685" t="str">
            <v>Ho Chi MinhPhuong Dong CN Phu Nhuan</v>
          </cell>
          <cell r="E2685">
            <v>4770</v>
          </cell>
        </row>
        <row r="2686">
          <cell r="A2686" t="str">
            <v>NH TMCP Phuong Dong (OCB)</v>
          </cell>
          <cell r="D2686" t="str">
            <v>Ho Chi MinhPhuong Dong CN Tan Binh</v>
          </cell>
          <cell r="E2686">
            <v>4772</v>
          </cell>
        </row>
        <row r="2687">
          <cell r="A2687" t="str">
            <v>NH TMCP Phuong Dong (OCB)</v>
          </cell>
          <cell r="D2687" t="str">
            <v>Ho Chi MinhPhuong Dong CN Tan Thuan</v>
          </cell>
          <cell r="E2687">
            <v>4773</v>
          </cell>
        </row>
        <row r="2688">
          <cell r="A2688" t="str">
            <v>NH TMCP Phuong Dong (OCB)</v>
          </cell>
          <cell r="D2688" t="str">
            <v>Ho Chi MinhPhuong Dong CN Thu Duc</v>
          </cell>
          <cell r="E2688">
            <v>4775</v>
          </cell>
        </row>
        <row r="2689">
          <cell r="A2689" t="str">
            <v>NH TMCP Phuong Dong (OCB)</v>
          </cell>
          <cell r="D2689" t="str">
            <v>Ho Chi MinhPhuong Dong SGD</v>
          </cell>
          <cell r="E2689">
            <v>4776</v>
          </cell>
        </row>
        <row r="2690">
          <cell r="A2690" t="str">
            <v>NH TMCP Phuong Dong (OCB)</v>
          </cell>
          <cell r="D2690" t="str">
            <v>Ho Chi MinhPhuong Dong CN Quan 4</v>
          </cell>
          <cell r="E2690">
            <v>4791</v>
          </cell>
        </row>
        <row r="2691">
          <cell r="A2691" t="str">
            <v>NH TMCP Phuong Dong (OCB)</v>
          </cell>
          <cell r="D2691" t="str">
            <v>Da NangPhuong Dong CN Trung Viet</v>
          </cell>
          <cell r="E2691">
            <v>3432</v>
          </cell>
        </row>
        <row r="2692">
          <cell r="A2692" t="str">
            <v>NH TMCP Phuong Dong (OCB)</v>
          </cell>
          <cell r="D2692" t="str">
            <v>Quang NamPhuong Dong CN Quang Nam</v>
          </cell>
          <cell r="E2692">
            <v>4296</v>
          </cell>
        </row>
        <row r="2693">
          <cell r="A2693" t="str">
            <v>NH TMCP Phuong Dong (OCB)</v>
          </cell>
          <cell r="D2693" t="str">
            <v>Quang NgaiPhuong Dong CN Quang Ngai</v>
          </cell>
          <cell r="E2693">
            <v>4771</v>
          </cell>
        </row>
        <row r="2694">
          <cell r="A2694" t="str">
            <v>NH TMCP Phuong Dong (OCB)</v>
          </cell>
          <cell r="D2694" t="str">
            <v>Khanh HoaPhuong Dong CN Khanh Hoa</v>
          </cell>
          <cell r="E2694">
            <v>3173</v>
          </cell>
        </row>
        <row r="2695">
          <cell r="A2695" t="str">
            <v>NH TMCP Phuong Dong (OCB)</v>
          </cell>
          <cell r="D2695" t="str">
            <v>Dac LacPhuong Dong CN Dak Lak</v>
          </cell>
          <cell r="E2695">
            <v>3945</v>
          </cell>
        </row>
        <row r="2696">
          <cell r="A2696" t="str">
            <v>NH TMCP Phuong Dong (OCB)</v>
          </cell>
          <cell r="D2696" t="str">
            <v>Hau GiangPhuong Dong CN Hoa An</v>
          </cell>
          <cell r="E2696">
            <v>3714</v>
          </cell>
        </row>
        <row r="2697">
          <cell r="A2697" t="str">
            <v>NH TMCP Phuong Dong (OCB)</v>
          </cell>
          <cell r="D2697" t="str">
            <v>Binh DuongPhuong Dong CN Binh Duong</v>
          </cell>
          <cell r="E2697">
            <v>3245</v>
          </cell>
        </row>
        <row r="2698">
          <cell r="A2698" t="str">
            <v>NH TMCP Phuong Dong (OCB)</v>
          </cell>
          <cell r="D2698" t="str">
            <v>Dong NaiPhuong Dong CN Dong Nai</v>
          </cell>
          <cell r="E2698">
            <v>3122</v>
          </cell>
        </row>
        <row r="2699">
          <cell r="A2699" t="str">
            <v>NH TMCP Phuong Dong (OCB)</v>
          </cell>
          <cell r="D2699" t="str">
            <v>Ba Ria-Vung TauPhuong Dong CN Ba Ria Vung Tau</v>
          </cell>
          <cell r="E2699">
            <v>3979</v>
          </cell>
        </row>
        <row r="2700">
          <cell r="A2700" t="str">
            <v>NH TMCP Phuong Dong (OCB)</v>
          </cell>
          <cell r="D2700" t="str">
            <v>Long AnPhuong Dong CN Long An</v>
          </cell>
          <cell r="E2700">
            <v>3010</v>
          </cell>
        </row>
        <row r="2701">
          <cell r="A2701" t="str">
            <v>NH TMCP Phuong Dong (OCB)</v>
          </cell>
          <cell r="D2701" t="str">
            <v>Dong ThapPhuong Dong CN Dong Thap</v>
          </cell>
          <cell r="E2701">
            <v>4224</v>
          </cell>
        </row>
        <row r="2702">
          <cell r="A2702" t="str">
            <v>NH TMCP Phuong Dong (OCB)</v>
          </cell>
          <cell r="D2702" t="str">
            <v>An GiangPhuong Dong CN An Giang</v>
          </cell>
          <cell r="E2702">
            <v>3895</v>
          </cell>
        </row>
        <row r="2703">
          <cell r="A2703" t="str">
            <v>NH TMCP Phuong Dong (OCB)</v>
          </cell>
          <cell r="D2703" t="str">
            <v>Vinh LongPhuong Dong CN Vinh Long</v>
          </cell>
          <cell r="E2703">
            <v>4040</v>
          </cell>
        </row>
        <row r="2704">
          <cell r="A2704" t="str">
            <v>NH TMCP Phuong Dong (OCB)</v>
          </cell>
          <cell r="D2704" t="str">
            <v>Can ThoPhuong Dong CN Tay Do</v>
          </cell>
          <cell r="E2704">
            <v>3675</v>
          </cell>
        </row>
        <row r="2705">
          <cell r="A2705" t="str">
            <v>NH TMCP Phuong Dong (OCB)</v>
          </cell>
          <cell r="D2705" t="str">
            <v>Soc TrangPhuong Dong CN Soc Trang</v>
          </cell>
          <cell r="E2705">
            <v>4110</v>
          </cell>
        </row>
        <row r="2706">
          <cell r="A2706" t="str">
            <v>NH TMCP Phuong Dong (OCB)</v>
          </cell>
          <cell r="D2706" t="str">
            <v>Kien GiangPhuong Dong CN Kien Giang</v>
          </cell>
          <cell r="E2706">
            <v>4214</v>
          </cell>
        </row>
        <row r="2707">
          <cell r="A2707" t="str">
            <v>NH TMCP Phuong Dong (OCB)</v>
          </cell>
          <cell r="D2707" t="str">
            <v>Kien GiangPhuong Dong PGD Kien Giang</v>
          </cell>
          <cell r="E2707">
            <v>4213</v>
          </cell>
        </row>
        <row r="2708">
          <cell r="A2708" t="str">
            <v>NH TMCP Phuong Dong (OCB)</v>
          </cell>
          <cell r="D2708" t="str">
            <v>Bac LieuPhuong Dong CN Bac Lieu</v>
          </cell>
          <cell r="E2708">
            <v>3790</v>
          </cell>
        </row>
        <row r="2709">
          <cell r="A2709" t="str">
            <v>NH TMCP Phuong Dong (OCB)</v>
          </cell>
          <cell r="D2709" t="str">
            <v>Ca MauPhuong Dong CN Ca Mau</v>
          </cell>
          <cell r="E2709">
            <v>4098</v>
          </cell>
        </row>
        <row r="2710">
          <cell r="A2710" t="str">
            <v>NH TMCP Quan Doi (MB)</v>
          </cell>
          <cell r="D2710" t="str">
            <v>Ha NoiQuan Doi CN Dong Anh</v>
          </cell>
          <cell r="E2710">
            <v>5110</v>
          </cell>
        </row>
        <row r="2711">
          <cell r="A2711" t="str">
            <v>NH TMCP Quan Doi (MB)</v>
          </cell>
          <cell r="D2711" t="str">
            <v>Ha NoiQuan Doi CN Thang Long</v>
          </cell>
          <cell r="E2711">
            <v>4821</v>
          </cell>
        </row>
        <row r="2712">
          <cell r="A2712" t="str">
            <v>NH TMCP Quan Doi (MB)</v>
          </cell>
          <cell r="D2712" t="str">
            <v>Ha NoiQuan Doi CN Thanh Xuan</v>
          </cell>
          <cell r="E2712">
            <v>4822</v>
          </cell>
        </row>
        <row r="2713">
          <cell r="A2713" t="str">
            <v>NH TMCP Quan Doi (MB)</v>
          </cell>
          <cell r="D2713" t="str">
            <v>Ha NoiQuan Doi CN Tran Duy Hung</v>
          </cell>
          <cell r="E2713">
            <v>4824</v>
          </cell>
        </row>
        <row r="2714">
          <cell r="A2714" t="str">
            <v>NH TMCP Quan Doi (MB)</v>
          </cell>
          <cell r="D2714" t="str">
            <v>Ha NoiQuan Doi CN Tuyen Quang</v>
          </cell>
          <cell r="E2714">
            <v>5152</v>
          </cell>
        </row>
        <row r="2715">
          <cell r="A2715" t="str">
            <v>NH TMCP Quan Doi (MB)</v>
          </cell>
          <cell r="D2715" t="str">
            <v>Ha NoiQuan Doi CN Yen Bai</v>
          </cell>
          <cell r="E2715">
            <v>5153</v>
          </cell>
        </row>
        <row r="2716">
          <cell r="A2716" t="str">
            <v>NH TMCP Quan Doi (MB)</v>
          </cell>
          <cell r="D2716" t="str">
            <v>Ha NoiQuan Doi CN Lang Son</v>
          </cell>
          <cell r="E2716">
            <v>5154</v>
          </cell>
        </row>
        <row r="2717">
          <cell r="A2717" t="str">
            <v>NH TMCP Quan Doi (MB)</v>
          </cell>
          <cell r="D2717" t="str">
            <v>Ha NoiQuan Doi CN Quang Binh</v>
          </cell>
          <cell r="E2717">
            <v>5155</v>
          </cell>
        </row>
        <row r="2718">
          <cell r="A2718" t="str">
            <v>NH TMCP Quan Doi (MB)</v>
          </cell>
          <cell r="D2718" t="str">
            <v>Ha NoiQuan Doi CN Nam Binh Duong</v>
          </cell>
          <cell r="E2718">
            <v>5156</v>
          </cell>
        </row>
        <row r="2719">
          <cell r="A2719" t="str">
            <v>NH TMCP Quan Doi (MB)</v>
          </cell>
          <cell r="D2719" t="str">
            <v>Ha NoiQuan Doi CN Ba Dinh</v>
          </cell>
          <cell r="E2719">
            <v>4793</v>
          </cell>
        </row>
        <row r="2720">
          <cell r="A2720" t="str">
            <v>NH TMCP Quan Doi (MB)</v>
          </cell>
          <cell r="D2720" t="str">
            <v>Ha NoiQuan Doi CN Hai Ba Trung</v>
          </cell>
          <cell r="E2720">
            <v>4802</v>
          </cell>
        </row>
        <row r="2721">
          <cell r="A2721" t="str">
            <v>NH TMCP Quan Doi (MB)</v>
          </cell>
          <cell r="D2721" t="str">
            <v>Ha NoiQuan Doi CN Dong Da</v>
          </cell>
          <cell r="E2721">
            <v>4798</v>
          </cell>
        </row>
        <row r="2722">
          <cell r="A2722" t="str">
            <v>NH TMCP Quan Doi (MB)</v>
          </cell>
          <cell r="D2722" t="str">
            <v>Ha NoiQuan Doi CN Hoan Kiem</v>
          </cell>
          <cell r="E2722">
            <v>4804</v>
          </cell>
        </row>
        <row r="2723">
          <cell r="A2723" t="str">
            <v>NH TMCP Quan Doi (MB)</v>
          </cell>
          <cell r="D2723" t="str">
            <v>Ha NoiQuan Doi CN Hoang Quoc Viet</v>
          </cell>
          <cell r="E2723">
            <v>4805</v>
          </cell>
        </row>
        <row r="2724">
          <cell r="A2724" t="str">
            <v>NH TMCP Quan Doi (MB)</v>
          </cell>
          <cell r="D2724" t="str">
            <v>Ha NoiQuan Doi CN Long Bien</v>
          </cell>
          <cell r="E2724">
            <v>4807</v>
          </cell>
        </row>
        <row r="2725">
          <cell r="A2725" t="str">
            <v>NH TMCP Quan Doi (MB)</v>
          </cell>
          <cell r="D2725" t="str">
            <v>Ha NoiQuan Doi CN My Dinh</v>
          </cell>
          <cell r="E2725">
            <v>4809</v>
          </cell>
        </row>
        <row r="2726">
          <cell r="A2726" t="str">
            <v>NH TMCP Quan Doi (MB)</v>
          </cell>
          <cell r="D2726" t="str">
            <v>Ha NoiQuan Doi CN Son Tay</v>
          </cell>
          <cell r="E2726">
            <v>4817</v>
          </cell>
        </row>
        <row r="2727">
          <cell r="A2727" t="str">
            <v>NH TMCP Quan Doi (MB)</v>
          </cell>
          <cell r="D2727" t="str">
            <v>Ha NoiQuan Doi CN Tay  Ho</v>
          </cell>
          <cell r="E2727">
            <v>4819</v>
          </cell>
        </row>
        <row r="2728">
          <cell r="A2728" t="str">
            <v>NH TMCP Quan Doi (MB)</v>
          </cell>
          <cell r="D2728" t="str">
            <v>Ha NoiQuan Doi CN Tay Ha Noi</v>
          </cell>
          <cell r="E2728">
            <v>4820</v>
          </cell>
        </row>
        <row r="2729">
          <cell r="A2729" t="str">
            <v>NH TMCP Quan Doi (MB)</v>
          </cell>
          <cell r="D2729" t="str">
            <v>Ha NoiQuan Doi SGD 1</v>
          </cell>
          <cell r="E2729">
            <v>2831</v>
          </cell>
        </row>
        <row r="2730">
          <cell r="A2730" t="str">
            <v>NH TMCP Quan Doi (MB)</v>
          </cell>
          <cell r="D2730" t="str">
            <v>Ha NoiQuan Doi CN Dien Bien Phu</v>
          </cell>
          <cell r="E2730">
            <v>2864</v>
          </cell>
        </row>
        <row r="2731">
          <cell r="A2731" t="str">
            <v>NH TMCP Quan Doi (MB)</v>
          </cell>
          <cell r="D2731" t="str">
            <v>Ha NoiQuan Doi Ha Noi</v>
          </cell>
          <cell r="E2731">
            <v>1333</v>
          </cell>
        </row>
        <row r="2732">
          <cell r="A2732" t="str">
            <v>NH TMCP Quan Doi (MB)</v>
          </cell>
          <cell r="D2732" t="str">
            <v>Thai NguyenQuan Doi CN Thai Nguyen</v>
          </cell>
          <cell r="E2732">
            <v>3625</v>
          </cell>
        </row>
        <row r="2733">
          <cell r="A2733" t="str">
            <v>NH TMCP Quan Doi (MB)</v>
          </cell>
          <cell r="D2733" t="str">
            <v>Lao CaiQuan Doi CN Lao Cai</v>
          </cell>
          <cell r="E2733">
            <v>4343</v>
          </cell>
        </row>
        <row r="2734">
          <cell r="A2734" t="str">
            <v>NH TMCP Quan Doi (MB)</v>
          </cell>
          <cell r="D2734" t="str">
            <v>Quang NinhQuan Doi CN Mong Cai</v>
          </cell>
          <cell r="E2734">
            <v>4808</v>
          </cell>
        </row>
        <row r="2735">
          <cell r="A2735" t="str">
            <v>NH TMCP Quan Doi (MB)</v>
          </cell>
          <cell r="D2735" t="str">
            <v>Quang NinhQuan Doi CN Quang Ninh</v>
          </cell>
          <cell r="E2735">
            <v>2986</v>
          </cell>
        </row>
        <row r="2736">
          <cell r="A2736" t="str">
            <v>NH TMCP Quan Doi (MB)</v>
          </cell>
          <cell r="D2736" t="str">
            <v>Hai PhongQuan Doi CN Bac Hai HP</v>
          </cell>
          <cell r="E2736">
            <v>4794</v>
          </cell>
        </row>
        <row r="2737">
          <cell r="A2737" t="str">
            <v>NH TMCP Quan Doi (MB)</v>
          </cell>
          <cell r="D2737" t="str">
            <v>Hai PhongQuan Doi CN Nam Hai Phong</v>
          </cell>
          <cell r="E2737">
            <v>4812</v>
          </cell>
        </row>
        <row r="2738">
          <cell r="A2738" t="str">
            <v>NH TMCP Quan Doi (MB)</v>
          </cell>
          <cell r="D2738" t="str">
            <v>Hai PhongQuan Doi CN Hai Phong</v>
          </cell>
          <cell r="E2738">
            <v>2922</v>
          </cell>
        </row>
        <row r="2739">
          <cell r="A2739" t="str">
            <v>NH TMCP Quan Doi (MB)</v>
          </cell>
          <cell r="D2739" t="str">
            <v>Hai DuongQuan Doi CN Hai Duong</v>
          </cell>
          <cell r="E2739">
            <v>4087</v>
          </cell>
        </row>
        <row r="2740">
          <cell r="A2740" t="str">
            <v>NH TMCP Quan Doi (MB)</v>
          </cell>
          <cell r="D2740" t="str">
            <v>Hung YenQuan Doi CN Hung Yen</v>
          </cell>
          <cell r="E2740">
            <v>3988</v>
          </cell>
        </row>
        <row r="2741">
          <cell r="A2741" t="str">
            <v>NH TMCP Quan Doi (MB)</v>
          </cell>
          <cell r="D2741" t="str">
            <v>Bac GiangQuan Doi CN Bac Giang</v>
          </cell>
          <cell r="E2741">
            <v>5103</v>
          </cell>
        </row>
        <row r="2742">
          <cell r="A2742" t="str">
            <v>NH TMCP Quan Doi (MB)</v>
          </cell>
          <cell r="D2742" t="str">
            <v>Bac NinhQuan Doi CN Bac Ninh</v>
          </cell>
          <cell r="E2742">
            <v>4004</v>
          </cell>
        </row>
        <row r="2743">
          <cell r="A2743" t="str">
            <v>NH TMCP Quan Doi (MB)</v>
          </cell>
          <cell r="D2743" t="str">
            <v>Phu ThoQuan Doi CN Viet Tri</v>
          </cell>
          <cell r="E2743">
            <v>3478</v>
          </cell>
        </row>
        <row r="2744">
          <cell r="A2744" t="str">
            <v>NH TMCP Quan Doi (MB)</v>
          </cell>
          <cell r="D2744" t="str">
            <v>Vinh PhucQuan Doi CN Vinh Phuc</v>
          </cell>
          <cell r="E2744">
            <v>3803</v>
          </cell>
        </row>
        <row r="2745">
          <cell r="A2745" t="str">
            <v>NH TMCP Quan Doi (MB)</v>
          </cell>
          <cell r="D2745" t="str">
            <v>Hoa BinhQuan Doi CN Hoa Binh</v>
          </cell>
          <cell r="E2745">
            <v>4803</v>
          </cell>
        </row>
        <row r="2746">
          <cell r="A2746" t="str">
            <v>NH TMCP Quan Doi (MB)</v>
          </cell>
          <cell r="D2746" t="str">
            <v>Ha NamQuan Doi CN Ha Nam</v>
          </cell>
          <cell r="E2746">
            <v>4800</v>
          </cell>
        </row>
        <row r="2747">
          <cell r="A2747" t="str">
            <v>NH TMCP Quan Doi (MB)</v>
          </cell>
          <cell r="D2747" t="str">
            <v>Nam DinhQuan Doi CN Nam Dinh</v>
          </cell>
          <cell r="E2747">
            <v>4811</v>
          </cell>
        </row>
        <row r="2748">
          <cell r="A2748" t="str">
            <v>NH TMCP Quan Doi (MB)</v>
          </cell>
          <cell r="D2748" t="str">
            <v>Ninh BinhQuan Doi CN Ninh Binh</v>
          </cell>
          <cell r="E2748">
            <v>3601</v>
          </cell>
        </row>
        <row r="2749">
          <cell r="A2749" t="str">
            <v>NH TMCP Quan Doi (MB)</v>
          </cell>
          <cell r="D2749" t="str">
            <v>Thai BinhQuan Doi CN Thai Binh</v>
          </cell>
          <cell r="E2749">
            <v>4360</v>
          </cell>
        </row>
        <row r="2750">
          <cell r="A2750" t="str">
            <v>NH TMCP Quan Doi (MB)</v>
          </cell>
          <cell r="D2750" t="str">
            <v>Thanh HoaQuan Doi CN Thanh Hoa</v>
          </cell>
          <cell r="E2750">
            <v>3505</v>
          </cell>
        </row>
        <row r="2751">
          <cell r="A2751" t="str">
            <v>NH TMCP Quan Doi (MB)</v>
          </cell>
          <cell r="D2751" t="str">
            <v>Nghe AnQuan Doi CN Nghe An</v>
          </cell>
          <cell r="E2751">
            <v>3779</v>
          </cell>
        </row>
        <row r="2752">
          <cell r="A2752" t="str">
            <v>NH TMCP Quan Doi (MB)</v>
          </cell>
          <cell r="D2752" t="str">
            <v>Ha TinhQuan Doi CN Ha Tinh</v>
          </cell>
          <cell r="E2752">
            <v>4801</v>
          </cell>
        </row>
        <row r="2753">
          <cell r="A2753" t="str">
            <v>NH TMCP Quan Doi (MB)</v>
          </cell>
          <cell r="D2753" t="str">
            <v>Quang TriQuan Doi CN Quang Tri</v>
          </cell>
          <cell r="E2753">
            <v>4304</v>
          </cell>
        </row>
        <row r="2754">
          <cell r="A2754" t="str">
            <v>NH TMCP Quan Doi (MB)</v>
          </cell>
          <cell r="D2754" t="str">
            <v>Thua Thien HueQuan Doi CN Hue</v>
          </cell>
          <cell r="E2754">
            <v>3298</v>
          </cell>
        </row>
        <row r="2755">
          <cell r="A2755" t="str">
            <v>NH TMCP Quan Doi (MB)</v>
          </cell>
          <cell r="D2755" t="str">
            <v>Ho Chi MinhQuan Doi HCM</v>
          </cell>
          <cell r="E2755">
            <v>242</v>
          </cell>
        </row>
        <row r="2756">
          <cell r="A2756" t="str">
            <v>NH TMCP Quan Doi (MB)</v>
          </cell>
          <cell r="D2756" t="str">
            <v>Ho Chi MinhQuan Doi CN Cho Lon</v>
          </cell>
          <cell r="E2756">
            <v>3258</v>
          </cell>
        </row>
        <row r="2757">
          <cell r="A2757" t="str">
            <v>NH TMCP Quan Doi (MB)</v>
          </cell>
          <cell r="D2757" t="str">
            <v>Ho Chi MinhQuan Doi CN Go Vap (Bac SG)</v>
          </cell>
          <cell r="E2757">
            <v>2801</v>
          </cell>
        </row>
        <row r="2758">
          <cell r="A2758" t="str">
            <v>NH TMCP Quan Doi (MB)</v>
          </cell>
          <cell r="D2758" t="str">
            <v>Ho Chi MinhQuan Doi CN An Phu</v>
          </cell>
          <cell r="E2758">
            <v>4792</v>
          </cell>
        </row>
        <row r="2759">
          <cell r="A2759" t="str">
            <v>NH TMCP Quan Doi (MB)</v>
          </cell>
          <cell r="D2759" t="str">
            <v>Ho Chi MinhQuan Doi CN Gia Dinh</v>
          </cell>
          <cell r="E2759">
            <v>4799</v>
          </cell>
        </row>
        <row r="2760">
          <cell r="A2760" t="str">
            <v>NH TMCP Quan Doi (MB)</v>
          </cell>
          <cell r="D2760" t="str">
            <v>Ho Chi MinhQuan Doi CN Nam Sai Gon</v>
          </cell>
          <cell r="E2760">
            <v>4813</v>
          </cell>
        </row>
        <row r="2761">
          <cell r="A2761" t="str">
            <v>NH TMCP Quan Doi (MB)</v>
          </cell>
          <cell r="D2761" t="str">
            <v>Ho Chi MinhQuan Doi CN Sai Gon</v>
          </cell>
          <cell r="E2761">
            <v>4814</v>
          </cell>
        </row>
        <row r="2762">
          <cell r="A2762" t="str">
            <v>NH TMCP Quan Doi (MB)</v>
          </cell>
          <cell r="D2762" t="str">
            <v>Ho Chi MinhQuan Doi CN SGD 2</v>
          </cell>
          <cell r="E2762">
            <v>4816</v>
          </cell>
        </row>
        <row r="2763">
          <cell r="A2763" t="str">
            <v>NH TMCP Quan Doi (MB)</v>
          </cell>
          <cell r="D2763" t="str">
            <v>Ho Chi MinhQuan Doi CN Tan Thuan</v>
          </cell>
          <cell r="E2763">
            <v>4818</v>
          </cell>
        </row>
        <row r="2764">
          <cell r="A2764" t="str">
            <v>NH TMCP Quan Doi (MB)</v>
          </cell>
          <cell r="D2764" t="str">
            <v>Ho Chi MinhQuan Doi CN Hoc Mon</v>
          </cell>
          <cell r="E2764">
            <v>5123</v>
          </cell>
        </row>
        <row r="2765">
          <cell r="A2765" t="str">
            <v>NH TMCP Quan Doi (MB)</v>
          </cell>
          <cell r="D2765" t="str">
            <v>Da NangQuan Doi CN Nam Da Nang</v>
          </cell>
          <cell r="E2765">
            <v>4810</v>
          </cell>
        </row>
        <row r="2766">
          <cell r="A2766" t="str">
            <v>NH TMCP Quan Doi (MB)</v>
          </cell>
          <cell r="D2766" t="str">
            <v>Da NangQuan Doi CN Da Nang</v>
          </cell>
          <cell r="E2766">
            <v>2934</v>
          </cell>
        </row>
        <row r="2767">
          <cell r="A2767" t="str">
            <v>NH TMCP Quan Doi (MB)</v>
          </cell>
          <cell r="D2767" t="str">
            <v>Quang NamQuan Doi CN Quang Nam</v>
          </cell>
          <cell r="E2767">
            <v>4136</v>
          </cell>
        </row>
        <row r="2768">
          <cell r="A2768" t="str">
            <v>NH TMCP Quan Doi (MB)</v>
          </cell>
          <cell r="D2768" t="str">
            <v>Quang NgaiQuan Doi CN Quang Ngai</v>
          </cell>
          <cell r="E2768">
            <v>3205</v>
          </cell>
        </row>
        <row r="2769">
          <cell r="A2769" t="str">
            <v>NH TMCP Quan Doi (MB)</v>
          </cell>
          <cell r="D2769" t="str">
            <v>Binh DinhQuan Doi CN Binh Dinh</v>
          </cell>
          <cell r="E2769">
            <v>3136</v>
          </cell>
        </row>
        <row r="2770">
          <cell r="A2770" t="str">
            <v>NH TMCP Quan Doi (MB)</v>
          </cell>
          <cell r="D2770" t="str">
            <v>Khanh HoaQuan Doi CN Khanh Hoa</v>
          </cell>
          <cell r="E2770">
            <v>3287</v>
          </cell>
        </row>
        <row r="2771">
          <cell r="A2771" t="str">
            <v>NH TMCP Quan Doi (MB)</v>
          </cell>
          <cell r="D2771" t="str">
            <v>Binh ThuanQuan Doi CN Binh Thuan</v>
          </cell>
          <cell r="E2771">
            <v>4797</v>
          </cell>
        </row>
        <row r="2772">
          <cell r="A2772" t="str">
            <v>NH TMCP Quan Doi (MB)</v>
          </cell>
          <cell r="D2772" t="str">
            <v>Gia LaiQuan Doi CN Gia Lai</v>
          </cell>
          <cell r="E2772">
            <v>3876</v>
          </cell>
        </row>
        <row r="2773">
          <cell r="A2773" t="str">
            <v>NH TMCP Quan Doi (MB)</v>
          </cell>
          <cell r="D2773" t="str">
            <v>Dac LacQuan Doi CN Dak Lak</v>
          </cell>
          <cell r="E2773">
            <v>3489</v>
          </cell>
        </row>
        <row r="2774">
          <cell r="A2774" t="str">
            <v>NH TMCP Quan Doi (MB)</v>
          </cell>
          <cell r="D2774" t="str">
            <v>Lam DongQuan Doi CN Lam Dong</v>
          </cell>
          <cell r="E2774">
            <v>4806</v>
          </cell>
        </row>
        <row r="2775">
          <cell r="A2775" t="str">
            <v>NH TMCP Quan Doi (MB)</v>
          </cell>
          <cell r="D2775" t="str">
            <v>Binh DuongQuan Doi CN Binh Duong</v>
          </cell>
          <cell r="E2775">
            <v>3350</v>
          </cell>
        </row>
        <row r="2776">
          <cell r="A2776" t="str">
            <v>NH TMCP Quan Doi (MB)</v>
          </cell>
          <cell r="D2776" t="str">
            <v>Binh PhuocQuan Doi CN Binh Phuoc</v>
          </cell>
          <cell r="E2776">
            <v>4796</v>
          </cell>
        </row>
        <row r="2777">
          <cell r="A2777" t="str">
            <v>NH TMCP Quan Doi (MB)</v>
          </cell>
          <cell r="D2777" t="str">
            <v>Tay NinhQuan Doi CN Tay Ninh</v>
          </cell>
          <cell r="E2777">
            <v>4078</v>
          </cell>
        </row>
        <row r="2778">
          <cell r="A2778" t="str">
            <v>NH TMCP Quan Doi (MB)</v>
          </cell>
          <cell r="D2778" t="str">
            <v>Dong NaiQuan Doi CN Dong Nai</v>
          </cell>
          <cell r="E2778">
            <v>3318</v>
          </cell>
        </row>
        <row r="2779">
          <cell r="A2779" t="str">
            <v>NH TMCP Quan Doi (MB)</v>
          </cell>
          <cell r="D2779" t="str">
            <v>Ba Ria-Vung TauQuan Doi CN Vung Tau</v>
          </cell>
          <cell r="E2779">
            <v>3553</v>
          </cell>
        </row>
        <row r="2780">
          <cell r="A2780" t="str">
            <v>NH TMCP Quan Doi (MB)</v>
          </cell>
          <cell r="D2780" t="str">
            <v>Long AnQuan Doi CN Long An</v>
          </cell>
          <cell r="E2780">
            <v>4240</v>
          </cell>
        </row>
        <row r="2781">
          <cell r="A2781" t="str">
            <v>NH TMCP Quan Doi (MB)</v>
          </cell>
          <cell r="D2781" t="str">
            <v>Dong ThapQuan Doi CN Dong Thap</v>
          </cell>
          <cell r="E2781">
            <v>4221</v>
          </cell>
        </row>
        <row r="2782">
          <cell r="A2782" t="str">
            <v>NH TMCP Quan Doi (MB)</v>
          </cell>
          <cell r="D2782" t="str">
            <v>An GiangQuan Doi CN An Giang</v>
          </cell>
          <cell r="E2782">
            <v>4117</v>
          </cell>
        </row>
        <row r="2783">
          <cell r="A2783" t="str">
            <v>NH TMCP Quan Doi (MB)</v>
          </cell>
          <cell r="D2783" t="str">
            <v>Tien GiangQuan Doi CN Tien Giang</v>
          </cell>
          <cell r="E2783">
            <v>4823</v>
          </cell>
        </row>
        <row r="2784">
          <cell r="A2784" t="str">
            <v>NH TMCP Quan Doi (MB)</v>
          </cell>
          <cell r="D2784" t="str">
            <v>Can ThoQuan Doi CN Can Tho</v>
          </cell>
          <cell r="E2784">
            <v>3091</v>
          </cell>
        </row>
        <row r="2785">
          <cell r="A2785" t="str">
            <v>NH TMCP Quan Doi (MB)</v>
          </cell>
          <cell r="D2785" t="str">
            <v>Kien GiangQuan Doi CN Kien Giang</v>
          </cell>
          <cell r="E2785">
            <v>4208</v>
          </cell>
        </row>
        <row r="2786">
          <cell r="A2786" t="str">
            <v>NH TMCP Quan Doi (MB)</v>
          </cell>
          <cell r="D2786" t="str">
            <v>Ca MauQuan Doi CN Ca Mau</v>
          </cell>
          <cell r="E2786">
            <v>4351</v>
          </cell>
        </row>
        <row r="2787">
          <cell r="A2787" t="str">
            <v>NH TMCP Quoc Dan</v>
          </cell>
          <cell r="D2787" t="str">
            <v>Ha NoiQuoc Dan Hoi So Chinh</v>
          </cell>
          <cell r="E2787">
            <v>4825</v>
          </cell>
        </row>
        <row r="2788">
          <cell r="A2788" t="str">
            <v>NH TMCP Quoc Dan</v>
          </cell>
          <cell r="D2788" t="str">
            <v>Ha NoiQuoc Dan CN Ha Noi</v>
          </cell>
          <cell r="E2788">
            <v>2836</v>
          </cell>
        </row>
        <row r="2789">
          <cell r="A2789" t="str">
            <v>NH TMCP Quoc Dan</v>
          </cell>
          <cell r="D2789" t="str">
            <v>Thai NguyenQuoc Dan CN Thai Nguyen</v>
          </cell>
          <cell r="E2789">
            <v>3893</v>
          </cell>
        </row>
        <row r="2790">
          <cell r="A2790" t="str">
            <v>NH TMCP Quoc Dan</v>
          </cell>
          <cell r="D2790" t="str">
            <v>Hai PhongQuoc Dan CN Hai Phong</v>
          </cell>
          <cell r="E2790">
            <v>2860</v>
          </cell>
        </row>
        <row r="2791">
          <cell r="A2791" t="str">
            <v>NH TMCP Quoc Dan</v>
          </cell>
          <cell r="D2791" t="str">
            <v>Hung YenQuoc Dan CN Hung Yen</v>
          </cell>
          <cell r="E2791">
            <v>4316</v>
          </cell>
        </row>
        <row r="2792">
          <cell r="A2792" t="str">
            <v>NH TMCP Quoc Dan</v>
          </cell>
          <cell r="D2792" t="str">
            <v>Bac GiangQuoc Dan CN Bac Giang</v>
          </cell>
          <cell r="E2792">
            <v>4334</v>
          </cell>
        </row>
        <row r="2793">
          <cell r="A2793" t="str">
            <v>NH TMCP Quoc Dan</v>
          </cell>
          <cell r="D2793" t="str">
            <v>Bac NinhQuoc Dan CN Bac Ninh</v>
          </cell>
          <cell r="E2793">
            <v>4325</v>
          </cell>
        </row>
        <row r="2794">
          <cell r="A2794" t="str">
            <v>NH TMCP Quoc Dan</v>
          </cell>
          <cell r="D2794" t="str">
            <v>Thai BinhQuoc Dan CN Hai Phong PGD so 9 (Thai Binh)</v>
          </cell>
          <cell r="E2794">
            <v>4315</v>
          </cell>
        </row>
        <row r="2795">
          <cell r="A2795" t="str">
            <v>NH TMCP Quoc Dan</v>
          </cell>
          <cell r="D2795" t="str">
            <v>Thua Thien HueQuoc Dan CN Hue</v>
          </cell>
          <cell r="E2795">
            <v>4301</v>
          </cell>
        </row>
        <row r="2796">
          <cell r="A2796" t="str">
            <v>NH TMCP Quoc Dan</v>
          </cell>
          <cell r="D2796" t="str">
            <v>Ho Chi MinhQuoc Dan So Giao Dich</v>
          </cell>
          <cell r="E2796">
            <v>2854</v>
          </cell>
        </row>
        <row r="2797">
          <cell r="A2797" t="str">
            <v>NH TMCP Quoc Dan</v>
          </cell>
          <cell r="D2797" t="str">
            <v>Da NangQuoc Dan CN Da Nang</v>
          </cell>
          <cell r="E2797">
            <v>3544</v>
          </cell>
        </row>
        <row r="2798">
          <cell r="A2798" t="str">
            <v>NH TMCP Quoc Dan</v>
          </cell>
          <cell r="D2798" t="str">
            <v>Binh DuongQuoc Dan CN Binh Duong</v>
          </cell>
          <cell r="E2798">
            <v>3351</v>
          </cell>
        </row>
        <row r="2799">
          <cell r="A2799" t="str">
            <v>NH TMCP Quoc Dan</v>
          </cell>
          <cell r="D2799" t="str">
            <v>Dong NaiQuoc Dan CN Dong Nai</v>
          </cell>
          <cell r="E2799">
            <v>3871</v>
          </cell>
        </row>
        <row r="2800">
          <cell r="A2800" t="str">
            <v>NH TMCP Quoc Dan</v>
          </cell>
          <cell r="D2800" t="str">
            <v>Ba Ria-Vung TauQuoc Dan CN Ba Ria Vung Tau</v>
          </cell>
          <cell r="E2800">
            <v>3747</v>
          </cell>
        </row>
        <row r="2801">
          <cell r="A2801" t="str">
            <v>NH TMCP Quoc Dan</v>
          </cell>
          <cell r="D2801" t="str">
            <v>Long AnQuoc Dan CN Long An</v>
          </cell>
          <cell r="E2801">
            <v>3502</v>
          </cell>
        </row>
        <row r="2802">
          <cell r="A2802" t="str">
            <v>NH TMCP Quoc Dan</v>
          </cell>
          <cell r="D2802" t="str">
            <v>An GiangQuoc Dan CN An Giang</v>
          </cell>
          <cell r="E2802">
            <v>4191</v>
          </cell>
        </row>
        <row r="2803">
          <cell r="A2803" t="str">
            <v>NH TMCP Quoc Dan</v>
          </cell>
          <cell r="D2803" t="str">
            <v>Tien GiangQuoc Dan CN Tien Giang</v>
          </cell>
          <cell r="E2803">
            <v>4235</v>
          </cell>
        </row>
        <row r="2804">
          <cell r="A2804" t="str">
            <v>NH TMCP Quoc Dan</v>
          </cell>
          <cell r="D2804" t="str">
            <v>Vinh LongQuoc Dan CN Vinh Long</v>
          </cell>
          <cell r="E2804">
            <v>4044</v>
          </cell>
        </row>
        <row r="2805">
          <cell r="A2805" t="str">
            <v>NH TMCP Quoc Dan</v>
          </cell>
          <cell r="D2805" t="str">
            <v>Can ThoQuoc Dan CN Can Tho</v>
          </cell>
          <cell r="E2805">
            <v>3627</v>
          </cell>
        </row>
        <row r="2806">
          <cell r="A2806" t="str">
            <v>NH TMCP Quoc Dan</v>
          </cell>
          <cell r="D2806" t="str">
            <v>Kien GiangQuoc Dan CN Kien Giang</v>
          </cell>
          <cell r="E2806">
            <v>1326</v>
          </cell>
        </row>
        <row r="2807">
          <cell r="A2807" t="str">
            <v>NH TMCP Quoc Dan</v>
          </cell>
          <cell r="D2807" t="str">
            <v>Bac LieuQuoc Dan CN Bac Lieu</v>
          </cell>
          <cell r="E2807">
            <v>3855</v>
          </cell>
        </row>
        <row r="2808">
          <cell r="A2808" t="str">
            <v>NH TMCP Quoc Dan</v>
          </cell>
          <cell r="D2808" t="str">
            <v>Ca MauQuoc Dan CN Ca Mau</v>
          </cell>
          <cell r="E2808">
            <v>4095</v>
          </cell>
        </row>
        <row r="2809">
          <cell r="A2809" t="str">
            <v>NH TMCP Quoc Te (VIB BANK)</v>
          </cell>
          <cell r="D2809" t="str">
            <v>Ha NoiQuoc Te CN Ba Dinh</v>
          </cell>
          <cell r="E2809">
            <v>4826</v>
          </cell>
        </row>
        <row r="2810">
          <cell r="A2810" t="str">
            <v>NH TMCP Quoc Te (VIB BANK)</v>
          </cell>
          <cell r="D2810" t="str">
            <v>Ha NoiQuoc Te CN Cau Giay</v>
          </cell>
          <cell r="E2810">
            <v>4829</v>
          </cell>
        </row>
        <row r="2811">
          <cell r="A2811" t="str">
            <v>NH TMCP Quoc Te (VIB BANK)</v>
          </cell>
          <cell r="D2811" t="str">
            <v>Ha NoiQuoc Te CN Dong Da</v>
          </cell>
          <cell r="E2811">
            <v>4830</v>
          </cell>
        </row>
        <row r="2812">
          <cell r="A2812" t="str">
            <v>NH TMCP Quoc Te (VIB BANK)</v>
          </cell>
          <cell r="D2812" t="str">
            <v>Ha NoiQuoc Te CN Ha Dong</v>
          </cell>
          <cell r="E2812">
            <v>4832</v>
          </cell>
        </row>
        <row r="2813">
          <cell r="A2813" t="str">
            <v>NH TMCP Quoc Te (VIB BANK)</v>
          </cell>
          <cell r="D2813" t="str">
            <v>Ha NoiQuoc Te CN Ha Noi</v>
          </cell>
          <cell r="E2813">
            <v>4833</v>
          </cell>
        </row>
        <row r="2814">
          <cell r="A2814" t="str">
            <v>NH TMCP Quoc Te (VIB BANK)</v>
          </cell>
          <cell r="D2814" t="str">
            <v>Ha NoiQuoc Te CN Hai Ba Trung</v>
          </cell>
          <cell r="E2814">
            <v>4834</v>
          </cell>
        </row>
        <row r="2815">
          <cell r="A2815" t="str">
            <v>NH TMCP Quoc Te (VIB BANK)</v>
          </cell>
          <cell r="D2815" t="str">
            <v>Ha NoiQuoc Te CN Hoan Kiem</v>
          </cell>
          <cell r="E2815">
            <v>4836</v>
          </cell>
        </row>
        <row r="2816">
          <cell r="A2816" t="str">
            <v>NH TMCP Quoc Te (VIB BANK)</v>
          </cell>
          <cell r="D2816" t="str">
            <v>Ha NoiQuoc Te CN Long Bien</v>
          </cell>
          <cell r="E2816">
            <v>4838</v>
          </cell>
        </row>
        <row r="2817">
          <cell r="A2817" t="str">
            <v>NH TMCP Quoc Te (VIB BANK)</v>
          </cell>
          <cell r="D2817" t="str">
            <v>Ha NoiQuoc Te CN Thanh Xuan</v>
          </cell>
          <cell r="E2817">
            <v>4847</v>
          </cell>
        </row>
        <row r="2818">
          <cell r="A2818" t="str">
            <v>NH TMCP Quoc Te (VIB BANK)</v>
          </cell>
          <cell r="D2818" t="str">
            <v>Ha NoiQuoc Te HSC Ha Noi</v>
          </cell>
          <cell r="E2818">
            <v>1626</v>
          </cell>
        </row>
        <row r="2819">
          <cell r="A2819" t="str">
            <v>NH TMCP Quoc Te (VIB BANK)</v>
          </cell>
          <cell r="D2819" t="str">
            <v>Thai NguyenQuoc Te CN Thai Nguyen</v>
          </cell>
          <cell r="E2819">
            <v>4185</v>
          </cell>
        </row>
        <row r="2820">
          <cell r="A2820" t="str">
            <v>NH TMCP Quoc Te (VIB BANK)</v>
          </cell>
          <cell r="D2820" t="str">
            <v>Quang NinhQuoc Te CN Cam Pha</v>
          </cell>
          <cell r="E2820">
            <v>4828</v>
          </cell>
        </row>
        <row r="2821">
          <cell r="A2821" t="str">
            <v>NH TMCP Quoc Te (VIB BANK)</v>
          </cell>
          <cell r="D2821" t="str">
            <v>Quang NinhQuoc Te CN Quang Ninh</v>
          </cell>
          <cell r="E2821">
            <v>2985</v>
          </cell>
        </row>
        <row r="2822">
          <cell r="A2822" t="str">
            <v>NH TMCP Quoc Te (VIB BANK)</v>
          </cell>
          <cell r="D2822" t="str">
            <v>Hai PhongQuoc Te CN Hong Bang</v>
          </cell>
          <cell r="E2822">
            <v>4837</v>
          </cell>
        </row>
        <row r="2823">
          <cell r="A2823" t="str">
            <v>NH TMCP Quoc Te (VIB BANK)</v>
          </cell>
          <cell r="D2823" t="str">
            <v>Hai PhongQuoc Te CN Hai Phong</v>
          </cell>
          <cell r="E2823">
            <v>2838</v>
          </cell>
        </row>
        <row r="2824">
          <cell r="A2824" t="str">
            <v>NH TMCP Quoc Te (VIB BANK)</v>
          </cell>
          <cell r="D2824" t="str">
            <v>Hai DuongQuoc Te CN Hai Duong</v>
          </cell>
          <cell r="E2824">
            <v>3203</v>
          </cell>
        </row>
        <row r="2825">
          <cell r="A2825" t="str">
            <v>NH TMCP Quoc Te (VIB BANK)</v>
          </cell>
          <cell r="D2825" t="str">
            <v>Phu ThoQuoc Te CN Viet Tri</v>
          </cell>
          <cell r="E2825">
            <v>3819</v>
          </cell>
        </row>
        <row r="2826">
          <cell r="A2826" t="str">
            <v>NH TMCP Quoc Te (VIB BANK)</v>
          </cell>
          <cell r="D2826" t="str">
            <v>Vinh PhucQuoc Te CN Vinh Phuc</v>
          </cell>
          <cell r="E2826">
            <v>4330</v>
          </cell>
        </row>
        <row r="2827">
          <cell r="A2827" t="str">
            <v>NH TMCP Quoc Te (VIB BANK)</v>
          </cell>
          <cell r="D2827" t="str">
            <v>Thai BinhQuoc Te CN Thai Binh</v>
          </cell>
          <cell r="E2827">
            <v>3473</v>
          </cell>
        </row>
        <row r="2828">
          <cell r="A2828" t="str">
            <v>NH TMCP Quoc Te (VIB BANK)</v>
          </cell>
          <cell r="D2828" t="str">
            <v>Thanh HoaQuoc Te CN Thanh Hoa</v>
          </cell>
          <cell r="E2828">
            <v>3480</v>
          </cell>
        </row>
        <row r="2829">
          <cell r="A2829" t="str">
            <v>NH TMCP Quoc Te (VIB BANK)</v>
          </cell>
          <cell r="D2829" t="str">
            <v>Nghe AnQuoc Te CN Vinh</v>
          </cell>
          <cell r="E2829">
            <v>3556</v>
          </cell>
        </row>
        <row r="2830">
          <cell r="A2830" t="str">
            <v>NH TMCP Quoc Te (VIB BANK)</v>
          </cell>
          <cell r="D2830" t="str">
            <v>Thua Thien HueQuoc Te CN Hue</v>
          </cell>
          <cell r="E2830">
            <v>3319</v>
          </cell>
        </row>
        <row r="2831">
          <cell r="A2831" t="str">
            <v>NH TMCP Quoc Te (VIB BANK)</v>
          </cell>
          <cell r="D2831" t="str">
            <v>Ho Chi MinhQuoc Te CN HCM</v>
          </cell>
          <cell r="E2831">
            <v>243</v>
          </cell>
        </row>
        <row r="2832">
          <cell r="A2832" t="str">
            <v>NH TMCP Quoc Te (VIB BANK)</v>
          </cell>
          <cell r="D2832" t="str">
            <v>Ho Chi MinhQuoc Te CN Binh Thanh</v>
          </cell>
          <cell r="E2832">
            <v>4827</v>
          </cell>
        </row>
        <row r="2833">
          <cell r="A2833" t="str">
            <v>NH TMCP Quoc Te (VIB BANK)</v>
          </cell>
          <cell r="D2833" t="str">
            <v>Ho Chi MinhQuoc Te CN Go Vap</v>
          </cell>
          <cell r="E2833">
            <v>4831</v>
          </cell>
        </row>
        <row r="2834">
          <cell r="A2834" t="str">
            <v>NH TMCP Quoc Te (VIB BANK)</v>
          </cell>
          <cell r="D2834" t="str">
            <v>Ho Chi MinhQuoc Te CN Phu Nhuan</v>
          </cell>
          <cell r="E2834">
            <v>4839</v>
          </cell>
        </row>
        <row r="2835">
          <cell r="A2835" t="str">
            <v>NH TMCP Quoc Te (VIB BANK)</v>
          </cell>
          <cell r="D2835" t="str">
            <v>Ho Chi MinhQuoc Te CN Quan 10</v>
          </cell>
          <cell r="E2835">
            <v>4840</v>
          </cell>
        </row>
        <row r="2836">
          <cell r="A2836" t="str">
            <v>NH TMCP Quoc Te (VIB BANK)</v>
          </cell>
          <cell r="D2836" t="str">
            <v>Ho Chi MinhQuoc Te CN Quan 11</v>
          </cell>
          <cell r="E2836">
            <v>4841</v>
          </cell>
        </row>
        <row r="2837">
          <cell r="A2837" t="str">
            <v>NH TMCP Quoc Te (VIB BANK)</v>
          </cell>
          <cell r="D2837" t="str">
            <v>Ho Chi MinhQuoc Te CN Quan 2</v>
          </cell>
          <cell r="E2837">
            <v>4842</v>
          </cell>
        </row>
        <row r="2838">
          <cell r="A2838" t="str">
            <v>NH TMCP Quoc Te (VIB BANK)</v>
          </cell>
          <cell r="D2838" t="str">
            <v>Ho Chi MinhQuoc Te CN Quan 5</v>
          </cell>
          <cell r="E2838">
            <v>4843</v>
          </cell>
        </row>
        <row r="2839">
          <cell r="A2839" t="str">
            <v>NH TMCP Quoc Te (VIB BANK)</v>
          </cell>
          <cell r="D2839" t="str">
            <v>Ho Chi MinhQuoc Te CN Sai Gon</v>
          </cell>
          <cell r="E2839">
            <v>4844</v>
          </cell>
        </row>
        <row r="2840">
          <cell r="A2840" t="str">
            <v>NH TMCP Quoc Te (VIB BANK)</v>
          </cell>
          <cell r="D2840" t="str">
            <v>Ho Chi MinhQuoc Te CN Tan Binh</v>
          </cell>
          <cell r="E2840">
            <v>4845</v>
          </cell>
        </row>
        <row r="2841">
          <cell r="A2841" t="str">
            <v>NH TMCP Quoc Te (VIB BANK)</v>
          </cell>
          <cell r="D2841" t="str">
            <v>Ho Chi MinhQuoc Te CN Thanh Do</v>
          </cell>
          <cell r="E2841">
            <v>4846</v>
          </cell>
        </row>
        <row r="2842">
          <cell r="A2842" t="str">
            <v>NH TMCP Quoc Te (VIB BANK)</v>
          </cell>
          <cell r="D2842" t="str">
            <v>Da NangQuoc Te CN Hai Chau</v>
          </cell>
          <cell r="E2842">
            <v>4835</v>
          </cell>
        </row>
        <row r="2843">
          <cell r="A2843" t="str">
            <v>NH TMCP Quoc Te (VIB BANK)</v>
          </cell>
          <cell r="D2843" t="str">
            <v>Da NangQuoc Te CN Da Nang</v>
          </cell>
          <cell r="E2843">
            <v>2780</v>
          </cell>
        </row>
        <row r="2844">
          <cell r="A2844" t="str">
            <v>NH TMCP Quoc Te (VIB BANK)</v>
          </cell>
          <cell r="D2844" t="str">
            <v>Quang NgaiQuoc Te CN Quang Ngai</v>
          </cell>
          <cell r="E2844">
            <v>3359</v>
          </cell>
        </row>
        <row r="2845">
          <cell r="A2845" t="str">
            <v>NH TMCP Quoc Te (VIB BANK)</v>
          </cell>
          <cell r="D2845" t="str">
            <v>Binh DinhQuoc Te CN Binh Dinh</v>
          </cell>
          <cell r="E2845">
            <v>4007</v>
          </cell>
        </row>
        <row r="2846">
          <cell r="A2846" t="str">
            <v>NH TMCP Quoc Te (VIB BANK)</v>
          </cell>
          <cell r="D2846" t="str">
            <v>Khanh HoaQuoc Te CN Nha Trang</v>
          </cell>
          <cell r="E2846">
            <v>2754</v>
          </cell>
        </row>
        <row r="2847">
          <cell r="A2847" t="str">
            <v>NH TMCP Quoc Te (VIB BANK)</v>
          </cell>
          <cell r="D2847" t="str">
            <v>Dac LacQuoc Te CN Dak Lak</v>
          </cell>
          <cell r="E2847">
            <v>3946</v>
          </cell>
        </row>
        <row r="2848">
          <cell r="A2848" t="str">
            <v>NH TMCP Quoc Te (VIB BANK)</v>
          </cell>
          <cell r="D2848" t="str">
            <v>Lam DongQuoc Te CN Lam Dong</v>
          </cell>
          <cell r="E2848">
            <v>3924</v>
          </cell>
        </row>
        <row r="2849">
          <cell r="A2849" t="str">
            <v>NH TMCP Quoc Te (VIB BANK)</v>
          </cell>
          <cell r="D2849" t="str">
            <v>Binh DuongQuoc Te CN Binh Duong</v>
          </cell>
          <cell r="E2849">
            <v>3348</v>
          </cell>
        </row>
        <row r="2850">
          <cell r="A2850" t="str">
            <v>NH TMCP Quoc Te (VIB BANK)</v>
          </cell>
          <cell r="D2850" t="str">
            <v>Tay NinhQuoc Te CN Tay Ninh</v>
          </cell>
          <cell r="E2850">
            <v>3936</v>
          </cell>
        </row>
        <row r="2851">
          <cell r="A2851" t="str">
            <v>NH TMCP Quoc Te (VIB BANK)</v>
          </cell>
          <cell r="D2851" t="str">
            <v>Dong NaiQuoc Te CN Dong Nai</v>
          </cell>
          <cell r="E2851">
            <v>2964</v>
          </cell>
        </row>
        <row r="2852">
          <cell r="A2852" t="str">
            <v>NH TMCP Quoc Te (VIB BANK)</v>
          </cell>
          <cell r="D2852" t="str">
            <v>Ba Ria-Vung TauQuoc Te CN Vung Tau</v>
          </cell>
          <cell r="E2852">
            <v>3265</v>
          </cell>
        </row>
        <row r="2853">
          <cell r="A2853" t="str">
            <v>NH TMCP Quoc Te (VIB BANK)</v>
          </cell>
          <cell r="D2853" t="str">
            <v>Dong ThapQuoc Te CN Dong Thap</v>
          </cell>
          <cell r="E2853">
            <v>4222</v>
          </cell>
        </row>
        <row r="2854">
          <cell r="A2854" t="str">
            <v>NH TMCP Quoc Te (VIB BANK)</v>
          </cell>
          <cell r="D2854" t="str">
            <v>An GiangQuoc Te CN An Giang</v>
          </cell>
          <cell r="E2854">
            <v>3798</v>
          </cell>
        </row>
        <row r="2855">
          <cell r="A2855" t="str">
            <v>NH TMCP Quoc Te (VIB BANK)</v>
          </cell>
          <cell r="D2855" t="str">
            <v>Can ThoQuoc Te CN Can Tho</v>
          </cell>
          <cell r="E2855">
            <v>3125</v>
          </cell>
        </row>
        <row r="2856">
          <cell r="A2856" t="str">
            <v>NH TMCP Quoc Te (VIB BANK)</v>
          </cell>
          <cell r="D2856" t="str">
            <v>Kien GiangQuoc Te CN Kien Giang</v>
          </cell>
          <cell r="E2856">
            <v>4209</v>
          </cell>
        </row>
        <row r="2857">
          <cell r="A2857" t="str">
            <v>NH TMCP Quoc Te (VIB BANK)</v>
          </cell>
          <cell r="D2857" t="str">
            <v>Ca MauQuoc Te CN Ca Mau</v>
          </cell>
          <cell r="E2857">
            <v>4100</v>
          </cell>
        </row>
        <row r="2858">
          <cell r="A2858" t="str">
            <v>NH TMCP Sai Gon - Ha Noi (SHB)</v>
          </cell>
          <cell r="D2858" t="str">
            <v>Ha NoiSai Gon Ha Noi CN Ba Dinh</v>
          </cell>
          <cell r="E2858">
            <v>4848</v>
          </cell>
        </row>
        <row r="2859">
          <cell r="A2859" t="str">
            <v>NH TMCP Sai Gon - Ha Noi (SHB)</v>
          </cell>
          <cell r="D2859" t="str">
            <v>Ha NoiSai Gon Ha Noi CN Ha Thuyen</v>
          </cell>
          <cell r="E2859">
            <v>4853</v>
          </cell>
        </row>
        <row r="2860">
          <cell r="A2860" t="str">
            <v>NH TMCP Sai Gon - Ha Noi (SHB)</v>
          </cell>
          <cell r="D2860" t="str">
            <v>Ha NoiSai Gon Ha Noi CN Ha Dong</v>
          </cell>
          <cell r="E2860">
            <v>4852</v>
          </cell>
        </row>
        <row r="2861">
          <cell r="A2861" t="str">
            <v>NH TMCP Sai Gon - Ha Noi (SHB)</v>
          </cell>
          <cell r="D2861" t="str">
            <v>Ha NoiSai Gon Ha Noi CN Ham Long</v>
          </cell>
          <cell r="E2861">
            <v>4854</v>
          </cell>
        </row>
        <row r="2862">
          <cell r="A2862" t="str">
            <v>NH TMCP Sai Gon - Ha Noi (SHB)</v>
          </cell>
          <cell r="D2862" t="str">
            <v>Ha NoiSai Gon Ha Noi CN Hang Trong</v>
          </cell>
          <cell r="E2862">
            <v>4855</v>
          </cell>
        </row>
        <row r="2863">
          <cell r="A2863" t="str">
            <v>NH TMCP Sai Gon - Ha Noi (SHB)</v>
          </cell>
          <cell r="D2863" t="str">
            <v>Ha NoiSai Gon Ha Noi CN Tay Ha Noi</v>
          </cell>
          <cell r="E2863">
            <v>4865</v>
          </cell>
        </row>
        <row r="2864">
          <cell r="A2864" t="str">
            <v>NH TMCP Sai Gon - Ha Noi (SHB)</v>
          </cell>
          <cell r="D2864" t="str">
            <v>Ha NoiSai Gon Ha Noi CN Tay Nam Ha Noi</v>
          </cell>
          <cell r="E2864">
            <v>4866</v>
          </cell>
        </row>
        <row r="2865">
          <cell r="A2865" t="str">
            <v>NH TMCP Sai Gon - Ha Noi (SHB)</v>
          </cell>
          <cell r="D2865" t="str">
            <v>Ha NoiSai Gon Ha Noi CN Thang Long</v>
          </cell>
          <cell r="E2865">
            <v>4869</v>
          </cell>
        </row>
        <row r="2866">
          <cell r="A2866" t="str">
            <v>NH TMCP Sai Gon - Ha Noi (SHB)</v>
          </cell>
          <cell r="D2866" t="str">
            <v>Ha NoiSai Gon Ha Noi CN Thanh Quan</v>
          </cell>
          <cell r="E2866">
            <v>4870</v>
          </cell>
        </row>
        <row r="2867">
          <cell r="A2867" t="str">
            <v>NH TMCP Sai Gon - Ha Noi (SHB)</v>
          </cell>
          <cell r="D2867" t="str">
            <v>Ha NoiSai Gon Ha Noi CN Trung Hoa Nhan Chinh</v>
          </cell>
          <cell r="E2867">
            <v>4871</v>
          </cell>
        </row>
        <row r="2868">
          <cell r="A2868" t="str">
            <v>NH TMCP Sai Gon - Ha Noi (SHB)</v>
          </cell>
          <cell r="D2868" t="str">
            <v>Ha NoiSai Gon Ha Noi CN Van Phuc</v>
          </cell>
          <cell r="E2868">
            <v>4873</v>
          </cell>
        </row>
        <row r="2869">
          <cell r="A2869" t="str">
            <v>NH TMCP Sai Gon - Ha Noi (SHB)</v>
          </cell>
          <cell r="D2869" t="str">
            <v>Ha NoiSai Gon Ha Noi CN Ha Noi</v>
          </cell>
          <cell r="E2869">
            <v>2835</v>
          </cell>
        </row>
        <row r="2870">
          <cell r="A2870" t="str">
            <v>NH TMCP Sai Gon - Ha Noi (SHB)</v>
          </cell>
          <cell r="D2870" t="str">
            <v>Ha NoiSai Gon Ha Noi Hoi So Chinh</v>
          </cell>
          <cell r="E2870">
            <v>1311</v>
          </cell>
        </row>
        <row r="2871">
          <cell r="A2871" t="str">
            <v>NH TMCP Sai Gon - Ha Noi (SHB)</v>
          </cell>
          <cell r="D2871" t="str">
            <v>Tuyen QuangSai Gon Ha Noi CN Tuyen Quang</v>
          </cell>
          <cell r="E2871">
            <v>4872</v>
          </cell>
        </row>
        <row r="2872">
          <cell r="A2872" t="str">
            <v>NH TMCP Sai Gon - Ha Noi (SHB)</v>
          </cell>
          <cell r="D2872" t="str">
            <v>Lang SonSai Gon Ha Noi CN Lang Son</v>
          </cell>
          <cell r="E2872">
            <v>4340</v>
          </cell>
        </row>
        <row r="2873">
          <cell r="A2873" t="str">
            <v>NH TMCP Sai Gon - Ha Noi (SHB)</v>
          </cell>
          <cell r="D2873" t="str">
            <v>Thai NguyenSai Gon Ha Noi CN Thai Nguyen</v>
          </cell>
          <cell r="E2873">
            <v>4868</v>
          </cell>
        </row>
        <row r="2874">
          <cell r="A2874" t="str">
            <v>NH TMCP Sai Gon - Ha Noi (SHB)</v>
          </cell>
          <cell r="D2874" t="str">
            <v>Lao CaiSai Gon Ha Noi CN Lao Cai</v>
          </cell>
          <cell r="E2874">
            <v>4344</v>
          </cell>
        </row>
        <row r="2875">
          <cell r="A2875" t="str">
            <v>NH TMCP Sai Gon - Ha Noi (SHB)</v>
          </cell>
          <cell r="D2875" t="str">
            <v>Quang NinhSai Gon Ha Noi CN Hon Gai</v>
          </cell>
          <cell r="E2875">
            <v>4856</v>
          </cell>
        </row>
        <row r="2876">
          <cell r="A2876" t="str">
            <v>NH TMCP Sai Gon - Ha Noi (SHB)</v>
          </cell>
          <cell r="D2876" t="str">
            <v>Quang NinhSai Gon Ha Noi CN Quang Ninh</v>
          </cell>
          <cell r="E2876">
            <v>2987</v>
          </cell>
        </row>
        <row r="2877">
          <cell r="A2877" t="str">
            <v>NH TMCP Sai Gon - Ha Noi (SHB)</v>
          </cell>
          <cell r="D2877" t="str">
            <v>Hai PhongSai Gon Ha Noi CN Hong Bang</v>
          </cell>
          <cell r="E2877">
            <v>4857</v>
          </cell>
        </row>
        <row r="2878">
          <cell r="A2878" t="str">
            <v>NH TMCP Sai Gon - Ha Noi (SHB)</v>
          </cell>
          <cell r="D2878" t="str">
            <v>Hai PhongSai Gon Ha Noi CN Le Chan</v>
          </cell>
          <cell r="E2878">
            <v>4858</v>
          </cell>
        </row>
        <row r="2879">
          <cell r="A2879" t="str">
            <v>NH TMCP Sai Gon - Ha Noi (SHB)</v>
          </cell>
          <cell r="D2879" t="str">
            <v>Hai PhongSai Gon Ha Noi CN Hai Phong</v>
          </cell>
          <cell r="E2879">
            <v>3273</v>
          </cell>
        </row>
        <row r="2880">
          <cell r="A2880" t="str">
            <v>NH TMCP Sai Gon - Ha Noi (SHB)</v>
          </cell>
          <cell r="D2880" t="str">
            <v>Hung YenSai Gon Ha Noi CN Hung Yen</v>
          </cell>
          <cell r="E2880">
            <v>3873</v>
          </cell>
        </row>
        <row r="2881">
          <cell r="A2881" t="str">
            <v>NH TMCP Sai Gon - Ha Noi (SHB)</v>
          </cell>
          <cell r="D2881" t="str">
            <v>Bac NinhSai Gon Ha Noi CN Bac Ninh</v>
          </cell>
          <cell r="E2881">
            <v>4323</v>
          </cell>
        </row>
        <row r="2882">
          <cell r="A2882" t="str">
            <v>NH TMCP Sai Gon - Ha Noi (SHB)</v>
          </cell>
          <cell r="D2882" t="str">
            <v>Bac NinhSai Gon Ha Noi CN Tu Son</v>
          </cell>
          <cell r="E2882">
            <v>4324</v>
          </cell>
        </row>
        <row r="2883">
          <cell r="A2883" t="str">
            <v>NH TMCP Sai Gon - Ha Noi (SHB)</v>
          </cell>
          <cell r="D2883" t="str">
            <v>Vinh PhucSai Gon Ha Noi CN Vinh Phuc</v>
          </cell>
          <cell r="E2883">
            <v>4077</v>
          </cell>
        </row>
        <row r="2884">
          <cell r="A2884" t="str">
            <v>NH TMCP Sai Gon - Ha Noi (SHB)</v>
          </cell>
          <cell r="D2884" t="str">
            <v>Ninh BinhSai Gon Ha Noi CN Ninh Binh</v>
          </cell>
          <cell r="E2884">
            <v>4859</v>
          </cell>
        </row>
        <row r="2885">
          <cell r="A2885" t="str">
            <v>NH TMCP Sai Gon - Ha Noi (SHB)</v>
          </cell>
          <cell r="D2885" t="str">
            <v>Thai BinhSai Gon Ha Noi CN Thai Binh</v>
          </cell>
          <cell r="E2885">
            <v>4867</v>
          </cell>
        </row>
        <row r="2886">
          <cell r="A2886" t="str">
            <v>NH TMCP Sai Gon - Ha Noi (SHB)</v>
          </cell>
          <cell r="D2886" t="str">
            <v>Thanh HoaSai Gon Ha Noi CN Thanh Hoa</v>
          </cell>
          <cell r="E2886">
            <v>3825</v>
          </cell>
        </row>
        <row r="2887">
          <cell r="A2887" t="str">
            <v>NH TMCP Sai Gon - Ha Noi (SHB)</v>
          </cell>
          <cell r="D2887" t="str">
            <v>Nghe AnSai Gon Ha Noi CN Nghe An</v>
          </cell>
          <cell r="E2887">
            <v>3724</v>
          </cell>
        </row>
        <row r="2888">
          <cell r="A2888" t="str">
            <v>NH TMCP Sai Gon - Ha Noi (SHB)</v>
          </cell>
          <cell r="D2888" t="str">
            <v>Thua Thien HueSai Gon Ha Noi CN Hue</v>
          </cell>
          <cell r="E2888">
            <v>3967</v>
          </cell>
        </row>
        <row r="2889">
          <cell r="A2889" t="str">
            <v>NH TMCP Sai Gon - Ha Noi (SHB)</v>
          </cell>
          <cell r="D2889" t="str">
            <v>Ho Chi MinhSai Gon Ha Noi CN HCM</v>
          </cell>
          <cell r="E2889">
            <v>2857</v>
          </cell>
        </row>
        <row r="2890">
          <cell r="A2890" t="str">
            <v>NH TMCP Sai Gon - Ha Noi (SHB)</v>
          </cell>
          <cell r="D2890" t="str">
            <v>Ho Chi MinhSai Gon Ha Noi CN Phu Nhuan</v>
          </cell>
          <cell r="E2890">
            <v>4860</v>
          </cell>
        </row>
        <row r="2891">
          <cell r="A2891" t="str">
            <v>NH TMCP Sai Gon - Ha Noi (SHB)</v>
          </cell>
          <cell r="D2891" t="str">
            <v>Ho Chi MinhSai Gon Ha Noi CN Sai Gon</v>
          </cell>
          <cell r="E2891">
            <v>4861</v>
          </cell>
        </row>
        <row r="2892">
          <cell r="A2892" t="str">
            <v>NH TMCP Sai Gon - Ha Noi (SHB)</v>
          </cell>
          <cell r="D2892" t="str">
            <v>Da NangSai Gon Ha Noi CN Tay Da Nang</v>
          </cell>
          <cell r="E2892">
            <v>4864</v>
          </cell>
        </row>
        <row r="2893">
          <cell r="A2893" t="str">
            <v>NH TMCP Sai Gon - Ha Noi (SHB)</v>
          </cell>
          <cell r="D2893" t="str">
            <v>Da NangSai Gon Ha Noi CN Da Nang</v>
          </cell>
          <cell r="E2893">
            <v>3754</v>
          </cell>
        </row>
        <row r="2894">
          <cell r="A2894" t="str">
            <v>NH TMCP Sai Gon - Ha Noi (SHB)</v>
          </cell>
          <cell r="D2894" t="str">
            <v>Quang NamSai Gon Ha Noi CN Quang Nam</v>
          </cell>
          <cell r="E2894">
            <v>3864</v>
          </cell>
        </row>
        <row r="2895">
          <cell r="A2895" t="str">
            <v>NH TMCP Sai Gon - Ha Noi (SHB)</v>
          </cell>
          <cell r="D2895" t="str">
            <v>Khanh HoaSai Gon Ha Noi CN Khanh Hoa</v>
          </cell>
          <cell r="E2895">
            <v>3410</v>
          </cell>
        </row>
        <row r="2896">
          <cell r="A2896" t="str">
            <v>NH TMCP Sai Gon - Ha Noi (SHB)</v>
          </cell>
          <cell r="D2896" t="str">
            <v>Gia LaiSai Gon Ha Noi CN Gia Lai</v>
          </cell>
          <cell r="E2896">
            <v>4279</v>
          </cell>
        </row>
        <row r="2897">
          <cell r="A2897" t="str">
            <v>NH TMCP Sai Gon - Ha Noi (SHB)</v>
          </cell>
          <cell r="D2897" t="str">
            <v>Lam DongSai Gon Ha Noi CN Lam Dong</v>
          </cell>
          <cell r="E2897">
            <v>3767</v>
          </cell>
        </row>
        <row r="2898">
          <cell r="A2898" t="str">
            <v>NH TMCP Sai Gon - Ha Noi (SHB)</v>
          </cell>
          <cell r="D2898" t="str">
            <v>Binh DuongSai Gon Ha Noi CN Song Be</v>
          </cell>
          <cell r="E2898">
            <v>4863</v>
          </cell>
        </row>
        <row r="2899">
          <cell r="A2899" t="str">
            <v>NH TMCP Sai Gon - Ha Noi (SHB)</v>
          </cell>
          <cell r="D2899" t="str">
            <v>Binh DuongSai Gon Ha Noi CN Binh Duong</v>
          </cell>
          <cell r="E2899">
            <v>3239</v>
          </cell>
        </row>
        <row r="2900">
          <cell r="A2900" t="str">
            <v>NH TMCP Sai Gon - Ha Noi (SHB)</v>
          </cell>
          <cell r="D2900" t="str">
            <v>Binh PhuocSai Gon Ha Noi CN Binh Phuoc</v>
          </cell>
          <cell r="E2900">
            <v>4849</v>
          </cell>
        </row>
        <row r="2901">
          <cell r="A2901" t="str">
            <v>NH TMCP Sai Gon - Ha Noi (SHB)</v>
          </cell>
          <cell r="D2901" t="str">
            <v>Dong NaiSai Gon Ha Noi CN Dong Nai</v>
          </cell>
          <cell r="E2901">
            <v>3227</v>
          </cell>
        </row>
        <row r="2902">
          <cell r="A2902" t="str">
            <v>NH TMCP Sai Gon - Ha Noi (SHB)</v>
          </cell>
          <cell r="D2902" t="str">
            <v>Ba Ria-Vung TauSai Gon Ha Noi CN Vung Tau</v>
          </cell>
          <cell r="E2902">
            <v>3875</v>
          </cell>
        </row>
        <row r="2903">
          <cell r="A2903" t="str">
            <v>NH TMCP Sai Gon - Ha Noi (SHB)</v>
          </cell>
          <cell r="D2903" t="str">
            <v>Long AnSai Gon Ha Noi CN Long An</v>
          </cell>
          <cell r="E2903">
            <v>4246</v>
          </cell>
        </row>
        <row r="2904">
          <cell r="A2904" t="str">
            <v>NH TMCP Sai Gon - Ha Noi (SHB)</v>
          </cell>
          <cell r="D2904" t="str">
            <v>Dong ThapSai Gon Ha Noi CN Dong Thap</v>
          </cell>
          <cell r="E2904">
            <v>4851</v>
          </cell>
        </row>
        <row r="2905">
          <cell r="A2905" t="str">
            <v>NH TMCP Sai Gon - Ha Noi (SHB)</v>
          </cell>
          <cell r="D2905" t="str">
            <v>An GiangSai Gon Ha Noi CN An Giang</v>
          </cell>
          <cell r="E2905">
            <v>3937</v>
          </cell>
        </row>
        <row r="2906">
          <cell r="A2906" t="str">
            <v>NH TMCP Sai Gon - Ha Noi (SHB)</v>
          </cell>
          <cell r="D2906" t="str">
            <v>Tien GiangSai Gon Ha Noi CN Tien Giang</v>
          </cell>
          <cell r="E2906">
            <v>4359</v>
          </cell>
        </row>
        <row r="2907">
          <cell r="A2907" t="str">
            <v>NH TMCP Sai Gon - Ha Noi (SHB)</v>
          </cell>
          <cell r="D2907" t="str">
            <v>Can ThoSai Gon Ha Noi CN Can Tho</v>
          </cell>
          <cell r="E2907">
            <v>1321</v>
          </cell>
        </row>
        <row r="2908">
          <cell r="A2908" t="str">
            <v>NH TMCP Sai Gon - Ha Noi (SHB)</v>
          </cell>
          <cell r="D2908" t="str">
            <v>Soc TrangSai Gon Ha Noi CN Soc Trang</v>
          </cell>
          <cell r="E2908">
            <v>4862</v>
          </cell>
        </row>
        <row r="2909">
          <cell r="A2909" t="str">
            <v>NH TMCP Sai Gon - Ha Noi (SHB)</v>
          </cell>
          <cell r="D2909" t="str">
            <v>Kien GiangSai Gon Ha Noi CN Kien Giang</v>
          </cell>
          <cell r="E2909">
            <v>3781</v>
          </cell>
        </row>
        <row r="2910">
          <cell r="A2910" t="str">
            <v>NH TMCP Sai Gon (SCB)</v>
          </cell>
          <cell r="D2910" t="str">
            <v>Ha NoiNH TMCP Sai Gon CN Cau Giay</v>
          </cell>
          <cell r="E2910">
            <v>4654</v>
          </cell>
        </row>
        <row r="2911">
          <cell r="A2911" t="str">
            <v>NH TMCP Sai Gon (SCB)</v>
          </cell>
          <cell r="D2911" t="str">
            <v>Ha NoiNH TMCP Sai Gon CN Thang Long</v>
          </cell>
          <cell r="E2911">
            <v>4665</v>
          </cell>
        </row>
        <row r="2912">
          <cell r="A2912" t="str">
            <v>NH TMCP Sai Gon (SCB)</v>
          </cell>
          <cell r="D2912" t="str">
            <v>Ha NoiNH TMCP Sai Gon CN Ha Noi</v>
          </cell>
          <cell r="E2912">
            <v>5129</v>
          </cell>
        </row>
        <row r="2913">
          <cell r="A2913" t="str">
            <v>NH TMCP Sai Gon (SCB)</v>
          </cell>
          <cell r="D2913" t="str">
            <v>Ha NoiNH TMCP Sai Gon CN Hai Ba Trung</v>
          </cell>
          <cell r="E2913">
            <v>2834</v>
          </cell>
        </row>
        <row r="2914">
          <cell r="A2914" t="str">
            <v>NH TMCP Sai Gon (SCB)</v>
          </cell>
          <cell r="D2914" t="str">
            <v>Quang NinhNH TMCP Sai Gon CN Quang Ninh</v>
          </cell>
          <cell r="E2914">
            <v>2991</v>
          </cell>
        </row>
        <row r="2915">
          <cell r="A2915" t="str">
            <v>NH TMCP Sai Gon (SCB)</v>
          </cell>
          <cell r="D2915" t="str">
            <v>Hai PhongNH TMCP Sai Gon CN Hong Bang</v>
          </cell>
          <cell r="E2915">
            <v>4660</v>
          </cell>
        </row>
        <row r="2916">
          <cell r="A2916" t="str">
            <v>NH TMCP Sai Gon (SCB)</v>
          </cell>
          <cell r="D2916" t="str">
            <v>Hai PhongNH TMCP Sai Gon CN Hai Phong</v>
          </cell>
          <cell r="E2916">
            <v>2971</v>
          </cell>
        </row>
        <row r="2917">
          <cell r="A2917" t="str">
            <v>NH TMCP Sai Gon (SCB)</v>
          </cell>
          <cell r="D2917" t="str">
            <v>Hai DuongNH TMCP Sai Gon CN Hai Duong</v>
          </cell>
          <cell r="E2917">
            <v>4320</v>
          </cell>
        </row>
        <row r="2918">
          <cell r="A2918" t="str">
            <v>NH TMCP Sai Gon (SCB)</v>
          </cell>
          <cell r="D2918" t="str">
            <v>Bac NinhNH TMCP Sai Gon CN Bac Ninh</v>
          </cell>
          <cell r="E2918">
            <v>4322</v>
          </cell>
        </row>
        <row r="2919">
          <cell r="A2919" t="str">
            <v>NH TMCP Sai Gon (SCB)</v>
          </cell>
          <cell r="D2919" t="str">
            <v>Nghe AnNH TMCP Sai Gon CN Nghe An</v>
          </cell>
          <cell r="E2919">
            <v>3776</v>
          </cell>
        </row>
        <row r="2920">
          <cell r="A2920" t="str">
            <v>NH TMCP Sai Gon (SCB)</v>
          </cell>
          <cell r="D2920" t="str">
            <v>Ho Chi MinhNH TMCP Sai Gon TP HCM</v>
          </cell>
          <cell r="E2920">
            <v>1334</v>
          </cell>
        </row>
        <row r="2921">
          <cell r="A2921" t="str">
            <v>NH TMCP Sai Gon (SCB)</v>
          </cell>
          <cell r="D2921" t="str">
            <v>Ho Chi MinhNH TMCP Sai Gon CN Ben Thanh</v>
          </cell>
          <cell r="E2921">
            <v>4648</v>
          </cell>
        </row>
        <row r="2922">
          <cell r="A2922" t="str">
            <v>NH TMCP Sai Gon (SCB)</v>
          </cell>
          <cell r="D2922" t="str">
            <v>Ho Chi MinhNH TMCP Sai Gon CN Binh Tay</v>
          </cell>
          <cell r="E2922">
            <v>4649</v>
          </cell>
        </row>
        <row r="2923">
          <cell r="A2923" t="str">
            <v>NH TMCP Sai Gon (SCB)</v>
          </cell>
          <cell r="D2923" t="str">
            <v>Ho Chi MinhNH TMCP Sai Gon CN 11</v>
          </cell>
          <cell r="E2923">
            <v>4650</v>
          </cell>
        </row>
        <row r="2924">
          <cell r="A2924" t="str">
            <v>NH TMCP Sai Gon (SCB)</v>
          </cell>
          <cell r="D2924" t="str">
            <v>Ho Chi MinhNH TMCP Sai Gon CN 20 - 10</v>
          </cell>
          <cell r="E2924">
            <v>4651</v>
          </cell>
        </row>
        <row r="2925">
          <cell r="A2925" t="str">
            <v>NH TMCP Sai Gon (SCB)</v>
          </cell>
          <cell r="D2925" t="str">
            <v>Ho Chi MinhNH TMCP Sai Gon CN 6</v>
          </cell>
          <cell r="E2925">
            <v>4652</v>
          </cell>
        </row>
        <row r="2926">
          <cell r="A2926" t="str">
            <v>NH TMCP Sai Gon (SCB)</v>
          </cell>
          <cell r="D2926" t="str">
            <v>Ho Chi MinhNH TMCP Sai Gon CN An Dong</v>
          </cell>
          <cell r="E2926">
            <v>4653</v>
          </cell>
        </row>
        <row r="2927">
          <cell r="A2927" t="str">
            <v>NH TMCP Sai Gon (SCB)</v>
          </cell>
          <cell r="D2927" t="str">
            <v>Ho Chi MinhNH TMCP Sai Gon CN Cong Quynh</v>
          </cell>
          <cell r="E2927">
            <v>4656</v>
          </cell>
        </row>
        <row r="2928">
          <cell r="A2928" t="str">
            <v>NH TMCP Sai Gon (SCB)</v>
          </cell>
          <cell r="D2928" t="str">
            <v>Ho Chi MinhNH TMCP Sai Gon CN Cu Chi</v>
          </cell>
          <cell r="E2928">
            <v>4657</v>
          </cell>
        </row>
        <row r="2929">
          <cell r="A2929" t="str">
            <v>NH TMCP Sai Gon (SCB)</v>
          </cell>
          <cell r="D2929" t="str">
            <v>Ho Chi MinhNH TMCP Sai Gon CN Gia Dinh</v>
          </cell>
          <cell r="E2929">
            <v>4658</v>
          </cell>
        </row>
        <row r="2930">
          <cell r="A2930" t="str">
            <v>NH TMCP Sai Gon (SCB)</v>
          </cell>
          <cell r="D2930" t="str">
            <v>Ho Chi MinhNH TMCP Sai Gon CN Ha Noi</v>
          </cell>
          <cell r="E2930">
            <v>4659</v>
          </cell>
        </row>
        <row r="2931">
          <cell r="A2931" t="str">
            <v>NH TMCP Sai Gon (SCB)</v>
          </cell>
          <cell r="D2931" t="str">
            <v>Ho Chi MinhNH TMCP Sai Gon CN Pham Ngoc Thach</v>
          </cell>
          <cell r="E2931">
            <v>4661</v>
          </cell>
        </row>
        <row r="2932">
          <cell r="A2932" t="str">
            <v>NH TMCP Sai Gon (SCB)</v>
          </cell>
          <cell r="D2932" t="str">
            <v>Ho Chi MinhNH TMCP Sai Gon CN Phu Dong</v>
          </cell>
          <cell r="E2932">
            <v>4662</v>
          </cell>
        </row>
        <row r="2933">
          <cell r="A2933" t="str">
            <v>NH TMCP Sai Gon (SCB)</v>
          </cell>
          <cell r="D2933" t="str">
            <v>Ho Chi MinhNH TMCP Sai Gon CN Tan Binh</v>
          </cell>
          <cell r="E2933">
            <v>4663</v>
          </cell>
        </row>
        <row r="2934">
          <cell r="A2934" t="str">
            <v>NH TMCP Sai Gon (SCB)</v>
          </cell>
          <cell r="D2934" t="str">
            <v>Ho Chi MinhNH TMCP Sai Gon CN Tan Dinh</v>
          </cell>
          <cell r="E2934">
            <v>4664</v>
          </cell>
        </row>
        <row r="2935">
          <cell r="A2935" t="str">
            <v>NH TMCP Sai Gon (SCB)</v>
          </cell>
          <cell r="D2935" t="str">
            <v>Ho Chi MinhNH TMCP Sai Gon CN Thong Nhat</v>
          </cell>
          <cell r="E2935">
            <v>4666</v>
          </cell>
        </row>
        <row r="2936">
          <cell r="A2936" t="str">
            <v>NH TMCP Sai Gon (SCB)</v>
          </cell>
          <cell r="D2936" t="str">
            <v>Ho Chi MinhNH TMCP Sai Gon SGD</v>
          </cell>
          <cell r="E2936">
            <v>4667</v>
          </cell>
        </row>
        <row r="2937">
          <cell r="A2937" t="str">
            <v>NH TMCP Sai Gon (SCB)</v>
          </cell>
          <cell r="D2937" t="str">
            <v>Da NangNH TMCP Sai Gon CN Cho Han</v>
          </cell>
          <cell r="E2937">
            <v>4655</v>
          </cell>
        </row>
        <row r="2938">
          <cell r="A2938" t="str">
            <v>NH TMCP Sai Gon (SCB)</v>
          </cell>
          <cell r="D2938" t="str">
            <v>Da NangNH TMCP Sai Gon CN Da Nang</v>
          </cell>
          <cell r="E2938">
            <v>3326</v>
          </cell>
        </row>
        <row r="2939">
          <cell r="A2939" t="str">
            <v>NH TMCP Sai Gon (SCB)</v>
          </cell>
          <cell r="D2939" t="str">
            <v>Binh DinhNH TMCP Sai Gon CN Binh Dinh</v>
          </cell>
          <cell r="E2939">
            <v>3414</v>
          </cell>
        </row>
        <row r="2940">
          <cell r="A2940" t="str">
            <v>NH TMCP Sai Gon (SCB)</v>
          </cell>
          <cell r="D2940" t="str">
            <v>Khanh HoaNH TMCP Sai Gon CN Khanh Hoa</v>
          </cell>
          <cell r="E2940">
            <v>3176</v>
          </cell>
        </row>
        <row r="2941">
          <cell r="A2941" t="str">
            <v>NH TMCP Sai Gon (SCB)</v>
          </cell>
          <cell r="D2941" t="str">
            <v>Binh ThuanNH TMCP Sai Gon CN Binh Thuan</v>
          </cell>
          <cell r="E2941">
            <v>3484</v>
          </cell>
        </row>
        <row r="2942">
          <cell r="A2942" t="str">
            <v>NH TMCP Sai Gon (SCB)</v>
          </cell>
          <cell r="D2942" t="str">
            <v>Gia LaiNH TMCP Sai Gon CN Gia Lai</v>
          </cell>
          <cell r="E2942">
            <v>3708</v>
          </cell>
        </row>
        <row r="2943">
          <cell r="A2943" t="str">
            <v>NH TMCP Sai Gon (SCB)</v>
          </cell>
          <cell r="D2943" t="str">
            <v>Dac LacNH TMCP Sai Gon CN Dak Lak</v>
          </cell>
          <cell r="E2943">
            <v>3784</v>
          </cell>
        </row>
        <row r="2944">
          <cell r="A2944" t="str">
            <v>NH TMCP Sai Gon (SCB)</v>
          </cell>
          <cell r="D2944" t="str">
            <v>Binh DuongNH TMCP Sai Gon CN Binh Duong</v>
          </cell>
          <cell r="E2944">
            <v>3347</v>
          </cell>
        </row>
        <row r="2945">
          <cell r="A2945" t="str">
            <v>NH TMCP Sai Gon (SCB)</v>
          </cell>
          <cell r="D2945" t="str">
            <v>Dong NaiNH TMCP Sai Gon CN Dong Nai</v>
          </cell>
          <cell r="E2945">
            <v>3485</v>
          </cell>
        </row>
        <row r="2946">
          <cell r="A2946" t="str">
            <v>NH TMCP Sai Gon (SCB)</v>
          </cell>
          <cell r="D2946" t="str">
            <v>Ba Ria-Vung TauNH TMCP Sai Gon CN Ba Ria Vung Tau</v>
          </cell>
          <cell r="E2946">
            <v>4249</v>
          </cell>
        </row>
        <row r="2947">
          <cell r="A2947" t="str">
            <v>NH TMCP Sai Gon (SCB)</v>
          </cell>
          <cell r="D2947" t="str">
            <v>Ba Ria-Vung TauNH TMCP Sai Gon CN Vung Tau</v>
          </cell>
          <cell r="E2947">
            <v>3521</v>
          </cell>
        </row>
        <row r="2948">
          <cell r="A2948" t="str">
            <v>NH TMCP Sai Gon (SCB)</v>
          </cell>
          <cell r="D2948" t="str">
            <v>Long AnNH TMCP Sai Gon CN Long An</v>
          </cell>
          <cell r="E2948">
            <v>3832</v>
          </cell>
        </row>
        <row r="2949">
          <cell r="A2949" t="str">
            <v>NH TMCP Sai Gon (SCB)</v>
          </cell>
          <cell r="D2949" t="str">
            <v>Long AnNH TMCP Sai Gon CN Tan An</v>
          </cell>
          <cell r="E2949">
            <v>4244</v>
          </cell>
        </row>
        <row r="2950">
          <cell r="A2950" t="str">
            <v>NH TMCP Sai Gon (SCB)</v>
          </cell>
          <cell r="D2950" t="str">
            <v>Dong ThapNH TMCP Sai Gon CN Dong Thap</v>
          </cell>
          <cell r="E2950">
            <v>2996</v>
          </cell>
        </row>
        <row r="2951">
          <cell r="A2951" t="str">
            <v>NH TMCP Sai Gon (SCB)</v>
          </cell>
          <cell r="D2951" t="str">
            <v>An GiangNH TMCP Sai Gon CN An Giang</v>
          </cell>
          <cell r="E2951">
            <v>3515</v>
          </cell>
        </row>
        <row r="2952">
          <cell r="A2952" t="str">
            <v>NH TMCP Sai Gon (SCB)</v>
          </cell>
          <cell r="D2952" t="str">
            <v>Tien GiangNH TMCP Sai Gon CN Tien Giang</v>
          </cell>
          <cell r="E2952">
            <v>3211</v>
          </cell>
        </row>
        <row r="2953">
          <cell r="A2953" t="str">
            <v>NH TMCP Sai Gon (SCB)</v>
          </cell>
          <cell r="D2953" t="str">
            <v>Ben TreNH TMCP Sai Gon CN Ben Tre</v>
          </cell>
          <cell r="E2953">
            <v>4233</v>
          </cell>
        </row>
        <row r="2954">
          <cell r="A2954" t="str">
            <v>NH TMCP Sai Gon (SCB)</v>
          </cell>
          <cell r="D2954" t="str">
            <v>Vinh LongNH TMCP Sai Gon CN Vinh Long</v>
          </cell>
          <cell r="E2954">
            <v>4041</v>
          </cell>
        </row>
        <row r="2955">
          <cell r="A2955" t="str">
            <v>NH TMCP Sai Gon (SCB)</v>
          </cell>
          <cell r="D2955" t="str">
            <v>Tra VinhNH TMCP Sai Gon CN Tra Vinh</v>
          </cell>
          <cell r="E2955">
            <v>4228</v>
          </cell>
        </row>
        <row r="2956">
          <cell r="A2956" t="str">
            <v>NH TMCP Sai Gon (SCB)</v>
          </cell>
          <cell r="D2956" t="str">
            <v>Tra VinhNH TMCP Sai Gon CN Tra Vinh 1</v>
          </cell>
          <cell r="E2956">
            <v>4229</v>
          </cell>
        </row>
        <row r="2957">
          <cell r="A2957" t="str">
            <v>NH TMCP Sai Gon (SCB)</v>
          </cell>
          <cell r="D2957" t="str">
            <v>Can ThoNH TMCP Sai Gon CN Can Tho</v>
          </cell>
          <cell r="E2957">
            <v>3782</v>
          </cell>
        </row>
        <row r="2958">
          <cell r="A2958" t="str">
            <v>NH TMCP Sai Gon (SCB)</v>
          </cell>
          <cell r="D2958" t="str">
            <v>Can ThoNH TMCP Sai Gon CN Ninh Kieu</v>
          </cell>
          <cell r="E2958">
            <v>4118</v>
          </cell>
        </row>
        <row r="2959">
          <cell r="A2959" t="str">
            <v>NH TMCP Sai Gon (SCB)</v>
          </cell>
          <cell r="D2959" t="str">
            <v>Kien GiangNH TMCP Sai Gon CN Kien Giang</v>
          </cell>
          <cell r="E2959">
            <v>4215</v>
          </cell>
        </row>
        <row r="2960">
          <cell r="A2960" t="str">
            <v>NH TMCP Sai Gon (SCB)</v>
          </cell>
          <cell r="D2960" t="str">
            <v>Ca MauNH TMCP Sai Gon CN Ca Mau</v>
          </cell>
          <cell r="E2960">
            <v>4097</v>
          </cell>
        </row>
        <row r="2961">
          <cell r="A2961" t="str">
            <v>NH TMCP Sai Gon Cong Thuong (SAIGON BANK)</v>
          </cell>
          <cell r="D2961" t="str">
            <v>Ha NoiSG Cong Thuong CN Cau Giay</v>
          </cell>
          <cell r="E2961">
            <v>4874</v>
          </cell>
        </row>
        <row r="2962">
          <cell r="A2962" t="str">
            <v>NH TMCP Sai Gon Cong Thuong (SAIGON BANK)</v>
          </cell>
          <cell r="D2962" t="str">
            <v>Ha NoiSG Cong Thuong CN Long Bien</v>
          </cell>
          <cell r="E2962">
            <v>4875</v>
          </cell>
        </row>
        <row r="2963">
          <cell r="A2963" t="str">
            <v>NH TMCP Sai Gon Cong Thuong (SAIGON BANK)</v>
          </cell>
          <cell r="D2963" t="str">
            <v>Ha NoiSG Cong Thuong CN Dong Da HN</v>
          </cell>
          <cell r="E2963">
            <v>2827</v>
          </cell>
        </row>
        <row r="2964">
          <cell r="A2964" t="str">
            <v>NH TMCP Sai Gon Cong Thuong (SAIGON BANK)</v>
          </cell>
          <cell r="D2964" t="str">
            <v>Ha NoiSG Cong Thuong CN Hoan Kiem HN</v>
          </cell>
          <cell r="E2964">
            <v>2828</v>
          </cell>
        </row>
        <row r="2965">
          <cell r="A2965" t="str">
            <v>NH TMCP Sai Gon Cong Thuong (SAIGON BANK)</v>
          </cell>
          <cell r="D2965" t="str">
            <v>Ha NoiSG Cong Thuong CN Ba Dinh HN</v>
          </cell>
          <cell r="E2965">
            <v>2829</v>
          </cell>
        </row>
        <row r="2966">
          <cell r="A2966" t="str">
            <v>NH TMCP Sai Gon Cong Thuong (SAIGON BANK)</v>
          </cell>
          <cell r="D2966" t="str">
            <v>Ha NoiSG Cong Thuong CN Ha Noi</v>
          </cell>
          <cell r="E2966">
            <v>245</v>
          </cell>
        </row>
        <row r="2967">
          <cell r="A2967" t="str">
            <v>NH TMCP Sai Gon Cong Thuong (SAIGON BANK)</v>
          </cell>
          <cell r="D2967" t="str">
            <v>Lao CaiSG Cong Thuong CN Lao Cai</v>
          </cell>
          <cell r="E2967">
            <v>3602</v>
          </cell>
        </row>
        <row r="2968">
          <cell r="A2968" t="str">
            <v>NH TMCP Sai Gon Cong Thuong (SAIGON BANK)</v>
          </cell>
          <cell r="D2968" t="str">
            <v>Quang NinhSG Cong Thuong CN Quang Ninh</v>
          </cell>
          <cell r="E2968">
            <v>2993</v>
          </cell>
        </row>
        <row r="2969">
          <cell r="A2969" t="str">
            <v>NH TMCP Sai Gon Cong Thuong (SAIGON BANK)</v>
          </cell>
          <cell r="D2969" t="str">
            <v>Hai PhongSG Cong Thuong CN Hai Phong</v>
          </cell>
          <cell r="E2969">
            <v>2920</v>
          </cell>
        </row>
        <row r="2970">
          <cell r="A2970" t="str">
            <v>NH TMCP Sai Gon Cong Thuong (SAIGON BANK)</v>
          </cell>
          <cell r="D2970" t="str">
            <v>Thua Thien HueSG Cong Thuong CN Hue</v>
          </cell>
          <cell r="E2970">
            <v>4302</v>
          </cell>
        </row>
        <row r="2971">
          <cell r="A2971" t="str">
            <v>NH TMCP Sai Gon Cong Thuong (SAIGON BANK)</v>
          </cell>
          <cell r="D2971" t="str">
            <v>Ho Chi MinhSG Cong Thuong HCM</v>
          </cell>
          <cell r="E2971">
            <v>1335</v>
          </cell>
        </row>
        <row r="2972">
          <cell r="A2972" t="str">
            <v>NH TMCP Sai Gon Cong Thuong (SAIGON BANK)</v>
          </cell>
          <cell r="D2972" t="str">
            <v>Ho Chi MinhSG Cong Thuong CN Ben Nghe</v>
          </cell>
          <cell r="E2972">
            <v>2739</v>
          </cell>
        </row>
        <row r="2973">
          <cell r="A2973" t="str">
            <v>NH TMCP Sai Gon Cong Thuong (SAIGON BANK)</v>
          </cell>
          <cell r="D2973" t="str">
            <v>Ho Chi MinhSG Cong Thuong CN Tan Dinh</v>
          </cell>
          <cell r="E2973">
            <v>2740</v>
          </cell>
        </row>
        <row r="2974">
          <cell r="A2974" t="str">
            <v>NH TMCP Sai Gon Cong Thuong (SAIGON BANK)</v>
          </cell>
          <cell r="D2974" t="str">
            <v>Ho Chi MinhSG Cong Thuong CN Binh Chanh</v>
          </cell>
          <cell r="E2974">
            <v>2741</v>
          </cell>
        </row>
        <row r="2975">
          <cell r="A2975" t="str">
            <v>NH TMCP Sai Gon Cong Thuong (SAIGON BANK)</v>
          </cell>
          <cell r="D2975" t="str">
            <v>Ho Chi MinhSG Cong Thuong CN Cho Lon</v>
          </cell>
          <cell r="E2975">
            <v>2742</v>
          </cell>
        </row>
        <row r="2976">
          <cell r="A2976" t="str">
            <v>NH TMCP Sai Gon Cong Thuong (SAIGON BANK)</v>
          </cell>
          <cell r="D2976" t="str">
            <v>Ho Chi MinhSG Cong Thuong CN Thai Binh</v>
          </cell>
          <cell r="E2976">
            <v>2755</v>
          </cell>
        </row>
        <row r="2977">
          <cell r="A2977" t="str">
            <v>NH TMCP Sai Gon Cong Thuong (SAIGON BANK)</v>
          </cell>
          <cell r="D2977" t="str">
            <v>Ho Chi MinhSG Cong Thuong CN Ba Chieu</v>
          </cell>
          <cell r="E2977">
            <v>2654</v>
          </cell>
        </row>
        <row r="2978">
          <cell r="A2978" t="str">
            <v>NH TMCP Sai Gon Cong Thuong (SAIGON BANK)</v>
          </cell>
          <cell r="D2978" t="str">
            <v>Ho Chi MinhSG Cong Thuong CN Tan Binh</v>
          </cell>
          <cell r="E2978">
            <v>2560</v>
          </cell>
        </row>
        <row r="2979">
          <cell r="A2979" t="str">
            <v>NH TMCP Sai Gon Cong Thuong (SAIGON BANK)</v>
          </cell>
          <cell r="D2979" t="str">
            <v>Ho Chi MinhSG Cong Thuong CN Binh Hoa</v>
          </cell>
          <cell r="E2979">
            <v>4139</v>
          </cell>
        </row>
        <row r="2980">
          <cell r="A2980" t="str">
            <v>NH TMCP Sai Gon Cong Thuong (SAIGON BANK)</v>
          </cell>
          <cell r="D2980" t="str">
            <v>Ho Chi MinhSG Cong Thuong CN 3 Thang 2</v>
          </cell>
          <cell r="E2980">
            <v>4205</v>
          </cell>
        </row>
        <row r="2981">
          <cell r="A2981" t="str">
            <v>NH TMCP Sai Gon Cong Thuong (SAIGON BANK)</v>
          </cell>
          <cell r="D2981" t="str">
            <v>Ho Chi MinhSG Cong Thuong CN Khanh Hoi</v>
          </cell>
          <cell r="E2981">
            <v>4037</v>
          </cell>
        </row>
        <row r="2982">
          <cell r="A2982" t="str">
            <v>NH TMCP Sai Gon Cong Thuong (SAIGON BANK)</v>
          </cell>
          <cell r="D2982" t="str">
            <v>Ho Chi MinhSG Cong Thuong CN Tan Phu</v>
          </cell>
          <cell r="E2982">
            <v>3990</v>
          </cell>
        </row>
        <row r="2983">
          <cell r="A2983" t="str">
            <v>NH TMCP Sai Gon Cong Thuong (SAIGON BANK)</v>
          </cell>
          <cell r="D2983" t="str">
            <v>Da NangSG Cong Thuong CN Da Nang</v>
          </cell>
          <cell r="E2983">
            <v>2656</v>
          </cell>
        </row>
        <row r="2984">
          <cell r="A2984" t="str">
            <v>NH TMCP Sai Gon Cong Thuong (SAIGON BANK)</v>
          </cell>
          <cell r="D2984" t="str">
            <v>Binh ThuanSG Cong Thuong CN Binh Thuan</v>
          </cell>
          <cell r="E2984">
            <v>3379</v>
          </cell>
        </row>
        <row r="2985">
          <cell r="A2985" t="str">
            <v>NH TMCP Sai Gon Cong Thuong (SAIGON BANK)</v>
          </cell>
          <cell r="D2985" t="str">
            <v>Dac LacSG Cong Thuong CN Dak Lak</v>
          </cell>
          <cell r="E2985">
            <v>4273</v>
          </cell>
        </row>
        <row r="2986">
          <cell r="A2986" t="str">
            <v>NH TMCP Sai Gon Cong Thuong (SAIGON BANK)</v>
          </cell>
          <cell r="D2986" t="str">
            <v>Binh DuongSG Cong Thuong CN Binh Duong</v>
          </cell>
          <cell r="E2986">
            <v>3346</v>
          </cell>
        </row>
        <row r="2987">
          <cell r="A2987" t="str">
            <v>NH TMCP Sai Gon Cong Thuong (SAIGON BANK)</v>
          </cell>
          <cell r="D2987" t="str">
            <v>Dong NaiSG Cong Thuong CN Dong Nai</v>
          </cell>
          <cell r="E2987">
            <v>3124</v>
          </cell>
        </row>
        <row r="2988">
          <cell r="A2988" t="str">
            <v>NH TMCP Sai Gon Cong Thuong (SAIGON BANK)</v>
          </cell>
          <cell r="D2988" t="str">
            <v>An GiangSG Cong Thuong CN An Giang</v>
          </cell>
          <cell r="E2988">
            <v>1632</v>
          </cell>
        </row>
        <row r="2989">
          <cell r="A2989" t="str">
            <v>NH TMCP Sai Gon Cong Thuong (SAIGON BANK)</v>
          </cell>
          <cell r="D2989" t="str">
            <v>Tien GiangSG Cong Thuong CN Tien Giang</v>
          </cell>
          <cell r="E2989">
            <v>3642</v>
          </cell>
        </row>
        <row r="2990">
          <cell r="A2990" t="str">
            <v>NH TMCP Sai Gon Cong Thuong (SAIGON BANK)</v>
          </cell>
          <cell r="D2990" t="str">
            <v>Can ThoSG Cong Thuong CN Can Tho</v>
          </cell>
          <cell r="E2990">
            <v>244</v>
          </cell>
        </row>
        <row r="2991">
          <cell r="A2991" t="str">
            <v>NH TMCP Sai Gon Cong Thuong (SAIGON BANK)</v>
          </cell>
          <cell r="D2991" t="str">
            <v>Can ThoSG Cong Thuong CN Thot Not Can Tho</v>
          </cell>
          <cell r="E2991">
            <v>4123</v>
          </cell>
        </row>
        <row r="2992">
          <cell r="A2992" t="str">
            <v>NH TMCP Sai Gon Cong Thuong (SAIGON BANK)</v>
          </cell>
          <cell r="D2992" t="str">
            <v>Soc TrangSG Cong Thuong CN Soc Trang</v>
          </cell>
          <cell r="E2992">
            <v>4354</v>
          </cell>
        </row>
        <row r="2993">
          <cell r="A2993" t="str">
            <v>NH TMCP Sai Gon Cong Thuong (SAIGON BANK)</v>
          </cell>
          <cell r="D2993" t="str">
            <v>Bac LieuSG Cong Thuong CN Bac Lieu</v>
          </cell>
          <cell r="E2993">
            <v>3564</v>
          </cell>
        </row>
        <row r="2994">
          <cell r="A2994" t="str">
            <v>NH TMCP Sai Gon Cong Thuong (SAIGON BANK)</v>
          </cell>
          <cell r="D2994" t="str">
            <v>Ca MauSG Cong Thuong CN Ca Mau</v>
          </cell>
          <cell r="E2994">
            <v>4099</v>
          </cell>
        </row>
        <row r="2995">
          <cell r="A2995" t="str">
            <v>NH TMCP Sai Gon Thuong Tin (Sacombank)</v>
          </cell>
          <cell r="D2995" t="str">
            <v>Ha NoiSG Thuong Tin CN 8-3 Ha Noi</v>
          </cell>
          <cell r="E2995">
            <v>4876</v>
          </cell>
        </row>
        <row r="2996">
          <cell r="A2996" t="str">
            <v>NH TMCP Sai Gon Thuong Tin (Sacombank)</v>
          </cell>
          <cell r="D2996" t="str">
            <v>Ha NoiSG Thuong Tin CN Dong Do</v>
          </cell>
          <cell r="E2996">
            <v>3653</v>
          </cell>
        </row>
        <row r="2997">
          <cell r="A2997" t="str">
            <v>NH TMCP Sai Gon Thuong Tin (Sacombank)</v>
          </cell>
          <cell r="D2997" t="str">
            <v>Ha NoiSG Thuong Tin CN Thu Do</v>
          </cell>
          <cell r="E2997">
            <v>2825</v>
          </cell>
        </row>
        <row r="2998">
          <cell r="A2998" t="str">
            <v>NH TMCP Sai Gon Thuong Tin (Sacombank)</v>
          </cell>
          <cell r="D2998" t="str">
            <v>Ha NoiSG Thuong Tin CN Long Bien</v>
          </cell>
          <cell r="E2998">
            <v>3650</v>
          </cell>
        </row>
        <row r="2999">
          <cell r="A2999" t="str">
            <v>NH TMCP Sai Gon Thuong Tin (Sacombank)</v>
          </cell>
          <cell r="D2999" t="str">
            <v>Ha NoiSG Thuong Tin CN Thang Long</v>
          </cell>
          <cell r="E2999">
            <v>3651</v>
          </cell>
        </row>
        <row r="3000">
          <cell r="A3000" t="str">
            <v>NH TMCP Sai Gon Thuong Tin (Sacombank)</v>
          </cell>
          <cell r="D3000" t="str">
            <v>Ha NoiSG Thuong Tin CN Thanh Tri</v>
          </cell>
          <cell r="E3000">
            <v>3652</v>
          </cell>
        </row>
        <row r="3001">
          <cell r="A3001" t="str">
            <v>NH TMCP Sai Gon Thuong Tin (Sacombank)</v>
          </cell>
          <cell r="D3001" t="str">
            <v>Ha NoiSG Thuong Tin CN Dong Da</v>
          </cell>
          <cell r="E3001">
            <v>3113</v>
          </cell>
        </row>
        <row r="3002">
          <cell r="A3002" t="str">
            <v>NH TMCP Sai Gon Thuong Tin (Sacombank)</v>
          </cell>
          <cell r="D3002" t="str">
            <v>Ha NoiSG Thuong Tin CN Ha Noi</v>
          </cell>
          <cell r="E3002">
            <v>246</v>
          </cell>
        </row>
        <row r="3003">
          <cell r="A3003" t="str">
            <v>NH TMCP Sai Gon Thuong Tin (Sacombank)</v>
          </cell>
          <cell r="D3003" t="str">
            <v>Lang SonSG Thuong Tin CN Lang Son</v>
          </cell>
          <cell r="E3003">
            <v>3541</v>
          </cell>
        </row>
        <row r="3004">
          <cell r="A3004" t="str">
            <v>NH TMCP Sai Gon Thuong Tin (Sacombank)</v>
          </cell>
          <cell r="D3004" t="str">
            <v>Thai NguyenSG Thuong Tin CN Thai Nguyen</v>
          </cell>
          <cell r="E3004">
            <v>3858</v>
          </cell>
        </row>
        <row r="3005">
          <cell r="A3005" t="str">
            <v>NH TMCP Sai Gon Thuong Tin (Sacombank)</v>
          </cell>
          <cell r="D3005" t="str">
            <v>Quang NinhSG Thuong Tin CN Quang Ninh</v>
          </cell>
          <cell r="E3005">
            <v>2989</v>
          </cell>
        </row>
        <row r="3006">
          <cell r="A3006" t="str">
            <v>NH TMCP Sai Gon Thuong Tin (Sacombank)</v>
          </cell>
          <cell r="D3006" t="str">
            <v>Hai PhongSG Thuong Tin CN Hai Phong</v>
          </cell>
          <cell r="E3006">
            <v>2842</v>
          </cell>
        </row>
        <row r="3007">
          <cell r="A3007" t="str">
            <v>NH TMCP Sai Gon Thuong Tin (Sacombank)</v>
          </cell>
          <cell r="D3007" t="str">
            <v>Hai DuongSG Thuong Tin CN Hai Duong</v>
          </cell>
          <cell r="E3007">
            <v>3495</v>
          </cell>
        </row>
        <row r="3008">
          <cell r="A3008" t="str">
            <v>NH TMCP Sai Gon Thuong Tin (Sacombank)</v>
          </cell>
          <cell r="D3008" t="str">
            <v>Hung YenSG Thuong Tin CN Hung Yen</v>
          </cell>
          <cell r="E3008">
            <v>2648</v>
          </cell>
        </row>
        <row r="3009">
          <cell r="A3009" t="str">
            <v>NH TMCP Sai Gon Thuong Tin (Sacombank)</v>
          </cell>
          <cell r="D3009" t="str">
            <v>Bac NinhSG Thuong Tin CN Bac Ninh</v>
          </cell>
          <cell r="E3009">
            <v>2658</v>
          </cell>
        </row>
        <row r="3010">
          <cell r="A3010" t="str">
            <v>NH TMCP Sai Gon Thuong Tin (Sacombank)</v>
          </cell>
          <cell r="D3010" t="str">
            <v>Phu ThoSG Thuong Tin CN Phu Tho</v>
          </cell>
          <cell r="E3010">
            <v>3872</v>
          </cell>
        </row>
        <row r="3011">
          <cell r="A3011" t="str">
            <v>NH TMCP Sai Gon Thuong Tin (Sacombank)</v>
          </cell>
          <cell r="D3011" t="str">
            <v>Ha NamSG Thuong Tin CN Ha Nam</v>
          </cell>
          <cell r="E3011">
            <v>3585</v>
          </cell>
        </row>
        <row r="3012">
          <cell r="A3012" t="str">
            <v>NH TMCP Sai Gon Thuong Tin (Sacombank)</v>
          </cell>
          <cell r="D3012" t="str">
            <v>Thanh HoaSG Thuong Tin CN Thanh Hoa</v>
          </cell>
          <cell r="E3012">
            <v>3723</v>
          </cell>
        </row>
        <row r="3013">
          <cell r="A3013" t="str">
            <v>NH TMCP Sai Gon Thuong Tin (Sacombank)</v>
          </cell>
          <cell r="D3013" t="str">
            <v>Nghe AnSG Thuong Tin CN Nghe An</v>
          </cell>
          <cell r="E3013">
            <v>3780</v>
          </cell>
        </row>
        <row r="3014">
          <cell r="A3014" t="str">
            <v>NH TMCP Sai Gon Thuong Tin (Sacombank)</v>
          </cell>
          <cell r="D3014" t="str">
            <v>Ha TinhSG Thuong Tin CN Ha Tinh</v>
          </cell>
          <cell r="E3014">
            <v>4309</v>
          </cell>
        </row>
        <row r="3015">
          <cell r="A3015" t="str">
            <v>NH TMCP Sai Gon Thuong Tin (Sacombank)</v>
          </cell>
          <cell r="D3015" t="str">
            <v>Quang BinhSG Thuong Tin CN Quang Binh</v>
          </cell>
          <cell r="E3015">
            <v>3666</v>
          </cell>
        </row>
        <row r="3016">
          <cell r="A3016" t="str">
            <v>NH TMCP Sai Gon Thuong Tin (Sacombank)</v>
          </cell>
          <cell r="D3016" t="str">
            <v>Quang TriSG Thuong Tin CN Quang Tri</v>
          </cell>
          <cell r="E3016">
            <v>3952</v>
          </cell>
        </row>
        <row r="3017">
          <cell r="A3017" t="str">
            <v>NH TMCP Sai Gon Thuong Tin (Sacombank)</v>
          </cell>
          <cell r="D3017" t="str">
            <v>Thua Thien HueSG Thuong Tin CN Hue</v>
          </cell>
          <cell r="E3017">
            <v>2662</v>
          </cell>
        </row>
        <row r="3018">
          <cell r="A3018" t="str">
            <v>NH TMCP Sai Gon Thuong Tin (Sacombank)</v>
          </cell>
          <cell r="D3018" t="str">
            <v>Ho Chi MinhSG Thuong Tin HCM</v>
          </cell>
          <cell r="E3018">
            <v>1336</v>
          </cell>
        </row>
        <row r="3019">
          <cell r="A3019" t="str">
            <v>NH TMCP Sai Gon Thuong Tin (Sacombank)</v>
          </cell>
          <cell r="D3019" t="str">
            <v>Ho Chi MinhSG Thuong Tin CN Go Vap</v>
          </cell>
          <cell r="E3019">
            <v>3206</v>
          </cell>
        </row>
        <row r="3020">
          <cell r="A3020" t="str">
            <v>NH TMCP Sai Gon Thuong Tin (Sacombank)</v>
          </cell>
          <cell r="D3020" t="str">
            <v>Ho Chi MinhSG Thuong Tin CN Tan Binh</v>
          </cell>
          <cell r="E3020">
            <v>3207</v>
          </cell>
        </row>
        <row r="3021">
          <cell r="A3021" t="str">
            <v>NH TMCP Sai Gon Thuong Tin (Sacombank)</v>
          </cell>
          <cell r="D3021" t="str">
            <v>Ho Chi MinhSG Thuong Tin CN Tan Phu</v>
          </cell>
          <cell r="E3021">
            <v>3208</v>
          </cell>
        </row>
        <row r="3022">
          <cell r="A3022" t="str">
            <v>NH TMCP Sai Gon Thuong Tin (Sacombank)</v>
          </cell>
          <cell r="D3022" t="str">
            <v>Ho Chi MinhSG Thuong Tin CN Cho lon</v>
          </cell>
          <cell r="E3022">
            <v>2809</v>
          </cell>
        </row>
        <row r="3023">
          <cell r="A3023" t="str">
            <v>NH TMCP Sai Gon Thuong Tin (Sacombank)</v>
          </cell>
          <cell r="D3023" t="str">
            <v>Ho Chi MinhSG Thuong Tin CN Sai Gon</v>
          </cell>
          <cell r="E3023">
            <v>3571</v>
          </cell>
        </row>
        <row r="3024">
          <cell r="A3024" t="str">
            <v>NH TMCP Sai Gon Thuong Tin (Sacombank)</v>
          </cell>
          <cell r="D3024" t="str">
            <v>Ho Chi MinhSG Thuong Tin So Giao dich</v>
          </cell>
          <cell r="E3024">
            <v>3572</v>
          </cell>
        </row>
        <row r="3025">
          <cell r="A3025" t="str">
            <v>NH TMCP Sai Gon Thuong Tin (Sacombank)</v>
          </cell>
          <cell r="D3025" t="str">
            <v>Ho Chi MinhSG Thuong Tin CN 8 thang 3</v>
          </cell>
          <cell r="E3025">
            <v>3573</v>
          </cell>
        </row>
        <row r="3026">
          <cell r="A3026" t="str">
            <v>NH TMCP Sai Gon Thuong Tin (Sacombank)</v>
          </cell>
          <cell r="D3026" t="str">
            <v>Ho Chi MinhSG Thuong Tin CN Binh Tay</v>
          </cell>
          <cell r="E3026">
            <v>3574</v>
          </cell>
        </row>
        <row r="3027">
          <cell r="A3027" t="str">
            <v>NH TMCP Sai Gon Thuong Tin (Sacombank)</v>
          </cell>
          <cell r="D3027" t="str">
            <v>Ho Chi MinhSG Thuong Tin CN Binh Thanh</v>
          </cell>
          <cell r="E3027">
            <v>3575</v>
          </cell>
        </row>
        <row r="3028">
          <cell r="A3028" t="str">
            <v>NH TMCP Sai Gon Thuong Tin (Sacombank)</v>
          </cell>
          <cell r="D3028" t="str">
            <v>Ho Chi MinhSG Thuong Tin CN Cu Chi</v>
          </cell>
          <cell r="E3028">
            <v>3576</v>
          </cell>
        </row>
        <row r="3029">
          <cell r="A3029" t="str">
            <v>NH TMCP Sai Gon Thuong Tin (Sacombank)</v>
          </cell>
          <cell r="D3029" t="str">
            <v>Ho Chi MinhSG Thuong Tin CN Hoa Viet</v>
          </cell>
          <cell r="E3029">
            <v>3577</v>
          </cell>
        </row>
        <row r="3030">
          <cell r="A3030" t="str">
            <v>NH TMCP Sai Gon Thuong Tin (Sacombank)</v>
          </cell>
          <cell r="D3030" t="str">
            <v>Ho Chi MinhSG Thuong Tin CN Hoc Mon</v>
          </cell>
          <cell r="E3030">
            <v>3578</v>
          </cell>
        </row>
        <row r="3031">
          <cell r="A3031" t="str">
            <v>NH TMCP Sai Gon Thuong Tin (Sacombank)</v>
          </cell>
          <cell r="D3031" t="str">
            <v>Ho Chi MinhSG Thuong Tin CN Dien Bien Phu</v>
          </cell>
          <cell r="E3031">
            <v>3579</v>
          </cell>
        </row>
        <row r="3032">
          <cell r="A3032" t="str">
            <v>NH TMCP Sai Gon Thuong Tin (Sacombank)</v>
          </cell>
          <cell r="D3032" t="str">
            <v>Ho Chi MinhSG Thuong Tin CN Quan 4</v>
          </cell>
          <cell r="E3032">
            <v>3580</v>
          </cell>
        </row>
        <row r="3033">
          <cell r="A3033" t="str">
            <v>NH TMCP Sai Gon Thuong Tin (Sacombank)</v>
          </cell>
          <cell r="D3033" t="str">
            <v>Ho Chi MinhSG Thuong Tin CN Quan 8</v>
          </cell>
          <cell r="E3033">
            <v>3581</v>
          </cell>
        </row>
        <row r="3034">
          <cell r="A3034" t="str">
            <v>NH TMCP Sai Gon Thuong Tin (Sacombank)</v>
          </cell>
          <cell r="D3034" t="str">
            <v>Ho Chi MinhSG Thuong Tin CN Hung Dao</v>
          </cell>
          <cell r="E3034">
            <v>3582</v>
          </cell>
        </row>
        <row r="3035">
          <cell r="A3035" t="str">
            <v>NH TMCP Sai Gon Thuong Tin (Sacombank)</v>
          </cell>
          <cell r="D3035" t="str">
            <v>Ho Chi MinhSG Thuong Tin CN Thu Duc</v>
          </cell>
          <cell r="E3035">
            <v>3583</v>
          </cell>
        </row>
        <row r="3036">
          <cell r="A3036" t="str">
            <v>NH TMCP Sai Gon Thuong Tin (Sacombank)</v>
          </cell>
          <cell r="D3036" t="str">
            <v>Da NangSG Thuong Tin CN Da Nang</v>
          </cell>
          <cell r="E3036">
            <v>2643</v>
          </cell>
        </row>
        <row r="3037">
          <cell r="A3037" t="str">
            <v>NH TMCP Sai Gon Thuong Tin (Sacombank)</v>
          </cell>
          <cell r="D3037" t="str">
            <v>Quang NamSG Thuong Tin CN Quang Nam</v>
          </cell>
          <cell r="E3037">
            <v>3030</v>
          </cell>
        </row>
        <row r="3038">
          <cell r="A3038" t="str">
            <v>NH TMCP Sai Gon Thuong Tin (Sacombank)</v>
          </cell>
          <cell r="D3038" t="str">
            <v>Quang NgaiSG Thuong Tin CN Quang Ngai</v>
          </cell>
          <cell r="E3038">
            <v>3815</v>
          </cell>
        </row>
        <row r="3039">
          <cell r="A3039" t="str">
            <v>NH TMCP Sai Gon Thuong Tin (Sacombank)</v>
          </cell>
          <cell r="D3039" t="str">
            <v>Binh DinhSG Thuong Tin CN Binh Dinh</v>
          </cell>
          <cell r="E3039">
            <v>3183</v>
          </cell>
        </row>
        <row r="3040">
          <cell r="A3040" t="str">
            <v>NH TMCP Sai Gon Thuong Tin (Sacombank)</v>
          </cell>
          <cell r="D3040" t="str">
            <v>Phu YenSG Thuong Tin CN Phu Yen</v>
          </cell>
          <cell r="E3040">
            <v>3282</v>
          </cell>
        </row>
        <row r="3041">
          <cell r="A3041" t="str">
            <v>NH TMCP Sai Gon Thuong Tin (Sacombank)</v>
          </cell>
          <cell r="D3041" t="str">
            <v>Khanh HoaSG Thuong Tin CN Khanh Hoa</v>
          </cell>
          <cell r="E3041">
            <v>653</v>
          </cell>
        </row>
        <row r="3042">
          <cell r="A3042" t="str">
            <v>NH TMCP Sai Gon Thuong Tin (Sacombank)</v>
          </cell>
          <cell r="D3042" t="str">
            <v>Dak NongSG Thuong Tin CN Dak Nong</v>
          </cell>
          <cell r="E3042">
            <v>3863</v>
          </cell>
        </row>
        <row r="3043">
          <cell r="A3043" t="str">
            <v>NH TMCP Sai Gon Thuong Tin (Sacombank)</v>
          </cell>
          <cell r="D3043" t="str">
            <v>Binh ThuanSG Thuong Tin CN Binh Thuan</v>
          </cell>
          <cell r="E3043">
            <v>3139</v>
          </cell>
        </row>
        <row r="3044">
          <cell r="A3044" t="str">
            <v>NH TMCP Sai Gon Thuong Tin (Sacombank)</v>
          </cell>
          <cell r="D3044" t="str">
            <v>Ninh ThuanSG Thuong Tin CN Ninh Thuan</v>
          </cell>
          <cell r="E3044">
            <v>3425</v>
          </cell>
        </row>
        <row r="3045">
          <cell r="A3045" t="str">
            <v>NH TMCP Sai Gon Thuong Tin (Sacombank)</v>
          </cell>
          <cell r="D3045" t="str">
            <v>Gia LaiSG Thuong Tin CN Gia Lai</v>
          </cell>
          <cell r="E3045">
            <v>3766</v>
          </cell>
        </row>
        <row r="3046">
          <cell r="A3046" t="str">
            <v>NH TMCP Sai Gon Thuong Tin (Sacombank)</v>
          </cell>
          <cell r="D3046" t="str">
            <v>Kon TumSG Thuong Tin CN Kon Tum</v>
          </cell>
          <cell r="E3046">
            <v>3587</v>
          </cell>
        </row>
        <row r="3047">
          <cell r="A3047" t="str">
            <v>NH TMCP Sai Gon Thuong Tin (Sacombank)</v>
          </cell>
          <cell r="D3047" t="str">
            <v>Dac LacSG Thuong Tin CN Dak Lak</v>
          </cell>
          <cell r="E3047">
            <v>3660</v>
          </cell>
        </row>
        <row r="3048">
          <cell r="A3048" t="str">
            <v>NH TMCP Sai Gon Thuong Tin (Sacombank)</v>
          </cell>
          <cell r="D3048" t="str">
            <v>Lam DongSG Thuong Tin CN Lam Dong</v>
          </cell>
          <cell r="E3048">
            <v>3093</v>
          </cell>
        </row>
        <row r="3049">
          <cell r="A3049" t="str">
            <v>NH TMCP Sai Gon Thuong Tin (Sacombank)</v>
          </cell>
          <cell r="D3049" t="str">
            <v>Hau GiangSG Thuong Tin CN Hau Giang</v>
          </cell>
          <cell r="E3049">
            <v>3628</v>
          </cell>
        </row>
        <row r="3050">
          <cell r="A3050" t="str">
            <v>NH TMCP Sai Gon Thuong Tin (Sacombank)</v>
          </cell>
          <cell r="D3050" t="str">
            <v>Binh DuongSG Thuong Tin CN Binh Duong</v>
          </cell>
          <cell r="E3050">
            <v>1337</v>
          </cell>
        </row>
        <row r="3051">
          <cell r="A3051" t="str">
            <v>NH TMCP Sai Gon Thuong Tin (Sacombank)</v>
          </cell>
          <cell r="D3051" t="str">
            <v>Binh PhuocSG Thuong Tin CN Binh Phuoc</v>
          </cell>
          <cell r="E3051">
            <v>3202</v>
          </cell>
        </row>
        <row r="3052">
          <cell r="A3052" t="str">
            <v>NH TMCP Sai Gon Thuong Tin (Sacombank)</v>
          </cell>
          <cell r="D3052" t="str">
            <v>Tay NinhSG Thuong Tin CN Tay Ninh</v>
          </cell>
          <cell r="E3052">
            <v>2581</v>
          </cell>
        </row>
        <row r="3053">
          <cell r="A3053" t="str">
            <v>NH TMCP Sai Gon Thuong Tin (Sacombank)</v>
          </cell>
          <cell r="D3053" t="str">
            <v>Dong NaiSG Thuong Tin CN Dong Nai</v>
          </cell>
          <cell r="E3053">
            <v>2644</v>
          </cell>
        </row>
        <row r="3054">
          <cell r="A3054" t="str">
            <v>NH TMCP Sai Gon Thuong Tin (Sacombank)</v>
          </cell>
          <cell r="D3054" t="str">
            <v>Ba Ria-Vung TauSG Thuong Tin CN Ba Ria Vung Tau</v>
          </cell>
          <cell r="E3054">
            <v>3247</v>
          </cell>
        </row>
        <row r="3055">
          <cell r="A3055" t="str">
            <v>NH TMCP Sai Gon Thuong Tin (Sacombank)</v>
          </cell>
          <cell r="D3055" t="str">
            <v>Long AnSG Thuong Tin CN Long An</v>
          </cell>
          <cell r="E3055">
            <v>2727</v>
          </cell>
        </row>
        <row r="3056">
          <cell r="A3056" t="str">
            <v>NH TMCP Sai Gon Thuong Tin (Sacombank)</v>
          </cell>
          <cell r="D3056" t="str">
            <v>Dong ThapSG Thuong Tin CN Dong Thap</v>
          </cell>
          <cell r="E3056">
            <v>2997</v>
          </cell>
        </row>
        <row r="3057">
          <cell r="A3057" t="str">
            <v>NH TMCP Sai Gon Thuong Tin (Sacombank)</v>
          </cell>
          <cell r="D3057" t="str">
            <v>An GiangSG Thuong Tin CN An Giang</v>
          </cell>
          <cell r="E3057">
            <v>3297</v>
          </cell>
        </row>
        <row r="3058">
          <cell r="A3058" t="str">
            <v>NH TMCP Sai Gon Thuong Tin (Sacombank)</v>
          </cell>
          <cell r="D3058" t="str">
            <v>Tien GiangSG Thuong Tin CN Tien Giang</v>
          </cell>
          <cell r="E3058">
            <v>3270</v>
          </cell>
        </row>
        <row r="3059">
          <cell r="A3059" t="str">
            <v>NH TMCP Sai Gon Thuong Tin (Sacombank)</v>
          </cell>
          <cell r="D3059" t="str">
            <v>Ben TreSG Thuong Tin CN Ben Tre</v>
          </cell>
          <cell r="E3059">
            <v>3334</v>
          </cell>
        </row>
        <row r="3060">
          <cell r="A3060" t="str">
            <v>NH TMCP Sai Gon Thuong Tin (Sacombank)</v>
          </cell>
          <cell r="D3060" t="str">
            <v>Vinh LongSG Thuong Tin CN Vinh Long</v>
          </cell>
          <cell r="E3060">
            <v>3312</v>
          </cell>
        </row>
        <row r="3061">
          <cell r="A3061" t="str">
            <v>NH TMCP Sai Gon Thuong Tin (Sacombank)</v>
          </cell>
          <cell r="D3061" t="str">
            <v>Tra VinhSG Thuong Tin CN Tra Vinh</v>
          </cell>
          <cell r="E3061">
            <v>3441</v>
          </cell>
        </row>
        <row r="3062">
          <cell r="A3062" t="str">
            <v>NH TMCP Sai Gon Thuong Tin (Sacombank)</v>
          </cell>
          <cell r="D3062" t="str">
            <v>Can ThoSG Thuong Tin CN Can Tho</v>
          </cell>
          <cell r="E3062">
            <v>1633</v>
          </cell>
        </row>
        <row r="3063">
          <cell r="A3063" t="str">
            <v>NH TMCP Sai Gon Thuong Tin (Sacombank)</v>
          </cell>
          <cell r="D3063" t="str">
            <v>Soc TrangSG Thuong Tin CN Soc Trang</v>
          </cell>
          <cell r="E3063">
            <v>3626</v>
          </cell>
        </row>
        <row r="3064">
          <cell r="A3064" t="str">
            <v>NH TMCP Sai Gon Thuong Tin (Sacombank)</v>
          </cell>
          <cell r="D3064" t="str">
            <v>Kien GiangSG Thuong Tin CN Kien Giang</v>
          </cell>
          <cell r="E3064">
            <v>1339</v>
          </cell>
        </row>
        <row r="3065">
          <cell r="A3065" t="str">
            <v>NH TMCP Sai Gon Thuong Tin (Sacombank)</v>
          </cell>
          <cell r="D3065" t="str">
            <v>Kien GiangSG Thuong Tin CN Phu Quoc</v>
          </cell>
          <cell r="E3065">
            <v>4130</v>
          </cell>
        </row>
        <row r="3066">
          <cell r="A3066" t="str">
            <v>NH TMCP Sai Gon Thuong Tin (Sacombank)</v>
          </cell>
          <cell r="D3066" t="str">
            <v>Bac LieuSG Thuong Tin CN Bac Lieu</v>
          </cell>
          <cell r="E3066">
            <v>1338</v>
          </cell>
        </row>
        <row r="3067">
          <cell r="A3067" t="str">
            <v>NH TMCP Sai Gon Thuong Tin (Sacombank)</v>
          </cell>
          <cell r="D3067" t="str">
            <v>Ca MauSG Thuong Tin CN Ca Mau</v>
          </cell>
          <cell r="E3067">
            <v>3589</v>
          </cell>
        </row>
        <row r="3068">
          <cell r="A3068" t="str">
            <v>NH TMCP Tien Phong</v>
          </cell>
          <cell r="D3068" t="str">
            <v>Ha NoiTien Phong CN Ha Noi</v>
          </cell>
          <cell r="E3068">
            <v>4883</v>
          </cell>
        </row>
        <row r="3069">
          <cell r="A3069" t="str">
            <v>NH TMCP Tien Phong</v>
          </cell>
          <cell r="D3069" t="str">
            <v>Ha NoiTien Phong CN SGD</v>
          </cell>
          <cell r="E3069">
            <v>4886</v>
          </cell>
        </row>
        <row r="3070">
          <cell r="A3070" t="str">
            <v>NH TMCP Tien Phong</v>
          </cell>
          <cell r="D3070" t="str">
            <v>Ha NoiTien Phong CN Tay Ha Noi</v>
          </cell>
          <cell r="E3070">
            <v>4887</v>
          </cell>
        </row>
        <row r="3071">
          <cell r="A3071" t="str">
            <v>NH TMCP Tien Phong</v>
          </cell>
          <cell r="D3071" t="str">
            <v>Ha NoiTien Phong CN Thang Long</v>
          </cell>
          <cell r="E3071">
            <v>4888</v>
          </cell>
        </row>
        <row r="3072">
          <cell r="A3072" t="str">
            <v>NH TMCP Tien Phong</v>
          </cell>
          <cell r="D3072" t="str">
            <v>Ha NoiTien Phong CN Thanh Do</v>
          </cell>
          <cell r="E3072">
            <v>4889</v>
          </cell>
        </row>
        <row r="3073">
          <cell r="A3073" t="str">
            <v>NH TMCP Tien Phong</v>
          </cell>
          <cell r="D3073" t="str">
            <v>Ha NoiTien Phong Hoi so chinh</v>
          </cell>
          <cell r="E3073">
            <v>3187</v>
          </cell>
        </row>
        <row r="3074">
          <cell r="A3074" t="str">
            <v>NH TMCP Tien Phong</v>
          </cell>
          <cell r="D3074" t="str">
            <v>Hai PhongTien Phong CN Hai Phong</v>
          </cell>
          <cell r="E3074">
            <v>3527</v>
          </cell>
        </row>
        <row r="3075">
          <cell r="A3075" t="str">
            <v>NH TMCP Tien Phong</v>
          </cell>
          <cell r="D3075" t="str">
            <v>Nghe AnTien Phong CN Nghe An</v>
          </cell>
          <cell r="E3075">
            <v>5233</v>
          </cell>
        </row>
        <row r="3076">
          <cell r="A3076" t="str">
            <v>NH TMCP Tien Phong</v>
          </cell>
          <cell r="D3076" t="str">
            <v>Ho Chi MinhTien Phong CN HCM</v>
          </cell>
          <cell r="E3076">
            <v>3188</v>
          </cell>
        </row>
        <row r="3077">
          <cell r="A3077" t="str">
            <v>NH TMCP Tien Phong</v>
          </cell>
          <cell r="D3077" t="str">
            <v>Ho Chi MinhTien Phong CN Hoc Mon</v>
          </cell>
          <cell r="E3077">
            <v>5228</v>
          </cell>
        </row>
        <row r="3078">
          <cell r="A3078" t="str">
            <v>NH TMCP Tien Phong</v>
          </cell>
          <cell r="D3078" t="str">
            <v>Ho Chi MinhTien Phong CN Ben Thanh</v>
          </cell>
          <cell r="E3078">
            <v>4880</v>
          </cell>
        </row>
        <row r="3079">
          <cell r="A3079" t="str">
            <v>NH TMCP Tien Phong</v>
          </cell>
          <cell r="D3079" t="str">
            <v>Ho Chi MinhTien Phong CN Cuu Long</v>
          </cell>
          <cell r="E3079">
            <v>4882</v>
          </cell>
        </row>
        <row r="3080">
          <cell r="A3080" t="str">
            <v>NH TMCP Tien Phong</v>
          </cell>
          <cell r="D3080" t="str">
            <v>Ho Chi MinhTien Phong CN Hung Vuong</v>
          </cell>
          <cell r="E3080">
            <v>4884</v>
          </cell>
        </row>
        <row r="3081">
          <cell r="A3081" t="str">
            <v>NH TMCP Tien Phong</v>
          </cell>
          <cell r="D3081" t="str">
            <v>Ho Chi MinhTien Phong CN Sai Gon</v>
          </cell>
          <cell r="E3081">
            <v>4885</v>
          </cell>
        </row>
        <row r="3082">
          <cell r="A3082" t="str">
            <v>NH TMCP Tien Phong</v>
          </cell>
          <cell r="D3082" t="str">
            <v>Da NangTien Phong CN Da Nang</v>
          </cell>
          <cell r="E3082">
            <v>3528</v>
          </cell>
        </row>
        <row r="3083">
          <cell r="A3083" t="str">
            <v>NH TMCP Tien Phong</v>
          </cell>
          <cell r="D3083" t="str">
            <v>Khanh HoaTien Phong CN Nha Trang</v>
          </cell>
          <cell r="E3083">
            <v>5157</v>
          </cell>
        </row>
        <row r="3084">
          <cell r="A3084" t="str">
            <v>NH TMCP Tien Phong</v>
          </cell>
          <cell r="D3084" t="str">
            <v>Dac LacTien Phong CN Dak Lak</v>
          </cell>
          <cell r="E3084">
            <v>5113</v>
          </cell>
        </row>
        <row r="3085">
          <cell r="A3085" t="str">
            <v>NH TMCP Tien Phong</v>
          </cell>
          <cell r="D3085" t="str">
            <v>Binh DuongTien Phong CN Binh Duong</v>
          </cell>
          <cell r="E3085">
            <v>4881</v>
          </cell>
        </row>
        <row r="3086">
          <cell r="A3086" t="str">
            <v>NH TMCP Tien Phong</v>
          </cell>
          <cell r="D3086" t="str">
            <v>Dong NaiTien Phong CN Dong Nai</v>
          </cell>
          <cell r="E3086">
            <v>4094</v>
          </cell>
        </row>
        <row r="3087">
          <cell r="A3087" t="str">
            <v>NH TMCP Tien Phong</v>
          </cell>
          <cell r="D3087" t="str">
            <v>An GiangTien Phong CN An Giang</v>
          </cell>
          <cell r="E3087">
            <v>3592</v>
          </cell>
        </row>
        <row r="3088">
          <cell r="A3088" t="str">
            <v>NH TMCP Tien Phong</v>
          </cell>
          <cell r="D3088" t="str">
            <v>Can ThoTien Phong CN Can Tho</v>
          </cell>
          <cell r="E3088">
            <v>3526</v>
          </cell>
        </row>
        <row r="3089">
          <cell r="A3089" t="str">
            <v>NH TMCP Viet A</v>
          </cell>
          <cell r="D3089" t="str">
            <v>Ha NoiViet A CN Ha Noi</v>
          </cell>
          <cell r="E3089">
            <v>2862</v>
          </cell>
        </row>
        <row r="3090">
          <cell r="A3090" t="str">
            <v>NH TMCP Viet A</v>
          </cell>
          <cell r="D3090" t="str">
            <v>Ho Chi MinhViet A HCM</v>
          </cell>
          <cell r="E3090">
            <v>2562</v>
          </cell>
        </row>
        <row r="3091">
          <cell r="A3091" t="str">
            <v>NH TMCP Viet A</v>
          </cell>
          <cell r="D3091" t="str">
            <v>Ho Chi MinhViet A CN Cho Lon</v>
          </cell>
          <cell r="E3091">
            <v>4918</v>
          </cell>
        </row>
        <row r="3092">
          <cell r="A3092" t="str">
            <v>NH TMCP Viet A</v>
          </cell>
          <cell r="D3092" t="str">
            <v>Ho Chi MinhViet A CN Huyen Cu Chi</v>
          </cell>
          <cell r="E3092">
            <v>4919</v>
          </cell>
        </row>
        <row r="3093">
          <cell r="A3093" t="str">
            <v>NH TMCP Viet A</v>
          </cell>
          <cell r="D3093" t="str">
            <v>Ho Chi MinhViet A SGD</v>
          </cell>
          <cell r="E3093">
            <v>4920</v>
          </cell>
        </row>
        <row r="3094">
          <cell r="A3094" t="str">
            <v>NH TMCP Viet A</v>
          </cell>
          <cell r="D3094" t="str">
            <v>Da NangViet A CN Da Nang</v>
          </cell>
          <cell r="E3094">
            <v>2642</v>
          </cell>
        </row>
        <row r="3095">
          <cell r="A3095" t="str">
            <v>NH TMCP Viet A</v>
          </cell>
          <cell r="D3095" t="str">
            <v>Quang NamViet A CN Hoi An</v>
          </cell>
          <cell r="E3095">
            <v>2609</v>
          </cell>
        </row>
        <row r="3096">
          <cell r="A3096" t="str">
            <v>NH TMCP Viet A</v>
          </cell>
          <cell r="D3096" t="str">
            <v>Quang NgaiViet A CN Quang Ngai</v>
          </cell>
          <cell r="E3096">
            <v>3486</v>
          </cell>
        </row>
        <row r="3097">
          <cell r="A3097" t="str">
            <v>NH TMCP Viet A</v>
          </cell>
          <cell r="D3097" t="str">
            <v>Binh DinhViet A CN Quy Nhon</v>
          </cell>
          <cell r="E3097">
            <v>3865</v>
          </cell>
        </row>
        <row r="3098">
          <cell r="A3098" t="str">
            <v>NH TMCP Viet A</v>
          </cell>
          <cell r="D3098" t="str">
            <v>Dac LacViet A CN Buon Ma Thuoc</v>
          </cell>
          <cell r="E3098">
            <v>4072</v>
          </cell>
        </row>
        <row r="3099">
          <cell r="A3099" t="str">
            <v>NH TMCP Viet A</v>
          </cell>
          <cell r="D3099" t="str">
            <v>Binh DuongViet A PGD Binh Duong</v>
          </cell>
          <cell r="E3099">
            <v>3357</v>
          </cell>
        </row>
        <row r="3100">
          <cell r="A3100" t="str">
            <v>NH TMCP Viet A</v>
          </cell>
          <cell r="D3100" t="str">
            <v>Dong NaiViet A CN Dong Nai</v>
          </cell>
          <cell r="E3100">
            <v>3615</v>
          </cell>
        </row>
        <row r="3101">
          <cell r="A3101" t="str">
            <v>NH TMCP Viet A</v>
          </cell>
          <cell r="D3101" t="str">
            <v>An GiangViet A CN An Giang</v>
          </cell>
          <cell r="E3101">
            <v>3466</v>
          </cell>
        </row>
        <row r="3102">
          <cell r="A3102" t="str">
            <v>NH TMCP Viet A</v>
          </cell>
          <cell r="D3102" t="str">
            <v>Can ThoViet A CN Can Tho</v>
          </cell>
          <cell r="E3102">
            <v>3027</v>
          </cell>
        </row>
        <row r="3103">
          <cell r="A3103" t="str">
            <v>NH TMCP Viet A</v>
          </cell>
          <cell r="D3103" t="str">
            <v>Bac LieuViet A CN Bac Lieu</v>
          </cell>
          <cell r="E3103">
            <v>3811</v>
          </cell>
        </row>
        <row r="3104">
          <cell r="A3104" t="str">
            <v>NH TMCP Viet Nam Thinh Vuong (VPBANK)</v>
          </cell>
          <cell r="D3104" t="str">
            <v>Ha NoiVN Thinh Vuong CN Da Lat</v>
          </cell>
          <cell r="E3104">
            <v>5114</v>
          </cell>
        </row>
        <row r="3105">
          <cell r="A3105" t="str">
            <v>NH TMCP Viet Nam Thinh Vuong (VPBANK)</v>
          </cell>
          <cell r="D3105" t="str">
            <v>Ha NoiVN Thinh Vuong CN Dong Do</v>
          </cell>
          <cell r="E3105">
            <v>4923</v>
          </cell>
        </row>
        <row r="3106">
          <cell r="A3106" t="str">
            <v>NH TMCP Viet Nam Thinh Vuong (VPBANK)</v>
          </cell>
          <cell r="D3106" t="str">
            <v>Ha NoiVN Thinh Vuong CN Kinh Do</v>
          </cell>
          <cell r="E3106">
            <v>4926</v>
          </cell>
        </row>
        <row r="3107">
          <cell r="A3107" t="str">
            <v>NH TMCP Viet Nam Thinh Vuong (VPBANK)</v>
          </cell>
          <cell r="D3107" t="str">
            <v>Ha NoiVN Thinh Vuong CN Ngo Quyen</v>
          </cell>
          <cell r="E3107">
            <v>4927</v>
          </cell>
        </row>
        <row r="3108">
          <cell r="A3108" t="str">
            <v>NH TMCP Viet Nam Thinh Vuong (VPBANK)</v>
          </cell>
          <cell r="D3108" t="str">
            <v>Ha NoiVN Thinh Vuong CN SGD</v>
          </cell>
          <cell r="E3108">
            <v>4930</v>
          </cell>
        </row>
        <row r="3109">
          <cell r="A3109" t="str">
            <v>NH TMCP Viet Nam Thinh Vuong (VPBANK)</v>
          </cell>
          <cell r="D3109" t="str">
            <v>Ha NoiVN Thinh Vuong CN Thang Long</v>
          </cell>
          <cell r="E3109">
            <v>2830</v>
          </cell>
        </row>
        <row r="3110">
          <cell r="A3110" t="str">
            <v>NH TMCP Viet Nam Thinh Vuong (VPBANK)</v>
          </cell>
          <cell r="D3110" t="str">
            <v>Ha NoiVN Thinh Vuong CN Ha Noi</v>
          </cell>
          <cell r="E3110">
            <v>2738</v>
          </cell>
        </row>
        <row r="3111">
          <cell r="A3111" t="str">
            <v>NH TMCP Viet Nam Thinh Vuong (VPBANK)</v>
          </cell>
          <cell r="D3111" t="str">
            <v>Ha NoiVN Thinh Vuong Hoi so chinh</v>
          </cell>
          <cell r="E3111">
            <v>1296</v>
          </cell>
        </row>
        <row r="3112">
          <cell r="A3112" t="str">
            <v>NH TMCP Viet Nam Thinh Vuong (VPBANK)</v>
          </cell>
          <cell r="D3112" t="str">
            <v>Thai NguyenVN Thinh Vuong CN Thai Nguyen</v>
          </cell>
          <cell r="E3112">
            <v>4184</v>
          </cell>
        </row>
        <row r="3113">
          <cell r="A3113" t="str">
            <v>NH TMCP Viet Nam Thinh Vuong (VPBANK)</v>
          </cell>
          <cell r="D3113" t="str">
            <v>Quang NinhVN Thinh Vuong CN Quang Ninh</v>
          </cell>
          <cell r="E3113">
            <v>2988</v>
          </cell>
        </row>
        <row r="3114">
          <cell r="A3114" t="str">
            <v>NH TMCP Viet Nam Thinh Vuong (VPBANK)</v>
          </cell>
          <cell r="D3114" t="str">
            <v>Hai PhongVN Thinh Vuong CN Hai Phong</v>
          </cell>
          <cell r="E3114">
            <v>226</v>
          </cell>
        </row>
        <row r="3115">
          <cell r="A3115" t="str">
            <v>NH TMCP Viet Nam Thinh Vuong (VPBANK)</v>
          </cell>
          <cell r="D3115" t="str">
            <v>Hai DuongVN Thinh Vuong CN Hai Duong</v>
          </cell>
          <cell r="E3115">
            <v>4085</v>
          </cell>
        </row>
        <row r="3116">
          <cell r="A3116" t="str">
            <v>NH TMCP Viet Nam Thinh Vuong (VPBANK)</v>
          </cell>
          <cell r="D3116" t="str">
            <v>Bac GiangVN Thinh Vuong CN Bac Giang</v>
          </cell>
          <cell r="E3116">
            <v>3911</v>
          </cell>
        </row>
        <row r="3117">
          <cell r="A3117" t="str">
            <v>NH TMCP Viet Nam Thinh Vuong (VPBANK)</v>
          </cell>
          <cell r="D3117" t="str">
            <v>Bac NinhVN Thinh Vuong CN Bac Ninh</v>
          </cell>
          <cell r="E3117">
            <v>4135</v>
          </cell>
        </row>
        <row r="3118">
          <cell r="A3118" t="str">
            <v>NH TMCP Viet Nam Thinh Vuong (VPBANK)</v>
          </cell>
          <cell r="D3118" t="str">
            <v>Phu ThoVN Thinh Vuong CN Phu Tho</v>
          </cell>
          <cell r="E3118">
            <v>4011</v>
          </cell>
        </row>
        <row r="3119">
          <cell r="A3119" t="str">
            <v>NH TMCP Viet Nam Thinh Vuong (VPBANK)</v>
          </cell>
          <cell r="D3119" t="str">
            <v>Vinh PhucVN Thinh Vuong CN Vinh Phuc</v>
          </cell>
          <cell r="E3119">
            <v>4329</v>
          </cell>
        </row>
        <row r="3120">
          <cell r="A3120" t="str">
            <v>NH TMCP Viet Nam Thinh Vuong (VPBANK)</v>
          </cell>
          <cell r="D3120" t="str">
            <v>Hoa BinhVN Thinh Vuong CN Hoa Binh</v>
          </cell>
          <cell r="E3120">
            <v>4068</v>
          </cell>
        </row>
        <row r="3121">
          <cell r="A3121" t="str">
            <v>NH TMCP Viet Nam Thinh Vuong (VPBANK)</v>
          </cell>
          <cell r="D3121" t="str">
            <v>Nam DinhVN Thinh Vuong CN Nam Dinh</v>
          </cell>
          <cell r="E3121">
            <v>3908</v>
          </cell>
        </row>
        <row r="3122">
          <cell r="A3122" t="str">
            <v>NH TMCP Viet Nam Thinh Vuong (VPBANK)</v>
          </cell>
          <cell r="D3122" t="str">
            <v>Thai BinhVN Thinh Vuong CN Thai Binh</v>
          </cell>
          <cell r="E3122">
            <v>3850</v>
          </cell>
        </row>
        <row r="3123">
          <cell r="A3123" t="str">
            <v>NH TMCP Viet Nam Thinh Vuong (VPBANK)</v>
          </cell>
          <cell r="D3123" t="str">
            <v>Thanh HoaVN Thinh Vuong CN Thanh Hoa</v>
          </cell>
          <cell r="E3123">
            <v>3995</v>
          </cell>
        </row>
        <row r="3124">
          <cell r="A3124" t="str">
            <v>NH TMCP Viet Nam Thinh Vuong (VPBANK)</v>
          </cell>
          <cell r="D3124" t="str">
            <v>Nghe AnVN Thinh Vuong CN Nghe An</v>
          </cell>
          <cell r="E3124">
            <v>3428</v>
          </cell>
        </row>
        <row r="3125">
          <cell r="A3125" t="str">
            <v>NH TMCP Viet Nam Thinh Vuong (VPBANK)</v>
          </cell>
          <cell r="D3125" t="str">
            <v>Ha TinhVN Thinh Vuong CN Ha Tinh</v>
          </cell>
          <cell r="E3125">
            <v>4063</v>
          </cell>
        </row>
        <row r="3126">
          <cell r="A3126" t="str">
            <v>NH TMCP Viet Nam Thinh Vuong (VPBANK)</v>
          </cell>
          <cell r="D3126" t="str">
            <v>Quang BinhVN Thinh Vuong CN Quang Binh</v>
          </cell>
          <cell r="E3126">
            <v>3565</v>
          </cell>
        </row>
        <row r="3127">
          <cell r="A3127" t="str">
            <v>NH TMCP Viet Nam Thinh Vuong (VPBANK)</v>
          </cell>
          <cell r="D3127" t="str">
            <v>Quang TriVN Thinh Vuong CN Quang Tri</v>
          </cell>
          <cell r="E3127">
            <v>4144</v>
          </cell>
        </row>
        <row r="3128">
          <cell r="A3128" t="str">
            <v>NH TMCP Viet Nam Thinh Vuong (VPBANK)</v>
          </cell>
          <cell r="D3128" t="str">
            <v>Thua Thien HueVN Thinh Vuong CN Hue</v>
          </cell>
          <cell r="E3128">
            <v>3367</v>
          </cell>
        </row>
        <row r="3129">
          <cell r="A3129" t="str">
            <v>NH TMCP Viet Nam Thinh Vuong (VPBANK)</v>
          </cell>
          <cell r="D3129" t="str">
            <v>Ho Chi MinhVN Thinh Vuong CN HCM</v>
          </cell>
          <cell r="E3129">
            <v>648</v>
          </cell>
        </row>
        <row r="3130">
          <cell r="A3130" t="str">
            <v>NH TMCP Viet Nam Thinh Vuong (VPBANK)</v>
          </cell>
          <cell r="D3130" t="str">
            <v>Ho Chi MinhVN Thinh Vuong CN Sai Gon</v>
          </cell>
          <cell r="E3130">
            <v>2707</v>
          </cell>
        </row>
        <row r="3131">
          <cell r="A3131" t="str">
            <v>NH TMCP Viet Nam Thinh Vuong (VPBANK)</v>
          </cell>
          <cell r="D3131" t="str">
            <v>Ho Chi MinhVN Thinh Vuong CN Cong Hoa</v>
          </cell>
          <cell r="E3131">
            <v>4922</v>
          </cell>
        </row>
        <row r="3132">
          <cell r="A3132" t="str">
            <v>NH TMCP Viet Nam Thinh Vuong (VPBANK)</v>
          </cell>
          <cell r="D3132" t="str">
            <v>Ho Chi MinhVN Thinh Vuong CN Gia Dinh</v>
          </cell>
          <cell r="E3132">
            <v>4924</v>
          </cell>
        </row>
        <row r="3133">
          <cell r="A3133" t="str">
            <v>NH TMCP Viet Nam Thinh Vuong (VPBANK)</v>
          </cell>
          <cell r="D3133" t="str">
            <v>Ho Chi MinhVN Thinh Vuong CN Go Vap</v>
          </cell>
          <cell r="E3133">
            <v>4925</v>
          </cell>
        </row>
        <row r="3134">
          <cell r="A3134" t="str">
            <v>NH TMCP Viet Nam Thinh Vuong (VPBANK)</v>
          </cell>
          <cell r="D3134" t="str">
            <v>Ho Chi MinhVN Thinh Vuong CN Quan 2</v>
          </cell>
          <cell r="E3134">
            <v>4928</v>
          </cell>
        </row>
        <row r="3135">
          <cell r="A3135" t="str">
            <v>NH TMCP Viet Nam Thinh Vuong (VPBANK)</v>
          </cell>
          <cell r="D3135" t="str">
            <v>Ho Chi MinhVN Thinh Vuong CN Quan 7</v>
          </cell>
          <cell r="E3135">
            <v>5226</v>
          </cell>
        </row>
        <row r="3136">
          <cell r="A3136" t="str">
            <v>NH TMCP Viet Nam Thinh Vuong (VPBANK)</v>
          </cell>
          <cell r="D3136" t="str">
            <v>Ho Chi MinhVN Thinh Vuong CN Ben Thanh</v>
          </cell>
          <cell r="E3136">
            <v>5122</v>
          </cell>
        </row>
        <row r="3137">
          <cell r="A3137" t="str">
            <v>NH TMCP Viet Nam Thinh Vuong (VPBANK)</v>
          </cell>
          <cell r="D3137" t="str">
            <v>Da NangVN Thinh Vuong CN Da Nang</v>
          </cell>
          <cell r="E3137">
            <v>225</v>
          </cell>
        </row>
        <row r="3138">
          <cell r="A3138" t="str">
            <v>NH TMCP Viet Nam Thinh Vuong (VPBANK)</v>
          </cell>
          <cell r="D3138" t="str">
            <v>Quang NamVN Thinh Vuong CN Quang Nam</v>
          </cell>
          <cell r="E3138">
            <v>4929</v>
          </cell>
        </row>
        <row r="3139">
          <cell r="A3139" t="str">
            <v>NH TMCP Viet Nam Thinh Vuong (VPBANK)</v>
          </cell>
          <cell r="D3139" t="str">
            <v>Quang NgaiVN Thinh Vuong CN Quang Binh</v>
          </cell>
          <cell r="E3139">
            <v>3770</v>
          </cell>
        </row>
        <row r="3140">
          <cell r="A3140" t="str">
            <v>NH TMCP Viet Nam Thinh Vuong (VPBANK)</v>
          </cell>
          <cell r="D3140" t="str">
            <v>Binh DinhVN Thinh Vuong CN Binh Dinh</v>
          </cell>
          <cell r="E3140">
            <v>3284</v>
          </cell>
        </row>
        <row r="3141">
          <cell r="A3141" t="str">
            <v>NH TMCP Viet Nam Thinh Vuong (VPBANK)</v>
          </cell>
          <cell r="D3141" t="str">
            <v>Khanh HoaVN Thinh Vuong CN Nha Trang</v>
          </cell>
          <cell r="E3141">
            <v>3166</v>
          </cell>
        </row>
        <row r="3142">
          <cell r="A3142" t="str">
            <v>NH TMCP Viet Nam Thinh Vuong (VPBANK)</v>
          </cell>
          <cell r="D3142" t="str">
            <v>Binh ThuanVN Thinh Vuong CN Binh Thuan</v>
          </cell>
          <cell r="E3142">
            <v>3643</v>
          </cell>
        </row>
        <row r="3143">
          <cell r="A3143" t="str">
            <v>NH TMCP Viet Nam Thinh Vuong (VPBANK)</v>
          </cell>
          <cell r="D3143" t="str">
            <v>Gia LaiVN Thinh Vuong CN Gia Lai</v>
          </cell>
          <cell r="E3143">
            <v>4142</v>
          </cell>
        </row>
        <row r="3144">
          <cell r="A3144" t="str">
            <v>NH TMCP Viet Nam Thinh Vuong (VPBANK)</v>
          </cell>
          <cell r="D3144" t="str">
            <v>Binh DuongVN Thinh Vuong CN Binh Duong</v>
          </cell>
          <cell r="E3144">
            <v>3996</v>
          </cell>
        </row>
        <row r="3145">
          <cell r="A3145" t="str">
            <v>NH TMCP Viet Nam Thinh Vuong (VPBANK)</v>
          </cell>
          <cell r="D3145" t="str">
            <v>Dong NaiVN Thinh Vuong CN Dong Nai</v>
          </cell>
          <cell r="E3145">
            <v>3613</v>
          </cell>
        </row>
        <row r="3146">
          <cell r="A3146" t="str">
            <v>NH TMCP Viet Nam Thinh Vuong (VPBANK)</v>
          </cell>
          <cell r="D3146" t="str">
            <v>Ba Ria-Vung TauVN Thinh Vuong CN Vung Tau</v>
          </cell>
          <cell r="E3146">
            <v>3909</v>
          </cell>
        </row>
        <row r="3147">
          <cell r="A3147" t="str">
            <v>NH TMCP Viet Nam Thinh Vuong (VPBANK)</v>
          </cell>
          <cell r="D3147" t="str">
            <v>Long AnVN Thinh Vuong CN Long An</v>
          </cell>
          <cell r="E3147">
            <v>2889</v>
          </cell>
        </row>
        <row r="3148">
          <cell r="A3148" t="str">
            <v>NH TMCP Viet Nam Thinh Vuong (VPBANK)</v>
          </cell>
          <cell r="D3148" t="str">
            <v>Dong ThapVN Thinh Vuong CN Dong Thap</v>
          </cell>
          <cell r="E3148">
            <v>3001</v>
          </cell>
        </row>
        <row r="3149">
          <cell r="A3149" t="str">
            <v>NH TMCP Viet Nam Thinh Vuong (VPBANK)</v>
          </cell>
          <cell r="D3149" t="str">
            <v>An GiangVN Thinh Vuong CN An Giang</v>
          </cell>
          <cell r="E3149">
            <v>4057</v>
          </cell>
        </row>
        <row r="3150">
          <cell r="A3150" t="str">
            <v>NH TMCP Viet Nam Thinh Vuong (VPBANK)</v>
          </cell>
          <cell r="D3150" t="str">
            <v>Vinh LongVN Thinh Vuong CN Vinh Long</v>
          </cell>
          <cell r="E3150">
            <v>3693</v>
          </cell>
        </row>
        <row r="3151">
          <cell r="A3151" t="str">
            <v>NH TMCP Viet Nam Thinh Vuong (VPBANK)</v>
          </cell>
          <cell r="D3151" t="str">
            <v>Can ThoVN Thinh Vuong CN Can Tho</v>
          </cell>
          <cell r="E3151">
            <v>3411</v>
          </cell>
        </row>
        <row r="3152">
          <cell r="A3152" t="str">
            <v>NH TMCP Viet Nam Thinh Vuong (VPBANK)</v>
          </cell>
          <cell r="D3152" t="str">
            <v>Kien GiangVN Thinh Vuong CN Kien Giang</v>
          </cell>
          <cell r="E3152">
            <v>4143</v>
          </cell>
        </row>
        <row r="3153">
          <cell r="A3153" t="str">
            <v>NH TMCP Viet Nam Thuong Tin (VietBank)</v>
          </cell>
          <cell r="D3153" t="str">
            <v>Ha NoiVN Thuong Tin SGD Ha Noi</v>
          </cell>
          <cell r="E3153">
            <v>3219</v>
          </cell>
        </row>
        <row r="3154">
          <cell r="A3154" t="str">
            <v>NH TMCP Viet Nam Thuong Tin (VietBank)</v>
          </cell>
          <cell r="D3154" t="str">
            <v>Hai PhongVN Thuong Tin CN Hai Phong</v>
          </cell>
          <cell r="E3154">
            <v>3322</v>
          </cell>
        </row>
        <row r="3155">
          <cell r="A3155" t="str">
            <v>NH TMCP Viet Nam Thuong Tin (VietBank)</v>
          </cell>
          <cell r="D3155" t="str">
            <v>Nghe AnVN Thuong Tin CN Nghe An</v>
          </cell>
          <cell r="E3155">
            <v>3663</v>
          </cell>
        </row>
        <row r="3156">
          <cell r="A3156" t="str">
            <v>NH TMCP Viet Nam Thuong Tin (VietBank)</v>
          </cell>
          <cell r="D3156" t="str">
            <v>Ho Chi MinhVN Thuong Tin CN HCM</v>
          </cell>
          <cell r="E3156">
            <v>3260</v>
          </cell>
        </row>
        <row r="3157">
          <cell r="A3157" t="str">
            <v>NH TMCP Viet Nam Thuong Tin (VietBank)</v>
          </cell>
          <cell r="D3157" t="str">
            <v>Da NangVN Thuong Tin CN Da Nang</v>
          </cell>
          <cell r="E3157">
            <v>3323</v>
          </cell>
        </row>
        <row r="3158">
          <cell r="A3158" t="str">
            <v>NH TMCP Viet Nam Thuong Tin (VietBank)</v>
          </cell>
          <cell r="D3158" t="str">
            <v>Quang NgaiVN Thuong Tin CN Quang Ngai</v>
          </cell>
          <cell r="E3158">
            <v>4931</v>
          </cell>
        </row>
        <row r="3159">
          <cell r="A3159" t="str">
            <v>NH TMCP Viet Nam Thuong Tin (VietBank)</v>
          </cell>
          <cell r="D3159" t="str">
            <v>Khanh HoaVN Thuong Tin CN Khanh Hoa</v>
          </cell>
          <cell r="E3159">
            <v>3545</v>
          </cell>
        </row>
        <row r="3160">
          <cell r="A3160" t="str">
            <v>NH TMCP Viet Nam Thuong Tin (VietBank)</v>
          </cell>
          <cell r="D3160" t="str">
            <v>Ba Ria-Vung TauVN Thuong Tin CN Ba Ria Vung Tau</v>
          </cell>
          <cell r="E3160">
            <v>3605</v>
          </cell>
        </row>
        <row r="3161">
          <cell r="A3161" t="str">
            <v>NH TMCP Viet Nam Thuong Tin (VietBank)</v>
          </cell>
          <cell r="D3161" t="str">
            <v>Long AnVN Thuong Tin CN Long An</v>
          </cell>
          <cell r="E3161">
            <v>3503</v>
          </cell>
        </row>
        <row r="3162">
          <cell r="A3162" t="str">
            <v>NH TMCP Viet Nam Thuong Tin (VietBank)</v>
          </cell>
          <cell r="D3162" t="str">
            <v>Can ThoVN Thuong Tin CN Can Tho</v>
          </cell>
          <cell r="E3162">
            <v>3266</v>
          </cell>
        </row>
        <row r="3163">
          <cell r="A3163" t="str">
            <v>NH TMCP Viet Nam Thuong Tin (VietBank)</v>
          </cell>
          <cell r="D3163" t="str">
            <v>Soc TrangVN Thuong Tin Hoi So Chinh</v>
          </cell>
          <cell r="E3163">
            <v>3217</v>
          </cell>
        </row>
        <row r="3164">
          <cell r="A3164" t="str">
            <v>NH TMCP Viet Nam Thuong Tin (VietBank)</v>
          </cell>
          <cell r="D3164" t="str">
            <v>Soc TrangVN Thuong Tin SGD Soc Trang</v>
          </cell>
          <cell r="E3164">
            <v>3218</v>
          </cell>
        </row>
        <row r="3165">
          <cell r="A3165" t="str">
            <v>NH TMCP Vung Tau</v>
          </cell>
          <cell r="D3165" t="str">
            <v>Ha NoiNH TMCP Vung Tau Ha Noi</v>
          </cell>
          <cell r="E3165">
            <v>247</v>
          </cell>
        </row>
        <row r="3166">
          <cell r="A3166" t="str">
            <v>NH TMCP Vung Tau</v>
          </cell>
          <cell r="D3166" t="str">
            <v>Ba Ria-Vung TauNH TMCP Vung Tau</v>
          </cell>
          <cell r="E3166">
            <v>1344</v>
          </cell>
        </row>
        <row r="3167">
          <cell r="A3167" t="str">
            <v>NH TMCP Xang dau Petrolimex (PG Bank)</v>
          </cell>
          <cell r="D3167" t="str">
            <v>Ha NoiXang Dau Petrolimex CN Thang Long</v>
          </cell>
          <cell r="E3167">
            <v>4932</v>
          </cell>
        </row>
        <row r="3168">
          <cell r="A3168" t="str">
            <v>NH TMCP Xang dau Petrolimex (PG Bank)</v>
          </cell>
          <cell r="D3168" t="str">
            <v>Ha NoiXang Dau Petrolimex CN Ha Noi</v>
          </cell>
          <cell r="E3168">
            <v>2975</v>
          </cell>
        </row>
        <row r="3169">
          <cell r="A3169" t="str">
            <v>NH TMCP Xang dau Petrolimex (PG Bank)</v>
          </cell>
          <cell r="D3169" t="str">
            <v>Quang NinhXang Dau Petrolimex CN Quang Ninh</v>
          </cell>
          <cell r="E3169">
            <v>4337</v>
          </cell>
        </row>
        <row r="3170">
          <cell r="A3170" t="str">
            <v>NH TMCP Xang dau Petrolimex (PG Bank)</v>
          </cell>
          <cell r="D3170" t="str">
            <v>Hai PhongXang Dau Petrolimex CN Hai Phong</v>
          </cell>
          <cell r="E3170">
            <v>3395</v>
          </cell>
        </row>
        <row r="3171">
          <cell r="A3171" t="str">
            <v>NH TMCP Xang dau Petrolimex (PG Bank)</v>
          </cell>
          <cell r="D3171" t="str">
            <v>Hai DuongXang Dau Petrolimex CN Hai Duong</v>
          </cell>
          <cell r="E3171">
            <v>3278</v>
          </cell>
        </row>
        <row r="3172">
          <cell r="A3172" t="str">
            <v>NH TMCP Xang dau Petrolimex (PG Bank)</v>
          </cell>
          <cell r="D3172" t="str">
            <v>Bac NinhXang Dau Petrolimex CN Bac Ninh</v>
          </cell>
          <cell r="E3172">
            <v>4030</v>
          </cell>
        </row>
        <row r="3173">
          <cell r="A3173" t="str">
            <v>NH TMCP Xang dau Petrolimex (PG Bank)</v>
          </cell>
          <cell r="D3173" t="str">
            <v>Ho Chi MinhXang dau Petrolimex CN Sai Gon</v>
          </cell>
          <cell r="E3173">
            <v>3025</v>
          </cell>
        </row>
        <row r="3174">
          <cell r="A3174" t="str">
            <v>NH TMCP Xang dau Petrolimex (PG Bank)</v>
          </cell>
          <cell r="D3174" t="str">
            <v>Da NangXang dau Petrolimex CN Da Nang</v>
          </cell>
          <cell r="E3174">
            <v>3277</v>
          </cell>
        </row>
        <row r="3175">
          <cell r="A3175" t="str">
            <v>NH TMCP Xang dau Petrolimex (PG Bank)</v>
          </cell>
          <cell r="D3175" t="str">
            <v>Khanh HoaXang dau Petrolimex CN Khanh Hoa</v>
          </cell>
          <cell r="E3175">
            <v>3885</v>
          </cell>
        </row>
        <row r="3176">
          <cell r="A3176" t="str">
            <v>NH TMCP Xang dau Petrolimex (PG Bank)</v>
          </cell>
          <cell r="D3176" t="str">
            <v>Binh DuongXang dau Petrolimex CN Binh Duong</v>
          </cell>
          <cell r="E3176">
            <v>3828</v>
          </cell>
        </row>
        <row r="3177">
          <cell r="A3177" t="str">
            <v>NH TMCP Xang dau Petrolimex (PG Bank)</v>
          </cell>
          <cell r="D3177" t="str">
            <v>Dong NaiXang dau Petrolimex CN Dong Nai</v>
          </cell>
          <cell r="E3177">
            <v>3396</v>
          </cell>
        </row>
        <row r="3178">
          <cell r="A3178" t="str">
            <v>NH TMCP Xang dau Petrolimex (PG Bank)</v>
          </cell>
          <cell r="D3178" t="str">
            <v>Ba Ria-Vung TauXang dau Petrolimex CN Ba Ria Vung Tau</v>
          </cell>
          <cell r="E3178">
            <v>3394</v>
          </cell>
        </row>
        <row r="3179">
          <cell r="A3179" t="str">
            <v>NH TMCP Xang dau Petrolimex (PG Bank)</v>
          </cell>
          <cell r="D3179" t="str">
            <v>Long AnXang dau Petrolimex CN Long An</v>
          </cell>
          <cell r="E3179">
            <v>3752</v>
          </cell>
        </row>
        <row r="3180">
          <cell r="A3180" t="str">
            <v>NH TMCP Xang dau Petrolimex (PG Bank)</v>
          </cell>
          <cell r="D3180" t="str">
            <v>Dong ThapXang dau Petrolimex CN Dong Thap</v>
          </cell>
          <cell r="E3180">
            <v>3638</v>
          </cell>
        </row>
        <row r="3181">
          <cell r="A3181" t="str">
            <v>NH TMCP Xang dau Petrolimex (PG Bank)</v>
          </cell>
          <cell r="D3181" t="str">
            <v>An GiangXang dau Petrolimex CN An Giang</v>
          </cell>
          <cell r="E3181">
            <v>3673</v>
          </cell>
        </row>
        <row r="3182">
          <cell r="A3182" t="str">
            <v>NH TMCP Xang dau Petrolimex (PG Bank)</v>
          </cell>
          <cell r="D3182" t="str">
            <v>Can ThoXang dau Petrolimex CN Can Tho</v>
          </cell>
          <cell r="E3182">
            <v>3276</v>
          </cell>
        </row>
        <row r="3183">
          <cell r="A3183" t="str">
            <v>NH TMCP Xay Dung Viet Nam</v>
          </cell>
          <cell r="D3183" t="str">
            <v>Ha NoiNH Xay Dung VN CN Ha Noi</v>
          </cell>
          <cell r="E3183">
            <v>3328</v>
          </cell>
        </row>
        <row r="3184">
          <cell r="A3184" t="str">
            <v>NH TMCP Xay Dung Viet Nam</v>
          </cell>
          <cell r="D3184" t="str">
            <v>Ho Chi MinhNH Xay Dung VN CN Sai Gon</v>
          </cell>
          <cell r="E3184">
            <v>3327</v>
          </cell>
        </row>
        <row r="3185">
          <cell r="A3185" t="str">
            <v>NH TMCP Xay Dung Viet Nam</v>
          </cell>
          <cell r="D3185" t="str">
            <v>Ho Chi MinhNH Xay Dung VN CN Lam Giang</v>
          </cell>
          <cell r="E3185">
            <v>3981</v>
          </cell>
        </row>
        <row r="3186">
          <cell r="A3186" t="str">
            <v>NH TMCP Xay Dung Viet Nam</v>
          </cell>
          <cell r="D3186" t="str">
            <v>Da NangNH Xay Dung VN CN Da Nang</v>
          </cell>
          <cell r="E3186">
            <v>3329</v>
          </cell>
        </row>
        <row r="3187">
          <cell r="A3187" t="str">
            <v>NH TMCP Xay Dung Viet Nam</v>
          </cell>
          <cell r="D3187" t="str">
            <v>Khanh HoaNH Xay Dung VN CN Nha Trang</v>
          </cell>
          <cell r="E3187">
            <v>4285</v>
          </cell>
        </row>
        <row r="3188">
          <cell r="A3188" t="str">
            <v>NH TMCP Xay Dung Viet Nam</v>
          </cell>
          <cell r="D3188" t="str">
            <v>Binh ThuanNH Xay Dung VN CN Binh Thuan</v>
          </cell>
          <cell r="E3188">
            <v>4282</v>
          </cell>
        </row>
        <row r="3189">
          <cell r="A3189" t="str">
            <v>NH TMCP Xay Dung Viet Nam</v>
          </cell>
          <cell r="D3189" t="str">
            <v>Hau GiangNH Xay Dung VN CN Hau Giang</v>
          </cell>
          <cell r="E3189">
            <v>4105</v>
          </cell>
        </row>
        <row r="3190">
          <cell r="A3190" t="str">
            <v>NH TMCP Xay Dung Viet Nam</v>
          </cell>
          <cell r="D3190" t="str">
            <v>Binh DuongNH Xay Dung VN CN Binh Duong</v>
          </cell>
          <cell r="E3190">
            <v>4065</v>
          </cell>
        </row>
        <row r="3191">
          <cell r="A3191" t="str">
            <v>NH TMCP Xay Dung Viet Nam</v>
          </cell>
          <cell r="D3191" t="str">
            <v>Dong NaiNH Xay Dung VN CN Dong Nai</v>
          </cell>
          <cell r="E3191">
            <v>3549</v>
          </cell>
        </row>
        <row r="3192">
          <cell r="A3192" t="str">
            <v>NH TMCP Xay Dung Viet Nam</v>
          </cell>
          <cell r="D3192" t="str">
            <v>Ba Ria-Vung TauNH Xay Dung VN CN Vung Tau</v>
          </cell>
          <cell r="E3192">
            <v>3550</v>
          </cell>
        </row>
        <row r="3193">
          <cell r="A3193" t="str">
            <v>NH TMCP Xay Dung Viet Nam</v>
          </cell>
          <cell r="D3193" t="str">
            <v>Long AnNH Xay Dung VN SGD</v>
          </cell>
          <cell r="E3193">
            <v>4198</v>
          </cell>
        </row>
        <row r="3194">
          <cell r="A3194" t="str">
            <v>NH TMCP Xay Dung Viet Nam</v>
          </cell>
          <cell r="D3194" t="str">
            <v>Long AnNH Xay Dung VN CN Long An</v>
          </cell>
          <cell r="E3194">
            <v>3551</v>
          </cell>
        </row>
        <row r="3195">
          <cell r="A3195" t="str">
            <v>NH TMCP Xay Dung Viet Nam</v>
          </cell>
          <cell r="D3195" t="str">
            <v>Long AnNH Xay Dung VN CN Rach Kien</v>
          </cell>
          <cell r="E3195">
            <v>4242</v>
          </cell>
        </row>
        <row r="3196">
          <cell r="A3196" t="str">
            <v>NH TMCP Xay Dung Viet Nam</v>
          </cell>
          <cell r="D3196" t="str">
            <v>Long AnNH Xay Dung VN Hoi So Chinh</v>
          </cell>
          <cell r="E3196">
            <v>1325</v>
          </cell>
        </row>
        <row r="3197">
          <cell r="A3197" t="str">
            <v>NH TMCP Xay Dung Viet Nam</v>
          </cell>
          <cell r="D3197" t="str">
            <v>Dong ThapNH Xay Dung VN CN Dong Thap</v>
          </cell>
          <cell r="E3197">
            <v>4192</v>
          </cell>
        </row>
        <row r="3198">
          <cell r="A3198" t="str">
            <v>NH TMCP Xay Dung Viet Nam</v>
          </cell>
          <cell r="D3198" t="str">
            <v>An GiangNH Xay Dung VN CN An Giang</v>
          </cell>
          <cell r="E3198">
            <v>4133</v>
          </cell>
        </row>
        <row r="3199">
          <cell r="A3199" t="str">
            <v>NH TMCP Xay Dung Viet Nam</v>
          </cell>
          <cell r="D3199" t="str">
            <v>Tien GiangNH Xay Dung VN CN Tien Giang</v>
          </cell>
          <cell r="E3199">
            <v>3552</v>
          </cell>
        </row>
        <row r="3200">
          <cell r="A3200" t="str">
            <v>NH TMCP Xay Dung Viet Nam</v>
          </cell>
          <cell r="D3200" t="str">
            <v>Ben TreNH Xay Dung VN CN Ben Tre</v>
          </cell>
          <cell r="E3200">
            <v>3633</v>
          </cell>
        </row>
        <row r="3201">
          <cell r="A3201" t="str">
            <v>NH TMCP Xay Dung Viet Nam</v>
          </cell>
          <cell r="D3201" t="str">
            <v>Vinh LongNH Xay Dung VN CN Vinh Long</v>
          </cell>
          <cell r="E3201">
            <v>4042</v>
          </cell>
        </row>
        <row r="3202">
          <cell r="A3202" t="str">
            <v>NH TMCP Xay Dung Viet Nam</v>
          </cell>
          <cell r="D3202" t="str">
            <v>Tra VinhNH Xay Dung VN CN Tra Vinh</v>
          </cell>
          <cell r="E3202">
            <v>4230</v>
          </cell>
        </row>
        <row r="3203">
          <cell r="A3203" t="str">
            <v>NH TMCP Xay Dung Viet Nam</v>
          </cell>
          <cell r="D3203" t="str">
            <v>Can ThoNH Xay Dung VN CN Can Tho</v>
          </cell>
          <cell r="E3203">
            <v>3548</v>
          </cell>
        </row>
        <row r="3204">
          <cell r="A3204" t="str">
            <v>NH TMCP Xay Dung Viet Nam</v>
          </cell>
          <cell r="D3204" t="str">
            <v>Kien GiangNH Xay Dung VN CN Kien Giang</v>
          </cell>
          <cell r="E3204">
            <v>4216</v>
          </cell>
        </row>
        <row r="3205">
          <cell r="A3205" t="str">
            <v>NH TMCP Xay Dung Viet Nam</v>
          </cell>
          <cell r="D3205" t="str">
            <v>Ca MauNH Xay Dung VN CN Ca Mau</v>
          </cell>
          <cell r="E3205">
            <v>4096</v>
          </cell>
        </row>
        <row r="3206">
          <cell r="A3206" t="str">
            <v>NH TMCP Xuat Nhap Khau (Eximbank)</v>
          </cell>
          <cell r="D3206" t="str">
            <v>Ha NoiEXIMBANK CN Hai Ba Trung</v>
          </cell>
          <cell r="E3206">
            <v>4165</v>
          </cell>
        </row>
        <row r="3207">
          <cell r="A3207" t="str">
            <v>NH TMCP Xuat Nhap Khau (Eximbank)</v>
          </cell>
          <cell r="D3207" t="str">
            <v>Ha NoiEXIMBANK CN Cau Giay</v>
          </cell>
          <cell r="E3207">
            <v>4166</v>
          </cell>
        </row>
        <row r="3208">
          <cell r="A3208" t="str">
            <v>NH TMCP Xuat Nhap Khau (Eximbank)</v>
          </cell>
          <cell r="D3208" t="str">
            <v>Ha NoiEXIMBANK CN Dong Da</v>
          </cell>
          <cell r="E3208">
            <v>3196</v>
          </cell>
        </row>
        <row r="3209">
          <cell r="A3209" t="str">
            <v>NH TMCP Xuat Nhap Khau (Eximbank)</v>
          </cell>
          <cell r="D3209" t="str">
            <v>Ha NoiEXIMBANK CN Ba Dinh</v>
          </cell>
          <cell r="E3209">
            <v>2826</v>
          </cell>
        </row>
        <row r="3210">
          <cell r="A3210" t="str">
            <v>NH TMCP Xuat Nhap Khau (Eximbank)</v>
          </cell>
          <cell r="D3210" t="str">
            <v>Ha NoiEXIMBANK CN Long Bien</v>
          </cell>
          <cell r="E3210">
            <v>2886</v>
          </cell>
        </row>
        <row r="3211">
          <cell r="A3211" t="str">
            <v>NH TMCP Xuat Nhap Khau (Eximbank)</v>
          </cell>
          <cell r="D3211" t="str">
            <v>Ha NoiEXIMBANK CN Ha Noi</v>
          </cell>
          <cell r="E3211">
            <v>250</v>
          </cell>
        </row>
        <row r="3212">
          <cell r="A3212" t="str">
            <v>NH TMCP Xuat Nhap Khau (Eximbank)</v>
          </cell>
          <cell r="D3212" t="str">
            <v>Quang NinhEXIMBANK CN Quang Ninh</v>
          </cell>
          <cell r="E3212">
            <v>2992</v>
          </cell>
        </row>
        <row r="3213">
          <cell r="A3213" t="str">
            <v>NH TMCP Xuat Nhap Khau (Eximbank)</v>
          </cell>
          <cell r="D3213" t="str">
            <v>Hai PhongEXIMBANK CN Hai Phong</v>
          </cell>
          <cell r="E3213">
            <v>3177</v>
          </cell>
        </row>
        <row r="3214">
          <cell r="A3214" t="str">
            <v>NH TMCP Xuat Nhap Khau (Eximbank)</v>
          </cell>
          <cell r="D3214" t="str">
            <v>Nghe AnEXIMBANK CN Vinh</v>
          </cell>
          <cell r="E3214">
            <v>3775</v>
          </cell>
        </row>
        <row r="3215">
          <cell r="A3215" t="str">
            <v>NH TMCP Xuat Nhap Khau (Eximbank)</v>
          </cell>
          <cell r="D3215" t="str">
            <v>Thua Thien HueEXIMBANK CN Hue</v>
          </cell>
          <cell r="E3215">
            <v>3631</v>
          </cell>
        </row>
        <row r="3216">
          <cell r="A3216" t="str">
            <v>NH TMCP Xuat Nhap Khau (Eximbank)</v>
          </cell>
          <cell r="D3216" t="str">
            <v>Ho Chi MinhEXIMBANK CN HCM</v>
          </cell>
          <cell r="E3216">
            <v>1345</v>
          </cell>
        </row>
        <row r="3217">
          <cell r="A3217" t="str">
            <v>NH TMCP Xuat Nhap Khau (Eximbank)</v>
          </cell>
          <cell r="D3217" t="str">
            <v>Ho Chi MinhEXIMBANK CN Phu My Hung</v>
          </cell>
          <cell r="E3217">
            <v>4203</v>
          </cell>
        </row>
        <row r="3218">
          <cell r="A3218" t="str">
            <v>NH TMCP Xuat Nhap Khau (Eximbank)</v>
          </cell>
          <cell r="D3218" t="str">
            <v>Ho Chi MinhEXIMBANK CN Tan Son Nhat</v>
          </cell>
          <cell r="E3218">
            <v>4204</v>
          </cell>
        </row>
        <row r="3219">
          <cell r="A3219" t="str">
            <v>NH TMCP Xuat Nhap Khau (Eximbank)</v>
          </cell>
          <cell r="D3219" t="str">
            <v>Ho Chi MinhEXIMBANK CN Sai Gon</v>
          </cell>
          <cell r="E3219">
            <v>3107</v>
          </cell>
        </row>
        <row r="3220">
          <cell r="A3220" t="str">
            <v>NH TMCP Xuat Nhap Khau (Eximbank)</v>
          </cell>
          <cell r="D3220" t="str">
            <v>Ho Chi MinhEXIMBANK CN Hoa Binh</v>
          </cell>
          <cell r="E3220">
            <v>3108</v>
          </cell>
        </row>
        <row r="3221">
          <cell r="A3221" t="str">
            <v>NH TMCP Xuat Nhap Khau (Eximbank)</v>
          </cell>
          <cell r="D3221" t="str">
            <v>Ho Chi MinhEXIMBANK CN Tan Dinh</v>
          </cell>
          <cell r="E3221">
            <v>3109</v>
          </cell>
        </row>
        <row r="3222">
          <cell r="A3222" t="str">
            <v>NH TMCP Xuat Nhap Khau (Eximbank)</v>
          </cell>
          <cell r="D3222" t="str">
            <v>Ho Chi MinhEXIMBANK CN Quan 10</v>
          </cell>
          <cell r="E3222">
            <v>3110</v>
          </cell>
        </row>
        <row r="3223">
          <cell r="A3223" t="str">
            <v>NH TMCP Xuat Nhap Khau (Eximbank)</v>
          </cell>
          <cell r="D3223" t="str">
            <v>Ho Chi MinhEXIMBANK CN Quan 11</v>
          </cell>
          <cell r="E3223">
            <v>3111</v>
          </cell>
        </row>
        <row r="3224">
          <cell r="A3224" t="str">
            <v>NH TMCP Xuat Nhap Khau (Eximbank)</v>
          </cell>
          <cell r="D3224" t="str">
            <v>Ho Chi MinhEXIMBANK CN Cho Lon</v>
          </cell>
          <cell r="E3224">
            <v>2588</v>
          </cell>
        </row>
        <row r="3225">
          <cell r="A3225" t="str">
            <v>NH TMCP Xuat Nhap Khau (Eximbank)</v>
          </cell>
          <cell r="D3225" t="str">
            <v>Ho Chi MinhEXIMBANK CN Cong Hoa</v>
          </cell>
          <cell r="E3225">
            <v>3194</v>
          </cell>
        </row>
        <row r="3226">
          <cell r="A3226" t="str">
            <v>NH TMCP Xuat Nhap Khau (Eximbank)</v>
          </cell>
          <cell r="D3226" t="str">
            <v>Ho Chi MinhEXIMBANK Hoi so</v>
          </cell>
          <cell r="E3226">
            <v>3195</v>
          </cell>
        </row>
        <row r="3227">
          <cell r="A3227" t="str">
            <v>NH TMCP Xuat Nhap Khau (Eximbank)</v>
          </cell>
          <cell r="D3227" t="str">
            <v>Ho Chi MinhEXIMBANK So Giao Dich 1</v>
          </cell>
          <cell r="E3227">
            <v>3199</v>
          </cell>
        </row>
        <row r="3228">
          <cell r="A3228" t="str">
            <v>NH TMCP Xuat Nhap Khau (Eximbank)</v>
          </cell>
          <cell r="D3228" t="str">
            <v>Ho Chi MinhEXIMBANK CN Quan 7</v>
          </cell>
          <cell r="E3228">
            <v>4201</v>
          </cell>
        </row>
        <row r="3229">
          <cell r="A3229" t="str">
            <v>NH TMCP Xuat Nhap Khau (Eximbank)</v>
          </cell>
          <cell r="D3229" t="str">
            <v>Ho Chi MinhEXIMBANK CN Binh Phu</v>
          </cell>
          <cell r="E3229">
            <v>4202</v>
          </cell>
        </row>
        <row r="3230">
          <cell r="A3230" t="str">
            <v>NH TMCP Xuat Nhap Khau (Eximbank)</v>
          </cell>
          <cell r="D3230" t="str">
            <v>Ho Chi MinhEXIMBANK CN Binh Tan</v>
          </cell>
          <cell r="E3230">
            <v>4356</v>
          </cell>
        </row>
        <row r="3231">
          <cell r="A3231" t="str">
            <v>NH TMCP Xuat Nhap Khau (Eximbank)</v>
          </cell>
          <cell r="D3231" t="str">
            <v>Ho Chi MinhEXIMBANK CN Quan 3</v>
          </cell>
          <cell r="E3231">
            <v>4557</v>
          </cell>
        </row>
        <row r="3232">
          <cell r="A3232" t="str">
            <v>NH TMCP Xuat Nhap Khau (Eximbank)</v>
          </cell>
          <cell r="D3232" t="str">
            <v>Ho Chi MinhEXIMBANK CN Quan 4</v>
          </cell>
          <cell r="E3232">
            <v>4558</v>
          </cell>
        </row>
        <row r="3233">
          <cell r="A3233" t="str">
            <v>NH TMCP Xuat Nhap Khau (Eximbank)</v>
          </cell>
          <cell r="D3233" t="str">
            <v>Ho Chi MinhEXIMBANK CN Thu Duc</v>
          </cell>
          <cell r="E3233">
            <v>4559</v>
          </cell>
        </row>
        <row r="3234">
          <cell r="A3234" t="str">
            <v>NH TMCP Xuat Nhap Khau (Eximbank)</v>
          </cell>
          <cell r="D3234" t="str">
            <v>Da NangEXIMBANK CN Da Nang</v>
          </cell>
          <cell r="E3234">
            <v>248</v>
          </cell>
        </row>
        <row r="3235">
          <cell r="A3235" t="str">
            <v>NH TMCP Xuat Nhap Khau (Eximbank)</v>
          </cell>
          <cell r="D3235" t="str">
            <v>Da NangEXIMBANK CN Hung Vuong</v>
          </cell>
          <cell r="E3235">
            <v>4298</v>
          </cell>
        </row>
        <row r="3236">
          <cell r="A3236" t="str">
            <v>NH TMCP Xuat Nhap Khau (Eximbank)</v>
          </cell>
          <cell r="D3236" t="str">
            <v>Quang NamEXIMBANK CN Quang Nam</v>
          </cell>
          <cell r="E3236">
            <v>3862</v>
          </cell>
        </row>
        <row r="3237">
          <cell r="A3237" t="str">
            <v>NH TMCP Xuat Nhap Khau (Eximbank)</v>
          </cell>
          <cell r="D3237" t="str">
            <v>Quang NgaiEXIMBANK CN Quang Ngai</v>
          </cell>
          <cell r="E3237">
            <v>3887</v>
          </cell>
        </row>
        <row r="3238">
          <cell r="A3238" t="str">
            <v>NH TMCP Xuat Nhap Khau (Eximbank)</v>
          </cell>
          <cell r="D3238" t="str">
            <v>Khanh HoaEXIMBANK CN Nha Trang</v>
          </cell>
          <cell r="E3238">
            <v>2798</v>
          </cell>
        </row>
        <row r="3239">
          <cell r="A3239" t="str">
            <v>NH TMCP Xuat Nhap Khau (Eximbank)</v>
          </cell>
          <cell r="D3239" t="str">
            <v>Dac LacEXIMBANK CN Buon Ma Thuot</v>
          </cell>
          <cell r="E3239">
            <v>3504</v>
          </cell>
        </row>
        <row r="3240">
          <cell r="A3240" t="str">
            <v>NH TMCP Xuat Nhap Khau (Eximbank)</v>
          </cell>
          <cell r="D3240" t="str">
            <v>Lam DongEXIMBANK CN Da Lat</v>
          </cell>
          <cell r="E3240">
            <v>3400</v>
          </cell>
        </row>
        <row r="3241">
          <cell r="A3241" t="str">
            <v>NH TMCP Xuat Nhap Khau (Eximbank)</v>
          </cell>
          <cell r="D3241" t="str">
            <v>Binh DuongEXIMBANK CN Binh Duong</v>
          </cell>
          <cell r="E3241">
            <v>3204</v>
          </cell>
        </row>
        <row r="3242">
          <cell r="A3242" t="str">
            <v>NH TMCP Xuat Nhap Khau (Eximbank)</v>
          </cell>
          <cell r="D3242" t="str">
            <v>Binh PhuocEXIMBANK CN Binh Phuoc</v>
          </cell>
          <cell r="E3242">
            <v>4555</v>
          </cell>
        </row>
        <row r="3243">
          <cell r="A3243" t="str">
            <v>NH TMCP Xuat Nhap Khau (Eximbank)</v>
          </cell>
          <cell r="D3243" t="str">
            <v>Dong NaiEXIMBANK CN Dong Nai</v>
          </cell>
          <cell r="E3243">
            <v>2966</v>
          </cell>
        </row>
        <row r="3244">
          <cell r="A3244" t="str">
            <v>NH TMCP Xuat Nhap Khau (Eximbank)</v>
          </cell>
          <cell r="D3244" t="str">
            <v>Ba Ria-Vung TauEXIMBANK CN Ba Ria Vung Tau</v>
          </cell>
          <cell r="E3244">
            <v>3422</v>
          </cell>
        </row>
        <row r="3245">
          <cell r="A3245" t="str">
            <v>NH TMCP Xuat Nhap Khau (Eximbank)</v>
          </cell>
          <cell r="D3245" t="str">
            <v>Long AnEXIMBANK CN Long An</v>
          </cell>
          <cell r="E3245">
            <v>3707</v>
          </cell>
        </row>
        <row r="3246">
          <cell r="A3246" t="str">
            <v>NH TMCP Xuat Nhap Khau (Eximbank)</v>
          </cell>
          <cell r="D3246" t="str">
            <v>An GiangEXIMBANK CN An Giang</v>
          </cell>
          <cell r="E3246">
            <v>3299</v>
          </cell>
        </row>
        <row r="3247">
          <cell r="A3247" t="str">
            <v>NH TMCP Xuat Nhap Khau (Eximbank)</v>
          </cell>
          <cell r="D3247" t="str">
            <v>Tien GiangEXIMBANK CN My Tho</v>
          </cell>
          <cell r="E3247">
            <v>3536</v>
          </cell>
        </row>
        <row r="3248">
          <cell r="A3248" t="str">
            <v>NH TMCP Xuat Nhap Khau (Eximbank)</v>
          </cell>
          <cell r="D3248" t="str">
            <v>Can ThoEXIMBANK CN Can Tho</v>
          </cell>
          <cell r="E3248">
            <v>249</v>
          </cell>
        </row>
        <row r="3249">
          <cell r="A3249" t="str">
            <v>NH TMCP Xuat Nhap Khau (Eximbank)</v>
          </cell>
          <cell r="D3249" t="str">
            <v>Can ThoEXIMBANK CN Tay Do</v>
          </cell>
          <cell r="E3249">
            <v>4124</v>
          </cell>
        </row>
        <row r="3250">
          <cell r="A3250" t="str">
            <v>NH TMCP Xuat Nhap Khau (Eximbank)</v>
          </cell>
          <cell r="D3250" t="str">
            <v>Kien GiangEXIMBANK CN Kien Giang</v>
          </cell>
          <cell r="E3250">
            <v>4556</v>
          </cell>
        </row>
        <row r="3251">
          <cell r="A3251" t="str">
            <v>NH TMCP Xuat Nhap Khau (Eximbank)</v>
          </cell>
          <cell r="D3251" t="str">
            <v>Bac LieuEXIMBANK CN Bac Lieu</v>
          </cell>
          <cell r="E3251">
            <v>3641</v>
          </cell>
        </row>
        <row r="3252">
          <cell r="A3252" t="str">
            <v>NH TNHH ANZ Viet Nam</v>
          </cell>
          <cell r="D3252" t="str">
            <v>Ha NoiANZ Viet Nam SGD</v>
          </cell>
          <cell r="E3252">
            <v>3837</v>
          </cell>
        </row>
        <row r="3253">
          <cell r="A3253" t="str">
            <v>NH TNHH ANZ Viet Nam</v>
          </cell>
          <cell r="D3253" t="str">
            <v>Ha NoiANZ Viet Nam CN Ha Noi</v>
          </cell>
          <cell r="E3253">
            <v>4</v>
          </cell>
        </row>
        <row r="3254">
          <cell r="A3254" t="str">
            <v>NH TNHH ANZ Viet Nam</v>
          </cell>
          <cell r="D3254" t="str">
            <v>Ho Chi MinhANZ Viet Nam CN HCM</v>
          </cell>
          <cell r="E3254">
            <v>3</v>
          </cell>
        </row>
        <row r="3255">
          <cell r="A3255" t="str">
            <v>NH TNHH MTV Hong Leong VN</v>
          </cell>
          <cell r="D3255" t="str">
            <v>Ha NoiHong Leong Viet Nam CN Ha Noi</v>
          </cell>
          <cell r="E3255">
            <v>657</v>
          </cell>
        </row>
        <row r="3256">
          <cell r="A3256" t="str">
            <v>NH TNHH MTV Hong Leong VN</v>
          </cell>
          <cell r="D3256" t="str">
            <v>Ho Chi MinhHong Leong Viet Nam Hoi so chinh</v>
          </cell>
          <cell r="E3256">
            <v>656</v>
          </cell>
        </row>
        <row r="3257">
          <cell r="A3257" t="str">
            <v>NH TNHH MTV Hong Leong VN</v>
          </cell>
          <cell r="D3257" t="str">
            <v>Binh DuongHong Leong Viet Nam CN Binh Duong</v>
          </cell>
          <cell r="E3257">
            <v>4036</v>
          </cell>
        </row>
        <row r="3258">
          <cell r="A3258" t="str">
            <v>NH TNHH MTV HSBC (VN)</v>
          </cell>
          <cell r="D3258" t="str">
            <v>Ha NoiHSBC CN Ha Noi</v>
          </cell>
          <cell r="E3258">
            <v>2764</v>
          </cell>
        </row>
        <row r="3259">
          <cell r="A3259" t="str">
            <v>NH TNHH MTV HSBC (VN)</v>
          </cell>
          <cell r="D3259" t="str">
            <v>Ho Chi MinhHSBC HCM</v>
          </cell>
          <cell r="E3259">
            <v>663</v>
          </cell>
        </row>
        <row r="3260">
          <cell r="A3260" t="str">
            <v>NH TNHH MTV HSBC (VN)</v>
          </cell>
          <cell r="D3260" t="str">
            <v>Ho Chi MinhHSBC CN Le Dai Hanh</v>
          </cell>
          <cell r="E3260">
            <v>4353</v>
          </cell>
        </row>
        <row r="3261">
          <cell r="A3261" t="str">
            <v>NH TNHH MTV HSBC (VN)</v>
          </cell>
          <cell r="D3261" t="str">
            <v>Da NangHSBC CN Da Nang</v>
          </cell>
          <cell r="E3261">
            <v>3657</v>
          </cell>
        </row>
        <row r="3262">
          <cell r="A3262" t="str">
            <v>NH TNHH MTV HSBC (VN)</v>
          </cell>
          <cell r="D3262" t="str">
            <v>Binh DuongHSBC CN Binh Duong</v>
          </cell>
          <cell r="E3262">
            <v>3289</v>
          </cell>
        </row>
        <row r="3263">
          <cell r="A3263" t="str">
            <v>NH TNHH MTV HSBC (VN)</v>
          </cell>
          <cell r="D3263" t="str">
            <v>Can ThoHSBC CN Can Tho</v>
          </cell>
          <cell r="E3263">
            <v>3943</v>
          </cell>
        </row>
        <row r="3264">
          <cell r="A3264" t="str">
            <v xml:space="preserve">NH WOORI BANK </v>
          </cell>
          <cell r="D3264" t="str">
            <v>Ha NoiWOORI BANK Ha Noi</v>
          </cell>
          <cell r="E3264">
            <v>3609</v>
          </cell>
        </row>
        <row r="3265">
          <cell r="A3265" t="str">
            <v xml:space="preserve">NH WOORI BANK </v>
          </cell>
          <cell r="D3265" t="str">
            <v>Ho Chi MinhWOORI BANK HCM</v>
          </cell>
          <cell r="E3265">
            <v>2766</v>
          </cell>
        </row>
        <row r="3266">
          <cell r="A3266" t="str">
            <v xml:space="preserve">Oversea-Chinese Banking </v>
          </cell>
          <cell r="D3266" t="str">
            <v>Ho Chi MinhOVERSEA - CHINESE BANKING HCM</v>
          </cell>
          <cell r="E3266">
            <v>4009</v>
          </cell>
        </row>
        <row r="3267">
          <cell r="A3267" t="str">
            <v>PUBLIC BANK VIET NAM</v>
          </cell>
          <cell r="D3267" t="str">
            <v>Ha NoiPublic Bank Viet Nam Ha Noi</v>
          </cell>
          <cell r="E3267">
            <v>2534</v>
          </cell>
        </row>
        <row r="3268">
          <cell r="A3268" t="str">
            <v>PUBLIC BANK VIET NAM</v>
          </cell>
          <cell r="D3268" t="str">
            <v>Ha NoiPublic Bank Viet Nam Hoi so chinh</v>
          </cell>
          <cell r="E3268">
            <v>664</v>
          </cell>
        </row>
        <row r="3269">
          <cell r="A3269" t="str">
            <v>PUBLIC BANK VIET NAM</v>
          </cell>
          <cell r="D3269" t="str">
            <v>Hai PhongPublic Bank Viet Nam Hai Phong</v>
          </cell>
          <cell r="E3269">
            <v>252</v>
          </cell>
        </row>
        <row r="3270">
          <cell r="A3270" t="str">
            <v>PUBLIC BANK VIET NAM</v>
          </cell>
          <cell r="D3270" t="str">
            <v>Ho Chi MinhPublic Bank Viet Nam CN Cho Lon HCM</v>
          </cell>
          <cell r="E3270">
            <v>2746</v>
          </cell>
        </row>
        <row r="3271">
          <cell r="A3271" t="str">
            <v>PUBLIC BANK VIET NAM</v>
          </cell>
          <cell r="D3271" t="str">
            <v>Ho Chi MinhPublic Bank Viet Nam CN HCM</v>
          </cell>
          <cell r="E3271">
            <v>2539</v>
          </cell>
        </row>
        <row r="3272">
          <cell r="A3272" t="str">
            <v>PUBLIC BANK VIET NAM</v>
          </cell>
          <cell r="D3272" t="str">
            <v>Da NangPublic Bank Viet Nam Da Nang</v>
          </cell>
          <cell r="E3272">
            <v>187</v>
          </cell>
        </row>
        <row r="3273">
          <cell r="A3273" t="str">
            <v>PUBLIC BANK VIET NAM</v>
          </cell>
          <cell r="D3273" t="str">
            <v>Binh DuongPublic Bank Viet Nam CN Binh Duong</v>
          </cell>
          <cell r="E3273">
            <v>2806</v>
          </cell>
        </row>
        <row r="3274">
          <cell r="A3274" t="str">
            <v>PUBLIC BANK VIET NAM</v>
          </cell>
          <cell r="D3274" t="str">
            <v>Dong NaiPublic Bank Viet Nam CN Dong Nai</v>
          </cell>
          <cell r="E3274">
            <v>3474</v>
          </cell>
        </row>
        <row r="3275">
          <cell r="A3275" t="str">
            <v>SHINHAN VINA BANK</v>
          </cell>
          <cell r="D3275" t="str">
            <v>Ha NoiSHINHAN VINA BANK HA NOI</v>
          </cell>
          <cell r="E3275">
            <v>20</v>
          </cell>
        </row>
        <row r="3276">
          <cell r="A3276" t="str">
            <v>SHINHAN VINA BANK</v>
          </cell>
          <cell r="D3276" t="str">
            <v>Binh DuongSHINHAN VN CN Song Than</v>
          </cell>
          <cell r="E3276">
            <v>3089</v>
          </cell>
        </row>
        <row r="3277">
          <cell r="A3277" t="str">
            <v>SHINHAN VINA BANK</v>
          </cell>
          <cell r="D3277" t="str">
            <v>Dong NaiSHINHAN VINA BANK Dong Nai</v>
          </cell>
          <cell r="E3277">
            <v>3221</v>
          </cell>
        </row>
        <row r="3278">
          <cell r="A3278" t="str">
            <v>SHINHAN VN BANK</v>
          </cell>
          <cell r="D3278" t="str">
            <v>Ha NoiSHINHAN VN CN Tran Duy Hung</v>
          </cell>
          <cell r="E3278">
            <v>4879</v>
          </cell>
        </row>
        <row r="3279">
          <cell r="A3279" t="str">
            <v>SHINHAN VN BANK</v>
          </cell>
          <cell r="D3279" t="str">
            <v>Ha NoiShinhan VN CN Ha Noi</v>
          </cell>
          <cell r="E3279">
            <v>3791</v>
          </cell>
        </row>
        <row r="3280">
          <cell r="A3280" t="str">
            <v>SHINHAN VN BANK</v>
          </cell>
          <cell r="D3280" t="str">
            <v>Hai PhongSHINHAN VN CN Hai Phong</v>
          </cell>
          <cell r="E3280">
            <v>4878</v>
          </cell>
        </row>
        <row r="3281">
          <cell r="A3281" t="str">
            <v>SHINHAN VN BANK</v>
          </cell>
          <cell r="D3281" t="str">
            <v>Bac NinhSHINHAN VN CN Bac Ninh</v>
          </cell>
          <cell r="E3281">
            <v>4033</v>
          </cell>
        </row>
        <row r="3282">
          <cell r="A3282" t="str">
            <v>SHINHAN VN BANK</v>
          </cell>
          <cell r="D3282" t="str">
            <v>Ho Chi MinhShinhan VN CN HCM</v>
          </cell>
          <cell r="E3282">
            <v>4197</v>
          </cell>
        </row>
        <row r="3283">
          <cell r="A3283" t="str">
            <v>SHINHAN VN BANK</v>
          </cell>
          <cell r="D3283" t="str">
            <v xml:space="preserve">Ho Chi MinhSHINHAN VN Hoi so chinh </v>
          </cell>
          <cell r="E3283">
            <v>2524</v>
          </cell>
        </row>
        <row r="3284">
          <cell r="A3284" t="str">
            <v>SHINHAN VN BANK</v>
          </cell>
          <cell r="D3284" t="str">
            <v>Ho Chi MinhShinhan VN CN Go Vap</v>
          </cell>
          <cell r="E3284">
            <v>5162</v>
          </cell>
        </row>
        <row r="3285">
          <cell r="A3285" t="str">
            <v>SHINHAN VN BANK</v>
          </cell>
          <cell r="D3285" t="str">
            <v>Ho Chi MinhShinhan VN CN An Dong</v>
          </cell>
          <cell r="E3285">
            <v>4877</v>
          </cell>
        </row>
        <row r="3286">
          <cell r="A3286" t="str">
            <v>SHINHAN VN BANK</v>
          </cell>
          <cell r="D3286" t="str">
            <v>Binh DuongSHINHAN VN CN Song Than</v>
          </cell>
          <cell r="E3286">
            <v>3661</v>
          </cell>
        </row>
        <row r="3287">
          <cell r="A3287" t="str">
            <v>SHINHAN VN BANK</v>
          </cell>
          <cell r="D3287" t="str">
            <v>Binh DuongSHINHAN VN CN Binh Duong</v>
          </cell>
          <cell r="E3287">
            <v>3941</v>
          </cell>
        </row>
        <row r="3288">
          <cell r="A3288" t="str">
            <v>SHINHAN VN BANK</v>
          </cell>
          <cell r="D3288" t="str">
            <v>Dong NaiSHINHAN VN CN Dong Nai</v>
          </cell>
          <cell r="E3288">
            <v>3829</v>
          </cell>
        </row>
        <row r="3289">
          <cell r="A3289" t="str">
            <v>SHINHAN VN BANK</v>
          </cell>
          <cell r="D3289" t="str">
            <v>Dong NaiSHINHAN VN CN Bien Hoa</v>
          </cell>
          <cell r="E3289">
            <v>4259</v>
          </cell>
        </row>
        <row r="3290">
          <cell r="A3290" t="str">
            <v>SINOPAC BANK</v>
          </cell>
          <cell r="D3290" t="str">
            <v>Ho Chi MinhSINOPAC BANK CN HCM</v>
          </cell>
          <cell r="E3290">
            <v>2748</v>
          </cell>
        </row>
        <row r="3291">
          <cell r="A3291" t="str">
            <v>STANDARD CHARTERED BANK</v>
          </cell>
          <cell r="D3291" t="str">
            <v>Ha NoiSTANDARD CHARTERED CN Le Dai Hanh</v>
          </cell>
          <cell r="E3291">
            <v>4138</v>
          </cell>
        </row>
        <row r="3292">
          <cell r="A3292" t="str">
            <v>STANDARD CHARTERED BANK</v>
          </cell>
          <cell r="D3292" t="str">
            <v>Ha NoiSTANDARD CHARTERED SGD Ha Noi</v>
          </cell>
          <cell r="E3292">
            <v>2526</v>
          </cell>
        </row>
        <row r="3293">
          <cell r="A3293" t="str">
            <v>STANDARD CHARTERED BANK</v>
          </cell>
          <cell r="D3293" t="str">
            <v>Ho Chi MinhSTANDARD CHARTERED BANK CN HCM</v>
          </cell>
          <cell r="E3293">
            <v>2525</v>
          </cell>
        </row>
        <row r="3294">
          <cell r="A3294" t="str">
            <v>Sumitomo Mitsui Banking Corpor HCM</v>
          </cell>
          <cell r="D3294" t="str">
            <v>Ha NoiSumitomo Mitsui Banking Corporation Ha Noi</v>
          </cell>
          <cell r="E3294">
            <v>3469</v>
          </cell>
        </row>
        <row r="3295">
          <cell r="A3295" t="str">
            <v>Sumitomo Mitsui Banking Corpor HCM</v>
          </cell>
          <cell r="D3295" t="str">
            <v>Ho Chi MinhSumitomo Mitsui Banking Corporation HCM</v>
          </cell>
          <cell r="E3295">
            <v>2768</v>
          </cell>
        </row>
        <row r="3296">
          <cell r="A3296" t="str">
            <v>The Shanghai Commercial &amp; Savings</v>
          </cell>
          <cell r="D3296" t="str">
            <v>Dong NaiThe Shanghai Commercial &amp; Savings CN Dong Nai</v>
          </cell>
          <cell r="E3296">
            <v>3931</v>
          </cell>
        </row>
        <row r="3297">
          <cell r="A3297" t="str">
            <v>The Siam Commercial Bank Public</v>
          </cell>
          <cell r="D3297" t="str">
            <v>Ho Chi MinhThe Siam Commercial Bank Public CN TPHCM</v>
          </cell>
          <cell r="E3297">
            <v>2540</v>
          </cell>
        </row>
        <row r="3298">
          <cell r="A3298" t="str">
            <v>UNITED OVERSEAS BANK</v>
          </cell>
          <cell r="D3298" t="str">
            <v>Ho Chi MinhUNITED OVERSEAS BANK Hoi so HCM</v>
          </cell>
          <cell r="E3298">
            <v>2538</v>
          </cell>
        </row>
      </sheetData>
      <sheetData sheetId="3">
        <row r="1">
          <cell r="A1" t="str">
            <v>Ho Chi Minh</v>
          </cell>
          <cell r="B1" t="str">
            <v>NH Cong thuong (VietinBank)</v>
          </cell>
        </row>
        <row r="2">
          <cell r="A2" t="str">
            <v>Ha Noi</v>
          </cell>
          <cell r="B2" t="str">
            <v>NH Dau Tu va Phat Trien (BIDV)</v>
          </cell>
        </row>
        <row r="3">
          <cell r="A3" t="str">
            <v>An Giang</v>
          </cell>
          <cell r="B3" t="str">
            <v>NH Ngoai Thuong (VCB)</v>
          </cell>
        </row>
        <row r="4">
          <cell r="A4" t="str">
            <v>Ba Ria-Vung Tau</v>
          </cell>
          <cell r="B4" t="str">
            <v>NH Nong Nghiep va Phat Trien Nong Thon (AGRIBANK)</v>
          </cell>
        </row>
        <row r="5">
          <cell r="A5" t="str">
            <v>Bac Can</v>
          </cell>
          <cell r="B5" t="str">
            <v>NH TMCP A Chau (ACB)</v>
          </cell>
        </row>
        <row r="6">
          <cell r="A6" t="str">
            <v>Bac Giang</v>
          </cell>
          <cell r="B6" t="str">
            <v>NH TMCP Ky Thuong (Techcombank)</v>
          </cell>
        </row>
        <row r="7">
          <cell r="A7" t="str">
            <v>Bac Lieu</v>
          </cell>
          <cell r="B7" t="str">
            <v>NH TMCP Sai Gon Thuong Tin (Sacombank)</v>
          </cell>
        </row>
        <row r="8">
          <cell r="A8" t="str">
            <v>Bac Ninh</v>
          </cell>
          <cell r="B8" t="str">
            <v>NH TMCP Xuat Nhap Khau (Eximbank)</v>
          </cell>
        </row>
        <row r="9">
          <cell r="A9" t="str">
            <v>Ben Tre</v>
          </cell>
          <cell r="B9" t="str">
            <v>NH TMCP An Binh (ABBANK)</v>
          </cell>
        </row>
        <row r="10">
          <cell r="A10" t="str">
            <v>Binh Dinh</v>
          </cell>
          <cell r="B10" t="str">
            <v>NH TMCP Dong A (DongA Bank)</v>
          </cell>
        </row>
        <row r="11">
          <cell r="A11" t="str">
            <v>Binh Duong</v>
          </cell>
          <cell r="B11" t="str">
            <v>NH TMCP Hang Hai (MSB)</v>
          </cell>
        </row>
        <row r="12">
          <cell r="A12" t="str">
            <v>Binh Phuoc</v>
          </cell>
          <cell r="B12" t="str">
            <v>NH TMCP Phat trien Tp.HCM (HDBank)</v>
          </cell>
        </row>
        <row r="13">
          <cell r="A13" t="str">
            <v>Binh Thuan</v>
          </cell>
          <cell r="B13" t="str">
            <v>NH TMCP Phuong Dong (OCB)</v>
          </cell>
        </row>
        <row r="14">
          <cell r="A14" t="str">
            <v>Ca Mau</v>
          </cell>
          <cell r="B14" t="str">
            <v>NH TMCP Quan Doi (MB)</v>
          </cell>
        </row>
        <row r="15">
          <cell r="A15" t="str">
            <v>Can Tho</v>
          </cell>
          <cell r="B15" t="str">
            <v>NH TMCP Quoc Te (VIB BANK)</v>
          </cell>
        </row>
        <row r="16">
          <cell r="A16" t="str">
            <v>Cao Bang</v>
          </cell>
          <cell r="B16" t="str">
            <v>NH TMCP Sai Gon - Ha Noi (SHB)</v>
          </cell>
        </row>
        <row r="17">
          <cell r="A17" t="str">
            <v>Da Nang</v>
          </cell>
          <cell r="B17" t="str">
            <v>NH TMCP Sai Gon (SCB)</v>
          </cell>
        </row>
        <row r="18">
          <cell r="A18" t="str">
            <v>Dac Lac</v>
          </cell>
          <cell r="B18" t="str">
            <v>NH TMCP Sai Gon Cong Thuong (SAIGON BANK)</v>
          </cell>
        </row>
        <row r="19">
          <cell r="A19" t="str">
            <v>Dak Nong</v>
          </cell>
          <cell r="B19" t="str">
            <v>NH TMCP Viet Nam Thinh Vuong (VPBANK)</v>
          </cell>
        </row>
        <row r="20">
          <cell r="A20" t="str">
            <v>Dien Bien</v>
          </cell>
          <cell r="B20" t="str">
            <v>NH TMCP Viet Nam Thuong Tin (VietBank)</v>
          </cell>
        </row>
        <row r="21">
          <cell r="A21" t="str">
            <v>Dong Nai</v>
          </cell>
          <cell r="B21" t="str">
            <v>NH TNHH ANZ Viet Nam</v>
          </cell>
        </row>
        <row r="22">
          <cell r="A22" t="str">
            <v>Dong Thap</v>
          </cell>
          <cell r="B22" t="str">
            <v>NH TNHH MTV HSBC (VN)</v>
          </cell>
        </row>
        <row r="23">
          <cell r="A23" t="str">
            <v>Gia Lai</v>
          </cell>
          <cell r="B23" t="str">
            <v>BANGKOK BANK</v>
          </cell>
        </row>
        <row r="24">
          <cell r="A24" t="str">
            <v>Ha Giang</v>
          </cell>
          <cell r="B24" t="str">
            <v>BANK OF CHINA</v>
          </cell>
        </row>
        <row r="25">
          <cell r="A25" t="str">
            <v>Ha Nam</v>
          </cell>
          <cell r="B25" t="str">
            <v>Bank of Communications</v>
          </cell>
        </row>
        <row r="26">
          <cell r="A26" t="str">
            <v>Ha Tinh</v>
          </cell>
          <cell r="B26" t="str">
            <v>BANK OF TOKYO - MITSUBISHI</v>
          </cell>
        </row>
        <row r="27">
          <cell r="A27" t="str">
            <v>Hai Duong</v>
          </cell>
          <cell r="B27" t="str">
            <v>BNP PARIBAS BANK</v>
          </cell>
        </row>
        <row r="28">
          <cell r="A28" t="str">
            <v>Hai Phong</v>
          </cell>
          <cell r="B28" t="str">
            <v>BPCEIOM</v>
          </cell>
        </row>
        <row r="29">
          <cell r="A29" t="str">
            <v>Hau Giang</v>
          </cell>
          <cell r="B29" t="str">
            <v>Cac ngan hang khac</v>
          </cell>
        </row>
        <row r="30">
          <cell r="A30" t="str">
            <v>Hoa Binh</v>
          </cell>
          <cell r="B30" t="str">
            <v>CITI BANK</v>
          </cell>
        </row>
        <row r="31">
          <cell r="A31" t="str">
            <v>Hung Yen</v>
          </cell>
          <cell r="B31" t="str">
            <v>DEUTSCHE BANK</v>
          </cell>
        </row>
        <row r="32">
          <cell r="A32" t="str">
            <v>Khanh Hoa</v>
          </cell>
          <cell r="B32" t="str">
            <v>First Commercial Bank</v>
          </cell>
        </row>
        <row r="33">
          <cell r="A33" t="str">
            <v>Kien Giang</v>
          </cell>
          <cell r="B33" t="str">
            <v>Hua Nan Commercial Bank CN. HCM</v>
          </cell>
        </row>
        <row r="34">
          <cell r="A34" t="str">
            <v>Kon Tum</v>
          </cell>
          <cell r="B34" t="str">
            <v>INDOVINA BANK</v>
          </cell>
        </row>
        <row r="35">
          <cell r="A35" t="str">
            <v>Lai Chau</v>
          </cell>
          <cell r="B35" t="str">
            <v>Industrial and commercial Bank of China</v>
          </cell>
        </row>
        <row r="36">
          <cell r="A36" t="str">
            <v>Lam Dong</v>
          </cell>
          <cell r="B36" t="str">
            <v>Industrial Bank of Korea CN TP.HCM</v>
          </cell>
        </row>
        <row r="37">
          <cell r="A37" t="str">
            <v>Lang Son</v>
          </cell>
          <cell r="B37" t="str">
            <v>JPMORGAN CHASE BANK</v>
          </cell>
        </row>
        <row r="38">
          <cell r="A38" t="str">
            <v>Lao Cai</v>
          </cell>
          <cell r="B38" t="str">
            <v>Kho Bac Nha Nuoc</v>
          </cell>
        </row>
        <row r="39">
          <cell r="A39" t="str">
            <v>Long An</v>
          </cell>
          <cell r="B39" t="str">
            <v>Kho Bac Nha Nuoc</v>
          </cell>
        </row>
        <row r="40">
          <cell r="A40" t="str">
            <v>Nam Dinh</v>
          </cell>
          <cell r="B40" t="str">
            <v>KOREA EXCHANGE BANK</v>
          </cell>
        </row>
        <row r="41">
          <cell r="A41" t="str">
            <v>Nghe An</v>
          </cell>
          <cell r="B41" t="str">
            <v>Malayan Banking Berhad - CN HCM</v>
          </cell>
        </row>
        <row r="42">
          <cell r="A42" t="str">
            <v>Ninh Binh</v>
          </cell>
          <cell r="B42" t="str">
            <v>MAY BANK</v>
          </cell>
        </row>
        <row r="43">
          <cell r="A43" t="str">
            <v>Ninh Thuan</v>
          </cell>
          <cell r="B43" t="str">
            <v>MIZUHO BANK</v>
          </cell>
        </row>
        <row r="44">
          <cell r="A44" t="str">
            <v>Phu Tho</v>
          </cell>
          <cell r="B44" t="str">
            <v>Ngan hang Hop Tac</v>
          </cell>
        </row>
        <row r="45">
          <cell r="A45" t="str">
            <v>Phu Yen</v>
          </cell>
          <cell r="B45" t="str">
            <v>Ngan hang Nha Nuoc</v>
          </cell>
        </row>
        <row r="46">
          <cell r="A46" t="str">
            <v>Quang Binh</v>
          </cell>
          <cell r="B46" t="str">
            <v>Ngan Hang Phat Trien Viet Nam (VDB)</v>
          </cell>
        </row>
        <row r="47">
          <cell r="A47" t="str">
            <v>Quang Nam</v>
          </cell>
          <cell r="B47" t="str">
            <v>NH Chinh Sach Xa Hoi</v>
          </cell>
        </row>
        <row r="48">
          <cell r="A48" t="str">
            <v>Quang Ngai</v>
          </cell>
          <cell r="B48" t="str">
            <v>NH Commonwealth Bank of Australia (HO)</v>
          </cell>
        </row>
        <row r="49">
          <cell r="A49" t="str">
            <v>Quang Ninh</v>
          </cell>
          <cell r="B49" t="str">
            <v>NH Cong Nghiep Han Quoc</v>
          </cell>
        </row>
        <row r="50">
          <cell r="A50" t="str">
            <v>Quang Tri</v>
          </cell>
          <cell r="B50" t="str">
            <v>NH CREDIT AGRICOLE CIB</v>
          </cell>
        </row>
        <row r="51">
          <cell r="A51" t="str">
            <v>Soc Trang</v>
          </cell>
          <cell r="B51" t="str">
            <v>NH CTBC</v>
          </cell>
        </row>
        <row r="52">
          <cell r="A52" t="str">
            <v>Son La</v>
          </cell>
          <cell r="B52" t="str">
            <v>NH DBS Bank Ltd</v>
          </cell>
        </row>
        <row r="53">
          <cell r="A53" t="str">
            <v>Tay Ninh</v>
          </cell>
          <cell r="B53" t="str">
            <v xml:space="preserve">NH DT&amp;PT Campuchia </v>
          </cell>
        </row>
        <row r="54">
          <cell r="A54" t="str">
            <v>Thai Binh</v>
          </cell>
          <cell r="B54" t="str">
            <v>NH Far East National Bank - Hso</v>
          </cell>
        </row>
        <row r="55">
          <cell r="A55" t="str">
            <v>Thai Nguyen</v>
          </cell>
          <cell r="B55" t="str">
            <v>NH Kookmin</v>
          </cell>
        </row>
        <row r="56">
          <cell r="A56" t="str">
            <v>Thanh Hoa</v>
          </cell>
          <cell r="B56" t="str">
            <v>NH LD VINASIAM (LD Viet Thai)</v>
          </cell>
        </row>
        <row r="57">
          <cell r="A57" t="str">
            <v>Thua Thien Hue</v>
          </cell>
          <cell r="B57" t="str">
            <v>NH Lien Doanh Lao - Viet</v>
          </cell>
        </row>
        <row r="58">
          <cell r="A58" t="str">
            <v>Tien Giang</v>
          </cell>
          <cell r="B58" t="str">
            <v>NH Lien Doanh Viet - Nga</v>
          </cell>
        </row>
        <row r="59">
          <cell r="A59" t="str">
            <v>Tra Vinh</v>
          </cell>
          <cell r="B59" t="str">
            <v>NH Mega ICBC TPHCM</v>
          </cell>
        </row>
        <row r="60">
          <cell r="A60" t="str">
            <v>Tuyen Quang</v>
          </cell>
          <cell r="B60" t="str">
            <v>NH Taipei Fubon Commercial Bank-CN TP.HCM</v>
          </cell>
        </row>
        <row r="61">
          <cell r="A61" t="str">
            <v>Vinh Long</v>
          </cell>
          <cell r="B61" t="str">
            <v>NH TMCP Bac A</v>
          </cell>
        </row>
        <row r="62">
          <cell r="A62" t="str">
            <v>Vinh Phuc</v>
          </cell>
          <cell r="B62" t="str">
            <v>NH TMCP Ban Viet (Viet Capital Bank)</v>
          </cell>
        </row>
        <row r="63">
          <cell r="A63" t="str">
            <v>Yen Bai</v>
          </cell>
          <cell r="B63" t="str">
            <v>NH TMCP Bao Viet</v>
          </cell>
        </row>
        <row r="64">
          <cell r="B64" t="str">
            <v>NH TMCP Buu Dien Lien Viet (HO)</v>
          </cell>
        </row>
        <row r="65">
          <cell r="B65" t="str">
            <v>NH TMCP Dai Chung Viet Nam</v>
          </cell>
        </row>
        <row r="66">
          <cell r="B66" t="str">
            <v>NH TMCP Dai Duong (OceanBank)</v>
          </cell>
        </row>
        <row r="67">
          <cell r="B67" t="str">
            <v>NH TMCP Dau Khi Toan Cau (GP.Bank)</v>
          </cell>
        </row>
        <row r="68">
          <cell r="B68" t="str">
            <v>NH TMCP De Nhat</v>
          </cell>
        </row>
        <row r="69">
          <cell r="B69" t="str">
            <v>NH TMCP Dong Nam A (Sea Bank)</v>
          </cell>
        </row>
        <row r="70">
          <cell r="B70" t="str">
            <v>NH TMCP Kien Long</v>
          </cell>
        </row>
        <row r="71">
          <cell r="B71" t="str">
            <v>NH TMCP Nam A</v>
          </cell>
        </row>
        <row r="72">
          <cell r="B72" t="str">
            <v>NH TMCP Nha Ha Noi (HABUBANK)</v>
          </cell>
        </row>
        <row r="73">
          <cell r="B73" t="str">
            <v>NH TMCP Quoc Dan</v>
          </cell>
        </row>
        <row r="74">
          <cell r="B74" t="str">
            <v>NH TMCP Tien Phong</v>
          </cell>
        </row>
        <row r="75">
          <cell r="B75" t="str">
            <v>NH TMCP Viet A</v>
          </cell>
        </row>
        <row r="76">
          <cell r="B76" t="str">
            <v>NH TMCP Vung Tau</v>
          </cell>
        </row>
        <row r="77">
          <cell r="B77" t="str">
            <v>NH TMCP Xang dau Petrolimex (PG Bank)</v>
          </cell>
        </row>
        <row r="78">
          <cell r="B78" t="str">
            <v>NH TMCP Xay Dung Viet Nam</v>
          </cell>
        </row>
        <row r="79">
          <cell r="B79" t="str">
            <v>NH TNHH MTV Hong Leong VN</v>
          </cell>
        </row>
        <row r="80">
          <cell r="B80" t="str">
            <v xml:space="preserve">NH WOORI BANK </v>
          </cell>
        </row>
        <row r="81">
          <cell r="B81" t="str">
            <v xml:space="preserve">Oversea-Chinese Banking </v>
          </cell>
        </row>
        <row r="82">
          <cell r="B82" t="str">
            <v>SHINHAN VINA BANK</v>
          </cell>
        </row>
        <row r="83">
          <cell r="B83" t="str">
            <v>SHINHAN VN BANK</v>
          </cell>
        </row>
        <row r="84">
          <cell r="B84" t="str">
            <v>STANDARD CHARTERED BANK</v>
          </cell>
        </row>
        <row r="85">
          <cell r="B85" t="str">
            <v>Sumitomo Mitsui Banking Corpor HCM</v>
          </cell>
        </row>
        <row r="86">
          <cell r="B86" t="str">
            <v>The Shanghai Commercial &amp; Savings</v>
          </cell>
        </row>
        <row r="87">
          <cell r="B87" t="str">
            <v>UNITED OVERSEAS BANK</v>
          </cell>
        </row>
        <row r="88">
          <cell r="B88" t="str">
            <v>VID PUBLIC BANK</v>
          </cell>
        </row>
        <row r="89">
          <cell r="B89" t="str">
            <v>Bank of India</v>
          </cell>
        </row>
        <row r="90">
          <cell r="B90" t="str">
            <v>China Construction Bank Corp</v>
          </cell>
        </row>
        <row r="91">
          <cell r="B91" t="str">
            <v>KEB HANA BANK</v>
          </cell>
        </row>
        <row r="92">
          <cell r="B92" t="str">
            <v>NH Hana Han Quoc</v>
          </cell>
        </row>
        <row r="93">
          <cell r="B93" t="str">
            <v>PUBLIC BANK VIET NAM</v>
          </cell>
        </row>
        <row r="94">
          <cell r="B94" t="str">
            <v>SINOPAC BANK</v>
          </cell>
        </row>
        <row r="95">
          <cell r="B95" t="str">
            <v>The Siam Commercial Bank Public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.CTY"/>
      <sheetName val="1.HUONGDAN"/>
      <sheetName val="2.GIADINH"/>
      <sheetName val="3.BCKQKD (2)"/>
      <sheetName val="3.BCKQKD"/>
      <sheetName val="4.CAPEX"/>
      <sheetName val="5.NHANSU"/>
      <sheetName val="4.DOANH THU"/>
      <sheetName val="5.1.1.CPVNL"/>
      <sheetName val="5.1.2-1.3.CPSX"/>
      <sheetName val="1.Doanh thu "/>
      <sheetName val="CP NVL"/>
      <sheetName val="6.CPBH"/>
      <sheetName val="7.CPQL"/>
      <sheetName val="8.CPLAIVAY"/>
      <sheetName val="9. DTTAICHINH"/>
      <sheetName val="10.12.24"/>
      <sheetName val="09.12.24"/>
      <sheetName val="BANG TINH LUONG THOI VU"/>
      <sheetName val="CP SXC 2023"/>
      <sheetName val="CP SXC 10.2024"/>
      <sheetName val="CPSX 2025"/>
      <sheetName val="Gia mua - GB"/>
      <sheetName val="BOM"/>
      <sheetName val="CP THEO SL"/>
      <sheetName val="CP LUONG"/>
      <sheetName val="PBO 214"/>
      <sheetName val="PBO 242 2024"/>
      <sheetName val="TONG HOP HD"/>
    </sheetNames>
    <sheetDataSet>
      <sheetData sheetId="0">
        <row r="6">
          <cell r="D6" t="str">
            <v>Tên Công ty</v>
          </cell>
        </row>
        <row r="7">
          <cell r="D7" t="str">
            <v>MIDA</v>
          </cell>
        </row>
        <row r="8">
          <cell r="D8" t="str">
            <v>DUY PHONG</v>
          </cell>
        </row>
        <row r="9">
          <cell r="D9" t="str">
            <v>NATEC</v>
          </cell>
        </row>
        <row r="10">
          <cell r="D10" t="str">
            <v>PLENMA</v>
          </cell>
        </row>
        <row r="11">
          <cell r="D11" t="str">
            <v>PLASCENE</v>
          </cell>
        </row>
        <row r="12">
          <cell r="D12" t="str">
            <v>TNHH NHỰA DUY TÂN</v>
          </cell>
        </row>
        <row r="13">
          <cell r="D13" t="str">
            <v>TNHH DUYTAN</v>
          </cell>
        </row>
        <row r="14">
          <cell r="D14" t="str">
            <v>DTG</v>
          </cell>
        </row>
        <row r="15">
          <cell r="D15" t="str">
            <v>ABC VN</v>
          </cell>
        </row>
        <row r="16">
          <cell r="D16" t="str">
            <v>DUYTAN TÁI CHẾ</v>
          </cell>
        </row>
        <row r="17">
          <cell r="D17" t="str">
            <v>ĐẠI LỘC</v>
          </cell>
        </row>
        <row r="18">
          <cell r="D18" t="str">
            <v>KHÁNH NGA</v>
          </cell>
        </row>
        <row r="19">
          <cell r="D19" t="str">
            <v>ĐỒNG LÂM</v>
          </cell>
        </row>
        <row r="20">
          <cell r="D20" t="str">
            <v>TÂN ĐẠI PHÁT</v>
          </cell>
        </row>
        <row r="21">
          <cell r="D21" t="str">
            <v>TÂN LỢI PHÁT</v>
          </cell>
        </row>
        <row r="22">
          <cell r="D22" t="str">
            <v>CÁT VÂN</v>
          </cell>
        </row>
        <row r="23">
          <cell r="D23" t="str">
            <v>THẠNH PHÁT</v>
          </cell>
        </row>
        <row r="24">
          <cell r="D24" t="str">
            <v>TAN BÌNH GROUP</v>
          </cell>
        </row>
        <row r="25">
          <cell r="D25" t="str">
            <v>BV ĐÀ NẴNG</v>
          </cell>
        </row>
        <row r="26">
          <cell r="D26" t="str">
            <v>YẾN NHẤT VƯƠNG</v>
          </cell>
        </row>
        <row r="27">
          <cell r="D27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55"/>
  <sheetViews>
    <sheetView tabSelected="1" zoomScale="70" zoomScaleNormal="70" workbookViewId="0">
      <pane ySplit="6" topLeftCell="A31" activePane="bottomLeft" state="frozen"/>
      <selection pane="bottomLeft" activeCell="J38" sqref="J38"/>
    </sheetView>
  </sheetViews>
  <sheetFormatPr defaultColWidth="8.81640625" defaultRowHeight="15.5" outlineLevelRow="1" outlineLevelCol="1" x14ac:dyDescent="0.35"/>
  <cols>
    <col min="1" max="1" width="4.26953125" style="2" customWidth="1"/>
    <col min="2" max="2" width="27" style="2" customWidth="1"/>
    <col min="3" max="3" width="7.7265625" style="2" customWidth="1"/>
    <col min="4" max="4" width="8.08984375" style="2" customWidth="1"/>
    <col min="5" max="5" width="11.81640625" style="5" customWidth="1"/>
    <col min="6" max="6" width="15.54296875" style="7" customWidth="1"/>
    <col min="7" max="7" width="14.36328125" style="7" hidden="1" customWidth="1" outlineLevel="1"/>
    <col min="8" max="8" width="14.36328125" style="7" customWidth="1" collapsed="1"/>
    <col min="9" max="9" width="10" style="7" hidden="1" customWidth="1" outlineLevel="1"/>
    <col min="10" max="10" width="25.36328125" style="4" customWidth="1" collapsed="1"/>
    <col min="11" max="11" width="8.81640625" style="2"/>
    <col min="12" max="12" width="15.7265625" style="5" customWidth="1"/>
    <col min="13" max="13" width="8.81640625" style="2"/>
    <col min="14" max="14" width="12.36328125" style="2" bestFit="1" customWidth="1"/>
    <col min="15" max="16384" width="8.81640625" style="2"/>
  </cols>
  <sheetData>
    <row r="3" spans="1:14" x14ac:dyDescent="0.35">
      <c r="B3" s="27" t="s">
        <v>46</v>
      </c>
      <c r="C3" s="27"/>
      <c r="G3" s="6"/>
      <c r="H3" s="6"/>
      <c r="I3" s="6"/>
      <c r="J3" s="1"/>
    </row>
    <row r="4" spans="1:14" x14ac:dyDescent="0.35">
      <c r="B4" s="27"/>
      <c r="C4" s="27"/>
      <c r="G4" s="6"/>
      <c r="H4" s="5"/>
      <c r="I4" s="6"/>
      <c r="J4" s="1"/>
    </row>
    <row r="5" spans="1:14" ht="46.5" x14ac:dyDescent="0.35">
      <c r="A5" s="8"/>
      <c r="B5" s="9" t="s">
        <v>0</v>
      </c>
      <c r="C5" s="9" t="s">
        <v>19</v>
      </c>
      <c r="D5" s="9" t="s">
        <v>1</v>
      </c>
      <c r="E5" s="28" t="s">
        <v>2</v>
      </c>
      <c r="F5" s="55" t="s">
        <v>32</v>
      </c>
      <c r="G5" s="10" t="s">
        <v>3</v>
      </c>
      <c r="H5" s="10" t="s">
        <v>13</v>
      </c>
      <c r="I5" s="55" t="s">
        <v>36</v>
      </c>
      <c r="J5" s="11" t="s">
        <v>9</v>
      </c>
    </row>
    <row r="6" spans="1:14" x14ac:dyDescent="0.35">
      <c r="A6" s="12"/>
      <c r="B6" s="13" t="s">
        <v>22</v>
      </c>
      <c r="C6" s="13"/>
      <c r="D6" s="14"/>
      <c r="E6" s="29"/>
      <c r="F6" s="15"/>
      <c r="G6" s="15"/>
      <c r="H6" s="15">
        <f>SUM(H14,H25,H27,H33)</f>
        <v>2729.1648668237167</v>
      </c>
      <c r="I6" s="15">
        <f>G8/E8</f>
        <v>0</v>
      </c>
      <c r="J6" s="62">
        <f>I6*950</f>
        <v>0</v>
      </c>
      <c r="K6" s="20"/>
      <c r="N6" s="20"/>
    </row>
    <row r="7" spans="1:14" x14ac:dyDescent="0.35">
      <c r="A7" s="16"/>
      <c r="B7" s="17" t="s">
        <v>35</v>
      </c>
      <c r="C7" s="17"/>
      <c r="D7" s="18"/>
      <c r="E7" s="31">
        <v>1500</v>
      </c>
      <c r="F7" s="19"/>
      <c r="G7" s="19"/>
      <c r="H7" s="19"/>
      <c r="I7" s="19"/>
      <c r="J7" s="61">
        <f>1000*15000</f>
        <v>15000000</v>
      </c>
      <c r="N7" s="20"/>
    </row>
    <row r="8" spans="1:14" s="3" customFormat="1" x14ac:dyDescent="0.35">
      <c r="A8" s="40"/>
      <c r="B8" s="17" t="s">
        <v>14</v>
      </c>
      <c r="C8" s="17"/>
      <c r="D8" s="40"/>
      <c r="E8" s="24">
        <f>SUM(E9:E13)</f>
        <v>1425</v>
      </c>
      <c r="F8" s="41"/>
      <c r="G8" s="38"/>
      <c r="H8" s="41"/>
      <c r="I8" s="41"/>
      <c r="J8" s="50"/>
      <c r="L8" s="25"/>
      <c r="N8" s="20"/>
    </row>
    <row r="9" spans="1:14" outlineLevel="1" x14ac:dyDescent="0.35">
      <c r="A9" s="26">
        <v>1</v>
      </c>
      <c r="B9" s="51" t="s">
        <v>15</v>
      </c>
      <c r="C9" s="36">
        <v>0.9</v>
      </c>
      <c r="D9" s="37"/>
      <c r="E9" s="23">
        <f>$E$7*C9</f>
        <v>1350</v>
      </c>
      <c r="F9" s="32">
        <v>16500</v>
      </c>
      <c r="G9" s="32">
        <f>E9*F9</f>
        <v>22275000</v>
      </c>
      <c r="H9" s="32"/>
      <c r="I9" s="32"/>
      <c r="J9" s="50"/>
      <c r="N9" s="20"/>
    </row>
    <row r="10" spans="1:14" outlineLevel="1" x14ac:dyDescent="0.35">
      <c r="A10" s="26">
        <v>2</v>
      </c>
      <c r="B10" s="51" t="s">
        <v>16</v>
      </c>
      <c r="C10" s="36">
        <v>0.05</v>
      </c>
      <c r="D10" s="37"/>
      <c r="E10" s="23">
        <f>$E$7*C10</f>
        <v>75</v>
      </c>
      <c r="F10" s="32">
        <v>10000</v>
      </c>
      <c r="G10" s="32">
        <f t="shared" ref="G10:G13" si="0">E10*F10</f>
        <v>750000</v>
      </c>
      <c r="H10" s="32"/>
      <c r="I10" s="32"/>
      <c r="J10" s="50"/>
    </row>
    <row r="11" spans="1:14" outlineLevel="1" x14ac:dyDescent="0.35">
      <c r="A11" s="26">
        <v>3</v>
      </c>
      <c r="B11" s="52" t="s">
        <v>17</v>
      </c>
      <c r="C11" s="36">
        <v>0.01</v>
      </c>
      <c r="D11" s="37"/>
      <c r="E11" s="23"/>
      <c r="F11" s="32"/>
      <c r="G11" s="32">
        <f t="shared" si="0"/>
        <v>0</v>
      </c>
      <c r="H11" s="32"/>
      <c r="I11" s="32"/>
      <c r="J11" s="50"/>
    </row>
    <row r="12" spans="1:14" outlineLevel="1" x14ac:dyDescent="0.35">
      <c r="A12" s="26">
        <v>4</v>
      </c>
      <c r="B12" s="52" t="s">
        <v>20</v>
      </c>
      <c r="C12" s="36">
        <v>0.02</v>
      </c>
      <c r="D12" s="37"/>
      <c r="E12" s="23"/>
      <c r="F12" s="32"/>
      <c r="G12" s="32">
        <f t="shared" si="0"/>
        <v>0</v>
      </c>
      <c r="H12" s="32"/>
      <c r="I12" s="32"/>
      <c r="J12" s="50"/>
    </row>
    <row r="13" spans="1:14" outlineLevel="1" x14ac:dyDescent="0.35">
      <c r="A13" s="26">
        <v>5</v>
      </c>
      <c r="B13" s="52" t="s">
        <v>21</v>
      </c>
      <c r="C13" s="36">
        <v>0.02</v>
      </c>
      <c r="D13" s="37"/>
      <c r="E13" s="23"/>
      <c r="F13" s="32"/>
      <c r="G13" s="32">
        <f t="shared" si="0"/>
        <v>0</v>
      </c>
      <c r="H13" s="32"/>
      <c r="I13" s="32"/>
      <c r="J13" s="50"/>
    </row>
    <row r="14" spans="1:14" s="3" customFormat="1" x14ac:dyDescent="0.35">
      <c r="A14" s="39"/>
      <c r="B14" s="30" t="s">
        <v>37</v>
      </c>
      <c r="C14" s="30"/>
      <c r="D14" s="18"/>
      <c r="E14" s="31"/>
      <c r="F14" s="19"/>
      <c r="G14" s="19"/>
      <c r="H14" s="19">
        <f>SUM(H15:H24)</f>
        <v>950.88961737677528</v>
      </c>
      <c r="I14" s="19"/>
      <c r="J14" s="50"/>
      <c r="L14" s="25"/>
    </row>
    <row r="15" spans="1:14" outlineLevel="1" x14ac:dyDescent="0.35">
      <c r="A15" s="21">
        <f>SUBTOTAL(3,$B$15:B15)</f>
        <v>1</v>
      </c>
      <c r="B15" s="53" t="s">
        <v>52</v>
      </c>
      <c r="C15" s="34"/>
      <c r="D15" s="21" t="s">
        <v>29</v>
      </c>
      <c r="E15" s="33">
        <v>150</v>
      </c>
      <c r="F15" s="22">
        <v>2210</v>
      </c>
      <c r="G15" s="22">
        <f>E15*F15</f>
        <v>331500</v>
      </c>
      <c r="H15" s="60">
        <f>G15/($E$7*95%)</f>
        <v>232.63157894736841</v>
      </c>
      <c r="I15" s="33"/>
      <c r="J15" s="50"/>
    </row>
    <row r="16" spans="1:14" ht="31" outlineLevel="1" x14ac:dyDescent="0.35">
      <c r="A16" s="21">
        <f>SUBTOTAL(3,$B$15:B16)</f>
        <v>2</v>
      </c>
      <c r="B16" s="53" t="s">
        <v>6</v>
      </c>
      <c r="C16" s="34"/>
      <c r="D16" s="21" t="s">
        <v>29</v>
      </c>
      <c r="E16" s="33">
        <f>700/24</f>
        <v>29.166666666666668</v>
      </c>
      <c r="F16" s="22">
        <v>2210</v>
      </c>
      <c r="G16" s="22">
        <f>E16*F16</f>
        <v>64458.333333333336</v>
      </c>
      <c r="H16" s="60">
        <f>G16/($E$7*95%)</f>
        <v>45.23391812865497</v>
      </c>
      <c r="I16" s="33"/>
      <c r="J16" s="50"/>
    </row>
    <row r="17" spans="1:13" outlineLevel="1" x14ac:dyDescent="0.35">
      <c r="A17" s="21">
        <f>SUBTOTAL(3,$B$15:B17)</f>
        <v>3</v>
      </c>
      <c r="B17" s="53" t="s">
        <v>47</v>
      </c>
      <c r="C17" s="34"/>
      <c r="D17" s="21" t="s">
        <v>30</v>
      </c>
      <c r="E17" s="33">
        <v>3</v>
      </c>
      <c r="F17" s="22">
        <v>11500</v>
      </c>
      <c r="G17" s="22">
        <f t="shared" ref="G17:G24" si="1">E17*F17</f>
        <v>34500</v>
      </c>
      <c r="H17" s="60">
        <f>G17/($E$7*95%)</f>
        <v>24.210526315789473</v>
      </c>
      <c r="I17" s="33"/>
      <c r="J17" s="50"/>
    </row>
    <row r="18" spans="1:13" ht="31" outlineLevel="1" x14ac:dyDescent="0.35">
      <c r="A18" s="21">
        <f>SUBTOTAL(3,$B$15:B18)</f>
        <v>4</v>
      </c>
      <c r="B18" s="53" t="s">
        <v>48</v>
      </c>
      <c r="C18" s="34"/>
      <c r="D18" s="21" t="s">
        <v>7</v>
      </c>
      <c r="E18" s="33">
        <f>E17*80%</f>
        <v>2.4000000000000004</v>
      </c>
      <c r="F18" s="22">
        <v>11852</v>
      </c>
      <c r="G18" s="22">
        <f t="shared" si="1"/>
        <v>28444.800000000003</v>
      </c>
      <c r="H18" s="60">
        <f>G18/($E$7*95%)</f>
        <v>19.961263157894738</v>
      </c>
      <c r="I18" s="33"/>
      <c r="J18" s="50"/>
    </row>
    <row r="19" spans="1:13" ht="42.5" outlineLevel="1" x14ac:dyDescent="0.35">
      <c r="A19" s="21">
        <f>SUBTOTAL(3,$B$15:B19)</f>
        <v>5</v>
      </c>
      <c r="B19" s="53" t="s">
        <v>49</v>
      </c>
      <c r="C19" s="34"/>
      <c r="D19" s="21" t="s">
        <v>5</v>
      </c>
      <c r="E19" s="35">
        <v>1</v>
      </c>
      <c r="F19" s="22">
        <v>75000</v>
      </c>
      <c r="G19" s="22">
        <f>E19*F19</f>
        <v>75000</v>
      </c>
      <c r="H19" s="60">
        <f>G19/350*50%</f>
        <v>107.14285714285714</v>
      </c>
      <c r="I19" s="33"/>
      <c r="J19" s="50" t="s">
        <v>40</v>
      </c>
    </row>
    <row r="20" spans="1:13" ht="31" outlineLevel="1" x14ac:dyDescent="0.35">
      <c r="A20" s="21">
        <f>SUBTOTAL(3,$B$15:B20)</f>
        <v>6</v>
      </c>
      <c r="B20" s="53" t="s">
        <v>53</v>
      </c>
      <c r="C20" s="34"/>
      <c r="D20" s="21" t="s">
        <v>8</v>
      </c>
      <c r="E20" s="33">
        <v>3</v>
      </c>
      <c r="F20" s="22">
        <f>ROUND(48000*1.069,0)</f>
        <v>51312</v>
      </c>
      <c r="G20" s="22">
        <f t="shared" si="1"/>
        <v>153936</v>
      </c>
      <c r="H20" s="60">
        <f>G20/($E$7*95%)</f>
        <v>108.02526315789474</v>
      </c>
      <c r="I20" s="33"/>
      <c r="J20" s="50"/>
    </row>
    <row r="21" spans="1:13" outlineLevel="1" x14ac:dyDescent="0.35">
      <c r="A21" s="21">
        <f>SUBTOTAL(3,$B$15:B21)</f>
        <v>7</v>
      </c>
      <c r="B21" s="53" t="s">
        <v>11</v>
      </c>
      <c r="C21" s="34"/>
      <c r="D21" s="21" t="s">
        <v>4</v>
      </c>
      <c r="E21" s="33">
        <v>1</v>
      </c>
      <c r="F21" s="22">
        <v>1000</v>
      </c>
      <c r="G21" s="22">
        <f t="shared" si="1"/>
        <v>1000</v>
      </c>
      <c r="H21" s="60">
        <f>G21/(50*95%)</f>
        <v>21.05263157894737</v>
      </c>
      <c r="I21" s="33"/>
      <c r="J21" s="50" t="s">
        <v>38</v>
      </c>
      <c r="M21" s="20"/>
    </row>
    <row r="22" spans="1:13" outlineLevel="1" x14ac:dyDescent="0.35">
      <c r="A22" s="21">
        <f>SUBTOTAL(3,$B$15:B22)</f>
        <v>8</v>
      </c>
      <c r="B22" s="53" t="s">
        <v>50</v>
      </c>
      <c r="C22" s="34"/>
      <c r="D22" s="21" t="s">
        <v>5</v>
      </c>
      <c r="E22" s="33">
        <v>1</v>
      </c>
      <c r="F22" s="22">
        <v>75000</v>
      </c>
      <c r="G22" s="22">
        <f t="shared" si="1"/>
        <v>75000</v>
      </c>
      <c r="H22" s="60">
        <f>G22/(15000*95%)</f>
        <v>5.2631578947368425</v>
      </c>
      <c r="I22" s="33"/>
      <c r="J22" s="50" t="s">
        <v>39</v>
      </c>
    </row>
    <row r="23" spans="1:13" ht="28.5" outlineLevel="1" x14ac:dyDescent="0.35">
      <c r="A23" s="21">
        <f>SUBTOTAL(3,$B$15:B23)</f>
        <v>9</v>
      </c>
      <c r="B23" s="53" t="s">
        <v>26</v>
      </c>
      <c r="C23" s="34"/>
      <c r="D23" s="21" t="s">
        <v>18</v>
      </c>
      <c r="E23" s="33">
        <v>1</v>
      </c>
      <c r="F23" s="22">
        <v>70000000</v>
      </c>
      <c r="G23" s="22">
        <f t="shared" ref="G23" si="2">E23*F23</f>
        <v>70000000</v>
      </c>
      <c r="H23" s="60">
        <f>G23/(200000*95%)</f>
        <v>368.42105263157896</v>
      </c>
      <c r="I23" s="33"/>
      <c r="J23" s="50" t="s">
        <v>51</v>
      </c>
      <c r="L23" s="59"/>
      <c r="M23" s="54"/>
    </row>
    <row r="24" spans="1:13" ht="28.5" outlineLevel="1" x14ac:dyDescent="0.35">
      <c r="A24" s="21">
        <f>SUBTOTAL(3,$B$15:B24)</f>
        <v>10</v>
      </c>
      <c r="B24" s="53" t="s">
        <v>42</v>
      </c>
      <c r="C24" s="34"/>
      <c r="D24" s="21" t="s">
        <v>43</v>
      </c>
      <c r="E24" s="33">
        <f>2.5*60%</f>
        <v>1.5</v>
      </c>
      <c r="F24" s="22">
        <v>18000</v>
      </c>
      <c r="G24" s="22">
        <f t="shared" si="1"/>
        <v>27000</v>
      </c>
      <c r="H24" s="60">
        <f>E24*F24/(1500*95%)</f>
        <v>18.94736842105263</v>
      </c>
      <c r="I24" s="33"/>
      <c r="J24" s="50" t="s">
        <v>44</v>
      </c>
      <c r="L24" s="59"/>
      <c r="M24" s="54"/>
    </row>
    <row r="25" spans="1:13" s="46" customFormat="1" ht="31" x14ac:dyDescent="0.35">
      <c r="A25" s="42"/>
      <c r="B25" s="30" t="s">
        <v>27</v>
      </c>
      <c r="C25" s="30"/>
      <c r="D25" s="43"/>
      <c r="E25" s="44"/>
      <c r="F25" s="45"/>
      <c r="G25" s="45"/>
      <c r="H25" s="31">
        <f>SUM(H26)</f>
        <v>308.33333333333331</v>
      </c>
      <c r="I25" s="31"/>
      <c r="J25" s="50"/>
      <c r="L25" s="47"/>
    </row>
    <row r="26" spans="1:13" outlineLevel="1" x14ac:dyDescent="0.35">
      <c r="A26" s="21">
        <v>1</v>
      </c>
      <c r="B26" s="53" t="s">
        <v>24</v>
      </c>
      <c r="C26" s="34"/>
      <c r="D26" s="21" t="s">
        <v>25</v>
      </c>
      <c r="E26" s="33">
        <v>1</v>
      </c>
      <c r="F26" s="22">
        <v>3700000</v>
      </c>
      <c r="G26" s="22">
        <f>E26*F26</f>
        <v>3700000</v>
      </c>
      <c r="H26" s="60">
        <f>G26/12000</f>
        <v>308.33333333333331</v>
      </c>
      <c r="I26" s="33"/>
      <c r="J26" s="50" t="s">
        <v>55</v>
      </c>
    </row>
    <row r="27" spans="1:13" s="46" customFormat="1" x14ac:dyDescent="0.35">
      <c r="A27" s="42"/>
      <c r="B27" s="30" t="s">
        <v>28</v>
      </c>
      <c r="C27" s="30"/>
      <c r="D27" s="43"/>
      <c r="E27" s="44"/>
      <c r="F27" s="45"/>
      <c r="G27" s="45"/>
      <c r="H27" s="31">
        <f>SUM(H28:H32)</f>
        <v>899.94191611360793</v>
      </c>
      <c r="I27" s="31"/>
      <c r="J27" s="50"/>
      <c r="L27" s="47"/>
    </row>
    <row r="28" spans="1:13" ht="28.5" customHeight="1" outlineLevel="1" x14ac:dyDescent="0.35">
      <c r="A28" s="21">
        <v>1</v>
      </c>
      <c r="B28" s="53" t="s">
        <v>10</v>
      </c>
      <c r="C28" s="34"/>
      <c r="D28" s="21" t="s">
        <v>34</v>
      </c>
      <c r="E28" s="33"/>
      <c r="F28" s="22">
        <v>300000000</v>
      </c>
      <c r="G28" s="22">
        <v>300000000</v>
      </c>
      <c r="H28" s="33">
        <f>G28/1000000</f>
        <v>300</v>
      </c>
      <c r="I28" s="56"/>
      <c r="J28" s="64" t="s">
        <v>56</v>
      </c>
    </row>
    <row r="29" spans="1:13" ht="31" outlineLevel="1" x14ac:dyDescent="0.35">
      <c r="A29" s="21">
        <v>2</v>
      </c>
      <c r="B29" s="53" t="s">
        <v>31</v>
      </c>
      <c r="C29" s="34"/>
      <c r="D29" s="21" t="s">
        <v>34</v>
      </c>
      <c r="E29" s="33"/>
      <c r="F29" s="22">
        <f>269396719+2500000000/12/12</f>
        <v>286757830.1111111</v>
      </c>
      <c r="G29" s="22">
        <f>269396719+2500000000/12/12</f>
        <v>286757830.1111111</v>
      </c>
      <c r="H29" s="33">
        <f>G29/890000</f>
        <v>322.19980911360796</v>
      </c>
      <c r="I29" s="57"/>
      <c r="J29" s="64" t="s">
        <v>54</v>
      </c>
    </row>
    <row r="30" spans="1:13" ht="42" outlineLevel="1" x14ac:dyDescent="0.35">
      <c r="A30" s="21">
        <v>3</v>
      </c>
      <c r="B30" s="53" t="s">
        <v>45</v>
      </c>
      <c r="C30" s="34"/>
      <c r="D30" s="21" t="s">
        <v>34</v>
      </c>
      <c r="E30" s="33"/>
      <c r="F30" s="22">
        <v>47742107</v>
      </c>
      <c r="G30" s="22">
        <v>47742107</v>
      </c>
      <c r="H30" s="33">
        <f>G30/1000000</f>
        <v>47.742106999999997</v>
      </c>
      <c r="I30" s="57"/>
      <c r="J30" s="64" t="s">
        <v>56</v>
      </c>
      <c r="K30" s="20"/>
    </row>
    <row r="31" spans="1:13" ht="42" outlineLevel="1" x14ac:dyDescent="0.35">
      <c r="A31" s="21">
        <v>4</v>
      </c>
      <c r="B31" s="53" t="s">
        <v>33</v>
      </c>
      <c r="C31" s="34"/>
      <c r="D31" s="21" t="s">
        <v>34</v>
      </c>
      <c r="E31" s="33"/>
      <c r="F31" s="22">
        <f>230000000</f>
        <v>230000000</v>
      </c>
      <c r="G31" s="22">
        <f>230000000</f>
        <v>230000000</v>
      </c>
      <c r="H31" s="33">
        <f>G31/1000000</f>
        <v>230</v>
      </c>
      <c r="I31" s="58"/>
      <c r="J31" s="63" t="s">
        <v>56</v>
      </c>
    </row>
    <row r="32" spans="1:13" outlineLevel="1" x14ac:dyDescent="0.35">
      <c r="A32" s="21">
        <v>5</v>
      </c>
      <c r="B32" s="53" t="s">
        <v>12</v>
      </c>
      <c r="C32" s="34"/>
      <c r="D32" s="21" t="s">
        <v>34</v>
      </c>
      <c r="E32" s="33"/>
      <c r="F32" s="22"/>
      <c r="G32" s="22">
        <f t="shared" ref="G32" si="3">E32*F32</f>
        <v>0</v>
      </c>
      <c r="H32" s="33">
        <f>G32/1000000</f>
        <v>0</v>
      </c>
      <c r="I32" s="33"/>
      <c r="J32" s="50"/>
    </row>
    <row r="33" spans="1:12" s="3" customFormat="1" x14ac:dyDescent="0.35">
      <c r="A33" s="18"/>
      <c r="B33" s="30" t="s">
        <v>41</v>
      </c>
      <c r="C33" s="30"/>
      <c r="D33" s="18"/>
      <c r="E33" s="48"/>
      <c r="F33" s="49"/>
      <c r="G33" s="49"/>
      <c r="H33" s="48">
        <f>SUM(H34)</f>
        <v>570</v>
      </c>
      <c r="I33" s="48"/>
      <c r="J33" s="50"/>
      <c r="L33" s="25"/>
    </row>
    <row r="34" spans="1:12" ht="42" outlineLevel="1" x14ac:dyDescent="0.35">
      <c r="A34" s="21">
        <v>1</v>
      </c>
      <c r="B34" s="53" t="s">
        <v>23</v>
      </c>
      <c r="C34" s="34"/>
      <c r="D34" s="21" t="s">
        <v>34</v>
      </c>
      <c r="E34" s="33"/>
      <c r="F34" s="22">
        <v>570000000</v>
      </c>
      <c r="G34" s="22">
        <v>570000000</v>
      </c>
      <c r="H34" s="33">
        <f>G34/1000000</f>
        <v>570</v>
      </c>
      <c r="I34" s="33"/>
      <c r="J34" s="63" t="s">
        <v>56</v>
      </c>
    </row>
    <row r="35" spans="1:12" x14ac:dyDescent="0.35">
      <c r="A35" s="21"/>
      <c r="B35" s="34"/>
      <c r="C35" s="34"/>
      <c r="D35" s="21"/>
      <c r="E35" s="33"/>
      <c r="F35" s="22"/>
      <c r="G35" s="22"/>
      <c r="H35" s="22"/>
      <c r="I35" s="22"/>
      <c r="J35" s="50"/>
    </row>
    <row r="36" spans="1:12" x14ac:dyDescent="0.35">
      <c r="H36" s="65">
        <f>H33</f>
        <v>570</v>
      </c>
    </row>
    <row r="41" spans="1:12" x14ac:dyDescent="0.35">
      <c r="E41" s="2"/>
      <c r="F41" s="2"/>
      <c r="G41" s="2"/>
      <c r="H41" s="2"/>
      <c r="I41" s="2"/>
      <c r="J41" s="2"/>
    </row>
    <row r="42" spans="1:12" x14ac:dyDescent="0.35">
      <c r="E42" s="2"/>
      <c r="F42" s="2"/>
      <c r="G42" s="2"/>
      <c r="H42" s="2"/>
      <c r="I42" s="2"/>
      <c r="J42" s="2"/>
    </row>
    <row r="43" spans="1:12" x14ac:dyDescent="0.35">
      <c r="E43" s="2"/>
      <c r="F43" s="2"/>
      <c r="G43" s="2"/>
      <c r="H43" s="2"/>
      <c r="I43" s="2"/>
      <c r="J43" s="2"/>
    </row>
    <row r="44" spans="1:12" x14ac:dyDescent="0.35">
      <c r="E44" s="2"/>
      <c r="F44" s="2"/>
      <c r="G44" s="2"/>
      <c r="H44" s="2"/>
      <c r="I44" s="2"/>
      <c r="J44" s="2"/>
    </row>
    <row r="45" spans="1:12" x14ac:dyDescent="0.35">
      <c r="E45" s="2"/>
      <c r="F45" s="2"/>
      <c r="G45" s="2"/>
      <c r="H45" s="2"/>
      <c r="I45" s="2"/>
      <c r="J45" s="2"/>
    </row>
    <row r="46" spans="1:12" x14ac:dyDescent="0.35">
      <c r="E46" s="2"/>
      <c r="F46" s="2"/>
      <c r="G46" s="2"/>
      <c r="H46" s="2"/>
      <c r="I46" s="2"/>
      <c r="J46" s="2"/>
    </row>
    <row r="47" spans="1:12" x14ac:dyDescent="0.35">
      <c r="E47" s="2"/>
      <c r="F47" s="2"/>
      <c r="G47" s="2"/>
      <c r="H47" s="2"/>
      <c r="I47" s="2"/>
      <c r="J47" s="2"/>
    </row>
    <row r="48" spans="1:12" x14ac:dyDescent="0.35">
      <c r="E48" s="2"/>
      <c r="F48" s="2"/>
      <c r="G48" s="2"/>
      <c r="H48" s="2"/>
      <c r="I48" s="2"/>
      <c r="J48" s="2"/>
    </row>
    <row r="49" spans="5:10" x14ac:dyDescent="0.35">
      <c r="E49" s="2"/>
      <c r="F49" s="2"/>
      <c r="G49" s="2"/>
      <c r="H49" s="2"/>
      <c r="I49" s="2"/>
      <c r="J49" s="2"/>
    </row>
    <row r="50" spans="5:10" x14ac:dyDescent="0.35">
      <c r="E50" s="2"/>
      <c r="F50" s="2"/>
      <c r="G50" s="2"/>
      <c r="H50" s="2"/>
      <c r="I50" s="2"/>
      <c r="J50" s="2"/>
    </row>
    <row r="51" spans="5:10" x14ac:dyDescent="0.35">
      <c r="E51" s="2"/>
      <c r="F51" s="2"/>
      <c r="G51" s="2"/>
      <c r="H51" s="2"/>
      <c r="I51" s="2"/>
      <c r="J51" s="2"/>
    </row>
    <row r="52" spans="5:10" x14ac:dyDescent="0.35">
      <c r="E52" s="2"/>
      <c r="F52" s="2"/>
      <c r="G52" s="2"/>
      <c r="H52" s="2"/>
      <c r="I52" s="2"/>
      <c r="J52" s="2"/>
    </row>
    <row r="53" spans="5:10" x14ac:dyDescent="0.35">
      <c r="E53" s="2"/>
      <c r="F53" s="2"/>
      <c r="G53" s="2"/>
      <c r="H53" s="2"/>
      <c r="I53" s="2"/>
      <c r="J53" s="2"/>
    </row>
    <row r="54" spans="5:10" x14ac:dyDescent="0.35">
      <c r="E54" s="2"/>
      <c r="F54" s="2"/>
      <c r="G54" s="2"/>
      <c r="H54" s="2"/>
      <c r="I54" s="2"/>
      <c r="J54" s="2"/>
    </row>
    <row r="55" spans="5:10" x14ac:dyDescent="0.35">
      <c r="E55" s="2"/>
      <c r="F55" s="2"/>
      <c r="G55" s="2"/>
      <c r="H55" s="2"/>
      <c r="I55" s="2"/>
      <c r="J55" s="2"/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df09a27-9771-47e1-b9df-a49ccb752b2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3A8507A2A88F46A95105FB86887821" ma:contentTypeVersion="16" ma:contentTypeDescription="Create a new document." ma:contentTypeScope="" ma:versionID="afd88ccd273a29f43274d90ad9cb4a33">
  <xsd:schema xmlns:xsd="http://www.w3.org/2001/XMLSchema" xmlns:xs="http://www.w3.org/2001/XMLSchema" xmlns:p="http://schemas.microsoft.com/office/2006/metadata/properties" xmlns:ns3="0df09a27-9771-47e1-b9df-a49ccb752b23" xmlns:ns4="da0191db-049f-49dc-a4a6-d804a7c1caa4" targetNamespace="http://schemas.microsoft.com/office/2006/metadata/properties" ma:root="true" ma:fieldsID="c980d1dccea66b983f4d7b9b0ae798d9" ns3:_="" ns4:_="">
    <xsd:import namespace="0df09a27-9771-47e1-b9df-a49ccb752b23"/>
    <xsd:import namespace="da0191db-049f-49dc-a4a6-d804a7c1caa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f09a27-9771-47e1-b9df-a49ccb752b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0191db-049f-49dc-a4a6-d804a7c1caa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16EBA2-FBBF-478F-915F-808DB8A08F20}">
  <ds:schemaRefs>
    <ds:schemaRef ds:uri="http://purl.org/dc/dcmitype/"/>
    <ds:schemaRef ds:uri="0df09a27-9771-47e1-b9df-a49ccb752b23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da0191db-049f-49dc-a4a6-d804a7c1caa4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C114C11-2EF5-46BB-91C0-86E96415AF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f09a27-9771-47e1-b9df-a49ccb752b23"/>
    <ds:schemaRef ds:uri="da0191db-049f-49dc-a4a6-d804a7c1ca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9C2CE8-5BE2-4B9B-A02A-69848268259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Bam B1 RL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Ly, Nguyễn Thị Ánh</dc:creator>
  <cp:keywords/>
  <dc:description/>
  <cp:lastModifiedBy>Cư, Lê Hoành</cp:lastModifiedBy>
  <cp:revision/>
  <dcterms:created xsi:type="dcterms:W3CDTF">2023-12-15T06:22:16Z</dcterms:created>
  <dcterms:modified xsi:type="dcterms:W3CDTF">2026-03-10T08:00:57Z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0x0101009B3A8507A2A88F46A95105FB86887821</vt:lpwstr>
  </property>
</Properties>
</file>