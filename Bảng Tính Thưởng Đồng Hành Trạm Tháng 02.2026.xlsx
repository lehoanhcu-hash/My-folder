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uuhongnhung_duytanrecycling_com/Documents/00. Phê duyệt Tổng giám đốc/03. Duyệt Khác/Thưởng SL Trạm 2026/Tháng 02/"/>
    </mc:Choice>
  </mc:AlternateContent>
  <xr:revisionPtr revIDLastSave="697" documentId="8_{9C969EA9-7E5B-4702-B89B-01CF7CA7461C}" xr6:coauthVersionLast="47" xr6:coauthVersionMax="47" xr10:uidLastSave="{22BB66C1-0D2B-4586-8F62-E9DD811A58F6}"/>
  <bookViews>
    <workbookView xWindow="-103" yWindow="-103" windowWidth="18159" windowHeight="10305" xr2:uid="{55CAB5BD-15DA-4D0C-94CD-E6FC320F5498}"/>
  </bookViews>
  <sheets>
    <sheet name="Sheet2" sheetId="2" r:id="rId1"/>
  </sheets>
  <definedNames>
    <definedName name="_xlnm.Print_Area" localSheetId="0">Sheet2!$A$1:$O$41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E40" i="2"/>
  <c r="E39" i="2"/>
  <c r="E38" i="2"/>
  <c r="D40" i="2"/>
  <c r="D39" i="2"/>
  <c r="D38" i="2"/>
  <c r="A23" i="2"/>
  <c r="A24" i="2"/>
  <c r="A25" i="2"/>
  <c r="A26" i="2"/>
  <c r="A27" i="2"/>
  <c r="A22" i="2"/>
  <c r="A32" i="2"/>
  <c r="A30" i="2"/>
  <c r="A29" i="2"/>
  <c r="I28" i="2"/>
  <c r="J28" i="2"/>
  <c r="L28" i="2" s="1"/>
  <c r="I33" i="2"/>
  <c r="J33" i="2"/>
  <c r="L33" i="2" s="1"/>
  <c r="N34" i="2"/>
  <c r="M34" i="2"/>
  <c r="L29" i="2"/>
  <c r="H12" i="2"/>
  <c r="H13" i="2"/>
  <c r="H14" i="2"/>
  <c r="H15" i="2"/>
  <c r="E34" i="2"/>
  <c r="F34" i="2"/>
  <c r="C41" i="2"/>
  <c r="G34" i="2" l="1"/>
  <c r="J12" i="2" l="1"/>
  <c r="D10" i="2"/>
  <c r="I22" i="2"/>
  <c r="G22" i="2"/>
  <c r="G23" i="2"/>
  <c r="G24" i="2"/>
  <c r="G25" i="2"/>
  <c r="G26" i="2"/>
  <c r="G27" i="2"/>
  <c r="I23" i="2"/>
  <c r="I24" i="2"/>
  <c r="I25" i="2"/>
  <c r="I26" i="2"/>
  <c r="I27" i="2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O25" i="2" l="1"/>
  <c r="O24" i="2"/>
  <c r="O23" i="2"/>
  <c r="O22" i="2"/>
  <c r="O26" i="2"/>
  <c r="O27" i="2"/>
  <c r="O28" i="2" l="1"/>
  <c r="J15" i="2"/>
  <c r="J14" i="2"/>
  <c r="J13" i="2"/>
  <c r="G32" i="2"/>
  <c r="I32" i="2"/>
  <c r="J32" i="2"/>
  <c r="L32" i="2" l="1"/>
  <c r="O32" i="2" s="1"/>
  <c r="O33" i="2" s="1"/>
  <c r="J34" i="2"/>
  <c r="L30" i="2" l="1"/>
  <c r="L34" i="2" s="1"/>
  <c r="I30" i="2"/>
  <c r="I29" i="2"/>
  <c r="G30" i="2"/>
  <c r="G29" i="2"/>
  <c r="I34" i="2" l="1"/>
  <c r="O29" i="2"/>
  <c r="O30" i="2"/>
  <c r="D12" i="2"/>
  <c r="D8" i="2"/>
  <c r="O31" i="2" l="1"/>
  <c r="E10" i="2"/>
  <c r="E11" i="2"/>
  <c r="E9" i="2"/>
  <c r="E15" i="2"/>
  <c r="E14" i="2"/>
  <c r="E13" i="2"/>
  <c r="D16" i="2"/>
  <c r="O34" i="2" l="1"/>
  <c r="E16" i="2"/>
  <c r="E8" i="2"/>
  <c r="E12" i="2"/>
  <c r="D41" i="2" l="1"/>
  <c r="G9" i="2" a="1"/>
  <c r="G9" i="2" s="1"/>
  <c r="H9" i="2" s="1"/>
  <c r="J9" i="2" s="1"/>
  <c r="G8" i="2"/>
  <c r="H8" i="2" s="1"/>
  <c r="J8" i="2" s="1"/>
  <c r="G10" i="2" a="1"/>
  <c r="G10" i="2" s="1"/>
  <c r="H10" i="2" s="1"/>
  <c r="J10" i="2" s="1"/>
  <c r="G11" i="2" a="1"/>
  <c r="G11" i="2" s="1"/>
  <c r="G16" i="2"/>
  <c r="H16" i="2" s="1"/>
  <c r="J16" i="2" s="1"/>
  <c r="H11" i="2"/>
  <c r="J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<sst xmlns="http://schemas.openxmlformats.org/spreadsheetml/2006/main" count="109" uniqueCount="77">
  <si>
    <t>Trạm</t>
  </si>
  <si>
    <t>Đại lộc</t>
  </si>
  <si>
    <t>Đồng lâm</t>
  </si>
  <si>
    <t>Khánh Nga</t>
  </si>
  <si>
    <t>Chai B0</t>
  </si>
  <si>
    <t>Tỷ trọng</t>
  </si>
  <si>
    <t>Tổng</t>
  </si>
  <si>
    <t>1. BẢNG TÍNH SẢN LƯỢNG MUA VÀO BA TRẠM</t>
  </si>
  <si>
    <t>Sản phẩm Mua</t>
  </si>
  <si>
    <t>Sản Lượng Đầu Vào</t>
  </si>
  <si>
    <t>Giá Mua TB</t>
  </si>
  <si>
    <t>Tổng Giá Mua</t>
  </si>
  <si>
    <t>Chênh Lệch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</si>
  <si>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</si>
  <si>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</si>
  <si>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</si>
  <si>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</si>
  <si>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</si>
  <si>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</si>
  <si>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</si>
  <si>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</si>
  <si>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</si>
  <si>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r>
      <t xml:space="preserve">BẢNG TÍNH GIÁ TRỊ THƯỞNG ĐỒNG HÀNH BA TRẠM
</t>
    </r>
    <r>
      <rPr>
        <b/>
        <sz val="18"/>
        <color rgb="FF0000FF"/>
        <rFont val="Times New Roman"/>
        <family val="1"/>
      </rPr>
      <t>THÁNG 02</t>
    </r>
    <r>
      <rPr>
        <b/>
        <sz val="18"/>
        <color theme="1"/>
        <rFont val="Times New Roman"/>
        <family val="1"/>
      </rPr>
      <t xml:space="preserve"> NĂM 2026</t>
    </r>
  </si>
  <si>
    <t>Nhà Cung Ứng Đồng Hành:</t>
  </si>
  <si>
    <t>Nhà Cung Ứng Phổ Thông:</t>
  </si>
  <si>
    <t>STT</t>
  </si>
  <si>
    <t>[10]</t>
  </si>
  <si>
    <t>Tên Nhà Cung Ứng</t>
  </si>
  <si>
    <t>Tỉnh</t>
  </si>
  <si>
    <t>2. BẢNG TÍNH GIÁ TRỊ THƯỞNG SẢN LƯỢNG (Nhà Cung Ứng Đồng Hành)</t>
  </si>
  <si>
    <t>Chỉ Tiêu</t>
  </si>
  <si>
    <t>Sản Lượng</t>
  </si>
  <si>
    <t>% Đạt</t>
  </si>
  <si>
    <t>Mức Thưởng Tháng</t>
  </si>
  <si>
    <t>Giá Trị Thưởng Sản Lượng</t>
  </si>
  <si>
    <t>Sản Lượng Hỗ Trợ Vận Chuyển</t>
  </si>
  <si>
    <t>Giá Trị Hỗ Trợ Vận Chuyển</t>
  </si>
  <si>
    <t>Mức Hỗ Trợ Vận Chuyển</t>
  </si>
  <si>
    <t>Chi Phí Mặt Bằng</t>
  </si>
  <si>
    <t>Chi Phí Nhập Liệu</t>
  </si>
  <si>
    <t>I.</t>
  </si>
  <si>
    <t>II.</t>
  </si>
  <si>
    <t>(I)+(II)</t>
  </si>
  <si>
    <t>Hộ Kinh Doanh An Tâm</t>
  </si>
  <si>
    <t>Công Ty TNHH Thiện An Recycling</t>
  </si>
  <si>
    <t>Đồng Lâm</t>
  </si>
  <si>
    <t>Kiên Giang</t>
  </si>
  <si>
    <t>Cà Mau</t>
  </si>
  <si>
    <t>[11]</t>
  </si>
  <si>
    <t>[13]</t>
  </si>
  <si>
    <t>[14]</t>
  </si>
  <si>
    <t>Công Ty Phước Lộc tân</t>
  </si>
  <si>
    <t>Tây Ninh</t>
  </si>
  <si>
    <t>Giá TGĐ Duyệt</t>
  </si>
  <si>
    <t>HKD Tâm Tường</t>
  </si>
  <si>
    <t>HKD Đinh Thị Thúy</t>
  </si>
  <si>
    <t>HKD Hoàng Vân - Trần Duy Nhất</t>
  </si>
  <si>
    <t>HKD Bùi Văn Dương</t>
  </si>
  <si>
    <t>HKD Vạn Phát</t>
  </si>
  <si>
    <t>CTY Thương Viên</t>
  </si>
  <si>
    <t>Quảng Ngãi</t>
  </si>
  <si>
    <t>Phú Yên</t>
  </si>
  <si>
    <t>Khánh Hòa</t>
  </si>
  <si>
    <t>Bình Dương</t>
  </si>
  <si>
    <t>Ninh Thuận</t>
  </si>
  <si>
    <t>Gia Lai</t>
  </si>
  <si>
    <t>Đại Lộc</t>
  </si>
  <si>
    <t>3. BẢNG TÍNH SẢN LƯỢNG BÁN BA TRẠM</t>
  </si>
  <si>
    <t>Sản Lượng Xuất Về DTR</t>
  </si>
  <si>
    <t>[8]=[6]+[7]</t>
  </si>
  <si>
    <t>[10]=[9]-[8]</t>
  </si>
  <si>
    <t>[7]=[6]/[5]</t>
  </si>
  <si>
    <t>[12]=[10]*[11]</t>
  </si>
  <si>
    <t>[15]=[9]+[12]+[13]+[14]</t>
  </si>
  <si>
    <t>Tổng Thành Tiền Hỗ Trợ Chưa Thuế</t>
  </si>
  <si>
    <t>Giá Trị Thưởng</t>
  </si>
  <si>
    <t>Đơn Giá Thưởng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</si>
</sst>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20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8"/>
      <color theme="1"/>
      <name val="Times New Roman"/>
      <family val="1"/>
    </font>
    <font>
      <b/>
      <sz val="18"/>
      <color rgb="FF0000FF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FF"/>
      <name val="Times New Roman"/>
      <family val="1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b/>
      <sz val="12"/>
      <color theme="6"/>
      <name val="Times New Roman"/>
      <family val="1"/>
    </font>
    <font>
      <sz val="12"/>
      <color theme="6"/>
      <name val="Times New Roman"/>
      <family val="2"/>
      <charset val="163"/>
    </font>
    <font>
      <b/>
      <sz val="14"/>
      <color rgb="FFC00000"/>
      <name val="Times New Roman"/>
      <family val="1"/>
    </font>
    <font>
      <sz val="12"/>
      <color rgb="FFC00000"/>
      <name val="Times New Roman"/>
      <family val="1"/>
    </font>
    <font>
      <sz val="12"/>
      <color rgb="FF0000FF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quotePrefix="1"/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5" fontId="4" fillId="2" borderId="8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165" fontId="11" fillId="0" borderId="1" xfId="1" applyNumberFormat="1" applyFont="1" applyBorder="1" applyAlignment="1">
      <alignment vertical="center"/>
    </xf>
    <xf numFmtId="9" fontId="11" fillId="0" borderId="1" xfId="2" applyFont="1" applyBorder="1" applyAlignment="1">
      <alignment vertical="center"/>
    </xf>
    <xf numFmtId="165" fontId="11" fillId="4" borderId="1" xfId="1" applyNumberFormat="1" applyFont="1" applyFill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165" fontId="11" fillId="0" borderId="8" xfId="1" applyNumberFormat="1" applyFont="1" applyBorder="1" applyAlignment="1">
      <alignment vertical="center"/>
    </xf>
    <xf numFmtId="9" fontId="11" fillId="0" borderId="8" xfId="2" applyFont="1" applyBorder="1" applyAlignment="1">
      <alignment vertical="center"/>
    </xf>
    <xf numFmtId="165" fontId="11" fillId="0" borderId="1" xfId="0" applyNumberFormat="1" applyFont="1" applyBorder="1" applyAlignment="1">
      <alignment vertical="center"/>
    </xf>
    <xf numFmtId="165" fontId="11" fillId="4" borderId="1" xfId="1" applyNumberFormat="1" applyFont="1" applyFill="1" applyBorder="1" applyAlignment="1">
      <alignment horizontal="center" vertical="center" wrapText="1"/>
    </xf>
    <xf numFmtId="165" fontId="11" fillId="0" borderId="8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5" fontId="10" fillId="4" borderId="1" xfId="1" applyNumberFormat="1" applyFont="1" applyFill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165" fontId="10" fillId="4" borderId="8" xfId="1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165" fontId="4" fillId="2" borderId="8" xfId="1" applyNumberFormat="1" applyFont="1" applyFill="1" applyBorder="1" applyAlignment="1">
      <alignment vertical="center"/>
    </xf>
    <xf numFmtId="9" fontId="4" fillId="2" borderId="8" xfId="2" applyFont="1" applyFill="1" applyBorder="1" applyAlignment="1">
      <alignment vertical="center"/>
    </xf>
    <xf numFmtId="165" fontId="12" fillId="2" borderId="8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 wrapText="1"/>
    </xf>
    <xf numFmtId="165" fontId="13" fillId="2" borderId="8" xfId="1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165" fontId="14" fillId="0" borderId="1" xfId="1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165" fontId="11" fillId="2" borderId="1" xfId="1" applyNumberFormat="1" applyFont="1" applyFill="1" applyBorder="1" applyAlignment="1">
      <alignment vertical="center"/>
    </xf>
    <xf numFmtId="9" fontId="11" fillId="2" borderId="1" xfId="2" applyFont="1" applyFill="1" applyBorder="1" applyAlignment="1">
      <alignment vertical="center"/>
    </xf>
    <xf numFmtId="165" fontId="11" fillId="2" borderId="1" xfId="1" applyNumberFormat="1" applyFont="1" applyFill="1" applyBorder="1" applyAlignment="1">
      <alignment vertical="center" wrapText="1"/>
    </xf>
    <xf numFmtId="165" fontId="11" fillId="2" borderId="1" xfId="0" applyNumberFormat="1" applyFont="1" applyFill="1" applyBorder="1" applyAlignment="1">
      <alignment vertical="center"/>
    </xf>
    <xf numFmtId="165" fontId="11" fillId="2" borderId="1" xfId="1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vertical="center"/>
    </xf>
    <xf numFmtId="165" fontId="11" fillId="2" borderId="8" xfId="1" applyNumberFormat="1" applyFont="1" applyFill="1" applyBorder="1" applyAlignment="1">
      <alignment vertical="center"/>
    </xf>
    <xf numFmtId="9" fontId="11" fillId="2" borderId="8" xfId="2" applyFont="1" applyFill="1" applyBorder="1" applyAlignment="1">
      <alignment vertical="center"/>
    </xf>
    <xf numFmtId="165" fontId="11" fillId="2" borderId="8" xfId="0" applyNumberFormat="1" applyFont="1" applyFill="1" applyBorder="1" applyAlignment="1">
      <alignment vertical="center"/>
    </xf>
    <xf numFmtId="165" fontId="12" fillId="2" borderId="1" xfId="1" applyNumberFormat="1" applyFont="1" applyFill="1" applyBorder="1" applyAlignment="1">
      <alignment vertical="center"/>
    </xf>
    <xf numFmtId="165" fontId="15" fillId="2" borderId="1" xfId="1" applyNumberFormat="1" applyFont="1" applyFill="1" applyBorder="1" applyAlignment="1">
      <alignment horizontal="center" vertical="center" wrapText="1"/>
    </xf>
    <xf numFmtId="165" fontId="15" fillId="2" borderId="8" xfId="1" applyNumberFormat="1" applyFont="1" applyFill="1" applyBorder="1" applyAlignment="1">
      <alignment horizontal="center" vertical="center" wrapText="1"/>
    </xf>
    <xf numFmtId="165" fontId="12" fillId="3" borderId="1" xfId="1" applyNumberFormat="1" applyFont="1" applyFill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/>
    </xf>
    <xf numFmtId="9" fontId="18" fillId="3" borderId="1" xfId="2" applyFont="1" applyFill="1" applyBorder="1" applyAlignment="1">
      <alignment horizontal="center" vertical="center"/>
    </xf>
    <xf numFmtId="9" fontId="19" fillId="0" borderId="1" xfId="2" applyFont="1" applyBorder="1" applyAlignment="1">
      <alignment horizontal="center" vertical="center"/>
    </xf>
    <xf numFmtId="9" fontId="18" fillId="2" borderId="8" xfId="0" applyNumberFormat="1" applyFont="1" applyFill="1" applyBorder="1" applyAlignment="1">
      <alignment horizontal="center" vertical="center"/>
    </xf>
    <xf numFmtId="165" fontId="19" fillId="0" borderId="1" xfId="1" applyNumberFormat="1" applyFont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  <xf numFmtId="165" fontId="16" fillId="0" borderId="1" xfId="1" applyNumberFormat="1" applyFont="1" applyBorder="1" applyAlignment="1">
      <alignment horizontal="center" vertical="center"/>
    </xf>
    <xf numFmtId="165" fontId="14" fillId="3" borderId="1" xfId="1" applyNumberFormat="1" applyFont="1" applyFill="1" applyBorder="1" applyAlignment="1">
      <alignment horizontal="center" vertical="center"/>
    </xf>
    <xf numFmtId="165" fontId="18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18" fillId="2" borderId="1" xfId="0" applyNumberFormat="1" applyFont="1" applyFill="1" applyBorder="1" applyAlignment="1">
      <alignment horizontal="center" vertical="center"/>
    </xf>
    <xf numFmtId="165" fontId="12" fillId="2" borderId="1" xfId="1" applyNumberFormat="1" applyFont="1" applyFill="1" applyBorder="1" applyAlignment="1">
      <alignment horizontal="center" vertical="center"/>
    </xf>
    <xf numFmtId="165" fontId="13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4">
    <cellStyle name="Comma" xfId="1" builtinId="3"/>
    <cellStyle name="Comma 2 2" xfId="3" xr:uid="{7403047E-7D9C-4A99-9541-6DF12F362D7B}"/>
    <cellStyle name="Normal" xfId="0" builtinId="0"/>
    <cellStyle name="Percent" xfId="2" builtinId="5"/>
  </cellStyles>
  <dxfs count="34">
    <dxf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charset val="163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charset val="163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charset val="16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charset val="163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226711</xdr:colOff>
      <xdr:row>0</xdr:row>
      <xdr:rowOff>64774</xdr:rowOff>
    </xdr:from>
    <xdr:to>
      <xdr:col>1</xdr:col>
      <xdr:colOff>1421387</xdr:colOff>
      <xdr:row>1</xdr:row>
      <xdr:rowOff>194323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4A18EF-BBC3-4EA5-AA84-59BC8380C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711" y="64774"/>
          <a:ext cx="1907196" cy="42103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314DE9-99FA-45AA-8BE7-18448EE00C3A}" name="Table1" displayName="Table1" ref="A20:O34" totalsRowShown="0" headerRowDxfId="33" dataDxfId="31" headerRowBorderDxfId="32" tableBorderDxfId="30" totalsRowBorderDxfId="29">
  <tableColumns count="15">
    <tableColumn id="1" xr3:uid="{193D36A5-3C37-4D6F-9605-A2EA3FB72F6A}" name="STT" dataDxfId="28"/>
    <tableColumn id="2" xr3:uid="{73831F27-3160-4623-8AF9-5F4985BCF902}" name="Trạm" dataDxfId="27"/>
    <tableColumn id="3" xr3:uid="{C366A28C-1DD3-4173-A3FD-DAD59B6980C2}" name="Tên Nhà Cung Ứng" dataDxfId="26"/>
    <tableColumn id="4" xr3:uid="{10728E7F-A9C4-4DAD-AFCA-79F8D6E2C1FC}" name="Tỉnh" dataDxfId="25"/>
    <tableColumn id="5" xr3:uid="{51D6A3BC-0FCB-4AB7-B8A5-DECC7B16DDA0}" name="Chỉ Tiêu" dataDxfId="24" dataCellStyle="Comma"/>
    <tableColumn id="6" xr3:uid="{29FC6883-3BED-4435-B679-F90A4A379DC2}" name="Sản Lượng" dataDxfId="23" dataCellStyle="Comma"/>
    <tableColumn id="7" xr3:uid="{77E07466-2FD0-409B-8C1E-3807307B246E}" name="% Đạt" dataDxfId="22" dataCellStyle="Percent">
      <calculatedColumnFormula>F21/E21</calculatedColumnFormula>
    </tableColumn>
    <tableColumn id="8" xr3:uid="{5BB4CE0D-4959-4A68-A3EA-43D8F5C3C3F9}" name="Mức Thưởng Tháng" dataDxfId="21"/>
    <tableColumn id="9" xr3:uid="{BD831F05-F7EF-4A7B-9275-D251F52C4770}" name="Giá Trị Thưởng Sản Lượng" dataDxfId="20" dataCellStyle="Comma">
      <calculatedColumnFormula>IF(F21&gt;=E21*95%,H21*F21,0)</calculatedColumnFormula>
    </tableColumn>
    <tableColumn id="10" xr3:uid="{3C067F02-C128-4A3D-A09E-997DB2A6469E}" name="Sản Lượng Hỗ Trợ Vận Chuyển" dataDxfId="19">
      <calculatedColumnFormula>Table1[[#This Row],[Sản Lượng]]</calculatedColumnFormula>
    </tableColumn>
    <tableColumn id="11" xr3:uid="{B1B6A54D-F471-4D9B-B6E0-82DFF63C73C4}" name="Mức Hỗ Trợ Vận Chuyển" dataDxfId="18"/>
    <tableColumn id="12" xr3:uid="{FCA89BE7-7DE9-4FE5-83DA-027C4D22318F}" name="Giá Trị Hỗ Trợ Vận Chuyển" dataDxfId="17" dataCellStyle="Comma">
      <calculatedColumnFormula>K21*J21</calculatedColumnFormula>
    </tableColumn>
    <tableColumn id="13" xr3:uid="{B0E3CECB-2D1D-48F0-A285-3593600EADFD}" name="Chi Phí Mặt Bằng" dataDxfId="16" dataCellStyle="Comma"/>
    <tableColumn id="14" xr3:uid="{314A9B44-9F8D-4FBA-99AB-EFF283257D85}" name="Chi Phí Nhập Liệu" dataDxfId="15" dataCellStyle="Comma"/>
    <tableColumn id="15" xr3:uid="{A10A09ED-4E92-48B2-8BE2-E90DD59F0D06}" name="Tổng Thành Tiền Hỗ Trợ Chưa Thuế" dataDxfId="14" dataCellStyle="Comma">
      <calculatedColumnFormula>N21+M21+L21+I21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4FE555-1708-4911-B05E-23C76732F581}" name="Table2" displayName="Table2" ref="A6:J16" totalsRowShown="0" headerRowDxfId="13" headerRowBorderDxfId="12" tableBorderDxfId="11" totalsRowBorderDxfId="10">
  <tableColumns count="10">
    <tableColumn id="1" xr3:uid="{20295C3B-00A7-4036-944A-A0A75FF391D7}" name="STT" dataDxfId="9"/>
    <tableColumn id="2" xr3:uid="{B4029205-C8D2-443F-B835-9CE38FA72513}" name="Trạm" dataDxfId="8"/>
    <tableColumn id="3" xr3:uid="{839BF500-1A56-4033-9F65-C86BCCA94DBE}" name="Sản phẩm Mua" dataDxfId="7"/>
    <tableColumn id="4" xr3:uid="{19B5ACE6-7E74-45F5-8C5D-811DCD8E69D7}" name="Sản Lượng Đầu Vào" dataDxfId="6" dataCellStyle="Comma"/>
    <tableColumn id="5" xr3:uid="{3CD42E9C-22D0-43F7-AC1E-AD58D02EDEB6}" name="Tỷ trọng" dataDxfId="5" dataCellStyle="Percent"/>
    <tableColumn id="6" xr3:uid="{845C9795-CA3B-4249-9C27-E87B1DCAD77E}" name="Giá Mua TB" dataDxfId="4" dataCellStyle="Comma"/>
    <tableColumn id="7" xr3:uid="{0BB5DE36-B3E3-4C39-B146-BE7FC4B5B92C}" name="Đơn Giá Thưởng" dataDxfId="3" dataCellStyle="Comma"/>
    <tableColumn id="8" xr3:uid="{D19A5774-756F-41D4-8BC6-15BBB4761FD8}" name="Tổng Giá Mua" dataDxfId="2"/>
    <tableColumn id="9" xr3:uid="{9E6180A8-F1F4-4790-89DF-6BBCF8090781}" name="Giá TGĐ Duyệt" dataDxfId="1"/>
    <tableColumn id="10" xr3:uid="{E9DD5794-785C-4F9B-B3B9-980BC7707ADE}" name="Chênh Lệc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5BF3-D41C-4E7F-9FEE-AEECF067A0B3}">
  <sheetPr>
    <pageSetUpPr fitToPage="1"/>
  </sheetPr>
  <dimension ref="A1:P41"/>
  <sheetViews>
    <sheetView showGridLines="0" tabSelected="1" view="pageBreakPreview" topLeftCell="C3" zoomScale="55" zoomScaleNormal="55" zoomScaleSheetLayoutView="55" workbookViewId="0">
      <selection activeCell="N11" sqref="N11"/>
    </sheetView>
  </sheetViews>
  <sheetFormatPr defaultRowHeight="15.45" x14ac:dyDescent="0.35"/>
  <cols>
    <col min="2" max="2" width="25.61328125" bestFit="1" customWidth="1"/>
    <col min="3" max="3" width="30.23046875" customWidth="1"/>
    <col min="4" max="4" width="20" customWidth="1"/>
    <col min="5" max="5" width="15.53515625" customWidth="1"/>
    <col min="6" max="6" width="24.3046875" customWidth="1"/>
    <col min="7" max="7" width="13.84375" customWidth="1"/>
    <col min="8" max="8" width="13.53515625" customWidth="1"/>
    <col min="9" max="14" width="15.07421875" customWidth="1"/>
    <col min="15" max="15" width="16.23046875" bestFit="1" customWidth="1"/>
  </cols>
  <sheetData>
    <row r="1" spans="1:16" ht="23.05" customHeight="1" x14ac:dyDescent="0.35">
      <c r="A1" s="88"/>
      <c r="B1" s="88"/>
      <c r="C1" s="89" t="s">
        <v>22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"/>
    </row>
    <row r="2" spans="1:16" ht="23.05" customHeight="1" x14ac:dyDescent="0.35">
      <c r="A2" s="88"/>
      <c r="B2" s="88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3"/>
    </row>
    <row r="5" spans="1:16" x14ac:dyDescent="0.35">
      <c r="A5" s="2" t="s">
        <v>7</v>
      </c>
      <c r="B5" s="2"/>
    </row>
    <row r="6" spans="1:16" s="9" customFormat="1" ht="30.9" x14ac:dyDescent="0.35">
      <c r="A6" s="21" t="s">
        <v>25</v>
      </c>
      <c r="B6" s="22" t="s">
        <v>0</v>
      </c>
      <c r="C6" s="22" t="s">
        <v>8</v>
      </c>
      <c r="D6" s="16" t="s">
        <v>9</v>
      </c>
      <c r="E6" s="22" t="s">
        <v>5</v>
      </c>
      <c r="F6" s="22" t="s">
        <v>10</v>
      </c>
      <c r="G6" s="16" t="s">
        <v>76</v>
      </c>
      <c r="H6" s="22" t="s">
        <v>11</v>
      </c>
      <c r="I6" s="22" t="s">
        <v>53</v>
      </c>
      <c r="J6" s="23" t="s">
        <v>12</v>
      </c>
    </row>
    <row r="7" spans="1:16" s="10" customFormat="1" ht="13.6" customHeight="1" x14ac:dyDescent="0.35">
      <c r="A7" s="18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69</v>
      </c>
      <c r="I7" s="5" t="s">
        <v>21</v>
      </c>
      <c r="J7" s="20" t="s">
        <v>70</v>
      </c>
    </row>
    <row r="8" spans="1:16" s="9" customFormat="1" ht="19.75" customHeight="1" x14ac:dyDescent="0.35">
      <c r="A8" s="19" t="s">
        <v>40</v>
      </c>
      <c r="B8" s="28" t="s">
        <v>23</v>
      </c>
      <c r="C8" s="6"/>
      <c r="D8" s="80">
        <f>SUM(D9:D11)</f>
        <v>591526</v>
      </c>
      <c r="E8" s="73">
        <f>D8/D16</f>
        <v>0.35328209425259482</v>
      </c>
      <c r="F8" s="7">
        <v>9661.075937009211</v>
      </c>
      <c r="G8" s="49">
        <f>O34/Table2[[#This Row],[Sản Lượng Đầu Vào]]</f>
        <v>502.81111903787831</v>
      </c>
      <c r="H8" s="70">
        <f>Table2[[#This Row],[Giá Mua TB]]+Table2[[#This Row],[Đơn Giá Thưởng]]</f>
        <v>10163.88705604709</v>
      </c>
      <c r="I8" s="68">
        <v>10000</v>
      </c>
      <c r="J8" s="42">
        <f>Table2[[#This Row],[Tổng Giá Mua]]-Table2[[#This Row],[Giá TGĐ Duyệt]]</f>
        <v>163.88705604708957</v>
      </c>
    </row>
    <row r="9" spans="1:16" s="9" customFormat="1" ht="19.75" customHeight="1" x14ac:dyDescent="0.35">
      <c r="A9" s="14">
        <v>1</v>
      </c>
      <c r="B9" s="13" t="s">
        <v>1</v>
      </c>
      <c r="C9" s="13" t="s">
        <v>4</v>
      </c>
      <c r="D9" s="76">
        <v>472020</v>
      </c>
      <c r="E9" s="74">
        <f>(D9/$D$8)</f>
        <v>0.79796999624699505</v>
      </c>
      <c r="F9" s="11">
        <v>9658.3676451480296</v>
      </c>
      <c r="G9" s="52" cm="1">
        <f t="array" ref="G9">SUMPRODUCT((Table1[Trạm]=Table2[[#This Row],[Trạm]])*1,Table1[Tổng Thành Tiền Hỗ Trợ Chưa Thuế])/Table2[[#This Row],[Sản Lượng Đầu Vào]]</f>
        <v>455.98142027880175</v>
      </c>
      <c r="H9" s="71">
        <f>Table2[[#This Row],[Giá Mua TB]]+Table2[[#This Row],[Đơn Giá Thưởng]]</f>
        <v>10114.349065426832</v>
      </c>
      <c r="I9" s="69">
        <v>10000</v>
      </c>
      <c r="J9" s="41">
        <f>Table2[[#This Row],[Tổng Giá Mua]]-Table2[[#This Row],[Giá TGĐ Duyệt]]</f>
        <v>114.34906542683166</v>
      </c>
    </row>
    <row r="10" spans="1:16" s="9" customFormat="1" ht="19.75" customHeight="1" x14ac:dyDescent="0.35">
      <c r="A10" s="14">
        <v>2</v>
      </c>
      <c r="B10" s="13" t="s">
        <v>2</v>
      </c>
      <c r="C10" s="13" t="s">
        <v>4</v>
      </c>
      <c r="D10" s="76">
        <f>F29+F30</f>
        <v>40866</v>
      </c>
      <c r="E10" s="74">
        <f t="shared" ref="E10:E11" si="0">(D10/$D$8)</f>
        <v>6.9085720661475572E-2</v>
      </c>
      <c r="F10" s="11">
        <v>9779.4254392404437</v>
      </c>
      <c r="G10" s="52" cm="1">
        <f t="array" ref="G10">SUMPRODUCT((Table1[Trạm]=Table2[[#This Row],[Trạm]])*1,Table1[Tổng Thành Tiền Hỗ Trợ Chưa Thuế])/Table2[[#This Row],[Sản Lượng Đầu Vào]]</f>
        <v>1145.340870161014</v>
      </c>
      <c r="H10" s="71">
        <f>Table2[[#This Row],[Giá Mua TB]]+Table2[[#This Row],[Đơn Giá Thưởng]]</f>
        <v>10924.766309401457</v>
      </c>
      <c r="I10" s="69">
        <v>10000</v>
      </c>
      <c r="J10" s="41">
        <f>Table2[[#This Row],[Tổng Giá Mua]]-Table2[[#This Row],[Giá TGĐ Duyệt]]</f>
        <v>924.76630940145697</v>
      </c>
    </row>
    <row r="11" spans="1:16" s="9" customFormat="1" ht="19.75" customHeight="1" x14ac:dyDescent="0.35">
      <c r="A11" s="14">
        <v>3</v>
      </c>
      <c r="B11" s="13" t="s">
        <v>3</v>
      </c>
      <c r="C11" s="13" t="s">
        <v>4</v>
      </c>
      <c r="D11" s="76">
        <v>78640</v>
      </c>
      <c r="E11" s="74">
        <f t="shared" si="0"/>
        <v>0.13294428309152936</v>
      </c>
      <c r="F11" s="11">
        <v>9615.742624618515</v>
      </c>
      <c r="G11" s="52" cm="1">
        <f t="array" ref="G11">SUMPRODUCT((Table1[Trạm]=Table2[[#This Row],[Trạm]])*1,Table1[Tổng Thành Tiền Hỗ Trợ Chưa Thuế])/Table2[[#This Row],[Sản Lượng Đầu Vào]]</f>
        <v>450</v>
      </c>
      <c r="H11" s="71">
        <f>Table2[[#This Row],[Giá Mua TB]]+Table2[[#This Row],[Đơn Giá Thưởng]]</f>
        <v>10065.742624618515</v>
      </c>
      <c r="I11" s="69">
        <v>10000</v>
      </c>
      <c r="J11" s="41">
        <f>Table2[[#This Row],[Tổng Giá Mua]]-Table2[[#This Row],[Giá TGĐ Duyệt]]</f>
        <v>65.742624618515038</v>
      </c>
    </row>
    <row r="12" spans="1:16" s="9" customFormat="1" ht="19.75" customHeight="1" x14ac:dyDescent="0.35">
      <c r="A12" s="19" t="s">
        <v>41</v>
      </c>
      <c r="B12" s="28" t="s">
        <v>24</v>
      </c>
      <c r="C12" s="12"/>
      <c r="D12" s="80">
        <f>SUM(D13:D15)</f>
        <v>1082847</v>
      </c>
      <c r="E12" s="73">
        <f>D12/D16</f>
        <v>0.64671790574740518</v>
      </c>
      <c r="F12" s="7">
        <v>9367.7123785639924</v>
      </c>
      <c r="G12" s="79">
        <v>0</v>
      </c>
      <c r="H12" s="70">
        <f>Table2[[#This Row],[Giá Mua TB]]+Table2[[#This Row],[Đơn Giá Thưởng]]</f>
        <v>9367.7123785639924</v>
      </c>
      <c r="I12" s="68">
        <v>10000</v>
      </c>
      <c r="J12" s="42">
        <f>Table2[[#This Row],[Tổng Giá Mua]]-Table2[[#This Row],[Giá TGĐ Duyệt]]</f>
        <v>-632.28762143600761</v>
      </c>
    </row>
    <row r="13" spans="1:16" s="9" customFormat="1" ht="19.75" customHeight="1" x14ac:dyDescent="0.35">
      <c r="A13" s="14">
        <v>1</v>
      </c>
      <c r="B13" s="13" t="s">
        <v>1</v>
      </c>
      <c r="C13" s="13" t="s">
        <v>4</v>
      </c>
      <c r="D13" s="76">
        <v>250781</v>
      </c>
      <c r="E13" s="74">
        <f>(D13/$D$12)</f>
        <v>0.23159412179190597</v>
      </c>
      <c r="F13" s="11">
        <v>9320.5412739861367</v>
      </c>
      <c r="G13" s="11">
        <v>0</v>
      </c>
      <c r="H13" s="71">
        <f>Table2[[#This Row],[Giá Mua TB]]+Table2[[#This Row],[Đơn Giá Thưởng]]</f>
        <v>9320.5412739861367</v>
      </c>
      <c r="I13" s="69">
        <v>10000</v>
      </c>
      <c r="J13" s="41">
        <f>Table2[[#This Row],[Tổng Giá Mua]]-Table2[[#This Row],[Giá TGĐ Duyệt]]</f>
        <v>-679.45872601386327</v>
      </c>
    </row>
    <row r="14" spans="1:16" s="9" customFormat="1" ht="19.75" customHeight="1" x14ac:dyDescent="0.35">
      <c r="A14" s="14">
        <v>2</v>
      </c>
      <c r="B14" s="13" t="s">
        <v>2</v>
      </c>
      <c r="C14" s="13" t="s">
        <v>4</v>
      </c>
      <c r="D14" s="76">
        <v>342040</v>
      </c>
      <c r="E14" s="74">
        <f>(D14/$D$12)</f>
        <v>0.31587103256508076</v>
      </c>
      <c r="F14" s="11">
        <v>9761.4072552714606</v>
      </c>
      <c r="G14" s="11">
        <v>0</v>
      </c>
      <c r="H14" s="71">
        <f>Table2[[#This Row],[Giá Mua TB]]+Table2[[#This Row],[Đơn Giá Thưởng]]</f>
        <v>9761.4072552714606</v>
      </c>
      <c r="I14" s="69">
        <v>10000</v>
      </c>
      <c r="J14" s="41">
        <f>Table2[[#This Row],[Tổng Giá Mua]]-Table2[[#This Row],[Giá TGĐ Duyệt]]</f>
        <v>-238.5927447285394</v>
      </c>
    </row>
    <row r="15" spans="1:16" s="9" customFormat="1" ht="18.7" customHeight="1" x14ac:dyDescent="0.35">
      <c r="A15" s="14">
        <v>3</v>
      </c>
      <c r="B15" s="13" t="s">
        <v>3</v>
      </c>
      <c r="C15" s="13" t="s">
        <v>4</v>
      </c>
      <c r="D15" s="76">
        <v>490026</v>
      </c>
      <c r="E15" s="74">
        <f>(D15/$D$12)</f>
        <v>0.45253484564301327</v>
      </c>
      <c r="F15" s="11">
        <v>9114.5127081208193</v>
      </c>
      <c r="G15" s="11">
        <v>0</v>
      </c>
      <c r="H15" s="71">
        <f>Table2[[#This Row],[Giá Mua TB]]+Table2[[#This Row],[Đơn Giá Thưởng]]</f>
        <v>9114.5127081208193</v>
      </c>
      <c r="I15" s="69">
        <v>10000</v>
      </c>
      <c r="J15" s="41">
        <f>Table2[[#This Row],[Tổng Giá Mua]]-Table2[[#This Row],[Giá TGĐ Duyệt]]</f>
        <v>-885.4872918791807</v>
      </c>
    </row>
    <row r="16" spans="1:16" s="9" customFormat="1" ht="25.75" customHeight="1" x14ac:dyDescent="0.35">
      <c r="A16" s="24" t="s">
        <v>42</v>
      </c>
      <c r="B16" s="25" t="s">
        <v>6</v>
      </c>
      <c r="C16" s="26"/>
      <c r="D16" s="77">
        <f>D12+D8</f>
        <v>1674373</v>
      </c>
      <c r="E16" s="75">
        <f>D16/$D$16</f>
        <v>1</v>
      </c>
      <c r="F16" s="27">
        <v>9473.57721658435</v>
      </c>
      <c r="G16" s="50">
        <f>O34/Table2[[#This Row],[Sản Lượng Đầu Vào]]</f>
        <v>177.63416514719242</v>
      </c>
      <c r="H16" s="72">
        <f>Table2[[#This Row],[Giá Mua TB]]+Table2[[#This Row],[Đơn Giá Thưởng]]</f>
        <v>9651.2113817315421</v>
      </c>
      <c r="I16" s="48">
        <v>10000</v>
      </c>
      <c r="J16" s="51">
        <f>Table2[[#This Row],[Tổng Giá Mua]]-Table2[[#This Row],[Giá TGĐ Duyệt]]</f>
        <v>-348.78861826845787</v>
      </c>
    </row>
    <row r="17" spans="1:15" s="9" customFormat="1" x14ac:dyDescent="0.35"/>
    <row r="19" spans="1:15" x14ac:dyDescent="0.35">
      <c r="A19" s="2" t="s">
        <v>29</v>
      </c>
    </row>
    <row r="20" spans="1:15" ht="46.3" x14ac:dyDescent="0.35">
      <c r="A20" s="15" t="s">
        <v>25</v>
      </c>
      <c r="B20" s="16" t="s">
        <v>0</v>
      </c>
      <c r="C20" s="16" t="s">
        <v>27</v>
      </c>
      <c r="D20" s="16" t="s">
        <v>28</v>
      </c>
      <c r="E20" s="16" t="s">
        <v>30</v>
      </c>
      <c r="F20" s="16" t="s">
        <v>31</v>
      </c>
      <c r="G20" s="16" t="s">
        <v>32</v>
      </c>
      <c r="H20" s="16" t="s">
        <v>33</v>
      </c>
      <c r="I20" s="16" t="s">
        <v>34</v>
      </c>
      <c r="J20" s="16" t="s">
        <v>35</v>
      </c>
      <c r="K20" s="16" t="s">
        <v>37</v>
      </c>
      <c r="L20" s="16" t="s">
        <v>36</v>
      </c>
      <c r="M20" s="16" t="s">
        <v>38</v>
      </c>
      <c r="N20" s="16" t="s">
        <v>39</v>
      </c>
      <c r="O20" s="17" t="s">
        <v>74</v>
      </c>
    </row>
    <row r="21" spans="1:15" x14ac:dyDescent="0.35">
      <c r="A21" s="5" t="s">
        <v>13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71</v>
      </c>
      <c r="H21" s="5" t="s">
        <v>20</v>
      </c>
      <c r="I21" s="5" t="s">
        <v>21</v>
      </c>
      <c r="J21" s="5" t="s">
        <v>26</v>
      </c>
      <c r="K21" s="5" t="s">
        <v>48</v>
      </c>
      <c r="L21" s="5" t="s">
        <v>72</v>
      </c>
      <c r="M21" s="5" t="s">
        <v>49</v>
      </c>
      <c r="N21" s="5" t="s">
        <v>50</v>
      </c>
      <c r="O21" s="5" t="s">
        <v>73</v>
      </c>
    </row>
    <row r="22" spans="1:15" s="8" customFormat="1" ht="17.8" x14ac:dyDescent="0.35">
      <c r="A22" s="39">
        <f>ROW()-23</f>
        <v>-1</v>
      </c>
      <c r="B22" s="29" t="s">
        <v>66</v>
      </c>
      <c r="C22" s="29" t="s">
        <v>54</v>
      </c>
      <c r="D22" s="29" t="s">
        <v>60</v>
      </c>
      <c r="E22" s="30">
        <v>30000</v>
      </c>
      <c r="F22" s="30">
        <v>16620</v>
      </c>
      <c r="G22" s="31">
        <f t="shared" ref="G22:G27" si="1">F22/E22</f>
        <v>0.55400000000000005</v>
      </c>
      <c r="H22" s="29">
        <v>150</v>
      </c>
      <c r="I22" s="30">
        <f>IF(F22&gt;=E22*95%,H22*F22,0)</f>
        <v>0</v>
      </c>
      <c r="J22" s="36">
        <f>Table1[[#This Row],[Sản Lượng]]</f>
        <v>16620</v>
      </c>
      <c r="K22" s="29">
        <v>500</v>
      </c>
      <c r="L22" s="30">
        <f t="shared" ref="L22:L27" si="2">K22*J22</f>
        <v>8310000</v>
      </c>
      <c r="M22" s="30">
        <v>0</v>
      </c>
      <c r="N22" s="30">
        <v>0</v>
      </c>
      <c r="O22" s="40">
        <f t="shared" ref="O22:O27" si="3">N22+M22+L22+I22</f>
        <v>8310000</v>
      </c>
    </row>
    <row r="23" spans="1:15" s="8" customFormat="1" ht="17.8" x14ac:dyDescent="0.35">
      <c r="A23" s="39">
        <f t="shared" ref="A23:A27" si="4">ROW()-23</f>
        <v>0</v>
      </c>
      <c r="B23" s="29" t="s">
        <v>66</v>
      </c>
      <c r="C23" s="29" t="s">
        <v>55</v>
      </c>
      <c r="D23" s="29" t="s">
        <v>61</v>
      </c>
      <c r="E23" s="30">
        <v>30000</v>
      </c>
      <c r="F23" s="30">
        <v>32518</v>
      </c>
      <c r="G23" s="31">
        <f t="shared" si="1"/>
        <v>1.0839333333333334</v>
      </c>
      <c r="H23" s="29">
        <v>150</v>
      </c>
      <c r="I23" s="30">
        <f t="shared" ref="I23:I27" si="5">IF(F23&gt;=E23*95%,H23*F23,0)</f>
        <v>4877700</v>
      </c>
      <c r="J23" s="36">
        <f>Table1[[#This Row],[Sản Lượng]]</f>
        <v>32518</v>
      </c>
      <c r="K23" s="29">
        <v>400</v>
      </c>
      <c r="L23" s="30">
        <f t="shared" si="2"/>
        <v>13007200</v>
      </c>
      <c r="M23" s="30">
        <v>0</v>
      </c>
      <c r="N23" s="30">
        <v>0</v>
      </c>
      <c r="O23" s="40">
        <f t="shared" si="3"/>
        <v>17884900</v>
      </c>
    </row>
    <row r="24" spans="1:15" s="8" customFormat="1" ht="17.8" x14ac:dyDescent="0.35">
      <c r="A24" s="39">
        <f t="shared" si="4"/>
        <v>1</v>
      </c>
      <c r="B24" s="29" t="s">
        <v>66</v>
      </c>
      <c r="C24" s="29" t="s">
        <v>56</v>
      </c>
      <c r="D24" s="29" t="s">
        <v>62</v>
      </c>
      <c r="E24" s="30">
        <v>50000</v>
      </c>
      <c r="F24" s="30">
        <v>36857</v>
      </c>
      <c r="G24" s="31">
        <f t="shared" si="1"/>
        <v>0.73714000000000002</v>
      </c>
      <c r="H24" s="29">
        <v>150</v>
      </c>
      <c r="I24" s="30">
        <f t="shared" si="5"/>
        <v>0</v>
      </c>
      <c r="J24" s="36">
        <f>Table1[[#This Row],[Sản Lượng]]</f>
        <v>36857</v>
      </c>
      <c r="K24" s="29">
        <v>400</v>
      </c>
      <c r="L24" s="30">
        <f t="shared" si="2"/>
        <v>14742800</v>
      </c>
      <c r="M24" s="30">
        <v>0</v>
      </c>
      <c r="N24" s="30">
        <v>0</v>
      </c>
      <c r="O24" s="40">
        <f t="shared" si="3"/>
        <v>14742800</v>
      </c>
    </row>
    <row r="25" spans="1:15" s="8" customFormat="1" ht="17.8" x14ac:dyDescent="0.35">
      <c r="A25" s="39">
        <f t="shared" si="4"/>
        <v>2</v>
      </c>
      <c r="B25" s="29" t="s">
        <v>66</v>
      </c>
      <c r="C25" s="29" t="s">
        <v>57</v>
      </c>
      <c r="D25" s="29" t="s">
        <v>63</v>
      </c>
      <c r="E25" s="30">
        <v>100000</v>
      </c>
      <c r="F25" s="30">
        <v>279767</v>
      </c>
      <c r="G25" s="31">
        <f t="shared" si="1"/>
        <v>2.7976700000000001</v>
      </c>
      <c r="H25" s="29">
        <v>150</v>
      </c>
      <c r="I25" s="30">
        <f t="shared" si="5"/>
        <v>41965050</v>
      </c>
      <c r="J25" s="36">
        <f>Table1[[#This Row],[Sản Lượng]]</f>
        <v>279767</v>
      </c>
      <c r="K25" s="29">
        <v>300</v>
      </c>
      <c r="L25" s="30">
        <f t="shared" si="2"/>
        <v>83930100</v>
      </c>
      <c r="M25" s="30">
        <v>0</v>
      </c>
      <c r="N25" s="30">
        <v>0</v>
      </c>
      <c r="O25" s="40">
        <f t="shared" si="3"/>
        <v>125895150</v>
      </c>
    </row>
    <row r="26" spans="1:15" s="8" customFormat="1" ht="17.8" x14ac:dyDescent="0.35">
      <c r="A26" s="39">
        <f t="shared" si="4"/>
        <v>3</v>
      </c>
      <c r="B26" s="29" t="s">
        <v>66</v>
      </c>
      <c r="C26" s="29" t="s">
        <v>58</v>
      </c>
      <c r="D26" s="29" t="s">
        <v>64</v>
      </c>
      <c r="E26" s="30">
        <v>30000</v>
      </c>
      <c r="F26" s="30">
        <v>31650</v>
      </c>
      <c r="G26" s="31">
        <f t="shared" si="1"/>
        <v>1.0549999999999999</v>
      </c>
      <c r="H26" s="29">
        <v>150</v>
      </c>
      <c r="I26" s="30">
        <f t="shared" si="5"/>
        <v>4747500</v>
      </c>
      <c r="J26" s="36">
        <f>Table1[[#This Row],[Sản Lượng]]</f>
        <v>31650</v>
      </c>
      <c r="K26" s="29">
        <v>400</v>
      </c>
      <c r="L26" s="30">
        <f t="shared" si="2"/>
        <v>12660000</v>
      </c>
      <c r="M26" s="30">
        <v>0</v>
      </c>
      <c r="N26" s="30">
        <v>0</v>
      </c>
      <c r="O26" s="40">
        <f t="shared" si="3"/>
        <v>17407500</v>
      </c>
    </row>
    <row r="27" spans="1:15" s="8" customFormat="1" ht="17.8" x14ac:dyDescent="0.35">
      <c r="A27" s="39">
        <f t="shared" si="4"/>
        <v>4</v>
      </c>
      <c r="B27" s="29" t="s">
        <v>66</v>
      </c>
      <c r="C27" s="33" t="s">
        <v>59</v>
      </c>
      <c r="D27" s="33" t="s">
        <v>65</v>
      </c>
      <c r="E27" s="34">
        <v>40000</v>
      </c>
      <c r="F27" s="34">
        <v>47680</v>
      </c>
      <c r="G27" s="35">
        <f t="shared" si="1"/>
        <v>1.1919999999999999</v>
      </c>
      <c r="H27" s="33">
        <v>150</v>
      </c>
      <c r="I27" s="34">
        <f t="shared" si="5"/>
        <v>7152000</v>
      </c>
      <c r="J27" s="38">
        <f>Table1[[#This Row],[Sản Lượng]]</f>
        <v>47680</v>
      </c>
      <c r="K27" s="33">
        <v>500</v>
      </c>
      <c r="L27" s="34">
        <f t="shared" si="2"/>
        <v>23840000</v>
      </c>
      <c r="M27" s="30">
        <v>0</v>
      </c>
      <c r="N27" s="30">
        <v>0</v>
      </c>
      <c r="O27" s="43">
        <f t="shared" si="3"/>
        <v>30992000</v>
      </c>
    </row>
    <row r="28" spans="1:15" s="8" customFormat="1" ht="17.8" x14ac:dyDescent="0.35">
      <c r="A28" s="60"/>
      <c r="B28" s="61"/>
      <c r="C28" s="61"/>
      <c r="D28" s="61"/>
      <c r="E28" s="62"/>
      <c r="F28" s="62"/>
      <c r="G28" s="63"/>
      <c r="H28" s="61"/>
      <c r="I28" s="62">
        <f>IF(F28&gt;=E28*95%,H28*F28,0)</f>
        <v>0</v>
      </c>
      <c r="J28" s="64">
        <f>Table1[[#This Row],[Sản Lượng]]</f>
        <v>0</v>
      </c>
      <c r="K28" s="61"/>
      <c r="L28" s="62">
        <f>K28*J28</f>
        <v>0</v>
      </c>
      <c r="M28" s="62"/>
      <c r="N28" s="62"/>
      <c r="O28" s="67">
        <f>SUM(O22:O27)</f>
        <v>215232350</v>
      </c>
    </row>
    <row r="29" spans="1:15" s="8" customFormat="1" ht="18.7" customHeight="1" x14ac:dyDescent="0.35">
      <c r="A29" s="39">
        <f>ROW()-21</f>
        <v>8</v>
      </c>
      <c r="B29" s="29" t="s">
        <v>45</v>
      </c>
      <c r="C29" s="29" t="s">
        <v>43</v>
      </c>
      <c r="D29" s="29" t="s">
        <v>46</v>
      </c>
      <c r="E29" s="30">
        <v>20000</v>
      </c>
      <c r="F29" s="30">
        <v>20579</v>
      </c>
      <c r="G29" s="31">
        <f>F29/E29</f>
        <v>1.02895</v>
      </c>
      <c r="H29" s="29">
        <v>150</v>
      </c>
      <c r="I29" s="32">
        <f>IF(F29&gt;=E29*95%,H29*F29,0)</f>
        <v>3086850</v>
      </c>
      <c r="J29" s="36">
        <v>20579</v>
      </c>
      <c r="K29" s="29">
        <v>400</v>
      </c>
      <c r="L29" s="37">
        <f>K29*J29</f>
        <v>8231600</v>
      </c>
      <c r="M29" s="30">
        <v>10000000</v>
      </c>
      <c r="N29" s="30">
        <v>5000000</v>
      </c>
      <c r="O29" s="30">
        <f>N29+M29+L29+I29</f>
        <v>26318450</v>
      </c>
    </row>
    <row r="30" spans="1:15" s="8" customFormat="1" ht="18.7" customHeight="1" x14ac:dyDescent="0.35">
      <c r="A30" s="39">
        <f>ROW()-21</f>
        <v>9</v>
      </c>
      <c r="B30" s="29" t="s">
        <v>45</v>
      </c>
      <c r="C30" s="29" t="s">
        <v>44</v>
      </c>
      <c r="D30" s="29" t="s">
        <v>47</v>
      </c>
      <c r="E30" s="30">
        <v>20000</v>
      </c>
      <c r="F30" s="30">
        <v>20287</v>
      </c>
      <c r="G30" s="31">
        <f>F30/E30</f>
        <v>1.0143500000000001</v>
      </c>
      <c r="H30" s="29">
        <v>150</v>
      </c>
      <c r="I30" s="32">
        <f>IF(F30&gt;=E30*95%,H30*F30,0)</f>
        <v>3043050</v>
      </c>
      <c r="J30" s="36">
        <v>6110</v>
      </c>
      <c r="K30" s="29">
        <v>400</v>
      </c>
      <c r="L30" s="37">
        <f t="shared" ref="L30" si="6">K30*J30</f>
        <v>2444000</v>
      </c>
      <c r="M30" s="30">
        <v>10000000</v>
      </c>
      <c r="N30" s="30">
        <v>5000000</v>
      </c>
      <c r="O30" s="30">
        <f>N30+M30+L30+I30</f>
        <v>20487050</v>
      </c>
    </row>
    <row r="31" spans="1:15" s="8" customFormat="1" ht="18.7" customHeight="1" x14ac:dyDescent="0.35">
      <c r="A31" s="53"/>
      <c r="B31" s="54"/>
      <c r="C31" s="54"/>
      <c r="D31" s="54"/>
      <c r="E31" s="55"/>
      <c r="F31" s="55"/>
      <c r="G31" s="56"/>
      <c r="H31" s="54"/>
      <c r="I31" s="57"/>
      <c r="J31" s="58"/>
      <c r="K31" s="54"/>
      <c r="L31" s="59"/>
      <c r="M31" s="55"/>
      <c r="N31" s="55"/>
      <c r="O31" s="65">
        <f>SUM(O29:O30)</f>
        <v>46805500</v>
      </c>
    </row>
    <row r="32" spans="1:15" s="8" customFormat="1" ht="17.8" x14ac:dyDescent="0.35">
      <c r="A32" s="39">
        <f>ROW()-22</f>
        <v>10</v>
      </c>
      <c r="B32" s="29" t="s">
        <v>3</v>
      </c>
      <c r="C32" s="29" t="s">
        <v>51</v>
      </c>
      <c r="D32" s="29" t="s">
        <v>52</v>
      </c>
      <c r="E32" s="30">
        <v>50000</v>
      </c>
      <c r="F32" s="30">
        <v>78640</v>
      </c>
      <c r="G32" s="31">
        <f>F32/E32</f>
        <v>1.5728</v>
      </c>
      <c r="H32" s="29">
        <v>150</v>
      </c>
      <c r="I32" s="30">
        <f>IF(F32&gt;=E32*95%,H32*F32,0)</f>
        <v>11796000</v>
      </c>
      <c r="J32" s="36">
        <f>Table1[[#This Row],[Sản Lượng]]</f>
        <v>78640</v>
      </c>
      <c r="K32" s="29">
        <v>300</v>
      </c>
      <c r="L32" s="30">
        <f>K32*J32</f>
        <v>23592000</v>
      </c>
      <c r="M32" s="30">
        <v>0</v>
      </c>
      <c r="N32" s="30">
        <v>0</v>
      </c>
      <c r="O32" s="40">
        <f>N32+M32+L32+I32</f>
        <v>35388000</v>
      </c>
    </row>
    <row r="33" spans="1:15" s="8" customFormat="1" ht="17.8" x14ac:dyDescent="0.35">
      <c r="A33" s="53"/>
      <c r="B33" s="54"/>
      <c r="C33" s="54"/>
      <c r="D33" s="54"/>
      <c r="E33" s="55"/>
      <c r="F33" s="55"/>
      <c r="G33" s="56"/>
      <c r="H33" s="54"/>
      <c r="I33" s="55">
        <f>IF(F33&gt;=E33*95%,H33*F33,0)</f>
        <v>0</v>
      </c>
      <c r="J33" s="58">
        <f>Table1[[#This Row],[Sản Lượng]]</f>
        <v>0</v>
      </c>
      <c r="K33" s="54"/>
      <c r="L33" s="55">
        <f>K33*J33</f>
        <v>0</v>
      </c>
      <c r="M33" s="55"/>
      <c r="N33" s="55"/>
      <c r="O33" s="66">
        <f>O32</f>
        <v>35388000</v>
      </c>
    </row>
    <row r="34" spans="1:15" s="2" customFormat="1" ht="17.8" x14ac:dyDescent="0.35">
      <c r="A34" s="44"/>
      <c r="B34" s="45"/>
      <c r="C34" s="45"/>
      <c r="D34" s="45"/>
      <c r="E34" s="46">
        <f>SUM(E29:E33)</f>
        <v>90000</v>
      </c>
      <c r="F34" s="46">
        <f>SUM(F29:F33)</f>
        <v>119506</v>
      </c>
      <c r="G34" s="47">
        <f>Table1[[#This Row],[Sản Lượng]]/Table1[[#This Row],[Chỉ Tiêu]]</f>
        <v>1.3278444444444444</v>
      </c>
      <c r="H34" s="45"/>
      <c r="I34" s="46">
        <f>SUM(I29:I33)</f>
        <v>17925900</v>
      </c>
      <c r="J34" s="46">
        <f>SUM(J29:J33)</f>
        <v>105329</v>
      </c>
      <c r="K34" s="45"/>
      <c r="L34" s="46">
        <f>SUM(L29:L33)</f>
        <v>34267600</v>
      </c>
      <c r="M34" s="46">
        <f>SUM(M29:M33)</f>
        <v>20000000</v>
      </c>
      <c r="N34" s="46">
        <f>SUM(N29:N33)</f>
        <v>10000000</v>
      </c>
      <c r="O34" s="67">
        <f>O28+O33+O31</f>
        <v>297425850</v>
      </c>
    </row>
    <row r="36" spans="1:15" x14ac:dyDescent="0.35">
      <c r="A36" s="2" t="s">
        <v>67</v>
      </c>
      <c r="B36" s="2"/>
      <c r="J36" s="4"/>
      <c r="K36" s="1"/>
    </row>
    <row r="37" spans="1:15" ht="21.65" customHeight="1" x14ac:dyDescent="0.35">
      <c r="A37" s="82" t="s">
        <v>25</v>
      </c>
      <c r="B37" s="82" t="s">
        <v>0</v>
      </c>
      <c r="C37" s="83" t="s">
        <v>68</v>
      </c>
      <c r="D37" s="82" t="s">
        <v>75</v>
      </c>
      <c r="E37" s="82" t="s">
        <v>76</v>
      </c>
    </row>
    <row r="38" spans="1:15" ht="21.65" customHeight="1" x14ac:dyDescent="0.35">
      <c r="A38" s="81">
        <v>1</v>
      </c>
      <c r="B38" s="13" t="s">
        <v>1</v>
      </c>
      <c r="C38" s="76">
        <v>513643</v>
      </c>
      <c r="D38" s="78">
        <f>O28</f>
        <v>215232350</v>
      </c>
      <c r="E38" s="52">
        <f>O28/C38</f>
        <v>419.03101959921582</v>
      </c>
    </row>
    <row r="39" spans="1:15" ht="21.65" customHeight="1" x14ac:dyDescent="0.35">
      <c r="A39" s="81">
        <v>2</v>
      </c>
      <c r="B39" s="13" t="s">
        <v>2</v>
      </c>
      <c r="C39" s="76">
        <v>321709</v>
      </c>
      <c r="D39" s="78">
        <f>O31</f>
        <v>46805500</v>
      </c>
      <c r="E39" s="52">
        <f>O31/C39</f>
        <v>145.49017901271026</v>
      </c>
    </row>
    <row r="40" spans="1:15" ht="21.65" customHeight="1" x14ac:dyDescent="0.35">
      <c r="A40" s="81">
        <v>3</v>
      </c>
      <c r="B40" s="13" t="s">
        <v>3</v>
      </c>
      <c r="C40" s="76">
        <v>464909.00000000006</v>
      </c>
      <c r="D40" s="78">
        <f>O33</f>
        <v>35388000</v>
      </c>
      <c r="E40" s="52">
        <f>O33/C40</f>
        <v>76.118122041087602</v>
      </c>
    </row>
    <row r="41" spans="1:15" ht="21.65" customHeight="1" x14ac:dyDescent="0.35">
      <c r="A41" s="84" t="s">
        <v>42</v>
      </c>
      <c r="B41" s="84" t="s">
        <v>6</v>
      </c>
      <c r="C41" s="85">
        <f>SUM(C38:C40)</f>
        <v>1300261</v>
      </c>
      <c r="D41" s="86">
        <f>SUM(D38:D40)</f>
        <v>297425850</v>
      </c>
      <c r="E41" s="87">
        <f>D41/C41</f>
        <v>228.74319079015675</v>
      </c>
    </row>
  </sheetData>
  <mergeCells count="2">
    <mergeCell ref="A1:B2"/>
    <mergeCell ref="C1:O2"/>
  </mergeCells>
  <pageMargins left="0.7" right="0.7" top="0.75" bottom="0.75" header="0.3" footer="0.3"/>
  <pageSetup scale="47" orientation="landscape" r:id="rId1"/>
  <ignoredErrors>
    <ignoredError sqref="I21:K21 J29:J30 L21:O21" calculatedColumn="1"/>
  </ignoredErrors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Oanh, Từ Thị Yến</dc:creator>
  <cp:lastModifiedBy>Vy, Trương Tường</cp:lastModifiedBy>
  <cp:lastPrinted>2026-03-16T03:01:12Z</cp:lastPrinted>
  <dcterms:created xsi:type="dcterms:W3CDTF">2026-03-10T13:45:27Z</dcterms:created>
  <dcterms:modified xsi:type="dcterms:W3CDTF">2026-03-16T04:47:55Z</dcterms:modified>
</cp:coreProperties>
</file>