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Báo CT _Model\"/>
    </mc:Choice>
  </mc:AlternateContent>
  <xr:revisionPtr revIDLastSave="0" documentId="13_ncr:1_{8A14F3D6-6336-407F-A3D9-E6CB6FA45B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s" sheetId="1" r:id="rId1"/>
    <sheet name="Audit" sheetId="2" r:id="rId2"/>
    <sheet name="C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B4" i="2"/>
  <c r="B2" i="2"/>
  <c r="B3" i="2" s="1"/>
  <c r="B5" i="2" s="1"/>
  <c r="B4" i="3" s="1"/>
  <c r="B5" i="3" s="1"/>
</calcChain>
</file>

<file path=xl/sharedStrings.xml><?xml version="1.0" encoding="utf-8"?>
<sst xmlns="http://schemas.openxmlformats.org/spreadsheetml/2006/main" count="25" uniqueCount="23">
  <si>
    <t>B0 price</t>
  </si>
  <si>
    <t>Sorting loss</t>
  </si>
  <si>
    <t>Flake yield</t>
  </si>
  <si>
    <t>Pellet yield</t>
  </si>
  <si>
    <t>Sorting cost</t>
  </si>
  <si>
    <t>Grinding</t>
  </si>
  <si>
    <t>Washing</t>
  </si>
  <si>
    <t>Pellet cost</t>
  </si>
  <si>
    <t>IV cost</t>
  </si>
  <si>
    <t>SG&amp;A</t>
  </si>
  <si>
    <t>Cap rate</t>
  </si>
  <si>
    <t>Cap price</t>
  </si>
  <si>
    <t>Target margin</t>
  </si>
  <si>
    <t>Metric</t>
  </si>
  <si>
    <t>Value</t>
  </si>
  <si>
    <t>Effective material cost</t>
  </si>
  <si>
    <t>Total cost input</t>
  </si>
  <si>
    <t>Total yield</t>
  </si>
  <si>
    <t>Pellet cost audit</t>
  </si>
  <si>
    <t>Cap value input</t>
  </si>
  <si>
    <t>Cap value per pellet</t>
  </si>
  <si>
    <t>Pellet cost CFO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</si>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</sst>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4" sqref="B4"/>
    </sheetView>
  </sheetViews>
  <sheetFormatPr defaultRowHeight="14.5" x14ac:dyDescent="0.35"/>
  <cols>
    <col min="1" max="1" width="13.7265625" customWidth="1"/>
    <col min="2" max="2" width="10.6328125" customWidth="1"/>
  </cols>
  <sheetData>
    <row r="1" spans="1:2" x14ac:dyDescent="0.35">
      <c r="A1" t="s">
        <v>0</v>
      </c>
      <c r="B1">
        <v>11300</v>
      </c>
    </row>
    <row r="2" spans="1:2" x14ac:dyDescent="0.35">
      <c r="A2" t="s">
        <v>1</v>
      </c>
      <c r="B2">
        <v>0.1</v>
      </c>
    </row>
    <row r="3" spans="1:2" x14ac:dyDescent="0.35">
      <c r="A3" t="s">
        <v>2</v>
      </c>
      <c r="B3">
        <v>0.72</v>
      </c>
    </row>
    <row r="4" spans="1:2" x14ac:dyDescent="0.35">
      <c r="A4" t="s">
        <v>3</v>
      </c>
      <c r="B4">
        <v>0.91400000000000003</v>
      </c>
    </row>
    <row r="5" spans="1:2" x14ac:dyDescent="0.35">
      <c r="A5" t="s">
        <v>4</v>
      </c>
      <c r="B5">
        <v>3000</v>
      </c>
    </row>
    <row r="6" spans="1:2" x14ac:dyDescent="0.35">
      <c r="A6" t="s">
        <v>5</v>
      </c>
      <c r="B6">
        <v>2000</v>
      </c>
    </row>
    <row r="7" spans="1:2" x14ac:dyDescent="0.35">
      <c r="A7" t="s">
        <v>6</v>
      </c>
      <c r="B7">
        <v>1500</v>
      </c>
    </row>
    <row r="8" spans="1:2" x14ac:dyDescent="0.35">
      <c r="A8" t="s">
        <v>7</v>
      </c>
      <c r="B8">
        <v>2800</v>
      </c>
    </row>
    <row r="9" spans="1:2" x14ac:dyDescent="0.35">
      <c r="A9" t="s">
        <v>8</v>
      </c>
      <c r="B9">
        <v>1400</v>
      </c>
    </row>
    <row r="10" spans="1:2" x14ac:dyDescent="0.35">
      <c r="A10" t="s">
        <v>9</v>
      </c>
      <c r="B10">
        <v>3700</v>
      </c>
    </row>
    <row r="11" spans="1:2" x14ac:dyDescent="0.35">
      <c r="A11" t="s">
        <v>10</v>
      </c>
      <c r="B11">
        <v>6.7000000000000004E-2</v>
      </c>
    </row>
    <row r="12" spans="1:2" x14ac:dyDescent="0.35">
      <c r="A12" t="s">
        <v>11</v>
      </c>
      <c r="B12">
        <v>8100</v>
      </c>
    </row>
    <row r="13" spans="1:2" x14ac:dyDescent="0.35">
      <c r="A13" t="s">
        <v>12</v>
      </c>
      <c r="B13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5" sqref="B5"/>
    </sheetView>
  </sheetViews>
  <sheetFormatPr defaultRowHeight="14.5" x14ac:dyDescent="0.35"/>
  <cols>
    <col min="1" max="1" width="20.54296875" customWidth="1"/>
    <col min="2" max="2" width="10.7265625" customWidth="1"/>
  </cols>
  <sheetData>
    <row r="1" spans="1:2" x14ac:dyDescent="0.35">
      <c r="A1" t="s">
        <v>13</v>
      </c>
      <c r="B1" t="s">
        <v>14</v>
      </c>
    </row>
    <row r="2" spans="1:2" x14ac:dyDescent="0.35">
      <c r="A2" t="s">
        <v>15</v>
      </c>
      <c r="B2">
        <f>Inputs!B1/(1-Inputs!B2)</f>
        <v>12555.555555555555</v>
      </c>
    </row>
    <row r="3" spans="1:2" x14ac:dyDescent="0.35">
      <c r="A3" t="s">
        <v>16</v>
      </c>
      <c r="B3">
        <f>B2+Inputs!B5+Inputs!B6+Inputs!B7+Inputs!B8+Inputs!B9+Inputs!B10</f>
        <v>26955.555555555555</v>
      </c>
    </row>
    <row r="4" spans="1:2" x14ac:dyDescent="0.35">
      <c r="A4" t="s">
        <v>17</v>
      </c>
      <c r="B4">
        <f>Inputs!B3*Inputs!B4</f>
        <v>0.65808</v>
      </c>
    </row>
    <row r="5" spans="1:2" x14ac:dyDescent="0.35">
      <c r="A5" t="s">
        <v>18</v>
      </c>
      <c r="B5">
        <f>B3/B4</f>
        <v>40960.909852230056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4" sqref="B4"/>
    </sheetView>
  </sheetViews>
  <sheetFormatPr defaultRowHeight="14.5" x14ac:dyDescent="0.35"/>
  <cols>
    <col min="1" max="1" width="17.453125" bestFit="1" customWidth="1"/>
    <col min="2" max="2" width="11.81640625" bestFit="1" customWidth="1"/>
  </cols>
  <sheetData>
    <row r="1" spans="1:2" x14ac:dyDescent="0.35">
      <c r="A1" t="s">
        <v>13</v>
      </c>
      <c r="B1" t="s">
        <v>14</v>
      </c>
    </row>
    <row r="2" spans="1:2" x14ac:dyDescent="0.35">
      <c r="A2" t="s">
        <v>19</v>
      </c>
      <c r="B2">
        <f>Inputs!B11*Inputs!B12</f>
        <v>542.70000000000005</v>
      </c>
    </row>
    <row r="3" spans="1:2" x14ac:dyDescent="0.35">
      <c r="A3" t="s">
        <v>20</v>
      </c>
      <c r="B3">
        <f>B2/Audit!B4</f>
        <v>824.67177242888408</v>
      </c>
    </row>
    <row r="4" spans="1:2" x14ac:dyDescent="0.35">
      <c r="A4" t="s">
        <v>21</v>
      </c>
      <c r="B4">
        <f>Audit!B5-B3</f>
        <v>40136.238079801173</v>
      </c>
    </row>
    <row r="5" spans="1:2" x14ac:dyDescent="0.35">
      <c r="A5" t="s">
        <v>22</v>
      </c>
      <c r="B5">
        <f>B4/(1-Inputs!B13)</f>
        <v>42248.671662948604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Audit</vt:lpstr>
      <vt:lpstr>CFO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Cư, Lê Hoành</cp:lastModifiedBy>
  <dcterms:created xsi:type="dcterms:W3CDTF">2026-04-25T04:38:29Z</dcterms:created>
  <dcterms:modified xsi:type="dcterms:W3CDTF">2026-04-25T15:12:53Z</dcterms:modified>
</cp:coreProperties>
</file>