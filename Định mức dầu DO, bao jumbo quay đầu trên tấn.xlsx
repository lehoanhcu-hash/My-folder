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luuthiminhtam_duytangroup_com/Documents/01. MINH TAM/03. DTR 15.01.2023/98. NỘI BỘ KTQT/05. KIỂM SOÁT THỰC HIỆN ĐỊNH MỨC/02. SẢN XUẤT - TRÚC/"/>
    </mc:Choice>
  </mc:AlternateContent>
  <xr:revisionPtr revIDLastSave="1460" documentId="13_ncr:1_{DC0F4FE7-2418-4187-848B-F095D8C7ABAB}" xr6:coauthVersionLast="47" xr6:coauthVersionMax="47" xr10:uidLastSave="{B4E10D08-EEAC-43F2-93E1-F7BB71F27FF8}"/>
  <bookViews>
    <workbookView xWindow="-120" yWindow="-120" windowWidth="29040" windowHeight="15720" xr2:uid="{32EBA654-DB1E-47FF-B14D-032C260898EA}"/>
  </bookViews>
  <sheets>
    <sheet name="Báo cáo" sheetId="1" r:id="rId1"/>
    <sheet name="01. MB51 - Data xuất 943" sheetId="5" r:id="rId2"/>
    <sheet name="02. Số tấn luân chuyển" sheetId="4" r:id="rId3"/>
    <sheet name="03. Chi tiết thực tế sử dụng" sheetId="6" r:id="rId4"/>
  </sheets>
  <definedNames>
    <definedName name="_xlnm._FilterDatabase" localSheetId="1" hidden="1">'01. MB51 - Data xuất 943'!$A$1:$V$121</definedName>
    <definedName name="_xlnm._FilterDatabase" localSheetId="2" hidden="1">'02. Số tấn luân chuyển'!$A$36:$AF$36</definedName>
    <definedName name="Application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TEST0">#REF!</definedName>
    <definedName name="TESTHKEY">#REF!</definedName>
    <definedName name="TESTKEYS">#REF!</definedName>
    <definedName name="TESTVKE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S17" i="1"/>
  <c r="Q17" i="1"/>
  <c r="P17" i="1"/>
  <c r="O17" i="1"/>
  <c r="N17" i="1"/>
  <c r="M17" i="1"/>
  <c r="L17" i="1"/>
  <c r="K17" i="1"/>
  <c r="J17" i="1"/>
  <c r="I17" i="1"/>
  <c r="H17" i="1"/>
  <c r="G17" i="1"/>
  <c r="S16" i="1"/>
  <c r="Q16" i="1"/>
  <c r="P16" i="1"/>
  <c r="O16" i="1"/>
  <c r="N16" i="1"/>
  <c r="M16" i="1"/>
  <c r="L16" i="1"/>
  <c r="K16" i="1"/>
  <c r="J16" i="1"/>
  <c r="I16" i="1"/>
  <c r="H16" i="1"/>
  <c r="G16" i="1"/>
  <c r="S14" i="1"/>
  <c r="Q14" i="1"/>
  <c r="P14" i="1"/>
  <c r="O14" i="1"/>
  <c r="N14" i="1"/>
  <c r="M14" i="1"/>
  <c r="L14" i="1"/>
  <c r="K14" i="1"/>
  <c r="J14" i="1"/>
  <c r="I14" i="1"/>
  <c r="H14" i="1"/>
  <c r="G14" i="1"/>
  <c r="G11" i="1"/>
  <c r="H11" i="1"/>
  <c r="I11" i="1"/>
  <c r="J11" i="1"/>
  <c r="K11" i="1"/>
  <c r="M11" i="1"/>
  <c r="N11" i="1"/>
  <c r="O11" i="1"/>
  <c r="P11" i="1"/>
  <c r="Q11" i="1"/>
  <c r="S11" i="1"/>
  <c r="G12" i="1"/>
  <c r="H12" i="1"/>
  <c r="I12" i="1"/>
  <c r="J12" i="1"/>
  <c r="K12" i="1"/>
  <c r="L12" i="1"/>
  <c r="M12" i="1"/>
  <c r="N12" i="1"/>
  <c r="O12" i="1"/>
  <c r="P12" i="1"/>
  <c r="Q12" i="1"/>
  <c r="S12" i="1"/>
  <c r="V121" i="5"/>
  <c r="V120" i="5"/>
  <c r="V119" i="5"/>
  <c r="V118" i="5"/>
  <c r="V117" i="5"/>
  <c r="V116" i="5"/>
  <c r="V115" i="5"/>
  <c r="V114" i="5"/>
  <c r="S20" i="4"/>
  <c r="S22" i="4" s="1"/>
  <c r="S19" i="4"/>
  <c r="S25" i="4" l="1"/>
  <c r="S16" i="4"/>
  <c r="S21" i="4"/>
  <c r="S26" i="4" s="1"/>
  <c r="S24" i="4"/>
  <c r="Q18" i="6"/>
  <c r="Q11" i="6"/>
  <c r="Q7" i="6"/>
  <c r="E5" i="6"/>
  <c r="V113" i="5"/>
  <c r="V112" i="5"/>
  <c r="V111" i="5"/>
  <c r="V110" i="5"/>
  <c r="F5" i="6" s="1"/>
  <c r="V109" i="5"/>
  <c r="V108" i="5"/>
  <c r="V107" i="5"/>
  <c r="V106" i="5"/>
  <c r="V105" i="5"/>
  <c r="V104" i="5"/>
  <c r="Q20" i="4"/>
  <c r="Q22" i="4" s="1"/>
  <c r="Q19" i="4"/>
  <c r="Q21" i="4" s="1"/>
  <c r="Q26" i="4" s="1"/>
  <c r="Q30" i="4" s="1"/>
  <c r="Q16" i="4"/>
  <c r="S28" i="4" l="1"/>
  <c r="AG4" i="4"/>
  <c r="S30" i="4"/>
  <c r="AG6" i="4"/>
  <c r="AG12" i="4" s="1"/>
  <c r="S29" i="4"/>
  <c r="AG5" i="4"/>
  <c r="AG11" i="4" s="1"/>
  <c r="Q24" i="4"/>
  <c r="Q28" i="4" s="1"/>
  <c r="Q25" i="4"/>
  <c r="Q29" i="4" s="1"/>
  <c r="AE4" i="4"/>
  <c r="AE6" i="4"/>
  <c r="AE12" i="4" s="1"/>
  <c r="R24" i="6"/>
  <c r="R25" i="6"/>
  <c r="R26" i="6"/>
  <c r="P32" i="6" l="1"/>
  <c r="P11" i="6"/>
  <c r="Q48" i="1" s="1"/>
  <c r="P33" i="6"/>
  <c r="P18" i="6"/>
  <c r="AG7" i="4"/>
  <c r="AG10" i="4"/>
  <c r="AE5" i="4"/>
  <c r="AE11" i="4" s="1"/>
  <c r="N32" i="6" s="1"/>
  <c r="N18" i="6"/>
  <c r="N33" i="6"/>
  <c r="AE10" i="4"/>
  <c r="K27" i="6"/>
  <c r="Q51" i="1" l="1"/>
  <c r="Q50" i="1"/>
  <c r="AG13" i="4"/>
  <c r="P31" i="6"/>
  <c r="P7" i="6"/>
  <c r="N11" i="6"/>
  <c r="AE7" i="4"/>
  <c r="AE13" i="4"/>
  <c r="N31" i="6"/>
  <c r="N7" i="6"/>
  <c r="Q31" i="6"/>
  <c r="Q32" i="6"/>
  <c r="Q33" i="6"/>
  <c r="H16" i="4"/>
  <c r="I16" i="4"/>
  <c r="J16" i="4"/>
  <c r="K16" i="4"/>
  <c r="L16" i="4"/>
  <c r="M16" i="4"/>
  <c r="N16" i="4"/>
  <c r="O16" i="4"/>
  <c r="P16" i="4"/>
  <c r="R16" i="4"/>
  <c r="J25" i="4"/>
  <c r="X5" i="4" s="1"/>
  <c r="K25" i="4"/>
  <c r="Y5" i="4" s="1"/>
  <c r="J26" i="4"/>
  <c r="X6" i="4" s="1"/>
  <c r="M20" i="4"/>
  <c r="M22" i="4" s="1"/>
  <c r="L20" i="4"/>
  <c r="L22" i="4" s="1"/>
  <c r="K20" i="4"/>
  <c r="K22" i="4" s="1"/>
  <c r="J20" i="4"/>
  <c r="J22" i="4" s="1"/>
  <c r="M19" i="4"/>
  <c r="M21" i="4" s="1"/>
  <c r="L19" i="4"/>
  <c r="L21" i="4" s="1"/>
  <c r="K19" i="4"/>
  <c r="K21" i="4" s="1"/>
  <c r="K26" i="4" s="1"/>
  <c r="Y6" i="4" s="1"/>
  <c r="J19" i="4"/>
  <c r="J21" i="4" s="1"/>
  <c r="H20" i="4"/>
  <c r="H25" i="4" s="1"/>
  <c r="V5" i="4" s="1"/>
  <c r="H19" i="4"/>
  <c r="H24" i="4" s="1"/>
  <c r="V4" i="4" s="1"/>
  <c r="Q46" i="1" l="1"/>
  <c r="Q45" i="1"/>
  <c r="M25" i="4"/>
  <c r="AA5" i="4" s="1"/>
  <c r="L25" i="4"/>
  <c r="Z5" i="4" s="1"/>
  <c r="L26" i="4"/>
  <c r="Z6" i="4" s="1"/>
  <c r="M26" i="4"/>
  <c r="AA6" i="4" s="1"/>
  <c r="K24" i="4"/>
  <c r="Y4" i="4" s="1"/>
  <c r="J24" i="4"/>
  <c r="X4" i="4" s="1"/>
  <c r="Q34" i="6"/>
  <c r="Y7" i="4"/>
  <c r="X7" i="4"/>
  <c r="M24" i="4"/>
  <c r="AA4" i="4" s="1"/>
  <c r="L24" i="4"/>
  <c r="Z4" i="4" s="1"/>
  <c r="P34" i="6"/>
  <c r="J29" i="4"/>
  <c r="M29" i="4"/>
  <c r="K29" i="4"/>
  <c r="H21" i="4"/>
  <c r="J28" i="4" l="1"/>
  <c r="K28" i="4"/>
  <c r="AA7" i="4"/>
  <c r="Z7" i="4"/>
  <c r="L29" i="4"/>
  <c r="L28" i="4"/>
  <c r="M28" i="4"/>
  <c r="G2" i="6"/>
  <c r="O27" i="6"/>
  <c r="N27" i="6"/>
  <c r="J27" i="6"/>
  <c r="I27" i="6"/>
  <c r="H27" i="6"/>
  <c r="G27" i="6"/>
  <c r="F27" i="6"/>
  <c r="V103" i="5"/>
  <c r="V102" i="5"/>
  <c r="V101" i="5"/>
  <c r="V100" i="5"/>
  <c r="V99" i="5"/>
  <c r="V98" i="5"/>
  <c r="V97" i="5"/>
  <c r="V96" i="5"/>
  <c r="V95" i="5"/>
  <c r="V94" i="5"/>
  <c r="V93" i="5"/>
  <c r="V92" i="5"/>
  <c r="V91" i="5"/>
  <c r="V90" i="5"/>
  <c r="V89" i="5"/>
  <c r="V88" i="5"/>
  <c r="V87" i="5"/>
  <c r="V86" i="5"/>
  <c r="V85" i="5"/>
  <c r="V84" i="5"/>
  <c r="V83" i="5"/>
  <c r="V82" i="5"/>
  <c r="V81" i="5"/>
  <c r="V80" i="5"/>
  <c r="V79" i="5"/>
  <c r="V78" i="5"/>
  <c r="V77" i="5"/>
  <c r="V76" i="5"/>
  <c r="V75" i="5"/>
  <c r="V74" i="5"/>
  <c r="V73" i="5"/>
  <c r="V72" i="5"/>
  <c r="V71" i="5"/>
  <c r="V70" i="5"/>
  <c r="V69" i="5"/>
  <c r="V68" i="5"/>
  <c r="V67" i="5"/>
  <c r="F14" i="6" s="1"/>
  <c r="V66" i="5"/>
  <c r="F13" i="6" s="1"/>
  <c r="V65" i="5"/>
  <c r="V64" i="5"/>
  <c r="V63" i="5"/>
  <c r="V62" i="5"/>
  <c r="V61" i="5"/>
  <c r="V60" i="5"/>
  <c r="V59" i="5"/>
  <c r="V58" i="5"/>
  <c r="V57" i="5"/>
  <c r="V56" i="5"/>
  <c r="F16" i="6" s="1"/>
  <c r="V55" i="5"/>
  <c r="V54" i="5"/>
  <c r="V53" i="5"/>
  <c r="V52" i="5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F4" i="6" l="1"/>
  <c r="E4" i="6"/>
  <c r="Q4" i="6"/>
  <c r="G13" i="6"/>
  <c r="H2" i="6"/>
  <c r="G4" i="6"/>
  <c r="G9" i="6"/>
  <c r="F6" i="6"/>
  <c r="F17" i="6"/>
  <c r="F9" i="6"/>
  <c r="G16" i="6"/>
  <c r="H6" i="6"/>
  <c r="H16" i="6"/>
  <c r="G6" i="6"/>
  <c r="G14" i="6"/>
  <c r="G17" i="6"/>
  <c r="H17" i="6"/>
  <c r="H4" i="6" l="1"/>
  <c r="H13" i="6"/>
  <c r="H9" i="6"/>
  <c r="H14" i="6"/>
  <c r="I2" i="6"/>
  <c r="I14" i="6"/>
  <c r="J2" i="6"/>
  <c r="J4" i="6" l="1"/>
  <c r="I16" i="6"/>
  <c r="I4" i="6"/>
  <c r="I13" i="6"/>
  <c r="I17" i="6"/>
  <c r="I6" i="6"/>
  <c r="I9" i="6"/>
  <c r="K2" i="6"/>
  <c r="J14" i="6"/>
  <c r="J13" i="6"/>
  <c r="J9" i="6"/>
  <c r="J17" i="6"/>
  <c r="J16" i="6"/>
  <c r="J6" i="6"/>
  <c r="K4" i="6" l="1"/>
  <c r="L2" i="6"/>
  <c r="K6" i="6"/>
  <c r="L4" i="6" l="1"/>
  <c r="M2" i="6"/>
  <c r="L6" i="6"/>
  <c r="M4" i="6" l="1"/>
  <c r="M14" i="6"/>
  <c r="N2" i="6"/>
  <c r="M6" i="6"/>
  <c r="N4" i="6" l="1"/>
  <c r="O46" i="1" s="1"/>
  <c r="N9" i="6"/>
  <c r="O48" i="1" s="1"/>
  <c r="N6" i="6"/>
  <c r="N16" i="6"/>
  <c r="O2" i="6"/>
  <c r="N14" i="6"/>
  <c r="N13" i="6"/>
  <c r="N17" i="6"/>
  <c r="O4" i="6" l="1"/>
  <c r="O17" i="6"/>
  <c r="O9" i="6"/>
  <c r="O16" i="6"/>
  <c r="O6" i="6"/>
  <c r="P2" i="6"/>
  <c r="O14" i="6"/>
  <c r="O13" i="6"/>
  <c r="P4" i="6" l="1"/>
  <c r="R4" i="6" s="1"/>
  <c r="P6" i="6"/>
  <c r="Q6" i="6" l="1"/>
  <c r="H22" i="4" l="1"/>
  <c r="H26" i="4" s="1"/>
  <c r="V6" i="4" s="1"/>
  <c r="V7" i="4" s="1"/>
  <c r="I20" i="4"/>
  <c r="N20" i="4"/>
  <c r="O20" i="4"/>
  <c r="P20" i="4"/>
  <c r="R20" i="4"/>
  <c r="I19" i="4"/>
  <c r="N19" i="4"/>
  <c r="O19" i="4"/>
  <c r="P19" i="4"/>
  <c r="R19" i="4"/>
  <c r="I21" i="4" l="1"/>
  <c r="I24" i="4"/>
  <c r="W4" i="4" s="1"/>
  <c r="I22" i="4"/>
  <c r="I25" i="4"/>
  <c r="W5" i="4" s="1"/>
  <c r="R22" i="4"/>
  <c r="R25" i="4"/>
  <c r="AF5" i="4" s="1"/>
  <c r="AF11" i="4" s="1"/>
  <c r="P22" i="4"/>
  <c r="P25" i="4"/>
  <c r="AD5" i="4" s="1"/>
  <c r="AD11" i="4" s="1"/>
  <c r="O22" i="4"/>
  <c r="O25" i="4"/>
  <c r="AC5" i="4" s="1"/>
  <c r="AC11" i="4" s="1"/>
  <c r="N22" i="4"/>
  <c r="N25" i="4"/>
  <c r="AB5" i="4" s="1"/>
  <c r="AB11" i="4" s="1"/>
  <c r="R21" i="4"/>
  <c r="R24" i="4"/>
  <c r="AF4" i="4" s="1"/>
  <c r="P21" i="4"/>
  <c r="P24" i="4"/>
  <c r="AD4" i="4" s="1"/>
  <c r="O21" i="4"/>
  <c r="O24" i="4"/>
  <c r="AC4" i="4" s="1"/>
  <c r="N21" i="4"/>
  <c r="N24" i="4"/>
  <c r="AB4" i="4" s="1"/>
  <c r="L30" i="4"/>
  <c r="K30" i="4"/>
  <c r="M30" i="4"/>
  <c r="J30" i="4"/>
  <c r="H28" i="4"/>
  <c r="H29" i="4"/>
  <c r="H30" i="4"/>
  <c r="P20" i="6"/>
  <c r="Q20" i="6"/>
  <c r="K32" i="6" l="1"/>
  <c r="K11" i="6"/>
  <c r="L32" i="6"/>
  <c r="L11" i="6"/>
  <c r="M32" i="6"/>
  <c r="M11" i="6"/>
  <c r="I26" i="4"/>
  <c r="W6" i="4" s="1"/>
  <c r="W7" i="4" s="1"/>
  <c r="O11" i="6"/>
  <c r="P48" i="1" s="1"/>
  <c r="O32" i="6"/>
  <c r="O39" i="6" s="1"/>
  <c r="P41" i="1" s="1"/>
  <c r="P7" i="1" s="1"/>
  <c r="R26" i="4"/>
  <c r="AF6" i="4" s="1"/>
  <c r="AF12" i="4" s="1"/>
  <c r="O26" i="4"/>
  <c r="AC6" i="4" s="1"/>
  <c r="AC12" i="4" s="1"/>
  <c r="N29" i="4"/>
  <c r="R29" i="4"/>
  <c r="I28" i="4"/>
  <c r="I29" i="4"/>
  <c r="N39" i="6"/>
  <c r="O41" i="1" s="1"/>
  <c r="O7" i="1" s="1"/>
  <c r="N26" i="4"/>
  <c r="AB6" i="4" s="1"/>
  <c r="AB12" i="4" s="1"/>
  <c r="P29" i="4"/>
  <c r="P26" i="4"/>
  <c r="AD6" i="4" s="1"/>
  <c r="O28" i="4"/>
  <c r="O29" i="4"/>
  <c r="AF10" i="4"/>
  <c r="R28" i="4"/>
  <c r="P28" i="4"/>
  <c r="AD10" i="4"/>
  <c r="O30" i="4"/>
  <c r="AC10" i="4"/>
  <c r="N28" i="4"/>
  <c r="AB10" i="4"/>
  <c r="R43" i="6"/>
  <c r="I30" i="4" l="1"/>
  <c r="L7" i="6"/>
  <c r="L31" i="6"/>
  <c r="M7" i="6"/>
  <c r="M31" i="6"/>
  <c r="L18" i="6"/>
  <c r="L33" i="6"/>
  <c r="L40" i="6" s="1"/>
  <c r="M42" i="1" s="1"/>
  <c r="M8" i="1" s="1"/>
  <c r="K18" i="6"/>
  <c r="K33" i="6"/>
  <c r="K40" i="6" s="1"/>
  <c r="L42" i="1" s="1"/>
  <c r="L8" i="1" s="1"/>
  <c r="K7" i="6"/>
  <c r="K31" i="6"/>
  <c r="O7" i="6"/>
  <c r="O31" i="6"/>
  <c r="O18" i="6"/>
  <c r="O33" i="6"/>
  <c r="O40" i="6" s="1"/>
  <c r="P42" i="1" s="1"/>
  <c r="P8" i="1" s="1"/>
  <c r="N40" i="6"/>
  <c r="O42" i="1" s="1"/>
  <c r="O8" i="1" s="1"/>
  <c r="R30" i="4"/>
  <c r="AF7" i="4"/>
  <c r="AC7" i="4"/>
  <c r="AB7" i="4"/>
  <c r="N30" i="4"/>
  <c r="M38" i="6"/>
  <c r="N40" i="1" s="1"/>
  <c r="N6" i="1" s="1"/>
  <c r="AF13" i="4"/>
  <c r="N20" i="6"/>
  <c r="AC13" i="4"/>
  <c r="AB13" i="4"/>
  <c r="AD12" i="4"/>
  <c r="AD13" i="4" s="1"/>
  <c r="AD7" i="4"/>
  <c r="P30" i="4"/>
  <c r="L27" i="6"/>
  <c r="M27" i="6"/>
  <c r="P27" i="6"/>
  <c r="P41" i="6" s="1"/>
  <c r="Q39" i="1" s="1"/>
  <c r="Q5" i="1" s="1"/>
  <c r="Q27" i="6"/>
  <c r="Q41" i="6" s="1"/>
  <c r="E27" i="6"/>
  <c r="K39" i="6"/>
  <c r="L41" i="1" s="1"/>
  <c r="L7" i="1" s="1"/>
  <c r="L39" i="6"/>
  <c r="M41" i="1" s="1"/>
  <c r="M7" i="1" s="1"/>
  <c r="M39" i="6"/>
  <c r="N41" i="1" s="1"/>
  <c r="N7" i="1" s="1"/>
  <c r="P39" i="6"/>
  <c r="Q41" i="1" s="1"/>
  <c r="Q7" i="1" s="1"/>
  <c r="Q39" i="6"/>
  <c r="P40" i="6"/>
  <c r="Q42" i="1" s="1"/>
  <c r="Q8" i="1" s="1"/>
  <c r="Q40" i="6"/>
  <c r="P38" i="6"/>
  <c r="Q40" i="1" s="1"/>
  <c r="Q6" i="1" s="1"/>
  <c r="Q38" i="6"/>
  <c r="Q16" i="6"/>
  <c r="E13" i="6"/>
  <c r="L14" i="6"/>
  <c r="E16" i="6"/>
  <c r="V2" i="5"/>
  <c r="V3" i="5"/>
  <c r="Q8" i="6" s="1"/>
  <c r="V4" i="5"/>
  <c r="V5" i="5"/>
  <c r="V6" i="5"/>
  <c r="V7" i="5"/>
  <c r="V8" i="5"/>
  <c r="V9" i="5"/>
  <c r="V10" i="5"/>
  <c r="V11" i="5"/>
  <c r="V12" i="5"/>
  <c r="V13" i="5"/>
  <c r="V14" i="5"/>
  <c r="V11" i="4"/>
  <c r="W11" i="4"/>
  <c r="X11" i="4"/>
  <c r="Y11" i="4"/>
  <c r="Z11" i="4"/>
  <c r="AA11" i="4"/>
  <c r="V12" i="4"/>
  <c r="W12" i="4"/>
  <c r="X12" i="4"/>
  <c r="Y12" i="4"/>
  <c r="Z12" i="4"/>
  <c r="AA12" i="4"/>
  <c r="W10" i="4"/>
  <c r="X10" i="4"/>
  <c r="Y10" i="4"/>
  <c r="Z10" i="4"/>
  <c r="AA10" i="4"/>
  <c r="V10" i="4"/>
  <c r="M12" i="6" l="1"/>
  <c r="Q3" i="6"/>
  <c r="F3" i="6"/>
  <c r="E3" i="6"/>
  <c r="G3" i="6"/>
  <c r="H3" i="6"/>
  <c r="J3" i="6"/>
  <c r="I3" i="6"/>
  <c r="K3" i="6"/>
  <c r="L45" i="1" s="1"/>
  <c r="L3" i="6"/>
  <c r="M45" i="1" s="1"/>
  <c r="M3" i="6"/>
  <c r="N45" i="1" s="1"/>
  <c r="N3" i="6"/>
  <c r="O45" i="1" s="1"/>
  <c r="O3" i="6"/>
  <c r="P45" i="1" s="1"/>
  <c r="P3" i="6"/>
  <c r="L34" i="6"/>
  <c r="L41" i="6" s="1"/>
  <c r="M39" i="1" s="1"/>
  <c r="M5" i="1" s="1"/>
  <c r="G32" i="6"/>
  <c r="G11" i="6"/>
  <c r="H48" i="1" s="1"/>
  <c r="I31" i="6"/>
  <c r="I7" i="6"/>
  <c r="H31" i="6"/>
  <c r="H7" i="6"/>
  <c r="G31" i="6"/>
  <c r="G38" i="6" s="1"/>
  <c r="H40" i="1" s="1"/>
  <c r="H6" i="1" s="1"/>
  <c r="G7" i="6"/>
  <c r="L46" i="1"/>
  <c r="G18" i="6"/>
  <c r="G33" i="6"/>
  <c r="M18" i="6"/>
  <c r="M20" i="6" s="1"/>
  <c r="M33" i="6"/>
  <c r="J31" i="6"/>
  <c r="J7" i="6"/>
  <c r="F32" i="6"/>
  <c r="F11" i="6"/>
  <c r="G48" i="1" s="1"/>
  <c r="F31" i="6"/>
  <c r="F7" i="6"/>
  <c r="J18" i="6"/>
  <c r="J33" i="6"/>
  <c r="I18" i="6"/>
  <c r="I33" i="6"/>
  <c r="I40" i="6" s="1"/>
  <c r="J42" i="1" s="1"/>
  <c r="J8" i="1" s="1"/>
  <c r="H18" i="6"/>
  <c r="H33" i="6"/>
  <c r="H40" i="6" s="1"/>
  <c r="I42" i="1" s="1"/>
  <c r="I8" i="1" s="1"/>
  <c r="F18" i="6"/>
  <c r="F33" i="6"/>
  <c r="J32" i="6"/>
  <c r="J39" i="6" s="1"/>
  <c r="K41" i="1" s="1"/>
  <c r="K7" i="1" s="1"/>
  <c r="J11" i="6"/>
  <c r="K48" i="1" s="1"/>
  <c r="N46" i="1"/>
  <c r="I32" i="6"/>
  <c r="I39" i="6" s="1"/>
  <c r="J41" i="1" s="1"/>
  <c r="J7" i="1" s="1"/>
  <c r="I11" i="6"/>
  <c r="J48" i="1" s="1"/>
  <c r="H11" i="6"/>
  <c r="I48" i="1" s="1"/>
  <c r="H32" i="6"/>
  <c r="H39" i="6" s="1"/>
  <c r="I41" i="1" s="1"/>
  <c r="I7" i="1" s="1"/>
  <c r="M46" i="1"/>
  <c r="O34" i="6"/>
  <c r="O41" i="6" s="1"/>
  <c r="P39" i="1" s="1"/>
  <c r="P5" i="1" s="1"/>
  <c r="O38" i="6"/>
  <c r="P40" i="1" s="1"/>
  <c r="P6" i="1" s="1"/>
  <c r="P46" i="1"/>
  <c r="O20" i="6"/>
  <c r="R27" i="6"/>
  <c r="L20" i="6"/>
  <c r="L38" i="6"/>
  <c r="M40" i="1" s="1"/>
  <c r="M6" i="1" s="1"/>
  <c r="G40" i="6"/>
  <c r="H42" i="1" s="1"/>
  <c r="H8" i="1" s="1"/>
  <c r="J40" i="6"/>
  <c r="K42" i="1" s="1"/>
  <c r="K8" i="1" s="1"/>
  <c r="E18" i="6"/>
  <c r="E33" i="6"/>
  <c r="E40" i="6" s="1"/>
  <c r="K20" i="6"/>
  <c r="K34" i="6"/>
  <c r="K41" i="6" s="1"/>
  <c r="L39" i="1" s="1"/>
  <c r="L5" i="1" s="1"/>
  <c r="E7" i="6"/>
  <c r="E31" i="6"/>
  <c r="K38" i="6"/>
  <c r="L40" i="1" s="1"/>
  <c r="L6" i="1" s="1"/>
  <c r="M40" i="6"/>
  <c r="N42" i="1" s="1"/>
  <c r="N8" i="1" s="1"/>
  <c r="E32" i="6"/>
  <c r="E39" i="6" s="1"/>
  <c r="E11" i="6"/>
  <c r="N34" i="6"/>
  <c r="N41" i="6" s="1"/>
  <c r="O39" i="1" s="1"/>
  <c r="O5" i="1" s="1"/>
  <c r="N38" i="6"/>
  <c r="O40" i="1" s="1"/>
  <c r="O6" i="1" s="1"/>
  <c r="AA13" i="4"/>
  <c r="I12" i="6"/>
  <c r="H12" i="6"/>
  <c r="F12" i="6"/>
  <c r="J12" i="6"/>
  <c r="G12" i="6"/>
  <c r="N12" i="6"/>
  <c r="O50" i="1" s="1"/>
  <c r="O12" i="6"/>
  <c r="P50" i="1" s="1"/>
  <c r="F10" i="6"/>
  <c r="J10" i="6"/>
  <c r="I10" i="6"/>
  <c r="G10" i="6"/>
  <c r="H10" i="6"/>
  <c r="N10" i="6"/>
  <c r="O10" i="6"/>
  <c r="E8" i="6"/>
  <c r="J8" i="6"/>
  <c r="I8" i="6"/>
  <c r="F8" i="6"/>
  <c r="G8" i="6"/>
  <c r="H8" i="6"/>
  <c r="N8" i="6"/>
  <c r="O8" i="6"/>
  <c r="I15" i="6"/>
  <c r="G15" i="6"/>
  <c r="H15" i="6"/>
  <c r="F15" i="6"/>
  <c r="J15" i="6"/>
  <c r="N15" i="6"/>
  <c r="O51" i="1" s="1"/>
  <c r="O15" i="6"/>
  <c r="P51" i="1" s="1"/>
  <c r="L5" i="6"/>
  <c r="I5" i="6"/>
  <c r="G5" i="6"/>
  <c r="J5" i="6"/>
  <c r="K5" i="6"/>
  <c r="H5" i="6"/>
  <c r="M5" i="6"/>
  <c r="N5" i="6"/>
  <c r="O5" i="6"/>
  <c r="P5" i="6"/>
  <c r="Q5" i="6"/>
  <c r="K14" i="6"/>
  <c r="E17" i="6"/>
  <c r="Z13" i="4"/>
  <c r="V13" i="4"/>
  <c r="W13" i="4"/>
  <c r="Y13" i="4"/>
  <c r="X13" i="4"/>
  <c r="P16" i="6"/>
  <c r="E14" i="6"/>
  <c r="P8" i="6"/>
  <c r="E9" i="6"/>
  <c r="Q17" i="6"/>
  <c r="M16" i="6"/>
  <c r="Q13" i="6"/>
  <c r="M8" i="6"/>
  <c r="P17" i="6"/>
  <c r="L16" i="6"/>
  <c r="P13" i="6"/>
  <c r="L8" i="6"/>
  <c r="M17" i="6"/>
  <c r="K16" i="6"/>
  <c r="Q14" i="6"/>
  <c r="M13" i="6"/>
  <c r="K8" i="6"/>
  <c r="L17" i="6"/>
  <c r="P14" i="6"/>
  <c r="L13" i="6"/>
  <c r="K17" i="6"/>
  <c r="K13" i="6"/>
  <c r="Q15" i="6"/>
  <c r="L12" i="6"/>
  <c r="M50" i="1" s="1"/>
  <c r="E6" i="6"/>
  <c r="M10" i="6"/>
  <c r="K9" i="6"/>
  <c r="L48" i="1" s="1"/>
  <c r="Q12" i="6"/>
  <c r="Q9" i="6"/>
  <c r="L15" i="6"/>
  <c r="M51" i="1" s="1"/>
  <c r="M15" i="6"/>
  <c r="P10" i="6"/>
  <c r="E12" i="6"/>
  <c r="E15" i="6"/>
  <c r="Q10" i="6"/>
  <c r="K12" i="6"/>
  <c r="L50" i="1" s="1"/>
  <c r="K15" i="6"/>
  <c r="L51" i="1" s="1"/>
  <c r="L9" i="6"/>
  <c r="M48" i="1" s="1"/>
  <c r="E10" i="6"/>
  <c r="P12" i="6"/>
  <c r="P15" i="6"/>
  <c r="M9" i="6"/>
  <c r="N48" i="1" s="1"/>
  <c r="K10" i="6"/>
  <c r="P9" i="6"/>
  <c r="L10" i="6"/>
  <c r="R3" i="6" l="1"/>
  <c r="N19" i="6"/>
  <c r="M19" i="6"/>
  <c r="M21" i="6" s="1"/>
  <c r="N43" i="1" s="1"/>
  <c r="N9" i="1" s="1"/>
  <c r="H19" i="6"/>
  <c r="O19" i="6"/>
  <c r="O21" i="6" s="1"/>
  <c r="P43" i="1" s="1"/>
  <c r="P9" i="1" s="1"/>
  <c r="K19" i="6"/>
  <c r="Q19" i="6"/>
  <c r="P19" i="6"/>
  <c r="P21" i="6" s="1"/>
  <c r="Q43" i="1" s="1"/>
  <c r="Q9" i="1" s="1"/>
  <c r="J19" i="6"/>
  <c r="G19" i="6"/>
  <c r="F19" i="6"/>
  <c r="I19" i="6"/>
  <c r="E19" i="6"/>
  <c r="L19" i="6"/>
  <c r="L21" i="6" s="1"/>
  <c r="M43" i="1" s="1"/>
  <c r="M9" i="1" s="1"/>
  <c r="S48" i="1"/>
  <c r="I46" i="1"/>
  <c r="I45" i="1"/>
  <c r="K45" i="1"/>
  <c r="K46" i="1"/>
  <c r="J45" i="1"/>
  <c r="J46" i="1"/>
  <c r="G51" i="1"/>
  <c r="G50" i="1"/>
  <c r="I50" i="1"/>
  <c r="I51" i="1"/>
  <c r="J50" i="1"/>
  <c r="J51" i="1"/>
  <c r="H51" i="1"/>
  <c r="H50" i="1"/>
  <c r="K50" i="1"/>
  <c r="K51" i="1"/>
  <c r="G46" i="1"/>
  <c r="G45" i="1"/>
  <c r="H46" i="1"/>
  <c r="H45" i="1"/>
  <c r="N50" i="1"/>
  <c r="N51" i="1"/>
  <c r="M34" i="6"/>
  <c r="M41" i="6" s="1"/>
  <c r="N39" i="1" s="1"/>
  <c r="N5" i="1" s="1"/>
  <c r="E34" i="6"/>
  <c r="E41" i="6" s="1"/>
  <c r="E38" i="6"/>
  <c r="R7" i="6"/>
  <c r="E20" i="6"/>
  <c r="F20" i="6"/>
  <c r="R11" i="6"/>
  <c r="R33" i="6"/>
  <c r="R40" i="6" s="1"/>
  <c r="F40" i="6"/>
  <c r="G42" i="1" s="1"/>
  <c r="G8" i="1" s="1"/>
  <c r="I20" i="6"/>
  <c r="I34" i="6"/>
  <c r="I41" i="6" s="1"/>
  <c r="J39" i="1" s="1"/>
  <c r="J5" i="1" s="1"/>
  <c r="I38" i="6"/>
  <c r="J40" i="1" s="1"/>
  <c r="J6" i="1" s="1"/>
  <c r="F34" i="6"/>
  <c r="R31" i="6"/>
  <c r="R38" i="6" s="1"/>
  <c r="F38" i="6"/>
  <c r="G40" i="1" s="1"/>
  <c r="G6" i="1" s="1"/>
  <c r="G34" i="6"/>
  <c r="G41" i="6" s="1"/>
  <c r="H39" i="1" s="1"/>
  <c r="H5" i="1" s="1"/>
  <c r="G39" i="6"/>
  <c r="H41" i="1" s="1"/>
  <c r="H7" i="1" s="1"/>
  <c r="G20" i="6"/>
  <c r="J20" i="6"/>
  <c r="J34" i="6"/>
  <c r="J41" i="6" s="1"/>
  <c r="K39" i="1" s="1"/>
  <c r="K5" i="1" s="1"/>
  <c r="J38" i="6"/>
  <c r="K40" i="1" s="1"/>
  <c r="K6" i="1" s="1"/>
  <c r="R18" i="6"/>
  <c r="H20" i="6"/>
  <c r="R32" i="6"/>
  <c r="R39" i="6" s="1"/>
  <c r="F39" i="6"/>
  <c r="G41" i="1" s="1"/>
  <c r="G7" i="1" s="1"/>
  <c r="H34" i="6"/>
  <c r="H41" i="6" s="1"/>
  <c r="I39" i="1" s="1"/>
  <c r="I5" i="1" s="1"/>
  <c r="H38" i="6"/>
  <c r="I40" i="1" s="1"/>
  <c r="I6" i="1" s="1"/>
  <c r="N21" i="6"/>
  <c r="O43" i="1" s="1"/>
  <c r="O9" i="1" s="1"/>
  <c r="R8" i="6"/>
  <c r="R13" i="6"/>
  <c r="R16" i="6"/>
  <c r="R17" i="6"/>
  <c r="R6" i="6"/>
  <c r="R14" i="6"/>
  <c r="Q21" i="6"/>
  <c r="R10" i="6"/>
  <c r="R15" i="6"/>
  <c r="R5" i="6"/>
  <c r="R12" i="6"/>
  <c r="K21" i="6"/>
  <c r="L43" i="1" s="1"/>
  <c r="L9" i="1" s="1"/>
  <c r="R9" i="6"/>
  <c r="J21" i="6" l="1"/>
  <c r="K43" i="1" s="1"/>
  <c r="K9" i="1" s="1"/>
  <c r="S45" i="1"/>
  <c r="S46" i="1"/>
  <c r="S51" i="1"/>
  <c r="S50" i="1"/>
  <c r="S41" i="1"/>
  <c r="S7" i="1" s="1"/>
  <c r="S42" i="1"/>
  <c r="S8" i="1" s="1"/>
  <c r="S40" i="1"/>
  <c r="S6" i="1" s="1"/>
  <c r="S3" i="6"/>
  <c r="S4" i="6"/>
  <c r="S16" i="6"/>
  <c r="S13" i="6"/>
  <c r="H21" i="6"/>
  <c r="I43" i="1" s="1"/>
  <c r="I9" i="1" s="1"/>
  <c r="S8" i="6"/>
  <c r="S12" i="6"/>
  <c r="S15" i="6"/>
  <c r="S14" i="6"/>
  <c r="S17" i="6"/>
  <c r="R20" i="6"/>
  <c r="F21" i="6"/>
  <c r="G43" i="1" s="1"/>
  <c r="G9" i="1" s="1"/>
  <c r="S10" i="6"/>
  <c r="I21" i="6"/>
  <c r="J43" i="1" s="1"/>
  <c r="J9" i="1" s="1"/>
  <c r="G21" i="6"/>
  <c r="H43" i="1" s="1"/>
  <c r="H9" i="1" s="1"/>
  <c r="R34" i="6"/>
  <c r="F41" i="6"/>
  <c r="G39" i="1" s="1"/>
  <c r="G5" i="1" s="1"/>
  <c r="S6" i="6"/>
  <c r="E21" i="6"/>
  <c r="S9" i="6"/>
  <c r="T7" i="6"/>
  <c r="U7" i="6" s="1"/>
  <c r="R19" i="6"/>
  <c r="S5" i="6"/>
  <c r="S39" i="1" l="1"/>
  <c r="S5" i="1" s="1"/>
  <c r="S43" i="1"/>
  <c r="S9" i="1" s="1"/>
  <c r="T9" i="6"/>
  <c r="R21" i="6"/>
  <c r="S43" i="6"/>
  <c r="R4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tc={2DDC0D69-C8C8-4963-BF7D-A84759804F40}</author>
    <author>tc={07246D03-9746-469E-BAD7-8F0DDA6B64F8}</author>
    <author>tc={7D1CA276-8598-47F1-8CAB-4F74B7F9C413}</author>
    <author>tc={484078B9-A9F8-4F85-A90A-CAD422B24745}</author>
    <author>tc={BAF7C10E-7AF3-462B-B889-C58FFFE8B6F0}</author>
  </authors>
  <commentList>
    <comment ref="D11" authorId="0" shapeId="0" xr:uid="{2DDC0D69-C8C8-4963-BF7D-A84759804F40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Đựng vảy sạch</t>
      </text>
    </comment>
    <comment ref="D12" authorId="1" shapeId="0" xr:uid="{07246D03-9746-469E-BAD7-8F0DDA6B64F8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Đựng vảy thô</t>
      </text>
    </comment>
    <comment ref="D14" authorId="2" shapeId="0" xr:uid="{7D1CA276-8598-47F1-8CAB-4F74B7F9C413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Đựng vảy BTP</t>
      </text>
    </comment>
    <comment ref="D16" authorId="3" shapeId="0" xr:uid="{484078B9-A9F8-4F85-A90A-CAD422B24745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Đựng TP thay bao hàng tồn kho</t>
      </text>
    </comment>
    <comment ref="D17" authorId="4" shapeId="0" xr:uid="{BAF7C10E-7AF3-462B-B889-C58FFFE8B6F0}">
      <text>
        <t>[Threaded comment]
Your version of Excel allows you to read this threaded comment; however, any edits to it will get removed if the file is opened in a newer version of Excel. Learn more: https://go.microsoft.com/fwlink/?linkid=870924
Comment:
    Xuất trả NCC</t>
      </text>
    </comment>
  </commentList>
</comments>
</file>

<file path=xl/sharedStrings.xml><?xml version="1.0" encoding="utf-8"?>
<sst xmlns="http://schemas.openxmlformats.org/spreadsheetml/2006/main" count="2215" uniqueCount="410">
  <si>
    <t>STT</t>
  </si>
  <si>
    <t>Định nghĩa /
 Công thức</t>
  </si>
  <si>
    <t>Đơn vị tính</t>
  </si>
  <si>
    <t>Ghi chú</t>
  </si>
  <si>
    <t>Mã SAP</t>
  </si>
  <si>
    <t>Tên vật tư /Nội dung</t>
  </si>
  <si>
    <t>Số bao/tấn luân chuyển</t>
  </si>
  <si>
    <t>140005072</t>
  </si>
  <si>
    <t>Bao Jumbo 950x950x1300mm Đai Trắng rPET</t>
  </si>
  <si>
    <t>140006125</t>
  </si>
  <si>
    <t>Bao Jumbo 950x950x1300mm Đai Xanh Xơ Sợi</t>
  </si>
  <si>
    <t>140006120</t>
  </si>
  <si>
    <t>Bao jumbo cũ</t>
  </si>
  <si>
    <t>140006075</t>
  </si>
  <si>
    <t>Bao Jumbo nâu đai trắng (AW3)</t>
  </si>
  <si>
    <t>140006128</t>
  </si>
  <si>
    <t>Bao Jumbo nâu đai dương nhạt (HD BLOW)</t>
  </si>
  <si>
    <t>140006089</t>
  </si>
  <si>
    <t>Bao Jumbo nâu đai nâu (AW3)</t>
  </si>
  <si>
    <t>140005935</t>
  </si>
  <si>
    <t>Bao jumbo 950x950x1300 AW2</t>
  </si>
  <si>
    <t>Bao jumbo</t>
  </si>
  <si>
    <t>Phân loại</t>
  </si>
  <si>
    <t>Đầu mã</t>
  </si>
  <si>
    <t>Mvt</t>
  </si>
  <si>
    <t>Loại giao dịch</t>
  </si>
  <si>
    <t>Hệ số</t>
  </si>
  <si>
    <t>Nhóm</t>
  </si>
  <si>
    <t>Nguyên liệu</t>
  </si>
  <si>
    <t>Nhập Nguyên liệu</t>
  </si>
  <si>
    <t>Kho</t>
  </si>
  <si>
    <t>PET</t>
  </si>
  <si>
    <t>Xuất nguyên liệu sản xuất</t>
  </si>
  <si>
    <t>HDPP</t>
  </si>
  <si>
    <t>KHO</t>
  </si>
  <si>
    <t>BTP</t>
  </si>
  <si>
    <t>101,102,531,532</t>
  </si>
  <si>
    <t>Xưởng chuyển BTP về kho</t>
  </si>
  <si>
    <t>Tổng cộng</t>
  </si>
  <si>
    <t>Kho chuyển BTP qua xưởng</t>
  </si>
  <si>
    <t>Kho xuất bán hàng</t>
  </si>
  <si>
    <t>TP</t>
  </si>
  <si>
    <t>Xưởng chuyển về kho</t>
  </si>
  <si>
    <t>Kho chuyển qua xưởng</t>
  </si>
  <si>
    <t>Bộ phận</t>
  </si>
  <si>
    <t>Material</t>
  </si>
  <si>
    <t>Material Description</t>
  </si>
  <si>
    <t>Storage Location</t>
  </si>
  <si>
    <t>Movement Type</t>
  </si>
  <si>
    <t>Material Document</t>
  </si>
  <si>
    <t>Material Doc.Item</t>
  </si>
  <si>
    <t>Order</t>
  </si>
  <si>
    <t>Qty in Un. of Entry</t>
  </si>
  <si>
    <t>Unit of Entry</t>
  </si>
  <si>
    <t>Quantity</t>
  </si>
  <si>
    <t>Base Unit of Measure</t>
  </si>
  <si>
    <t>User name</t>
  </si>
  <si>
    <t>Reference</t>
  </si>
  <si>
    <t>Time of Entry</t>
  </si>
  <si>
    <t>Document Header Text</t>
  </si>
  <si>
    <t>Posting Date</t>
  </si>
  <si>
    <t>Entry Date</t>
  </si>
  <si>
    <t>Batch</t>
  </si>
  <si>
    <t>Amount in LC</t>
  </si>
  <si>
    <t>Reservation</t>
  </si>
  <si>
    <t>1102</t>
  </si>
  <si>
    <t>943</t>
  </si>
  <si>
    <t>4907882163</t>
  </si>
  <si>
    <t>1</t>
  </si>
  <si>
    <t/>
  </si>
  <si>
    <t>EA</t>
  </si>
  <si>
    <t>GIAU.TN</t>
  </si>
  <si>
    <t>PET 30/05</t>
  </si>
  <si>
    <t>1008682078</t>
  </si>
  <si>
    <t>4907879364</t>
  </si>
  <si>
    <t>THAO.TTT</t>
  </si>
  <si>
    <t>Kho Thành Phẩm</t>
  </si>
  <si>
    <t>1008681798</t>
  </si>
  <si>
    <t>4907874297</t>
  </si>
  <si>
    <t>Kho thành phẩm</t>
  </si>
  <si>
    <t>1008681248</t>
  </si>
  <si>
    <t>140006127</t>
  </si>
  <si>
    <t>Bao Jumbo nâu đai xanh lá (PP INJ)</t>
  </si>
  <si>
    <t>4907874296</t>
  </si>
  <si>
    <t>2</t>
  </si>
  <si>
    <t>1008681236</t>
  </si>
  <si>
    <t>4907874295</t>
  </si>
  <si>
    <t>PET 19/05</t>
  </si>
  <si>
    <t>1008681288</t>
  </si>
  <si>
    <t>4907867561</t>
  </si>
  <si>
    <t>THIEN.TH</t>
  </si>
  <si>
    <t>Kho Thành PHẩm</t>
  </si>
  <si>
    <t>1008680323</t>
  </si>
  <si>
    <t>4907863870</t>
  </si>
  <si>
    <t>Xuất hàng Xưởng PEt</t>
  </si>
  <si>
    <t>1008680165</t>
  </si>
  <si>
    <t>4907863855</t>
  </si>
  <si>
    <t>Xuất hàng Xưởng HD</t>
  </si>
  <si>
    <t>1008680154</t>
  </si>
  <si>
    <t>4907862411</t>
  </si>
  <si>
    <t>1008680044</t>
  </si>
  <si>
    <t>4907862396</t>
  </si>
  <si>
    <t>1008679937</t>
  </si>
  <si>
    <t>4907862082</t>
  </si>
  <si>
    <t>1008679952</t>
  </si>
  <si>
    <t>4907861406</t>
  </si>
  <si>
    <t>1008679741</t>
  </si>
  <si>
    <t>4907859259</t>
  </si>
  <si>
    <t>1008679642</t>
  </si>
  <si>
    <t>4907855061</t>
  </si>
  <si>
    <t>kho thành phẩm</t>
  </si>
  <si>
    <t>1008679214</t>
  </si>
  <si>
    <t>140006129</t>
  </si>
  <si>
    <t>Bao Jumbo nâu đai dương đậm (HD INJ))</t>
  </si>
  <si>
    <t>4907853086</t>
  </si>
  <si>
    <t>1008678929</t>
  </si>
  <si>
    <t>4907853085</t>
  </si>
  <si>
    <t>Xuất hàng xưởng HD</t>
  </si>
  <si>
    <t>1008679012</t>
  </si>
  <si>
    <t>4907851786</t>
  </si>
  <si>
    <t>HONG.NTT</t>
  </si>
  <si>
    <t>1008678802</t>
  </si>
  <si>
    <t>4907851377</t>
  </si>
  <si>
    <t>1008678663</t>
  </si>
  <si>
    <t>1008678664</t>
  </si>
  <si>
    <t>4907850449</t>
  </si>
  <si>
    <t>1008678790</t>
  </si>
  <si>
    <t>4907849154</t>
  </si>
  <si>
    <t>1008678602</t>
  </si>
  <si>
    <t>4907849153</t>
  </si>
  <si>
    <t>1008678573</t>
  </si>
  <si>
    <t>4907849151</t>
  </si>
  <si>
    <t>1008678572</t>
  </si>
  <si>
    <t>4907848765</t>
  </si>
  <si>
    <t>1008678435</t>
  </si>
  <si>
    <t>4907846705</t>
  </si>
  <si>
    <t>1008678118</t>
  </si>
  <si>
    <t>4907846699</t>
  </si>
  <si>
    <t>1008678217</t>
  </si>
  <si>
    <t>4907838797</t>
  </si>
  <si>
    <t>Kho Thành phẩm</t>
  </si>
  <si>
    <t>1008677244</t>
  </si>
  <si>
    <t>4907832067</t>
  </si>
  <si>
    <t>1008676556</t>
  </si>
  <si>
    <t>4907831149</t>
  </si>
  <si>
    <t>1008675695</t>
  </si>
  <si>
    <t>4907830128</t>
  </si>
  <si>
    <t>1008676280</t>
  </si>
  <si>
    <t>4907827367</t>
  </si>
  <si>
    <t>Xuất hàng sản xuất HD</t>
  </si>
  <si>
    <t>1008675790</t>
  </si>
  <si>
    <t>4907826756</t>
  </si>
  <si>
    <t>1008675701</t>
  </si>
  <si>
    <t>4907826751</t>
  </si>
  <si>
    <t>1008675864</t>
  </si>
  <si>
    <t>4907822464</t>
  </si>
  <si>
    <t>1008675376</t>
  </si>
  <si>
    <t>4907821199</t>
  </si>
  <si>
    <t>3</t>
  </si>
  <si>
    <t>1008675131</t>
  </si>
  <si>
    <t>1008675232</t>
  </si>
  <si>
    <t>4907819037</t>
  </si>
  <si>
    <t>1008674895</t>
  </si>
  <si>
    <t>4907819031</t>
  </si>
  <si>
    <t>1008674890</t>
  </si>
  <si>
    <t>4907819028</t>
  </si>
  <si>
    <t>1008674891</t>
  </si>
  <si>
    <t>4907817538</t>
  </si>
  <si>
    <t>4</t>
  </si>
  <si>
    <t>1008674754</t>
  </si>
  <si>
    <t>4907812828</t>
  </si>
  <si>
    <t>1008674338</t>
  </si>
  <si>
    <t>4907812802</t>
  </si>
  <si>
    <t>1008674169</t>
  </si>
  <si>
    <t>4907812798</t>
  </si>
  <si>
    <t>Xuất hàng sản xuất PET</t>
  </si>
  <si>
    <t>1008674266</t>
  </si>
  <si>
    <t>4907810886</t>
  </si>
  <si>
    <t>1008674056</t>
  </si>
  <si>
    <t>4907809553</t>
  </si>
  <si>
    <t>Xuất kho vận</t>
  </si>
  <si>
    <t>1008673963</t>
  </si>
  <si>
    <t>4907808319</t>
  </si>
  <si>
    <t>1008673867</t>
  </si>
  <si>
    <t>4907805875</t>
  </si>
  <si>
    <t>1008673732</t>
  </si>
  <si>
    <t>4907805873</t>
  </si>
  <si>
    <t>1008673729</t>
  </si>
  <si>
    <t>1008673726</t>
  </si>
  <si>
    <t>4907804033</t>
  </si>
  <si>
    <t>1008673595</t>
  </si>
  <si>
    <t>4907803997</t>
  </si>
  <si>
    <t>1008673544</t>
  </si>
  <si>
    <t>4907803096</t>
  </si>
  <si>
    <t>1008673461</t>
  </si>
  <si>
    <t>4907803094</t>
  </si>
  <si>
    <t>1008673459</t>
  </si>
  <si>
    <t>4907799102</t>
  </si>
  <si>
    <t>1008673229</t>
  </si>
  <si>
    <t>4907797725</t>
  </si>
  <si>
    <t>1008673071</t>
  </si>
  <si>
    <t>4907796467</t>
  </si>
  <si>
    <t>1008672880</t>
  </si>
  <si>
    <t>4907792607</t>
  </si>
  <si>
    <t>1008672522</t>
  </si>
  <si>
    <t>4907792603</t>
  </si>
  <si>
    <t>1008672521</t>
  </si>
  <si>
    <t>4907791879</t>
  </si>
  <si>
    <t>xuất xưởng sản xuất HD</t>
  </si>
  <si>
    <t>1008672474</t>
  </si>
  <si>
    <t>4907791202</t>
  </si>
  <si>
    <t>xuất xưởng sản xuất PET</t>
  </si>
  <si>
    <t>1008672145</t>
  </si>
  <si>
    <t>4907790907</t>
  </si>
  <si>
    <t>1008672301</t>
  </si>
  <si>
    <t>4907785674</t>
  </si>
  <si>
    <t>1008671458</t>
  </si>
  <si>
    <t>4907785663</t>
  </si>
  <si>
    <t>1008671908</t>
  </si>
  <si>
    <t>4907785660</t>
  </si>
  <si>
    <t>Kho Vận</t>
  </si>
  <si>
    <t>1008671456</t>
  </si>
  <si>
    <t>4907785513</t>
  </si>
  <si>
    <t>1008671679</t>
  </si>
  <si>
    <t>4907785344</t>
  </si>
  <si>
    <t>1008671579</t>
  </si>
  <si>
    <t>4907779763</t>
  </si>
  <si>
    <t>1008671295</t>
  </si>
  <si>
    <t>HD</t>
  </si>
  <si>
    <t>Tháng</t>
  </si>
  <si>
    <t>140006089 Bao Jumbo nâu đai nâu (AW3) : vảy sạch </t>
  </si>
  <si>
    <t>140005072 Bao Jumbo 950x950x1300mm Đai Trắng rPET : rách đựng phế  </t>
  </si>
  <si>
    <t>140006075 Bao Jumbo nâu đai trắng (AW3): vảy thô</t>
  </si>
  <si>
    <t>Công dụng</t>
  </si>
  <si>
    <t>Đựng vảy thô</t>
  </si>
  <si>
    <t>1.2</t>
  </si>
  <si>
    <t>1.3</t>
  </si>
  <si>
    <t>Số lít dầu/tấn luân chuyển</t>
  </si>
  <si>
    <t>BQ</t>
  </si>
  <si>
    <t>Số lít dầu mua vào</t>
  </si>
  <si>
    <t>Số lít dầu/ số tấn luân chuyển</t>
  </si>
  <si>
    <t>Lít</t>
  </si>
  <si>
    <t>Bao jumbo quay đầu</t>
  </si>
  <si>
    <t>1.4</t>
  </si>
  <si>
    <t>2.1</t>
  </si>
  <si>
    <t>2.1.1</t>
  </si>
  <si>
    <t>2.1.2</t>
  </si>
  <si>
    <t>2.2</t>
  </si>
  <si>
    <t>2.2.1</t>
  </si>
  <si>
    <t>2.3</t>
  </si>
  <si>
    <t>2.3.1</t>
  </si>
  <si>
    <t>2.3.2</t>
  </si>
  <si>
    <t>Tổng số tấn</t>
  </si>
  <si>
    <t>Bao jumbo/tấn luân chuyển</t>
  </si>
  <si>
    <t>Đựng TP</t>
  </si>
  <si>
    <t>Đựng vảy sạch</t>
  </si>
  <si>
    <t>Dầu DO</t>
  </si>
  <si>
    <t>Tính 50% cho PET, 50% cho Kho vì chia đôi quãng đường</t>
  </si>
  <si>
    <t>Tính 50% cho HDPP, 50% cho Kho vì chia đôi quãng đường</t>
  </si>
  <si>
    <t>Tất cả nguyên liệu</t>
  </si>
  <si>
    <t>4907884001</t>
  </si>
  <si>
    <t>PET 02/06</t>
  </si>
  <si>
    <t>1008682283</t>
  </si>
  <si>
    <t>4907883597</t>
  </si>
  <si>
    <t>PET 31/05</t>
  </si>
  <si>
    <t>1008682208</t>
  </si>
  <si>
    <t>4907898297</t>
  </si>
  <si>
    <t>xuất kho</t>
  </si>
  <si>
    <t>1008683002</t>
  </si>
  <si>
    <t>4907885372</t>
  </si>
  <si>
    <t>PET 4/06</t>
  </si>
  <si>
    <t>1008682420</t>
  </si>
  <si>
    <t>4907894326</t>
  </si>
  <si>
    <t>xuất xưởng pet</t>
  </si>
  <si>
    <t>1008683443</t>
  </si>
  <si>
    <t>4907894985</t>
  </si>
  <si>
    <t>XUYEN.PT</t>
  </si>
  <si>
    <t>Xuất Xưởng SX HDPP</t>
  </si>
  <si>
    <t>1008683503</t>
  </si>
  <si>
    <t>4907896635</t>
  </si>
  <si>
    <t>Xuất kho TP</t>
  </si>
  <si>
    <t>1008683678</t>
  </si>
  <si>
    <t>4907896199</t>
  </si>
  <si>
    <t>1008683650</t>
  </si>
  <si>
    <t>4907898586</t>
  </si>
  <si>
    <t>xuất xưởng</t>
  </si>
  <si>
    <t>1008683887</t>
  </si>
  <si>
    <t>4907900672</t>
  </si>
  <si>
    <t>xuất kho tp</t>
  </si>
  <si>
    <t>1008684102</t>
  </si>
  <si>
    <t>4907900517</t>
  </si>
  <si>
    <t>6</t>
  </si>
  <si>
    <t>1008684103</t>
  </si>
  <si>
    <t>4907901345</t>
  </si>
  <si>
    <t>Xuất xưởng SX HDPP</t>
  </si>
  <si>
    <t>1008684193</t>
  </si>
  <si>
    <t>4907916275</t>
  </si>
  <si>
    <t>DAI.NQ</t>
  </si>
  <si>
    <t>Kho TP1</t>
  </si>
  <si>
    <t>1008685768</t>
  </si>
  <si>
    <t>4907923277</t>
  </si>
  <si>
    <t>xuất kho TP1</t>
  </si>
  <si>
    <t>1008686436</t>
  </si>
  <si>
    <t>4907922992</t>
  </si>
  <si>
    <t>1008686448</t>
  </si>
  <si>
    <t>4907924159</t>
  </si>
  <si>
    <t>PET 30/07</t>
  </si>
  <si>
    <t>1008686619</t>
  </si>
  <si>
    <t>4907933441</t>
  </si>
  <si>
    <t>1008687183</t>
  </si>
  <si>
    <t>4907933424</t>
  </si>
  <si>
    <t>xuất xưởng hd</t>
  </si>
  <si>
    <t>1008687217</t>
  </si>
  <si>
    <t>4907933443</t>
  </si>
  <si>
    <t>1008687021</t>
  </si>
  <si>
    <t>4907933485</t>
  </si>
  <si>
    <t>1008687565</t>
  </si>
  <si>
    <t>4907936324</t>
  </si>
  <si>
    <t>PET 19/08</t>
  </si>
  <si>
    <t>1008687897</t>
  </si>
  <si>
    <t>4907938445</t>
  </si>
  <si>
    <t>CHUYỂN KHO TP1</t>
  </si>
  <si>
    <t>1008687966</t>
  </si>
  <si>
    <t>4907939585</t>
  </si>
  <si>
    <t>PET 23/08</t>
  </si>
  <si>
    <t>1008688233</t>
  </si>
  <si>
    <t>4907939582</t>
  </si>
  <si>
    <t>Sản Xuất HD</t>
  </si>
  <si>
    <t>1008688244</t>
  </si>
  <si>
    <t>4907941206</t>
  </si>
  <si>
    <t>PET 25/08</t>
  </si>
  <si>
    <t>1008688342</t>
  </si>
  <si>
    <t>4907946091</t>
  </si>
  <si>
    <t>NGOAN.DT</t>
  </si>
  <si>
    <t>xuất sx pet</t>
  </si>
  <si>
    <t>1008688761</t>
  </si>
  <si>
    <t>4907948566</t>
  </si>
  <si>
    <t>Xuất Xưởng SX RPET</t>
  </si>
  <si>
    <t>1008689111</t>
  </si>
  <si>
    <t>4907948886</t>
  </si>
  <si>
    <t>1008689098</t>
  </si>
  <si>
    <t>4907953248</t>
  </si>
  <si>
    <t>1008689496</t>
  </si>
  <si>
    <t>4907955852</t>
  </si>
  <si>
    <t>xuất sx PET</t>
  </si>
  <si>
    <t>1008689802</t>
  </si>
  <si>
    <t>4907960421</t>
  </si>
  <si>
    <t>1008690217</t>
  </si>
  <si>
    <t>Kho xuất BTP</t>
  </si>
  <si>
    <t>Nhập nguyên liệu BTP</t>
  </si>
  <si>
    <t>4907981724</t>
  </si>
  <si>
    <t>1008691808</t>
  </si>
  <si>
    <t>4907971954</t>
  </si>
  <si>
    <t>1008691150</t>
  </si>
  <si>
    <t>4907977786</t>
  </si>
  <si>
    <t>1008691645</t>
  </si>
  <si>
    <t>4907987867</t>
  </si>
  <si>
    <t>1008692672</t>
  </si>
  <si>
    <t>4907987426</t>
  </si>
  <si>
    <t>Xuất Xưởng SX rpet</t>
  </si>
  <si>
    <t>1008692582</t>
  </si>
  <si>
    <t>4907987021</t>
  </si>
  <si>
    <t>1008692517</t>
  </si>
  <si>
    <t>1203</t>
  </si>
  <si>
    <t>4907988746</t>
  </si>
  <si>
    <t>VY.HNT</t>
  </si>
  <si>
    <t>PET 31/10</t>
  </si>
  <si>
    <t>XƯỞNG XUẤT CHI PHÍ</t>
  </si>
  <si>
    <t>1008692636</t>
  </si>
  <si>
    <t>4907983845</t>
  </si>
  <si>
    <t>1008692238</t>
  </si>
  <si>
    <t>140006154</t>
  </si>
  <si>
    <t>Bao Jumbo 1050x1050x1300mm Đai Trắng PET</t>
  </si>
  <si>
    <t>4907982882</t>
  </si>
  <si>
    <t>1008692152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</si>
  <si>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</si>
  <si>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</si>
  <si>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</si>
  <si>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</si>
  <si>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</si>
  <si>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</si>
  <si>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</si>
  <si>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</si>
  <si>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</si>
  <si>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</si>
  <si>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</si>
  <si>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</si>
  <si>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2. ĐỊNH MỨC</t>
  </si>
  <si>
    <t>3. THỰC TẾ</t>
  </si>
  <si>
    <t>LK</t>
  </si>
  <si>
    <t>1. THEO DÕI CHÊNH LỆCH</t>
  </si>
  <si>
    <t>4908000828</t>
  </si>
  <si>
    <t>xuất TP1</t>
  </si>
  <si>
    <t>1008694045</t>
  </si>
  <si>
    <t>4907998810</t>
  </si>
  <si>
    <t>1008693665</t>
  </si>
  <si>
    <t>4908004297</t>
  </si>
  <si>
    <t>1008694422</t>
  </si>
  <si>
    <t>4907998664</t>
  </si>
  <si>
    <t>1008693770</t>
  </si>
  <si>
    <t>4907996179</t>
  </si>
  <si>
    <t>1008693510</t>
  </si>
  <si>
    <t>4907993149</t>
  </si>
  <si>
    <t>1008693228</t>
  </si>
  <si>
    <t>4907995435</t>
  </si>
  <si>
    <t>1008693440</t>
  </si>
  <si>
    <t>4907991040</t>
  </si>
  <si>
    <t>1008692921</t>
  </si>
  <si>
    <t>ĐỊNH MỨC DẦU DO, BAO JUMBO QUAY ĐẦU TRÊN TẤN LUÂN CHUYỂN</t>
  </si>
  <si>
    <t>LK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</si>
</sst>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_-* #,##0.00\ &quot;₫&quot;_-;\-* #,##0.00\ &quot;₫&quot;_-;_-* &quot;-&quot;??\ &quot;₫&quot;_-;_-@_-"/>
    <numFmt numFmtId="165" formatCode="_-* #,##0.00_-;\-* #,##0.00_-;_-* &quot;-&quot;??_-;_-@_-"/>
    <numFmt numFmtId="166" formatCode="_-* #,##0_-;\-* #,##0_-;_-* &quot;-&quot;??_-;_-@_-"/>
    <numFmt numFmtId="167" formatCode="_-* #,##0.00\ _₫_-;\-* #,##0.00\ _₫_-;_-* &quot;-&quot;??\ _₫_-;_-@_-"/>
    <numFmt numFmtId="168" formatCode="[$-F400]h:mm:ss\ AM/PM"/>
    <numFmt numFmtId="169" formatCode="_-* #,##0.0_-;\-* #,##0.0_-;_-* &quot;-&quot;??_-;_-@_-"/>
    <numFmt numFmtId="170" formatCode="_-* #,##0.000_-;\-* #,##0.000_-;_-* &quot;-&quot;??_-;_-@_-"/>
    <numFmt numFmtId="171" formatCode="#,##0.0"/>
    <numFmt numFmtId="172" formatCode="#,##0.000"/>
    <numFmt numFmtId="173" formatCode="0.00;\-0.00;\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rgb="FF0000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2"/>
      <charset val="163"/>
    </font>
    <font>
      <sz val="10"/>
      <color theme="1"/>
      <name val=".VnArial"/>
      <family val="2"/>
    </font>
    <font>
      <sz val="10"/>
      <color theme="1"/>
      <name val=".VnArial"/>
      <family val="2"/>
      <charset val="163"/>
    </font>
    <font>
      <sz val="11"/>
      <color theme="1" tint="0.24994659260841701"/>
      <name val="Aptos Display"/>
      <family val="2"/>
      <scheme val="major"/>
    </font>
    <font>
      <sz val="10"/>
      <color theme="1"/>
      <name val="segoe UI"/>
      <family val="2"/>
      <charset val="163"/>
    </font>
    <font>
      <sz val="10"/>
      <color theme="1"/>
      <name val="Arial"/>
      <family val="2"/>
    </font>
    <font>
      <sz val="10"/>
      <name val="VNI-Times"/>
    </font>
    <font>
      <sz val="11"/>
      <color rgb="FF000000"/>
      <name val="Calibri"/>
      <family val="2"/>
    </font>
    <font>
      <b/>
      <sz val="11"/>
      <color theme="3"/>
      <name val="Aptos Narrow"/>
      <family val="2"/>
      <scheme val="minor"/>
    </font>
    <font>
      <u/>
      <sz val="11"/>
      <color theme="10"/>
      <name val="Aptos Narrow"/>
      <family val="2"/>
      <charset val="163"/>
      <scheme val="minor"/>
    </font>
    <font>
      <b/>
      <sz val="10"/>
      <color theme="0"/>
      <name val="Arial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</borders>
  <cellStyleXfs count="282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6" fillId="0" borderId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/>
    <xf numFmtId="0" fontId="9" fillId="0" borderId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0" fillId="0" borderId="0"/>
    <xf numFmtId="165" fontId="1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0" fillId="0" borderId="0" applyFont="0" applyFill="0" applyBorder="0" applyAlignment="0" applyProtection="0"/>
    <xf numFmtId="0" fontId="12" fillId="0" borderId="0" applyNumberFormat="0" applyFill="0" applyBorder="0" applyProtection="0">
      <alignment vertical="center"/>
    </xf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5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0" fontId="6" fillId="0" borderId="0"/>
    <xf numFmtId="165" fontId="6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0" fillId="0" borderId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2" fillId="0" borderId="0" applyNumberFormat="0" applyFill="0" applyBorder="0" applyProtection="0">
      <alignment vertical="center"/>
    </xf>
    <xf numFmtId="165" fontId="6" fillId="0" borderId="0" applyFont="0" applyFill="0" applyBorder="0" applyAlignment="0" applyProtection="0"/>
    <xf numFmtId="0" fontId="10" fillId="0" borderId="0"/>
    <xf numFmtId="0" fontId="7" fillId="0" borderId="0"/>
    <xf numFmtId="165" fontId="6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6" fillId="0" borderId="0"/>
    <xf numFmtId="167" fontId="6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16" fillId="0" borderId="0"/>
    <xf numFmtId="0" fontId="14" fillId="0" borderId="0"/>
    <xf numFmtId="165" fontId="16" fillId="0" borderId="0" applyFont="0" applyFill="0" applyBorder="0" applyAlignment="0" applyProtection="0"/>
    <xf numFmtId="0" fontId="7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7" fillId="0" borderId="4" applyNumberFormat="0" applyFill="0" applyAlignment="0" applyProtection="0"/>
    <xf numFmtId="0" fontId="6" fillId="0" borderId="0"/>
    <xf numFmtId="165" fontId="6" fillId="0" borderId="0" applyFont="0" applyFill="0" applyBorder="0" applyAlignment="0" applyProtection="0"/>
    <xf numFmtId="0" fontId="1" fillId="0" borderId="0"/>
    <xf numFmtId="165" fontId="10" fillId="0" borderId="0" applyFont="0" applyFill="0" applyBorder="0" applyAlignment="0" applyProtection="0"/>
    <xf numFmtId="0" fontId="7" fillId="0" borderId="0"/>
    <xf numFmtId="167" fontId="1" fillId="0" borderId="0" applyFont="0" applyFill="0" applyBorder="0" applyAlignment="0" applyProtection="0"/>
    <xf numFmtId="0" fontId="1" fillId="0" borderId="0"/>
    <xf numFmtId="165" fontId="15" fillId="0" borderId="0" applyFont="0" applyFill="0" applyBorder="0" applyAlignment="0" applyProtection="0"/>
    <xf numFmtId="0" fontId="8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1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0" fillId="0" borderId="0"/>
    <xf numFmtId="0" fontId="6" fillId="0" borderId="0"/>
    <xf numFmtId="0" fontId="6" fillId="0" borderId="0"/>
    <xf numFmtId="0" fontId="6" fillId="0" borderId="0"/>
    <xf numFmtId="0" fontId="13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6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1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</cellStyleXfs>
  <cellXfs count="1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37" fontId="2" fillId="0" borderId="2" xfId="1" applyNumberFormat="1" applyFont="1" applyBorder="1" applyAlignment="1">
      <alignment horizontal="center"/>
    </xf>
    <xf numFmtId="2" fontId="2" fillId="0" borderId="2" xfId="0" applyNumberFormat="1" applyFont="1" applyBorder="1"/>
    <xf numFmtId="49" fontId="2" fillId="0" borderId="2" xfId="1" applyNumberFormat="1" applyFont="1" applyBorder="1" applyAlignment="1">
      <alignment horizontal="center"/>
    </xf>
    <xf numFmtId="0" fontId="0" fillId="0" borderId="0" xfId="0" applyAlignment="1">
      <alignment vertical="top"/>
    </xf>
    <xf numFmtId="0" fontId="0" fillId="3" borderId="0" xfId="0" applyFill="1"/>
    <xf numFmtId="0" fontId="19" fillId="4" borderId="1" xfId="0" applyFont="1" applyFill="1" applyBorder="1" applyAlignment="1">
      <alignment vertical="top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horizontal="left" vertical="top"/>
    </xf>
    <xf numFmtId="166" fontId="0" fillId="3" borderId="1" xfId="31" applyNumberFormat="1" applyFont="1" applyFill="1" applyBorder="1" applyAlignment="1">
      <alignment vertical="top"/>
    </xf>
    <xf numFmtId="0" fontId="7" fillId="3" borderId="1" xfId="0" applyFont="1" applyFill="1" applyBorder="1" applyAlignment="1">
      <alignment vertical="top"/>
    </xf>
    <xf numFmtId="166" fontId="19" fillId="4" borderId="1" xfId="31" applyNumberFormat="1" applyFont="1" applyFill="1" applyBorder="1" applyAlignment="1">
      <alignment vertical="top"/>
    </xf>
    <xf numFmtId="166" fontId="19" fillId="4" borderId="1" xfId="0" applyNumberFormat="1" applyFont="1" applyFill="1" applyBorder="1" applyAlignment="1">
      <alignment vertical="top"/>
    </xf>
    <xf numFmtId="0" fontId="19" fillId="4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1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6" fontId="0" fillId="3" borderId="0" xfId="1" applyNumberFormat="1" applyFont="1" applyFill="1"/>
    <xf numFmtId="166" fontId="0" fillId="0" borderId="0" xfId="1" applyNumberFormat="1" applyFont="1" applyAlignment="1">
      <alignment vertical="top"/>
    </xf>
    <xf numFmtId="0" fontId="0" fillId="6" borderId="0" xfId="0" applyFill="1"/>
    <xf numFmtId="166" fontId="0" fillId="6" borderId="1" xfId="31" applyNumberFormat="1" applyFont="1" applyFill="1" applyBorder="1" applyAlignment="1">
      <alignment vertical="top"/>
    </xf>
    <xf numFmtId="166" fontId="0" fillId="3" borderId="0" xfId="0" applyNumberFormat="1" applyFill="1"/>
    <xf numFmtId="170" fontId="0" fillId="3" borderId="0" xfId="1" applyNumberFormat="1" applyFont="1" applyFill="1"/>
    <xf numFmtId="0" fontId="19" fillId="8" borderId="1" xfId="0" applyFont="1" applyFill="1" applyBorder="1" applyAlignment="1">
      <alignment vertical="top"/>
    </xf>
    <xf numFmtId="0" fontId="19" fillId="8" borderId="1" xfId="0" applyFont="1" applyFill="1" applyBorder="1" applyAlignment="1">
      <alignment horizontal="center" vertical="top"/>
    </xf>
    <xf numFmtId="165" fontId="19" fillId="8" borderId="1" xfId="1" applyFont="1" applyFill="1" applyBorder="1" applyAlignment="1">
      <alignment vertical="top"/>
    </xf>
    <xf numFmtId="169" fontId="0" fillId="3" borderId="1" xfId="31" applyNumberFormat="1" applyFont="1" applyFill="1" applyBorder="1" applyAlignment="1">
      <alignment vertical="top"/>
    </xf>
    <xf numFmtId="169" fontId="19" fillId="8" borderId="1" xfId="1" applyNumberFormat="1" applyFont="1" applyFill="1" applyBorder="1" applyAlignment="1">
      <alignment vertical="top"/>
    </xf>
    <xf numFmtId="165" fontId="0" fillId="3" borderId="0" xfId="0" applyNumberFormat="1" applyFill="1"/>
    <xf numFmtId="0" fontId="0" fillId="9" borderId="0" xfId="0" applyFill="1"/>
    <xf numFmtId="166" fontId="0" fillId="9" borderId="0" xfId="1" applyNumberFormat="1" applyFont="1" applyFill="1"/>
    <xf numFmtId="166" fontId="0" fillId="9" borderId="0" xfId="0" applyNumberFormat="1" applyFill="1"/>
    <xf numFmtId="169" fontId="0" fillId="9" borderId="0" xfId="0" applyNumberFormat="1" applyFill="1"/>
    <xf numFmtId="171" fontId="2" fillId="0" borderId="2" xfId="0" applyNumberFormat="1" applyFont="1" applyBorder="1" applyAlignment="1">
      <alignment horizontal="center"/>
    </xf>
    <xf numFmtId="172" fontId="2" fillId="0" borderId="2" xfId="0" applyNumberFormat="1" applyFont="1" applyBorder="1" applyAlignment="1">
      <alignment horizontal="center"/>
    </xf>
    <xf numFmtId="37" fontId="4" fillId="6" borderId="2" xfId="1" applyNumberFormat="1" applyFont="1" applyFill="1" applyBorder="1" applyAlignment="1">
      <alignment horizontal="center"/>
    </xf>
    <xf numFmtId="49" fontId="4" fillId="6" borderId="2" xfId="1" applyNumberFormat="1" applyFont="1" applyFill="1" applyBorder="1" applyAlignment="1">
      <alignment horizontal="center"/>
    </xf>
    <xf numFmtId="2" fontId="4" fillId="6" borderId="2" xfId="0" applyNumberFormat="1" applyFont="1" applyFill="1" applyBorder="1"/>
    <xf numFmtId="2" fontId="4" fillId="6" borderId="6" xfId="0" applyNumberFormat="1" applyFont="1" applyFill="1" applyBorder="1" applyAlignment="1">
      <alignment vertical="center" wrapText="1"/>
    </xf>
    <xf numFmtId="171" fontId="4" fillId="6" borderId="2" xfId="0" applyNumberFormat="1" applyFont="1" applyFill="1" applyBorder="1" applyAlignment="1">
      <alignment horizontal="center"/>
    </xf>
    <xf numFmtId="37" fontId="2" fillId="10" borderId="2" xfId="1" applyNumberFormat="1" applyFont="1" applyFill="1" applyBorder="1" applyAlignment="1">
      <alignment horizontal="center"/>
    </xf>
    <xf numFmtId="49" fontId="2" fillId="10" borderId="2" xfId="1" applyNumberFormat="1" applyFont="1" applyFill="1" applyBorder="1" applyAlignment="1">
      <alignment horizontal="center"/>
    </xf>
    <xf numFmtId="2" fontId="2" fillId="10" borderId="2" xfId="0" applyNumberFormat="1" applyFont="1" applyFill="1" applyBorder="1"/>
    <xf numFmtId="2" fontId="2" fillId="10" borderId="7" xfId="0" applyNumberFormat="1" applyFont="1" applyFill="1" applyBorder="1" applyAlignment="1">
      <alignment horizontal="center" vertical="center" wrapText="1"/>
    </xf>
    <xf numFmtId="171" fontId="2" fillId="10" borderId="2" xfId="0" applyNumberFormat="1" applyFont="1" applyFill="1" applyBorder="1" applyAlignment="1">
      <alignment horizontal="center"/>
    </xf>
    <xf numFmtId="4" fontId="4" fillId="6" borderId="2" xfId="0" applyNumberFormat="1" applyFont="1" applyFill="1" applyBorder="1" applyAlignment="1">
      <alignment horizontal="center"/>
    </xf>
    <xf numFmtId="0" fontId="20" fillId="3" borderId="1" xfId="0" applyFont="1" applyFill="1" applyBorder="1" applyAlignment="1">
      <alignment vertical="top"/>
    </xf>
    <xf numFmtId="0" fontId="20" fillId="3" borderId="1" xfId="0" applyFont="1" applyFill="1" applyBorder="1" applyAlignment="1">
      <alignment horizontal="left" vertical="top"/>
    </xf>
    <xf numFmtId="166" fontId="20" fillId="3" borderId="1" xfId="31" applyNumberFormat="1" applyFont="1" applyFill="1" applyBorder="1" applyAlignment="1">
      <alignment vertical="top"/>
    </xf>
    <xf numFmtId="166" fontId="20" fillId="3" borderId="0" xfId="31" applyNumberFormat="1" applyFont="1" applyFill="1" applyBorder="1" applyAlignment="1">
      <alignment vertical="top"/>
    </xf>
    <xf numFmtId="0" fontId="0" fillId="7" borderId="0" xfId="0" applyFill="1" applyAlignment="1">
      <alignment vertical="top"/>
    </xf>
    <xf numFmtId="170" fontId="0" fillId="3" borderId="0" xfId="0" applyNumberFormat="1" applyFill="1"/>
    <xf numFmtId="165" fontId="0" fillId="3" borderId="1" xfId="31" applyFont="1" applyFill="1" applyBorder="1" applyAlignment="1">
      <alignment vertical="top"/>
    </xf>
    <xf numFmtId="4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vertical="center"/>
    </xf>
    <xf numFmtId="37" fontId="2" fillId="0" borderId="3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2" fontId="2" fillId="0" borderId="3" xfId="0" applyNumberFormat="1" applyFont="1" applyBorder="1"/>
    <xf numFmtId="4" fontId="2" fillId="0" borderId="3" xfId="0" applyNumberFormat="1" applyFont="1" applyBorder="1" applyAlignment="1">
      <alignment horizontal="center"/>
    </xf>
    <xf numFmtId="0" fontId="19" fillId="4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21" fillId="3" borderId="1" xfId="0" applyFont="1" applyFill="1" applyBorder="1" applyAlignment="1">
      <alignment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/>
    </xf>
    <xf numFmtId="166" fontId="0" fillId="3" borderId="0" xfId="0" applyNumberFormat="1" applyFill="1" applyAlignment="1">
      <alignment vertical="top"/>
    </xf>
    <xf numFmtId="0" fontId="7" fillId="0" borderId="1" xfId="0" applyFont="1" applyBorder="1" applyAlignment="1">
      <alignment vertical="top"/>
    </xf>
    <xf numFmtId="166" fontId="0" fillId="0" borderId="1" xfId="31" applyNumberFormat="1" applyFont="1" applyFill="1" applyBorder="1" applyAlignment="1">
      <alignment vertical="top"/>
    </xf>
    <xf numFmtId="4" fontId="0" fillId="0" borderId="0" xfId="1" applyNumberFormat="1" applyFont="1" applyAlignment="1">
      <alignment vertical="top"/>
    </xf>
    <xf numFmtId="4" fontId="2" fillId="0" borderId="2" xfId="0" applyNumberFormat="1" applyFont="1" applyBorder="1" applyAlignment="1">
      <alignment horizontal="center"/>
    </xf>
    <xf numFmtId="2" fontId="2" fillId="3" borderId="2" xfId="0" applyNumberFormat="1" applyFont="1" applyFill="1" applyBorder="1"/>
    <xf numFmtId="172" fontId="2" fillId="3" borderId="2" xfId="0" applyNumberFormat="1" applyFont="1" applyFill="1" applyBorder="1" applyAlignment="1">
      <alignment horizontal="center" vertical="center"/>
    </xf>
    <xf numFmtId="166" fontId="0" fillId="3" borderId="9" xfId="1" applyNumberFormat="1" applyFont="1" applyFill="1" applyBorder="1" applyAlignment="1">
      <alignment vertical="top"/>
    </xf>
    <xf numFmtId="166" fontId="0" fillId="3" borderId="9" xfId="1" applyNumberFormat="1" applyFont="1" applyFill="1" applyBorder="1" applyAlignment="1">
      <alignment horizontal="center" vertical="top"/>
    </xf>
    <xf numFmtId="2" fontId="0" fillId="3" borderId="0" xfId="1" applyNumberFormat="1" applyFont="1" applyFill="1" applyAlignment="1">
      <alignment horizontal="center" vertical="center"/>
    </xf>
    <xf numFmtId="0" fontId="0" fillId="11" borderId="5" xfId="0" applyFill="1" applyBorder="1" applyAlignment="1">
      <alignment vertical="top"/>
    </xf>
    <xf numFmtId="0" fontId="0" fillId="12" borderId="1" xfId="0" applyFill="1" applyBorder="1" applyAlignment="1">
      <alignment vertical="top"/>
    </xf>
    <xf numFmtId="166" fontId="0" fillId="12" borderId="1" xfId="31" applyNumberFormat="1" applyFont="1" applyFill="1" applyBorder="1" applyAlignment="1">
      <alignment vertical="top"/>
    </xf>
    <xf numFmtId="2" fontId="4" fillId="6" borderId="2" xfId="0" applyNumberFormat="1" applyFont="1" applyFill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172" fontId="2" fillId="0" borderId="3" xfId="0" applyNumberFormat="1" applyFont="1" applyBorder="1" applyAlignment="1">
      <alignment horizontal="center"/>
    </xf>
    <xf numFmtId="0" fontId="2" fillId="0" borderId="0" xfId="0" applyFont="1" applyAlignment="1">
      <alignment wrapText="1"/>
    </xf>
    <xf numFmtId="2" fontId="4" fillId="6" borderId="2" xfId="0" applyNumberFormat="1" applyFont="1" applyFill="1" applyBorder="1" applyAlignment="1">
      <alignment wrapText="1"/>
    </xf>
    <xf numFmtId="2" fontId="2" fillId="0" borderId="2" xfId="0" applyNumberFormat="1" applyFont="1" applyBorder="1" applyAlignment="1">
      <alignment wrapText="1"/>
    </xf>
    <xf numFmtId="2" fontId="2" fillId="0" borderId="3" xfId="0" applyNumberFormat="1" applyFont="1" applyBorder="1" applyAlignment="1">
      <alignment wrapText="1"/>
    </xf>
    <xf numFmtId="165" fontId="2" fillId="3" borderId="2" xfId="1" applyFont="1" applyFill="1" applyBorder="1" applyAlignment="1">
      <alignment horizontal="center" vertical="center"/>
    </xf>
    <xf numFmtId="165" fontId="2" fillId="0" borderId="0" xfId="1" applyFont="1"/>
    <xf numFmtId="165" fontId="4" fillId="6" borderId="2" xfId="1" applyFont="1" applyFill="1" applyBorder="1" applyAlignment="1">
      <alignment horizontal="center"/>
    </xf>
    <xf numFmtId="165" fontId="2" fillId="0" borderId="2" xfId="1" applyFont="1" applyBorder="1" applyAlignment="1">
      <alignment horizontal="center" vertical="center"/>
    </xf>
    <xf numFmtId="165" fontId="2" fillId="0" borderId="2" xfId="1" applyFont="1" applyBorder="1" applyAlignment="1">
      <alignment horizontal="center"/>
    </xf>
    <xf numFmtId="165" fontId="2" fillId="10" borderId="2" xfId="1" applyFont="1" applyFill="1" applyBorder="1" applyAlignment="1">
      <alignment horizontal="center"/>
    </xf>
    <xf numFmtId="165" fontId="2" fillId="0" borderId="3" xfId="1" applyFont="1" applyBorder="1" applyAlignment="1">
      <alignment horizontal="center"/>
    </xf>
    <xf numFmtId="0" fontId="2" fillId="3" borderId="0" xfId="0" applyFont="1" applyFill="1" applyAlignment="1">
      <alignment wrapText="1"/>
    </xf>
    <xf numFmtId="0" fontId="2" fillId="3" borderId="0" xfId="0" applyFont="1" applyFill="1"/>
    <xf numFmtId="165" fontId="2" fillId="3" borderId="0" xfId="1" applyFont="1" applyFill="1"/>
    <xf numFmtId="2" fontId="4" fillId="6" borderId="2" xfId="1" applyNumberFormat="1" applyFont="1" applyFill="1" applyBorder="1" applyAlignment="1">
      <alignment horizontal="center"/>
    </xf>
    <xf numFmtId="2" fontId="2" fillId="0" borderId="2" xfId="1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2" xfId="1" applyNumberFormat="1" applyFont="1" applyBorder="1" applyAlignment="1">
      <alignment horizontal="center"/>
    </xf>
    <xf numFmtId="2" fontId="2" fillId="10" borderId="2" xfId="1" applyNumberFormat="1" applyFont="1" applyFill="1" applyBorder="1" applyAlignment="1">
      <alignment horizontal="center"/>
    </xf>
    <xf numFmtId="2" fontId="2" fillId="10" borderId="2" xfId="0" applyNumberFormat="1" applyFont="1" applyFill="1" applyBorder="1" applyAlignment="1">
      <alignment horizontal="center"/>
    </xf>
    <xf numFmtId="170" fontId="2" fillId="3" borderId="2" xfId="1" applyNumberFormat="1" applyFont="1" applyFill="1" applyBorder="1" applyAlignment="1">
      <alignment horizontal="center" vertical="center"/>
    </xf>
    <xf numFmtId="170" fontId="2" fillId="3" borderId="2" xfId="0" applyNumberFormat="1" applyFont="1" applyFill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73" fontId="2" fillId="3" borderId="2" xfId="1" applyNumberFormat="1" applyFont="1" applyFill="1" applyBorder="1" applyAlignment="1">
      <alignment horizontal="center" vertical="center"/>
    </xf>
    <xf numFmtId="173" fontId="2" fillId="3" borderId="2" xfId="0" applyNumberFormat="1" applyFont="1" applyFill="1" applyBorder="1" applyAlignment="1">
      <alignment horizontal="center" vertical="center"/>
    </xf>
    <xf numFmtId="4" fontId="2" fillId="3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165" fontId="5" fillId="2" borderId="1" xfId="1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left" vertical="center" wrapText="1"/>
    </xf>
    <xf numFmtId="0" fontId="21" fillId="3" borderId="8" xfId="0" applyFont="1" applyFill="1" applyBorder="1" applyAlignment="1">
      <alignment horizontal="left" vertical="center" wrapText="1"/>
    </xf>
  </cellXfs>
  <cellStyles count="282">
    <cellStyle name="Comma" xfId="1" builtinId="3"/>
    <cellStyle name="Comma 10" xfId="77" xr:uid="{F6C03030-BC1E-4F08-B395-65FEBEFC1DE3}"/>
    <cellStyle name="Comma 10 2" xfId="209" xr:uid="{0CA7EC97-829E-4360-A165-2D5184D45DF2}"/>
    <cellStyle name="Comma 10 4" xfId="43" xr:uid="{A52FBDF0-EE3B-4F1C-999C-41266F6ECD6F}"/>
    <cellStyle name="Comma 10 4 2" xfId="192" xr:uid="{5439BEAB-385E-4313-B122-20100908B484}"/>
    <cellStyle name="Comma 11" xfId="45" xr:uid="{2EC2096B-3363-47FB-A411-92DFD1C680F5}"/>
    <cellStyle name="Comma 11 2" xfId="26" xr:uid="{035C0919-DD2B-4A92-A110-EB33F21B0714}"/>
    <cellStyle name="Comma 11 2 2" xfId="95" xr:uid="{F78697C9-50DA-41E2-B0A3-48FFC872203D}"/>
    <cellStyle name="Comma 11 2 2 2" xfId="225" xr:uid="{C1C14A21-1764-4B25-A625-F2838F795D46}"/>
    <cellStyle name="Comma 11 2 3" xfId="183" xr:uid="{F49ED335-6F68-4E99-A396-FB453AA9FA4A}"/>
    <cellStyle name="Comma 11 3" xfId="75" xr:uid="{0F1FF876-73C2-46AE-A732-B9078FDC0B0E}"/>
    <cellStyle name="Comma 11 3 2" xfId="96" xr:uid="{A8C39ACA-D159-49AC-894C-A3FBB679149F}"/>
    <cellStyle name="Comma 11 3 2 2" xfId="97" xr:uid="{FA352039-FDB2-4F3A-BABF-CCBE0DD15532}"/>
    <cellStyle name="Comma 11 3 2 2 2" xfId="98" xr:uid="{71464F0F-8B7C-4985-9B66-7F9D640DB4F3}"/>
    <cellStyle name="Comma 11 3 2 2 2 2" xfId="228" xr:uid="{5CFAA164-EEDD-4DF4-B9ED-448C7AFCD04C}"/>
    <cellStyle name="Comma 11 3 2 2 3" xfId="99" xr:uid="{F6C73A13-131D-4264-BD77-4D2D8939DEE2}"/>
    <cellStyle name="Comma 11 3 2 2 3 2" xfId="229" xr:uid="{81FAF5D1-D8FE-4629-BBC6-400F1B624537}"/>
    <cellStyle name="Comma 11 3 2 2 4" xfId="227" xr:uid="{70426418-3058-4028-8278-2F209E097959}"/>
    <cellStyle name="Comma 11 3 2 3" xfId="226" xr:uid="{90FA16D4-B540-4DB1-8E15-A1570D1C593C}"/>
    <cellStyle name="Comma 11 3 3" xfId="208" xr:uid="{9AB5FAD3-2EEE-4200-8B10-0600C1352852}"/>
    <cellStyle name="Comma 11 4" xfId="194" xr:uid="{891C7DA4-A642-4608-9D99-4293F33F1A74}"/>
    <cellStyle name="Comma 12" xfId="78" xr:uid="{16AA09D1-C49E-4368-A8EB-58F28A9242DA}"/>
    <cellStyle name="Comma 12 2" xfId="210" xr:uid="{F95BC1E9-2A49-4CA3-83C9-ADEE24867B16}"/>
    <cellStyle name="Comma 13" xfId="31" xr:uid="{D13DB6B5-F4ED-4581-AC3F-4CBBED5EDCEF}"/>
    <cellStyle name="Comma 13 2" xfId="184" xr:uid="{341CB5F6-C555-4525-B13A-0B9A1DF0E572}"/>
    <cellStyle name="Comma 14" xfId="88" xr:uid="{3DB92C57-B14F-446D-8CCC-5C31E79AEA80}"/>
    <cellStyle name="Comma 14 2" xfId="218" xr:uid="{EF048EB6-F21E-4EB6-B373-5FC9C2BD41D5}"/>
    <cellStyle name="Comma 15" xfId="100" xr:uid="{C1CCE727-A07E-4100-92AB-42519F46B5BC}"/>
    <cellStyle name="Comma 15 2" xfId="230" xr:uid="{728A7EA1-6B1A-4E21-9624-EF1A8CF7497C}"/>
    <cellStyle name="Comma 16" xfId="163" xr:uid="{1ADF231C-06BF-43DF-AD83-80B13C097B4E}"/>
    <cellStyle name="Comma 16 2" xfId="19" xr:uid="{45708D2F-7F9F-4E5D-89F4-45CBAF38AE9A}"/>
    <cellStyle name="Comma 16 2 2" xfId="179" xr:uid="{606BAFB5-AFCD-439F-91BE-E28EA498E6B5}"/>
    <cellStyle name="Comma 16 2 3 7" xfId="22" xr:uid="{25E14681-0E96-4056-8EFB-FD4FA003A481}"/>
    <cellStyle name="Comma 16 2 3 7 2" xfId="101" xr:uid="{B99B3CD2-1F64-4675-9E47-EAC6BED14742}"/>
    <cellStyle name="Comma 16 2 3 7 2 2" xfId="102" xr:uid="{23DB38FF-E00C-4817-958A-24ABB18B1848}"/>
    <cellStyle name="Comma 16 2 3 7 2 2 2" xfId="232" xr:uid="{5524E086-D3F7-4E8F-9079-8D3CFFAF13B6}"/>
    <cellStyle name="Comma 16 2 3 7 2 3" xfId="231" xr:uid="{201A89B8-D583-44E5-B83B-5FC5821E0BE4}"/>
    <cellStyle name="Comma 16 2 3 7 3" xfId="103" xr:uid="{F72A407F-3862-4EA3-BF0D-B35C94D68EA7}"/>
    <cellStyle name="Comma 16 2 3 7 3 2" xfId="233" xr:uid="{8AFD3F67-6DA4-4F61-AC0D-6884AC96FF8E}"/>
    <cellStyle name="Comma 16 2 3 7 4" xfId="181" xr:uid="{5D086985-1B33-4DB5-BABD-D727C0652575}"/>
    <cellStyle name="Comma 16 3" xfId="281" xr:uid="{B84A888D-A4DF-4C93-BBCD-6AE369B2D1D8}"/>
    <cellStyle name="Comma 17" xfId="165" xr:uid="{0FB65216-6E64-4810-8006-FD7C7F75ABE1}"/>
    <cellStyle name="Comma 18" xfId="170" xr:uid="{A4BA2E7E-C966-499C-8524-5B29454A2902}"/>
    <cellStyle name="Comma 19" xfId="7" xr:uid="{DF009FDC-E323-40D1-9CD5-01E6D2CFED6E}"/>
    <cellStyle name="Comma 2" xfId="2" xr:uid="{327F847B-D053-4DEE-B6BA-6EE04E53EC74}"/>
    <cellStyle name="Comma 2 10" xfId="71" xr:uid="{F6806230-9655-40C9-B236-14CC603797F1}"/>
    <cellStyle name="Comma 2 10 2" xfId="207" xr:uid="{551D7007-E09D-445A-AC1D-075F850BFD42}"/>
    <cellStyle name="Comma 2 12" xfId="36" xr:uid="{CA561059-24CA-4892-B3C3-4B1DF1701035}"/>
    <cellStyle name="Comma 2 12 2" xfId="188" xr:uid="{EDE696AB-B16B-465F-9C45-CA34066C2A6A}"/>
    <cellStyle name="Comma 2 13" xfId="16" xr:uid="{99FB1DAB-6145-4383-A97B-484F63C01B33}"/>
    <cellStyle name="Comma 2 13 2" xfId="178" xr:uid="{09179FC1-F16C-4885-9E5C-52D867653C7E}"/>
    <cellStyle name="Comma 2 2" xfId="5" xr:uid="{DE788496-602F-4D64-94EC-4962CF5F4E28}"/>
    <cellStyle name="Comma 2 2 2" xfId="8" xr:uid="{32768B02-32AE-40BB-A5D5-B253C5573E21}"/>
    <cellStyle name="Comma 2 2 2 2" xfId="104" xr:uid="{2D454094-83FF-428B-B55C-22A9857F3F57}"/>
    <cellStyle name="Comma 2 2 2 2 2" xfId="234" xr:uid="{FD979CD8-61A1-4053-A037-C7CC79AB7FBD}"/>
    <cellStyle name="Comma 2 2 2 3" xfId="172" xr:uid="{76297F41-B545-491A-A416-6E7618D30E6F}"/>
    <cellStyle name="Comma 2 2 3" xfId="50" xr:uid="{54DF4549-AF02-427A-BA97-D86BEA68F627}"/>
    <cellStyle name="Comma 2 2 3 2" xfId="105" xr:uid="{D1D574B9-6F0A-41DD-BC96-BBEBDB02EDF0}"/>
    <cellStyle name="Comma 2 2 3 2 2" xfId="235" xr:uid="{DEC77036-85D9-4374-9D72-2D33A10D4110}"/>
    <cellStyle name="Comma 2 2 3 3" xfId="196" xr:uid="{D0BEFB9D-D5FD-4B05-ACE6-D539AD58538D}"/>
    <cellStyle name="Comma 2 2 4" xfId="57" xr:uid="{8F5A2B59-2200-4D01-B77E-EEF13A665EA6}"/>
    <cellStyle name="Comma 2 2 4 2" xfId="200" xr:uid="{3552D61C-01D8-4847-8514-A69FB6E5F97C}"/>
    <cellStyle name="Comma 2 2 5" xfId="106" xr:uid="{E3F47F4E-6601-4A2C-B4AF-B60B627EE51B}"/>
    <cellStyle name="Comma 2 2 5 2" xfId="236" xr:uid="{2138F997-ED7C-42F9-B9D6-2C6F76B9964C}"/>
    <cellStyle name="Comma 2 2 6" xfId="168" xr:uid="{DF25C65F-71DE-4DB5-9ACA-841D2FFFDF10}"/>
    <cellStyle name="Comma 2 3" xfId="44" xr:uid="{C9AEBAB8-E100-494C-9302-C001CEC900F8}"/>
    <cellStyle name="Comma 2 3 2" xfId="33" xr:uid="{4797878C-818C-4ECA-B967-9E86F5C46361}"/>
    <cellStyle name="Comma 2 3 2 2" xfId="107" xr:uid="{750F0FCD-2EB6-4EA0-8D67-F03543C0EAFE}"/>
    <cellStyle name="Comma 2 3 2 2 2" xfId="237" xr:uid="{6480E7DF-4E2F-4A2B-8DE7-19C79BF5820A}"/>
    <cellStyle name="Comma 2 3 2 3" xfId="185" xr:uid="{9BC7128E-4CC1-47D2-A181-161934DD2996}"/>
    <cellStyle name="Comma 2 3 3" xfId="108" xr:uid="{DD384DCC-2762-4344-94E3-DE959B2208B5}"/>
    <cellStyle name="Comma 2 3 3 2" xfId="238" xr:uid="{F3AFF097-542F-4837-9116-CFB1FC8136EE}"/>
    <cellStyle name="Comma 2 3 4" xfId="23" xr:uid="{58FF88B3-F16C-4F21-AC3C-732DCC9E516A}"/>
    <cellStyle name="Comma 2 3 5" xfId="193" xr:uid="{0A73AF32-C13F-4B36-B3D0-4BA4387BDF09}"/>
    <cellStyle name="Comma 2 4" xfId="80" xr:uid="{DE419C78-6919-4EB2-BEF9-3490BC041D8B}"/>
    <cellStyle name="Comma 2 4 2" xfId="109" xr:uid="{3773A9B1-118B-4074-82FB-7925D1BACF40}"/>
    <cellStyle name="Comma 2 4 2 2" xfId="239" xr:uid="{0F65B532-592E-4A8D-A9A4-D8B430E014D8}"/>
    <cellStyle name="Comma 2 4 3" xfId="212" xr:uid="{4678A9D2-C6C3-4D1D-9CAF-E6CA809683F5}"/>
    <cellStyle name="Comma 2 5" xfId="11" xr:uid="{CD0BBC67-E993-476C-9FAA-BB003D77CF1F}"/>
    <cellStyle name="Comma 2 5 2" xfId="55" xr:uid="{35953930-8814-4941-8AF7-BB8748AA7087}"/>
    <cellStyle name="Comma 2 5 2 2" xfId="110" xr:uid="{A460B16B-2001-4DD3-A51E-93CE19A90F31}"/>
    <cellStyle name="Comma 2 5 2 2 2" xfId="240" xr:uid="{74E5B8C0-7600-4CB0-9763-FED240B6D5B2}"/>
    <cellStyle name="Comma 2 5 2 3" xfId="199" xr:uid="{D6B6CE41-CBC6-45F0-8015-3796635802E4}"/>
    <cellStyle name="Comma 2 5 3" xfId="111" xr:uid="{B35BB19A-4C87-4FBD-AB0A-34D5167E0E5D}"/>
    <cellStyle name="Comma 2 5 3 2" xfId="241" xr:uid="{D3625E30-B06B-4713-A167-1FFA45D57850}"/>
    <cellStyle name="Comma 2 5 4" xfId="112" xr:uid="{5150CF4D-3AAB-4FD2-8774-EB5B9A692254}"/>
    <cellStyle name="Comma 2 5 4 2" xfId="242" xr:uid="{6049085A-DD02-4861-AA0B-8E771DDF5DC2}"/>
    <cellStyle name="Comma 2 5 5" xfId="175" xr:uid="{4704A9BF-84C4-44AC-8AF6-0CCEC51B16F3}"/>
    <cellStyle name="Comma 2 6" xfId="90" xr:uid="{BAD480B1-14AC-42A1-8887-85D6F83F5049}"/>
    <cellStyle name="Comma 2 6 2" xfId="113" xr:uid="{A2541754-5254-4BFD-9775-877931BBE778}"/>
    <cellStyle name="Comma 2 6 2 2" xfId="243" xr:uid="{6D43BCA8-3CE1-48FD-A28E-A32974C17228}"/>
    <cellStyle name="Comma 2 6 3" xfId="220" xr:uid="{4D5CF447-87FF-47D7-81E0-91702B3AB9CF}"/>
    <cellStyle name="Comma 2 7" xfId="114" xr:uid="{9979E139-6B38-48AF-91BD-955FC4E05BF6}"/>
    <cellStyle name="Comma 2 7 2" xfId="244" xr:uid="{7718F394-821A-448E-A90B-30A9D95330DA}"/>
    <cellStyle name="Comma 2 8" xfId="167" xr:uid="{AF0FA415-46DC-4366-962F-0BAAD9B9FD4F}"/>
    <cellStyle name="Comma 3" xfId="15" xr:uid="{19792160-A27C-4BE4-9318-B6BF7DF216AF}"/>
    <cellStyle name="Comma 3 2" xfId="21" xr:uid="{09CD984F-BF6F-472E-B689-9E51AD098FEC}"/>
    <cellStyle name="Comma 3 2 2" xfId="60" xr:uid="{AFEC58F7-3B2F-464F-964F-B781849EA532}"/>
    <cellStyle name="Comma 3 2 2 2" xfId="115" xr:uid="{DB95AEB6-4AE2-417C-8C65-8BFDF1CC7061}"/>
    <cellStyle name="Comma 3 2 2 2 2" xfId="245" xr:uid="{8A26C142-8C8B-4E94-B2D7-51AA0EA095C5}"/>
    <cellStyle name="Comma 3 2 2 3" xfId="201" xr:uid="{5952C1C4-287D-4E92-9FC7-8E9FEBB727DA}"/>
    <cellStyle name="Comma 3 2 3" xfId="116" xr:uid="{709EF9C9-BACB-40B3-9DA6-941505602DD4}"/>
    <cellStyle name="Comma 3 2 3 2" xfId="246" xr:uid="{5A285C11-2A1B-4F87-B22A-FBFBC855FFB8}"/>
    <cellStyle name="Comma 3 2 4" xfId="180" xr:uid="{3F855CA4-DD6B-4CB7-AA89-47544DBE8863}"/>
    <cellStyle name="Comma 3 3" xfId="84" xr:uid="{F4E949A3-ED99-440C-BE6C-7CA44B41B45A}"/>
    <cellStyle name="Comma 3 3 2" xfId="117" xr:uid="{462077B4-4168-4FA0-9CEF-BA7F65ACA19C}"/>
    <cellStyle name="Comma 3 3 2 2" xfId="247" xr:uid="{949C05AF-C9B3-47EB-8B92-B4B160CDA1D0}"/>
    <cellStyle name="Comma 3 3 3" xfId="215" xr:uid="{391D723D-1135-4E37-ABF9-292490FDE4C5}"/>
    <cellStyle name="Comma 3 4" xfId="93" xr:uid="{1A0C2708-73D1-4822-9CE3-8D7381FFB0E6}"/>
    <cellStyle name="Comma 3 4 2" xfId="118" xr:uid="{5A1410CA-DF18-474F-A129-5DF3A7E1B707}"/>
    <cellStyle name="Comma 3 4 2 2" xfId="248" xr:uid="{DDB6E21A-E3D9-4A3E-A9BD-2706F1FFFBD3}"/>
    <cellStyle name="Comma 3 4 3" xfId="223" xr:uid="{8C19DB07-F859-4E35-BB8D-540305296069}"/>
    <cellStyle name="Comma 3 5" xfId="119" xr:uid="{502A7BEA-C668-4339-ACE4-32736F216581}"/>
    <cellStyle name="Comma 3 5 2" xfId="249" xr:uid="{694A4D0F-6117-40AD-9BC0-A6E67ADEE053}"/>
    <cellStyle name="Comma 3 6" xfId="177" xr:uid="{7566A600-44C8-489F-87B4-6A0268B22132}"/>
    <cellStyle name="Comma 4" xfId="17" xr:uid="{9C543936-DFEC-4633-BCF7-0511C48AFB85}"/>
    <cellStyle name="Comma 4 2" xfId="24" xr:uid="{14D145A0-13AB-4C6D-AFF1-B2D9389392E5}"/>
    <cellStyle name="Comma 4 2 2" xfId="120" xr:uid="{F92A538B-5429-49A5-87BF-2F756EBBF06B}"/>
    <cellStyle name="Comma 4 2 2 2" xfId="250" xr:uid="{C42F85D5-A90F-4353-8ACD-621A14069101}"/>
    <cellStyle name="Comma 4 2 3" xfId="182" xr:uid="{AEC854D9-0A91-4526-A1E5-6C546F1677BF}"/>
    <cellStyle name="Comma 4 3" xfId="39" xr:uid="{3C3B7B4F-5C02-47D5-A474-E9EBE5D4BDA6}"/>
    <cellStyle name="Comma 4 3 2" xfId="64" xr:uid="{7DDBF417-0B07-428A-B2BF-B35816010F94}"/>
    <cellStyle name="Comma 4 3 2 2" xfId="203" xr:uid="{A8FBE739-D491-4998-8B49-74E12DF81CF8}"/>
    <cellStyle name="Comma 4 3 3" xfId="190" xr:uid="{DBCF3AA0-353F-46D8-9F20-4C3FF153B76C}"/>
    <cellStyle name="Comma 4 4" xfId="65" xr:uid="{649DCC36-6DFD-4A9E-8B35-7DF3C112701C}"/>
    <cellStyle name="Comma 4 4 2" xfId="204" xr:uid="{FB7AF2AB-7529-4113-94A6-940E9809C4FD}"/>
    <cellStyle name="Comma 4 5" xfId="63" xr:uid="{47F90CDF-F4F6-43BB-9D0E-2E5D8F476CBF}"/>
    <cellStyle name="Comma 4 5 2" xfId="202" xr:uid="{07316564-9D4B-4517-87AD-8D4E379ED783}"/>
    <cellStyle name="Comma 4 6" xfId="34" xr:uid="{F356AA3B-CBB5-4AB8-A00F-98B2EFF3E450}"/>
    <cellStyle name="Comma 4 6 2" xfId="186" xr:uid="{59120259-CB7E-4826-8C89-46F9FC484805}"/>
    <cellStyle name="Comma 4 7" xfId="85" xr:uid="{3499F4B0-10C5-4961-8EA9-82C969FFCD0D}"/>
    <cellStyle name="Comma 4 7 2" xfId="216" xr:uid="{9FE748CA-F135-4CC5-8094-BDD348E52763}"/>
    <cellStyle name="Comma 4 8" xfId="94" xr:uid="{EEB5A638-1E3B-484F-ABEB-56FA26493B01}"/>
    <cellStyle name="Comma 4 8 2" xfId="224" xr:uid="{43F8841A-B48C-4E15-98B0-95F82135B642}"/>
    <cellStyle name="Comma 4 9" xfId="121" xr:uid="{234B7152-B792-4D5D-9943-8AA136871F24}"/>
    <cellStyle name="Comma 4 9 2" xfId="251" xr:uid="{E40E613C-9A48-4CFB-A30D-600A0888E889}"/>
    <cellStyle name="Comma 5" xfId="69" xr:uid="{DEB990CA-171B-4CC1-9878-679F267AB1C9}"/>
    <cellStyle name="Comma 5 2" xfId="87" xr:uid="{71AEC834-8121-4204-82B8-8F27985FD9D8}"/>
    <cellStyle name="Comma 5 2 2" xfId="122" xr:uid="{41A5D947-0C9C-4A4F-B6BD-38E9ED2585BC}"/>
    <cellStyle name="Comma 5 2 2 2" xfId="252" xr:uid="{CC0D37D1-4F42-4739-B0E4-8615B1955461}"/>
    <cellStyle name="Comma 5 2 3" xfId="217" xr:uid="{644F6FD7-18B3-4180-8135-0C6AD5B1B96D}"/>
    <cellStyle name="Comma 5 3" xfId="123" xr:uid="{A71AECFA-7A9D-42A5-8892-32B4BB5726CC}"/>
    <cellStyle name="Comma 5 3 2" xfId="253" xr:uid="{0F9A28D0-3378-4C02-AAA0-C547C3DD4E53}"/>
    <cellStyle name="Comma 5 4" xfId="206" xr:uid="{BD3A67EA-3B62-4FBF-A23C-F8B9EFBD50F2}"/>
    <cellStyle name="Comma 6" xfId="53" xr:uid="{65FD2CA8-44F4-4F87-AAE3-E9CE7686727F}"/>
    <cellStyle name="Comma 6 2" xfId="124" xr:uid="{B3388B25-F218-445E-BFA0-8F356593B61B}"/>
    <cellStyle name="Comma 6 2 2" xfId="254" xr:uid="{49991F93-01BD-422B-99E2-DE78E565FF40}"/>
    <cellStyle name="Comma 6 3" xfId="198" xr:uid="{48DDA070-F1C5-48DC-ACAF-D72FD27B0418}"/>
    <cellStyle name="Comma 7" xfId="41" xr:uid="{DB333932-7B6C-4624-9A04-E63DE596E055}"/>
    <cellStyle name="Comma 7 2" xfId="125" xr:uid="{EF68E38C-1107-4443-826D-59235C8668B7}"/>
    <cellStyle name="Comma 7 2 2" xfId="255" xr:uid="{F98964D8-5AE4-4526-B61B-D824DE1110CE}"/>
    <cellStyle name="Comma 7 3" xfId="47" xr:uid="{F6C11AFA-FB9C-4E74-86A6-594EFFDCD29C}"/>
    <cellStyle name="Comma 7 3 2" xfId="126" xr:uid="{AC5AE96B-283A-4026-8389-1F7DFC9DA40E}"/>
    <cellStyle name="Comma 7 3 2 2" xfId="256" xr:uid="{4FCB53CA-6BCE-4006-8ECB-0C1497359A3E}"/>
    <cellStyle name="Comma 7 3 3" xfId="195" xr:uid="{4A9B65CD-6F5B-41C7-B2A1-490E5A6C3721}"/>
    <cellStyle name="Comma 7 4" xfId="127" xr:uid="{0F7DA4D2-91FF-4324-B3CF-AEFE29903356}"/>
    <cellStyle name="Comma 7 4 2" xfId="257" xr:uid="{6A76A4B4-8DE0-453E-B413-B7BCCE37A6B5}"/>
    <cellStyle name="Comma 7 5" xfId="191" xr:uid="{CACE5553-FEFA-4D1E-B616-118361946ACD}"/>
    <cellStyle name="Comma 8" xfId="52" xr:uid="{929ADCCA-F896-4042-ABF7-1815A7D430D7}"/>
    <cellStyle name="Comma 8 2" xfId="128" xr:uid="{3F0D349F-513D-47E4-B8E9-A76F5C6765FB}"/>
    <cellStyle name="Comma 8 2 2" xfId="258" xr:uid="{1B41825D-E7CC-4786-ACC6-55DDC2853AE4}"/>
    <cellStyle name="Comma 8 3" xfId="197" xr:uid="{576F4422-5F96-4C8C-8B91-0F143DCB8EE0}"/>
    <cellStyle name="Comma 9" xfId="73" xr:uid="{9D78B824-CB0F-47DC-8D19-95C75E21B5A3}"/>
    <cellStyle name="Comma 9 2" xfId="129" xr:uid="{811B7C4F-F55E-49FE-82A6-4A1D52EF5BB1}"/>
    <cellStyle name="Comma 9 2 2" xfId="259" xr:uid="{FFC04310-92E9-4D8C-8450-024E18D0FBF0}"/>
    <cellStyle name="Currency 2" xfId="35" xr:uid="{8FC98B8E-B3CC-4668-B12F-AB5689ED4B0F}"/>
    <cellStyle name="Currency 2 2" xfId="130" xr:uid="{5F0DE22E-3B0B-40E7-881E-59B9B0419CD0}"/>
    <cellStyle name="Currency 2 3" xfId="187" xr:uid="{B6D414B8-4AA0-49F8-BC9A-80A0CA197D23}"/>
    <cellStyle name="Currency 3" xfId="66" xr:uid="{B8A93370-63EA-4118-9C68-323229D7A236}"/>
    <cellStyle name="Heading 3 2" xfId="67" xr:uid="{157F8D03-8C98-41CD-86AB-F6B53A6CDABC}"/>
    <cellStyle name="Hyperlink 2" xfId="76" xr:uid="{A666373D-06AB-4D64-A28F-A62599AF0B44}"/>
    <cellStyle name="Hyperlink 2 2" xfId="131" xr:uid="{19D091D7-BF44-411E-90E6-D645CD0ED1C7}"/>
    <cellStyle name="Normal" xfId="0" builtinId="0"/>
    <cellStyle name="Normal 10" xfId="132" xr:uid="{6041597F-A895-4AAC-A954-6FFC2124B261}"/>
    <cellStyle name="Normal 10 2" xfId="48" xr:uid="{5B930E96-DAF1-4BA1-A039-B3CF4538E86E}"/>
    <cellStyle name="Normal 10 2 2" xfId="30" xr:uid="{664E60F1-566D-4DE8-A505-A1B9115FD083}"/>
    <cellStyle name="Normal 10 2 3" xfId="32" xr:uid="{DA42C4E3-A365-49AA-95F1-A8145B89DD6A}"/>
    <cellStyle name="Normal 11" xfId="18" xr:uid="{84B0D3CA-BFFE-42CA-9DFA-0CF4DD6CA539}"/>
    <cellStyle name="Normal 12" xfId="164" xr:uid="{A392DED6-2C28-47E8-B65A-95CD6F9AA5AE}"/>
    <cellStyle name="Normal 13" xfId="166" xr:uid="{A6D9F62A-ECAD-4012-A012-0B8D478B4358}"/>
    <cellStyle name="Normal 14" xfId="14" xr:uid="{C3B9D9B5-FB3F-4D20-8213-DCC67A8CB686}"/>
    <cellStyle name="Normal 15" xfId="263" xr:uid="{2958FB6B-BAA0-4A29-BDDD-BC2CF4E01112}"/>
    <cellStyle name="Normal 19 2 2" xfId="133" xr:uid="{536D477C-A885-497D-80F8-423A2F32B555}"/>
    <cellStyle name="Normal 19 2 2 2" xfId="134" xr:uid="{53BF8A4C-B2EF-45A7-B75B-E13ED32315F1}"/>
    <cellStyle name="Normal 19 2 2 2 2" xfId="261" xr:uid="{A67C3465-C988-41E8-BE6B-77276C2243AD}"/>
    <cellStyle name="Normal 19 2 2 3" xfId="135" xr:uid="{7472EEDA-7E66-4A37-A52E-706C409653DC}"/>
    <cellStyle name="Normal 19 2 2 3 2" xfId="262" xr:uid="{3C4FD223-EEFE-4E3D-BFC9-64FEC25F877E}"/>
    <cellStyle name="Normal 19 2 2 4" xfId="260" xr:uid="{5333E1FA-58CC-413A-A794-4A52E8FCC7F7}"/>
    <cellStyle name="Normal 2" xfId="4" xr:uid="{73D580ED-E1E6-4B6D-B27D-D0C355B99CEF}"/>
    <cellStyle name="Normal 2 2" xfId="59" xr:uid="{3E829849-6B12-4F9F-9A18-5B970376A306}"/>
    <cellStyle name="Normal 2 2 2" xfId="74" xr:uid="{DCA27487-B680-489E-AF5F-1A685B8EDC2C}"/>
    <cellStyle name="Normal 2 2 2 2" xfId="136" xr:uid="{93D7249A-7319-483F-9D6D-36137CFA70DC}"/>
    <cellStyle name="Normal 2 2 2 4" xfId="20" xr:uid="{A0732D62-DC7E-4699-BB3B-7466AE928561}"/>
    <cellStyle name="Normal 2 2 3" xfId="81" xr:uid="{4BB52CAA-12C9-48FD-8CE8-828D9531F200}"/>
    <cellStyle name="Normal 2 2 3 2" xfId="137" xr:uid="{0778A76B-BAFC-46CD-A8CD-4C384463B8A9}"/>
    <cellStyle name="Normal 2 2 3 2 2" xfId="264" xr:uid="{BB2302B9-B711-4AA6-8A1D-E3D6C6CCE906}"/>
    <cellStyle name="Normal 2 2 4" xfId="138" xr:uid="{78FD3D58-8707-4B28-82C8-A501E8F35ED4}"/>
    <cellStyle name="Normal 2 2 4 2" xfId="265" xr:uid="{E440E7F4-3A55-4A44-A537-79C32C133888}"/>
    <cellStyle name="Normal 2 2 5" xfId="139" xr:uid="{CC2566B2-EABA-4B5E-B61F-06C28CD477A2}"/>
    <cellStyle name="Normal 2 2 5 2" xfId="266" xr:uid="{6FEFDC92-6A93-422B-9D8D-1466629BECDF}"/>
    <cellStyle name="Normal 2 2 5 2 7" xfId="25" xr:uid="{BD6CF037-C3DB-4359-AFCD-4DBC741A2460}"/>
    <cellStyle name="Normal 2 2 5 2 7 2" xfId="140" xr:uid="{8BC41B08-9475-4E92-BAE3-F3B96AE83A88}"/>
    <cellStyle name="Normal 2 2 6" xfId="42" xr:uid="{DAC1FAB2-1CA6-408C-8D01-9F92D9BE07A7}"/>
    <cellStyle name="Normal 2 3" xfId="54" xr:uid="{D3D3FAAE-90CF-402B-A263-ECA52A45B24B}"/>
    <cellStyle name="Normal 2 3 2" xfId="141" xr:uid="{9F0E75BB-5CC2-41B5-B921-0014F4257598}"/>
    <cellStyle name="Normal 2 3 2 2" xfId="267" xr:uid="{F69AB29E-BA0D-414D-BE7F-9973E8348489}"/>
    <cellStyle name="Normal 2 3 3" xfId="142" xr:uid="{CF5CCC24-A913-45BF-B201-D20826B22D42}"/>
    <cellStyle name="Normal 2 3 3 2" xfId="268" xr:uid="{25B2BBEF-1FBA-4C6F-BE71-8BCEF791B7EF}"/>
    <cellStyle name="Normal 2 3 6" xfId="10" xr:uid="{FEB2A301-117F-4572-B4CC-0317E9813FE3}"/>
    <cellStyle name="Normal 2 3 6 2" xfId="38" xr:uid="{2E40C9C0-3463-474B-9DE7-C11AE3E0E945}"/>
    <cellStyle name="Normal 2 3 6 2 2" xfId="143" xr:uid="{C96273C7-1CAF-4ED5-8F1D-F8D12B738B34}"/>
    <cellStyle name="Normal 2 3 6 2 2 2" xfId="269" xr:uid="{77B4981A-65CB-4D07-907B-7D6E25269D02}"/>
    <cellStyle name="Normal 2 3 6 2 3" xfId="189" xr:uid="{B306101E-F09E-44D5-A8FD-D85EFD195F3A}"/>
    <cellStyle name="Normal 2 3 6 3" xfId="144" xr:uid="{312AFA61-AC8D-49A7-8B13-805FAE78CD37}"/>
    <cellStyle name="Normal 2 3 6 3 2" xfId="270" xr:uid="{B04ECA5A-B042-4DB9-9C16-576EBB69FE1F}"/>
    <cellStyle name="Normal 2 3 6 4" xfId="145" xr:uid="{70BB86DB-B628-487B-949F-1422735447C5}"/>
    <cellStyle name="Normal 2 3 6 4 2" xfId="271" xr:uid="{F12A0D14-FE81-4324-91E7-4621F1BDD7BB}"/>
    <cellStyle name="Normal 2 3 6 5" xfId="174" xr:uid="{24925234-2E67-432A-9C6C-B180739032B3}"/>
    <cellStyle name="Normal 2 4" xfId="79" xr:uid="{C43209E4-BC57-4E1A-90B8-2D5DBD469CB4}"/>
    <cellStyle name="Normal 2 4 2" xfId="211" xr:uid="{C55C5F81-0A3D-4A2B-B6B6-0B0B8430F954}"/>
    <cellStyle name="Normal 2 5" xfId="89" xr:uid="{E0C4DF76-F107-459E-A592-6FD4E6B44A0D}"/>
    <cellStyle name="Normal 2 5 2" xfId="219" xr:uid="{90370199-B54F-4946-A882-370A5F0B4A78}"/>
    <cellStyle name="Normal 3" xfId="6" xr:uid="{FECB7ECB-9D40-4BFF-AC5A-3948F3ABF411}"/>
    <cellStyle name="Normal 3 2" xfId="9" xr:uid="{77A1228E-75D7-4B4F-937F-34E2D13312D1}"/>
    <cellStyle name="Normal 3 2 2" xfId="61" xr:uid="{B11ECFAA-9FFC-45FC-BC09-528C18810A05}"/>
    <cellStyle name="Normal 3 2 3" xfId="173" xr:uid="{3B4DCE9A-3029-4656-A561-2A4601021E98}"/>
    <cellStyle name="Normal 3 3" xfId="56" xr:uid="{4B6F406C-AFF6-4475-9032-CFE8B076A658}"/>
    <cellStyle name="Normal 3 3 2" xfId="146" xr:uid="{D70219BE-B32C-4D34-BEE8-29F14E3F4799}"/>
    <cellStyle name="Normal 3 3 2 2" xfId="272" xr:uid="{1308C739-607F-4761-B5AD-5E8B1D78DF67}"/>
    <cellStyle name="Normal 3 4" xfId="83" xr:uid="{C2E2BD82-878C-4A6D-A52F-32C1D6343F46}"/>
    <cellStyle name="Normal 3 4 2" xfId="147" xr:uid="{F7EE3DC0-4F86-4144-9DEA-12563D6D42BA}"/>
    <cellStyle name="Normal 3 4 2 2" xfId="273" xr:uid="{E4334A89-B1ED-4FEE-8260-D12A9D3D4D7D}"/>
    <cellStyle name="Normal 3 4 3" xfId="214" xr:uid="{C61D2F2F-A9DB-4F2B-9098-EE2AF6592011}"/>
    <cellStyle name="Normal 3 5" xfId="92" xr:uid="{978A0E91-C93D-4613-B0BE-A88E42C24F8B}"/>
    <cellStyle name="Normal 3 5 2" xfId="222" xr:uid="{68C2D4C3-141D-4CE8-8294-9E19445C4A67}"/>
    <cellStyle name="Normal 3 6" xfId="169" xr:uid="{814F1034-7A07-4894-B100-4CBD3DB55BEE}"/>
    <cellStyle name="Normal 4" xfId="13" xr:uid="{6ACD7454-9D9C-413D-8A94-B3A9BA45141D}"/>
    <cellStyle name="Normal 4 2" xfId="70" xr:uid="{F8D3EC34-4CF7-43E3-BA33-1E93B591175A}"/>
    <cellStyle name="Normal 4 2 2" xfId="51" xr:uid="{247692A8-B5EA-4F71-BACB-00F927D54BFC}"/>
    <cellStyle name="Normal 4 2 2 2" xfId="37" xr:uid="{773453EE-F824-4B29-9944-2FA0D7F8979F}"/>
    <cellStyle name="Normal 4 2 3" xfId="148" xr:uid="{5A94F1AE-549D-429F-88C3-3025E17D8AF2}"/>
    <cellStyle name="Normal 4 3" xfId="49" xr:uid="{77E66242-89C8-4547-ADBF-C97E025161C5}"/>
    <cellStyle name="Normal 4 4" xfId="58" xr:uid="{1C5AB2CB-C65A-4214-873C-49FC354431FB}"/>
    <cellStyle name="Normal 4 4 2" xfId="149" xr:uid="{A0EDE5DC-573B-43F0-A2E9-36CD23272B4F}"/>
    <cellStyle name="Normal 4 5" xfId="86" xr:uid="{67D48B98-6554-4D63-8765-E9A427E17799}"/>
    <cellStyle name="Normal 41" xfId="46" xr:uid="{87CC6852-EE78-4E6E-82E5-F35DE5B52885}"/>
    <cellStyle name="Normal 41 2" xfId="27" xr:uid="{E44570AB-C4A6-411A-AF4F-D7CBCFCCCE38}"/>
    <cellStyle name="Normal 5" xfId="62" xr:uid="{116A9809-03E2-4831-B0A1-DF64A7C4A265}"/>
    <cellStyle name="Normal 5 2" xfId="150" xr:uid="{DA2DDB18-1BD8-4001-847E-1444FFA4FAA0}"/>
    <cellStyle name="Normal 5 2 2" xfId="151" xr:uid="{D51E5248-4DC6-48B9-B1AF-ADEFD1256B87}"/>
    <cellStyle name="Normal 5 2 2 2" xfId="275" xr:uid="{F52B92BD-A324-4CC2-9E43-966D4ABACBC2}"/>
    <cellStyle name="Normal 5 2 3" xfId="152" xr:uid="{0E9A8C12-C822-40DE-ACAE-4091C69A7AFF}"/>
    <cellStyle name="Normal 5 2 3 2" xfId="276" xr:uid="{7C88FDCF-D858-4A87-A7E3-AE754D72E022}"/>
    <cellStyle name="Normal 5 2 4" xfId="274" xr:uid="{0BF1F9FF-C7A8-4DD9-BBB2-496F37D5B0D5}"/>
    <cellStyle name="Normal 5 3" xfId="153" xr:uid="{D0AF62E0-4CF0-4231-9E54-7BEA2706D7CC}"/>
    <cellStyle name="Normal 6" xfId="40" xr:uid="{9122F342-5FE0-41D3-B311-2CB57EE5583A}"/>
    <cellStyle name="Normal 6 2" xfId="68" xr:uid="{3D05259F-987E-4E92-9BF9-1257D2754AF7}"/>
    <cellStyle name="Normal 6 2 2" xfId="205" xr:uid="{5CFD159D-E3E3-478A-B813-C7DCF86BE181}"/>
    <cellStyle name="Normal 7" xfId="154" xr:uid="{44D1B185-B24D-41F0-9441-57FB2DB6C1C4}"/>
    <cellStyle name="Normal 8" xfId="162" xr:uid="{B956A284-8E16-4F8E-B512-24AAECBCC72A}"/>
    <cellStyle name="Normal 8 2" xfId="280" xr:uid="{94806557-6587-49F1-8442-CAE917D4AB53}"/>
    <cellStyle name="Normal 9" xfId="72" xr:uid="{653434CD-B8B1-47E9-8EE5-C7EE3762E40C}"/>
    <cellStyle name="Percent 10 2 7" xfId="28" xr:uid="{7123F34A-A547-4B82-B36B-11ED71C2DA88}"/>
    <cellStyle name="Percent 10 2 7 2" xfId="155" xr:uid="{128867BD-C87C-4958-B0C0-2EAB989334E1}"/>
    <cellStyle name="Percent 2" xfId="3" xr:uid="{2A0495E0-A011-46DA-9348-9FAB6CEF7A48}"/>
    <cellStyle name="Percent 2 2" xfId="12" xr:uid="{B78127D9-7189-4466-9A42-6E71C0D79B58}"/>
    <cellStyle name="Percent 2 2 2" xfId="156" xr:uid="{917B62E2-0796-49F2-BB14-7C3F8469D2BF}"/>
    <cellStyle name="Percent 2 2 2 2" xfId="277" xr:uid="{1DA9AB97-47FD-4577-86B7-A90BD7E6B626}"/>
    <cellStyle name="Percent 2 2 3" xfId="157" xr:uid="{C34A999F-45D8-4A95-A008-B6AA2A03431A}"/>
    <cellStyle name="Percent 2 2 3 2" xfId="278" xr:uid="{E27DBD71-CB03-48BD-8714-D1A4AA415087}"/>
    <cellStyle name="Percent 2 2 4" xfId="158" xr:uid="{BBC7869B-AEA9-4E41-A32D-FB618D701673}"/>
    <cellStyle name="Percent 2 2 5" xfId="176" xr:uid="{3B3BDF8D-A2C8-4CF7-8685-2552A6C94538}"/>
    <cellStyle name="Percent 2 3" xfId="82" xr:uid="{9CDFE37F-64F5-46C6-9D41-BB9DE9D5C1CD}"/>
    <cellStyle name="Percent 2 3 2" xfId="159" xr:uid="{006BFB56-05E8-4DEC-AC4F-0CAA849F7717}"/>
    <cellStyle name="Percent 2 3 2 2" xfId="279" xr:uid="{4AAE5DFE-8EBF-46EA-A716-573B200AB628}"/>
    <cellStyle name="Percent 2 3 3" xfId="213" xr:uid="{FD65456E-25AE-4CC2-956B-1108A5A0974E}"/>
    <cellStyle name="Percent 2 4" xfId="91" xr:uid="{9F7B4FD9-68F6-4FF5-AD54-4E7323121C87}"/>
    <cellStyle name="Percent 2 4 2" xfId="221" xr:uid="{DB4D03B6-AD56-46E2-8EA5-94F33A080ACA}"/>
    <cellStyle name="Percent 3" xfId="160" xr:uid="{61FD0F49-C35C-4B5D-83A4-4B28DB4AB5B0}"/>
    <cellStyle name="Percent 4" xfId="161" xr:uid="{B162D762-5EF7-403F-9918-194EBA3B4C7E}"/>
    <cellStyle name="Percent 5" xfId="171" xr:uid="{1C9BF5A1-4713-4DB4-9BEF-D99C52E739F4}"/>
    <cellStyle name="Percent 7" xfId="29" xr:uid="{F6F8C6F3-ECDF-415D-A4CA-735481C0497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úc, Nguyễn Thị Thanh" id="{42802C0D-5546-407C-B7CD-E608AB127D04}" userId="S::TrucNTT@duytanrecycling.com::d878bd75-adcf-441f-9323-5020c898ab5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1" dT="2025-12-30T13:50:26.52" personId="{42802C0D-5546-407C-B7CD-E608AB127D04}" id="{2DDC0D69-C8C8-4963-BF7D-A84759804F40}">
    <text>Đựng vảy sạch</text>
  </threadedComment>
  <threadedComment ref="D12" dT="2025-12-30T13:50:54.25" personId="{42802C0D-5546-407C-B7CD-E608AB127D04}" id="{07246D03-9746-469E-BAD7-8F0DDA6B64F8}">
    <text>Đựng vảy thô</text>
  </threadedComment>
  <threadedComment ref="D14" dT="2025-12-30T13:53:53.72" personId="{42802C0D-5546-407C-B7CD-E608AB127D04}" id="{7D1CA276-8598-47F1-8CAB-4F74B7F9C413}">
    <text>Đựng vảy BTP</text>
  </threadedComment>
  <threadedComment ref="D16" dT="2025-12-30T13:51:47.95" personId="{42802C0D-5546-407C-B7CD-E608AB127D04}" id="{484078B9-A9F8-4F85-A90A-CAD422B24745}">
    <text>Đựng TP thay bao hàng tồn kho</text>
  </threadedComment>
  <threadedComment ref="D17" dT="2025-12-30T13:54:51.43" personId="{42802C0D-5546-407C-B7CD-E608AB127D04}" id="{BAF7C10E-7AF3-462B-B889-C58FFFE8B6F0}">
    <text>Xuất trả NCC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CD82E-BC3B-4F84-B6A6-12135871CF94}">
  <sheetPr>
    <tabColor theme="9" tint="-0.249977111117893"/>
  </sheetPr>
  <dimension ref="B1:S51"/>
  <sheetViews>
    <sheetView showGridLines="0" tabSelected="1" zoomScaleNormal="100" workbookViewId="0">
      <pane xSplit="4" ySplit="4" topLeftCell="G5" activePane="bottomRight" state="frozen"/>
      <selection pane="topRight" activeCell="E1" sqref="E1"/>
      <selection pane="bottomLeft" activeCell="A5" sqref="A5"/>
      <selection pane="bottomRight" activeCell="S5" sqref="S5"/>
    </sheetView>
  </sheetViews>
  <sheetFormatPr defaultColWidth="8.85546875" defaultRowHeight="15.75"/>
  <cols>
    <col min="1" max="1" width="3.140625" style="1" customWidth="1"/>
    <col min="2" max="2" width="6.5703125" style="1" customWidth="1"/>
    <col min="3" max="3" width="18.140625" style="1" customWidth="1"/>
    <col min="4" max="4" width="49" style="1" customWidth="1"/>
    <col min="5" max="5" width="23.7109375" style="88" customWidth="1"/>
    <col min="6" max="6" width="8.140625" style="1" customWidth="1"/>
    <col min="7" max="16" width="7.5703125" style="93" bestFit="1" customWidth="1"/>
    <col min="17" max="17" width="7.5703125" style="1" bestFit="1" customWidth="1"/>
    <col min="18" max="18" width="7.5703125" style="1" hidden="1" customWidth="1"/>
    <col min="19" max="19" width="10.28515625" style="1" customWidth="1"/>
    <col min="20" max="16384" width="8.85546875" style="1"/>
  </cols>
  <sheetData>
    <row r="1" spans="2:19" ht="21">
      <c r="C1" s="2" t="s">
        <v>408</v>
      </c>
    </row>
    <row r="2" spans="2:19">
      <c r="B2" s="3" t="s">
        <v>390</v>
      </c>
      <c r="E2" s="99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0"/>
      <c r="R2" s="100"/>
      <c r="S2" s="100"/>
    </row>
    <row r="3" spans="2:19">
      <c r="B3" s="115" t="s">
        <v>0</v>
      </c>
      <c r="C3" s="115" t="s">
        <v>4</v>
      </c>
      <c r="D3" s="115" t="s">
        <v>5</v>
      </c>
      <c r="E3" s="115" t="s">
        <v>1</v>
      </c>
      <c r="F3" s="115" t="s">
        <v>2</v>
      </c>
      <c r="G3" s="118" t="s">
        <v>375</v>
      </c>
      <c r="H3" s="118" t="s">
        <v>376</v>
      </c>
      <c r="I3" s="118" t="s">
        <v>377</v>
      </c>
      <c r="J3" s="118" t="s">
        <v>378</v>
      </c>
      <c r="K3" s="118" t="s">
        <v>379</v>
      </c>
      <c r="L3" s="118" t="s">
        <v>380</v>
      </c>
      <c r="M3" s="118" t="s">
        <v>381</v>
      </c>
      <c r="N3" s="118" t="s">
        <v>382</v>
      </c>
      <c r="O3" s="118" t="s">
        <v>383</v>
      </c>
      <c r="P3" s="118" t="s">
        <v>384</v>
      </c>
      <c r="Q3" s="115" t="s">
        <v>385</v>
      </c>
      <c r="R3" s="115" t="s">
        <v>386</v>
      </c>
      <c r="S3" s="115" t="s">
        <v>409</v>
      </c>
    </row>
    <row r="4" spans="2:19">
      <c r="B4" s="115"/>
      <c r="C4" s="115"/>
      <c r="D4" s="115"/>
      <c r="E4" s="115"/>
      <c r="F4" s="115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5"/>
      <c r="R4" s="115"/>
      <c r="S4" s="115"/>
    </row>
    <row r="5" spans="2:19">
      <c r="B5" s="41">
        <v>1</v>
      </c>
      <c r="C5" s="42"/>
      <c r="D5" s="43" t="s">
        <v>256</v>
      </c>
      <c r="E5" s="44"/>
      <c r="F5" s="85" t="s">
        <v>241</v>
      </c>
      <c r="G5" s="102">
        <f t="shared" ref="G5:S5" si="0">G39-G22</f>
        <v>0.1544316673659169</v>
      </c>
      <c r="H5" s="102">
        <f t="shared" si="0"/>
        <v>1.3492391110802859E-2</v>
      </c>
      <c r="I5" s="102">
        <f t="shared" si="0"/>
        <v>7.6223485209515607E-3</v>
      </c>
      <c r="J5" s="102">
        <f t="shared" si="0"/>
        <v>-2.8406927283393113E-3</v>
      </c>
      <c r="K5" s="102">
        <f t="shared" si="0"/>
        <v>-3.0281503396308751E-2</v>
      </c>
      <c r="L5" s="102">
        <f t="shared" si="0"/>
        <v>-3.9573615064073864E-2</v>
      </c>
      <c r="M5" s="102">
        <f t="shared" si="0"/>
        <v>-4.6637649509202461E-2</v>
      </c>
      <c r="N5" s="102">
        <f t="shared" si="0"/>
        <v>-8.2818473454694036E-2</v>
      </c>
      <c r="O5" s="102">
        <f t="shared" si="0"/>
        <v>-4.4116353945636788E-2</v>
      </c>
      <c r="P5" s="102">
        <f t="shared" si="0"/>
        <v>-4.478090695302428E-2</v>
      </c>
      <c r="Q5" s="102">
        <f t="shared" si="0"/>
        <v>-6.1988539716941821E-2</v>
      </c>
      <c r="R5" s="85"/>
      <c r="S5" s="102">
        <f t="shared" si="0"/>
        <v>-1.1550278805360803E-2</v>
      </c>
    </row>
    <row r="6" spans="2:19">
      <c r="B6" s="4" t="s">
        <v>235</v>
      </c>
      <c r="C6" s="6"/>
      <c r="D6" s="60" t="s">
        <v>31</v>
      </c>
      <c r="E6" s="116" t="s">
        <v>240</v>
      </c>
      <c r="F6" s="86" t="s">
        <v>241</v>
      </c>
      <c r="G6" s="103">
        <f t="shared" ref="G6:S6" si="1">G40-G23</f>
        <v>0.22740279224277005</v>
      </c>
      <c r="H6" s="103">
        <f t="shared" si="1"/>
        <v>-8.0853003956737335E-3</v>
      </c>
      <c r="I6" s="103">
        <f t="shared" si="1"/>
        <v>-4.2995636365300738E-2</v>
      </c>
      <c r="J6" s="103">
        <f t="shared" si="1"/>
        <v>-3.2140050453333957E-2</v>
      </c>
      <c r="K6" s="103">
        <f t="shared" si="1"/>
        <v>-3.7485287895574981E-2</v>
      </c>
      <c r="L6" s="103">
        <f t="shared" si="1"/>
        <v>-9.9503833709120526E-2</v>
      </c>
      <c r="M6" s="103">
        <f t="shared" si="1"/>
        <v>-0.12914464510994883</v>
      </c>
      <c r="N6" s="103">
        <f t="shared" si="1"/>
        <v>-0.16293783896541375</v>
      </c>
      <c r="O6" s="103">
        <f t="shared" si="1"/>
        <v>-0.13887856669215126</v>
      </c>
      <c r="P6" s="103">
        <f t="shared" si="1"/>
        <v>-0.15943611224623913</v>
      </c>
      <c r="Q6" s="103">
        <f t="shared" si="1"/>
        <v>-0.1561175445277623</v>
      </c>
      <c r="R6" s="104"/>
      <c r="S6" s="103">
        <f t="shared" si="1"/>
        <v>-5.8320447958998711E-2</v>
      </c>
    </row>
    <row r="7" spans="2:19">
      <c r="B7" s="4" t="s">
        <v>236</v>
      </c>
      <c r="C7" s="6"/>
      <c r="D7" s="60" t="s">
        <v>33</v>
      </c>
      <c r="E7" s="116"/>
      <c r="F7" s="86" t="s">
        <v>241</v>
      </c>
      <c r="G7" s="105">
        <f t="shared" ref="G7:S7" si="2">G41-G24</f>
        <v>-0.2799984699684952</v>
      </c>
      <c r="H7" s="105">
        <f t="shared" si="2"/>
        <v>-0.43640707910152188</v>
      </c>
      <c r="I7" s="105">
        <f t="shared" si="2"/>
        <v>-0.687146787524058</v>
      </c>
      <c r="J7" s="105">
        <f t="shared" si="2"/>
        <v>-0.49417861542331842</v>
      </c>
      <c r="K7" s="105">
        <f t="shared" si="2"/>
        <v>-0.46807601478117755</v>
      </c>
      <c r="L7" s="105">
        <f t="shared" si="2"/>
        <v>-0.45769371386790159</v>
      </c>
      <c r="M7" s="105">
        <f t="shared" si="2"/>
        <v>-0.360444455311002</v>
      </c>
      <c r="N7" s="105">
        <f t="shared" si="2"/>
        <v>-0.71740956206322515</v>
      </c>
      <c r="O7" s="105">
        <f t="shared" si="2"/>
        <v>-0.52311274757397341</v>
      </c>
      <c r="P7" s="105">
        <f t="shared" si="2"/>
        <v>-0.39128254717375177</v>
      </c>
      <c r="Q7" s="105">
        <f t="shared" si="2"/>
        <v>-0.50889416864734849</v>
      </c>
      <c r="R7" s="86"/>
      <c r="S7" s="105">
        <f t="shared" si="2"/>
        <v>-0.48157499927884229</v>
      </c>
    </row>
    <row r="8" spans="2:19">
      <c r="B8" s="4" t="s">
        <v>243</v>
      </c>
      <c r="C8" s="6"/>
      <c r="D8" s="60" t="s">
        <v>30</v>
      </c>
      <c r="E8" s="117"/>
      <c r="F8" s="86" t="s">
        <v>241</v>
      </c>
      <c r="G8" s="105">
        <f t="shared" ref="G8:S8" si="3">G42-G25</f>
        <v>1.5517809458957921E-2</v>
      </c>
      <c r="H8" s="105">
        <f t="shared" si="3"/>
        <v>-5.3059470186490515E-2</v>
      </c>
      <c r="I8" s="105">
        <f t="shared" si="3"/>
        <v>-3.2612647643862125E-2</v>
      </c>
      <c r="J8" s="105">
        <f t="shared" si="3"/>
        <v>-6.8257825654319093E-2</v>
      </c>
      <c r="K8" s="105">
        <f t="shared" si="3"/>
        <v>-0.11690555626033014</v>
      </c>
      <c r="L8" s="105">
        <f t="shared" si="3"/>
        <v>-9.8740982690062623E-2</v>
      </c>
      <c r="M8" s="105">
        <f t="shared" si="3"/>
        <v>-9.3102196492535344E-2</v>
      </c>
      <c r="N8" s="105">
        <f t="shared" si="3"/>
        <v>-0.10444545329599547</v>
      </c>
      <c r="O8" s="105">
        <f t="shared" si="3"/>
        <v>-6.2068340569739311E-2</v>
      </c>
      <c r="P8" s="105">
        <f t="shared" si="3"/>
        <v>-6.3232112910605459E-2</v>
      </c>
      <c r="Q8" s="105">
        <f t="shared" si="3"/>
        <v>-9.1351469910810057E-2</v>
      </c>
      <c r="R8" s="86"/>
      <c r="S8" s="105">
        <f t="shared" si="3"/>
        <v>-6.7690677624498263E-2</v>
      </c>
    </row>
    <row r="9" spans="2:19">
      <c r="B9" s="41">
        <v>2</v>
      </c>
      <c r="C9" s="42"/>
      <c r="D9" s="43" t="s">
        <v>242</v>
      </c>
      <c r="E9" s="89" t="s">
        <v>6</v>
      </c>
      <c r="F9" s="43"/>
      <c r="G9" s="102">
        <f t="shared" ref="G9:S9" si="4">G43-G26</f>
        <v>5.3724296652906081E-2</v>
      </c>
      <c r="H9" s="102">
        <f t="shared" si="4"/>
        <v>-4.4342454780809809E-3</v>
      </c>
      <c r="I9" s="102">
        <f t="shared" si="4"/>
        <v>-3.0514815612291274E-2</v>
      </c>
      <c r="J9" s="102">
        <f t="shared" si="4"/>
        <v>-1.1230828728715246E-2</v>
      </c>
      <c r="K9" s="102">
        <f t="shared" si="4"/>
        <v>-2.9889410340952847E-2</v>
      </c>
      <c r="L9" s="102">
        <f t="shared" si="4"/>
        <v>-5.2803177382753155E-3</v>
      </c>
      <c r="M9" s="102">
        <f t="shared" si="4"/>
        <v>-3.2612387711415863E-2</v>
      </c>
      <c r="N9" s="102">
        <f t="shared" si="4"/>
        <v>-8.638533781506634E-3</v>
      </c>
      <c r="O9" s="102">
        <f t="shared" si="4"/>
        <v>-2.8477076500100295E-2</v>
      </c>
      <c r="P9" s="102">
        <f t="shared" si="4"/>
        <v>-2.298859654957373E-2</v>
      </c>
      <c r="Q9" s="102">
        <f t="shared" si="4"/>
        <v>-1.7496232296146247E-2</v>
      </c>
      <c r="R9" s="85"/>
      <c r="S9" s="102">
        <f t="shared" si="4"/>
        <v>-1.2034191578800611E-2</v>
      </c>
    </row>
    <row r="10" spans="2:19">
      <c r="B10" s="46" t="s">
        <v>244</v>
      </c>
      <c r="C10" s="47"/>
      <c r="D10" s="48" t="s">
        <v>31</v>
      </c>
      <c r="E10" s="49"/>
      <c r="F10" s="48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7"/>
      <c r="S10" s="106"/>
    </row>
    <row r="11" spans="2:19">
      <c r="B11" s="4" t="s">
        <v>245</v>
      </c>
      <c r="C11" s="6" t="s">
        <v>17</v>
      </c>
      <c r="D11" s="5" t="s">
        <v>18</v>
      </c>
      <c r="E11" s="90" t="s">
        <v>6</v>
      </c>
      <c r="F11" s="77"/>
      <c r="G11" s="112">
        <f t="shared" ref="G11:S11" si="5">IF(G45=0,0,G45-G28)</f>
        <v>3.3725974028925743E-2</v>
      </c>
      <c r="H11" s="112">
        <f t="shared" si="5"/>
        <v>0</v>
      </c>
      <c r="I11" s="112">
        <f t="shared" si="5"/>
        <v>0</v>
      </c>
      <c r="J11" s="112">
        <f t="shared" si="5"/>
        <v>0</v>
      </c>
      <c r="K11" s="112">
        <f t="shared" si="5"/>
        <v>-3.094677634117143E-3</v>
      </c>
      <c r="L11" s="112">
        <f>IF(L45=0,0,L45-L28)</f>
        <v>6.548069599706971E-2</v>
      </c>
      <c r="M11" s="112">
        <f t="shared" si="5"/>
        <v>1.0385672975867948E-2</v>
      </c>
      <c r="N11" s="112">
        <f t="shared" si="5"/>
        <v>2.7376541334695907E-2</v>
      </c>
      <c r="O11" s="112">
        <f t="shared" si="5"/>
        <v>0</v>
      </c>
      <c r="P11" s="112">
        <f t="shared" si="5"/>
        <v>1.2617954746921862E-2</v>
      </c>
      <c r="Q11" s="112">
        <f t="shared" si="5"/>
        <v>0</v>
      </c>
      <c r="R11" s="113"/>
      <c r="S11" s="112">
        <f t="shared" si="5"/>
        <v>8.6492161449364009E-3</v>
      </c>
    </row>
    <row r="12" spans="2:19">
      <c r="B12" s="4" t="s">
        <v>246</v>
      </c>
      <c r="C12" s="6" t="s">
        <v>13</v>
      </c>
      <c r="D12" s="5" t="s">
        <v>14</v>
      </c>
      <c r="E12" s="90" t="s">
        <v>6</v>
      </c>
      <c r="F12" s="77"/>
      <c r="G12" s="112">
        <f t="shared" ref="G12:S12" si="6">IF(G46=0,0,G46-G29)</f>
        <v>0</v>
      </c>
      <c r="H12" s="112">
        <f t="shared" si="6"/>
        <v>0</v>
      </c>
      <c r="I12" s="112">
        <f t="shared" si="6"/>
        <v>0</v>
      </c>
      <c r="J12" s="112">
        <f t="shared" si="6"/>
        <v>0</v>
      </c>
      <c r="K12" s="112">
        <f t="shared" si="6"/>
        <v>-3.6899437524112854E-3</v>
      </c>
      <c r="L12" s="112">
        <f t="shared" si="6"/>
        <v>0</v>
      </c>
      <c r="M12" s="112">
        <f t="shared" si="6"/>
        <v>0</v>
      </c>
      <c r="N12" s="112">
        <f t="shared" si="6"/>
        <v>2.1322749715453636E-2</v>
      </c>
      <c r="O12" s="112">
        <f t="shared" si="6"/>
        <v>2.3039897893306072E-2</v>
      </c>
      <c r="P12" s="112">
        <f t="shared" si="6"/>
        <v>-1.1910226265390688E-3</v>
      </c>
      <c r="Q12" s="112">
        <f t="shared" si="6"/>
        <v>4.8271663790473832E-2</v>
      </c>
      <c r="R12" s="113"/>
      <c r="S12" s="112">
        <f t="shared" si="6"/>
        <v>-5.0518318770190647E-3</v>
      </c>
    </row>
    <row r="13" spans="2:19">
      <c r="B13" s="46" t="s">
        <v>247</v>
      </c>
      <c r="C13" s="47"/>
      <c r="D13" s="48" t="s">
        <v>33</v>
      </c>
      <c r="E13" s="49"/>
      <c r="F13" s="48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7"/>
      <c r="S13" s="106"/>
    </row>
    <row r="14" spans="2:19">
      <c r="B14" s="61" t="s">
        <v>248</v>
      </c>
      <c r="C14" s="62" t="s">
        <v>11</v>
      </c>
      <c r="D14" s="63" t="s">
        <v>12</v>
      </c>
      <c r="E14" s="91" t="s">
        <v>6</v>
      </c>
      <c r="F14" s="63"/>
      <c r="G14" s="112">
        <f t="shared" ref="G14:S14" si="7">IF(G48=0,0,G48-G31)</f>
        <v>0</v>
      </c>
      <c r="H14" s="112">
        <f t="shared" si="7"/>
        <v>-9.2949534232263264E-2</v>
      </c>
      <c r="I14" s="112">
        <f t="shared" si="7"/>
        <v>0</v>
      </c>
      <c r="J14" s="112">
        <f t="shared" si="7"/>
        <v>0.13520292826276323</v>
      </c>
      <c r="K14" s="112">
        <f t="shared" si="7"/>
        <v>-8.325891534626717E-2</v>
      </c>
      <c r="L14" s="112">
        <f t="shared" si="7"/>
        <v>-0.11029699780446929</v>
      </c>
      <c r="M14" s="112">
        <f t="shared" si="7"/>
        <v>0</v>
      </c>
      <c r="N14" s="112">
        <f t="shared" si="7"/>
        <v>-8.3723404037507609E-3</v>
      </c>
      <c r="O14" s="112">
        <f t="shared" si="7"/>
        <v>0</v>
      </c>
      <c r="P14" s="112">
        <f t="shared" si="7"/>
        <v>0</v>
      </c>
      <c r="Q14" s="112">
        <f t="shared" si="7"/>
        <v>0</v>
      </c>
      <c r="R14" s="113"/>
      <c r="S14" s="112">
        <f t="shared" si="7"/>
        <v>-9.5967485952398734E-2</v>
      </c>
    </row>
    <row r="15" spans="2:19">
      <c r="B15" s="46" t="s">
        <v>249</v>
      </c>
      <c r="C15" s="47"/>
      <c r="D15" s="48" t="s">
        <v>30</v>
      </c>
      <c r="E15" s="49"/>
      <c r="F15" s="48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7"/>
      <c r="S15" s="106"/>
    </row>
    <row r="16" spans="2:19">
      <c r="B16" s="4" t="s">
        <v>250</v>
      </c>
      <c r="C16" s="6" t="s">
        <v>7</v>
      </c>
      <c r="D16" s="5" t="s">
        <v>8</v>
      </c>
      <c r="E16" s="90"/>
      <c r="F16" s="5"/>
      <c r="G16" s="112">
        <f t="shared" ref="G16:S17" si="8">IF(G50=0,0,G50-G33)</f>
        <v>2.9374422471123936E-2</v>
      </c>
      <c r="H16" s="112">
        <f t="shared" si="8"/>
        <v>1.3920815622984445E-2</v>
      </c>
      <c r="I16" s="112">
        <f t="shared" si="8"/>
        <v>-7.0708473297619034E-3</v>
      </c>
      <c r="J16" s="112">
        <f t="shared" si="8"/>
        <v>-7.3250098788393142E-4</v>
      </c>
      <c r="K16" s="112">
        <f t="shared" si="8"/>
        <v>-2.8868984127901048E-2</v>
      </c>
      <c r="L16" s="112">
        <f t="shared" si="8"/>
        <v>-2.2663842671313189E-2</v>
      </c>
      <c r="M16" s="112">
        <f t="shared" si="8"/>
        <v>-2.8322853829189455E-2</v>
      </c>
      <c r="N16" s="112">
        <f t="shared" si="8"/>
        <v>-3.3821610082893541E-2</v>
      </c>
      <c r="O16" s="112">
        <f t="shared" si="8"/>
        <v>-3.1714359670664799E-2</v>
      </c>
      <c r="P16" s="112">
        <f t="shared" si="8"/>
        <v>-3.0962958674430413E-2</v>
      </c>
      <c r="Q16" s="112">
        <f t="shared" si="8"/>
        <v>-3.4176445596121256E-2</v>
      </c>
      <c r="R16" s="113"/>
      <c r="S16" s="112">
        <f t="shared" si="8"/>
        <v>-1.4086271927992989E-2</v>
      </c>
    </row>
    <row r="17" spans="2:19">
      <c r="B17" s="61" t="s">
        <v>251</v>
      </c>
      <c r="C17" s="62" t="s">
        <v>11</v>
      </c>
      <c r="D17" s="63" t="s">
        <v>12</v>
      </c>
      <c r="E17" s="91" t="s">
        <v>6</v>
      </c>
      <c r="F17" s="63"/>
      <c r="G17" s="112">
        <f t="shared" si="8"/>
        <v>1.5036054863714475E-2</v>
      </c>
      <c r="H17" s="112">
        <f t="shared" si="8"/>
        <v>0</v>
      </c>
      <c r="I17" s="112">
        <f t="shared" si="8"/>
        <v>0</v>
      </c>
      <c r="J17" s="112">
        <f t="shared" si="8"/>
        <v>0</v>
      </c>
      <c r="K17" s="112">
        <f t="shared" si="8"/>
        <v>0</v>
      </c>
      <c r="L17" s="112">
        <f t="shared" si="8"/>
        <v>0</v>
      </c>
      <c r="M17" s="112">
        <f t="shared" si="8"/>
        <v>0</v>
      </c>
      <c r="N17" s="112">
        <f t="shared" si="8"/>
        <v>0</v>
      </c>
      <c r="O17" s="112">
        <f t="shared" si="8"/>
        <v>0</v>
      </c>
      <c r="P17" s="112">
        <f t="shared" si="8"/>
        <v>0</v>
      </c>
      <c r="Q17" s="112">
        <f t="shared" si="8"/>
        <v>0</v>
      </c>
      <c r="R17" s="113"/>
      <c r="S17" s="112">
        <f t="shared" si="8"/>
        <v>-1.5397435111947039E-2</v>
      </c>
    </row>
    <row r="19" spans="2:19">
      <c r="B19" s="3" t="s">
        <v>387</v>
      </c>
    </row>
    <row r="20" spans="2:19">
      <c r="B20" s="115" t="s">
        <v>0</v>
      </c>
      <c r="C20" s="115" t="s">
        <v>4</v>
      </c>
      <c r="D20" s="115" t="s">
        <v>5</v>
      </c>
      <c r="E20" s="115" t="s">
        <v>1</v>
      </c>
      <c r="F20" s="115" t="s">
        <v>2</v>
      </c>
      <c r="G20" s="118" t="s">
        <v>375</v>
      </c>
      <c r="H20" s="118" t="s">
        <v>376</v>
      </c>
      <c r="I20" s="118" t="s">
        <v>377</v>
      </c>
      <c r="J20" s="118" t="s">
        <v>378</v>
      </c>
      <c r="K20" s="118" t="s">
        <v>379</v>
      </c>
      <c r="L20" s="118" t="s">
        <v>380</v>
      </c>
      <c r="M20" s="118" t="s">
        <v>381</v>
      </c>
      <c r="N20" s="118" t="s">
        <v>382</v>
      </c>
      <c r="O20" s="118" t="s">
        <v>383</v>
      </c>
      <c r="P20" s="118" t="s">
        <v>384</v>
      </c>
      <c r="Q20" s="115" t="s">
        <v>385</v>
      </c>
      <c r="R20" s="115" t="s">
        <v>386</v>
      </c>
      <c r="S20" s="115">
        <v>2025</v>
      </c>
    </row>
    <row r="21" spans="2:19">
      <c r="B21" s="115"/>
      <c r="C21" s="115"/>
      <c r="D21" s="115"/>
      <c r="E21" s="115"/>
      <c r="F21" s="115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5"/>
      <c r="R21" s="115"/>
      <c r="S21" s="115"/>
    </row>
    <row r="22" spans="2:19">
      <c r="B22" s="41">
        <v>1</v>
      </c>
      <c r="C22" s="42"/>
      <c r="D22" s="43" t="s">
        <v>256</v>
      </c>
      <c r="E22" s="44"/>
      <c r="F22" s="85" t="s">
        <v>241</v>
      </c>
      <c r="G22" s="94">
        <v>0.3</v>
      </c>
      <c r="H22" s="94">
        <v>0.3</v>
      </c>
      <c r="I22" s="94">
        <v>0.3</v>
      </c>
      <c r="J22" s="94">
        <v>0.3</v>
      </c>
      <c r="K22" s="94">
        <v>0.3</v>
      </c>
      <c r="L22" s="94">
        <v>0.3</v>
      </c>
      <c r="M22" s="94">
        <v>0.3</v>
      </c>
      <c r="N22" s="94">
        <v>0.3</v>
      </c>
      <c r="O22" s="94">
        <v>0.3</v>
      </c>
      <c r="P22" s="94">
        <v>0.3</v>
      </c>
      <c r="Q22" s="45">
        <v>0.3</v>
      </c>
      <c r="R22" s="45">
        <v>0.3</v>
      </c>
      <c r="S22" s="45">
        <v>0.3</v>
      </c>
    </row>
    <row r="23" spans="2:19">
      <c r="B23" s="4" t="s">
        <v>235</v>
      </c>
      <c r="C23" s="6"/>
      <c r="D23" s="60" t="s">
        <v>31</v>
      </c>
      <c r="E23" s="116" t="s">
        <v>240</v>
      </c>
      <c r="F23" s="86" t="s">
        <v>241</v>
      </c>
      <c r="G23" s="95">
        <v>0.35</v>
      </c>
      <c r="H23" s="95">
        <v>0.35</v>
      </c>
      <c r="I23" s="95">
        <v>0.35</v>
      </c>
      <c r="J23" s="95">
        <v>0.35</v>
      </c>
      <c r="K23" s="95">
        <v>0.35</v>
      </c>
      <c r="L23" s="95">
        <v>0.35</v>
      </c>
      <c r="M23" s="95">
        <v>0.35</v>
      </c>
      <c r="N23" s="95">
        <v>0.35</v>
      </c>
      <c r="O23" s="95">
        <v>0.35</v>
      </c>
      <c r="P23" s="95">
        <v>0.35</v>
      </c>
      <c r="Q23" s="59">
        <v>0.35</v>
      </c>
      <c r="R23" s="59">
        <v>0.35</v>
      </c>
      <c r="S23" s="59">
        <v>0.35</v>
      </c>
    </row>
    <row r="24" spans="2:19">
      <c r="B24" s="4" t="s">
        <v>236</v>
      </c>
      <c r="C24" s="6"/>
      <c r="D24" s="60" t="s">
        <v>33</v>
      </c>
      <c r="E24" s="116"/>
      <c r="F24" s="86" t="s">
        <v>241</v>
      </c>
      <c r="G24" s="96">
        <v>1.4119913560220914</v>
      </c>
      <c r="H24" s="96">
        <v>1.4119913560220914</v>
      </c>
      <c r="I24" s="96">
        <v>1.4119913560220914</v>
      </c>
      <c r="J24" s="96">
        <v>1.4119913560220914</v>
      </c>
      <c r="K24" s="96">
        <v>1.4119913560220914</v>
      </c>
      <c r="L24" s="96">
        <v>1.4119913560220914</v>
      </c>
      <c r="M24" s="96">
        <v>1.4119913560220914</v>
      </c>
      <c r="N24" s="96">
        <v>1.4119913560220914</v>
      </c>
      <c r="O24" s="96">
        <v>1.4119913560220914</v>
      </c>
      <c r="P24" s="96">
        <v>1.4119913560220914</v>
      </c>
      <c r="Q24" s="39">
        <v>1.4119913560220914</v>
      </c>
      <c r="R24" s="39">
        <v>1.4119913560220914</v>
      </c>
      <c r="S24" s="39">
        <v>1.4119913560220914</v>
      </c>
    </row>
    <row r="25" spans="2:19">
      <c r="B25" s="4" t="s">
        <v>243</v>
      </c>
      <c r="C25" s="6"/>
      <c r="D25" s="60" t="s">
        <v>30</v>
      </c>
      <c r="E25" s="117"/>
      <c r="F25" s="86" t="s">
        <v>241</v>
      </c>
      <c r="G25" s="96">
        <v>0.3</v>
      </c>
      <c r="H25" s="96">
        <v>0.3</v>
      </c>
      <c r="I25" s="96">
        <v>0.3</v>
      </c>
      <c r="J25" s="96">
        <v>0.3</v>
      </c>
      <c r="K25" s="96">
        <v>0.3</v>
      </c>
      <c r="L25" s="96">
        <v>0.3</v>
      </c>
      <c r="M25" s="96">
        <v>0.3</v>
      </c>
      <c r="N25" s="96">
        <v>0.3</v>
      </c>
      <c r="O25" s="96">
        <v>0.3</v>
      </c>
      <c r="P25" s="96">
        <v>0.3</v>
      </c>
      <c r="Q25" s="39">
        <v>0.3</v>
      </c>
      <c r="R25" s="39">
        <v>0.3</v>
      </c>
      <c r="S25" s="39">
        <v>0.3</v>
      </c>
    </row>
    <row r="26" spans="2:19">
      <c r="B26" s="41">
        <v>2</v>
      </c>
      <c r="C26" s="42"/>
      <c r="D26" s="43" t="s">
        <v>242</v>
      </c>
      <c r="E26" s="89" t="s">
        <v>6</v>
      </c>
      <c r="F26" s="43"/>
      <c r="G26" s="94">
        <v>0.05</v>
      </c>
      <c r="H26" s="94">
        <v>0.05</v>
      </c>
      <c r="I26" s="94">
        <v>0.05</v>
      </c>
      <c r="J26" s="94">
        <v>0.05</v>
      </c>
      <c r="K26" s="94">
        <v>0.05</v>
      </c>
      <c r="L26" s="94">
        <v>0.05</v>
      </c>
      <c r="M26" s="94">
        <v>0.05</v>
      </c>
      <c r="N26" s="94">
        <v>0.05</v>
      </c>
      <c r="O26" s="94">
        <v>0.05</v>
      </c>
      <c r="P26" s="94">
        <v>0.05</v>
      </c>
      <c r="Q26" s="51">
        <v>0.05</v>
      </c>
      <c r="R26" s="51">
        <v>0.05</v>
      </c>
      <c r="S26" s="51">
        <v>0.05</v>
      </c>
    </row>
    <row r="27" spans="2:19">
      <c r="B27" s="46" t="s">
        <v>244</v>
      </c>
      <c r="C27" s="47"/>
      <c r="D27" s="48" t="s">
        <v>31</v>
      </c>
      <c r="E27" s="49"/>
      <c r="F27" s="48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50"/>
      <c r="R27" s="50"/>
      <c r="S27" s="50"/>
    </row>
    <row r="28" spans="2:19">
      <c r="B28" s="4" t="s">
        <v>245</v>
      </c>
      <c r="C28" s="6" t="s">
        <v>17</v>
      </c>
      <c r="D28" s="5" t="s">
        <v>18</v>
      </c>
      <c r="E28" s="90" t="s">
        <v>6</v>
      </c>
      <c r="F28" s="77"/>
      <c r="G28" s="108">
        <v>1.4999999999999999E-2</v>
      </c>
      <c r="H28" s="108">
        <v>1.4999999999999999E-2</v>
      </c>
      <c r="I28" s="108">
        <v>1.4999999999999999E-2</v>
      </c>
      <c r="J28" s="108">
        <v>1.4999999999999999E-2</v>
      </c>
      <c r="K28" s="108">
        <v>1.4999999999999999E-2</v>
      </c>
      <c r="L28" s="108">
        <v>1.4999999999999999E-2</v>
      </c>
      <c r="M28" s="108">
        <v>1.4999999999999999E-2</v>
      </c>
      <c r="N28" s="108">
        <v>1.4999999999999999E-2</v>
      </c>
      <c r="O28" s="108">
        <v>1.4999999999999999E-2</v>
      </c>
      <c r="P28" s="108">
        <v>1.4999999999999999E-2</v>
      </c>
      <c r="Q28" s="109">
        <v>1.4999999999999999E-2</v>
      </c>
      <c r="R28" s="109">
        <v>1.4999999999999999E-2</v>
      </c>
      <c r="S28" s="109">
        <v>1.4999999999999999E-2</v>
      </c>
    </row>
    <row r="29" spans="2:19">
      <c r="B29" s="4" t="s">
        <v>246</v>
      </c>
      <c r="C29" s="6" t="s">
        <v>13</v>
      </c>
      <c r="D29" s="5" t="s">
        <v>14</v>
      </c>
      <c r="E29" s="90" t="s">
        <v>6</v>
      </c>
      <c r="F29" s="77"/>
      <c r="G29" s="108">
        <v>1.4999999999999999E-2</v>
      </c>
      <c r="H29" s="108">
        <v>1.4999999999999999E-2</v>
      </c>
      <c r="I29" s="108">
        <v>1.4999999999999999E-2</v>
      </c>
      <c r="J29" s="108">
        <v>1.4999999999999999E-2</v>
      </c>
      <c r="K29" s="108">
        <v>1.4999999999999999E-2</v>
      </c>
      <c r="L29" s="108">
        <v>1.4999999999999999E-2</v>
      </c>
      <c r="M29" s="108">
        <v>1.4999999999999999E-2</v>
      </c>
      <c r="N29" s="108">
        <v>1.4999999999999999E-2</v>
      </c>
      <c r="O29" s="108">
        <v>1.4999999999999999E-2</v>
      </c>
      <c r="P29" s="108">
        <v>1.4999999999999999E-2</v>
      </c>
      <c r="Q29" s="109">
        <v>1.4999999999999999E-2</v>
      </c>
      <c r="R29" s="109">
        <v>1.4999999999999999E-2</v>
      </c>
      <c r="S29" s="109">
        <v>1.4999999999999999E-2</v>
      </c>
    </row>
    <row r="30" spans="2:19">
      <c r="B30" s="46" t="s">
        <v>247</v>
      </c>
      <c r="C30" s="47"/>
      <c r="D30" s="48" t="s">
        <v>33</v>
      </c>
      <c r="E30" s="49"/>
      <c r="F30" s="48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50"/>
      <c r="R30" s="50"/>
      <c r="S30" s="50"/>
    </row>
    <row r="31" spans="2:19">
      <c r="B31" s="61" t="s">
        <v>248</v>
      </c>
      <c r="C31" s="62" t="s">
        <v>11</v>
      </c>
      <c r="D31" s="63" t="s">
        <v>12</v>
      </c>
      <c r="E31" s="91" t="s">
        <v>6</v>
      </c>
      <c r="F31" s="63"/>
      <c r="G31" s="98">
        <v>0.16</v>
      </c>
      <c r="H31" s="98">
        <v>0.16</v>
      </c>
      <c r="I31" s="98">
        <v>0.16</v>
      </c>
      <c r="J31" s="98">
        <v>0.16</v>
      </c>
      <c r="K31" s="98">
        <v>0.16</v>
      </c>
      <c r="L31" s="98">
        <v>0.16</v>
      </c>
      <c r="M31" s="98">
        <v>0.16</v>
      </c>
      <c r="N31" s="98">
        <v>0.16</v>
      </c>
      <c r="O31" s="98">
        <v>0.16</v>
      </c>
      <c r="P31" s="98">
        <v>0.16</v>
      </c>
      <c r="Q31" s="64">
        <v>0.16</v>
      </c>
      <c r="R31" s="64">
        <v>0.16</v>
      </c>
      <c r="S31" s="64">
        <v>0.16</v>
      </c>
    </row>
    <row r="32" spans="2:19">
      <c r="B32" s="46" t="s">
        <v>249</v>
      </c>
      <c r="C32" s="47"/>
      <c r="D32" s="48" t="s">
        <v>30</v>
      </c>
      <c r="E32" s="49"/>
      <c r="F32" s="48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50"/>
      <c r="R32" s="50"/>
      <c r="S32" s="50"/>
    </row>
    <row r="33" spans="2:19">
      <c r="B33" s="4" t="s">
        <v>250</v>
      </c>
      <c r="C33" s="6" t="s">
        <v>7</v>
      </c>
      <c r="D33" s="5" t="s">
        <v>8</v>
      </c>
      <c r="E33" s="90"/>
      <c r="F33" s="5"/>
      <c r="G33" s="96">
        <v>4.1628178813592327E-2</v>
      </c>
      <c r="H33" s="96">
        <v>4.1628178813592327E-2</v>
      </c>
      <c r="I33" s="96">
        <v>4.1628178813592327E-2</v>
      </c>
      <c r="J33" s="96">
        <v>4.1628178813592327E-2</v>
      </c>
      <c r="K33" s="96">
        <v>4.1628178813592327E-2</v>
      </c>
      <c r="L33" s="96">
        <v>4.1628178813592327E-2</v>
      </c>
      <c r="M33" s="96">
        <v>4.1628178813592327E-2</v>
      </c>
      <c r="N33" s="96">
        <v>4.1628178813592327E-2</v>
      </c>
      <c r="O33" s="96">
        <v>4.1628178813592327E-2</v>
      </c>
      <c r="P33" s="96">
        <v>4.1628178813592327E-2</v>
      </c>
      <c r="Q33" s="110">
        <v>4.1628178813592327E-2</v>
      </c>
      <c r="R33" s="110">
        <v>4.1628178813592327E-2</v>
      </c>
      <c r="S33" s="110">
        <v>4.1628178813592327E-2</v>
      </c>
    </row>
    <row r="34" spans="2:19">
      <c r="B34" s="61" t="s">
        <v>251</v>
      </c>
      <c r="C34" s="62" t="s">
        <v>11</v>
      </c>
      <c r="D34" s="63" t="s">
        <v>12</v>
      </c>
      <c r="E34" s="91" t="s">
        <v>6</v>
      </c>
      <c r="F34" s="63"/>
      <c r="G34" s="98">
        <v>1.8778933998131651E-2</v>
      </c>
      <c r="H34" s="98">
        <v>1.8778933998131651E-2</v>
      </c>
      <c r="I34" s="98">
        <v>1.8778933998131651E-2</v>
      </c>
      <c r="J34" s="98">
        <v>1.8778933998131651E-2</v>
      </c>
      <c r="K34" s="98">
        <v>1.8778933998131651E-2</v>
      </c>
      <c r="L34" s="98">
        <v>1.8778933998131651E-2</v>
      </c>
      <c r="M34" s="98">
        <v>1.8778933998131651E-2</v>
      </c>
      <c r="N34" s="98">
        <v>1.8778933998131651E-2</v>
      </c>
      <c r="O34" s="98">
        <v>1.8778933998131651E-2</v>
      </c>
      <c r="P34" s="98">
        <v>1.8778933998131651E-2</v>
      </c>
      <c r="Q34" s="111">
        <v>1.8778933998131651E-2</v>
      </c>
      <c r="R34" s="111">
        <v>1.8778933998131651E-2</v>
      </c>
      <c r="S34" s="111">
        <v>1.8778933998131651E-2</v>
      </c>
    </row>
    <row r="36" spans="2:19">
      <c r="B36" s="3" t="s">
        <v>388</v>
      </c>
    </row>
    <row r="37" spans="2:19">
      <c r="B37" s="115" t="s">
        <v>0</v>
      </c>
      <c r="C37" s="115" t="s">
        <v>4</v>
      </c>
      <c r="D37" s="115" t="s">
        <v>5</v>
      </c>
      <c r="E37" s="115" t="s">
        <v>1</v>
      </c>
      <c r="F37" s="115" t="s">
        <v>2</v>
      </c>
      <c r="G37" s="118" t="s">
        <v>375</v>
      </c>
      <c r="H37" s="118" t="s">
        <v>376</v>
      </c>
      <c r="I37" s="118" t="s">
        <v>377</v>
      </c>
      <c r="J37" s="118" t="s">
        <v>378</v>
      </c>
      <c r="K37" s="118" t="s">
        <v>379</v>
      </c>
      <c r="L37" s="118" t="s">
        <v>380</v>
      </c>
      <c r="M37" s="118" t="s">
        <v>381</v>
      </c>
      <c r="N37" s="118" t="s">
        <v>382</v>
      </c>
      <c r="O37" s="118" t="s">
        <v>383</v>
      </c>
      <c r="P37" s="118" t="s">
        <v>384</v>
      </c>
      <c r="Q37" s="115" t="s">
        <v>385</v>
      </c>
      <c r="R37" s="115" t="s">
        <v>386</v>
      </c>
      <c r="S37" s="115" t="s">
        <v>389</v>
      </c>
    </row>
    <row r="38" spans="2:19">
      <c r="B38" s="115"/>
      <c r="C38" s="115"/>
      <c r="D38" s="115"/>
      <c r="E38" s="115"/>
      <c r="F38" s="115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5"/>
      <c r="R38" s="115"/>
      <c r="S38" s="115"/>
    </row>
    <row r="39" spans="2:19">
      <c r="B39" s="41">
        <v>1</v>
      </c>
      <c r="C39" s="42"/>
      <c r="D39" s="43" t="s">
        <v>256</v>
      </c>
      <c r="E39" s="44"/>
      <c r="F39" s="85" t="s">
        <v>241</v>
      </c>
      <c r="G39" s="94">
        <f>'03. Chi tiết thực tế sử dụng'!F41</f>
        <v>0.45443166736591689</v>
      </c>
      <c r="H39" s="94">
        <f>'03. Chi tiết thực tế sử dụng'!G41</f>
        <v>0.31349239111080285</v>
      </c>
      <c r="I39" s="94">
        <f>'03. Chi tiết thực tế sử dụng'!H41</f>
        <v>0.30762234852095155</v>
      </c>
      <c r="J39" s="94">
        <f>'03. Chi tiết thực tế sử dụng'!I41</f>
        <v>0.29715930727166068</v>
      </c>
      <c r="K39" s="94">
        <f>'03. Chi tiết thực tế sử dụng'!J41</f>
        <v>0.26971849660369124</v>
      </c>
      <c r="L39" s="94">
        <f>'03. Chi tiết thực tế sử dụng'!K41</f>
        <v>0.26042638493592613</v>
      </c>
      <c r="M39" s="94">
        <f>'03. Chi tiết thực tế sử dụng'!L41</f>
        <v>0.25336235049079753</v>
      </c>
      <c r="N39" s="94">
        <f>'03. Chi tiết thực tế sử dụng'!M41</f>
        <v>0.21718152654530595</v>
      </c>
      <c r="O39" s="94">
        <f>'03. Chi tiết thực tế sử dụng'!N41</f>
        <v>0.2558836460543632</v>
      </c>
      <c r="P39" s="94">
        <f>'03. Chi tiết thực tế sử dụng'!O41</f>
        <v>0.25521909304697571</v>
      </c>
      <c r="Q39" s="94">
        <f>'03. Chi tiết thực tế sử dụng'!P41</f>
        <v>0.23801146028305817</v>
      </c>
      <c r="R39" s="51"/>
      <c r="S39" s="51">
        <f>AVERAGE(G39:P39)</f>
        <v>0.28844972119463919</v>
      </c>
    </row>
    <row r="40" spans="2:19">
      <c r="B40" s="4" t="s">
        <v>235</v>
      </c>
      <c r="C40" s="6"/>
      <c r="D40" s="60" t="s">
        <v>31</v>
      </c>
      <c r="E40" s="116" t="s">
        <v>240</v>
      </c>
      <c r="F40" s="86" t="s">
        <v>241</v>
      </c>
      <c r="G40" s="95">
        <f>'03. Chi tiết thực tế sử dụng'!F38</f>
        <v>0.57740279224277002</v>
      </c>
      <c r="H40" s="95">
        <f>'03. Chi tiết thực tế sử dụng'!G38</f>
        <v>0.34191469960432624</v>
      </c>
      <c r="I40" s="95">
        <f>'03. Chi tiết thực tế sử dụng'!H38</f>
        <v>0.30700436363469924</v>
      </c>
      <c r="J40" s="95">
        <f>'03. Chi tiết thực tế sử dụng'!I38</f>
        <v>0.31785994954666602</v>
      </c>
      <c r="K40" s="95">
        <f>'03. Chi tiết thực tế sử dụng'!J38</f>
        <v>0.312514712104425</v>
      </c>
      <c r="L40" s="95">
        <f>'03. Chi tiết thực tế sử dụng'!K38</f>
        <v>0.25049616629087945</v>
      </c>
      <c r="M40" s="95">
        <f>'03. Chi tiết thực tế sử dụng'!L38</f>
        <v>0.22085535489005115</v>
      </c>
      <c r="N40" s="95">
        <f>'03. Chi tiết thực tế sử dụng'!M38</f>
        <v>0.18706216103458623</v>
      </c>
      <c r="O40" s="95">
        <f>'03. Chi tiết thực tế sử dụng'!N38</f>
        <v>0.21112143330784872</v>
      </c>
      <c r="P40" s="95">
        <f>'03. Chi tiết thực tế sử dụng'!O38</f>
        <v>0.19056388775376085</v>
      </c>
      <c r="Q40" s="95">
        <f>'03. Chi tiết thực tế sử dụng'!P38</f>
        <v>0.19388245547223767</v>
      </c>
      <c r="R40" s="59"/>
      <c r="S40" s="59">
        <f>AVERAGE(G40:P40)</f>
        <v>0.29167955204100127</v>
      </c>
    </row>
    <row r="41" spans="2:19">
      <c r="B41" s="4" t="s">
        <v>236</v>
      </c>
      <c r="C41" s="6"/>
      <c r="D41" s="60" t="s">
        <v>33</v>
      </c>
      <c r="E41" s="116"/>
      <c r="F41" s="86" t="s">
        <v>241</v>
      </c>
      <c r="G41" s="96">
        <f>'03. Chi tiết thực tế sử dụng'!F39</f>
        <v>1.1319928860535962</v>
      </c>
      <c r="H41" s="96">
        <f>'03. Chi tiết thực tế sử dụng'!G39</f>
        <v>0.97558427692056948</v>
      </c>
      <c r="I41" s="96">
        <f>'03. Chi tiết thực tế sử dụng'!H39</f>
        <v>0.72484456849803336</v>
      </c>
      <c r="J41" s="96">
        <f>'03. Chi tiết thực tế sử dụng'!I39</f>
        <v>0.91781274059877294</v>
      </c>
      <c r="K41" s="96">
        <f>'03. Chi tiết thực tế sử dụng'!J39</f>
        <v>0.94391534124091381</v>
      </c>
      <c r="L41" s="96">
        <f>'03. Chi tiết thực tế sử dụng'!K39</f>
        <v>0.95429764215418977</v>
      </c>
      <c r="M41" s="96">
        <f>'03. Chi tiết thực tế sử dụng'!L39</f>
        <v>1.0515469007110894</v>
      </c>
      <c r="N41" s="96">
        <f>'03. Chi tiết thực tế sử dụng'!M39</f>
        <v>0.69458179395886621</v>
      </c>
      <c r="O41" s="96">
        <f>'03. Chi tiết thực tế sử dụng'!N39</f>
        <v>0.88887860844811795</v>
      </c>
      <c r="P41" s="96">
        <f>'03. Chi tiết thực tế sử dụng'!O39</f>
        <v>1.0207088088483396</v>
      </c>
      <c r="Q41" s="96">
        <f>'03. Chi tiết thực tế sử dụng'!P39</f>
        <v>0.90309718737474287</v>
      </c>
      <c r="R41" s="76"/>
      <c r="S41" s="76">
        <f>AVERAGE(G41:P41)</f>
        <v>0.93041635674324907</v>
      </c>
    </row>
    <row r="42" spans="2:19">
      <c r="B42" s="4" t="s">
        <v>243</v>
      </c>
      <c r="C42" s="6"/>
      <c r="D42" s="60" t="s">
        <v>30</v>
      </c>
      <c r="E42" s="117"/>
      <c r="F42" s="86" t="s">
        <v>241</v>
      </c>
      <c r="G42" s="96">
        <f>'03. Chi tiết thực tế sử dụng'!F40</f>
        <v>0.31551780945895791</v>
      </c>
      <c r="H42" s="96">
        <f>'03. Chi tiết thực tế sử dụng'!G40</f>
        <v>0.24694052981350947</v>
      </c>
      <c r="I42" s="96">
        <f>'03. Chi tiết thực tế sử dụng'!H40</f>
        <v>0.26738735235613786</v>
      </c>
      <c r="J42" s="96">
        <f>'03. Chi tiết thực tế sử dụng'!I40</f>
        <v>0.2317421743456809</v>
      </c>
      <c r="K42" s="96">
        <f>'03. Chi tiết thực tế sử dụng'!J40</f>
        <v>0.18309444373966985</v>
      </c>
      <c r="L42" s="96">
        <f>'03. Chi tiết thực tế sử dụng'!K40</f>
        <v>0.20125901730993737</v>
      </c>
      <c r="M42" s="96">
        <f>'03. Chi tiết thực tế sử dụng'!L40</f>
        <v>0.20689780350746464</v>
      </c>
      <c r="N42" s="96">
        <f>'03. Chi tiết thực tế sử dụng'!M40</f>
        <v>0.19555454670400452</v>
      </c>
      <c r="O42" s="96">
        <f>'03. Chi tiết thực tế sử dụng'!N40</f>
        <v>0.23793165943026068</v>
      </c>
      <c r="P42" s="96">
        <f>'03. Chi tiết thực tế sử dụng'!O40</f>
        <v>0.23676788708939453</v>
      </c>
      <c r="Q42" s="96">
        <f>'03. Chi tiết thực tế sử dụng'!P40</f>
        <v>0.20864853008918993</v>
      </c>
      <c r="R42" s="76"/>
      <c r="S42" s="76">
        <f>AVERAGE(G42:P42)</f>
        <v>0.23230932237550173</v>
      </c>
    </row>
    <row r="43" spans="2:19">
      <c r="B43" s="41">
        <v>2</v>
      </c>
      <c r="C43" s="42"/>
      <c r="D43" s="43" t="s">
        <v>242</v>
      </c>
      <c r="E43" s="89" t="s">
        <v>6</v>
      </c>
      <c r="F43" s="43"/>
      <c r="G43" s="94">
        <f>'03. Chi tiết thực tế sử dụng'!F21</f>
        <v>0.10372429665290608</v>
      </c>
      <c r="H43" s="94">
        <f>'03. Chi tiết thực tế sử dụng'!G21</f>
        <v>4.5565754521919022E-2</v>
      </c>
      <c r="I43" s="94">
        <f>'03. Chi tiết thực tế sử dụng'!H21</f>
        <v>1.9485184387708729E-2</v>
      </c>
      <c r="J43" s="94">
        <f>'03. Chi tiết thực tế sử dụng'!I21</f>
        <v>3.8769171271284757E-2</v>
      </c>
      <c r="K43" s="94">
        <f>'03. Chi tiết thực tế sử dụng'!J21</f>
        <v>2.0110589659047155E-2</v>
      </c>
      <c r="L43" s="94">
        <f>'03. Chi tiết thực tế sử dụng'!K21</f>
        <v>4.4719682261724687E-2</v>
      </c>
      <c r="M43" s="94">
        <f>'03. Chi tiết thực tế sử dụng'!L21</f>
        <v>1.7387612288584143E-2</v>
      </c>
      <c r="N43" s="94">
        <f>'03. Chi tiết thực tế sử dụng'!M21</f>
        <v>4.1361466218493369E-2</v>
      </c>
      <c r="O43" s="94">
        <f>'03. Chi tiết thực tế sử dụng'!N21</f>
        <v>2.1522923499899708E-2</v>
      </c>
      <c r="P43" s="94">
        <f>'03. Chi tiết thực tế sử dụng'!O21</f>
        <v>2.7011403450426272E-2</v>
      </c>
      <c r="Q43" s="94">
        <f>'03. Chi tiết thực tế sử dụng'!P21</f>
        <v>3.2503767703853756E-2</v>
      </c>
      <c r="R43" s="51"/>
      <c r="S43" s="51">
        <f>AVERAGE(G43:P43)</f>
        <v>3.7965808421199392E-2</v>
      </c>
    </row>
    <row r="44" spans="2:19">
      <c r="B44" s="46" t="s">
        <v>244</v>
      </c>
      <c r="C44" s="47"/>
      <c r="D44" s="48" t="s">
        <v>31</v>
      </c>
      <c r="E44" s="49"/>
      <c r="F44" s="48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50"/>
      <c r="S44" s="50"/>
    </row>
    <row r="45" spans="2:19">
      <c r="B45" s="4" t="s">
        <v>245</v>
      </c>
      <c r="C45" s="6" t="s">
        <v>17</v>
      </c>
      <c r="D45" s="5" t="s">
        <v>18</v>
      </c>
      <c r="E45" s="90" t="s">
        <v>6</v>
      </c>
      <c r="F45" s="77"/>
      <c r="G45" s="92">
        <f>'03. Chi tiết thực tế sử dụng'!F3/'03. Chi tiết thực tế sử dụng'!F7</f>
        <v>4.8725974028925742E-2</v>
      </c>
      <c r="H45" s="92">
        <f>'03. Chi tiết thực tế sử dụng'!G3/'03. Chi tiết thực tế sử dụng'!G7</f>
        <v>0</v>
      </c>
      <c r="I45" s="92">
        <f>'03. Chi tiết thực tế sử dụng'!H3/'03. Chi tiết thực tế sử dụng'!H7</f>
        <v>0</v>
      </c>
      <c r="J45" s="92">
        <f>'03. Chi tiết thực tế sử dụng'!I3/'03. Chi tiết thực tế sử dụng'!I7</f>
        <v>0</v>
      </c>
      <c r="K45" s="92">
        <f>'03. Chi tiết thực tế sử dụng'!J3/'03. Chi tiết thực tế sử dụng'!J7</f>
        <v>1.1905322365882856E-2</v>
      </c>
      <c r="L45" s="92">
        <f>'03. Chi tiết thực tế sử dụng'!K3/'03. Chi tiết thực tế sử dụng'!K7</f>
        <v>8.0480695997069709E-2</v>
      </c>
      <c r="M45" s="92">
        <f>'03. Chi tiết thực tế sử dụng'!L3/'03. Chi tiết thực tế sử dụng'!L7</f>
        <v>2.5385672975867947E-2</v>
      </c>
      <c r="N45" s="92">
        <f>'03. Chi tiết thực tế sử dụng'!M3/'03. Chi tiết thực tế sử dụng'!M7</f>
        <v>4.2376541334695907E-2</v>
      </c>
      <c r="O45" s="92">
        <f>'03. Chi tiết thực tế sử dụng'!N3/'03. Chi tiết thực tế sử dụng'!N7</f>
        <v>0</v>
      </c>
      <c r="P45" s="92">
        <f>'03. Chi tiết thực tế sử dụng'!O3/'03. Chi tiết thực tế sử dụng'!O7</f>
        <v>2.7617954746921861E-2</v>
      </c>
      <c r="Q45" s="92">
        <f>'03. Chi tiết thực tế sử dụng'!P3/'03. Chi tiết thực tế sử dụng'!P7</f>
        <v>0</v>
      </c>
      <c r="R45" s="78"/>
      <c r="S45" s="114">
        <f>AVERAGE(G45:P45)</f>
        <v>2.36492161449364E-2</v>
      </c>
    </row>
    <row r="46" spans="2:19">
      <c r="B46" s="4" t="s">
        <v>246</v>
      </c>
      <c r="C46" s="6" t="s">
        <v>13</v>
      </c>
      <c r="D46" s="5" t="s">
        <v>14</v>
      </c>
      <c r="E46" s="90" t="s">
        <v>6</v>
      </c>
      <c r="F46" s="77"/>
      <c r="G46" s="92">
        <f>'03. Chi tiết thực tế sử dụng'!F4/'03. Chi tiết thực tế sử dụng'!F7</f>
        <v>0</v>
      </c>
      <c r="H46" s="92">
        <f>'03. Chi tiết thực tế sử dụng'!G4/'03. Chi tiết thực tế sử dụng'!G7</f>
        <v>0</v>
      </c>
      <c r="I46" s="92">
        <f>'03. Chi tiết thực tế sử dụng'!H4/'03. Chi tiết thực tế sử dụng'!H7</f>
        <v>0</v>
      </c>
      <c r="J46" s="92">
        <f>'03. Chi tiết thực tế sử dụng'!I4/'03. Chi tiết thực tế sử dụng'!I7</f>
        <v>0</v>
      </c>
      <c r="K46" s="92">
        <f>'03. Chi tiết thực tế sử dụng'!J4/'03. Chi tiết thực tế sử dụng'!J7</f>
        <v>1.1310056247588714E-2</v>
      </c>
      <c r="L46" s="92">
        <f>'03. Chi tiết thực tế sử dụng'!K4/'03. Chi tiết thực tế sử dụng'!K7</f>
        <v>0</v>
      </c>
      <c r="M46" s="92">
        <f>'03. Chi tiết thực tế sử dụng'!L4/'03. Chi tiết thực tế sử dụng'!L7</f>
        <v>0</v>
      </c>
      <c r="N46" s="92">
        <f>'03. Chi tiết thực tế sử dụng'!M4/'03. Chi tiết thực tế sử dụng'!M7</f>
        <v>3.6322749715453635E-2</v>
      </c>
      <c r="O46" s="92">
        <f>'03. Chi tiết thực tế sử dụng'!N4/'03. Chi tiết thực tế sử dụng'!N7</f>
        <v>3.8039897893306071E-2</v>
      </c>
      <c r="P46" s="92">
        <f>'03. Chi tiết thực tế sử dụng'!O4/'03. Chi tiết thực tế sử dụng'!O7</f>
        <v>1.3808977373460931E-2</v>
      </c>
      <c r="Q46" s="92">
        <f>'03. Chi tiết thực tế sử dụng'!P4/'03. Chi tiết thực tế sử dụng'!P7</f>
        <v>6.3271663790473831E-2</v>
      </c>
      <c r="R46" s="78"/>
      <c r="S46" s="114">
        <f>AVERAGE(G46:P46)</f>
        <v>9.9481681229809348E-3</v>
      </c>
    </row>
    <row r="47" spans="2:19">
      <c r="B47" s="46" t="s">
        <v>247</v>
      </c>
      <c r="C47" s="47"/>
      <c r="D47" s="48" t="s">
        <v>33</v>
      </c>
      <c r="E47" s="49"/>
      <c r="F47" s="48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50"/>
      <c r="S47" s="50"/>
    </row>
    <row r="48" spans="2:19">
      <c r="B48" s="61" t="s">
        <v>248</v>
      </c>
      <c r="C48" s="62" t="s">
        <v>11</v>
      </c>
      <c r="D48" s="63" t="s">
        <v>12</v>
      </c>
      <c r="E48" s="91" t="s">
        <v>6</v>
      </c>
      <c r="F48" s="63"/>
      <c r="G48" s="98">
        <f>'03. Chi tiết thực tế sử dụng'!F9/'03. Chi tiết thực tế sử dụng'!F11</f>
        <v>0</v>
      </c>
      <c r="H48" s="98">
        <f>'03. Chi tiết thực tế sử dụng'!G9/'03. Chi tiết thực tế sử dụng'!G11</f>
        <v>6.7050465767736739E-2</v>
      </c>
      <c r="I48" s="98">
        <f>'03. Chi tiết thực tế sử dụng'!H9/'03. Chi tiết thực tế sử dụng'!H11</f>
        <v>0</v>
      </c>
      <c r="J48" s="98">
        <f>'03. Chi tiết thực tế sử dụng'!I9/'03. Chi tiết thực tế sử dụng'!I11</f>
        <v>0.29520292826276323</v>
      </c>
      <c r="K48" s="98">
        <f>'03. Chi tiết thực tế sử dụng'!J9/'03. Chi tiết thực tế sử dụng'!J11</f>
        <v>7.6741084653732833E-2</v>
      </c>
      <c r="L48" s="98">
        <f>'03. Chi tiết thực tế sử dụng'!K9/'03. Chi tiết thực tế sử dụng'!K11</f>
        <v>4.9703002195530713E-2</v>
      </c>
      <c r="M48" s="98">
        <f>'03. Chi tiết thực tế sử dụng'!L9/'03. Chi tiết thực tế sử dụng'!L11</f>
        <v>0</v>
      </c>
      <c r="N48" s="98">
        <f>'03. Chi tiết thực tế sử dụng'!M9/'03. Chi tiết thực tế sử dụng'!M11</f>
        <v>0.15162765959624924</v>
      </c>
      <c r="O48" s="98">
        <f>'03. Chi tiết thực tế sử dụng'!N9/'03. Chi tiết thực tế sử dụng'!N11</f>
        <v>0</v>
      </c>
      <c r="P48" s="98">
        <f>'03. Chi tiết thực tế sử dụng'!O9/'03. Chi tiết thực tế sử dụng'!O11</f>
        <v>0</v>
      </c>
      <c r="Q48" s="98">
        <f>'03. Chi tiết thực tế sử dụng'!P9/'03. Chi tiết thực tế sử dụng'!P11</f>
        <v>0</v>
      </c>
      <c r="R48" s="64"/>
      <c r="S48" s="64">
        <f>AVERAGE(G48:P48)</f>
        <v>6.4032514047601269E-2</v>
      </c>
    </row>
    <row r="49" spans="2:19">
      <c r="B49" s="46" t="s">
        <v>249</v>
      </c>
      <c r="C49" s="47"/>
      <c r="D49" s="48" t="s">
        <v>30</v>
      </c>
      <c r="E49" s="49"/>
      <c r="F49" s="48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50"/>
      <c r="S49" s="50"/>
    </row>
    <row r="50" spans="2:19">
      <c r="B50" s="4" t="s">
        <v>250</v>
      </c>
      <c r="C50" s="6" t="s">
        <v>7</v>
      </c>
      <c r="D50" s="5" t="s">
        <v>8</v>
      </c>
      <c r="E50" s="90"/>
      <c r="F50" s="5"/>
      <c r="G50" s="96">
        <f>'03. Chi tiết thực tế sử dụng'!F12/'03. Chi tiết thực tế sử dụng'!F18</f>
        <v>7.1002601284716263E-2</v>
      </c>
      <c r="H50" s="96">
        <f>'03. Chi tiết thực tế sử dụng'!G12/'03. Chi tiết thực tế sử dụng'!G18</f>
        <v>5.5548994436576772E-2</v>
      </c>
      <c r="I50" s="96">
        <f>'03. Chi tiết thực tế sử dụng'!H12/'03. Chi tiết thực tế sử dụng'!H18</f>
        <v>3.4557331483830424E-2</v>
      </c>
      <c r="J50" s="96">
        <f>'03. Chi tiết thực tế sử dụng'!I12/'03. Chi tiết thực tế sử dụng'!I18</f>
        <v>4.0895677825708396E-2</v>
      </c>
      <c r="K50" s="96">
        <f>'03. Chi tiết thực tế sử dụng'!J12/'03. Chi tiết thực tế sử dụng'!J18</f>
        <v>1.275919468569128E-2</v>
      </c>
      <c r="L50" s="96">
        <f>'03. Chi tiết thực tế sử dụng'!K12/'03. Chi tiết thực tế sử dụng'!K18</f>
        <v>1.8964336142279138E-2</v>
      </c>
      <c r="M50" s="96">
        <f>'03. Chi tiết thực tế sử dụng'!L12/'03. Chi tiết thực tế sử dụng'!L18</f>
        <v>1.3305324984402872E-2</v>
      </c>
      <c r="N50" s="96">
        <f>'03. Chi tiết thực tế sử dụng'!M12/'03. Chi tiết thực tế sử dụng'!M18</f>
        <v>7.8065687306987834E-3</v>
      </c>
      <c r="O50" s="96">
        <f>'03. Chi tiết thực tế sử dụng'!N12/'03. Chi tiết thực tế sử dụng'!N18</f>
        <v>9.9138191429275282E-3</v>
      </c>
      <c r="P50" s="96">
        <f>'03. Chi tiết thực tế sử dụng'!O12/'03. Chi tiết thực tế sử dụng'!O18</f>
        <v>1.0665220139161916E-2</v>
      </c>
      <c r="Q50" s="96">
        <f>'03. Chi tiết thực tế sử dụng'!P12/'03. Chi tiết thực tế sử dụng'!P18</f>
        <v>7.4517332174710692E-3</v>
      </c>
      <c r="R50" s="40"/>
      <c r="S50" s="76">
        <f>AVERAGE(G50:P50)</f>
        <v>2.7541906885599338E-2</v>
      </c>
    </row>
    <row r="51" spans="2:19">
      <c r="B51" s="61" t="s">
        <v>251</v>
      </c>
      <c r="C51" s="62" t="s">
        <v>11</v>
      </c>
      <c r="D51" s="63" t="s">
        <v>12</v>
      </c>
      <c r="E51" s="91" t="s">
        <v>6</v>
      </c>
      <c r="F51" s="63"/>
      <c r="G51" s="98">
        <f>'03. Chi tiết thực tế sử dụng'!F15/'03. Chi tiết thực tế sử dụng'!F18</f>
        <v>3.3814988861846126E-2</v>
      </c>
      <c r="H51" s="98">
        <f>'03. Chi tiết thực tế sử dụng'!G15/'03. Chi tiết thực tế sử dụng'!G18</f>
        <v>0</v>
      </c>
      <c r="I51" s="98">
        <f>'03. Chi tiết thực tế sử dụng'!H15/'03. Chi tiết thực tế sử dụng'!H18</f>
        <v>0</v>
      </c>
      <c r="J51" s="98">
        <f>'03. Chi tiết thực tế sử dụng'!I15/'03. Chi tiết thực tế sử dụng'!I18</f>
        <v>0</v>
      </c>
      <c r="K51" s="98">
        <f>'03. Chi tiết thực tế sử dụng'!J15/'03. Chi tiết thực tế sử dụng'!J18</f>
        <v>0</v>
      </c>
      <c r="L51" s="98">
        <f>'03. Chi tiết thực tế sử dụng'!K15/'03. Chi tiết thực tế sử dụng'!K18</f>
        <v>0</v>
      </c>
      <c r="M51" s="98">
        <f>'03. Chi tiết thực tế sử dụng'!L15/'03. Chi tiết thực tế sử dụng'!L18</f>
        <v>0</v>
      </c>
      <c r="N51" s="98">
        <f>'03. Chi tiết thực tế sử dụng'!M15/'03. Chi tiết thực tế sử dụng'!M18</f>
        <v>0</v>
      </c>
      <c r="O51" s="98">
        <f>'03. Chi tiết thực tế sử dụng'!N15/'03. Chi tiết thực tế sử dụng'!N18</f>
        <v>0</v>
      </c>
      <c r="P51" s="98">
        <f>'03. Chi tiết thực tế sử dụng'!O15/'03. Chi tiết thực tế sử dụng'!O18</f>
        <v>0</v>
      </c>
      <c r="Q51" s="98">
        <f>'03. Chi tiết thực tế sử dụng'!P15/'03. Chi tiết thực tế sử dụng'!P18</f>
        <v>0</v>
      </c>
      <c r="R51" s="87"/>
      <c r="S51" s="64">
        <f>AVERAGE(G51:P51)</f>
        <v>3.3814988861846128E-3</v>
      </c>
    </row>
  </sheetData>
  <mergeCells count="57">
    <mergeCell ref="B3:B4"/>
    <mergeCell ref="C3:C4"/>
    <mergeCell ref="D3:D4"/>
    <mergeCell ref="E3:E4"/>
    <mergeCell ref="F3:F4"/>
    <mergeCell ref="H3:H4"/>
    <mergeCell ref="G3:G4"/>
    <mergeCell ref="E6:E8"/>
    <mergeCell ref="I3:I4"/>
    <mergeCell ref="E23:E25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B37:B38"/>
    <mergeCell ref="C37:C38"/>
    <mergeCell ref="D37:D38"/>
    <mergeCell ref="E37:E38"/>
    <mergeCell ref="F37:F38"/>
    <mergeCell ref="Q37:Q38"/>
    <mergeCell ref="R37:R38"/>
    <mergeCell ref="E40:E42"/>
    <mergeCell ref="S3:S4"/>
    <mergeCell ref="S20:S21"/>
    <mergeCell ref="S37:S38"/>
    <mergeCell ref="L37:L38"/>
    <mergeCell ref="M37:M38"/>
    <mergeCell ref="N37:N38"/>
    <mergeCell ref="O37:O38"/>
    <mergeCell ref="P37:P38"/>
    <mergeCell ref="G37:G38"/>
    <mergeCell ref="H37:H38"/>
    <mergeCell ref="I37:I38"/>
    <mergeCell ref="J37:J38"/>
    <mergeCell ref="K37:K38"/>
  </mergeCells>
  <phoneticPr fontId="22" type="noConversion"/>
  <conditionalFormatting sqref="G5:S17">
    <cfRule type="cellIs" dxfId="0" priority="1" operator="greaterThan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33B8-FE53-4560-BDFA-8DDC8C3611E7}">
  <dimension ref="A1:V121"/>
  <sheetViews>
    <sheetView workbookViewId="0">
      <selection activeCell="B1" sqref="B1"/>
    </sheetView>
  </sheetViews>
  <sheetFormatPr defaultRowHeight="15"/>
  <cols>
    <col min="1" max="1" width="10" bestFit="1" customWidth="1"/>
    <col min="2" max="2" width="37.85546875" bestFit="1" customWidth="1"/>
    <col min="3" max="3" width="7.85546875" bestFit="1" customWidth="1"/>
    <col min="4" max="4" width="8.85546875" bestFit="1" customWidth="1"/>
    <col min="5" max="5" width="16.42578125" bestFit="1" customWidth="1"/>
    <col min="6" max="6" width="8.42578125" bestFit="1" customWidth="1"/>
    <col min="7" max="7" width="5.5703125" bestFit="1" customWidth="1"/>
    <col min="8" max="8" width="8.5703125" bestFit="1" customWidth="1"/>
    <col min="9" max="9" width="6.140625" bestFit="1" customWidth="1"/>
    <col min="10" max="10" width="7.5703125" bestFit="1" customWidth="1"/>
    <col min="11" max="11" width="8.5703125" bestFit="1" customWidth="1"/>
    <col min="12" max="12" width="10" bestFit="1" customWidth="1"/>
    <col min="13" max="13" width="9.42578125" bestFit="1" customWidth="1"/>
    <col min="14" max="14" width="11.140625" bestFit="1" customWidth="1"/>
    <col min="15" max="15" width="19.85546875" bestFit="1" customWidth="1"/>
    <col min="16" max="16" width="11" bestFit="1" customWidth="1"/>
    <col min="17" max="17" width="10.42578125" bestFit="1" customWidth="1"/>
    <col min="18" max="18" width="5.5703125" bestFit="1" customWidth="1"/>
    <col min="19" max="19" width="11.42578125" bestFit="1" customWidth="1"/>
    <col min="20" max="20" width="11" bestFit="1" customWidth="1"/>
  </cols>
  <sheetData>
    <row r="1" spans="1:22" ht="45">
      <c r="A1" s="18" t="s">
        <v>45</v>
      </c>
      <c r="B1" s="18" t="s">
        <v>46</v>
      </c>
      <c r="C1" s="19" t="s">
        <v>47</v>
      </c>
      <c r="D1" s="19" t="s">
        <v>48</v>
      </c>
      <c r="E1" s="18" t="s">
        <v>49</v>
      </c>
      <c r="F1" s="19" t="s">
        <v>50</v>
      </c>
      <c r="G1" s="18" t="s">
        <v>51</v>
      </c>
      <c r="H1" s="19" t="s">
        <v>52</v>
      </c>
      <c r="I1" s="19" t="s">
        <v>53</v>
      </c>
      <c r="J1" s="18" t="s">
        <v>54</v>
      </c>
      <c r="K1" s="19" t="s">
        <v>55</v>
      </c>
      <c r="L1" s="18" t="s">
        <v>56</v>
      </c>
      <c r="M1" s="18" t="s">
        <v>57</v>
      </c>
      <c r="N1" s="18" t="s">
        <v>58</v>
      </c>
      <c r="O1" s="18" t="s">
        <v>59</v>
      </c>
      <c r="P1" s="18" t="s">
        <v>60</v>
      </c>
      <c r="Q1" s="18" t="s">
        <v>61</v>
      </c>
      <c r="R1" s="18" t="s">
        <v>62</v>
      </c>
      <c r="S1" s="18" t="s">
        <v>63</v>
      </c>
      <c r="T1" s="18" t="s">
        <v>64</v>
      </c>
      <c r="U1" s="82" t="s">
        <v>27</v>
      </c>
      <c r="V1" s="82" t="s">
        <v>229</v>
      </c>
    </row>
    <row r="2" spans="1:22">
      <c r="A2" s="7" t="s">
        <v>7</v>
      </c>
      <c r="B2" s="7" t="s">
        <v>8</v>
      </c>
      <c r="C2" s="7" t="s">
        <v>65</v>
      </c>
      <c r="D2" s="7" t="s">
        <v>66</v>
      </c>
      <c r="E2" s="7" t="s">
        <v>199</v>
      </c>
      <c r="F2" s="7" t="s">
        <v>84</v>
      </c>
      <c r="G2" s="7" t="s">
        <v>69</v>
      </c>
      <c r="H2" s="20">
        <v>-100</v>
      </c>
      <c r="I2" s="7" t="s">
        <v>70</v>
      </c>
      <c r="J2" s="20">
        <v>-100</v>
      </c>
      <c r="K2" s="7" t="s">
        <v>70</v>
      </c>
      <c r="L2" s="7" t="s">
        <v>120</v>
      </c>
      <c r="M2" s="7" t="s">
        <v>69</v>
      </c>
      <c r="N2" s="21">
        <v>0.61025462962962995</v>
      </c>
      <c r="O2" s="7" t="s">
        <v>140</v>
      </c>
      <c r="P2" s="22">
        <v>45656</v>
      </c>
      <c r="Q2" s="22">
        <v>45656</v>
      </c>
      <c r="R2" s="7" t="s">
        <v>69</v>
      </c>
      <c r="S2" s="20">
        <v>-16501126</v>
      </c>
      <c r="T2" s="7" t="s">
        <v>200</v>
      </c>
      <c r="U2" t="s">
        <v>30</v>
      </c>
      <c r="V2">
        <f t="shared" ref="V2:V14" si="0">+MONTH(P2)</f>
        <v>12</v>
      </c>
    </row>
    <row r="3" spans="1:22">
      <c r="A3" s="7" t="s">
        <v>15</v>
      </c>
      <c r="B3" s="7" t="s">
        <v>16</v>
      </c>
      <c r="C3" s="7" t="s">
        <v>65</v>
      </c>
      <c r="D3" s="7" t="s">
        <v>66</v>
      </c>
      <c r="E3" s="7" t="s">
        <v>201</v>
      </c>
      <c r="F3" s="7" t="s">
        <v>68</v>
      </c>
      <c r="G3" s="7" t="s">
        <v>69</v>
      </c>
      <c r="H3" s="20">
        <v>-10</v>
      </c>
      <c r="I3" s="7" t="s">
        <v>70</v>
      </c>
      <c r="J3" s="20">
        <v>-10</v>
      </c>
      <c r="K3" s="7" t="s">
        <v>70</v>
      </c>
      <c r="L3" s="7" t="s">
        <v>120</v>
      </c>
      <c r="M3" s="7" t="s">
        <v>69</v>
      </c>
      <c r="N3" s="21">
        <v>0.35237268518518999</v>
      </c>
      <c r="O3" s="7" t="s">
        <v>149</v>
      </c>
      <c r="P3" s="22">
        <v>45654</v>
      </c>
      <c r="Q3" s="22">
        <v>45654</v>
      </c>
      <c r="R3" s="7" t="s">
        <v>69</v>
      </c>
      <c r="S3" s="20">
        <v>-1560000</v>
      </c>
      <c r="T3" s="7" t="s">
        <v>202</v>
      </c>
      <c r="U3" t="s">
        <v>228</v>
      </c>
      <c r="V3">
        <f t="shared" si="0"/>
        <v>12</v>
      </c>
    </row>
    <row r="4" spans="1:22">
      <c r="A4" s="7" t="s">
        <v>7</v>
      </c>
      <c r="B4" s="7" t="s">
        <v>8</v>
      </c>
      <c r="C4" s="7" t="s">
        <v>65</v>
      </c>
      <c r="D4" s="7" t="s">
        <v>66</v>
      </c>
      <c r="E4" s="7" t="s">
        <v>203</v>
      </c>
      <c r="F4" s="7" t="s">
        <v>68</v>
      </c>
      <c r="G4" s="7" t="s">
        <v>69</v>
      </c>
      <c r="H4" s="20">
        <v>-100</v>
      </c>
      <c r="I4" s="7" t="s">
        <v>70</v>
      </c>
      <c r="J4" s="20">
        <v>-100</v>
      </c>
      <c r="K4" s="7" t="s">
        <v>70</v>
      </c>
      <c r="L4" s="7" t="s">
        <v>120</v>
      </c>
      <c r="M4" s="7" t="s">
        <v>69</v>
      </c>
      <c r="N4" s="21">
        <v>0.57741898148147996</v>
      </c>
      <c r="O4" s="7" t="s">
        <v>140</v>
      </c>
      <c r="P4" s="22">
        <v>45649</v>
      </c>
      <c r="Q4" s="22">
        <v>45649</v>
      </c>
      <c r="R4" s="7" t="s">
        <v>69</v>
      </c>
      <c r="S4" s="20">
        <v>-16501420</v>
      </c>
      <c r="T4" s="7" t="s">
        <v>204</v>
      </c>
      <c r="U4" t="s">
        <v>30</v>
      </c>
      <c r="V4">
        <f t="shared" si="0"/>
        <v>12</v>
      </c>
    </row>
    <row r="5" spans="1:22">
      <c r="A5" s="7" t="s">
        <v>7</v>
      </c>
      <c r="B5" s="7" t="s">
        <v>8</v>
      </c>
      <c r="C5" s="7" t="s">
        <v>65</v>
      </c>
      <c r="D5" s="7" t="s">
        <v>66</v>
      </c>
      <c r="E5" s="7" t="s">
        <v>205</v>
      </c>
      <c r="F5" s="7" t="s">
        <v>68</v>
      </c>
      <c r="G5" s="7" t="s">
        <v>69</v>
      </c>
      <c r="H5" s="20">
        <v>-100</v>
      </c>
      <c r="I5" s="7" t="s">
        <v>70</v>
      </c>
      <c r="J5" s="20">
        <v>-100</v>
      </c>
      <c r="K5" s="7" t="s">
        <v>70</v>
      </c>
      <c r="L5" s="7" t="s">
        <v>120</v>
      </c>
      <c r="M5" s="7" t="s">
        <v>69</v>
      </c>
      <c r="N5" s="21">
        <v>0.57671296296296004</v>
      </c>
      <c r="O5" s="7" t="s">
        <v>140</v>
      </c>
      <c r="P5" s="22">
        <v>45649</v>
      </c>
      <c r="Q5" s="22">
        <v>45649</v>
      </c>
      <c r="R5" s="7" t="s">
        <v>69</v>
      </c>
      <c r="S5" s="20">
        <v>-16501420</v>
      </c>
      <c r="T5" s="7" t="s">
        <v>206</v>
      </c>
      <c r="U5" t="s">
        <v>30</v>
      </c>
      <c r="V5">
        <f t="shared" si="0"/>
        <v>12</v>
      </c>
    </row>
    <row r="6" spans="1:22">
      <c r="A6" s="7" t="s">
        <v>19</v>
      </c>
      <c r="B6" s="7" t="s">
        <v>20</v>
      </c>
      <c r="C6" s="7" t="s">
        <v>65</v>
      </c>
      <c r="D6" s="7" t="s">
        <v>66</v>
      </c>
      <c r="E6" s="7" t="s">
        <v>207</v>
      </c>
      <c r="F6" s="7" t="s">
        <v>68</v>
      </c>
      <c r="G6" s="7" t="s">
        <v>69</v>
      </c>
      <c r="H6" s="20">
        <v>-100</v>
      </c>
      <c r="I6" s="7" t="s">
        <v>70</v>
      </c>
      <c r="J6" s="20">
        <v>-100</v>
      </c>
      <c r="K6" s="7" t="s">
        <v>70</v>
      </c>
      <c r="L6" s="7" t="s">
        <v>120</v>
      </c>
      <c r="M6" s="7" t="s">
        <v>69</v>
      </c>
      <c r="N6" s="21">
        <v>0.40621527777777999</v>
      </c>
      <c r="O6" s="7" t="s">
        <v>208</v>
      </c>
      <c r="P6" s="22">
        <v>45647</v>
      </c>
      <c r="Q6" s="22">
        <v>45647</v>
      </c>
      <c r="R6" s="7" t="s">
        <v>69</v>
      </c>
      <c r="S6" s="20">
        <v>-18200000</v>
      </c>
      <c r="T6" s="7" t="s">
        <v>209</v>
      </c>
      <c r="U6" t="s">
        <v>228</v>
      </c>
      <c r="V6">
        <f t="shared" si="0"/>
        <v>12</v>
      </c>
    </row>
    <row r="7" spans="1:22">
      <c r="A7" s="7" t="s">
        <v>17</v>
      </c>
      <c r="B7" s="7" t="s">
        <v>18</v>
      </c>
      <c r="C7" s="7" t="s">
        <v>65</v>
      </c>
      <c r="D7" s="7" t="s">
        <v>66</v>
      </c>
      <c r="E7" s="7" t="s">
        <v>210</v>
      </c>
      <c r="F7" s="7" t="s">
        <v>68</v>
      </c>
      <c r="G7" s="7" t="s">
        <v>69</v>
      </c>
      <c r="H7" s="20">
        <v>-58</v>
      </c>
      <c r="I7" s="7" t="s">
        <v>70</v>
      </c>
      <c r="J7" s="20">
        <v>-58</v>
      </c>
      <c r="K7" s="7" t="s">
        <v>70</v>
      </c>
      <c r="L7" s="7" t="s">
        <v>120</v>
      </c>
      <c r="M7" s="7" t="s">
        <v>69</v>
      </c>
      <c r="N7" s="21">
        <v>0.53247685185185001</v>
      </c>
      <c r="O7" s="7" t="s">
        <v>211</v>
      </c>
      <c r="P7" s="22">
        <v>45645</v>
      </c>
      <c r="Q7" s="22">
        <v>45645</v>
      </c>
      <c r="R7" s="7" t="s">
        <v>69</v>
      </c>
      <c r="S7" s="20">
        <v>-8827260</v>
      </c>
      <c r="T7" s="7" t="s">
        <v>212</v>
      </c>
      <c r="U7" t="s">
        <v>31</v>
      </c>
      <c r="V7">
        <f t="shared" si="0"/>
        <v>12</v>
      </c>
    </row>
    <row r="8" spans="1:22">
      <c r="A8" s="7" t="s">
        <v>7</v>
      </c>
      <c r="B8" s="7" t="s">
        <v>8</v>
      </c>
      <c r="C8" s="7" t="s">
        <v>65</v>
      </c>
      <c r="D8" s="7" t="s">
        <v>66</v>
      </c>
      <c r="E8" s="7" t="s">
        <v>213</v>
      </c>
      <c r="F8" s="7" t="s">
        <v>68</v>
      </c>
      <c r="G8" s="7" t="s">
        <v>69</v>
      </c>
      <c r="H8" s="20">
        <v>-100</v>
      </c>
      <c r="I8" s="7" t="s">
        <v>70</v>
      </c>
      <c r="J8" s="20">
        <v>-100</v>
      </c>
      <c r="K8" s="7" t="s">
        <v>70</v>
      </c>
      <c r="L8" s="7" t="s">
        <v>120</v>
      </c>
      <c r="M8" s="7" t="s">
        <v>69</v>
      </c>
      <c r="N8" s="21">
        <v>0.36523148148147999</v>
      </c>
      <c r="O8" s="7" t="s">
        <v>180</v>
      </c>
      <c r="P8" s="22">
        <v>45644</v>
      </c>
      <c r="Q8" s="22">
        <v>45644</v>
      </c>
      <c r="R8" s="7" t="s">
        <v>69</v>
      </c>
      <c r="S8" s="20">
        <v>-16502390</v>
      </c>
      <c r="T8" s="7" t="s">
        <v>214</v>
      </c>
      <c r="U8" t="s">
        <v>30</v>
      </c>
      <c r="V8">
        <f t="shared" si="0"/>
        <v>12</v>
      </c>
    </row>
    <row r="9" spans="1:22">
      <c r="A9" s="7" t="s">
        <v>7</v>
      </c>
      <c r="B9" s="7" t="s">
        <v>8</v>
      </c>
      <c r="C9" s="7" t="s">
        <v>65</v>
      </c>
      <c r="D9" s="7" t="s">
        <v>66</v>
      </c>
      <c r="E9" s="7" t="s">
        <v>215</v>
      </c>
      <c r="F9" s="7" t="s">
        <v>68</v>
      </c>
      <c r="G9" s="7" t="s">
        <v>69</v>
      </c>
      <c r="H9" s="20">
        <v>-100</v>
      </c>
      <c r="I9" s="7" t="s">
        <v>70</v>
      </c>
      <c r="J9" s="20">
        <v>-100</v>
      </c>
      <c r="K9" s="7" t="s">
        <v>70</v>
      </c>
      <c r="L9" s="7" t="s">
        <v>120</v>
      </c>
      <c r="M9" s="7" t="s">
        <v>69</v>
      </c>
      <c r="N9" s="21">
        <v>0.65589120370370002</v>
      </c>
      <c r="O9" s="7" t="s">
        <v>140</v>
      </c>
      <c r="P9" s="22">
        <v>45637</v>
      </c>
      <c r="Q9" s="22">
        <v>45637</v>
      </c>
      <c r="R9" s="7" t="s">
        <v>69</v>
      </c>
      <c r="S9" s="20">
        <v>-16502390</v>
      </c>
      <c r="T9" s="7" t="s">
        <v>216</v>
      </c>
      <c r="U9" t="s">
        <v>30</v>
      </c>
      <c r="V9">
        <f t="shared" si="0"/>
        <v>12</v>
      </c>
    </row>
    <row r="10" spans="1:22">
      <c r="A10" s="7" t="s">
        <v>7</v>
      </c>
      <c r="B10" s="7" t="s">
        <v>8</v>
      </c>
      <c r="C10" s="7" t="s">
        <v>65</v>
      </c>
      <c r="D10" s="7" t="s">
        <v>66</v>
      </c>
      <c r="E10" s="7" t="s">
        <v>217</v>
      </c>
      <c r="F10" s="7" t="s">
        <v>68</v>
      </c>
      <c r="G10" s="7" t="s">
        <v>69</v>
      </c>
      <c r="H10" s="20">
        <v>-100</v>
      </c>
      <c r="I10" s="7" t="s">
        <v>70</v>
      </c>
      <c r="J10" s="20">
        <v>-100</v>
      </c>
      <c r="K10" s="7" t="s">
        <v>70</v>
      </c>
      <c r="L10" s="7" t="s">
        <v>120</v>
      </c>
      <c r="M10" s="7" t="s">
        <v>69</v>
      </c>
      <c r="N10" s="21">
        <v>0.65167824074073999</v>
      </c>
      <c r="O10" s="7" t="s">
        <v>140</v>
      </c>
      <c r="P10" s="22">
        <v>45637</v>
      </c>
      <c r="Q10" s="22">
        <v>45637</v>
      </c>
      <c r="R10" s="7" t="s">
        <v>69</v>
      </c>
      <c r="S10" s="20">
        <v>-16502390</v>
      </c>
      <c r="T10" s="7" t="s">
        <v>218</v>
      </c>
      <c r="U10" t="s">
        <v>30</v>
      </c>
      <c r="V10">
        <f t="shared" si="0"/>
        <v>12</v>
      </c>
    </row>
    <row r="11" spans="1:22">
      <c r="A11" s="7" t="s">
        <v>11</v>
      </c>
      <c r="B11" s="7" t="s">
        <v>12</v>
      </c>
      <c r="C11" s="7" t="s">
        <v>65</v>
      </c>
      <c r="D11" s="7" t="s">
        <v>66</v>
      </c>
      <c r="E11" s="7" t="s">
        <v>219</v>
      </c>
      <c r="F11" s="7" t="s">
        <v>68</v>
      </c>
      <c r="G11" s="7" t="s">
        <v>69</v>
      </c>
      <c r="H11" s="20">
        <v>-1649</v>
      </c>
      <c r="I11" s="7" t="s">
        <v>70</v>
      </c>
      <c r="J11" s="20">
        <v>-1649</v>
      </c>
      <c r="K11" s="7" t="s">
        <v>70</v>
      </c>
      <c r="L11" s="7" t="s">
        <v>120</v>
      </c>
      <c r="M11" s="7" t="s">
        <v>69</v>
      </c>
      <c r="N11" s="21">
        <v>0.65061342592592997</v>
      </c>
      <c r="O11" s="7" t="s">
        <v>220</v>
      </c>
      <c r="P11" s="22">
        <v>45637</v>
      </c>
      <c r="Q11" s="22">
        <v>45637</v>
      </c>
      <c r="R11" s="7" t="s">
        <v>69</v>
      </c>
      <c r="S11" s="20">
        <v>-92790773</v>
      </c>
      <c r="T11" s="7" t="s">
        <v>221</v>
      </c>
      <c r="U11" t="s">
        <v>30</v>
      </c>
      <c r="V11">
        <f t="shared" si="0"/>
        <v>12</v>
      </c>
    </row>
    <row r="12" spans="1:22">
      <c r="A12" s="7" t="s">
        <v>17</v>
      </c>
      <c r="B12" s="7" t="s">
        <v>18</v>
      </c>
      <c r="C12" s="7" t="s">
        <v>65</v>
      </c>
      <c r="D12" s="7" t="s">
        <v>66</v>
      </c>
      <c r="E12" s="7" t="s">
        <v>222</v>
      </c>
      <c r="F12" s="7" t="s">
        <v>68</v>
      </c>
      <c r="G12" s="7" t="s">
        <v>69</v>
      </c>
      <c r="H12" s="20">
        <v>-300</v>
      </c>
      <c r="I12" s="7" t="s">
        <v>70</v>
      </c>
      <c r="J12" s="20">
        <v>-300</v>
      </c>
      <c r="K12" s="7" t="s">
        <v>70</v>
      </c>
      <c r="L12" s="7" t="s">
        <v>120</v>
      </c>
      <c r="M12" s="7" t="s">
        <v>69</v>
      </c>
      <c r="N12" s="21">
        <v>0.56149305555555995</v>
      </c>
      <c r="O12" s="7" t="s">
        <v>211</v>
      </c>
      <c r="P12" s="22">
        <v>45637</v>
      </c>
      <c r="Q12" s="22">
        <v>45637</v>
      </c>
      <c r="R12" s="7" t="s">
        <v>69</v>
      </c>
      <c r="S12" s="20">
        <v>-45658239</v>
      </c>
      <c r="T12" s="7" t="s">
        <v>223</v>
      </c>
      <c r="U12" t="s">
        <v>31</v>
      </c>
      <c r="V12">
        <f t="shared" si="0"/>
        <v>12</v>
      </c>
    </row>
    <row r="13" spans="1:22">
      <c r="A13" s="7" t="s">
        <v>17</v>
      </c>
      <c r="B13" s="7" t="s">
        <v>18</v>
      </c>
      <c r="C13" s="7" t="s">
        <v>65</v>
      </c>
      <c r="D13" s="7" t="s">
        <v>66</v>
      </c>
      <c r="E13" s="7" t="s">
        <v>224</v>
      </c>
      <c r="F13" s="7" t="s">
        <v>68</v>
      </c>
      <c r="G13" s="7" t="s">
        <v>69</v>
      </c>
      <c r="H13" s="20">
        <v>-300</v>
      </c>
      <c r="I13" s="7" t="s">
        <v>70</v>
      </c>
      <c r="J13" s="20">
        <v>-300</v>
      </c>
      <c r="K13" s="7" t="s">
        <v>70</v>
      </c>
      <c r="L13" s="7" t="s">
        <v>120</v>
      </c>
      <c r="M13" s="7" t="s">
        <v>69</v>
      </c>
      <c r="N13" s="21">
        <v>0.37203703703704</v>
      </c>
      <c r="O13" s="7" t="s">
        <v>211</v>
      </c>
      <c r="P13" s="22">
        <v>45637</v>
      </c>
      <c r="Q13" s="22">
        <v>45637</v>
      </c>
      <c r="R13" s="7" t="s">
        <v>69</v>
      </c>
      <c r="S13" s="20">
        <v>-45658240</v>
      </c>
      <c r="T13" s="7" t="s">
        <v>225</v>
      </c>
      <c r="U13" t="s">
        <v>31</v>
      </c>
      <c r="V13">
        <f t="shared" si="0"/>
        <v>12</v>
      </c>
    </row>
    <row r="14" spans="1:22">
      <c r="A14" s="7" t="s">
        <v>19</v>
      </c>
      <c r="B14" s="7" t="s">
        <v>20</v>
      </c>
      <c r="C14" s="7" t="s">
        <v>65</v>
      </c>
      <c r="D14" s="7" t="s">
        <v>66</v>
      </c>
      <c r="E14" s="7" t="s">
        <v>226</v>
      </c>
      <c r="F14" s="7" t="s">
        <v>68</v>
      </c>
      <c r="G14" s="7" t="s">
        <v>69</v>
      </c>
      <c r="H14" s="20">
        <v>-100</v>
      </c>
      <c r="I14" s="7" t="s">
        <v>70</v>
      </c>
      <c r="J14" s="20">
        <v>-100</v>
      </c>
      <c r="K14" s="7" t="s">
        <v>70</v>
      </c>
      <c r="L14" s="7" t="s">
        <v>120</v>
      </c>
      <c r="M14" s="7" t="s">
        <v>69</v>
      </c>
      <c r="N14" s="21">
        <v>0.43222222222222001</v>
      </c>
      <c r="O14" s="7" t="s">
        <v>208</v>
      </c>
      <c r="P14" s="22">
        <v>45629</v>
      </c>
      <c r="Q14" s="22">
        <v>45629</v>
      </c>
      <c r="R14" s="7" t="s">
        <v>69</v>
      </c>
      <c r="S14" s="20">
        <v>-18200000</v>
      </c>
      <c r="T14" s="7" t="s">
        <v>227</v>
      </c>
      <c r="U14" t="s">
        <v>228</v>
      </c>
      <c r="V14">
        <f t="shared" si="0"/>
        <v>12</v>
      </c>
    </row>
    <row r="15" spans="1:22">
      <c r="A15" s="7" t="s">
        <v>19</v>
      </c>
      <c r="B15" s="7" t="s">
        <v>20</v>
      </c>
      <c r="C15" s="7" t="s">
        <v>65</v>
      </c>
      <c r="D15" s="7" t="s">
        <v>66</v>
      </c>
      <c r="E15" s="7" t="s">
        <v>197</v>
      </c>
      <c r="F15" s="7" t="s">
        <v>68</v>
      </c>
      <c r="G15" s="7" t="s">
        <v>69</v>
      </c>
      <c r="H15" s="20">
        <v>-100</v>
      </c>
      <c r="I15" s="7" t="s">
        <v>70</v>
      </c>
      <c r="J15" s="20">
        <v>-100</v>
      </c>
      <c r="K15" s="7" t="s">
        <v>70</v>
      </c>
      <c r="L15" s="7" t="s">
        <v>120</v>
      </c>
      <c r="M15" s="7" t="s">
        <v>69</v>
      </c>
      <c r="N15" s="21">
        <v>0.36214120370370001</v>
      </c>
      <c r="O15" s="7" t="s">
        <v>149</v>
      </c>
      <c r="P15" s="22">
        <v>45660</v>
      </c>
      <c r="Q15" s="22">
        <v>45660</v>
      </c>
      <c r="R15" s="7" t="s">
        <v>69</v>
      </c>
      <c r="S15" s="20">
        <v>-18200000</v>
      </c>
      <c r="T15" s="7" t="s">
        <v>198</v>
      </c>
      <c r="U15" t="s">
        <v>228</v>
      </c>
      <c r="V15">
        <f t="shared" ref="V15:V78" si="1">+MONTH(P15)</f>
        <v>1</v>
      </c>
    </row>
    <row r="16" spans="1:22">
      <c r="A16" s="7" t="s">
        <v>7</v>
      </c>
      <c r="B16" s="7" t="s">
        <v>8</v>
      </c>
      <c r="C16" s="7" t="s">
        <v>65</v>
      </c>
      <c r="D16" s="7" t="s">
        <v>66</v>
      </c>
      <c r="E16" s="7" t="s">
        <v>193</v>
      </c>
      <c r="F16" s="7" t="s">
        <v>68</v>
      </c>
      <c r="G16" s="7" t="s">
        <v>69</v>
      </c>
      <c r="H16" s="20">
        <v>-100</v>
      </c>
      <c r="I16" s="7" t="s">
        <v>70</v>
      </c>
      <c r="J16" s="20">
        <v>-100</v>
      </c>
      <c r="K16" s="7" t="s">
        <v>70</v>
      </c>
      <c r="L16" s="7" t="s">
        <v>120</v>
      </c>
      <c r="M16" s="7" t="s">
        <v>69</v>
      </c>
      <c r="N16" s="21">
        <v>0.38854166666667</v>
      </c>
      <c r="O16" s="7" t="s">
        <v>140</v>
      </c>
      <c r="P16" s="22">
        <v>45665</v>
      </c>
      <c r="Q16" s="22">
        <v>45665</v>
      </c>
      <c r="R16" s="7" t="s">
        <v>69</v>
      </c>
      <c r="S16" s="20">
        <v>-16500759</v>
      </c>
      <c r="T16" s="7" t="s">
        <v>194</v>
      </c>
      <c r="U16" t="s">
        <v>30</v>
      </c>
      <c r="V16">
        <f t="shared" si="1"/>
        <v>1</v>
      </c>
    </row>
    <row r="17" spans="1:22">
      <c r="A17" s="7" t="s">
        <v>7</v>
      </c>
      <c r="B17" s="7" t="s">
        <v>8</v>
      </c>
      <c r="C17" s="7" t="s">
        <v>65</v>
      </c>
      <c r="D17" s="7" t="s">
        <v>66</v>
      </c>
      <c r="E17" s="7" t="s">
        <v>195</v>
      </c>
      <c r="F17" s="7" t="s">
        <v>68</v>
      </c>
      <c r="G17" s="7" t="s">
        <v>69</v>
      </c>
      <c r="H17" s="20">
        <v>-100</v>
      </c>
      <c r="I17" s="7" t="s">
        <v>70</v>
      </c>
      <c r="J17" s="20">
        <v>-100</v>
      </c>
      <c r="K17" s="7" t="s">
        <v>70</v>
      </c>
      <c r="L17" s="7" t="s">
        <v>120</v>
      </c>
      <c r="M17" s="7" t="s">
        <v>69</v>
      </c>
      <c r="N17" s="21">
        <v>0.38815972222222</v>
      </c>
      <c r="O17" s="7" t="s">
        <v>140</v>
      </c>
      <c r="P17" s="22">
        <v>45665</v>
      </c>
      <c r="Q17" s="22">
        <v>45665</v>
      </c>
      <c r="R17" s="7" t="s">
        <v>69</v>
      </c>
      <c r="S17" s="20">
        <v>-16500759</v>
      </c>
      <c r="T17" s="7" t="s">
        <v>196</v>
      </c>
      <c r="U17" t="s">
        <v>30</v>
      </c>
      <c r="V17">
        <f t="shared" si="1"/>
        <v>1</v>
      </c>
    </row>
    <row r="18" spans="1:22">
      <c r="A18" s="7" t="s">
        <v>7</v>
      </c>
      <c r="B18" s="7" t="s">
        <v>8</v>
      </c>
      <c r="C18" s="7" t="s">
        <v>65</v>
      </c>
      <c r="D18" s="7" t="s">
        <v>66</v>
      </c>
      <c r="E18" s="7" t="s">
        <v>189</v>
      </c>
      <c r="F18" s="7" t="s">
        <v>68</v>
      </c>
      <c r="G18" s="7" t="s">
        <v>69</v>
      </c>
      <c r="H18" s="20">
        <v>-100</v>
      </c>
      <c r="I18" s="7" t="s">
        <v>70</v>
      </c>
      <c r="J18" s="20">
        <v>-100</v>
      </c>
      <c r="K18" s="7" t="s">
        <v>70</v>
      </c>
      <c r="L18" s="7" t="s">
        <v>120</v>
      </c>
      <c r="M18" s="7" t="s">
        <v>69</v>
      </c>
      <c r="N18" s="21">
        <v>0.44289351851851999</v>
      </c>
      <c r="O18" s="7" t="s">
        <v>79</v>
      </c>
      <c r="P18" s="22">
        <v>45666</v>
      </c>
      <c r="Q18" s="22">
        <v>45666</v>
      </c>
      <c r="R18" s="7" t="s">
        <v>69</v>
      </c>
      <c r="S18" s="20">
        <v>-16500759</v>
      </c>
      <c r="T18" s="7" t="s">
        <v>190</v>
      </c>
      <c r="U18" t="s">
        <v>30</v>
      </c>
      <c r="V18">
        <f t="shared" si="1"/>
        <v>1</v>
      </c>
    </row>
    <row r="19" spans="1:22">
      <c r="A19" s="7" t="s">
        <v>19</v>
      </c>
      <c r="B19" s="7" t="s">
        <v>20</v>
      </c>
      <c r="C19" s="7" t="s">
        <v>65</v>
      </c>
      <c r="D19" s="7" t="s">
        <v>66</v>
      </c>
      <c r="E19" s="7" t="s">
        <v>191</v>
      </c>
      <c r="F19" s="7" t="s">
        <v>68</v>
      </c>
      <c r="G19" s="7" t="s">
        <v>69</v>
      </c>
      <c r="H19" s="20">
        <v>-100</v>
      </c>
      <c r="I19" s="7" t="s">
        <v>70</v>
      </c>
      <c r="J19" s="20">
        <v>-100</v>
      </c>
      <c r="K19" s="7" t="s">
        <v>70</v>
      </c>
      <c r="L19" s="7" t="s">
        <v>120</v>
      </c>
      <c r="M19" s="7" t="s">
        <v>69</v>
      </c>
      <c r="N19" s="21">
        <v>0.37936342592592998</v>
      </c>
      <c r="O19" s="7" t="s">
        <v>149</v>
      </c>
      <c r="P19" s="22">
        <v>45666</v>
      </c>
      <c r="Q19" s="22">
        <v>45666</v>
      </c>
      <c r="R19" s="7" t="s">
        <v>69</v>
      </c>
      <c r="S19" s="20">
        <v>-18200000</v>
      </c>
      <c r="T19" s="7" t="s">
        <v>192</v>
      </c>
      <c r="U19" t="s">
        <v>228</v>
      </c>
      <c r="V19">
        <f t="shared" si="1"/>
        <v>1</v>
      </c>
    </row>
    <row r="20" spans="1:22">
      <c r="A20" s="7" t="s">
        <v>7</v>
      </c>
      <c r="B20" s="7" t="s">
        <v>8</v>
      </c>
      <c r="C20" s="7" t="s">
        <v>65</v>
      </c>
      <c r="D20" s="7" t="s">
        <v>66</v>
      </c>
      <c r="E20" s="7" t="s">
        <v>186</v>
      </c>
      <c r="F20" s="7" t="s">
        <v>158</v>
      </c>
      <c r="G20" s="7" t="s">
        <v>69</v>
      </c>
      <c r="H20" s="20">
        <v>-100</v>
      </c>
      <c r="I20" s="7" t="s">
        <v>70</v>
      </c>
      <c r="J20" s="20">
        <v>-100</v>
      </c>
      <c r="K20" s="7" t="s">
        <v>70</v>
      </c>
      <c r="L20" s="7" t="s">
        <v>120</v>
      </c>
      <c r="M20" s="7" t="s">
        <v>69</v>
      </c>
      <c r="N20" s="21">
        <v>0.44947916666666998</v>
      </c>
      <c r="O20" s="7" t="s">
        <v>180</v>
      </c>
      <c r="P20" s="22">
        <v>45670</v>
      </c>
      <c r="Q20" s="22">
        <v>45670</v>
      </c>
      <c r="R20" s="7" t="s">
        <v>69</v>
      </c>
      <c r="S20" s="20">
        <v>-16500759</v>
      </c>
      <c r="T20" s="7" t="s">
        <v>188</v>
      </c>
      <c r="U20" t="s">
        <v>30</v>
      </c>
      <c r="V20">
        <f t="shared" si="1"/>
        <v>1</v>
      </c>
    </row>
    <row r="21" spans="1:22">
      <c r="A21" s="7" t="s">
        <v>7</v>
      </c>
      <c r="B21" s="7" t="s">
        <v>8</v>
      </c>
      <c r="C21" s="7" t="s">
        <v>65</v>
      </c>
      <c r="D21" s="7" t="s">
        <v>66</v>
      </c>
      <c r="E21" s="7" t="s">
        <v>186</v>
      </c>
      <c r="F21" s="7" t="s">
        <v>84</v>
      </c>
      <c r="G21" s="7" t="s">
        <v>69</v>
      </c>
      <c r="H21" s="20">
        <v>-100</v>
      </c>
      <c r="I21" s="7" t="s">
        <v>70</v>
      </c>
      <c r="J21" s="20">
        <v>-100</v>
      </c>
      <c r="K21" s="7" t="s">
        <v>70</v>
      </c>
      <c r="L21" s="7" t="s">
        <v>120</v>
      </c>
      <c r="M21" s="7" t="s">
        <v>69</v>
      </c>
      <c r="N21" s="21">
        <v>0.44947916666666998</v>
      </c>
      <c r="O21" s="7" t="s">
        <v>180</v>
      </c>
      <c r="P21" s="22">
        <v>45670</v>
      </c>
      <c r="Q21" s="22">
        <v>45670</v>
      </c>
      <c r="R21" s="7" t="s">
        <v>69</v>
      </c>
      <c r="S21" s="20">
        <v>-16500759</v>
      </c>
      <c r="T21" s="7" t="s">
        <v>187</v>
      </c>
      <c r="U21" t="s">
        <v>30</v>
      </c>
      <c r="V21">
        <f t="shared" si="1"/>
        <v>1</v>
      </c>
    </row>
    <row r="22" spans="1:22">
      <c r="A22" s="7" t="s">
        <v>19</v>
      </c>
      <c r="B22" s="7" t="s">
        <v>20</v>
      </c>
      <c r="C22" s="7" t="s">
        <v>65</v>
      </c>
      <c r="D22" s="7" t="s">
        <v>66</v>
      </c>
      <c r="E22" s="7" t="s">
        <v>184</v>
      </c>
      <c r="F22" s="7" t="s">
        <v>68</v>
      </c>
      <c r="G22" s="7" t="s">
        <v>69</v>
      </c>
      <c r="H22" s="20">
        <v>-100</v>
      </c>
      <c r="I22" s="7" t="s">
        <v>70</v>
      </c>
      <c r="J22" s="20">
        <v>-100</v>
      </c>
      <c r="K22" s="7" t="s">
        <v>70</v>
      </c>
      <c r="L22" s="7" t="s">
        <v>120</v>
      </c>
      <c r="M22" s="7" t="s">
        <v>69</v>
      </c>
      <c r="N22" s="21">
        <v>0.44972222222222002</v>
      </c>
      <c r="O22" s="7" t="s">
        <v>149</v>
      </c>
      <c r="P22" s="22">
        <v>45670</v>
      </c>
      <c r="Q22" s="22">
        <v>45670</v>
      </c>
      <c r="R22" s="7" t="s">
        <v>69</v>
      </c>
      <c r="S22" s="20">
        <v>-18200000</v>
      </c>
      <c r="T22" s="7" t="s">
        <v>185</v>
      </c>
      <c r="U22" t="s">
        <v>228</v>
      </c>
      <c r="V22">
        <f t="shared" si="1"/>
        <v>1</v>
      </c>
    </row>
    <row r="23" spans="1:22">
      <c r="A23" s="7" t="s">
        <v>19</v>
      </c>
      <c r="B23" s="7" t="s">
        <v>20</v>
      </c>
      <c r="C23" s="7" t="s">
        <v>65</v>
      </c>
      <c r="D23" s="7" t="s">
        <v>66</v>
      </c>
      <c r="E23" s="7" t="s">
        <v>182</v>
      </c>
      <c r="F23" s="7" t="s">
        <v>68</v>
      </c>
      <c r="G23" s="7" t="s">
        <v>69</v>
      </c>
      <c r="H23" s="20">
        <v>-50</v>
      </c>
      <c r="I23" s="7" t="s">
        <v>70</v>
      </c>
      <c r="J23" s="20">
        <v>-50</v>
      </c>
      <c r="K23" s="7" t="s">
        <v>70</v>
      </c>
      <c r="L23" s="7" t="s">
        <v>120</v>
      </c>
      <c r="M23" s="7" t="s">
        <v>69</v>
      </c>
      <c r="N23" s="21">
        <v>0.48993055555555998</v>
      </c>
      <c r="O23" s="7" t="s">
        <v>149</v>
      </c>
      <c r="P23" s="22">
        <v>45671</v>
      </c>
      <c r="Q23" s="22">
        <v>45671</v>
      </c>
      <c r="R23" s="7" t="s">
        <v>69</v>
      </c>
      <c r="S23" s="20">
        <v>-9100000</v>
      </c>
      <c r="T23" s="7" t="s">
        <v>183</v>
      </c>
      <c r="U23" t="s">
        <v>228</v>
      </c>
      <c r="V23">
        <f t="shared" si="1"/>
        <v>1</v>
      </c>
    </row>
    <row r="24" spans="1:22">
      <c r="A24" s="7" t="s">
        <v>11</v>
      </c>
      <c r="B24" s="7" t="s">
        <v>12</v>
      </c>
      <c r="C24" s="7" t="s">
        <v>65</v>
      </c>
      <c r="D24" s="7" t="s">
        <v>66</v>
      </c>
      <c r="E24" s="7" t="s">
        <v>179</v>
      </c>
      <c r="F24" s="7" t="s">
        <v>68</v>
      </c>
      <c r="G24" s="7" t="s">
        <v>69</v>
      </c>
      <c r="H24" s="20">
        <v>-381</v>
      </c>
      <c r="I24" s="7" t="s">
        <v>70</v>
      </c>
      <c r="J24" s="20">
        <v>-381</v>
      </c>
      <c r="K24" s="7" t="s">
        <v>70</v>
      </c>
      <c r="L24" s="7" t="s">
        <v>120</v>
      </c>
      <c r="M24" s="7" t="s">
        <v>69</v>
      </c>
      <c r="N24" s="21">
        <v>0.45520833333333</v>
      </c>
      <c r="O24" s="7" t="s">
        <v>180</v>
      </c>
      <c r="P24" s="22">
        <v>45673</v>
      </c>
      <c r="Q24" s="22">
        <v>45673</v>
      </c>
      <c r="R24" s="7" t="s">
        <v>69</v>
      </c>
      <c r="S24" s="20">
        <v>-21439227</v>
      </c>
      <c r="T24" s="7" t="s">
        <v>181</v>
      </c>
      <c r="U24" t="s">
        <v>30</v>
      </c>
      <c r="V24">
        <f t="shared" si="1"/>
        <v>1</v>
      </c>
    </row>
    <row r="25" spans="1:22">
      <c r="A25" s="7" t="s">
        <v>19</v>
      </c>
      <c r="B25" s="7" t="s">
        <v>20</v>
      </c>
      <c r="C25" s="7" t="s">
        <v>65</v>
      </c>
      <c r="D25" s="7" t="s">
        <v>66</v>
      </c>
      <c r="E25" s="7" t="s">
        <v>177</v>
      </c>
      <c r="F25" s="7" t="s">
        <v>68</v>
      </c>
      <c r="G25" s="7" t="s">
        <v>69</v>
      </c>
      <c r="H25" s="20">
        <v>-100</v>
      </c>
      <c r="I25" s="7" t="s">
        <v>70</v>
      </c>
      <c r="J25" s="20">
        <v>-100</v>
      </c>
      <c r="K25" s="7" t="s">
        <v>70</v>
      </c>
      <c r="L25" s="7" t="s">
        <v>120</v>
      </c>
      <c r="M25" s="7" t="s">
        <v>69</v>
      </c>
      <c r="N25" s="21">
        <v>0.32085648148147999</v>
      </c>
      <c r="O25" s="7" t="s">
        <v>149</v>
      </c>
      <c r="P25" s="22">
        <v>45676</v>
      </c>
      <c r="Q25" s="22">
        <v>45676</v>
      </c>
      <c r="R25" s="7" t="s">
        <v>69</v>
      </c>
      <c r="S25" s="20">
        <v>-18200000</v>
      </c>
      <c r="T25" s="7" t="s">
        <v>178</v>
      </c>
      <c r="U25" t="s">
        <v>228</v>
      </c>
      <c r="V25">
        <f t="shared" si="1"/>
        <v>1</v>
      </c>
    </row>
    <row r="26" spans="1:22">
      <c r="A26" s="7" t="s">
        <v>7</v>
      </c>
      <c r="B26" s="7" t="s">
        <v>8</v>
      </c>
      <c r="C26" s="7" t="s">
        <v>65</v>
      </c>
      <c r="D26" s="7" t="s">
        <v>66</v>
      </c>
      <c r="E26" s="7" t="s">
        <v>172</v>
      </c>
      <c r="F26" s="7" t="s">
        <v>68</v>
      </c>
      <c r="G26" s="7" t="s">
        <v>69</v>
      </c>
      <c r="H26" s="20">
        <v>-100</v>
      </c>
      <c r="I26" s="7" t="s">
        <v>70</v>
      </c>
      <c r="J26" s="20">
        <v>-100</v>
      </c>
      <c r="K26" s="7" t="s">
        <v>70</v>
      </c>
      <c r="L26" s="7" t="s">
        <v>120</v>
      </c>
      <c r="M26" s="7" t="s">
        <v>69</v>
      </c>
      <c r="N26" s="21">
        <v>0.43461805555555999</v>
      </c>
      <c r="O26" s="7" t="s">
        <v>110</v>
      </c>
      <c r="P26" s="22">
        <v>45680</v>
      </c>
      <c r="Q26" s="22">
        <v>45680</v>
      </c>
      <c r="R26" s="7" t="s">
        <v>69</v>
      </c>
      <c r="S26" s="20">
        <v>-16500519</v>
      </c>
      <c r="T26" s="7" t="s">
        <v>173</v>
      </c>
      <c r="U26" t="s">
        <v>30</v>
      </c>
      <c r="V26">
        <f t="shared" si="1"/>
        <v>1</v>
      </c>
    </row>
    <row r="27" spans="1:22">
      <c r="A27" s="7" t="s">
        <v>7</v>
      </c>
      <c r="B27" s="7" t="s">
        <v>8</v>
      </c>
      <c r="C27" s="7" t="s">
        <v>65</v>
      </c>
      <c r="D27" s="7" t="s">
        <v>66</v>
      </c>
      <c r="E27" s="7" t="s">
        <v>170</v>
      </c>
      <c r="F27" s="7" t="s">
        <v>158</v>
      </c>
      <c r="G27" s="7" t="s">
        <v>69</v>
      </c>
      <c r="H27" s="20">
        <v>-200</v>
      </c>
      <c r="I27" s="7" t="s">
        <v>70</v>
      </c>
      <c r="J27" s="20">
        <v>-200</v>
      </c>
      <c r="K27" s="7" t="s">
        <v>70</v>
      </c>
      <c r="L27" s="7" t="s">
        <v>120</v>
      </c>
      <c r="M27" s="7" t="s">
        <v>69</v>
      </c>
      <c r="N27" s="21">
        <v>0.48688657407406999</v>
      </c>
      <c r="O27" s="7" t="s">
        <v>110</v>
      </c>
      <c r="P27" s="22">
        <v>45680</v>
      </c>
      <c r="Q27" s="22">
        <v>45680</v>
      </c>
      <c r="R27" s="7" t="s">
        <v>69</v>
      </c>
      <c r="S27" s="20">
        <v>-33001037</v>
      </c>
      <c r="T27" s="7" t="s">
        <v>171</v>
      </c>
      <c r="U27" t="s">
        <v>30</v>
      </c>
      <c r="V27">
        <f t="shared" si="1"/>
        <v>1</v>
      </c>
    </row>
    <row r="28" spans="1:22">
      <c r="A28" s="7" t="s">
        <v>17</v>
      </c>
      <c r="B28" s="7" t="s">
        <v>18</v>
      </c>
      <c r="C28" s="7" t="s">
        <v>65</v>
      </c>
      <c r="D28" s="7" t="s">
        <v>66</v>
      </c>
      <c r="E28" s="7" t="s">
        <v>174</v>
      </c>
      <c r="F28" s="7" t="s">
        <v>158</v>
      </c>
      <c r="G28" s="7" t="s">
        <v>69</v>
      </c>
      <c r="H28" s="20">
        <v>-300</v>
      </c>
      <c r="I28" s="7" t="s">
        <v>70</v>
      </c>
      <c r="J28" s="20">
        <v>-300</v>
      </c>
      <c r="K28" s="7" t="s">
        <v>70</v>
      </c>
      <c r="L28" s="7" t="s">
        <v>120</v>
      </c>
      <c r="M28" s="7" t="s">
        <v>69</v>
      </c>
      <c r="N28" s="21">
        <v>0.43339120370369999</v>
      </c>
      <c r="O28" s="7" t="s">
        <v>175</v>
      </c>
      <c r="P28" s="22">
        <v>45680</v>
      </c>
      <c r="Q28" s="22">
        <v>45680</v>
      </c>
      <c r="R28" s="7" t="s">
        <v>69</v>
      </c>
      <c r="S28" s="20">
        <v>-45000000</v>
      </c>
      <c r="T28" s="7" t="s">
        <v>176</v>
      </c>
      <c r="U28" t="s">
        <v>31</v>
      </c>
      <c r="V28">
        <f t="shared" si="1"/>
        <v>1</v>
      </c>
    </row>
    <row r="29" spans="1:22">
      <c r="A29" s="7" t="s">
        <v>19</v>
      </c>
      <c r="B29" s="7" t="s">
        <v>20</v>
      </c>
      <c r="C29" s="7" t="s">
        <v>65</v>
      </c>
      <c r="D29" s="7" t="s">
        <v>66</v>
      </c>
      <c r="E29" s="7" t="s">
        <v>167</v>
      </c>
      <c r="F29" s="7" t="s">
        <v>168</v>
      </c>
      <c r="G29" s="7" t="s">
        <v>69</v>
      </c>
      <c r="H29" s="20">
        <v>-100</v>
      </c>
      <c r="I29" s="7" t="s">
        <v>70</v>
      </c>
      <c r="J29" s="20">
        <v>-100</v>
      </c>
      <c r="K29" s="7" t="s">
        <v>70</v>
      </c>
      <c r="L29" s="7" t="s">
        <v>120</v>
      </c>
      <c r="M29" s="7" t="s">
        <v>69</v>
      </c>
      <c r="N29" s="21">
        <v>0.35053240740740998</v>
      </c>
      <c r="O29" s="7" t="s">
        <v>149</v>
      </c>
      <c r="P29" s="22">
        <v>45697</v>
      </c>
      <c r="Q29" s="22">
        <v>45697</v>
      </c>
      <c r="R29" s="7" t="s">
        <v>69</v>
      </c>
      <c r="S29" s="20">
        <v>-18200000</v>
      </c>
      <c r="T29" s="7" t="s">
        <v>169</v>
      </c>
      <c r="U29" t="s">
        <v>228</v>
      </c>
      <c r="V29">
        <f t="shared" si="1"/>
        <v>2</v>
      </c>
    </row>
    <row r="30" spans="1:22">
      <c r="A30" s="7" t="s">
        <v>7</v>
      </c>
      <c r="B30" s="7" t="s">
        <v>8</v>
      </c>
      <c r="C30" s="7" t="s">
        <v>65</v>
      </c>
      <c r="D30" s="7" t="s">
        <v>66</v>
      </c>
      <c r="E30" s="7" t="s">
        <v>165</v>
      </c>
      <c r="F30" s="7" t="s">
        <v>84</v>
      </c>
      <c r="G30" s="7" t="s">
        <v>69</v>
      </c>
      <c r="H30" s="20">
        <v>-200</v>
      </c>
      <c r="I30" s="7" t="s">
        <v>70</v>
      </c>
      <c r="J30" s="20">
        <v>-200</v>
      </c>
      <c r="K30" s="7" t="s">
        <v>70</v>
      </c>
      <c r="L30" s="7" t="s">
        <v>120</v>
      </c>
      <c r="M30" s="7" t="s">
        <v>69</v>
      </c>
      <c r="N30" s="21">
        <v>0.35331018518518997</v>
      </c>
      <c r="O30" s="7" t="s">
        <v>76</v>
      </c>
      <c r="P30" s="22">
        <v>45700</v>
      </c>
      <c r="Q30" s="22">
        <v>45700</v>
      </c>
      <c r="R30" s="7" t="s">
        <v>69</v>
      </c>
      <c r="S30" s="20">
        <v>-32781594</v>
      </c>
      <c r="T30" s="7" t="s">
        <v>166</v>
      </c>
      <c r="U30" t="s">
        <v>30</v>
      </c>
      <c r="V30">
        <f t="shared" si="1"/>
        <v>2</v>
      </c>
    </row>
    <row r="31" spans="1:22">
      <c r="A31" s="7" t="s">
        <v>7</v>
      </c>
      <c r="B31" s="7" t="s">
        <v>8</v>
      </c>
      <c r="C31" s="7" t="s">
        <v>65</v>
      </c>
      <c r="D31" s="7" t="s">
        <v>66</v>
      </c>
      <c r="E31" s="7" t="s">
        <v>163</v>
      </c>
      <c r="F31" s="7" t="s">
        <v>68</v>
      </c>
      <c r="G31" s="7" t="s">
        <v>69</v>
      </c>
      <c r="H31" s="20">
        <v>-100</v>
      </c>
      <c r="I31" s="7" t="s">
        <v>70</v>
      </c>
      <c r="J31" s="20">
        <v>-100</v>
      </c>
      <c r="K31" s="7" t="s">
        <v>70</v>
      </c>
      <c r="L31" s="7" t="s">
        <v>120</v>
      </c>
      <c r="M31" s="7" t="s">
        <v>69</v>
      </c>
      <c r="N31" s="21">
        <v>0.35412037037036997</v>
      </c>
      <c r="O31" s="7" t="s">
        <v>76</v>
      </c>
      <c r="P31" s="22">
        <v>45700</v>
      </c>
      <c r="Q31" s="22">
        <v>45700</v>
      </c>
      <c r="R31" s="7" t="s">
        <v>69</v>
      </c>
      <c r="S31" s="20">
        <v>-16390797</v>
      </c>
      <c r="T31" s="7" t="s">
        <v>164</v>
      </c>
      <c r="U31" t="s">
        <v>30</v>
      </c>
      <c r="V31">
        <f t="shared" si="1"/>
        <v>2</v>
      </c>
    </row>
    <row r="32" spans="1:22">
      <c r="A32" s="7" t="s">
        <v>19</v>
      </c>
      <c r="B32" s="7" t="s">
        <v>20</v>
      </c>
      <c r="C32" s="7" t="s">
        <v>65</v>
      </c>
      <c r="D32" s="7" t="s">
        <v>66</v>
      </c>
      <c r="E32" s="7" t="s">
        <v>161</v>
      </c>
      <c r="F32" s="7" t="s">
        <v>158</v>
      </c>
      <c r="G32" s="7" t="s">
        <v>69</v>
      </c>
      <c r="H32" s="20">
        <v>-50</v>
      </c>
      <c r="I32" s="7" t="s">
        <v>70</v>
      </c>
      <c r="J32" s="20">
        <v>-50</v>
      </c>
      <c r="K32" s="7" t="s">
        <v>70</v>
      </c>
      <c r="L32" s="7" t="s">
        <v>120</v>
      </c>
      <c r="M32" s="7" t="s">
        <v>69</v>
      </c>
      <c r="N32" s="21">
        <v>0.35981481481480998</v>
      </c>
      <c r="O32" s="7" t="s">
        <v>149</v>
      </c>
      <c r="P32" s="22">
        <v>45700</v>
      </c>
      <c r="Q32" s="22">
        <v>45700</v>
      </c>
      <c r="R32" s="7" t="s">
        <v>69</v>
      </c>
      <c r="S32" s="20">
        <v>-9100000</v>
      </c>
      <c r="T32" s="7" t="s">
        <v>162</v>
      </c>
      <c r="U32" t="s">
        <v>228</v>
      </c>
      <c r="V32">
        <f t="shared" si="1"/>
        <v>2</v>
      </c>
    </row>
    <row r="33" spans="1:22">
      <c r="A33" s="7" t="s">
        <v>19</v>
      </c>
      <c r="B33" s="7" t="s">
        <v>20</v>
      </c>
      <c r="C33" s="7" t="s">
        <v>65</v>
      </c>
      <c r="D33" s="7" t="s">
        <v>66</v>
      </c>
      <c r="E33" s="7" t="s">
        <v>157</v>
      </c>
      <c r="F33" s="7" t="s">
        <v>158</v>
      </c>
      <c r="G33" s="7" t="s">
        <v>69</v>
      </c>
      <c r="H33" s="20">
        <v>-50</v>
      </c>
      <c r="I33" s="7" t="s">
        <v>70</v>
      </c>
      <c r="J33" s="20">
        <v>-50</v>
      </c>
      <c r="K33" s="7" t="s">
        <v>70</v>
      </c>
      <c r="L33" s="7" t="s">
        <v>120</v>
      </c>
      <c r="M33" s="7" t="s">
        <v>69</v>
      </c>
      <c r="N33" s="21">
        <v>0.36398148148148002</v>
      </c>
      <c r="O33" s="7" t="s">
        <v>149</v>
      </c>
      <c r="P33" s="22">
        <v>45704</v>
      </c>
      <c r="Q33" s="22">
        <v>45704</v>
      </c>
      <c r="R33" s="7" t="s">
        <v>69</v>
      </c>
      <c r="S33" s="20">
        <v>-9100000</v>
      </c>
      <c r="T33" s="7" t="s">
        <v>159</v>
      </c>
      <c r="U33" t="s">
        <v>228</v>
      </c>
      <c r="V33">
        <f t="shared" si="1"/>
        <v>2</v>
      </c>
    </row>
    <row r="34" spans="1:22">
      <c r="A34" s="7" t="s">
        <v>19</v>
      </c>
      <c r="B34" s="7" t="s">
        <v>20</v>
      </c>
      <c r="C34" s="7" t="s">
        <v>65</v>
      </c>
      <c r="D34" s="7" t="s">
        <v>66</v>
      </c>
      <c r="E34" s="7" t="s">
        <v>157</v>
      </c>
      <c r="F34" s="7" t="s">
        <v>84</v>
      </c>
      <c r="G34" s="7" t="s">
        <v>69</v>
      </c>
      <c r="H34" s="20">
        <v>-100</v>
      </c>
      <c r="I34" s="7" t="s">
        <v>70</v>
      </c>
      <c r="J34" s="20">
        <v>-100</v>
      </c>
      <c r="K34" s="7" t="s">
        <v>70</v>
      </c>
      <c r="L34" s="7" t="s">
        <v>120</v>
      </c>
      <c r="M34" s="7" t="s">
        <v>69</v>
      </c>
      <c r="N34" s="21">
        <v>0.36398148148148002</v>
      </c>
      <c r="O34" s="7" t="s">
        <v>149</v>
      </c>
      <c r="P34" s="22">
        <v>45704</v>
      </c>
      <c r="Q34" s="22">
        <v>45704</v>
      </c>
      <c r="R34" s="7" t="s">
        <v>69</v>
      </c>
      <c r="S34" s="20">
        <v>-18200000</v>
      </c>
      <c r="T34" s="7" t="s">
        <v>160</v>
      </c>
      <c r="U34" t="s">
        <v>228</v>
      </c>
      <c r="V34">
        <f t="shared" si="1"/>
        <v>2</v>
      </c>
    </row>
    <row r="35" spans="1:22">
      <c r="A35" s="7" t="s">
        <v>7</v>
      </c>
      <c r="B35" s="7" t="s">
        <v>8</v>
      </c>
      <c r="C35" s="7" t="s">
        <v>65</v>
      </c>
      <c r="D35" s="7" t="s">
        <v>66</v>
      </c>
      <c r="E35" s="7" t="s">
        <v>155</v>
      </c>
      <c r="F35" s="7" t="s">
        <v>68</v>
      </c>
      <c r="G35" s="7" t="s">
        <v>69</v>
      </c>
      <c r="H35" s="20">
        <v>-200</v>
      </c>
      <c r="I35" s="7" t="s">
        <v>70</v>
      </c>
      <c r="J35" s="20">
        <v>-200</v>
      </c>
      <c r="K35" s="7" t="s">
        <v>70</v>
      </c>
      <c r="L35" s="7" t="s">
        <v>120</v>
      </c>
      <c r="M35" s="7" t="s">
        <v>69</v>
      </c>
      <c r="N35" s="21">
        <v>0.69738425925925995</v>
      </c>
      <c r="O35" s="7" t="s">
        <v>140</v>
      </c>
      <c r="P35" s="22">
        <v>45706</v>
      </c>
      <c r="Q35" s="22">
        <v>45706</v>
      </c>
      <c r="R35" s="7" t="s">
        <v>69</v>
      </c>
      <c r="S35" s="20">
        <v>-32784055</v>
      </c>
      <c r="T35" s="7" t="s">
        <v>156</v>
      </c>
      <c r="U35" t="s">
        <v>30</v>
      </c>
      <c r="V35">
        <f t="shared" si="1"/>
        <v>2</v>
      </c>
    </row>
    <row r="36" spans="1:22">
      <c r="A36" s="7" t="s">
        <v>7</v>
      </c>
      <c r="B36" s="7" t="s">
        <v>8</v>
      </c>
      <c r="C36" s="7" t="s">
        <v>65</v>
      </c>
      <c r="D36" s="7" t="s">
        <v>66</v>
      </c>
      <c r="E36" s="7" t="s">
        <v>153</v>
      </c>
      <c r="F36" s="7" t="s">
        <v>84</v>
      </c>
      <c r="G36" s="7" t="s">
        <v>69</v>
      </c>
      <c r="H36" s="20">
        <v>-400</v>
      </c>
      <c r="I36" s="7" t="s">
        <v>70</v>
      </c>
      <c r="J36" s="20">
        <v>-400</v>
      </c>
      <c r="K36" s="7" t="s">
        <v>70</v>
      </c>
      <c r="L36" s="7" t="s">
        <v>120</v>
      </c>
      <c r="M36" s="7" t="s">
        <v>69</v>
      </c>
      <c r="N36" s="21">
        <v>0.53600694444443997</v>
      </c>
      <c r="O36" s="7" t="s">
        <v>140</v>
      </c>
      <c r="P36" s="22">
        <v>45714</v>
      </c>
      <c r="Q36" s="22">
        <v>45714</v>
      </c>
      <c r="R36" s="7" t="s">
        <v>69</v>
      </c>
      <c r="S36" s="20">
        <v>-66125523</v>
      </c>
      <c r="T36" s="7" t="s">
        <v>154</v>
      </c>
      <c r="U36" t="s">
        <v>30</v>
      </c>
      <c r="V36">
        <f t="shared" si="1"/>
        <v>2</v>
      </c>
    </row>
    <row r="37" spans="1:22">
      <c r="A37" s="7" t="s">
        <v>7</v>
      </c>
      <c r="B37" s="7" t="s">
        <v>8</v>
      </c>
      <c r="C37" s="7" t="s">
        <v>65</v>
      </c>
      <c r="D37" s="7" t="s">
        <v>66</v>
      </c>
      <c r="E37" s="7" t="s">
        <v>151</v>
      </c>
      <c r="F37" s="7" t="s">
        <v>68</v>
      </c>
      <c r="G37" s="7" t="s">
        <v>69</v>
      </c>
      <c r="H37" s="20">
        <v>-200</v>
      </c>
      <c r="I37" s="7" t="s">
        <v>70</v>
      </c>
      <c r="J37" s="20">
        <v>-200</v>
      </c>
      <c r="K37" s="7" t="s">
        <v>70</v>
      </c>
      <c r="L37" s="7" t="s">
        <v>120</v>
      </c>
      <c r="M37" s="7" t="s">
        <v>69</v>
      </c>
      <c r="N37" s="21">
        <v>0.53776620370369999</v>
      </c>
      <c r="O37" s="7" t="s">
        <v>140</v>
      </c>
      <c r="P37" s="22">
        <v>45714</v>
      </c>
      <c r="Q37" s="22">
        <v>45714</v>
      </c>
      <c r="R37" s="7" t="s">
        <v>69</v>
      </c>
      <c r="S37" s="20">
        <v>-33062761</v>
      </c>
      <c r="T37" s="7" t="s">
        <v>152</v>
      </c>
      <c r="U37" t="s">
        <v>30</v>
      </c>
      <c r="V37">
        <f t="shared" si="1"/>
        <v>2</v>
      </c>
    </row>
    <row r="38" spans="1:22">
      <c r="A38" s="7" t="s">
        <v>11</v>
      </c>
      <c r="B38" s="7" t="s">
        <v>12</v>
      </c>
      <c r="C38" s="7" t="s">
        <v>65</v>
      </c>
      <c r="D38" s="7" t="s">
        <v>66</v>
      </c>
      <c r="E38" s="7" t="s">
        <v>148</v>
      </c>
      <c r="F38" s="7" t="s">
        <v>68</v>
      </c>
      <c r="G38" s="7" t="s">
        <v>69</v>
      </c>
      <c r="H38" s="20">
        <v>-100</v>
      </c>
      <c r="I38" s="7" t="s">
        <v>70</v>
      </c>
      <c r="J38" s="20">
        <v>-100</v>
      </c>
      <c r="K38" s="7" t="s">
        <v>70</v>
      </c>
      <c r="L38" s="7" t="s">
        <v>120</v>
      </c>
      <c r="M38" s="7" t="s">
        <v>69</v>
      </c>
      <c r="N38" s="21">
        <v>0.52966435185185001</v>
      </c>
      <c r="O38" s="7" t="s">
        <v>149</v>
      </c>
      <c r="P38" s="22">
        <v>45715</v>
      </c>
      <c r="Q38" s="22">
        <v>45715</v>
      </c>
      <c r="R38" s="7" t="s">
        <v>69</v>
      </c>
      <c r="S38" s="20">
        <v>-7100000</v>
      </c>
      <c r="T38" s="7" t="s">
        <v>150</v>
      </c>
      <c r="U38" t="s">
        <v>228</v>
      </c>
      <c r="V38">
        <f t="shared" si="1"/>
        <v>2</v>
      </c>
    </row>
    <row r="39" spans="1:22">
      <c r="A39" s="7" t="s">
        <v>7</v>
      </c>
      <c r="B39" s="7" t="s">
        <v>8</v>
      </c>
      <c r="C39" s="7" t="s">
        <v>65</v>
      </c>
      <c r="D39" s="7" t="s">
        <v>66</v>
      </c>
      <c r="E39" s="7" t="s">
        <v>146</v>
      </c>
      <c r="F39" s="7" t="s">
        <v>68</v>
      </c>
      <c r="G39" s="7" t="s">
        <v>69</v>
      </c>
      <c r="H39" s="20">
        <v>-200</v>
      </c>
      <c r="I39" s="7" t="s">
        <v>70</v>
      </c>
      <c r="J39" s="20">
        <v>-200</v>
      </c>
      <c r="K39" s="7" t="s">
        <v>70</v>
      </c>
      <c r="L39" s="7" t="s">
        <v>120</v>
      </c>
      <c r="M39" s="7" t="s">
        <v>69</v>
      </c>
      <c r="N39" s="21">
        <v>0.35403935185184998</v>
      </c>
      <c r="O39" s="7" t="s">
        <v>110</v>
      </c>
      <c r="P39" s="22">
        <v>45720</v>
      </c>
      <c r="Q39" s="22">
        <v>45720</v>
      </c>
      <c r="R39" s="7" t="s">
        <v>69</v>
      </c>
      <c r="S39" s="20">
        <v>-33046024</v>
      </c>
      <c r="T39" s="7" t="s">
        <v>147</v>
      </c>
      <c r="U39" t="s">
        <v>30</v>
      </c>
      <c r="V39">
        <f t="shared" si="1"/>
        <v>3</v>
      </c>
    </row>
    <row r="40" spans="1:22">
      <c r="A40" s="7" t="s">
        <v>7</v>
      </c>
      <c r="B40" s="7" t="s">
        <v>8</v>
      </c>
      <c r="C40" s="7" t="s">
        <v>65</v>
      </c>
      <c r="D40" s="7" t="s">
        <v>66</v>
      </c>
      <c r="E40" s="7" t="s">
        <v>144</v>
      </c>
      <c r="F40" s="7" t="s">
        <v>68</v>
      </c>
      <c r="G40" s="7" t="s">
        <v>69</v>
      </c>
      <c r="H40" s="20">
        <v>-200</v>
      </c>
      <c r="I40" s="7" t="s">
        <v>70</v>
      </c>
      <c r="J40" s="20">
        <v>-200</v>
      </c>
      <c r="K40" s="7" t="s">
        <v>70</v>
      </c>
      <c r="L40" s="7" t="s">
        <v>120</v>
      </c>
      <c r="M40" s="7" t="s">
        <v>69</v>
      </c>
      <c r="N40" s="21">
        <v>0.73040509259259001</v>
      </c>
      <c r="O40" s="7" t="s">
        <v>110</v>
      </c>
      <c r="P40" s="22">
        <v>45721</v>
      </c>
      <c r="Q40" s="22">
        <v>45721</v>
      </c>
      <c r="R40" s="7" t="s">
        <v>69</v>
      </c>
      <c r="S40" s="20">
        <v>-33037767</v>
      </c>
      <c r="T40" s="7" t="s">
        <v>145</v>
      </c>
      <c r="U40" t="s">
        <v>30</v>
      </c>
      <c r="V40">
        <f t="shared" si="1"/>
        <v>3</v>
      </c>
    </row>
    <row r="41" spans="1:22">
      <c r="A41" s="7" t="s">
        <v>7</v>
      </c>
      <c r="B41" s="7" t="s">
        <v>8</v>
      </c>
      <c r="C41" s="7" t="s">
        <v>65</v>
      </c>
      <c r="D41" s="7" t="s">
        <v>66</v>
      </c>
      <c r="E41" s="7" t="s">
        <v>142</v>
      </c>
      <c r="F41" s="7" t="s">
        <v>68</v>
      </c>
      <c r="G41" s="7" t="s">
        <v>69</v>
      </c>
      <c r="H41" s="20">
        <v>-200</v>
      </c>
      <c r="I41" s="7" t="s">
        <v>70</v>
      </c>
      <c r="J41" s="20">
        <v>-200</v>
      </c>
      <c r="K41" s="7" t="s">
        <v>70</v>
      </c>
      <c r="L41" s="7" t="s">
        <v>120</v>
      </c>
      <c r="M41" s="7" t="s">
        <v>69</v>
      </c>
      <c r="N41" s="21">
        <v>0.44644675925925997</v>
      </c>
      <c r="O41" s="7" t="s">
        <v>110</v>
      </c>
      <c r="P41" s="22">
        <v>45723</v>
      </c>
      <c r="Q41" s="22">
        <v>45723</v>
      </c>
      <c r="R41" s="7" t="s">
        <v>69</v>
      </c>
      <c r="S41" s="20">
        <v>-33037768</v>
      </c>
      <c r="T41" s="7" t="s">
        <v>143</v>
      </c>
      <c r="U41" t="s">
        <v>30</v>
      </c>
      <c r="V41">
        <f t="shared" si="1"/>
        <v>3</v>
      </c>
    </row>
    <row r="42" spans="1:22">
      <c r="A42" s="7" t="s">
        <v>7</v>
      </c>
      <c r="B42" s="7" t="s">
        <v>8</v>
      </c>
      <c r="C42" s="7" t="s">
        <v>65</v>
      </c>
      <c r="D42" s="7" t="s">
        <v>66</v>
      </c>
      <c r="E42" s="7" t="s">
        <v>139</v>
      </c>
      <c r="F42" s="7" t="s">
        <v>68</v>
      </c>
      <c r="G42" s="7" t="s">
        <v>69</v>
      </c>
      <c r="H42" s="20">
        <v>-200</v>
      </c>
      <c r="I42" s="7" t="s">
        <v>70</v>
      </c>
      <c r="J42" s="20">
        <v>-200</v>
      </c>
      <c r="K42" s="7" t="s">
        <v>70</v>
      </c>
      <c r="L42" s="7" t="s">
        <v>120</v>
      </c>
      <c r="M42" s="7" t="s">
        <v>69</v>
      </c>
      <c r="N42" s="21">
        <v>0.60896990740740997</v>
      </c>
      <c r="O42" s="7" t="s">
        <v>140</v>
      </c>
      <c r="P42" s="22">
        <v>45734</v>
      </c>
      <c r="Q42" s="22">
        <v>45734</v>
      </c>
      <c r="R42" s="7" t="s">
        <v>69</v>
      </c>
      <c r="S42" s="20">
        <v>-33029672</v>
      </c>
      <c r="T42" s="7" t="s">
        <v>141</v>
      </c>
      <c r="U42" t="s">
        <v>30</v>
      </c>
      <c r="V42">
        <f t="shared" si="1"/>
        <v>3</v>
      </c>
    </row>
    <row r="43" spans="1:22">
      <c r="A43" s="7" t="s">
        <v>7</v>
      </c>
      <c r="B43" s="7" t="s">
        <v>8</v>
      </c>
      <c r="C43" s="7" t="s">
        <v>65</v>
      </c>
      <c r="D43" s="7" t="s">
        <v>66</v>
      </c>
      <c r="E43" s="7" t="s">
        <v>135</v>
      </c>
      <c r="F43" s="7" t="s">
        <v>68</v>
      </c>
      <c r="G43" s="7" t="s">
        <v>69</v>
      </c>
      <c r="H43" s="20">
        <v>-100</v>
      </c>
      <c r="I43" s="7" t="s">
        <v>70</v>
      </c>
      <c r="J43" s="20">
        <v>-100</v>
      </c>
      <c r="K43" s="7" t="s">
        <v>70</v>
      </c>
      <c r="L43" s="7" t="s">
        <v>120</v>
      </c>
      <c r="M43" s="7" t="s">
        <v>69</v>
      </c>
      <c r="N43" s="21">
        <v>0.36178240740741002</v>
      </c>
      <c r="O43" s="7" t="s">
        <v>76</v>
      </c>
      <c r="P43" s="22">
        <v>45748</v>
      </c>
      <c r="Q43" s="22">
        <v>45748</v>
      </c>
      <c r="R43" s="7" t="s">
        <v>69</v>
      </c>
      <c r="S43" s="20">
        <v>-16508171</v>
      </c>
      <c r="T43" s="7" t="s">
        <v>136</v>
      </c>
      <c r="U43" t="s">
        <v>30</v>
      </c>
      <c r="V43">
        <f t="shared" si="1"/>
        <v>4</v>
      </c>
    </row>
    <row r="44" spans="1:22">
      <c r="A44" s="7" t="s">
        <v>11</v>
      </c>
      <c r="B44" s="7" t="s">
        <v>12</v>
      </c>
      <c r="C44" s="7" t="s">
        <v>65</v>
      </c>
      <c r="D44" s="7" t="s">
        <v>66</v>
      </c>
      <c r="E44" s="7" t="s">
        <v>137</v>
      </c>
      <c r="F44" s="7" t="s">
        <v>68</v>
      </c>
      <c r="G44" s="7" t="s">
        <v>69</v>
      </c>
      <c r="H44" s="20">
        <v>-100</v>
      </c>
      <c r="I44" s="7" t="s">
        <v>70</v>
      </c>
      <c r="J44" s="20">
        <v>-100</v>
      </c>
      <c r="K44" s="7" t="s">
        <v>70</v>
      </c>
      <c r="L44" s="7" t="s">
        <v>120</v>
      </c>
      <c r="M44" s="7" t="s">
        <v>69</v>
      </c>
      <c r="N44" s="21">
        <v>0.35233796296295999</v>
      </c>
      <c r="O44" s="7" t="s">
        <v>117</v>
      </c>
      <c r="P44" s="22">
        <v>45748</v>
      </c>
      <c r="Q44" s="22">
        <v>45748</v>
      </c>
      <c r="R44" s="7" t="s">
        <v>69</v>
      </c>
      <c r="S44" s="20">
        <v>-7100000</v>
      </c>
      <c r="T44" s="7" t="s">
        <v>138</v>
      </c>
      <c r="U44" t="s">
        <v>228</v>
      </c>
      <c r="V44">
        <f t="shared" si="1"/>
        <v>4</v>
      </c>
    </row>
    <row r="45" spans="1:22">
      <c r="A45" s="7" t="s">
        <v>7</v>
      </c>
      <c r="B45" s="7" t="s">
        <v>8</v>
      </c>
      <c r="C45" s="7" t="s">
        <v>65</v>
      </c>
      <c r="D45" s="7" t="s">
        <v>66</v>
      </c>
      <c r="E45" s="7" t="s">
        <v>131</v>
      </c>
      <c r="F45" s="7" t="s">
        <v>68</v>
      </c>
      <c r="G45" s="7" t="s">
        <v>69</v>
      </c>
      <c r="H45" s="20">
        <v>-100</v>
      </c>
      <c r="I45" s="7" t="s">
        <v>70</v>
      </c>
      <c r="J45" s="20">
        <v>-100</v>
      </c>
      <c r="K45" s="7" t="s">
        <v>70</v>
      </c>
      <c r="L45" s="7" t="s">
        <v>90</v>
      </c>
      <c r="M45" s="7" t="s">
        <v>69</v>
      </c>
      <c r="N45" s="21">
        <v>0.74228009259258998</v>
      </c>
      <c r="O45" s="7" t="s">
        <v>76</v>
      </c>
      <c r="P45" s="22">
        <v>45755</v>
      </c>
      <c r="Q45" s="22">
        <v>45755</v>
      </c>
      <c r="R45" s="7" t="s">
        <v>69</v>
      </c>
      <c r="S45" s="20">
        <v>-16508171</v>
      </c>
      <c r="T45" s="7" t="s">
        <v>132</v>
      </c>
      <c r="U45" t="s">
        <v>30</v>
      </c>
      <c r="V45">
        <f t="shared" si="1"/>
        <v>4</v>
      </c>
    </row>
    <row r="46" spans="1:22">
      <c r="A46" s="7" t="s">
        <v>11</v>
      </c>
      <c r="B46" s="7" t="s">
        <v>12</v>
      </c>
      <c r="C46" s="7" t="s">
        <v>65</v>
      </c>
      <c r="D46" s="7" t="s">
        <v>66</v>
      </c>
      <c r="E46" s="7" t="s">
        <v>127</v>
      </c>
      <c r="F46" s="7" t="s">
        <v>68</v>
      </c>
      <c r="G46" s="7" t="s">
        <v>69</v>
      </c>
      <c r="H46" s="20">
        <v>-100</v>
      </c>
      <c r="I46" s="7" t="s">
        <v>70</v>
      </c>
      <c r="J46" s="20">
        <v>-100</v>
      </c>
      <c r="K46" s="7" t="s">
        <v>70</v>
      </c>
      <c r="L46" s="7" t="s">
        <v>90</v>
      </c>
      <c r="M46" s="7" t="s">
        <v>69</v>
      </c>
      <c r="N46" s="21">
        <v>0.74285879629630003</v>
      </c>
      <c r="O46" s="7" t="s">
        <v>117</v>
      </c>
      <c r="P46" s="22">
        <v>45755</v>
      </c>
      <c r="Q46" s="22">
        <v>45755</v>
      </c>
      <c r="R46" s="7" t="s">
        <v>69</v>
      </c>
      <c r="S46" s="20">
        <v>-7100000</v>
      </c>
      <c r="T46" s="7" t="s">
        <v>128</v>
      </c>
      <c r="U46" t="s">
        <v>228</v>
      </c>
      <c r="V46">
        <f t="shared" si="1"/>
        <v>4</v>
      </c>
    </row>
    <row r="47" spans="1:22">
      <c r="A47" s="7" t="s">
        <v>11</v>
      </c>
      <c r="B47" s="7" t="s">
        <v>12</v>
      </c>
      <c r="C47" s="7" t="s">
        <v>65</v>
      </c>
      <c r="D47" s="7" t="s">
        <v>66</v>
      </c>
      <c r="E47" s="7" t="s">
        <v>133</v>
      </c>
      <c r="F47" s="7" t="s">
        <v>68</v>
      </c>
      <c r="G47" s="7" t="s">
        <v>69</v>
      </c>
      <c r="H47" s="20">
        <v>-100</v>
      </c>
      <c r="I47" s="7" t="s">
        <v>70</v>
      </c>
      <c r="J47" s="20">
        <v>-100</v>
      </c>
      <c r="K47" s="7" t="s">
        <v>70</v>
      </c>
      <c r="L47" s="7" t="s">
        <v>90</v>
      </c>
      <c r="M47" s="7" t="s">
        <v>69</v>
      </c>
      <c r="N47" s="21">
        <v>0.31844907407407003</v>
      </c>
      <c r="O47" s="7" t="s">
        <v>117</v>
      </c>
      <c r="P47" s="22">
        <v>45755</v>
      </c>
      <c r="Q47" s="22">
        <v>45755</v>
      </c>
      <c r="R47" s="7" t="s">
        <v>69</v>
      </c>
      <c r="S47" s="20">
        <v>-7100000</v>
      </c>
      <c r="T47" s="7" t="s">
        <v>134</v>
      </c>
      <c r="U47" t="s">
        <v>228</v>
      </c>
      <c r="V47">
        <f t="shared" si="1"/>
        <v>4</v>
      </c>
    </row>
    <row r="48" spans="1:22">
      <c r="A48" s="7" t="s">
        <v>112</v>
      </c>
      <c r="B48" s="7" t="s">
        <v>113</v>
      </c>
      <c r="C48" s="7" t="s">
        <v>65</v>
      </c>
      <c r="D48" s="7" t="s">
        <v>66</v>
      </c>
      <c r="E48" s="7" t="s">
        <v>129</v>
      </c>
      <c r="F48" s="7" t="s">
        <v>68</v>
      </c>
      <c r="G48" s="7" t="s">
        <v>69</v>
      </c>
      <c r="H48" s="20">
        <v>-3</v>
      </c>
      <c r="I48" s="7" t="s">
        <v>70</v>
      </c>
      <c r="J48" s="20">
        <v>-3</v>
      </c>
      <c r="K48" s="7" t="s">
        <v>70</v>
      </c>
      <c r="L48" s="7" t="s">
        <v>90</v>
      </c>
      <c r="M48" s="7" t="s">
        <v>69</v>
      </c>
      <c r="N48" s="21">
        <v>0.74254629629629998</v>
      </c>
      <c r="O48" s="7" t="s">
        <v>76</v>
      </c>
      <c r="P48" s="22">
        <v>45755</v>
      </c>
      <c r="Q48" s="22">
        <v>45755</v>
      </c>
      <c r="R48" s="7" t="s">
        <v>69</v>
      </c>
      <c r="S48" s="20">
        <v>-450409</v>
      </c>
      <c r="T48" s="7" t="s">
        <v>130</v>
      </c>
      <c r="U48" t="s">
        <v>30</v>
      </c>
      <c r="V48">
        <f t="shared" si="1"/>
        <v>4</v>
      </c>
    </row>
    <row r="49" spans="1:22">
      <c r="A49" s="7" t="s">
        <v>11</v>
      </c>
      <c r="B49" s="7" t="s">
        <v>12</v>
      </c>
      <c r="C49" s="7" t="s">
        <v>65</v>
      </c>
      <c r="D49" s="7" t="s">
        <v>66</v>
      </c>
      <c r="E49" s="7" t="s">
        <v>125</v>
      </c>
      <c r="F49" s="7" t="s">
        <v>68</v>
      </c>
      <c r="G49" s="7" t="s">
        <v>69</v>
      </c>
      <c r="H49" s="20">
        <v>-50</v>
      </c>
      <c r="I49" s="7" t="s">
        <v>70</v>
      </c>
      <c r="J49" s="20">
        <v>-50</v>
      </c>
      <c r="K49" s="7" t="s">
        <v>70</v>
      </c>
      <c r="L49" s="7" t="s">
        <v>90</v>
      </c>
      <c r="M49" s="7" t="s">
        <v>69</v>
      </c>
      <c r="N49" s="21">
        <v>0.28503472222221998</v>
      </c>
      <c r="O49" s="7" t="s">
        <v>117</v>
      </c>
      <c r="P49" s="22">
        <v>45758</v>
      </c>
      <c r="Q49" s="22">
        <v>45758</v>
      </c>
      <c r="R49" s="7" t="s">
        <v>69</v>
      </c>
      <c r="S49" s="20">
        <v>-3550000</v>
      </c>
      <c r="T49" s="7" t="s">
        <v>126</v>
      </c>
      <c r="U49" t="s">
        <v>228</v>
      </c>
      <c r="V49">
        <f t="shared" si="1"/>
        <v>4</v>
      </c>
    </row>
    <row r="50" spans="1:22">
      <c r="A50" s="7" t="s">
        <v>7</v>
      </c>
      <c r="B50" s="7" t="s">
        <v>8</v>
      </c>
      <c r="C50" s="7" t="s">
        <v>65</v>
      </c>
      <c r="D50" s="7" t="s">
        <v>66</v>
      </c>
      <c r="E50" s="7" t="s">
        <v>122</v>
      </c>
      <c r="F50" s="7" t="s">
        <v>84</v>
      </c>
      <c r="G50" s="7" t="s">
        <v>69</v>
      </c>
      <c r="H50" s="20">
        <v>-100</v>
      </c>
      <c r="I50" s="7" t="s">
        <v>70</v>
      </c>
      <c r="J50" s="20">
        <v>-100</v>
      </c>
      <c r="K50" s="7" t="s">
        <v>70</v>
      </c>
      <c r="L50" s="7" t="s">
        <v>120</v>
      </c>
      <c r="M50" s="7" t="s">
        <v>69</v>
      </c>
      <c r="N50" s="21">
        <v>0.58224537037037005</v>
      </c>
      <c r="O50" s="7" t="s">
        <v>76</v>
      </c>
      <c r="P50" s="22">
        <v>45759</v>
      </c>
      <c r="Q50" s="22">
        <v>45759</v>
      </c>
      <c r="R50" s="7" t="s">
        <v>69</v>
      </c>
      <c r="S50" s="20">
        <v>-16508170</v>
      </c>
      <c r="T50" s="7" t="s">
        <v>123</v>
      </c>
      <c r="U50" t="s">
        <v>30</v>
      </c>
      <c r="V50">
        <f t="shared" si="1"/>
        <v>4</v>
      </c>
    </row>
    <row r="51" spans="1:22">
      <c r="A51" s="7" t="s">
        <v>112</v>
      </c>
      <c r="B51" s="7" t="s">
        <v>113</v>
      </c>
      <c r="C51" s="7" t="s">
        <v>65</v>
      </c>
      <c r="D51" s="7" t="s">
        <v>66</v>
      </c>
      <c r="E51" s="7" t="s">
        <v>122</v>
      </c>
      <c r="F51" s="7" t="s">
        <v>68</v>
      </c>
      <c r="G51" s="7" t="s">
        <v>69</v>
      </c>
      <c r="H51" s="20">
        <v>-1</v>
      </c>
      <c r="I51" s="7" t="s">
        <v>70</v>
      </c>
      <c r="J51" s="20">
        <v>-1</v>
      </c>
      <c r="K51" s="7" t="s">
        <v>70</v>
      </c>
      <c r="L51" s="7" t="s">
        <v>120</v>
      </c>
      <c r="M51" s="7" t="s">
        <v>69</v>
      </c>
      <c r="N51" s="21">
        <v>0.58224537037037005</v>
      </c>
      <c r="O51" s="7" t="s">
        <v>76</v>
      </c>
      <c r="P51" s="22">
        <v>45759</v>
      </c>
      <c r="Q51" s="22">
        <v>45759</v>
      </c>
      <c r="R51" s="7" t="s">
        <v>69</v>
      </c>
      <c r="S51" s="20">
        <v>-150136</v>
      </c>
      <c r="T51" s="7" t="s">
        <v>124</v>
      </c>
      <c r="U51" t="s">
        <v>30</v>
      </c>
      <c r="V51">
        <f t="shared" si="1"/>
        <v>4</v>
      </c>
    </row>
    <row r="52" spans="1:22">
      <c r="A52" s="7" t="s">
        <v>7</v>
      </c>
      <c r="B52" s="7" t="s">
        <v>8</v>
      </c>
      <c r="C52" s="7" t="s">
        <v>65</v>
      </c>
      <c r="D52" s="7" t="s">
        <v>66</v>
      </c>
      <c r="E52" s="7" t="s">
        <v>119</v>
      </c>
      <c r="F52" s="7" t="s">
        <v>84</v>
      </c>
      <c r="G52" s="7" t="s">
        <v>69</v>
      </c>
      <c r="H52" s="20">
        <v>-100</v>
      </c>
      <c r="I52" s="7" t="s">
        <v>70</v>
      </c>
      <c r="J52" s="20">
        <v>-100</v>
      </c>
      <c r="K52" s="7" t="s">
        <v>70</v>
      </c>
      <c r="L52" s="7" t="s">
        <v>120</v>
      </c>
      <c r="M52" s="7" t="s">
        <v>69</v>
      </c>
      <c r="N52" s="21">
        <v>0.44724537037036999</v>
      </c>
      <c r="O52" s="7" t="s">
        <v>76</v>
      </c>
      <c r="P52" s="22">
        <v>45760</v>
      </c>
      <c r="Q52" s="22">
        <v>45760</v>
      </c>
      <c r="R52" s="7" t="s">
        <v>69</v>
      </c>
      <c r="S52" s="20">
        <v>-16508170</v>
      </c>
      <c r="T52" s="7" t="s">
        <v>121</v>
      </c>
      <c r="U52" t="s">
        <v>30</v>
      </c>
      <c r="V52">
        <f t="shared" si="1"/>
        <v>4</v>
      </c>
    </row>
    <row r="53" spans="1:22">
      <c r="A53" s="7" t="s">
        <v>11</v>
      </c>
      <c r="B53" s="7" t="s">
        <v>12</v>
      </c>
      <c r="C53" s="7" t="s">
        <v>65</v>
      </c>
      <c r="D53" s="7" t="s">
        <v>66</v>
      </c>
      <c r="E53" s="7" t="s">
        <v>116</v>
      </c>
      <c r="F53" s="7" t="s">
        <v>68</v>
      </c>
      <c r="G53" s="7" t="s">
        <v>69</v>
      </c>
      <c r="H53" s="20">
        <v>-50</v>
      </c>
      <c r="I53" s="7" t="s">
        <v>70</v>
      </c>
      <c r="J53" s="20">
        <v>-50</v>
      </c>
      <c r="K53" s="7" t="s">
        <v>70</v>
      </c>
      <c r="L53" s="7" t="s">
        <v>90</v>
      </c>
      <c r="M53" s="7" t="s">
        <v>69</v>
      </c>
      <c r="N53" s="21">
        <v>0.49462962962962997</v>
      </c>
      <c r="O53" s="7" t="s">
        <v>117</v>
      </c>
      <c r="P53" s="22">
        <v>45762</v>
      </c>
      <c r="Q53" s="22">
        <v>45762</v>
      </c>
      <c r="R53" s="7" t="s">
        <v>69</v>
      </c>
      <c r="S53" s="20">
        <v>-3550000</v>
      </c>
      <c r="T53" s="7" t="s">
        <v>118</v>
      </c>
      <c r="U53" t="s">
        <v>228</v>
      </c>
      <c r="V53">
        <f t="shared" si="1"/>
        <v>4</v>
      </c>
    </row>
    <row r="54" spans="1:22">
      <c r="A54" s="7" t="s">
        <v>112</v>
      </c>
      <c r="B54" s="7" t="s">
        <v>113</v>
      </c>
      <c r="C54" s="7" t="s">
        <v>65</v>
      </c>
      <c r="D54" s="7" t="s">
        <v>66</v>
      </c>
      <c r="E54" s="7" t="s">
        <v>114</v>
      </c>
      <c r="F54" s="7" t="s">
        <v>68</v>
      </c>
      <c r="G54" s="7" t="s">
        <v>69</v>
      </c>
      <c r="H54" s="20">
        <v>-1</v>
      </c>
      <c r="I54" s="7" t="s">
        <v>70</v>
      </c>
      <c r="J54" s="20">
        <v>-1</v>
      </c>
      <c r="K54" s="7" t="s">
        <v>70</v>
      </c>
      <c r="L54" s="7" t="s">
        <v>90</v>
      </c>
      <c r="M54" s="7" t="s">
        <v>69</v>
      </c>
      <c r="N54" s="21">
        <v>0.49493055555555998</v>
      </c>
      <c r="O54" s="7" t="s">
        <v>76</v>
      </c>
      <c r="P54" s="22">
        <v>45762</v>
      </c>
      <c r="Q54" s="22">
        <v>45762</v>
      </c>
      <c r="R54" s="7" t="s">
        <v>69</v>
      </c>
      <c r="S54" s="20">
        <v>-150136</v>
      </c>
      <c r="T54" s="7" t="s">
        <v>115</v>
      </c>
      <c r="U54" t="s">
        <v>30</v>
      </c>
      <c r="V54">
        <f t="shared" si="1"/>
        <v>4</v>
      </c>
    </row>
    <row r="55" spans="1:22">
      <c r="A55" s="7" t="s">
        <v>7</v>
      </c>
      <c r="B55" s="7" t="s">
        <v>8</v>
      </c>
      <c r="C55" s="7" t="s">
        <v>65</v>
      </c>
      <c r="D55" s="7" t="s">
        <v>66</v>
      </c>
      <c r="E55" s="7" t="s">
        <v>109</v>
      </c>
      <c r="F55" s="7" t="s">
        <v>68</v>
      </c>
      <c r="G55" s="7" t="s">
        <v>69</v>
      </c>
      <c r="H55" s="20">
        <v>-200</v>
      </c>
      <c r="I55" s="7" t="s">
        <v>70</v>
      </c>
      <c r="J55" s="20">
        <v>-200</v>
      </c>
      <c r="K55" s="7" t="s">
        <v>70</v>
      </c>
      <c r="L55" s="7" t="s">
        <v>90</v>
      </c>
      <c r="M55" s="7" t="s">
        <v>69</v>
      </c>
      <c r="N55" s="21">
        <v>0.33255787037036999</v>
      </c>
      <c r="O55" s="7" t="s">
        <v>110</v>
      </c>
      <c r="P55" s="22">
        <v>45765</v>
      </c>
      <c r="Q55" s="22">
        <v>45765</v>
      </c>
      <c r="R55" s="7" t="s">
        <v>69</v>
      </c>
      <c r="S55" s="20">
        <v>-33013168</v>
      </c>
      <c r="T55" s="7" t="s">
        <v>111</v>
      </c>
      <c r="U55" t="s">
        <v>30</v>
      </c>
      <c r="V55">
        <f t="shared" si="1"/>
        <v>4</v>
      </c>
    </row>
    <row r="56" spans="1:22">
      <c r="A56" s="7" t="s">
        <v>9</v>
      </c>
      <c r="B56" s="7" t="s">
        <v>10</v>
      </c>
      <c r="C56" s="7" t="s">
        <v>65</v>
      </c>
      <c r="D56" s="7" t="s">
        <v>66</v>
      </c>
      <c r="E56" s="7" t="s">
        <v>107</v>
      </c>
      <c r="F56" s="7" t="s">
        <v>68</v>
      </c>
      <c r="G56" s="7" t="s">
        <v>69</v>
      </c>
      <c r="H56" s="20">
        <v>-1</v>
      </c>
      <c r="I56" s="7" t="s">
        <v>70</v>
      </c>
      <c r="J56" s="20">
        <v>-1</v>
      </c>
      <c r="K56" s="7" t="s">
        <v>70</v>
      </c>
      <c r="L56" s="7" t="s">
        <v>90</v>
      </c>
      <c r="M56" s="7" t="s">
        <v>69</v>
      </c>
      <c r="N56" s="21">
        <v>0.28560185185185</v>
      </c>
      <c r="O56" s="7" t="s">
        <v>79</v>
      </c>
      <c r="P56" s="22">
        <v>45772</v>
      </c>
      <c r="Q56" s="22">
        <v>45772</v>
      </c>
      <c r="R56" s="7" t="s">
        <v>69</v>
      </c>
      <c r="S56" s="20">
        <v>-165991</v>
      </c>
      <c r="T56" s="7" t="s">
        <v>108</v>
      </c>
      <c r="U56" t="s">
        <v>30</v>
      </c>
      <c r="V56">
        <f t="shared" si="1"/>
        <v>4</v>
      </c>
    </row>
    <row r="57" spans="1:22">
      <c r="A57" s="7" t="s">
        <v>11</v>
      </c>
      <c r="B57" s="7" t="s">
        <v>12</v>
      </c>
      <c r="C57" s="7" t="s">
        <v>65</v>
      </c>
      <c r="D57" s="7" t="s">
        <v>66</v>
      </c>
      <c r="E57" s="7" t="s">
        <v>105</v>
      </c>
      <c r="F57" s="7" t="s">
        <v>68</v>
      </c>
      <c r="G57" s="7" t="s">
        <v>69</v>
      </c>
      <c r="H57" s="20">
        <v>-100</v>
      </c>
      <c r="I57" s="7" t="s">
        <v>70</v>
      </c>
      <c r="J57" s="20">
        <v>-100</v>
      </c>
      <c r="K57" s="7" t="s">
        <v>70</v>
      </c>
      <c r="L57" s="7" t="s">
        <v>90</v>
      </c>
      <c r="M57" s="7" t="s">
        <v>69</v>
      </c>
      <c r="N57" s="21">
        <v>0.33697916666666999</v>
      </c>
      <c r="O57" s="7" t="s">
        <v>97</v>
      </c>
      <c r="P57" s="22">
        <v>45775</v>
      </c>
      <c r="Q57" s="22">
        <v>45775</v>
      </c>
      <c r="R57" s="7" t="s">
        <v>69</v>
      </c>
      <c r="S57" s="20">
        <v>-5488000</v>
      </c>
      <c r="T57" s="7" t="s">
        <v>106</v>
      </c>
      <c r="U57" t="s">
        <v>228</v>
      </c>
      <c r="V57">
        <f t="shared" si="1"/>
        <v>4</v>
      </c>
    </row>
    <row r="58" spans="1:22">
      <c r="A58" s="7" t="s">
        <v>7</v>
      </c>
      <c r="B58" s="7" t="s">
        <v>8</v>
      </c>
      <c r="C58" s="7" t="s">
        <v>65</v>
      </c>
      <c r="D58" s="7" t="s">
        <v>66</v>
      </c>
      <c r="E58" s="7" t="s">
        <v>99</v>
      </c>
      <c r="F58" s="7" t="s">
        <v>68</v>
      </c>
      <c r="G58" s="7" t="s">
        <v>69</v>
      </c>
      <c r="H58" s="20">
        <v>-200</v>
      </c>
      <c r="I58" s="7" t="s">
        <v>70</v>
      </c>
      <c r="J58" s="20">
        <v>-200</v>
      </c>
      <c r="K58" s="7" t="s">
        <v>70</v>
      </c>
      <c r="L58" s="7" t="s">
        <v>90</v>
      </c>
      <c r="M58" s="7" t="s">
        <v>69</v>
      </c>
      <c r="N58" s="21">
        <v>0.58980324074073998</v>
      </c>
      <c r="O58" s="7" t="s">
        <v>79</v>
      </c>
      <c r="P58" s="22">
        <v>45776</v>
      </c>
      <c r="Q58" s="22">
        <v>45776</v>
      </c>
      <c r="R58" s="7" t="s">
        <v>69</v>
      </c>
      <c r="S58" s="20">
        <v>-33010478</v>
      </c>
      <c r="T58" s="7" t="s">
        <v>100</v>
      </c>
      <c r="U58" t="s">
        <v>30</v>
      </c>
      <c r="V58">
        <f t="shared" si="1"/>
        <v>4</v>
      </c>
    </row>
    <row r="59" spans="1:22">
      <c r="A59" s="7" t="s">
        <v>7</v>
      </c>
      <c r="B59" s="7" t="s">
        <v>8</v>
      </c>
      <c r="C59" s="7" t="s">
        <v>65</v>
      </c>
      <c r="D59" s="7" t="s">
        <v>66</v>
      </c>
      <c r="E59" s="7" t="s">
        <v>101</v>
      </c>
      <c r="F59" s="7" t="s">
        <v>68</v>
      </c>
      <c r="G59" s="7" t="s">
        <v>69</v>
      </c>
      <c r="H59" s="20">
        <v>-100</v>
      </c>
      <c r="I59" s="7" t="s">
        <v>70</v>
      </c>
      <c r="J59" s="20">
        <v>-100</v>
      </c>
      <c r="K59" s="7" t="s">
        <v>70</v>
      </c>
      <c r="L59" s="7" t="s">
        <v>90</v>
      </c>
      <c r="M59" s="7" t="s">
        <v>69</v>
      </c>
      <c r="N59" s="21">
        <v>0.58829861111111004</v>
      </c>
      <c r="O59" s="7" t="s">
        <v>79</v>
      </c>
      <c r="P59" s="22">
        <v>45776</v>
      </c>
      <c r="Q59" s="22">
        <v>45776</v>
      </c>
      <c r="R59" s="7" t="s">
        <v>69</v>
      </c>
      <c r="S59" s="20">
        <v>-16505239</v>
      </c>
      <c r="T59" s="7" t="s">
        <v>102</v>
      </c>
      <c r="U59" t="s">
        <v>30</v>
      </c>
      <c r="V59">
        <f t="shared" si="1"/>
        <v>4</v>
      </c>
    </row>
    <row r="60" spans="1:22">
      <c r="A60" s="7" t="s">
        <v>11</v>
      </c>
      <c r="B60" s="7" t="s">
        <v>12</v>
      </c>
      <c r="C60" s="7" t="s">
        <v>65</v>
      </c>
      <c r="D60" s="7" t="s">
        <v>66</v>
      </c>
      <c r="E60" s="7" t="s">
        <v>103</v>
      </c>
      <c r="F60" s="7" t="s">
        <v>68</v>
      </c>
      <c r="G60" s="7" t="s">
        <v>69</v>
      </c>
      <c r="H60" s="20">
        <v>-50</v>
      </c>
      <c r="I60" s="7" t="s">
        <v>70</v>
      </c>
      <c r="J60" s="20">
        <v>-50</v>
      </c>
      <c r="K60" s="7" t="s">
        <v>70</v>
      </c>
      <c r="L60" s="7" t="s">
        <v>90</v>
      </c>
      <c r="M60" s="7" t="s">
        <v>69</v>
      </c>
      <c r="N60" s="21">
        <v>0.27034722222222002</v>
      </c>
      <c r="O60" s="7" t="s">
        <v>97</v>
      </c>
      <c r="P60" s="22">
        <v>45776</v>
      </c>
      <c r="Q60" s="22">
        <v>45776</v>
      </c>
      <c r="R60" s="7" t="s">
        <v>69</v>
      </c>
      <c r="S60" s="20">
        <v>-2744000</v>
      </c>
      <c r="T60" s="7" t="s">
        <v>104</v>
      </c>
      <c r="U60" t="s">
        <v>228</v>
      </c>
      <c r="V60">
        <f t="shared" si="1"/>
        <v>4</v>
      </c>
    </row>
    <row r="61" spans="1:22">
      <c r="A61" s="7" t="s">
        <v>13</v>
      </c>
      <c r="B61" s="7" t="s">
        <v>14</v>
      </c>
      <c r="C61" s="7" t="s">
        <v>65</v>
      </c>
      <c r="D61" s="7" t="s">
        <v>66</v>
      </c>
      <c r="E61" s="7" t="s">
        <v>93</v>
      </c>
      <c r="F61" s="7" t="s">
        <v>68</v>
      </c>
      <c r="G61" s="7" t="s">
        <v>69</v>
      </c>
      <c r="H61" s="20">
        <v>-190</v>
      </c>
      <c r="I61" s="7" t="s">
        <v>70</v>
      </c>
      <c r="J61" s="20">
        <v>-190</v>
      </c>
      <c r="K61" s="7" t="s">
        <v>70</v>
      </c>
      <c r="L61" s="7" t="s">
        <v>90</v>
      </c>
      <c r="M61" s="7" t="s">
        <v>69</v>
      </c>
      <c r="N61" s="21">
        <v>0.39277777777778</v>
      </c>
      <c r="O61" s="7" t="s">
        <v>94</v>
      </c>
      <c r="P61" s="22">
        <v>45780</v>
      </c>
      <c r="Q61" s="22">
        <v>45780</v>
      </c>
      <c r="R61" s="7" t="s">
        <v>69</v>
      </c>
      <c r="S61" s="20">
        <v>-31840323</v>
      </c>
      <c r="T61" s="7" t="s">
        <v>95</v>
      </c>
      <c r="U61" t="s">
        <v>31</v>
      </c>
      <c r="V61">
        <f t="shared" si="1"/>
        <v>5</v>
      </c>
    </row>
    <row r="62" spans="1:22">
      <c r="A62" s="7" t="s">
        <v>11</v>
      </c>
      <c r="B62" s="7" t="s">
        <v>12</v>
      </c>
      <c r="C62" s="7" t="s">
        <v>65</v>
      </c>
      <c r="D62" s="7" t="s">
        <v>66</v>
      </c>
      <c r="E62" s="7" t="s">
        <v>96</v>
      </c>
      <c r="F62" s="7" t="s">
        <v>68</v>
      </c>
      <c r="G62" s="7" t="s">
        <v>69</v>
      </c>
      <c r="H62" s="20">
        <v>-150</v>
      </c>
      <c r="I62" s="7" t="s">
        <v>70</v>
      </c>
      <c r="J62" s="20">
        <v>-150</v>
      </c>
      <c r="K62" s="7" t="s">
        <v>70</v>
      </c>
      <c r="L62" s="7" t="s">
        <v>90</v>
      </c>
      <c r="M62" s="7" t="s">
        <v>69</v>
      </c>
      <c r="N62" s="21">
        <v>0.38825231481480998</v>
      </c>
      <c r="O62" s="7" t="s">
        <v>97</v>
      </c>
      <c r="P62" s="22">
        <v>45780</v>
      </c>
      <c r="Q62" s="22">
        <v>45780</v>
      </c>
      <c r="R62" s="7" t="s">
        <v>69</v>
      </c>
      <c r="S62" s="20">
        <v>-8232000</v>
      </c>
      <c r="T62" s="7" t="s">
        <v>98</v>
      </c>
      <c r="U62" t="s">
        <v>228</v>
      </c>
      <c r="V62">
        <f t="shared" si="1"/>
        <v>5</v>
      </c>
    </row>
    <row r="63" spans="1:22">
      <c r="A63" s="7" t="s">
        <v>7</v>
      </c>
      <c r="B63" s="7" t="s">
        <v>8</v>
      </c>
      <c r="C63" s="7" t="s">
        <v>65</v>
      </c>
      <c r="D63" s="7" t="s">
        <v>66</v>
      </c>
      <c r="E63" s="7" t="s">
        <v>89</v>
      </c>
      <c r="F63" s="7" t="s">
        <v>68</v>
      </c>
      <c r="G63" s="7" t="s">
        <v>69</v>
      </c>
      <c r="H63" s="20">
        <v>-100</v>
      </c>
      <c r="I63" s="7" t="s">
        <v>70</v>
      </c>
      <c r="J63" s="20">
        <v>-100</v>
      </c>
      <c r="K63" s="7" t="s">
        <v>70</v>
      </c>
      <c r="L63" s="7" t="s">
        <v>90</v>
      </c>
      <c r="M63" s="7" t="s">
        <v>69</v>
      </c>
      <c r="N63" s="21">
        <v>0.33473379629630001</v>
      </c>
      <c r="O63" s="7" t="s">
        <v>91</v>
      </c>
      <c r="P63" s="22">
        <v>45786</v>
      </c>
      <c r="Q63" s="22">
        <v>45786</v>
      </c>
      <c r="R63" s="7" t="s">
        <v>69</v>
      </c>
      <c r="S63" s="20">
        <v>-16503619</v>
      </c>
      <c r="T63" s="7" t="s">
        <v>92</v>
      </c>
      <c r="U63" t="s">
        <v>30</v>
      </c>
      <c r="V63">
        <f t="shared" si="1"/>
        <v>5</v>
      </c>
    </row>
    <row r="64" spans="1:22">
      <c r="A64" s="7" t="s">
        <v>7</v>
      </c>
      <c r="B64" s="7" t="s">
        <v>8</v>
      </c>
      <c r="C64" s="7" t="s">
        <v>65</v>
      </c>
      <c r="D64" s="7" t="s">
        <v>66</v>
      </c>
      <c r="E64" s="7" t="s">
        <v>78</v>
      </c>
      <c r="F64" s="7" t="s">
        <v>68</v>
      </c>
      <c r="G64" s="7" t="s">
        <v>69</v>
      </c>
      <c r="H64" s="20">
        <v>-100</v>
      </c>
      <c r="I64" s="7" t="s">
        <v>70</v>
      </c>
      <c r="J64" s="20">
        <v>-100</v>
      </c>
      <c r="K64" s="7" t="s">
        <v>70</v>
      </c>
      <c r="L64" s="7" t="s">
        <v>75</v>
      </c>
      <c r="M64" s="7" t="s">
        <v>69</v>
      </c>
      <c r="N64" s="21">
        <v>0.74402777777777995</v>
      </c>
      <c r="O64" s="7" t="s">
        <v>79</v>
      </c>
      <c r="P64" s="22">
        <v>45796</v>
      </c>
      <c r="Q64" s="22">
        <v>45796</v>
      </c>
      <c r="R64" s="7" t="s">
        <v>69</v>
      </c>
      <c r="S64" s="20">
        <v>-16502574</v>
      </c>
      <c r="T64" s="7" t="s">
        <v>80</v>
      </c>
      <c r="U64" t="s">
        <v>30</v>
      </c>
      <c r="V64">
        <f t="shared" si="1"/>
        <v>5</v>
      </c>
    </row>
    <row r="65" spans="1:22">
      <c r="A65" s="7" t="s">
        <v>17</v>
      </c>
      <c r="B65" s="7" t="s">
        <v>18</v>
      </c>
      <c r="C65" s="7" t="s">
        <v>65</v>
      </c>
      <c r="D65" s="7" t="s">
        <v>66</v>
      </c>
      <c r="E65" s="7" t="s">
        <v>86</v>
      </c>
      <c r="F65" s="7" t="s">
        <v>68</v>
      </c>
      <c r="G65" s="7" t="s">
        <v>69</v>
      </c>
      <c r="H65" s="20">
        <v>-100</v>
      </c>
      <c r="I65" s="7" t="s">
        <v>70</v>
      </c>
      <c r="J65" s="20">
        <v>-100</v>
      </c>
      <c r="K65" s="7" t="s">
        <v>70</v>
      </c>
      <c r="L65" s="7" t="s">
        <v>75</v>
      </c>
      <c r="M65" s="7" t="s">
        <v>69</v>
      </c>
      <c r="N65" s="21">
        <v>0.74202546296296001</v>
      </c>
      <c r="O65" s="7" t="s">
        <v>87</v>
      </c>
      <c r="P65" s="22">
        <v>45796</v>
      </c>
      <c r="Q65" s="22">
        <v>45796</v>
      </c>
      <c r="R65" s="7" t="s">
        <v>69</v>
      </c>
      <c r="S65" s="20">
        <v>-15000000</v>
      </c>
      <c r="T65" s="7" t="s">
        <v>88</v>
      </c>
      <c r="U65" t="s">
        <v>31</v>
      </c>
      <c r="V65">
        <f t="shared" si="1"/>
        <v>5</v>
      </c>
    </row>
    <row r="66" spans="1:22">
      <c r="A66" s="7" t="s">
        <v>81</v>
      </c>
      <c r="B66" s="7" t="s">
        <v>82</v>
      </c>
      <c r="C66" s="7" t="s">
        <v>65</v>
      </c>
      <c r="D66" s="7" t="s">
        <v>66</v>
      </c>
      <c r="E66" s="7" t="s">
        <v>83</v>
      </c>
      <c r="F66" s="7" t="s">
        <v>84</v>
      </c>
      <c r="G66" s="7" t="s">
        <v>69</v>
      </c>
      <c r="H66" s="20">
        <v>-5</v>
      </c>
      <c r="I66" s="7" t="s">
        <v>70</v>
      </c>
      <c r="J66" s="20">
        <v>-5</v>
      </c>
      <c r="K66" s="7" t="s">
        <v>70</v>
      </c>
      <c r="L66" s="7" t="s">
        <v>75</v>
      </c>
      <c r="M66" s="7" t="s">
        <v>69</v>
      </c>
      <c r="N66" s="21">
        <v>0.74350694444443999</v>
      </c>
      <c r="O66" s="7" t="s">
        <v>79</v>
      </c>
      <c r="P66" s="22">
        <v>45796</v>
      </c>
      <c r="Q66" s="22">
        <v>45796</v>
      </c>
      <c r="R66" s="7" t="s">
        <v>69</v>
      </c>
      <c r="S66" s="20">
        <v>-752831</v>
      </c>
      <c r="T66" s="7" t="s">
        <v>85</v>
      </c>
      <c r="U66" t="s">
        <v>30</v>
      </c>
      <c r="V66">
        <f t="shared" si="1"/>
        <v>5</v>
      </c>
    </row>
    <row r="67" spans="1:22">
      <c r="A67" s="7" t="s">
        <v>15</v>
      </c>
      <c r="B67" s="7" t="s">
        <v>16</v>
      </c>
      <c r="C67" s="7" t="s">
        <v>65</v>
      </c>
      <c r="D67" s="7" t="s">
        <v>66</v>
      </c>
      <c r="E67" s="7" t="s">
        <v>83</v>
      </c>
      <c r="F67" s="7" t="s">
        <v>68</v>
      </c>
      <c r="G67" s="7" t="s">
        <v>69</v>
      </c>
      <c r="H67" s="20">
        <v>-5</v>
      </c>
      <c r="I67" s="7" t="s">
        <v>70</v>
      </c>
      <c r="J67" s="20">
        <v>-5</v>
      </c>
      <c r="K67" s="7" t="s">
        <v>70</v>
      </c>
      <c r="L67" s="7" t="s">
        <v>75</v>
      </c>
      <c r="M67" s="7" t="s">
        <v>69</v>
      </c>
      <c r="N67" s="21">
        <v>0.74350694444443999</v>
      </c>
      <c r="O67" s="7" t="s">
        <v>79</v>
      </c>
      <c r="P67" s="22">
        <v>45796</v>
      </c>
      <c r="Q67" s="22">
        <v>45796</v>
      </c>
      <c r="R67" s="7" t="s">
        <v>69</v>
      </c>
      <c r="S67" s="20">
        <v>-780000</v>
      </c>
      <c r="T67" s="7" t="s">
        <v>85</v>
      </c>
      <c r="U67" t="s">
        <v>30</v>
      </c>
      <c r="V67">
        <f t="shared" si="1"/>
        <v>5</v>
      </c>
    </row>
    <row r="68" spans="1:22">
      <c r="A68" s="7" t="s">
        <v>7</v>
      </c>
      <c r="B68" s="7" t="s">
        <v>8</v>
      </c>
      <c r="C68" s="7" t="s">
        <v>65</v>
      </c>
      <c r="D68" s="7" t="s">
        <v>66</v>
      </c>
      <c r="E68" s="7" t="s">
        <v>74</v>
      </c>
      <c r="F68" s="7" t="s">
        <v>68</v>
      </c>
      <c r="G68" s="7" t="s">
        <v>69</v>
      </c>
      <c r="H68" s="20">
        <v>-100</v>
      </c>
      <c r="I68" s="7" t="s">
        <v>70</v>
      </c>
      <c r="J68" s="20">
        <v>-100</v>
      </c>
      <c r="K68" s="7" t="s">
        <v>70</v>
      </c>
      <c r="L68" s="7" t="s">
        <v>75</v>
      </c>
      <c r="M68" s="7" t="s">
        <v>69</v>
      </c>
      <c r="N68" s="21">
        <v>0.70736111111111</v>
      </c>
      <c r="O68" s="7" t="s">
        <v>76</v>
      </c>
      <c r="P68" s="22">
        <v>45803</v>
      </c>
      <c r="Q68" s="22">
        <v>45803</v>
      </c>
      <c r="R68" s="7" t="s">
        <v>69</v>
      </c>
      <c r="S68" s="20">
        <v>-16501882</v>
      </c>
      <c r="T68" s="7" t="s">
        <v>77</v>
      </c>
      <c r="U68" t="s">
        <v>30</v>
      </c>
      <c r="V68">
        <f t="shared" si="1"/>
        <v>5</v>
      </c>
    </row>
    <row r="69" spans="1:22">
      <c r="A69" s="7" t="s">
        <v>17</v>
      </c>
      <c r="B69" s="7" t="s">
        <v>18</v>
      </c>
      <c r="C69" s="7" t="s">
        <v>65</v>
      </c>
      <c r="D69" s="7" t="s">
        <v>66</v>
      </c>
      <c r="E69" s="7" t="s">
        <v>67</v>
      </c>
      <c r="F69" s="7" t="s">
        <v>68</v>
      </c>
      <c r="G69" s="7" t="s">
        <v>69</v>
      </c>
      <c r="H69" s="20">
        <v>-100</v>
      </c>
      <c r="I69" s="7" t="s">
        <v>70</v>
      </c>
      <c r="J69" s="20">
        <v>-100</v>
      </c>
      <c r="K69" s="7" t="s">
        <v>70</v>
      </c>
      <c r="L69" s="7" t="s">
        <v>71</v>
      </c>
      <c r="M69" s="7" t="s">
        <v>69</v>
      </c>
      <c r="N69" s="21">
        <v>0.69215277777777995</v>
      </c>
      <c r="O69" s="7" t="s">
        <v>72</v>
      </c>
      <c r="P69" s="22">
        <v>45807</v>
      </c>
      <c r="Q69" s="22">
        <v>45807</v>
      </c>
      <c r="R69" s="7" t="s">
        <v>69</v>
      </c>
      <c r="S69" s="20">
        <v>-15000000</v>
      </c>
      <c r="T69" s="7" t="s">
        <v>73</v>
      </c>
      <c r="U69" t="s">
        <v>31</v>
      </c>
      <c r="V69">
        <f t="shared" si="1"/>
        <v>5</v>
      </c>
    </row>
    <row r="70" spans="1:22">
      <c r="A70" s="7" t="s">
        <v>17</v>
      </c>
      <c r="B70" s="7" t="s">
        <v>18</v>
      </c>
      <c r="C70" s="7" t="s">
        <v>65</v>
      </c>
      <c r="D70" s="7" t="s">
        <v>66</v>
      </c>
      <c r="E70" s="7" t="s">
        <v>260</v>
      </c>
      <c r="F70" s="7" t="s">
        <v>68</v>
      </c>
      <c r="G70" s="7" t="s">
        <v>69</v>
      </c>
      <c r="H70" s="20">
        <v>-200</v>
      </c>
      <c r="I70" s="7" t="s">
        <v>70</v>
      </c>
      <c r="J70" s="20">
        <v>-200</v>
      </c>
      <c r="K70" s="7" t="s">
        <v>70</v>
      </c>
      <c r="L70" s="7" t="s">
        <v>71</v>
      </c>
      <c r="M70" s="7" t="s">
        <v>69</v>
      </c>
      <c r="N70" s="21">
        <v>0.62715277777778</v>
      </c>
      <c r="O70" s="7" t="s">
        <v>261</v>
      </c>
      <c r="P70" s="22">
        <v>45810</v>
      </c>
      <c r="Q70" s="22">
        <v>45810</v>
      </c>
      <c r="R70" s="7" t="s">
        <v>69</v>
      </c>
      <c r="S70" s="20">
        <v>-30000000</v>
      </c>
      <c r="T70" s="7" t="s">
        <v>262</v>
      </c>
      <c r="U70" t="s">
        <v>31</v>
      </c>
      <c r="V70">
        <f t="shared" si="1"/>
        <v>6</v>
      </c>
    </row>
    <row r="71" spans="1:22">
      <c r="A71" s="7" t="s">
        <v>17</v>
      </c>
      <c r="B71" s="7" t="s">
        <v>18</v>
      </c>
      <c r="C71" s="7" t="s">
        <v>65</v>
      </c>
      <c r="D71" s="7" t="s">
        <v>66</v>
      </c>
      <c r="E71" s="7" t="s">
        <v>263</v>
      </c>
      <c r="F71" s="7" t="s">
        <v>68</v>
      </c>
      <c r="G71" s="7" t="s">
        <v>69</v>
      </c>
      <c r="H71" s="20">
        <v>-100</v>
      </c>
      <c r="I71" s="7" t="s">
        <v>70</v>
      </c>
      <c r="J71" s="20">
        <v>-100</v>
      </c>
      <c r="K71" s="7" t="s">
        <v>70</v>
      </c>
      <c r="L71" s="7" t="s">
        <v>71</v>
      </c>
      <c r="M71" s="7" t="s">
        <v>69</v>
      </c>
      <c r="N71" s="21">
        <v>0.36666666666667003</v>
      </c>
      <c r="O71" s="7" t="s">
        <v>264</v>
      </c>
      <c r="P71" s="22">
        <v>45810</v>
      </c>
      <c r="Q71" s="22">
        <v>45810</v>
      </c>
      <c r="R71" s="7" t="s">
        <v>69</v>
      </c>
      <c r="S71" s="20">
        <v>-15000000</v>
      </c>
      <c r="T71" s="7" t="s">
        <v>265</v>
      </c>
      <c r="U71" t="s">
        <v>31</v>
      </c>
      <c r="V71">
        <f t="shared" si="1"/>
        <v>6</v>
      </c>
    </row>
    <row r="72" spans="1:22">
      <c r="A72" s="7" t="s">
        <v>7</v>
      </c>
      <c r="B72" s="7" t="s">
        <v>8</v>
      </c>
      <c r="C72" s="7" t="s">
        <v>65</v>
      </c>
      <c r="D72" s="7" t="s">
        <v>66</v>
      </c>
      <c r="E72" s="7" t="s">
        <v>266</v>
      </c>
      <c r="F72" s="7" t="s">
        <v>84</v>
      </c>
      <c r="G72" s="7" t="s">
        <v>69</v>
      </c>
      <c r="H72" s="20">
        <v>-100</v>
      </c>
      <c r="I72" s="7" t="s">
        <v>70</v>
      </c>
      <c r="J72" s="20">
        <v>-100</v>
      </c>
      <c r="K72" s="7" t="s">
        <v>70</v>
      </c>
      <c r="L72" s="7" t="s">
        <v>75</v>
      </c>
      <c r="M72" s="7" t="s">
        <v>69</v>
      </c>
      <c r="N72" s="21">
        <v>0.69254629629630005</v>
      </c>
      <c r="O72" s="7" t="s">
        <v>267</v>
      </c>
      <c r="P72" s="22">
        <v>45811</v>
      </c>
      <c r="Q72" s="22">
        <v>45832</v>
      </c>
      <c r="R72" s="7" t="s">
        <v>69</v>
      </c>
      <c r="S72" s="20">
        <v>-16502759</v>
      </c>
      <c r="T72" s="7" t="s">
        <v>268</v>
      </c>
      <c r="U72" t="s">
        <v>30</v>
      </c>
      <c r="V72">
        <f t="shared" si="1"/>
        <v>6</v>
      </c>
    </row>
    <row r="73" spans="1:22">
      <c r="A73" s="7" t="s">
        <v>17</v>
      </c>
      <c r="B73" s="7" t="s">
        <v>18</v>
      </c>
      <c r="C73" s="7" t="s">
        <v>65</v>
      </c>
      <c r="D73" s="7" t="s">
        <v>66</v>
      </c>
      <c r="E73" s="7" t="s">
        <v>269</v>
      </c>
      <c r="F73" s="7" t="s">
        <v>68</v>
      </c>
      <c r="G73" s="7" t="s">
        <v>69</v>
      </c>
      <c r="H73" s="20">
        <v>-100</v>
      </c>
      <c r="I73" s="7" t="s">
        <v>70</v>
      </c>
      <c r="J73" s="20">
        <v>-100</v>
      </c>
      <c r="K73" s="7" t="s">
        <v>70</v>
      </c>
      <c r="L73" s="7" t="s">
        <v>71</v>
      </c>
      <c r="M73" s="7" t="s">
        <v>69</v>
      </c>
      <c r="N73" s="21">
        <v>0.56568287037037002</v>
      </c>
      <c r="O73" s="7" t="s">
        <v>270</v>
      </c>
      <c r="P73" s="22">
        <v>45812</v>
      </c>
      <c r="Q73" s="22">
        <v>45812</v>
      </c>
      <c r="R73" s="7" t="s">
        <v>69</v>
      </c>
      <c r="S73" s="20">
        <v>-15000000</v>
      </c>
      <c r="T73" s="7" t="s">
        <v>271</v>
      </c>
      <c r="U73" t="s">
        <v>31</v>
      </c>
      <c r="V73">
        <f t="shared" si="1"/>
        <v>6</v>
      </c>
    </row>
    <row r="74" spans="1:22">
      <c r="A74" s="7" t="s">
        <v>17</v>
      </c>
      <c r="B74" s="7" t="s">
        <v>18</v>
      </c>
      <c r="C74" s="7" t="s">
        <v>65</v>
      </c>
      <c r="D74" s="7" t="s">
        <v>66</v>
      </c>
      <c r="E74" s="7" t="s">
        <v>272</v>
      </c>
      <c r="F74" s="7" t="s">
        <v>68</v>
      </c>
      <c r="G74" s="7" t="s">
        <v>69</v>
      </c>
      <c r="H74" s="20">
        <v>-200</v>
      </c>
      <c r="I74" s="7" t="s">
        <v>70</v>
      </c>
      <c r="J74" s="20">
        <v>-200</v>
      </c>
      <c r="K74" s="7" t="s">
        <v>70</v>
      </c>
      <c r="L74" s="7" t="s">
        <v>75</v>
      </c>
      <c r="M74" s="7" t="s">
        <v>69</v>
      </c>
      <c r="N74" s="21">
        <v>0.56712962962962998</v>
      </c>
      <c r="O74" s="7" t="s">
        <v>273</v>
      </c>
      <c r="P74" s="22">
        <v>45826</v>
      </c>
      <c r="Q74" s="22">
        <v>45826</v>
      </c>
      <c r="R74" s="7" t="s">
        <v>69</v>
      </c>
      <c r="S74" s="20">
        <v>-30000000</v>
      </c>
      <c r="T74" s="7" t="s">
        <v>274</v>
      </c>
      <c r="U74" t="s">
        <v>31</v>
      </c>
      <c r="V74">
        <f t="shared" si="1"/>
        <v>6</v>
      </c>
    </row>
    <row r="75" spans="1:22">
      <c r="A75" s="7" t="s">
        <v>17</v>
      </c>
      <c r="B75" s="7" t="s">
        <v>18</v>
      </c>
      <c r="C75" s="7" t="s">
        <v>65</v>
      </c>
      <c r="D75" s="7" t="s">
        <v>66</v>
      </c>
      <c r="E75" s="7" t="s">
        <v>275</v>
      </c>
      <c r="F75" s="7" t="s">
        <v>68</v>
      </c>
      <c r="G75" s="7" t="s">
        <v>69</v>
      </c>
      <c r="H75" s="20">
        <v>-100</v>
      </c>
      <c r="I75" s="7" t="s">
        <v>70</v>
      </c>
      <c r="J75" s="20">
        <v>-100</v>
      </c>
      <c r="K75" s="7" t="s">
        <v>70</v>
      </c>
      <c r="L75" s="7" t="s">
        <v>276</v>
      </c>
      <c r="M75" s="7" t="s">
        <v>69</v>
      </c>
      <c r="N75" s="21">
        <v>0.59910879629629998</v>
      </c>
      <c r="O75" s="7" t="s">
        <v>277</v>
      </c>
      <c r="P75" s="22">
        <v>45827</v>
      </c>
      <c r="Q75" s="22">
        <v>45827</v>
      </c>
      <c r="R75" s="7" t="s">
        <v>69</v>
      </c>
      <c r="S75" s="20">
        <v>-15000000</v>
      </c>
      <c r="T75" s="7" t="s">
        <v>278</v>
      </c>
      <c r="U75" t="s">
        <v>31</v>
      </c>
      <c r="V75">
        <f t="shared" si="1"/>
        <v>6</v>
      </c>
    </row>
    <row r="76" spans="1:22">
      <c r="A76" s="7" t="s">
        <v>7</v>
      </c>
      <c r="B76" s="7" t="s">
        <v>8</v>
      </c>
      <c r="C76" s="7" t="s">
        <v>65</v>
      </c>
      <c r="D76" s="7" t="s">
        <v>66</v>
      </c>
      <c r="E76" s="7" t="s">
        <v>279</v>
      </c>
      <c r="F76" s="7" t="s">
        <v>68</v>
      </c>
      <c r="G76" s="7" t="s">
        <v>69</v>
      </c>
      <c r="H76" s="20">
        <v>-100</v>
      </c>
      <c r="I76" s="7" t="s">
        <v>70</v>
      </c>
      <c r="J76" s="20">
        <v>-100</v>
      </c>
      <c r="K76" s="7" t="s">
        <v>70</v>
      </c>
      <c r="L76" s="7" t="s">
        <v>276</v>
      </c>
      <c r="M76" s="7" t="s">
        <v>69</v>
      </c>
      <c r="N76" s="21">
        <v>0.68741898148147995</v>
      </c>
      <c r="O76" s="7" t="s">
        <v>280</v>
      </c>
      <c r="P76" s="22">
        <v>45829</v>
      </c>
      <c r="Q76" s="22">
        <v>45829</v>
      </c>
      <c r="R76" s="7" t="s">
        <v>69</v>
      </c>
      <c r="S76" s="20">
        <v>-16502759</v>
      </c>
      <c r="T76" s="7" t="s">
        <v>281</v>
      </c>
      <c r="U76" t="s">
        <v>30</v>
      </c>
      <c r="V76">
        <f t="shared" si="1"/>
        <v>6</v>
      </c>
    </row>
    <row r="77" spans="1:22">
      <c r="A77" s="7" t="s">
        <v>17</v>
      </c>
      <c r="B77" s="7" t="s">
        <v>18</v>
      </c>
      <c r="C77" s="7" t="s">
        <v>65</v>
      </c>
      <c r="D77" s="7" t="s">
        <v>66</v>
      </c>
      <c r="E77" s="7" t="s">
        <v>282</v>
      </c>
      <c r="F77" s="7" t="s">
        <v>68</v>
      </c>
      <c r="G77" s="7" t="s">
        <v>69</v>
      </c>
      <c r="H77" s="20">
        <v>-300</v>
      </c>
      <c r="I77" s="7" t="s">
        <v>70</v>
      </c>
      <c r="J77" s="20">
        <v>-300</v>
      </c>
      <c r="K77" s="7" t="s">
        <v>70</v>
      </c>
      <c r="L77" s="7" t="s">
        <v>276</v>
      </c>
      <c r="M77" s="7" t="s">
        <v>69</v>
      </c>
      <c r="N77" s="21">
        <v>0.43763888888889002</v>
      </c>
      <c r="O77" s="7" t="s">
        <v>277</v>
      </c>
      <c r="P77" s="22">
        <v>45829</v>
      </c>
      <c r="Q77" s="22">
        <v>45829</v>
      </c>
      <c r="R77" s="7" t="s">
        <v>69</v>
      </c>
      <c r="S77" s="20">
        <v>-45000000</v>
      </c>
      <c r="T77" s="7" t="s">
        <v>283</v>
      </c>
      <c r="U77" t="s">
        <v>31</v>
      </c>
      <c r="V77">
        <f t="shared" si="1"/>
        <v>6</v>
      </c>
    </row>
    <row r="78" spans="1:22">
      <c r="A78" s="7" t="s">
        <v>17</v>
      </c>
      <c r="B78" s="7" t="s">
        <v>18</v>
      </c>
      <c r="C78" s="7" t="s">
        <v>65</v>
      </c>
      <c r="D78" s="7" t="s">
        <v>66</v>
      </c>
      <c r="E78" s="7" t="s">
        <v>284</v>
      </c>
      <c r="F78" s="7" t="s">
        <v>68</v>
      </c>
      <c r="G78" s="7" t="s">
        <v>69</v>
      </c>
      <c r="H78" s="20">
        <v>-200</v>
      </c>
      <c r="I78" s="7" t="s">
        <v>70</v>
      </c>
      <c r="J78" s="20">
        <v>-200</v>
      </c>
      <c r="K78" s="7" t="s">
        <v>70</v>
      </c>
      <c r="L78" s="7" t="s">
        <v>75</v>
      </c>
      <c r="M78" s="7" t="s">
        <v>69</v>
      </c>
      <c r="N78" s="21">
        <v>0.37265046296296001</v>
      </c>
      <c r="O78" s="7" t="s">
        <v>285</v>
      </c>
      <c r="P78" s="22">
        <v>45833</v>
      </c>
      <c r="Q78" s="22">
        <v>45833</v>
      </c>
      <c r="R78" s="7" t="s">
        <v>69</v>
      </c>
      <c r="S78" s="20">
        <v>-30000000</v>
      </c>
      <c r="T78" s="7" t="s">
        <v>286</v>
      </c>
      <c r="U78" t="s">
        <v>31</v>
      </c>
      <c r="V78">
        <f t="shared" si="1"/>
        <v>6</v>
      </c>
    </row>
    <row r="79" spans="1:22">
      <c r="A79" s="7" t="s">
        <v>7</v>
      </c>
      <c r="B79" s="7" t="s">
        <v>8</v>
      </c>
      <c r="C79" s="7" t="s">
        <v>65</v>
      </c>
      <c r="D79" s="7" t="s">
        <v>66</v>
      </c>
      <c r="E79" s="7" t="s">
        <v>287</v>
      </c>
      <c r="F79" s="7" t="s">
        <v>68</v>
      </c>
      <c r="G79" s="7" t="s">
        <v>69</v>
      </c>
      <c r="H79" s="20">
        <v>-100</v>
      </c>
      <c r="I79" s="7" t="s">
        <v>70</v>
      </c>
      <c r="J79" s="20">
        <v>-100</v>
      </c>
      <c r="K79" s="7" t="s">
        <v>70</v>
      </c>
      <c r="L79" s="7" t="s">
        <v>75</v>
      </c>
      <c r="M79" s="7" t="s">
        <v>69</v>
      </c>
      <c r="N79" s="21">
        <v>0.71056712962962998</v>
      </c>
      <c r="O79" s="7" t="s">
        <v>288</v>
      </c>
      <c r="P79" s="22">
        <v>45835</v>
      </c>
      <c r="Q79" s="22">
        <v>45835</v>
      </c>
      <c r="R79" s="7" t="s">
        <v>69</v>
      </c>
      <c r="S79" s="20">
        <v>-16502556</v>
      </c>
      <c r="T79" s="7" t="s">
        <v>289</v>
      </c>
      <c r="U79" t="s">
        <v>30</v>
      </c>
      <c r="V79">
        <f t="shared" ref="V79:V113" si="2">+MONTH(P79)</f>
        <v>6</v>
      </c>
    </row>
    <row r="80" spans="1:22">
      <c r="A80" s="7" t="s">
        <v>7</v>
      </c>
      <c r="B80" s="7" t="s">
        <v>8</v>
      </c>
      <c r="C80" s="7" t="s">
        <v>65</v>
      </c>
      <c r="D80" s="7" t="s">
        <v>66</v>
      </c>
      <c r="E80" s="7" t="s">
        <v>290</v>
      </c>
      <c r="F80" s="7" t="s">
        <v>291</v>
      </c>
      <c r="G80" s="7" t="s">
        <v>69</v>
      </c>
      <c r="H80" s="20">
        <v>-100</v>
      </c>
      <c r="I80" s="7" t="s">
        <v>70</v>
      </c>
      <c r="J80" s="20">
        <v>-100</v>
      </c>
      <c r="K80" s="7" t="s">
        <v>70</v>
      </c>
      <c r="L80" s="7" t="s">
        <v>75</v>
      </c>
      <c r="M80" s="7" t="s">
        <v>69</v>
      </c>
      <c r="N80" s="21">
        <v>0.63659722222222004</v>
      </c>
      <c r="O80" s="7" t="s">
        <v>285</v>
      </c>
      <c r="P80" s="22">
        <v>45835</v>
      </c>
      <c r="Q80" s="22">
        <v>45835</v>
      </c>
      <c r="R80" s="7" t="s">
        <v>69</v>
      </c>
      <c r="S80" s="20">
        <v>-16502336</v>
      </c>
      <c r="T80" s="7" t="s">
        <v>292</v>
      </c>
      <c r="U80" t="s">
        <v>30</v>
      </c>
      <c r="V80">
        <f t="shared" si="2"/>
        <v>6</v>
      </c>
    </row>
    <row r="81" spans="1:22">
      <c r="A81" s="7" t="s">
        <v>11</v>
      </c>
      <c r="B81" s="7" t="s">
        <v>12</v>
      </c>
      <c r="C81" s="7" t="s">
        <v>65</v>
      </c>
      <c r="D81" s="7" t="s">
        <v>66</v>
      </c>
      <c r="E81" s="7" t="s">
        <v>293</v>
      </c>
      <c r="F81" s="7" t="s">
        <v>68</v>
      </c>
      <c r="G81" s="7" t="s">
        <v>69</v>
      </c>
      <c r="H81" s="20">
        <v>-100</v>
      </c>
      <c r="I81" s="7" t="s">
        <v>70</v>
      </c>
      <c r="J81" s="20">
        <v>-100</v>
      </c>
      <c r="K81" s="7" t="s">
        <v>70</v>
      </c>
      <c r="L81" s="7" t="s">
        <v>276</v>
      </c>
      <c r="M81" s="7" t="s">
        <v>69</v>
      </c>
      <c r="N81" s="21">
        <v>0.63237268518518996</v>
      </c>
      <c r="O81" s="7" t="s">
        <v>294</v>
      </c>
      <c r="P81" s="22">
        <v>45836</v>
      </c>
      <c r="Q81" s="22">
        <v>45836</v>
      </c>
      <c r="R81" s="7" t="s">
        <v>69</v>
      </c>
      <c r="S81" s="20">
        <v>-5488000</v>
      </c>
      <c r="T81" s="7" t="s">
        <v>295</v>
      </c>
      <c r="U81" t="s">
        <v>228</v>
      </c>
      <c r="V81">
        <f t="shared" si="2"/>
        <v>6</v>
      </c>
    </row>
    <row r="82" spans="1:22">
      <c r="A82" s="7" t="s">
        <v>7</v>
      </c>
      <c r="B82" s="7" t="s">
        <v>8</v>
      </c>
      <c r="C82" s="7" t="s">
        <v>65</v>
      </c>
      <c r="D82" s="7" t="s">
        <v>66</v>
      </c>
      <c r="E82" s="7" t="s">
        <v>296</v>
      </c>
      <c r="F82" s="7" t="s">
        <v>68</v>
      </c>
      <c r="G82" s="7" t="s">
        <v>69</v>
      </c>
      <c r="H82" s="20">
        <v>-100</v>
      </c>
      <c r="I82" s="7" t="s">
        <v>70</v>
      </c>
      <c r="J82" s="20">
        <v>-100</v>
      </c>
      <c r="K82" s="7" t="s">
        <v>70</v>
      </c>
      <c r="L82" s="7" t="s">
        <v>297</v>
      </c>
      <c r="M82" s="7" t="s">
        <v>69</v>
      </c>
      <c r="N82" s="21">
        <v>0.68517361111110997</v>
      </c>
      <c r="O82" s="7" t="s">
        <v>298</v>
      </c>
      <c r="P82" s="22">
        <v>45857</v>
      </c>
      <c r="Q82" s="22">
        <v>45857</v>
      </c>
      <c r="R82" s="7" t="s">
        <v>69</v>
      </c>
      <c r="S82" s="20">
        <v>-16501541</v>
      </c>
      <c r="T82" s="7" t="s">
        <v>299</v>
      </c>
      <c r="U82" t="s">
        <v>30</v>
      </c>
      <c r="V82">
        <f t="shared" si="2"/>
        <v>7</v>
      </c>
    </row>
    <row r="83" spans="1:22">
      <c r="A83" s="7" t="s">
        <v>7</v>
      </c>
      <c r="B83" s="7" t="s">
        <v>8</v>
      </c>
      <c r="C83" s="7" t="s">
        <v>65</v>
      </c>
      <c r="D83" s="7" t="s">
        <v>66</v>
      </c>
      <c r="E83" s="7" t="s">
        <v>300</v>
      </c>
      <c r="F83" s="7" t="s">
        <v>68</v>
      </c>
      <c r="G83" s="7" t="s">
        <v>69</v>
      </c>
      <c r="H83" s="20">
        <v>-200</v>
      </c>
      <c r="I83" s="7" t="s">
        <v>70</v>
      </c>
      <c r="J83" s="20">
        <v>-200</v>
      </c>
      <c r="K83" s="7" t="s">
        <v>70</v>
      </c>
      <c r="L83" s="7" t="s">
        <v>75</v>
      </c>
      <c r="M83" s="7" t="s">
        <v>69</v>
      </c>
      <c r="N83" s="21">
        <v>0.72603009259258999</v>
      </c>
      <c r="O83" s="7" t="s">
        <v>301</v>
      </c>
      <c r="P83" s="22">
        <v>45867</v>
      </c>
      <c r="Q83" s="22">
        <v>45867</v>
      </c>
      <c r="R83" s="7" t="s">
        <v>69</v>
      </c>
      <c r="S83" s="20">
        <v>-33002206</v>
      </c>
      <c r="T83" s="7" t="s">
        <v>302</v>
      </c>
      <c r="U83" t="s">
        <v>30</v>
      </c>
      <c r="V83">
        <f t="shared" si="2"/>
        <v>7</v>
      </c>
    </row>
    <row r="84" spans="1:22">
      <c r="A84" s="7" t="s">
        <v>17</v>
      </c>
      <c r="B84" s="7" t="s">
        <v>18</v>
      </c>
      <c r="C84" s="7" t="s">
        <v>65</v>
      </c>
      <c r="D84" s="7" t="s">
        <v>66</v>
      </c>
      <c r="E84" s="7" t="s">
        <v>303</v>
      </c>
      <c r="F84" s="7" t="s">
        <v>68</v>
      </c>
      <c r="G84" s="7" t="s">
        <v>69</v>
      </c>
      <c r="H84" s="20">
        <v>-200</v>
      </c>
      <c r="I84" s="7" t="s">
        <v>70</v>
      </c>
      <c r="J84" s="20">
        <v>-200</v>
      </c>
      <c r="K84" s="7" t="s">
        <v>70</v>
      </c>
      <c r="L84" s="7" t="s">
        <v>75</v>
      </c>
      <c r="M84" s="7" t="s">
        <v>69</v>
      </c>
      <c r="N84" s="21">
        <v>0.45174768518518998</v>
      </c>
      <c r="O84" s="7" t="s">
        <v>273</v>
      </c>
      <c r="P84" s="22">
        <v>45867</v>
      </c>
      <c r="Q84" s="22">
        <v>45867</v>
      </c>
      <c r="R84" s="7" t="s">
        <v>69</v>
      </c>
      <c r="S84" s="20">
        <v>-30000000</v>
      </c>
      <c r="T84" s="7" t="s">
        <v>304</v>
      </c>
      <c r="U84" t="s">
        <v>31</v>
      </c>
      <c r="V84">
        <f t="shared" si="2"/>
        <v>7</v>
      </c>
    </row>
    <row r="85" spans="1:22">
      <c r="A85" s="7" t="s">
        <v>17</v>
      </c>
      <c r="B85" s="7" t="s">
        <v>18</v>
      </c>
      <c r="C85" s="7" t="s">
        <v>65</v>
      </c>
      <c r="D85" s="7" t="s">
        <v>66</v>
      </c>
      <c r="E85" s="7" t="s">
        <v>305</v>
      </c>
      <c r="F85" s="7" t="s">
        <v>68</v>
      </c>
      <c r="G85" s="7" t="s">
        <v>69</v>
      </c>
      <c r="H85" s="20">
        <v>-200</v>
      </c>
      <c r="I85" s="7" t="s">
        <v>70</v>
      </c>
      <c r="J85" s="20">
        <v>-200</v>
      </c>
      <c r="K85" s="7" t="s">
        <v>70</v>
      </c>
      <c r="L85" s="7" t="s">
        <v>297</v>
      </c>
      <c r="M85" s="7" t="s">
        <v>69</v>
      </c>
      <c r="N85" s="21">
        <v>0.73594907407406995</v>
      </c>
      <c r="O85" s="7" t="s">
        <v>306</v>
      </c>
      <c r="P85" s="22">
        <v>45868</v>
      </c>
      <c r="Q85" s="22">
        <v>45868</v>
      </c>
      <c r="R85" s="7" t="s">
        <v>69</v>
      </c>
      <c r="S85" s="20">
        <v>-30000000</v>
      </c>
      <c r="T85" s="7" t="s">
        <v>307</v>
      </c>
      <c r="U85" t="s">
        <v>31</v>
      </c>
      <c r="V85">
        <f t="shared" si="2"/>
        <v>7</v>
      </c>
    </row>
    <row r="86" spans="1:22">
      <c r="A86" s="7" t="s">
        <v>7</v>
      </c>
      <c r="B86" s="7" t="s">
        <v>8</v>
      </c>
      <c r="C86" s="7" t="s">
        <v>65</v>
      </c>
      <c r="D86" s="7" t="s">
        <v>66</v>
      </c>
      <c r="E86" s="7" t="s">
        <v>308</v>
      </c>
      <c r="F86" s="7" t="s">
        <v>68</v>
      </c>
      <c r="G86" s="7" t="s">
        <v>69</v>
      </c>
      <c r="H86" s="20">
        <v>-100</v>
      </c>
      <c r="I86" s="7" t="s">
        <v>70</v>
      </c>
      <c r="J86" s="20">
        <v>-100</v>
      </c>
      <c r="K86" s="7" t="s">
        <v>70</v>
      </c>
      <c r="L86" s="7" t="s">
        <v>75</v>
      </c>
      <c r="M86" s="7" t="s">
        <v>69</v>
      </c>
      <c r="N86" s="21">
        <v>0.59473379629629997</v>
      </c>
      <c r="O86" s="7" t="s">
        <v>301</v>
      </c>
      <c r="P86" s="22">
        <v>45884</v>
      </c>
      <c r="Q86" s="22">
        <v>45884</v>
      </c>
      <c r="R86" s="7" t="s">
        <v>69</v>
      </c>
      <c r="S86" s="20">
        <v>-16500783</v>
      </c>
      <c r="T86" s="7" t="s">
        <v>309</v>
      </c>
      <c r="U86" t="s">
        <v>30</v>
      </c>
      <c r="V86">
        <f t="shared" si="2"/>
        <v>8</v>
      </c>
    </row>
    <row r="87" spans="1:22">
      <c r="A87" s="7" t="s">
        <v>11</v>
      </c>
      <c r="B87" s="7" t="s">
        <v>12</v>
      </c>
      <c r="C87" s="7" t="s">
        <v>65</v>
      </c>
      <c r="D87" s="7" t="s">
        <v>66</v>
      </c>
      <c r="E87" s="7" t="s">
        <v>310</v>
      </c>
      <c r="F87" s="7" t="s">
        <v>68</v>
      </c>
      <c r="G87" s="7" t="s">
        <v>69</v>
      </c>
      <c r="H87" s="20">
        <v>-100</v>
      </c>
      <c r="I87" s="7" t="s">
        <v>70</v>
      </c>
      <c r="J87" s="20">
        <v>-100</v>
      </c>
      <c r="K87" s="7" t="s">
        <v>70</v>
      </c>
      <c r="L87" s="7" t="s">
        <v>75</v>
      </c>
      <c r="M87" s="7" t="s">
        <v>69</v>
      </c>
      <c r="N87" s="21">
        <v>0.59214120370370005</v>
      </c>
      <c r="O87" s="7" t="s">
        <v>311</v>
      </c>
      <c r="P87" s="22">
        <v>45884</v>
      </c>
      <c r="Q87" s="22">
        <v>45884</v>
      </c>
      <c r="R87" s="7" t="s">
        <v>69</v>
      </c>
      <c r="S87" s="20">
        <v>-5724287</v>
      </c>
      <c r="T87" s="7" t="s">
        <v>312</v>
      </c>
      <c r="U87" t="s">
        <v>228</v>
      </c>
      <c r="V87">
        <f t="shared" si="2"/>
        <v>8</v>
      </c>
    </row>
    <row r="88" spans="1:22">
      <c r="A88" s="7" t="s">
        <v>11</v>
      </c>
      <c r="B88" s="7" t="s">
        <v>12</v>
      </c>
      <c r="C88" s="7" t="s">
        <v>65</v>
      </c>
      <c r="D88" s="7" t="s">
        <v>66</v>
      </c>
      <c r="E88" s="7" t="s">
        <v>313</v>
      </c>
      <c r="F88" s="7" t="s">
        <v>68</v>
      </c>
      <c r="G88" s="7" t="s">
        <v>69</v>
      </c>
      <c r="H88" s="20">
        <v>-94</v>
      </c>
      <c r="I88" s="7" t="s">
        <v>70</v>
      </c>
      <c r="J88" s="20">
        <v>-94</v>
      </c>
      <c r="K88" s="7" t="s">
        <v>70</v>
      </c>
      <c r="L88" s="7" t="s">
        <v>75</v>
      </c>
      <c r="M88" s="7" t="s">
        <v>69</v>
      </c>
      <c r="N88" s="21">
        <v>0.59570601851852001</v>
      </c>
      <c r="O88" s="7" t="s">
        <v>311</v>
      </c>
      <c r="P88" s="22">
        <v>45884</v>
      </c>
      <c r="Q88" s="22">
        <v>45884</v>
      </c>
      <c r="R88" s="7" t="s">
        <v>69</v>
      </c>
      <c r="S88" s="20">
        <v>-5380829</v>
      </c>
      <c r="T88" s="7" t="s">
        <v>314</v>
      </c>
      <c r="U88" t="s">
        <v>228</v>
      </c>
      <c r="V88">
        <f t="shared" si="2"/>
        <v>8</v>
      </c>
    </row>
    <row r="89" spans="1:22">
      <c r="A89" s="7" t="s">
        <v>11</v>
      </c>
      <c r="B89" s="7" t="s">
        <v>12</v>
      </c>
      <c r="C89" s="7" t="s">
        <v>65</v>
      </c>
      <c r="D89" s="7" t="s">
        <v>66</v>
      </c>
      <c r="E89" s="7" t="s">
        <v>315</v>
      </c>
      <c r="F89" s="7" t="s">
        <v>68</v>
      </c>
      <c r="G89" s="7" t="s">
        <v>69</v>
      </c>
      <c r="H89" s="20">
        <v>-40</v>
      </c>
      <c r="I89" s="7" t="s">
        <v>70</v>
      </c>
      <c r="J89" s="20">
        <v>-40</v>
      </c>
      <c r="K89" s="7" t="s">
        <v>70</v>
      </c>
      <c r="L89" s="7" t="s">
        <v>75</v>
      </c>
      <c r="M89" s="7" t="s">
        <v>69</v>
      </c>
      <c r="N89" s="21">
        <v>0.61623842592593003</v>
      </c>
      <c r="O89" s="7" t="s">
        <v>311</v>
      </c>
      <c r="P89" s="22">
        <v>45884</v>
      </c>
      <c r="Q89" s="22">
        <v>45884</v>
      </c>
      <c r="R89" s="7" t="s">
        <v>69</v>
      </c>
      <c r="S89" s="20">
        <v>-2289715</v>
      </c>
      <c r="T89" s="7" t="s">
        <v>316</v>
      </c>
      <c r="U89" t="s">
        <v>228</v>
      </c>
      <c r="V89">
        <f t="shared" si="2"/>
        <v>8</v>
      </c>
    </row>
    <row r="90" spans="1:22">
      <c r="A90" s="7" t="s">
        <v>13</v>
      </c>
      <c r="B90" s="7" t="s">
        <v>14</v>
      </c>
      <c r="C90" s="7" t="s">
        <v>65</v>
      </c>
      <c r="D90" s="7" t="s">
        <v>66</v>
      </c>
      <c r="E90" s="7" t="s">
        <v>317</v>
      </c>
      <c r="F90" s="7" t="s">
        <v>68</v>
      </c>
      <c r="G90" s="7" t="s">
        <v>69</v>
      </c>
      <c r="H90" s="20">
        <v>-100</v>
      </c>
      <c r="I90" s="7" t="s">
        <v>70</v>
      </c>
      <c r="J90" s="20">
        <v>-100</v>
      </c>
      <c r="K90" s="7" t="s">
        <v>70</v>
      </c>
      <c r="L90" s="7" t="s">
        <v>297</v>
      </c>
      <c r="M90" s="7" t="s">
        <v>69</v>
      </c>
      <c r="N90" s="21">
        <v>0.59068287037037004</v>
      </c>
      <c r="O90" s="7" t="s">
        <v>318</v>
      </c>
      <c r="P90" s="22">
        <v>45888</v>
      </c>
      <c r="Q90" s="22">
        <v>45888</v>
      </c>
      <c r="R90" s="7" t="s">
        <v>69</v>
      </c>
      <c r="S90" s="20">
        <v>-15000000</v>
      </c>
      <c r="T90" s="7" t="s">
        <v>319</v>
      </c>
      <c r="U90" t="s">
        <v>31</v>
      </c>
      <c r="V90">
        <f t="shared" si="2"/>
        <v>8</v>
      </c>
    </row>
    <row r="91" spans="1:22">
      <c r="A91" s="7" t="s">
        <v>7</v>
      </c>
      <c r="B91" s="7" t="s">
        <v>8</v>
      </c>
      <c r="C91" s="7" t="s">
        <v>65</v>
      </c>
      <c r="D91" s="7" t="s">
        <v>66</v>
      </c>
      <c r="E91" s="7" t="s">
        <v>320</v>
      </c>
      <c r="F91" s="7" t="s">
        <v>68</v>
      </c>
      <c r="G91" s="7" t="s">
        <v>69</v>
      </c>
      <c r="H91" s="20">
        <v>-100</v>
      </c>
      <c r="I91" s="7" t="s">
        <v>70</v>
      </c>
      <c r="J91" s="20">
        <v>-100</v>
      </c>
      <c r="K91" s="7" t="s">
        <v>70</v>
      </c>
      <c r="L91" s="7" t="s">
        <v>276</v>
      </c>
      <c r="M91" s="7" t="s">
        <v>69</v>
      </c>
      <c r="N91" s="21">
        <v>0.42601851851852002</v>
      </c>
      <c r="O91" s="7" t="s">
        <v>321</v>
      </c>
      <c r="P91" s="22">
        <v>45891</v>
      </c>
      <c r="Q91" s="22">
        <v>45891</v>
      </c>
      <c r="R91" s="7" t="s">
        <v>69</v>
      </c>
      <c r="S91" s="20">
        <v>-16500590</v>
      </c>
      <c r="T91" s="7" t="s">
        <v>322</v>
      </c>
      <c r="U91" t="s">
        <v>30</v>
      </c>
      <c r="V91">
        <f t="shared" si="2"/>
        <v>8</v>
      </c>
    </row>
    <row r="92" spans="1:22">
      <c r="A92" s="7" t="s">
        <v>13</v>
      </c>
      <c r="B92" s="7" t="s">
        <v>14</v>
      </c>
      <c r="C92" s="7" t="s">
        <v>65</v>
      </c>
      <c r="D92" s="7" t="s">
        <v>66</v>
      </c>
      <c r="E92" s="7" t="s">
        <v>323</v>
      </c>
      <c r="F92" s="7" t="s">
        <v>68</v>
      </c>
      <c r="G92" s="7" t="s">
        <v>69</v>
      </c>
      <c r="H92" s="20">
        <v>-200</v>
      </c>
      <c r="I92" s="7" t="s">
        <v>70</v>
      </c>
      <c r="J92" s="20">
        <v>-200</v>
      </c>
      <c r="K92" s="7" t="s">
        <v>70</v>
      </c>
      <c r="L92" s="7" t="s">
        <v>297</v>
      </c>
      <c r="M92" s="7" t="s">
        <v>69</v>
      </c>
      <c r="N92" s="21">
        <v>0.73806712962962995</v>
      </c>
      <c r="O92" s="7" t="s">
        <v>324</v>
      </c>
      <c r="P92" s="22">
        <v>45892</v>
      </c>
      <c r="Q92" s="22">
        <v>45892</v>
      </c>
      <c r="R92" s="7" t="s">
        <v>69</v>
      </c>
      <c r="S92" s="20">
        <v>-30000000</v>
      </c>
      <c r="T92" s="7" t="s">
        <v>325</v>
      </c>
      <c r="U92" t="s">
        <v>31</v>
      </c>
      <c r="V92">
        <f t="shared" si="2"/>
        <v>8</v>
      </c>
    </row>
    <row r="93" spans="1:22">
      <c r="A93" s="7" t="s">
        <v>17</v>
      </c>
      <c r="B93" s="7" t="s">
        <v>18</v>
      </c>
      <c r="C93" s="7" t="s">
        <v>65</v>
      </c>
      <c r="D93" s="7" t="s">
        <v>66</v>
      </c>
      <c r="E93" s="7" t="s">
        <v>323</v>
      </c>
      <c r="F93" s="7" t="s">
        <v>84</v>
      </c>
      <c r="G93" s="7" t="s">
        <v>69</v>
      </c>
      <c r="H93" s="20">
        <v>-200</v>
      </c>
      <c r="I93" s="7" t="s">
        <v>70</v>
      </c>
      <c r="J93" s="20">
        <v>-200</v>
      </c>
      <c r="K93" s="7" t="s">
        <v>70</v>
      </c>
      <c r="L93" s="7" t="s">
        <v>297</v>
      </c>
      <c r="M93" s="7" t="s">
        <v>69</v>
      </c>
      <c r="N93" s="21">
        <v>0.73806712962962995</v>
      </c>
      <c r="O93" s="7" t="s">
        <v>324</v>
      </c>
      <c r="P93" s="22">
        <v>45892</v>
      </c>
      <c r="Q93" s="22">
        <v>45892</v>
      </c>
      <c r="R93" s="7" t="s">
        <v>69</v>
      </c>
      <c r="S93" s="20">
        <v>-30000000</v>
      </c>
      <c r="T93" s="7" t="s">
        <v>325</v>
      </c>
      <c r="U93" t="s">
        <v>31</v>
      </c>
      <c r="V93">
        <f t="shared" si="2"/>
        <v>8</v>
      </c>
    </row>
    <row r="94" spans="1:22">
      <c r="A94" s="7" t="s">
        <v>11</v>
      </c>
      <c r="B94" s="7" t="s">
        <v>12</v>
      </c>
      <c r="C94" s="7" t="s">
        <v>65</v>
      </c>
      <c r="D94" s="7" t="s">
        <v>66</v>
      </c>
      <c r="E94" s="7" t="s">
        <v>326</v>
      </c>
      <c r="F94" s="7" t="s">
        <v>68</v>
      </c>
      <c r="G94" s="7" t="s">
        <v>69</v>
      </c>
      <c r="H94" s="20">
        <v>-100</v>
      </c>
      <c r="I94" s="7" t="s">
        <v>70</v>
      </c>
      <c r="J94" s="20">
        <v>-100</v>
      </c>
      <c r="K94" s="7" t="s">
        <v>70</v>
      </c>
      <c r="L94" s="7" t="s">
        <v>297</v>
      </c>
      <c r="M94" s="7" t="s">
        <v>69</v>
      </c>
      <c r="N94" s="21">
        <v>0.73499999999999999</v>
      </c>
      <c r="O94" s="7" t="s">
        <v>327</v>
      </c>
      <c r="P94" s="22">
        <v>45892</v>
      </c>
      <c r="Q94" s="22">
        <v>45892</v>
      </c>
      <c r="R94" s="7" t="s">
        <v>69</v>
      </c>
      <c r="S94" s="20">
        <v>-5724287</v>
      </c>
      <c r="T94" s="7" t="s">
        <v>328</v>
      </c>
      <c r="U94" t="s">
        <v>228</v>
      </c>
      <c r="V94">
        <f t="shared" si="2"/>
        <v>8</v>
      </c>
    </row>
    <row r="95" spans="1:22">
      <c r="A95" s="7" t="s">
        <v>17</v>
      </c>
      <c r="B95" s="7" t="s">
        <v>18</v>
      </c>
      <c r="C95" s="7" t="s">
        <v>65</v>
      </c>
      <c r="D95" s="7" t="s">
        <v>66</v>
      </c>
      <c r="E95" s="7" t="s">
        <v>329</v>
      </c>
      <c r="F95" s="7" t="s">
        <v>68</v>
      </c>
      <c r="G95" s="7" t="s">
        <v>69</v>
      </c>
      <c r="H95" s="20">
        <v>-300</v>
      </c>
      <c r="I95" s="7" t="s">
        <v>70</v>
      </c>
      <c r="J95" s="20">
        <v>-300</v>
      </c>
      <c r="K95" s="7" t="s">
        <v>70</v>
      </c>
      <c r="L95" s="7" t="s">
        <v>297</v>
      </c>
      <c r="M95" s="7" t="s">
        <v>69</v>
      </c>
      <c r="N95" s="21">
        <v>0.32292824074074</v>
      </c>
      <c r="O95" s="7" t="s">
        <v>330</v>
      </c>
      <c r="P95" s="22">
        <v>45895</v>
      </c>
      <c r="Q95" s="22">
        <v>45895</v>
      </c>
      <c r="R95" s="7" t="s">
        <v>69</v>
      </c>
      <c r="S95" s="20">
        <v>-45000000</v>
      </c>
      <c r="T95" s="7" t="s">
        <v>331</v>
      </c>
      <c r="U95" t="s">
        <v>31</v>
      </c>
      <c r="V95">
        <f t="shared" si="2"/>
        <v>8</v>
      </c>
    </row>
    <row r="96" spans="1:22">
      <c r="A96" s="7" t="s">
        <v>13</v>
      </c>
      <c r="B96" s="7" t="s">
        <v>14</v>
      </c>
      <c r="C96" s="7" t="s">
        <v>65</v>
      </c>
      <c r="D96" s="7" t="s">
        <v>66</v>
      </c>
      <c r="E96" s="7" t="s">
        <v>332</v>
      </c>
      <c r="F96" s="7" t="s">
        <v>84</v>
      </c>
      <c r="G96" s="7" t="s">
        <v>69</v>
      </c>
      <c r="H96" s="20">
        <v>-300</v>
      </c>
      <c r="I96" s="7" t="s">
        <v>70</v>
      </c>
      <c r="J96" s="20">
        <v>-300</v>
      </c>
      <c r="K96" s="7" t="s">
        <v>70</v>
      </c>
      <c r="L96" s="7" t="s">
        <v>333</v>
      </c>
      <c r="M96" s="7" t="s">
        <v>69</v>
      </c>
      <c r="N96" s="21">
        <v>0.41884259259258999</v>
      </c>
      <c r="O96" s="7" t="s">
        <v>334</v>
      </c>
      <c r="P96" s="22">
        <v>45899</v>
      </c>
      <c r="Q96" s="22">
        <v>45903</v>
      </c>
      <c r="R96" s="7" t="s">
        <v>69</v>
      </c>
      <c r="S96" s="20">
        <v>-45000000</v>
      </c>
      <c r="T96" s="7" t="s">
        <v>335</v>
      </c>
      <c r="U96" t="s">
        <v>31</v>
      </c>
      <c r="V96">
        <f t="shared" si="2"/>
        <v>8</v>
      </c>
    </row>
    <row r="97" spans="1:22">
      <c r="A97" s="7" t="s">
        <v>17</v>
      </c>
      <c r="B97" s="7" t="s">
        <v>18</v>
      </c>
      <c r="C97" s="7" t="s">
        <v>65</v>
      </c>
      <c r="D97" s="7" t="s">
        <v>66</v>
      </c>
      <c r="E97" s="7" t="s">
        <v>332</v>
      </c>
      <c r="F97" s="7" t="s">
        <v>68</v>
      </c>
      <c r="G97" s="7" t="s">
        <v>69</v>
      </c>
      <c r="H97" s="20">
        <v>-200</v>
      </c>
      <c r="I97" s="7" t="s">
        <v>70</v>
      </c>
      <c r="J97" s="20">
        <v>-200</v>
      </c>
      <c r="K97" s="7" t="s">
        <v>70</v>
      </c>
      <c r="L97" s="7" t="s">
        <v>333</v>
      </c>
      <c r="M97" s="7" t="s">
        <v>69</v>
      </c>
      <c r="N97" s="21">
        <v>0.41884259259258999</v>
      </c>
      <c r="O97" s="7" t="s">
        <v>334</v>
      </c>
      <c r="P97" s="22">
        <v>45899</v>
      </c>
      <c r="Q97" s="22">
        <v>45903</v>
      </c>
      <c r="R97" s="7" t="s">
        <v>69</v>
      </c>
      <c r="S97" s="20">
        <v>-30000000</v>
      </c>
      <c r="T97" s="7" t="s">
        <v>335</v>
      </c>
      <c r="U97" t="s">
        <v>31</v>
      </c>
      <c r="V97">
        <f t="shared" si="2"/>
        <v>8</v>
      </c>
    </row>
    <row r="98" spans="1:22">
      <c r="A98" s="7" t="s">
        <v>13</v>
      </c>
      <c r="B98" s="7" t="s">
        <v>14</v>
      </c>
      <c r="C98" s="7" t="s">
        <v>65</v>
      </c>
      <c r="D98" s="7" t="s">
        <v>66</v>
      </c>
      <c r="E98" s="7" t="s">
        <v>336</v>
      </c>
      <c r="F98" s="7" t="s">
        <v>68</v>
      </c>
      <c r="G98" s="7" t="s">
        <v>69</v>
      </c>
      <c r="H98" s="20">
        <v>-200</v>
      </c>
      <c r="I98" s="7" t="s">
        <v>70</v>
      </c>
      <c r="J98" s="20">
        <v>-200</v>
      </c>
      <c r="K98" s="7" t="s">
        <v>70</v>
      </c>
      <c r="L98" s="7" t="s">
        <v>276</v>
      </c>
      <c r="M98" s="7" t="s">
        <v>69</v>
      </c>
      <c r="N98" s="21">
        <v>0.74615740740740999</v>
      </c>
      <c r="O98" s="7" t="s">
        <v>337</v>
      </c>
      <c r="P98" s="22">
        <v>45906</v>
      </c>
      <c r="Q98" s="22">
        <v>45906</v>
      </c>
      <c r="R98" s="7" t="s">
        <v>69</v>
      </c>
      <c r="S98" s="20">
        <v>-30000000</v>
      </c>
      <c r="T98" s="7" t="s">
        <v>338</v>
      </c>
      <c r="U98" t="s">
        <v>31</v>
      </c>
      <c r="V98">
        <f t="shared" si="2"/>
        <v>9</v>
      </c>
    </row>
    <row r="99" spans="1:22">
      <c r="A99" s="7" t="s">
        <v>7</v>
      </c>
      <c r="B99" s="7" t="s">
        <v>8</v>
      </c>
      <c r="C99" s="7" t="s">
        <v>65</v>
      </c>
      <c r="D99" s="7" t="s">
        <v>66</v>
      </c>
      <c r="E99" s="7" t="s">
        <v>339</v>
      </c>
      <c r="F99" s="7" t="s">
        <v>68</v>
      </c>
      <c r="G99" s="7" t="s">
        <v>69</v>
      </c>
      <c r="H99" s="20">
        <v>-100</v>
      </c>
      <c r="I99" s="7" t="s">
        <v>70</v>
      </c>
      <c r="J99" s="20">
        <v>-100</v>
      </c>
      <c r="K99" s="7" t="s">
        <v>70</v>
      </c>
      <c r="L99" s="7" t="s">
        <v>75</v>
      </c>
      <c r="M99" s="7" t="s">
        <v>69</v>
      </c>
      <c r="N99" s="21">
        <v>0.52037037037037004</v>
      </c>
      <c r="O99" s="7" t="s">
        <v>301</v>
      </c>
      <c r="P99" s="22">
        <v>45907</v>
      </c>
      <c r="Q99" s="22">
        <v>45907</v>
      </c>
      <c r="R99" s="7" t="s">
        <v>69</v>
      </c>
      <c r="S99" s="20">
        <v>-16500590</v>
      </c>
      <c r="T99" s="7" t="s">
        <v>340</v>
      </c>
      <c r="U99" t="s">
        <v>30</v>
      </c>
      <c r="V99">
        <f t="shared" si="2"/>
        <v>9</v>
      </c>
    </row>
    <row r="100" spans="1:22">
      <c r="A100" s="7" t="s">
        <v>7</v>
      </c>
      <c r="B100" s="7" t="s">
        <v>8</v>
      </c>
      <c r="C100" s="7" t="s">
        <v>65</v>
      </c>
      <c r="D100" s="7" t="s">
        <v>66</v>
      </c>
      <c r="E100" s="7" t="s">
        <v>341</v>
      </c>
      <c r="F100" s="7" t="s">
        <v>68</v>
      </c>
      <c r="G100" s="7" t="s">
        <v>69</v>
      </c>
      <c r="H100" s="20">
        <v>-100</v>
      </c>
      <c r="I100" s="7" t="s">
        <v>70</v>
      </c>
      <c r="J100" s="20">
        <v>-100</v>
      </c>
      <c r="K100" s="7" t="s">
        <v>70</v>
      </c>
      <c r="L100" s="7" t="s">
        <v>333</v>
      </c>
      <c r="M100" s="7" t="s">
        <v>69</v>
      </c>
      <c r="N100" s="21">
        <v>0.47780092592592999</v>
      </c>
      <c r="O100" s="7" t="s">
        <v>301</v>
      </c>
      <c r="P100" s="22">
        <v>45913</v>
      </c>
      <c r="Q100" s="22">
        <v>45913</v>
      </c>
      <c r="R100" s="7" t="s">
        <v>69</v>
      </c>
      <c r="S100" s="20">
        <v>-16500590</v>
      </c>
      <c r="T100" s="7" t="s">
        <v>342</v>
      </c>
      <c r="U100" t="s">
        <v>30</v>
      </c>
      <c r="V100">
        <f t="shared" si="2"/>
        <v>9</v>
      </c>
    </row>
    <row r="101" spans="1:22">
      <c r="A101" s="7" t="s">
        <v>112</v>
      </c>
      <c r="B101" s="7" t="s">
        <v>113</v>
      </c>
      <c r="C101" s="7" t="s">
        <v>65</v>
      </c>
      <c r="D101" s="7" t="s">
        <v>66</v>
      </c>
      <c r="E101" s="7" t="s">
        <v>341</v>
      </c>
      <c r="F101" s="7" t="s">
        <v>84</v>
      </c>
      <c r="G101" s="7" t="s">
        <v>69</v>
      </c>
      <c r="H101" s="20">
        <v>-10</v>
      </c>
      <c r="I101" s="7" t="s">
        <v>70</v>
      </c>
      <c r="J101" s="20">
        <v>-10</v>
      </c>
      <c r="K101" s="7" t="s">
        <v>70</v>
      </c>
      <c r="L101" s="7" t="s">
        <v>333</v>
      </c>
      <c r="M101" s="7" t="s">
        <v>69</v>
      </c>
      <c r="N101" s="21">
        <v>0.47780092592592999</v>
      </c>
      <c r="O101" s="7" t="s">
        <v>301</v>
      </c>
      <c r="P101" s="22">
        <v>45913</v>
      </c>
      <c r="Q101" s="22">
        <v>45913</v>
      </c>
      <c r="R101" s="7" t="s">
        <v>69</v>
      </c>
      <c r="S101" s="20">
        <v>-1500021</v>
      </c>
      <c r="T101" s="7" t="s">
        <v>342</v>
      </c>
      <c r="U101" t="s">
        <v>30</v>
      </c>
      <c r="V101">
        <f t="shared" si="2"/>
        <v>9</v>
      </c>
    </row>
    <row r="102" spans="1:22">
      <c r="A102" s="7" t="s">
        <v>13</v>
      </c>
      <c r="B102" s="7" t="s">
        <v>14</v>
      </c>
      <c r="C102" s="7" t="s">
        <v>65</v>
      </c>
      <c r="D102" s="7" t="s">
        <v>66</v>
      </c>
      <c r="E102" s="7" t="s">
        <v>343</v>
      </c>
      <c r="F102" s="7" t="s">
        <v>68</v>
      </c>
      <c r="G102" s="7" t="s">
        <v>69</v>
      </c>
      <c r="H102" s="20">
        <v>-200</v>
      </c>
      <c r="I102" s="7" t="s">
        <v>70</v>
      </c>
      <c r="J102" s="20">
        <v>-200</v>
      </c>
      <c r="K102" s="7" t="s">
        <v>70</v>
      </c>
      <c r="L102" s="7" t="s">
        <v>333</v>
      </c>
      <c r="M102" s="7" t="s">
        <v>69</v>
      </c>
      <c r="N102" s="21">
        <v>0.70712962962963</v>
      </c>
      <c r="O102" s="7" t="s">
        <v>344</v>
      </c>
      <c r="P102" s="22">
        <v>45916</v>
      </c>
      <c r="Q102" s="22">
        <v>45916</v>
      </c>
      <c r="R102" s="7" t="s">
        <v>69</v>
      </c>
      <c r="S102" s="20">
        <v>-30000000</v>
      </c>
      <c r="T102" s="7" t="s">
        <v>345</v>
      </c>
      <c r="U102" t="s">
        <v>31</v>
      </c>
      <c r="V102">
        <f t="shared" si="2"/>
        <v>9</v>
      </c>
    </row>
    <row r="103" spans="1:22">
      <c r="A103" s="7" t="s">
        <v>13</v>
      </c>
      <c r="B103" s="7" t="s">
        <v>14</v>
      </c>
      <c r="C103" s="7" t="s">
        <v>65</v>
      </c>
      <c r="D103" s="7" t="s">
        <v>66</v>
      </c>
      <c r="E103" s="7" t="s">
        <v>346</v>
      </c>
      <c r="F103" s="7" t="s">
        <v>68</v>
      </c>
      <c r="G103" s="7" t="s">
        <v>69</v>
      </c>
      <c r="H103" s="20">
        <v>-200</v>
      </c>
      <c r="I103" s="7" t="s">
        <v>70</v>
      </c>
      <c r="J103" s="20">
        <v>-200</v>
      </c>
      <c r="K103" s="7" t="s">
        <v>70</v>
      </c>
      <c r="L103" s="7" t="s">
        <v>333</v>
      </c>
      <c r="M103" s="7" t="s">
        <v>69</v>
      </c>
      <c r="N103" s="21">
        <v>0.32616898148147999</v>
      </c>
      <c r="O103" s="7" t="s">
        <v>344</v>
      </c>
      <c r="P103" s="22">
        <v>45923</v>
      </c>
      <c r="Q103" s="22">
        <v>45923</v>
      </c>
      <c r="R103" s="7" t="s">
        <v>69</v>
      </c>
      <c r="S103" s="20">
        <v>-30000000</v>
      </c>
      <c r="T103" s="7" t="s">
        <v>347</v>
      </c>
      <c r="U103" t="s">
        <v>31</v>
      </c>
      <c r="V103">
        <f t="shared" si="2"/>
        <v>9</v>
      </c>
    </row>
    <row r="104" spans="1:22">
      <c r="A104" s="7" t="s">
        <v>7</v>
      </c>
      <c r="B104" s="7" t="s">
        <v>8</v>
      </c>
      <c r="C104" s="7" t="s">
        <v>65</v>
      </c>
      <c r="D104" s="7" t="s">
        <v>66</v>
      </c>
      <c r="E104" s="7" t="s">
        <v>350</v>
      </c>
      <c r="F104" s="7" t="s">
        <v>68</v>
      </c>
      <c r="G104" s="7" t="s">
        <v>69</v>
      </c>
      <c r="H104" s="20">
        <v>-100</v>
      </c>
      <c r="I104" s="7" t="s">
        <v>70</v>
      </c>
      <c r="J104" s="20">
        <v>-100</v>
      </c>
      <c r="K104" s="7" t="s">
        <v>70</v>
      </c>
      <c r="L104" s="7" t="s">
        <v>333</v>
      </c>
      <c r="M104" s="7" t="s">
        <v>69</v>
      </c>
      <c r="N104" s="21">
        <v>0.31486111111110998</v>
      </c>
      <c r="O104" s="7" t="s">
        <v>301</v>
      </c>
      <c r="P104" s="22">
        <v>45951</v>
      </c>
      <c r="Q104" s="22">
        <v>45951</v>
      </c>
      <c r="R104" s="7" t="s">
        <v>69</v>
      </c>
      <c r="S104" s="20">
        <v>-16500178</v>
      </c>
      <c r="T104" s="7" t="s">
        <v>351</v>
      </c>
      <c r="U104" t="s">
        <v>30</v>
      </c>
      <c r="V104">
        <f t="shared" si="2"/>
        <v>10</v>
      </c>
    </row>
    <row r="105" spans="1:22">
      <c r="A105" s="7" t="s">
        <v>7</v>
      </c>
      <c r="B105" s="7" t="s">
        <v>8</v>
      </c>
      <c r="C105" s="7" t="s">
        <v>65</v>
      </c>
      <c r="D105" s="7" t="s">
        <v>66</v>
      </c>
      <c r="E105" s="7" t="s">
        <v>352</v>
      </c>
      <c r="F105" s="7" t="s">
        <v>68</v>
      </c>
      <c r="G105" s="7" t="s">
        <v>69</v>
      </c>
      <c r="H105" s="20">
        <v>-100</v>
      </c>
      <c r="I105" s="7" t="s">
        <v>70</v>
      </c>
      <c r="J105" s="20">
        <v>-100</v>
      </c>
      <c r="K105" s="7" t="s">
        <v>70</v>
      </c>
      <c r="L105" s="7" t="s">
        <v>333</v>
      </c>
      <c r="M105" s="7" t="s">
        <v>69</v>
      </c>
      <c r="N105" s="21">
        <v>0.55965277777778</v>
      </c>
      <c r="O105" s="7" t="s">
        <v>301</v>
      </c>
      <c r="P105" s="22">
        <v>45937</v>
      </c>
      <c r="Q105" s="22">
        <v>45937</v>
      </c>
      <c r="R105" s="7" t="s">
        <v>69</v>
      </c>
      <c r="S105" s="20">
        <v>-16500213</v>
      </c>
      <c r="T105" s="7" t="s">
        <v>353</v>
      </c>
      <c r="U105" t="s">
        <v>30</v>
      </c>
      <c r="V105">
        <f t="shared" si="2"/>
        <v>10</v>
      </c>
    </row>
    <row r="106" spans="1:22">
      <c r="A106" s="7" t="s">
        <v>13</v>
      </c>
      <c r="B106" s="7" t="s">
        <v>14</v>
      </c>
      <c r="C106" s="7" t="s">
        <v>65</v>
      </c>
      <c r="D106" s="7" t="s">
        <v>66</v>
      </c>
      <c r="E106" s="7" t="s">
        <v>354</v>
      </c>
      <c r="F106" s="7" t="s">
        <v>68</v>
      </c>
      <c r="G106" s="7" t="s">
        <v>69</v>
      </c>
      <c r="H106" s="20">
        <v>-200</v>
      </c>
      <c r="I106" s="7" t="s">
        <v>70</v>
      </c>
      <c r="J106" s="20">
        <v>-200</v>
      </c>
      <c r="K106" s="7" t="s">
        <v>70</v>
      </c>
      <c r="L106" s="7" t="s">
        <v>333</v>
      </c>
      <c r="M106" s="7" t="s">
        <v>69</v>
      </c>
      <c r="N106" s="21">
        <v>0.66659722222221995</v>
      </c>
      <c r="O106" s="7" t="s">
        <v>344</v>
      </c>
      <c r="P106" s="22">
        <v>45945</v>
      </c>
      <c r="Q106" s="22">
        <v>45945</v>
      </c>
      <c r="R106" s="7" t="s">
        <v>69</v>
      </c>
      <c r="S106" s="20">
        <v>-30000000</v>
      </c>
      <c r="T106" s="7" t="s">
        <v>355</v>
      </c>
      <c r="U106" t="s">
        <v>31</v>
      </c>
      <c r="V106">
        <f t="shared" si="2"/>
        <v>10</v>
      </c>
    </row>
    <row r="107" spans="1:22">
      <c r="A107" s="7" t="s">
        <v>17</v>
      </c>
      <c r="B107" s="7" t="s">
        <v>18</v>
      </c>
      <c r="C107" s="7" t="s">
        <v>65</v>
      </c>
      <c r="D107" s="7" t="s">
        <v>66</v>
      </c>
      <c r="E107" s="7" t="s">
        <v>356</v>
      </c>
      <c r="F107" s="7" t="s">
        <v>68</v>
      </c>
      <c r="G107" s="7" t="s">
        <v>69</v>
      </c>
      <c r="H107" s="20">
        <v>-200</v>
      </c>
      <c r="I107" s="7" t="s">
        <v>70</v>
      </c>
      <c r="J107" s="20">
        <v>-200</v>
      </c>
      <c r="K107" s="7" t="s">
        <v>70</v>
      </c>
      <c r="L107" s="7" t="s">
        <v>333</v>
      </c>
      <c r="M107" s="7" t="s">
        <v>69</v>
      </c>
      <c r="N107" s="21">
        <v>0.56866898148148004</v>
      </c>
      <c r="O107" s="7" t="s">
        <v>344</v>
      </c>
      <c r="P107" s="22">
        <v>45960</v>
      </c>
      <c r="Q107" s="22">
        <v>45960</v>
      </c>
      <c r="R107" s="7" t="s">
        <v>69</v>
      </c>
      <c r="S107" s="20">
        <v>-30000000</v>
      </c>
      <c r="T107" s="7" t="s">
        <v>357</v>
      </c>
      <c r="U107" t="s">
        <v>31</v>
      </c>
      <c r="V107">
        <f t="shared" si="2"/>
        <v>10</v>
      </c>
    </row>
    <row r="108" spans="1:22">
      <c r="A108" s="7" t="s">
        <v>17</v>
      </c>
      <c r="B108" s="7" t="s">
        <v>18</v>
      </c>
      <c r="C108" s="7" t="s">
        <v>65</v>
      </c>
      <c r="D108" s="7" t="s">
        <v>66</v>
      </c>
      <c r="E108" s="7" t="s">
        <v>358</v>
      </c>
      <c r="F108" s="7" t="s">
        <v>68</v>
      </c>
      <c r="G108" s="7" t="s">
        <v>69</v>
      </c>
      <c r="H108" s="20">
        <v>-100</v>
      </c>
      <c r="I108" s="7" t="s">
        <v>70</v>
      </c>
      <c r="J108" s="20">
        <v>-100</v>
      </c>
      <c r="K108" s="7" t="s">
        <v>70</v>
      </c>
      <c r="L108" s="7" t="s">
        <v>276</v>
      </c>
      <c r="M108" s="7" t="s">
        <v>69</v>
      </c>
      <c r="N108" s="21">
        <v>0.63128472222221998</v>
      </c>
      <c r="O108" s="7" t="s">
        <v>359</v>
      </c>
      <c r="P108" s="22">
        <v>45959</v>
      </c>
      <c r="Q108" s="22">
        <v>45959</v>
      </c>
      <c r="R108" s="7" t="s">
        <v>69</v>
      </c>
      <c r="S108" s="20">
        <v>-15000000</v>
      </c>
      <c r="T108" s="7" t="s">
        <v>360</v>
      </c>
      <c r="U108" t="s">
        <v>31</v>
      </c>
      <c r="V108">
        <f t="shared" si="2"/>
        <v>10</v>
      </c>
    </row>
    <row r="109" spans="1:22">
      <c r="A109" s="7" t="s">
        <v>17</v>
      </c>
      <c r="B109" s="7" t="s">
        <v>18</v>
      </c>
      <c r="C109" s="7" t="s">
        <v>65</v>
      </c>
      <c r="D109" s="7" t="s">
        <v>66</v>
      </c>
      <c r="E109" s="7" t="s">
        <v>361</v>
      </c>
      <c r="F109" s="7" t="s">
        <v>68</v>
      </c>
      <c r="G109" s="7" t="s">
        <v>69</v>
      </c>
      <c r="H109" s="20">
        <v>-100</v>
      </c>
      <c r="I109" s="7" t="s">
        <v>70</v>
      </c>
      <c r="J109" s="20">
        <v>-100</v>
      </c>
      <c r="K109" s="7" t="s">
        <v>70</v>
      </c>
      <c r="L109" s="7" t="s">
        <v>333</v>
      </c>
      <c r="M109" s="7" t="s">
        <v>69</v>
      </c>
      <c r="N109" s="21">
        <v>0.38427083333333001</v>
      </c>
      <c r="O109" s="7" t="s">
        <v>344</v>
      </c>
      <c r="P109" s="22">
        <v>45959</v>
      </c>
      <c r="Q109" s="22">
        <v>45959</v>
      </c>
      <c r="R109" s="7" t="s">
        <v>69</v>
      </c>
      <c r="S109" s="20">
        <v>-15000000</v>
      </c>
      <c r="T109" s="7" t="s">
        <v>362</v>
      </c>
      <c r="U109" t="s">
        <v>31</v>
      </c>
      <c r="V109">
        <f t="shared" si="2"/>
        <v>10</v>
      </c>
    </row>
    <row r="110" spans="1:22">
      <c r="A110" s="7" t="s">
        <v>9</v>
      </c>
      <c r="B110" s="7" t="s">
        <v>10</v>
      </c>
      <c r="C110" s="7" t="s">
        <v>363</v>
      </c>
      <c r="D110" s="7" t="s">
        <v>66</v>
      </c>
      <c r="E110" s="7" t="s">
        <v>364</v>
      </c>
      <c r="F110" s="7" t="s">
        <v>68</v>
      </c>
      <c r="G110" s="7" t="s">
        <v>69</v>
      </c>
      <c r="H110" s="20">
        <v>-13</v>
      </c>
      <c r="I110" s="7" t="s">
        <v>70</v>
      </c>
      <c r="J110" s="20">
        <v>-13</v>
      </c>
      <c r="K110" s="7" t="s">
        <v>70</v>
      </c>
      <c r="L110" s="7" t="s">
        <v>365</v>
      </c>
      <c r="M110" s="7" t="s">
        <v>366</v>
      </c>
      <c r="N110" s="21">
        <v>0.71846064814815003</v>
      </c>
      <c r="O110" s="7" t="s">
        <v>367</v>
      </c>
      <c r="P110" s="22">
        <v>45961</v>
      </c>
      <c r="Q110" s="22">
        <v>45961</v>
      </c>
      <c r="R110" s="7" t="s">
        <v>69</v>
      </c>
      <c r="S110" s="20">
        <v>-2157886</v>
      </c>
      <c r="T110" s="7" t="s">
        <v>368</v>
      </c>
      <c r="U110" t="s">
        <v>31</v>
      </c>
      <c r="V110">
        <f t="shared" si="2"/>
        <v>10</v>
      </c>
    </row>
    <row r="111" spans="1:22">
      <c r="A111" s="7" t="s">
        <v>9</v>
      </c>
      <c r="B111" s="7" t="s">
        <v>10</v>
      </c>
      <c r="C111" s="7" t="s">
        <v>65</v>
      </c>
      <c r="D111" s="7" t="s">
        <v>66</v>
      </c>
      <c r="E111" s="7" t="s">
        <v>352</v>
      </c>
      <c r="F111" s="7" t="s">
        <v>84</v>
      </c>
      <c r="G111" s="7" t="s">
        <v>69</v>
      </c>
      <c r="H111" s="20">
        <v>-20</v>
      </c>
      <c r="I111" s="7" t="s">
        <v>70</v>
      </c>
      <c r="J111" s="20">
        <v>-20</v>
      </c>
      <c r="K111" s="7" t="s">
        <v>70</v>
      </c>
      <c r="L111" s="7" t="s">
        <v>333</v>
      </c>
      <c r="M111" s="7" t="s">
        <v>69</v>
      </c>
      <c r="N111" s="21">
        <v>0.55965277777778</v>
      </c>
      <c r="O111" s="7" t="s">
        <v>301</v>
      </c>
      <c r="P111" s="22">
        <v>45937</v>
      </c>
      <c r="Q111" s="22">
        <v>45937</v>
      </c>
      <c r="R111" s="7" t="s">
        <v>69</v>
      </c>
      <c r="S111" s="20">
        <v>-3319825</v>
      </c>
      <c r="T111" s="7" t="s">
        <v>353</v>
      </c>
      <c r="U111" t="s">
        <v>30</v>
      </c>
      <c r="V111">
        <f t="shared" si="2"/>
        <v>10</v>
      </c>
    </row>
    <row r="112" spans="1:22">
      <c r="A112" s="7" t="s">
        <v>112</v>
      </c>
      <c r="B112" s="7" t="s">
        <v>113</v>
      </c>
      <c r="C112" s="7" t="s">
        <v>65</v>
      </c>
      <c r="D112" s="7" t="s">
        <v>66</v>
      </c>
      <c r="E112" s="7" t="s">
        <v>369</v>
      </c>
      <c r="F112" s="7" t="s">
        <v>68</v>
      </c>
      <c r="G112" s="7" t="s">
        <v>69</v>
      </c>
      <c r="H112" s="20">
        <v>-10</v>
      </c>
      <c r="I112" s="7" t="s">
        <v>70</v>
      </c>
      <c r="J112" s="20">
        <v>-10</v>
      </c>
      <c r="K112" s="7" t="s">
        <v>70</v>
      </c>
      <c r="L112" s="7" t="s">
        <v>333</v>
      </c>
      <c r="M112" s="7" t="s">
        <v>69</v>
      </c>
      <c r="N112" s="21">
        <v>0.69677083333333001</v>
      </c>
      <c r="O112" s="7" t="s">
        <v>301</v>
      </c>
      <c r="P112" s="22">
        <v>45953</v>
      </c>
      <c r="Q112" s="22">
        <v>45953</v>
      </c>
      <c r="R112" s="7" t="s">
        <v>69</v>
      </c>
      <c r="S112" s="20">
        <v>-1500021</v>
      </c>
      <c r="T112" s="7" t="s">
        <v>370</v>
      </c>
      <c r="U112" t="s">
        <v>30</v>
      </c>
      <c r="V112">
        <f t="shared" si="2"/>
        <v>10</v>
      </c>
    </row>
    <row r="113" spans="1:22">
      <c r="A113" s="7" t="s">
        <v>371</v>
      </c>
      <c r="B113" s="7" t="s">
        <v>372</v>
      </c>
      <c r="C113" s="7" t="s">
        <v>65</v>
      </c>
      <c r="D113" s="7" t="s">
        <v>66</v>
      </c>
      <c r="E113" s="7" t="s">
        <v>373</v>
      </c>
      <c r="F113" s="7" t="s">
        <v>68</v>
      </c>
      <c r="G113" s="7" t="s">
        <v>69</v>
      </c>
      <c r="H113" s="20">
        <v>-100</v>
      </c>
      <c r="I113" s="7" t="s">
        <v>70</v>
      </c>
      <c r="J113" s="20">
        <v>-100</v>
      </c>
      <c r="K113" s="7" t="s">
        <v>70</v>
      </c>
      <c r="L113" s="7" t="s">
        <v>333</v>
      </c>
      <c r="M113" s="7" t="s">
        <v>69</v>
      </c>
      <c r="N113" s="21">
        <v>0.55332175925925997</v>
      </c>
      <c r="O113" s="7" t="s">
        <v>344</v>
      </c>
      <c r="P113" s="22">
        <v>45952</v>
      </c>
      <c r="Q113" s="22">
        <v>45952</v>
      </c>
      <c r="R113" s="7" t="s">
        <v>69</v>
      </c>
      <c r="S113" s="20">
        <v>-17200000</v>
      </c>
      <c r="T113" s="7" t="s">
        <v>374</v>
      </c>
      <c r="U113" t="s">
        <v>31</v>
      </c>
      <c r="V113">
        <f t="shared" si="2"/>
        <v>10</v>
      </c>
    </row>
    <row r="114" spans="1:22">
      <c r="A114" s="7" t="s">
        <v>7</v>
      </c>
      <c r="B114" s="7" t="s">
        <v>8</v>
      </c>
      <c r="C114" s="7" t="s">
        <v>65</v>
      </c>
      <c r="D114" s="7" t="s">
        <v>66</v>
      </c>
      <c r="E114" s="7" t="s">
        <v>391</v>
      </c>
      <c r="F114" s="7" t="s">
        <v>68</v>
      </c>
      <c r="G114" s="7" t="s">
        <v>69</v>
      </c>
      <c r="H114" s="20">
        <v>-100</v>
      </c>
      <c r="I114" s="7" t="s">
        <v>70</v>
      </c>
      <c r="J114" s="20">
        <v>-100</v>
      </c>
      <c r="K114" s="7" t="s">
        <v>70</v>
      </c>
      <c r="L114" s="7" t="s">
        <v>333</v>
      </c>
      <c r="M114" s="7" t="s">
        <v>69</v>
      </c>
      <c r="N114" s="21">
        <v>0.68569444444444005</v>
      </c>
      <c r="O114" s="7" t="s">
        <v>392</v>
      </c>
      <c r="P114" s="22">
        <v>45982</v>
      </c>
      <c r="Q114" s="22">
        <v>45982</v>
      </c>
      <c r="R114" s="7" t="s">
        <v>69</v>
      </c>
      <c r="S114" s="20">
        <v>-16500113</v>
      </c>
      <c r="T114" s="7" t="s">
        <v>393</v>
      </c>
      <c r="U114" t="s">
        <v>30</v>
      </c>
      <c r="V114">
        <f t="shared" ref="V114:V115" si="3">+MONTH(P114)</f>
        <v>11</v>
      </c>
    </row>
    <row r="115" spans="1:22">
      <c r="A115" s="7" t="s">
        <v>7</v>
      </c>
      <c r="B115" s="7" t="s">
        <v>8</v>
      </c>
      <c r="C115" s="7" t="s">
        <v>65</v>
      </c>
      <c r="D115" s="7" t="s">
        <v>66</v>
      </c>
      <c r="E115" s="7" t="s">
        <v>394</v>
      </c>
      <c r="F115" s="7" t="s">
        <v>68</v>
      </c>
      <c r="G115" s="7" t="s">
        <v>69</v>
      </c>
      <c r="H115" s="20">
        <v>-20</v>
      </c>
      <c r="I115" s="7" t="s">
        <v>70</v>
      </c>
      <c r="J115" s="20">
        <v>-20</v>
      </c>
      <c r="K115" s="7" t="s">
        <v>70</v>
      </c>
      <c r="L115" s="7" t="s">
        <v>75</v>
      </c>
      <c r="M115" s="7" t="s">
        <v>69</v>
      </c>
      <c r="N115" s="21">
        <v>0.57320601851852004</v>
      </c>
      <c r="O115" s="7" t="s">
        <v>392</v>
      </c>
      <c r="P115" s="22">
        <v>45979</v>
      </c>
      <c r="Q115" s="22">
        <v>45979</v>
      </c>
      <c r="R115" s="7" t="s">
        <v>69</v>
      </c>
      <c r="S115" s="20">
        <v>-3300019</v>
      </c>
      <c r="T115" s="7" t="s">
        <v>395</v>
      </c>
      <c r="U115" t="s">
        <v>30</v>
      </c>
      <c r="V115">
        <f t="shared" si="3"/>
        <v>11</v>
      </c>
    </row>
    <row r="116" spans="1:22">
      <c r="A116" s="7" t="s">
        <v>13</v>
      </c>
      <c r="B116" s="7" t="s">
        <v>14</v>
      </c>
      <c r="C116" s="7" t="s">
        <v>65</v>
      </c>
      <c r="D116" s="7" t="s">
        <v>66</v>
      </c>
      <c r="E116" s="7" t="s">
        <v>396</v>
      </c>
      <c r="F116" s="7" t="s">
        <v>68</v>
      </c>
      <c r="G116" s="7" t="s">
        <v>69</v>
      </c>
      <c r="H116" s="20">
        <v>-200</v>
      </c>
      <c r="I116" s="7" t="s">
        <v>70</v>
      </c>
      <c r="J116" s="20">
        <v>-200</v>
      </c>
      <c r="K116" s="7" t="s">
        <v>70</v>
      </c>
      <c r="L116" s="7" t="s">
        <v>75</v>
      </c>
      <c r="M116" s="7" t="s">
        <v>69</v>
      </c>
      <c r="N116" s="21">
        <v>0.41635416666667002</v>
      </c>
      <c r="O116" s="7" t="s">
        <v>273</v>
      </c>
      <c r="P116" s="22">
        <v>45988</v>
      </c>
      <c r="Q116" s="22">
        <v>45988</v>
      </c>
      <c r="R116" s="7" t="s">
        <v>69</v>
      </c>
      <c r="S116" s="20">
        <v>-30320000</v>
      </c>
      <c r="T116" s="7" t="s">
        <v>397</v>
      </c>
      <c r="U116" t="s">
        <v>31</v>
      </c>
      <c r="V116">
        <f t="shared" ref="V116:V121" si="4">+MONTH(P116)</f>
        <v>11</v>
      </c>
    </row>
    <row r="117" spans="1:22">
      <c r="A117" s="7" t="s">
        <v>13</v>
      </c>
      <c r="B117" s="7" t="s">
        <v>14</v>
      </c>
      <c r="C117" s="7" t="s">
        <v>65</v>
      </c>
      <c r="D117" s="7" t="s">
        <v>66</v>
      </c>
      <c r="E117" s="7" t="s">
        <v>398</v>
      </c>
      <c r="F117" s="7" t="s">
        <v>68</v>
      </c>
      <c r="G117" s="7" t="s">
        <v>69</v>
      </c>
      <c r="H117" s="20">
        <v>-200</v>
      </c>
      <c r="I117" s="7" t="s">
        <v>70</v>
      </c>
      <c r="J117" s="20">
        <v>-200</v>
      </c>
      <c r="K117" s="7" t="s">
        <v>70</v>
      </c>
      <c r="L117" s="7" t="s">
        <v>333</v>
      </c>
      <c r="M117" s="7" t="s">
        <v>69</v>
      </c>
      <c r="N117" s="21">
        <v>0.50204861111110999</v>
      </c>
      <c r="O117" s="7" t="s">
        <v>344</v>
      </c>
      <c r="P117" s="22">
        <v>45979</v>
      </c>
      <c r="Q117" s="22">
        <v>45979</v>
      </c>
      <c r="R117" s="7" t="s">
        <v>69</v>
      </c>
      <c r="S117" s="20">
        <v>-30000000</v>
      </c>
      <c r="T117" s="7" t="s">
        <v>399</v>
      </c>
      <c r="U117" t="s">
        <v>31</v>
      </c>
      <c r="V117">
        <f t="shared" si="4"/>
        <v>11</v>
      </c>
    </row>
    <row r="118" spans="1:22">
      <c r="A118" s="7" t="s">
        <v>13</v>
      </c>
      <c r="B118" s="7" t="s">
        <v>14</v>
      </c>
      <c r="C118" s="7" t="s">
        <v>65</v>
      </c>
      <c r="D118" s="7" t="s">
        <v>66</v>
      </c>
      <c r="E118" s="7" t="s">
        <v>400</v>
      </c>
      <c r="F118" s="7" t="s">
        <v>68</v>
      </c>
      <c r="G118" s="7" t="s">
        <v>69</v>
      </c>
      <c r="H118" s="20">
        <v>-100</v>
      </c>
      <c r="I118" s="7" t="s">
        <v>70</v>
      </c>
      <c r="J118" s="20">
        <v>-100</v>
      </c>
      <c r="K118" s="7" t="s">
        <v>70</v>
      </c>
      <c r="L118" s="7" t="s">
        <v>333</v>
      </c>
      <c r="M118" s="7" t="s">
        <v>69</v>
      </c>
      <c r="N118" s="21">
        <v>0.47446759259259003</v>
      </c>
      <c r="O118" s="7" t="s">
        <v>344</v>
      </c>
      <c r="P118" s="22">
        <v>45974</v>
      </c>
      <c r="Q118" s="22">
        <v>45974</v>
      </c>
      <c r="R118" s="7" t="s">
        <v>69</v>
      </c>
      <c r="S118" s="20">
        <v>-15000000</v>
      </c>
      <c r="T118" s="7" t="s">
        <v>401</v>
      </c>
      <c r="U118" t="s">
        <v>31</v>
      </c>
      <c r="V118">
        <f t="shared" si="4"/>
        <v>11</v>
      </c>
    </row>
    <row r="119" spans="1:22">
      <c r="A119" s="7" t="s">
        <v>13</v>
      </c>
      <c r="B119" s="7" t="s">
        <v>14</v>
      </c>
      <c r="C119" s="7" t="s">
        <v>65</v>
      </c>
      <c r="D119" s="7" t="s">
        <v>66</v>
      </c>
      <c r="E119" s="7" t="s">
        <v>402</v>
      </c>
      <c r="F119" s="7" t="s">
        <v>68</v>
      </c>
      <c r="G119" s="7" t="s">
        <v>69</v>
      </c>
      <c r="H119" s="20">
        <v>-200</v>
      </c>
      <c r="I119" s="7" t="s">
        <v>70</v>
      </c>
      <c r="J119" s="20">
        <v>-200</v>
      </c>
      <c r="K119" s="7" t="s">
        <v>70</v>
      </c>
      <c r="L119" s="7" t="s">
        <v>333</v>
      </c>
      <c r="M119" s="7" t="s">
        <v>69</v>
      </c>
      <c r="N119" s="21">
        <v>0.60346064814815004</v>
      </c>
      <c r="O119" s="7" t="s">
        <v>344</v>
      </c>
      <c r="P119" s="22">
        <v>45969</v>
      </c>
      <c r="Q119" s="22">
        <v>45969</v>
      </c>
      <c r="R119" s="7" t="s">
        <v>69</v>
      </c>
      <c r="S119" s="20">
        <v>-30000000</v>
      </c>
      <c r="T119" s="7" t="s">
        <v>403</v>
      </c>
      <c r="U119" t="s">
        <v>31</v>
      </c>
      <c r="V119">
        <f t="shared" si="4"/>
        <v>11</v>
      </c>
    </row>
    <row r="120" spans="1:22">
      <c r="A120" s="7" t="s">
        <v>9</v>
      </c>
      <c r="B120" s="7" t="s">
        <v>10</v>
      </c>
      <c r="C120" s="7" t="s">
        <v>65</v>
      </c>
      <c r="D120" s="7" t="s">
        <v>66</v>
      </c>
      <c r="E120" s="7" t="s">
        <v>404</v>
      </c>
      <c r="F120" s="7" t="s">
        <v>68</v>
      </c>
      <c r="G120" s="7" t="s">
        <v>69</v>
      </c>
      <c r="H120" s="20">
        <v>-100</v>
      </c>
      <c r="I120" s="7" t="s">
        <v>70</v>
      </c>
      <c r="J120" s="20">
        <v>-100</v>
      </c>
      <c r="K120" s="7" t="s">
        <v>70</v>
      </c>
      <c r="L120" s="7" t="s">
        <v>333</v>
      </c>
      <c r="M120" s="7" t="s">
        <v>69</v>
      </c>
      <c r="N120" s="21">
        <v>0.36938657407407</v>
      </c>
      <c r="O120" s="7" t="s">
        <v>392</v>
      </c>
      <c r="P120" s="22">
        <v>45973</v>
      </c>
      <c r="Q120" s="22">
        <v>45973</v>
      </c>
      <c r="R120" s="7" t="s">
        <v>69</v>
      </c>
      <c r="S120" s="20">
        <v>-16545106</v>
      </c>
      <c r="T120" s="7" t="s">
        <v>405</v>
      </c>
      <c r="U120" t="s">
        <v>30</v>
      </c>
      <c r="V120">
        <f t="shared" si="4"/>
        <v>11</v>
      </c>
    </row>
    <row r="121" spans="1:22">
      <c r="A121" s="7" t="s">
        <v>112</v>
      </c>
      <c r="B121" s="7" t="s">
        <v>113</v>
      </c>
      <c r="C121" s="7" t="s">
        <v>65</v>
      </c>
      <c r="D121" s="7" t="s">
        <v>66</v>
      </c>
      <c r="E121" s="7" t="s">
        <v>406</v>
      </c>
      <c r="F121" s="7" t="s">
        <v>68</v>
      </c>
      <c r="G121" s="7" t="s">
        <v>69</v>
      </c>
      <c r="H121" s="20">
        <v>-10</v>
      </c>
      <c r="I121" s="7" t="s">
        <v>70</v>
      </c>
      <c r="J121" s="20">
        <v>-10</v>
      </c>
      <c r="K121" s="7" t="s">
        <v>70</v>
      </c>
      <c r="L121" s="7" t="s">
        <v>333</v>
      </c>
      <c r="M121" s="7" t="s">
        <v>69</v>
      </c>
      <c r="N121" s="21">
        <v>0.40812500000000002</v>
      </c>
      <c r="O121" s="7" t="s">
        <v>392</v>
      </c>
      <c r="P121" s="22">
        <v>45966</v>
      </c>
      <c r="Q121" s="22">
        <v>45966</v>
      </c>
      <c r="R121" s="7" t="s">
        <v>69</v>
      </c>
      <c r="S121" s="20">
        <v>-1500021</v>
      </c>
      <c r="T121" s="7" t="s">
        <v>407</v>
      </c>
      <c r="U121" t="s">
        <v>30</v>
      </c>
      <c r="V121">
        <f t="shared" si="4"/>
        <v>11</v>
      </c>
    </row>
  </sheetData>
  <autoFilter ref="A1:V121" xr:uid="{D21633B8-FE53-4560-BDFA-8DDC8C3611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5A24-4D00-4698-95C3-4513731C7304}">
  <dimension ref="A2:AG50"/>
  <sheetViews>
    <sheetView workbookViewId="0">
      <pane xSplit="6" ySplit="3" topLeftCell="N4" activePane="bottomRight" state="frozen"/>
      <selection activeCell="B1" sqref="B1"/>
      <selection pane="topRight" activeCell="B1" sqref="B1"/>
      <selection pane="bottomLeft" activeCell="B1" sqref="B1"/>
      <selection pane="bottomRight" activeCell="Y20" sqref="Y20"/>
    </sheetView>
  </sheetViews>
  <sheetFormatPr defaultColWidth="8.85546875" defaultRowHeight="15" outlineLevelCol="1"/>
  <cols>
    <col min="1" max="1" width="10.140625" style="8" hidden="1" customWidth="1" outlineLevel="1"/>
    <col min="2" max="2" width="0" style="8" hidden="1" customWidth="1" outlineLevel="1"/>
    <col min="3" max="3" width="14.85546875" style="8" hidden="1" customWidth="1" outlineLevel="1"/>
    <col min="4" max="4" width="22.42578125" style="8" hidden="1" customWidth="1" outlineLevel="1"/>
    <col min="5" max="5" width="15.42578125" style="8" hidden="1" customWidth="1" outlineLevel="1"/>
    <col min="6" max="6" width="0" style="8" hidden="1" customWidth="1" outlineLevel="1"/>
    <col min="7" max="7" width="10.42578125" style="8" hidden="1" customWidth="1" outlineLevel="1"/>
    <col min="8" max="8" width="27.140625" style="8" hidden="1" customWidth="1" outlineLevel="1"/>
    <col min="9" max="19" width="11.42578125" style="8" hidden="1" customWidth="1" outlineLevel="1"/>
    <col min="20" max="20" width="8.85546875" style="8" collapsed="1"/>
    <col min="21" max="21" width="10.42578125" style="8" bestFit="1" customWidth="1"/>
    <col min="22" max="33" width="11.7109375" style="8" bestFit="1" customWidth="1"/>
    <col min="34" max="16384" width="8.85546875" style="8"/>
  </cols>
  <sheetData>
    <row r="2" spans="1:33"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33">
      <c r="A3" s="9" t="s">
        <v>22</v>
      </c>
      <c r="B3" s="9" t="s">
        <v>23</v>
      </c>
      <c r="C3" s="9" t="s">
        <v>24</v>
      </c>
      <c r="D3" s="9" t="s">
        <v>25</v>
      </c>
      <c r="E3" s="9" t="s">
        <v>44</v>
      </c>
      <c r="F3" s="9"/>
      <c r="G3" s="9" t="s">
        <v>26</v>
      </c>
      <c r="H3" s="17">
        <v>12</v>
      </c>
      <c r="I3" s="17">
        <v>1</v>
      </c>
      <c r="J3" s="17">
        <v>2</v>
      </c>
      <c r="K3" s="17">
        <v>3</v>
      </c>
      <c r="L3" s="17">
        <v>4</v>
      </c>
      <c r="M3" s="17">
        <v>5</v>
      </c>
      <c r="N3" s="17">
        <v>6</v>
      </c>
      <c r="O3" s="17">
        <v>7</v>
      </c>
      <c r="P3" s="17">
        <v>8</v>
      </c>
      <c r="Q3" s="17">
        <v>9</v>
      </c>
      <c r="R3" s="17">
        <v>10</v>
      </c>
      <c r="S3" s="17">
        <v>11</v>
      </c>
      <c r="T3" s="10"/>
      <c r="U3" s="9" t="s">
        <v>27</v>
      </c>
      <c r="V3" s="17">
        <v>12</v>
      </c>
      <c r="W3" s="17">
        <v>1</v>
      </c>
      <c r="X3" s="17">
        <v>2</v>
      </c>
      <c r="Y3" s="17">
        <v>3</v>
      </c>
      <c r="Z3" s="17">
        <v>4</v>
      </c>
      <c r="AA3" s="17">
        <v>5</v>
      </c>
      <c r="AB3" s="17">
        <v>6</v>
      </c>
      <c r="AC3" s="17">
        <v>7</v>
      </c>
      <c r="AD3" s="17">
        <v>8</v>
      </c>
      <c r="AE3" s="17">
        <v>9</v>
      </c>
      <c r="AF3" s="17">
        <v>10</v>
      </c>
      <c r="AG3" s="17">
        <v>11</v>
      </c>
    </row>
    <row r="4" spans="1:33">
      <c r="A4" s="11" t="s">
        <v>28</v>
      </c>
      <c r="B4" s="11">
        <v>15</v>
      </c>
      <c r="C4" s="12">
        <v>101.102</v>
      </c>
      <c r="D4" s="11" t="s">
        <v>29</v>
      </c>
      <c r="E4" s="11" t="s">
        <v>30</v>
      </c>
      <c r="F4" s="11" t="s">
        <v>34</v>
      </c>
      <c r="G4" s="11">
        <v>1</v>
      </c>
      <c r="H4" s="13">
        <v>3961871</v>
      </c>
      <c r="I4" s="13">
        <v>1738459</v>
      </c>
      <c r="J4" s="13">
        <v>2445384</v>
      </c>
      <c r="K4" s="13">
        <v>4442551</v>
      </c>
      <c r="L4" s="13">
        <v>6862672</v>
      </c>
      <c r="M4" s="13">
        <v>5306774</v>
      </c>
      <c r="N4" s="13">
        <v>4838797</v>
      </c>
      <c r="O4" s="13">
        <v>4960857.3999999994</v>
      </c>
      <c r="P4" s="13">
        <v>6387095.7999999998</v>
      </c>
      <c r="Q4" s="13">
        <v>3951380.8</v>
      </c>
      <c r="R4" s="13">
        <v>3368534.8</v>
      </c>
      <c r="S4" s="13">
        <v>3304076.6</v>
      </c>
      <c r="T4" s="10"/>
      <c r="U4" s="14" t="s">
        <v>31</v>
      </c>
      <c r="V4" s="13">
        <f t="shared" ref="V4:AE6" si="0">H24</f>
        <v>14174800.174999999</v>
      </c>
      <c r="W4" s="13">
        <f t="shared" si="0"/>
        <v>6156880.5135000004</v>
      </c>
      <c r="X4" s="13">
        <f t="shared" si="0"/>
        <v>11625706.659</v>
      </c>
      <c r="Y4" s="13">
        <f t="shared" si="0"/>
        <v>15651243.3345</v>
      </c>
      <c r="Z4" s="13">
        <f t="shared" si="0"/>
        <v>13685272.416999999</v>
      </c>
      <c r="AA4" s="13">
        <f t="shared" si="0"/>
        <v>16799209.114500001</v>
      </c>
      <c r="AB4" s="13">
        <f t="shared" si="0"/>
        <v>14910407.833000001</v>
      </c>
      <c r="AC4" s="13">
        <f t="shared" si="0"/>
        <v>15756919.282000002</v>
      </c>
      <c r="AD4" s="13">
        <f t="shared" si="0"/>
        <v>16518573.199999999</v>
      </c>
      <c r="AE4" s="13">
        <f t="shared" si="0"/>
        <v>15772913</v>
      </c>
      <c r="AF4" s="13">
        <f t="shared" ref="AF4:AG6" si="1">R24</f>
        <v>14483331.719000001</v>
      </c>
      <c r="AG4" s="13">
        <f t="shared" si="1"/>
        <v>11063404.343500001</v>
      </c>
    </row>
    <row r="5" spans="1:33">
      <c r="A5" s="52" t="s">
        <v>28</v>
      </c>
      <c r="B5" s="52">
        <v>15</v>
      </c>
      <c r="C5" s="53">
        <v>261.262</v>
      </c>
      <c r="D5" s="52" t="s">
        <v>32</v>
      </c>
      <c r="E5" s="52" t="s">
        <v>31</v>
      </c>
      <c r="F5" s="52" t="s">
        <v>34</v>
      </c>
      <c r="G5" s="52">
        <v>-1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10"/>
      <c r="U5" s="14" t="s">
        <v>33</v>
      </c>
      <c r="V5" s="13">
        <f t="shared" si="0"/>
        <v>1673086.2000000002</v>
      </c>
      <c r="W5" s="13">
        <f t="shared" si="0"/>
        <v>1192587</v>
      </c>
      <c r="X5" s="13">
        <f t="shared" si="0"/>
        <v>1491413.9499999997</v>
      </c>
      <c r="Y5" s="13">
        <f t="shared" si="0"/>
        <v>2255656</v>
      </c>
      <c r="Z5" s="13">
        <f t="shared" si="0"/>
        <v>1863125.1500000001</v>
      </c>
      <c r="AA5" s="13">
        <f t="shared" si="0"/>
        <v>1954624.4449999928</v>
      </c>
      <c r="AB5" s="13">
        <f t="shared" si="0"/>
        <v>2011950.9000000001</v>
      </c>
      <c r="AC5" s="13">
        <f t="shared" si="0"/>
        <v>1954263.7599999998</v>
      </c>
      <c r="AD5" s="13">
        <f t="shared" si="0"/>
        <v>2202764.33</v>
      </c>
      <c r="AE5" s="13">
        <f t="shared" si="0"/>
        <v>1687519.517</v>
      </c>
      <c r="AF5" s="13">
        <f t="shared" si="1"/>
        <v>1675306.4</v>
      </c>
      <c r="AG5" s="13">
        <f t="shared" si="1"/>
        <v>1445027.2</v>
      </c>
    </row>
    <row r="6" spans="1:33">
      <c r="A6" s="52" t="s">
        <v>28</v>
      </c>
      <c r="B6" s="52">
        <v>15</v>
      </c>
      <c r="C6" s="53">
        <v>261.262</v>
      </c>
      <c r="D6" s="52" t="s">
        <v>32</v>
      </c>
      <c r="E6" s="52" t="s">
        <v>33</v>
      </c>
      <c r="F6" s="52" t="s">
        <v>34</v>
      </c>
      <c r="G6" s="52">
        <v>-1</v>
      </c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10"/>
      <c r="U6" s="73" t="s">
        <v>34</v>
      </c>
      <c r="V6" s="74">
        <f t="shared" si="0"/>
        <v>19677153.359999999</v>
      </c>
      <c r="W6" s="74">
        <f t="shared" si="0"/>
        <v>11267192.828499999</v>
      </c>
      <c r="X6" s="74">
        <f t="shared" si="0"/>
        <v>19802338.658999998</v>
      </c>
      <c r="Y6" s="74">
        <f t="shared" si="0"/>
        <v>23149935.647500001</v>
      </c>
      <c r="Z6" s="74">
        <f t="shared" si="0"/>
        <v>22007215.623999998</v>
      </c>
      <c r="AA6" s="74">
        <f t="shared" si="0"/>
        <v>23512455.714500003</v>
      </c>
      <c r="AB6" s="74">
        <f t="shared" si="0"/>
        <v>21092222.633000001</v>
      </c>
      <c r="AC6" s="74">
        <f t="shared" si="0"/>
        <v>22547363.581999999</v>
      </c>
      <c r="AD6" s="74">
        <f t="shared" si="0"/>
        <v>25619450.349999998</v>
      </c>
      <c r="AE6" s="74">
        <f t="shared" si="0"/>
        <v>20173860.055</v>
      </c>
      <c r="AF6" s="74">
        <f t="shared" si="1"/>
        <v>18752543.068999998</v>
      </c>
      <c r="AG6" s="74">
        <f t="shared" si="1"/>
        <v>16103636.093500001</v>
      </c>
    </row>
    <row r="7" spans="1:33">
      <c r="A7" s="11" t="s">
        <v>35</v>
      </c>
      <c r="B7" s="11">
        <v>16</v>
      </c>
      <c r="C7" s="12" t="s">
        <v>36</v>
      </c>
      <c r="D7" s="11" t="s">
        <v>37</v>
      </c>
      <c r="E7" s="11" t="s">
        <v>31</v>
      </c>
      <c r="F7" s="83" t="s">
        <v>31</v>
      </c>
      <c r="G7" s="83">
        <v>1</v>
      </c>
      <c r="H7" s="84">
        <v>7313025.1299999999</v>
      </c>
      <c r="I7" s="84">
        <v>3451861</v>
      </c>
      <c r="J7" s="84">
        <v>5540608</v>
      </c>
      <c r="K7" s="84">
        <v>7116802.9000000004</v>
      </c>
      <c r="L7" s="84">
        <v>6506893</v>
      </c>
      <c r="M7" s="84">
        <v>8285717</v>
      </c>
      <c r="N7" s="84">
        <v>7250086</v>
      </c>
      <c r="O7" s="84">
        <v>6837084.7999999998</v>
      </c>
      <c r="P7" s="84">
        <v>7557124</v>
      </c>
      <c r="Q7" s="84">
        <v>8094452.5</v>
      </c>
      <c r="R7" s="84">
        <v>8500015.4000000004</v>
      </c>
      <c r="S7" s="84">
        <v>6629314.2999999998</v>
      </c>
      <c r="T7" s="10"/>
      <c r="U7" s="9" t="s">
        <v>38</v>
      </c>
      <c r="V7" s="15">
        <f t="shared" ref="V7:AF7" si="2">SUM(V4:V6)</f>
        <v>35525039.734999999</v>
      </c>
      <c r="W7" s="15">
        <f t="shared" si="2"/>
        <v>18616660.342</v>
      </c>
      <c r="X7" s="15">
        <f t="shared" si="2"/>
        <v>32919459.267999999</v>
      </c>
      <c r="Y7" s="15">
        <f t="shared" si="2"/>
        <v>41056834.982000001</v>
      </c>
      <c r="Z7" s="15">
        <f t="shared" si="2"/>
        <v>37555613.191</v>
      </c>
      <c r="AA7" s="15">
        <f t="shared" si="2"/>
        <v>42266289.273999996</v>
      </c>
      <c r="AB7" s="15">
        <f t="shared" si="2"/>
        <v>38014581.365999997</v>
      </c>
      <c r="AC7" s="15">
        <f t="shared" si="2"/>
        <v>40258546.623999998</v>
      </c>
      <c r="AD7" s="15">
        <f t="shared" si="2"/>
        <v>44340787.879999995</v>
      </c>
      <c r="AE7" s="15">
        <f t="shared" ref="AE7" si="3">SUM(AE4:AE6)</f>
        <v>37634292.571999997</v>
      </c>
      <c r="AF7" s="15">
        <f t="shared" si="2"/>
        <v>34911181.188000001</v>
      </c>
      <c r="AG7" s="15">
        <f t="shared" ref="AG7" si="4">SUM(AG4:AG6)</f>
        <v>28612067.637000002</v>
      </c>
    </row>
    <row r="8" spans="1:33">
      <c r="A8" s="11" t="s">
        <v>35</v>
      </c>
      <c r="B8" s="11">
        <v>16</v>
      </c>
      <c r="C8" s="12" t="s">
        <v>36</v>
      </c>
      <c r="D8" s="11" t="s">
        <v>37</v>
      </c>
      <c r="E8" s="11" t="s">
        <v>33</v>
      </c>
      <c r="F8" s="83" t="s">
        <v>33</v>
      </c>
      <c r="G8" s="83">
        <v>1</v>
      </c>
      <c r="H8" s="84">
        <v>1126765.6000000001</v>
      </c>
      <c r="I8" s="84">
        <v>798579.5</v>
      </c>
      <c r="J8" s="84">
        <v>914429.94999999972</v>
      </c>
      <c r="K8" s="84">
        <v>1204215</v>
      </c>
      <c r="L8" s="84">
        <v>1136962.6500000001</v>
      </c>
      <c r="M8" s="84">
        <v>1101884.4449999928</v>
      </c>
      <c r="N8" s="84">
        <v>1197722.9000000001</v>
      </c>
      <c r="O8" s="84">
        <v>1182805.0599999998</v>
      </c>
      <c r="P8" s="84">
        <v>1218321.33</v>
      </c>
      <c r="Q8" s="84">
        <v>844641.11700000009</v>
      </c>
      <c r="R8" s="84">
        <v>1078550</v>
      </c>
      <c r="S8" s="84">
        <v>943586.39999999991</v>
      </c>
      <c r="T8" s="72"/>
      <c r="U8" s="10"/>
      <c r="V8" s="10"/>
    </row>
    <row r="9" spans="1:33">
      <c r="A9" s="11" t="s">
        <v>35</v>
      </c>
      <c r="B9" s="11">
        <v>16</v>
      </c>
      <c r="C9" s="12">
        <v>101.102</v>
      </c>
      <c r="D9" s="11" t="s">
        <v>349</v>
      </c>
      <c r="E9" s="11" t="s">
        <v>30</v>
      </c>
      <c r="F9" s="11" t="s">
        <v>34</v>
      </c>
      <c r="G9" s="11">
        <v>1</v>
      </c>
      <c r="H9" s="13">
        <v>475725</v>
      </c>
      <c r="I9" s="13">
        <v>287311</v>
      </c>
      <c r="J9" s="13">
        <v>238920</v>
      </c>
      <c r="K9" s="13">
        <v>217196</v>
      </c>
      <c r="L9" s="13">
        <v>162300</v>
      </c>
      <c r="M9" s="13">
        <v>0</v>
      </c>
      <c r="N9" s="13">
        <v>14351</v>
      </c>
      <c r="O9" s="13">
        <v>0</v>
      </c>
      <c r="P9" s="13">
        <v>3140</v>
      </c>
      <c r="Q9" s="13">
        <v>1210</v>
      </c>
      <c r="R9" s="13">
        <v>995</v>
      </c>
      <c r="S9" s="13">
        <v>919.8</v>
      </c>
      <c r="T9" s="10"/>
      <c r="U9" s="9" t="s">
        <v>27</v>
      </c>
      <c r="V9" s="17">
        <v>12</v>
      </c>
      <c r="W9" s="17">
        <v>1</v>
      </c>
      <c r="X9" s="17">
        <v>2</v>
      </c>
      <c r="Y9" s="17">
        <v>3</v>
      </c>
      <c r="Z9" s="17">
        <v>4</v>
      </c>
      <c r="AA9" s="17">
        <v>5</v>
      </c>
      <c r="AB9" s="17">
        <v>6</v>
      </c>
      <c r="AC9" s="17">
        <v>7</v>
      </c>
      <c r="AD9" s="17">
        <v>8</v>
      </c>
      <c r="AE9" s="17">
        <v>9</v>
      </c>
      <c r="AF9" s="17">
        <v>10</v>
      </c>
      <c r="AG9" s="17">
        <v>11</v>
      </c>
    </row>
    <row r="10" spans="1:33">
      <c r="A10" s="11" t="s">
        <v>35</v>
      </c>
      <c r="B10" s="11">
        <v>16</v>
      </c>
      <c r="C10" s="12">
        <v>261.262</v>
      </c>
      <c r="D10" s="11" t="s">
        <v>39</v>
      </c>
      <c r="E10" s="11" t="s">
        <v>30</v>
      </c>
      <c r="F10" s="11" t="s">
        <v>34</v>
      </c>
      <c r="G10" s="11">
        <v>-1</v>
      </c>
      <c r="H10" s="13">
        <v>7873229.6150000002</v>
      </c>
      <c r="I10" s="13">
        <v>4396854.0149999997</v>
      </c>
      <c r="J10" s="13">
        <v>7533476</v>
      </c>
      <c r="K10" s="13">
        <v>8873026.313000001</v>
      </c>
      <c r="L10" s="13">
        <v>6912984.2069999995</v>
      </c>
      <c r="M10" s="13">
        <v>8721019.8000000007</v>
      </c>
      <c r="N10" s="13">
        <v>7845229.5500000007</v>
      </c>
      <c r="O10" s="13">
        <v>7688039.2000000002</v>
      </c>
      <c r="P10" s="13">
        <v>7870430.3499999996</v>
      </c>
      <c r="Q10" s="13">
        <v>8935181.0549999997</v>
      </c>
      <c r="R10" s="13">
        <v>8445398.6500000004</v>
      </c>
      <c r="S10" s="13">
        <v>6995720.5999999996</v>
      </c>
      <c r="T10" s="72"/>
      <c r="U10" s="14" t="s">
        <v>31</v>
      </c>
      <c r="V10" s="13">
        <f>+V4/10^3</f>
        <v>14174.800174999998</v>
      </c>
      <c r="W10" s="13">
        <f t="shared" ref="W10:AA10" si="5">+W4/10^3</f>
        <v>6156.8805135000002</v>
      </c>
      <c r="X10" s="13">
        <f t="shared" si="5"/>
        <v>11625.706658999999</v>
      </c>
      <c r="Y10" s="13">
        <f t="shared" si="5"/>
        <v>15651.243334499999</v>
      </c>
      <c r="Z10" s="13">
        <f t="shared" si="5"/>
        <v>13685.272417</v>
      </c>
      <c r="AA10" s="13">
        <f t="shared" si="5"/>
        <v>16799.209114500001</v>
      </c>
      <c r="AB10" s="13">
        <f t="shared" ref="AB10:AF10" si="6">+AB4/10^3</f>
        <v>14910.407833000001</v>
      </c>
      <c r="AC10" s="13">
        <f t="shared" si="6"/>
        <v>15756.919282000001</v>
      </c>
      <c r="AD10" s="13">
        <f t="shared" si="6"/>
        <v>16518.573199999999</v>
      </c>
      <c r="AE10" s="13">
        <f t="shared" ref="AE10" si="7">+AE4/10^3</f>
        <v>15772.913</v>
      </c>
      <c r="AF10" s="13">
        <f t="shared" si="6"/>
        <v>14483.331719</v>
      </c>
      <c r="AG10" s="13">
        <f t="shared" ref="AG10" si="8">+AG4/10^3</f>
        <v>11063.404343500002</v>
      </c>
    </row>
    <row r="11" spans="1:33">
      <c r="A11" s="11" t="s">
        <v>35</v>
      </c>
      <c r="B11" s="11">
        <v>16</v>
      </c>
      <c r="C11" s="12">
        <v>601.60199999999998</v>
      </c>
      <c r="D11" s="11" t="s">
        <v>348</v>
      </c>
      <c r="E11" s="11" t="s">
        <v>30</v>
      </c>
      <c r="F11" s="11" t="s">
        <v>34</v>
      </c>
      <c r="G11" s="11">
        <v>-1</v>
      </c>
      <c r="H11" s="13">
        <v>299294</v>
      </c>
      <c r="I11" s="13">
        <v>34891</v>
      </c>
      <c r="J11" s="13">
        <v>23538</v>
      </c>
      <c r="K11" s="13">
        <v>179048</v>
      </c>
      <c r="L11" s="13">
        <v>86842</v>
      </c>
      <c r="M11" s="13">
        <v>120276</v>
      </c>
      <c r="N11" s="13">
        <v>123284</v>
      </c>
      <c r="O11" s="13">
        <v>73361</v>
      </c>
      <c r="P11" s="13">
        <v>387520</v>
      </c>
      <c r="Q11" s="13">
        <v>206785</v>
      </c>
      <c r="R11" s="13">
        <v>37569</v>
      </c>
      <c r="S11" s="13">
        <v>371113</v>
      </c>
      <c r="T11" s="10"/>
      <c r="U11" s="14" t="s">
        <v>33</v>
      </c>
      <c r="V11" s="13">
        <f t="shared" ref="V11:AA11" si="9">+V5/10^3</f>
        <v>1673.0862000000002</v>
      </c>
      <c r="W11" s="13">
        <f t="shared" si="9"/>
        <v>1192.587</v>
      </c>
      <c r="X11" s="13">
        <f t="shared" si="9"/>
        <v>1491.4139499999997</v>
      </c>
      <c r="Y11" s="13">
        <f t="shared" si="9"/>
        <v>2255.6559999999999</v>
      </c>
      <c r="Z11" s="13">
        <f t="shared" si="9"/>
        <v>1863.1251500000001</v>
      </c>
      <c r="AA11" s="13">
        <f t="shared" si="9"/>
        <v>1954.6244449999929</v>
      </c>
      <c r="AB11" s="13">
        <f t="shared" ref="AB11:AF11" si="10">+AB5/10^3</f>
        <v>2011.9509</v>
      </c>
      <c r="AC11" s="13">
        <f t="shared" si="10"/>
        <v>1954.2637599999998</v>
      </c>
      <c r="AD11" s="13">
        <f t="shared" si="10"/>
        <v>2202.76433</v>
      </c>
      <c r="AE11" s="13">
        <f t="shared" ref="AE11" si="11">+AE5/10^3</f>
        <v>1687.519517</v>
      </c>
      <c r="AF11" s="13">
        <f t="shared" si="10"/>
        <v>1675.3063999999999</v>
      </c>
      <c r="AG11" s="13">
        <f t="shared" ref="AG11" si="12">+AG5/10^3</f>
        <v>1445.0272</v>
      </c>
    </row>
    <row r="12" spans="1:33">
      <c r="A12" s="11" t="s">
        <v>41</v>
      </c>
      <c r="B12" s="11">
        <v>11</v>
      </c>
      <c r="C12" s="12" t="s">
        <v>36</v>
      </c>
      <c r="D12" s="11" t="s">
        <v>42</v>
      </c>
      <c r="E12" s="11" t="s">
        <v>31</v>
      </c>
      <c r="F12" s="83" t="s">
        <v>31</v>
      </c>
      <c r="G12" s="83">
        <v>1</v>
      </c>
      <c r="H12" s="84">
        <v>4887073</v>
      </c>
      <c r="I12" s="84">
        <v>1920685</v>
      </c>
      <c r="J12" s="84">
        <v>4950465</v>
      </c>
      <c r="K12" s="84">
        <v>6467167.5999999996</v>
      </c>
      <c r="L12" s="84">
        <v>4690966</v>
      </c>
      <c r="M12" s="84">
        <v>5934361</v>
      </c>
      <c r="N12" s="84">
        <v>5328528</v>
      </c>
      <c r="O12" s="84">
        <v>6569633.5</v>
      </c>
      <c r="P12" s="84">
        <v>6296998.2000000002</v>
      </c>
      <c r="Q12" s="84">
        <v>5348960</v>
      </c>
      <c r="R12" s="84">
        <v>3838712</v>
      </c>
      <c r="S12" s="84">
        <v>2833808</v>
      </c>
      <c r="T12" s="10"/>
      <c r="U12" s="14" t="s">
        <v>34</v>
      </c>
      <c r="V12" s="13">
        <f t="shared" ref="V12:AA12" si="13">+V6/10^3</f>
        <v>19677.15336</v>
      </c>
      <c r="W12" s="13">
        <f t="shared" si="13"/>
        <v>11267.192828499999</v>
      </c>
      <c r="X12" s="13">
        <f t="shared" si="13"/>
        <v>19802.338658999997</v>
      </c>
      <c r="Y12" s="13">
        <f t="shared" si="13"/>
        <v>23149.935647500002</v>
      </c>
      <c r="Z12" s="13">
        <f t="shared" si="13"/>
        <v>22007.215623999997</v>
      </c>
      <c r="AA12" s="13">
        <f t="shared" si="13"/>
        <v>23512.455714500004</v>
      </c>
      <c r="AB12" s="13">
        <f t="shared" ref="AB12:AF12" si="14">+AB6/10^3</f>
        <v>21092.222633000001</v>
      </c>
      <c r="AC12" s="13">
        <f t="shared" si="14"/>
        <v>22547.363581999998</v>
      </c>
      <c r="AD12" s="13">
        <f t="shared" si="14"/>
        <v>25619.450349999999</v>
      </c>
      <c r="AE12" s="13">
        <f t="shared" ref="AE12" si="15">+AE6/10^3</f>
        <v>20173.860055000001</v>
      </c>
      <c r="AF12" s="13">
        <f t="shared" si="14"/>
        <v>18752.543068999999</v>
      </c>
      <c r="AG12" s="13">
        <f t="shared" ref="AG12" si="16">+AG6/10^3</f>
        <v>16103.636093500001</v>
      </c>
    </row>
    <row r="13" spans="1:33">
      <c r="A13" s="11" t="s">
        <v>41</v>
      </c>
      <c r="B13" s="11">
        <v>11</v>
      </c>
      <c r="C13" s="12" t="s">
        <v>36</v>
      </c>
      <c r="D13" s="11" t="s">
        <v>42</v>
      </c>
      <c r="E13" s="11" t="s">
        <v>33</v>
      </c>
      <c r="F13" s="83" t="s">
        <v>33</v>
      </c>
      <c r="G13" s="83">
        <v>1</v>
      </c>
      <c r="H13" s="84">
        <v>515147.1</v>
      </c>
      <c r="I13" s="84">
        <v>361774</v>
      </c>
      <c r="J13" s="84">
        <v>517231.5</v>
      </c>
      <c r="K13" s="84">
        <v>994141</v>
      </c>
      <c r="L13" s="84">
        <v>678408.5</v>
      </c>
      <c r="M13" s="84">
        <v>792002</v>
      </c>
      <c r="N13" s="84">
        <v>575008</v>
      </c>
      <c r="O13" s="84">
        <v>712155</v>
      </c>
      <c r="P13" s="84">
        <v>818281</v>
      </c>
      <c r="Q13" s="84">
        <v>818860</v>
      </c>
      <c r="R13" s="84">
        <v>553122</v>
      </c>
      <c r="S13" s="84">
        <v>479302</v>
      </c>
      <c r="T13" s="10"/>
      <c r="U13" s="9" t="s">
        <v>38</v>
      </c>
      <c r="V13" s="15">
        <f>SUM(V10:V12)</f>
        <v>35525.039734999998</v>
      </c>
      <c r="W13" s="15">
        <f t="shared" ref="W13:AA13" si="17">SUM(W10:W12)</f>
        <v>18616.660341999999</v>
      </c>
      <c r="X13" s="15">
        <f t="shared" si="17"/>
        <v>32919.459267999999</v>
      </c>
      <c r="Y13" s="15">
        <f t="shared" si="17"/>
        <v>41056.834982</v>
      </c>
      <c r="Z13" s="15">
        <f t="shared" si="17"/>
        <v>37555.613190999997</v>
      </c>
      <c r="AA13" s="15">
        <f t="shared" si="17"/>
        <v>42266.289273999995</v>
      </c>
      <c r="AB13" s="15">
        <f t="shared" ref="AB13:AF13" si="18">SUM(AB10:AB12)</f>
        <v>38014.581365999999</v>
      </c>
      <c r="AC13" s="15">
        <f t="shared" si="18"/>
        <v>40258.546623999995</v>
      </c>
      <c r="AD13" s="15">
        <f t="shared" si="18"/>
        <v>44340.787879999996</v>
      </c>
      <c r="AE13" s="15">
        <f t="shared" ref="AE13" si="19">SUM(AE10:AE12)</f>
        <v>37634.292572000006</v>
      </c>
      <c r="AF13" s="15">
        <f t="shared" si="18"/>
        <v>34911.181188000002</v>
      </c>
      <c r="AG13" s="15">
        <f t="shared" ref="AG13" si="20">SUM(AG10:AG12)</f>
        <v>28612.067637000004</v>
      </c>
    </row>
    <row r="14" spans="1:33">
      <c r="A14" s="11" t="s">
        <v>41</v>
      </c>
      <c r="B14" s="11">
        <v>11</v>
      </c>
      <c r="C14" s="12">
        <v>261.262</v>
      </c>
      <c r="D14" s="11" t="s">
        <v>43</v>
      </c>
      <c r="E14" s="11" t="s">
        <v>30</v>
      </c>
      <c r="F14" s="11" t="s">
        <v>34</v>
      </c>
      <c r="G14" s="11">
        <v>-1</v>
      </c>
      <c r="H14" s="13">
        <v>1977050.2000000002</v>
      </c>
      <c r="I14" s="13">
        <v>491209.79999999993</v>
      </c>
      <c r="J14" s="13">
        <v>2493749.5</v>
      </c>
      <c r="K14" s="13">
        <v>2725816.5</v>
      </c>
      <c r="L14" s="13">
        <v>1389994.1</v>
      </c>
      <c r="M14" s="13">
        <v>2020752.8</v>
      </c>
      <c r="N14" s="13">
        <v>1747733.05</v>
      </c>
      <c r="O14" s="13">
        <v>2795746.3000000003</v>
      </c>
      <c r="P14" s="13">
        <v>2634111.2000000002</v>
      </c>
      <c r="Q14" s="13">
        <v>1663506.3</v>
      </c>
      <c r="R14" s="13">
        <v>1312086.8999999999</v>
      </c>
      <c r="S14" s="13">
        <v>1054270.25</v>
      </c>
      <c r="T14" s="10"/>
      <c r="U14" s="10"/>
      <c r="V14" s="10"/>
    </row>
    <row r="15" spans="1:33">
      <c r="A15" s="11" t="s">
        <v>41</v>
      </c>
      <c r="B15" s="11">
        <v>11</v>
      </c>
      <c r="C15" s="12">
        <v>601.60199999999998</v>
      </c>
      <c r="D15" s="11" t="s">
        <v>40</v>
      </c>
      <c r="E15" s="11" t="s">
        <v>30</v>
      </c>
      <c r="F15" s="11" t="s">
        <v>34</v>
      </c>
      <c r="G15" s="11">
        <v>-1</v>
      </c>
      <c r="H15" s="13">
        <v>3084108</v>
      </c>
      <c r="I15" s="13">
        <v>3501900</v>
      </c>
      <c r="J15" s="13">
        <v>5872885</v>
      </c>
      <c r="K15" s="13">
        <v>4587725</v>
      </c>
      <c r="L15" s="13">
        <v>4057255.9</v>
      </c>
      <c r="M15" s="13">
        <v>4703764</v>
      </c>
      <c r="N15" s="13">
        <v>3951814.2</v>
      </c>
      <c r="O15" s="13">
        <v>4619855</v>
      </c>
      <c r="P15" s="13">
        <v>5506540</v>
      </c>
      <c r="Q15" s="13">
        <v>3062278</v>
      </c>
      <c r="R15" s="13">
        <v>3399720</v>
      </c>
      <c r="S15" s="13">
        <v>2755115</v>
      </c>
      <c r="T15" s="10"/>
      <c r="U15" s="10"/>
      <c r="V15" s="10"/>
    </row>
    <row r="16" spans="1:33">
      <c r="A16" s="9"/>
      <c r="B16" s="9"/>
      <c r="C16" s="9"/>
      <c r="D16" s="9"/>
      <c r="E16" s="9"/>
      <c r="F16" s="9"/>
      <c r="G16" s="9"/>
      <c r="H16" s="16">
        <f t="shared" ref="H16:R16" si="21">SUM(H4:H15,H17:H18)</f>
        <v>35525039.734999999</v>
      </c>
      <c r="I16" s="16">
        <f t="shared" si="21"/>
        <v>18616660.342</v>
      </c>
      <c r="J16" s="16">
        <f t="shared" si="21"/>
        <v>32919459.267999999</v>
      </c>
      <c r="K16" s="16">
        <f t="shared" si="21"/>
        <v>41056834.982000001</v>
      </c>
      <c r="L16" s="16">
        <f t="shared" si="21"/>
        <v>37555613.191</v>
      </c>
      <c r="M16" s="16">
        <f t="shared" si="21"/>
        <v>42266289.273999996</v>
      </c>
      <c r="N16" s="16">
        <f t="shared" si="21"/>
        <v>38014581.366000004</v>
      </c>
      <c r="O16" s="16">
        <f t="shared" si="21"/>
        <v>40258546.624000005</v>
      </c>
      <c r="P16" s="16">
        <f t="shared" si="21"/>
        <v>44340787.879999995</v>
      </c>
      <c r="Q16" s="16">
        <f t="shared" ref="Q16" si="22">SUM(Q4:Q15,Q17:Q18)</f>
        <v>37634292.571999997</v>
      </c>
      <c r="R16" s="16">
        <f t="shared" si="21"/>
        <v>34911181.187999994</v>
      </c>
      <c r="S16" s="16">
        <f t="shared" ref="S16" si="23">SUM(S4:S15,S17:S18)</f>
        <v>28612067.637000006</v>
      </c>
      <c r="T16" s="10"/>
      <c r="U16" s="10"/>
      <c r="V16" s="10"/>
    </row>
    <row r="17" spans="6:19">
      <c r="G17" s="27"/>
      <c r="H17" s="54">
        <v>3949404.09</v>
      </c>
      <c r="I17" s="54">
        <v>1568669.0270000002</v>
      </c>
      <c r="J17" s="54">
        <v>2269267.3179999995</v>
      </c>
      <c r="K17" s="54">
        <v>4134545.6689999998</v>
      </c>
      <c r="L17" s="54">
        <v>4974826.8339999998</v>
      </c>
      <c r="M17" s="54">
        <v>5158262.2289999994</v>
      </c>
      <c r="N17" s="54">
        <v>4663587.6660000002</v>
      </c>
      <c r="O17" s="54">
        <v>4700401.9639999997</v>
      </c>
      <c r="P17" s="54">
        <v>5328902</v>
      </c>
      <c r="Q17" s="54">
        <v>4659001</v>
      </c>
      <c r="R17" s="54">
        <v>4289208.6380000003</v>
      </c>
      <c r="S17" s="54">
        <v>3200564.0869999998</v>
      </c>
    </row>
    <row r="18" spans="6:19">
      <c r="H18" s="54">
        <v>62347</v>
      </c>
      <c r="I18" s="54">
        <v>64467</v>
      </c>
      <c r="J18" s="54">
        <v>119505</v>
      </c>
      <c r="K18" s="54">
        <v>114600</v>
      </c>
      <c r="L18" s="54">
        <v>95508</v>
      </c>
      <c r="M18" s="54">
        <v>121476</v>
      </c>
      <c r="N18" s="54">
        <v>478440</v>
      </c>
      <c r="O18" s="54">
        <v>118607.40000000001</v>
      </c>
      <c r="P18" s="54">
        <v>332324</v>
      </c>
      <c r="Q18" s="54">
        <v>48036.800000000003</v>
      </c>
      <c r="R18" s="54">
        <v>87268.800000000003</v>
      </c>
      <c r="S18" s="54">
        <v>44277.599999999999</v>
      </c>
    </row>
    <row r="19" spans="6:19">
      <c r="F19" s="8" t="s">
        <v>31</v>
      </c>
      <c r="H19" s="55">
        <f>+H17/2</f>
        <v>1974702.0449999999</v>
      </c>
      <c r="I19" s="55">
        <f t="shared" ref="I19:R20" si="24">+I17/2</f>
        <v>784334.51350000012</v>
      </c>
      <c r="J19" s="55">
        <f t="shared" ref="J19:M19" si="25">+J17/2</f>
        <v>1134633.6589999998</v>
      </c>
      <c r="K19" s="55">
        <f t="shared" si="25"/>
        <v>2067272.8344999999</v>
      </c>
      <c r="L19" s="55">
        <f t="shared" si="25"/>
        <v>2487413.4169999999</v>
      </c>
      <c r="M19" s="55">
        <f t="shared" si="25"/>
        <v>2579131.1144999997</v>
      </c>
      <c r="N19" s="55">
        <f t="shared" si="24"/>
        <v>2331793.8330000001</v>
      </c>
      <c r="O19" s="55">
        <f t="shared" si="24"/>
        <v>2350200.9819999998</v>
      </c>
      <c r="P19" s="55">
        <f t="shared" si="24"/>
        <v>2664451</v>
      </c>
      <c r="Q19" s="55">
        <f t="shared" ref="Q19" si="26">+Q17/2</f>
        <v>2329500.5</v>
      </c>
      <c r="R19" s="55">
        <f t="shared" si="24"/>
        <v>2144604.3190000001</v>
      </c>
      <c r="S19" s="55">
        <f t="shared" ref="S19" si="27">+S17/2</f>
        <v>1600282.0434999999</v>
      </c>
    </row>
    <row r="20" spans="6:19">
      <c r="F20" s="8" t="s">
        <v>33</v>
      </c>
      <c r="H20" s="55">
        <f>+H18/2</f>
        <v>31173.5</v>
      </c>
      <c r="I20" s="55">
        <f t="shared" si="24"/>
        <v>32233.5</v>
      </c>
      <c r="J20" s="55">
        <f t="shared" ref="J20:M20" si="28">+J18/2</f>
        <v>59752.5</v>
      </c>
      <c r="K20" s="55">
        <f t="shared" si="28"/>
        <v>57300</v>
      </c>
      <c r="L20" s="55">
        <f t="shared" si="28"/>
        <v>47754</v>
      </c>
      <c r="M20" s="55">
        <f t="shared" si="28"/>
        <v>60738</v>
      </c>
      <c r="N20" s="55">
        <f t="shared" si="24"/>
        <v>239220</v>
      </c>
      <c r="O20" s="55">
        <f t="shared" si="24"/>
        <v>59303.700000000004</v>
      </c>
      <c r="P20" s="55">
        <f t="shared" si="24"/>
        <v>166162</v>
      </c>
      <c r="Q20" s="55">
        <f t="shared" ref="Q20" si="29">+Q18/2</f>
        <v>24018.400000000001</v>
      </c>
      <c r="R20" s="55">
        <f t="shared" si="24"/>
        <v>43634.400000000001</v>
      </c>
      <c r="S20" s="55">
        <f t="shared" ref="S20" si="30">+S18/2</f>
        <v>22138.799999999999</v>
      </c>
    </row>
    <row r="21" spans="6:19">
      <c r="F21" s="8" t="s">
        <v>34</v>
      </c>
      <c r="H21" s="55">
        <f>+H19</f>
        <v>1974702.0449999999</v>
      </c>
      <c r="I21" s="55">
        <f t="shared" ref="I21:R22" si="31">+I19</f>
        <v>784334.51350000012</v>
      </c>
      <c r="J21" s="55">
        <f t="shared" ref="J21:M21" si="32">+J19</f>
        <v>1134633.6589999998</v>
      </c>
      <c r="K21" s="55">
        <f t="shared" si="32"/>
        <v>2067272.8344999999</v>
      </c>
      <c r="L21" s="55">
        <f t="shared" si="32"/>
        <v>2487413.4169999999</v>
      </c>
      <c r="M21" s="55">
        <f t="shared" si="32"/>
        <v>2579131.1144999997</v>
      </c>
      <c r="N21" s="55">
        <f t="shared" si="31"/>
        <v>2331793.8330000001</v>
      </c>
      <c r="O21" s="55">
        <f t="shared" si="31"/>
        <v>2350200.9819999998</v>
      </c>
      <c r="P21" s="55">
        <f t="shared" si="31"/>
        <v>2664451</v>
      </c>
      <c r="Q21" s="55">
        <f t="shared" ref="Q21" si="33">+Q19</f>
        <v>2329500.5</v>
      </c>
      <c r="R21" s="55">
        <f t="shared" si="31"/>
        <v>2144604.3190000001</v>
      </c>
      <c r="S21" s="55">
        <f t="shared" ref="S21" si="34">+S19</f>
        <v>1600282.0434999999</v>
      </c>
    </row>
    <row r="22" spans="6:19">
      <c r="F22" s="8" t="s">
        <v>34</v>
      </c>
      <c r="H22" s="55">
        <f>+H20</f>
        <v>31173.5</v>
      </c>
      <c r="I22" s="55">
        <f t="shared" si="31"/>
        <v>32233.5</v>
      </c>
      <c r="J22" s="55">
        <f t="shared" ref="J22:M22" si="35">+J20</f>
        <v>59752.5</v>
      </c>
      <c r="K22" s="55">
        <f t="shared" si="35"/>
        <v>57300</v>
      </c>
      <c r="L22" s="55">
        <f t="shared" si="35"/>
        <v>47754</v>
      </c>
      <c r="M22" s="55">
        <f t="shared" si="35"/>
        <v>60738</v>
      </c>
      <c r="N22" s="55">
        <f t="shared" si="31"/>
        <v>239220</v>
      </c>
      <c r="O22" s="55">
        <f t="shared" si="31"/>
        <v>59303.700000000004</v>
      </c>
      <c r="P22" s="55">
        <f t="shared" si="31"/>
        <v>166162</v>
      </c>
      <c r="Q22" s="55">
        <f t="shared" ref="Q22" si="36">+Q20</f>
        <v>24018.400000000001</v>
      </c>
      <c r="R22" s="55">
        <f t="shared" si="31"/>
        <v>43634.400000000001</v>
      </c>
      <c r="S22" s="55">
        <f t="shared" ref="S22" si="37">+S20</f>
        <v>22138.799999999999</v>
      </c>
    </row>
    <row r="23" spans="6:19"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</row>
    <row r="24" spans="6:19">
      <c r="F24" s="14" t="s">
        <v>31</v>
      </c>
      <c r="H24" s="23">
        <f t="shared" ref="H24:S26" si="38">+SUMIFS(H$4:H$22,$F$4:$F$22,$F24)</f>
        <v>14174800.174999999</v>
      </c>
      <c r="I24" s="23">
        <f t="shared" si="38"/>
        <v>6156880.5135000004</v>
      </c>
      <c r="J24" s="23">
        <f t="shared" si="38"/>
        <v>11625706.659</v>
      </c>
      <c r="K24" s="23">
        <f t="shared" si="38"/>
        <v>15651243.3345</v>
      </c>
      <c r="L24" s="23">
        <f t="shared" si="38"/>
        <v>13685272.416999999</v>
      </c>
      <c r="M24" s="23">
        <f t="shared" si="38"/>
        <v>16799209.114500001</v>
      </c>
      <c r="N24" s="23">
        <f t="shared" si="38"/>
        <v>14910407.833000001</v>
      </c>
      <c r="O24" s="23">
        <f t="shared" si="38"/>
        <v>15756919.282000002</v>
      </c>
      <c r="P24" s="23">
        <f t="shared" si="38"/>
        <v>16518573.199999999</v>
      </c>
      <c r="Q24" s="23">
        <f t="shared" si="38"/>
        <v>15772913</v>
      </c>
      <c r="R24" s="23">
        <f t="shared" si="38"/>
        <v>14483331.719000001</v>
      </c>
      <c r="S24" s="23">
        <f t="shared" si="38"/>
        <v>11063404.343500001</v>
      </c>
    </row>
    <row r="25" spans="6:19">
      <c r="F25" s="14" t="s">
        <v>33</v>
      </c>
      <c r="H25" s="23">
        <f t="shared" si="38"/>
        <v>1673086.2000000002</v>
      </c>
      <c r="I25" s="23">
        <f t="shared" si="38"/>
        <v>1192587</v>
      </c>
      <c r="J25" s="23">
        <f t="shared" si="38"/>
        <v>1491413.9499999997</v>
      </c>
      <c r="K25" s="23">
        <f t="shared" si="38"/>
        <v>2255656</v>
      </c>
      <c r="L25" s="23">
        <f t="shared" si="38"/>
        <v>1863125.1500000001</v>
      </c>
      <c r="M25" s="23">
        <f t="shared" si="38"/>
        <v>1954624.4449999928</v>
      </c>
      <c r="N25" s="23">
        <f t="shared" si="38"/>
        <v>2011950.9000000001</v>
      </c>
      <c r="O25" s="23">
        <f t="shared" si="38"/>
        <v>1954263.7599999998</v>
      </c>
      <c r="P25" s="23">
        <f t="shared" si="38"/>
        <v>2202764.33</v>
      </c>
      <c r="Q25" s="23">
        <f t="shared" si="38"/>
        <v>1687519.517</v>
      </c>
      <c r="R25" s="23">
        <f t="shared" si="38"/>
        <v>1675306.4</v>
      </c>
      <c r="S25" s="23">
        <f t="shared" si="38"/>
        <v>1445027.2</v>
      </c>
    </row>
    <row r="26" spans="6:19">
      <c r="F26" s="14" t="s">
        <v>34</v>
      </c>
      <c r="H26" s="23">
        <f t="shared" si="38"/>
        <v>19677153.359999999</v>
      </c>
      <c r="I26" s="23">
        <f t="shared" si="38"/>
        <v>11267192.828499999</v>
      </c>
      <c r="J26" s="23">
        <f t="shared" si="38"/>
        <v>19802338.658999998</v>
      </c>
      <c r="K26" s="23">
        <f t="shared" si="38"/>
        <v>23149935.647500001</v>
      </c>
      <c r="L26" s="23">
        <f t="shared" si="38"/>
        <v>22007215.623999998</v>
      </c>
      <c r="M26" s="23">
        <f t="shared" si="38"/>
        <v>23512455.714500003</v>
      </c>
      <c r="N26" s="23">
        <f t="shared" si="38"/>
        <v>21092222.633000001</v>
      </c>
      <c r="O26" s="23">
        <f t="shared" si="38"/>
        <v>22547363.581999999</v>
      </c>
      <c r="P26" s="23">
        <f t="shared" si="38"/>
        <v>25619450.349999998</v>
      </c>
      <c r="Q26" s="23">
        <f t="shared" si="38"/>
        <v>20173860.055</v>
      </c>
      <c r="R26" s="23">
        <f t="shared" si="38"/>
        <v>18752543.068999998</v>
      </c>
      <c r="S26" s="23">
        <f t="shared" si="38"/>
        <v>16103636.093500001</v>
      </c>
    </row>
    <row r="28" spans="6:19">
      <c r="F28" s="14" t="s">
        <v>31</v>
      </c>
      <c r="H28" s="23">
        <f>+H24/10^3</f>
        <v>14174.800174999998</v>
      </c>
      <c r="I28" s="23">
        <f t="shared" ref="I28:R28" si="39">+I24/10^3</f>
        <v>6156.8805135000002</v>
      </c>
      <c r="J28" s="23">
        <f t="shared" ref="J28:M28" si="40">+J24/10^3</f>
        <v>11625.706658999999</v>
      </c>
      <c r="K28" s="23">
        <f t="shared" si="40"/>
        <v>15651.243334499999</v>
      </c>
      <c r="L28" s="23">
        <f t="shared" si="40"/>
        <v>13685.272417</v>
      </c>
      <c r="M28" s="23">
        <f t="shared" si="40"/>
        <v>16799.209114500001</v>
      </c>
      <c r="N28" s="23">
        <f t="shared" si="39"/>
        <v>14910.407833000001</v>
      </c>
      <c r="O28" s="23">
        <f t="shared" si="39"/>
        <v>15756.919282000001</v>
      </c>
      <c r="P28" s="23">
        <f t="shared" si="39"/>
        <v>16518.573199999999</v>
      </c>
      <c r="Q28" s="23">
        <f t="shared" ref="Q28" si="41">+Q24/10^3</f>
        <v>15772.913</v>
      </c>
      <c r="R28" s="23">
        <f t="shared" si="39"/>
        <v>14483.331719</v>
      </c>
      <c r="S28" s="23">
        <f t="shared" ref="S28" si="42">+S24/10^3</f>
        <v>11063.404343500002</v>
      </c>
    </row>
    <row r="29" spans="6:19">
      <c r="F29" s="14" t="s">
        <v>33</v>
      </c>
      <c r="H29" s="23">
        <f t="shared" ref="H29:R29" si="43">+H25/10^3</f>
        <v>1673.0862000000002</v>
      </c>
      <c r="I29" s="23">
        <f t="shared" si="43"/>
        <v>1192.587</v>
      </c>
      <c r="J29" s="23">
        <f t="shared" ref="J29:M29" si="44">+J25/10^3</f>
        <v>1491.4139499999997</v>
      </c>
      <c r="K29" s="23">
        <f t="shared" si="44"/>
        <v>2255.6559999999999</v>
      </c>
      <c r="L29" s="23">
        <f t="shared" si="44"/>
        <v>1863.1251500000001</v>
      </c>
      <c r="M29" s="23">
        <f t="shared" si="44"/>
        <v>1954.6244449999929</v>
      </c>
      <c r="N29" s="23">
        <f t="shared" si="43"/>
        <v>2011.9509</v>
      </c>
      <c r="O29" s="23">
        <f t="shared" si="43"/>
        <v>1954.2637599999998</v>
      </c>
      <c r="P29" s="23">
        <f t="shared" si="43"/>
        <v>2202.76433</v>
      </c>
      <c r="Q29" s="23">
        <f t="shared" ref="Q29" si="45">+Q25/10^3</f>
        <v>1687.519517</v>
      </c>
      <c r="R29" s="23">
        <f t="shared" si="43"/>
        <v>1675.3063999999999</v>
      </c>
      <c r="S29" s="23">
        <f t="shared" ref="S29" si="46">+S25/10^3</f>
        <v>1445.0272</v>
      </c>
    </row>
    <row r="30" spans="6:19">
      <c r="F30" s="14" t="s">
        <v>34</v>
      </c>
      <c r="H30" s="23">
        <f t="shared" ref="H30:R30" si="47">+H26/10^3</f>
        <v>19677.15336</v>
      </c>
      <c r="I30" s="23">
        <f t="shared" si="47"/>
        <v>11267.192828499999</v>
      </c>
      <c r="J30" s="23">
        <f t="shared" ref="J30:M30" si="48">+J26/10^3</f>
        <v>19802.338658999997</v>
      </c>
      <c r="K30" s="23">
        <f t="shared" si="48"/>
        <v>23149.935647500002</v>
      </c>
      <c r="L30" s="23">
        <f t="shared" si="48"/>
        <v>22007.215623999997</v>
      </c>
      <c r="M30" s="23">
        <f t="shared" si="48"/>
        <v>23512.455714500004</v>
      </c>
      <c r="N30" s="23">
        <f t="shared" si="47"/>
        <v>21092.222633000001</v>
      </c>
      <c r="O30" s="23">
        <f t="shared" si="47"/>
        <v>22547.363581999998</v>
      </c>
      <c r="P30" s="23">
        <f t="shared" si="47"/>
        <v>25619.450349999999</v>
      </c>
      <c r="Q30" s="23">
        <f t="shared" ref="Q30" si="49">+Q26/10^3</f>
        <v>20173.860055000001</v>
      </c>
      <c r="R30" s="23">
        <f t="shared" si="47"/>
        <v>18752.543068999999</v>
      </c>
      <c r="S30" s="23">
        <f t="shared" ref="S30" si="50">+S26/10^3</f>
        <v>16103.636093500001</v>
      </c>
    </row>
    <row r="36" spans="1:8" ht="20.45" customHeight="1">
      <c r="A36" s="65" t="s">
        <v>22</v>
      </c>
      <c r="B36" s="65" t="s">
        <v>23</v>
      </c>
      <c r="C36" s="65" t="s">
        <v>24</v>
      </c>
      <c r="D36" s="65" t="s">
        <v>25</v>
      </c>
      <c r="E36" s="65" t="s">
        <v>28</v>
      </c>
      <c r="F36" s="65" t="s">
        <v>44</v>
      </c>
      <c r="G36" s="65" t="s">
        <v>26</v>
      </c>
      <c r="H36" s="65" t="s">
        <v>3</v>
      </c>
    </row>
    <row r="37" spans="1:8">
      <c r="A37" s="66" t="s">
        <v>28</v>
      </c>
      <c r="B37" s="67">
        <v>15</v>
      </c>
      <c r="C37" s="68">
        <v>101.102</v>
      </c>
      <c r="D37" s="66" t="s">
        <v>29</v>
      </c>
      <c r="E37" s="66" t="s">
        <v>259</v>
      </c>
      <c r="F37" s="66" t="s">
        <v>30</v>
      </c>
      <c r="G37" s="66">
        <v>1</v>
      </c>
      <c r="H37" s="66"/>
    </row>
    <row r="38" spans="1:8">
      <c r="A38" s="69" t="s">
        <v>28</v>
      </c>
      <c r="B38" s="70">
        <v>15</v>
      </c>
      <c r="C38" s="71">
        <v>261.262</v>
      </c>
      <c r="D38" s="69" t="s">
        <v>32</v>
      </c>
      <c r="E38" s="69" t="s">
        <v>31</v>
      </c>
      <c r="F38" s="69" t="s">
        <v>31</v>
      </c>
      <c r="G38" s="69">
        <v>-0.5</v>
      </c>
      <c r="H38" s="119" t="s">
        <v>257</v>
      </c>
    </row>
    <row r="39" spans="1:8">
      <c r="A39" s="69" t="s">
        <v>28</v>
      </c>
      <c r="B39" s="70">
        <v>15</v>
      </c>
      <c r="C39" s="71">
        <v>261.262</v>
      </c>
      <c r="D39" s="69" t="s">
        <v>32</v>
      </c>
      <c r="E39" s="69" t="s">
        <v>31</v>
      </c>
      <c r="F39" s="69" t="s">
        <v>34</v>
      </c>
      <c r="G39" s="69">
        <v>-0.5</v>
      </c>
      <c r="H39" s="120"/>
    </row>
    <row r="40" spans="1:8">
      <c r="A40" s="69" t="s">
        <v>28</v>
      </c>
      <c r="B40" s="70">
        <v>15</v>
      </c>
      <c r="C40" s="71">
        <v>261.262</v>
      </c>
      <c r="D40" s="69" t="s">
        <v>32</v>
      </c>
      <c r="E40" s="69" t="s">
        <v>33</v>
      </c>
      <c r="F40" s="69" t="s">
        <v>33</v>
      </c>
      <c r="G40" s="69">
        <v>-0.5</v>
      </c>
      <c r="H40" s="119" t="s">
        <v>258</v>
      </c>
    </row>
    <row r="41" spans="1:8">
      <c r="A41" s="69" t="s">
        <v>28</v>
      </c>
      <c r="B41" s="70">
        <v>15</v>
      </c>
      <c r="C41" s="71">
        <v>261.262</v>
      </c>
      <c r="D41" s="69" t="s">
        <v>32</v>
      </c>
      <c r="E41" s="69" t="s">
        <v>33</v>
      </c>
      <c r="F41" s="69" t="s">
        <v>34</v>
      </c>
      <c r="G41" s="69">
        <v>-0.5</v>
      </c>
      <c r="H41" s="120"/>
    </row>
    <row r="42" spans="1:8">
      <c r="A42" s="66" t="s">
        <v>35</v>
      </c>
      <c r="B42" s="67">
        <v>16</v>
      </c>
      <c r="C42" s="68" t="s">
        <v>36</v>
      </c>
      <c r="D42" s="66" t="s">
        <v>37</v>
      </c>
      <c r="E42" s="66" t="s">
        <v>31</v>
      </c>
      <c r="F42" s="66" t="s">
        <v>31</v>
      </c>
      <c r="G42" s="66">
        <v>1</v>
      </c>
      <c r="H42" s="66"/>
    </row>
    <row r="43" spans="1:8">
      <c r="A43" s="66" t="s">
        <v>35</v>
      </c>
      <c r="B43" s="67">
        <v>16</v>
      </c>
      <c r="C43" s="68" t="s">
        <v>36</v>
      </c>
      <c r="D43" s="66" t="s">
        <v>37</v>
      </c>
      <c r="E43" s="66" t="s">
        <v>33</v>
      </c>
      <c r="F43" s="66" t="s">
        <v>33</v>
      </c>
      <c r="G43" s="66">
        <v>1</v>
      </c>
      <c r="H43" s="66"/>
    </row>
    <row r="44" spans="1:8">
      <c r="A44" s="66" t="s">
        <v>35</v>
      </c>
      <c r="B44" s="67">
        <v>16</v>
      </c>
      <c r="C44" s="68">
        <v>101.102</v>
      </c>
      <c r="D44" s="66" t="s">
        <v>29</v>
      </c>
      <c r="E44" s="66" t="s">
        <v>259</v>
      </c>
      <c r="F44" s="66" t="s">
        <v>30</v>
      </c>
      <c r="G44" s="66">
        <v>1</v>
      </c>
      <c r="H44" s="66"/>
    </row>
    <row r="45" spans="1:8">
      <c r="A45" s="66" t="s">
        <v>35</v>
      </c>
      <c r="B45" s="67">
        <v>16</v>
      </c>
      <c r="C45" s="68">
        <v>261.262</v>
      </c>
      <c r="D45" s="66" t="s">
        <v>39</v>
      </c>
      <c r="E45" s="66" t="s">
        <v>259</v>
      </c>
      <c r="F45" s="66" t="s">
        <v>30</v>
      </c>
      <c r="G45" s="66">
        <v>-1</v>
      </c>
      <c r="H45" s="66"/>
    </row>
    <row r="46" spans="1:8">
      <c r="A46" s="66" t="s">
        <v>35</v>
      </c>
      <c r="B46" s="67">
        <v>16</v>
      </c>
      <c r="C46" s="68">
        <v>601.60199999999998</v>
      </c>
      <c r="D46" s="66" t="s">
        <v>40</v>
      </c>
      <c r="E46" s="66" t="s">
        <v>259</v>
      </c>
      <c r="F46" s="66" t="s">
        <v>30</v>
      </c>
      <c r="G46" s="66">
        <v>-1</v>
      </c>
      <c r="H46" s="66"/>
    </row>
    <row r="47" spans="1:8">
      <c r="A47" s="66" t="s">
        <v>41</v>
      </c>
      <c r="B47" s="67">
        <v>11</v>
      </c>
      <c r="C47" s="68" t="s">
        <v>36</v>
      </c>
      <c r="D47" s="66" t="s">
        <v>42</v>
      </c>
      <c r="E47" s="66" t="s">
        <v>31</v>
      </c>
      <c r="F47" s="66" t="s">
        <v>31</v>
      </c>
      <c r="G47" s="66">
        <v>1</v>
      </c>
      <c r="H47" s="66"/>
    </row>
    <row r="48" spans="1:8">
      <c r="A48" s="66" t="s">
        <v>41</v>
      </c>
      <c r="B48" s="67">
        <v>11</v>
      </c>
      <c r="C48" s="68" t="s">
        <v>36</v>
      </c>
      <c r="D48" s="66" t="s">
        <v>42</v>
      </c>
      <c r="E48" s="66" t="s">
        <v>33</v>
      </c>
      <c r="F48" s="66" t="s">
        <v>33</v>
      </c>
      <c r="G48" s="66">
        <v>1</v>
      </c>
      <c r="H48" s="66"/>
    </row>
    <row r="49" spans="1:8">
      <c r="A49" s="66" t="s">
        <v>41</v>
      </c>
      <c r="B49" s="67">
        <v>11</v>
      </c>
      <c r="C49" s="68">
        <v>261.262</v>
      </c>
      <c r="D49" s="66" t="s">
        <v>43</v>
      </c>
      <c r="E49" s="66" t="s">
        <v>259</v>
      </c>
      <c r="F49" s="66" t="s">
        <v>30</v>
      </c>
      <c r="G49" s="66">
        <v>-1</v>
      </c>
      <c r="H49" s="66"/>
    </row>
    <row r="50" spans="1:8">
      <c r="A50" s="66" t="s">
        <v>41</v>
      </c>
      <c r="B50" s="67">
        <v>11</v>
      </c>
      <c r="C50" s="68">
        <v>601.60199999999998</v>
      </c>
      <c r="D50" s="66" t="s">
        <v>40</v>
      </c>
      <c r="E50" s="66" t="s">
        <v>259</v>
      </c>
      <c r="F50" s="66" t="s">
        <v>30</v>
      </c>
      <c r="G50" s="66">
        <v>-1</v>
      </c>
      <c r="H50" s="66"/>
    </row>
  </sheetData>
  <autoFilter ref="A36:AF36" xr:uid="{8CD15A24-4D00-4698-95C3-4513731C7304}"/>
  <mergeCells count="2">
    <mergeCell ref="H38:H39"/>
    <mergeCell ref="H40:H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DA34-DCDD-4F0F-8BF1-08E495B0B61E}">
  <dimension ref="A1:U43"/>
  <sheetViews>
    <sheetView workbookViewId="0">
      <selection activeCell="B1" sqref="B1"/>
    </sheetView>
  </sheetViews>
  <sheetFormatPr defaultColWidth="8.85546875" defaultRowHeight="15"/>
  <cols>
    <col min="1" max="2" width="10" style="8" bestFit="1" customWidth="1"/>
    <col min="3" max="3" width="37.85546875" style="8" bestFit="1" customWidth="1"/>
    <col min="4" max="4" width="16.5703125" style="8" customWidth="1"/>
    <col min="5" max="5" width="11.140625" style="8" bestFit="1" customWidth="1"/>
    <col min="6" max="6" width="9.5703125" style="8" bestFit="1" customWidth="1"/>
    <col min="7" max="7" width="9.140625" style="8" customWidth="1"/>
    <col min="8" max="8" width="9.5703125" style="8" customWidth="1"/>
    <col min="9" max="9" width="8.85546875" style="8" customWidth="1"/>
    <col min="10" max="10" width="9" style="8" customWidth="1"/>
    <col min="11" max="11" width="9.5703125" style="8" bestFit="1" customWidth="1"/>
    <col min="12" max="12" width="9.140625" style="8" customWidth="1"/>
    <col min="13" max="13" width="9.5703125" style="8" customWidth="1"/>
    <col min="14" max="14" width="8.85546875" style="8" customWidth="1"/>
    <col min="15" max="15" width="9" style="8" customWidth="1"/>
    <col min="16" max="16" width="8.85546875" style="8" customWidth="1"/>
    <col min="17" max="17" width="9" style="8" customWidth="1"/>
    <col min="18" max="18" width="9" style="8" bestFit="1" customWidth="1"/>
    <col min="19" max="16384" width="8.85546875" style="8"/>
  </cols>
  <sheetData>
    <row r="1" spans="1:21">
      <c r="T1" t="s">
        <v>230</v>
      </c>
    </row>
    <row r="2" spans="1:21">
      <c r="A2" s="18" t="s">
        <v>27</v>
      </c>
      <c r="B2" s="18" t="s">
        <v>45</v>
      </c>
      <c r="C2" s="18" t="s">
        <v>46</v>
      </c>
      <c r="D2" s="18" t="s">
        <v>233</v>
      </c>
      <c r="E2" s="18">
        <v>12</v>
      </c>
      <c r="F2" s="18">
        <v>1</v>
      </c>
      <c r="G2" s="18">
        <f t="shared" ref="G2:P2" si="0">F2+1</f>
        <v>2</v>
      </c>
      <c r="H2" s="18">
        <f t="shared" si="0"/>
        <v>3</v>
      </c>
      <c r="I2" s="18">
        <f t="shared" si="0"/>
        <v>4</v>
      </c>
      <c r="J2" s="18">
        <f t="shared" si="0"/>
        <v>5</v>
      </c>
      <c r="K2" s="18">
        <f t="shared" si="0"/>
        <v>6</v>
      </c>
      <c r="L2" s="18">
        <f t="shared" si="0"/>
        <v>7</v>
      </c>
      <c r="M2" s="18">
        <f t="shared" si="0"/>
        <v>8</v>
      </c>
      <c r="N2" s="18">
        <f t="shared" si="0"/>
        <v>9</v>
      </c>
      <c r="O2" s="18">
        <f t="shared" si="0"/>
        <v>10</v>
      </c>
      <c r="P2" s="18">
        <f t="shared" si="0"/>
        <v>11</v>
      </c>
      <c r="Q2" s="18"/>
      <c r="R2" s="18" t="s">
        <v>38</v>
      </c>
      <c r="T2" t="s">
        <v>231</v>
      </c>
    </row>
    <row r="3" spans="1:21">
      <c r="A3" s="7" t="s">
        <v>31</v>
      </c>
      <c r="B3" s="7" t="s">
        <v>17</v>
      </c>
      <c r="C3" s="7" t="s">
        <v>18</v>
      </c>
      <c r="D3" s="7" t="s">
        <v>255</v>
      </c>
      <c r="E3" s="24">
        <f>-SUMIFS('01. MB51 - Data xuất 943'!$J:$J,'01. MB51 - Data xuất 943'!$A:$A,'03. Chi tiết thực tế sử dụng'!$B3,'01. MB51 - Data xuất 943'!$U:$U,'03. Chi tiết thực tế sử dụng'!$A3,'01. MB51 - Data xuất 943'!$V:$V,'03. Chi tiết thực tế sử dụng'!E$2)</f>
        <v>658</v>
      </c>
      <c r="F3" s="24">
        <f>-SUMIFS('01. MB51 - Data xuất 943'!$J:$J,'01. MB51 - Data xuất 943'!$A:$A,'03. Chi tiết thực tế sử dụng'!$B3,'01. MB51 - Data xuất 943'!$U:$U,'03. Chi tiết thực tế sử dụng'!$A3,'01. MB51 - Data xuất 943'!$V:$V,'03. Chi tiết thực tế sử dụng'!F$2)</f>
        <v>300</v>
      </c>
      <c r="G3" s="24">
        <f>-SUMIFS('01. MB51 - Data xuất 943'!$J:$J,'01. MB51 - Data xuất 943'!$A:$A,'03. Chi tiết thực tế sử dụng'!$B3,'01. MB51 - Data xuất 943'!$U:$U,'03. Chi tiết thực tế sử dụng'!$A3,'01. MB51 - Data xuất 943'!$V:$V,'03. Chi tiết thực tế sử dụng'!G$2)</f>
        <v>0</v>
      </c>
      <c r="H3" s="24">
        <f>-SUMIFS('01. MB51 - Data xuất 943'!$J:$J,'01. MB51 - Data xuất 943'!$A:$A,'03. Chi tiết thực tế sử dụng'!$B3,'01. MB51 - Data xuất 943'!$U:$U,'03. Chi tiết thực tế sử dụng'!$A3,'01. MB51 - Data xuất 943'!$V:$V,'03. Chi tiết thực tế sử dụng'!H$2)</f>
        <v>0</v>
      </c>
      <c r="I3" s="24">
        <f>-SUMIFS('01. MB51 - Data xuất 943'!$J:$J,'01. MB51 - Data xuất 943'!$A:$A,'03. Chi tiết thực tế sử dụng'!$B3,'01. MB51 - Data xuất 943'!$U:$U,'03. Chi tiết thực tế sử dụng'!$A3,'01. MB51 - Data xuất 943'!$V:$V,'03. Chi tiết thực tế sử dụng'!I$2)</f>
        <v>0</v>
      </c>
      <c r="J3" s="24">
        <f>-SUMIFS('01. MB51 - Data xuất 943'!$J:$J,'01. MB51 - Data xuất 943'!$A:$A,'03. Chi tiết thực tế sử dụng'!$B3,'01. MB51 - Data xuất 943'!$U:$U,'03. Chi tiết thực tế sử dụng'!$A3,'01. MB51 - Data xuất 943'!$V:$V,'03. Chi tiết thực tế sử dụng'!J$2)</f>
        <v>200</v>
      </c>
      <c r="K3" s="24">
        <f>-SUMIFS('01. MB51 - Data xuất 943'!$J:$J,'01. MB51 - Data xuất 943'!$A:$A,'03. Chi tiết thực tế sử dụng'!$B3,'01. MB51 - Data xuất 943'!$U:$U,'03. Chi tiết thực tế sử dụng'!$A3,'01. MB51 - Data xuất 943'!$V:$V,'03. Chi tiết thực tế sử dụng'!K$2)</f>
        <v>1200</v>
      </c>
      <c r="L3" s="24">
        <f>-SUMIFS('01. MB51 - Data xuất 943'!$J:$J,'01. MB51 - Data xuất 943'!$A:$A,'03. Chi tiết thực tế sử dụng'!$B3,'01. MB51 - Data xuất 943'!$U:$U,'03. Chi tiết thực tế sử dụng'!$A3,'01. MB51 - Data xuất 943'!$V:$V,'03. Chi tiết thực tế sử dụng'!L$2)</f>
        <v>400</v>
      </c>
      <c r="M3" s="24">
        <f>-SUMIFS('01. MB51 - Data xuất 943'!$J:$J,'01. MB51 - Data xuất 943'!$A:$A,'03. Chi tiết thực tế sử dụng'!$B3,'01. MB51 - Data xuất 943'!$U:$U,'03. Chi tiết thực tế sử dụng'!$A3,'01. MB51 - Data xuất 943'!$V:$V,'03. Chi tiết thực tế sử dụng'!M$2)</f>
        <v>700</v>
      </c>
      <c r="N3" s="24">
        <f>-SUMIFS('01. MB51 - Data xuất 943'!$J:$J,'01. MB51 - Data xuất 943'!$A:$A,'03. Chi tiết thực tế sử dụng'!$B3,'01. MB51 - Data xuất 943'!$U:$U,'03. Chi tiết thực tế sử dụng'!$A3,'01. MB51 - Data xuất 943'!$V:$V,'03. Chi tiết thực tế sử dụng'!N$2)</f>
        <v>0</v>
      </c>
      <c r="O3" s="24">
        <f>-SUMIFS('01. MB51 - Data xuất 943'!$J:$J,'01. MB51 - Data xuất 943'!$A:$A,'03. Chi tiết thực tế sử dụng'!$B3,'01. MB51 - Data xuất 943'!$U:$U,'03. Chi tiết thực tế sử dụng'!$A3,'01. MB51 - Data xuất 943'!$V:$V,'03. Chi tiết thực tế sử dụng'!O$2)</f>
        <v>400</v>
      </c>
      <c r="P3" s="24">
        <f>-SUMIFS('01. MB51 - Data xuất 943'!$J:$J,'01. MB51 - Data xuất 943'!$A:$A,'03. Chi tiết thực tế sử dụng'!$B3,'01. MB51 - Data xuất 943'!$U:$U,'03. Chi tiết thực tế sử dụng'!$A3,'01. MB51 - Data xuất 943'!$V:$V,'03. Chi tiết thực tế sử dụng'!P$2)</f>
        <v>0</v>
      </c>
      <c r="Q3" s="24">
        <f>-SUMIFS('01. MB51 - Data xuất 943'!$J:$J,'01. MB51 - Data xuất 943'!$A:$A,'03. Chi tiết thực tế sử dụng'!$B3,'01. MB51 - Data xuất 943'!$U:$U,'03. Chi tiết thực tế sử dụng'!$A3,'01. MB51 - Data xuất 943'!$V:$V,'03. Chi tiết thực tế sử dụng'!Q$2)</f>
        <v>0</v>
      </c>
      <c r="R3" s="24">
        <f>+SUM(E3:Q3)</f>
        <v>3858</v>
      </c>
      <c r="S3" s="28">
        <f>+R3/$R$7</f>
        <v>2.3157448944406266E-2</v>
      </c>
      <c r="T3" t="s">
        <v>232</v>
      </c>
    </row>
    <row r="4" spans="1:21">
      <c r="A4" s="7" t="s">
        <v>31</v>
      </c>
      <c r="B4" s="7" t="s">
        <v>13</v>
      </c>
      <c r="C4" s="7" t="s">
        <v>14</v>
      </c>
      <c r="D4" s="7" t="s">
        <v>234</v>
      </c>
      <c r="E4" s="24">
        <f>-SUMIFS('01. MB51 - Data xuất 943'!$J:$J,'01. MB51 - Data xuất 943'!$A:$A,'03. Chi tiết thực tế sử dụng'!$B4,'01. MB51 - Data xuất 943'!$U:$U,'03. Chi tiết thực tế sử dụng'!$A4,'01. MB51 - Data xuất 943'!$V:$V,'03. Chi tiết thực tế sử dụng'!E$2)</f>
        <v>0</v>
      </c>
      <c r="F4" s="24">
        <f>-SUMIFS('01. MB51 - Data xuất 943'!$J:$J,'01. MB51 - Data xuất 943'!$A:$A,'03. Chi tiết thực tế sử dụng'!$B4,'01. MB51 - Data xuất 943'!$U:$U,'03. Chi tiết thực tế sử dụng'!$A4,'01. MB51 - Data xuất 943'!$V:$V,'03. Chi tiết thực tế sử dụng'!F$2)</f>
        <v>0</v>
      </c>
      <c r="G4" s="24">
        <f>-SUMIFS('01. MB51 - Data xuất 943'!$J:$J,'01. MB51 - Data xuất 943'!$A:$A,'03. Chi tiết thực tế sử dụng'!$B4,'01. MB51 - Data xuất 943'!$U:$U,'03. Chi tiết thực tế sử dụng'!$A4,'01. MB51 - Data xuất 943'!$V:$V,'03. Chi tiết thực tế sử dụng'!G$2)</f>
        <v>0</v>
      </c>
      <c r="H4" s="24">
        <f>-SUMIFS('01. MB51 - Data xuất 943'!$J:$J,'01. MB51 - Data xuất 943'!$A:$A,'03. Chi tiết thực tế sử dụng'!$B4,'01. MB51 - Data xuất 943'!$U:$U,'03. Chi tiết thực tế sử dụng'!$A4,'01. MB51 - Data xuất 943'!$V:$V,'03. Chi tiết thực tế sử dụng'!H$2)</f>
        <v>0</v>
      </c>
      <c r="I4" s="24">
        <f>-SUMIFS('01. MB51 - Data xuất 943'!$J:$J,'01. MB51 - Data xuất 943'!$A:$A,'03. Chi tiết thực tế sử dụng'!$B4,'01. MB51 - Data xuất 943'!$U:$U,'03. Chi tiết thực tế sử dụng'!$A4,'01. MB51 - Data xuất 943'!$V:$V,'03. Chi tiết thực tế sử dụng'!I$2)</f>
        <v>0</v>
      </c>
      <c r="J4" s="24">
        <f>-SUMIFS('01. MB51 - Data xuất 943'!$J:$J,'01. MB51 - Data xuất 943'!$A:$A,'03. Chi tiết thực tế sử dụng'!$B4,'01. MB51 - Data xuất 943'!$U:$U,'03. Chi tiết thực tế sử dụng'!$A4,'01. MB51 - Data xuất 943'!$V:$V,'03. Chi tiết thực tế sử dụng'!J$2)</f>
        <v>190</v>
      </c>
      <c r="K4" s="24">
        <f>-SUMIFS('01. MB51 - Data xuất 943'!$J:$J,'01. MB51 - Data xuất 943'!$A:$A,'03. Chi tiết thực tế sử dụng'!$B4,'01. MB51 - Data xuất 943'!$U:$U,'03. Chi tiết thực tế sử dụng'!$A4,'01. MB51 - Data xuất 943'!$V:$V,'03. Chi tiết thực tế sử dụng'!K$2)</f>
        <v>0</v>
      </c>
      <c r="L4" s="24">
        <f>-SUMIFS('01. MB51 - Data xuất 943'!$J:$J,'01. MB51 - Data xuất 943'!$A:$A,'03. Chi tiết thực tế sử dụng'!$B4,'01. MB51 - Data xuất 943'!$U:$U,'03. Chi tiết thực tế sử dụng'!$A4,'01. MB51 - Data xuất 943'!$V:$V,'03. Chi tiết thực tế sử dụng'!L$2)</f>
        <v>0</v>
      </c>
      <c r="M4" s="24">
        <f>-SUMIFS('01. MB51 - Data xuất 943'!$J:$J,'01. MB51 - Data xuất 943'!$A:$A,'03. Chi tiết thực tế sử dụng'!$B4,'01. MB51 - Data xuất 943'!$U:$U,'03. Chi tiết thực tế sử dụng'!$A4,'01. MB51 - Data xuất 943'!$V:$V,'03. Chi tiết thực tế sử dụng'!M$2)</f>
        <v>600</v>
      </c>
      <c r="N4" s="24">
        <f>-SUMIFS('01. MB51 - Data xuất 943'!$J:$J,'01. MB51 - Data xuất 943'!$A:$A,'03. Chi tiết thực tế sử dụng'!$B4,'01. MB51 - Data xuất 943'!$U:$U,'03. Chi tiết thực tế sử dụng'!$A4,'01. MB51 - Data xuất 943'!$V:$V,'03. Chi tiết thực tế sử dụng'!N$2)</f>
        <v>600</v>
      </c>
      <c r="O4" s="24">
        <f>-SUMIFS('01. MB51 - Data xuất 943'!$J:$J,'01. MB51 - Data xuất 943'!$A:$A,'03. Chi tiết thực tế sử dụng'!$B4,'01. MB51 - Data xuất 943'!$U:$U,'03. Chi tiết thực tế sử dụng'!$A4,'01. MB51 - Data xuất 943'!$V:$V,'03. Chi tiết thực tế sử dụng'!O$2)</f>
        <v>200</v>
      </c>
      <c r="P4" s="24">
        <f>-SUMIFS('01. MB51 - Data xuất 943'!$J:$J,'01. MB51 - Data xuất 943'!$A:$A,'03. Chi tiết thực tế sử dụng'!$B4,'01. MB51 - Data xuất 943'!$U:$U,'03. Chi tiết thực tế sử dụng'!$A4,'01. MB51 - Data xuất 943'!$V:$V,'03. Chi tiết thực tế sử dụng'!P$2)</f>
        <v>700</v>
      </c>
      <c r="Q4" s="24">
        <f>-SUMIFS('01. MB51 - Data xuất 943'!$J:$J,'01. MB51 - Data xuất 943'!$A:$A,'03. Chi tiết thực tế sử dụng'!$B4,'01. MB51 - Data xuất 943'!$U:$U,'03. Chi tiết thực tế sử dụng'!$A4,'01. MB51 - Data xuất 943'!$V:$V,'03. Chi tiết thực tế sử dụng'!Q$2)</f>
        <v>0</v>
      </c>
      <c r="R4" s="24">
        <f t="shared" ref="R4" si="1">+SUM(E4:Q4)</f>
        <v>2290</v>
      </c>
      <c r="S4" s="28">
        <f>+R4/$R$7</f>
        <v>1.3745608626928552E-2</v>
      </c>
    </row>
    <row r="5" spans="1:21">
      <c r="A5" s="7" t="s">
        <v>31</v>
      </c>
      <c r="B5" s="7" t="s">
        <v>9</v>
      </c>
      <c r="C5" s="7" t="s">
        <v>10</v>
      </c>
      <c r="D5" s="7"/>
      <c r="E5" s="24">
        <f>-SUMIFS('01. MB51 - Data xuất 943'!$J:$J,'01. MB51 - Data xuất 943'!$A:$A,'03. Chi tiết thực tế sử dụng'!$B5,'01. MB51 - Data xuất 943'!$U:$U,'03. Chi tiết thực tế sử dụng'!$A5,'01. MB51 - Data xuất 943'!$V:$V,'03. Chi tiết thực tế sử dụng'!E$2)</f>
        <v>0</v>
      </c>
      <c r="F5" s="24">
        <f>-SUMIFS('01. MB51 - Data xuất 943'!$J:$J,'01. MB51 - Data xuất 943'!$A:$A,'03. Chi tiết thực tế sử dụng'!$B5,'01. MB51 - Data xuất 943'!$U:$U,'03. Chi tiết thực tế sử dụng'!$A5,'01. MB51 - Data xuất 943'!$V:$V,'03. Chi tiết thực tế sử dụng'!F$2)</f>
        <v>0</v>
      </c>
      <c r="G5" s="24">
        <f>-SUMIFS('01. MB51 - Data xuất 943'!$J:$J,'01. MB51 - Data xuất 943'!$A:$A,'03. Chi tiết thực tế sử dụng'!$B5,'01. MB51 - Data xuất 943'!$U:$U,'03. Chi tiết thực tế sử dụng'!$A5,'01. MB51 - Data xuất 943'!$V:$V,'03. Chi tiết thực tế sử dụng'!G$2)</f>
        <v>0</v>
      </c>
      <c r="H5" s="24">
        <f>-SUMIFS('01. MB51 - Data xuất 943'!$J:$J,'01. MB51 - Data xuất 943'!$A:$A,'03. Chi tiết thực tế sử dụng'!$B5,'01. MB51 - Data xuất 943'!$U:$U,'03. Chi tiết thực tế sử dụng'!$A5,'01. MB51 - Data xuất 943'!$V:$V,'03. Chi tiết thực tế sử dụng'!H$2)</f>
        <v>0</v>
      </c>
      <c r="I5" s="24">
        <f>-SUMIFS('01. MB51 - Data xuất 943'!$J:$J,'01. MB51 - Data xuất 943'!$A:$A,'03. Chi tiết thực tế sử dụng'!$B5,'01. MB51 - Data xuất 943'!$U:$U,'03. Chi tiết thực tế sử dụng'!$A5,'01. MB51 - Data xuất 943'!$V:$V,'03. Chi tiết thực tế sử dụng'!I$2)</f>
        <v>0</v>
      </c>
      <c r="J5" s="24">
        <f>-SUMIFS('01. MB51 - Data xuất 943'!$J:$J,'01. MB51 - Data xuất 943'!$A:$A,'03. Chi tiết thực tế sử dụng'!$B5,'01. MB51 - Data xuất 943'!$U:$U,'03. Chi tiết thực tế sử dụng'!$A5,'01. MB51 - Data xuất 943'!$V:$V,'03. Chi tiết thực tế sử dụng'!J$2)</f>
        <v>0</v>
      </c>
      <c r="K5" s="24">
        <f>-SUMIFS('01. MB51 - Data xuất 943'!$J:$J,'01. MB51 - Data xuất 943'!$A:$A,'03. Chi tiết thực tế sử dụng'!$B5,'01. MB51 - Data xuất 943'!$U:$U,'03. Chi tiết thực tế sử dụng'!$A5,'01. MB51 - Data xuất 943'!$V:$V,'03. Chi tiết thực tế sử dụng'!K$2)</f>
        <v>0</v>
      </c>
      <c r="L5" s="24">
        <f>-SUMIFS('01. MB51 - Data xuất 943'!$J:$J,'01. MB51 - Data xuất 943'!$A:$A,'03. Chi tiết thực tế sử dụng'!$B5,'01. MB51 - Data xuất 943'!$U:$U,'03. Chi tiết thực tế sử dụng'!$A5,'01. MB51 - Data xuất 943'!$V:$V,'03. Chi tiết thực tế sử dụng'!L$2)</f>
        <v>0</v>
      </c>
      <c r="M5" s="24">
        <f>-SUMIFS('01. MB51 - Data xuất 943'!$J:$J,'01. MB51 - Data xuất 943'!$A:$A,'03. Chi tiết thực tế sử dụng'!$B5,'01. MB51 - Data xuất 943'!$U:$U,'03. Chi tiết thực tế sử dụng'!$A5,'01. MB51 - Data xuất 943'!$V:$V,'03. Chi tiết thực tế sử dụng'!M$2)</f>
        <v>0</v>
      </c>
      <c r="N5" s="24">
        <f>-SUMIFS('01. MB51 - Data xuất 943'!$J:$J,'01. MB51 - Data xuất 943'!$A:$A,'03. Chi tiết thực tế sử dụng'!$B5,'01. MB51 - Data xuất 943'!$U:$U,'03. Chi tiết thực tế sử dụng'!$A5,'01. MB51 - Data xuất 943'!$V:$V,'03. Chi tiết thực tế sử dụng'!N$2)</f>
        <v>0</v>
      </c>
      <c r="O5" s="24">
        <f>-SUMIFS('01. MB51 - Data xuất 943'!$J:$J,'01. MB51 - Data xuất 943'!$A:$A,'03. Chi tiết thực tế sử dụng'!$B5,'01. MB51 - Data xuất 943'!$U:$U,'03. Chi tiết thực tế sử dụng'!$A5,'01. MB51 - Data xuất 943'!$V:$V,'03. Chi tiết thực tế sử dụng'!O$2)</f>
        <v>13</v>
      </c>
      <c r="P5" s="24">
        <f>-SUMIFS('01. MB51 - Data xuất 943'!$J:$J,'01. MB51 - Data xuất 943'!$A:$A,'03. Chi tiết thực tế sử dụng'!$B5,'01. MB51 - Data xuất 943'!$U:$U,'03. Chi tiết thực tế sử dụng'!$A5,'01. MB51 - Data xuất 943'!$V:$V,'03. Chi tiết thực tế sử dụng'!P$2)</f>
        <v>0</v>
      </c>
      <c r="Q5" s="24">
        <f>-SUMIFS('01. MB51 - Data xuất 943'!$J:$J,'01. MB51 - Data xuất 943'!$A:$A,'03. Chi tiết thực tế sử dụng'!$B5,'01. MB51 - Data xuất 943'!$U:$U,'03. Chi tiết thực tế sử dụng'!$A5,'01. MB51 - Data xuất 943'!$V:$V,'03. Chi tiết thực tế sử dụng'!Q$2)</f>
        <v>0</v>
      </c>
      <c r="R5" s="24">
        <f>+SUM(E5:Q5)</f>
        <v>13</v>
      </c>
      <c r="S5" s="28">
        <f>+R5/$R$7</f>
        <v>7.8031839366843309E-5</v>
      </c>
      <c r="T5" t="s">
        <v>232</v>
      </c>
    </row>
    <row r="6" spans="1:21">
      <c r="A6" s="7" t="s">
        <v>31</v>
      </c>
      <c r="B6" s="7" t="s">
        <v>371</v>
      </c>
      <c r="C6" s="7" t="s">
        <v>372</v>
      </c>
      <c r="D6" s="7"/>
      <c r="E6" s="24">
        <f>-SUMIFS('01. MB51 - Data xuất 943'!$J:$J,'01. MB51 - Data xuất 943'!$A:$A,'03. Chi tiết thực tế sử dụng'!$B6,'01. MB51 - Data xuất 943'!$U:$U,'03. Chi tiết thực tế sử dụng'!$A6,'01. MB51 - Data xuất 943'!$V:$V,'03. Chi tiết thực tế sử dụng'!E$2)</f>
        <v>0</v>
      </c>
      <c r="F6" s="24">
        <f>-SUMIFS('01. MB51 - Data xuất 943'!$J:$J,'01. MB51 - Data xuất 943'!$A:$A,'03. Chi tiết thực tế sử dụng'!$B6,'01. MB51 - Data xuất 943'!$U:$U,'03. Chi tiết thực tế sử dụng'!$A6,'01. MB51 - Data xuất 943'!$V:$V,'03. Chi tiết thực tế sử dụng'!F$2)</f>
        <v>0</v>
      </c>
      <c r="G6" s="24">
        <f>-SUMIFS('01. MB51 - Data xuất 943'!$J:$J,'01. MB51 - Data xuất 943'!$A:$A,'03. Chi tiết thực tế sử dụng'!$B6,'01. MB51 - Data xuất 943'!$U:$U,'03. Chi tiết thực tế sử dụng'!$A6,'01. MB51 - Data xuất 943'!$V:$V,'03. Chi tiết thực tế sử dụng'!G$2)</f>
        <v>0</v>
      </c>
      <c r="H6" s="24">
        <f>-SUMIFS('01. MB51 - Data xuất 943'!$J:$J,'01. MB51 - Data xuất 943'!$A:$A,'03. Chi tiết thực tế sử dụng'!$B6,'01. MB51 - Data xuất 943'!$U:$U,'03. Chi tiết thực tế sử dụng'!$A6,'01. MB51 - Data xuất 943'!$V:$V,'03. Chi tiết thực tế sử dụng'!H$2)</f>
        <v>0</v>
      </c>
      <c r="I6" s="24">
        <f>-SUMIFS('01. MB51 - Data xuất 943'!$J:$J,'01. MB51 - Data xuất 943'!$A:$A,'03. Chi tiết thực tế sử dụng'!$B6,'01. MB51 - Data xuất 943'!$U:$U,'03. Chi tiết thực tế sử dụng'!$A6,'01. MB51 - Data xuất 943'!$V:$V,'03. Chi tiết thực tế sử dụng'!I$2)</f>
        <v>0</v>
      </c>
      <c r="J6" s="24">
        <f>-SUMIFS('01. MB51 - Data xuất 943'!$J:$J,'01. MB51 - Data xuất 943'!$A:$A,'03. Chi tiết thực tế sử dụng'!$B6,'01. MB51 - Data xuất 943'!$U:$U,'03. Chi tiết thực tế sử dụng'!$A6,'01. MB51 - Data xuất 943'!$V:$V,'03. Chi tiết thực tế sử dụng'!J$2)</f>
        <v>0</v>
      </c>
      <c r="K6" s="24">
        <f>-SUMIFS('01. MB51 - Data xuất 943'!$J:$J,'01. MB51 - Data xuất 943'!$A:$A,'03. Chi tiết thực tế sử dụng'!$B6,'01. MB51 - Data xuất 943'!$U:$U,'03. Chi tiết thực tế sử dụng'!$A6,'01. MB51 - Data xuất 943'!$V:$V,'03. Chi tiết thực tế sử dụng'!K$2)</f>
        <v>0</v>
      </c>
      <c r="L6" s="24">
        <f>-SUMIFS('01. MB51 - Data xuất 943'!$J:$J,'01. MB51 - Data xuất 943'!$A:$A,'03. Chi tiết thực tế sử dụng'!$B6,'01. MB51 - Data xuất 943'!$U:$U,'03. Chi tiết thực tế sử dụng'!$A6,'01. MB51 - Data xuất 943'!$V:$V,'03. Chi tiết thực tế sử dụng'!L$2)</f>
        <v>0</v>
      </c>
      <c r="M6" s="24">
        <f>-SUMIFS('01. MB51 - Data xuất 943'!$J:$J,'01. MB51 - Data xuất 943'!$A:$A,'03. Chi tiết thực tế sử dụng'!$B6,'01. MB51 - Data xuất 943'!$U:$U,'03. Chi tiết thực tế sử dụng'!$A6,'01. MB51 - Data xuất 943'!$V:$V,'03. Chi tiết thực tế sử dụng'!M$2)</f>
        <v>0</v>
      </c>
      <c r="N6" s="24">
        <f>-SUMIFS('01. MB51 - Data xuất 943'!$J:$J,'01. MB51 - Data xuất 943'!$A:$A,'03. Chi tiết thực tế sử dụng'!$B6,'01. MB51 - Data xuất 943'!$U:$U,'03. Chi tiết thực tế sử dụng'!$A6,'01. MB51 - Data xuất 943'!$V:$V,'03. Chi tiết thực tế sử dụng'!N$2)</f>
        <v>0</v>
      </c>
      <c r="O6" s="24">
        <f>-SUMIFS('01. MB51 - Data xuất 943'!$J:$J,'01. MB51 - Data xuất 943'!$A:$A,'03. Chi tiết thực tế sử dụng'!$B6,'01. MB51 - Data xuất 943'!$U:$U,'03. Chi tiết thực tế sử dụng'!$A6,'01. MB51 - Data xuất 943'!$V:$V,'03. Chi tiết thực tế sử dụng'!O$2)</f>
        <v>100</v>
      </c>
      <c r="P6" s="24">
        <f>-SUMIFS('01. MB51 - Data xuất 943'!$J:$J,'01. MB51 - Data xuất 943'!$A:$A,'03. Chi tiết thực tế sử dụng'!$B6,'01. MB51 - Data xuất 943'!$U:$U,'03. Chi tiết thực tế sử dụng'!$A6,'01. MB51 - Data xuất 943'!$V:$V,'03. Chi tiết thực tế sử dụng'!P$2)</f>
        <v>0</v>
      </c>
      <c r="Q6" s="24">
        <f>-SUMIFS('01. MB51 - Data xuất 943'!$J:$J,'01. MB51 - Data xuất 943'!$A:$A,'03. Chi tiết thực tế sử dụng'!$B6,'01. MB51 - Data xuất 943'!$U:$U,'03. Chi tiết thực tế sử dụng'!$A6,'01. MB51 - Data xuất 943'!$V:$V,'03. Chi tiết thực tế sử dụng'!Q$2)</f>
        <v>0</v>
      </c>
      <c r="R6" s="24">
        <f t="shared" ref="R6:R18" si="2">+SUM(E6:Q6)</f>
        <v>100</v>
      </c>
      <c r="S6" s="28">
        <f>+R6/$R$7</f>
        <v>6.0024491820648697E-4</v>
      </c>
    </row>
    <row r="7" spans="1:21">
      <c r="A7" s="25"/>
      <c r="B7" s="25"/>
      <c r="C7" s="25"/>
      <c r="D7" s="25"/>
      <c r="E7" s="26">
        <f>'02. Số tấn luân chuyển'!V10</f>
        <v>14174.800174999998</v>
      </c>
      <c r="F7" s="26">
        <f>'02. Số tấn luân chuyển'!W10</f>
        <v>6156.8805135000002</v>
      </c>
      <c r="G7" s="26">
        <f>'02. Số tấn luân chuyển'!X10</f>
        <v>11625.706658999999</v>
      </c>
      <c r="H7" s="26">
        <f>'02. Số tấn luân chuyển'!Y10</f>
        <v>15651.243334499999</v>
      </c>
      <c r="I7" s="26">
        <f>'02. Số tấn luân chuyển'!Z10</f>
        <v>13685.272417</v>
      </c>
      <c r="J7" s="26">
        <f>'02. Số tấn luân chuyển'!AA10</f>
        <v>16799.209114500001</v>
      </c>
      <c r="K7" s="26">
        <f>'02. Số tấn luân chuyển'!AB10</f>
        <v>14910.407833000001</v>
      </c>
      <c r="L7" s="26">
        <f>'02. Số tấn luân chuyển'!AC10</f>
        <v>15756.919282000001</v>
      </c>
      <c r="M7" s="26">
        <f>'02. Số tấn luân chuyển'!AD10</f>
        <v>16518.573199999999</v>
      </c>
      <c r="N7" s="26">
        <f>'02. Số tấn luân chuyển'!AE10</f>
        <v>15772.913</v>
      </c>
      <c r="O7" s="26">
        <f>'02. Số tấn luân chuyển'!AF10</f>
        <v>14483.331719</v>
      </c>
      <c r="P7" s="26">
        <f>'02. Số tấn luân chuyển'!AG10</f>
        <v>11063.404343500002</v>
      </c>
      <c r="Q7" s="26">
        <f>'02. Số tấn luân chuyển'!AH10</f>
        <v>0</v>
      </c>
      <c r="R7" s="26">
        <f t="shared" si="2"/>
        <v>166598.66159100001</v>
      </c>
      <c r="T7" s="27">
        <f>+R5+R6</f>
        <v>113</v>
      </c>
      <c r="U7" s="57">
        <f>+T7/R7</f>
        <v>6.7827675757333025E-4</v>
      </c>
    </row>
    <row r="8" spans="1:21">
      <c r="A8" s="7" t="s">
        <v>228</v>
      </c>
      <c r="B8" s="7" t="s">
        <v>15</v>
      </c>
      <c r="C8" s="7" t="s">
        <v>16</v>
      </c>
      <c r="D8" s="7"/>
      <c r="E8" s="24">
        <f>-SUMIFS('01. MB51 - Data xuất 943'!$J:$J,'01. MB51 - Data xuất 943'!$A:$A,'03. Chi tiết thực tế sử dụng'!$B8,'01. MB51 - Data xuất 943'!$U:$U,'03. Chi tiết thực tế sử dụng'!$A8,'01. MB51 - Data xuất 943'!$V:$V,'03. Chi tiết thực tế sử dụng'!E$2)</f>
        <v>10</v>
      </c>
      <c r="F8" s="24">
        <f>-SUMIFS('01. MB51 - Data xuất 943'!$J:$J,'01. MB51 - Data xuất 943'!$A:$A,'03. Chi tiết thực tế sử dụng'!$B8,'01. MB51 - Data xuất 943'!$U:$U,'03. Chi tiết thực tế sử dụng'!$A8,'01. MB51 - Data xuất 943'!$V:$V,'03. Chi tiết thực tế sử dụng'!F$2)</f>
        <v>0</v>
      </c>
      <c r="G8" s="24">
        <f>-SUMIFS('01. MB51 - Data xuất 943'!$J:$J,'01. MB51 - Data xuất 943'!$A:$A,'03. Chi tiết thực tế sử dụng'!$B8,'01. MB51 - Data xuất 943'!$U:$U,'03. Chi tiết thực tế sử dụng'!$A8,'01. MB51 - Data xuất 943'!$V:$V,'03. Chi tiết thực tế sử dụng'!G$2)</f>
        <v>0</v>
      </c>
      <c r="H8" s="24">
        <f>-SUMIFS('01. MB51 - Data xuất 943'!$J:$J,'01. MB51 - Data xuất 943'!$A:$A,'03. Chi tiết thực tế sử dụng'!$B8,'01. MB51 - Data xuất 943'!$U:$U,'03. Chi tiết thực tế sử dụng'!$A8,'01. MB51 - Data xuất 943'!$V:$V,'03. Chi tiết thực tế sử dụng'!H$2)</f>
        <v>0</v>
      </c>
      <c r="I8" s="24">
        <f>-SUMIFS('01. MB51 - Data xuất 943'!$J:$J,'01. MB51 - Data xuất 943'!$A:$A,'03. Chi tiết thực tế sử dụng'!$B8,'01. MB51 - Data xuất 943'!$U:$U,'03. Chi tiết thực tế sử dụng'!$A8,'01. MB51 - Data xuất 943'!$V:$V,'03. Chi tiết thực tế sử dụng'!I$2)</f>
        <v>0</v>
      </c>
      <c r="J8" s="24">
        <f>-SUMIFS('01. MB51 - Data xuất 943'!$J:$J,'01. MB51 - Data xuất 943'!$A:$A,'03. Chi tiết thực tế sử dụng'!$B8,'01. MB51 - Data xuất 943'!$U:$U,'03. Chi tiết thực tế sử dụng'!$A8,'01. MB51 - Data xuất 943'!$V:$V,'03. Chi tiết thực tế sử dụng'!J$2)</f>
        <v>0</v>
      </c>
      <c r="K8" s="24">
        <f>-SUMIFS('01. MB51 - Data xuất 943'!$J:$J,'01. MB51 - Data xuất 943'!$A:$A,'03. Chi tiết thực tế sử dụng'!$B8,'01. MB51 - Data xuất 943'!$U:$U,'03. Chi tiết thực tế sử dụng'!$A8,'01. MB51 - Data xuất 943'!$V:$V,'03. Chi tiết thực tế sử dụng'!K$2)</f>
        <v>0</v>
      </c>
      <c r="L8" s="24">
        <f>-SUMIFS('01. MB51 - Data xuất 943'!$J:$J,'01. MB51 - Data xuất 943'!$A:$A,'03. Chi tiết thực tế sử dụng'!$B8,'01. MB51 - Data xuất 943'!$U:$U,'03. Chi tiết thực tế sử dụng'!$A8,'01. MB51 - Data xuất 943'!$V:$V,'03. Chi tiết thực tế sử dụng'!L$2)</f>
        <v>0</v>
      </c>
      <c r="M8" s="24">
        <f>-SUMIFS('01. MB51 - Data xuất 943'!$J:$J,'01. MB51 - Data xuất 943'!$A:$A,'03. Chi tiết thực tế sử dụng'!$B8,'01. MB51 - Data xuất 943'!$U:$U,'03. Chi tiết thực tế sử dụng'!$A8,'01. MB51 - Data xuất 943'!$V:$V,'03. Chi tiết thực tế sử dụng'!M$2)</f>
        <v>0</v>
      </c>
      <c r="N8" s="24">
        <f>-SUMIFS('01. MB51 - Data xuất 943'!$J:$J,'01. MB51 - Data xuất 943'!$A:$A,'03. Chi tiết thực tế sử dụng'!$B8,'01. MB51 - Data xuất 943'!$U:$U,'03. Chi tiết thực tế sử dụng'!$A8,'01. MB51 - Data xuất 943'!$V:$V,'03. Chi tiết thực tế sử dụng'!N$2)</f>
        <v>0</v>
      </c>
      <c r="O8" s="24">
        <f>-SUMIFS('01. MB51 - Data xuất 943'!$J:$J,'01. MB51 - Data xuất 943'!$A:$A,'03. Chi tiết thực tế sử dụng'!$B8,'01. MB51 - Data xuất 943'!$U:$U,'03. Chi tiết thực tế sử dụng'!$A8,'01. MB51 - Data xuất 943'!$V:$V,'03. Chi tiết thực tế sử dụng'!O$2)</f>
        <v>0</v>
      </c>
      <c r="P8" s="24">
        <f>-SUMIFS('01. MB51 - Data xuất 943'!$J:$J,'01. MB51 - Data xuất 943'!$A:$A,'03. Chi tiết thực tế sử dụng'!$B8,'01. MB51 - Data xuất 943'!$U:$U,'03. Chi tiết thực tế sử dụng'!$A8,'01. MB51 - Data xuất 943'!$V:$V,'03. Chi tiết thực tế sử dụng'!P$2)</f>
        <v>0</v>
      </c>
      <c r="Q8" s="24">
        <f>-SUMIFS('01. MB51 - Data xuất 943'!$J:$J,'01. MB51 - Data xuất 943'!$A:$A,'03. Chi tiết thực tế sử dụng'!$B8,'01. MB51 - Data xuất 943'!$U:$U,'03. Chi tiết thực tế sử dụng'!$A8,'01. MB51 - Data xuất 943'!$V:$V,'03. Chi tiết thực tế sử dụng'!Q$2)</f>
        <v>0</v>
      </c>
      <c r="R8" s="24">
        <f>+SUM(E8:Q8)</f>
        <v>10</v>
      </c>
      <c r="S8" s="28">
        <f>+R8/$R$11</f>
        <v>4.6712982911854785E-4</v>
      </c>
    </row>
    <row r="9" spans="1:21">
      <c r="A9" s="7" t="s">
        <v>228</v>
      </c>
      <c r="B9" s="7" t="s">
        <v>11</v>
      </c>
      <c r="C9" s="7" t="s">
        <v>12</v>
      </c>
      <c r="D9" s="7"/>
      <c r="E9" s="24">
        <f>-SUMIFS('01. MB51 - Data xuất 943'!$J:$J,'01. MB51 - Data xuất 943'!$A:$A,'03. Chi tiết thực tế sử dụng'!$B9,'01. MB51 - Data xuất 943'!$U:$U,'03. Chi tiết thực tế sử dụng'!$A9,'01. MB51 - Data xuất 943'!$V:$V,'03. Chi tiết thực tế sử dụng'!E$2)</f>
        <v>0</v>
      </c>
      <c r="F9" s="24">
        <f>-SUMIFS('01. MB51 - Data xuất 943'!$J:$J,'01. MB51 - Data xuất 943'!$A:$A,'03. Chi tiết thực tế sử dụng'!$B9,'01. MB51 - Data xuất 943'!$U:$U,'03. Chi tiết thực tế sử dụng'!$A9,'01. MB51 - Data xuất 943'!$V:$V,'03. Chi tiết thực tế sử dụng'!F$2)</f>
        <v>0</v>
      </c>
      <c r="G9" s="24">
        <f>-SUMIFS('01. MB51 - Data xuất 943'!$J:$J,'01. MB51 - Data xuất 943'!$A:$A,'03. Chi tiết thực tế sử dụng'!$B9,'01. MB51 - Data xuất 943'!$U:$U,'03. Chi tiết thực tế sử dụng'!$A9,'01. MB51 - Data xuất 943'!$V:$V,'03. Chi tiết thực tế sử dụng'!G$2)</f>
        <v>100</v>
      </c>
      <c r="H9" s="24">
        <f>-SUMIFS('01. MB51 - Data xuất 943'!$J:$J,'01. MB51 - Data xuất 943'!$A:$A,'03. Chi tiết thực tế sử dụng'!$B9,'01. MB51 - Data xuất 943'!$U:$U,'03. Chi tiết thực tế sử dụng'!$A9,'01. MB51 - Data xuất 943'!$V:$V,'03. Chi tiết thực tế sử dụng'!H$2)</f>
        <v>0</v>
      </c>
      <c r="I9" s="24">
        <f>-SUMIFS('01. MB51 - Data xuất 943'!$J:$J,'01. MB51 - Data xuất 943'!$A:$A,'03. Chi tiết thực tế sử dụng'!$B9,'01. MB51 - Data xuất 943'!$U:$U,'03. Chi tiết thực tế sử dụng'!$A9,'01. MB51 - Data xuất 943'!$V:$V,'03. Chi tiết thực tế sử dụng'!I$2)</f>
        <v>550</v>
      </c>
      <c r="J9" s="24">
        <f>-SUMIFS('01. MB51 - Data xuất 943'!$J:$J,'01. MB51 - Data xuất 943'!$A:$A,'03. Chi tiết thực tế sử dụng'!$B9,'01. MB51 - Data xuất 943'!$U:$U,'03. Chi tiết thực tế sử dụng'!$A9,'01. MB51 - Data xuất 943'!$V:$V,'03. Chi tiết thực tế sử dụng'!J$2)</f>
        <v>150</v>
      </c>
      <c r="K9" s="24">
        <f>-SUMIFS('01. MB51 - Data xuất 943'!$J:$J,'01. MB51 - Data xuất 943'!$A:$A,'03. Chi tiết thực tế sử dụng'!$B9,'01. MB51 - Data xuất 943'!$U:$U,'03. Chi tiết thực tế sử dụng'!$A9,'01. MB51 - Data xuất 943'!$V:$V,'03. Chi tiết thực tế sử dụng'!K$2)</f>
        <v>100</v>
      </c>
      <c r="L9" s="24">
        <f>-SUMIFS('01. MB51 - Data xuất 943'!$J:$J,'01. MB51 - Data xuất 943'!$A:$A,'03. Chi tiết thực tế sử dụng'!$B9,'01. MB51 - Data xuất 943'!$U:$U,'03. Chi tiết thực tế sử dụng'!$A9,'01. MB51 - Data xuất 943'!$V:$V,'03. Chi tiết thực tế sử dụng'!L$2)</f>
        <v>0</v>
      </c>
      <c r="M9" s="24">
        <f>-SUMIFS('01. MB51 - Data xuất 943'!$J:$J,'01. MB51 - Data xuất 943'!$A:$A,'03. Chi tiết thực tế sử dụng'!$B9,'01. MB51 - Data xuất 943'!$U:$U,'03. Chi tiết thực tế sử dụng'!$A9,'01. MB51 - Data xuất 943'!$V:$V,'03. Chi tiết thực tế sử dụng'!M$2)</f>
        <v>334</v>
      </c>
      <c r="N9" s="24">
        <f>-SUMIFS('01. MB51 - Data xuất 943'!$J:$J,'01. MB51 - Data xuất 943'!$A:$A,'03. Chi tiết thực tế sử dụng'!$B9,'01. MB51 - Data xuất 943'!$U:$U,'03. Chi tiết thực tế sử dụng'!$A9,'01. MB51 - Data xuất 943'!$V:$V,'03. Chi tiết thực tế sử dụng'!N$2)</f>
        <v>0</v>
      </c>
      <c r="O9" s="24">
        <f>-SUMIFS('01. MB51 - Data xuất 943'!$J:$J,'01. MB51 - Data xuất 943'!$A:$A,'03. Chi tiết thực tế sử dụng'!$B9,'01. MB51 - Data xuất 943'!$U:$U,'03. Chi tiết thực tế sử dụng'!$A9,'01. MB51 - Data xuất 943'!$V:$V,'03. Chi tiết thực tế sử dụng'!O$2)</f>
        <v>0</v>
      </c>
      <c r="P9" s="24">
        <f>-SUMIFS('01. MB51 - Data xuất 943'!$J:$J,'01. MB51 - Data xuất 943'!$A:$A,'03. Chi tiết thực tế sử dụng'!$B9,'01. MB51 - Data xuất 943'!$U:$U,'03. Chi tiết thực tế sử dụng'!$A9,'01. MB51 - Data xuất 943'!$V:$V,'03. Chi tiết thực tế sử dụng'!P$2)</f>
        <v>0</v>
      </c>
      <c r="Q9" s="24">
        <f>-SUMIFS('01. MB51 - Data xuất 943'!$J:$J,'01. MB51 - Data xuất 943'!$A:$A,'03. Chi tiết thực tế sử dụng'!$B9,'01. MB51 - Data xuất 943'!$U:$U,'03. Chi tiết thực tế sử dụng'!$A9,'01. MB51 - Data xuất 943'!$V:$V,'03. Chi tiết thực tế sử dụng'!Q$2)</f>
        <v>0</v>
      </c>
      <c r="R9" s="24">
        <f t="shared" si="2"/>
        <v>1234</v>
      </c>
      <c r="S9" s="28">
        <f>+R9/$R$11</f>
        <v>5.7643820913228803E-2</v>
      </c>
      <c r="T9" s="34">
        <f>+S9+S10</f>
        <v>0.10202115467949086</v>
      </c>
    </row>
    <row r="10" spans="1:21">
      <c r="A10" s="7" t="s">
        <v>228</v>
      </c>
      <c r="B10" s="7" t="s">
        <v>19</v>
      </c>
      <c r="C10" s="56" t="s">
        <v>20</v>
      </c>
      <c r="D10" s="7"/>
      <c r="E10" s="24">
        <f>-SUMIFS('01. MB51 - Data xuất 943'!$J:$J,'01. MB51 - Data xuất 943'!$A:$A,'03. Chi tiết thực tế sử dụng'!$B10,'01. MB51 - Data xuất 943'!$U:$U,'03. Chi tiết thực tế sử dụng'!$A10,'01. MB51 - Data xuất 943'!$V:$V,'03. Chi tiết thực tế sử dụng'!E$2)</f>
        <v>200</v>
      </c>
      <c r="F10" s="24">
        <f>-SUMIFS('01. MB51 - Data xuất 943'!$J:$J,'01. MB51 - Data xuất 943'!$A:$A,'03. Chi tiết thực tế sử dụng'!$B10,'01. MB51 - Data xuất 943'!$U:$U,'03. Chi tiết thực tế sử dụng'!$A10,'01. MB51 - Data xuất 943'!$V:$V,'03. Chi tiết thực tế sử dụng'!F$2)</f>
        <v>450</v>
      </c>
      <c r="G10" s="24">
        <f>-SUMIFS('01. MB51 - Data xuất 943'!$J:$J,'01. MB51 - Data xuất 943'!$A:$A,'03. Chi tiết thực tế sử dụng'!$B10,'01. MB51 - Data xuất 943'!$U:$U,'03. Chi tiết thực tế sử dụng'!$A10,'01. MB51 - Data xuất 943'!$V:$V,'03. Chi tiết thực tế sử dụng'!G$2)</f>
        <v>300</v>
      </c>
      <c r="H10" s="24">
        <f>-SUMIFS('01. MB51 - Data xuất 943'!$J:$J,'01. MB51 - Data xuất 943'!$A:$A,'03. Chi tiết thực tế sử dụng'!$B10,'01. MB51 - Data xuất 943'!$U:$U,'03. Chi tiết thực tế sử dụng'!$A10,'01. MB51 - Data xuất 943'!$V:$V,'03. Chi tiết thực tế sử dụng'!H$2)</f>
        <v>0</v>
      </c>
      <c r="I10" s="24">
        <f>-SUMIFS('01. MB51 - Data xuất 943'!$J:$J,'01. MB51 - Data xuất 943'!$A:$A,'03. Chi tiết thực tế sử dụng'!$B10,'01. MB51 - Data xuất 943'!$U:$U,'03. Chi tiết thực tế sử dụng'!$A10,'01. MB51 - Data xuất 943'!$V:$V,'03. Chi tiết thực tế sử dụng'!I$2)</f>
        <v>0</v>
      </c>
      <c r="J10" s="24">
        <f>-SUMIFS('01. MB51 - Data xuất 943'!$J:$J,'01. MB51 - Data xuất 943'!$A:$A,'03. Chi tiết thực tế sử dụng'!$B10,'01. MB51 - Data xuất 943'!$U:$U,'03. Chi tiết thực tế sử dụng'!$A10,'01. MB51 - Data xuất 943'!$V:$V,'03. Chi tiết thực tế sử dụng'!J$2)</f>
        <v>0</v>
      </c>
      <c r="K10" s="24">
        <f>-SUMIFS('01. MB51 - Data xuất 943'!$J:$J,'01. MB51 - Data xuất 943'!$A:$A,'03. Chi tiết thực tế sử dụng'!$B10,'01. MB51 - Data xuất 943'!$U:$U,'03. Chi tiết thực tế sử dụng'!$A10,'01. MB51 - Data xuất 943'!$V:$V,'03. Chi tiết thực tế sử dụng'!K$2)</f>
        <v>0</v>
      </c>
      <c r="L10" s="24">
        <f>-SUMIFS('01. MB51 - Data xuất 943'!$J:$J,'01. MB51 - Data xuất 943'!$A:$A,'03. Chi tiết thực tế sử dụng'!$B10,'01. MB51 - Data xuất 943'!$U:$U,'03. Chi tiết thực tế sử dụng'!$A10,'01. MB51 - Data xuất 943'!$V:$V,'03. Chi tiết thực tế sử dụng'!L$2)</f>
        <v>0</v>
      </c>
      <c r="M10" s="24">
        <f>-SUMIFS('01. MB51 - Data xuất 943'!$J:$J,'01. MB51 - Data xuất 943'!$A:$A,'03. Chi tiết thực tế sử dụng'!$B10,'01. MB51 - Data xuất 943'!$U:$U,'03. Chi tiết thực tế sử dụng'!$A10,'01. MB51 - Data xuất 943'!$V:$V,'03. Chi tiết thực tế sử dụng'!M$2)</f>
        <v>0</v>
      </c>
      <c r="N10" s="24">
        <f>-SUMIFS('01. MB51 - Data xuất 943'!$J:$J,'01. MB51 - Data xuất 943'!$A:$A,'03. Chi tiết thực tế sử dụng'!$B10,'01. MB51 - Data xuất 943'!$U:$U,'03. Chi tiết thực tế sử dụng'!$A10,'01. MB51 - Data xuất 943'!$V:$V,'03. Chi tiết thực tế sử dụng'!N$2)</f>
        <v>0</v>
      </c>
      <c r="O10" s="24">
        <f>-SUMIFS('01. MB51 - Data xuất 943'!$J:$J,'01. MB51 - Data xuất 943'!$A:$A,'03. Chi tiết thực tế sử dụng'!$B10,'01. MB51 - Data xuất 943'!$U:$U,'03. Chi tiết thực tế sử dụng'!$A10,'01. MB51 - Data xuất 943'!$V:$V,'03. Chi tiết thực tế sử dụng'!O$2)</f>
        <v>0</v>
      </c>
      <c r="P10" s="24">
        <f>-SUMIFS('01. MB51 - Data xuất 943'!$J:$J,'01. MB51 - Data xuất 943'!$A:$A,'03. Chi tiết thực tế sử dụng'!$B10,'01. MB51 - Data xuất 943'!$U:$U,'03. Chi tiết thực tế sử dụng'!$A10,'01. MB51 - Data xuất 943'!$V:$V,'03. Chi tiết thực tế sử dụng'!P$2)</f>
        <v>0</v>
      </c>
      <c r="Q10" s="24">
        <f>-SUMIFS('01. MB51 - Data xuất 943'!$J:$J,'01. MB51 - Data xuất 943'!$A:$A,'03. Chi tiết thực tế sử dụng'!$B10,'01. MB51 - Data xuất 943'!$U:$U,'03. Chi tiết thực tế sử dụng'!$A10,'01. MB51 - Data xuất 943'!$V:$V,'03. Chi tiết thực tế sử dụng'!Q$2)</f>
        <v>0</v>
      </c>
      <c r="R10" s="24">
        <f t="shared" si="2"/>
        <v>950</v>
      </c>
      <c r="S10" s="28">
        <f t="shared" ref="S10" si="3">+R10/$R$11</f>
        <v>4.4377333766262045E-2</v>
      </c>
      <c r="T10" s="34"/>
    </row>
    <row r="11" spans="1:21">
      <c r="A11" s="25"/>
      <c r="B11" s="25"/>
      <c r="C11" s="25"/>
      <c r="D11" s="25"/>
      <c r="E11" s="26">
        <f>'02. Số tấn luân chuyển'!V11</f>
        <v>1673.0862000000002</v>
      </c>
      <c r="F11" s="26">
        <f>'02. Số tấn luân chuyển'!W11</f>
        <v>1192.587</v>
      </c>
      <c r="G11" s="26">
        <f>'02. Số tấn luân chuyển'!X11</f>
        <v>1491.4139499999997</v>
      </c>
      <c r="H11" s="26">
        <f>'02. Số tấn luân chuyển'!Y11</f>
        <v>2255.6559999999999</v>
      </c>
      <c r="I11" s="26">
        <f>'02. Số tấn luân chuyển'!Z11</f>
        <v>1863.1251500000001</v>
      </c>
      <c r="J11" s="26">
        <f>'02. Số tấn luân chuyển'!AA11</f>
        <v>1954.6244449999929</v>
      </c>
      <c r="K11" s="26">
        <f>'02. Số tấn luân chuyển'!AB11</f>
        <v>2011.9509</v>
      </c>
      <c r="L11" s="26">
        <f>'02. Số tấn luân chuyển'!AC11</f>
        <v>1954.2637599999998</v>
      </c>
      <c r="M11" s="26">
        <f>'02. Số tấn luân chuyển'!AD11</f>
        <v>2202.76433</v>
      </c>
      <c r="N11" s="26">
        <f>'02. Số tấn luân chuyển'!AE11</f>
        <v>1687.519517</v>
      </c>
      <c r="O11" s="26">
        <f>'02. Số tấn luân chuyển'!AF11</f>
        <v>1675.3063999999999</v>
      </c>
      <c r="P11" s="26">
        <f>'02. Số tấn luân chuyển'!AG11</f>
        <v>1445.0272</v>
      </c>
      <c r="Q11" s="26">
        <f>'02. Số tấn luân chuyển'!AH11</f>
        <v>0</v>
      </c>
      <c r="R11" s="26">
        <f t="shared" si="2"/>
        <v>21407.324851999994</v>
      </c>
    </row>
    <row r="12" spans="1:21">
      <c r="A12" s="7" t="s">
        <v>34</v>
      </c>
      <c r="B12" s="7" t="s">
        <v>7</v>
      </c>
      <c r="C12" s="7" t="s">
        <v>8</v>
      </c>
      <c r="D12" s="7" t="s">
        <v>254</v>
      </c>
      <c r="E12" s="24">
        <f>-SUMIFS('01. MB51 - Data xuất 943'!$J:$J,'01. MB51 - Data xuất 943'!$A:$A,'03. Chi tiết thực tế sử dụng'!$B12,'01. MB51 - Data xuất 943'!$U:$U,'03. Chi tiết thực tế sử dụng'!$A12,'01. MB51 - Data xuất 943'!$V:$V,'03. Chi tiết thực tế sử dụng'!E$2)</f>
        <v>600</v>
      </c>
      <c r="F12" s="24">
        <f>-SUMIFS('01. MB51 - Data xuất 943'!$J:$J,'01. MB51 - Data xuất 943'!$A:$A,'03. Chi tiết thực tế sử dụng'!$B12,'01. MB51 - Data xuất 943'!$U:$U,'03. Chi tiết thực tế sử dụng'!$A12,'01. MB51 - Data xuất 943'!$V:$V,'03. Chi tiết thực tế sử dụng'!F$2)</f>
        <v>800</v>
      </c>
      <c r="G12" s="24">
        <f>-SUMIFS('01. MB51 - Data xuất 943'!$J:$J,'01. MB51 - Data xuất 943'!$A:$A,'03. Chi tiết thực tế sử dụng'!$B12,'01. MB51 - Data xuất 943'!$U:$U,'03. Chi tiết thực tế sử dụng'!$A12,'01. MB51 - Data xuất 943'!$V:$V,'03. Chi tiết thực tế sử dụng'!G$2)</f>
        <v>1100</v>
      </c>
      <c r="H12" s="75">
        <f>-SUMIFS('01. MB51 - Data xuất 943'!$J:$J,'01. MB51 - Data xuất 943'!$A:$A,'03. Chi tiết thực tế sử dụng'!$B12,'01. MB51 - Data xuất 943'!$U:$U,'03. Chi tiết thực tế sử dụng'!$A12,'01. MB51 - Data xuất 943'!$V:$V,'03. Chi tiết thực tế sử dụng'!H$2)</f>
        <v>800</v>
      </c>
      <c r="I12" s="24">
        <f>-SUMIFS('01. MB51 - Data xuất 943'!$J:$J,'01. MB51 - Data xuất 943'!$A:$A,'03. Chi tiết thực tế sử dụng'!$B12,'01. MB51 - Data xuất 943'!$U:$U,'03. Chi tiết thực tế sử dụng'!$A12,'01. MB51 - Data xuất 943'!$V:$V,'03. Chi tiết thực tế sử dụng'!I$2)</f>
        <v>900</v>
      </c>
      <c r="J12" s="24">
        <f>-SUMIFS('01. MB51 - Data xuất 943'!$J:$J,'01. MB51 - Data xuất 943'!$A:$A,'03. Chi tiết thực tế sử dụng'!$B12,'01. MB51 - Data xuất 943'!$U:$U,'03. Chi tiết thực tế sử dụng'!$A12,'01. MB51 - Data xuất 943'!$V:$V,'03. Chi tiết thực tế sử dụng'!J$2)</f>
        <v>300</v>
      </c>
      <c r="K12" s="24">
        <f>-SUMIFS('01. MB51 - Data xuất 943'!$J:$J,'01. MB51 - Data xuất 943'!$A:$A,'03. Chi tiết thực tế sử dụng'!$B12,'01. MB51 - Data xuất 943'!$U:$U,'03. Chi tiết thực tế sử dụng'!$A12,'01. MB51 - Data xuất 943'!$V:$V,'03. Chi tiết thực tế sử dụng'!K$2)</f>
        <v>400</v>
      </c>
      <c r="L12" s="24">
        <f>-SUMIFS('01. MB51 - Data xuất 943'!$J:$J,'01. MB51 - Data xuất 943'!$A:$A,'03. Chi tiết thực tế sử dụng'!$B12,'01. MB51 - Data xuất 943'!$U:$U,'03. Chi tiết thực tế sử dụng'!$A12,'01. MB51 - Data xuất 943'!$V:$V,'03. Chi tiết thực tế sử dụng'!L$2)</f>
        <v>300</v>
      </c>
      <c r="M12" s="24">
        <f>-SUMIFS('01. MB51 - Data xuất 943'!$J:$J,'01. MB51 - Data xuất 943'!$A:$A,'03. Chi tiết thực tế sử dụng'!$B12,'01. MB51 - Data xuất 943'!$U:$U,'03. Chi tiết thực tế sử dụng'!$A12,'01. MB51 - Data xuất 943'!$V:$V,'03. Chi tiết thực tế sử dụng'!M$2)</f>
        <v>200</v>
      </c>
      <c r="N12" s="24">
        <f>-SUMIFS('01. MB51 - Data xuất 943'!$J:$J,'01. MB51 - Data xuất 943'!$A:$A,'03. Chi tiết thực tế sử dụng'!$B12,'01. MB51 - Data xuất 943'!$U:$U,'03. Chi tiết thực tế sử dụng'!$A12,'01. MB51 - Data xuất 943'!$V:$V,'03. Chi tiết thực tế sử dụng'!N$2)</f>
        <v>200</v>
      </c>
      <c r="O12" s="24">
        <f>-SUMIFS('01. MB51 - Data xuất 943'!$J:$J,'01. MB51 - Data xuất 943'!$A:$A,'03. Chi tiết thực tế sử dụng'!$B12,'01. MB51 - Data xuất 943'!$U:$U,'03. Chi tiết thực tế sử dụng'!$A12,'01. MB51 - Data xuất 943'!$V:$V,'03. Chi tiết thực tế sử dụng'!O$2)</f>
        <v>200</v>
      </c>
      <c r="P12" s="24">
        <f>-SUMIFS('01. MB51 - Data xuất 943'!$J:$J,'01. MB51 - Data xuất 943'!$A:$A,'03. Chi tiết thực tế sử dụng'!$B12,'01. MB51 - Data xuất 943'!$U:$U,'03. Chi tiết thực tế sử dụng'!$A12,'01. MB51 - Data xuất 943'!$V:$V,'03. Chi tiết thực tế sử dụng'!P$2)</f>
        <v>120</v>
      </c>
      <c r="Q12" s="24">
        <f>-SUMIFS('01. MB51 - Data xuất 943'!$J:$J,'01. MB51 - Data xuất 943'!$A:$A,'03. Chi tiết thực tế sử dụng'!$B12,'01. MB51 - Data xuất 943'!$U:$U,'03. Chi tiết thực tế sử dụng'!$A12,'01. MB51 - Data xuất 943'!$V:$V,'03. Chi tiết thực tế sử dụng'!Q$2)</f>
        <v>0</v>
      </c>
      <c r="R12" s="24">
        <f t="shared" si="2"/>
        <v>5920</v>
      </c>
      <c r="S12" s="28">
        <f>+R12/$R$18</f>
        <v>2.4291627459465663E-2</v>
      </c>
    </row>
    <row r="13" spans="1:21">
      <c r="A13" s="7" t="s">
        <v>34</v>
      </c>
      <c r="B13" s="7" t="s">
        <v>81</v>
      </c>
      <c r="C13" s="7" t="s">
        <v>82</v>
      </c>
      <c r="D13" s="7"/>
      <c r="E13" s="24">
        <f>-SUMIFS('01. MB51 - Data xuất 943'!$J:$J,'01. MB51 - Data xuất 943'!$A:$A,'03. Chi tiết thực tế sử dụng'!$B13,'01. MB51 - Data xuất 943'!$U:$U,'03. Chi tiết thực tế sử dụng'!$A13,'01. MB51 - Data xuất 943'!$V:$V,'03. Chi tiết thực tế sử dụng'!E$2)</f>
        <v>0</v>
      </c>
      <c r="F13" s="24">
        <f>-SUMIFS('01. MB51 - Data xuất 943'!$J:$J,'01. MB51 - Data xuất 943'!$A:$A,'03. Chi tiết thực tế sử dụng'!$B13,'01. MB51 - Data xuất 943'!$U:$U,'03. Chi tiết thực tế sử dụng'!$A13,'01. MB51 - Data xuất 943'!$V:$V,'03. Chi tiết thực tế sử dụng'!F$2)</f>
        <v>0</v>
      </c>
      <c r="G13" s="24">
        <f>-SUMIFS('01. MB51 - Data xuất 943'!$J:$J,'01. MB51 - Data xuất 943'!$A:$A,'03. Chi tiết thực tế sử dụng'!$B13,'01. MB51 - Data xuất 943'!$U:$U,'03. Chi tiết thực tế sử dụng'!$A13,'01. MB51 - Data xuất 943'!$V:$V,'03. Chi tiết thực tế sử dụng'!G$2)</f>
        <v>0</v>
      </c>
      <c r="H13" s="75">
        <f>-SUMIFS('01. MB51 - Data xuất 943'!$J:$J,'01. MB51 - Data xuất 943'!$A:$A,'03. Chi tiết thực tế sử dụng'!$B13,'01. MB51 - Data xuất 943'!$U:$U,'03. Chi tiết thực tế sử dụng'!$A13,'01. MB51 - Data xuất 943'!$V:$V,'03. Chi tiết thực tế sử dụng'!H$2)</f>
        <v>0</v>
      </c>
      <c r="I13" s="24">
        <f>-SUMIFS('01. MB51 - Data xuất 943'!$J:$J,'01. MB51 - Data xuất 943'!$A:$A,'03. Chi tiết thực tế sử dụng'!$B13,'01. MB51 - Data xuất 943'!$U:$U,'03. Chi tiết thực tế sử dụng'!$A13,'01. MB51 - Data xuất 943'!$V:$V,'03. Chi tiết thực tế sử dụng'!I$2)</f>
        <v>0</v>
      </c>
      <c r="J13" s="24">
        <f>-SUMIFS('01. MB51 - Data xuất 943'!$J:$J,'01. MB51 - Data xuất 943'!$A:$A,'03. Chi tiết thực tế sử dụng'!$B13,'01. MB51 - Data xuất 943'!$U:$U,'03. Chi tiết thực tế sử dụng'!$A13,'01. MB51 - Data xuất 943'!$V:$V,'03. Chi tiết thực tế sử dụng'!J$2)</f>
        <v>5</v>
      </c>
      <c r="K13" s="24">
        <f>-SUMIFS('01. MB51 - Data xuất 943'!$J:$J,'01. MB51 - Data xuất 943'!$A:$A,'03. Chi tiết thực tế sử dụng'!$B13,'01. MB51 - Data xuất 943'!$U:$U,'03. Chi tiết thực tế sử dụng'!$A13,'01. MB51 - Data xuất 943'!$V:$V,'03. Chi tiết thực tế sử dụng'!K$2)</f>
        <v>0</v>
      </c>
      <c r="L13" s="24">
        <f>-SUMIFS('01. MB51 - Data xuất 943'!$J:$J,'01. MB51 - Data xuất 943'!$A:$A,'03. Chi tiết thực tế sử dụng'!$B13,'01. MB51 - Data xuất 943'!$U:$U,'03. Chi tiết thực tế sử dụng'!$A13,'01. MB51 - Data xuất 943'!$V:$V,'03. Chi tiết thực tế sử dụng'!L$2)</f>
        <v>0</v>
      </c>
      <c r="M13" s="24">
        <f>-SUMIFS('01. MB51 - Data xuất 943'!$J:$J,'01. MB51 - Data xuất 943'!$A:$A,'03. Chi tiết thực tế sử dụng'!$B13,'01. MB51 - Data xuất 943'!$U:$U,'03. Chi tiết thực tế sử dụng'!$A13,'01. MB51 - Data xuất 943'!$V:$V,'03. Chi tiết thực tế sử dụng'!M$2)</f>
        <v>0</v>
      </c>
      <c r="N13" s="24">
        <f>-SUMIFS('01. MB51 - Data xuất 943'!$J:$J,'01. MB51 - Data xuất 943'!$A:$A,'03. Chi tiết thực tế sử dụng'!$B13,'01. MB51 - Data xuất 943'!$U:$U,'03. Chi tiết thực tế sử dụng'!$A13,'01. MB51 - Data xuất 943'!$V:$V,'03. Chi tiết thực tế sử dụng'!N$2)</f>
        <v>0</v>
      </c>
      <c r="O13" s="24">
        <f>-SUMIFS('01. MB51 - Data xuất 943'!$J:$J,'01. MB51 - Data xuất 943'!$A:$A,'03. Chi tiết thực tế sử dụng'!$B13,'01. MB51 - Data xuất 943'!$U:$U,'03. Chi tiết thực tế sử dụng'!$A13,'01. MB51 - Data xuất 943'!$V:$V,'03. Chi tiết thực tế sử dụng'!O$2)</f>
        <v>0</v>
      </c>
      <c r="P13" s="24">
        <f>-SUMIFS('01. MB51 - Data xuất 943'!$J:$J,'01. MB51 - Data xuất 943'!$A:$A,'03. Chi tiết thực tế sử dụng'!$B13,'01. MB51 - Data xuất 943'!$U:$U,'03. Chi tiết thực tế sử dụng'!$A13,'01. MB51 - Data xuất 943'!$V:$V,'03. Chi tiết thực tế sử dụng'!P$2)</f>
        <v>0</v>
      </c>
      <c r="Q13" s="24">
        <f>-SUMIFS('01. MB51 - Data xuất 943'!$J:$J,'01. MB51 - Data xuất 943'!$A:$A,'03. Chi tiết thực tế sử dụng'!$B13,'01. MB51 - Data xuất 943'!$U:$U,'03. Chi tiết thực tế sử dụng'!$A13,'01. MB51 - Data xuất 943'!$V:$V,'03. Chi tiết thực tế sử dụng'!Q$2)</f>
        <v>0</v>
      </c>
      <c r="R13" s="24">
        <f t="shared" si="2"/>
        <v>5</v>
      </c>
      <c r="S13" s="28">
        <f t="shared" ref="S13:S17" si="4">+R13/$R$18</f>
        <v>2.0516577246170322E-5</v>
      </c>
    </row>
    <row r="14" spans="1:21">
      <c r="A14" s="7" t="s">
        <v>34</v>
      </c>
      <c r="B14" s="7" t="s">
        <v>15</v>
      </c>
      <c r="C14" s="7" t="s">
        <v>16</v>
      </c>
      <c r="D14" s="7"/>
      <c r="E14" s="24">
        <f>-SUMIFS('01. MB51 - Data xuất 943'!$J:$J,'01. MB51 - Data xuất 943'!$A:$A,'03. Chi tiết thực tế sử dụng'!$B14,'01. MB51 - Data xuất 943'!$U:$U,'03. Chi tiết thực tế sử dụng'!$A14,'01. MB51 - Data xuất 943'!$V:$V,'03. Chi tiết thực tế sử dụng'!E$2)</f>
        <v>0</v>
      </c>
      <c r="F14" s="24">
        <f>-SUMIFS('01. MB51 - Data xuất 943'!$J:$J,'01. MB51 - Data xuất 943'!$A:$A,'03. Chi tiết thực tế sử dụng'!$B14,'01. MB51 - Data xuất 943'!$U:$U,'03. Chi tiết thực tế sử dụng'!$A14,'01. MB51 - Data xuất 943'!$V:$V,'03. Chi tiết thực tế sử dụng'!F$2)</f>
        <v>0</v>
      </c>
      <c r="G14" s="24">
        <f>-SUMIFS('01. MB51 - Data xuất 943'!$J:$J,'01. MB51 - Data xuất 943'!$A:$A,'03. Chi tiết thực tế sử dụng'!$B14,'01. MB51 - Data xuất 943'!$U:$U,'03. Chi tiết thực tế sử dụng'!$A14,'01. MB51 - Data xuất 943'!$V:$V,'03. Chi tiết thực tế sử dụng'!G$2)</f>
        <v>0</v>
      </c>
      <c r="H14" s="75">
        <f>-SUMIFS('01. MB51 - Data xuất 943'!$J:$J,'01. MB51 - Data xuất 943'!$A:$A,'03. Chi tiết thực tế sử dụng'!$B14,'01. MB51 - Data xuất 943'!$U:$U,'03. Chi tiết thực tế sử dụng'!$A14,'01. MB51 - Data xuất 943'!$V:$V,'03. Chi tiết thực tế sử dụng'!H$2)</f>
        <v>0</v>
      </c>
      <c r="I14" s="24">
        <f>-SUMIFS('01. MB51 - Data xuất 943'!$J:$J,'01. MB51 - Data xuất 943'!$A:$A,'03. Chi tiết thực tế sử dụng'!$B14,'01. MB51 - Data xuất 943'!$U:$U,'03. Chi tiết thực tế sử dụng'!$A14,'01. MB51 - Data xuất 943'!$V:$V,'03. Chi tiết thực tế sử dụng'!I$2)</f>
        <v>0</v>
      </c>
      <c r="J14" s="24">
        <f>-SUMIFS('01. MB51 - Data xuất 943'!$J:$J,'01. MB51 - Data xuất 943'!$A:$A,'03. Chi tiết thực tế sử dụng'!$B14,'01. MB51 - Data xuất 943'!$U:$U,'03. Chi tiết thực tế sử dụng'!$A14,'01. MB51 - Data xuất 943'!$V:$V,'03. Chi tiết thực tế sử dụng'!J$2)</f>
        <v>5</v>
      </c>
      <c r="K14" s="24">
        <f>-SUMIFS('01. MB51 - Data xuất 943'!$J:$J,'01. MB51 - Data xuất 943'!$A:$A,'03. Chi tiết thực tế sử dụng'!$B14,'01. MB51 - Data xuất 943'!$U:$U,'03. Chi tiết thực tế sử dụng'!$A14,'01. MB51 - Data xuất 943'!$V:$V,'03. Chi tiết thực tế sử dụng'!K$2)</f>
        <v>0</v>
      </c>
      <c r="L14" s="24">
        <f>-SUMIFS('01. MB51 - Data xuất 943'!$J:$J,'01. MB51 - Data xuất 943'!$A:$A,'03. Chi tiết thực tế sử dụng'!$B14,'01. MB51 - Data xuất 943'!$U:$U,'03. Chi tiết thực tế sử dụng'!$A14,'01. MB51 - Data xuất 943'!$V:$V,'03. Chi tiết thực tế sử dụng'!L$2)</f>
        <v>0</v>
      </c>
      <c r="M14" s="24">
        <f>-SUMIFS('01. MB51 - Data xuất 943'!$J:$J,'01. MB51 - Data xuất 943'!$A:$A,'03. Chi tiết thực tế sử dụng'!$B14,'01. MB51 - Data xuất 943'!$U:$U,'03. Chi tiết thực tế sử dụng'!$A14,'01. MB51 - Data xuất 943'!$V:$V,'03. Chi tiết thực tế sử dụng'!M$2)</f>
        <v>0</v>
      </c>
      <c r="N14" s="24">
        <f>-SUMIFS('01. MB51 - Data xuất 943'!$J:$J,'01. MB51 - Data xuất 943'!$A:$A,'03. Chi tiết thực tế sử dụng'!$B14,'01. MB51 - Data xuất 943'!$U:$U,'03. Chi tiết thực tế sử dụng'!$A14,'01. MB51 - Data xuất 943'!$V:$V,'03. Chi tiết thực tế sử dụng'!N$2)</f>
        <v>0</v>
      </c>
      <c r="O14" s="24">
        <f>-SUMIFS('01. MB51 - Data xuất 943'!$J:$J,'01. MB51 - Data xuất 943'!$A:$A,'03. Chi tiết thực tế sử dụng'!$B14,'01. MB51 - Data xuất 943'!$U:$U,'03. Chi tiết thực tế sử dụng'!$A14,'01. MB51 - Data xuất 943'!$V:$V,'03. Chi tiết thực tế sử dụng'!O$2)</f>
        <v>0</v>
      </c>
      <c r="P14" s="24">
        <f>-SUMIFS('01. MB51 - Data xuất 943'!$J:$J,'01. MB51 - Data xuất 943'!$A:$A,'03. Chi tiết thực tế sử dụng'!$B14,'01. MB51 - Data xuất 943'!$U:$U,'03. Chi tiết thực tế sử dụng'!$A14,'01. MB51 - Data xuất 943'!$V:$V,'03. Chi tiết thực tế sử dụng'!P$2)</f>
        <v>0</v>
      </c>
      <c r="Q14" s="24">
        <f>-SUMIFS('01. MB51 - Data xuất 943'!$J:$J,'01. MB51 - Data xuất 943'!$A:$A,'03. Chi tiết thực tế sử dụng'!$B14,'01. MB51 - Data xuất 943'!$U:$U,'03. Chi tiết thực tế sử dụng'!$A14,'01. MB51 - Data xuất 943'!$V:$V,'03. Chi tiết thực tế sử dụng'!Q$2)</f>
        <v>0</v>
      </c>
      <c r="R14" s="24">
        <f t="shared" si="2"/>
        <v>5</v>
      </c>
      <c r="S14" s="28">
        <f t="shared" si="4"/>
        <v>2.0516577246170322E-5</v>
      </c>
    </row>
    <row r="15" spans="1:21">
      <c r="A15" s="7" t="s">
        <v>34</v>
      </c>
      <c r="B15" s="7" t="s">
        <v>11</v>
      </c>
      <c r="C15" s="7" t="s">
        <v>12</v>
      </c>
      <c r="D15" s="7"/>
      <c r="E15" s="24">
        <f>-SUMIFS('01. MB51 - Data xuất 943'!$J:$J,'01. MB51 - Data xuất 943'!$A:$A,'03. Chi tiết thực tế sử dụng'!$B15,'01. MB51 - Data xuất 943'!$U:$U,'03. Chi tiết thực tế sử dụng'!$A15,'01. MB51 - Data xuất 943'!$V:$V,'03. Chi tiết thực tế sử dụng'!E$2)</f>
        <v>1649</v>
      </c>
      <c r="F15" s="24">
        <f>-SUMIFS('01. MB51 - Data xuất 943'!$J:$J,'01. MB51 - Data xuất 943'!$A:$A,'03. Chi tiết thực tế sử dụng'!$B15,'01. MB51 - Data xuất 943'!$U:$U,'03. Chi tiết thực tế sử dụng'!$A15,'01. MB51 - Data xuất 943'!$V:$V,'03. Chi tiết thực tế sử dụng'!F$2)</f>
        <v>381</v>
      </c>
      <c r="G15" s="24">
        <f>-SUMIFS('01. MB51 - Data xuất 943'!$J:$J,'01. MB51 - Data xuất 943'!$A:$A,'03. Chi tiết thực tế sử dụng'!$B15,'01. MB51 - Data xuất 943'!$U:$U,'03. Chi tiết thực tế sử dụng'!$A15,'01. MB51 - Data xuất 943'!$V:$V,'03. Chi tiết thực tế sử dụng'!G$2)</f>
        <v>0</v>
      </c>
      <c r="H15" s="24">
        <f>-SUMIFS('01. MB51 - Data xuất 943'!$J:$J,'01. MB51 - Data xuất 943'!$A:$A,'03. Chi tiết thực tế sử dụng'!$B15,'01. MB51 - Data xuất 943'!$U:$U,'03. Chi tiết thực tế sử dụng'!$A15,'01. MB51 - Data xuất 943'!$V:$V,'03. Chi tiết thực tế sử dụng'!H$2)</f>
        <v>0</v>
      </c>
      <c r="I15" s="24">
        <f>-SUMIFS('01. MB51 - Data xuất 943'!$J:$J,'01. MB51 - Data xuất 943'!$A:$A,'03. Chi tiết thực tế sử dụng'!$B15,'01. MB51 - Data xuất 943'!$U:$U,'03. Chi tiết thực tế sử dụng'!$A15,'01. MB51 - Data xuất 943'!$V:$V,'03. Chi tiết thực tế sử dụng'!I$2)</f>
        <v>0</v>
      </c>
      <c r="J15" s="24">
        <f>-SUMIFS('01. MB51 - Data xuất 943'!$J:$J,'01. MB51 - Data xuất 943'!$A:$A,'03. Chi tiết thực tế sử dụng'!$B15,'01. MB51 - Data xuất 943'!$U:$U,'03. Chi tiết thực tế sử dụng'!$A15,'01. MB51 - Data xuất 943'!$V:$V,'03. Chi tiết thực tế sử dụng'!J$2)</f>
        <v>0</v>
      </c>
      <c r="K15" s="24">
        <f>-SUMIFS('01. MB51 - Data xuất 943'!$J:$J,'01. MB51 - Data xuất 943'!$A:$A,'03. Chi tiết thực tế sử dụng'!$B15,'01. MB51 - Data xuất 943'!$U:$U,'03. Chi tiết thực tế sử dụng'!$A15,'01. MB51 - Data xuất 943'!$V:$V,'03. Chi tiết thực tế sử dụng'!K$2)</f>
        <v>0</v>
      </c>
      <c r="L15" s="24">
        <f>-SUMIFS('01. MB51 - Data xuất 943'!$J:$J,'01. MB51 - Data xuất 943'!$A:$A,'03. Chi tiết thực tế sử dụng'!$B15,'01. MB51 - Data xuất 943'!$U:$U,'03. Chi tiết thực tế sử dụng'!$A15,'01. MB51 - Data xuất 943'!$V:$V,'03. Chi tiết thực tế sử dụng'!L$2)</f>
        <v>0</v>
      </c>
      <c r="M15" s="24">
        <f>-SUMIFS('01. MB51 - Data xuất 943'!$J:$J,'01. MB51 - Data xuất 943'!$A:$A,'03. Chi tiết thực tế sử dụng'!$B15,'01. MB51 - Data xuất 943'!$U:$U,'03. Chi tiết thực tế sử dụng'!$A15,'01. MB51 - Data xuất 943'!$V:$V,'03. Chi tiết thực tế sử dụng'!M$2)</f>
        <v>0</v>
      </c>
      <c r="N15" s="24">
        <f>-SUMIFS('01. MB51 - Data xuất 943'!$J:$J,'01. MB51 - Data xuất 943'!$A:$A,'03. Chi tiết thực tế sử dụng'!$B15,'01. MB51 - Data xuất 943'!$U:$U,'03. Chi tiết thực tế sử dụng'!$A15,'01. MB51 - Data xuất 943'!$V:$V,'03. Chi tiết thực tế sử dụng'!N$2)</f>
        <v>0</v>
      </c>
      <c r="O15" s="24">
        <f>-SUMIFS('01. MB51 - Data xuất 943'!$J:$J,'01. MB51 - Data xuất 943'!$A:$A,'03. Chi tiết thực tế sử dụng'!$B15,'01. MB51 - Data xuất 943'!$U:$U,'03. Chi tiết thực tế sử dụng'!$A15,'01. MB51 - Data xuất 943'!$V:$V,'03. Chi tiết thực tế sử dụng'!O$2)</f>
        <v>0</v>
      </c>
      <c r="P15" s="24">
        <f>-SUMIFS('01. MB51 - Data xuất 943'!$J:$J,'01. MB51 - Data xuất 943'!$A:$A,'03. Chi tiết thực tế sử dụng'!$B15,'01. MB51 - Data xuất 943'!$U:$U,'03. Chi tiết thực tế sử dụng'!$A15,'01. MB51 - Data xuất 943'!$V:$V,'03. Chi tiết thực tế sử dụng'!P$2)</f>
        <v>0</v>
      </c>
      <c r="Q15" s="24">
        <f>-SUMIFS('01. MB51 - Data xuất 943'!$J:$J,'01. MB51 - Data xuất 943'!$A:$A,'03. Chi tiết thực tế sử dụng'!$B15,'01. MB51 - Data xuất 943'!$U:$U,'03. Chi tiết thực tế sử dụng'!$A15,'01. MB51 - Data xuất 943'!$V:$V,'03. Chi tiết thực tế sử dụng'!Q$2)</f>
        <v>0</v>
      </c>
      <c r="R15" s="24">
        <f t="shared" si="2"/>
        <v>2030</v>
      </c>
      <c r="S15" s="28">
        <f t="shared" si="4"/>
        <v>8.3297303619451514E-3</v>
      </c>
    </row>
    <row r="16" spans="1:21">
      <c r="A16" s="7" t="s">
        <v>34</v>
      </c>
      <c r="B16" s="7" t="s">
        <v>9</v>
      </c>
      <c r="C16" s="7" t="s">
        <v>10</v>
      </c>
      <c r="D16" s="7"/>
      <c r="E16" s="24">
        <f>-SUMIFS('01. MB51 - Data xuất 943'!$J:$J,'01. MB51 - Data xuất 943'!$A:$A,'03. Chi tiết thực tế sử dụng'!$B16,'01. MB51 - Data xuất 943'!$U:$U,'03. Chi tiết thực tế sử dụng'!$A16,'01. MB51 - Data xuất 943'!$V:$V,'03. Chi tiết thực tế sử dụng'!E$2)</f>
        <v>0</v>
      </c>
      <c r="F16" s="24">
        <f>-SUMIFS('01. MB51 - Data xuất 943'!$J:$J,'01. MB51 - Data xuất 943'!$A:$A,'03. Chi tiết thực tế sử dụng'!$B16,'01. MB51 - Data xuất 943'!$U:$U,'03. Chi tiết thực tế sử dụng'!$A16,'01. MB51 - Data xuất 943'!$V:$V,'03. Chi tiết thực tế sử dụng'!F$2)</f>
        <v>0</v>
      </c>
      <c r="G16" s="24">
        <f>-SUMIFS('01. MB51 - Data xuất 943'!$J:$J,'01. MB51 - Data xuất 943'!$A:$A,'03. Chi tiết thực tế sử dụng'!$B16,'01. MB51 - Data xuất 943'!$U:$U,'03. Chi tiết thực tế sử dụng'!$A16,'01. MB51 - Data xuất 943'!$V:$V,'03. Chi tiết thực tế sử dụng'!G$2)</f>
        <v>0</v>
      </c>
      <c r="H16" s="24">
        <f>-SUMIFS('01. MB51 - Data xuất 943'!$J:$J,'01. MB51 - Data xuất 943'!$A:$A,'03. Chi tiết thực tế sử dụng'!$B16,'01. MB51 - Data xuất 943'!$U:$U,'03. Chi tiết thực tế sử dụng'!$A16,'01. MB51 - Data xuất 943'!$V:$V,'03. Chi tiết thực tế sử dụng'!H$2)</f>
        <v>0</v>
      </c>
      <c r="I16" s="24">
        <f>-SUMIFS('01. MB51 - Data xuất 943'!$J:$J,'01. MB51 - Data xuất 943'!$A:$A,'03. Chi tiết thực tế sử dụng'!$B16,'01. MB51 - Data xuất 943'!$U:$U,'03. Chi tiết thực tế sử dụng'!$A16,'01. MB51 - Data xuất 943'!$V:$V,'03. Chi tiết thực tế sử dụng'!I$2)</f>
        <v>1</v>
      </c>
      <c r="J16" s="24">
        <f>-SUMIFS('01. MB51 - Data xuất 943'!$J:$J,'01. MB51 - Data xuất 943'!$A:$A,'03. Chi tiết thực tế sử dụng'!$B16,'01. MB51 - Data xuất 943'!$U:$U,'03. Chi tiết thực tế sử dụng'!$A16,'01. MB51 - Data xuất 943'!$V:$V,'03. Chi tiết thực tế sử dụng'!J$2)</f>
        <v>0</v>
      </c>
      <c r="K16" s="24">
        <f>-SUMIFS('01. MB51 - Data xuất 943'!$J:$J,'01. MB51 - Data xuất 943'!$A:$A,'03. Chi tiết thực tế sử dụng'!$B16,'01. MB51 - Data xuất 943'!$U:$U,'03. Chi tiết thực tế sử dụng'!$A16,'01. MB51 - Data xuất 943'!$V:$V,'03. Chi tiết thực tế sử dụng'!K$2)</f>
        <v>0</v>
      </c>
      <c r="L16" s="24">
        <f>-SUMIFS('01. MB51 - Data xuất 943'!$J:$J,'01. MB51 - Data xuất 943'!$A:$A,'03. Chi tiết thực tế sử dụng'!$B16,'01. MB51 - Data xuất 943'!$U:$U,'03. Chi tiết thực tế sử dụng'!$A16,'01. MB51 - Data xuất 943'!$V:$V,'03. Chi tiết thực tế sử dụng'!L$2)</f>
        <v>0</v>
      </c>
      <c r="M16" s="24">
        <f>-SUMIFS('01. MB51 - Data xuất 943'!$J:$J,'01. MB51 - Data xuất 943'!$A:$A,'03. Chi tiết thực tế sử dụng'!$B16,'01. MB51 - Data xuất 943'!$U:$U,'03. Chi tiết thực tế sử dụng'!$A16,'01. MB51 - Data xuất 943'!$V:$V,'03. Chi tiết thực tế sử dụng'!M$2)</f>
        <v>0</v>
      </c>
      <c r="N16" s="24">
        <f>-SUMIFS('01. MB51 - Data xuất 943'!$J:$J,'01. MB51 - Data xuất 943'!$A:$A,'03. Chi tiết thực tế sử dụng'!$B16,'01. MB51 - Data xuất 943'!$U:$U,'03. Chi tiết thực tế sử dụng'!$A16,'01. MB51 - Data xuất 943'!$V:$V,'03. Chi tiết thực tế sử dụng'!N$2)</f>
        <v>0</v>
      </c>
      <c r="O16" s="24">
        <f>-SUMIFS('01. MB51 - Data xuất 943'!$J:$J,'01. MB51 - Data xuất 943'!$A:$A,'03. Chi tiết thực tế sử dụng'!$B16,'01. MB51 - Data xuất 943'!$U:$U,'03. Chi tiết thực tế sử dụng'!$A16,'01. MB51 - Data xuất 943'!$V:$V,'03. Chi tiết thực tế sử dụng'!O$2)</f>
        <v>20</v>
      </c>
      <c r="P16" s="24">
        <f>-SUMIFS('01. MB51 - Data xuất 943'!$J:$J,'01. MB51 - Data xuất 943'!$A:$A,'03. Chi tiết thực tế sử dụng'!$B16,'01. MB51 - Data xuất 943'!$U:$U,'03. Chi tiết thực tế sử dụng'!$A16,'01. MB51 - Data xuất 943'!$V:$V,'03. Chi tiết thực tế sử dụng'!P$2)</f>
        <v>100</v>
      </c>
      <c r="Q16" s="24">
        <f>-SUMIFS('01. MB51 - Data xuất 943'!$J:$J,'01. MB51 - Data xuất 943'!$A:$A,'03. Chi tiết thực tế sử dụng'!$B16,'01. MB51 - Data xuất 943'!$U:$U,'03. Chi tiết thực tế sử dụng'!$A16,'01. MB51 - Data xuất 943'!$V:$V,'03. Chi tiết thực tế sử dụng'!Q$2)</f>
        <v>0</v>
      </c>
      <c r="R16" s="24">
        <f t="shared" si="2"/>
        <v>121</v>
      </c>
      <c r="S16" s="28">
        <f t="shared" si="4"/>
        <v>4.9650116935732178E-4</v>
      </c>
    </row>
    <row r="17" spans="1:19">
      <c r="A17" s="7" t="s">
        <v>34</v>
      </c>
      <c r="B17" s="7" t="s">
        <v>112</v>
      </c>
      <c r="C17" s="7" t="s">
        <v>113</v>
      </c>
      <c r="D17" s="7"/>
      <c r="E17" s="24">
        <f>-SUMIFS('01. MB51 - Data xuất 943'!$J:$J,'01. MB51 - Data xuất 943'!$A:$A,'03. Chi tiết thực tế sử dụng'!$B17,'01. MB51 - Data xuất 943'!$U:$U,'03. Chi tiết thực tế sử dụng'!$A17,'01. MB51 - Data xuất 943'!$V:$V,'03. Chi tiết thực tế sử dụng'!E$2)</f>
        <v>0</v>
      </c>
      <c r="F17" s="79">
        <f>-SUMIFS('01. MB51 - Data xuất 943'!$J:$J,'01. MB51 - Data xuất 943'!$A:$A,'03. Chi tiết thực tế sử dụng'!$B17,'01. MB51 - Data xuất 943'!$U:$U,'03. Chi tiết thực tế sử dụng'!$A17,'01. MB51 - Data xuất 943'!$V:$V,'03. Chi tiết thực tế sử dụng'!F$2)</f>
        <v>0</v>
      </c>
      <c r="G17" s="79">
        <f>-SUMIFS('01. MB51 - Data xuất 943'!$J:$J,'01. MB51 - Data xuất 943'!$A:$A,'03. Chi tiết thực tế sử dụng'!$B17,'01. MB51 - Data xuất 943'!$U:$U,'03. Chi tiết thực tế sử dụng'!$A17,'01. MB51 - Data xuất 943'!$V:$V,'03. Chi tiết thực tế sử dụng'!G$2)</f>
        <v>0</v>
      </c>
      <c r="H17" s="80">
        <f>-SUMIFS('01. MB51 - Data xuất 943'!$J:$J,'01. MB51 - Data xuất 943'!$A:$A,'03. Chi tiết thực tế sử dụng'!$B17,'01. MB51 - Data xuất 943'!$U:$U,'03. Chi tiết thực tế sử dụng'!$A17,'01. MB51 - Data xuất 943'!$V:$V,'03. Chi tiết thực tế sử dụng'!H$2)</f>
        <v>0</v>
      </c>
      <c r="I17" s="79">
        <f>-SUMIFS('01. MB51 - Data xuất 943'!$J:$J,'01. MB51 - Data xuất 943'!$A:$A,'03. Chi tiết thực tế sử dụng'!$B17,'01. MB51 - Data xuất 943'!$U:$U,'03. Chi tiết thực tế sử dụng'!$A17,'01. MB51 - Data xuất 943'!$V:$V,'03. Chi tiết thực tế sử dụng'!I$2)</f>
        <v>5</v>
      </c>
      <c r="J17" s="79">
        <f>-SUMIFS('01. MB51 - Data xuất 943'!$J:$J,'01. MB51 - Data xuất 943'!$A:$A,'03. Chi tiết thực tế sử dụng'!$B17,'01. MB51 - Data xuất 943'!$U:$U,'03. Chi tiết thực tế sử dụng'!$A17,'01. MB51 - Data xuất 943'!$V:$V,'03. Chi tiết thực tế sử dụng'!J$2)</f>
        <v>0</v>
      </c>
      <c r="K17" s="79">
        <f>-SUMIFS('01. MB51 - Data xuất 943'!$J:$J,'01. MB51 - Data xuất 943'!$A:$A,'03. Chi tiết thực tế sử dụng'!$B17,'01. MB51 - Data xuất 943'!$U:$U,'03. Chi tiết thực tế sử dụng'!$A17,'01. MB51 - Data xuất 943'!$V:$V,'03. Chi tiết thực tế sử dụng'!K$2)</f>
        <v>0</v>
      </c>
      <c r="L17" s="79">
        <f>-SUMIFS('01. MB51 - Data xuất 943'!$J:$J,'01. MB51 - Data xuất 943'!$A:$A,'03. Chi tiết thực tế sử dụng'!$B17,'01. MB51 - Data xuất 943'!$U:$U,'03. Chi tiết thực tế sử dụng'!$A17,'01. MB51 - Data xuất 943'!$V:$V,'03. Chi tiết thực tế sử dụng'!L$2)</f>
        <v>0</v>
      </c>
      <c r="M17" s="24">
        <f>-SUMIFS('01. MB51 - Data xuất 943'!$J:$J,'01. MB51 - Data xuất 943'!$A:$A,'03. Chi tiết thực tế sử dụng'!$B17,'01. MB51 - Data xuất 943'!$U:$U,'03. Chi tiết thực tế sử dụng'!$A17,'01. MB51 - Data xuất 943'!$V:$V,'03. Chi tiết thực tế sử dụng'!M$2)</f>
        <v>0</v>
      </c>
      <c r="N17" s="24">
        <f>-SUMIFS('01. MB51 - Data xuất 943'!$J:$J,'01. MB51 - Data xuất 943'!$A:$A,'03. Chi tiết thực tế sử dụng'!$B17,'01. MB51 - Data xuất 943'!$U:$U,'03. Chi tiết thực tế sử dụng'!$A17,'01. MB51 - Data xuất 943'!$V:$V,'03. Chi tiết thực tế sử dụng'!N$2)</f>
        <v>10</v>
      </c>
      <c r="O17" s="24">
        <f>-SUMIFS('01. MB51 - Data xuất 943'!$J:$J,'01. MB51 - Data xuất 943'!$A:$A,'03. Chi tiết thực tế sử dụng'!$B17,'01. MB51 - Data xuất 943'!$U:$U,'03. Chi tiết thực tế sử dụng'!$A17,'01. MB51 - Data xuất 943'!$V:$V,'03. Chi tiết thực tế sử dụng'!O$2)</f>
        <v>10</v>
      </c>
      <c r="P17" s="24">
        <f>-SUMIFS('01. MB51 - Data xuất 943'!$J:$J,'01. MB51 - Data xuất 943'!$A:$A,'03. Chi tiết thực tế sử dụng'!$B17,'01. MB51 - Data xuất 943'!$U:$U,'03. Chi tiết thực tế sử dụng'!$A17,'01. MB51 - Data xuất 943'!$V:$V,'03. Chi tiết thực tế sử dụng'!P$2)</f>
        <v>10</v>
      </c>
      <c r="Q17" s="24">
        <f>-SUMIFS('01. MB51 - Data xuất 943'!$J:$J,'01. MB51 - Data xuất 943'!$A:$A,'03. Chi tiết thực tế sử dụng'!$B17,'01. MB51 - Data xuất 943'!$U:$U,'03. Chi tiết thực tế sử dụng'!$A17,'01. MB51 - Data xuất 943'!$V:$V,'03. Chi tiết thực tế sử dụng'!Q$2)</f>
        <v>0</v>
      </c>
      <c r="R17" s="24">
        <f t="shared" si="2"/>
        <v>35</v>
      </c>
      <c r="S17" s="28">
        <f t="shared" si="4"/>
        <v>1.4361604072319226E-4</v>
      </c>
    </row>
    <row r="18" spans="1:19">
      <c r="A18" s="25"/>
      <c r="B18" s="25"/>
      <c r="C18" s="25"/>
      <c r="D18" s="25"/>
      <c r="E18" s="26">
        <f>'02. Số tấn luân chuyển'!V12</f>
        <v>19677.15336</v>
      </c>
      <c r="F18" s="26">
        <f>'02. Số tấn luân chuyển'!W12</f>
        <v>11267.192828499999</v>
      </c>
      <c r="G18" s="26">
        <f>'02. Số tấn luân chuyển'!X12</f>
        <v>19802.338658999997</v>
      </c>
      <c r="H18" s="26">
        <f>'02. Số tấn luân chuyển'!Y12</f>
        <v>23149.935647500002</v>
      </c>
      <c r="I18" s="26">
        <f>'02. Số tấn luân chuyển'!Z12</f>
        <v>22007.215623999997</v>
      </c>
      <c r="J18" s="26">
        <f>'02. Số tấn luân chuyển'!AA12</f>
        <v>23512.455714500004</v>
      </c>
      <c r="K18" s="26">
        <f>'02. Số tấn luân chuyển'!AB12</f>
        <v>21092.222633000001</v>
      </c>
      <c r="L18" s="26">
        <f>'02. Số tấn luân chuyển'!AC12</f>
        <v>22547.363581999998</v>
      </c>
      <c r="M18" s="26">
        <f>'02. Số tấn luân chuyển'!AD12</f>
        <v>25619.450349999999</v>
      </c>
      <c r="N18" s="26">
        <f>'02. Số tấn luân chuyển'!AE12</f>
        <v>20173.860055000001</v>
      </c>
      <c r="O18" s="26">
        <f>'02. Số tấn luân chuyển'!AF12</f>
        <v>18752.543068999999</v>
      </c>
      <c r="P18" s="26">
        <f>'02. Số tấn luân chuyển'!AG12</f>
        <v>16103.636093500001</v>
      </c>
      <c r="Q18" s="26">
        <f>'02. Số tấn luân chuyển'!AH12</f>
        <v>0</v>
      </c>
      <c r="R18" s="26">
        <f t="shared" si="2"/>
        <v>243705.36761600003</v>
      </c>
    </row>
    <row r="19" spans="1:19">
      <c r="D19" s="8" t="s">
        <v>21</v>
      </c>
      <c r="E19" s="27">
        <f t="shared" ref="E19:N19" si="5">+E3+E4+E5+E6+E8+E9+E10+E12+E13+E14+E15+E16+E17</f>
        <v>3117</v>
      </c>
      <c r="F19" s="27">
        <f t="shared" si="5"/>
        <v>1931</v>
      </c>
      <c r="G19" s="27">
        <f t="shared" si="5"/>
        <v>1500</v>
      </c>
      <c r="H19" s="27">
        <f t="shared" si="5"/>
        <v>800</v>
      </c>
      <c r="I19" s="27">
        <f t="shared" si="5"/>
        <v>1456</v>
      </c>
      <c r="J19" s="27">
        <f t="shared" si="5"/>
        <v>850</v>
      </c>
      <c r="K19" s="27">
        <f t="shared" si="5"/>
        <v>1700</v>
      </c>
      <c r="L19" s="27">
        <f t="shared" si="5"/>
        <v>700</v>
      </c>
      <c r="M19" s="27">
        <f t="shared" si="5"/>
        <v>1834</v>
      </c>
      <c r="N19" s="27">
        <f t="shared" si="5"/>
        <v>810</v>
      </c>
      <c r="O19" s="27">
        <f>+O3+O4+O5+O6+O8+O9+O10+O12+O13+O14+O15+O16+O17</f>
        <v>943</v>
      </c>
      <c r="P19" s="27">
        <f t="shared" ref="P19:Q19" si="6">+P3+P4+P5+P6+P8+P9+P10+P12+P13+P14+P15+P16+P17</f>
        <v>930</v>
      </c>
      <c r="Q19" s="27">
        <f t="shared" si="6"/>
        <v>0</v>
      </c>
      <c r="R19" s="27">
        <f t="shared" ref="R19" si="7">+R5+R6+R8+R9+R10+R12+R13+R14+R15+R16+R17</f>
        <v>10423</v>
      </c>
    </row>
    <row r="20" spans="1:19">
      <c r="D20" s="8" t="s">
        <v>252</v>
      </c>
      <c r="E20" s="27">
        <f t="shared" ref="E20:R20" si="8">+E7+E11+E18</f>
        <v>35525.039734999998</v>
      </c>
      <c r="F20" s="27">
        <f t="shared" si="8"/>
        <v>18616.660341999999</v>
      </c>
      <c r="G20" s="27">
        <f t="shared" si="8"/>
        <v>32919.459267999999</v>
      </c>
      <c r="H20" s="81">
        <f t="shared" si="8"/>
        <v>41056.834982</v>
      </c>
      <c r="I20" s="27">
        <f t="shared" si="8"/>
        <v>37555.613190999997</v>
      </c>
      <c r="J20" s="27">
        <f t="shared" si="8"/>
        <v>42266.289273999995</v>
      </c>
      <c r="K20" s="27">
        <f t="shared" si="8"/>
        <v>38014.581365999999</v>
      </c>
      <c r="L20" s="27">
        <f t="shared" si="8"/>
        <v>40258.546623999995</v>
      </c>
      <c r="M20" s="27">
        <f t="shared" si="8"/>
        <v>44340.787879999996</v>
      </c>
      <c r="N20" s="27">
        <f t="shared" si="8"/>
        <v>37634.292572000006</v>
      </c>
      <c r="O20" s="27">
        <f t="shared" si="8"/>
        <v>34911.181188000002</v>
      </c>
      <c r="P20" s="27">
        <f t="shared" si="8"/>
        <v>28612.067637000004</v>
      </c>
      <c r="Q20" s="27">
        <f t="shared" si="8"/>
        <v>0</v>
      </c>
      <c r="R20" s="27">
        <f t="shared" si="8"/>
        <v>431711.35405900003</v>
      </c>
      <c r="S20" s="34"/>
    </row>
    <row r="21" spans="1:19">
      <c r="D21" s="8" t="s">
        <v>253</v>
      </c>
      <c r="E21" s="34">
        <f>+E19/E20</f>
        <v>8.7740929306521442E-2</v>
      </c>
      <c r="F21" s="34">
        <f t="shared" ref="F21:J21" si="9">+F19/F20</f>
        <v>0.10372429665290608</v>
      </c>
      <c r="G21" s="34">
        <f t="shared" si="9"/>
        <v>4.5565754521919022E-2</v>
      </c>
      <c r="H21" s="34">
        <f t="shared" si="9"/>
        <v>1.9485184387708729E-2</v>
      </c>
      <c r="I21" s="34">
        <f t="shared" si="9"/>
        <v>3.8769171271284757E-2</v>
      </c>
      <c r="J21" s="34">
        <f t="shared" si="9"/>
        <v>2.0110589659047155E-2</v>
      </c>
      <c r="K21" s="34">
        <f t="shared" ref="K21:R21" si="10">+K19/K20</f>
        <v>4.4719682261724687E-2</v>
      </c>
      <c r="L21" s="34">
        <f t="shared" si="10"/>
        <v>1.7387612288584143E-2</v>
      </c>
      <c r="M21" s="34">
        <f t="shared" si="10"/>
        <v>4.1361466218493369E-2</v>
      </c>
      <c r="N21" s="34">
        <f t="shared" ref="N21:O21" si="11">+N19/N20</f>
        <v>2.1522923499899708E-2</v>
      </c>
      <c r="O21" s="34">
        <f t="shared" si="11"/>
        <v>2.7011403450426272E-2</v>
      </c>
      <c r="P21" s="34">
        <f t="shared" si="10"/>
        <v>3.2503767703853756E-2</v>
      </c>
      <c r="Q21" s="34" t="e">
        <f t="shared" si="10"/>
        <v>#DIV/0!</v>
      </c>
      <c r="R21" s="34">
        <f t="shared" si="10"/>
        <v>2.4143446545942675E-2</v>
      </c>
      <c r="S21" s="34"/>
    </row>
    <row r="22" spans="1:19"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</row>
    <row r="23" spans="1:19"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</row>
    <row r="24" spans="1:19">
      <c r="D24" s="8" t="s">
        <v>31</v>
      </c>
      <c r="E24" s="23">
        <v>2258</v>
      </c>
      <c r="F24" s="23">
        <v>3555</v>
      </c>
      <c r="G24" s="23">
        <v>3975</v>
      </c>
      <c r="H24" s="23">
        <v>4805</v>
      </c>
      <c r="I24" s="23">
        <v>4350</v>
      </c>
      <c r="J24" s="23">
        <v>5250</v>
      </c>
      <c r="K24" s="23">
        <v>3735</v>
      </c>
      <c r="L24" s="23">
        <v>3480</v>
      </c>
      <c r="M24" s="23">
        <v>3090</v>
      </c>
      <c r="N24" s="23">
        <v>3330</v>
      </c>
      <c r="O24" s="23">
        <v>2760</v>
      </c>
      <c r="P24" s="23">
        <v>2145</v>
      </c>
      <c r="Q24" s="23"/>
      <c r="R24" s="27">
        <f t="shared" ref="R24:R26" si="12">SUM(F24:Q24)</f>
        <v>40475</v>
      </c>
    </row>
    <row r="25" spans="1:19">
      <c r="D25" s="8" t="s">
        <v>228</v>
      </c>
      <c r="E25" s="23">
        <v>1815</v>
      </c>
      <c r="F25" s="23">
        <v>1350</v>
      </c>
      <c r="G25" s="23">
        <v>1455</v>
      </c>
      <c r="H25" s="23">
        <v>1635</v>
      </c>
      <c r="I25" s="23">
        <v>1710</v>
      </c>
      <c r="J25" s="23">
        <v>1845</v>
      </c>
      <c r="K25" s="23">
        <v>1920</v>
      </c>
      <c r="L25" s="23">
        <v>2055</v>
      </c>
      <c r="M25" s="23">
        <v>1530</v>
      </c>
      <c r="N25" s="23">
        <v>1500</v>
      </c>
      <c r="O25" s="23">
        <v>1710</v>
      </c>
      <c r="P25" s="23">
        <v>1305</v>
      </c>
      <c r="Q25" s="23"/>
      <c r="R25" s="27">
        <f t="shared" si="12"/>
        <v>18015</v>
      </c>
    </row>
    <row r="26" spans="1:19">
      <c r="D26" s="8" t="s">
        <v>30</v>
      </c>
      <c r="E26" s="23">
        <v>6330</v>
      </c>
      <c r="F26" s="23">
        <v>3555</v>
      </c>
      <c r="G26" s="23">
        <v>4890</v>
      </c>
      <c r="H26" s="23">
        <v>6190</v>
      </c>
      <c r="I26" s="23">
        <v>5100</v>
      </c>
      <c r="J26" s="23">
        <v>4305</v>
      </c>
      <c r="K26" s="23">
        <v>4245</v>
      </c>
      <c r="L26" s="23">
        <v>4665</v>
      </c>
      <c r="M26" s="23">
        <v>5010</v>
      </c>
      <c r="N26" s="23">
        <v>4800</v>
      </c>
      <c r="O26" s="23">
        <v>4440</v>
      </c>
      <c r="P26" s="23">
        <v>3360</v>
      </c>
      <c r="Q26" s="23"/>
      <c r="R26" s="27">
        <f t="shared" si="12"/>
        <v>50560</v>
      </c>
    </row>
    <row r="27" spans="1:19">
      <c r="E27" s="27">
        <f>SUM(E24:E26)</f>
        <v>10403</v>
      </c>
      <c r="F27" s="27">
        <f t="shared" ref="F27:J27" si="13">SUM(F24:F26)</f>
        <v>8460</v>
      </c>
      <c r="G27" s="27">
        <f t="shared" si="13"/>
        <v>10320</v>
      </c>
      <c r="H27" s="27">
        <f t="shared" si="13"/>
        <v>12630</v>
      </c>
      <c r="I27" s="27">
        <f t="shared" si="13"/>
        <v>11160</v>
      </c>
      <c r="J27" s="27">
        <f t="shared" si="13"/>
        <v>11400</v>
      </c>
      <c r="K27" s="27">
        <f t="shared" ref="K27:Q27" si="14">SUM(K24:K26)</f>
        <v>9900</v>
      </c>
      <c r="L27" s="27">
        <f t="shared" si="14"/>
        <v>10200</v>
      </c>
      <c r="M27" s="27">
        <f t="shared" si="14"/>
        <v>9630</v>
      </c>
      <c r="N27" s="27">
        <f t="shared" ref="N27:O27" si="15">SUM(N24:N26)</f>
        <v>9630</v>
      </c>
      <c r="O27" s="27">
        <f t="shared" si="15"/>
        <v>8910</v>
      </c>
      <c r="P27" s="27">
        <f t="shared" si="14"/>
        <v>6810</v>
      </c>
      <c r="Q27" s="27">
        <f t="shared" si="14"/>
        <v>0</v>
      </c>
      <c r="R27" s="27">
        <f>SUM(F27:Q27)</f>
        <v>109050</v>
      </c>
    </row>
    <row r="30" spans="1:19">
      <c r="D30" s="9" t="s">
        <v>27</v>
      </c>
      <c r="E30" s="17">
        <v>12</v>
      </c>
      <c r="F30" s="17">
        <v>1</v>
      </c>
      <c r="G30" s="17">
        <v>2</v>
      </c>
      <c r="H30" s="17">
        <v>3</v>
      </c>
      <c r="I30" s="17">
        <v>4</v>
      </c>
      <c r="J30" s="17">
        <v>5</v>
      </c>
      <c r="K30" s="17">
        <v>6</v>
      </c>
      <c r="L30" s="17">
        <v>7</v>
      </c>
      <c r="M30" s="17">
        <v>8</v>
      </c>
      <c r="N30" s="17">
        <v>9</v>
      </c>
      <c r="O30" s="17">
        <v>10</v>
      </c>
      <c r="P30" s="17">
        <v>11</v>
      </c>
      <c r="Q30" s="17">
        <v>12</v>
      </c>
      <c r="R30" s="17" t="s">
        <v>238</v>
      </c>
    </row>
    <row r="31" spans="1:19">
      <c r="D31" s="14" t="s">
        <v>31</v>
      </c>
      <c r="E31" s="13">
        <f>'02. Số tấn luân chuyển'!V10</f>
        <v>14174.800174999998</v>
      </c>
      <c r="F31" s="13">
        <f>'02. Số tấn luân chuyển'!W10</f>
        <v>6156.8805135000002</v>
      </c>
      <c r="G31" s="13">
        <f>'02. Số tấn luân chuyển'!X10</f>
        <v>11625.706658999999</v>
      </c>
      <c r="H31" s="13">
        <f>'02. Số tấn luân chuyển'!Y10</f>
        <v>15651.243334499999</v>
      </c>
      <c r="I31" s="13">
        <f>'02. Số tấn luân chuyển'!Z10</f>
        <v>13685.272417</v>
      </c>
      <c r="J31" s="13">
        <f>'02. Số tấn luân chuyển'!AA10</f>
        <v>16799.209114500001</v>
      </c>
      <c r="K31" s="13">
        <f>'02. Số tấn luân chuyển'!AB10</f>
        <v>14910.407833000001</v>
      </c>
      <c r="L31" s="13">
        <f>'02. Số tấn luân chuyển'!AC10</f>
        <v>15756.919282000001</v>
      </c>
      <c r="M31" s="13">
        <f>'02. Số tấn luân chuyển'!AD10</f>
        <v>16518.573199999999</v>
      </c>
      <c r="N31" s="13">
        <f>'02. Số tấn luân chuyển'!AE10</f>
        <v>15772.913</v>
      </c>
      <c r="O31" s="13">
        <f>'02. Số tấn luân chuyển'!AF10</f>
        <v>14483.331719</v>
      </c>
      <c r="P31" s="13">
        <f>'02. Số tấn luân chuyển'!AG10</f>
        <v>11063.404343500002</v>
      </c>
      <c r="Q31" s="13">
        <f>'02. Số tấn luân chuyển'!AI10</f>
        <v>0</v>
      </c>
      <c r="R31" s="13">
        <f t="shared" ref="R31:R33" si="16">SUM(F31:Q31)</f>
        <v>152423.861416</v>
      </c>
    </row>
    <row r="32" spans="1:19">
      <c r="D32" s="14" t="s">
        <v>33</v>
      </c>
      <c r="E32" s="13">
        <f>'02. Số tấn luân chuyển'!V11</f>
        <v>1673.0862000000002</v>
      </c>
      <c r="F32" s="13">
        <f>'02. Số tấn luân chuyển'!W11</f>
        <v>1192.587</v>
      </c>
      <c r="G32" s="13">
        <f>'02. Số tấn luân chuyển'!X11</f>
        <v>1491.4139499999997</v>
      </c>
      <c r="H32" s="13">
        <f>'02. Số tấn luân chuyển'!Y11</f>
        <v>2255.6559999999999</v>
      </c>
      <c r="I32" s="13">
        <f>'02. Số tấn luân chuyển'!Z11</f>
        <v>1863.1251500000001</v>
      </c>
      <c r="J32" s="13">
        <f>'02. Số tấn luân chuyển'!AA11</f>
        <v>1954.6244449999929</v>
      </c>
      <c r="K32" s="13">
        <f>'02. Số tấn luân chuyển'!AB11</f>
        <v>2011.9509</v>
      </c>
      <c r="L32" s="13">
        <f>'02. Số tấn luân chuyển'!AC11</f>
        <v>1954.2637599999998</v>
      </c>
      <c r="M32" s="13">
        <f>'02. Số tấn luân chuyển'!AD11</f>
        <v>2202.76433</v>
      </c>
      <c r="N32" s="13">
        <f>'02. Số tấn luân chuyển'!AE11</f>
        <v>1687.519517</v>
      </c>
      <c r="O32" s="13">
        <f>'02. Số tấn luân chuyển'!AF11</f>
        <v>1675.3063999999999</v>
      </c>
      <c r="P32" s="13">
        <f>'02. Số tấn luân chuyển'!AG11</f>
        <v>1445.0272</v>
      </c>
      <c r="Q32" s="13">
        <f>'02. Số tấn luân chuyển'!AI11</f>
        <v>0</v>
      </c>
      <c r="R32" s="13">
        <f t="shared" si="16"/>
        <v>19734.238651999993</v>
      </c>
    </row>
    <row r="33" spans="4:19">
      <c r="D33" s="14" t="s">
        <v>34</v>
      </c>
      <c r="E33" s="13">
        <f>'02. Số tấn luân chuyển'!V12</f>
        <v>19677.15336</v>
      </c>
      <c r="F33" s="13">
        <f>'02. Số tấn luân chuyển'!W12</f>
        <v>11267.192828499999</v>
      </c>
      <c r="G33" s="13">
        <f>'02. Số tấn luân chuyển'!X12</f>
        <v>19802.338658999997</v>
      </c>
      <c r="H33" s="13">
        <f>'02. Số tấn luân chuyển'!Y12</f>
        <v>23149.935647500002</v>
      </c>
      <c r="I33" s="13">
        <f>'02. Số tấn luân chuyển'!Z12</f>
        <v>22007.215623999997</v>
      </c>
      <c r="J33" s="13">
        <f>'02. Số tấn luân chuyển'!AA12</f>
        <v>23512.455714500004</v>
      </c>
      <c r="K33" s="13">
        <f>'02. Số tấn luân chuyển'!AB12</f>
        <v>21092.222633000001</v>
      </c>
      <c r="L33" s="13">
        <f>'02. Số tấn luân chuyển'!AC12</f>
        <v>22547.363581999998</v>
      </c>
      <c r="M33" s="13">
        <f>'02. Số tấn luân chuyển'!AD12</f>
        <v>25619.450349999999</v>
      </c>
      <c r="N33" s="13">
        <f>'02. Số tấn luân chuyển'!AE12</f>
        <v>20173.860055000001</v>
      </c>
      <c r="O33" s="13">
        <f>'02. Số tấn luân chuyển'!AF12</f>
        <v>18752.543068999999</v>
      </c>
      <c r="P33" s="13">
        <f>'02. Số tấn luân chuyển'!AG12</f>
        <v>16103.636093500001</v>
      </c>
      <c r="Q33" s="13">
        <f>'02. Số tấn luân chuyển'!AI12</f>
        <v>0</v>
      </c>
      <c r="R33" s="13">
        <f t="shared" si="16"/>
        <v>224028.21425600001</v>
      </c>
    </row>
    <row r="34" spans="4:19">
      <c r="D34" s="9" t="s">
        <v>38</v>
      </c>
      <c r="E34" s="15">
        <f t="shared" ref="E34:Q34" si="17">SUM(E31:E33)</f>
        <v>35525.039734999998</v>
      </c>
      <c r="F34" s="15">
        <f t="shared" si="17"/>
        <v>18616.660341999999</v>
      </c>
      <c r="G34" s="15">
        <f t="shared" si="17"/>
        <v>32919.459267999999</v>
      </c>
      <c r="H34" s="15">
        <f t="shared" si="17"/>
        <v>41056.834982</v>
      </c>
      <c r="I34" s="15">
        <f t="shared" si="17"/>
        <v>37555.613190999997</v>
      </c>
      <c r="J34" s="15">
        <f t="shared" si="17"/>
        <v>42266.289273999995</v>
      </c>
      <c r="K34" s="15">
        <f t="shared" si="17"/>
        <v>38014.581365999999</v>
      </c>
      <c r="L34" s="15">
        <f t="shared" si="17"/>
        <v>40258.546623999995</v>
      </c>
      <c r="M34" s="15">
        <f t="shared" si="17"/>
        <v>44340.787879999996</v>
      </c>
      <c r="N34" s="15">
        <f t="shared" si="17"/>
        <v>37634.292572000006</v>
      </c>
      <c r="O34" s="15">
        <f t="shared" si="17"/>
        <v>34911.181188000002</v>
      </c>
      <c r="P34" s="15">
        <f t="shared" si="17"/>
        <v>28612.067637000004</v>
      </c>
      <c r="Q34" s="15">
        <f t="shared" si="17"/>
        <v>0</v>
      </c>
      <c r="R34" s="15">
        <f>SUM(F34:Q34)</f>
        <v>396186.31432400004</v>
      </c>
    </row>
    <row r="36" spans="4:19">
      <c r="D36" s="8" t="s">
        <v>237</v>
      </c>
    </row>
    <row r="37" spans="4:19">
      <c r="D37" s="29" t="s">
        <v>27</v>
      </c>
      <c r="E37" s="30">
        <v>12</v>
      </c>
      <c r="F37" s="30">
        <v>1</v>
      </c>
      <c r="G37" s="30">
        <v>2</v>
      </c>
      <c r="H37" s="30">
        <v>3</v>
      </c>
      <c r="I37" s="30">
        <v>4</v>
      </c>
      <c r="J37" s="30">
        <v>5</v>
      </c>
      <c r="K37" s="30">
        <v>6</v>
      </c>
      <c r="L37" s="30">
        <v>7</v>
      </c>
      <c r="M37" s="30">
        <v>8</v>
      </c>
      <c r="N37" s="30">
        <v>9</v>
      </c>
      <c r="O37" s="30">
        <v>10</v>
      </c>
      <c r="P37" s="30">
        <v>11</v>
      </c>
      <c r="Q37" s="30">
        <v>12</v>
      </c>
      <c r="R37" s="30" t="s">
        <v>238</v>
      </c>
    </row>
    <row r="38" spans="4:19">
      <c r="D38" s="14" t="s">
        <v>31</v>
      </c>
      <c r="E38" s="58">
        <f>+E24/E31</f>
        <v>0.15929677823482971</v>
      </c>
      <c r="F38" s="58">
        <f t="shared" ref="F38:J38" si="18">+F24/F31</f>
        <v>0.57740279224277002</v>
      </c>
      <c r="G38" s="58">
        <f t="shared" si="18"/>
        <v>0.34191469960432624</v>
      </c>
      <c r="H38" s="58">
        <f t="shared" si="18"/>
        <v>0.30700436363469924</v>
      </c>
      <c r="I38" s="58">
        <f t="shared" si="18"/>
        <v>0.31785994954666602</v>
      </c>
      <c r="J38" s="58">
        <f t="shared" si="18"/>
        <v>0.312514712104425</v>
      </c>
      <c r="K38" s="58">
        <f t="shared" ref="K38:Q38" si="19">+K24/K31</f>
        <v>0.25049616629087945</v>
      </c>
      <c r="L38" s="58">
        <f t="shared" si="19"/>
        <v>0.22085535489005115</v>
      </c>
      <c r="M38" s="58">
        <f t="shared" si="19"/>
        <v>0.18706216103458623</v>
      </c>
      <c r="N38" s="58">
        <f t="shared" ref="N38:O38" si="20">+N24/N31</f>
        <v>0.21112143330784872</v>
      </c>
      <c r="O38" s="58">
        <f t="shared" si="20"/>
        <v>0.19056388775376085</v>
      </c>
      <c r="P38" s="58">
        <f t="shared" si="19"/>
        <v>0.19388245547223767</v>
      </c>
      <c r="Q38" s="58" t="e">
        <f t="shared" si="19"/>
        <v>#DIV/0!</v>
      </c>
      <c r="R38" s="32">
        <f t="shared" ref="R38" si="21">+R24/R31</f>
        <v>0.26554241326779116</v>
      </c>
    </row>
    <row r="39" spans="4:19">
      <c r="D39" s="14" t="s">
        <v>33</v>
      </c>
      <c r="E39" s="32">
        <f t="shared" ref="E39:Q39" si="22">+E25/E32</f>
        <v>1.0848215710583231</v>
      </c>
      <c r="F39" s="32">
        <f t="shared" ref="F39:J39" si="23">+F25/F32</f>
        <v>1.1319928860535962</v>
      </c>
      <c r="G39" s="32">
        <f t="shared" si="23"/>
        <v>0.97558427692056948</v>
      </c>
      <c r="H39" s="32">
        <f t="shared" si="23"/>
        <v>0.72484456849803336</v>
      </c>
      <c r="I39" s="32">
        <f t="shared" si="23"/>
        <v>0.91781274059877294</v>
      </c>
      <c r="J39" s="32">
        <f t="shared" si="23"/>
        <v>0.94391534124091381</v>
      </c>
      <c r="K39" s="32">
        <f t="shared" si="22"/>
        <v>0.95429764215418977</v>
      </c>
      <c r="L39" s="32">
        <f t="shared" si="22"/>
        <v>1.0515469007110894</v>
      </c>
      <c r="M39" s="32">
        <f t="shared" si="22"/>
        <v>0.69458179395886621</v>
      </c>
      <c r="N39" s="32">
        <f t="shared" ref="N39:O39" si="24">+N25/N32</f>
        <v>0.88887860844811795</v>
      </c>
      <c r="O39" s="32">
        <f t="shared" si="24"/>
        <v>1.0207088088483396</v>
      </c>
      <c r="P39" s="32">
        <f t="shared" si="22"/>
        <v>0.90309718737474287</v>
      </c>
      <c r="Q39" s="32" t="e">
        <f t="shared" si="22"/>
        <v>#DIV/0!</v>
      </c>
      <c r="R39" s="32">
        <f t="shared" ref="R39" si="25">+R25/R32</f>
        <v>0.9128804165026273</v>
      </c>
    </row>
    <row r="40" spans="4:19">
      <c r="D40" s="14" t="s">
        <v>34</v>
      </c>
      <c r="E40" s="32">
        <f t="shared" ref="E40:Q41" si="26">+E26/E33</f>
        <v>0.32169287316059214</v>
      </c>
      <c r="F40" s="32">
        <f t="shared" ref="F40:J40" si="27">+F26/F33</f>
        <v>0.31551780945895791</v>
      </c>
      <c r="G40" s="32">
        <f t="shared" si="27"/>
        <v>0.24694052981350947</v>
      </c>
      <c r="H40" s="32">
        <f t="shared" si="27"/>
        <v>0.26738735235613786</v>
      </c>
      <c r="I40" s="32">
        <f t="shared" si="27"/>
        <v>0.2317421743456809</v>
      </c>
      <c r="J40" s="32">
        <f t="shared" si="27"/>
        <v>0.18309444373966985</v>
      </c>
      <c r="K40" s="32">
        <f t="shared" si="26"/>
        <v>0.20125901730993737</v>
      </c>
      <c r="L40" s="32">
        <f t="shared" si="26"/>
        <v>0.20689780350746464</v>
      </c>
      <c r="M40" s="32">
        <f t="shared" si="26"/>
        <v>0.19555454670400452</v>
      </c>
      <c r="N40" s="32">
        <f t="shared" ref="N40:O40" si="28">+N26/N33</f>
        <v>0.23793165943026068</v>
      </c>
      <c r="O40" s="32">
        <f t="shared" si="28"/>
        <v>0.23676788708939453</v>
      </c>
      <c r="P40" s="32">
        <f t="shared" si="26"/>
        <v>0.20864853008918993</v>
      </c>
      <c r="Q40" s="32" t="e">
        <f t="shared" si="26"/>
        <v>#DIV/0!</v>
      </c>
      <c r="R40" s="32">
        <f t="shared" ref="R40" si="29">+R26/R33</f>
        <v>0.2256858591133723</v>
      </c>
    </row>
    <row r="41" spans="4:19">
      <c r="D41" s="29" t="s">
        <v>38</v>
      </c>
      <c r="E41" s="31">
        <f t="shared" si="26"/>
        <v>0.29283570342500564</v>
      </c>
      <c r="F41" s="31">
        <f t="shared" ref="F41:J41" si="30">+F27/F34</f>
        <v>0.45443166736591689</v>
      </c>
      <c r="G41" s="31">
        <f t="shared" si="30"/>
        <v>0.31349239111080285</v>
      </c>
      <c r="H41" s="31">
        <f t="shared" si="30"/>
        <v>0.30762234852095155</v>
      </c>
      <c r="I41" s="31">
        <f t="shared" si="30"/>
        <v>0.29715930727166068</v>
      </c>
      <c r="J41" s="31">
        <f t="shared" si="30"/>
        <v>0.26971849660369124</v>
      </c>
      <c r="K41" s="31">
        <f t="shared" si="26"/>
        <v>0.26042638493592613</v>
      </c>
      <c r="L41" s="31">
        <f t="shared" si="26"/>
        <v>0.25336235049079753</v>
      </c>
      <c r="M41" s="31">
        <f t="shared" si="26"/>
        <v>0.21718152654530595</v>
      </c>
      <c r="N41" s="31">
        <f t="shared" ref="N41:O41" si="31">+N27/N34</f>
        <v>0.2558836460543632</v>
      </c>
      <c r="O41" s="31">
        <f t="shared" si="31"/>
        <v>0.25521909304697571</v>
      </c>
      <c r="P41" s="31">
        <f t="shared" si="26"/>
        <v>0.23801146028305817</v>
      </c>
      <c r="Q41" s="31" t="e">
        <f t="shared" si="26"/>
        <v>#DIV/0!</v>
      </c>
      <c r="R41" s="33">
        <f t="shared" ref="R41" si="32">+R27/R34</f>
        <v>0.27524928564498374</v>
      </c>
    </row>
    <row r="43" spans="4:19">
      <c r="D43" s="35" t="s">
        <v>239</v>
      </c>
      <c r="E43" s="36">
        <v>16662</v>
      </c>
      <c r="F43" s="36">
        <v>9627</v>
      </c>
      <c r="G43" s="36">
        <v>12575</v>
      </c>
      <c r="H43" s="36">
        <v>16660</v>
      </c>
      <c r="I43" s="36">
        <v>14510</v>
      </c>
      <c r="J43" s="36">
        <v>15489</v>
      </c>
      <c r="K43" s="36"/>
      <c r="L43" s="36"/>
      <c r="M43" s="36"/>
      <c r="N43" s="36"/>
      <c r="O43" s="36"/>
      <c r="P43" s="36"/>
      <c r="Q43" s="36"/>
      <c r="R43" s="37">
        <f>SUM(E43:Q43)</f>
        <v>85523</v>
      </c>
      <c r="S43" s="38">
        <f>+R43/R34</f>
        <v>0.21586560895200316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Báo cáo</vt:lpstr>
      <vt:lpstr>01. MB51 - Data xuất 943</vt:lpstr>
      <vt:lpstr>02. Số tấn luân chuyển</vt:lpstr>
      <vt:lpstr>03. Chi tiết thực tế sử dụng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Tâm, Lưu Thị Minh</dc:creator>
  <cp:lastModifiedBy>Tâm, Lưu Thị Minh</cp:lastModifiedBy>
  <dcterms:created xsi:type="dcterms:W3CDTF">2025-04-28T06:02:39Z</dcterms:created>
  <dcterms:modified xsi:type="dcterms:W3CDTF">2025-12-31T07:51:54Z</dcterms:modified>
</cp:coreProperties>
</file>