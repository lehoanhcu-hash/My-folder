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B2EB0F39-9ED9-409E-BE25-F0991171D9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ấy ý kiến" sheetId="2" r:id="rId1"/>
    <sheet name="Task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D88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69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22" i="1"/>
  <c r="D14" i="1"/>
  <c r="D15" i="1"/>
  <c r="D16" i="1"/>
  <c r="D17" i="1"/>
  <c r="D13" i="1"/>
  <c r="D6" i="1"/>
  <c r="D7" i="1"/>
  <c r="D8" i="1"/>
  <c r="D5" i="1"/>
</calcChain>
</file>

<file path=xl/sharedStrings.xml><?xml version="1.0" encoding="utf-8"?>
<sst xmlns="http://schemas.openxmlformats.org/spreadsheetml/2006/main" count="471" uniqueCount="186">
  <si>
    <t>Chủ trương</t>
  </si>
  <si>
    <t>Task Name</t>
  </si>
  <si>
    <t>Start Date</t>
  </si>
  <si>
    <t>Due Date</t>
  </si>
  <si>
    <t>Tổng số ngày</t>
  </si>
  <si>
    <t>PIC</t>
  </si>
  <si>
    <t>status</t>
  </si>
  <si>
    <t>Stakeholders</t>
  </si>
  <si>
    <t>PIC (stakeholders)</t>
  </si>
  <si>
    <t>Trình định hướng</t>
  </si>
  <si>
    <t>Hiện</t>
  </si>
  <si>
    <t>hoàn thành</t>
  </si>
  <si>
    <t/>
  </si>
  <si>
    <t>Định hướng được duyệt</t>
  </si>
  <si>
    <t>Lập kế hoạch sơ bộ dự án, đăng ký Becos</t>
  </si>
  <si>
    <t>Hoàng</t>
  </si>
  <si>
    <t>Duyệt chủ trương</t>
  </si>
  <si>
    <t>Kế hoạch</t>
  </si>
  <si>
    <t>Thiết lập mục tiêu cụ thể</t>
  </si>
  <si>
    <t>Hoàn thiện kế hoạch dự án</t>
  </si>
  <si>
    <t>đang thực hiện</t>
  </si>
  <si>
    <t>Dự án được duyệt</t>
  </si>
  <si>
    <t>Pre-kickoff (online)</t>
  </si>
  <si>
    <t>Kick off dự án</t>
  </si>
  <si>
    <t>Triển khai</t>
  </si>
  <si>
    <t>Pháp lý</t>
  </si>
  <si>
    <t>Xin giấy phép hoạt động</t>
  </si>
  <si>
    <t>mở</t>
  </si>
  <si>
    <t>Giấy phép đầu tư</t>
  </si>
  <si>
    <t>Pháp chế</t>
  </si>
  <si>
    <t>Kim Thanh</t>
  </si>
  <si>
    <t>Giấy phép môi trường</t>
  </si>
  <si>
    <t>Pháp chế, Kỹ thuật</t>
  </si>
  <si>
    <t>Giấy phép PCCC</t>
  </si>
  <si>
    <t>Thành lập pháp nhân (đăng ký doanh nghiệp)</t>
  </si>
  <si>
    <t>Thế Tính</t>
  </si>
  <si>
    <t>Ký hợp đồng thuê nhà xưởng</t>
  </si>
  <si>
    <t>Thiết lập Trạm (Build)</t>
  </si>
  <si>
    <t>Set up CSHT</t>
  </si>
  <si>
    <t>Khảo sát và thiết kế CSHT</t>
  </si>
  <si>
    <t>Kỹ thuật</t>
  </si>
  <si>
    <t>Minh Nhựt</t>
  </si>
  <si>
    <t>Cải tạo CSHT</t>
  </si>
  <si>
    <t>XDCB</t>
  </si>
  <si>
    <t>Văn Khánh</t>
  </si>
  <si>
    <t>Nghiệm thu CSHT</t>
  </si>
  <si>
    <t>Trạm</t>
  </si>
  <si>
    <t>Đức Thắng</t>
  </si>
  <si>
    <t>Set up MMTB</t>
  </si>
  <si>
    <t>Đề xuất đầu tư MMTB</t>
  </si>
  <si>
    <t>Mua MMTB</t>
  </si>
  <si>
    <t>Mua hàng</t>
  </si>
  <si>
    <t>Ngọc Tuyền</t>
  </si>
  <si>
    <t>MMTB về trạm</t>
  </si>
  <si>
    <t>Mua hàng, Kỹ thuật</t>
  </si>
  <si>
    <t>Tỷ Phú</t>
  </si>
  <si>
    <t>Khảo sát và bố trí layout nhà xưởng thực tế</t>
  </si>
  <si>
    <t>Layout được ký duyệt</t>
  </si>
  <si>
    <t>Lắp đặt MMTB</t>
  </si>
  <si>
    <t>Vận hành thử nghiệm</t>
  </si>
  <si>
    <t>Trạm, Cung ứng, Kỹ thuật</t>
  </si>
  <si>
    <t>Nghiệm thu MMTB</t>
  </si>
  <si>
    <t>Trạm, Kỹ thuật</t>
  </si>
  <si>
    <t>Set up hệ thống vận hành</t>
  </si>
  <si>
    <t>Thiết lập định hướng và chiến lược vận hành</t>
  </si>
  <si>
    <t>Định hướng vận hành</t>
  </si>
  <si>
    <t>Thiết lập mục tiêu và KPIs</t>
  </si>
  <si>
    <t>Thiết lập hệ thống quản trị và ra quyết định</t>
  </si>
  <si>
    <t>Thiết lập hệ thống quản lý và vận hành (3Q)</t>
  </si>
  <si>
    <t>Tuyền</t>
  </si>
  <si>
    <t>Thiết lập hệ thống kiểm soát</t>
  </si>
  <si>
    <t>Nhung</t>
  </si>
  <si>
    <t>Trạm, Cung ứng</t>
  </si>
  <si>
    <t>Hoàn thiện hệ thống dữ liệu thị trường</t>
  </si>
  <si>
    <t>Cung ứng</t>
  </si>
  <si>
    <t>Phước An</t>
  </si>
  <si>
    <t>Thiết lập báo cáo BI</t>
  </si>
  <si>
    <t>Cung Ứng</t>
  </si>
  <si>
    <t>Tuyển dụng và đào tạo nhân sự</t>
  </si>
  <si>
    <t>HCNS, Trạm, Cung ứng, Kỹ thuật</t>
  </si>
  <si>
    <t>Kim Liên</t>
  </si>
  <si>
    <t>Thử nghiệm vận hành toàn hệ thống</t>
  </si>
  <si>
    <t>QC, Trạm, Cung ứng, Kỹ thuật</t>
  </si>
  <si>
    <t>Hệ thống sẵn sàng vận hành</t>
  </si>
  <si>
    <t>Vận hành (Operation)</t>
  </si>
  <si>
    <t>QC, Trạm, Cung ứng, Tài chính</t>
  </si>
  <si>
    <t>Yến Oanh</t>
  </si>
  <si>
    <t>Sản xuất</t>
  </si>
  <si>
    <t>QC, Trạm, Kỹ thuật</t>
  </si>
  <si>
    <t>Bán hàng</t>
  </si>
  <si>
    <t>Cung ứng, Tài chính</t>
  </si>
  <si>
    <t>Chuyển đổi số</t>
  </si>
  <si>
    <t>Triển khai SAP</t>
  </si>
  <si>
    <t>CNTT</t>
  </si>
  <si>
    <t>Lê Huế</t>
  </si>
  <si>
    <t>Triển khai Salesforce</t>
  </si>
  <si>
    <t>Triển khai Zalo</t>
  </si>
  <si>
    <t>Mỹ Hạnh</t>
  </si>
  <si>
    <t>Bàn giao (Transfer)</t>
  </si>
  <si>
    <t>Kí kết bàn giao</t>
  </si>
  <si>
    <t>Hướng dẫn, chuyển giao dự án</t>
  </si>
  <si>
    <t>Vận hành mua hàng</t>
  </si>
  <si>
    <t>Đánh giá NCƯ</t>
  </si>
  <si>
    <t>Chính sách</t>
  </si>
  <si>
    <t>Chỉ tiêu thị trường</t>
  </si>
  <si>
    <t>MMTB</t>
  </si>
  <si>
    <t>Nghiệm thu - bàn giao</t>
  </si>
  <si>
    <t>Hướng dẫn Vận hành</t>
  </si>
  <si>
    <t>Bảo trì bảo dưỡng</t>
  </si>
  <si>
    <t>Vận hành sản xuất</t>
  </si>
  <si>
    <t>Mục tiêu</t>
  </si>
  <si>
    <t>Theo dõi đánh giá</t>
  </si>
  <si>
    <t>Vận hành bán hàng</t>
  </si>
  <si>
    <t>Vận tải</t>
  </si>
  <si>
    <t>Trade</t>
  </si>
  <si>
    <t>Đóng dự án</t>
  </si>
  <si>
    <t>Hoàn thành thủ tục đóng dự án</t>
  </si>
  <si>
    <t>TIME LINE DỰ ÁN MỞ TRẠM TP.HCM</t>
  </si>
  <si>
    <t>Mục tiêu cụ thể dự án Trạm TP.HCM</t>
  </si>
  <si>
    <t>Nghỉ lễ/tết</t>
  </si>
  <si>
    <t>Thời gian</t>
  </si>
  <si>
    <t>05/01/2026 - 01/06/2026</t>
  </si>
  <si>
    <t>STT</t>
  </si>
  <si>
    <t>DANH MỤC</t>
  </si>
  <si>
    <t>DỰ KIẾN</t>
  </si>
  <si>
    <t>Khu vực</t>
  </si>
  <si>
    <t>Quận Bình Tân và xung quanh Quận Bình Tân</t>
  </si>
  <si>
    <t>Sếp Hy</t>
  </si>
  <si>
    <t>Công suất</t>
  </si>
  <si>
    <t>anh An</t>
  </si>
  <si>
    <t>Công ty mới</t>
  </si>
  <si>
    <t>chị Thanh</t>
  </si>
  <si>
    <t>Mặt bằng</t>
  </si>
  <si>
    <t>2,000 m2, trong khu CN hay ngoài khu CN?</t>
  </si>
  <si>
    <t>anh Quân</t>
  </si>
  <si>
    <t>Thời gian triển khai</t>
  </si>
  <si>
    <t>Dự kiến bao nhiêu ngày?</t>
  </si>
  <si>
    <t>Tính</t>
  </si>
  <si>
    <t>Thuê/mua mặt bằng</t>
  </si>
  <si>
    <t>CSHT và kỹ thuật</t>
  </si>
  <si>
    <t>SĐTC ban dự án</t>
  </si>
  <si>
    <t>Phòng cung ứng</t>
  </si>
  <si>
    <t>Từ Thị Yến Oanh</t>
  </si>
  <si>
    <t>Điều hành Trạm</t>
  </si>
  <si>
    <t>Lê Đức Thắng</t>
  </si>
  <si>
    <t>Văn Minh Nhựt</t>
  </si>
  <si>
    <t>Pháp lý và giấy phép</t>
  </si>
  <si>
    <t>Trần Thị Kim Thanh, Võ Thế Tính</t>
  </si>
  <si>
    <t>Nhân sự</t>
  </si>
  <si>
    <t>Bùi Công Thành</t>
  </si>
  <si>
    <t>Lê Thị Huế</t>
  </si>
  <si>
    <t>Ban dự án</t>
  </si>
  <si>
    <t>Võ Minh Duy</t>
  </si>
  <si>
    <t>Họp đình ký</t>
  </si>
  <si>
    <t>Thứ 3 hàng tuần, 14h:00</t>
  </si>
  <si>
    <t>Phòng thu mua</t>
  </si>
  <si>
    <t>Nguyễn Ngọc Tuyền</t>
  </si>
  <si>
    <t>Phòng tài chính</t>
  </si>
  <si>
    <t>Lê Hoành Cư</t>
  </si>
  <si>
    <t>..</t>
  </si>
  <si>
    <t>…</t>
  </si>
  <si>
    <t>Capaicty Tháng</t>
  </si>
  <si>
    <t>Tấn</t>
  </si>
  <si>
    <t>Bq Kg/Hdt</t>
  </si>
  <si>
    <t>Người</t>
  </si>
  <si>
    <t>Dự báo thị trường</t>
  </si>
  <si>
    <t>Năm</t>
  </si>
  <si>
    <t>PCU cung cấp dữ liệu volume</t>
  </si>
  <si>
    <r>
      <t>500 tấn/tháng và có khả năng mở rộng lên</t>
    </r>
    <r>
      <rPr>
        <b/>
        <sz val="12"/>
        <color rgb="FF0070C0"/>
        <rFont val="Arial"/>
        <family val="2"/>
      </rPr>
      <t xml:space="preserve"> 1,000 tấn/tháng</t>
    </r>
    <r>
      <rPr>
        <sz val="12"/>
        <color theme="1"/>
        <rFont val="Arial"/>
        <family val="2"/>
      </rPr>
      <t xml:space="preserve"> nhưng không đầu tư quá nhiều (Ước lượng thêm 10%-20% chi phí)</t>
    </r>
  </si>
  <si>
    <t>BO tròn</t>
  </si>
  <si>
    <t>B0 ép kiện</t>
  </si>
  <si>
    <t>%</t>
  </si>
  <si>
    <t>Gđ1</t>
  </si>
  <si>
    <t>Gđ2</t>
  </si>
  <si>
    <t xml:space="preserve">Mục tiêu chỉ đạo </t>
  </si>
  <si>
    <t>Line 1 -tròn</t>
  </si>
  <si>
    <t>Line 2 -ép kiện</t>
  </si>
  <si>
    <t>Băm chuyển về DTR</t>
  </si>
  <si>
    <t>Cty mới</t>
  </si>
  <si>
    <t>MT</t>
  </si>
  <si>
    <t>Ưu tiên có GPMT</t>
  </si>
  <si>
    <t>Diện tích</t>
  </si>
  <si>
    <t>sx</t>
  </si>
  <si>
    <t>kho bãi</t>
  </si>
  <si>
    <t>HT SAP</t>
  </si>
  <si>
    <t>Đlộc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</si>
</sst>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FFFF"/>
      <name val="Arial"/>
      <family val="2"/>
    </font>
    <font>
      <u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0" tint="-0.499984740745262"/>
      <name val="Arial"/>
      <family val="2"/>
    </font>
    <font>
      <i/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2ECD6F"/>
      </patternFill>
    </fill>
    <fill>
      <patternFill patternType="solid">
        <fgColor rgb="FF1090E0"/>
      </patternFill>
    </fill>
    <fill>
      <patternFill patternType="solid">
        <fgColor rgb="FFF9D900"/>
      </patternFill>
    </fill>
    <fill>
      <patternFill patternType="solid">
        <fgColor rgb="FFF8AE00"/>
      </patternFill>
    </fill>
    <fill>
      <patternFill patternType="solid">
        <fgColor rgb="FF87909E"/>
      </patternFill>
    </fill>
    <fill>
      <patternFill patternType="solid">
        <fgColor rgb="FFFF4081"/>
      </patternFill>
    </fill>
    <fill>
      <patternFill patternType="solid">
        <fgColor rgb="FF7C4DFF"/>
      </patternFill>
    </fill>
    <fill>
      <patternFill patternType="solid">
        <fgColor rgb="FFE65100"/>
      </patternFill>
    </fill>
    <fill>
      <patternFill patternType="solid">
        <fgColor rgb="FFD14B23"/>
      </patternFill>
    </fill>
    <fill>
      <patternFill patternType="solid">
        <fgColor rgb="FFBF55EC"/>
      </patternFill>
    </fill>
    <fill>
      <patternFill patternType="solid">
        <fgColor rgb="FFE50000"/>
      </patternFill>
    </fill>
    <fill>
      <patternFill patternType="solid">
        <fgColor rgb="FF026902"/>
      </patternFill>
    </fill>
    <fill>
      <patternFill patternType="solid">
        <fgColor rgb="FF0231E8"/>
      </patternFill>
    </fill>
    <fill>
      <patternFill patternType="solid">
        <fgColor rgb="FF2F3410"/>
      </patternFill>
    </fill>
    <fill>
      <patternFill patternType="solid">
        <fgColor rgb="FF3C7EB0"/>
      </patternFill>
    </fill>
    <fill>
      <patternFill patternType="solid">
        <fgColor rgb="FFF4BAF3"/>
      </patternFill>
    </fill>
    <fill>
      <patternFill patternType="solid">
        <fgColor rgb="FFEA80F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58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0" borderId="0" xfId="0" applyFont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left" indent="1"/>
    </xf>
    <xf numFmtId="0" fontId="6" fillId="7" borderId="0" xfId="0" applyFont="1" applyFill="1" applyAlignment="1">
      <alignment horizontal="center"/>
    </xf>
    <xf numFmtId="0" fontId="7" fillId="0" borderId="0" xfId="0" applyFont="1" applyAlignment="1">
      <alignment horizontal="left" indent="3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7" fillId="0" borderId="0" xfId="0" applyFont="1" applyAlignment="1">
      <alignment horizontal="left" indent="5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7" fillId="0" borderId="0" xfId="0" applyFont="1" applyAlignment="1">
      <alignment horizontal="left" indent="7"/>
    </xf>
    <xf numFmtId="0" fontId="6" fillId="17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8" fillId="0" borderId="0" xfId="0" applyFont="1"/>
    <xf numFmtId="0" fontId="10" fillId="0" borderId="0" xfId="2" applyFont="1" applyAlignment="1">
      <alignment horizontal="left" vertical="center"/>
    </xf>
    <xf numFmtId="16" fontId="10" fillId="0" borderId="0" xfId="2" applyNumberFormat="1" applyFont="1" applyAlignment="1">
      <alignment vertical="center"/>
    </xf>
    <xf numFmtId="0" fontId="11" fillId="0" borderId="0" xfId="2" applyFont="1" applyAlignment="1">
      <alignment vertical="center"/>
    </xf>
    <xf numFmtId="16" fontId="11" fillId="0" borderId="0" xfId="2" applyNumberFormat="1" applyFont="1" applyAlignment="1">
      <alignment vertical="center"/>
    </xf>
    <xf numFmtId="16" fontId="10" fillId="0" borderId="0" xfId="2" applyNumberFormat="1" applyFont="1" applyAlignment="1">
      <alignment horizontal="left" vertical="center"/>
    </xf>
    <xf numFmtId="16" fontId="11" fillId="0" borderId="0" xfId="2" applyNumberFormat="1" applyFont="1" applyAlignment="1">
      <alignment horizontal="left" vertical="center"/>
    </xf>
    <xf numFmtId="16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6" fontId="10" fillId="0" borderId="1" xfId="2" applyNumberFormat="1" applyFont="1" applyBorder="1" applyAlignment="1">
      <alignment horizontal="left" vertical="center"/>
    </xf>
    <xf numFmtId="16" fontId="10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6" fontId="11" fillId="0" borderId="1" xfId="2" applyNumberFormat="1" applyFont="1" applyBorder="1" applyAlignment="1">
      <alignment horizontal="left" vertical="center"/>
    </xf>
    <xf numFmtId="16" fontId="11" fillId="0" borderId="1" xfId="2" applyNumberFormat="1" applyFont="1" applyBorder="1" applyAlignment="1">
      <alignment horizontal="center" vertical="center"/>
    </xf>
    <xf numFmtId="16" fontId="11" fillId="0" borderId="0" xfId="2" applyNumberFormat="1" applyFont="1" applyAlignment="1">
      <alignment horizontal="center" vertical="center"/>
    </xf>
    <xf numFmtId="16" fontId="11" fillId="0" borderId="1" xfId="2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16" fontId="12" fillId="0" borderId="1" xfId="2" applyNumberFormat="1" applyFont="1" applyBorder="1" applyAlignment="1">
      <alignment horizontal="left" vertical="center"/>
    </xf>
    <xf numFmtId="16" fontId="12" fillId="0" borderId="1" xfId="2" applyNumberFormat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6" fontId="13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43" fontId="11" fillId="0" borderId="0" xfId="1" applyNumberFormat="1" applyFont="1" applyAlignment="1">
      <alignment horizontal="center" vertical="center"/>
    </xf>
    <xf numFmtId="16" fontId="15" fillId="0" borderId="0" xfId="2" applyNumberFormat="1" applyFont="1" applyAlignment="1">
      <alignment horizontal="center" vertical="center"/>
    </xf>
    <xf numFmtId="16" fontId="15" fillId="0" borderId="0" xfId="2" applyNumberFormat="1" applyFont="1" applyAlignment="1">
      <alignment vertical="center" wrapText="1"/>
    </xf>
  </cellXfs>
  <cellStyles count="3">
    <cellStyle name="Comma" xfId="1" builtinId="3"/>
    <cellStyle name="Normal" xfId="0" builtinId="0"/>
    <cellStyle name="Normal 2" xfId="2" xr:uid="{8A9DD136-5E79-4C24-8E89-DE42B8B24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089F-3386-4716-9F0A-05226BA7C1C7}">
  <dimension ref="A1:N36"/>
  <sheetViews>
    <sheetView tabSelected="1" topLeftCell="A33" zoomScale="55" zoomScaleNormal="55" workbookViewId="0">
      <selection activeCell="B38" sqref="B38"/>
    </sheetView>
  </sheetViews>
  <sheetFormatPr defaultColWidth="9.453125" defaultRowHeight="15.5"/>
  <cols>
    <col min="1" max="1" width="10.1796875" style="54" customWidth="1"/>
    <col min="2" max="2" width="37.6328125" style="33" customWidth="1"/>
    <col min="3" max="3" width="59.08984375" style="33" customWidth="1"/>
    <col min="4" max="4" width="16.1796875" style="33" customWidth="1"/>
    <col min="5" max="6" width="19.54296875" style="33" customWidth="1"/>
    <col min="7" max="7" width="16.81640625" style="33" customWidth="1"/>
    <col min="8" max="8" width="18.7265625" style="33" customWidth="1"/>
    <col min="9" max="9" width="13" style="33" customWidth="1"/>
    <col min="10" max="10" width="13.6328125" style="33" customWidth="1"/>
    <col min="11" max="11" width="9.08984375" style="33" customWidth="1"/>
    <col min="12" max="12" width="8.08984375" style="33" customWidth="1"/>
    <col min="13" max="13" width="1.453125" style="33" hidden="1" customWidth="1"/>
    <col min="14" max="14" width="14.1796875" style="33" customWidth="1"/>
    <col min="15" max="16384" width="9.453125" style="33"/>
  </cols>
  <sheetData>
    <row r="1" spans="1:14">
      <c r="A1" s="31" t="s">
        <v>118</v>
      </c>
      <c r="B1" s="32"/>
      <c r="C1" s="32"/>
      <c r="D1" s="32"/>
      <c r="E1" s="32"/>
      <c r="F1" s="32"/>
      <c r="G1" s="32"/>
      <c r="H1" s="32"/>
      <c r="I1" s="32"/>
      <c r="J1" s="32"/>
      <c r="M1" s="33" t="s">
        <v>119</v>
      </c>
      <c r="N1" s="34">
        <v>46067</v>
      </c>
    </row>
    <row r="2" spans="1:14">
      <c r="A2" s="31"/>
      <c r="B2" s="32"/>
      <c r="C2" s="32"/>
      <c r="D2" s="32" t="s">
        <v>110</v>
      </c>
      <c r="E2" s="32"/>
      <c r="F2" s="32"/>
      <c r="G2" s="32"/>
      <c r="H2" s="32"/>
      <c r="I2" s="32"/>
      <c r="J2" s="32"/>
      <c r="N2" s="34"/>
    </row>
    <row r="3" spans="1:14" ht="31">
      <c r="A3" s="35" t="s">
        <v>120</v>
      </c>
      <c r="C3" s="36" t="s">
        <v>121</v>
      </c>
      <c r="D3" s="37"/>
      <c r="E3" s="37"/>
      <c r="F3" s="37"/>
      <c r="G3" s="37"/>
      <c r="H3" s="37"/>
      <c r="I3" s="37"/>
      <c r="J3" s="37" t="s">
        <v>174</v>
      </c>
      <c r="K3" s="33" t="s">
        <v>172</v>
      </c>
      <c r="L3" s="33" t="s">
        <v>173</v>
      </c>
      <c r="N3" s="57" t="s">
        <v>177</v>
      </c>
    </row>
    <row r="4" spans="1:14">
      <c r="A4" s="38"/>
      <c r="B4" s="37"/>
      <c r="C4" s="37"/>
      <c r="D4" s="37"/>
      <c r="E4" s="37" t="s">
        <v>161</v>
      </c>
      <c r="F4" s="37" t="s">
        <v>166</v>
      </c>
      <c r="G4" s="37" t="s">
        <v>163</v>
      </c>
      <c r="H4" s="37"/>
      <c r="I4" s="37" t="s">
        <v>110</v>
      </c>
      <c r="J4" s="33" t="s">
        <v>171</v>
      </c>
      <c r="K4" s="33" t="s">
        <v>171</v>
      </c>
      <c r="L4" s="33" t="s">
        <v>171</v>
      </c>
      <c r="N4" s="34"/>
    </row>
    <row r="5" spans="1:14">
      <c r="A5" s="39" t="s">
        <v>122</v>
      </c>
      <c r="B5" s="40" t="s">
        <v>123</v>
      </c>
      <c r="C5" s="40" t="s">
        <v>124</v>
      </c>
      <c r="D5" s="41" t="s">
        <v>5</v>
      </c>
      <c r="E5" s="37" t="s">
        <v>162</v>
      </c>
      <c r="F5" s="37" t="s">
        <v>162</v>
      </c>
      <c r="G5" s="37" t="s">
        <v>164</v>
      </c>
      <c r="H5" s="37" t="s">
        <v>175</v>
      </c>
      <c r="I5" s="37" t="s">
        <v>169</v>
      </c>
      <c r="J5" s="33">
        <v>100</v>
      </c>
      <c r="K5" s="33">
        <v>100</v>
      </c>
      <c r="N5" s="34"/>
    </row>
    <row r="6" spans="1:14" ht="26" customHeight="1">
      <c r="A6" s="42">
        <v>1</v>
      </c>
      <c r="B6" s="43" t="s">
        <v>125</v>
      </c>
      <c r="C6" s="43" t="s">
        <v>126</v>
      </c>
      <c r="D6" s="44" t="s">
        <v>127</v>
      </c>
      <c r="E6" s="45" t="s">
        <v>165</v>
      </c>
      <c r="F6" s="45"/>
      <c r="H6" s="37" t="s">
        <v>176</v>
      </c>
      <c r="I6" s="56" t="s">
        <v>170</v>
      </c>
      <c r="L6" s="33">
        <v>100</v>
      </c>
      <c r="N6" s="34"/>
    </row>
    <row r="7" spans="1:14" ht="46.5">
      <c r="A7" s="42">
        <v>2</v>
      </c>
      <c r="B7" s="43" t="s">
        <v>128</v>
      </c>
      <c r="C7" s="46" t="s">
        <v>168</v>
      </c>
      <c r="D7" s="44" t="s">
        <v>129</v>
      </c>
      <c r="E7" s="55">
        <v>500</v>
      </c>
      <c r="F7" s="55">
        <f>E7*12</f>
        <v>6000</v>
      </c>
      <c r="H7" s="36" t="s">
        <v>167</v>
      </c>
      <c r="I7" s="45"/>
      <c r="J7" s="45"/>
      <c r="N7" s="34"/>
    </row>
    <row r="8" spans="1:14">
      <c r="A8" s="42">
        <v>3</v>
      </c>
      <c r="B8" s="43" t="s">
        <v>25</v>
      </c>
      <c r="C8" s="43" t="s">
        <v>130</v>
      </c>
      <c r="D8" s="44" t="s">
        <v>131</v>
      </c>
      <c r="E8" s="45"/>
      <c r="F8" s="45"/>
      <c r="G8" s="45"/>
      <c r="H8" s="45"/>
      <c r="I8" s="45"/>
      <c r="J8" s="45"/>
      <c r="N8" s="34"/>
    </row>
    <row r="9" spans="1:14">
      <c r="A9" s="42">
        <v>4</v>
      </c>
      <c r="B9" s="43" t="s">
        <v>132</v>
      </c>
      <c r="C9" s="43" t="s">
        <v>133</v>
      </c>
      <c r="D9" s="44" t="s">
        <v>134</v>
      </c>
      <c r="E9" s="45"/>
      <c r="F9" s="45"/>
      <c r="G9" s="45"/>
      <c r="H9" s="45"/>
      <c r="I9" s="45"/>
      <c r="J9" s="45"/>
      <c r="N9" s="34"/>
    </row>
    <row r="10" spans="1:14">
      <c r="A10" s="42">
        <v>5</v>
      </c>
      <c r="B10" s="43" t="s">
        <v>135</v>
      </c>
      <c r="C10" s="43" t="s">
        <v>136</v>
      </c>
      <c r="D10" s="44"/>
      <c r="E10" s="45"/>
      <c r="F10" s="45"/>
      <c r="G10" s="45"/>
      <c r="H10" s="45"/>
      <c r="I10" s="45"/>
      <c r="J10" s="45"/>
      <c r="N10" s="34"/>
    </row>
    <row r="11" spans="1:14">
      <c r="A11" s="47"/>
      <c r="B11" s="48" t="s">
        <v>25</v>
      </c>
      <c r="C11" s="48"/>
      <c r="D11" s="47" t="s">
        <v>137</v>
      </c>
      <c r="E11" s="45" t="s">
        <v>178</v>
      </c>
      <c r="F11" s="45"/>
      <c r="G11" s="45"/>
      <c r="H11" s="45"/>
      <c r="I11" s="45"/>
      <c r="J11" s="45"/>
      <c r="N11" s="34"/>
    </row>
    <row r="12" spans="1:14">
      <c r="A12" s="47"/>
      <c r="B12" s="49" t="s">
        <v>138</v>
      </c>
      <c r="C12" s="49"/>
      <c r="D12" s="50" t="s">
        <v>131</v>
      </c>
      <c r="E12" s="45" t="s">
        <v>179</v>
      </c>
      <c r="F12" s="45" t="s">
        <v>180</v>
      </c>
      <c r="G12" s="45"/>
      <c r="H12" s="45"/>
      <c r="I12" s="45"/>
      <c r="J12" s="45"/>
      <c r="N12" s="34"/>
    </row>
    <row r="13" spans="1:14">
      <c r="A13" s="47"/>
      <c r="B13" s="49" t="s">
        <v>139</v>
      </c>
      <c r="C13" s="49"/>
      <c r="D13" s="50" t="s">
        <v>134</v>
      </c>
      <c r="E13" s="45"/>
      <c r="F13" s="45"/>
      <c r="G13" s="45"/>
      <c r="H13" s="45"/>
      <c r="I13" s="45"/>
      <c r="J13" s="45"/>
      <c r="N13" s="34"/>
    </row>
    <row r="14" spans="1:14">
      <c r="A14" s="47"/>
      <c r="B14" s="49" t="s">
        <v>159</v>
      </c>
      <c r="C14" s="49"/>
      <c r="D14" s="50"/>
      <c r="E14" s="45"/>
      <c r="F14" s="45"/>
      <c r="G14" s="45"/>
      <c r="H14" s="45"/>
      <c r="I14" s="45"/>
      <c r="J14" s="45"/>
      <c r="N14" s="34"/>
    </row>
    <row r="15" spans="1:14">
      <c r="A15" s="47"/>
      <c r="B15" s="49" t="s">
        <v>160</v>
      </c>
      <c r="C15" s="49"/>
      <c r="D15" s="50"/>
      <c r="E15" s="45"/>
      <c r="F15" s="45"/>
      <c r="G15" s="45"/>
      <c r="H15" s="45"/>
      <c r="I15" s="45"/>
      <c r="J15" s="45"/>
      <c r="N15" s="34"/>
    </row>
    <row r="16" spans="1:14">
      <c r="A16" s="47"/>
      <c r="B16" s="49"/>
      <c r="C16" s="49"/>
      <c r="D16" s="50"/>
      <c r="E16" s="45"/>
      <c r="F16" s="45"/>
      <c r="G16" s="45"/>
      <c r="H16" s="45"/>
      <c r="I16" s="45"/>
      <c r="J16" s="45"/>
      <c r="N16" s="34"/>
    </row>
    <row r="17" spans="1:14">
      <c r="A17" s="42">
        <v>6</v>
      </c>
      <c r="B17" s="43" t="s">
        <v>140</v>
      </c>
      <c r="C17" s="43"/>
      <c r="D17" s="44"/>
      <c r="E17" s="45"/>
      <c r="F17" s="45"/>
      <c r="G17" s="45"/>
      <c r="H17" s="45"/>
      <c r="I17" s="45"/>
      <c r="J17" s="45"/>
      <c r="N17" s="34"/>
    </row>
    <row r="18" spans="1:14">
      <c r="A18" s="51"/>
      <c r="B18" s="49" t="s">
        <v>141</v>
      </c>
      <c r="C18" s="49" t="s">
        <v>142</v>
      </c>
      <c r="D18" s="52"/>
      <c r="E18" s="45"/>
      <c r="F18" s="45"/>
      <c r="G18" s="45"/>
      <c r="H18" s="45"/>
      <c r="I18" s="45"/>
      <c r="J18" s="45"/>
      <c r="N18" s="34"/>
    </row>
    <row r="19" spans="1:14">
      <c r="A19" s="51"/>
      <c r="B19" s="49" t="s">
        <v>143</v>
      </c>
      <c r="C19" s="49" t="s">
        <v>144</v>
      </c>
      <c r="D19" s="52"/>
      <c r="E19" s="45"/>
      <c r="F19" s="45"/>
      <c r="G19" s="45"/>
      <c r="H19" s="45"/>
      <c r="I19" s="45"/>
      <c r="J19" s="45"/>
      <c r="N19" s="34"/>
    </row>
    <row r="20" spans="1:14">
      <c r="A20" s="51"/>
      <c r="B20" s="49" t="s">
        <v>40</v>
      </c>
      <c r="C20" s="49" t="s">
        <v>145</v>
      </c>
      <c r="D20" s="52"/>
      <c r="E20" s="45"/>
      <c r="F20" s="45"/>
      <c r="G20" s="45"/>
      <c r="H20" s="45"/>
      <c r="I20" s="45"/>
      <c r="J20" s="45"/>
      <c r="N20" s="34"/>
    </row>
    <row r="21" spans="1:14">
      <c r="A21" s="51"/>
      <c r="B21" s="49" t="s">
        <v>146</v>
      </c>
      <c r="C21" s="49" t="s">
        <v>147</v>
      </c>
      <c r="D21" s="52"/>
      <c r="E21" s="45"/>
      <c r="F21" s="45"/>
      <c r="G21" s="45"/>
      <c r="H21" s="45"/>
      <c r="I21" s="45"/>
      <c r="J21" s="45"/>
      <c r="N21" s="34"/>
    </row>
    <row r="22" spans="1:14">
      <c r="A22" s="51"/>
      <c r="B22" s="49" t="s">
        <v>148</v>
      </c>
      <c r="C22" s="49" t="s">
        <v>149</v>
      </c>
      <c r="D22" s="52"/>
      <c r="E22" s="45"/>
      <c r="F22" s="45"/>
      <c r="G22" s="45"/>
      <c r="H22" s="45"/>
      <c r="I22" s="45"/>
      <c r="J22" s="45"/>
      <c r="N22" s="34"/>
    </row>
    <row r="23" spans="1:14">
      <c r="A23" s="51"/>
      <c r="B23" s="49" t="s">
        <v>93</v>
      </c>
      <c r="C23" s="49" t="s">
        <v>150</v>
      </c>
      <c r="D23" s="52"/>
      <c r="E23" s="45"/>
      <c r="F23" s="45"/>
      <c r="G23" s="45"/>
      <c r="H23" s="45"/>
      <c r="I23" s="45"/>
      <c r="J23" s="45"/>
      <c r="N23" s="34"/>
    </row>
    <row r="24" spans="1:14">
      <c r="A24" s="51"/>
      <c r="B24" s="49" t="s">
        <v>151</v>
      </c>
      <c r="C24" s="49" t="s">
        <v>152</v>
      </c>
      <c r="D24" s="52"/>
      <c r="E24" s="45"/>
      <c r="F24" s="45"/>
      <c r="G24" s="45"/>
      <c r="H24" s="45"/>
      <c r="I24" s="45"/>
      <c r="J24" s="45"/>
      <c r="N24" s="34"/>
    </row>
    <row r="25" spans="1:14">
      <c r="A25" s="51"/>
      <c r="B25" s="49" t="s">
        <v>155</v>
      </c>
      <c r="C25" s="49" t="s">
        <v>156</v>
      </c>
      <c r="D25" s="52"/>
      <c r="E25" s="45"/>
      <c r="F25" s="45"/>
      <c r="G25" s="45"/>
      <c r="H25" s="45"/>
      <c r="I25" s="45"/>
      <c r="J25" s="45"/>
      <c r="N25" s="34"/>
    </row>
    <row r="26" spans="1:14">
      <c r="A26" s="42"/>
      <c r="B26" s="49" t="s">
        <v>157</v>
      </c>
      <c r="C26" s="49" t="s">
        <v>158</v>
      </c>
      <c r="D26" s="44"/>
      <c r="E26" s="45"/>
      <c r="F26" s="45"/>
      <c r="G26" s="45"/>
      <c r="H26" s="45"/>
      <c r="I26" s="45"/>
      <c r="J26" s="45"/>
      <c r="N26" s="34"/>
    </row>
    <row r="27" spans="1:14">
      <c r="A27" s="42"/>
      <c r="B27" s="43"/>
      <c r="C27" s="44"/>
      <c r="D27" s="44"/>
      <c r="E27" s="45"/>
      <c r="F27" s="45"/>
      <c r="G27" s="45"/>
      <c r="H27" s="45"/>
      <c r="I27" s="45"/>
      <c r="J27" s="45"/>
      <c r="N27" s="34"/>
    </row>
    <row r="28" spans="1:14">
      <c r="A28" s="42">
        <v>7</v>
      </c>
      <c r="B28" s="53" t="s">
        <v>153</v>
      </c>
      <c r="C28" s="53" t="s">
        <v>154</v>
      </c>
      <c r="D28" s="53"/>
    </row>
    <row r="29" spans="1:14">
      <c r="A29" s="42"/>
      <c r="B29" s="53"/>
      <c r="C29" s="53"/>
      <c r="D29" s="53"/>
    </row>
    <row r="30" spans="1:14">
      <c r="A30" s="42"/>
      <c r="B30" s="53"/>
      <c r="C30" s="53"/>
      <c r="D30" s="53"/>
    </row>
    <row r="31" spans="1:14">
      <c r="A31" s="42"/>
      <c r="B31" s="53"/>
      <c r="C31" s="53"/>
      <c r="D31" s="53"/>
    </row>
    <row r="32" spans="1:14">
      <c r="A32" s="42"/>
      <c r="B32" s="53"/>
      <c r="C32" s="53"/>
      <c r="D32" s="53"/>
    </row>
    <row r="34" spans="1:4">
      <c r="A34" s="54">
        <v>8</v>
      </c>
      <c r="B34" s="33" t="s">
        <v>181</v>
      </c>
      <c r="C34" s="33">
        <v>2000</v>
      </c>
      <c r="D34" s="33" t="s">
        <v>182</v>
      </c>
    </row>
    <row r="35" spans="1:4">
      <c r="C35" s="33">
        <v>1000</v>
      </c>
      <c r="D35" s="33" t="s">
        <v>183</v>
      </c>
    </row>
    <row r="36" spans="1:4">
      <c r="A36" s="54">
        <v>9</v>
      </c>
      <c r="B36" s="33" t="s">
        <v>184</v>
      </c>
      <c r="D36" s="33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opLeftCell="A22" zoomScale="70" zoomScaleNormal="70" workbookViewId="0">
      <selection activeCell="A34" sqref="A34"/>
    </sheetView>
  </sheetViews>
  <sheetFormatPr defaultRowHeight="14"/>
  <cols>
    <col min="1" max="1" width="48.54296875" style="1" bestFit="1" customWidth="1"/>
    <col min="2" max="2" width="17" style="1" customWidth="1"/>
    <col min="3" max="3" width="14" style="1" customWidth="1"/>
    <col min="4" max="4" width="15" style="2" bestFit="1" customWidth="1"/>
    <col min="5" max="5" width="24.453125" style="1" customWidth="1"/>
    <col min="6" max="6" width="19" style="1" bestFit="1" customWidth="1"/>
    <col min="7" max="7" width="33.453125" style="1" customWidth="1"/>
    <col min="8" max="8" width="47" style="1" customWidth="1"/>
    <col min="9" max="16384" width="8.7265625" style="1"/>
  </cols>
  <sheetData>
    <row r="1" spans="1:8" ht="33.4" customHeight="1">
      <c r="A1" s="30" t="s">
        <v>117</v>
      </c>
    </row>
    <row r="2" spans="1:8" ht="20.149999999999999" customHeight="1"/>
    <row r="3" spans="1:8" ht="20">
      <c r="A3" s="3" t="s">
        <v>0</v>
      </c>
    </row>
    <row r="4" spans="1:8" ht="15.5">
      <c r="A4" s="4" t="s">
        <v>1</v>
      </c>
      <c r="B4" s="4" t="s">
        <v>2</v>
      </c>
      <c r="C4" s="4" t="s">
        <v>3</v>
      </c>
      <c r="D4" s="5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5.5">
      <c r="A5" s="6" t="s">
        <v>9</v>
      </c>
      <c r="B5" s="7">
        <v>45931</v>
      </c>
      <c r="C5" s="7">
        <v>45987</v>
      </c>
      <c r="D5" s="8">
        <f>C5-B5+1</f>
        <v>57</v>
      </c>
      <c r="E5" s="9" t="s">
        <v>10</v>
      </c>
      <c r="F5" s="10" t="s">
        <v>11</v>
      </c>
      <c r="G5" s="6" t="s">
        <v>12</v>
      </c>
      <c r="H5" s="6" t="s">
        <v>12</v>
      </c>
    </row>
    <row r="6" spans="1:8" ht="15.5">
      <c r="A6" s="6" t="s">
        <v>13</v>
      </c>
      <c r="B6" s="7">
        <v>45988</v>
      </c>
      <c r="C6" s="7">
        <v>45988</v>
      </c>
      <c r="D6" s="8">
        <f t="shared" ref="D6:D8" si="0">C6-B6+1</f>
        <v>1</v>
      </c>
      <c r="E6" s="9" t="s">
        <v>10</v>
      </c>
      <c r="F6" s="10" t="s">
        <v>11</v>
      </c>
      <c r="G6" s="6" t="s">
        <v>12</v>
      </c>
      <c r="H6" s="6" t="s">
        <v>12</v>
      </c>
    </row>
    <row r="7" spans="1:8" ht="15.5">
      <c r="A7" s="6" t="s">
        <v>14</v>
      </c>
      <c r="B7" s="7">
        <v>45989</v>
      </c>
      <c r="C7" s="7">
        <v>46000</v>
      </c>
      <c r="D7" s="8">
        <f t="shared" si="0"/>
        <v>12</v>
      </c>
      <c r="E7" s="11" t="s">
        <v>15</v>
      </c>
      <c r="F7" s="10" t="s">
        <v>11</v>
      </c>
      <c r="G7" s="6" t="s">
        <v>12</v>
      </c>
      <c r="H7" s="6" t="s">
        <v>12</v>
      </c>
    </row>
    <row r="8" spans="1:8" ht="15.5">
      <c r="A8" s="6" t="s">
        <v>16</v>
      </c>
      <c r="B8" s="7">
        <v>46001</v>
      </c>
      <c r="C8" s="7">
        <v>46001</v>
      </c>
      <c r="D8" s="8">
        <f t="shared" si="0"/>
        <v>1</v>
      </c>
      <c r="E8" s="9" t="s">
        <v>10</v>
      </c>
      <c r="F8" s="10" t="s">
        <v>11</v>
      </c>
      <c r="G8" s="6" t="s">
        <v>12</v>
      </c>
      <c r="H8" s="6" t="s">
        <v>12</v>
      </c>
    </row>
    <row r="9" spans="1:8" ht="15.5">
      <c r="A9" s="6"/>
      <c r="B9" s="7"/>
      <c r="C9" s="7"/>
      <c r="D9" s="8"/>
      <c r="E9" s="9"/>
      <c r="F9" s="10"/>
      <c r="G9" s="6"/>
      <c r="H9" s="6"/>
    </row>
    <row r="10" spans="1:8" ht="20.149999999999999" customHeight="1"/>
    <row r="11" spans="1:8" ht="20">
      <c r="A11" s="3" t="s">
        <v>17</v>
      </c>
    </row>
    <row r="12" spans="1:8" ht="15.5">
      <c r="A12" s="4" t="s">
        <v>1</v>
      </c>
      <c r="B12" s="4" t="s">
        <v>2</v>
      </c>
      <c r="C12" s="4" t="s">
        <v>3</v>
      </c>
      <c r="D12" s="5" t="s">
        <v>4</v>
      </c>
      <c r="E12" s="4" t="s">
        <v>5</v>
      </c>
      <c r="F12" s="4" t="s">
        <v>6</v>
      </c>
      <c r="G12" s="4" t="s">
        <v>7</v>
      </c>
      <c r="H12" s="4" t="s">
        <v>8</v>
      </c>
    </row>
    <row r="13" spans="1:8" ht="15.5">
      <c r="A13" s="6" t="s">
        <v>18</v>
      </c>
      <c r="B13" s="7">
        <v>46001</v>
      </c>
      <c r="C13" s="7">
        <v>46024</v>
      </c>
      <c r="D13" s="8">
        <f>C13-B13+1</f>
        <v>24</v>
      </c>
      <c r="E13" s="11" t="s">
        <v>15</v>
      </c>
      <c r="F13" s="10" t="s">
        <v>11</v>
      </c>
      <c r="G13" s="6" t="s">
        <v>12</v>
      </c>
      <c r="H13" s="6" t="s">
        <v>12</v>
      </c>
    </row>
    <row r="14" spans="1:8" ht="15.5">
      <c r="A14" s="6" t="s">
        <v>19</v>
      </c>
      <c r="B14" s="7">
        <v>46025</v>
      </c>
      <c r="C14" s="7">
        <v>46030</v>
      </c>
      <c r="D14" s="8">
        <f t="shared" ref="D14:D17" si="1">C14-B14+1</f>
        <v>6</v>
      </c>
      <c r="E14" s="11" t="s">
        <v>15</v>
      </c>
      <c r="F14" s="12" t="s">
        <v>20</v>
      </c>
      <c r="G14" s="6" t="s">
        <v>12</v>
      </c>
      <c r="H14" s="6" t="s">
        <v>12</v>
      </c>
    </row>
    <row r="15" spans="1:8" ht="15.5">
      <c r="A15" s="6" t="s">
        <v>21</v>
      </c>
      <c r="B15" s="7">
        <v>46031</v>
      </c>
      <c r="C15" s="7">
        <v>46031</v>
      </c>
      <c r="D15" s="8">
        <f t="shared" si="1"/>
        <v>1</v>
      </c>
      <c r="E15" s="11" t="s">
        <v>15</v>
      </c>
      <c r="F15" s="12" t="s">
        <v>20</v>
      </c>
      <c r="G15" s="6" t="s">
        <v>12</v>
      </c>
      <c r="H15" s="6" t="s">
        <v>12</v>
      </c>
    </row>
    <row r="16" spans="1:8" ht="15.5">
      <c r="A16" s="6" t="s">
        <v>22</v>
      </c>
      <c r="B16" s="7">
        <v>46034</v>
      </c>
      <c r="C16" s="7">
        <v>46034</v>
      </c>
      <c r="D16" s="8">
        <f t="shared" si="1"/>
        <v>1</v>
      </c>
      <c r="E16" s="11" t="s">
        <v>15</v>
      </c>
      <c r="F16" s="12" t="s">
        <v>20</v>
      </c>
      <c r="G16" s="6" t="s">
        <v>12</v>
      </c>
      <c r="H16" s="6" t="s">
        <v>12</v>
      </c>
    </row>
    <row r="17" spans="1:8" ht="15.5">
      <c r="A17" s="6" t="s">
        <v>23</v>
      </c>
      <c r="B17" s="7">
        <v>46035</v>
      </c>
      <c r="C17" s="7">
        <v>46035</v>
      </c>
      <c r="D17" s="8">
        <f t="shared" si="1"/>
        <v>1</v>
      </c>
      <c r="E17" s="11" t="s">
        <v>15</v>
      </c>
      <c r="F17" s="12" t="s">
        <v>20</v>
      </c>
      <c r="G17" s="6" t="s">
        <v>12</v>
      </c>
      <c r="H17" s="6" t="s">
        <v>12</v>
      </c>
    </row>
    <row r="18" spans="1:8" ht="15.5">
      <c r="A18" s="6"/>
      <c r="B18" s="7"/>
      <c r="C18" s="7"/>
      <c r="D18" s="8"/>
      <c r="E18" s="11"/>
      <c r="F18" s="12"/>
      <c r="G18" s="6"/>
      <c r="H18" s="6"/>
    </row>
    <row r="19" spans="1:8" ht="20.149999999999999" customHeight="1"/>
    <row r="20" spans="1:8" ht="20">
      <c r="A20" s="3" t="s">
        <v>24</v>
      </c>
    </row>
    <row r="21" spans="1:8" ht="15.5">
      <c r="A21" s="4" t="s">
        <v>1</v>
      </c>
      <c r="B21" s="4" t="s">
        <v>2</v>
      </c>
      <c r="C21" s="4" t="s">
        <v>3</v>
      </c>
      <c r="D21" s="5" t="s">
        <v>4</v>
      </c>
      <c r="E21" s="4" t="s">
        <v>5</v>
      </c>
      <c r="F21" s="4" t="s">
        <v>6</v>
      </c>
      <c r="G21" s="4" t="s">
        <v>7</v>
      </c>
      <c r="H21" s="4" t="s">
        <v>8</v>
      </c>
    </row>
    <row r="22" spans="1:8" ht="15.5">
      <c r="A22" s="6" t="s">
        <v>25</v>
      </c>
      <c r="B22" s="7">
        <v>46001</v>
      </c>
      <c r="C22" s="7">
        <v>46022</v>
      </c>
      <c r="D22" s="8">
        <f>C22-B22+1</f>
        <v>22</v>
      </c>
      <c r="E22" s="11" t="s">
        <v>15</v>
      </c>
      <c r="F22" s="12" t="s">
        <v>20</v>
      </c>
      <c r="G22" s="6" t="s">
        <v>12</v>
      </c>
      <c r="H22" s="6" t="s">
        <v>12</v>
      </c>
    </row>
    <row r="23" spans="1:8" ht="15.5">
      <c r="A23" s="13" t="s">
        <v>26</v>
      </c>
      <c r="B23" s="7">
        <v>46027</v>
      </c>
      <c r="C23" s="7">
        <v>46067</v>
      </c>
      <c r="D23" s="8">
        <f t="shared" ref="D23:D64" si="2">C23-B23+1</f>
        <v>41</v>
      </c>
      <c r="E23" s="11" t="s">
        <v>15</v>
      </c>
      <c r="F23" s="14" t="s">
        <v>27</v>
      </c>
      <c r="G23" s="6" t="s">
        <v>12</v>
      </c>
      <c r="H23" s="6" t="s">
        <v>12</v>
      </c>
    </row>
    <row r="24" spans="1:8" ht="15.5">
      <c r="A24" s="15" t="s">
        <v>28</v>
      </c>
      <c r="B24" s="7">
        <v>46027</v>
      </c>
      <c r="C24" s="7">
        <v>46047</v>
      </c>
      <c r="D24" s="8">
        <f t="shared" si="2"/>
        <v>21</v>
      </c>
      <c r="E24" s="9" t="s">
        <v>10</v>
      </c>
      <c r="F24" s="14" t="s">
        <v>27</v>
      </c>
      <c r="G24" s="6" t="s">
        <v>29</v>
      </c>
      <c r="H24" s="16" t="s">
        <v>30</v>
      </c>
    </row>
    <row r="25" spans="1:8" ht="15.5">
      <c r="A25" s="15" t="s">
        <v>31</v>
      </c>
      <c r="B25" s="7">
        <v>46048</v>
      </c>
      <c r="C25" s="7">
        <v>46067</v>
      </c>
      <c r="D25" s="8">
        <f t="shared" si="2"/>
        <v>20</v>
      </c>
      <c r="E25" s="11" t="s">
        <v>15</v>
      </c>
      <c r="F25" s="14" t="s">
        <v>27</v>
      </c>
      <c r="G25" s="6" t="s">
        <v>32</v>
      </c>
      <c r="H25" s="16" t="s">
        <v>30</v>
      </c>
    </row>
    <row r="26" spans="1:8" ht="15.5">
      <c r="A26" s="15" t="s">
        <v>33</v>
      </c>
      <c r="B26" s="7">
        <v>46048</v>
      </c>
      <c r="C26" s="7">
        <v>46067</v>
      </c>
      <c r="D26" s="8">
        <f t="shared" si="2"/>
        <v>20</v>
      </c>
      <c r="E26" s="11" t="s">
        <v>15</v>
      </c>
      <c r="F26" s="14" t="s">
        <v>27</v>
      </c>
      <c r="G26" s="6" t="s">
        <v>32</v>
      </c>
      <c r="H26" s="16" t="s">
        <v>30</v>
      </c>
    </row>
    <row r="27" spans="1:8" ht="15.5">
      <c r="A27" s="13" t="s">
        <v>34</v>
      </c>
      <c r="B27" s="7">
        <v>46048</v>
      </c>
      <c r="C27" s="7">
        <v>46055</v>
      </c>
      <c r="D27" s="8">
        <f t="shared" si="2"/>
        <v>8</v>
      </c>
      <c r="E27" s="11" t="s">
        <v>15</v>
      </c>
      <c r="F27" s="14" t="s">
        <v>27</v>
      </c>
      <c r="G27" s="6" t="s">
        <v>29</v>
      </c>
      <c r="H27" s="17" t="s">
        <v>35</v>
      </c>
    </row>
    <row r="28" spans="1:8" ht="15.5">
      <c r="A28" s="13" t="s">
        <v>36</v>
      </c>
      <c r="B28" s="7">
        <v>46048</v>
      </c>
      <c r="C28" s="7">
        <v>46055</v>
      </c>
      <c r="D28" s="8">
        <f t="shared" si="2"/>
        <v>8</v>
      </c>
      <c r="E28" s="11" t="s">
        <v>15</v>
      </c>
      <c r="F28" s="14" t="s">
        <v>27</v>
      </c>
      <c r="G28" s="6" t="s">
        <v>29</v>
      </c>
      <c r="H28" s="16" t="s">
        <v>30</v>
      </c>
    </row>
    <row r="29" spans="1:8" ht="15.5">
      <c r="A29" s="6" t="s">
        <v>37</v>
      </c>
      <c r="B29" s="7">
        <v>46035</v>
      </c>
      <c r="C29" s="7">
        <v>46120</v>
      </c>
      <c r="D29" s="8">
        <f t="shared" si="2"/>
        <v>86</v>
      </c>
      <c r="E29" s="11" t="s">
        <v>15</v>
      </c>
      <c r="F29" s="14" t="s">
        <v>27</v>
      </c>
      <c r="G29" s="6" t="s">
        <v>12</v>
      </c>
      <c r="H29" s="6" t="s">
        <v>12</v>
      </c>
    </row>
    <row r="30" spans="1:8" ht="15.5">
      <c r="A30" s="13" t="s">
        <v>38</v>
      </c>
      <c r="B30" s="7">
        <v>46055</v>
      </c>
      <c r="C30" s="7">
        <v>46067</v>
      </c>
      <c r="D30" s="8">
        <f t="shared" si="2"/>
        <v>13</v>
      </c>
      <c r="E30" s="11" t="s">
        <v>15</v>
      </c>
      <c r="F30" s="14" t="s">
        <v>27</v>
      </c>
      <c r="G30" s="6" t="s">
        <v>12</v>
      </c>
      <c r="H30" s="6" t="s">
        <v>12</v>
      </c>
    </row>
    <row r="31" spans="1:8" ht="15.5">
      <c r="A31" s="15" t="s">
        <v>39</v>
      </c>
      <c r="B31" s="7">
        <v>46055</v>
      </c>
      <c r="C31" s="7">
        <v>46057</v>
      </c>
      <c r="D31" s="8">
        <f t="shared" si="2"/>
        <v>3</v>
      </c>
      <c r="E31" s="11" t="s">
        <v>15</v>
      </c>
      <c r="F31" s="14" t="s">
        <v>27</v>
      </c>
      <c r="G31" s="6" t="s">
        <v>40</v>
      </c>
      <c r="H31" s="18" t="s">
        <v>41</v>
      </c>
    </row>
    <row r="32" spans="1:8" ht="15.5">
      <c r="A32" s="15" t="s">
        <v>42</v>
      </c>
      <c r="B32" s="7">
        <v>46058</v>
      </c>
      <c r="C32" s="7">
        <v>46067</v>
      </c>
      <c r="D32" s="8">
        <f t="shared" si="2"/>
        <v>10</v>
      </c>
      <c r="E32" s="11" t="s">
        <v>15</v>
      </c>
      <c r="F32" s="14" t="s">
        <v>27</v>
      </c>
      <c r="G32" s="6" t="s">
        <v>43</v>
      </c>
      <c r="H32" s="19" t="s">
        <v>44</v>
      </c>
    </row>
    <row r="33" spans="1:8" ht="15.5">
      <c r="A33" s="15" t="s">
        <v>45</v>
      </c>
      <c r="B33" s="7">
        <v>46067</v>
      </c>
      <c r="C33" s="7">
        <v>46067</v>
      </c>
      <c r="D33" s="8">
        <f t="shared" si="2"/>
        <v>1</v>
      </c>
      <c r="E33" s="11" t="s">
        <v>15</v>
      </c>
      <c r="F33" s="14" t="s">
        <v>27</v>
      </c>
      <c r="G33" s="6" t="s">
        <v>46</v>
      </c>
      <c r="H33" s="20" t="s">
        <v>47</v>
      </c>
    </row>
    <row r="34" spans="1:8" ht="15.5">
      <c r="A34" s="13" t="s">
        <v>48</v>
      </c>
      <c r="B34" s="7">
        <v>46014</v>
      </c>
      <c r="C34" s="7">
        <v>46120</v>
      </c>
      <c r="D34" s="8">
        <f t="shared" si="2"/>
        <v>107</v>
      </c>
      <c r="E34" s="11" t="s">
        <v>15</v>
      </c>
      <c r="F34" s="14" t="s">
        <v>27</v>
      </c>
      <c r="G34" s="6" t="s">
        <v>12</v>
      </c>
      <c r="H34" s="6" t="s">
        <v>12</v>
      </c>
    </row>
    <row r="35" spans="1:8" ht="15.5">
      <c r="A35" s="15" t="s">
        <v>49</v>
      </c>
      <c r="B35" s="7">
        <v>46027</v>
      </c>
      <c r="C35" s="7">
        <v>46035</v>
      </c>
      <c r="D35" s="8">
        <f t="shared" si="2"/>
        <v>9</v>
      </c>
      <c r="E35" s="11" t="s">
        <v>15</v>
      </c>
      <c r="F35" s="14" t="s">
        <v>27</v>
      </c>
      <c r="G35" s="6" t="s">
        <v>40</v>
      </c>
      <c r="H35" s="18" t="s">
        <v>41</v>
      </c>
    </row>
    <row r="36" spans="1:8" ht="15.5">
      <c r="A36" s="15" t="s">
        <v>50</v>
      </c>
      <c r="B36" s="7">
        <v>46036</v>
      </c>
      <c r="C36" s="7">
        <v>46097</v>
      </c>
      <c r="D36" s="8">
        <f t="shared" si="2"/>
        <v>62</v>
      </c>
      <c r="E36" s="11" t="s">
        <v>15</v>
      </c>
      <c r="F36" s="14" t="s">
        <v>27</v>
      </c>
      <c r="G36" s="6" t="s">
        <v>51</v>
      </c>
      <c r="H36" s="21" t="s">
        <v>52</v>
      </c>
    </row>
    <row r="37" spans="1:8" ht="15.5">
      <c r="A37" s="22" t="s">
        <v>53</v>
      </c>
      <c r="B37" s="7">
        <v>46098</v>
      </c>
      <c r="C37" s="7">
        <v>46098</v>
      </c>
      <c r="D37" s="8">
        <f t="shared" si="2"/>
        <v>1</v>
      </c>
      <c r="E37" s="11" t="s">
        <v>15</v>
      </c>
      <c r="F37" s="14" t="s">
        <v>27</v>
      </c>
      <c r="G37" s="6" t="s">
        <v>54</v>
      </c>
      <c r="H37" s="23" t="s">
        <v>55</v>
      </c>
    </row>
    <row r="38" spans="1:8" ht="15.5">
      <c r="A38" s="15" t="s">
        <v>56</v>
      </c>
      <c r="B38" s="7">
        <v>46055</v>
      </c>
      <c r="C38" s="7">
        <v>46063</v>
      </c>
      <c r="D38" s="8">
        <f t="shared" si="2"/>
        <v>9</v>
      </c>
      <c r="E38" s="11" t="s">
        <v>15</v>
      </c>
      <c r="F38" s="14" t="s">
        <v>27</v>
      </c>
      <c r="G38" s="6" t="s">
        <v>40</v>
      </c>
      <c r="H38" s="18" t="s">
        <v>41</v>
      </c>
    </row>
    <row r="39" spans="1:8" ht="15.5">
      <c r="A39" s="22" t="s">
        <v>57</v>
      </c>
      <c r="B39" s="7">
        <v>46064</v>
      </c>
      <c r="C39" s="7">
        <v>46064</v>
      </c>
      <c r="D39" s="8">
        <f t="shared" si="2"/>
        <v>1</v>
      </c>
      <c r="E39" s="11" t="s">
        <v>15</v>
      </c>
      <c r="F39" s="14" t="s">
        <v>27</v>
      </c>
      <c r="G39" s="6" t="s">
        <v>40</v>
      </c>
      <c r="H39" s="18" t="s">
        <v>41</v>
      </c>
    </row>
    <row r="40" spans="1:8" ht="15.5">
      <c r="A40" s="15" t="s">
        <v>58</v>
      </c>
      <c r="B40" s="7">
        <v>46099</v>
      </c>
      <c r="C40" s="7">
        <v>46110</v>
      </c>
      <c r="D40" s="8">
        <f t="shared" si="2"/>
        <v>12</v>
      </c>
      <c r="E40" s="11" t="s">
        <v>15</v>
      </c>
      <c r="F40" s="14" t="s">
        <v>27</v>
      </c>
      <c r="G40" s="6" t="s">
        <v>40</v>
      </c>
      <c r="H40" s="18" t="s">
        <v>41</v>
      </c>
    </row>
    <row r="41" spans="1:8" ht="15.5">
      <c r="A41" s="15" t="s">
        <v>59</v>
      </c>
      <c r="B41" s="7">
        <v>46113</v>
      </c>
      <c r="C41" s="7">
        <v>46119</v>
      </c>
      <c r="D41" s="8">
        <f t="shared" si="2"/>
        <v>7</v>
      </c>
      <c r="E41" s="11" t="s">
        <v>15</v>
      </c>
      <c r="F41" s="14" t="s">
        <v>27</v>
      </c>
      <c r="G41" s="6" t="s">
        <v>60</v>
      </c>
      <c r="H41" s="20" t="s">
        <v>47</v>
      </c>
    </row>
    <row r="42" spans="1:8" ht="15.5">
      <c r="A42" s="15" t="s">
        <v>61</v>
      </c>
      <c r="B42" s="7">
        <v>46120</v>
      </c>
      <c r="C42" s="7">
        <v>46120</v>
      </c>
      <c r="D42" s="8">
        <f t="shared" si="2"/>
        <v>1</v>
      </c>
      <c r="E42" s="11" t="s">
        <v>15</v>
      </c>
      <c r="F42" s="14" t="s">
        <v>27</v>
      </c>
      <c r="G42" s="6" t="s">
        <v>62</v>
      </c>
      <c r="H42" s="20" t="s">
        <v>47</v>
      </c>
    </row>
    <row r="43" spans="1:8" ht="15.5">
      <c r="A43" s="13" t="s">
        <v>63</v>
      </c>
      <c r="B43" s="7">
        <v>46035</v>
      </c>
      <c r="C43" s="7">
        <v>46053</v>
      </c>
      <c r="D43" s="8">
        <f t="shared" si="2"/>
        <v>19</v>
      </c>
      <c r="E43" s="11" t="s">
        <v>15</v>
      </c>
      <c r="F43" s="14" t="s">
        <v>27</v>
      </c>
      <c r="G43" s="6" t="s">
        <v>12</v>
      </c>
      <c r="H43" s="6" t="s">
        <v>12</v>
      </c>
    </row>
    <row r="44" spans="1:8" ht="15.5">
      <c r="A44" s="15" t="s">
        <v>64</v>
      </c>
      <c r="B44" s="7">
        <v>46035</v>
      </c>
      <c r="C44" s="7">
        <v>46053</v>
      </c>
      <c r="D44" s="8">
        <f t="shared" si="2"/>
        <v>19</v>
      </c>
      <c r="E44" s="9" t="s">
        <v>10</v>
      </c>
      <c r="F44" s="14" t="s">
        <v>27</v>
      </c>
      <c r="G44" s="6" t="s">
        <v>46</v>
      </c>
      <c r="H44" s="20" t="s">
        <v>47</v>
      </c>
    </row>
    <row r="45" spans="1:8" ht="15.5">
      <c r="A45" s="22" t="s">
        <v>65</v>
      </c>
      <c r="B45" s="7">
        <v>46035</v>
      </c>
      <c r="C45" s="7">
        <v>46053</v>
      </c>
      <c r="D45" s="8">
        <f t="shared" si="2"/>
        <v>19</v>
      </c>
      <c r="E45" s="9" t="s">
        <v>10</v>
      </c>
      <c r="F45" s="14" t="s">
        <v>27</v>
      </c>
      <c r="G45" s="6" t="s">
        <v>46</v>
      </c>
      <c r="H45" s="20" t="s">
        <v>47</v>
      </c>
    </row>
    <row r="46" spans="1:8" ht="15.5">
      <c r="A46" s="22" t="s">
        <v>66</v>
      </c>
      <c r="B46" s="7">
        <v>46035</v>
      </c>
      <c r="C46" s="7">
        <v>46053</v>
      </c>
      <c r="D46" s="8">
        <f t="shared" si="2"/>
        <v>19</v>
      </c>
      <c r="E46" s="9" t="s">
        <v>10</v>
      </c>
      <c r="F46" s="14" t="s">
        <v>27</v>
      </c>
      <c r="G46" s="6" t="s">
        <v>46</v>
      </c>
      <c r="H46" s="20" t="s">
        <v>47</v>
      </c>
    </row>
    <row r="47" spans="1:8" ht="15.5">
      <c r="A47" s="15" t="s">
        <v>67</v>
      </c>
      <c r="B47" s="7">
        <v>46035</v>
      </c>
      <c r="C47" s="7">
        <v>46053</v>
      </c>
      <c r="D47" s="8">
        <f t="shared" si="2"/>
        <v>19</v>
      </c>
      <c r="E47" s="9" t="s">
        <v>10</v>
      </c>
      <c r="F47" s="14" t="s">
        <v>27</v>
      </c>
      <c r="G47" s="6" t="s">
        <v>46</v>
      </c>
      <c r="H47" s="20" t="s">
        <v>47</v>
      </c>
    </row>
    <row r="48" spans="1:8" ht="15.5">
      <c r="A48" s="15" t="s">
        <v>68</v>
      </c>
      <c r="B48" s="7">
        <v>46035</v>
      </c>
      <c r="C48" s="7">
        <v>46053</v>
      </c>
      <c r="D48" s="8">
        <f t="shared" si="2"/>
        <v>19</v>
      </c>
      <c r="E48" s="16" t="s">
        <v>69</v>
      </c>
      <c r="F48" s="14" t="s">
        <v>27</v>
      </c>
      <c r="G48" s="6" t="s">
        <v>46</v>
      </c>
      <c r="H48" s="20" t="s">
        <v>47</v>
      </c>
    </row>
    <row r="49" spans="1:8" ht="15.5">
      <c r="A49" s="15" t="s">
        <v>70</v>
      </c>
      <c r="B49" s="7">
        <v>46035</v>
      </c>
      <c r="C49" s="7">
        <v>46053</v>
      </c>
      <c r="D49" s="8">
        <f t="shared" si="2"/>
        <v>19</v>
      </c>
      <c r="E49" s="24" t="s">
        <v>71</v>
      </c>
      <c r="F49" s="14" t="s">
        <v>27</v>
      </c>
      <c r="G49" s="6" t="s">
        <v>72</v>
      </c>
      <c r="H49" s="6" t="s">
        <v>12</v>
      </c>
    </row>
    <row r="50" spans="1:8" ht="15.5">
      <c r="A50" s="22" t="s">
        <v>73</v>
      </c>
      <c r="B50" s="7">
        <v>46035</v>
      </c>
      <c r="C50" s="7">
        <v>46053</v>
      </c>
      <c r="D50" s="8">
        <f t="shared" si="2"/>
        <v>19</v>
      </c>
      <c r="E50" s="24" t="s">
        <v>71</v>
      </c>
      <c r="F50" s="14" t="s">
        <v>27</v>
      </c>
      <c r="G50" s="6" t="s">
        <v>74</v>
      </c>
      <c r="H50" s="25" t="s">
        <v>75</v>
      </c>
    </row>
    <row r="51" spans="1:8" ht="15.5">
      <c r="A51" s="22" t="s">
        <v>76</v>
      </c>
      <c r="B51" s="7">
        <v>46035</v>
      </c>
      <c r="C51" s="7">
        <v>46053</v>
      </c>
      <c r="D51" s="8">
        <f t="shared" si="2"/>
        <v>19</v>
      </c>
      <c r="E51" s="24" t="s">
        <v>71</v>
      </c>
      <c r="F51" s="14" t="s">
        <v>27</v>
      </c>
      <c r="G51" s="6" t="s">
        <v>72</v>
      </c>
      <c r="H51" s="6" t="s">
        <v>12</v>
      </c>
    </row>
    <row r="52" spans="1:8" ht="15.5">
      <c r="A52" s="26" t="s">
        <v>77</v>
      </c>
      <c r="B52" s="7">
        <v>46035</v>
      </c>
      <c r="C52" s="7">
        <v>46053</v>
      </c>
      <c r="D52" s="8">
        <f t="shared" si="2"/>
        <v>19</v>
      </c>
      <c r="E52" s="24" t="s">
        <v>71</v>
      </c>
      <c r="F52" s="14" t="s">
        <v>27</v>
      </c>
      <c r="G52" s="6" t="s">
        <v>74</v>
      </c>
      <c r="H52" s="25" t="s">
        <v>75</v>
      </c>
    </row>
    <row r="53" spans="1:8" ht="15.5">
      <c r="A53" s="26" t="s">
        <v>46</v>
      </c>
      <c r="B53" s="7">
        <v>46035</v>
      </c>
      <c r="C53" s="7">
        <v>46053</v>
      </c>
      <c r="D53" s="8">
        <f t="shared" si="2"/>
        <v>19</v>
      </c>
      <c r="E53" s="24" t="s">
        <v>71</v>
      </c>
      <c r="F53" s="14" t="s">
        <v>27</v>
      </c>
      <c r="G53" s="6" t="s">
        <v>46</v>
      </c>
      <c r="H53" s="20" t="s">
        <v>47</v>
      </c>
    </row>
    <row r="54" spans="1:8" ht="15.5">
      <c r="A54" s="15" t="s">
        <v>78</v>
      </c>
      <c r="B54" s="7">
        <v>46106</v>
      </c>
      <c r="C54" s="7">
        <v>46112</v>
      </c>
      <c r="D54" s="8">
        <f t="shared" si="2"/>
        <v>7</v>
      </c>
      <c r="E54" s="11" t="s">
        <v>15</v>
      </c>
      <c r="F54" s="14" t="s">
        <v>27</v>
      </c>
      <c r="G54" s="6" t="s">
        <v>79</v>
      </c>
      <c r="H54" s="17" t="s">
        <v>80</v>
      </c>
    </row>
    <row r="55" spans="1:8" ht="15.5">
      <c r="A55" s="15" t="s">
        <v>81</v>
      </c>
      <c r="B55" s="7">
        <v>46113</v>
      </c>
      <c r="C55" s="7">
        <v>46119</v>
      </c>
      <c r="D55" s="8">
        <f t="shared" si="2"/>
        <v>7</v>
      </c>
      <c r="E55" s="11" t="s">
        <v>15</v>
      </c>
      <c r="F55" s="14" t="s">
        <v>27</v>
      </c>
      <c r="G55" s="6" t="s">
        <v>82</v>
      </c>
      <c r="H55" s="20" t="s">
        <v>47</v>
      </c>
    </row>
    <row r="56" spans="1:8" ht="15.5">
      <c r="A56" s="15" t="s">
        <v>83</v>
      </c>
      <c r="B56" s="7">
        <v>46120</v>
      </c>
      <c r="C56" s="7">
        <v>46120</v>
      </c>
      <c r="D56" s="8">
        <f t="shared" si="2"/>
        <v>1</v>
      </c>
      <c r="E56" s="11" t="s">
        <v>15</v>
      </c>
      <c r="F56" s="14" t="s">
        <v>27</v>
      </c>
      <c r="G56" s="6" t="s">
        <v>12</v>
      </c>
      <c r="H56" s="6" t="s">
        <v>12</v>
      </c>
    </row>
    <row r="57" spans="1:8" ht="15.5">
      <c r="A57" s="6" t="s">
        <v>84</v>
      </c>
      <c r="B57" s="7">
        <v>46120</v>
      </c>
      <c r="C57" s="7">
        <v>46142</v>
      </c>
      <c r="D57" s="8">
        <f t="shared" si="2"/>
        <v>23</v>
      </c>
      <c r="E57" s="11" t="s">
        <v>15</v>
      </c>
      <c r="F57" s="14" t="s">
        <v>27</v>
      </c>
      <c r="G57" s="6" t="s">
        <v>46</v>
      </c>
      <c r="H57" s="20" t="s">
        <v>47</v>
      </c>
    </row>
    <row r="58" spans="1:8" ht="15.5">
      <c r="A58" s="13" t="s">
        <v>51</v>
      </c>
      <c r="B58" s="7">
        <v>46120</v>
      </c>
      <c r="C58" s="7">
        <v>46142</v>
      </c>
      <c r="D58" s="8">
        <f t="shared" si="2"/>
        <v>23</v>
      </c>
      <c r="E58" s="11" t="s">
        <v>15</v>
      </c>
      <c r="F58" s="14" t="s">
        <v>27</v>
      </c>
      <c r="G58" s="6" t="s">
        <v>85</v>
      </c>
      <c r="H58" s="27" t="s">
        <v>86</v>
      </c>
    </row>
    <row r="59" spans="1:8" ht="15.5">
      <c r="A59" s="13" t="s">
        <v>87</v>
      </c>
      <c r="B59" s="7">
        <v>46120</v>
      </c>
      <c r="C59" s="7">
        <v>46142</v>
      </c>
      <c r="D59" s="8">
        <f t="shared" si="2"/>
        <v>23</v>
      </c>
      <c r="E59" s="11" t="s">
        <v>15</v>
      </c>
      <c r="F59" s="14" t="s">
        <v>27</v>
      </c>
      <c r="G59" s="6" t="s">
        <v>88</v>
      </c>
      <c r="H59" s="20" t="s">
        <v>47</v>
      </c>
    </row>
    <row r="60" spans="1:8" ht="15.5">
      <c r="A60" s="13" t="s">
        <v>89</v>
      </c>
      <c r="B60" s="7">
        <v>46120</v>
      </c>
      <c r="C60" s="7">
        <v>46142</v>
      </c>
      <c r="D60" s="8">
        <f t="shared" si="2"/>
        <v>23</v>
      </c>
      <c r="E60" s="11" t="s">
        <v>15</v>
      </c>
      <c r="F60" s="14" t="s">
        <v>27</v>
      </c>
      <c r="G60" s="6" t="s">
        <v>90</v>
      </c>
      <c r="H60" s="27" t="s">
        <v>86</v>
      </c>
    </row>
    <row r="61" spans="1:8" ht="15.5">
      <c r="A61" s="6" t="s">
        <v>91</v>
      </c>
      <c r="B61" s="7">
        <v>46082</v>
      </c>
      <c r="C61" s="7">
        <v>46112</v>
      </c>
      <c r="D61" s="8">
        <f t="shared" si="2"/>
        <v>31</v>
      </c>
      <c r="E61" s="9" t="s">
        <v>10</v>
      </c>
      <c r="F61" s="14" t="s">
        <v>27</v>
      </c>
      <c r="G61" s="6" t="s">
        <v>12</v>
      </c>
      <c r="H61" s="6" t="s">
        <v>12</v>
      </c>
    </row>
    <row r="62" spans="1:8" ht="15.5">
      <c r="A62" s="13" t="s">
        <v>92</v>
      </c>
      <c r="B62" s="7">
        <v>46082</v>
      </c>
      <c r="C62" s="7">
        <v>46112</v>
      </c>
      <c r="D62" s="8">
        <f t="shared" si="2"/>
        <v>31</v>
      </c>
      <c r="E62" s="24" t="s">
        <v>71</v>
      </c>
      <c r="F62" s="14" t="s">
        <v>27</v>
      </c>
      <c r="G62" s="6" t="s">
        <v>93</v>
      </c>
      <c r="H62" s="28" t="s">
        <v>94</v>
      </c>
    </row>
    <row r="63" spans="1:8" ht="15.5">
      <c r="A63" s="13" t="s">
        <v>95</v>
      </c>
      <c r="B63" s="7">
        <v>46082</v>
      </c>
      <c r="C63" s="7">
        <v>46112</v>
      </c>
      <c r="D63" s="8">
        <f t="shared" si="2"/>
        <v>31</v>
      </c>
      <c r="E63" s="24" t="s">
        <v>71</v>
      </c>
      <c r="F63" s="14" t="s">
        <v>27</v>
      </c>
      <c r="G63" s="6" t="s">
        <v>93</v>
      </c>
      <c r="H63" s="28" t="s">
        <v>94</v>
      </c>
    </row>
    <row r="64" spans="1:8" ht="15.5">
      <c r="A64" s="13" t="s">
        <v>96</v>
      </c>
      <c r="B64" s="7">
        <v>46082</v>
      </c>
      <c r="C64" s="7">
        <v>46112</v>
      </c>
      <c r="D64" s="8">
        <f t="shared" si="2"/>
        <v>31</v>
      </c>
      <c r="E64" s="24" t="s">
        <v>71</v>
      </c>
      <c r="F64" s="14" t="s">
        <v>27</v>
      </c>
      <c r="G64" s="6" t="s">
        <v>93</v>
      </c>
      <c r="H64" s="29" t="s">
        <v>97</v>
      </c>
    </row>
    <row r="65" spans="1:8" ht="15.5">
      <c r="A65" s="13"/>
      <c r="B65" s="7"/>
      <c r="C65" s="7"/>
      <c r="D65" s="8"/>
      <c r="E65" s="24"/>
      <c r="F65" s="14"/>
      <c r="G65" s="6"/>
      <c r="H65" s="29"/>
    </row>
    <row r="66" spans="1:8" ht="20.149999999999999" customHeight="1"/>
    <row r="67" spans="1:8" ht="20">
      <c r="A67" s="3" t="s">
        <v>98</v>
      </c>
    </row>
    <row r="68" spans="1:8" ht="15.5">
      <c r="A68" s="4" t="s">
        <v>1</v>
      </c>
      <c r="B68" s="4" t="s">
        <v>2</v>
      </c>
      <c r="C68" s="4" t="s">
        <v>3</v>
      </c>
      <c r="D68" s="5" t="s">
        <v>4</v>
      </c>
      <c r="E68" s="4" t="s">
        <v>5</v>
      </c>
      <c r="F68" s="4" t="s">
        <v>6</v>
      </c>
      <c r="G68" s="4" t="s">
        <v>7</v>
      </c>
      <c r="H68" s="4" t="s">
        <v>8</v>
      </c>
    </row>
    <row r="69" spans="1:8" ht="15.5">
      <c r="A69" s="6" t="s">
        <v>99</v>
      </c>
      <c r="B69" s="7">
        <v>46133</v>
      </c>
      <c r="C69" s="7">
        <v>46172</v>
      </c>
      <c r="D69" s="8">
        <f>C69-B69+1</f>
        <v>40</v>
      </c>
      <c r="E69" s="11" t="s">
        <v>15</v>
      </c>
      <c r="F69" s="14" t="s">
        <v>27</v>
      </c>
      <c r="G69" s="6" t="s">
        <v>12</v>
      </c>
      <c r="H69" s="6" t="s">
        <v>12</v>
      </c>
    </row>
    <row r="70" spans="1:8" ht="15.5">
      <c r="A70" s="13" t="s">
        <v>100</v>
      </c>
      <c r="B70" s="7">
        <v>46133</v>
      </c>
      <c r="C70" s="7">
        <v>46142</v>
      </c>
      <c r="D70" s="8">
        <f t="shared" ref="D70:D84" si="3">C70-B70+1</f>
        <v>10</v>
      </c>
      <c r="E70" s="11" t="s">
        <v>15</v>
      </c>
      <c r="F70" s="14" t="s">
        <v>27</v>
      </c>
      <c r="G70" s="6" t="s">
        <v>12</v>
      </c>
      <c r="H70" s="6" t="s">
        <v>12</v>
      </c>
    </row>
    <row r="71" spans="1:8" ht="15.5">
      <c r="A71" s="13" t="s">
        <v>101</v>
      </c>
      <c r="B71" s="7">
        <v>46143</v>
      </c>
      <c r="C71" s="7">
        <v>46172</v>
      </c>
      <c r="D71" s="8">
        <f t="shared" si="3"/>
        <v>30</v>
      </c>
      <c r="E71" s="11" t="s">
        <v>15</v>
      </c>
      <c r="F71" s="14" t="s">
        <v>27</v>
      </c>
      <c r="G71" s="6" t="s">
        <v>74</v>
      </c>
      <c r="H71" s="25" t="s">
        <v>75</v>
      </c>
    </row>
    <row r="72" spans="1:8" ht="15.5">
      <c r="A72" s="15" t="s">
        <v>102</v>
      </c>
      <c r="B72" s="7">
        <v>46143</v>
      </c>
      <c r="C72" s="7">
        <v>46172</v>
      </c>
      <c r="D72" s="8">
        <f t="shared" si="3"/>
        <v>30</v>
      </c>
      <c r="E72" s="16" t="s">
        <v>69</v>
      </c>
      <c r="F72" s="14" t="s">
        <v>27</v>
      </c>
      <c r="G72" s="6" t="s">
        <v>74</v>
      </c>
      <c r="H72" s="27" t="s">
        <v>86</v>
      </c>
    </row>
    <row r="73" spans="1:8" ht="15.5">
      <c r="A73" s="15" t="s">
        <v>103</v>
      </c>
      <c r="B73" s="7">
        <v>46143</v>
      </c>
      <c r="C73" s="7">
        <v>46172</v>
      </c>
      <c r="D73" s="8">
        <f t="shared" si="3"/>
        <v>30</v>
      </c>
      <c r="E73" s="16" t="s">
        <v>69</v>
      </c>
      <c r="F73" s="14" t="s">
        <v>27</v>
      </c>
      <c r="G73" s="6" t="s">
        <v>74</v>
      </c>
      <c r="H73" s="27" t="s">
        <v>86</v>
      </c>
    </row>
    <row r="74" spans="1:8" ht="15.5">
      <c r="A74" s="15" t="s">
        <v>104</v>
      </c>
      <c r="B74" s="7">
        <v>46143</v>
      </c>
      <c r="C74" s="7">
        <v>46172</v>
      </c>
      <c r="D74" s="8">
        <f t="shared" si="3"/>
        <v>30</v>
      </c>
      <c r="E74" s="16" t="s">
        <v>69</v>
      </c>
      <c r="F74" s="14" t="s">
        <v>27</v>
      </c>
      <c r="G74" s="6" t="s">
        <v>74</v>
      </c>
      <c r="H74" s="27" t="s">
        <v>86</v>
      </c>
    </row>
    <row r="75" spans="1:8" ht="15.5">
      <c r="A75" s="13" t="s">
        <v>105</v>
      </c>
      <c r="B75" s="7">
        <v>46127</v>
      </c>
      <c r="C75" s="7">
        <v>46142</v>
      </c>
      <c r="D75" s="8">
        <f t="shared" si="3"/>
        <v>16</v>
      </c>
      <c r="E75" s="11" t="s">
        <v>15</v>
      </c>
      <c r="F75" s="14" t="s">
        <v>27</v>
      </c>
      <c r="G75" s="6" t="s">
        <v>62</v>
      </c>
      <c r="H75" s="20" t="s">
        <v>47</v>
      </c>
    </row>
    <row r="76" spans="1:8" ht="15.5">
      <c r="A76" s="15" t="s">
        <v>106</v>
      </c>
      <c r="B76" s="7">
        <v>46127</v>
      </c>
      <c r="C76" s="7">
        <v>46142</v>
      </c>
      <c r="D76" s="8">
        <f t="shared" si="3"/>
        <v>16</v>
      </c>
      <c r="E76" s="11" t="s">
        <v>15</v>
      </c>
      <c r="F76" s="14" t="s">
        <v>27</v>
      </c>
      <c r="G76" s="6" t="s">
        <v>40</v>
      </c>
      <c r="H76" s="23" t="s">
        <v>55</v>
      </c>
    </row>
    <row r="77" spans="1:8" ht="15.5">
      <c r="A77" s="15" t="s">
        <v>107</v>
      </c>
      <c r="B77" s="7">
        <v>46127</v>
      </c>
      <c r="C77" s="7">
        <v>46142</v>
      </c>
      <c r="D77" s="8">
        <f t="shared" si="3"/>
        <v>16</v>
      </c>
      <c r="E77" s="11" t="s">
        <v>15</v>
      </c>
      <c r="F77" s="14" t="s">
        <v>27</v>
      </c>
      <c r="G77" s="6" t="s">
        <v>40</v>
      </c>
      <c r="H77" s="23" t="s">
        <v>55</v>
      </c>
    </row>
    <row r="78" spans="1:8" ht="15.5">
      <c r="A78" s="15" t="s">
        <v>108</v>
      </c>
      <c r="B78" s="7">
        <v>46127</v>
      </c>
      <c r="C78" s="7">
        <v>46142</v>
      </c>
      <c r="D78" s="8">
        <f t="shared" si="3"/>
        <v>16</v>
      </c>
      <c r="E78" s="11" t="s">
        <v>15</v>
      </c>
      <c r="F78" s="14" t="s">
        <v>27</v>
      </c>
      <c r="G78" s="6" t="s">
        <v>40</v>
      </c>
      <c r="H78" s="23" t="s">
        <v>55</v>
      </c>
    </row>
    <row r="79" spans="1:8" ht="15.5">
      <c r="A79" s="13" t="s">
        <v>109</v>
      </c>
      <c r="B79" s="7">
        <v>46143</v>
      </c>
      <c r="C79" s="7">
        <v>46172</v>
      </c>
      <c r="D79" s="8">
        <f t="shared" si="3"/>
        <v>30</v>
      </c>
      <c r="E79" s="11" t="s">
        <v>15</v>
      </c>
      <c r="F79" s="14" t="s">
        <v>27</v>
      </c>
      <c r="G79" s="6" t="s">
        <v>46</v>
      </c>
      <c r="H79" s="20" t="s">
        <v>47</v>
      </c>
    </row>
    <row r="80" spans="1:8" ht="15.5">
      <c r="A80" s="15" t="s">
        <v>110</v>
      </c>
      <c r="B80" s="7">
        <v>46143</v>
      </c>
      <c r="C80" s="7">
        <v>46172</v>
      </c>
      <c r="D80" s="8">
        <f t="shared" si="3"/>
        <v>30</v>
      </c>
      <c r="E80" s="11" t="s">
        <v>15</v>
      </c>
      <c r="F80" s="14" t="s">
        <v>27</v>
      </c>
      <c r="G80" s="6" t="s">
        <v>46</v>
      </c>
      <c r="H80" s="20" t="s">
        <v>47</v>
      </c>
    </row>
    <row r="81" spans="1:8" ht="15.5">
      <c r="A81" s="15" t="s">
        <v>111</v>
      </c>
      <c r="B81" s="7">
        <v>46143</v>
      </c>
      <c r="C81" s="7">
        <v>46172</v>
      </c>
      <c r="D81" s="8">
        <f t="shared" si="3"/>
        <v>30</v>
      </c>
      <c r="E81" s="11" t="s">
        <v>15</v>
      </c>
      <c r="F81" s="14" t="s">
        <v>27</v>
      </c>
      <c r="G81" s="6" t="s">
        <v>46</v>
      </c>
      <c r="H81" s="20" t="s">
        <v>47</v>
      </c>
    </row>
    <row r="82" spans="1:8" ht="15.5">
      <c r="A82" s="13" t="s">
        <v>112</v>
      </c>
      <c r="B82" s="7">
        <v>46143</v>
      </c>
      <c r="C82" s="7">
        <v>46172</v>
      </c>
      <c r="D82" s="8">
        <f t="shared" si="3"/>
        <v>30</v>
      </c>
      <c r="E82" s="11" t="s">
        <v>15</v>
      </c>
      <c r="F82" s="14" t="s">
        <v>27</v>
      </c>
      <c r="G82" s="6" t="s">
        <v>74</v>
      </c>
      <c r="H82" s="27" t="s">
        <v>86</v>
      </c>
    </row>
    <row r="83" spans="1:8" ht="15.5">
      <c r="A83" s="15" t="s">
        <v>113</v>
      </c>
      <c r="B83" s="7">
        <v>46143</v>
      </c>
      <c r="C83" s="7">
        <v>46172</v>
      </c>
      <c r="D83" s="8">
        <f t="shared" si="3"/>
        <v>30</v>
      </c>
      <c r="E83" s="11" t="s">
        <v>15</v>
      </c>
      <c r="F83" s="14" t="s">
        <v>27</v>
      </c>
      <c r="G83" s="6" t="s">
        <v>74</v>
      </c>
      <c r="H83" s="27" t="s">
        <v>86</v>
      </c>
    </row>
    <row r="84" spans="1:8" ht="15.5">
      <c r="A84" s="15" t="s">
        <v>114</v>
      </c>
      <c r="B84" s="7">
        <v>46143</v>
      </c>
      <c r="C84" s="7">
        <v>46172</v>
      </c>
      <c r="D84" s="8">
        <f t="shared" si="3"/>
        <v>30</v>
      </c>
      <c r="E84" s="11" t="s">
        <v>15</v>
      </c>
      <c r="F84" s="14" t="s">
        <v>27</v>
      </c>
      <c r="G84" s="6" t="s">
        <v>74</v>
      </c>
      <c r="H84" s="25" t="s">
        <v>75</v>
      </c>
    </row>
    <row r="85" spans="1:8" ht="20.149999999999999" customHeight="1"/>
    <row r="86" spans="1:8" ht="20">
      <c r="A86" s="3" t="s">
        <v>115</v>
      </c>
    </row>
    <row r="87" spans="1:8" ht="15.5">
      <c r="A87" s="4" t="s">
        <v>1</v>
      </c>
      <c r="B87" s="4" t="s">
        <v>2</v>
      </c>
      <c r="C87" s="4" t="s">
        <v>3</v>
      </c>
      <c r="D87" s="5" t="s">
        <v>4</v>
      </c>
      <c r="E87" s="4" t="s">
        <v>5</v>
      </c>
      <c r="F87" s="4" t="s">
        <v>6</v>
      </c>
      <c r="G87" s="4" t="s">
        <v>7</v>
      </c>
      <c r="H87" s="4" t="s">
        <v>8</v>
      </c>
    </row>
    <row r="88" spans="1:8" ht="15.5">
      <c r="A88" s="6" t="s">
        <v>116</v>
      </c>
      <c r="B88" s="7">
        <v>46174</v>
      </c>
      <c r="C88" s="7">
        <v>46174</v>
      </c>
      <c r="D88" s="8">
        <f>C88-B88+1</f>
        <v>1</v>
      </c>
      <c r="E88" s="11" t="s">
        <v>15</v>
      </c>
      <c r="F88" s="14" t="s">
        <v>27</v>
      </c>
      <c r="G88" s="6" t="s">
        <v>12</v>
      </c>
      <c r="H88" s="6" t="s">
        <v>12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Lấy ý kiến</vt:lpstr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2026-01-07T07:52:10Z</dcterms:created>
  <dcterms:modified xsi:type="dcterms:W3CDTF">2026-01-09T07:50:23Z</dcterms:modified>
  <cp:category/>
  <cp:contentStatus/>
</cp:coreProperties>
</file>