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CFO" sheetId="3" state="visible" r:id="rId3"/>
    <sheet xmlns:r="http://schemas.openxmlformats.org/officeDocument/2006/relationships" name="Decision" sheetId="4" state="visible" r:id="rId4"/>
    <sheet xmlns:r="http://schemas.openxmlformats.org/officeDocument/2006/relationships" name="Buy_Dec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 price</t>
        </is>
      </c>
      <c r="B1" t="n">
        <v>11300</v>
      </c>
    </row>
    <row r="2">
      <c r="A2" t="inlineStr">
        <is>
          <t>Sorting loss</t>
        </is>
      </c>
      <c r="B2" t="n">
        <v>0.1</v>
      </c>
    </row>
    <row r="3">
      <c r="A3" t="inlineStr">
        <is>
          <t>Flake yield</t>
        </is>
      </c>
      <c r="B3" t="n">
        <v>0.72</v>
      </c>
    </row>
    <row r="4">
      <c r="A4" t="inlineStr">
        <is>
          <t>Pellet yield</t>
        </is>
      </c>
      <c r="B4" t="n">
        <v>0.914</v>
      </c>
    </row>
    <row r="5">
      <c r="A5" t="inlineStr">
        <is>
          <t>Sorting cost</t>
        </is>
      </c>
      <c r="B5" t="n">
        <v>3000</v>
      </c>
    </row>
    <row r="6">
      <c r="A6" t="inlineStr">
        <is>
          <t>Grinding</t>
        </is>
      </c>
      <c r="B6" t="n">
        <v>2000</v>
      </c>
    </row>
    <row r="7">
      <c r="A7" t="inlineStr">
        <is>
          <t>Washing</t>
        </is>
      </c>
      <c r="B7" t="n">
        <v>1500</v>
      </c>
    </row>
    <row r="8">
      <c r="A8" t="inlineStr">
        <is>
          <t>Pellet cost</t>
        </is>
      </c>
      <c r="B8" t="n">
        <v>2800</v>
      </c>
    </row>
    <row r="9">
      <c r="A9" t="inlineStr">
        <is>
          <t>IV cost</t>
        </is>
      </c>
      <c r="B9" t="n">
        <v>1400</v>
      </c>
    </row>
    <row r="10">
      <c r="A10" t="inlineStr">
        <is>
          <t>SG&amp;A</t>
        </is>
      </c>
      <c r="B10" t="n">
        <v>3700</v>
      </c>
    </row>
    <row r="11">
      <c r="A11" t="inlineStr">
        <is>
          <t>Cap rate</t>
        </is>
      </c>
      <c r="B11" t="n">
        <v>0.067</v>
      </c>
    </row>
    <row r="12">
      <c r="A12" t="inlineStr">
        <is>
          <t>Cap price</t>
        </is>
      </c>
      <c r="B12" t="n">
        <v>8100</v>
      </c>
    </row>
    <row r="13">
      <c r="A13" t="inlineStr">
        <is>
          <t>Target margin</t>
        </is>
      </c>
      <c r="B13" t="n">
        <v>0.05</v>
      </c>
    </row>
    <row r="14">
      <c r="A14" t="inlineStr">
        <is>
          <t>Flake selling price</t>
        </is>
      </c>
      <c r="B14" t="n">
        <v>14000</v>
      </c>
    </row>
    <row r="15">
      <c r="A15" t="inlineStr">
        <is>
          <t>Pellet selling price</t>
        </is>
      </c>
      <c r="B15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Material cost</t>
        </is>
      </c>
      <c r="B2">
        <f>Inputs!B1/(1-Inputs!B2)</f>
        <v/>
      </c>
    </row>
    <row r="3">
      <c r="A3" t="inlineStr">
        <is>
          <t>Total cost input</t>
        </is>
      </c>
      <c r="B3">
        <f>B2+Inputs!B5+Inputs!B6+Inputs!B7+Inputs!B8+Inputs!B9+Inputs!B10</f>
        <v/>
      </c>
    </row>
    <row r="4">
      <c r="A4" t="inlineStr">
        <is>
          <t>Total yield</t>
        </is>
      </c>
      <c r="B4">
        <f>Inputs!B3*Inputs!B4</f>
        <v/>
      </c>
    </row>
    <row r="5">
      <c r="A5" t="inlineStr">
        <is>
          <t>Pellet cost audit</t>
        </is>
      </c>
      <c r="B5">
        <f>B3/B4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Cap value input</t>
        </is>
      </c>
      <c r="B2">
        <f>Inputs!B11*Inputs!B12</f>
        <v/>
      </c>
    </row>
    <row r="3">
      <c r="A3" t="inlineStr">
        <is>
          <t>Cap value per pellet</t>
        </is>
      </c>
      <c r="B3">
        <f>B2/Audit!B4</f>
        <v/>
      </c>
    </row>
    <row r="4">
      <c r="A4" t="inlineStr">
        <is>
          <t>Pellet cost CFO</t>
        </is>
      </c>
      <c r="B4">
        <f>Audit!B5-B3</f>
        <v/>
      </c>
    </row>
    <row r="5">
      <c r="A5" t="inlineStr">
        <is>
          <t>Selling price target</t>
        </is>
      </c>
      <c r="B5">
        <f>B4/(1-Inputs!B13)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Flake</t>
        </is>
      </c>
      <c r="C1" t="inlineStr">
        <is>
          <t>Pellet</t>
        </is>
      </c>
    </row>
    <row r="2">
      <c r="A2" t="inlineStr">
        <is>
          <t>Selling price</t>
        </is>
      </c>
      <c r="B2">
        <f>Inputs!B14</f>
        <v/>
      </c>
      <c r="C2">
        <f>Inputs!B15</f>
        <v/>
      </c>
    </row>
    <row r="3">
      <c r="A3" t="inlineStr">
        <is>
          <t>Cost</t>
        </is>
      </c>
      <c r="B3">
        <f>Audit!B3/Inputs!B3</f>
        <v/>
      </c>
      <c r="C3">
        <f>CFO!B4</f>
        <v/>
      </c>
    </row>
    <row r="4">
      <c r="A4" t="inlineStr">
        <is>
          <t>Profit</t>
        </is>
      </c>
      <c r="B4">
        <f>B2-B3</f>
        <v/>
      </c>
      <c r="C4">
        <f>C2-C3</f>
        <v/>
      </c>
    </row>
    <row r="6">
      <c r="A6" t="inlineStr">
        <is>
          <t>Decision</t>
        </is>
      </c>
      <c r="B6">
        <f>IF(C4&gt;B4,"Run Pellet","Sell Flake")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B0 price</t>
        </is>
      </c>
      <c r="B2">
        <f>(Inputs!B15*Audit!B4)- (Audit!B3-Inputs!B1/(1-Inputs!B2)) + CFO!B2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2026-04-25T04:45:11Z</dcterms:created>
  <dcterms:modified xmlns:dcterms="http://purl.org/dc/terms/" xmlns:xsi="http://www.w3.org/2001/XMLSchema-instance" xsi:type="dcterms:W3CDTF">2026-04-25T04:45:11Z</dcterms:modified>
</cp:coreProperties>
</file>