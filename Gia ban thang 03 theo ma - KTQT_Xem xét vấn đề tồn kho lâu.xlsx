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KTQT\Giá bán\Giá bán Tháng_Năm\2026\T03.2026\"/>
    </mc:Choice>
  </mc:AlternateContent>
  <xr:revisionPtr revIDLastSave="0" documentId="13_ncr:1_{33BEB19F-0CB7-458E-A449-4B0B5466680A}" xr6:coauthVersionLast="47" xr6:coauthVersionMax="47" xr10:uidLastSave="{00000000-0000-0000-0000-000000000000}"/>
  <bookViews>
    <workbookView xWindow="-110" yWindow="-110" windowWidth="19420" windowHeight="10300" xr2:uid="{FFA523A8-6C50-4096-A6CD-B7BF30EEDBD6}"/>
  </bookViews>
  <sheets>
    <sheet name="Trình bày" sheetId="2" r:id="rId1"/>
    <sheet name="KH 2025" sheetId="4" r:id="rId2"/>
    <sheet name="Dự báo" sheetId="6" r:id="rId3"/>
    <sheet name="tồn 30.11" sheetId="7" r:id="rId4"/>
    <sheet name="tồn TP 24.02" sheetId="1" r:id="rId5"/>
    <sheet name="data" sheetId="3" r:id="rId6"/>
  </sheets>
  <definedNames>
    <definedName name="\A">#REF!</definedName>
    <definedName name="\M">#REF!</definedName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TS98">#REF!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h2" hidden="1">{"'Sheet1'!$L$16"}</definedName>
    <definedName name="___LY01">#REF!</definedName>
    <definedName name="___Mkt1">#REF!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TS98">#REF!</definedName>
    <definedName name="__BGT02">#REF!</definedName>
    <definedName name="__cad2" hidden="1">{#N/A,#N/A,TRUE,"BT M200 da 10x20"}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LY01">#REF!</definedName>
    <definedName name="__Mkt1">#REF!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hidden="1">#REF!</definedName>
    <definedName name="_13">#REF!</definedName>
    <definedName name="_14">#REF!</definedName>
    <definedName name="_1400B">#REF!</definedName>
    <definedName name="_14F" hidden="1">#REF!</definedName>
    <definedName name="_15">#REF!</definedName>
    <definedName name="_15_0_0_F" hidden="1">#REF!</definedName>
    <definedName name="_15F" hidden="1">#REF!</definedName>
    <definedName name="_16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hidden="1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F" hidden="1">#REF!</definedName>
    <definedName name="_7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TS98">#REF!</definedName>
    <definedName name="_b_NPD_SKU_Zeit_Germany">#REF!</definedName>
    <definedName name="_B1">#REF!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xlnm._FilterDatabase" localSheetId="5" hidden="1">data!$A$1:$E$116</definedName>
    <definedName name="_xlnm._FilterDatabase" localSheetId="2" hidden="1">'Dự báo'!$A$11:$BS$50</definedName>
    <definedName name="_xlnm._FilterDatabase" localSheetId="1" hidden="1">'KH 2025'!$A$10:$Y$74</definedName>
    <definedName name="_xlnm._FilterDatabase" localSheetId="3" hidden="1">'tồn 30.11'!$A$1:$N$178</definedName>
    <definedName name="_xlnm._FilterDatabase" localSheetId="4" hidden="1">'tồn TP 24.02'!$A$2:$T$139</definedName>
    <definedName name="_xlnm._FilterDatabase" localSheetId="0" hidden="1">'Trình bày'!$A$4:$O$113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#REF!</definedName>
    <definedName name="_IRR2">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min">#REF!</definedName>
    <definedName name="Adv">#REF!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nnee">#REF!</definedName>
    <definedName name="Année">#REF!</definedName>
    <definedName name="anscount" hidden="1">1</definedName>
    <definedName name="AP">#REF!</definedName>
    <definedName name="APMM_Net_Result_Total">#REF!</definedName>
    <definedName name="APMM_Net_Result_Total_Budget">#REF!</definedName>
    <definedName name="Application" localSheetId="2">#REF!</definedName>
    <definedName name="Application">#REF!</definedName>
    <definedName name="Aprleave">#REF!</definedName>
    <definedName name="Area">#REF!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#REF!</definedName>
    <definedName name="asda" hidden="1">#REF!</definedName>
    <definedName name="asdf" hidden="1">#REF!</definedName>
    <definedName name="asdjfk">#REF!</definedName>
    <definedName name="Asia">#REF!</definedName>
    <definedName name="ass" hidden="1">{"revable",#N/A,FALSE,"REVABLE"}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xedoc1">#REF!,#REF!,#REF!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OCK6">#REF!</definedName>
    <definedName name="BMargin">#REF!</definedName>
    <definedName name="BMSale">#REF!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hidden="1">{"'ตัวอย่าง'!$A$1:$O$21"}</definedName>
    <definedName name="BOQ">#REF!</definedName>
    <definedName name="Brand">#REF!</definedName>
    <definedName name="Brand_Setup">#REF!</definedName>
    <definedName name="brdwght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CIQWBGuid" hidden="1">"31f98984-787e-48fc-adc8-ee1c3151ce60"</definedName>
    <definedName name="CK">#REF!</definedName>
    <definedName name="CKPTHU">#REF!</definedName>
    <definedName name="CKPTPNK">#REF!</definedName>
    <definedName name="Class.list">#REF!</definedName>
    <definedName name="CLEARING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HM_DTCT">#REF!</definedName>
    <definedName name="Công_lđ_bộ_phận_sx__công">#REF!</definedName>
    <definedName name="Cong_M_DTCT">#REF!</definedName>
    <definedName name="Cong_NC_DTCT">#REF!</definedName>
    <definedName name="Cong_VL_DTCT">#REF!</definedName>
    <definedName name="CONST_EQ">#REF!</definedName>
    <definedName name="consumption">#REF!</definedName>
    <definedName name="Contingency">#REF!</definedName>
    <definedName name="Continue">#REF!</definedName>
    <definedName name="Contractingdiv">#REF!</definedName>
    <definedName name="conv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iep">#REF!</definedName>
    <definedName name="CTK133DK">#REF!</definedName>
    <definedName name="CTK133LK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hidden="1">{"'Sheet1'!$L$16"}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hannel">#REF!</definedName>
    <definedName name="DCTSC">#REF!</definedName>
    <definedName name="dd" hidden="1">{"'ตัวอย่าง'!$A$1:$O$21"}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cument_array">{"Book1","bang chia luong - P.Tai vu.xls"}</definedName>
    <definedName name="Documents_array">#REF!</definedName>
    <definedName name="DONNEES">#REF!</definedName>
    <definedName name="donnéesBFRE">#REF!</definedName>
    <definedName name="donvi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Đứng_máy">#REF!</definedName>
    <definedName name="Đứng_máy_trực_tiếp">#REF!</definedName>
    <definedName name="duoi">#REF!</definedName>
    <definedName name="DVT">#REF!</definedName>
    <definedName name="DWPRICE" hidden="1">#REF!</definedName>
    <definedName name="e">#REF!</definedName>
    <definedName name="EA">#REF!</definedName>
    <definedName name="EANWC">#REF!</definedName>
    <definedName name="EAP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hange">#REF!</definedName>
    <definedName name="EXCHRATE">#REF!</definedName>
    <definedName name="Excis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R">#REF!</definedName>
    <definedName name="F28AR">#REF!</definedName>
    <definedName name="F28BR">#REF!</definedName>
    <definedName name="F2AR">#REF!</definedName>
    <definedName name="F2BR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ebleave">#REF!</definedName>
    <definedName name="FELD_EINGEBEN">#REF!</definedName>
    <definedName name="ff" hidden="1">{"'ตัวอย่าง'!$A$1:$O$21"}</definedName>
    <definedName name="FFF">BlankMacro1</definedName>
    <definedName name="ffff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T">BlankMacro1</definedName>
    <definedName name="FITT2">BlankMacro1</definedName>
    <definedName name="FITTING2">BlankMacro1</definedName>
    <definedName name="Fixed_Assets_Total">#REF!</definedName>
    <definedName name="fixed_cost">#REF!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ye">#REF!</definedName>
    <definedName name="G">#REF!</definedName>
    <definedName name="G_ME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ia_tien">#REF!</definedName>
    <definedName name="gia_tien_BTN">#REF!</definedName>
    <definedName name="giaban">#REF!</definedName>
    <definedName name="Gián_tiếp">#REF!</definedName>
    <definedName name="giathanh">#REF!</definedName>
    <definedName name="Giatri">#REF!</definedName>
    <definedName name="Giocong">#REF!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OSS_PROFIT">#REF!</definedName>
    <definedName name="GrossUp">#REF!</definedName>
    <definedName name="group_matters">#REF!</definedName>
    <definedName name="GSL_DRUCKEN">#REF!</definedName>
    <definedName name="GTM" hidden="1">{"'Sheet1'!$L$16"}</definedName>
    <definedName name="H">#REF!</definedName>
    <definedName name="H_30">#REF!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bbbbb" hidden="1">{"'Sheet1'!$L$16"}</definedName>
    <definedName name="HC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gdas" hidden="1">#REF!</definedName>
    <definedName name="hg">#REF!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hidden="1">{"'Sheet1'!$L$16"}</definedName>
    <definedName name="Jul">#REF!</definedName>
    <definedName name="k">#REF!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HUE">#REF!</definedName>
    <definedName name="KHTP">#REF!</definedName>
    <definedName name="Kiem_tra_trung_ten">#REF!</definedName>
    <definedName name="kk" hidden="1">#REF!</definedName>
    <definedName name="KKE_Sheet10_List">#REF!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OR_TAX" hidden="1">#REF!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>#REF!</definedName>
    <definedName name="Localpit">#REF!</definedName>
    <definedName name="LocalProposePit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õ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_A">#REF!</definedName>
    <definedName name="MAT_B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uR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hidden="1">OFFSET(#REF!,1,0)</definedName>
    <definedName name="Nghỉ_phép">#REF!</definedName>
    <definedName name="ngonngu">#REF!</definedName>
    <definedName name="NH">#REF!</definedName>
    <definedName name="Nhan_Xet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hidden="1">{"'ตัวอย่าง'!$A$1:$O$21"}</definedName>
    <definedName name="npd_fixed">#REF!</definedName>
    <definedName name="NPP" hidden="1">#REF!</definedName>
    <definedName name="npv">#REF!</definedName>
    <definedName name="NRAREA">#REF!</definedName>
    <definedName name="nt">#REF!</definedName>
    <definedName name="NTK133DK">#REF!</definedName>
    <definedName name="NTK133LK1">#REF!</definedName>
    <definedName name="ntla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O">#REF!</definedName>
    <definedName name="OBG">#REF!</definedName>
    <definedName name="OFN_DRUCKEN">#REF!</definedName>
    <definedName name="OH">#REF!</definedName>
    <definedName name="Oher_services">#REF!</definedName>
    <definedName name="OLDTONEW">#REF!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hidden="1">OFFSET(#REF!,1,0)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TU">#REF!</definedName>
    <definedName name="PACTUSOC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P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P" hidden="1">{"'Model'!$A$1:$N$53"}</definedName>
    <definedName name="PPC">#REF!</definedName>
    <definedName name="PPCSOC">#REF!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cess">#REF!</definedName>
    <definedName name="ProcurementType">#REF!</definedName>
    <definedName name="ProdForm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TA" hidden="1">{"revsale",#N/A,FALSE,"REV-ยุพดี"}</definedName>
    <definedName name="PV_HIER">#REF!</definedName>
    <definedName name="PXL_DLQM_01">#REF!</definedName>
    <definedName name="PXL_DLQM_02">#REF!</definedName>
    <definedName name="PYear">#REF!</definedName>
    <definedName name="pytax">#REF!</definedName>
    <definedName name="q">#REF!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te">#REF!</definedName>
    <definedName name="ratesprin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#REF!</definedName>
    <definedName name="RMM1A1">#REF!</definedName>
    <definedName name="RMM1BUD">#REF!</definedName>
    <definedName name="ROAROI">#REF!</definedName>
    <definedName name="RocRE">#REF!</definedName>
    <definedName name="rollingmonth">#REF!</definedName>
    <definedName name="rollingyear">#REF!</definedName>
    <definedName name="rr">#REF!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CTB">#REF!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ffd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#REF!</definedName>
    <definedName name="SOTIEN_CO_NK">#REF!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>BlankMacro1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ff">#REF!</definedName>
    <definedName name="Storage_location">#REF!</definedName>
    <definedName name="Stt">#REF!</definedName>
    <definedName name="stuff">#REF!</definedName>
    <definedName name="SubCategory">#REF!</definedName>
    <definedName name="SUM">#REF!,#REF!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isan" hidden="1">{"'Sheet1'!$L$16"}</definedName>
    <definedName name="TAMUNG">#REF!</definedName>
    <definedName name="Tan" hidden="1">{"'Sheet1'!$L$16"}</definedName>
    <definedName name="TangTygia">#REF!</definedName>
    <definedName name="Tạp_vụ">#REF!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H" hidden="1">{"'Sheet1'!$L$16"}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I">#REF!</definedName>
    <definedName name="Tỉ_lệ___gián_tiếp">#REF!</definedName>
    <definedName name="tien">#REF!</definedName>
    <definedName name="TIENKQKD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#REF!</definedName>
    <definedName name="TN">#REF!</definedName>
    <definedName name="TO">#REF!</definedName>
    <definedName name="Tổ_trưởng">#REF!</definedName>
    <definedName name="Tổng_hiện_diện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nsactions">#REF!</definedName>
    <definedName name="TRISO">#REF!</definedName>
    <definedName name="Trưởng_ca">#REF!</definedName>
    <definedName name="Trưởng_phòng">#REF!</definedName>
    <definedName name="trygmdgdh" hidden="1">{"'Sheet1'!$L$16"}</definedName>
    <definedName name="tt" hidden="1">{"'connew '!$C$40:$C$60"}</definedName>
    <definedName name="TT_1P">#REF!</definedName>
    <definedName name="TT_3p">#REF!</definedName>
    <definedName name="ttcd">#REF!</definedName>
    <definedName name="TTE" hidden="1">{"'ตัวอย่าง'!$A$1:$O$21"}</definedName>
    <definedName name="tthi">#REF!</definedName>
    <definedName name="tthunam">#REF!</definedName>
    <definedName name="ttronmk">#REF!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gia">#REF!</definedName>
    <definedName name="tygia1">#REF!</definedName>
    <definedName name="tygia2">#REF!</definedName>
    <definedName name="types">#REF!</definedName>
    <definedName name="TYT">BlankMacro1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HT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EE" hidden="1">{"'ตัวอย่าง'!$A$1:$O$21"}</definedName>
    <definedName name="WERTE_UMW">#REF!</definedName>
    <definedName name="WESTERN">#REF!</definedName>
    <definedName name="wf" hidden="1">#REF!</definedName>
    <definedName name="WIP">#REF!</definedName>
    <definedName name="WIRE1">5</definedName>
    <definedName name="WKAPITAL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hidden="1">#REF!</definedName>
    <definedName name="xxx">#N/A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YX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파트">#REF!</definedName>
    <definedName name="피벗4QTM포함">#REF!</definedName>
    <definedName name="피팅">BlankMacro1</definedName>
    <definedName name="효">#REF!,#REF!,#REF!,#REF!,#REF!,#REF!,#REF!,#REF!,#REF!</definedName>
    <definedName name="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6" l="1"/>
  <c r="K56" i="2" l="1"/>
  <c r="K55" i="2"/>
  <c r="K54" i="2"/>
  <c r="K28" i="2"/>
  <c r="K27" i="2"/>
  <c r="K26" i="2"/>
  <c r="K24" i="2"/>
  <c r="K22" i="2"/>
  <c r="K21" i="2"/>
  <c r="K14" i="2"/>
  <c r="L125" i="1" l="1"/>
  <c r="L124" i="1"/>
  <c r="L123" i="1"/>
  <c r="L109" i="1"/>
  <c r="L108" i="1"/>
  <c r="L107" i="1"/>
  <c r="L93" i="1"/>
  <c r="L92" i="1"/>
  <c r="L91" i="1"/>
  <c r="L77" i="1"/>
  <c r="L76" i="1"/>
  <c r="L75" i="1"/>
  <c r="L61" i="1"/>
  <c r="L60" i="1"/>
  <c r="L59" i="1"/>
  <c r="L45" i="1"/>
  <c r="L44" i="1"/>
  <c r="L43" i="1"/>
  <c r="L30" i="1"/>
  <c r="L29" i="1"/>
  <c r="L28" i="1"/>
  <c r="L27" i="1"/>
  <c r="L17" i="1"/>
  <c r="L16" i="1"/>
  <c r="L15" i="1"/>
  <c r="L14" i="1"/>
  <c r="L13" i="1"/>
  <c r="L12" i="1"/>
  <c r="L11" i="1"/>
  <c r="L3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2" i="1"/>
  <c r="L41" i="1"/>
  <c r="L40" i="1"/>
  <c r="L39" i="1"/>
  <c r="L38" i="1"/>
  <c r="L37" i="1"/>
  <c r="L36" i="1"/>
  <c r="L35" i="1"/>
  <c r="L34" i="1"/>
  <c r="L33" i="1"/>
  <c r="L32" i="1"/>
  <c r="L31" i="1"/>
  <c r="L26" i="1"/>
  <c r="L25" i="1"/>
  <c r="L24" i="1"/>
  <c r="L23" i="1"/>
  <c r="L22" i="1"/>
  <c r="L21" i="1"/>
  <c r="L20" i="1"/>
  <c r="L19" i="1"/>
  <c r="L18" i="1"/>
  <c r="L10" i="1"/>
  <c r="L9" i="1"/>
  <c r="L8" i="1"/>
  <c r="L7" i="1"/>
  <c r="L6" i="1"/>
  <c r="L5" i="1"/>
  <c r="L4" i="1"/>
  <c r="J139" i="1" l="1"/>
  <c r="I139" i="1"/>
  <c r="A97" i="2"/>
  <c r="A98" i="2" s="1"/>
  <c r="A99" i="2" s="1"/>
  <c r="A100" i="2" s="1"/>
  <c r="A101" i="2" s="1"/>
  <c r="A102" i="2" s="1"/>
  <c r="A103" i="2" s="1"/>
  <c r="A104" i="2" s="1"/>
  <c r="F94" i="2" l="1"/>
  <c r="O13" i="6" l="1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12" i="6"/>
  <c r="L22" i="6" l="1"/>
  <c r="L23" i="6"/>
  <c r="L24" i="6"/>
  <c r="L25" i="6"/>
  <c r="L27" i="6"/>
  <c r="L29" i="6"/>
  <c r="L30" i="6"/>
  <c r="L31" i="6"/>
  <c r="L32" i="6"/>
  <c r="L33" i="6"/>
  <c r="L37" i="6"/>
  <c r="L39" i="6"/>
  <c r="L40" i="6"/>
  <c r="L41" i="6"/>
  <c r="L42" i="6"/>
  <c r="L44" i="6"/>
  <c r="L45" i="6"/>
  <c r="L49" i="6"/>
  <c r="L50" i="6"/>
  <c r="L15" i="6"/>
  <c r="P74" i="4" l="1"/>
  <c r="P73" i="4"/>
  <c r="P70" i="4"/>
  <c r="P68" i="4"/>
  <c r="P67" i="4"/>
  <c r="P66" i="4"/>
  <c r="P65" i="4"/>
  <c r="P64" i="4"/>
  <c r="P63" i="4"/>
  <c r="P62" i="4"/>
  <c r="P60" i="4"/>
  <c r="P59" i="4"/>
  <c r="P58" i="4"/>
  <c r="P56" i="4"/>
  <c r="P55" i="4"/>
  <c r="P54" i="4"/>
  <c r="P52" i="4"/>
  <c r="P50" i="4"/>
  <c r="P49" i="4"/>
  <c r="P48" i="4"/>
  <c r="P45" i="4"/>
  <c r="P42" i="4"/>
  <c r="P35" i="4"/>
  <c r="P33" i="4"/>
  <c r="P30" i="4"/>
  <c r="P26" i="4"/>
  <c r="P24" i="4"/>
  <c r="M7" i="4" l="1"/>
  <c r="P19" i="4" l="1"/>
  <c r="O72" i="4" l="1"/>
  <c r="O73" i="4"/>
  <c r="O74" i="4"/>
  <c r="A112" i="2" l="1"/>
  <c r="A113" i="2" s="1"/>
  <c r="A108" i="2"/>
  <c r="A41" i="2" l="1"/>
  <c r="A42" i="2" s="1"/>
  <c r="A43" i="2" s="1"/>
  <c r="A44" i="2" s="1"/>
  <c r="A45" i="2" s="1"/>
  <c r="A46" i="2" s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K10" i="6"/>
  <c r="K12" i="2" l="1"/>
  <c r="W13" i="4" l="1"/>
  <c r="F28" i="2" l="1"/>
  <c r="F26" i="2"/>
  <c r="I14" i="2" l="1"/>
  <c r="J119" i="1"/>
  <c r="I119" i="1"/>
  <c r="H88" i="1"/>
  <c r="H89" i="1"/>
  <c r="H90" i="1"/>
  <c r="H95" i="1"/>
  <c r="H96" i="1"/>
  <c r="H97" i="1"/>
  <c r="H98" i="1"/>
  <c r="H111" i="1"/>
  <c r="H112" i="1"/>
  <c r="H133" i="1"/>
  <c r="H134" i="1"/>
  <c r="H107" i="1"/>
  <c r="H108" i="1"/>
  <c r="H109" i="1"/>
  <c r="H99" i="1"/>
  <c r="H100" i="1"/>
  <c r="H101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10" i="1"/>
  <c r="H135" i="1"/>
  <c r="H136" i="1"/>
  <c r="H137" i="1"/>
  <c r="H138" i="1"/>
  <c r="H139" i="1"/>
  <c r="E90" i="2"/>
  <c r="F43" i="2"/>
  <c r="F90" i="2"/>
  <c r="I88" i="1"/>
  <c r="J88" i="1"/>
  <c r="I89" i="1"/>
  <c r="J89" i="1"/>
  <c r="I90" i="1"/>
  <c r="J90" i="1"/>
  <c r="I95" i="1"/>
  <c r="J95" i="1"/>
  <c r="I96" i="1"/>
  <c r="J96" i="1"/>
  <c r="I97" i="1"/>
  <c r="J97" i="1"/>
  <c r="I98" i="1"/>
  <c r="J98" i="1"/>
  <c r="I111" i="1"/>
  <c r="J111" i="1"/>
  <c r="I112" i="1"/>
  <c r="J112" i="1"/>
  <c r="I133" i="1"/>
  <c r="J133" i="1"/>
  <c r="I134" i="1"/>
  <c r="J134" i="1"/>
  <c r="I107" i="1"/>
  <c r="J107" i="1"/>
  <c r="I108" i="1"/>
  <c r="J108" i="1"/>
  <c r="I109" i="1"/>
  <c r="J109" i="1"/>
  <c r="I99" i="1"/>
  <c r="J99" i="1"/>
  <c r="I100" i="1"/>
  <c r="J100" i="1"/>
  <c r="I101" i="1"/>
  <c r="J101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10" i="1"/>
  <c r="J110" i="1"/>
  <c r="I135" i="1"/>
  <c r="J135" i="1"/>
  <c r="I136" i="1"/>
  <c r="J136" i="1"/>
  <c r="I137" i="1"/>
  <c r="J137" i="1"/>
  <c r="I138" i="1"/>
  <c r="J138" i="1"/>
  <c r="F27" i="2"/>
  <c r="F9" i="2"/>
  <c r="F24" i="2"/>
  <c r="F86" i="2"/>
  <c r="F11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102" i="1"/>
  <c r="H103" i="1"/>
  <c r="H104" i="1"/>
  <c r="H105" i="1"/>
  <c r="H106" i="1"/>
  <c r="H91" i="1"/>
  <c r="H92" i="1"/>
  <c r="H93" i="1"/>
  <c r="H94" i="1"/>
  <c r="H87" i="1"/>
  <c r="H3" i="1"/>
  <c r="E94" i="2" l="1"/>
  <c r="E43" i="2"/>
  <c r="F96" i="2"/>
  <c r="F25" i="2"/>
  <c r="F42" i="2"/>
  <c r="F104" i="2"/>
  <c r="F12" i="2"/>
  <c r="F62" i="2"/>
  <c r="H1" i="1"/>
  <c r="E104" i="2"/>
  <c r="F97" i="2"/>
  <c r="F66" i="2"/>
  <c r="F70" i="2"/>
  <c r="F98" i="2"/>
  <c r="F76" i="2"/>
  <c r="F108" i="2"/>
  <c r="E15" i="2"/>
  <c r="E14" i="2"/>
  <c r="F74" i="2"/>
  <c r="F111" i="2"/>
  <c r="F15" i="2"/>
  <c r="F49" i="2"/>
  <c r="F100" i="2"/>
  <c r="F31" i="2"/>
  <c r="F75" i="2"/>
  <c r="F113" i="2"/>
  <c r="F77" i="2"/>
  <c r="F88" i="2"/>
  <c r="F102" i="2"/>
  <c r="F14" i="2"/>
  <c r="F64" i="2"/>
  <c r="F92" i="2"/>
  <c r="F56" i="2"/>
  <c r="F37" i="2"/>
  <c r="F107" i="2"/>
  <c r="F30" i="2"/>
  <c r="F55" i="2"/>
  <c r="F35" i="2"/>
  <c r="F20" i="2"/>
  <c r="F36" i="2"/>
  <c r="F50" i="2"/>
  <c r="F91" i="2"/>
  <c r="F34" i="2"/>
  <c r="F89" i="2"/>
  <c r="F19" i="2"/>
  <c r="F46" i="2"/>
  <c r="F23" i="2"/>
  <c r="F51" i="2"/>
  <c r="F16" i="2"/>
  <c r="F45" i="2"/>
  <c r="F63" i="2"/>
  <c r="F93" i="2"/>
  <c r="F33" i="2"/>
  <c r="F61" i="2"/>
  <c r="F87" i="2"/>
  <c r="F80" i="2"/>
  <c r="F68" i="2"/>
  <c r="F58" i="2"/>
  <c r="F101" i="2"/>
  <c r="F22" i="2"/>
  <c r="F103" i="2"/>
  <c r="F32" i="2"/>
  <c r="F18" i="2"/>
  <c r="F82" i="2"/>
  <c r="F54" i="2"/>
  <c r="F8" i="2"/>
  <c r="F53" i="2"/>
  <c r="F112" i="2"/>
  <c r="F41" i="2"/>
  <c r="F79" i="2"/>
  <c r="F48" i="2"/>
  <c r="F10" i="2"/>
  <c r="F40" i="2"/>
  <c r="F78" i="2"/>
  <c r="F52" i="2"/>
  <c r="F99" i="2"/>
  <c r="F65" i="2"/>
  <c r="F7" i="2"/>
  <c r="F21" i="2"/>
  <c r="F13" i="2"/>
  <c r="F44" i="2"/>
  <c r="F67" i="2"/>
  <c r="E113" i="2"/>
  <c r="O14" i="4" l="1"/>
  <c r="A13" i="6" l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M47" i="6"/>
  <c r="N47" i="6" s="1"/>
  <c r="M46" i="6"/>
  <c r="N46" i="6" s="1"/>
  <c r="M45" i="6"/>
  <c r="N45" i="6" s="1"/>
  <c r="M41" i="6"/>
  <c r="N41" i="6" s="1"/>
  <c r="M36" i="6"/>
  <c r="M30" i="6"/>
  <c r="N30" i="6" s="1"/>
  <c r="M48" i="6"/>
  <c r="N48" i="6" s="1"/>
  <c r="Q12" i="4"/>
  <c r="Q13" i="4"/>
  <c r="Q19" i="4"/>
  <c r="Q20" i="4"/>
  <c r="Q21" i="4"/>
  <c r="Q26" i="4"/>
  <c r="Q31" i="4"/>
  <c r="Q33" i="4"/>
  <c r="Q38" i="4"/>
  <c r="Q42" i="4"/>
  <c r="Q43" i="4"/>
  <c r="Q49" i="4"/>
  <c r="Q53" i="4"/>
  <c r="Q55" i="4"/>
  <c r="Q56" i="4"/>
  <c r="Q57" i="4"/>
  <c r="Q58" i="4"/>
  <c r="Q59" i="4"/>
  <c r="Q60" i="4"/>
  <c r="Q61" i="4"/>
  <c r="Q62" i="4"/>
  <c r="Q63" i="4"/>
  <c r="Q64" i="4"/>
  <c r="Q66" i="4"/>
  <c r="Q68" i="4"/>
  <c r="O11" i="4"/>
  <c r="O12" i="4"/>
  <c r="O13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38" i="4"/>
  <c r="O37" i="4"/>
  <c r="O36" i="4"/>
  <c r="R102" i="2"/>
  <c r="S102" i="2" s="1"/>
  <c r="T102" i="2" s="1"/>
  <c r="R92" i="2"/>
  <c r="S92" i="2" s="1"/>
  <c r="T92" i="2" s="1"/>
  <c r="R91" i="2"/>
  <c r="S91" i="2" s="1"/>
  <c r="T91" i="2" s="1"/>
  <c r="R86" i="2"/>
  <c r="S86" i="2" s="1"/>
  <c r="T86" i="2" s="1"/>
  <c r="M16" i="6"/>
  <c r="N16" i="6" s="1"/>
  <c r="M44" i="6"/>
  <c r="N44" i="6" s="1"/>
  <c r="R101" i="2"/>
  <c r="S101" i="2" s="1"/>
  <c r="T101" i="2" s="1"/>
  <c r="M28" i="6"/>
  <c r="N28" i="6" s="1"/>
  <c r="Q44" i="4"/>
  <c r="Q67" i="4"/>
  <c r="Q35" i="4"/>
  <c r="Q45" i="4"/>
  <c r="Q39" i="4"/>
  <c r="I92" i="1"/>
  <c r="J92" i="1"/>
  <c r="I93" i="1"/>
  <c r="J93" i="1"/>
  <c r="I94" i="1"/>
  <c r="J94" i="1"/>
  <c r="I87" i="1"/>
  <c r="J87" i="1"/>
  <c r="M18" i="6"/>
  <c r="N18" i="6" s="1"/>
  <c r="M29" i="6"/>
  <c r="N29" i="6" s="1"/>
  <c r="K1" i="1"/>
  <c r="M4" i="1"/>
  <c r="M3" i="1"/>
  <c r="I28" i="2"/>
  <c r="I27" i="2"/>
  <c r="I26" i="2"/>
  <c r="I24" i="2"/>
  <c r="I22" i="2"/>
  <c r="I21" i="2"/>
  <c r="I1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102" i="1"/>
  <c r="J103" i="1"/>
  <c r="J104" i="1"/>
  <c r="J105" i="1"/>
  <c r="J106" i="1"/>
  <c r="J9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102" i="1"/>
  <c r="I103" i="1"/>
  <c r="I104" i="1"/>
  <c r="I105" i="1"/>
  <c r="I106" i="1"/>
  <c r="I91" i="1"/>
  <c r="I3" i="1"/>
  <c r="E28" i="2"/>
  <c r="A33" i="2"/>
  <c r="A35" i="2"/>
  <c r="A37" i="2"/>
  <c r="A8" i="2"/>
  <c r="A9" i="2" s="1"/>
  <c r="A10" i="2" s="1"/>
  <c r="A11" i="2" s="1"/>
  <c r="A12" i="2" s="1"/>
  <c r="A13" i="2" s="1"/>
  <c r="A14" i="2" s="1"/>
  <c r="A15" i="2" s="1"/>
  <c r="A16" i="2" s="1"/>
  <c r="A62" i="2"/>
  <c r="A63" i="2" s="1"/>
  <c r="A64" i="2" s="1"/>
  <c r="A65" i="2" s="1"/>
  <c r="A66" i="2" s="1"/>
  <c r="A67" i="2" s="1"/>
  <c r="A68" i="2" s="1"/>
  <c r="A87" i="2"/>
  <c r="A88" i="2" s="1"/>
  <c r="A89" i="2" s="1"/>
  <c r="A90" i="2" s="1"/>
  <c r="A91" i="2" s="1"/>
  <c r="A92" i="2" s="1"/>
  <c r="A93" i="2" s="1"/>
  <c r="A94" i="2" s="1"/>
  <c r="E112" i="2"/>
  <c r="E111" i="2"/>
  <c r="E108" i="2"/>
  <c r="E107" i="2"/>
  <c r="E103" i="2"/>
  <c r="E97" i="2"/>
  <c r="E98" i="2"/>
  <c r="E99" i="2"/>
  <c r="E100" i="2"/>
  <c r="E101" i="2"/>
  <c r="E102" i="2"/>
  <c r="E93" i="2"/>
  <c r="E86" i="2"/>
  <c r="E87" i="2"/>
  <c r="E88" i="2"/>
  <c r="E91" i="2"/>
  <c r="E89" i="2"/>
  <c r="E92" i="2"/>
  <c r="E96" i="2"/>
  <c r="E82" i="2"/>
  <c r="A82" i="2"/>
  <c r="E80" i="2"/>
  <c r="E79" i="2"/>
  <c r="E78" i="2"/>
  <c r="E77" i="2"/>
  <c r="E76" i="2"/>
  <c r="E75" i="2"/>
  <c r="E74" i="2"/>
  <c r="E67" i="2"/>
  <c r="E70" i="2"/>
  <c r="A70" i="2"/>
  <c r="E68" i="2"/>
  <c r="E66" i="2"/>
  <c r="E65" i="2"/>
  <c r="E64" i="2"/>
  <c r="E63" i="2"/>
  <c r="E62" i="2"/>
  <c r="E61" i="2"/>
  <c r="A48" i="2"/>
  <c r="A49" i="2" s="1"/>
  <c r="A50" i="2" s="1"/>
  <c r="A51" i="2" s="1"/>
  <c r="A52" i="2" s="1"/>
  <c r="A53" i="2" s="1"/>
  <c r="A54" i="2" s="1"/>
  <c r="A55" i="2" s="1"/>
  <c r="A56" i="2" s="1"/>
  <c r="E49" i="2"/>
  <c r="E50" i="2"/>
  <c r="E51" i="2"/>
  <c r="E52" i="2"/>
  <c r="E53" i="2"/>
  <c r="E54" i="2"/>
  <c r="E55" i="2"/>
  <c r="E56" i="2"/>
  <c r="E48" i="2"/>
  <c r="A31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E46" i="2"/>
  <c r="E45" i="2"/>
  <c r="E58" i="2"/>
  <c r="E44" i="2"/>
  <c r="E42" i="2"/>
  <c r="E41" i="2"/>
  <c r="E40" i="2"/>
  <c r="E32" i="2"/>
  <c r="E33" i="2"/>
  <c r="E35" i="2"/>
  <c r="E31" i="2"/>
  <c r="E36" i="2"/>
  <c r="E30" i="2"/>
  <c r="E34" i="2"/>
  <c r="E19" i="2"/>
  <c r="E20" i="2"/>
  <c r="E21" i="2"/>
  <c r="E22" i="2"/>
  <c r="E37" i="2"/>
  <c r="E23" i="2"/>
  <c r="E24" i="2"/>
  <c r="E25" i="2"/>
  <c r="E26" i="2"/>
  <c r="E27" i="2"/>
  <c r="E18" i="2"/>
  <c r="E16" i="2"/>
  <c r="E8" i="2"/>
  <c r="E9" i="2"/>
  <c r="E10" i="2"/>
  <c r="E11" i="2"/>
  <c r="E12" i="2"/>
  <c r="E13" i="2"/>
  <c r="E7" i="2"/>
  <c r="P72" i="4" l="1"/>
  <c r="Q72" i="4" s="1"/>
  <c r="R72" i="4" s="1"/>
  <c r="S72" i="4" s="1"/>
  <c r="P14" i="4"/>
  <c r="Q14" i="4" s="1"/>
  <c r="L21" i="6"/>
  <c r="M21" i="6" s="1"/>
  <c r="N21" i="6" s="1"/>
  <c r="P21" i="6" s="1"/>
  <c r="L38" i="6"/>
  <c r="M38" i="6" s="1"/>
  <c r="N38" i="6" s="1"/>
  <c r="P38" i="6" s="1"/>
  <c r="P47" i="4"/>
  <c r="Q47" i="4" s="1"/>
  <c r="R47" i="4" s="1"/>
  <c r="S47" i="4" s="1"/>
  <c r="P16" i="4"/>
  <c r="Q16" i="4" s="1"/>
  <c r="R16" i="4" s="1"/>
  <c r="S16" i="4" s="1"/>
  <c r="L20" i="6"/>
  <c r="M20" i="6" s="1"/>
  <c r="N20" i="6" s="1"/>
  <c r="P20" i="6" s="1"/>
  <c r="L14" i="6"/>
  <c r="M14" i="6" s="1"/>
  <c r="N14" i="6" s="1"/>
  <c r="P14" i="6" s="1"/>
  <c r="L17" i="6"/>
  <c r="M17" i="6" s="1"/>
  <c r="N17" i="6" s="1"/>
  <c r="P17" i="6" s="1"/>
  <c r="P29" i="4"/>
  <c r="Q29" i="4" s="1"/>
  <c r="R29" i="4" s="1"/>
  <c r="S29" i="4" s="1"/>
  <c r="P69" i="4"/>
  <c r="Q69" i="4" s="1"/>
  <c r="R69" i="4" s="1"/>
  <c r="S69" i="4" s="1"/>
  <c r="P28" i="4"/>
  <c r="Q28" i="4" s="1"/>
  <c r="R28" i="4" s="1"/>
  <c r="S28" i="4" s="1"/>
  <c r="P51" i="4"/>
  <c r="Q51" i="4" s="1"/>
  <c r="R51" i="4" s="1"/>
  <c r="S51" i="4" s="1"/>
  <c r="P71" i="4"/>
  <c r="Q71" i="4" s="1"/>
  <c r="R71" i="4" s="1"/>
  <c r="S71" i="4" s="1"/>
  <c r="P18" i="4"/>
  <c r="Q18" i="4" s="1"/>
  <c r="R18" i="4" s="1"/>
  <c r="S18" i="4" s="1"/>
  <c r="P17" i="4"/>
  <c r="Q17" i="4" s="1"/>
  <c r="R17" i="4" s="1"/>
  <c r="S17" i="4" s="1"/>
  <c r="P46" i="4"/>
  <c r="Q46" i="4" s="1"/>
  <c r="R46" i="4" s="1"/>
  <c r="S46" i="4" s="1"/>
  <c r="P11" i="4"/>
  <c r="P40" i="4"/>
  <c r="Q40" i="4" s="1"/>
  <c r="R40" i="4" s="1"/>
  <c r="S40" i="4" s="1"/>
  <c r="P36" i="4"/>
  <c r="Q36" i="4" s="1"/>
  <c r="R36" i="4" s="1"/>
  <c r="S36" i="4" s="1"/>
  <c r="O7" i="4"/>
  <c r="O6" i="4" s="1"/>
  <c r="M39" i="6"/>
  <c r="N39" i="6" s="1"/>
  <c r="P39" i="6" s="1"/>
  <c r="Q48" i="4"/>
  <c r="R48" i="4" s="1"/>
  <c r="S48" i="4" s="1"/>
  <c r="M35" i="6"/>
  <c r="N35" i="6" s="1"/>
  <c r="P35" i="6" s="1"/>
  <c r="Q27" i="4"/>
  <c r="R27" i="4" s="1"/>
  <c r="S27" i="4" s="1"/>
  <c r="Q73" i="4"/>
  <c r="R73" i="4" s="1"/>
  <c r="S73" i="4" s="1"/>
  <c r="Q15" i="4"/>
  <c r="R15" i="4" s="1"/>
  <c r="S15" i="4" s="1"/>
  <c r="Q52" i="4"/>
  <c r="R52" i="4" s="1"/>
  <c r="S52" i="4" s="1"/>
  <c r="Q22" i="4"/>
  <c r="R22" i="4" s="1"/>
  <c r="S22" i="4" s="1"/>
  <c r="M42" i="6"/>
  <c r="N42" i="6" s="1"/>
  <c r="P42" i="6" s="1"/>
  <c r="Q74" i="4"/>
  <c r="R74" i="4" s="1"/>
  <c r="S74" i="4" s="1"/>
  <c r="Q23" i="4"/>
  <c r="R23" i="4" s="1"/>
  <c r="S23" i="4" s="1"/>
  <c r="Q41" i="4"/>
  <c r="R41" i="4" s="1"/>
  <c r="S41" i="4" s="1"/>
  <c r="Q70" i="4"/>
  <c r="R70" i="4" s="1"/>
  <c r="S70" i="4" s="1"/>
  <c r="Q30" i="4"/>
  <c r="R30" i="4" s="1"/>
  <c r="S30" i="4" s="1"/>
  <c r="Q37" i="4"/>
  <c r="R37" i="4" s="1"/>
  <c r="S37" i="4" s="1"/>
  <c r="P48" i="6"/>
  <c r="M27" i="6"/>
  <c r="N27" i="6" s="1"/>
  <c r="P27" i="6" s="1"/>
  <c r="M25" i="6"/>
  <c r="N25" i="6" s="1"/>
  <c r="P25" i="6" s="1"/>
  <c r="M19" i="6"/>
  <c r="N19" i="6" s="1"/>
  <c r="P19" i="6" s="1"/>
  <c r="M12" i="6"/>
  <c r="N12" i="6" s="1"/>
  <c r="P12" i="6" s="1"/>
  <c r="M31" i="6"/>
  <c r="N31" i="6" s="1"/>
  <c r="P31" i="6" s="1"/>
  <c r="M34" i="6"/>
  <c r="N34" i="6" s="1"/>
  <c r="P34" i="6" s="1"/>
  <c r="N36" i="6"/>
  <c r="P36" i="6" s="1"/>
  <c r="O10" i="6"/>
  <c r="P47" i="6"/>
  <c r="M13" i="6"/>
  <c r="N13" i="6" s="1"/>
  <c r="P13" i="6" s="1"/>
  <c r="M24" i="6"/>
  <c r="N24" i="6" s="1"/>
  <c r="P24" i="6" s="1"/>
  <c r="Q24" i="4"/>
  <c r="R24" i="4" s="1"/>
  <c r="S24" i="4" s="1"/>
  <c r="Q50" i="4"/>
  <c r="R50" i="4" s="1"/>
  <c r="S50" i="4" s="1"/>
  <c r="M40" i="6"/>
  <c r="N40" i="6" s="1"/>
  <c r="P40" i="6" s="1"/>
  <c r="M23" i="6"/>
  <c r="N23" i="6" s="1"/>
  <c r="P23" i="6" s="1"/>
  <c r="Q54" i="4"/>
  <c r="R54" i="4" s="1"/>
  <c r="S54" i="4" s="1"/>
  <c r="M43" i="6"/>
  <c r="N43" i="6" s="1"/>
  <c r="P43" i="6" s="1"/>
  <c r="M22" i="6"/>
  <c r="N22" i="6" s="1"/>
  <c r="P22" i="6" s="1"/>
  <c r="P29" i="6"/>
  <c r="P28" i="6"/>
  <c r="P45" i="6"/>
  <c r="P46" i="6"/>
  <c r="P30" i="6"/>
  <c r="P41" i="6"/>
  <c r="R20" i="4"/>
  <c r="S20" i="4" s="1"/>
  <c r="R45" i="4"/>
  <c r="S45" i="4" s="1"/>
  <c r="M32" i="6"/>
  <c r="N32" i="6" s="1"/>
  <c r="P32" i="6" s="1"/>
  <c r="Q65" i="4"/>
  <c r="R65" i="4" s="1"/>
  <c r="S65" i="4" s="1"/>
  <c r="R62" i="4"/>
  <c r="S62" i="4" s="1"/>
  <c r="R12" i="4"/>
  <c r="S12" i="4" s="1"/>
  <c r="R43" i="4"/>
  <c r="S43" i="4" s="1"/>
  <c r="R66" i="4"/>
  <c r="S66" i="4" s="1"/>
  <c r="P18" i="6"/>
  <c r="P16" i="6"/>
  <c r="R38" i="4"/>
  <c r="S38" i="4" s="1"/>
  <c r="R42" i="4"/>
  <c r="S42" i="4" s="1"/>
  <c r="R26" i="4"/>
  <c r="S26" i="4" s="1"/>
  <c r="R57" i="4"/>
  <c r="S57" i="4" s="1"/>
  <c r="R53" i="4"/>
  <c r="S53" i="4" s="1"/>
  <c r="R64" i="4"/>
  <c r="S64" i="4" s="1"/>
  <c r="R21" i="4"/>
  <c r="S21" i="4" s="1"/>
  <c r="R19" i="4"/>
  <c r="S19" i="4" s="1"/>
  <c r="R63" i="4"/>
  <c r="S63" i="4" s="1"/>
  <c r="R31" i="4"/>
  <c r="S31" i="4" s="1"/>
  <c r="R44" i="4"/>
  <c r="S44" i="4" s="1"/>
  <c r="R60" i="4"/>
  <c r="S60" i="4" s="1"/>
  <c r="R49" i="4"/>
  <c r="S49" i="4" s="1"/>
  <c r="R68" i="4"/>
  <c r="S68" i="4" s="1"/>
  <c r="R59" i="4"/>
  <c r="S59" i="4" s="1"/>
  <c r="R35" i="4"/>
  <c r="S35" i="4" s="1"/>
  <c r="R56" i="4"/>
  <c r="S56" i="4" s="1"/>
  <c r="R67" i="4"/>
  <c r="S67" i="4" s="1"/>
  <c r="M37" i="6"/>
  <c r="N37" i="6" s="1"/>
  <c r="P37" i="6" s="1"/>
  <c r="Q25" i="4"/>
  <c r="R25" i="4" s="1"/>
  <c r="S25" i="4" s="1"/>
  <c r="Q32" i="4"/>
  <c r="R32" i="4" s="1"/>
  <c r="S32" i="4" s="1"/>
  <c r="P44" i="6"/>
  <c r="R39" i="4"/>
  <c r="S39" i="4" s="1"/>
  <c r="M50" i="6"/>
  <c r="N50" i="6" s="1"/>
  <c r="P50" i="6" s="1"/>
  <c r="R58" i="4"/>
  <c r="S58" i="4" s="1"/>
  <c r="R13" i="4"/>
  <c r="S13" i="4" s="1"/>
  <c r="R61" i="4"/>
  <c r="S61" i="4" s="1"/>
  <c r="Q34" i="4"/>
  <c r="R34" i="4" s="1"/>
  <c r="S34" i="4" s="1"/>
  <c r="R55" i="4"/>
  <c r="S55" i="4" s="1"/>
  <c r="R33" i="4"/>
  <c r="S33" i="4" s="1"/>
  <c r="M33" i="6"/>
  <c r="N33" i="6" s="1"/>
  <c r="P33" i="6" s="1"/>
  <c r="M15" i="6"/>
  <c r="N15" i="6" s="1"/>
  <c r="P15" i="6" s="1"/>
  <c r="M26" i="6"/>
  <c r="N26" i="6" s="1"/>
  <c r="P26" i="6" s="1"/>
  <c r="R14" i="4" l="1"/>
  <c r="M49" i="6"/>
  <c r="N49" i="6" s="1"/>
  <c r="P49" i="6" s="1"/>
  <c r="P10" i="6" s="1"/>
  <c r="E3" i="6" s="1"/>
  <c r="E8" i="6" s="1"/>
  <c r="Q11" i="4"/>
  <c r="R11" i="4" s="1"/>
  <c r="S11" i="4" s="1"/>
  <c r="Q7" i="4" l="1"/>
  <c r="P6" i="4" s="1"/>
  <c r="S14" i="4"/>
  <c r="R7" i="4"/>
  <c r="E2" i="6"/>
  <c r="M10" i="6"/>
  <c r="S7" i="4" l="1"/>
  <c r="W14" i="4" s="1"/>
  <c r="W16" i="4" s="1"/>
  <c r="W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07979464-4D97-4D69-BA23-B9E2A3DFFAB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6F46B3CD-EA03-49C2-9AB7-2652A75F69D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F72CF9EE-72BE-4BC6-BA83-68FEF2613CD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FDD4174D-A95D-4936-8594-87E02CCC8579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C4280258-8951-4C29-9F04-BEB389406B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D8BB2FF4-6EC6-4C4B-A789-4107368E662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FA161D93-08C4-4236-947D-45988BF16A6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N36" authorId="0" shapeId="0" xr:uid="{0F67CE23-4592-4F4C-8173-CB0C4E2D89C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Giá duyệt 2025: 1.300* tỷ giá 25.500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tc={566D244B-8B9D-4E66-A797-E0543054AB0F}</author>
    <author>tc={8CCD1465-D5C1-470C-AEE7-DA66550586E0}</author>
  </authors>
  <commentList>
    <comment ref="I29" authorId="0" shapeId="0" xr:uid="{566D244B-8B9D-4E66-A797-E0543054AB0F}">
      <text>
        <t>[Threaded comment]
Your version of Excel allows you to read this threaded comment; however, any edits to it will get removed if the file is opened in a newer version of Excel. Learn more: https://go.microsoft.com/fwlink/?linkid=870924
Comment:
    3-5 conts/ tháng sẽ deal từ tháng 4.</t>
      </text>
    </comment>
    <comment ref="F30" authorId="1" shapeId="0" xr:uid="{8CCD1465-D5C1-470C-AEE7-DA66550586E0}">
      <text>
        <t>[Threaded comment]
Your version of Excel allows you to read this threaded comment; however, any edits to it will get removed if the file is opened in a newer version of Excel. Learn more: https://go.microsoft.com/fwlink/?linkid=870924
Comment:
    Mã hàng chính thức rHDB03N02</t>
      </text>
    </comment>
  </commentList>
</comments>
</file>

<file path=xl/sharedStrings.xml><?xml version="1.0" encoding="utf-8"?>
<sst xmlns="http://schemas.openxmlformats.org/spreadsheetml/2006/main" count="3609" uniqueCount="644">
  <si>
    <t>Material</t>
  </si>
  <si>
    <t>Material Description</t>
  </si>
  <si>
    <t>BUn</t>
  </si>
  <si>
    <t>Hạt nhựa rPET WSS01</t>
  </si>
  <si>
    <t>KG</t>
  </si>
  <si>
    <t>Hạt nhựa rPET iSS01</t>
  </si>
  <si>
    <t>Hạt nhựa rPET WSS02</t>
  </si>
  <si>
    <t>Hạt nhựa rPET iSS01084G</t>
  </si>
  <si>
    <t>Hạt nhựa rPET WSS03</t>
  </si>
  <si>
    <t>Hạt nhựa rPET WSS04</t>
  </si>
  <si>
    <t>Hạt nhựa rHDPE thử nghiệm</t>
  </si>
  <si>
    <t>Hạt Nhựa rHDB03W01</t>
  </si>
  <si>
    <t>Hạt Nhựa rHDPE MBF01</t>
  </si>
  <si>
    <t>Hạt nhựa rHDB04B01</t>
  </si>
  <si>
    <t>Hạt Nhựa rHDB03G01</t>
  </si>
  <si>
    <t>Hạt Nhựa rHDB03Y01</t>
  </si>
  <si>
    <t>Hạt nhựa rPET WSS01G 1</t>
  </si>
  <si>
    <t>Hạt nhựa rPET iSS01G 1</t>
  </si>
  <si>
    <t>Hạt nhựa rPET WSS02G</t>
  </si>
  <si>
    <t>Hạt nhựa rPET WSS03G</t>
  </si>
  <si>
    <t>Hạt nhựa rHDI4L01</t>
  </si>
  <si>
    <t>Hạt nhựa rHDI3R01</t>
  </si>
  <si>
    <t>Hạt nhựa rHDI3Gy01</t>
  </si>
  <si>
    <t>Hạt nhựa rHDI3Y01</t>
  </si>
  <si>
    <t>Hạt nhựa rHDI3W01</t>
  </si>
  <si>
    <t>Hạt nhựa rHDI3G01</t>
  </si>
  <si>
    <t>Hạt nhựa rPP15R01</t>
  </si>
  <si>
    <t>Hạt nhựa rPP25W01</t>
  </si>
  <si>
    <t>Hạt nhựa rPP15Gy01</t>
  </si>
  <si>
    <t>Hạt nhựa rPP15B01</t>
  </si>
  <si>
    <t>Hạt nhựa rHDI4DL01</t>
  </si>
  <si>
    <t>Hạt Nhựa rHDB03N02</t>
  </si>
  <si>
    <t>Hạt nhựa rPET iSS01L</t>
  </si>
  <si>
    <t>Hạt nhựa rPET WSS01G 2</t>
  </si>
  <si>
    <t>Hạt nhựa rPET iSS01G 2</t>
  </si>
  <si>
    <t>Hạt nhựa rPET WSS04SD</t>
  </si>
  <si>
    <t>Hạt nhựa rPET WSS04SB</t>
  </si>
  <si>
    <t>Hạt Nhựa rPET iSS84G-P</t>
  </si>
  <si>
    <t>Hạt Nhựa Xơ Sợi Thử Nghiệm</t>
  </si>
  <si>
    <t>Hạt Nhựa rHDB05N01</t>
  </si>
  <si>
    <t>Hạt nhựa rPET WSS03SD</t>
  </si>
  <si>
    <t>Hạt nhựa rPP20R01</t>
  </si>
  <si>
    <t>Hạt nhựa rPP20R02</t>
  </si>
  <si>
    <t>Hạt nhựa rPP20L01</t>
  </si>
  <si>
    <t>Hạt nhựa rPP20L02</t>
  </si>
  <si>
    <t>Hạt nhựa rPP20B01</t>
  </si>
  <si>
    <t>Hạt nhựa rPP20Be01</t>
  </si>
  <si>
    <t>Hạt nhựa rPP15Gy02</t>
  </si>
  <si>
    <t>Vảy HD Ép Đỏ</t>
  </si>
  <si>
    <t>Vảy HD Ép Trắng</t>
  </si>
  <si>
    <t>Vảy HD Ép Vàng</t>
  </si>
  <si>
    <t>Vảy HD Ép Lá</t>
  </si>
  <si>
    <t>Vảy HD Ép Dương</t>
  </si>
  <si>
    <t>Vảy HD Ép Đen</t>
  </si>
  <si>
    <t>Vảy HD Ép Đồng</t>
  </si>
  <si>
    <t>Vảy PP Đỏ Nhạt</t>
  </si>
  <si>
    <t>Vảy PP Đỏ Đậm</t>
  </si>
  <si>
    <t>Vảy PP Dương Nhạt</t>
  </si>
  <si>
    <t>Hạt Nhựa HCBF-Whi-U</t>
  </si>
  <si>
    <t>Hạt Nhựa HCBF-Yel-U</t>
  </si>
  <si>
    <t>Hạt Nhựa HCBF-Gre-U</t>
  </si>
  <si>
    <t>Dây đai PET</t>
  </si>
  <si>
    <t>Hạt Nhựa rHDPE MAF01</t>
  </si>
  <si>
    <t>Hạt Nhựa rPET Bán Thành Phẩm</t>
  </si>
  <si>
    <t>Hạt Nhựa rHDI3Gy02</t>
  </si>
  <si>
    <t>Hạt Nhựa rHDB03N01</t>
  </si>
  <si>
    <t>Hạt Nhựa rHDB03N03</t>
  </si>
  <si>
    <t>Hạt Nhựa rPP20L03</t>
  </si>
  <si>
    <t>Hạt nhựa rPET WSS05SB</t>
  </si>
  <si>
    <t>Vảy PP Trắng Sữa</t>
  </si>
  <si>
    <t>Hạt Nhựa LDPE Thử Nghiệm</t>
  </si>
  <si>
    <t>Hạt Nhựa PP Thử Nghiệm</t>
  </si>
  <si>
    <t>Hạt trụ</t>
  </si>
  <si>
    <t>Xử Lý 14</t>
  </si>
  <si>
    <t>Xử Lý 7</t>
  </si>
  <si>
    <t>Xử lý 5</t>
  </si>
  <si>
    <t>Xanh Ngọc</t>
  </si>
  <si>
    <t>Hạt Vuông</t>
  </si>
  <si>
    <t>Hạt Châm</t>
  </si>
  <si>
    <t>Xử lý 15 hạt trắng</t>
  </si>
  <si>
    <t>Xử lý 8</t>
  </si>
  <si>
    <t>Xử lý 15</t>
  </si>
  <si>
    <t>Xử lý 16</t>
  </si>
  <si>
    <t>MT 16</t>
  </si>
  <si>
    <t>GC Hạt Nhựa rHDB01N02</t>
  </si>
  <si>
    <t>GC Hạt Nhựa rLDB1N03</t>
  </si>
  <si>
    <t>Hạt Nhựa rPET WSS06SP-1</t>
  </si>
  <si>
    <t>Hạt Nhựa rPET WSS05SB-2</t>
  </si>
  <si>
    <t>Hạt Nhựa rPET iSS80G-P</t>
  </si>
  <si>
    <t>Vảy HD Ép Dương Bình Thuận</t>
  </si>
  <si>
    <t>Hạt Nhựa rPP20L05</t>
  </si>
  <si>
    <t>Hạt Nhựa rPP20Gy01</t>
  </si>
  <si>
    <t>Hạt nhựa rPET WSS03G FRH</t>
  </si>
  <si>
    <t>Hạt Nhựa rHDPE PCF01</t>
  </si>
  <si>
    <t>Hạt Nhựa rPP20W01</t>
  </si>
  <si>
    <t>Hạt Nhựa rPET iSS01G-S</t>
  </si>
  <si>
    <t>Hạt Nhựa rPET WSS01G 1 PL</t>
  </si>
  <si>
    <t>Hạt Nhựa rPET WSS01G 2 PL</t>
  </si>
  <si>
    <t>Hạt Nhựa rPET iSS01G 1 PL</t>
  </si>
  <si>
    <t>Hạt Nhựa rPET iSS01G 2 PL</t>
  </si>
  <si>
    <t>Hạt Nhựa rPET iSS01084G PL</t>
  </si>
  <si>
    <t>Hạt Nhựa rPET iSS01G-S PL</t>
  </si>
  <si>
    <t>Hạt Nhựa rPET WSS03G PL</t>
  </si>
  <si>
    <t>Hạt Nhựa rPET WSS01 PL</t>
  </si>
  <si>
    <t>Hạt Nhựa rHDA03W01</t>
  </si>
  <si>
    <t>Hạt Nhựa rHDI7DL02</t>
  </si>
  <si>
    <t>Hạt Nhựa rPET WSS01G-L</t>
  </si>
  <si>
    <t>Hạt Nhựa rPET WSS01L</t>
  </si>
  <si>
    <t>Hạt Nhựa rPET WSS01L PL</t>
  </si>
  <si>
    <t>Hạt Nhựa rLDB2N01</t>
  </si>
  <si>
    <t>PL</t>
  </si>
  <si>
    <t>rPET</t>
  </si>
  <si>
    <t>Xơ sợi</t>
  </si>
  <si>
    <t>HD thổi</t>
  </si>
  <si>
    <t>HD ép</t>
  </si>
  <si>
    <t>rPP</t>
  </si>
  <si>
    <t>Vảy PP</t>
  </si>
  <si>
    <t>Vảy HD ép</t>
  </si>
  <si>
    <t>110000329</t>
  </si>
  <si>
    <t>110000330</t>
  </si>
  <si>
    <t>110000331</t>
  </si>
  <si>
    <t>110000332</t>
  </si>
  <si>
    <t>110000333</t>
  </si>
  <si>
    <t>110000335</t>
  </si>
  <si>
    <t>110000336</t>
  </si>
  <si>
    <t>110000337</t>
  </si>
  <si>
    <t>110000339</t>
  </si>
  <si>
    <t>110000341</t>
  </si>
  <si>
    <t>110000343</t>
  </si>
  <si>
    <t>110000345</t>
  </si>
  <si>
    <t>110000354</t>
  </si>
  <si>
    <t>110000355</t>
  </si>
  <si>
    <t>110000358</t>
  </si>
  <si>
    <t>110000359</t>
  </si>
  <si>
    <t>110000360</t>
  </si>
  <si>
    <t>110000361</t>
  </si>
  <si>
    <t>110000363</t>
  </si>
  <si>
    <t>110000364</t>
  </si>
  <si>
    <t>110000365</t>
  </si>
  <si>
    <t>110000366</t>
  </si>
  <si>
    <t>110000367</t>
  </si>
  <si>
    <t>110000369</t>
  </si>
  <si>
    <t>110000370</t>
  </si>
  <si>
    <t>110000371</t>
  </si>
  <si>
    <t>110000373</t>
  </si>
  <si>
    <t>110000374</t>
  </si>
  <si>
    <t>110000376</t>
  </si>
  <si>
    <t>110000377</t>
  </si>
  <si>
    <t>110000378</t>
  </si>
  <si>
    <t>110000381</t>
  </si>
  <si>
    <t>110000382</t>
  </si>
  <si>
    <t>110000383</t>
  </si>
  <si>
    <t>110000384</t>
  </si>
  <si>
    <t>110000385</t>
  </si>
  <si>
    <t>110000387</t>
  </si>
  <si>
    <t>110000388</t>
  </si>
  <si>
    <t>110000389</t>
  </si>
  <si>
    <t>110000390</t>
  </si>
  <si>
    <t>110000391</t>
  </si>
  <si>
    <t>110000392</t>
  </si>
  <si>
    <t>110000393</t>
  </si>
  <si>
    <t>110000394</t>
  </si>
  <si>
    <t>110000407</t>
  </si>
  <si>
    <t>110000408</t>
  </si>
  <si>
    <t>110000409</t>
  </si>
  <si>
    <t>110000410</t>
  </si>
  <si>
    <t>110000411</t>
  </si>
  <si>
    <t>110000412</t>
  </si>
  <si>
    <t>110000413</t>
  </si>
  <si>
    <t>110000421</t>
  </si>
  <si>
    <t>110000422</t>
  </si>
  <si>
    <t>110000423</t>
  </si>
  <si>
    <t>110000425</t>
  </si>
  <si>
    <t>110000426</t>
  </si>
  <si>
    <t>110000427</t>
  </si>
  <si>
    <t>110000428</t>
  </si>
  <si>
    <t>110000429</t>
  </si>
  <si>
    <t>110000430</t>
  </si>
  <si>
    <t>110000431</t>
  </si>
  <si>
    <t>110000432</t>
  </si>
  <si>
    <t>110000433</t>
  </si>
  <si>
    <t>110000435</t>
  </si>
  <si>
    <t>110000436</t>
  </si>
  <si>
    <t>110000439</t>
  </si>
  <si>
    <t>110000440</t>
  </si>
  <si>
    <t>110000441</t>
  </si>
  <si>
    <t>110000444</t>
  </si>
  <si>
    <t>110000445</t>
  </si>
  <si>
    <t>110000446</t>
  </si>
  <si>
    <t>110000447</t>
  </si>
  <si>
    <t>110000448</t>
  </si>
  <si>
    <t>110000450</t>
  </si>
  <si>
    <t>110000451</t>
  </si>
  <si>
    <t>110000453</t>
  </si>
  <si>
    <t>110000454</t>
  </si>
  <si>
    <t>110000455</t>
  </si>
  <si>
    <t>110000456</t>
  </si>
  <si>
    <t>110000457</t>
  </si>
  <si>
    <t>110000462</t>
  </si>
  <si>
    <t>110000463</t>
  </si>
  <si>
    <t>110000464</t>
  </si>
  <si>
    <t>110000466</t>
  </si>
  <si>
    <t>110000468</t>
  </si>
  <si>
    <t>110000469</t>
  </si>
  <si>
    <t>110000471</t>
  </si>
  <si>
    <t>110000472</t>
  </si>
  <si>
    <t>110000475</t>
  </si>
  <si>
    <t>110000481</t>
  </si>
  <si>
    <t>110000482</t>
  </si>
  <si>
    <t>110000483</t>
  </si>
  <si>
    <t>110000484</t>
  </si>
  <si>
    <t>110000485</t>
  </si>
  <si>
    <t>110000486</t>
  </si>
  <si>
    <t>110000487</t>
  </si>
  <si>
    <t>110000488</t>
  </si>
  <si>
    <t>110000491</t>
  </si>
  <si>
    <t>110000492</t>
  </si>
  <si>
    <t>110000493</t>
  </si>
  <si>
    <t>110000495</t>
  </si>
  <si>
    <t>110000496</t>
  </si>
  <si>
    <t>110000497</t>
  </si>
  <si>
    <t>110000499</t>
  </si>
  <si>
    <t>110000500</t>
  </si>
  <si>
    <t>110000502</t>
  </si>
  <si>
    <t>Màu</t>
  </si>
  <si>
    <t>Trắng</t>
  </si>
  <si>
    <t>Đỏ</t>
  </si>
  <si>
    <t>Vàng</t>
  </si>
  <si>
    <t>Dương</t>
  </si>
  <si>
    <t>Đen</t>
  </si>
  <si>
    <t>Trong</t>
  </si>
  <si>
    <t>Đồng</t>
  </si>
  <si>
    <t>Lá</t>
  </si>
  <si>
    <t>Be</t>
  </si>
  <si>
    <t>Xám</t>
  </si>
  <si>
    <t>STT</t>
  </si>
  <si>
    <t>Mã SAP</t>
  </si>
  <si>
    <t>Tên hàng hóa</t>
  </si>
  <si>
    <t>Sử dụng phó sản</t>
  </si>
  <si>
    <t>I</t>
  </si>
  <si>
    <t>MÃ HÀNG ĐANG BÁN</t>
  </si>
  <si>
    <t>II</t>
  </si>
  <si>
    <t>MÃ HÀNG BÁN CHẬM</t>
  </si>
  <si>
    <t>III</t>
  </si>
  <si>
    <t>Vảy HDPE ép</t>
  </si>
  <si>
    <t>Vảy rPP</t>
  </si>
  <si>
    <t>82% Vảy B6.2_A3 và 18% vảy B7_A3</t>
  </si>
  <si>
    <t>100% vảy PET B1_A3</t>
  </si>
  <si>
    <t>Tomra_A1/ Zigzag_A1</t>
  </si>
  <si>
    <t>Chuyển từ hàng xơ sợi thử nghiệm qua</t>
  </si>
  <si>
    <t>100% Vảy B6.2_A3 và 90% B6.2_A3, 10% Bụi tank C,D sau vắt</t>
  </si>
  <si>
    <t>Không đạt WSS04SB, WSS04SB, WSS04SD rớt xuống mã xơ sợi thử nghiệm</t>
  </si>
  <si>
    <t>Phó sản PET tuyển nổi 2 + phó sản hạt cắt lỗi</t>
  </si>
  <si>
    <t>Vảy HD ép đen mix phó sản HD thổi các loại</t>
  </si>
  <si>
    <t>A</t>
  </si>
  <si>
    <t>DANH MỤC THÀNH PHẨM</t>
  </si>
  <si>
    <t>Ghi chú</t>
  </si>
  <si>
    <t>Sản phẩm mới</t>
  </si>
  <si>
    <t>B</t>
  </si>
  <si>
    <t>C</t>
  </si>
  <si>
    <t>D</t>
  </si>
  <si>
    <t>E</t>
  </si>
  <si>
    <t>F</t>
  </si>
  <si>
    <t>Đang bán gía thấp để giảm tồn kho</t>
  </si>
  <si>
    <t>MÃ HÀNG SẢN SUẤT TỪ PHÓ SẢN NGÀNH HDPE</t>
  </si>
  <si>
    <t>rHDPE ÉP</t>
  </si>
  <si>
    <t>rHDPE THỔI</t>
  </si>
  <si>
    <t>Bền vững/ ko bền vững</t>
  </si>
  <si>
    <t>Bán cho Lavie</t>
  </si>
  <si>
    <t>Chuyển thành mã iSS01G 1 để bán</t>
  </si>
  <si>
    <t>Chuyển thành mã wSS01G 1 để bán</t>
  </si>
  <si>
    <t>Không báo giá (SP SX bán cho Amcor)</t>
  </si>
  <si>
    <t>Không báo giá (hàng chờ xử lý)</t>
  </si>
  <si>
    <t>SP bán cho Bình Thuận</t>
  </si>
  <si>
    <t>Không bền vững</t>
  </si>
  <si>
    <t>110000503</t>
  </si>
  <si>
    <t>Hạt Nhựa rPET WSS01S</t>
  </si>
  <si>
    <t>110000506</t>
  </si>
  <si>
    <t>Hạt Nhựa rPET WSS01 &amp; WSS01G-L</t>
  </si>
  <si>
    <t>Check file bán</t>
  </si>
  <si>
    <t>110000443</t>
  </si>
  <si>
    <t>Hạt Nhựa rHDA03N01</t>
  </si>
  <si>
    <t>110000470</t>
  </si>
  <si>
    <t>Hạt Nhựa rPP20L04</t>
  </si>
  <si>
    <t>Giá tồn kho từ 2023</t>
  </si>
  <si>
    <t>mix với hàng MI thấp, do hết hạt MBF01 phân lập MI thấp nên còn tồn kho</t>
  </si>
  <si>
    <t>Lợi nhuận trước thuế</t>
  </si>
  <si>
    <t>Công ty CP Nhựa Tái Chế Duy Tân</t>
  </si>
  <si>
    <t>Tỷ giá:</t>
  </si>
  <si>
    <t>NGÂN SÁCH 2025</t>
  </si>
  <si>
    <t>USD</t>
  </si>
  <si>
    <t>LẦN 1</t>
  </si>
  <si>
    <t>VND</t>
  </si>
  <si>
    <t>KẾ HOẠCH BÁN HÀNG NĂM</t>
  </si>
  <si>
    <t>CỘNG:</t>
  </si>
  <si>
    <t>AM</t>
  </si>
  <si>
    <t>Manager</t>
  </si>
  <si>
    <t>Mã khách hàng</t>
  </si>
  <si>
    <t>Tên khách hàng</t>
  </si>
  <si>
    <t>Kênh bán hàng</t>
  </si>
  <si>
    <t>Incorterm</t>
  </si>
  <si>
    <t>Mã SP</t>
  </si>
  <si>
    <t>Tên SP</t>
  </si>
  <si>
    <t>Nhóm hàng</t>
  </si>
  <si>
    <t>IV</t>
  </si>
  <si>
    <t>Application</t>
  </si>
  <si>
    <t>Mức độ khả thi</t>
  </si>
  <si>
    <t>Long</t>
  </si>
  <si>
    <t>XK</t>
  </si>
  <si>
    <t>Xuất Khẩu</t>
  </si>
  <si>
    <t>CIF</t>
  </si>
  <si>
    <t>Food Grade</t>
  </si>
  <si>
    <t>Nghĩa</t>
  </si>
  <si>
    <t>B2B</t>
  </si>
  <si>
    <t>105208</t>
  </si>
  <si>
    <t>Việt Thành</t>
  </si>
  <si>
    <t>Nội địa</t>
  </si>
  <si>
    <t>HD Flake</t>
  </si>
  <si>
    <t>rHDPE</t>
  </si>
  <si>
    <t>Injection</t>
  </si>
  <si>
    <t>PP Flake</t>
  </si>
  <si>
    <t>Cường</t>
  </si>
  <si>
    <t>Khác</t>
  </si>
  <si>
    <t>105243</t>
  </si>
  <si>
    <t>Unilever</t>
  </si>
  <si>
    <t>Blowing</t>
  </si>
  <si>
    <t>105303</t>
  </si>
  <si>
    <t>Tân Lập Thành</t>
  </si>
  <si>
    <t>Hạt nhựa rPET iSS01G</t>
  </si>
  <si>
    <t>105194</t>
  </si>
  <si>
    <t>Suntory Việt Nam</t>
  </si>
  <si>
    <t>Quốc Anh</t>
  </si>
  <si>
    <t>Sợi Thế Kỷ</t>
  </si>
  <si>
    <t>Fiber</t>
  </si>
  <si>
    <t>Thông</t>
  </si>
  <si>
    <t>200358</t>
  </si>
  <si>
    <t>Reynera</t>
  </si>
  <si>
    <t>FOB</t>
  </si>
  <si>
    <t>Quỳnh Anh</t>
  </si>
  <si>
    <t>200343</t>
  </si>
  <si>
    <t>Premium Water</t>
  </si>
  <si>
    <t>PepsiCo North America</t>
  </si>
  <si>
    <t>DDP</t>
  </si>
  <si>
    <t>Outeirinho</t>
  </si>
  <si>
    <t>Nhựa Bình Thuận</t>
  </si>
  <si>
    <t>105217</t>
  </si>
  <si>
    <t>Nestle</t>
  </si>
  <si>
    <t>105284</t>
  </si>
  <si>
    <t>Motul</t>
  </si>
  <si>
    <t>MBF01-Motul</t>
  </si>
  <si>
    <t>105286</t>
  </si>
  <si>
    <t xml:space="preserve">Mondelez </t>
  </si>
  <si>
    <t>200362</t>
  </si>
  <si>
    <t>Magma Int</t>
  </si>
  <si>
    <t>IKEA</t>
  </si>
  <si>
    <t>Hạt nhựa rPET WSS01G</t>
  </si>
  <si>
    <t>Huyie</t>
  </si>
  <si>
    <t>1000</t>
  </si>
  <si>
    <t>DTP</t>
  </si>
  <si>
    <t>105292</t>
  </si>
  <si>
    <t>Donaplast</t>
  </si>
  <si>
    <t>105222</t>
  </si>
  <si>
    <t>Cocacola</t>
  </si>
  <si>
    <t>Ravago Americas</t>
  </si>
  <si>
    <t>200311</t>
  </si>
  <si>
    <t>Plascene</t>
  </si>
  <si>
    <t>200363</t>
  </si>
  <si>
    <t>PIA/ PakPot</t>
  </si>
  <si>
    <t>200319</t>
  </si>
  <si>
    <t>Niagara US &amp; UK</t>
  </si>
  <si>
    <t>200350</t>
  </si>
  <si>
    <t>Niagara Mexico</t>
  </si>
  <si>
    <t>104909</t>
  </si>
  <si>
    <t>Lavie</t>
  </si>
  <si>
    <t>200355</t>
  </si>
  <si>
    <t>International Gate</t>
  </si>
  <si>
    <t>iSS01G-082</t>
  </si>
  <si>
    <t>200342</t>
  </si>
  <si>
    <t>PIA/ Queensland Bottlers</t>
  </si>
  <si>
    <t>New Development</t>
  </si>
  <si>
    <t>PET Flake</t>
  </si>
  <si>
    <t>Vảy</t>
  </si>
  <si>
    <t>Non-Food Grade</t>
  </si>
  <si>
    <t>rHDI03B01</t>
  </si>
  <si>
    <t>Nestle MENA</t>
  </si>
  <si>
    <t>200349</t>
  </si>
  <si>
    <t>Amcor</t>
  </si>
  <si>
    <t>AB Inbev</t>
  </si>
  <si>
    <t>Giá bán</t>
  </si>
  <si>
    <t>Doanh thu</t>
  </si>
  <si>
    <t>Chênh lệch đề xuất - NS</t>
  </si>
  <si>
    <t>No.</t>
  </si>
  <si>
    <t>Khách hàng</t>
  </si>
  <si>
    <t>Tên sản phẩm</t>
  </si>
  <si>
    <t>Phân loại</t>
  </si>
  <si>
    <t>Mức IV</t>
  </si>
  <si>
    <t>Cam kết năm</t>
  </si>
  <si>
    <t>Đã có</t>
  </si>
  <si>
    <t>Chưa có</t>
  </si>
  <si>
    <t>MTVN Plastic ( Eatone Pro)</t>
  </si>
  <si>
    <t>NNG-CC - Unilever</t>
  </si>
  <si>
    <t>DNP - Unilever</t>
  </si>
  <si>
    <t>NNG-TN - Unilever</t>
  </si>
  <si>
    <t>DTP - Unilever</t>
  </si>
  <si>
    <t>Huy Thành</t>
  </si>
  <si>
    <t>Lưới Bảo Nông</t>
  </si>
  <si>
    <t>Aeonmall/ (Home Coordy)</t>
  </si>
  <si>
    <t>Giá vốn ( VND)</t>
  </si>
  <si>
    <t>Giá bán đề xuất (USD)</t>
  </si>
  <si>
    <t>Doanh thu (USD)</t>
  </si>
  <si>
    <t>Doanh thu (VND)</t>
  </si>
  <si>
    <t>LN gộp
(VNĐ)</t>
  </si>
  <si>
    <t>From Date</t>
  </si>
  <si>
    <t>To Date</t>
  </si>
  <si>
    <t>Opening Sto</t>
  </si>
  <si>
    <t>Total Recei</t>
  </si>
  <si>
    <t>Total Issue</t>
  </si>
  <si>
    <t>Closing Sto</t>
  </si>
  <si>
    <t xml:space="preserve">   Opening Value</t>
  </si>
  <si>
    <t>Total Receipt Va</t>
  </si>
  <si>
    <t>Total Issue Valu</t>
  </si>
  <si>
    <t xml:space="preserve">   Closing Value</t>
  </si>
  <si>
    <t>Crcy</t>
  </si>
  <si>
    <t>Vảy PP Dương Đậm</t>
  </si>
  <si>
    <t>110000424</t>
  </si>
  <si>
    <t>110000505</t>
  </si>
  <si>
    <t>LN gộp</t>
  </si>
  <si>
    <t>Ước tính CP bán hàng</t>
  </si>
  <si>
    <t>Ước tính CP quản lý</t>
  </si>
  <si>
    <t xml:space="preserve"> Ước tính CP khác</t>
  </si>
  <si>
    <t>641 ( ko tính CP VC+ XK)</t>
  </si>
  <si>
    <t>CP lãi vay</t>
  </si>
  <si>
    <t>CP thuê xưởng + máy</t>
  </si>
  <si>
    <t>Doanh thu (exw)</t>
  </si>
  <si>
    <t>Tỷ giá</t>
  </si>
  <si>
    <t>CPXK</t>
  </si>
  <si>
    <t>Dây đai</t>
  </si>
  <si>
    <t>Tài trợ</t>
  </si>
  <si>
    <t>Giá bán giảm</t>
  </si>
  <si>
    <t>Giá bán không thay đổi theo duyệt giá</t>
  </si>
  <si>
    <t>LN TT</t>
  </si>
  <si>
    <t>LNTT cấn trừ</t>
  </si>
  <si>
    <t>%</t>
  </si>
  <si>
    <t>MÃ HÀNG SẢN XUẤT TỪ PHÓ SẢN NGÀNH PET</t>
  </si>
  <si>
    <t>Storage Location</t>
  </si>
  <si>
    <t>Descr. of Storage Loc.</t>
  </si>
  <si>
    <t>Base Unit of Measure</t>
  </si>
  <si>
    <t>Unrestricted</t>
  </si>
  <si>
    <t>Blocked</t>
  </si>
  <si>
    <t>1203</t>
  </si>
  <si>
    <t>Xưởng PET T.chế</t>
  </si>
  <si>
    <t>1301</t>
  </si>
  <si>
    <t>Kho Thành phẩm</t>
  </si>
  <si>
    <t>1303</t>
  </si>
  <si>
    <t>Kho Thành phẩm 2</t>
  </si>
  <si>
    <t>1205</t>
  </si>
  <si>
    <t>Xưởng F2 HD/PP</t>
  </si>
  <si>
    <t>1306</t>
  </si>
  <si>
    <t>Kho Xuất bán</t>
  </si>
  <si>
    <t>1204</t>
  </si>
  <si>
    <t>Xưởng F4 HD/PP</t>
  </si>
  <si>
    <t>LDPE</t>
  </si>
  <si>
    <t>Mã đã không còn trong duyệt giá</t>
  </si>
  <si>
    <t>Hạt Nhựa rPP20W02</t>
  </si>
  <si>
    <t>110000507</t>
  </si>
  <si>
    <t>110000508</t>
  </si>
  <si>
    <t>SL bán BQ/ tháng</t>
  </si>
  <si>
    <t>Nature Oragnics/PIA</t>
  </si>
  <si>
    <t>Niagara UK</t>
  </si>
  <si>
    <t>Pentaplast</t>
  </si>
  <si>
    <t>Vảy FPET201</t>
  </si>
  <si>
    <t>Giá tồn kho</t>
  </si>
  <si>
    <t>ƯỚC TÍNH T11:</t>
  </si>
  <si>
    <t>Mondelez Việt Nam</t>
  </si>
  <si>
    <t>110000509</t>
  </si>
  <si>
    <t>Hạt Nhựa rHDB01B01</t>
  </si>
  <si>
    <t>110000510</t>
  </si>
  <si>
    <t>Hạt Nhựa rPET WSS05SB PL</t>
  </si>
  <si>
    <t>Giá tồn kho từ 2024</t>
  </si>
  <si>
    <t>1305</t>
  </si>
  <si>
    <t>Kho GC Gia Tường</t>
  </si>
  <si>
    <t>110000480</t>
  </si>
  <si>
    <t>Phôi WSS01 Trong</t>
  </si>
  <si>
    <t>110000498</t>
  </si>
  <si>
    <t>Hạt Nhựa rPET WSS01G-L PL</t>
  </si>
  <si>
    <t>Hạt nhựa rPET SS03</t>
  </si>
  <si>
    <t>Hạt nhựa rPET SS05</t>
  </si>
  <si>
    <t>Hạt nhựa rHDPE MBF02</t>
  </si>
  <si>
    <t>Hạt Nhựa rHDB03Gy01</t>
  </si>
  <si>
    <t>Hạt Nhựa rHDB03R01</t>
  </si>
  <si>
    <t>Hạt nhựa rHDPE D.Blue</t>
  </si>
  <si>
    <t>Hạt nhựa rHDPE Clear 03</t>
  </si>
  <si>
    <t>Hạt nhựa rPET WSS01-5G</t>
  </si>
  <si>
    <t>Hạt nhựa rPET WSS01G- đã xóa</t>
  </si>
  <si>
    <t>Hạt nhựa rPET WSS01-Mixed</t>
  </si>
  <si>
    <t>Hạt nhựa rPET WSS01G-hủy</t>
  </si>
  <si>
    <t>Hạt nhựa rHDI3B01</t>
  </si>
  <si>
    <t>Hạt nhựa  rPP15L01</t>
  </si>
  <si>
    <t>Hạt nhựa rPP15Br01</t>
  </si>
  <si>
    <t>Hạt FrPP250253Gy</t>
  </si>
  <si>
    <t>Hạt nhựa rPET WSS03SB</t>
  </si>
  <si>
    <t>Hạt nhựa rPP25Br01</t>
  </si>
  <si>
    <t>Hạt nhựa rPP15W01</t>
  </si>
  <si>
    <t>GC Hạt Nhựa rHDI3R01</t>
  </si>
  <si>
    <t>GC Hạt Nhựa rHDI4L01</t>
  </si>
  <si>
    <t>GC Hạt Nhựa rHDI3B01</t>
  </si>
  <si>
    <t>GC Hạt Nhựa rHDI3Gy01</t>
  </si>
  <si>
    <t>GC Hạt Nhựa rHDI3Y01</t>
  </si>
  <si>
    <t>GC Hạt Nhựa rHDI3W01</t>
  </si>
  <si>
    <t>GC Hạt Nhựa rHDI3G01</t>
  </si>
  <si>
    <t>GC Vảy HD Ép Đỏ</t>
  </si>
  <si>
    <t>GC Vảy HD Ép Trắng</t>
  </si>
  <si>
    <t>GC Vảy HD Ép Vàng</t>
  </si>
  <si>
    <t>GC Vảy HD Ép Lá</t>
  </si>
  <si>
    <t>GC Vảy HD Ép Dương</t>
  </si>
  <si>
    <t>GC Vảy HD Ép Đen</t>
  </si>
  <si>
    <t>GC Vảy HD Ép Đồng</t>
  </si>
  <si>
    <t>Hạt Nhựa rHDB06L01</t>
  </si>
  <si>
    <t>Vảy PP Vàng Nhạt</t>
  </si>
  <si>
    <t>Vảy PP Lá Nhạt</t>
  </si>
  <si>
    <t>Hạt Nhựa HD Ép Thử Nghiệm</t>
  </si>
  <si>
    <t>hạt trụ</t>
  </si>
  <si>
    <t>Hạt Nhựa rLDB1N01</t>
  </si>
  <si>
    <t>Hạt Nhựa rLDB1N02</t>
  </si>
  <si>
    <t>Hạt Nhựa rHDB1N01</t>
  </si>
  <si>
    <t>GC Hạt Nhựa rHDB01N01</t>
  </si>
  <si>
    <t>Hạt Nhựa rPET WSS06SP-2</t>
  </si>
  <si>
    <t>Hạt Nhựa rPET WSS05SB-3</t>
  </si>
  <si>
    <t>Hạt nhựa rPET WSS01G FRH</t>
  </si>
  <si>
    <t>Hạt nhựa rPET WSS02G FRH</t>
  </si>
  <si>
    <t>FOC-Hạt nhựa PET Repi</t>
  </si>
  <si>
    <t>Phôi WSS01G Xám</t>
  </si>
  <si>
    <t>Phôi WSS01G Xanh Ngọc</t>
  </si>
  <si>
    <t>Phôi iSS01084G Xám</t>
  </si>
  <si>
    <t>Hạt Nhựa rPET iSS80G-P PL</t>
  </si>
  <si>
    <t>Hạt Nhựa rPET iSS84G-P PL</t>
  </si>
  <si>
    <t>Hạt Nhựa rPET iSS01L PL</t>
  </si>
  <si>
    <t>Phôi iSS01G Xám</t>
  </si>
  <si>
    <t>Hạt Nhựa rPET WSS01S PL</t>
  </si>
  <si>
    <t>Vảy PET</t>
  </si>
  <si>
    <t>110000334</t>
  </si>
  <si>
    <t>110000338</t>
  </si>
  <si>
    <t>110000340</t>
  </si>
  <si>
    <t>110000342</t>
  </si>
  <si>
    <t>110000344</t>
  </si>
  <si>
    <t>110000347</t>
  </si>
  <si>
    <t>110000348</t>
  </si>
  <si>
    <t>110000349</t>
  </si>
  <si>
    <t>110000350</t>
  </si>
  <si>
    <t>110000351</t>
  </si>
  <si>
    <t>110000352</t>
  </si>
  <si>
    <t>110000353</t>
  </si>
  <si>
    <t>110000356</t>
  </si>
  <si>
    <t>110000357</t>
  </si>
  <si>
    <t>110000362</t>
  </si>
  <si>
    <t>110000368</t>
  </si>
  <si>
    <t>110000372</t>
  </si>
  <si>
    <t>110000375</t>
  </si>
  <si>
    <t>110000386</t>
  </si>
  <si>
    <t>110000395</t>
  </si>
  <si>
    <t>110000396</t>
  </si>
  <si>
    <t>110000397</t>
  </si>
  <si>
    <t>110000398</t>
  </si>
  <si>
    <t>110000399</t>
  </si>
  <si>
    <t>110000400</t>
  </si>
  <si>
    <t>110000401</t>
  </si>
  <si>
    <t>110000402</t>
  </si>
  <si>
    <t>110000403</t>
  </si>
  <si>
    <t>110000404</t>
  </si>
  <si>
    <t>110000405</t>
  </si>
  <si>
    <t>110000406</t>
  </si>
  <si>
    <t>110000414</t>
  </si>
  <si>
    <t>110000415</t>
  </si>
  <si>
    <t>110000416</t>
  </si>
  <si>
    <t>110000417</t>
  </si>
  <si>
    <t>110000418</t>
  </si>
  <si>
    <t>110000419</t>
  </si>
  <si>
    <t>110000420</t>
  </si>
  <si>
    <t>110000434</t>
  </si>
  <si>
    <t>110000437</t>
  </si>
  <si>
    <t>110000438</t>
  </si>
  <si>
    <t>110000442</t>
  </si>
  <si>
    <t>110000449</t>
  </si>
  <si>
    <t>110000452</t>
  </si>
  <si>
    <t>110000458</t>
  </si>
  <si>
    <t>110000459</t>
  </si>
  <si>
    <t>110000460</t>
  </si>
  <si>
    <t>110000461</t>
  </si>
  <si>
    <t>110000465</t>
  </si>
  <si>
    <t>110000467</t>
  </si>
  <si>
    <t>110000473</t>
  </si>
  <si>
    <t>110000474</t>
  </si>
  <si>
    <t>110000476</t>
  </si>
  <si>
    <t>110000477</t>
  </si>
  <si>
    <t>110000478</t>
  </si>
  <si>
    <t>110000479</t>
  </si>
  <si>
    <t>110000489</t>
  </si>
  <si>
    <t>110000490</t>
  </si>
  <si>
    <t>110000494</t>
  </si>
  <si>
    <t>110000501</t>
  </si>
  <si>
    <t>110000504</t>
  </si>
  <si>
    <t>Theo giá U =&gt; ko đề xuất trong duyệt giá</t>
  </si>
  <si>
    <t>Phó sản</t>
  </si>
  <si>
    <t>SL T12</t>
  </si>
  <si>
    <t>200344</t>
  </si>
  <si>
    <t>Wiese</t>
  </si>
  <si>
    <t>104877</t>
  </si>
  <si>
    <t>Uy Kiệt</t>
  </si>
  <si>
    <t>Ngân sách T12</t>
  </si>
  <si>
    <t>Đề xuất T12</t>
  </si>
  <si>
    <t>LNTT T12</t>
  </si>
  <si>
    <t>SL bán T12 ( tấn)</t>
  </si>
  <si>
    <t>Suntory Pepsico Berverage CSD - SPFV</t>
  </si>
  <si>
    <t>Genesis Polymers International</t>
  </si>
  <si>
    <t>DTP - Plascene</t>
  </si>
  <si>
    <t>Genesis Distribucion De Colombia</t>
  </si>
  <si>
    <t>Vilube - DTP</t>
  </si>
  <si>
    <t>Nhựa Trường An</t>
  </si>
  <si>
    <t>Koryfes</t>
  </si>
  <si>
    <t>Nhựa Văn Minh</t>
  </si>
  <si>
    <t>Niagara US</t>
  </si>
  <si>
    <t>Plascene - US</t>
  </si>
  <si>
    <t>Hạt nhựa rHDI3Gy02</t>
  </si>
  <si>
    <t>Vảy HD ép Đỏ</t>
  </si>
  <si>
    <t>Hàng tồn từ tháng 12.2024</t>
  </si>
  <si>
    <t>Hàng tồn kho từ tháng 2.2025</t>
  </si>
  <si>
    <t>Hàng tồn kho từ tháng 2.2025 sx cho Outerinho</t>
  </si>
  <si>
    <t>900/695</t>
  </si>
  <si>
    <t>800/595</t>
  </si>
  <si>
    <t>30.11.2025</t>
  </si>
  <si>
    <t>Hàng tồn kho từ T6.2025</t>
  </si>
  <si>
    <t>Hàng tồn kho từ T9.2025</t>
  </si>
  <si>
    <t>Hàng tồn kho từ T8.2025</t>
  </si>
  <si>
    <t>Hàng tồn kho từ T11.2024</t>
  </si>
  <si>
    <t>Hàng tồn kho từ T3.2025</t>
  </si>
  <si>
    <t>Tồn 24/02</t>
  </si>
  <si>
    <t>SL bán 2026</t>
  </si>
  <si>
    <t>Tồn kho
24/02/2026
(kg)</t>
  </si>
  <si>
    <t>Số lượng bán BQ 2026
(kg/ tháng)</t>
  </si>
  <si>
    <t>935/720</t>
  </si>
  <si>
    <t>35/25</t>
  </si>
  <si>
    <t>835/620</t>
  </si>
  <si>
    <t>Phát sinh tháng 12/2025</t>
  </si>
  <si>
    <t>Tách 11,7 tấn HD ép trắng lẫn PP qua meyer, thu được 7,5 tấn vảy PP trắng (Thu hồi 64% TP, còn lại phó sản)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</si>
</sst>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₫&quot;_-;\-* #,##0.00\ &quot;₫&quot;_-;_-* &quot;-&quot;??\ &quot;₫&quot;_-;_-@_-"/>
    <numFmt numFmtId="166" formatCode="_-* #,##0.00_-;\-* #,##0.00_-;_-* &quot;-&quot;??_-;_-@_-"/>
    <numFmt numFmtId="167" formatCode="_(* #,##0_);_(* \(#,##0\);_(* &quot;-&quot;??_);_(@_)"/>
    <numFmt numFmtId="168" formatCode="_(* #,##0.00000_);_(* \(#,##0.00000\);_(* &quot;-&quot;??_);_(@_)"/>
    <numFmt numFmtId="169" formatCode="mm/yyyy"/>
    <numFmt numFmtId="170" formatCode="_-* #,##0.00\ _₫_-;\-* #,##0.00\ _₫_-;_-* &quot;-&quot;??\ _₫_-;_-@_-"/>
    <numFmt numFmtId="171" formatCode="_ * #,##0.00_)_ ;_ * \(#,##0.00\)_ ;_ * &quot;-&quot;??_)_ ;_ @_ "/>
  </numFmts>
  <fonts count="58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0000FF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Calibri"/>
      <family val="2"/>
      <charset val="163"/>
      <scheme val="minor"/>
    </font>
    <font>
      <b/>
      <sz val="12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i/>
      <u/>
      <sz val="11"/>
      <color theme="5" tint="-0.249977111117893"/>
      <name val="Times New Roman"/>
      <family val="1"/>
    </font>
    <font>
      <b/>
      <sz val="11"/>
      <color rgb="FF0033CC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6"/>
      <color rgb="FF0000FF"/>
      <name val="Times New Roman"/>
      <family val="1"/>
    </font>
    <font>
      <b/>
      <sz val="12"/>
      <color rgb="FF0000FF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charset val="163"/>
      <scheme val="minor"/>
    </font>
    <font>
      <sz val="10"/>
      <color theme="1"/>
      <name val=".Vn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2"/>
    </font>
    <font>
      <sz val="11"/>
      <color rgb="FF0000FF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</borders>
  <cellStyleXfs count="10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44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2" fillId="0" borderId="0"/>
    <xf numFmtId="0" fontId="54" fillId="0" borderId="0"/>
    <xf numFmtId="166" fontId="39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1" fillId="0" borderId="0"/>
    <xf numFmtId="0" fontId="56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39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39" fillId="0" borderId="0" applyFont="0" applyFill="0" applyBorder="0" applyAlignment="0" applyProtection="0"/>
  </cellStyleXfs>
  <cellXfs count="243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33" borderId="0" xfId="0" applyFont="1" applyFill="1"/>
    <xf numFmtId="0" fontId="0" fillId="0" borderId="11" xfId="0" applyBorder="1"/>
    <xf numFmtId="164" fontId="0" fillId="0" borderId="11" xfId="1" applyFont="1" applyBorder="1"/>
    <xf numFmtId="49" fontId="20" fillId="0" borderId="0" xfId="0" applyNumberFormat="1" applyFont="1"/>
    <xf numFmtId="0" fontId="20" fillId="0" borderId="0" xfId="0" applyFont="1"/>
    <xf numFmtId="0" fontId="21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2" fillId="34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/>
    </xf>
    <xf numFmtId="0" fontId="23" fillId="35" borderId="11" xfId="0" applyFont="1" applyFill="1" applyBorder="1"/>
    <xf numFmtId="0" fontId="23" fillId="36" borderId="11" xfId="0" applyFont="1" applyFill="1" applyBorder="1" applyAlignment="1">
      <alignment horizontal="center"/>
    </xf>
    <xf numFmtId="0" fontId="23" fillId="36" borderId="11" xfId="0" applyFont="1" applyFill="1" applyBorder="1"/>
    <xf numFmtId="0" fontId="22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/>
    <xf numFmtId="0" fontId="21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34" borderId="10" xfId="0" quotePrefix="1" applyFont="1" applyFill="1" applyBorder="1" applyAlignment="1">
      <alignment horizontal="center" vertical="center" wrapText="1"/>
    </xf>
    <xf numFmtId="0" fontId="0" fillId="37" borderId="11" xfId="0" applyFill="1" applyBorder="1"/>
    <xf numFmtId="0" fontId="26" fillId="0" borderId="0" xfId="0" applyFont="1"/>
    <xf numFmtId="164" fontId="26" fillId="0" borderId="0" xfId="1" applyFont="1"/>
    <xf numFmtId="49" fontId="26" fillId="0" borderId="0" xfId="0" applyNumberFormat="1" applyFont="1"/>
    <xf numFmtId="164" fontId="26" fillId="0" borderId="0" xfId="0" applyNumberFormat="1" applyFont="1"/>
    <xf numFmtId="0" fontId="26" fillId="33" borderId="0" xfId="0" applyFont="1" applyFill="1"/>
    <xf numFmtId="49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49" fontId="27" fillId="38" borderId="0" xfId="0" applyNumberFormat="1" applyFont="1" applyFill="1" applyAlignment="1">
      <alignment vertical="center"/>
    </xf>
    <xf numFmtId="0" fontId="27" fillId="38" borderId="0" xfId="0" applyFont="1" applyFill="1" applyAlignment="1">
      <alignment vertical="center"/>
    </xf>
    <xf numFmtId="164" fontId="27" fillId="38" borderId="0" xfId="1" applyFont="1" applyFill="1" applyAlignment="1">
      <alignment vertical="center"/>
    </xf>
    <xf numFmtId="0" fontId="27" fillId="0" borderId="0" xfId="0" applyFont="1" applyAlignment="1">
      <alignment vertical="center"/>
    </xf>
    <xf numFmtId="164" fontId="29" fillId="0" borderId="11" xfId="1" applyFont="1" applyBorder="1"/>
    <xf numFmtId="43" fontId="0" fillId="0" borderId="11" xfId="43" applyFont="1" applyBorder="1" applyAlignment="1">
      <alignment horizontal="center"/>
    </xf>
    <xf numFmtId="167" fontId="0" fillId="0" borderId="11" xfId="43" applyNumberFormat="1" applyFont="1" applyBorder="1" applyAlignment="1">
      <alignment horizontal="center"/>
    </xf>
    <xf numFmtId="167" fontId="0" fillId="0" borderId="0" xfId="43" applyNumberFormat="1" applyFont="1" applyAlignment="1">
      <alignment horizontal="center"/>
    </xf>
    <xf numFmtId="167" fontId="23" fillId="36" borderId="11" xfId="43" applyNumberFormat="1" applyFont="1" applyFill="1" applyBorder="1" applyAlignment="1">
      <alignment horizontal="center"/>
    </xf>
    <xf numFmtId="167" fontId="23" fillId="35" borderId="11" xfId="43" applyNumberFormat="1" applyFont="1" applyFill="1" applyBorder="1" applyAlignment="1">
      <alignment horizontal="center"/>
    </xf>
    <xf numFmtId="167" fontId="30" fillId="0" borderId="11" xfId="43" applyNumberFormat="1" applyFont="1" applyBorder="1" applyAlignment="1">
      <alignment horizontal="center"/>
    </xf>
    <xf numFmtId="167" fontId="31" fillId="35" borderId="11" xfId="43" applyNumberFormat="1" applyFont="1" applyFill="1" applyBorder="1" applyAlignment="1">
      <alignment horizontal="center"/>
    </xf>
    <xf numFmtId="167" fontId="31" fillId="36" borderId="11" xfId="43" applyNumberFormat="1" applyFont="1" applyFill="1" applyBorder="1" applyAlignment="1">
      <alignment horizontal="center"/>
    </xf>
    <xf numFmtId="167" fontId="30" fillId="0" borderId="11" xfId="43" quotePrefix="1" applyNumberFormat="1" applyFont="1" applyBorder="1" applyAlignment="1">
      <alignment horizontal="center"/>
    </xf>
    <xf numFmtId="9" fontId="0" fillId="0" borderId="0" xfId="44" applyFont="1" applyAlignment="1">
      <alignment horizontal="center"/>
    </xf>
    <xf numFmtId="9" fontId="23" fillId="36" borderId="11" xfId="44" applyFont="1" applyFill="1" applyBorder="1" applyAlignment="1">
      <alignment horizontal="center"/>
    </xf>
    <xf numFmtId="9" fontId="23" fillId="35" borderId="11" xfId="44" applyFont="1" applyFill="1" applyBorder="1" applyAlignment="1">
      <alignment horizontal="center"/>
    </xf>
    <xf numFmtId="9" fontId="30" fillId="0" borderId="11" xfId="44" applyFont="1" applyBorder="1" applyAlignment="1">
      <alignment horizontal="center"/>
    </xf>
    <xf numFmtId="9" fontId="31" fillId="35" borderId="11" xfId="44" applyFont="1" applyFill="1" applyBorder="1" applyAlignment="1">
      <alignment horizontal="center"/>
    </xf>
    <xf numFmtId="9" fontId="31" fillId="36" borderId="11" xfId="44" applyFont="1" applyFill="1" applyBorder="1" applyAlignment="1">
      <alignment horizontal="center"/>
    </xf>
    <xf numFmtId="9" fontId="30" fillId="0" borderId="11" xfId="44" quotePrefix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0" fontId="30" fillId="0" borderId="11" xfId="0" applyFont="1" applyBorder="1" applyAlignment="1">
      <alignment horizontal="center" vertical="center"/>
    </xf>
    <xf numFmtId="164" fontId="30" fillId="0" borderId="11" xfId="1" applyFont="1" applyBorder="1"/>
    <xf numFmtId="0" fontId="30" fillId="0" borderId="0" xfId="0" applyFont="1"/>
    <xf numFmtId="167" fontId="30" fillId="0" borderId="11" xfId="44" applyNumberFormat="1" applyFont="1" applyBorder="1" applyAlignment="1">
      <alignment horizontal="center"/>
    </xf>
    <xf numFmtId="9" fontId="0" fillId="0" borderId="0" xfId="44" applyFont="1"/>
    <xf numFmtId="0" fontId="33" fillId="0" borderId="0" xfId="45" applyFont="1"/>
    <xf numFmtId="0" fontId="33" fillId="0" borderId="0" xfId="45" applyFont="1" applyAlignment="1">
      <alignment horizontal="left"/>
    </xf>
    <xf numFmtId="0" fontId="34" fillId="0" borderId="0" xfId="45" applyFont="1" applyAlignment="1">
      <alignment horizontal="right"/>
    </xf>
    <xf numFmtId="0" fontId="33" fillId="0" borderId="0" xfId="45" applyFont="1" applyAlignment="1">
      <alignment horizontal="center"/>
    </xf>
    <xf numFmtId="0" fontId="35" fillId="38" borderId="0" xfId="45" applyFont="1" applyFill="1"/>
    <xf numFmtId="3" fontId="35" fillId="38" borderId="0" xfId="45" applyNumberFormat="1" applyFont="1" applyFill="1"/>
    <xf numFmtId="167" fontId="33" fillId="0" borderId="0" xfId="45" applyNumberFormat="1" applyFont="1"/>
    <xf numFmtId="0" fontId="35" fillId="0" borderId="0" xfId="45" applyFont="1" applyAlignment="1">
      <alignment horizontal="right"/>
    </xf>
    <xf numFmtId="0" fontId="35" fillId="0" borderId="0" xfId="45" applyFont="1" applyAlignment="1">
      <alignment horizontal="center"/>
    </xf>
    <xf numFmtId="167" fontId="35" fillId="0" borderId="0" xfId="45" applyNumberFormat="1" applyFont="1" applyAlignment="1">
      <alignment horizontal="center"/>
    </xf>
    <xf numFmtId="168" fontId="33" fillId="0" borderId="0" xfId="45" applyNumberFormat="1" applyFont="1"/>
    <xf numFmtId="0" fontId="36" fillId="0" borderId="0" xfId="45" applyFont="1" applyAlignment="1">
      <alignment vertical="center"/>
    </xf>
    <xf numFmtId="0" fontId="36" fillId="0" borderId="0" xfId="45" applyFont="1" applyAlignment="1">
      <alignment horizontal="left" vertical="center"/>
    </xf>
    <xf numFmtId="0" fontId="38" fillId="41" borderId="16" xfId="45" applyFont="1" applyFill="1" applyBorder="1" applyAlignment="1">
      <alignment vertical="center" wrapText="1"/>
    </xf>
    <xf numFmtId="164" fontId="33" fillId="0" borderId="0" xfId="1" applyFont="1"/>
    <xf numFmtId="0" fontId="18" fillId="0" borderId="20" xfId="45" applyFont="1" applyBorder="1"/>
    <xf numFmtId="0" fontId="38" fillId="39" borderId="17" xfId="45" applyFont="1" applyFill="1" applyBorder="1" applyAlignment="1">
      <alignment vertical="center"/>
    </xf>
    <xf numFmtId="0" fontId="38" fillId="41" borderId="10" xfId="45" applyFont="1" applyFill="1" applyBorder="1" applyAlignment="1">
      <alignment vertical="center" wrapText="1"/>
    </xf>
    <xf numFmtId="49" fontId="38" fillId="41" borderId="10" xfId="45" applyNumberFormat="1" applyFont="1" applyFill="1" applyBorder="1" applyAlignment="1">
      <alignment vertical="center" wrapText="1"/>
    </xf>
    <xf numFmtId="0" fontId="38" fillId="41" borderId="10" xfId="45" applyFont="1" applyFill="1" applyBorder="1" applyAlignment="1">
      <alignment horizontal="left" vertical="center" wrapText="1"/>
    </xf>
    <xf numFmtId="0" fontId="38" fillId="41" borderId="10" xfId="45" applyFont="1" applyFill="1" applyBorder="1" applyAlignment="1">
      <alignment vertical="center"/>
    </xf>
    <xf numFmtId="0" fontId="38" fillId="39" borderId="10" xfId="45" applyFont="1" applyFill="1" applyBorder="1" applyAlignment="1">
      <alignment horizontal="center" vertical="center"/>
    </xf>
    <xf numFmtId="0" fontId="38" fillId="40" borderId="10" xfId="45" applyFont="1" applyFill="1" applyBorder="1" applyAlignment="1">
      <alignment horizontal="center" vertical="center"/>
    </xf>
    <xf numFmtId="164" fontId="33" fillId="0" borderId="11" xfId="1" applyFont="1" applyFill="1" applyBorder="1"/>
    <xf numFmtId="49" fontId="33" fillId="0" borderId="11" xfId="45" applyNumberFormat="1" applyFont="1" applyBorder="1"/>
    <xf numFmtId="49" fontId="33" fillId="0" borderId="11" xfId="45" applyNumberFormat="1" applyFont="1" applyBorder="1" applyAlignment="1">
      <alignment vertical="top"/>
    </xf>
    <xf numFmtId="3" fontId="33" fillId="0" borderId="11" xfId="45" applyNumberFormat="1" applyFont="1" applyBorder="1" applyAlignment="1">
      <alignment horizontal="center"/>
    </xf>
    <xf numFmtId="3" fontId="33" fillId="0" borderId="11" xfId="45" applyNumberFormat="1" applyFont="1" applyBorder="1"/>
    <xf numFmtId="0" fontId="33" fillId="0" borderId="11" xfId="45" applyFont="1" applyBorder="1" applyAlignment="1">
      <alignment wrapText="1"/>
    </xf>
    <xf numFmtId="167" fontId="33" fillId="0" borderId="11" xfId="46" applyNumberFormat="1" applyFont="1" applyFill="1" applyBorder="1" applyAlignment="1">
      <alignment horizontal="center"/>
    </xf>
    <xf numFmtId="0" fontId="33" fillId="0" borderId="11" xfId="45" applyFont="1" applyBorder="1" applyAlignment="1">
      <alignment horizontal="left" wrapText="1"/>
    </xf>
    <xf numFmtId="0" fontId="33" fillId="0" borderId="11" xfId="45" applyFont="1" applyBorder="1"/>
    <xf numFmtId="0" fontId="36" fillId="43" borderId="10" xfId="45" applyFont="1" applyFill="1" applyBorder="1" applyAlignment="1">
      <alignment vertical="center"/>
    </xf>
    <xf numFmtId="0" fontId="36" fillId="42" borderId="10" xfId="45" applyFont="1" applyFill="1" applyBorder="1" applyAlignment="1">
      <alignment horizontal="center" vertical="center" wrapText="1"/>
    </xf>
    <xf numFmtId="49" fontId="0" fillId="0" borderId="0" xfId="0" applyNumberFormat="1"/>
    <xf numFmtId="164" fontId="0" fillId="0" borderId="0" xfId="1" applyFont="1"/>
    <xf numFmtId="0" fontId="18" fillId="0" borderId="0" xfId="49" applyFont="1" applyAlignment="1">
      <alignment horizontal="center"/>
    </xf>
    <xf numFmtId="169" fontId="41" fillId="44" borderId="10" xfId="49" applyNumberFormat="1" applyFont="1" applyFill="1" applyBorder="1" applyAlignment="1">
      <alignment horizontal="center" vertical="center"/>
    </xf>
    <xf numFmtId="0" fontId="18" fillId="0" borderId="0" xfId="49" applyFont="1"/>
    <xf numFmtId="0" fontId="41" fillId="44" borderId="10" xfId="49" applyFont="1" applyFill="1" applyBorder="1" applyAlignment="1">
      <alignment horizontal="center" vertical="center" wrapText="1"/>
    </xf>
    <xf numFmtId="0" fontId="42" fillId="0" borderId="0" xfId="49" applyFont="1" applyAlignment="1">
      <alignment wrapText="1"/>
    </xf>
    <xf numFmtId="167" fontId="18" fillId="0" borderId="0" xfId="48" applyNumberFormat="1" applyFont="1" applyFill="1" applyBorder="1" applyAlignment="1">
      <alignment wrapText="1"/>
    </xf>
    <xf numFmtId="167" fontId="18" fillId="0" borderId="0" xfId="49" applyNumberFormat="1" applyFont="1"/>
    <xf numFmtId="0" fontId="42" fillId="0" borderId="0" xfId="49" applyFont="1" applyAlignment="1">
      <alignment horizontal="left" wrapText="1"/>
    </xf>
    <xf numFmtId="3" fontId="18" fillId="0" borderId="0" xfId="49" applyNumberFormat="1" applyFont="1"/>
    <xf numFmtId="167" fontId="41" fillId="44" borderId="10" xfId="48" applyNumberFormat="1" applyFont="1" applyFill="1" applyBorder="1" applyAlignment="1">
      <alignment horizontal="center" vertical="center" wrapText="1"/>
    </xf>
    <xf numFmtId="0" fontId="43" fillId="0" borderId="11" xfId="48" applyNumberFormat="1" applyFont="1" applyFill="1" applyBorder="1" applyAlignment="1">
      <alignment horizontal="center" vertical="center"/>
    </xf>
    <xf numFmtId="0" fontId="42" fillId="0" borderId="11" xfId="49" applyFont="1" applyBorder="1" applyAlignment="1">
      <alignment horizontal="left" vertical="center" wrapText="1"/>
    </xf>
    <xf numFmtId="49" fontId="18" fillId="0" borderId="11" xfId="49" applyNumberFormat="1" applyFont="1" applyBorder="1" applyAlignment="1">
      <alignment vertical="center" wrapText="1"/>
    </xf>
    <xf numFmtId="0" fontId="18" fillId="0" borderId="11" xfId="49" applyFont="1" applyBorder="1" applyAlignment="1">
      <alignment vertical="center" wrapText="1"/>
    </xf>
    <xf numFmtId="9" fontId="42" fillId="0" borderId="11" xfId="48" applyNumberFormat="1" applyFont="1" applyFill="1" applyBorder="1" applyAlignment="1">
      <alignment horizontal="center" vertical="center"/>
    </xf>
    <xf numFmtId="167" fontId="42" fillId="0" borderId="11" xfId="48" applyNumberFormat="1" applyFont="1" applyFill="1" applyBorder="1" applyAlignment="1">
      <alignment vertical="center"/>
    </xf>
    <xf numFmtId="0" fontId="44" fillId="0" borderId="24" xfId="0" applyFont="1" applyBorder="1" applyAlignment="1">
      <alignment horizontal="center" vertical="center"/>
    </xf>
    <xf numFmtId="0" fontId="45" fillId="0" borderId="19" xfId="0" applyFont="1" applyBorder="1" applyAlignment="1">
      <alignment wrapText="1"/>
    </xf>
    <xf numFmtId="0" fontId="18" fillId="0" borderId="0" xfId="49" applyFont="1" applyAlignment="1">
      <alignment wrapText="1"/>
    </xf>
    <xf numFmtId="167" fontId="44" fillId="0" borderId="19" xfId="0" applyNumberFormat="1" applyFont="1" applyBorder="1" applyAlignment="1">
      <alignment horizontal="center" vertical="center"/>
    </xf>
    <xf numFmtId="167" fontId="44" fillId="0" borderId="19" xfId="0" applyNumberFormat="1" applyFont="1" applyBorder="1" applyAlignment="1">
      <alignment vertical="center"/>
    </xf>
    <xf numFmtId="0" fontId="46" fillId="0" borderId="0" xfId="49" applyFont="1"/>
    <xf numFmtId="0" fontId="47" fillId="0" borderId="0" xfId="49" applyFont="1"/>
    <xf numFmtId="0" fontId="20" fillId="0" borderId="0" xfId="49" applyFont="1"/>
    <xf numFmtId="167" fontId="46" fillId="0" borderId="0" xfId="49" applyNumberFormat="1" applyFont="1"/>
    <xf numFmtId="0" fontId="18" fillId="0" borderId="0" xfId="49" applyFont="1" applyAlignment="1">
      <alignment horizontal="right"/>
    </xf>
    <xf numFmtId="0" fontId="48" fillId="0" borderId="0" xfId="45" applyFont="1" applyAlignment="1">
      <alignment vertical="top"/>
    </xf>
    <xf numFmtId="0" fontId="44" fillId="0" borderId="0" xfId="45" applyFont="1" applyAlignment="1">
      <alignment vertical="top"/>
    </xf>
    <xf numFmtId="0" fontId="47" fillId="0" borderId="0" xfId="45" applyFont="1" applyAlignment="1">
      <alignment horizontal="left"/>
    </xf>
    <xf numFmtId="167" fontId="50" fillId="0" borderId="11" xfId="46" applyNumberFormat="1" applyFont="1" applyFill="1" applyBorder="1" applyAlignment="1">
      <alignment vertical="center"/>
    </xf>
    <xf numFmtId="9" fontId="49" fillId="0" borderId="11" xfId="45" applyNumberFormat="1" applyFont="1" applyBorder="1" applyAlignment="1">
      <alignment horizontal="left" vertical="center"/>
    </xf>
    <xf numFmtId="0" fontId="49" fillId="0" borderId="11" xfId="45" applyFont="1" applyBorder="1"/>
    <xf numFmtId="9" fontId="49" fillId="0" borderId="11" xfId="45" applyNumberFormat="1" applyFont="1" applyBorder="1"/>
    <xf numFmtId="167" fontId="49" fillId="0" borderId="11" xfId="46" applyNumberFormat="1" applyFont="1" applyFill="1" applyBorder="1"/>
    <xf numFmtId="0" fontId="26" fillId="0" borderId="18" xfId="45" applyFont="1" applyBorder="1"/>
    <xf numFmtId="0" fontId="49" fillId="0" borderId="11" xfId="45" applyFont="1" applyBorder="1" applyAlignment="1">
      <alignment wrapText="1"/>
    </xf>
    <xf numFmtId="0" fontId="49" fillId="0" borderId="18" xfId="45" applyFont="1" applyBorder="1"/>
    <xf numFmtId="9" fontId="50" fillId="0" borderId="11" xfId="45" applyNumberFormat="1" applyFont="1" applyBorder="1" applyAlignment="1">
      <alignment horizontal="left" vertical="center"/>
    </xf>
    <xf numFmtId="0" fontId="51" fillId="0" borderId="0" xfId="45" applyFont="1"/>
    <xf numFmtId="167" fontId="50" fillId="0" borderId="11" xfId="48" applyNumberFormat="1" applyFont="1" applyFill="1" applyBorder="1" applyAlignment="1">
      <alignment vertical="center"/>
    </xf>
    <xf numFmtId="167" fontId="42" fillId="0" borderId="18" xfId="46" applyNumberFormat="1" applyFont="1" applyFill="1" applyBorder="1" applyAlignment="1">
      <alignment vertical="center"/>
    </xf>
    <xf numFmtId="167" fontId="20" fillId="0" borderId="0" xfId="46" applyNumberFormat="1" applyFont="1" applyAlignment="1">
      <alignment horizontal="center"/>
    </xf>
    <xf numFmtId="3" fontId="52" fillId="0" borderId="0" xfId="45" applyNumberFormat="1" applyFont="1" applyAlignment="1">
      <alignment horizontal="center"/>
    </xf>
    <xf numFmtId="0" fontId="36" fillId="0" borderId="0" xfId="45" applyFont="1"/>
    <xf numFmtId="0" fontId="42" fillId="0" borderId="0" xfId="49" applyFont="1" applyAlignment="1">
      <alignment horizontal="left" vertical="center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center"/>
    </xf>
    <xf numFmtId="0" fontId="42" fillId="0" borderId="11" xfId="49" applyFont="1" applyBorder="1" applyAlignment="1">
      <alignment vertical="center" wrapText="1"/>
    </xf>
    <xf numFmtId="0" fontId="42" fillId="0" borderId="11" xfId="49" applyFont="1" applyBorder="1" applyAlignment="1">
      <alignment horizontal="left" vertical="center"/>
    </xf>
    <xf numFmtId="9" fontId="43" fillId="0" borderId="11" xfId="48" applyNumberFormat="1" applyFont="1" applyFill="1" applyBorder="1" applyAlignment="1">
      <alignment horizontal="center" vertical="center"/>
    </xf>
    <xf numFmtId="167" fontId="43" fillId="0" borderId="11" xfId="48" applyNumberFormat="1" applyFont="1" applyFill="1" applyBorder="1" applyAlignment="1">
      <alignment vertical="center"/>
    </xf>
    <xf numFmtId="164" fontId="43" fillId="0" borderId="11" xfId="1" applyFont="1" applyFill="1" applyBorder="1" applyAlignment="1">
      <alignment vertical="center"/>
    </xf>
    <xf numFmtId="167" fontId="42" fillId="0" borderId="11" xfId="48" applyNumberFormat="1" applyFont="1" applyFill="1" applyBorder="1" applyAlignment="1">
      <alignment horizontal="left" vertical="center"/>
    </xf>
    <xf numFmtId="167" fontId="43" fillId="0" borderId="11" xfId="48" applyNumberFormat="1" applyFont="1" applyFill="1" applyBorder="1" applyAlignment="1">
      <alignment horizontal="left" vertical="center"/>
    </xf>
    <xf numFmtId="167" fontId="42" fillId="0" borderId="11" xfId="48" applyNumberFormat="1" applyFont="1" applyFill="1" applyBorder="1" applyAlignment="1">
      <alignment vertical="center" wrapText="1"/>
    </xf>
    <xf numFmtId="0" fontId="18" fillId="0" borderId="0" xfId="49" applyFont="1" applyAlignment="1">
      <alignment vertical="center"/>
    </xf>
    <xf numFmtId="0" fontId="18" fillId="0" borderId="0" xfId="49" applyFont="1" applyAlignment="1">
      <alignment horizontal="left" vertical="center"/>
    </xf>
    <xf numFmtId="3" fontId="33" fillId="0" borderId="11" xfId="1" applyNumberFormat="1" applyFont="1" applyFill="1" applyBorder="1"/>
    <xf numFmtId="164" fontId="33" fillId="0" borderId="0" xfId="45" applyNumberFormat="1" applyFont="1"/>
    <xf numFmtId="9" fontId="33" fillId="0" borderId="0" xfId="44" applyFont="1"/>
    <xf numFmtId="0" fontId="33" fillId="0" borderId="0" xfId="45" applyFont="1" applyAlignment="1">
      <alignment vertical="center"/>
    </xf>
    <xf numFmtId="164" fontId="36" fillId="0" borderId="0" xfId="45" applyNumberFormat="1" applyFont="1"/>
    <xf numFmtId="0" fontId="18" fillId="42" borderId="0" xfId="49" applyFont="1" applyFill="1"/>
    <xf numFmtId="164" fontId="33" fillId="0" borderId="0" xfId="44" applyNumberFormat="1" applyFont="1"/>
    <xf numFmtId="167" fontId="33" fillId="0" borderId="0" xfId="45" applyNumberFormat="1" applyFont="1" applyAlignment="1">
      <alignment horizontal="center"/>
    </xf>
    <xf numFmtId="9" fontId="33" fillId="0" borderId="11" xfId="47" applyFont="1" applyFill="1" applyBorder="1" applyAlignment="1">
      <alignment horizontal="right" vertical="center"/>
    </xf>
    <xf numFmtId="9" fontId="30" fillId="0" borderId="12" xfId="44" applyFont="1" applyBorder="1" applyAlignment="1">
      <alignment horizontal="center"/>
    </xf>
    <xf numFmtId="0" fontId="33" fillId="0" borderId="0" xfId="45" applyFont="1" applyAlignment="1">
      <alignment horizontal="right"/>
    </xf>
    <xf numFmtId="0" fontId="36" fillId="0" borderId="0" xfId="45" applyFont="1" applyAlignment="1">
      <alignment horizontal="right" vertical="center"/>
    </xf>
    <xf numFmtId="0" fontId="38" fillId="41" borderId="10" xfId="45" applyFont="1" applyFill="1" applyBorder="1" applyAlignment="1">
      <alignment horizontal="right" vertical="center" wrapText="1"/>
    </xf>
    <xf numFmtId="9" fontId="49" fillId="0" borderId="11" xfId="45" applyNumberFormat="1" applyFont="1" applyBorder="1" applyAlignment="1">
      <alignment horizontal="right"/>
    </xf>
    <xf numFmtId="164" fontId="51" fillId="0" borderId="0" xfId="1" applyFont="1" applyAlignment="1">
      <alignment vertical="center"/>
    </xf>
    <xf numFmtId="164" fontId="51" fillId="0" borderId="0" xfId="1" applyFont="1"/>
    <xf numFmtId="167" fontId="51" fillId="0" borderId="0" xfId="49" applyNumberFormat="1" applyFont="1"/>
    <xf numFmtId="164" fontId="29" fillId="37" borderId="11" xfId="1" applyFont="1" applyFill="1" applyBorder="1"/>
    <xf numFmtId="164" fontId="33" fillId="0" borderId="0" xfId="1" applyFont="1" applyFill="1"/>
    <xf numFmtId="164" fontId="0" fillId="37" borderId="11" xfId="1" applyFont="1" applyFill="1" applyBorder="1"/>
    <xf numFmtId="164" fontId="0" fillId="0" borderId="0" xfId="1" applyFont="1" applyAlignment="1">
      <alignment horizontal="center"/>
    </xf>
    <xf numFmtId="164" fontId="22" fillId="39" borderId="10" xfId="1" quotePrefix="1" applyFont="1" applyFill="1" applyBorder="1" applyAlignment="1">
      <alignment horizontal="center" vertical="center" wrapText="1"/>
    </xf>
    <xf numFmtId="164" fontId="23" fillId="36" borderId="11" xfId="1" applyFont="1" applyFill="1" applyBorder="1" applyAlignment="1">
      <alignment horizontal="center"/>
    </xf>
    <xf numFmtId="164" fontId="23" fillId="35" borderId="11" xfId="1" applyFont="1" applyFill="1" applyBorder="1" applyAlignment="1">
      <alignment horizontal="center"/>
    </xf>
    <xf numFmtId="164" fontId="30" fillId="0" borderId="11" xfId="1" applyFont="1" applyBorder="1" applyAlignment="1">
      <alignment horizontal="center"/>
    </xf>
    <xf numFmtId="164" fontId="31" fillId="35" borderId="11" xfId="1" applyFont="1" applyFill="1" applyBorder="1" applyAlignment="1">
      <alignment horizontal="center"/>
    </xf>
    <xf numFmtId="164" fontId="31" fillId="36" borderId="11" xfId="1" applyFont="1" applyFill="1" applyBorder="1" applyAlignment="1">
      <alignment horizontal="center"/>
    </xf>
    <xf numFmtId="164" fontId="30" fillId="0" borderId="11" xfId="1" quotePrefix="1" applyFont="1" applyBorder="1" applyAlignment="1">
      <alignment horizontal="center"/>
    </xf>
    <xf numFmtId="0" fontId="22" fillId="45" borderId="10" xfId="0" applyFont="1" applyFill="1" applyBorder="1" applyAlignment="1">
      <alignment horizontal="center" vertical="center" wrapText="1"/>
    </xf>
    <xf numFmtId="164" fontId="30" fillId="37" borderId="11" xfId="1" applyFont="1" applyFill="1" applyBorder="1" applyAlignment="1">
      <alignment horizontal="center"/>
    </xf>
    <xf numFmtId="13" fontId="30" fillId="0" borderId="11" xfId="1" quotePrefix="1" applyNumberFormat="1" applyFont="1" applyBorder="1" applyAlignment="1">
      <alignment horizontal="center"/>
    </xf>
    <xf numFmtId="167" fontId="0" fillId="0" borderId="11" xfId="102" applyNumberFormat="1" applyFont="1" applyBorder="1" applyAlignment="1">
      <alignment horizontal="center"/>
    </xf>
    <xf numFmtId="167" fontId="0" fillId="0" borderId="11" xfId="101" applyNumberFormat="1" applyFont="1" applyBorder="1" applyAlignment="1">
      <alignment horizontal="center"/>
    </xf>
    <xf numFmtId="164" fontId="33" fillId="37" borderId="11" xfId="1" applyFont="1" applyFill="1" applyBorder="1"/>
    <xf numFmtId="164" fontId="43" fillId="37" borderId="11" xfId="1" applyFont="1" applyFill="1" applyBorder="1" applyAlignment="1">
      <alignment vertical="center"/>
    </xf>
    <xf numFmtId="164" fontId="30" fillId="0" borderId="12" xfId="1" applyFont="1" applyBorder="1" applyAlignment="1">
      <alignment horizontal="center"/>
    </xf>
    <xf numFmtId="0" fontId="0" fillId="0" borderId="11" xfId="0" applyBorder="1" applyAlignment="1">
      <alignment vertical="center"/>
    </xf>
    <xf numFmtId="9" fontId="30" fillId="0" borderId="11" xfId="44" applyFont="1" applyBorder="1" applyAlignment="1">
      <alignment horizontal="center" vertical="center"/>
    </xf>
    <xf numFmtId="164" fontId="30" fillId="0" borderId="11" xfId="1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3" fontId="0" fillId="0" borderId="11" xfId="1" applyNumberFormat="1" applyFont="1" applyBorder="1"/>
    <xf numFmtId="3" fontId="29" fillId="0" borderId="11" xfId="1" applyNumberFormat="1" applyFont="1" applyBorder="1"/>
    <xf numFmtId="3" fontId="30" fillId="0" borderId="11" xfId="43" applyNumberFormat="1" applyFont="1" applyBorder="1" applyAlignment="1">
      <alignment horizontal="center"/>
    </xf>
    <xf numFmtId="3" fontId="0" fillId="0" borderId="11" xfId="43" applyNumberFormat="1" applyFont="1" applyBorder="1" applyAlignment="1">
      <alignment horizontal="center"/>
    </xf>
    <xf numFmtId="3" fontId="0" fillId="37" borderId="11" xfId="1" applyNumberFormat="1" applyFont="1" applyFill="1" applyBorder="1"/>
    <xf numFmtId="3" fontId="29" fillId="37" borderId="11" xfId="1" applyNumberFormat="1" applyFont="1" applyFill="1" applyBorder="1"/>
    <xf numFmtId="3" fontId="0" fillId="0" borderId="11" xfId="100" applyNumberFormat="1" applyFont="1" applyBorder="1" applyAlignment="1">
      <alignment horizontal="center"/>
    </xf>
    <xf numFmtId="3" fontId="0" fillId="0" borderId="11" xfId="99" applyNumberFormat="1" applyFont="1" applyBorder="1" applyAlignment="1">
      <alignment horizontal="center"/>
    </xf>
    <xf numFmtId="3" fontId="23" fillId="35" borderId="11" xfId="0" applyNumberFormat="1" applyFont="1" applyFill="1" applyBorder="1"/>
    <xf numFmtId="3" fontId="28" fillId="35" borderId="11" xfId="0" applyNumberFormat="1" applyFont="1" applyFill="1" applyBorder="1"/>
    <xf numFmtId="3" fontId="31" fillId="35" borderId="11" xfId="43" applyNumberFormat="1" applyFont="1" applyFill="1" applyBorder="1" applyAlignment="1">
      <alignment horizontal="center"/>
    </xf>
    <xf numFmtId="3" fontId="23" fillId="35" borderId="11" xfId="43" applyNumberFormat="1" applyFont="1" applyFill="1" applyBorder="1" applyAlignment="1">
      <alignment horizontal="center"/>
    </xf>
    <xf numFmtId="3" fontId="21" fillId="0" borderId="11" xfId="1" applyNumberFormat="1" applyFont="1" applyBorder="1"/>
    <xf numFmtId="3" fontId="21" fillId="0" borderId="11" xfId="43" applyNumberFormat="1" applyFont="1" applyBorder="1" applyAlignment="1">
      <alignment horizontal="center"/>
    </xf>
    <xf numFmtId="3" fontId="23" fillId="36" borderId="11" xfId="0" applyNumberFormat="1" applyFont="1" applyFill="1" applyBorder="1"/>
    <xf numFmtId="3" fontId="28" fillId="36" borderId="11" xfId="0" applyNumberFormat="1" applyFont="1" applyFill="1" applyBorder="1"/>
    <xf numFmtId="3" fontId="31" fillId="36" borderId="11" xfId="43" applyNumberFormat="1" applyFont="1" applyFill="1" applyBorder="1" applyAlignment="1">
      <alignment horizontal="center"/>
    </xf>
    <xf numFmtId="3" fontId="23" fillId="36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 applyAlignment="1">
      <alignment horizontal="center"/>
    </xf>
    <xf numFmtId="3" fontId="0" fillId="46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/>
    <xf numFmtId="3" fontId="29" fillId="0" borderId="11" xfId="1" quotePrefix="1" applyNumberFormat="1" applyFont="1" applyBorder="1" applyAlignment="1">
      <alignment horizontal="right"/>
    </xf>
    <xf numFmtId="3" fontId="57" fillId="0" borderId="11" xfId="43" quotePrefix="1" applyNumberFormat="1" applyFont="1" applyBorder="1" applyAlignment="1">
      <alignment horizontal="center"/>
    </xf>
    <xf numFmtId="3" fontId="28" fillId="35" borderId="11" xfId="0" applyNumberFormat="1" applyFont="1" applyFill="1" applyBorder="1" applyAlignment="1">
      <alignment horizontal="right"/>
    </xf>
    <xf numFmtId="3" fontId="0" fillId="0" borderId="11" xfId="43" applyNumberFormat="1" applyFont="1" applyBorder="1"/>
    <xf numFmtId="3" fontId="0" fillId="0" borderId="11" xfId="1" applyNumberFormat="1" applyFont="1" applyBorder="1" applyAlignment="1">
      <alignment vertical="center"/>
    </xf>
    <xf numFmtId="3" fontId="29" fillId="0" borderId="11" xfId="1" applyNumberFormat="1" applyFont="1" applyBorder="1" applyAlignment="1">
      <alignment vertical="center"/>
    </xf>
    <xf numFmtId="3" fontId="30" fillId="0" borderId="11" xfId="43" applyNumberFormat="1" applyFont="1" applyBorder="1" applyAlignment="1">
      <alignment horizontal="center" vertical="center"/>
    </xf>
    <xf numFmtId="3" fontId="0" fillId="0" borderId="11" xfId="43" applyNumberFormat="1" applyFont="1" applyBorder="1" applyAlignment="1">
      <alignment horizontal="center" vertical="center"/>
    </xf>
    <xf numFmtId="3" fontId="0" fillId="0" borderId="12" xfId="1" applyNumberFormat="1" applyFont="1" applyBorder="1"/>
    <xf numFmtId="3" fontId="29" fillId="0" borderId="12" xfId="1" applyNumberFormat="1" applyFont="1" applyBorder="1"/>
    <xf numFmtId="3" fontId="30" fillId="0" borderId="12" xfId="43" applyNumberFormat="1" applyFont="1" applyBorder="1" applyAlignment="1">
      <alignment horizontal="center"/>
    </xf>
    <xf numFmtId="3" fontId="0" fillId="0" borderId="12" xfId="43" applyNumberFormat="1" applyFont="1" applyBorder="1" applyAlignment="1">
      <alignment horizontal="center"/>
    </xf>
    <xf numFmtId="3" fontId="0" fillId="42" borderId="11" xfId="1" applyNumberFormat="1" applyFont="1" applyFill="1" applyBorder="1"/>
    <xf numFmtId="49" fontId="51" fillId="0" borderId="0" xfId="0" applyNumberFormat="1" applyFont="1"/>
    <xf numFmtId="0" fontId="0" fillId="42" borderId="11" xfId="0" applyFill="1" applyBorder="1"/>
    <xf numFmtId="3" fontId="14" fillId="42" borderId="11" xfId="1" applyNumberFormat="1" applyFont="1" applyFill="1" applyBorder="1"/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8" fillId="40" borderId="16" xfId="45" applyFont="1" applyFill="1" applyBorder="1" applyAlignment="1">
      <alignment horizontal="center" vertical="center"/>
    </xf>
    <xf numFmtId="0" fontId="38" fillId="40" borderId="21" xfId="45" applyFont="1" applyFill="1" applyBorder="1" applyAlignment="1">
      <alignment horizontal="center" vertical="center"/>
    </xf>
    <xf numFmtId="0" fontId="36" fillId="43" borderId="22" xfId="45" applyFont="1" applyFill="1" applyBorder="1" applyAlignment="1">
      <alignment horizontal="center" vertical="center"/>
    </xf>
    <xf numFmtId="0" fontId="36" fillId="43" borderId="23" xfId="45" applyFont="1" applyFill="1" applyBorder="1" applyAlignment="1">
      <alignment horizontal="center" vertical="center"/>
    </xf>
    <xf numFmtId="0" fontId="36" fillId="42" borderId="23" xfId="45" applyFont="1" applyFill="1" applyBorder="1" applyAlignment="1">
      <alignment horizontal="center" vertical="center"/>
    </xf>
  </cellXfs>
  <cellStyles count="10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omma [0]" xfId="1" builtinId="6"/>
    <cellStyle name="Comma [0] 2" xfId="52" xr:uid="{C4FE0BF5-EC7E-42A5-BBC9-FC125C633BB3}"/>
    <cellStyle name="Comma 10" xfId="102" xr:uid="{08B0EF61-280C-4F85-AB52-A8DACA5EF7D1}"/>
    <cellStyle name="Comma 11" xfId="101" xr:uid="{5DA4236A-D6DC-4E4B-B696-00D7DDAEA680}"/>
    <cellStyle name="Comma 12" xfId="100" xr:uid="{BC8F455B-B510-4CE5-B540-D66881F0DE57}"/>
    <cellStyle name="Comma 13" xfId="99" xr:uid="{B6B2D586-E2BE-4950-BA87-440386E18083}"/>
    <cellStyle name="Comma 2" xfId="46" xr:uid="{2F6291EA-F42F-41CB-B7E8-8091681D75D0}"/>
    <cellStyle name="Comma 2 2" xfId="48" xr:uid="{0190DAE0-5544-4761-A9DA-19DC81ECB53F}"/>
    <cellStyle name="Comma 2 2 2" xfId="85" xr:uid="{2C85445B-D430-4543-8531-1EA10DC9FAB1}"/>
    <cellStyle name="Comma 2 2 3" xfId="72" xr:uid="{9A43B871-2E3F-4192-978F-3B03EE009ECF}"/>
    <cellStyle name="Comma 2 2 4" xfId="105" xr:uid="{AA243668-40DC-4604-B504-7CFF77B0E7CD}"/>
    <cellStyle name="Comma 2 3" xfId="79" xr:uid="{A9ABA945-B51E-4113-B2BE-BE46BBF6C51C}"/>
    <cellStyle name="Comma 2 4" xfId="61" xr:uid="{FB05FDA8-544D-4A45-8EE1-E3AAF01A06E1}"/>
    <cellStyle name="Comma 2 5" xfId="93" xr:uid="{7B59076E-23D0-49E3-9292-13805763F52E}"/>
    <cellStyle name="Comma 2 6" xfId="56" xr:uid="{E35D122E-36B0-4287-B4A0-7C8EE97038EB}"/>
    <cellStyle name="Comma 2 7" xfId="103" xr:uid="{012AC5DB-D725-44D2-A793-BBE3B69FB7A4}"/>
    <cellStyle name="Comma 3" xfId="67" xr:uid="{04B969E0-6BD7-44FF-8AE2-3B3D5EEC4B16}"/>
    <cellStyle name="Comma 3 2" xfId="82" xr:uid="{B13054ED-2D53-4DBA-86E1-6ABE65F7A728}"/>
    <cellStyle name="Comma 4" xfId="77" xr:uid="{AC4E980A-B21C-400D-BBFB-A21B3C962E32}"/>
    <cellStyle name="Comma 4 2" xfId="95" xr:uid="{B89EDE7D-E350-4DB5-8034-DC04AE04AB88}"/>
    <cellStyle name="Comma 5" xfId="59" xr:uid="{AA5D015E-F7D0-4265-A80B-CE9EB5221A4E}"/>
    <cellStyle name="Comma 6" xfId="90" xr:uid="{24685BEA-967D-4778-B20E-9193C093E623}"/>
    <cellStyle name="Comma 7" xfId="94" xr:uid="{79C0BCE2-6D23-458D-9480-6A1A951612B9}"/>
    <cellStyle name="Comma 8" xfId="97" xr:uid="{98096F69-F54C-40AB-B5BE-F403FCDD153E}"/>
    <cellStyle name="Comma 9" xfId="53" xr:uid="{CB5AE58D-8012-4DD7-B030-92C01ED9988F}"/>
    <cellStyle name="Currency 2" xfId="50" xr:uid="{7570F848-038C-4B50-9BB4-2D56C5C5EA41}"/>
    <cellStyle name="Currency 2 2" xfId="63" xr:uid="{D3A78F45-CECD-4589-82E3-76EAF4B93137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64" xr:uid="{0A9A5E66-994E-49FE-B527-32899AF55F4A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58" xr:uid="{CB7F4507-E02B-4259-A881-3E6ED52D7BE5}"/>
    <cellStyle name="Normal 2" xfId="45" xr:uid="{13477675-36A0-482C-8146-087B1E94C09E}"/>
    <cellStyle name="Normal 2 10" xfId="76" xr:uid="{82934747-D320-452B-9753-F47856EB934C}"/>
    <cellStyle name="Normal 2 10 2" xfId="89" xr:uid="{AAB8D23C-63FA-4D50-A526-055FA065FAAB}"/>
    <cellStyle name="Normal 2 2" xfId="65" xr:uid="{23F94AF3-0FA5-44B3-9B0E-33DAE3CE2DB2}"/>
    <cellStyle name="Normal 2 2 2" xfId="81" xr:uid="{20FE06C7-21DF-45CE-B444-2B6A76FC0CE4}"/>
    <cellStyle name="Normal 2 3" xfId="69" xr:uid="{D1F32B0D-36CD-4DF4-B72F-5C7C17BAE333}"/>
    <cellStyle name="Normal 2 3 2" xfId="57" xr:uid="{9FDE32C4-2594-400C-AC4E-E3456A4E71DA}"/>
    <cellStyle name="Normal 2 4" xfId="74" xr:uid="{4F671985-5929-43D1-BCA3-A5049149D93D}"/>
    <cellStyle name="Normal 2 4 2" xfId="87" xr:uid="{3FCF5B75-32C4-4DFF-B2CF-D3C37B884DAA}"/>
    <cellStyle name="Normal 2 5" xfId="75" xr:uid="{61D93BCF-15E9-4124-9F8F-FD937272FA3D}"/>
    <cellStyle name="Normal 2 5 2" xfId="88" xr:uid="{55666485-D0EC-44BF-94A5-D9CB2480F2F1}"/>
    <cellStyle name="Normal 2 6" xfId="78" xr:uid="{0AFA4650-EB66-4C69-9A6E-DE4BEC238194}"/>
    <cellStyle name="Normal 2 7" xfId="60" xr:uid="{25BCEFD1-249B-4577-B556-9FA1F3E9228E}"/>
    <cellStyle name="Normal 2 8" xfId="91" xr:uid="{07C1C203-B2BA-4F4D-A437-3B6B07722704}"/>
    <cellStyle name="Normal 2 9" xfId="54" xr:uid="{C75C9488-8A12-4466-B7EF-8DEAB1FD4351}"/>
    <cellStyle name="Normal 3" xfId="49" xr:uid="{E02938B3-3EF8-4C4A-8979-BFFEAD509A79}"/>
    <cellStyle name="Normal 3 2" xfId="70" xr:uid="{AB44C634-1DD0-4080-BBA5-3C79DB503917}"/>
    <cellStyle name="Normal 4" xfId="71" xr:uid="{FEA118A3-D0C6-4148-8319-51DF653FDE73}"/>
    <cellStyle name="Normal 4 2" xfId="84" xr:uid="{4941D099-56F4-407B-8C0D-909807B78897}"/>
    <cellStyle name="Normal 5" xfId="96" xr:uid="{18167138-F896-40AD-BA8F-647027F31391}"/>
    <cellStyle name="Normal 6" xfId="66" xr:uid="{36EC74A7-D241-4631-8D66-19EF3C9E8EC9}"/>
    <cellStyle name="Note" xfId="16" builtinId="10" customBuiltin="1"/>
    <cellStyle name="Output" xfId="11" builtinId="21" customBuiltin="1"/>
    <cellStyle name="Percent" xfId="44" builtinId="5"/>
    <cellStyle name="Percent 2" xfId="47" xr:uid="{563273B1-FB2A-41CC-AA85-8BA4A6CFD16B}"/>
    <cellStyle name="Percent 2 2" xfId="73" xr:uid="{1E9F4D48-2092-4714-9EFE-04B440E2DE07}"/>
    <cellStyle name="Percent 2 2 2" xfId="86" xr:uid="{E4F76B0D-2A10-42DE-8228-B91F64E333B6}"/>
    <cellStyle name="Percent 2 3" xfId="80" xr:uid="{6BCC816D-D87F-451D-A667-0F44E8C5E5FF}"/>
    <cellStyle name="Percent 2 4" xfId="62" xr:uid="{CE82AD10-9EEE-4909-A8C1-5B86A4BF7D62}"/>
    <cellStyle name="Percent 2 5" xfId="92" xr:uid="{FA956872-7707-4844-92CD-39A09B7618E3}"/>
    <cellStyle name="Percent 2 6" xfId="55" xr:uid="{095791DD-F91C-4DF0-9C64-F665F7B36618}"/>
    <cellStyle name="Percent 2 7" xfId="104" xr:uid="{BDEFE46A-1BE3-42D4-A03D-6B5EFCF87954}"/>
    <cellStyle name="Percent 3" xfId="51" xr:uid="{043C7D39-2C5F-4853-84AD-31035A5AFA28}"/>
    <cellStyle name="Percent 3 2" xfId="83" xr:uid="{C925AA2A-3CDB-4892-B049-D1BD9C3DA930}"/>
    <cellStyle name="Percent 3 3" xfId="68" xr:uid="{FB3D4EEF-FFAC-43AA-8351-3FC2CB05940D}"/>
    <cellStyle name="Percent 4" xfId="98" xr:uid="{B92B94A3-A1DC-4B39-8000-0868B93518D5}"/>
    <cellStyle name="Title" xfId="2" builtinId="15" customBuiltin="1"/>
    <cellStyle name="Total" xfId="18" builtinId="25" customBuiltin="1"/>
    <cellStyle name="Warning Text" xfId="15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479FB87-B4A0-44C0-B33B-E9104C7B6FB2}"/>
  <namedSheetView name="View2" id="{F62B08DA-902F-4A26-AC41-CCACBE0A0FC1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ghĩa, Lưu Minh (Vincent)" id="{3086AB73-B7C9-4507-B7BF-534F68C64BF1}" userId="S::LuuMinhNghia@duytanrecycling.com::da17c285-ed8a-4a07-95a3-073174558e26" providerId="AD"/>
  <person displayName="Anh, Nguyễn Thị Quỳnh (Bella)" id="{05FCF449-6A75-4C4E-BE3E-D0CF15990FDA}" userId="S::nguyenthiquynhanh@duytanrecycling.com::2ca1d230-28f5-406b-86bf-a0ed02a9e72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9" dT="2025-03-07T08:55:42.94" personId="{05FCF449-6A75-4C4E-BE3E-D0CF15990FDA}" id="{566D244B-8B9D-4E66-A797-E0543054AB0F}">
    <text>3-5 conts/ tháng sẽ deal từ tháng 4.</text>
  </threadedComment>
  <threadedComment ref="F30" dT="2024-05-17T03:36:59.04" personId="{3086AB73-B7C9-4507-B7BF-534F68C64BF1}" id="{8CCD1465-D5C1-470C-AEE7-DA66550586E0}">
    <text>Mã hàng chính thức rHDB03N02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816D-46E9-4C95-9906-AEA9E12D0734}">
  <sheetPr filterMode="1">
    <tabColor rgb="FFFF33CC"/>
  </sheetPr>
  <dimension ref="A1:T120"/>
  <sheetViews>
    <sheetView showGridLines="0" tabSelected="1" zoomScaleNormal="100" workbookViewId="0">
      <pane xSplit="3" ySplit="6" topLeftCell="D110" activePane="bottomRight" state="frozen"/>
      <selection pane="topRight" activeCell="D1" sqref="D1"/>
      <selection pane="bottomLeft" activeCell="A7" sqref="A7"/>
      <selection pane="bottomRight" activeCell="G25" sqref="G25"/>
    </sheetView>
  </sheetViews>
  <sheetFormatPr defaultRowHeight="14.5" outlineLevelRow="1" outlineLevelCol="1"/>
  <cols>
    <col min="1" max="1" width="4.54296875" style="10" customWidth="1"/>
    <col min="2" max="2" width="11.453125" customWidth="1"/>
    <col min="3" max="3" width="27.7265625" bestFit="1" customWidth="1"/>
    <col min="4" max="4" width="8.26953125" style="21" customWidth="1"/>
    <col min="5" max="5" width="12.7265625" customWidth="1"/>
    <col min="6" max="6" width="15.453125" customWidth="1"/>
    <col min="7" max="7" width="15.453125" customWidth="1" outlineLevel="1"/>
    <col min="8" max="8" width="16.54296875" customWidth="1" outlineLevel="1"/>
    <col min="9" max="9" width="13.453125" style="10" customWidth="1" outlineLevel="1"/>
    <col min="10" max="10" width="8.26953125" style="10" customWidth="1" outlineLevel="1"/>
    <col min="11" max="11" width="12.26953125" style="43" customWidth="1" outlineLevel="1"/>
    <col min="12" max="12" width="12.54296875" style="50" customWidth="1" outlineLevel="1"/>
    <col min="13" max="13" width="12.26953125" style="177" customWidth="1" outlineLevel="1"/>
    <col min="14" max="14" width="38.26953125" customWidth="1"/>
    <col min="15" max="15" width="63.7265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637</v>
      </c>
      <c r="F4" s="16" t="s">
        <v>638</v>
      </c>
      <c r="G4" s="16"/>
      <c r="H4" s="185"/>
      <c r="I4" s="27"/>
      <c r="J4" s="27"/>
      <c r="K4" s="27"/>
      <c r="L4" s="27"/>
      <c r="M4" s="178"/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17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180"/>
      <c r="N6" s="13"/>
      <c r="O6" s="13"/>
    </row>
    <row r="7" spans="1:15" outlineLevel="1">
      <c r="A7" s="9">
        <v>1</v>
      </c>
      <c r="B7" s="233" t="s">
        <v>130</v>
      </c>
      <c r="C7" s="4" t="s">
        <v>16</v>
      </c>
      <c r="D7" s="24"/>
      <c r="E7" s="198">
        <f>SUMIFS('tồn TP 24.02'!H:H,'tồn TP 24.02'!A:A,'Trình bày'!B7)</f>
        <v>503605</v>
      </c>
      <c r="F7" s="198">
        <f>IFERROR(_xlfn.XLOOKUP(B7,'tồn TP 24.02'!A:A,'tồn TP 24.02'!L:L),0)</f>
        <v>2663100</v>
      </c>
      <c r="G7" s="198"/>
      <c r="H7" s="199"/>
      <c r="I7" s="46"/>
      <c r="J7" s="201"/>
      <c r="K7" s="200"/>
      <c r="L7" s="53"/>
      <c r="M7" s="181"/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198">
        <f>SUMIFS('tồn TP 24.02'!H:H,'tồn TP 24.02'!A:A,'Trình bày'!B8)</f>
        <v>154879.75</v>
      </c>
      <c r="F8" s="198">
        <f>IFERROR(_xlfn.XLOOKUP(B8,'tồn TP 24.02'!A:A,'tồn TP 24.02'!L:L),0)</f>
        <v>25300</v>
      </c>
      <c r="G8" s="198"/>
      <c r="H8" s="199"/>
      <c r="I8" s="46"/>
      <c r="J8" s="201"/>
      <c r="K8" s="200"/>
      <c r="L8" s="53"/>
      <c r="M8" s="181"/>
      <c r="N8" s="4"/>
      <c r="O8" s="4"/>
    </row>
    <row r="9" spans="1:15" outlineLevel="1">
      <c r="A9" s="9">
        <f t="shared" ref="A9:A16" si="0">+A8+1</f>
        <v>3</v>
      </c>
      <c r="B9" s="4" t="s">
        <v>121</v>
      </c>
      <c r="C9" s="4" t="s">
        <v>7</v>
      </c>
      <c r="D9" s="24"/>
      <c r="E9" s="198">
        <f>SUMIFS('tồn TP 24.02'!H:H,'tồn TP 24.02'!A:A,'Trình bày'!B9)</f>
        <v>788631.35</v>
      </c>
      <c r="F9" s="198">
        <f>IFERROR(_xlfn.XLOOKUP(B9,'tồn TP 24.02'!A:A,'tồn TP 24.02'!L:L),0)</f>
        <v>616000</v>
      </c>
      <c r="G9" s="198"/>
      <c r="H9" s="199"/>
      <c r="I9" s="46"/>
      <c r="J9" s="201"/>
      <c r="K9" s="200"/>
      <c r="L9" s="53"/>
      <c r="M9" s="181"/>
      <c r="N9" s="4"/>
      <c r="O9" s="4"/>
    </row>
    <row r="10" spans="1:15" outlineLevel="1">
      <c r="A10" s="9">
        <f t="shared" si="0"/>
        <v>4</v>
      </c>
      <c r="B10" s="4" t="s">
        <v>133</v>
      </c>
      <c r="C10" s="4" t="s">
        <v>19</v>
      </c>
      <c r="D10" s="24"/>
      <c r="E10" s="198">
        <f>SUMIFS('tồn TP 24.02'!H:H,'tồn TP 24.02'!A:A,'Trình bày'!B10)</f>
        <v>1999804.7000000002</v>
      </c>
      <c r="F10" s="198">
        <f>IFERROR(_xlfn.XLOOKUP(B10,'tồn TP 24.02'!A:A,'tồn TP 24.02'!L:L),0)</f>
        <v>244200</v>
      </c>
      <c r="G10" s="198"/>
      <c r="H10" s="199"/>
      <c r="I10" s="46"/>
      <c r="J10" s="201"/>
      <c r="K10" s="200"/>
      <c r="L10" s="53"/>
      <c r="M10" s="181"/>
      <c r="N10" s="4"/>
      <c r="O10" s="4"/>
    </row>
    <row r="11" spans="1:15" outlineLevel="1">
      <c r="A11" s="9">
        <f t="shared" si="0"/>
        <v>5</v>
      </c>
      <c r="B11" s="4" t="s">
        <v>118</v>
      </c>
      <c r="C11" s="4" t="s">
        <v>3</v>
      </c>
      <c r="D11" s="24"/>
      <c r="E11" s="198">
        <f>SUMIFS('tồn TP 24.02'!H:H,'tồn TP 24.02'!A:A,'Trình bày'!B11)</f>
        <v>378162</v>
      </c>
      <c r="F11" s="198">
        <f>IFERROR(_xlfn.XLOOKUP(B11,'tồn TP 24.02'!A:A,'tồn TP 24.02'!L:L),0)</f>
        <v>0</v>
      </c>
      <c r="G11" s="202"/>
      <c r="H11" s="203"/>
      <c r="I11" s="46"/>
      <c r="J11" s="201"/>
      <c r="K11" s="200"/>
      <c r="L11" s="53"/>
      <c r="M11" s="186"/>
      <c r="N11" s="4" t="s">
        <v>268</v>
      </c>
      <c r="O11" s="4"/>
    </row>
    <row r="12" spans="1:15" hidden="1" outlineLevel="1">
      <c r="A12" s="9">
        <f t="shared" si="0"/>
        <v>6</v>
      </c>
      <c r="B12" s="4" t="s">
        <v>220</v>
      </c>
      <c r="C12" s="4" t="s">
        <v>106</v>
      </c>
      <c r="D12" s="24"/>
      <c r="E12" s="5">
        <f>SUMIFS('tồn TP 24.02'!H:H,'tồn TP 24.02'!A:A,'Trình bày'!B12)</f>
        <v>0</v>
      </c>
      <c r="F12" s="5">
        <f>IFERROR(_xlfn.XLOOKUP(B12,'tồn TP 24.02'!A:A,'tồn TP 24.02'!L:L),0)</f>
        <v>0</v>
      </c>
      <c r="G12" s="176"/>
      <c r="H12" s="174"/>
      <c r="I12" s="46">
        <f t="shared" ref="I12:I14" si="1">H12-G12</f>
        <v>0</v>
      </c>
      <c r="J12" s="188"/>
      <c r="K12" s="46">
        <f t="shared" ref="K12:K14" si="2">(H12-J12)</f>
        <v>0</v>
      </c>
      <c r="L12" s="53"/>
      <c r="M12" s="186"/>
      <c r="N12" s="4" t="s">
        <v>268</v>
      </c>
      <c r="O12" s="4"/>
    </row>
    <row r="13" spans="1:15" outlineLevel="1">
      <c r="A13" s="9">
        <f t="shared" si="0"/>
        <v>7</v>
      </c>
      <c r="B13" s="233" t="s">
        <v>221</v>
      </c>
      <c r="C13" s="4" t="s">
        <v>107</v>
      </c>
      <c r="D13" s="24"/>
      <c r="E13" s="234">
        <f>SUMIFS('tồn TP 24.02'!H:H,'tồn TP 24.02'!A:A,'Trình bày'!B13)</f>
        <v>34030</v>
      </c>
      <c r="F13" s="198">
        <f>IFERROR(_xlfn.XLOOKUP(B13,'tồn TP 24.02'!A:A,'tồn TP 24.02'!L:L),0)</f>
        <v>0</v>
      </c>
      <c r="G13" s="198"/>
      <c r="H13" s="199"/>
      <c r="I13" s="46"/>
      <c r="J13" s="201"/>
      <c r="K13" s="200"/>
      <c r="L13" s="53"/>
      <c r="M13" s="181"/>
      <c r="N13" s="4"/>
      <c r="O13" s="4"/>
    </row>
    <row r="14" spans="1:15" hidden="1" outlineLevel="1">
      <c r="A14" s="9">
        <f t="shared" si="0"/>
        <v>8</v>
      </c>
      <c r="B14" s="4" t="s">
        <v>275</v>
      </c>
      <c r="C14" s="4" t="s">
        <v>276</v>
      </c>
      <c r="D14" s="24"/>
      <c r="E14" s="5">
        <f>SUMIFS('tồn TP 24.02'!H:H,'tồn TP 24.02'!A:A,'Trình bày'!B14)</f>
        <v>0</v>
      </c>
      <c r="F14" s="5">
        <f>IFERROR(_xlfn.XLOOKUP(B14,'tồn TP 24.02'!A:A,'tồn TP 24.02'!L:L),0)</f>
        <v>0</v>
      </c>
      <c r="G14" s="5"/>
      <c r="H14" s="40"/>
      <c r="I14" s="46">
        <f t="shared" si="1"/>
        <v>0</v>
      </c>
      <c r="J14" s="189"/>
      <c r="K14" s="46">
        <f t="shared" si="2"/>
        <v>0</v>
      </c>
      <c r="L14" s="53"/>
      <c r="M14" s="181"/>
      <c r="N14" s="4"/>
      <c r="O14" s="4"/>
    </row>
    <row r="15" spans="1:15" outlineLevel="1">
      <c r="A15" s="9">
        <f t="shared" si="0"/>
        <v>9</v>
      </c>
      <c r="B15" s="4" t="s">
        <v>277</v>
      </c>
      <c r="C15" s="4" t="s">
        <v>278</v>
      </c>
      <c r="D15" s="24"/>
      <c r="E15" s="198">
        <f>SUMIFS('tồn TP 24.02'!H:H,'tồn TP 24.02'!A:A,'Trình bày'!B15)</f>
        <v>65840</v>
      </c>
      <c r="F15" s="198">
        <f>IFERROR(_xlfn.XLOOKUP(B15,'tồn TP 24.02'!A:A,'tồn TP 24.02'!L:L),0)</f>
        <v>0</v>
      </c>
      <c r="G15" s="202"/>
      <c r="H15" s="203"/>
      <c r="I15" s="200"/>
      <c r="J15" s="204"/>
      <c r="K15" s="200"/>
      <c r="L15" s="53"/>
      <c r="M15" s="186"/>
      <c r="N15" s="4" t="s">
        <v>268</v>
      </c>
      <c r="O15" s="4" t="s">
        <v>471</v>
      </c>
    </row>
    <row r="16" spans="1:15" outlineLevel="1">
      <c r="A16" s="9">
        <f t="shared" si="0"/>
        <v>10</v>
      </c>
      <c r="B16" s="233" t="s">
        <v>209</v>
      </c>
      <c r="C16" s="4" t="s">
        <v>95</v>
      </c>
      <c r="D16" s="24"/>
      <c r="E16" s="231">
        <f>SUMIFS('tồn TP 24.02'!H:H,'tồn TP 24.02'!A:A,'Trình bày'!B16)</f>
        <v>32405.5</v>
      </c>
      <c r="F16" s="198">
        <f>IFERROR(_xlfn.XLOOKUP(B16,'tồn TP 24.02'!A:A,'tồn TP 24.02'!L:L),0)</f>
        <v>6600</v>
      </c>
      <c r="G16" s="198"/>
      <c r="H16" s="199"/>
      <c r="I16" s="46"/>
      <c r="J16" s="205"/>
      <c r="K16" s="200"/>
      <c r="L16" s="53"/>
      <c r="M16" s="181"/>
      <c r="N16" s="4" t="s">
        <v>257</v>
      </c>
      <c r="O16" s="4" t="s">
        <v>471</v>
      </c>
    </row>
    <row r="17" spans="1:15" s="18" customFormat="1" ht="15.5">
      <c r="A17" s="12" t="s">
        <v>241</v>
      </c>
      <c r="B17" s="13" t="s">
        <v>242</v>
      </c>
      <c r="C17" s="13"/>
      <c r="D17" s="23"/>
      <c r="E17" s="206"/>
      <c r="F17" s="206"/>
      <c r="G17" s="206"/>
      <c r="H17" s="207"/>
      <c r="I17" s="208"/>
      <c r="J17" s="209"/>
      <c r="K17" s="208"/>
      <c r="L17" s="54"/>
      <c r="M17" s="182"/>
      <c r="N17" s="13"/>
      <c r="O17" s="13"/>
    </row>
    <row r="18" spans="1:15" outlineLevel="1">
      <c r="A18" s="9">
        <v>1</v>
      </c>
      <c r="B18" s="4" t="s">
        <v>148</v>
      </c>
      <c r="C18" s="4" t="s">
        <v>34</v>
      </c>
      <c r="D18" s="24"/>
      <c r="E18" s="198">
        <f>SUMIFS('tồn TP 24.02'!H:H,'tồn TP 24.02'!A:A,'Trình bày'!B18)</f>
        <v>1649997</v>
      </c>
      <c r="F18" s="198">
        <f>IFERROR(_xlfn.XLOOKUP(B18,'tồn TP 24.02'!A:A,'tồn TP 24.02'!L:L),0)</f>
        <v>0</v>
      </c>
      <c r="G18" s="198"/>
      <c r="H18" s="199"/>
      <c r="I18" s="46"/>
      <c r="J18" s="201"/>
      <c r="K18" s="200"/>
      <c r="L18" s="53"/>
      <c r="M18" s="181"/>
      <c r="N18" s="4" t="s">
        <v>269</v>
      </c>
      <c r="O18" s="4"/>
    </row>
    <row r="19" spans="1:15" outlineLevel="1">
      <c r="A19" s="9">
        <f>+A18+1</f>
        <v>2</v>
      </c>
      <c r="B19" s="4" t="s">
        <v>147</v>
      </c>
      <c r="C19" s="4" t="s">
        <v>33</v>
      </c>
      <c r="D19" s="24"/>
      <c r="E19" s="198">
        <f>SUMIFS('tồn TP 24.02'!H:H,'tồn TP 24.02'!A:A,'Trình bày'!B19)</f>
        <v>287099.5</v>
      </c>
      <c r="F19" s="198">
        <f>IFERROR(_xlfn.XLOOKUP(B19,'tồn TP 24.02'!A:A,'tồn TP 24.02'!L:L),0)</f>
        <v>11000</v>
      </c>
      <c r="G19" s="198"/>
      <c r="H19" s="199"/>
      <c r="I19" s="46"/>
      <c r="J19" s="201"/>
      <c r="K19" s="200"/>
      <c r="L19" s="53"/>
      <c r="M19" s="181"/>
      <c r="N19" s="4" t="s">
        <v>270</v>
      </c>
      <c r="O19" s="4"/>
    </row>
    <row r="20" spans="1:15" outlineLevel="1">
      <c r="A20" s="9">
        <f t="shared" ref="A20:A28" si="3">+A19+1</f>
        <v>3</v>
      </c>
      <c r="B20" s="4" t="s">
        <v>151</v>
      </c>
      <c r="C20" s="4" t="s">
        <v>37</v>
      </c>
      <c r="D20" s="24"/>
      <c r="E20" s="198">
        <f>SUMIFS('tồn TP 24.02'!H:H,'tồn TP 24.02'!A:A,'Trình bày'!B20)</f>
        <v>52800</v>
      </c>
      <c r="F20" s="198">
        <f>IFERROR(_xlfn.XLOOKUP(B20,'tồn TP 24.02'!A:A,'tồn TP 24.02'!L:L),0)</f>
        <v>0</v>
      </c>
      <c r="G20" s="198"/>
      <c r="H20" s="199"/>
      <c r="I20" s="46"/>
      <c r="J20" s="201"/>
      <c r="K20" s="200"/>
      <c r="L20" s="53"/>
      <c r="M20" s="181"/>
      <c r="N20" s="4" t="s">
        <v>271</v>
      </c>
      <c r="O20" s="4" t="s">
        <v>471</v>
      </c>
    </row>
    <row r="21" spans="1:15" hidden="1" outlineLevel="1">
      <c r="A21" s="9">
        <f t="shared" si="3"/>
        <v>4</v>
      </c>
      <c r="B21" s="4" t="s">
        <v>123</v>
      </c>
      <c r="C21" s="4" t="s">
        <v>9</v>
      </c>
      <c r="D21" s="24"/>
      <c r="E21" s="5">
        <f>SUMIFS('tồn TP 24.02'!H:H,'tồn TP 24.02'!A:A,'Trình bày'!B21)</f>
        <v>0</v>
      </c>
      <c r="F21" s="5">
        <f>IFERROR(_xlfn.XLOOKUP(B21,'tồn TP 24.02'!A:A,'tồn TP 24.02'!L:L),0)</f>
        <v>0</v>
      </c>
      <c r="G21" s="5"/>
      <c r="H21" s="40"/>
      <c r="I21" s="46">
        <f t="shared" ref="I21:I28" si="4">H21-G21</f>
        <v>0</v>
      </c>
      <c r="J21" s="42"/>
      <c r="K21" s="46">
        <f t="shared" ref="K21:K22" si="5">(H21-J21)</f>
        <v>0</v>
      </c>
      <c r="L21" s="53"/>
      <c r="M21" s="181"/>
      <c r="N21" s="4"/>
      <c r="O21" s="4" t="s">
        <v>471</v>
      </c>
    </row>
    <row r="22" spans="1:15" hidden="1" outlineLevel="1">
      <c r="A22" s="9">
        <f t="shared" si="3"/>
        <v>5</v>
      </c>
      <c r="B22" s="4" t="s">
        <v>132</v>
      </c>
      <c r="C22" s="4" t="s">
        <v>18</v>
      </c>
      <c r="D22" s="24"/>
      <c r="E22" s="5">
        <f>SUMIFS('tồn TP 24.02'!H:H,'tồn TP 24.02'!A:A,'Trình bày'!B22)</f>
        <v>0</v>
      </c>
      <c r="F22" s="5">
        <f>IFERROR(_xlfn.XLOOKUP(B22,'tồn TP 24.02'!A:A,'tồn TP 24.02'!L:L),0)</f>
        <v>0</v>
      </c>
      <c r="G22" s="5"/>
      <c r="H22" s="40"/>
      <c r="I22" s="46">
        <f t="shared" si="4"/>
        <v>0</v>
      </c>
      <c r="J22" s="42"/>
      <c r="K22" s="46">
        <f t="shared" si="5"/>
        <v>0</v>
      </c>
      <c r="L22" s="53"/>
      <c r="M22" s="181"/>
      <c r="N22" s="4"/>
      <c r="O22" s="4"/>
    </row>
    <row r="23" spans="1:15" outlineLevel="1">
      <c r="A23" s="9">
        <f t="shared" si="3"/>
        <v>6</v>
      </c>
      <c r="B23" s="4" t="s">
        <v>202</v>
      </c>
      <c r="C23" s="4" t="s">
        <v>88</v>
      </c>
      <c r="D23" s="24"/>
      <c r="E23" s="198">
        <f>SUMIFS('tồn TP 24.02'!H:H,'tồn TP 24.02'!A:A,'Trình bày'!B23)</f>
        <v>73650</v>
      </c>
      <c r="F23" s="198">
        <f>IFERROR(_xlfn.XLOOKUP(B23,'tồn TP 24.02'!A:A,'tồn TP 24.02'!L:L),0)</f>
        <v>0</v>
      </c>
      <c r="G23" s="198"/>
      <c r="H23" s="199"/>
      <c r="I23" s="46"/>
      <c r="J23" s="201"/>
      <c r="K23" s="200"/>
      <c r="L23" s="53"/>
      <c r="M23" s="181"/>
      <c r="N23" s="4" t="s">
        <v>271</v>
      </c>
      <c r="O23" s="4" t="s">
        <v>471</v>
      </c>
    </row>
    <row r="24" spans="1:15" hidden="1" outlineLevel="1">
      <c r="A24" s="9">
        <f t="shared" si="3"/>
        <v>7</v>
      </c>
      <c r="B24" s="4" t="s">
        <v>122</v>
      </c>
      <c r="C24" s="4" t="s">
        <v>8</v>
      </c>
      <c r="D24" s="24"/>
      <c r="E24" s="5">
        <f>SUMIFS('tồn TP 24.02'!H:H,'tồn TP 24.02'!A:A,'Trình bày'!B24)</f>
        <v>0</v>
      </c>
      <c r="F24" s="5">
        <f>IFERROR(_xlfn.XLOOKUP(B24,'tồn TP 24.02'!A:A,'tồn TP 24.02'!L:L),0)</f>
        <v>0</v>
      </c>
      <c r="G24" s="5"/>
      <c r="H24" s="40"/>
      <c r="I24" s="46">
        <f t="shared" si="4"/>
        <v>0</v>
      </c>
      <c r="J24" s="42"/>
      <c r="K24" s="46">
        <f t="shared" ref="K24" si="6">(H24-J24)</f>
        <v>0</v>
      </c>
      <c r="L24" s="53"/>
      <c r="M24" s="181"/>
      <c r="N24" s="4"/>
      <c r="O24" s="4" t="s">
        <v>471</v>
      </c>
    </row>
    <row r="25" spans="1:15" outlineLevel="1">
      <c r="A25" s="9">
        <f t="shared" si="3"/>
        <v>8</v>
      </c>
      <c r="B25" s="233" t="s">
        <v>146</v>
      </c>
      <c r="C25" s="4" t="s">
        <v>32</v>
      </c>
      <c r="D25" s="24"/>
      <c r="E25" s="198">
        <f>SUMIFS('tồn TP 24.02'!H:H,'tồn TP 24.02'!A:A,'Trình bày'!B25)</f>
        <v>800</v>
      </c>
      <c r="F25" s="198">
        <f>IFERROR(_xlfn.XLOOKUP(B25,'tồn TP 24.02'!A:A,'tồn TP 24.02'!L:L),0)</f>
        <v>0</v>
      </c>
      <c r="G25" s="198"/>
      <c r="H25" s="199"/>
      <c r="I25" s="46"/>
      <c r="J25" s="201"/>
      <c r="K25" s="200"/>
      <c r="L25" s="53"/>
      <c r="M25" s="181"/>
      <c r="N25" s="4" t="s">
        <v>272</v>
      </c>
      <c r="O25" s="4" t="s">
        <v>471</v>
      </c>
    </row>
    <row r="26" spans="1:15" hidden="1" outlineLevel="1">
      <c r="A26" s="9">
        <f t="shared" si="3"/>
        <v>9</v>
      </c>
      <c r="B26" s="4" t="s">
        <v>120</v>
      </c>
      <c r="C26" s="4" t="s">
        <v>6</v>
      </c>
      <c r="D26" s="24"/>
      <c r="E26" s="5">
        <f>SUMIFS('tồn TP 24.02'!H:H,'tồn TP 24.02'!A:A,'Trình bày'!B26)</f>
        <v>0</v>
      </c>
      <c r="F26" s="5">
        <f>IFERROR(_xlfn.XLOOKUP(B26,'tồn TP 24.02'!A:A,'tồn TP 24.02'!L:L),0)</f>
        <v>0</v>
      </c>
      <c r="G26" s="5"/>
      <c r="H26" s="40"/>
      <c r="I26" s="46">
        <f t="shared" si="4"/>
        <v>0</v>
      </c>
      <c r="J26" s="42"/>
      <c r="K26" s="46">
        <f t="shared" ref="K26:K28" si="7">(H26-J26)</f>
        <v>0</v>
      </c>
      <c r="L26" s="53"/>
      <c r="M26" s="181"/>
      <c r="N26" s="4"/>
      <c r="O26" s="4"/>
    </row>
    <row r="27" spans="1:15" hidden="1" outlineLevel="1">
      <c r="A27" s="9">
        <f t="shared" si="3"/>
        <v>10</v>
      </c>
      <c r="B27" s="4" t="s">
        <v>119</v>
      </c>
      <c r="C27" s="4" t="s">
        <v>5</v>
      </c>
      <c r="D27" s="24"/>
      <c r="E27" s="5">
        <f>SUMIFS('tồn TP 24.02'!H:H,'tồn TP 24.02'!A:A,'Trình bày'!B27)</f>
        <v>0</v>
      </c>
      <c r="F27" s="5">
        <f>IFERROR(_xlfn.XLOOKUP(B27,'tồn TP 24.02'!A:A,'tồn TP 24.02'!L:L),0)</f>
        <v>0</v>
      </c>
      <c r="G27" s="5"/>
      <c r="H27" s="40"/>
      <c r="I27" s="46">
        <f t="shared" si="4"/>
        <v>0</v>
      </c>
      <c r="J27" s="42"/>
      <c r="K27" s="46">
        <f t="shared" si="7"/>
        <v>0</v>
      </c>
      <c r="L27" s="53"/>
      <c r="M27" s="181"/>
      <c r="N27" s="4"/>
      <c r="O27" s="4"/>
    </row>
    <row r="28" spans="1:15" hidden="1" outlineLevel="1">
      <c r="A28" s="9">
        <f t="shared" si="3"/>
        <v>11</v>
      </c>
      <c r="B28" s="4" t="s">
        <v>206</v>
      </c>
      <c r="C28" s="4" t="s">
        <v>92</v>
      </c>
      <c r="D28" s="24"/>
      <c r="E28" s="5">
        <f>SUMIFS('tồn TP 24.02'!H:H,'tồn TP 24.02'!A:A,'Trình bày'!B28)</f>
        <v>0</v>
      </c>
      <c r="F28" s="5">
        <f>IFERROR(_xlfn.XLOOKUP(B28,'tồn TP 24.02'!A:A,'tồn TP 24.02'!L:L),0)</f>
        <v>0</v>
      </c>
      <c r="G28" s="5"/>
      <c r="H28" s="40"/>
      <c r="I28" s="46">
        <f t="shared" si="4"/>
        <v>0</v>
      </c>
      <c r="J28" s="41"/>
      <c r="K28" s="46">
        <f t="shared" si="7"/>
        <v>0</v>
      </c>
      <c r="L28" s="53"/>
      <c r="M28" s="181"/>
      <c r="N28" s="4"/>
      <c r="O28" s="4"/>
    </row>
    <row r="29" spans="1:15" s="18" customFormat="1" ht="15.5">
      <c r="A29" s="12" t="s">
        <v>243</v>
      </c>
      <c r="B29" s="13" t="s">
        <v>443</v>
      </c>
      <c r="C29" s="13"/>
      <c r="D29" s="23"/>
      <c r="E29" s="206"/>
      <c r="F29" s="206"/>
      <c r="G29" s="206"/>
      <c r="H29" s="207"/>
      <c r="I29" s="208"/>
      <c r="J29" s="209"/>
      <c r="K29" s="208"/>
      <c r="L29" s="54"/>
      <c r="M29" s="182"/>
      <c r="N29" s="13"/>
      <c r="O29" s="13"/>
    </row>
    <row r="30" spans="1:15" outlineLevel="1">
      <c r="A30" s="9">
        <v>1</v>
      </c>
      <c r="B30" s="4" t="s">
        <v>201</v>
      </c>
      <c r="C30" s="4" t="s">
        <v>87</v>
      </c>
      <c r="D30" s="24"/>
      <c r="E30" s="198">
        <f>SUMIFS('tồn TP 24.02'!H:H,'tồn TP 24.02'!A:A,'Trình bày'!B30)</f>
        <v>16099</v>
      </c>
      <c r="F30" s="198">
        <f>IFERROR(_xlfn.XLOOKUP(B30,'tồn TP 24.02'!A:A,'tồn TP 24.02'!L:L),0)</f>
        <v>0</v>
      </c>
      <c r="G30" s="198"/>
      <c r="H30" s="199"/>
      <c r="I30" s="46"/>
      <c r="J30" s="201"/>
      <c r="K30" s="200"/>
      <c r="L30" s="53"/>
      <c r="M30" s="181"/>
      <c r="N30" s="4"/>
      <c r="O30" s="4" t="s">
        <v>246</v>
      </c>
    </row>
    <row r="31" spans="1:15" outlineLevel="1">
      <c r="A31" s="9">
        <f>A30+1</f>
        <v>2</v>
      </c>
      <c r="B31" s="4" t="s">
        <v>182</v>
      </c>
      <c r="C31" s="4" t="s">
        <v>68</v>
      </c>
      <c r="D31" s="24"/>
      <c r="E31" s="198">
        <f>SUMIFS('tồn TP 24.02'!H:H,'tồn TP 24.02'!A:A,'Trình bày'!B31)</f>
        <v>570335.69999999995</v>
      </c>
      <c r="F31" s="198">
        <f>IFERROR(_xlfn.XLOOKUP(B31,'tồn TP 24.02'!A:A,'tồn TP 24.02'!L:L),0)</f>
        <v>23100</v>
      </c>
      <c r="G31" s="198"/>
      <c r="H31" s="199"/>
      <c r="I31" s="46"/>
      <c r="J31" s="201"/>
      <c r="K31" s="200"/>
      <c r="L31" s="53"/>
      <c r="M31" s="181"/>
      <c r="N31" s="4"/>
      <c r="O31" s="4" t="s">
        <v>250</v>
      </c>
    </row>
    <row r="32" spans="1:15" outlineLevel="1">
      <c r="A32" s="9">
        <v>2</v>
      </c>
      <c r="B32" s="4" t="s">
        <v>150</v>
      </c>
      <c r="C32" s="4" t="s">
        <v>36</v>
      </c>
      <c r="D32" s="24"/>
      <c r="E32" s="198">
        <f>SUMIFS('tồn TP 24.02'!H:H,'tồn TP 24.02'!A:A,'Trình bày'!B32)</f>
        <v>4514.7</v>
      </c>
      <c r="F32" s="198">
        <f>IFERROR(_xlfn.XLOOKUP(B32,'tồn TP 24.02'!A:A,'tồn TP 24.02'!L:L),0)</f>
        <v>0</v>
      </c>
      <c r="G32" s="198"/>
      <c r="H32" s="199"/>
      <c r="I32" s="46"/>
      <c r="J32" s="201"/>
      <c r="K32" s="200"/>
      <c r="L32" s="53"/>
      <c r="M32" s="181"/>
      <c r="N32" s="4"/>
      <c r="O32" s="4" t="s">
        <v>247</v>
      </c>
    </row>
    <row r="33" spans="1:15" outlineLevel="1">
      <c r="A33" s="9">
        <f t="shared" ref="A33" si="8">A32+1</f>
        <v>3</v>
      </c>
      <c r="B33" s="4" t="s">
        <v>152</v>
      </c>
      <c r="C33" s="4" t="s">
        <v>38</v>
      </c>
      <c r="D33" s="24"/>
      <c r="E33" s="198">
        <f>SUMIFS('tồn TP 24.02'!H:H,'tồn TP 24.02'!A:A,'Trình bày'!B33)</f>
        <v>171597.5</v>
      </c>
      <c r="F33" s="198">
        <f>IFERROR(_xlfn.XLOOKUP(B33,'tồn TP 24.02'!A:A,'tồn TP 24.02'!L:L),0)</f>
        <v>0</v>
      </c>
      <c r="G33" s="198"/>
      <c r="H33" s="199"/>
      <c r="I33" s="46"/>
      <c r="J33" s="201"/>
      <c r="K33" s="200"/>
      <c r="L33" s="53"/>
      <c r="M33" s="181"/>
      <c r="N33" s="4"/>
      <c r="O33" s="4" t="s">
        <v>251</v>
      </c>
    </row>
    <row r="34" spans="1:15" outlineLevel="1">
      <c r="A34" s="9">
        <v>3</v>
      </c>
      <c r="B34" s="4" t="s">
        <v>149</v>
      </c>
      <c r="C34" s="4" t="s">
        <v>35</v>
      </c>
      <c r="D34" s="24"/>
      <c r="E34" s="198">
        <f>SUMIFS('tồn TP 24.02'!H:H,'tồn TP 24.02'!A:A,'Trình bày'!B34)</f>
        <v>68711.600000000006</v>
      </c>
      <c r="F34" s="198">
        <f>IFERROR(_xlfn.XLOOKUP(B34,'tồn TP 24.02'!A:A,'tồn TP 24.02'!L:L),0)</f>
        <v>-17600</v>
      </c>
      <c r="G34" s="198"/>
      <c r="H34" s="199"/>
      <c r="I34" s="46"/>
      <c r="J34" s="201"/>
      <c r="K34" s="200"/>
      <c r="L34" s="53"/>
      <c r="M34" s="181"/>
      <c r="N34" s="4"/>
      <c r="O34" s="4" t="s">
        <v>248</v>
      </c>
    </row>
    <row r="35" spans="1:15" outlineLevel="1">
      <c r="A35" s="9">
        <f t="shared" ref="A35" si="9">A34+1</f>
        <v>4</v>
      </c>
      <c r="B35" s="4" t="s">
        <v>154</v>
      </c>
      <c r="C35" s="4" t="s">
        <v>40</v>
      </c>
      <c r="D35" s="24"/>
      <c r="E35" s="198">
        <f>SUMIFS('tồn TP 24.02'!H:H,'tồn TP 24.02'!A:A,'Trình bày'!B35)</f>
        <v>13179.6</v>
      </c>
      <c r="F35" s="198">
        <f>IFERROR(_xlfn.XLOOKUP(B35,'tồn TP 24.02'!A:A,'tồn TP 24.02'!L:L),0)</f>
        <v>0</v>
      </c>
      <c r="G35" s="198"/>
      <c r="H35" s="199"/>
      <c r="I35" s="46"/>
      <c r="J35" s="201"/>
      <c r="K35" s="200"/>
      <c r="L35" s="53"/>
      <c r="M35" s="181"/>
      <c r="N35" s="4"/>
      <c r="O35" s="4" t="s">
        <v>248</v>
      </c>
    </row>
    <row r="36" spans="1:15" outlineLevel="1">
      <c r="A36" s="9">
        <v>4</v>
      </c>
      <c r="B36" s="4" t="s">
        <v>200</v>
      </c>
      <c r="C36" s="4" t="s">
        <v>86</v>
      </c>
      <c r="D36" s="24"/>
      <c r="E36" s="198">
        <f>SUMIFS('tồn TP 24.02'!H:H,'tồn TP 24.02'!A:A,'Trình bày'!B36)</f>
        <v>90593</v>
      </c>
      <c r="F36" s="198">
        <f>IFERROR(_xlfn.XLOOKUP(B36,'tồn TP 24.02'!A:A,'tồn TP 24.02'!L:L),0)</f>
        <v>0</v>
      </c>
      <c r="G36" s="198"/>
      <c r="H36" s="199"/>
      <c r="I36" s="46"/>
      <c r="J36" s="201"/>
      <c r="K36" s="200"/>
      <c r="L36" s="53"/>
      <c r="M36" s="181"/>
      <c r="N36" s="4"/>
      <c r="O36" s="4" t="s">
        <v>249</v>
      </c>
    </row>
    <row r="37" spans="1:15" s="19" customFormat="1" outlineLevel="1">
      <c r="A37" s="9">
        <f t="shared" ref="A37" si="10">A36+1</f>
        <v>5</v>
      </c>
      <c r="B37" s="8" t="s">
        <v>177</v>
      </c>
      <c r="C37" s="8" t="s">
        <v>63</v>
      </c>
      <c r="D37" s="25"/>
      <c r="E37" s="210">
        <f>SUMIFS('tồn TP 24.02'!H:H,'tồn TP 24.02'!A:A,'Trình bày'!B37)</f>
        <v>37399</v>
      </c>
      <c r="F37" s="210">
        <f>IFERROR(_xlfn.XLOOKUP(B37,'tồn TP 24.02'!A:A,'tồn TP 24.02'!L:L),0)</f>
        <v>0</v>
      </c>
      <c r="G37" s="210"/>
      <c r="H37" s="199"/>
      <c r="I37" s="46"/>
      <c r="J37" s="211"/>
      <c r="K37" s="200"/>
      <c r="L37" s="53"/>
      <c r="M37" s="181"/>
      <c r="N37" s="8"/>
      <c r="O37" s="8" t="s">
        <v>252</v>
      </c>
    </row>
    <row r="38" spans="1:15" s="18" customFormat="1" ht="15.5">
      <c r="A38" s="14" t="s">
        <v>258</v>
      </c>
      <c r="B38" s="15" t="s">
        <v>266</v>
      </c>
      <c r="C38" s="15"/>
      <c r="D38" s="22"/>
      <c r="E38" s="212"/>
      <c r="F38" s="212"/>
      <c r="G38" s="212"/>
      <c r="H38" s="213"/>
      <c r="I38" s="214"/>
      <c r="J38" s="215"/>
      <c r="K38" s="214"/>
      <c r="L38" s="55"/>
      <c r="M38" s="183"/>
      <c r="N38" s="15"/>
      <c r="O38" s="15"/>
    </row>
    <row r="39" spans="1:15" s="18" customFormat="1" ht="15.5">
      <c r="A39" s="12" t="s">
        <v>239</v>
      </c>
      <c r="B39" s="13" t="s">
        <v>240</v>
      </c>
      <c r="C39" s="13"/>
      <c r="D39" s="23"/>
      <c r="E39" s="206"/>
      <c r="F39" s="206"/>
      <c r="G39" s="206"/>
      <c r="H39" s="207"/>
      <c r="I39" s="208"/>
      <c r="J39" s="209"/>
      <c r="K39" s="208"/>
      <c r="L39" s="54"/>
      <c r="M39" s="182"/>
      <c r="N39" s="13"/>
      <c r="O39" s="13"/>
    </row>
    <row r="40" spans="1:15" outlineLevel="1">
      <c r="A40" s="9">
        <v>1</v>
      </c>
      <c r="B40" s="4" t="s">
        <v>126</v>
      </c>
      <c r="C40" s="4" t="s">
        <v>12</v>
      </c>
      <c r="D40" s="24" t="s">
        <v>230</v>
      </c>
      <c r="E40" s="198">
        <f>SUMIFS('tồn TP 24.02'!H:H,'tồn TP 24.02'!A:A,'Trình bày'!B40)</f>
        <v>404076.5</v>
      </c>
      <c r="F40" s="198">
        <f>IFERROR(_xlfn.XLOOKUP(B40,'tồn TP 24.02'!A:A,'tồn TP 24.02'!L:L),0)</f>
        <v>211750</v>
      </c>
      <c r="G40" s="198"/>
      <c r="H40" s="199"/>
      <c r="I40" s="46"/>
      <c r="J40" s="201"/>
      <c r="K40" s="200"/>
      <c r="L40" s="53"/>
      <c r="M40" s="181"/>
      <c r="N40" s="4" t="s">
        <v>601</v>
      </c>
      <c r="O40" s="4"/>
    </row>
    <row r="41" spans="1:15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198">
        <f>SUMIFS('tồn TP 24.02'!H:H,'tồn TP 24.02'!A:A,'Trình bày'!B41)</f>
        <v>40547</v>
      </c>
      <c r="F41" s="198">
        <f>IFERROR(_xlfn.XLOOKUP(B41,'tồn TP 24.02'!A:A,'tồn TP 24.02'!L:L),0)</f>
        <v>0</v>
      </c>
      <c r="G41" s="198"/>
      <c r="H41" s="199"/>
      <c r="I41" s="46"/>
      <c r="J41" s="201"/>
      <c r="K41" s="200"/>
      <c r="L41" s="53"/>
      <c r="M41" s="181"/>
      <c r="N41" s="4" t="s">
        <v>601</v>
      </c>
      <c r="O41" s="4"/>
    </row>
    <row r="42" spans="1:15" outlineLevel="1">
      <c r="A42" s="9">
        <f t="shared" ref="A42:A46" si="11">+A41+1</f>
        <v>3</v>
      </c>
      <c r="B42" s="4" t="s">
        <v>145</v>
      </c>
      <c r="C42" s="4" t="s">
        <v>31</v>
      </c>
      <c r="D42" s="24" t="s">
        <v>230</v>
      </c>
      <c r="E42" s="198">
        <f>SUMIFS('tồn TP 24.02'!H:H,'tồn TP 24.02'!A:A,'Trình bày'!B42)</f>
        <v>326364.40000000002</v>
      </c>
      <c r="F42" s="198">
        <f>IFERROR(_xlfn.XLOOKUP(B42,'tồn TP 24.02'!A:A,'tồn TP 24.02'!L:L),0)</f>
        <v>44500</v>
      </c>
      <c r="G42" s="198"/>
      <c r="H42" s="199"/>
      <c r="I42" s="46"/>
      <c r="J42" s="201"/>
      <c r="K42" s="200"/>
      <c r="L42" s="53"/>
      <c r="M42" s="181"/>
      <c r="N42" s="4"/>
      <c r="O42" s="4"/>
    </row>
    <row r="43" spans="1:15" outlineLevel="1">
      <c r="A43" s="9">
        <f t="shared" si="11"/>
        <v>4</v>
      </c>
      <c r="B43" s="4" t="s">
        <v>280</v>
      </c>
      <c r="C43" s="4" t="s">
        <v>281</v>
      </c>
      <c r="D43" s="24" t="s">
        <v>230</v>
      </c>
      <c r="E43" s="198">
        <f>SUMIFS('tồn TP 24.02'!H:H,'tồn TP 24.02'!A:A,'Trình bày'!B43)</f>
        <v>1749</v>
      </c>
      <c r="F43" s="198">
        <f>IFERROR(_xlfn.XLOOKUP(B43,'tồn TP 24.02'!A:A,'tồn TP 24.02'!L:L),0)</f>
        <v>0</v>
      </c>
      <c r="G43" s="198"/>
      <c r="H43" s="199"/>
      <c r="I43" s="46"/>
      <c r="J43" s="201"/>
      <c r="K43" s="200"/>
      <c r="L43" s="53"/>
      <c r="M43" s="181"/>
      <c r="N43" s="4"/>
      <c r="O43" s="4"/>
    </row>
    <row r="44" spans="1:15" outlineLevel="1">
      <c r="A44" s="9">
        <f t="shared" si="11"/>
        <v>5</v>
      </c>
      <c r="B44" s="4" t="s">
        <v>207</v>
      </c>
      <c r="C44" s="4" t="s">
        <v>93</v>
      </c>
      <c r="D44" s="24" t="s">
        <v>230</v>
      </c>
      <c r="E44" s="198">
        <f>SUMIFS('tồn TP 24.02'!H:H,'tồn TP 24.02'!A:A,'Trình bày'!B44)</f>
        <v>377595</v>
      </c>
      <c r="F44" s="198">
        <f>IFERROR(_xlfn.XLOOKUP(B44,'tồn TP 24.02'!A:A,'tồn TP 24.02'!L:L),0)</f>
        <v>11000</v>
      </c>
      <c r="G44" s="198"/>
      <c r="H44" s="199"/>
      <c r="I44" s="46"/>
      <c r="J44" s="201"/>
      <c r="K44" s="200"/>
      <c r="L44" s="53"/>
      <c r="M44" s="181"/>
      <c r="N44" s="4" t="s">
        <v>601</v>
      </c>
      <c r="O44" s="4"/>
    </row>
    <row r="45" spans="1:15" outlineLevel="1">
      <c r="A45" s="9">
        <f t="shared" si="11"/>
        <v>6</v>
      </c>
      <c r="B45" s="4" t="s">
        <v>172</v>
      </c>
      <c r="C45" s="4" t="s">
        <v>58</v>
      </c>
      <c r="D45" s="24" t="s">
        <v>225</v>
      </c>
      <c r="E45" s="198">
        <f>SUMIFS('tồn TP 24.02'!H:H,'tồn TP 24.02'!A:A,'Trình bày'!B45)</f>
        <v>93557.5</v>
      </c>
      <c r="F45" s="198">
        <f>IFERROR(_xlfn.XLOOKUP(B45,'tồn TP 24.02'!A:A,'tồn TP 24.02'!L:L),0)</f>
        <v>60500</v>
      </c>
      <c r="G45" s="198"/>
      <c r="H45" s="199"/>
      <c r="I45" s="46"/>
      <c r="J45" s="201"/>
      <c r="K45" s="200"/>
      <c r="L45" s="53"/>
      <c r="M45" s="181"/>
      <c r="N45" s="4" t="s">
        <v>601</v>
      </c>
      <c r="O45" s="4"/>
    </row>
    <row r="46" spans="1:15" outlineLevel="1">
      <c r="A46" s="9">
        <f t="shared" si="11"/>
        <v>7</v>
      </c>
      <c r="B46" s="4" t="s">
        <v>218</v>
      </c>
      <c r="C46" s="4" t="s">
        <v>104</v>
      </c>
      <c r="D46" s="24" t="s">
        <v>225</v>
      </c>
      <c r="E46" s="198">
        <f>SUMIFS('tồn TP 24.02'!H:H,'tồn TP 24.02'!A:A,'Trình bày'!B46)</f>
        <v>15628</v>
      </c>
      <c r="F46" s="198">
        <f>IFERROR(_xlfn.XLOOKUP(B46,'tồn TP 24.02'!A:A,'tồn TP 24.02'!L:L),0)</f>
        <v>0</v>
      </c>
      <c r="G46" s="198"/>
      <c r="H46" s="199"/>
      <c r="I46" s="46"/>
      <c r="J46" s="201"/>
      <c r="K46" s="200"/>
      <c r="L46" s="53"/>
      <c r="M46" s="181"/>
      <c r="N46" s="4"/>
      <c r="O46" s="4"/>
    </row>
    <row r="47" spans="1:15" s="18" customFormat="1" ht="15.5">
      <c r="A47" s="12" t="s">
        <v>241</v>
      </c>
      <c r="B47" s="13" t="s">
        <v>242</v>
      </c>
      <c r="C47" s="13"/>
      <c r="D47" s="23"/>
      <c r="E47" s="206"/>
      <c r="F47" s="206"/>
      <c r="G47" s="206"/>
      <c r="H47" s="207"/>
      <c r="I47" s="208"/>
      <c r="J47" s="209"/>
      <c r="K47" s="208"/>
      <c r="L47" s="54"/>
      <c r="M47" s="182"/>
      <c r="N47" s="13"/>
      <c r="O47" s="13"/>
    </row>
    <row r="48" spans="1:15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198">
        <f>SUMIFS('tồn TP 24.02'!H:H,'tồn TP 24.02'!A:A,'Trình bày'!B48)</f>
        <v>2750</v>
      </c>
      <c r="F48" s="198">
        <f>IFERROR(_xlfn.XLOOKUP(B48,'tồn TP 24.02'!A:A,'tồn TP 24.02'!L:L),0)</f>
        <v>0</v>
      </c>
      <c r="G48" s="198"/>
      <c r="H48" s="199"/>
      <c r="I48" s="46"/>
      <c r="J48" s="201"/>
      <c r="K48" s="200"/>
      <c r="L48" s="53"/>
      <c r="M48" s="181"/>
      <c r="N48" s="4" t="s">
        <v>284</v>
      </c>
      <c r="O48" s="4" t="s">
        <v>285</v>
      </c>
    </row>
    <row r="49" spans="1:15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198">
        <f>SUMIFS('tồn TP 24.02'!H:H,'tồn TP 24.02'!A:A,'Trình bày'!B49)</f>
        <v>3575</v>
      </c>
      <c r="F49" s="198">
        <f>IFERROR(_xlfn.XLOOKUP(B49,'tồn TP 24.02'!A:A,'tồn TP 24.02'!L:L),0)</f>
        <v>0</v>
      </c>
      <c r="G49" s="198"/>
      <c r="H49" s="199"/>
      <c r="I49" s="46"/>
      <c r="J49" s="201"/>
      <c r="K49" s="200"/>
      <c r="L49" s="53"/>
      <c r="M49" s="181"/>
      <c r="N49" s="4" t="s">
        <v>478</v>
      </c>
      <c r="O49" s="4"/>
    </row>
    <row r="50" spans="1:15" outlineLevel="1">
      <c r="A50" s="9">
        <f t="shared" ref="A50:A56" si="12">A49+1</f>
        <v>3</v>
      </c>
      <c r="B50" s="4" t="s">
        <v>174</v>
      </c>
      <c r="C50" s="4" t="s">
        <v>60</v>
      </c>
      <c r="D50" s="24" t="s">
        <v>232</v>
      </c>
      <c r="E50" s="198">
        <f>SUMIFS('tồn TP 24.02'!H:H,'tồn TP 24.02'!A:A,'Trình bày'!B50)</f>
        <v>18774</v>
      </c>
      <c r="F50" s="198">
        <f>IFERROR(_xlfn.XLOOKUP(B50,'tồn TP 24.02'!A:A,'tồn TP 24.02'!L:L),0)</f>
        <v>0</v>
      </c>
      <c r="G50" s="198"/>
      <c r="H50" s="199"/>
      <c r="I50" s="46"/>
      <c r="J50" s="201"/>
      <c r="K50" s="200"/>
      <c r="L50" s="53"/>
      <c r="M50" s="181"/>
      <c r="N50" s="4" t="s">
        <v>601</v>
      </c>
      <c r="O50" s="4"/>
    </row>
    <row r="51" spans="1:15" outlineLevel="1">
      <c r="A51" s="9">
        <f t="shared" si="12"/>
        <v>4</v>
      </c>
      <c r="B51" s="4" t="s">
        <v>128</v>
      </c>
      <c r="C51" s="4" t="s">
        <v>14</v>
      </c>
      <c r="D51" s="24" t="s">
        <v>232</v>
      </c>
      <c r="E51" s="198">
        <f>SUMIFS('tồn TP 24.02'!H:H,'tồn TP 24.02'!A:A,'Trình bày'!B51)</f>
        <v>13300</v>
      </c>
      <c r="F51" s="198">
        <f>IFERROR(_xlfn.XLOOKUP(B51,'tồn TP 24.02'!A:A,'tồn TP 24.02'!L:L),0)</f>
        <v>0</v>
      </c>
      <c r="G51" s="198"/>
      <c r="H51" s="199"/>
      <c r="I51" s="46"/>
      <c r="J51" s="201"/>
      <c r="K51" s="200"/>
      <c r="L51" s="53"/>
      <c r="M51" s="181"/>
      <c r="N51" s="4" t="s">
        <v>284</v>
      </c>
      <c r="O51" s="4"/>
    </row>
    <row r="52" spans="1:15" outlineLevel="1">
      <c r="A52" s="9">
        <f t="shared" si="12"/>
        <v>5</v>
      </c>
      <c r="B52" s="4" t="s">
        <v>124</v>
      </c>
      <c r="C52" s="4" t="s">
        <v>10</v>
      </c>
      <c r="D52" s="24"/>
      <c r="E52" s="198">
        <f>SUMIFS('tồn TP 24.02'!H:H,'tồn TP 24.02'!A:A,'Trình bày'!B52)</f>
        <v>11303.9</v>
      </c>
      <c r="F52" s="198">
        <f>IFERROR(_xlfn.XLOOKUP(B52,'tồn TP 24.02'!A:A,'tồn TP 24.02'!L:L),0)</f>
        <v>0</v>
      </c>
      <c r="G52" s="198"/>
      <c r="H52" s="199"/>
      <c r="I52" s="46"/>
      <c r="J52" s="201"/>
      <c r="K52" s="200"/>
      <c r="L52" s="53"/>
      <c r="M52" s="181"/>
      <c r="N52" s="4"/>
      <c r="O52" s="4"/>
    </row>
    <row r="53" spans="1:15" outlineLevel="1">
      <c r="A53" s="9">
        <f t="shared" si="12"/>
        <v>6</v>
      </c>
      <c r="B53" s="4" t="s">
        <v>125</v>
      </c>
      <c r="C53" s="4" t="s">
        <v>11</v>
      </c>
      <c r="D53" s="24" t="s">
        <v>225</v>
      </c>
      <c r="E53" s="198">
        <f>SUMIFS('tồn TP 24.02'!H:H,'tồn TP 24.02'!A:A,'Trình bày'!B53)</f>
        <v>350</v>
      </c>
      <c r="F53" s="198">
        <f>IFERROR(_xlfn.XLOOKUP(B53,'tồn TP 24.02'!A:A,'tồn TP 24.02'!L:L),0)</f>
        <v>0</v>
      </c>
      <c r="G53" s="198"/>
      <c r="H53" s="199"/>
      <c r="I53" s="46"/>
      <c r="J53" s="201"/>
      <c r="K53" s="200"/>
      <c r="L53" s="53"/>
      <c r="M53" s="181"/>
      <c r="N53" s="4"/>
      <c r="O53" s="4"/>
    </row>
    <row r="54" spans="1:15" s="61" customFormat="1" hidden="1" outlineLevel="1">
      <c r="A54" s="57">
        <f t="shared" si="12"/>
        <v>7</v>
      </c>
      <c r="B54" s="58" t="s">
        <v>180</v>
      </c>
      <c r="C54" s="58" t="s">
        <v>66</v>
      </c>
      <c r="D54" s="59" t="s">
        <v>230</v>
      </c>
      <c r="E54" s="60">
        <f>SUMIFS('tồn TP 24.02'!H:H,'tồn TP 24.02'!A:A,'Trình bày'!B54)</f>
        <v>0</v>
      </c>
      <c r="F54" s="60">
        <f>IFERROR(_xlfn.XLOOKUP(B54,'tồn TP 24.02'!A:A,'tồn TP 24.02'!L:L),0)</f>
        <v>0</v>
      </c>
      <c r="G54" s="60">
        <v>1200</v>
      </c>
      <c r="H54" s="40"/>
      <c r="I54" s="46"/>
      <c r="J54" s="42"/>
      <c r="K54" s="46">
        <f t="shared" ref="K54:K56" si="13">(H54-J54)</f>
        <v>0</v>
      </c>
      <c r="L54" s="53"/>
      <c r="M54" s="181"/>
      <c r="N54" s="4"/>
      <c r="O54" s="58" t="s">
        <v>462</v>
      </c>
    </row>
    <row r="55" spans="1:15" hidden="1" outlineLevel="1">
      <c r="A55" s="9">
        <f t="shared" si="12"/>
        <v>8</v>
      </c>
      <c r="B55" s="4" t="s">
        <v>176</v>
      </c>
      <c r="C55" s="4" t="s">
        <v>62</v>
      </c>
      <c r="D55" s="24" t="s">
        <v>230</v>
      </c>
      <c r="E55" s="5">
        <f>SUMIFS('tồn TP 24.02'!H:H,'tồn TP 24.02'!A:A,'Trình bày'!B55)</f>
        <v>0</v>
      </c>
      <c r="F55" s="5">
        <f>IFERROR(_xlfn.XLOOKUP(B55,'tồn TP 24.02'!A:A,'tồn TP 24.02'!L:L),0)</f>
        <v>0</v>
      </c>
      <c r="G55" s="5">
        <v>1300</v>
      </c>
      <c r="H55" s="40"/>
      <c r="I55" s="46"/>
      <c r="J55" s="42"/>
      <c r="K55" s="46">
        <f t="shared" si="13"/>
        <v>0</v>
      </c>
      <c r="L55" s="53"/>
      <c r="M55" s="181"/>
      <c r="N55" s="4"/>
      <c r="O55" s="4"/>
    </row>
    <row r="56" spans="1:15" hidden="1" outlineLevel="1">
      <c r="A56" s="9">
        <f t="shared" si="12"/>
        <v>9</v>
      </c>
      <c r="B56" s="4" t="s">
        <v>179</v>
      </c>
      <c r="C56" s="4" t="s">
        <v>65</v>
      </c>
      <c r="D56" s="24" t="s">
        <v>230</v>
      </c>
      <c r="E56" s="5">
        <f>SUMIFS('tồn TP 24.02'!H:H,'tồn TP 24.02'!A:A,'Trình bày'!B56)</f>
        <v>0</v>
      </c>
      <c r="F56" s="5">
        <f>IFERROR(_xlfn.XLOOKUP(B56,'tồn TP 24.02'!A:A,'tồn TP 24.02'!L:L),0)</f>
        <v>0</v>
      </c>
      <c r="G56" s="5">
        <v>1200</v>
      </c>
      <c r="H56" s="40"/>
      <c r="I56" s="46"/>
      <c r="J56" s="42"/>
      <c r="K56" s="46">
        <f t="shared" si="13"/>
        <v>0</v>
      </c>
      <c r="L56" s="53"/>
      <c r="M56" s="181"/>
      <c r="N56" s="4"/>
      <c r="O56" s="4"/>
    </row>
    <row r="57" spans="1:15" s="18" customFormat="1" ht="15.5">
      <c r="A57" s="12" t="s">
        <v>243</v>
      </c>
      <c r="B57" s="13" t="s">
        <v>264</v>
      </c>
      <c r="C57" s="13"/>
      <c r="D57" s="23"/>
      <c r="E57" s="206"/>
      <c r="F57" s="206"/>
      <c r="G57" s="206"/>
      <c r="H57" s="207"/>
      <c r="I57" s="207"/>
      <c r="J57" s="209"/>
      <c r="K57" s="208"/>
      <c r="L57" s="54"/>
      <c r="M57" s="182"/>
      <c r="N57" s="13"/>
      <c r="O57" s="13"/>
    </row>
    <row r="58" spans="1:15" outlineLevel="1">
      <c r="A58" s="9">
        <v>1</v>
      </c>
      <c r="B58" s="4" t="s">
        <v>127</v>
      </c>
      <c r="C58" s="4" t="s">
        <v>13</v>
      </c>
      <c r="D58" s="24" t="s">
        <v>229</v>
      </c>
      <c r="E58" s="198">
        <f>SUMIFS('tồn TP 24.02'!H:H,'tồn TP 24.02'!A:A,'Trình bày'!B58)</f>
        <v>159325.5</v>
      </c>
      <c r="F58" s="198">
        <f>IFERROR(_xlfn.XLOOKUP(B58,'tồn TP 24.02'!A:A,'tồn TP 24.02'!L:L),0)</f>
        <v>15625</v>
      </c>
      <c r="G58" s="198"/>
      <c r="H58" s="199"/>
      <c r="I58" s="46"/>
      <c r="J58" s="201"/>
      <c r="K58" s="200"/>
      <c r="L58" s="53"/>
      <c r="M58" s="181"/>
      <c r="N58" s="4"/>
      <c r="O58" s="4" t="s">
        <v>253</v>
      </c>
    </row>
    <row r="59" spans="1:15" s="18" customFormat="1" ht="15.5">
      <c r="A59" s="14" t="s">
        <v>259</v>
      </c>
      <c r="B59" s="15" t="s">
        <v>265</v>
      </c>
      <c r="C59" s="15"/>
      <c r="D59" s="22"/>
      <c r="E59" s="212"/>
      <c r="F59" s="212"/>
      <c r="G59" s="212"/>
      <c r="H59" s="212"/>
      <c r="I59" s="214"/>
      <c r="J59" s="215"/>
      <c r="K59" s="214"/>
      <c r="L59" s="55"/>
      <c r="M59" s="183"/>
      <c r="N59" s="15"/>
      <c r="O59" s="15"/>
    </row>
    <row r="60" spans="1:15" s="18" customFormat="1" ht="15.5">
      <c r="A60" s="12" t="s">
        <v>239</v>
      </c>
      <c r="B60" s="13" t="s">
        <v>240</v>
      </c>
      <c r="C60" s="13"/>
      <c r="D60" s="23"/>
      <c r="E60" s="206"/>
      <c r="F60" s="206"/>
      <c r="G60" s="206"/>
      <c r="H60" s="206"/>
      <c r="I60" s="208"/>
      <c r="J60" s="209"/>
      <c r="K60" s="208"/>
      <c r="L60" s="54"/>
      <c r="M60" s="182"/>
      <c r="N60" s="13"/>
      <c r="O60" s="13"/>
    </row>
    <row r="61" spans="1:15" outlineLevel="1">
      <c r="A61" s="9">
        <v>1</v>
      </c>
      <c r="B61" s="4" t="s">
        <v>134</v>
      </c>
      <c r="C61" s="4" t="s">
        <v>20</v>
      </c>
      <c r="D61" s="24" t="s">
        <v>228</v>
      </c>
      <c r="E61" s="198">
        <f>SUMIFS('tồn TP 24.02'!H:H,'tồn TP 24.02'!A:A,'Trình bày'!B61)</f>
        <v>21245</v>
      </c>
      <c r="F61" s="198">
        <f>IFERROR(_xlfn.XLOOKUP(B61,'tồn TP 24.02'!A:A,'tồn TP 24.02'!L:L),0)</f>
        <v>22500</v>
      </c>
      <c r="G61" s="216"/>
      <c r="H61" s="199"/>
      <c r="I61" s="46"/>
      <c r="J61" s="201"/>
      <c r="K61" s="200"/>
      <c r="L61" s="53"/>
      <c r="M61" s="181"/>
      <c r="N61" s="28" t="s">
        <v>274</v>
      </c>
      <c r="O61" s="4"/>
    </row>
    <row r="62" spans="1:15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198">
        <f>SUMIFS('tồn TP 24.02'!H:H,'tồn TP 24.02'!A:A,'Trình bày'!B62)</f>
        <v>29275</v>
      </c>
      <c r="F62" s="198">
        <f>IFERROR(_xlfn.XLOOKUP(B62,'tồn TP 24.02'!A:A,'tồn TP 24.02'!L:L),0)</f>
        <v>28000</v>
      </c>
      <c r="G62" s="216"/>
      <c r="H62" s="199"/>
      <c r="I62" s="46"/>
      <c r="J62" s="201"/>
      <c r="K62" s="200"/>
      <c r="L62" s="53"/>
      <c r="M62" s="181"/>
      <c r="N62" s="28" t="s">
        <v>274</v>
      </c>
      <c r="O62" s="4"/>
    </row>
    <row r="63" spans="1:15" outlineLevel="1">
      <c r="A63" s="9">
        <f t="shared" ref="A63:A68" si="14">+A62+1</f>
        <v>3</v>
      </c>
      <c r="B63" s="4" t="s">
        <v>135</v>
      </c>
      <c r="C63" s="4" t="s">
        <v>21</v>
      </c>
      <c r="D63" s="24" t="s">
        <v>226</v>
      </c>
      <c r="E63" s="198">
        <f>SUMIFS('tồn TP 24.02'!H:H,'tồn TP 24.02'!A:A,'Trình bày'!B63)</f>
        <v>48550</v>
      </c>
      <c r="F63" s="198">
        <f>IFERROR(_xlfn.XLOOKUP(B63,'tồn TP 24.02'!A:A,'tồn TP 24.02'!L:L),0)</f>
        <v>5500</v>
      </c>
      <c r="G63" s="216"/>
      <c r="H63" s="199"/>
      <c r="I63" s="46"/>
      <c r="J63" s="201"/>
      <c r="K63" s="200"/>
      <c r="L63" s="53"/>
      <c r="M63" s="181"/>
      <c r="N63" s="28" t="s">
        <v>274</v>
      </c>
      <c r="O63" s="4"/>
    </row>
    <row r="64" spans="1:15" outlineLevel="1">
      <c r="A64" s="9">
        <f t="shared" si="14"/>
        <v>4</v>
      </c>
      <c r="B64" s="4" t="s">
        <v>219</v>
      </c>
      <c r="C64" s="4" t="s">
        <v>105</v>
      </c>
      <c r="D64" s="24" t="s">
        <v>228</v>
      </c>
      <c r="E64" s="198">
        <f>SUMIFS('tồn TP 24.02'!H:H,'tồn TP 24.02'!A:A,'Trình bày'!B64)</f>
        <v>1448</v>
      </c>
      <c r="F64" s="198">
        <f>IFERROR(_xlfn.XLOOKUP(B64,'tồn TP 24.02'!A:A,'tồn TP 24.02'!L:L),0)</f>
        <v>0</v>
      </c>
      <c r="G64" s="216"/>
      <c r="H64" s="199"/>
      <c r="I64" s="46"/>
      <c r="J64" s="201"/>
      <c r="K64" s="200"/>
      <c r="L64" s="53"/>
      <c r="M64" s="181"/>
      <c r="N64" s="28" t="s">
        <v>274</v>
      </c>
      <c r="O64" s="4" t="s">
        <v>626</v>
      </c>
    </row>
    <row r="65" spans="1:15" outlineLevel="1">
      <c r="A65" s="9">
        <f t="shared" si="14"/>
        <v>5</v>
      </c>
      <c r="B65" s="4" t="s">
        <v>137</v>
      </c>
      <c r="C65" s="4" t="s">
        <v>23</v>
      </c>
      <c r="D65" s="24" t="s">
        <v>227</v>
      </c>
      <c r="E65" s="198">
        <f>SUMIFS('tồn TP 24.02'!H:H,'tồn TP 24.02'!A:A,'Trình bày'!B65)</f>
        <v>29015</v>
      </c>
      <c r="F65" s="198">
        <f>IFERROR(_xlfn.XLOOKUP(B65,'tồn TP 24.02'!A:A,'tồn TP 24.02'!L:L),0)</f>
        <v>11000</v>
      </c>
      <c r="G65" s="216"/>
      <c r="H65" s="199"/>
      <c r="I65" s="46"/>
      <c r="J65" s="201"/>
      <c r="K65" s="200"/>
      <c r="L65" s="53"/>
      <c r="M65" s="181"/>
      <c r="N65" s="28" t="s">
        <v>274</v>
      </c>
      <c r="O65" s="4"/>
    </row>
    <row r="66" spans="1:15" outlineLevel="1">
      <c r="A66" s="9">
        <f t="shared" si="14"/>
        <v>6</v>
      </c>
      <c r="B66" s="4" t="s">
        <v>138</v>
      </c>
      <c r="C66" s="4" t="s">
        <v>24</v>
      </c>
      <c r="D66" s="24" t="s">
        <v>225</v>
      </c>
      <c r="E66" s="198">
        <f>SUMIFS('tồn TP 24.02'!H:H,'tồn TP 24.02'!A:A,'Trình bày'!B66)</f>
        <v>59110.400000000001</v>
      </c>
      <c r="F66" s="198">
        <f>IFERROR(_xlfn.XLOOKUP(B66,'tồn TP 24.02'!A:A,'tồn TP 24.02'!L:L),0)</f>
        <v>0</v>
      </c>
      <c r="G66" s="216"/>
      <c r="H66" s="199"/>
      <c r="I66" s="46"/>
      <c r="J66" s="201"/>
      <c r="K66" s="200"/>
      <c r="L66" s="53"/>
      <c r="M66" s="181"/>
      <c r="N66" s="28" t="s">
        <v>274</v>
      </c>
      <c r="O66" s="4"/>
    </row>
    <row r="67" spans="1:15" outlineLevel="1">
      <c r="A67" s="9">
        <f t="shared" si="14"/>
        <v>7</v>
      </c>
      <c r="B67" s="4" t="s">
        <v>178</v>
      </c>
      <c r="C67" s="4" t="s">
        <v>64</v>
      </c>
      <c r="D67" s="24" t="s">
        <v>234</v>
      </c>
      <c r="E67" s="198">
        <f>SUMIFS('tồn TP 24.02'!H:H,'tồn TP 24.02'!A:A,'Trình bày'!B67)</f>
        <v>3448</v>
      </c>
      <c r="F67" s="198">
        <f>IFERROR(_xlfn.XLOOKUP(B67,'tồn TP 24.02'!A:A,'tồn TP 24.02'!L:L),0)</f>
        <v>11000</v>
      </c>
      <c r="G67" s="216"/>
      <c r="H67" s="199"/>
      <c r="I67" s="46"/>
      <c r="J67" s="201"/>
      <c r="K67" s="200"/>
      <c r="L67" s="53"/>
      <c r="M67" s="181"/>
      <c r="N67" s="28" t="s">
        <v>274</v>
      </c>
      <c r="O67" s="4" t="s">
        <v>602</v>
      </c>
    </row>
    <row r="68" spans="1:15" outlineLevel="1">
      <c r="A68" s="9">
        <f t="shared" si="14"/>
        <v>8</v>
      </c>
      <c r="B68" s="4" t="s">
        <v>136</v>
      </c>
      <c r="C68" s="4" t="s">
        <v>22</v>
      </c>
      <c r="D68" s="24" t="s">
        <v>234</v>
      </c>
      <c r="E68" s="231">
        <f>SUMIFS('tồn TP 24.02'!H:H,'tồn TP 24.02'!A:A,'Trình bày'!B68)</f>
        <v>244671.9</v>
      </c>
      <c r="F68" s="198">
        <f>IFERROR(_xlfn.XLOOKUP(B68,'tồn TP 24.02'!A:A,'tồn TP 24.02'!L:L),0)</f>
        <v>0</v>
      </c>
      <c r="G68" s="216"/>
      <c r="H68" s="199"/>
      <c r="I68" s="46"/>
      <c r="J68" s="201"/>
      <c r="K68" s="200"/>
      <c r="L68" s="53"/>
      <c r="M68" s="181"/>
      <c r="N68" s="28" t="s">
        <v>274</v>
      </c>
      <c r="O68" s="4" t="s">
        <v>624</v>
      </c>
    </row>
    <row r="69" spans="1:15" s="18" customFormat="1" ht="15.5">
      <c r="A69" s="12" t="s">
        <v>241</v>
      </c>
      <c r="B69" s="13" t="s">
        <v>242</v>
      </c>
      <c r="C69" s="13"/>
      <c r="D69" s="23"/>
      <c r="E69" s="206"/>
      <c r="F69" s="206"/>
      <c r="G69" s="206"/>
      <c r="H69" s="207"/>
      <c r="I69" s="208"/>
      <c r="J69" s="209"/>
      <c r="K69" s="208"/>
      <c r="L69" s="54"/>
      <c r="M69" s="182"/>
      <c r="N69" s="13"/>
      <c r="O69" s="13"/>
    </row>
    <row r="70" spans="1:15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198">
        <f>SUMIFS('tồn TP 24.02'!H:H,'tồn TP 24.02'!A:A,'Trình bày'!B70)</f>
        <v>6235.4</v>
      </c>
      <c r="F70" s="198">
        <f>IFERROR(_xlfn.XLOOKUP(B70,'tồn TP 24.02'!A:A,'tồn TP 24.02'!L:L),0)</f>
        <v>0</v>
      </c>
      <c r="G70" s="216"/>
      <c r="H70" s="199"/>
      <c r="I70" s="46"/>
      <c r="J70" s="201"/>
      <c r="K70" s="200"/>
      <c r="L70" s="53"/>
      <c r="M70" s="181"/>
      <c r="N70" s="28" t="s">
        <v>274</v>
      </c>
      <c r="O70" s="4" t="s">
        <v>625</v>
      </c>
    </row>
    <row r="71" spans="1:15" outlineLevel="1">
      <c r="A71" s="9"/>
      <c r="B71" s="4"/>
      <c r="C71" s="4"/>
      <c r="D71" s="24"/>
      <c r="E71" s="198"/>
      <c r="F71" s="198"/>
      <c r="G71" s="198"/>
      <c r="H71" s="199"/>
      <c r="I71" s="200"/>
      <c r="J71" s="201"/>
      <c r="K71" s="200"/>
      <c r="L71" s="53"/>
      <c r="M71" s="181"/>
      <c r="N71" s="4"/>
      <c r="O71" s="4"/>
    </row>
    <row r="72" spans="1:15" s="18" customFormat="1" ht="15.5">
      <c r="A72" s="14" t="s">
        <v>260</v>
      </c>
      <c r="B72" s="15" t="s">
        <v>244</v>
      </c>
      <c r="C72" s="15"/>
      <c r="D72" s="22"/>
      <c r="E72" s="212"/>
      <c r="F72" s="212"/>
      <c r="G72" s="212"/>
      <c r="H72" s="213"/>
      <c r="I72" s="214"/>
      <c r="J72" s="215"/>
      <c r="K72" s="214"/>
      <c r="L72" s="55"/>
      <c r="M72" s="183"/>
      <c r="N72" s="15"/>
      <c r="O72" s="15"/>
    </row>
    <row r="73" spans="1:15" s="18" customFormat="1" ht="15.5">
      <c r="A73" s="12" t="s">
        <v>239</v>
      </c>
      <c r="B73" s="13" t="s">
        <v>240</v>
      </c>
      <c r="C73" s="13"/>
      <c r="D73" s="23"/>
      <c r="E73" s="206"/>
      <c r="F73" s="206"/>
      <c r="G73" s="206"/>
      <c r="H73" s="207"/>
      <c r="I73" s="208"/>
      <c r="J73" s="209"/>
      <c r="K73" s="208"/>
      <c r="L73" s="54"/>
      <c r="M73" s="182"/>
      <c r="N73" s="13"/>
      <c r="O73" s="13"/>
    </row>
    <row r="74" spans="1:15" outlineLevel="1">
      <c r="A74" s="9">
        <v>4</v>
      </c>
      <c r="B74" s="4" t="s">
        <v>162</v>
      </c>
      <c r="C74" s="4" t="s">
        <v>48</v>
      </c>
      <c r="D74" s="24" t="s">
        <v>226</v>
      </c>
      <c r="E74" s="198">
        <f>SUMIFS('tồn TP 24.02'!H:H,'tồn TP 24.02'!A:A,'Trình bày'!B74)</f>
        <v>88328</v>
      </c>
      <c r="F74" s="198">
        <f>IFERROR(_xlfn.XLOOKUP(B74,'tồn TP 24.02'!A:A,'tồn TP 24.02'!L:L),0)</f>
        <v>19750</v>
      </c>
      <c r="G74" s="198"/>
      <c r="H74" s="199"/>
      <c r="I74" s="46"/>
      <c r="J74" s="217"/>
      <c r="K74" s="200"/>
      <c r="L74" s="53"/>
      <c r="M74" s="181"/>
      <c r="N74" s="235" t="s">
        <v>263</v>
      </c>
      <c r="O74" s="4"/>
    </row>
    <row r="75" spans="1:15" outlineLevel="1">
      <c r="A75" s="9">
        <v>2</v>
      </c>
      <c r="B75" s="4" t="s">
        <v>164</v>
      </c>
      <c r="C75" s="4" t="s">
        <v>50</v>
      </c>
      <c r="D75" s="24" t="s">
        <v>227</v>
      </c>
      <c r="E75" s="198">
        <f>SUMIFS('tồn TP 24.02'!H:H,'tồn TP 24.02'!A:A,'Trình bày'!B75)</f>
        <v>51387</v>
      </c>
      <c r="F75" s="198">
        <f>IFERROR(_xlfn.XLOOKUP(B75,'tồn TP 24.02'!A:A,'tồn TP 24.02'!L:L),0)</f>
        <v>0</v>
      </c>
      <c r="G75" s="198"/>
      <c r="H75" s="199"/>
      <c r="I75" s="46"/>
      <c r="J75" s="217"/>
      <c r="K75" s="200"/>
      <c r="L75" s="53"/>
      <c r="M75" s="181"/>
      <c r="N75" s="236"/>
      <c r="O75" s="4"/>
    </row>
    <row r="76" spans="1:15" outlineLevel="1">
      <c r="A76" s="9">
        <v>1</v>
      </c>
      <c r="B76" s="4" t="s">
        <v>165</v>
      </c>
      <c r="C76" s="4" t="s">
        <v>51</v>
      </c>
      <c r="D76" s="24" t="s">
        <v>232</v>
      </c>
      <c r="E76" s="198">
        <f>SUMIFS('tồn TP 24.02'!H:H,'tồn TP 24.02'!A:A,'Trình bày'!B76)</f>
        <v>27000</v>
      </c>
      <c r="F76" s="198">
        <f>IFERROR(_xlfn.XLOOKUP(B76,'tồn TP 24.02'!A:A,'tồn TP 24.02'!L:L),0)</f>
        <v>0</v>
      </c>
      <c r="G76" s="198"/>
      <c r="H76" s="199"/>
      <c r="I76" s="46"/>
      <c r="J76" s="217"/>
      <c r="K76" s="200"/>
      <c r="L76" s="53"/>
      <c r="M76" s="181"/>
      <c r="N76" s="236"/>
      <c r="O76" s="4"/>
    </row>
    <row r="77" spans="1:15" outlineLevel="1">
      <c r="A77" s="9">
        <v>7</v>
      </c>
      <c r="B77" s="4" t="s">
        <v>166</v>
      </c>
      <c r="C77" s="4" t="s">
        <v>52</v>
      </c>
      <c r="D77" s="24" t="s">
        <v>228</v>
      </c>
      <c r="E77" s="198">
        <f>SUMIFS('tồn TP 24.02'!H:H,'tồn TP 24.02'!A:A,'Trình bày'!B77)</f>
        <v>65925</v>
      </c>
      <c r="F77" s="198">
        <f>IFERROR(_xlfn.XLOOKUP(B77,'tồn TP 24.02'!A:A,'tồn TP 24.02'!L:L),0)</f>
        <v>0</v>
      </c>
      <c r="G77" s="198"/>
      <c r="H77" s="199"/>
      <c r="I77" s="46"/>
      <c r="J77" s="217"/>
      <c r="K77" s="200"/>
      <c r="L77" s="53"/>
      <c r="M77" s="181"/>
      <c r="N77" s="236"/>
      <c r="O77" s="4"/>
    </row>
    <row r="78" spans="1:15" outlineLevel="1">
      <c r="A78" s="9">
        <v>5</v>
      </c>
      <c r="B78" s="4" t="s">
        <v>163</v>
      </c>
      <c r="C78" s="4" t="s">
        <v>49</v>
      </c>
      <c r="D78" s="24" t="s">
        <v>225</v>
      </c>
      <c r="E78" s="198">
        <f>SUMIFS('tồn TP 24.02'!H:H,'tồn TP 24.02'!A:A,'Trình bày'!B78)</f>
        <v>108125.2</v>
      </c>
      <c r="F78" s="198">
        <f>IFERROR(_xlfn.XLOOKUP(B78,'tồn TP 24.02'!A:A,'tồn TP 24.02'!L:L),0)</f>
        <v>56500</v>
      </c>
      <c r="G78" s="198"/>
      <c r="H78" s="199"/>
      <c r="I78" s="46"/>
      <c r="J78" s="217"/>
      <c r="K78" s="200"/>
      <c r="L78" s="53"/>
      <c r="M78" s="181"/>
      <c r="N78" s="236"/>
      <c r="O78" s="4"/>
    </row>
    <row r="79" spans="1:15" outlineLevel="1">
      <c r="A79" s="9">
        <v>6</v>
      </c>
      <c r="B79" s="4" t="s">
        <v>167</v>
      </c>
      <c r="C79" s="4" t="s">
        <v>53</v>
      </c>
      <c r="D79" s="24" t="s">
        <v>229</v>
      </c>
      <c r="E79" s="198">
        <f>SUMIFS('tồn TP 24.02'!H:H,'tồn TP 24.02'!A:A,'Trình bày'!B79)</f>
        <v>37672</v>
      </c>
      <c r="F79" s="198">
        <f>IFERROR(_xlfn.XLOOKUP(B79,'tồn TP 24.02'!A:A,'tồn TP 24.02'!L:L),0)</f>
        <v>2250</v>
      </c>
      <c r="G79" s="198"/>
      <c r="H79" s="199"/>
      <c r="I79" s="46"/>
      <c r="J79" s="217"/>
      <c r="K79" s="200"/>
      <c r="L79" s="53"/>
      <c r="M79" s="181"/>
      <c r="N79" s="236"/>
      <c r="O79" s="4"/>
    </row>
    <row r="80" spans="1:15" outlineLevel="1">
      <c r="A80" s="9">
        <v>7</v>
      </c>
      <c r="B80" s="4" t="s">
        <v>168</v>
      </c>
      <c r="C80" s="4" t="s">
        <v>54</v>
      </c>
      <c r="D80" s="24" t="s">
        <v>231</v>
      </c>
      <c r="E80" s="198">
        <f>SUMIFS('tồn TP 24.02'!H:H,'tồn TP 24.02'!A:A,'Trình bày'!B80)</f>
        <v>157174.5</v>
      </c>
      <c r="F80" s="198">
        <f>IFERROR(_xlfn.XLOOKUP(B80,'tồn TP 24.02'!A:A,'tồn TP 24.02'!L:L),0)</f>
        <v>0</v>
      </c>
      <c r="G80" s="198"/>
      <c r="H80" s="199"/>
      <c r="I80" s="46"/>
      <c r="J80" s="217"/>
      <c r="K80" s="200"/>
      <c r="L80" s="53"/>
      <c r="M80" s="181"/>
      <c r="N80" s="237"/>
      <c r="O80" s="4"/>
    </row>
    <row r="81" spans="1:20" s="18" customFormat="1" ht="15.5">
      <c r="A81" s="12" t="s">
        <v>241</v>
      </c>
      <c r="B81" s="13" t="s">
        <v>242</v>
      </c>
      <c r="C81" s="13"/>
      <c r="D81" s="23"/>
      <c r="E81" s="206"/>
      <c r="F81" s="206"/>
      <c r="G81" s="206"/>
      <c r="H81" s="207"/>
      <c r="I81" s="208"/>
      <c r="J81" s="209"/>
      <c r="K81" s="208"/>
      <c r="L81" s="54"/>
      <c r="M81" s="182"/>
      <c r="N81" s="13"/>
      <c r="O81" s="13"/>
    </row>
    <row r="82" spans="1:20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198">
        <f>SUMIFS('tồn TP 24.02'!H:H,'tồn TP 24.02'!A:A,'Trình bày'!B82)</f>
        <v>5700</v>
      </c>
      <c r="F82" s="198">
        <f>IFERROR(_xlfn.XLOOKUP(B82,'tồn TP 24.02'!A:A,'tồn TP 24.02'!L:L),0)</f>
        <v>0</v>
      </c>
      <c r="G82" s="198"/>
      <c r="H82" s="199"/>
      <c r="I82" s="200"/>
      <c r="J82" s="201"/>
      <c r="K82" s="46"/>
      <c r="L82" s="53"/>
      <c r="M82" s="181"/>
      <c r="N82" s="4" t="s">
        <v>273</v>
      </c>
      <c r="O82" s="4" t="s">
        <v>633</v>
      </c>
    </row>
    <row r="83" spans="1:20" outlineLevel="1">
      <c r="A83" s="9"/>
      <c r="B83" s="4"/>
      <c r="C83" s="4"/>
      <c r="D83" s="24"/>
      <c r="E83" s="198"/>
      <c r="F83" s="198"/>
      <c r="G83" s="198"/>
      <c r="H83" s="199"/>
      <c r="I83" s="200"/>
      <c r="J83" s="201"/>
      <c r="K83" s="46"/>
      <c r="L83" s="53"/>
      <c r="M83" s="181"/>
      <c r="N83" s="4"/>
      <c r="O83" s="4"/>
    </row>
    <row r="84" spans="1:20" s="18" customFormat="1" ht="15.5">
      <c r="A84" s="14" t="s">
        <v>261</v>
      </c>
      <c r="B84" s="15" t="s">
        <v>115</v>
      </c>
      <c r="C84" s="15"/>
      <c r="D84" s="22"/>
      <c r="E84" s="212"/>
      <c r="F84" s="212"/>
      <c r="G84" s="212"/>
      <c r="H84" s="213"/>
      <c r="I84" s="214"/>
      <c r="J84" s="215"/>
      <c r="K84" s="48"/>
      <c r="L84" s="55"/>
      <c r="M84" s="183"/>
      <c r="N84" s="15"/>
      <c r="O84" s="15"/>
    </row>
    <row r="85" spans="1:20" s="18" customFormat="1" ht="15.5">
      <c r="A85" s="12" t="s">
        <v>239</v>
      </c>
      <c r="B85" s="13" t="s">
        <v>240</v>
      </c>
      <c r="C85" s="13"/>
      <c r="D85" s="23"/>
      <c r="E85" s="206"/>
      <c r="F85" s="206"/>
      <c r="G85" s="206"/>
      <c r="H85" s="207"/>
      <c r="I85" s="208"/>
      <c r="J85" s="209"/>
      <c r="K85" s="47"/>
      <c r="L85" s="54"/>
      <c r="M85" s="182"/>
      <c r="N85" s="13"/>
      <c r="O85" s="13"/>
    </row>
    <row r="86" spans="1:20" outlineLevel="1">
      <c r="A86" s="9">
        <v>1</v>
      </c>
      <c r="B86" s="4" t="s">
        <v>156</v>
      </c>
      <c r="C86" s="4" t="s">
        <v>42</v>
      </c>
      <c r="D86" s="24" t="s">
        <v>226</v>
      </c>
      <c r="E86" s="198">
        <f>SUMIFS('tồn TP 24.02'!H:H,'tồn TP 24.02'!A:A,'Trình bày'!B86)</f>
        <v>3890</v>
      </c>
      <c r="F86" s="198">
        <f>IFERROR(_xlfn.XLOOKUP(B86,'tồn TP 24.02'!A:A,'tồn TP 24.02'!L:L),0)</f>
        <v>0</v>
      </c>
      <c r="G86" s="218"/>
      <c r="H86" s="219"/>
      <c r="I86" s="220"/>
      <c r="J86" s="201"/>
      <c r="K86" s="49"/>
      <c r="L86" s="56"/>
      <c r="M86" s="184"/>
      <c r="N86" s="4" t="s">
        <v>267</v>
      </c>
      <c r="O86" s="4" t="s">
        <v>471</v>
      </c>
      <c r="Q86" s="42">
        <v>1025</v>
      </c>
      <c r="R86" s="46">
        <f>J86</f>
        <v>0</v>
      </c>
      <c r="S86" s="62">
        <f>Q86-R86</f>
        <v>1025</v>
      </c>
      <c r="T86" s="63">
        <f>S86/Q86</f>
        <v>1</v>
      </c>
    </row>
    <row r="87" spans="1:20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198">
        <f>SUMIFS('tồn TP 24.02'!H:H,'tồn TP 24.02'!A:A,'Trình bày'!B87)</f>
        <v>6947</v>
      </c>
      <c r="F87" s="198">
        <f>IFERROR(_xlfn.XLOOKUP(B87,'tồn TP 24.02'!A:A,'tồn TP 24.02'!L:L),0)</f>
        <v>18000</v>
      </c>
      <c r="G87" s="218"/>
      <c r="H87" s="219"/>
      <c r="I87" s="220"/>
      <c r="J87" s="201"/>
      <c r="K87" s="49"/>
      <c r="L87" s="56"/>
      <c r="M87" s="184"/>
      <c r="N87" s="4" t="s">
        <v>267</v>
      </c>
      <c r="O87" s="4" t="s">
        <v>471</v>
      </c>
    </row>
    <row r="88" spans="1:20" outlineLevel="1">
      <c r="A88" s="9">
        <f t="shared" ref="A88:A94" si="15">+A87+1</f>
        <v>3</v>
      </c>
      <c r="B88" s="4" t="s">
        <v>205</v>
      </c>
      <c r="C88" s="4" t="s">
        <v>91</v>
      </c>
      <c r="D88" s="24" t="s">
        <v>234</v>
      </c>
      <c r="E88" s="198">
        <f>SUMIFS('tồn TP 24.02'!H:H,'tồn TP 24.02'!A:A,'Trình bày'!B88)</f>
        <v>11000</v>
      </c>
      <c r="F88" s="198">
        <f>IFERROR(_xlfn.XLOOKUP(B88,'tồn TP 24.02'!A:A,'tồn TP 24.02'!L:L),0)</f>
        <v>6000</v>
      </c>
      <c r="G88" s="218"/>
      <c r="H88" s="219"/>
      <c r="I88" s="220"/>
      <c r="J88" s="201"/>
      <c r="K88" s="49"/>
      <c r="L88" s="56"/>
      <c r="M88" s="184"/>
      <c r="N88" s="4" t="s">
        <v>267</v>
      </c>
      <c r="O88" s="4" t="s">
        <v>471</v>
      </c>
    </row>
    <row r="89" spans="1:20" outlineLevel="1">
      <c r="A89" s="9">
        <f t="shared" si="15"/>
        <v>4</v>
      </c>
      <c r="B89" s="4" t="s">
        <v>181</v>
      </c>
      <c r="C89" s="4" t="s">
        <v>67</v>
      </c>
      <c r="D89" s="24" t="s">
        <v>228</v>
      </c>
      <c r="E89" s="198">
        <f>SUMIFS('tồn TP 24.02'!H:H,'tồn TP 24.02'!A:A,'Trình bày'!B89)</f>
        <v>1765</v>
      </c>
      <c r="F89" s="198">
        <f>IFERROR(_xlfn.XLOOKUP(B89,'tồn TP 24.02'!A:A,'tồn TP 24.02'!L:L),0)</f>
        <v>0</v>
      </c>
      <c r="G89" s="218"/>
      <c r="H89" s="219"/>
      <c r="I89" s="220"/>
      <c r="J89" s="201"/>
      <c r="K89" s="49"/>
      <c r="L89" s="56"/>
      <c r="M89" s="184"/>
      <c r="N89" s="4" t="s">
        <v>267</v>
      </c>
      <c r="O89" s="4" t="s">
        <v>471</v>
      </c>
    </row>
    <row r="90" spans="1:20" outlineLevel="1">
      <c r="A90" s="9">
        <f t="shared" si="15"/>
        <v>5</v>
      </c>
      <c r="B90" s="4" t="s">
        <v>465</v>
      </c>
      <c r="C90" s="4" t="s">
        <v>463</v>
      </c>
      <c r="D90" s="24" t="s">
        <v>225</v>
      </c>
      <c r="E90" s="198">
        <f>SUMIFS('tồn TP 24.02'!H:H,'tồn TP 24.02'!A:A,'Trình bày'!B90)</f>
        <v>518.70000000000005</v>
      </c>
      <c r="F90" s="198">
        <f>IFERROR(_xlfn.XLOOKUP(B90,'tồn TP 24.02'!A:A,'tồn TP 24.02'!L:L),0)</f>
        <v>0</v>
      </c>
      <c r="G90" s="198"/>
      <c r="H90" s="219"/>
      <c r="I90" s="220"/>
      <c r="J90" s="201"/>
      <c r="K90" s="49"/>
      <c r="L90" s="56"/>
      <c r="M90" s="184"/>
      <c r="N90" s="4" t="s">
        <v>267</v>
      </c>
      <c r="O90" s="4" t="s">
        <v>471</v>
      </c>
    </row>
    <row r="91" spans="1:20" outlineLevel="1">
      <c r="A91" s="9">
        <f t="shared" si="15"/>
        <v>6</v>
      </c>
      <c r="B91" s="4" t="s">
        <v>159</v>
      </c>
      <c r="C91" s="4" t="s">
        <v>45</v>
      </c>
      <c r="D91" s="24" t="s">
        <v>229</v>
      </c>
      <c r="E91" s="198">
        <f>SUMIFS('tồn TP 24.02'!H:H,'tồn TP 24.02'!A:A,'Trình bày'!B91)</f>
        <v>27833</v>
      </c>
      <c r="F91" s="198">
        <f>IFERROR(_xlfn.XLOOKUP(B91,'tồn TP 24.02'!A:A,'tồn TP 24.02'!L:L),0)</f>
        <v>0</v>
      </c>
      <c r="G91" s="218"/>
      <c r="H91" s="219"/>
      <c r="I91" s="220"/>
      <c r="J91" s="201"/>
      <c r="K91" s="49"/>
      <c r="L91" s="56"/>
      <c r="M91" s="187"/>
      <c r="N91" s="4" t="s">
        <v>267</v>
      </c>
      <c r="O91" s="4" t="s">
        <v>471</v>
      </c>
      <c r="Q91" s="42">
        <v>1025</v>
      </c>
      <c r="R91" s="46">
        <f>J91</f>
        <v>0</v>
      </c>
      <c r="S91" s="62">
        <f>Q91-R91</f>
        <v>1025</v>
      </c>
      <c r="T91" s="63">
        <f>S91/Q91</f>
        <v>1</v>
      </c>
    </row>
    <row r="92" spans="1:20" outlineLevel="1">
      <c r="A92" s="9">
        <f t="shared" si="15"/>
        <v>7</v>
      </c>
      <c r="B92" s="4" t="s">
        <v>208</v>
      </c>
      <c r="C92" s="4" t="s">
        <v>94</v>
      </c>
      <c r="D92" s="24" t="s">
        <v>225</v>
      </c>
      <c r="E92" s="198">
        <f>SUMIFS('tồn TP 24.02'!H:H,'tồn TP 24.02'!A:A,'Trình bày'!B92)</f>
        <v>3637</v>
      </c>
      <c r="F92" s="198">
        <f>IFERROR(_xlfn.XLOOKUP(B92,'tồn TP 24.02'!A:A,'tồn TP 24.02'!L:L),0)</f>
        <v>25</v>
      </c>
      <c r="G92" s="218"/>
      <c r="H92" s="219"/>
      <c r="I92" s="220"/>
      <c r="J92" s="201"/>
      <c r="K92" s="49"/>
      <c r="L92" s="56"/>
      <c r="M92" s="184"/>
      <c r="N92" s="4" t="s">
        <v>267</v>
      </c>
      <c r="O92" s="4" t="s">
        <v>471</v>
      </c>
      <c r="Q92" s="42">
        <v>1025</v>
      </c>
      <c r="R92" s="46">
        <f>J92</f>
        <v>0</v>
      </c>
      <c r="S92" s="62">
        <f>Q92-R92</f>
        <v>1025</v>
      </c>
      <c r="T92" s="63">
        <f>S92/Q92</f>
        <v>1</v>
      </c>
    </row>
    <row r="93" spans="1:20" outlineLevel="1">
      <c r="A93" s="9">
        <f t="shared" si="15"/>
        <v>8</v>
      </c>
      <c r="B93" s="4" t="s">
        <v>161</v>
      </c>
      <c r="C93" s="4" t="s">
        <v>47</v>
      </c>
      <c r="D93" s="24" t="s">
        <v>234</v>
      </c>
      <c r="E93" s="198">
        <f>SUMIFS('tồn TP 24.02'!H:H,'tồn TP 24.02'!A:A,'Trình bày'!B93)</f>
        <v>1370</v>
      </c>
      <c r="F93" s="198">
        <f>IFERROR(_xlfn.XLOOKUP(B93,'tồn TP 24.02'!A:A,'tồn TP 24.02'!L:L),0)</f>
        <v>0</v>
      </c>
      <c r="G93" s="218"/>
      <c r="H93" s="219"/>
      <c r="I93" s="220"/>
      <c r="J93" s="201"/>
      <c r="K93" s="49"/>
      <c r="L93" s="56"/>
      <c r="M93" s="184"/>
      <c r="N93" s="4" t="s">
        <v>267</v>
      </c>
      <c r="O93" s="4" t="s">
        <v>471</v>
      </c>
    </row>
    <row r="94" spans="1:20" outlineLevel="1">
      <c r="A94" s="9">
        <f t="shared" si="15"/>
        <v>9</v>
      </c>
      <c r="B94" s="4" t="s">
        <v>282</v>
      </c>
      <c r="C94" s="4" t="s">
        <v>283</v>
      </c>
      <c r="D94" s="24" t="s">
        <v>228</v>
      </c>
      <c r="E94" s="198">
        <f>SUMIFS('tồn TP 24.02'!H:H,'tồn TP 24.02'!A:A,'Trình bày'!B94)</f>
        <v>1500</v>
      </c>
      <c r="F94" s="198">
        <f>IFERROR(_xlfn.XLOOKUP(B94,'tồn TP 24.02'!A:A,'tồn TP 24.02'!L:L),0)</f>
        <v>0</v>
      </c>
      <c r="G94" s="218"/>
      <c r="H94" s="219"/>
      <c r="I94" s="220"/>
      <c r="J94" s="201"/>
      <c r="K94" s="49"/>
      <c r="L94" s="56"/>
      <c r="M94" s="184"/>
      <c r="N94" s="4" t="s">
        <v>267</v>
      </c>
      <c r="O94" s="4" t="s">
        <v>471</v>
      </c>
    </row>
    <row r="95" spans="1:20" s="18" customFormat="1" ht="15.5">
      <c r="A95" s="12" t="s">
        <v>241</v>
      </c>
      <c r="B95" s="13" t="s">
        <v>242</v>
      </c>
      <c r="C95" s="13"/>
      <c r="D95" s="23"/>
      <c r="E95" s="206"/>
      <c r="F95" s="206"/>
      <c r="G95" s="206"/>
      <c r="H95" s="221"/>
      <c r="I95" s="209"/>
      <c r="J95" s="209"/>
      <c r="K95" s="47"/>
      <c r="L95" s="54"/>
      <c r="M95" s="182"/>
      <c r="N95" s="13"/>
      <c r="O95" s="13"/>
    </row>
    <row r="96" spans="1:20" outlineLevel="1">
      <c r="A96" s="9">
        <v>1</v>
      </c>
      <c r="B96" s="4" t="s">
        <v>140</v>
      </c>
      <c r="C96" s="4" t="s">
        <v>26</v>
      </c>
      <c r="D96" s="24" t="s">
        <v>226</v>
      </c>
      <c r="E96" s="198">
        <f>SUMIFS('tồn TP 24.02'!H:H,'tồn TP 24.02'!A:A,'Trình bày'!B96)</f>
        <v>141</v>
      </c>
      <c r="F96" s="198">
        <f>IFERROR(_xlfn.XLOOKUP(B96,'tồn TP 24.02'!A:A,'tồn TP 24.02'!L:L),0)</f>
        <v>0</v>
      </c>
      <c r="G96" s="218"/>
      <c r="H96" s="219"/>
      <c r="I96" s="220"/>
      <c r="J96" s="201"/>
      <c r="K96" s="49"/>
      <c r="L96" s="56"/>
      <c r="M96" s="184"/>
      <c r="N96" s="4" t="s">
        <v>267</v>
      </c>
      <c r="O96" s="4" t="s">
        <v>630</v>
      </c>
    </row>
    <row r="97" spans="1:20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198">
        <f>SUMIFS('tồn TP 24.02'!H:H,'tồn TP 24.02'!A:A,'Trình bày'!B97)</f>
        <v>2677.8</v>
      </c>
      <c r="F97" s="198">
        <f>IFERROR(_xlfn.XLOOKUP(B97,'tồn TP 24.02'!A:A,'tồn TP 24.02'!L:L),0)</f>
        <v>0</v>
      </c>
      <c r="G97" s="218"/>
      <c r="H97" s="219"/>
      <c r="I97" s="220"/>
      <c r="J97" s="201"/>
      <c r="K97" s="49"/>
      <c r="L97" s="56"/>
      <c r="M97" s="184"/>
      <c r="N97" s="4" t="s">
        <v>267</v>
      </c>
      <c r="O97" s="4" t="s">
        <v>630</v>
      </c>
    </row>
    <row r="98" spans="1:20" hidden="1" outlineLevel="1">
      <c r="A98" s="9">
        <f t="shared" ref="A98:A104" si="16">+A97+1</f>
        <v>3</v>
      </c>
      <c r="B98" s="4" t="s">
        <v>142</v>
      </c>
      <c r="C98" s="4" t="s">
        <v>28</v>
      </c>
      <c r="D98" s="24" t="s">
        <v>234</v>
      </c>
      <c r="E98" s="198">
        <f>SUMIFS('tồn TP 24.02'!H:H,'tồn TP 24.02'!A:A,'Trình bày'!B98)</f>
        <v>0</v>
      </c>
      <c r="F98" s="198">
        <f>IFERROR(_xlfn.XLOOKUP(B98,'tồn TP 24.02'!A:A,'tồn TP 24.02'!L:L),0)</f>
        <v>0</v>
      </c>
      <c r="G98" s="218" t="s">
        <v>627</v>
      </c>
      <c r="H98" s="219" t="s">
        <v>639</v>
      </c>
      <c r="I98" s="220" t="s">
        <v>640</v>
      </c>
      <c r="J98" s="201"/>
      <c r="K98" s="49"/>
      <c r="L98" s="56"/>
      <c r="M98" s="184"/>
      <c r="N98" s="4" t="s">
        <v>267</v>
      </c>
      <c r="O98" s="4"/>
    </row>
    <row r="99" spans="1:20" outlineLevel="1">
      <c r="A99" s="9">
        <f t="shared" si="16"/>
        <v>4</v>
      </c>
      <c r="B99" s="4" t="s">
        <v>155</v>
      </c>
      <c r="C99" s="4" t="s">
        <v>41</v>
      </c>
      <c r="D99" s="24" t="s">
        <v>226</v>
      </c>
      <c r="E99" s="198">
        <f>SUMIFS('tồn TP 24.02'!H:H,'tồn TP 24.02'!A:A,'Trình bày'!B99)</f>
        <v>2644</v>
      </c>
      <c r="F99" s="198">
        <f>IFERROR(_xlfn.XLOOKUP(B99,'tồn TP 24.02'!A:A,'tồn TP 24.02'!L:L),0)</f>
        <v>0</v>
      </c>
      <c r="G99" s="218"/>
      <c r="H99" s="219"/>
      <c r="I99" s="220"/>
      <c r="J99" s="201"/>
      <c r="K99" s="49"/>
      <c r="L99" s="56"/>
      <c r="M99" s="184"/>
      <c r="N99" s="4" t="s">
        <v>267</v>
      </c>
      <c r="O99" s="4" t="s">
        <v>632</v>
      </c>
    </row>
    <row r="100" spans="1:20" hidden="1" outlineLevel="1">
      <c r="A100" s="9">
        <f t="shared" si="16"/>
        <v>5</v>
      </c>
      <c r="B100" s="4" t="s">
        <v>157</v>
      </c>
      <c r="C100" s="4" t="s">
        <v>43</v>
      </c>
      <c r="D100" s="24" t="s">
        <v>228</v>
      </c>
      <c r="E100" s="198">
        <f>SUMIFS('tồn TP 24.02'!H:H,'tồn TP 24.02'!A:A,'Trình bày'!B100)</f>
        <v>0</v>
      </c>
      <c r="F100" s="198">
        <f>IFERROR(_xlfn.XLOOKUP(B100,'tồn TP 24.02'!A:A,'tồn TP 24.02'!L:L),0)</f>
        <v>0</v>
      </c>
      <c r="G100" s="218" t="s">
        <v>627</v>
      </c>
      <c r="H100" s="219" t="s">
        <v>639</v>
      </c>
      <c r="I100" s="220" t="s">
        <v>640</v>
      </c>
      <c r="J100" s="201"/>
      <c r="K100" s="49"/>
      <c r="L100" s="56"/>
      <c r="M100" s="184"/>
      <c r="N100" s="4" t="s">
        <v>267</v>
      </c>
      <c r="O100" s="4"/>
    </row>
    <row r="101" spans="1:20" hidden="1" outlineLevel="1">
      <c r="A101" s="9">
        <f t="shared" si="16"/>
        <v>6</v>
      </c>
      <c r="B101" s="4" t="s">
        <v>158</v>
      </c>
      <c r="C101" s="4" t="s">
        <v>44</v>
      </c>
      <c r="D101" s="24" t="s">
        <v>228</v>
      </c>
      <c r="E101" s="198">
        <f>SUMIFS('tồn TP 24.02'!H:H,'tồn TP 24.02'!A:A,'Trình bày'!B101)</f>
        <v>0</v>
      </c>
      <c r="F101" s="198">
        <f>IFERROR(_xlfn.XLOOKUP(B101,'tồn TP 24.02'!A:A,'tồn TP 24.02'!L:L),0)</f>
        <v>0</v>
      </c>
      <c r="G101" s="218" t="s">
        <v>627</v>
      </c>
      <c r="H101" s="219" t="s">
        <v>639</v>
      </c>
      <c r="I101" s="220" t="s">
        <v>640</v>
      </c>
      <c r="J101" s="201"/>
      <c r="K101" s="49"/>
      <c r="L101" s="56"/>
      <c r="M101" s="184"/>
      <c r="N101" s="4" t="s">
        <v>267</v>
      </c>
      <c r="O101" s="4"/>
      <c r="Q101" s="42">
        <v>790</v>
      </c>
      <c r="R101" s="46">
        <f>J101</f>
        <v>0</v>
      </c>
      <c r="S101" s="62">
        <f>Q101-R101</f>
        <v>790</v>
      </c>
      <c r="T101" s="63">
        <f>S101/Q101</f>
        <v>1</v>
      </c>
    </row>
    <row r="102" spans="1:20" outlineLevel="1">
      <c r="A102" s="9">
        <f t="shared" si="16"/>
        <v>7</v>
      </c>
      <c r="B102" s="4" t="s">
        <v>160</v>
      </c>
      <c r="C102" s="4" t="s">
        <v>46</v>
      </c>
      <c r="D102" s="24" t="s">
        <v>233</v>
      </c>
      <c r="E102" s="198">
        <f>SUMIFS('tồn TP 24.02'!H:H,'tồn TP 24.02'!A:A,'Trình bày'!B102)</f>
        <v>43838</v>
      </c>
      <c r="F102" s="198">
        <f>IFERROR(_xlfn.XLOOKUP(B102,'tồn TP 24.02'!A:A,'tồn TP 24.02'!L:L),0)</f>
        <v>0</v>
      </c>
      <c r="G102" s="218"/>
      <c r="H102" s="219"/>
      <c r="I102" s="220"/>
      <c r="J102" s="201"/>
      <c r="K102" s="49"/>
      <c r="L102" s="56"/>
      <c r="M102" s="184"/>
      <c r="N102" s="4" t="s">
        <v>267</v>
      </c>
      <c r="O102" s="4" t="s">
        <v>631</v>
      </c>
      <c r="Q102" s="42">
        <v>790</v>
      </c>
      <c r="R102" s="46">
        <f>J102</f>
        <v>0</v>
      </c>
      <c r="S102" s="62">
        <f>Q102-R102</f>
        <v>790</v>
      </c>
      <c r="T102" s="63">
        <f>S102/Q102</f>
        <v>1</v>
      </c>
    </row>
    <row r="103" spans="1:20" outlineLevel="1">
      <c r="A103" s="9">
        <f t="shared" si="16"/>
        <v>8</v>
      </c>
      <c r="B103" s="4" t="s">
        <v>185</v>
      </c>
      <c r="C103" s="4" t="s">
        <v>71</v>
      </c>
      <c r="D103" s="24"/>
      <c r="E103" s="198">
        <f>SUMIFS('tồn TP 24.02'!H:H,'tồn TP 24.02'!A:A,'Trình bày'!B103)</f>
        <v>5115.6000000000004</v>
      </c>
      <c r="F103" s="198">
        <f>IFERROR(_xlfn.XLOOKUP(B103,'tồn TP 24.02'!A:A,'tồn TP 24.02'!L:L),0)</f>
        <v>0</v>
      </c>
      <c r="G103" s="198"/>
      <c r="H103" s="219"/>
      <c r="I103" s="220"/>
      <c r="J103" s="201"/>
      <c r="K103" s="49"/>
      <c r="L103" s="56"/>
      <c r="M103" s="184"/>
      <c r="N103" s="4" t="s">
        <v>267</v>
      </c>
      <c r="O103" s="4"/>
    </row>
    <row r="104" spans="1:20" hidden="1" outlineLevel="1">
      <c r="A104" s="9">
        <f t="shared" si="16"/>
        <v>9</v>
      </c>
      <c r="B104" s="4" t="s">
        <v>143</v>
      </c>
      <c r="C104" s="4" t="s">
        <v>29</v>
      </c>
      <c r="D104" s="24" t="s">
        <v>229</v>
      </c>
      <c r="E104" s="222">
        <f>SUMIFS('tồn TP 24.02'!H:H,'tồn TP 24.02'!A:A,'Trình bày'!B104)</f>
        <v>0</v>
      </c>
      <c r="F104" s="198">
        <f>IFERROR(_xlfn.XLOOKUP(B104,'tồn TP 24.02'!A:A,'tồn TP 24.02'!L:L),0)</f>
        <v>0</v>
      </c>
      <c r="G104" s="218" t="s">
        <v>628</v>
      </c>
      <c r="H104" s="219" t="s">
        <v>641</v>
      </c>
      <c r="I104" s="220" t="s">
        <v>640</v>
      </c>
      <c r="J104" s="201"/>
      <c r="K104" s="49"/>
      <c r="L104" s="56"/>
      <c r="M104" s="187"/>
      <c r="N104" s="4" t="s">
        <v>267</v>
      </c>
      <c r="O104" s="4"/>
    </row>
    <row r="105" spans="1:20" s="18" customFormat="1" ht="15.5">
      <c r="A105" s="14" t="s">
        <v>262</v>
      </c>
      <c r="B105" s="15" t="s">
        <v>245</v>
      </c>
      <c r="C105" s="15"/>
      <c r="D105" s="22"/>
      <c r="E105" s="212"/>
      <c r="F105" s="212"/>
      <c r="G105" s="212"/>
      <c r="H105" s="213"/>
      <c r="I105" s="214"/>
      <c r="J105" s="215"/>
      <c r="K105" s="48"/>
      <c r="L105" s="55"/>
      <c r="M105" s="183"/>
      <c r="N105" s="15"/>
      <c r="O105" s="15"/>
    </row>
    <row r="106" spans="1:20" s="18" customFormat="1" ht="15.5">
      <c r="A106" s="12" t="s">
        <v>239</v>
      </c>
      <c r="B106" s="13" t="s">
        <v>240</v>
      </c>
      <c r="C106" s="13"/>
      <c r="D106" s="23"/>
      <c r="E106" s="206"/>
      <c r="F106" s="206"/>
      <c r="G106" s="206"/>
      <c r="H106" s="207"/>
      <c r="I106" s="208"/>
      <c r="J106" s="209"/>
      <c r="K106" s="47"/>
      <c r="L106" s="54"/>
      <c r="M106" s="182"/>
      <c r="N106" s="13"/>
      <c r="O106" s="13"/>
    </row>
    <row r="107" spans="1:20" outlineLevel="1">
      <c r="A107" s="9">
        <v>1</v>
      </c>
      <c r="B107" s="4" t="s">
        <v>169</v>
      </c>
      <c r="C107" s="4" t="s">
        <v>55</v>
      </c>
      <c r="D107" s="24" t="s">
        <v>226</v>
      </c>
      <c r="E107" s="198">
        <f>SUMIFS('tồn TP 24.02'!H:H,'tồn TP 24.02'!A:A,'Trình bày'!B107)</f>
        <v>30700.1</v>
      </c>
      <c r="F107" s="198">
        <f>IFERROR(_xlfn.XLOOKUP(B107,'tồn TP 24.02'!A:A,'tồn TP 24.02'!L:L),0)</f>
        <v>11250</v>
      </c>
      <c r="G107" s="198"/>
      <c r="H107" s="199"/>
      <c r="I107" s="200"/>
      <c r="J107" s="201"/>
      <c r="K107" s="200"/>
      <c r="L107" s="53"/>
      <c r="M107" s="181"/>
      <c r="N107" s="4"/>
      <c r="O107" s="4" t="s">
        <v>634</v>
      </c>
    </row>
    <row r="108" spans="1:20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198">
        <f>SUMIFS('tồn TP 24.02'!H:H,'tồn TP 24.02'!A:A,'Trình bày'!B108)</f>
        <v>119803</v>
      </c>
      <c r="F108" s="198">
        <f>IFERROR(_xlfn.XLOOKUP(B108,'tồn TP 24.02'!A:A,'tồn TP 24.02'!L:L),0)</f>
        <v>0</v>
      </c>
      <c r="G108" s="198"/>
      <c r="H108" s="199"/>
      <c r="I108" s="200"/>
      <c r="J108" s="201"/>
      <c r="K108" s="200"/>
      <c r="L108" s="53"/>
      <c r="M108" s="181"/>
      <c r="N108" s="4"/>
      <c r="O108" s="4" t="s">
        <v>631</v>
      </c>
    </row>
    <row r="109" spans="1:20" outlineLevel="1">
      <c r="A109" s="9"/>
      <c r="B109" s="4"/>
      <c r="C109" s="4"/>
      <c r="D109" s="24"/>
      <c r="E109" s="198"/>
      <c r="F109" s="198"/>
      <c r="G109" s="198"/>
      <c r="H109" s="199"/>
      <c r="I109" s="200"/>
      <c r="J109" s="201"/>
      <c r="K109" s="200"/>
      <c r="L109" s="53"/>
      <c r="M109" s="181"/>
      <c r="N109" s="4"/>
      <c r="O109" s="4"/>
    </row>
    <row r="110" spans="1:20" s="18" customFormat="1" ht="15.5">
      <c r="A110" s="12" t="s">
        <v>241</v>
      </c>
      <c r="B110" s="13" t="s">
        <v>242</v>
      </c>
      <c r="C110" s="13"/>
      <c r="D110" s="23"/>
      <c r="E110" s="206"/>
      <c r="F110" s="206"/>
      <c r="G110" s="206"/>
      <c r="H110" s="207"/>
      <c r="I110" s="208"/>
      <c r="J110" s="209"/>
      <c r="K110" s="208"/>
      <c r="L110" s="54"/>
      <c r="M110" s="182"/>
      <c r="N110" s="13"/>
      <c r="O110" s="13"/>
    </row>
    <row r="111" spans="1:20" outlineLevel="1">
      <c r="A111" s="9">
        <v>1</v>
      </c>
      <c r="B111" s="4" t="s">
        <v>170</v>
      </c>
      <c r="C111" s="4" t="s">
        <v>56</v>
      </c>
      <c r="D111" s="24" t="s">
        <v>226</v>
      </c>
      <c r="E111" s="198">
        <f>SUMIFS('tồn TP 24.02'!H:H,'tồn TP 24.02'!A:A,'Trình bày'!B111)</f>
        <v>2250</v>
      </c>
      <c r="F111" s="198">
        <f>IFERROR(_xlfn.XLOOKUP(B111,'tồn TP 24.02'!A:A,'tồn TP 24.02'!L:L),0)</f>
        <v>0</v>
      </c>
      <c r="G111" s="198"/>
      <c r="H111" s="199"/>
      <c r="I111" s="200"/>
      <c r="J111" s="201"/>
      <c r="K111" s="200"/>
      <c r="L111" s="53"/>
      <c r="M111" s="181"/>
      <c r="N111" s="4"/>
      <c r="O111" s="4" t="s">
        <v>633</v>
      </c>
    </row>
    <row r="112" spans="1:20" s="197" customFormat="1" ht="43.5" outlineLevel="1">
      <c r="A112" s="24">
        <f>+A111+1</f>
        <v>2</v>
      </c>
      <c r="B112" s="193" t="s">
        <v>183</v>
      </c>
      <c r="C112" s="193" t="s">
        <v>69</v>
      </c>
      <c r="D112" s="24" t="s">
        <v>225</v>
      </c>
      <c r="E112" s="223">
        <f>SUMIFS('tồn TP 24.02'!H:H,'tồn TP 24.02'!A:A,'Trình bày'!B112)</f>
        <v>5250</v>
      </c>
      <c r="F112" s="223">
        <f>IFERROR(_xlfn.XLOOKUP(B112,'tồn TP 24.02'!A:A,'tồn TP 24.02'!L:L),0)</f>
        <v>0</v>
      </c>
      <c r="G112" s="223"/>
      <c r="H112" s="224"/>
      <c r="I112" s="225"/>
      <c r="J112" s="226"/>
      <c r="K112" s="225"/>
      <c r="L112" s="194"/>
      <c r="M112" s="195"/>
      <c r="N112" s="196" t="s">
        <v>643</v>
      </c>
      <c r="O112" s="193" t="s">
        <v>642</v>
      </c>
    </row>
    <row r="113" spans="1:15" outlineLevel="1">
      <c r="A113" s="9">
        <f>+A112+1</f>
        <v>3</v>
      </c>
      <c r="B113" s="20" t="s">
        <v>424</v>
      </c>
      <c r="C113" s="20" t="s">
        <v>423</v>
      </c>
      <c r="D113" s="26" t="s">
        <v>228</v>
      </c>
      <c r="E113" s="227">
        <f>SUMIFS('tồn TP 24.02'!H:H,'tồn TP 24.02'!A:A,'Trình bày'!B113)</f>
        <v>750</v>
      </c>
      <c r="F113" s="227">
        <f>IFERROR(_xlfn.XLOOKUP(B113,'tồn TP 24.02'!A:A,'tồn TP 24.02'!L:L),0)</f>
        <v>0</v>
      </c>
      <c r="G113" s="227"/>
      <c r="H113" s="228"/>
      <c r="I113" s="229"/>
      <c r="J113" s="230"/>
      <c r="K113" s="229"/>
      <c r="L113" s="166"/>
      <c r="M113" s="192"/>
      <c r="N113" s="20"/>
      <c r="O113" s="20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  <c r="M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O113" xr:uid="{B546816D-46E9-4C95-9906-AEA9E12D0734}">
    <filterColumn colId="4">
      <filters blank="1">
        <filter val="1.370"/>
        <filter val="1.448"/>
        <filter val="1.500"/>
        <filter val="1.649.997"/>
        <filter val="1.749"/>
        <filter val="1.765"/>
        <filter val="1.999.805"/>
        <filter val="108.125"/>
        <filter val="11.000"/>
        <filter val="11.304"/>
        <filter val="119.803"/>
        <filter val="13.180"/>
        <filter val="13.300"/>
        <filter val="141"/>
        <filter val="15.628"/>
        <filter val="154.880"/>
        <filter val="157.175"/>
        <filter val="159.326"/>
        <filter val="16.099"/>
        <filter val="171.598"/>
        <filter val="18.774"/>
        <filter val="2.250"/>
        <filter val="2.644"/>
        <filter val="2.678"/>
        <filter val="2.750"/>
        <filter val="21.245"/>
        <filter val="244.672"/>
        <filter val="27.000"/>
        <filter val="27.833"/>
        <filter val="287.100"/>
        <filter val="29.015"/>
        <filter val="29.275"/>
        <filter val="3.448"/>
        <filter val="3.575"/>
        <filter val="3.637"/>
        <filter val="3.890"/>
        <filter val="30.700"/>
        <filter val="32.406"/>
        <filter val="326.364"/>
        <filter val="34.030"/>
        <filter val="350"/>
        <filter val="37.399"/>
        <filter val="37.672"/>
        <filter val="377.595"/>
        <filter val="378.162"/>
        <filter val="4.515"/>
        <filter val="40.547"/>
        <filter val="404.077"/>
        <filter val="43.838"/>
        <filter val="48.550"/>
        <filter val="5.116"/>
        <filter val="5.250"/>
        <filter val="5.700"/>
        <filter val="503.605"/>
        <filter val="51.387"/>
        <filter val="519"/>
        <filter val="52.800"/>
        <filter val="570.336"/>
        <filter val="59.110"/>
        <filter val="6.235"/>
        <filter val="6.947"/>
        <filter val="65.840"/>
        <filter val="65.925"/>
        <filter val="68.712"/>
        <filter val="73.650"/>
        <filter val="750"/>
        <filter val="788.631"/>
        <filter val="800"/>
        <filter val="88.328"/>
        <filter val="90.593"/>
        <filter val="93.558"/>
      </filters>
    </filterColumn>
  </autoFilter>
  <mergeCells count="1">
    <mergeCell ref="N74:N80"/>
  </mergeCells>
  <conditionalFormatting sqref="I7:I56 I58:I85 I105:I113">
    <cfRule type="cellIs" dxfId="40" priority="101" operator="lessThan">
      <formula>0</formula>
    </cfRule>
    <cfRule type="cellIs" dxfId="39" priority="106" operator="lessThan">
      <formula>-1</formula>
    </cfRule>
    <cfRule type="cellIs" dxfId="38" priority="107" operator="greaterThanOrEqual">
      <formula>0</formula>
    </cfRule>
  </conditionalFormatting>
  <conditionalFormatting sqref="K7:M56">
    <cfRule type="cellIs" dxfId="37" priority="1" operator="lessThan">
      <formula>0</formula>
    </cfRule>
    <cfRule type="cellIs" dxfId="36" priority="2" operator="lessThan">
      <formula>-1</formula>
    </cfRule>
  </conditionalFormatting>
  <conditionalFormatting sqref="K7:M113">
    <cfRule type="cellIs" dxfId="35" priority="3" operator="greaterThanOrEqual">
      <formula>0</formula>
    </cfRule>
  </conditionalFormatting>
  <conditionalFormatting sqref="K57:M112 M111:M113">
    <cfRule type="cellIs" dxfId="34" priority="102" operator="lessThan">
      <formula>-1</formula>
    </cfRule>
  </conditionalFormatting>
  <conditionalFormatting sqref="K57:M113">
    <cfRule type="cellIs" dxfId="33" priority="100" operator="lessThan">
      <formula>0</formula>
    </cfRule>
  </conditionalFormatting>
  <conditionalFormatting sqref="K113:M113">
    <cfRule type="cellIs" dxfId="32" priority="82" operator="lessThan">
      <formula>-1</formula>
    </cfRule>
  </conditionalFormatting>
  <conditionalFormatting sqref="R86:S86">
    <cfRule type="cellIs" dxfId="31" priority="97" operator="lessThan">
      <formula>0</formula>
    </cfRule>
    <cfRule type="cellIs" dxfId="30" priority="98" operator="lessThan">
      <formula>-1</formula>
    </cfRule>
    <cfRule type="cellIs" dxfId="29" priority="99" operator="greaterThanOrEqual">
      <formula>0</formula>
    </cfRule>
  </conditionalFormatting>
  <conditionalFormatting sqref="R91:S93">
    <cfRule type="cellIs" dxfId="28" priority="93" operator="greaterThanOrEqual">
      <formula>0</formula>
    </cfRule>
    <cfRule type="cellIs" dxfId="27" priority="94" operator="lessThan">
      <formula>0</formula>
    </cfRule>
    <cfRule type="cellIs" dxfId="26" priority="95" operator="lessThan">
      <formula>-1</formula>
    </cfRule>
  </conditionalFormatting>
  <conditionalFormatting sqref="R92:S93">
    <cfRule type="cellIs" dxfId="25" priority="91" operator="lessThan">
      <formula>0</formula>
    </cfRule>
    <cfRule type="cellIs" dxfId="24" priority="92" operator="lessThan">
      <formula>-1</formula>
    </cfRule>
  </conditionalFormatting>
  <conditionalFormatting sqref="R101:S102">
    <cfRule type="cellIs" dxfId="23" priority="85" operator="lessThan">
      <formula>0</formula>
    </cfRule>
    <cfRule type="cellIs" dxfId="22" priority="86" operator="lessThan">
      <formula>-1</formula>
    </cfRule>
    <cfRule type="cellIs" dxfId="21" priority="87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AC71-46D2-4DD6-839B-8D6820F61D1D}">
  <sheetPr>
    <tabColor rgb="FF00B050"/>
  </sheetPr>
  <dimension ref="A1:W79"/>
  <sheetViews>
    <sheetView zoomScale="90" zoomScaleNormal="90" workbookViewId="0">
      <pane xSplit="11" ySplit="10" topLeftCell="R60" activePane="bottomRight" state="frozen"/>
      <selection activeCell="U19" sqref="U19"/>
      <selection pane="topRight" activeCell="U19" sqref="U19"/>
      <selection pane="bottomLeft" activeCell="U19" sqref="U19"/>
      <selection pane="bottomRight" activeCell="F15" sqref="F15"/>
    </sheetView>
  </sheetViews>
  <sheetFormatPr defaultColWidth="8.7265625" defaultRowHeight="14" outlineLevelCol="1"/>
  <cols>
    <col min="1" max="1" width="8" style="64" hidden="1" customWidth="1"/>
    <col min="2" max="2" width="6.7265625" style="64" hidden="1" customWidth="1"/>
    <col min="3" max="3" width="9" style="64" customWidth="1"/>
    <col min="4" max="4" width="17.7265625" style="65" customWidth="1"/>
    <col min="5" max="5" width="10.7265625" style="64" customWidth="1"/>
    <col min="6" max="6" width="8.26953125" style="64" customWidth="1"/>
    <col min="7" max="7" width="12.26953125" style="64" customWidth="1"/>
    <col min="8" max="8" width="26.453125" style="64" bestFit="1" customWidth="1"/>
    <col min="9" max="9" width="9.7265625" style="64" customWidth="1"/>
    <col min="10" max="11" width="13.7265625" style="64" hidden="1" customWidth="1"/>
    <col min="12" max="12" width="10.7265625" style="167" customWidth="1"/>
    <col min="13" max="13" width="8.7265625" style="67" customWidth="1" outlineLevel="1"/>
    <col min="14" max="14" width="12.453125" style="67" customWidth="1" outlineLevel="1"/>
    <col min="15" max="15" width="14.54296875" style="64" customWidth="1" outlineLevel="1"/>
    <col min="16" max="16" width="11.7265625" style="64" customWidth="1"/>
    <col min="17" max="17" width="13.7265625" style="64" customWidth="1"/>
    <col min="18" max="18" width="10.7265625" style="64" customWidth="1"/>
    <col min="19" max="19" width="14.7265625" style="64" customWidth="1"/>
    <col min="20" max="20" width="10.7265625" style="64" customWidth="1"/>
    <col min="21" max="21" width="10.453125" style="64" customWidth="1"/>
    <col min="22" max="22" width="23.7265625" style="64" customWidth="1"/>
    <col min="23" max="23" width="16.54296875" style="64" bestFit="1" customWidth="1"/>
    <col min="24" max="16384" width="8.7265625" style="64"/>
  </cols>
  <sheetData>
    <row r="1" spans="1:23" ht="15" hidden="1">
      <c r="C1" s="126" t="s">
        <v>287</v>
      </c>
      <c r="H1" s="66" t="s">
        <v>288</v>
      </c>
    </row>
    <row r="2" spans="1:23" ht="15" hidden="1">
      <c r="C2" s="127" t="s">
        <v>289</v>
      </c>
      <c r="H2" s="68" t="s">
        <v>290</v>
      </c>
      <c r="I2" s="69">
        <v>25000</v>
      </c>
      <c r="J2" s="69"/>
      <c r="K2" s="69"/>
    </row>
    <row r="3" spans="1:23" ht="15" hidden="1">
      <c r="C3" s="126" t="s">
        <v>291</v>
      </c>
      <c r="H3" s="68" t="s">
        <v>292</v>
      </c>
      <c r="I3" s="69">
        <v>1</v>
      </c>
      <c r="J3" s="69"/>
      <c r="K3" s="69"/>
    </row>
    <row r="4" spans="1:23" ht="11.15" hidden="1" customHeight="1"/>
    <row r="5" spans="1:23" ht="20" hidden="1">
      <c r="D5" s="128" t="s">
        <v>293</v>
      </c>
      <c r="E5" s="128">
        <v>2025</v>
      </c>
    </row>
    <row r="6" spans="1:23">
      <c r="N6" s="164"/>
      <c r="O6" s="70">
        <f>O7/M7</f>
        <v>1279.7747165441276</v>
      </c>
      <c r="P6" s="70">
        <f>Q7/M7</f>
        <v>484.8692551372169</v>
      </c>
      <c r="T6" s="64" t="s">
        <v>434</v>
      </c>
      <c r="U6" s="78">
        <v>26000</v>
      </c>
    </row>
    <row r="7" spans="1:23">
      <c r="G7" s="70"/>
      <c r="H7" s="70"/>
      <c r="I7" s="70"/>
      <c r="L7" s="71" t="s">
        <v>294</v>
      </c>
      <c r="M7" s="141">
        <f>SUBTOTAL(9,M11:M77)</f>
        <v>5940.96</v>
      </c>
      <c r="N7" s="73"/>
      <c r="O7" s="142">
        <f>SUBTOTAL(9,O11:O77)</f>
        <v>7603090.4000000004</v>
      </c>
      <c r="P7" s="143"/>
      <c r="Q7" s="142">
        <f>SUBTOTAL(9,Q11:Q77)</f>
        <v>2880588.85</v>
      </c>
      <c r="R7" s="142">
        <f>SUBTOTAL(9,R11:R77)</f>
        <v>-4722501.5500000007</v>
      </c>
      <c r="S7" s="142">
        <f>SUBTOTAL(9,S11:S77)</f>
        <v>-122785040300</v>
      </c>
      <c r="T7" s="142"/>
      <c r="U7" s="142"/>
    </row>
    <row r="8" spans="1:23">
      <c r="I8" s="74"/>
      <c r="L8" s="71"/>
      <c r="M8" s="72"/>
      <c r="N8" s="72"/>
      <c r="O8" s="72"/>
      <c r="V8" s="64" t="s">
        <v>440</v>
      </c>
      <c r="W8" s="172">
        <v>19661585076.787682</v>
      </c>
    </row>
    <row r="9" spans="1:23" s="75" customFormat="1" ht="14.25" customHeight="1">
      <c r="D9" s="76"/>
      <c r="L9" s="168"/>
      <c r="M9" s="80"/>
      <c r="N9" s="238" t="s">
        <v>608</v>
      </c>
      <c r="O9" s="239"/>
      <c r="P9" s="240" t="s">
        <v>609</v>
      </c>
      <c r="Q9" s="241"/>
      <c r="R9" s="242" t="s">
        <v>390</v>
      </c>
      <c r="S9" s="242"/>
      <c r="V9" s="160" t="s">
        <v>435</v>
      </c>
      <c r="W9" s="171">
        <v>11134240500</v>
      </c>
    </row>
    <row r="10" spans="1:23" s="75" customFormat="1" ht="34.5" customHeight="1">
      <c r="A10" s="77" t="s">
        <v>295</v>
      </c>
      <c r="B10" s="81" t="s">
        <v>296</v>
      </c>
      <c r="C10" s="82" t="s">
        <v>297</v>
      </c>
      <c r="D10" s="83" t="s">
        <v>298</v>
      </c>
      <c r="E10" s="81" t="s">
        <v>299</v>
      </c>
      <c r="F10" s="81" t="s">
        <v>300</v>
      </c>
      <c r="G10" s="82" t="s">
        <v>301</v>
      </c>
      <c r="H10" s="81" t="s">
        <v>302</v>
      </c>
      <c r="I10" s="84" t="s">
        <v>303</v>
      </c>
      <c r="J10" s="84" t="s">
        <v>304</v>
      </c>
      <c r="K10" s="84" t="s">
        <v>305</v>
      </c>
      <c r="L10" s="169" t="s">
        <v>306</v>
      </c>
      <c r="M10" s="85" t="s">
        <v>603</v>
      </c>
      <c r="N10" s="86" t="s">
        <v>388</v>
      </c>
      <c r="O10" s="86" t="s">
        <v>389</v>
      </c>
      <c r="P10" s="96" t="s">
        <v>388</v>
      </c>
      <c r="Q10" s="96" t="s">
        <v>389</v>
      </c>
      <c r="R10" s="97" t="s">
        <v>290</v>
      </c>
      <c r="S10" s="97" t="s">
        <v>292</v>
      </c>
      <c r="V10" s="160" t="s">
        <v>436</v>
      </c>
      <c r="W10" s="171">
        <v>2850000000</v>
      </c>
    </row>
    <row r="11" spans="1:23" ht="15.5">
      <c r="A11" s="134" t="s">
        <v>312</v>
      </c>
      <c r="B11" s="129" t="s">
        <v>313</v>
      </c>
      <c r="C11" s="88" t="s">
        <v>604</v>
      </c>
      <c r="D11" s="135" t="s">
        <v>605</v>
      </c>
      <c r="E11" s="130" t="s">
        <v>309</v>
      </c>
      <c r="F11" s="130" t="s">
        <v>310</v>
      </c>
      <c r="G11" s="88" t="s">
        <v>121</v>
      </c>
      <c r="H11" s="131" t="s">
        <v>7</v>
      </c>
      <c r="I11" s="131" t="s">
        <v>111</v>
      </c>
      <c r="J11" s="131">
        <v>0</v>
      </c>
      <c r="K11" s="131" t="s">
        <v>319</v>
      </c>
      <c r="L11" s="170">
        <v>0.8</v>
      </c>
      <c r="M11" s="133">
        <v>44</v>
      </c>
      <c r="N11" s="90">
        <v>1350</v>
      </c>
      <c r="O11" s="91">
        <f t="shared" ref="O11:O69" si="0">IFERROR(M11*N11,0)</f>
        <v>59400</v>
      </c>
      <c r="P11" s="87">
        <f>_xlfn.XLOOKUP(G11,'Trình bày'!B:B,'Trình bày'!H:H)</f>
        <v>0</v>
      </c>
      <c r="Q11" s="87">
        <f t="shared" ref="Q11:Q69" si="1">IFERROR(M11*P11,0)</f>
        <v>0</v>
      </c>
      <c r="R11" s="157">
        <f t="shared" ref="R11:R69" si="2">Q11-O11</f>
        <v>-59400</v>
      </c>
      <c r="S11" s="157">
        <f t="shared" ref="S11:S42" si="3">R11*$U$6</f>
        <v>-1544400000</v>
      </c>
      <c r="T11" s="78"/>
      <c r="V11" s="64" t="s">
        <v>437</v>
      </c>
      <c r="W11" s="172">
        <v>3271999000</v>
      </c>
    </row>
    <row r="12" spans="1:23" ht="15.5">
      <c r="A12" s="134" t="s">
        <v>312</v>
      </c>
      <c r="B12" s="129" t="s">
        <v>313</v>
      </c>
      <c r="C12" s="88" t="s">
        <v>314</v>
      </c>
      <c r="D12" s="135" t="s">
        <v>315</v>
      </c>
      <c r="E12" s="130" t="s">
        <v>316</v>
      </c>
      <c r="F12" s="130" t="s">
        <v>316</v>
      </c>
      <c r="G12" s="88" t="s">
        <v>257</v>
      </c>
      <c r="H12" s="131" t="s">
        <v>317</v>
      </c>
      <c r="I12" s="131" t="s">
        <v>318</v>
      </c>
      <c r="J12" s="131">
        <v>0</v>
      </c>
      <c r="K12" s="131" t="s">
        <v>319</v>
      </c>
      <c r="L12" s="170">
        <v>0.8</v>
      </c>
      <c r="M12" s="133">
        <v>5.25</v>
      </c>
      <c r="N12" s="90">
        <v>850</v>
      </c>
      <c r="O12" s="91">
        <f t="shared" si="0"/>
        <v>4462.5</v>
      </c>
      <c r="P12" s="190">
        <v>665</v>
      </c>
      <c r="Q12" s="87">
        <f t="shared" si="1"/>
        <v>3491.25</v>
      </c>
      <c r="R12" s="157">
        <f t="shared" si="2"/>
        <v>-971.25</v>
      </c>
      <c r="S12" s="157">
        <f t="shared" si="3"/>
        <v>-25252500</v>
      </c>
      <c r="T12" s="78"/>
    </row>
    <row r="13" spans="1:23" ht="15.5">
      <c r="A13" s="134" t="s">
        <v>321</v>
      </c>
      <c r="B13" s="129" t="s">
        <v>322</v>
      </c>
      <c r="C13" s="88" t="s">
        <v>314</v>
      </c>
      <c r="D13" s="92" t="s">
        <v>315</v>
      </c>
      <c r="E13" s="130" t="s">
        <v>316</v>
      </c>
      <c r="F13" s="130" t="s">
        <v>316</v>
      </c>
      <c r="G13" s="88" t="s">
        <v>257</v>
      </c>
      <c r="H13" s="131" t="s">
        <v>320</v>
      </c>
      <c r="I13" s="131" t="s">
        <v>115</v>
      </c>
      <c r="J13" s="131">
        <v>0</v>
      </c>
      <c r="K13" s="131" t="s">
        <v>325</v>
      </c>
      <c r="L13" s="170">
        <v>0.8</v>
      </c>
      <c r="M13" s="93">
        <v>10.5</v>
      </c>
      <c r="N13" s="90">
        <v>850</v>
      </c>
      <c r="O13" s="91">
        <f t="shared" si="0"/>
        <v>8925</v>
      </c>
      <c r="P13" s="190">
        <v>650</v>
      </c>
      <c r="Q13" s="87">
        <f t="shared" si="1"/>
        <v>6825</v>
      </c>
      <c r="R13" s="157">
        <f t="shared" si="2"/>
        <v>-2100</v>
      </c>
      <c r="S13" s="157">
        <f t="shared" si="3"/>
        <v>-54600000</v>
      </c>
      <c r="T13" s="78"/>
      <c r="V13" s="143" t="s">
        <v>441</v>
      </c>
      <c r="W13" s="161">
        <f>W8-SUM(W9:W11)</f>
        <v>2405345576.7876816</v>
      </c>
    </row>
    <row r="14" spans="1:23" ht="15.5">
      <c r="A14" s="134" t="s">
        <v>312</v>
      </c>
      <c r="B14" s="129" t="s">
        <v>313</v>
      </c>
      <c r="C14" s="88" t="s">
        <v>606</v>
      </c>
      <c r="D14" s="94" t="s">
        <v>607</v>
      </c>
      <c r="E14" s="130" t="s">
        <v>316</v>
      </c>
      <c r="F14" s="130" t="s">
        <v>316</v>
      </c>
      <c r="G14" s="88" t="s">
        <v>133</v>
      </c>
      <c r="H14" s="131" t="s">
        <v>19</v>
      </c>
      <c r="I14" s="131" t="s">
        <v>111</v>
      </c>
      <c r="J14" s="131">
        <v>0.8</v>
      </c>
      <c r="K14" s="131" t="s">
        <v>311</v>
      </c>
      <c r="L14" s="170">
        <v>0.8</v>
      </c>
      <c r="M14" s="93">
        <v>110</v>
      </c>
      <c r="N14" s="90">
        <v>1075</v>
      </c>
      <c r="O14" s="91">
        <f>IFERROR(M14*N14,0)</f>
        <v>118250</v>
      </c>
      <c r="P14" s="87">
        <f>_xlfn.XLOOKUP(G14,'Trình bày'!B:B,'Trình bày'!H:H)</f>
        <v>0</v>
      </c>
      <c r="Q14" s="87">
        <f t="shared" si="1"/>
        <v>0</v>
      </c>
      <c r="R14" s="157">
        <f t="shared" si="2"/>
        <v>-118250</v>
      </c>
      <c r="S14" s="157">
        <f t="shared" si="3"/>
        <v>-3074500000</v>
      </c>
      <c r="T14" s="78"/>
      <c r="V14" s="64" t="s">
        <v>438</v>
      </c>
      <c r="W14" s="78">
        <f>S7</f>
        <v>-122785040300</v>
      </c>
    </row>
    <row r="15" spans="1:23" ht="20.65" customHeight="1">
      <c r="A15" s="134" t="s">
        <v>321</v>
      </c>
      <c r="B15" s="129" t="s">
        <v>313</v>
      </c>
      <c r="C15" s="88" t="s">
        <v>323</v>
      </c>
      <c r="D15" s="94" t="s">
        <v>324</v>
      </c>
      <c r="E15" s="130" t="s">
        <v>316</v>
      </c>
      <c r="F15" s="130" t="s">
        <v>316</v>
      </c>
      <c r="G15" s="89" t="s">
        <v>173</v>
      </c>
      <c r="H15" s="131" t="s">
        <v>59</v>
      </c>
      <c r="I15" s="131" t="s">
        <v>318</v>
      </c>
      <c r="J15" s="131">
        <v>0.84</v>
      </c>
      <c r="K15" s="131" t="s">
        <v>311</v>
      </c>
      <c r="L15" s="170">
        <v>0.8</v>
      </c>
      <c r="M15" s="93">
        <v>44</v>
      </c>
      <c r="N15" s="90">
        <v>1380</v>
      </c>
      <c r="O15" s="91">
        <f t="shared" si="0"/>
        <v>60720</v>
      </c>
      <c r="P15" s="190">
        <v>1330</v>
      </c>
      <c r="Q15" s="87">
        <f t="shared" si="1"/>
        <v>58520</v>
      </c>
      <c r="R15" s="157">
        <f t="shared" si="2"/>
        <v>-2200</v>
      </c>
      <c r="S15" s="157">
        <f t="shared" si="3"/>
        <v>-57200000</v>
      </c>
      <c r="T15" s="78"/>
      <c r="W15" s="158"/>
    </row>
    <row r="16" spans="1:23" ht="15.5">
      <c r="A16" s="134" t="s">
        <v>321</v>
      </c>
      <c r="B16" s="129" t="s">
        <v>313</v>
      </c>
      <c r="C16" s="88" t="s">
        <v>326</v>
      </c>
      <c r="D16" s="94" t="s">
        <v>327</v>
      </c>
      <c r="E16" s="130" t="s">
        <v>316</v>
      </c>
      <c r="F16" s="130" t="s">
        <v>316</v>
      </c>
      <c r="G16" s="89" t="s">
        <v>131</v>
      </c>
      <c r="H16" s="131" t="s">
        <v>328</v>
      </c>
      <c r="I16" s="131" t="s">
        <v>111</v>
      </c>
      <c r="J16" s="131">
        <v>0.84</v>
      </c>
      <c r="K16" s="131" t="s">
        <v>311</v>
      </c>
      <c r="L16" s="170">
        <v>0.8</v>
      </c>
      <c r="M16" s="93">
        <v>50</v>
      </c>
      <c r="N16" s="90">
        <v>1260</v>
      </c>
      <c r="O16" s="91">
        <f t="shared" si="0"/>
        <v>63000</v>
      </c>
      <c r="P16" s="87">
        <f>_xlfn.XLOOKUP(G16,'Trình bày'!B:B,'Trình bày'!H:H)</f>
        <v>0</v>
      </c>
      <c r="Q16" s="87">
        <f t="shared" si="1"/>
        <v>0</v>
      </c>
      <c r="R16" s="157">
        <f t="shared" si="2"/>
        <v>-63000</v>
      </c>
      <c r="S16" s="157">
        <f t="shared" si="3"/>
        <v>-1638000000</v>
      </c>
      <c r="T16" s="78"/>
      <c r="V16" s="64" t="s">
        <v>610</v>
      </c>
      <c r="W16" s="163">
        <f>W13+W14</f>
        <v>-120379694723.21231</v>
      </c>
    </row>
    <row r="17" spans="1:23" ht="15.5">
      <c r="A17" s="134" t="s">
        <v>331</v>
      </c>
      <c r="B17" s="129" t="s">
        <v>313</v>
      </c>
      <c r="C17" s="88" t="s">
        <v>329</v>
      </c>
      <c r="D17" s="92" t="s">
        <v>330</v>
      </c>
      <c r="E17" s="130" t="s">
        <v>316</v>
      </c>
      <c r="F17" s="130" t="s">
        <v>316</v>
      </c>
      <c r="G17" s="88" t="s">
        <v>121</v>
      </c>
      <c r="H17" s="131" t="s">
        <v>7</v>
      </c>
      <c r="I17" s="131" t="s">
        <v>111</v>
      </c>
      <c r="J17" s="131">
        <v>0.7</v>
      </c>
      <c r="K17" s="131" t="s">
        <v>333</v>
      </c>
      <c r="L17" s="170">
        <v>1</v>
      </c>
      <c r="M17" s="93">
        <v>264</v>
      </c>
      <c r="N17" s="90">
        <v>1400</v>
      </c>
      <c r="O17" s="91">
        <f t="shared" si="0"/>
        <v>369600</v>
      </c>
      <c r="P17" s="87">
        <f>_xlfn.XLOOKUP(G17,'Trình bày'!B:B,'Trình bày'!H:H)</f>
        <v>0</v>
      </c>
      <c r="Q17" s="87">
        <f t="shared" si="1"/>
        <v>0</v>
      </c>
      <c r="R17" s="157">
        <f t="shared" si="2"/>
        <v>-369600</v>
      </c>
      <c r="S17" s="157">
        <f t="shared" si="3"/>
        <v>-9609600000</v>
      </c>
      <c r="T17" s="78"/>
      <c r="V17" s="64" t="s">
        <v>442</v>
      </c>
      <c r="W17" s="159">
        <f>W16/W13</f>
        <v>-50.046735855717813</v>
      </c>
    </row>
    <row r="18" spans="1:23" ht="15.5">
      <c r="A18" s="134" t="s">
        <v>334</v>
      </c>
      <c r="B18" s="129" t="s">
        <v>308</v>
      </c>
      <c r="C18" s="88" t="s">
        <v>329</v>
      </c>
      <c r="D18" s="92" t="s">
        <v>330</v>
      </c>
      <c r="E18" s="130" t="s">
        <v>316</v>
      </c>
      <c r="F18" s="130" t="s">
        <v>316</v>
      </c>
      <c r="G18" s="88" t="s">
        <v>121</v>
      </c>
      <c r="H18" s="131" t="s">
        <v>7</v>
      </c>
      <c r="I18" s="131" t="s">
        <v>111</v>
      </c>
      <c r="J18" s="131">
        <v>0</v>
      </c>
      <c r="K18" s="131" t="s">
        <v>319</v>
      </c>
      <c r="L18" s="170">
        <v>0.8</v>
      </c>
      <c r="M18" s="93">
        <v>176</v>
      </c>
      <c r="N18" s="90">
        <v>1400</v>
      </c>
      <c r="O18" s="91">
        <f t="shared" si="0"/>
        <v>246400</v>
      </c>
      <c r="P18" s="87">
        <f>_xlfn.XLOOKUP(G18,'Trình bày'!B:B,'Trình bày'!H:H)</f>
        <v>0</v>
      </c>
      <c r="Q18" s="87">
        <f t="shared" si="1"/>
        <v>0</v>
      </c>
      <c r="R18" s="157">
        <f t="shared" si="2"/>
        <v>-246400</v>
      </c>
      <c r="S18" s="157">
        <f t="shared" si="3"/>
        <v>-6406400000</v>
      </c>
      <c r="T18" s="78"/>
    </row>
    <row r="19" spans="1:23" ht="15.5">
      <c r="A19" s="134" t="s">
        <v>334</v>
      </c>
      <c r="B19" s="129" t="s">
        <v>308</v>
      </c>
      <c r="C19" s="88"/>
      <c r="D19" s="92" t="s">
        <v>332</v>
      </c>
      <c r="E19" s="130" t="s">
        <v>316</v>
      </c>
      <c r="F19" s="130" t="s">
        <v>316</v>
      </c>
      <c r="G19" s="88" t="s">
        <v>154</v>
      </c>
      <c r="H19" s="131" t="s">
        <v>40</v>
      </c>
      <c r="I19" s="131" t="s">
        <v>112</v>
      </c>
      <c r="J19" s="131">
        <v>0</v>
      </c>
      <c r="K19" s="131" t="s">
        <v>319</v>
      </c>
      <c r="L19" s="170">
        <v>0.8</v>
      </c>
      <c r="M19" s="93">
        <v>100</v>
      </c>
      <c r="N19" s="90">
        <v>1100</v>
      </c>
      <c r="O19" s="91">
        <f t="shared" si="0"/>
        <v>110000</v>
      </c>
      <c r="P19" s="87">
        <f>_xlfn.XLOOKUP(G19,'Trình bày'!B:B,'Trình bày'!H:H)</f>
        <v>0</v>
      </c>
      <c r="Q19" s="87">
        <f t="shared" si="1"/>
        <v>0</v>
      </c>
      <c r="R19" s="157">
        <f t="shared" si="2"/>
        <v>-110000</v>
      </c>
      <c r="S19" s="157">
        <f t="shared" si="3"/>
        <v>-2860000000</v>
      </c>
      <c r="T19" s="78"/>
    </row>
    <row r="20" spans="1:23" ht="15.5">
      <c r="A20" s="134" t="s">
        <v>334</v>
      </c>
      <c r="B20" s="129" t="s">
        <v>308</v>
      </c>
      <c r="C20" s="88" t="s">
        <v>335</v>
      </c>
      <c r="D20" s="92" t="s">
        <v>336</v>
      </c>
      <c r="E20" s="130" t="s">
        <v>309</v>
      </c>
      <c r="F20" s="130" t="s">
        <v>337</v>
      </c>
      <c r="G20" s="88" t="s">
        <v>205</v>
      </c>
      <c r="H20" s="131" t="s">
        <v>91</v>
      </c>
      <c r="I20" s="131" t="s">
        <v>115</v>
      </c>
      <c r="J20" s="131">
        <v>0</v>
      </c>
      <c r="K20" s="131" t="s">
        <v>319</v>
      </c>
      <c r="L20" s="170">
        <v>0.8</v>
      </c>
      <c r="M20" s="93">
        <v>5.83</v>
      </c>
      <c r="N20" s="90">
        <v>1000</v>
      </c>
      <c r="O20" s="91">
        <f t="shared" si="0"/>
        <v>5830</v>
      </c>
      <c r="P20" s="190">
        <v>915</v>
      </c>
      <c r="Q20" s="87">
        <f t="shared" si="1"/>
        <v>5334.45</v>
      </c>
      <c r="R20" s="157">
        <f t="shared" si="2"/>
        <v>-495.55000000000018</v>
      </c>
      <c r="S20" s="157">
        <f t="shared" si="3"/>
        <v>-12884300.000000006</v>
      </c>
      <c r="T20" s="78"/>
    </row>
    <row r="21" spans="1:23" ht="15.5">
      <c r="A21" s="134" t="s">
        <v>338</v>
      </c>
      <c r="B21" s="129" t="s">
        <v>308</v>
      </c>
      <c r="C21" s="88" t="s">
        <v>335</v>
      </c>
      <c r="D21" s="92" t="s">
        <v>336</v>
      </c>
      <c r="E21" s="130" t="s">
        <v>309</v>
      </c>
      <c r="F21" s="130" t="s">
        <v>337</v>
      </c>
      <c r="G21" s="88" t="s">
        <v>282</v>
      </c>
      <c r="H21" s="131" t="s">
        <v>283</v>
      </c>
      <c r="I21" s="131" t="s">
        <v>115</v>
      </c>
      <c r="J21" s="131">
        <v>0</v>
      </c>
      <c r="K21" s="131" t="s">
        <v>325</v>
      </c>
      <c r="L21" s="170">
        <v>0.8</v>
      </c>
      <c r="M21" s="93">
        <v>6.11</v>
      </c>
      <c r="N21" s="90">
        <v>1000</v>
      </c>
      <c r="O21" s="91">
        <f t="shared" si="0"/>
        <v>6110</v>
      </c>
      <c r="P21" s="190">
        <v>915</v>
      </c>
      <c r="Q21" s="87">
        <f t="shared" si="1"/>
        <v>5590.6500000000005</v>
      </c>
      <c r="R21" s="157">
        <f t="shared" si="2"/>
        <v>-519.34999999999945</v>
      </c>
      <c r="S21" s="157">
        <f t="shared" si="3"/>
        <v>-13503099.999999985</v>
      </c>
      <c r="T21" s="78"/>
    </row>
    <row r="22" spans="1:23" ht="15.5">
      <c r="A22" s="134" t="s">
        <v>338</v>
      </c>
      <c r="B22" s="129" t="s">
        <v>308</v>
      </c>
      <c r="C22" s="88" t="s">
        <v>335</v>
      </c>
      <c r="D22" s="94" t="s">
        <v>336</v>
      </c>
      <c r="E22" s="130" t="s">
        <v>309</v>
      </c>
      <c r="F22" s="130" t="s">
        <v>337</v>
      </c>
      <c r="G22" s="88" t="s">
        <v>204</v>
      </c>
      <c r="H22" s="131" t="s">
        <v>90</v>
      </c>
      <c r="I22" s="131" t="s">
        <v>115</v>
      </c>
      <c r="J22" s="131">
        <v>0.74</v>
      </c>
      <c r="K22" s="131" t="s">
        <v>311</v>
      </c>
      <c r="L22" s="170">
        <v>0.8</v>
      </c>
      <c r="M22" s="93">
        <v>13</v>
      </c>
      <c r="N22" s="90">
        <v>1000</v>
      </c>
      <c r="O22" s="91">
        <f t="shared" si="0"/>
        <v>13000</v>
      </c>
      <c r="P22" s="190">
        <v>915</v>
      </c>
      <c r="Q22" s="87">
        <f t="shared" si="1"/>
        <v>11895</v>
      </c>
      <c r="R22" s="157">
        <f t="shared" si="2"/>
        <v>-1105</v>
      </c>
      <c r="S22" s="157">
        <f t="shared" si="3"/>
        <v>-28730000</v>
      </c>
      <c r="T22" s="78"/>
    </row>
    <row r="23" spans="1:23" ht="15.5">
      <c r="A23" s="136" t="s">
        <v>321</v>
      </c>
      <c r="B23" s="129" t="s">
        <v>308</v>
      </c>
      <c r="C23" s="88" t="s">
        <v>339</v>
      </c>
      <c r="D23" s="94" t="s">
        <v>340</v>
      </c>
      <c r="E23" s="130" t="s">
        <v>309</v>
      </c>
      <c r="F23" s="130" t="s">
        <v>337</v>
      </c>
      <c r="G23" s="88" t="s">
        <v>133</v>
      </c>
      <c r="H23" s="131" t="s">
        <v>19</v>
      </c>
      <c r="I23" s="131" t="s">
        <v>111</v>
      </c>
      <c r="J23" s="131">
        <v>0.84</v>
      </c>
      <c r="K23" s="131" t="s">
        <v>311</v>
      </c>
      <c r="L23" s="170">
        <v>0.8</v>
      </c>
      <c r="M23" s="93">
        <v>400</v>
      </c>
      <c r="N23" s="90">
        <v>1075</v>
      </c>
      <c r="O23" s="91">
        <f t="shared" si="0"/>
        <v>430000</v>
      </c>
      <c r="P23" s="190">
        <v>1100</v>
      </c>
      <c r="Q23" s="87">
        <f t="shared" si="1"/>
        <v>440000</v>
      </c>
      <c r="R23" s="157">
        <f t="shared" si="2"/>
        <v>10000</v>
      </c>
      <c r="S23" s="157">
        <f t="shared" si="3"/>
        <v>260000000</v>
      </c>
      <c r="T23" s="78"/>
    </row>
    <row r="24" spans="1:23" ht="28">
      <c r="A24" s="134" t="s">
        <v>334</v>
      </c>
      <c r="B24" s="129" t="s">
        <v>313</v>
      </c>
      <c r="C24" s="88"/>
      <c r="D24" s="92" t="s">
        <v>341</v>
      </c>
      <c r="E24" s="130" t="s">
        <v>309</v>
      </c>
      <c r="F24" s="130" t="s">
        <v>342</v>
      </c>
      <c r="G24" s="88" t="s">
        <v>151</v>
      </c>
      <c r="H24" s="131" t="s">
        <v>37</v>
      </c>
      <c r="I24" s="131" t="s">
        <v>111</v>
      </c>
      <c r="J24" s="131">
        <v>0</v>
      </c>
      <c r="K24" s="131" t="s">
        <v>319</v>
      </c>
      <c r="L24" s="170">
        <v>0.8</v>
      </c>
      <c r="M24" s="93">
        <v>550</v>
      </c>
      <c r="N24" s="90">
        <v>1500</v>
      </c>
      <c r="O24" s="91">
        <f t="shared" si="0"/>
        <v>825000</v>
      </c>
      <c r="P24" s="87">
        <f>_xlfn.XLOOKUP(G24,'Trình bày'!B:B,'Trình bày'!H:H)</f>
        <v>0</v>
      </c>
      <c r="Q24" s="87">
        <f t="shared" si="1"/>
        <v>0</v>
      </c>
      <c r="R24" s="157">
        <f t="shared" si="2"/>
        <v>-825000</v>
      </c>
      <c r="S24" s="157">
        <f t="shared" si="3"/>
        <v>-21450000000</v>
      </c>
      <c r="T24" s="78"/>
    </row>
    <row r="25" spans="1:23" ht="15.5">
      <c r="A25" s="134" t="s">
        <v>334</v>
      </c>
      <c r="B25" s="129" t="s">
        <v>313</v>
      </c>
      <c r="C25" s="88"/>
      <c r="D25" s="94" t="s">
        <v>344</v>
      </c>
      <c r="E25" s="130" t="s">
        <v>316</v>
      </c>
      <c r="F25" s="130" t="s">
        <v>316</v>
      </c>
      <c r="G25" s="88" t="s">
        <v>203</v>
      </c>
      <c r="H25" s="131" t="s">
        <v>89</v>
      </c>
      <c r="I25" s="131" t="s">
        <v>318</v>
      </c>
      <c r="J25" s="131">
        <v>0.8</v>
      </c>
      <c r="K25" s="131" t="s">
        <v>311</v>
      </c>
      <c r="L25" s="170">
        <v>0.8</v>
      </c>
      <c r="M25" s="93">
        <v>25</v>
      </c>
      <c r="N25" s="90">
        <v>850</v>
      </c>
      <c r="O25" s="91">
        <f t="shared" si="0"/>
        <v>21250</v>
      </c>
      <c r="P25" s="190">
        <v>665</v>
      </c>
      <c r="Q25" s="87">
        <f t="shared" si="1"/>
        <v>16625</v>
      </c>
      <c r="R25" s="157">
        <f t="shared" si="2"/>
        <v>-4625</v>
      </c>
      <c r="S25" s="157">
        <f t="shared" si="3"/>
        <v>-120250000</v>
      </c>
      <c r="T25" s="78"/>
    </row>
    <row r="26" spans="1:23" ht="15.5">
      <c r="A26" s="134" t="s">
        <v>307</v>
      </c>
      <c r="B26" s="129" t="s">
        <v>313</v>
      </c>
      <c r="C26" s="88" t="s">
        <v>345</v>
      </c>
      <c r="D26" s="92" t="s">
        <v>346</v>
      </c>
      <c r="E26" s="130" t="s">
        <v>316</v>
      </c>
      <c r="F26" s="130" t="s">
        <v>316</v>
      </c>
      <c r="G26" s="88" t="s">
        <v>118</v>
      </c>
      <c r="H26" s="131" t="s">
        <v>3</v>
      </c>
      <c r="I26" s="131" t="s">
        <v>111</v>
      </c>
      <c r="J26" s="131">
        <v>0</v>
      </c>
      <c r="K26" s="131" t="s">
        <v>325</v>
      </c>
      <c r="L26" s="170">
        <v>0.8</v>
      </c>
      <c r="M26" s="93">
        <v>22</v>
      </c>
      <c r="N26" s="90">
        <v>1330</v>
      </c>
      <c r="O26" s="91">
        <f t="shared" si="0"/>
        <v>29260</v>
      </c>
      <c r="P26" s="87">
        <f>_xlfn.XLOOKUP(G26,'Trình bày'!B:B,'Trình bày'!H:H)</f>
        <v>0</v>
      </c>
      <c r="Q26" s="87">
        <f t="shared" si="1"/>
        <v>0</v>
      </c>
      <c r="R26" s="157">
        <f t="shared" si="2"/>
        <v>-29260</v>
      </c>
      <c r="S26" s="157">
        <f t="shared" si="3"/>
        <v>-760760000</v>
      </c>
      <c r="T26" s="78"/>
    </row>
    <row r="27" spans="1:23" ht="15.5">
      <c r="A27" s="134" t="s">
        <v>331</v>
      </c>
      <c r="B27" s="129" t="s">
        <v>313</v>
      </c>
      <c r="C27" s="88" t="s">
        <v>347</v>
      </c>
      <c r="D27" s="94" t="s">
        <v>348</v>
      </c>
      <c r="E27" s="130" t="s">
        <v>316</v>
      </c>
      <c r="F27" s="130" t="s">
        <v>316</v>
      </c>
      <c r="G27" s="89" t="s">
        <v>126</v>
      </c>
      <c r="H27" s="131" t="s">
        <v>349</v>
      </c>
      <c r="I27" s="131" t="s">
        <v>318</v>
      </c>
      <c r="J27" s="131">
        <v>0.84</v>
      </c>
      <c r="K27" s="131" t="s">
        <v>311</v>
      </c>
      <c r="L27" s="170">
        <v>0.8</v>
      </c>
      <c r="M27" s="93">
        <v>40</v>
      </c>
      <c r="N27" s="90">
        <v>1350</v>
      </c>
      <c r="O27" s="91">
        <f t="shared" si="0"/>
        <v>54000</v>
      </c>
      <c r="P27" s="190">
        <v>1200</v>
      </c>
      <c r="Q27" s="87">
        <f t="shared" si="1"/>
        <v>48000</v>
      </c>
      <c r="R27" s="157">
        <f t="shared" si="2"/>
        <v>-6000</v>
      </c>
      <c r="S27" s="157">
        <f t="shared" si="3"/>
        <v>-156000000</v>
      </c>
      <c r="T27" s="78"/>
    </row>
    <row r="28" spans="1:23" ht="15.5">
      <c r="A28" s="134" t="s">
        <v>307</v>
      </c>
      <c r="B28" s="129" t="s">
        <v>308</v>
      </c>
      <c r="C28" s="88" t="s">
        <v>350</v>
      </c>
      <c r="D28" s="94" t="s">
        <v>351</v>
      </c>
      <c r="E28" s="130" t="s">
        <v>316</v>
      </c>
      <c r="F28" s="130" t="s">
        <v>316</v>
      </c>
      <c r="G28" s="89" t="s">
        <v>121</v>
      </c>
      <c r="H28" s="131" t="s">
        <v>7</v>
      </c>
      <c r="I28" s="131" t="s">
        <v>111</v>
      </c>
      <c r="J28" s="131">
        <v>0.84</v>
      </c>
      <c r="K28" s="131" t="s">
        <v>311</v>
      </c>
      <c r="L28" s="170">
        <v>0.8</v>
      </c>
      <c r="M28" s="93">
        <v>50</v>
      </c>
      <c r="N28" s="90">
        <v>1350</v>
      </c>
      <c r="O28" s="91">
        <f t="shared" si="0"/>
        <v>67500</v>
      </c>
      <c r="P28" s="87">
        <f>_xlfn.XLOOKUP(G28,'Trình bày'!B:B,'Trình bày'!H:H)</f>
        <v>0</v>
      </c>
      <c r="Q28" s="87">
        <f t="shared" si="1"/>
        <v>0</v>
      </c>
      <c r="R28" s="157">
        <f t="shared" si="2"/>
        <v>-67500</v>
      </c>
      <c r="S28" s="157">
        <f t="shared" si="3"/>
        <v>-1755000000</v>
      </c>
      <c r="T28" s="78"/>
    </row>
    <row r="29" spans="1:23" ht="15.5">
      <c r="A29" s="134" t="s">
        <v>331</v>
      </c>
      <c r="B29" s="129" t="s">
        <v>313</v>
      </c>
      <c r="C29" s="88" t="s">
        <v>352</v>
      </c>
      <c r="D29" s="94" t="s">
        <v>353</v>
      </c>
      <c r="E29" s="130" t="s">
        <v>309</v>
      </c>
      <c r="F29" s="130" t="s">
        <v>310</v>
      </c>
      <c r="G29" s="88" t="s">
        <v>121</v>
      </c>
      <c r="H29" s="131" t="s">
        <v>7</v>
      </c>
      <c r="I29" s="131" t="s">
        <v>111</v>
      </c>
      <c r="J29" s="131">
        <v>0.78</v>
      </c>
      <c r="K29" s="131" t="s">
        <v>311</v>
      </c>
      <c r="L29" s="170">
        <v>0.8</v>
      </c>
      <c r="M29" s="93">
        <v>88</v>
      </c>
      <c r="N29" s="90">
        <v>1350</v>
      </c>
      <c r="O29" s="91">
        <f t="shared" si="0"/>
        <v>118800</v>
      </c>
      <c r="P29" s="87">
        <f>_xlfn.XLOOKUP(G29,'Trình bày'!B:B,'Trình bày'!H:H)</f>
        <v>0</v>
      </c>
      <c r="Q29" s="87">
        <f t="shared" si="1"/>
        <v>0</v>
      </c>
      <c r="R29" s="157">
        <f t="shared" si="2"/>
        <v>-118800</v>
      </c>
      <c r="S29" s="157">
        <f t="shared" si="3"/>
        <v>-3088800000</v>
      </c>
      <c r="T29" s="78"/>
    </row>
    <row r="30" spans="1:23" s="138" customFormat="1" ht="15.5">
      <c r="A30" s="134" t="s">
        <v>331</v>
      </c>
      <c r="B30" s="129" t="s">
        <v>313</v>
      </c>
      <c r="C30" s="88"/>
      <c r="D30" s="92" t="s">
        <v>354</v>
      </c>
      <c r="E30" s="130" t="s">
        <v>316</v>
      </c>
      <c r="F30" s="130" t="s">
        <v>316</v>
      </c>
      <c r="G30" s="88" t="s">
        <v>130</v>
      </c>
      <c r="H30" s="131" t="s">
        <v>355</v>
      </c>
      <c r="I30" s="131" t="s">
        <v>111</v>
      </c>
      <c r="J30" s="131">
        <v>0</v>
      </c>
      <c r="K30" s="131" t="s">
        <v>319</v>
      </c>
      <c r="L30" s="170">
        <v>0.8</v>
      </c>
      <c r="M30" s="93">
        <v>5</v>
      </c>
      <c r="N30" s="90">
        <v>1270</v>
      </c>
      <c r="O30" s="91">
        <f t="shared" si="0"/>
        <v>6350</v>
      </c>
      <c r="P30" s="87">
        <f>_xlfn.XLOOKUP(G30,'Trình bày'!B:B,'Trình bày'!H:H)</f>
        <v>0</v>
      </c>
      <c r="Q30" s="87">
        <f t="shared" si="1"/>
        <v>0</v>
      </c>
      <c r="R30" s="157">
        <f t="shared" si="2"/>
        <v>-6350</v>
      </c>
      <c r="S30" s="157">
        <f t="shared" si="3"/>
        <v>-165100000</v>
      </c>
      <c r="T30" s="78"/>
    </row>
    <row r="31" spans="1:23" s="138" customFormat="1" ht="15.5">
      <c r="A31" s="134" t="s">
        <v>331</v>
      </c>
      <c r="B31" s="129" t="s">
        <v>313</v>
      </c>
      <c r="C31" s="88"/>
      <c r="D31" s="92" t="s">
        <v>354</v>
      </c>
      <c r="E31" s="130" t="s">
        <v>316</v>
      </c>
      <c r="F31" s="130" t="s">
        <v>316</v>
      </c>
      <c r="G31" s="88" t="s">
        <v>160</v>
      </c>
      <c r="H31" s="131" t="s">
        <v>46</v>
      </c>
      <c r="I31" s="131" t="s">
        <v>115</v>
      </c>
      <c r="J31" s="131">
        <v>0</v>
      </c>
      <c r="K31" s="131" t="s">
        <v>319</v>
      </c>
      <c r="L31" s="170">
        <v>0.8</v>
      </c>
      <c r="M31" s="93">
        <v>6</v>
      </c>
      <c r="N31" s="90">
        <v>850</v>
      </c>
      <c r="O31" s="91">
        <f t="shared" si="0"/>
        <v>5100</v>
      </c>
      <c r="P31" s="190">
        <v>705</v>
      </c>
      <c r="Q31" s="87">
        <f t="shared" si="1"/>
        <v>4230</v>
      </c>
      <c r="R31" s="157">
        <f t="shared" si="2"/>
        <v>-870</v>
      </c>
      <c r="S31" s="157">
        <f t="shared" si="3"/>
        <v>-22620000</v>
      </c>
      <c r="T31" s="78"/>
    </row>
    <row r="32" spans="1:23" ht="15.5">
      <c r="A32" s="134" t="s">
        <v>321</v>
      </c>
      <c r="B32" s="139" t="s">
        <v>322</v>
      </c>
      <c r="C32" s="88"/>
      <c r="D32" s="92" t="s">
        <v>356</v>
      </c>
      <c r="E32" s="130" t="s">
        <v>316</v>
      </c>
      <c r="F32" s="130" t="s">
        <v>316</v>
      </c>
      <c r="G32" s="88" t="s">
        <v>143</v>
      </c>
      <c r="H32" s="131" t="s">
        <v>29</v>
      </c>
      <c r="I32" s="131" t="s">
        <v>115</v>
      </c>
      <c r="J32" s="131">
        <v>0</v>
      </c>
      <c r="K32" s="131" t="s">
        <v>319</v>
      </c>
      <c r="L32" s="170">
        <v>0.8</v>
      </c>
      <c r="M32" s="93">
        <v>25</v>
      </c>
      <c r="N32" s="90">
        <v>850</v>
      </c>
      <c r="O32" s="91">
        <f t="shared" si="0"/>
        <v>21250</v>
      </c>
      <c r="P32" s="190">
        <v>705</v>
      </c>
      <c r="Q32" s="87">
        <f t="shared" si="1"/>
        <v>17625</v>
      </c>
      <c r="R32" s="157">
        <f t="shared" si="2"/>
        <v>-3625</v>
      </c>
      <c r="S32" s="157">
        <f t="shared" si="3"/>
        <v>-94250000</v>
      </c>
      <c r="T32" s="78"/>
    </row>
    <row r="33" spans="1:20" s="138" customFormat="1" ht="15.5">
      <c r="A33" s="134" t="s">
        <v>321</v>
      </c>
      <c r="B33" s="139" t="s">
        <v>322</v>
      </c>
      <c r="C33" s="88" t="s">
        <v>357</v>
      </c>
      <c r="D33" s="92" t="s">
        <v>358</v>
      </c>
      <c r="E33" s="130" t="s">
        <v>316</v>
      </c>
      <c r="F33" s="130" t="s">
        <v>316</v>
      </c>
      <c r="G33" s="88" t="s">
        <v>136</v>
      </c>
      <c r="H33" s="131" t="s">
        <v>22</v>
      </c>
      <c r="I33" s="131" t="s">
        <v>318</v>
      </c>
      <c r="J33" s="131">
        <v>0</v>
      </c>
      <c r="K33" s="131" t="s">
        <v>319</v>
      </c>
      <c r="L33" s="170">
        <v>0.8</v>
      </c>
      <c r="M33" s="93">
        <v>10</v>
      </c>
      <c r="N33" s="90">
        <v>850</v>
      </c>
      <c r="O33" s="91">
        <f t="shared" si="0"/>
        <v>8500</v>
      </c>
      <c r="P33" s="87">
        <f>_xlfn.XLOOKUP(G33,'Trình bày'!B:B,'Trình bày'!H:H)</f>
        <v>0</v>
      </c>
      <c r="Q33" s="87">
        <f t="shared" si="1"/>
        <v>0</v>
      </c>
      <c r="R33" s="157">
        <f t="shared" si="2"/>
        <v>-8500</v>
      </c>
      <c r="S33" s="157">
        <f t="shared" si="3"/>
        <v>-221000000</v>
      </c>
      <c r="T33" s="78"/>
    </row>
    <row r="34" spans="1:20" s="138" customFormat="1" ht="15.5">
      <c r="A34" s="134" t="s">
        <v>331</v>
      </c>
      <c r="B34" s="129" t="s">
        <v>313</v>
      </c>
      <c r="C34" s="88" t="s">
        <v>357</v>
      </c>
      <c r="D34" s="92" t="s">
        <v>358</v>
      </c>
      <c r="E34" s="130" t="s">
        <v>316</v>
      </c>
      <c r="F34" s="130" t="s">
        <v>316</v>
      </c>
      <c r="G34" s="88" t="s">
        <v>161</v>
      </c>
      <c r="H34" s="131" t="s">
        <v>47</v>
      </c>
      <c r="I34" s="131" t="s">
        <v>115</v>
      </c>
      <c r="J34" s="131">
        <v>0</v>
      </c>
      <c r="K34" s="131" t="s">
        <v>325</v>
      </c>
      <c r="L34" s="170">
        <v>0.8</v>
      </c>
      <c r="M34" s="93">
        <v>10</v>
      </c>
      <c r="N34" s="90">
        <v>850</v>
      </c>
      <c r="O34" s="91">
        <f t="shared" si="0"/>
        <v>8500</v>
      </c>
      <c r="P34" s="190">
        <v>705</v>
      </c>
      <c r="Q34" s="87">
        <f t="shared" si="1"/>
        <v>7050</v>
      </c>
      <c r="R34" s="157">
        <f t="shared" si="2"/>
        <v>-1450</v>
      </c>
      <c r="S34" s="157">
        <f t="shared" si="3"/>
        <v>-37700000</v>
      </c>
      <c r="T34" s="78"/>
    </row>
    <row r="35" spans="1:20" ht="15.5">
      <c r="A35" s="134" t="s">
        <v>307</v>
      </c>
      <c r="B35" s="129" t="s">
        <v>313</v>
      </c>
      <c r="C35" s="88" t="s">
        <v>359</v>
      </c>
      <c r="D35" s="94" t="s">
        <v>360</v>
      </c>
      <c r="E35" s="130" t="s">
        <v>316</v>
      </c>
      <c r="F35" s="130" t="s">
        <v>316</v>
      </c>
      <c r="G35" s="89" t="s">
        <v>127</v>
      </c>
      <c r="H35" s="131" t="s">
        <v>13</v>
      </c>
      <c r="I35" s="131" t="s">
        <v>318</v>
      </c>
      <c r="J35" s="131">
        <v>0.84</v>
      </c>
      <c r="K35" s="131" t="s">
        <v>311</v>
      </c>
      <c r="L35" s="170">
        <v>0.8</v>
      </c>
      <c r="M35" s="93">
        <v>50</v>
      </c>
      <c r="N35" s="90">
        <v>840</v>
      </c>
      <c r="O35" s="91">
        <f t="shared" si="0"/>
        <v>42000</v>
      </c>
      <c r="P35" s="87">
        <f>_xlfn.XLOOKUP(G35,'Trình bày'!B:B,'Trình bày'!H:H)</f>
        <v>0</v>
      </c>
      <c r="Q35" s="87">
        <f t="shared" si="1"/>
        <v>0</v>
      </c>
      <c r="R35" s="157">
        <f t="shared" si="2"/>
        <v>-42000</v>
      </c>
      <c r="S35" s="157">
        <f t="shared" si="3"/>
        <v>-1092000000</v>
      </c>
      <c r="T35" s="78"/>
    </row>
    <row r="36" spans="1:20" ht="15.5">
      <c r="A36" s="134" t="s">
        <v>321</v>
      </c>
      <c r="B36" s="129" t="s">
        <v>313</v>
      </c>
      <c r="C36" s="88" t="s">
        <v>361</v>
      </c>
      <c r="D36" s="94" t="s">
        <v>362</v>
      </c>
      <c r="E36" s="130" t="s">
        <v>316</v>
      </c>
      <c r="F36" s="130" t="s">
        <v>316</v>
      </c>
      <c r="G36" s="88" t="s">
        <v>121</v>
      </c>
      <c r="H36" s="131" t="s">
        <v>7</v>
      </c>
      <c r="I36" s="131" t="s">
        <v>111</v>
      </c>
      <c r="J36" s="131">
        <v>0.78</v>
      </c>
      <c r="K36" s="131" t="s">
        <v>311</v>
      </c>
      <c r="L36" s="170">
        <v>0.8</v>
      </c>
      <c r="M36" s="93">
        <v>88</v>
      </c>
      <c r="N36" s="90">
        <v>1360</v>
      </c>
      <c r="O36" s="91">
        <f t="shared" si="0"/>
        <v>119680</v>
      </c>
      <c r="P36" s="87">
        <f>_xlfn.XLOOKUP(G36,'Trình bày'!B:B,'Trình bày'!H:H)</f>
        <v>0</v>
      </c>
      <c r="Q36" s="87">
        <f t="shared" si="1"/>
        <v>0</v>
      </c>
      <c r="R36" s="157">
        <f t="shared" si="2"/>
        <v>-119680</v>
      </c>
      <c r="S36" s="157">
        <f t="shared" si="3"/>
        <v>-3111680000</v>
      </c>
      <c r="T36" s="78"/>
    </row>
    <row r="37" spans="1:20" ht="15.5">
      <c r="A37" s="134" t="s">
        <v>321</v>
      </c>
      <c r="B37" s="129" t="s">
        <v>322</v>
      </c>
      <c r="C37" s="88" t="s">
        <v>323</v>
      </c>
      <c r="D37" s="92" t="s">
        <v>324</v>
      </c>
      <c r="E37" s="130" t="s">
        <v>316</v>
      </c>
      <c r="F37" s="130" t="s">
        <v>316</v>
      </c>
      <c r="G37" s="88" t="s">
        <v>130</v>
      </c>
      <c r="H37" s="131" t="s">
        <v>355</v>
      </c>
      <c r="I37" s="131" t="s">
        <v>111</v>
      </c>
      <c r="J37" s="131">
        <v>0</v>
      </c>
      <c r="K37" s="131" t="s">
        <v>325</v>
      </c>
      <c r="L37" s="170">
        <v>1</v>
      </c>
      <c r="M37" s="93">
        <v>364</v>
      </c>
      <c r="N37" s="90">
        <v>1326</v>
      </c>
      <c r="O37" s="91">
        <f t="shared" si="0"/>
        <v>482664</v>
      </c>
      <c r="P37" s="190">
        <v>1280</v>
      </c>
      <c r="Q37" s="87">
        <f t="shared" si="1"/>
        <v>465920</v>
      </c>
      <c r="R37" s="157">
        <f t="shared" si="2"/>
        <v>-16744</v>
      </c>
      <c r="S37" s="157">
        <f t="shared" si="3"/>
        <v>-435344000</v>
      </c>
      <c r="T37" s="78"/>
    </row>
    <row r="38" spans="1:20" ht="15.5">
      <c r="A38" s="134" t="s">
        <v>321</v>
      </c>
      <c r="B38" s="129" t="s">
        <v>322</v>
      </c>
      <c r="C38" s="88" t="s">
        <v>323</v>
      </c>
      <c r="D38" s="92" t="s">
        <v>324</v>
      </c>
      <c r="E38" s="130" t="s">
        <v>316</v>
      </c>
      <c r="F38" s="130" t="s">
        <v>316</v>
      </c>
      <c r="G38" s="88" t="s">
        <v>126</v>
      </c>
      <c r="H38" s="131" t="s">
        <v>12</v>
      </c>
      <c r="I38" s="131" t="s">
        <v>318</v>
      </c>
      <c r="J38" s="131">
        <v>0</v>
      </c>
      <c r="K38" s="131" t="s">
        <v>325</v>
      </c>
      <c r="L38" s="170">
        <v>1</v>
      </c>
      <c r="M38" s="93">
        <v>250</v>
      </c>
      <c r="N38" s="90">
        <v>1428</v>
      </c>
      <c r="O38" s="91">
        <f t="shared" si="0"/>
        <v>357000</v>
      </c>
      <c r="P38" s="190">
        <v>1380</v>
      </c>
      <c r="Q38" s="87">
        <f t="shared" si="1"/>
        <v>345000</v>
      </c>
      <c r="R38" s="157">
        <f t="shared" si="2"/>
        <v>-12000</v>
      </c>
      <c r="S38" s="157">
        <f t="shared" si="3"/>
        <v>-312000000</v>
      </c>
      <c r="T38" s="78"/>
    </row>
    <row r="39" spans="1:20" ht="15.5">
      <c r="A39" s="134" t="s">
        <v>312</v>
      </c>
      <c r="B39" s="129" t="s">
        <v>308</v>
      </c>
      <c r="C39" s="88" t="s">
        <v>323</v>
      </c>
      <c r="D39" s="94" t="s">
        <v>324</v>
      </c>
      <c r="E39" s="130" t="s">
        <v>316</v>
      </c>
      <c r="F39" s="130" t="s">
        <v>316</v>
      </c>
      <c r="G39" s="89" t="s">
        <v>207</v>
      </c>
      <c r="H39" s="131" t="s">
        <v>93</v>
      </c>
      <c r="I39" s="131" t="s">
        <v>318</v>
      </c>
      <c r="J39" s="131">
        <v>0.84</v>
      </c>
      <c r="K39" s="131" t="s">
        <v>311</v>
      </c>
      <c r="L39" s="170">
        <v>1</v>
      </c>
      <c r="M39" s="93">
        <v>150</v>
      </c>
      <c r="N39" s="90">
        <v>1428</v>
      </c>
      <c r="O39" s="91">
        <f t="shared" si="0"/>
        <v>214200</v>
      </c>
      <c r="P39" s="190">
        <v>1380</v>
      </c>
      <c r="Q39" s="87">
        <f t="shared" si="1"/>
        <v>207000</v>
      </c>
      <c r="R39" s="157">
        <f t="shared" si="2"/>
        <v>-7200</v>
      </c>
      <c r="S39" s="157">
        <f t="shared" si="3"/>
        <v>-187200000</v>
      </c>
      <c r="T39" s="78"/>
    </row>
    <row r="40" spans="1:20" ht="15.5">
      <c r="A40" s="134" t="s">
        <v>338</v>
      </c>
      <c r="B40" s="129" t="s">
        <v>308</v>
      </c>
      <c r="C40" s="88"/>
      <c r="D40" s="94" t="s">
        <v>363</v>
      </c>
      <c r="E40" s="130" t="s">
        <v>309</v>
      </c>
      <c r="F40" s="130" t="s">
        <v>310</v>
      </c>
      <c r="G40" s="88" t="s">
        <v>121</v>
      </c>
      <c r="H40" s="131" t="s">
        <v>7</v>
      </c>
      <c r="I40" s="131" t="s">
        <v>111</v>
      </c>
      <c r="J40" s="131">
        <v>0.78</v>
      </c>
      <c r="K40" s="131" t="s">
        <v>311</v>
      </c>
      <c r="L40" s="170">
        <v>1</v>
      </c>
      <c r="M40" s="93">
        <v>110</v>
      </c>
      <c r="N40" s="90">
        <v>1350</v>
      </c>
      <c r="O40" s="91">
        <f t="shared" si="0"/>
        <v>148500</v>
      </c>
      <c r="P40" s="87">
        <f>_xlfn.XLOOKUP(G40,'Trình bày'!B:B,'Trình bày'!H:H)</f>
        <v>0</v>
      </c>
      <c r="Q40" s="87">
        <f t="shared" si="1"/>
        <v>0</v>
      </c>
      <c r="R40" s="157">
        <f t="shared" si="2"/>
        <v>-148500</v>
      </c>
      <c r="S40" s="157">
        <f t="shared" si="3"/>
        <v>-3861000000</v>
      </c>
      <c r="T40" s="78"/>
    </row>
    <row r="41" spans="1:20" ht="15.5">
      <c r="A41" s="134" t="s">
        <v>331</v>
      </c>
      <c r="B41" s="129" t="s">
        <v>308</v>
      </c>
      <c r="C41" s="88" t="s">
        <v>364</v>
      </c>
      <c r="D41" s="94" t="s">
        <v>365</v>
      </c>
      <c r="E41" s="130" t="s">
        <v>309</v>
      </c>
      <c r="F41" s="137" t="s">
        <v>337</v>
      </c>
      <c r="G41" s="88" t="s">
        <v>130</v>
      </c>
      <c r="H41" s="131" t="s">
        <v>355</v>
      </c>
      <c r="I41" s="131" t="s">
        <v>111</v>
      </c>
      <c r="J41" s="131">
        <v>0.78</v>
      </c>
      <c r="K41" s="131" t="s">
        <v>311</v>
      </c>
      <c r="L41" s="170">
        <v>1</v>
      </c>
      <c r="M41" s="93">
        <v>66</v>
      </c>
      <c r="N41" s="90">
        <v>1270</v>
      </c>
      <c r="O41" s="91">
        <f t="shared" si="0"/>
        <v>83820</v>
      </c>
      <c r="P41" s="190">
        <v>1080</v>
      </c>
      <c r="Q41" s="87">
        <f t="shared" si="1"/>
        <v>71280</v>
      </c>
      <c r="R41" s="157">
        <f t="shared" si="2"/>
        <v>-12540</v>
      </c>
      <c r="S41" s="157">
        <f t="shared" si="3"/>
        <v>-326040000</v>
      </c>
      <c r="T41" s="78"/>
    </row>
    <row r="42" spans="1:20" ht="15.5">
      <c r="A42" s="134" t="s">
        <v>331</v>
      </c>
      <c r="B42" s="129" t="s">
        <v>308</v>
      </c>
      <c r="C42" s="88" t="s">
        <v>366</v>
      </c>
      <c r="D42" s="94" t="s">
        <v>367</v>
      </c>
      <c r="E42" s="130" t="s">
        <v>309</v>
      </c>
      <c r="F42" s="130" t="s">
        <v>310</v>
      </c>
      <c r="G42" s="88" t="s">
        <v>130</v>
      </c>
      <c r="H42" s="131" t="s">
        <v>355</v>
      </c>
      <c r="I42" s="131" t="s">
        <v>111</v>
      </c>
      <c r="J42" s="131">
        <v>0.78</v>
      </c>
      <c r="K42" s="131" t="s">
        <v>311</v>
      </c>
      <c r="L42" s="170">
        <v>0.5</v>
      </c>
      <c r="M42" s="93">
        <v>44</v>
      </c>
      <c r="N42" s="90">
        <v>1270</v>
      </c>
      <c r="O42" s="91">
        <f t="shared" si="0"/>
        <v>55880</v>
      </c>
      <c r="P42" s="87">
        <f>_xlfn.XLOOKUP(G42,'Trình bày'!B:B,'Trình bày'!H:H)</f>
        <v>0</v>
      </c>
      <c r="Q42" s="87">
        <f t="shared" si="1"/>
        <v>0</v>
      </c>
      <c r="R42" s="157">
        <f t="shared" si="2"/>
        <v>-55880</v>
      </c>
      <c r="S42" s="157">
        <f t="shared" si="3"/>
        <v>-1452880000</v>
      </c>
      <c r="T42" s="78"/>
    </row>
    <row r="43" spans="1:20" ht="15.5">
      <c r="A43" s="134" t="s">
        <v>331</v>
      </c>
      <c r="B43" s="129" t="s">
        <v>308</v>
      </c>
      <c r="C43" s="88" t="s">
        <v>368</v>
      </c>
      <c r="D43" s="94" t="s">
        <v>369</v>
      </c>
      <c r="E43" s="130" t="s">
        <v>309</v>
      </c>
      <c r="F43" s="137" t="s">
        <v>337</v>
      </c>
      <c r="G43" s="88" t="s">
        <v>130</v>
      </c>
      <c r="H43" s="131" t="s">
        <v>355</v>
      </c>
      <c r="I43" s="131" t="s">
        <v>111</v>
      </c>
      <c r="J43" s="131">
        <v>0.78</v>
      </c>
      <c r="K43" s="131" t="s">
        <v>311</v>
      </c>
      <c r="L43" s="170">
        <v>1</v>
      </c>
      <c r="M43" s="93">
        <v>822</v>
      </c>
      <c r="N43" s="90">
        <v>1300</v>
      </c>
      <c r="O43" s="91">
        <f t="shared" si="0"/>
        <v>1068600</v>
      </c>
      <c r="P43" s="190">
        <v>1080</v>
      </c>
      <c r="Q43" s="87">
        <f t="shared" si="1"/>
        <v>887760</v>
      </c>
      <c r="R43" s="157">
        <f t="shared" si="2"/>
        <v>-180840</v>
      </c>
      <c r="S43" s="157">
        <f t="shared" ref="S43:S71" si="4">R43*$U$6</f>
        <v>-4701840000</v>
      </c>
      <c r="T43" s="78"/>
    </row>
    <row r="44" spans="1:20" ht="15.5">
      <c r="A44" s="134" t="s">
        <v>334</v>
      </c>
      <c r="B44" s="129" t="s">
        <v>313</v>
      </c>
      <c r="C44" s="88" t="s">
        <v>370</v>
      </c>
      <c r="D44" s="94" t="s">
        <v>371</v>
      </c>
      <c r="E44" s="130" t="s">
        <v>309</v>
      </c>
      <c r="F44" s="130" t="s">
        <v>337</v>
      </c>
      <c r="G44" s="88" t="s">
        <v>130</v>
      </c>
      <c r="H44" s="131" t="s">
        <v>355</v>
      </c>
      <c r="I44" s="131" t="s">
        <v>111</v>
      </c>
      <c r="J44" s="131">
        <v>0.8</v>
      </c>
      <c r="K44" s="131" t="s">
        <v>311</v>
      </c>
      <c r="L44" s="170">
        <v>1</v>
      </c>
      <c r="M44" s="93">
        <v>220</v>
      </c>
      <c r="N44" s="90">
        <v>1300</v>
      </c>
      <c r="O44" s="91">
        <f t="shared" si="0"/>
        <v>286000</v>
      </c>
      <c r="P44" s="190">
        <v>1080</v>
      </c>
      <c r="Q44" s="87">
        <f t="shared" si="1"/>
        <v>237600</v>
      </c>
      <c r="R44" s="157">
        <f t="shared" si="2"/>
        <v>-48400</v>
      </c>
      <c r="S44" s="157">
        <f t="shared" si="4"/>
        <v>-1258400000</v>
      </c>
      <c r="T44" s="78"/>
    </row>
    <row r="45" spans="1:20" ht="15.5">
      <c r="A45" s="134" t="s">
        <v>312</v>
      </c>
      <c r="B45" s="129" t="s">
        <v>308</v>
      </c>
      <c r="C45" s="88" t="s">
        <v>372</v>
      </c>
      <c r="D45" s="94" t="s">
        <v>373</v>
      </c>
      <c r="E45" s="130" t="s">
        <v>316</v>
      </c>
      <c r="F45" s="137" t="s">
        <v>316</v>
      </c>
      <c r="G45" s="89" t="s">
        <v>118</v>
      </c>
      <c r="H45" s="131" t="s">
        <v>3</v>
      </c>
      <c r="I45" s="131" t="s">
        <v>111</v>
      </c>
      <c r="J45" s="131">
        <v>0.84</v>
      </c>
      <c r="K45" s="131" t="s">
        <v>311</v>
      </c>
      <c r="L45" s="170">
        <v>1</v>
      </c>
      <c r="M45" s="93">
        <v>400</v>
      </c>
      <c r="N45" s="90">
        <v>1350</v>
      </c>
      <c r="O45" s="91">
        <f t="shared" si="0"/>
        <v>540000</v>
      </c>
      <c r="P45" s="87">
        <f>_xlfn.XLOOKUP(G45,'Trình bày'!B:B,'Trình bày'!H:H)</f>
        <v>0</v>
      </c>
      <c r="Q45" s="87">
        <f t="shared" si="1"/>
        <v>0</v>
      </c>
      <c r="R45" s="157">
        <f t="shared" si="2"/>
        <v>-540000</v>
      </c>
      <c r="S45" s="157">
        <f t="shared" si="4"/>
        <v>-14040000000</v>
      </c>
      <c r="T45" s="78"/>
    </row>
    <row r="46" spans="1:20" ht="15.5">
      <c r="A46" s="140" t="s">
        <v>321</v>
      </c>
      <c r="B46" s="129" t="s">
        <v>313</v>
      </c>
      <c r="C46" s="88" t="s">
        <v>374</v>
      </c>
      <c r="D46" s="94" t="s">
        <v>375</v>
      </c>
      <c r="E46" s="130" t="s">
        <v>309</v>
      </c>
      <c r="F46" s="130" t="s">
        <v>310</v>
      </c>
      <c r="G46" s="88" t="s">
        <v>121</v>
      </c>
      <c r="H46" s="95" t="s">
        <v>7</v>
      </c>
      <c r="I46" s="131" t="s">
        <v>111</v>
      </c>
      <c r="J46" s="95">
        <v>0.82</v>
      </c>
      <c r="K46" s="95" t="s">
        <v>311</v>
      </c>
      <c r="L46" s="165">
        <v>1</v>
      </c>
      <c r="M46" s="93">
        <v>110</v>
      </c>
      <c r="N46" s="90">
        <v>1350</v>
      </c>
      <c r="O46" s="91">
        <f t="shared" si="0"/>
        <v>148500</v>
      </c>
      <c r="P46" s="87">
        <f>_xlfn.XLOOKUP(G46,'Trình bày'!B:B,'Trình bày'!H:H)</f>
        <v>0</v>
      </c>
      <c r="Q46" s="87">
        <f t="shared" si="1"/>
        <v>0</v>
      </c>
      <c r="R46" s="157">
        <f t="shared" si="2"/>
        <v>-148500</v>
      </c>
      <c r="S46" s="157">
        <f t="shared" si="4"/>
        <v>-3861000000</v>
      </c>
      <c r="T46" s="78"/>
    </row>
    <row r="47" spans="1:20" ht="15.5">
      <c r="A47" s="140" t="s">
        <v>331</v>
      </c>
      <c r="B47" s="129" t="s">
        <v>308</v>
      </c>
      <c r="C47" s="88" t="s">
        <v>329</v>
      </c>
      <c r="D47" s="94" t="s">
        <v>330</v>
      </c>
      <c r="E47" s="130" t="s">
        <v>316</v>
      </c>
      <c r="F47" s="95" t="s">
        <v>316</v>
      </c>
      <c r="G47" s="88" t="s">
        <v>131</v>
      </c>
      <c r="H47" s="131" t="s">
        <v>376</v>
      </c>
      <c r="I47" s="131" t="s">
        <v>111</v>
      </c>
      <c r="J47" s="95">
        <v>0.78</v>
      </c>
      <c r="K47" s="95" t="s">
        <v>311</v>
      </c>
      <c r="L47" s="165">
        <v>0.5</v>
      </c>
      <c r="M47" s="93">
        <v>103.95</v>
      </c>
      <c r="N47" s="90">
        <v>1380</v>
      </c>
      <c r="O47" s="91">
        <f t="shared" si="0"/>
        <v>143451</v>
      </c>
      <c r="P47" s="87">
        <f>_xlfn.XLOOKUP(G47,'Trình bày'!B:B,'Trình bày'!H:H)</f>
        <v>0</v>
      </c>
      <c r="Q47" s="87">
        <f t="shared" si="1"/>
        <v>0</v>
      </c>
      <c r="R47" s="157">
        <f t="shared" si="2"/>
        <v>-143451</v>
      </c>
      <c r="S47" s="157">
        <f t="shared" si="4"/>
        <v>-3729726000</v>
      </c>
      <c r="T47" s="78"/>
    </row>
    <row r="48" spans="1:20" ht="28">
      <c r="A48" s="140" t="s">
        <v>307</v>
      </c>
      <c r="B48" s="129" t="s">
        <v>308</v>
      </c>
      <c r="C48" s="95" t="s">
        <v>377</v>
      </c>
      <c r="D48" s="94" t="s">
        <v>378</v>
      </c>
      <c r="E48" s="130" t="s">
        <v>309</v>
      </c>
      <c r="F48" s="95" t="s">
        <v>310</v>
      </c>
      <c r="G48" s="88" t="s">
        <v>130</v>
      </c>
      <c r="H48" s="95" t="s">
        <v>355</v>
      </c>
      <c r="I48" s="131" t="s">
        <v>111</v>
      </c>
      <c r="J48" s="95" t="s">
        <v>381</v>
      </c>
      <c r="K48" s="95" t="s">
        <v>382</v>
      </c>
      <c r="L48" s="165">
        <v>0.5</v>
      </c>
      <c r="M48" s="93">
        <v>13.86</v>
      </c>
      <c r="N48" s="90">
        <v>1250</v>
      </c>
      <c r="O48" s="91">
        <f t="shared" si="0"/>
        <v>17325</v>
      </c>
      <c r="P48" s="87">
        <f>_xlfn.XLOOKUP(G48,'Trình bày'!B:B,'Trình bày'!H:H)</f>
        <v>0</v>
      </c>
      <c r="Q48" s="87">
        <f t="shared" si="1"/>
        <v>0</v>
      </c>
      <c r="R48" s="157">
        <f t="shared" si="2"/>
        <v>-17325</v>
      </c>
      <c r="S48" s="157">
        <f t="shared" si="4"/>
        <v>-450450000</v>
      </c>
      <c r="T48" s="78"/>
    </row>
    <row r="49" spans="1:20" ht="15.5">
      <c r="A49" s="140" t="s">
        <v>312</v>
      </c>
      <c r="B49" s="129" t="s">
        <v>308</v>
      </c>
      <c r="C49" s="95"/>
      <c r="D49" s="94" t="s">
        <v>379</v>
      </c>
      <c r="E49" s="130" t="s">
        <v>309</v>
      </c>
      <c r="F49" s="95" t="s">
        <v>337</v>
      </c>
      <c r="G49" s="88" t="s">
        <v>425</v>
      </c>
      <c r="H49" s="95" t="s">
        <v>380</v>
      </c>
      <c r="I49" s="131" t="s">
        <v>111</v>
      </c>
      <c r="J49" s="95" t="s">
        <v>381</v>
      </c>
      <c r="K49" s="95" t="s">
        <v>382</v>
      </c>
      <c r="L49" s="165">
        <v>0.5</v>
      </c>
      <c r="M49" s="93">
        <v>75</v>
      </c>
      <c r="N49" s="90">
        <v>800</v>
      </c>
      <c r="O49" s="91">
        <f t="shared" si="0"/>
        <v>60000</v>
      </c>
      <c r="P49" s="87" t="e">
        <f>_xlfn.XLOOKUP(G49,'Trình bày'!B:B,'Trình bày'!H:H)</f>
        <v>#N/A</v>
      </c>
      <c r="Q49" s="87">
        <f t="shared" si="1"/>
        <v>0</v>
      </c>
      <c r="R49" s="157">
        <f t="shared" si="2"/>
        <v>-60000</v>
      </c>
      <c r="S49" s="157">
        <f t="shared" si="4"/>
        <v>-1560000000</v>
      </c>
      <c r="T49" s="78"/>
    </row>
    <row r="50" spans="1:20" ht="15.5">
      <c r="A50" s="140"/>
      <c r="B50" s="129" t="s">
        <v>308</v>
      </c>
      <c r="C50" s="95"/>
      <c r="D50" s="94" t="s">
        <v>379</v>
      </c>
      <c r="E50" s="130" t="s">
        <v>309</v>
      </c>
      <c r="F50" s="95" t="s">
        <v>337</v>
      </c>
      <c r="G50" s="95" t="s">
        <v>425</v>
      </c>
      <c r="H50" s="88" t="s">
        <v>380</v>
      </c>
      <c r="I50" s="131" t="s">
        <v>111</v>
      </c>
      <c r="J50" s="95">
        <v>0.84</v>
      </c>
      <c r="K50" s="95" t="s">
        <v>311</v>
      </c>
      <c r="L50" s="165">
        <v>0.5</v>
      </c>
      <c r="M50" s="93">
        <v>30</v>
      </c>
      <c r="N50" s="90">
        <v>800</v>
      </c>
      <c r="O50" s="91">
        <f t="shared" si="0"/>
        <v>24000</v>
      </c>
      <c r="P50" s="87" t="e">
        <f>_xlfn.XLOOKUP(G50,'Trình bày'!B:B,'Trình bày'!H:H)</f>
        <v>#N/A</v>
      </c>
      <c r="Q50" s="87">
        <f t="shared" si="1"/>
        <v>0</v>
      </c>
      <c r="R50" s="157">
        <f t="shared" si="2"/>
        <v>-24000</v>
      </c>
      <c r="S50" s="157">
        <f t="shared" si="4"/>
        <v>-624000000</v>
      </c>
      <c r="T50" s="175"/>
    </row>
    <row r="51" spans="1:20" ht="15.5">
      <c r="A51" s="140" t="s">
        <v>338</v>
      </c>
      <c r="B51" s="129" t="s">
        <v>308</v>
      </c>
      <c r="C51" s="95"/>
      <c r="D51" s="94" t="s">
        <v>379</v>
      </c>
      <c r="E51" s="130" t="s">
        <v>309</v>
      </c>
      <c r="F51" s="95" t="s">
        <v>337</v>
      </c>
      <c r="G51" s="88" t="s">
        <v>121</v>
      </c>
      <c r="H51" s="95" t="s">
        <v>7</v>
      </c>
      <c r="I51" s="131" t="s">
        <v>111</v>
      </c>
      <c r="J51" s="95" t="s">
        <v>381</v>
      </c>
      <c r="K51" s="95" t="s">
        <v>382</v>
      </c>
      <c r="L51" s="165">
        <v>0.5</v>
      </c>
      <c r="M51" s="93">
        <v>77.5</v>
      </c>
      <c r="N51" s="90">
        <v>1350</v>
      </c>
      <c r="O51" s="91">
        <f t="shared" si="0"/>
        <v>104625</v>
      </c>
      <c r="P51" s="87">
        <f>_xlfn.XLOOKUP(G51,'Trình bày'!B:B,'Trình bày'!H:H)</f>
        <v>0</v>
      </c>
      <c r="Q51" s="87">
        <f t="shared" si="1"/>
        <v>0</v>
      </c>
      <c r="R51" s="157">
        <f t="shared" si="2"/>
        <v>-104625</v>
      </c>
      <c r="S51" s="157">
        <f t="shared" si="4"/>
        <v>-2720250000</v>
      </c>
      <c r="T51" s="175"/>
    </row>
    <row r="52" spans="1:20" ht="15.5">
      <c r="A52" s="140" t="s">
        <v>334</v>
      </c>
      <c r="B52" s="129" t="s">
        <v>308</v>
      </c>
      <c r="C52" s="95"/>
      <c r="D52" s="94" t="s">
        <v>379</v>
      </c>
      <c r="E52" s="130" t="s">
        <v>309</v>
      </c>
      <c r="F52" s="95" t="s">
        <v>337</v>
      </c>
      <c r="G52" s="88" t="s">
        <v>425</v>
      </c>
      <c r="H52" s="95" t="s">
        <v>380</v>
      </c>
      <c r="I52" s="131" t="s">
        <v>111</v>
      </c>
      <c r="J52" s="95" t="s">
        <v>381</v>
      </c>
      <c r="K52" s="95" t="s">
        <v>382</v>
      </c>
      <c r="L52" s="165">
        <v>0.5</v>
      </c>
      <c r="M52" s="93">
        <v>75</v>
      </c>
      <c r="N52" s="90">
        <v>800</v>
      </c>
      <c r="O52" s="91">
        <f t="shared" si="0"/>
        <v>60000</v>
      </c>
      <c r="P52" s="87" t="e">
        <f>_xlfn.XLOOKUP(G52,'Trình bày'!B:B,'Trình bày'!H:H)</f>
        <v>#N/A</v>
      </c>
      <c r="Q52" s="87">
        <f t="shared" si="1"/>
        <v>0</v>
      </c>
      <c r="R52" s="157">
        <f t="shared" si="2"/>
        <v>-60000</v>
      </c>
      <c r="S52" s="157">
        <f t="shared" si="4"/>
        <v>-1560000000</v>
      </c>
      <c r="T52" s="78"/>
    </row>
    <row r="53" spans="1:20" ht="15.5">
      <c r="A53" s="140" t="s">
        <v>334</v>
      </c>
      <c r="B53" s="129" t="s">
        <v>313</v>
      </c>
      <c r="C53" s="95"/>
      <c r="D53" s="92" t="s">
        <v>379</v>
      </c>
      <c r="E53" s="130" t="s">
        <v>316</v>
      </c>
      <c r="F53" s="130" t="s">
        <v>316</v>
      </c>
      <c r="G53" s="88" t="s">
        <v>257</v>
      </c>
      <c r="H53" s="95" t="s">
        <v>317</v>
      </c>
      <c r="I53" s="131" t="s">
        <v>318</v>
      </c>
      <c r="J53" s="95">
        <v>0</v>
      </c>
      <c r="K53" s="95" t="s">
        <v>319</v>
      </c>
      <c r="L53" s="165">
        <v>0.8</v>
      </c>
      <c r="M53" s="93">
        <v>10</v>
      </c>
      <c r="N53" s="90">
        <v>820</v>
      </c>
      <c r="O53" s="91">
        <f t="shared" si="0"/>
        <v>8200</v>
      </c>
      <c r="P53" s="190">
        <v>665</v>
      </c>
      <c r="Q53" s="87">
        <f t="shared" si="1"/>
        <v>6650</v>
      </c>
      <c r="R53" s="157">
        <f t="shared" si="2"/>
        <v>-1550</v>
      </c>
      <c r="S53" s="157">
        <f t="shared" si="4"/>
        <v>-40300000</v>
      </c>
      <c r="T53" s="78"/>
    </row>
    <row r="54" spans="1:20" ht="15.5">
      <c r="A54" s="140" t="s">
        <v>307</v>
      </c>
      <c r="B54" s="129" t="s">
        <v>313</v>
      </c>
      <c r="C54" s="95"/>
      <c r="D54" s="92" t="s">
        <v>379</v>
      </c>
      <c r="E54" s="130" t="s">
        <v>316</v>
      </c>
      <c r="F54" s="130" t="s">
        <v>316</v>
      </c>
      <c r="G54" s="88" t="s">
        <v>179</v>
      </c>
      <c r="H54" s="95" t="s">
        <v>65</v>
      </c>
      <c r="I54" s="131" t="s">
        <v>318</v>
      </c>
      <c r="J54" s="95">
        <v>0</v>
      </c>
      <c r="K54" s="95" t="s">
        <v>325</v>
      </c>
      <c r="L54" s="165">
        <v>0.5</v>
      </c>
      <c r="M54" s="93">
        <v>20</v>
      </c>
      <c r="N54" s="90">
        <v>1300</v>
      </c>
      <c r="O54" s="91">
        <f t="shared" si="0"/>
        <v>26000</v>
      </c>
      <c r="P54" s="87">
        <f>_xlfn.XLOOKUP(G54,'Trình bày'!B:B,'Trình bày'!H:H)</f>
        <v>0</v>
      </c>
      <c r="Q54" s="87">
        <f t="shared" si="1"/>
        <v>0</v>
      </c>
      <c r="R54" s="157">
        <f t="shared" si="2"/>
        <v>-26000</v>
      </c>
      <c r="S54" s="157">
        <f t="shared" si="4"/>
        <v>-676000000</v>
      </c>
      <c r="T54" s="78"/>
    </row>
    <row r="55" spans="1:20" ht="15.5">
      <c r="A55" s="140" t="s">
        <v>312</v>
      </c>
      <c r="B55" s="129" t="s">
        <v>313</v>
      </c>
      <c r="C55" s="95"/>
      <c r="D55" s="92" t="s">
        <v>379</v>
      </c>
      <c r="E55" s="130" t="s">
        <v>316</v>
      </c>
      <c r="F55" s="130" t="s">
        <v>316</v>
      </c>
      <c r="G55" s="88" t="s">
        <v>179</v>
      </c>
      <c r="H55" s="95" t="s">
        <v>65</v>
      </c>
      <c r="I55" s="131" t="s">
        <v>318</v>
      </c>
      <c r="J55" s="95">
        <v>0</v>
      </c>
      <c r="K55" s="95" t="s">
        <v>325</v>
      </c>
      <c r="L55" s="165">
        <v>0.5</v>
      </c>
      <c r="M55" s="93">
        <v>50</v>
      </c>
      <c r="N55" s="90">
        <v>1300</v>
      </c>
      <c r="O55" s="91">
        <f t="shared" si="0"/>
        <v>65000</v>
      </c>
      <c r="P55" s="87">
        <f>_xlfn.XLOOKUP(G55,'Trình bày'!B:B,'Trình bày'!H:H)</f>
        <v>0</v>
      </c>
      <c r="Q55" s="87">
        <f t="shared" si="1"/>
        <v>0</v>
      </c>
      <c r="R55" s="157">
        <f t="shared" si="2"/>
        <v>-65000</v>
      </c>
      <c r="S55" s="157">
        <f t="shared" si="4"/>
        <v>-1690000000</v>
      </c>
      <c r="T55" s="78"/>
    </row>
    <row r="56" spans="1:20" ht="15.5">
      <c r="A56" s="140" t="s">
        <v>334</v>
      </c>
      <c r="B56" s="129" t="s">
        <v>313</v>
      </c>
      <c r="C56" s="95"/>
      <c r="D56" s="92" t="s">
        <v>379</v>
      </c>
      <c r="E56" s="130" t="s">
        <v>316</v>
      </c>
      <c r="F56" s="130" t="s">
        <v>316</v>
      </c>
      <c r="G56" s="88" t="s">
        <v>179</v>
      </c>
      <c r="H56" s="95" t="s">
        <v>65</v>
      </c>
      <c r="I56" s="131" t="s">
        <v>318</v>
      </c>
      <c r="J56" s="95">
        <v>0</v>
      </c>
      <c r="K56" s="95" t="s">
        <v>325</v>
      </c>
      <c r="L56" s="165">
        <v>0.5</v>
      </c>
      <c r="M56" s="93">
        <v>25</v>
      </c>
      <c r="N56" s="90">
        <v>1300</v>
      </c>
      <c r="O56" s="91">
        <f t="shared" si="0"/>
        <v>32500</v>
      </c>
      <c r="P56" s="87">
        <f>_xlfn.XLOOKUP(G56,'Trình bày'!B:B,'Trình bày'!H:H)</f>
        <v>0</v>
      </c>
      <c r="Q56" s="87">
        <f t="shared" si="1"/>
        <v>0</v>
      </c>
      <c r="R56" s="157">
        <f t="shared" si="2"/>
        <v>-32500</v>
      </c>
      <c r="S56" s="157">
        <f t="shared" si="4"/>
        <v>-845000000</v>
      </c>
      <c r="T56" s="78"/>
    </row>
    <row r="57" spans="1:20" s="138" customFormat="1" ht="15.5">
      <c r="A57" s="140" t="s">
        <v>334</v>
      </c>
      <c r="B57" s="129" t="s">
        <v>313</v>
      </c>
      <c r="C57" s="95"/>
      <c r="D57" s="92" t="s">
        <v>379</v>
      </c>
      <c r="E57" s="130" t="s">
        <v>316</v>
      </c>
      <c r="F57" s="130" t="s">
        <v>316</v>
      </c>
      <c r="G57" s="88" t="s">
        <v>257</v>
      </c>
      <c r="H57" s="95" t="s">
        <v>383</v>
      </c>
      <c r="I57" s="131" t="s">
        <v>318</v>
      </c>
      <c r="J57" s="95">
        <v>0</v>
      </c>
      <c r="K57" s="95" t="s">
        <v>319</v>
      </c>
      <c r="L57" s="165">
        <v>0.8</v>
      </c>
      <c r="M57" s="93">
        <v>37.5</v>
      </c>
      <c r="N57" s="90">
        <v>820</v>
      </c>
      <c r="O57" s="91">
        <f t="shared" si="0"/>
        <v>30750</v>
      </c>
      <c r="P57" s="190">
        <v>705</v>
      </c>
      <c r="Q57" s="87">
        <f t="shared" si="1"/>
        <v>26437.5</v>
      </c>
      <c r="R57" s="157">
        <f t="shared" si="2"/>
        <v>-4312.5</v>
      </c>
      <c r="S57" s="157">
        <f t="shared" si="4"/>
        <v>-112125000</v>
      </c>
      <c r="T57" s="78"/>
    </row>
    <row r="58" spans="1:20" s="138" customFormat="1" ht="15.5">
      <c r="A58" s="140" t="s">
        <v>312</v>
      </c>
      <c r="B58" s="129" t="s">
        <v>313</v>
      </c>
      <c r="C58" s="95"/>
      <c r="D58" s="92" t="s">
        <v>379</v>
      </c>
      <c r="E58" s="130" t="s">
        <v>316</v>
      </c>
      <c r="F58" s="130" t="s">
        <v>316</v>
      </c>
      <c r="G58" s="88" t="s">
        <v>136</v>
      </c>
      <c r="H58" s="95" t="s">
        <v>22</v>
      </c>
      <c r="I58" s="131" t="s">
        <v>318</v>
      </c>
      <c r="J58" s="95">
        <v>0</v>
      </c>
      <c r="K58" s="95" t="s">
        <v>319</v>
      </c>
      <c r="L58" s="165">
        <v>0.8</v>
      </c>
      <c r="M58" s="93">
        <v>25</v>
      </c>
      <c r="N58" s="90">
        <v>820</v>
      </c>
      <c r="O58" s="91">
        <f t="shared" si="0"/>
        <v>20500</v>
      </c>
      <c r="P58" s="87">
        <f>_xlfn.XLOOKUP(G58,'Trình bày'!B:B,'Trình bày'!H:H)</f>
        <v>0</v>
      </c>
      <c r="Q58" s="87">
        <f t="shared" si="1"/>
        <v>0</v>
      </c>
      <c r="R58" s="157">
        <f t="shared" si="2"/>
        <v>-20500</v>
      </c>
      <c r="S58" s="157">
        <f t="shared" si="4"/>
        <v>-533000000</v>
      </c>
      <c r="T58" s="78"/>
    </row>
    <row r="59" spans="1:20" s="138" customFormat="1" ht="15.5">
      <c r="A59" s="140" t="s">
        <v>338</v>
      </c>
      <c r="B59" s="129" t="s">
        <v>313</v>
      </c>
      <c r="C59" s="95"/>
      <c r="D59" s="92" t="s">
        <v>379</v>
      </c>
      <c r="E59" s="130" t="s">
        <v>316</v>
      </c>
      <c r="F59" s="130" t="s">
        <v>316</v>
      </c>
      <c r="G59" s="88" t="s">
        <v>136</v>
      </c>
      <c r="H59" s="95" t="s">
        <v>22</v>
      </c>
      <c r="I59" s="131" t="s">
        <v>318</v>
      </c>
      <c r="J59" s="95">
        <v>0</v>
      </c>
      <c r="K59" s="95" t="s">
        <v>319</v>
      </c>
      <c r="L59" s="165">
        <v>0.8</v>
      </c>
      <c r="M59" s="93">
        <v>25</v>
      </c>
      <c r="N59" s="90">
        <v>820</v>
      </c>
      <c r="O59" s="91">
        <f t="shared" si="0"/>
        <v>20500</v>
      </c>
      <c r="P59" s="87">
        <f>_xlfn.XLOOKUP(G59,'Trình bày'!B:B,'Trình bày'!H:H)</f>
        <v>0</v>
      </c>
      <c r="Q59" s="87">
        <f t="shared" si="1"/>
        <v>0</v>
      </c>
      <c r="R59" s="157">
        <f t="shared" si="2"/>
        <v>-20500</v>
      </c>
      <c r="S59" s="157">
        <f t="shared" si="4"/>
        <v>-533000000</v>
      </c>
      <c r="T59" s="78"/>
    </row>
    <row r="60" spans="1:20" ht="15.5">
      <c r="A60" s="140" t="s">
        <v>312</v>
      </c>
      <c r="B60" s="129" t="s">
        <v>313</v>
      </c>
      <c r="C60" s="95"/>
      <c r="D60" s="92" t="s">
        <v>379</v>
      </c>
      <c r="E60" s="130" t="s">
        <v>316</v>
      </c>
      <c r="F60" s="130" t="s">
        <v>316</v>
      </c>
      <c r="G60" s="88" t="s">
        <v>179</v>
      </c>
      <c r="H60" s="95" t="s">
        <v>65</v>
      </c>
      <c r="I60" s="131" t="s">
        <v>318</v>
      </c>
      <c r="J60" s="95">
        <v>0</v>
      </c>
      <c r="K60" s="95" t="s">
        <v>325</v>
      </c>
      <c r="L60" s="170">
        <v>0.8</v>
      </c>
      <c r="M60" s="93">
        <v>75</v>
      </c>
      <c r="N60" s="90">
        <v>1300</v>
      </c>
      <c r="O60" s="91">
        <f t="shared" si="0"/>
        <v>97500</v>
      </c>
      <c r="P60" s="87">
        <f>_xlfn.XLOOKUP(G60,'Trình bày'!B:B,'Trình bày'!H:H)</f>
        <v>0</v>
      </c>
      <c r="Q60" s="87">
        <f t="shared" si="1"/>
        <v>0</v>
      </c>
      <c r="R60" s="157">
        <f t="shared" si="2"/>
        <v>-97500</v>
      </c>
      <c r="S60" s="157">
        <f t="shared" si="4"/>
        <v>-2535000000</v>
      </c>
      <c r="T60" s="78"/>
    </row>
    <row r="61" spans="1:20" s="138" customFormat="1" ht="15.5">
      <c r="A61" s="79" t="s">
        <v>334</v>
      </c>
      <c r="B61" s="129" t="s">
        <v>313</v>
      </c>
      <c r="C61" s="130"/>
      <c r="D61" s="130" t="s">
        <v>379</v>
      </c>
      <c r="E61" s="88" t="s">
        <v>316</v>
      </c>
      <c r="F61" s="132" t="s">
        <v>316</v>
      </c>
      <c r="G61" s="88" t="s">
        <v>159</v>
      </c>
      <c r="H61" s="131" t="s">
        <v>45</v>
      </c>
      <c r="I61" s="131" t="s">
        <v>115</v>
      </c>
      <c r="J61" s="90">
        <v>0</v>
      </c>
      <c r="K61" s="90" t="s">
        <v>319</v>
      </c>
      <c r="L61" s="170">
        <v>0.8</v>
      </c>
      <c r="M61" s="90">
        <v>11</v>
      </c>
      <c r="N61" s="90">
        <v>850</v>
      </c>
      <c r="O61" s="91">
        <f t="shared" si="0"/>
        <v>9350</v>
      </c>
      <c r="P61" s="190">
        <v>705</v>
      </c>
      <c r="Q61" s="87">
        <f t="shared" si="1"/>
        <v>7755</v>
      </c>
      <c r="R61" s="157">
        <f t="shared" si="2"/>
        <v>-1595</v>
      </c>
      <c r="S61" s="157">
        <f t="shared" si="4"/>
        <v>-41470000</v>
      </c>
      <c r="T61" s="78"/>
    </row>
    <row r="62" spans="1:20" ht="15.5">
      <c r="A62" s="140" t="s">
        <v>334</v>
      </c>
      <c r="B62" s="129" t="s">
        <v>313</v>
      </c>
      <c r="C62" s="95"/>
      <c r="D62" s="92" t="s">
        <v>379</v>
      </c>
      <c r="E62" s="130" t="s">
        <v>316</v>
      </c>
      <c r="F62" s="130" t="s">
        <v>316</v>
      </c>
      <c r="G62" s="88" t="s">
        <v>179</v>
      </c>
      <c r="H62" s="95" t="s">
        <v>65</v>
      </c>
      <c r="I62" s="131" t="s">
        <v>318</v>
      </c>
      <c r="J62" s="95">
        <v>0</v>
      </c>
      <c r="K62" s="95" t="s">
        <v>325</v>
      </c>
      <c r="L62" s="170">
        <v>0.8</v>
      </c>
      <c r="M62" s="93">
        <v>11</v>
      </c>
      <c r="N62" s="90">
        <v>1300</v>
      </c>
      <c r="O62" s="91">
        <f t="shared" si="0"/>
        <v>14300</v>
      </c>
      <c r="P62" s="87">
        <f>_xlfn.XLOOKUP(G62,'Trình bày'!B:B,'Trình bày'!H:H)</f>
        <v>0</v>
      </c>
      <c r="Q62" s="87">
        <f t="shared" si="1"/>
        <v>0</v>
      </c>
      <c r="R62" s="157">
        <f t="shared" si="2"/>
        <v>-14300</v>
      </c>
      <c r="S62" s="157">
        <f t="shared" si="4"/>
        <v>-371800000</v>
      </c>
      <c r="T62" s="78"/>
    </row>
    <row r="63" spans="1:20" ht="15.5">
      <c r="A63" s="140" t="s">
        <v>338</v>
      </c>
      <c r="B63" s="129" t="s">
        <v>313</v>
      </c>
      <c r="C63" s="95"/>
      <c r="D63" s="92" t="s">
        <v>379</v>
      </c>
      <c r="E63" s="130" t="s">
        <v>316</v>
      </c>
      <c r="F63" s="130" t="s">
        <v>316</v>
      </c>
      <c r="G63" s="88" t="s">
        <v>179</v>
      </c>
      <c r="H63" s="95" t="s">
        <v>65</v>
      </c>
      <c r="I63" s="131" t="s">
        <v>318</v>
      </c>
      <c r="J63" s="95">
        <v>0</v>
      </c>
      <c r="K63" s="95" t="s">
        <v>325</v>
      </c>
      <c r="L63" s="170">
        <v>0.8</v>
      </c>
      <c r="M63" s="93">
        <v>50</v>
      </c>
      <c r="N63" s="90">
        <v>1300</v>
      </c>
      <c r="O63" s="91">
        <f t="shared" si="0"/>
        <v>65000</v>
      </c>
      <c r="P63" s="87">
        <f>_xlfn.XLOOKUP(G63,'Trình bày'!B:B,'Trình bày'!H:H)</f>
        <v>0</v>
      </c>
      <c r="Q63" s="87">
        <f t="shared" si="1"/>
        <v>0</v>
      </c>
      <c r="R63" s="157">
        <f t="shared" si="2"/>
        <v>-65000</v>
      </c>
      <c r="S63" s="157">
        <f t="shared" si="4"/>
        <v>-1690000000</v>
      </c>
      <c r="T63" s="78"/>
    </row>
    <row r="64" spans="1:20" ht="15.5">
      <c r="A64" s="140" t="s">
        <v>307</v>
      </c>
      <c r="B64" s="129" t="s">
        <v>313</v>
      </c>
      <c r="C64" s="95"/>
      <c r="D64" s="92" t="s">
        <v>379</v>
      </c>
      <c r="E64" s="130" t="s">
        <v>316</v>
      </c>
      <c r="F64" s="130" t="s">
        <v>316</v>
      </c>
      <c r="G64" s="88" t="s">
        <v>179</v>
      </c>
      <c r="H64" s="95" t="s">
        <v>65</v>
      </c>
      <c r="I64" s="131" t="s">
        <v>318</v>
      </c>
      <c r="J64" s="95">
        <v>0</v>
      </c>
      <c r="K64" s="95" t="s">
        <v>325</v>
      </c>
      <c r="L64" s="170">
        <v>0.8</v>
      </c>
      <c r="M64" s="93">
        <v>40</v>
      </c>
      <c r="N64" s="90">
        <v>1300</v>
      </c>
      <c r="O64" s="91">
        <f t="shared" si="0"/>
        <v>52000</v>
      </c>
      <c r="P64" s="87">
        <f>_xlfn.XLOOKUP(G64,'Trình bày'!B:B,'Trình bày'!H:H)</f>
        <v>0</v>
      </c>
      <c r="Q64" s="87">
        <f t="shared" si="1"/>
        <v>0</v>
      </c>
      <c r="R64" s="157">
        <f t="shared" si="2"/>
        <v>-52000</v>
      </c>
      <c r="S64" s="157">
        <f t="shared" si="4"/>
        <v>-1352000000</v>
      </c>
      <c r="T64" s="78"/>
    </row>
    <row r="65" spans="1:20" ht="15.5">
      <c r="A65" s="140" t="s">
        <v>334</v>
      </c>
      <c r="B65" s="129" t="s">
        <v>313</v>
      </c>
      <c r="C65" s="95"/>
      <c r="D65" s="92" t="s">
        <v>379</v>
      </c>
      <c r="E65" s="130" t="s">
        <v>316</v>
      </c>
      <c r="F65" s="130" t="s">
        <v>316</v>
      </c>
      <c r="G65" s="88" t="s">
        <v>179</v>
      </c>
      <c r="H65" s="95" t="s">
        <v>65</v>
      </c>
      <c r="I65" s="131" t="s">
        <v>318</v>
      </c>
      <c r="J65" s="95">
        <v>0</v>
      </c>
      <c r="K65" s="95" t="s">
        <v>325</v>
      </c>
      <c r="L65" s="170">
        <v>0.8</v>
      </c>
      <c r="M65" s="93">
        <v>11</v>
      </c>
      <c r="N65" s="90">
        <v>1300</v>
      </c>
      <c r="O65" s="91">
        <f t="shared" si="0"/>
        <v>14300</v>
      </c>
      <c r="P65" s="87">
        <f>_xlfn.XLOOKUP(G65,'Trình bày'!B:B,'Trình bày'!H:H)</f>
        <v>0</v>
      </c>
      <c r="Q65" s="87">
        <f t="shared" si="1"/>
        <v>0</v>
      </c>
      <c r="R65" s="157">
        <f t="shared" si="2"/>
        <v>-14300</v>
      </c>
      <c r="S65" s="157">
        <f t="shared" si="4"/>
        <v>-371800000</v>
      </c>
      <c r="T65" s="78"/>
    </row>
    <row r="66" spans="1:20" ht="15.5">
      <c r="A66" s="140" t="s">
        <v>331</v>
      </c>
      <c r="B66" s="129" t="s">
        <v>313</v>
      </c>
      <c r="C66" s="95"/>
      <c r="D66" s="92" t="s">
        <v>379</v>
      </c>
      <c r="E66" s="130" t="s">
        <v>316</v>
      </c>
      <c r="F66" s="130" t="s">
        <v>316</v>
      </c>
      <c r="G66" s="88" t="s">
        <v>179</v>
      </c>
      <c r="H66" s="95" t="s">
        <v>65</v>
      </c>
      <c r="I66" s="131" t="s">
        <v>318</v>
      </c>
      <c r="J66" s="95">
        <v>0</v>
      </c>
      <c r="K66" s="95" t="s">
        <v>325</v>
      </c>
      <c r="L66" s="170">
        <v>0.8</v>
      </c>
      <c r="M66" s="93">
        <v>100</v>
      </c>
      <c r="N66" s="90">
        <v>1300</v>
      </c>
      <c r="O66" s="91">
        <f t="shared" si="0"/>
        <v>130000</v>
      </c>
      <c r="P66" s="87">
        <f>_xlfn.XLOOKUP(G66,'Trình bày'!B:B,'Trình bày'!H:H)</f>
        <v>0</v>
      </c>
      <c r="Q66" s="87">
        <f t="shared" si="1"/>
        <v>0</v>
      </c>
      <c r="R66" s="157">
        <f t="shared" si="2"/>
        <v>-130000</v>
      </c>
      <c r="S66" s="157">
        <f t="shared" si="4"/>
        <v>-3380000000</v>
      </c>
      <c r="T66" s="78"/>
    </row>
    <row r="67" spans="1:20" ht="15.5">
      <c r="A67" s="140" t="s">
        <v>334</v>
      </c>
      <c r="B67" s="129" t="s">
        <v>308</v>
      </c>
      <c r="C67" s="88"/>
      <c r="D67" s="94" t="s">
        <v>384</v>
      </c>
      <c r="E67" s="95" t="s">
        <v>309</v>
      </c>
      <c r="F67" s="95" t="s">
        <v>337</v>
      </c>
      <c r="G67" s="88" t="s">
        <v>118</v>
      </c>
      <c r="H67" s="131" t="s">
        <v>3</v>
      </c>
      <c r="I67" s="131" t="s">
        <v>111</v>
      </c>
      <c r="J67" s="95">
        <v>0.8</v>
      </c>
      <c r="K67" s="95" t="s">
        <v>311</v>
      </c>
      <c r="L67" s="165">
        <v>0.5</v>
      </c>
      <c r="M67" s="93">
        <v>27.72</v>
      </c>
      <c r="N67" s="90">
        <v>1300</v>
      </c>
      <c r="O67" s="91">
        <f t="shared" si="0"/>
        <v>36036</v>
      </c>
      <c r="P67" s="87">
        <f>_xlfn.XLOOKUP(G67,'Trình bày'!B:B,'Trình bày'!H:H)</f>
        <v>0</v>
      </c>
      <c r="Q67" s="87">
        <f t="shared" si="1"/>
        <v>0</v>
      </c>
      <c r="R67" s="157">
        <f t="shared" si="2"/>
        <v>-36036</v>
      </c>
      <c r="S67" s="157">
        <f t="shared" si="4"/>
        <v>-936936000</v>
      </c>
      <c r="T67" s="78"/>
    </row>
    <row r="68" spans="1:20" ht="15.5">
      <c r="A68" s="140" t="s">
        <v>331</v>
      </c>
      <c r="B68" s="129" t="s">
        <v>313</v>
      </c>
      <c r="C68" s="88"/>
      <c r="D68" s="94" t="s">
        <v>354</v>
      </c>
      <c r="E68" s="130" t="s">
        <v>316</v>
      </c>
      <c r="F68" s="130" t="s">
        <v>316</v>
      </c>
      <c r="G68" s="88" t="s">
        <v>257</v>
      </c>
      <c r="H68" s="95" t="s">
        <v>380</v>
      </c>
      <c r="I68" s="131" t="s">
        <v>111</v>
      </c>
      <c r="J68" s="95" t="s">
        <v>381</v>
      </c>
      <c r="K68" s="95" t="s">
        <v>382</v>
      </c>
      <c r="L68" s="165">
        <v>0.5</v>
      </c>
      <c r="M68" s="93">
        <v>44</v>
      </c>
      <c r="N68" s="90">
        <v>800</v>
      </c>
      <c r="O68" s="91">
        <f t="shared" si="0"/>
        <v>35200</v>
      </c>
      <c r="P68" s="87" t="e">
        <f>_xlfn.XLOOKUP(G68,'Trình bày'!B:B,'Trình bày'!H:H)</f>
        <v>#N/A</v>
      </c>
      <c r="Q68" s="87">
        <f t="shared" si="1"/>
        <v>0</v>
      </c>
      <c r="R68" s="157">
        <f t="shared" si="2"/>
        <v>-35200</v>
      </c>
      <c r="S68" s="157">
        <f t="shared" si="4"/>
        <v>-915200000</v>
      </c>
      <c r="T68" s="78"/>
    </row>
    <row r="69" spans="1:20" ht="15.5">
      <c r="A69" s="140" t="s">
        <v>307</v>
      </c>
      <c r="B69" s="129" t="s">
        <v>313</v>
      </c>
      <c r="C69" s="88" t="s">
        <v>361</v>
      </c>
      <c r="D69" s="94" t="s">
        <v>362</v>
      </c>
      <c r="E69" s="130" t="s">
        <v>316</v>
      </c>
      <c r="F69" s="130" t="s">
        <v>316</v>
      </c>
      <c r="G69" s="89" t="s">
        <v>121</v>
      </c>
      <c r="H69" s="131" t="s">
        <v>7</v>
      </c>
      <c r="I69" s="131" t="s">
        <v>111</v>
      </c>
      <c r="J69" s="95">
        <v>0.84</v>
      </c>
      <c r="K69" s="95" t="s">
        <v>311</v>
      </c>
      <c r="L69" s="165">
        <v>0.5</v>
      </c>
      <c r="M69" s="93">
        <v>20.79</v>
      </c>
      <c r="N69" s="90">
        <v>1360</v>
      </c>
      <c r="O69" s="91">
        <f t="shared" si="0"/>
        <v>28274.399999999998</v>
      </c>
      <c r="P69" s="87">
        <f>_xlfn.XLOOKUP(G69,'Trình bày'!B:B,'Trình bày'!H:H)</f>
        <v>0</v>
      </c>
      <c r="Q69" s="87">
        <f t="shared" si="1"/>
        <v>0</v>
      </c>
      <c r="R69" s="157">
        <f t="shared" si="2"/>
        <v>-28274.399999999998</v>
      </c>
      <c r="S69" s="157">
        <f t="shared" si="4"/>
        <v>-735134400</v>
      </c>
      <c r="T69" s="78"/>
    </row>
    <row r="70" spans="1:20" ht="15.5">
      <c r="A70" s="140" t="s">
        <v>331</v>
      </c>
      <c r="B70" s="129" t="s">
        <v>308</v>
      </c>
      <c r="C70" s="88" t="s">
        <v>385</v>
      </c>
      <c r="D70" s="94" t="s">
        <v>386</v>
      </c>
      <c r="E70" s="130" t="s">
        <v>309</v>
      </c>
      <c r="F70" s="95" t="s">
        <v>342</v>
      </c>
      <c r="G70" s="88" t="s">
        <v>151</v>
      </c>
      <c r="H70" s="95" t="s">
        <v>37</v>
      </c>
      <c r="I70" s="131" t="s">
        <v>111</v>
      </c>
      <c r="J70" s="95">
        <v>0.84</v>
      </c>
      <c r="K70" s="95" t="s">
        <v>311</v>
      </c>
      <c r="L70" s="165">
        <v>0.5</v>
      </c>
      <c r="M70" s="93">
        <v>69.3</v>
      </c>
      <c r="N70" s="90">
        <v>1500</v>
      </c>
      <c r="O70" s="91">
        <f t="shared" ref="O70:O71" si="5">IFERROR(M70*N70,0)</f>
        <v>103950</v>
      </c>
      <c r="P70" s="87">
        <f>_xlfn.XLOOKUP(G70,'Trình bày'!B:B,'Trình bày'!H:H)</f>
        <v>0</v>
      </c>
      <c r="Q70" s="87">
        <f t="shared" ref="Q70:Q71" si="6">IFERROR(M70*P70,0)</f>
        <v>0</v>
      </c>
      <c r="R70" s="157">
        <f t="shared" ref="R70:R71" si="7">Q70-O70</f>
        <v>-103950</v>
      </c>
      <c r="S70" s="157">
        <f t="shared" si="4"/>
        <v>-2702700000</v>
      </c>
      <c r="T70" s="78"/>
    </row>
    <row r="71" spans="1:20" ht="15.5">
      <c r="A71" s="140" t="s">
        <v>334</v>
      </c>
      <c r="B71" s="129" t="s">
        <v>308</v>
      </c>
      <c r="C71" s="88"/>
      <c r="D71" s="94" t="s">
        <v>387</v>
      </c>
      <c r="E71" s="130" t="s">
        <v>309</v>
      </c>
      <c r="F71" s="95" t="s">
        <v>337</v>
      </c>
      <c r="G71" s="89" t="s">
        <v>121</v>
      </c>
      <c r="H71" s="131" t="s">
        <v>7</v>
      </c>
      <c r="I71" s="131" t="s">
        <v>111</v>
      </c>
      <c r="J71" s="95">
        <v>0.84</v>
      </c>
      <c r="K71" s="95" t="s">
        <v>311</v>
      </c>
      <c r="L71" s="165">
        <v>0.5</v>
      </c>
      <c r="M71" s="93">
        <v>34.65</v>
      </c>
      <c r="N71" s="90">
        <v>1350</v>
      </c>
      <c r="O71" s="91">
        <f t="shared" si="5"/>
        <v>46777.5</v>
      </c>
      <c r="P71" s="87">
        <f>_xlfn.XLOOKUP(G71,'Trình bày'!B:B,'Trình bày'!H:H)</f>
        <v>0</v>
      </c>
      <c r="Q71" s="87">
        <f t="shared" si="6"/>
        <v>0</v>
      </c>
      <c r="R71" s="157">
        <f t="shared" si="7"/>
        <v>-46777.5</v>
      </c>
      <c r="S71" s="157">
        <f t="shared" si="4"/>
        <v>-1216215000</v>
      </c>
      <c r="T71" s="78"/>
    </row>
    <row r="72" spans="1:20" ht="15.5">
      <c r="A72" s="140"/>
      <c r="B72" s="129"/>
      <c r="C72" s="88"/>
      <c r="D72" s="94" t="s">
        <v>379</v>
      </c>
      <c r="E72" s="130" t="s">
        <v>309</v>
      </c>
      <c r="F72" s="95" t="s">
        <v>337</v>
      </c>
      <c r="G72" s="89" t="s">
        <v>133</v>
      </c>
      <c r="H72" s="131" t="s">
        <v>19</v>
      </c>
      <c r="I72" s="131" t="s">
        <v>111</v>
      </c>
      <c r="J72" s="95"/>
      <c r="K72" s="95"/>
      <c r="L72" s="165">
        <v>0.5</v>
      </c>
      <c r="M72" s="93">
        <v>120</v>
      </c>
      <c r="N72" s="90">
        <v>1075</v>
      </c>
      <c r="O72" s="91">
        <f t="shared" ref="O72:O74" si="8">IFERROR(M72*N72,0)</f>
        <v>129000</v>
      </c>
      <c r="P72" s="87">
        <f>_xlfn.XLOOKUP(G72,'Trình bày'!B:B,'Trình bày'!H:H)</f>
        <v>0</v>
      </c>
      <c r="Q72" s="87">
        <f t="shared" ref="Q72:Q74" si="9">IFERROR(M72*P72,0)</f>
        <v>0</v>
      </c>
      <c r="R72" s="157">
        <f t="shared" ref="R72:R74" si="10">Q72-O72</f>
        <v>-129000</v>
      </c>
      <c r="S72" s="157">
        <f t="shared" ref="S72:S74" si="11">R72*$U$6</f>
        <v>-3354000000</v>
      </c>
      <c r="T72" s="78"/>
    </row>
    <row r="73" spans="1:20" ht="15.5">
      <c r="A73" s="140"/>
      <c r="B73" s="129"/>
      <c r="C73" s="88"/>
      <c r="D73" s="94" t="s">
        <v>379</v>
      </c>
      <c r="E73" s="130" t="s">
        <v>316</v>
      </c>
      <c r="F73" s="95" t="s">
        <v>316</v>
      </c>
      <c r="G73" s="89" t="s">
        <v>136</v>
      </c>
      <c r="H73" s="131" t="s">
        <v>22</v>
      </c>
      <c r="I73" s="131" t="s">
        <v>318</v>
      </c>
      <c r="J73" s="95"/>
      <c r="K73" s="95"/>
      <c r="L73" s="165">
        <v>0.5</v>
      </c>
      <c r="M73" s="93">
        <v>12.5</v>
      </c>
      <c r="N73" s="90">
        <v>820</v>
      </c>
      <c r="O73" s="91">
        <f t="shared" si="8"/>
        <v>10250</v>
      </c>
      <c r="P73" s="87">
        <f>_xlfn.XLOOKUP(G73,'Trình bày'!B:B,'Trình bày'!H:H)</f>
        <v>0</v>
      </c>
      <c r="Q73" s="87">
        <f t="shared" si="9"/>
        <v>0</v>
      </c>
      <c r="R73" s="157">
        <f t="shared" si="10"/>
        <v>-10250</v>
      </c>
      <c r="S73" s="157">
        <f t="shared" si="11"/>
        <v>-266500000</v>
      </c>
      <c r="T73" s="78"/>
    </row>
    <row r="74" spans="1:20" ht="15.5">
      <c r="A74" s="140"/>
      <c r="B74" s="129"/>
      <c r="C74" s="88"/>
      <c r="D74" s="94" t="s">
        <v>379</v>
      </c>
      <c r="E74" s="130" t="s">
        <v>316</v>
      </c>
      <c r="F74" s="95" t="s">
        <v>316</v>
      </c>
      <c r="G74" s="89" t="s">
        <v>136</v>
      </c>
      <c r="H74" s="131" t="s">
        <v>22</v>
      </c>
      <c r="I74" s="131" t="s">
        <v>318</v>
      </c>
      <c r="J74" s="95"/>
      <c r="K74" s="95"/>
      <c r="L74" s="165">
        <v>0.5</v>
      </c>
      <c r="M74" s="93">
        <v>12.5</v>
      </c>
      <c r="N74" s="90">
        <v>820</v>
      </c>
      <c r="O74" s="91">
        <f t="shared" si="8"/>
        <v>10250</v>
      </c>
      <c r="P74" s="87">
        <f>_xlfn.XLOOKUP(G74,'Trình bày'!B:B,'Trình bày'!H:H)</f>
        <v>0</v>
      </c>
      <c r="Q74" s="87">
        <f t="shared" si="9"/>
        <v>0</v>
      </c>
      <c r="R74" s="157">
        <f t="shared" si="10"/>
        <v>-10250</v>
      </c>
      <c r="S74" s="157">
        <f t="shared" si="11"/>
        <v>-266500000</v>
      </c>
      <c r="T74" s="78"/>
    </row>
    <row r="79" spans="1:20">
      <c r="N79" s="64"/>
    </row>
  </sheetData>
  <autoFilter ref="A10:Y74" xr:uid="{9D32AC71-46D2-4DD6-839B-8D6820F61D1D}"/>
  <mergeCells count="3">
    <mergeCell ref="N9:O9"/>
    <mergeCell ref="P9:Q9"/>
    <mergeCell ref="R9:S9"/>
  </mergeCells>
  <conditionalFormatting sqref="C1:C3">
    <cfRule type="duplicateValues" dxfId="20" priority="24"/>
    <cfRule type="containsText" dxfId="19" priority="25" operator="containsText" text="xxx">
      <formula>NOT(ISERROR(SEARCH("xxx",C1)))</formula>
    </cfRule>
  </conditionalFormatting>
  <conditionalFormatting sqref="E11:F45 L11:L45 C61:D61">
    <cfRule type="cellIs" dxfId="18" priority="15" operator="equal">
      <formula>"Khả Thi 50%"</formula>
    </cfRule>
    <cfRule type="cellIs" dxfId="17" priority="16" operator="equal">
      <formula>"Khả Thi 80%"</formula>
    </cfRule>
    <cfRule type="cellIs" dxfId="16" priority="17" operator="equal">
      <formula>"Chắc chắn 100%"</formula>
    </cfRule>
  </conditionalFormatting>
  <conditionalFormatting sqref="F46 E46:E60 E62:E66 E68:E74">
    <cfRule type="cellIs" dxfId="15" priority="21" operator="equal">
      <formula>"Khả Thi 50%"</formula>
    </cfRule>
    <cfRule type="cellIs" dxfId="14" priority="22" operator="equal">
      <formula>"Khả Thi 80%"</formula>
    </cfRule>
    <cfRule type="cellIs" dxfId="13" priority="23" operator="equal">
      <formula>"Chắc chắn 100%"</formula>
    </cfRule>
  </conditionalFormatting>
  <conditionalFormatting sqref="F53:F66">
    <cfRule type="cellIs" dxfId="12" priority="9" operator="equal">
      <formula>"Khả Thi 50%"</formula>
    </cfRule>
    <cfRule type="cellIs" dxfId="11" priority="10" operator="equal">
      <formula>"Khả Thi 80%"</formula>
    </cfRule>
    <cfRule type="cellIs" dxfId="10" priority="11" operator="equal">
      <formula>"Chắc chắn 100%"</formula>
    </cfRule>
  </conditionalFormatting>
  <conditionalFormatting sqref="F68:F69">
    <cfRule type="cellIs" dxfId="9" priority="18" operator="equal">
      <formula>"Khả Thi 50%"</formula>
    </cfRule>
    <cfRule type="cellIs" dxfId="8" priority="19" operator="equal">
      <formula>"Khả Thi 80%"</formula>
    </cfRule>
    <cfRule type="cellIs" dxfId="7" priority="20" operator="equal">
      <formula>"Chắc chắn 100%"</formula>
    </cfRule>
  </conditionalFormatting>
  <conditionalFormatting sqref="L60:L66">
    <cfRule type="cellIs" dxfId="6" priority="12" operator="equal">
      <formula>"Khả Thi 50%"</formula>
    </cfRule>
    <cfRule type="cellIs" dxfId="5" priority="13" operator="equal">
      <formula>"Khả Thi 80%"</formula>
    </cfRule>
    <cfRule type="cellIs" dxfId="4" priority="14" operator="equal">
      <formula>"Chắc chắn 100%"</formula>
    </cfRule>
  </conditionalFormatting>
  <conditionalFormatting sqref="R11:S74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430E-90DE-4A72-BDDC-A4EE07C7C2E6}">
  <sheetPr>
    <tabColor rgb="FFFFFF00"/>
  </sheetPr>
  <dimension ref="A1:P50"/>
  <sheetViews>
    <sheetView zoomScale="80" zoomScaleNormal="80" workbookViewId="0">
      <pane xSplit="9" ySplit="11" topLeftCell="J12" activePane="bottomRight" state="frozen"/>
      <selection activeCell="U19" sqref="U19"/>
      <selection pane="topRight" activeCell="U19" sqref="U19"/>
      <selection pane="bottomLeft" activeCell="U19" sqref="U19"/>
      <selection pane="bottomRight" activeCell="F12" sqref="F12"/>
    </sheetView>
  </sheetViews>
  <sheetFormatPr defaultColWidth="8.453125" defaultRowHeight="15" customHeight="1" outlineLevelRow="1"/>
  <cols>
    <col min="1" max="1" width="5" style="100" customWidth="1"/>
    <col min="2" max="2" width="9.26953125" style="102" hidden="1" customWidth="1"/>
    <col min="3" max="3" width="8.54296875" style="102" hidden="1" customWidth="1"/>
    <col min="4" max="4" width="26.54296875" style="102" customWidth="1"/>
    <col min="5" max="5" width="16.26953125" style="102" bestFit="1" customWidth="1"/>
    <col min="6" max="6" width="25.453125" style="118" customWidth="1"/>
    <col min="7" max="7" width="8.453125" style="102" customWidth="1"/>
    <col min="8" max="8" width="6.7265625" style="102" hidden="1" customWidth="1"/>
    <col min="9" max="9" width="9.54296875" style="156" hidden="1" customWidth="1"/>
    <col min="10" max="10" width="11.26953125" style="100" customWidth="1"/>
    <col min="11" max="11" width="11.26953125" style="102" customWidth="1"/>
    <col min="12" max="12" width="12.26953125" style="102" customWidth="1"/>
    <col min="13" max="13" width="15.7265625" style="102" customWidth="1"/>
    <col min="14" max="14" width="17.7265625" style="102" bestFit="1" customWidth="1"/>
    <col min="15" max="16" width="21.7265625" style="102" bestFit="1" customWidth="1"/>
    <col min="17" max="16384" width="8.453125" style="102"/>
  </cols>
  <sheetData>
    <row r="1" spans="1:16" ht="22.15" customHeight="1">
      <c r="D1" s="122" t="s">
        <v>472</v>
      </c>
      <c r="F1" s="104"/>
      <c r="G1" s="105"/>
      <c r="H1" s="144"/>
      <c r="I1" s="104"/>
      <c r="M1" s="125" t="s">
        <v>434</v>
      </c>
      <c r="N1" s="108">
        <v>26000</v>
      </c>
    </row>
    <row r="2" spans="1:16" ht="22.15" customHeight="1" outlineLevel="1">
      <c r="D2" s="123" t="s">
        <v>433</v>
      </c>
      <c r="E2" s="106">
        <f>N10</f>
        <v>60260200000</v>
      </c>
      <c r="F2" s="104"/>
      <c r="G2" s="105"/>
      <c r="H2" s="144"/>
      <c r="I2" s="104"/>
      <c r="N2" s="108"/>
    </row>
    <row r="3" spans="1:16" ht="22.15" customHeight="1" outlineLevel="1">
      <c r="D3" s="123" t="s">
        <v>426</v>
      </c>
      <c r="E3" s="106">
        <f>P10</f>
        <v>-29027175032.522511</v>
      </c>
      <c r="F3" s="104"/>
      <c r="G3" s="105"/>
      <c r="H3" s="144"/>
      <c r="I3" s="104"/>
      <c r="N3" s="108"/>
    </row>
    <row r="4" spans="1:16" ht="22.15" customHeight="1" outlineLevel="1">
      <c r="D4" s="123" t="s">
        <v>432</v>
      </c>
      <c r="E4" s="172">
        <v>5498752515</v>
      </c>
      <c r="F4" s="104"/>
      <c r="G4" s="105"/>
      <c r="H4" s="144"/>
      <c r="I4" s="104"/>
      <c r="N4" s="108"/>
    </row>
    <row r="5" spans="1:16" ht="19.5" customHeight="1" outlineLevel="1">
      <c r="D5" s="123" t="s">
        <v>427</v>
      </c>
      <c r="E5" s="173">
        <v>1513399753</v>
      </c>
      <c r="F5" s="104" t="s">
        <v>430</v>
      </c>
      <c r="G5" s="105"/>
      <c r="H5" s="144"/>
      <c r="I5" s="104"/>
      <c r="N5" s="108"/>
    </row>
    <row r="6" spans="1:16" ht="22.15" customHeight="1" outlineLevel="1">
      <c r="D6" s="123" t="s">
        <v>428</v>
      </c>
      <c r="E6" s="173">
        <v>8132746433</v>
      </c>
      <c r="F6" s="107">
        <v>642</v>
      </c>
      <c r="G6" s="105"/>
      <c r="H6" s="144"/>
      <c r="I6" s="104"/>
      <c r="N6" s="108"/>
    </row>
    <row r="7" spans="1:16" ht="22.15" customHeight="1" outlineLevel="1">
      <c r="D7" s="123" t="s">
        <v>429</v>
      </c>
      <c r="E7" s="173">
        <v>1368802426</v>
      </c>
      <c r="F7" s="104" t="s">
        <v>431</v>
      </c>
      <c r="G7" s="105"/>
      <c r="H7" s="144"/>
      <c r="I7" s="104"/>
      <c r="N7" s="108"/>
    </row>
    <row r="8" spans="1:16" ht="22.15" customHeight="1">
      <c r="D8" s="121" t="s">
        <v>286</v>
      </c>
      <c r="E8" s="124">
        <f>E3-SUM(E4:E7)</f>
        <v>-45540876159.522507</v>
      </c>
      <c r="F8" s="104"/>
      <c r="G8" s="105"/>
      <c r="H8" s="144"/>
      <c r="I8" s="104"/>
      <c r="L8" s="162"/>
      <c r="M8" s="102" t="s">
        <v>439</v>
      </c>
      <c r="N8" s="108"/>
    </row>
    <row r="9" spans="1:16" ht="22.15" customHeight="1" thickBot="1">
      <c r="F9" s="104"/>
      <c r="G9" s="105"/>
      <c r="H9" s="144"/>
      <c r="I9" s="104"/>
      <c r="N9" s="108"/>
    </row>
    <row r="10" spans="1:16" ht="15.5" thickTop="1">
      <c r="A10" s="116"/>
      <c r="B10" s="145"/>
      <c r="C10" s="145"/>
      <c r="D10" s="117"/>
      <c r="E10" s="117"/>
      <c r="F10" s="117"/>
      <c r="G10" s="117"/>
      <c r="H10" s="146"/>
      <c r="I10" s="117"/>
      <c r="J10" s="119"/>
      <c r="K10" s="120">
        <f>SUBTOTAL(9,K12:K53)</f>
        <v>3248.125</v>
      </c>
      <c r="L10" s="120"/>
      <c r="M10" s="120">
        <f>SUBTOTAL(9,M12:M53)</f>
        <v>2317700</v>
      </c>
      <c r="N10" s="120">
        <f>SUBTOTAL(9,N12:N53)</f>
        <v>60260200000</v>
      </c>
      <c r="O10" s="120">
        <f>SUBTOTAL(9,O12:O53)</f>
        <v>89287375032.522491</v>
      </c>
      <c r="P10" s="120">
        <f>SUBTOTAL(9,P12:P53)</f>
        <v>-29027175032.522511</v>
      </c>
    </row>
    <row r="11" spans="1:16" ht="60.65" customHeight="1">
      <c r="A11" s="101" t="s">
        <v>391</v>
      </c>
      <c r="B11" s="101" t="s">
        <v>295</v>
      </c>
      <c r="C11" s="101" t="s">
        <v>296</v>
      </c>
      <c r="D11" s="103" t="s">
        <v>392</v>
      </c>
      <c r="E11" s="103" t="s">
        <v>301</v>
      </c>
      <c r="F11" s="103" t="s">
        <v>393</v>
      </c>
      <c r="G11" s="103" t="s">
        <v>394</v>
      </c>
      <c r="H11" s="103" t="s">
        <v>395</v>
      </c>
      <c r="I11" s="103" t="s">
        <v>396</v>
      </c>
      <c r="J11" s="103" t="s">
        <v>306</v>
      </c>
      <c r="K11" s="109" t="s">
        <v>611</v>
      </c>
      <c r="L11" s="109" t="s">
        <v>408</v>
      </c>
      <c r="M11" s="109" t="s">
        <v>409</v>
      </c>
      <c r="N11" s="109" t="s">
        <v>410</v>
      </c>
      <c r="O11" s="109" t="s">
        <v>407</v>
      </c>
      <c r="P11" s="109" t="s">
        <v>411</v>
      </c>
    </row>
    <row r="12" spans="1:16" ht="42.65" customHeight="1">
      <c r="A12" s="110">
        <v>1</v>
      </c>
      <c r="B12" s="115" t="s">
        <v>331</v>
      </c>
      <c r="C12" s="115" t="s">
        <v>331</v>
      </c>
      <c r="D12" s="113" t="s">
        <v>468</v>
      </c>
      <c r="E12" s="112" t="s">
        <v>130</v>
      </c>
      <c r="F12" s="147" t="s">
        <v>16</v>
      </c>
      <c r="G12" s="113" t="s">
        <v>111</v>
      </c>
      <c r="H12" s="148">
        <v>0.78</v>
      </c>
      <c r="I12" s="147" t="s">
        <v>397</v>
      </c>
      <c r="J12" s="149">
        <v>1</v>
      </c>
      <c r="K12" s="150">
        <v>440</v>
      </c>
      <c r="L12" s="191">
        <v>1080</v>
      </c>
      <c r="M12" s="150">
        <f>K12*L12</f>
        <v>475200</v>
      </c>
      <c r="N12" s="150">
        <f>M12*$N$1</f>
        <v>12355200000</v>
      </c>
      <c r="O12" s="150">
        <f>K12*IFERROR(SUMIFS('tồn 30.11'!M:M,'tồn 30.11'!A:A,'Dự báo'!E12)/SUMIFS('tồn 30.11'!I:I,'tồn 30.11'!A:A,'Dự báo'!E12),0)*1000</f>
        <v>11635905490.43557</v>
      </c>
      <c r="P12" s="150">
        <f>N12-O12</f>
        <v>719294509.56443024</v>
      </c>
    </row>
    <row r="13" spans="1:16" ht="42.65" customHeight="1">
      <c r="A13" s="110">
        <f>+A12+1</f>
        <v>2</v>
      </c>
      <c r="B13" s="115" t="s">
        <v>307</v>
      </c>
      <c r="C13" s="115" t="s">
        <v>343</v>
      </c>
      <c r="D13" s="113" t="s">
        <v>400</v>
      </c>
      <c r="E13" s="112" t="s">
        <v>130</v>
      </c>
      <c r="F13" s="147" t="s">
        <v>16</v>
      </c>
      <c r="G13" s="113" t="s">
        <v>111</v>
      </c>
      <c r="H13" s="148"/>
      <c r="I13" s="147"/>
      <c r="J13" s="149">
        <v>1</v>
      </c>
      <c r="K13" s="150">
        <v>330</v>
      </c>
      <c r="L13" s="191">
        <v>1280</v>
      </c>
      <c r="M13" s="150">
        <f t="shared" ref="M13:M50" si="0">K13*L13</f>
        <v>422400</v>
      </c>
      <c r="N13" s="150">
        <f t="shared" ref="N13:N50" si="1">M13*$N$1</f>
        <v>10982400000</v>
      </c>
      <c r="O13" s="150">
        <f>K13*IFERROR(SUMIFS('tồn 30.11'!M:M,'tồn 30.11'!A:A,'Dự báo'!E13)/SUMIFS('tồn 30.11'!I:I,'tồn 30.11'!A:A,'Dự báo'!E13),0)*1000</f>
        <v>8726929117.8266773</v>
      </c>
      <c r="P13" s="150">
        <f t="shared" ref="P13:P50" si="2">N13-O13</f>
        <v>2255470882.1733227</v>
      </c>
    </row>
    <row r="14" spans="1:16" ht="27" customHeight="1">
      <c r="A14" s="110">
        <f t="shared" ref="A14:A50" si="3">+A13+1</f>
        <v>3</v>
      </c>
      <c r="B14" s="152" t="s">
        <v>321</v>
      </c>
      <c r="C14" s="115" t="s">
        <v>321</v>
      </c>
      <c r="D14" s="111" t="s">
        <v>612</v>
      </c>
      <c r="E14" s="112" t="s">
        <v>121</v>
      </c>
      <c r="F14" s="111" t="s">
        <v>7</v>
      </c>
      <c r="G14" s="113" t="s">
        <v>111</v>
      </c>
      <c r="H14" s="148">
        <v>0.84</v>
      </c>
      <c r="I14" s="147" t="s">
        <v>397</v>
      </c>
      <c r="J14" s="149">
        <v>1</v>
      </c>
      <c r="K14" s="153">
        <v>550</v>
      </c>
      <c r="L14" s="151">
        <f>_xlfn.XLOOKUP(E14,'Trình bày'!B:B,'Trình bày'!H:H)</f>
        <v>0</v>
      </c>
      <c r="M14" s="153">
        <f t="shared" si="0"/>
        <v>0</v>
      </c>
      <c r="N14" s="153">
        <f t="shared" si="1"/>
        <v>0</v>
      </c>
      <c r="O14" s="150">
        <f>K14*IFERROR(SUMIFS('tồn 30.11'!M:M,'tồn 30.11'!A:A,'Dự báo'!E14)/SUMIFS('tồn 30.11'!I:I,'tồn 30.11'!A:A,'Dự báo'!E14),0)*1000</f>
        <v>16703362460.416014</v>
      </c>
      <c r="P14" s="153">
        <f t="shared" si="2"/>
        <v>-16703362460.416014</v>
      </c>
    </row>
    <row r="15" spans="1:16" ht="15.5">
      <c r="A15" s="110">
        <f t="shared" si="3"/>
        <v>4</v>
      </c>
      <c r="B15" s="115" t="s">
        <v>338</v>
      </c>
      <c r="C15" s="115" t="s">
        <v>321</v>
      </c>
      <c r="D15" s="154" t="s">
        <v>373</v>
      </c>
      <c r="E15" s="112" t="s">
        <v>118</v>
      </c>
      <c r="F15" s="147" t="s">
        <v>3</v>
      </c>
      <c r="G15" s="113" t="s">
        <v>111</v>
      </c>
      <c r="H15" s="148">
        <v>0</v>
      </c>
      <c r="I15" s="147" t="s">
        <v>398</v>
      </c>
      <c r="J15" s="149">
        <v>0.8</v>
      </c>
      <c r="K15" s="150">
        <v>88</v>
      </c>
      <c r="L15" s="151">
        <f>_xlfn.XLOOKUP(E15,'Trình bày'!B:B,'Trình bày'!H:H)</f>
        <v>0</v>
      </c>
      <c r="M15" s="150">
        <f t="shared" si="0"/>
        <v>0</v>
      </c>
      <c r="N15" s="150">
        <f t="shared" si="1"/>
        <v>0</v>
      </c>
      <c r="O15" s="150">
        <f>K15*IFERROR(SUMIFS('tồn 30.11'!M:M,'tồn 30.11'!A:A,'Dự báo'!E15)/SUMIFS('tồn 30.11'!I:I,'tồn 30.11'!A:A,'Dự báo'!E15),0)*1000</f>
        <v>2737288758.6209822</v>
      </c>
      <c r="P15" s="150">
        <f t="shared" si="2"/>
        <v>-2737288758.6209822</v>
      </c>
    </row>
    <row r="16" spans="1:16" ht="15.5">
      <c r="A16" s="110">
        <f t="shared" si="3"/>
        <v>5</v>
      </c>
      <c r="B16" s="152" t="s">
        <v>312</v>
      </c>
      <c r="C16" s="115" t="s">
        <v>331</v>
      </c>
      <c r="D16" s="111" t="s">
        <v>403</v>
      </c>
      <c r="E16" s="112" t="s">
        <v>126</v>
      </c>
      <c r="F16" s="111" t="s">
        <v>12</v>
      </c>
      <c r="G16" s="113" t="s">
        <v>318</v>
      </c>
      <c r="H16" s="148">
        <v>0.78</v>
      </c>
      <c r="I16" s="147" t="s">
        <v>397</v>
      </c>
      <c r="J16" s="114">
        <v>1</v>
      </c>
      <c r="K16" s="115">
        <v>100</v>
      </c>
      <c r="L16" s="191">
        <v>1380</v>
      </c>
      <c r="M16" s="115">
        <f t="shared" si="0"/>
        <v>138000</v>
      </c>
      <c r="N16" s="115">
        <f t="shared" si="1"/>
        <v>3588000000</v>
      </c>
      <c r="O16" s="150">
        <f>K16*IFERROR(SUMIFS('tồn 30.11'!M:M,'tồn 30.11'!A:A,'Dự báo'!E16)/SUMIFS('tồn 30.11'!I:I,'tồn 30.11'!A:A,'Dự báo'!E16),0)*1000</f>
        <v>2710063337.1745949</v>
      </c>
      <c r="P16" s="115">
        <f t="shared" si="2"/>
        <v>877936662.82540512</v>
      </c>
    </row>
    <row r="17" spans="1:16" ht="31">
      <c r="A17" s="110">
        <f t="shared" si="3"/>
        <v>6</v>
      </c>
      <c r="B17" s="152" t="s">
        <v>334</v>
      </c>
      <c r="C17" s="115" t="s">
        <v>331</v>
      </c>
      <c r="D17" s="111" t="s">
        <v>613</v>
      </c>
      <c r="E17" s="112" t="s">
        <v>121</v>
      </c>
      <c r="F17" s="111" t="s">
        <v>7</v>
      </c>
      <c r="G17" s="113" t="s">
        <v>111</v>
      </c>
      <c r="H17" s="148" t="e">
        <v>#N/A</v>
      </c>
      <c r="I17" s="147" t="s">
        <v>397</v>
      </c>
      <c r="J17" s="114">
        <v>0.8</v>
      </c>
      <c r="K17" s="115">
        <v>66</v>
      </c>
      <c r="L17" s="151">
        <f>_xlfn.XLOOKUP(E17,'Trình bày'!B:B,'Trình bày'!H:H)</f>
        <v>0</v>
      </c>
      <c r="M17" s="115">
        <f t="shared" si="0"/>
        <v>0</v>
      </c>
      <c r="N17" s="115">
        <f t="shared" si="1"/>
        <v>0</v>
      </c>
      <c r="O17" s="150">
        <f>K17*IFERROR(SUMIFS('tồn 30.11'!M:M,'tồn 30.11'!A:A,'Dự báo'!E17)/SUMIFS('tồn 30.11'!I:I,'tồn 30.11'!A:A,'Dự báo'!E17),0)*1000</f>
        <v>2004403495.2499218</v>
      </c>
      <c r="P17" s="115">
        <f t="shared" si="2"/>
        <v>-2004403495.2499218</v>
      </c>
    </row>
    <row r="18" spans="1:16" ht="15.5">
      <c r="A18" s="110">
        <f t="shared" si="3"/>
        <v>7</v>
      </c>
      <c r="B18" s="152" t="s">
        <v>334</v>
      </c>
      <c r="C18" s="115" t="s">
        <v>331</v>
      </c>
      <c r="D18" s="111" t="s">
        <v>402</v>
      </c>
      <c r="E18" s="112" t="s">
        <v>130</v>
      </c>
      <c r="F18" s="111" t="s">
        <v>16</v>
      </c>
      <c r="G18" s="113" t="s">
        <v>111</v>
      </c>
      <c r="H18" s="148">
        <v>0.8</v>
      </c>
      <c r="I18" s="147"/>
      <c r="J18" s="114">
        <v>0.8</v>
      </c>
      <c r="K18" s="115">
        <v>110</v>
      </c>
      <c r="L18" s="191">
        <v>1280</v>
      </c>
      <c r="M18" s="115">
        <f t="shared" si="0"/>
        <v>140800</v>
      </c>
      <c r="N18" s="115">
        <f t="shared" si="1"/>
        <v>3660800000</v>
      </c>
      <c r="O18" s="150">
        <f>K18*IFERROR(SUMIFS('tồn 30.11'!M:M,'tồn 30.11'!A:A,'Dự báo'!E18)/SUMIFS('tồn 30.11'!I:I,'tồn 30.11'!A:A,'Dự báo'!E18),0)*1000</f>
        <v>2908976372.6088924</v>
      </c>
      <c r="P18" s="115">
        <f t="shared" si="2"/>
        <v>751823627.39110756</v>
      </c>
    </row>
    <row r="19" spans="1:16" ht="15.5">
      <c r="A19" s="110">
        <f t="shared" si="3"/>
        <v>8</v>
      </c>
      <c r="B19" s="152" t="s">
        <v>312</v>
      </c>
      <c r="C19" s="115" t="s">
        <v>331</v>
      </c>
      <c r="D19" s="111" t="s">
        <v>614</v>
      </c>
      <c r="E19" s="112" t="s">
        <v>130</v>
      </c>
      <c r="F19" s="111" t="s">
        <v>16</v>
      </c>
      <c r="G19" s="113" t="s">
        <v>111</v>
      </c>
      <c r="H19" s="148">
        <v>0.84</v>
      </c>
      <c r="I19" s="147" t="s">
        <v>398</v>
      </c>
      <c r="J19" s="114">
        <v>0.8</v>
      </c>
      <c r="K19" s="115">
        <v>88</v>
      </c>
      <c r="L19" s="191">
        <v>1080</v>
      </c>
      <c r="M19" s="115">
        <f t="shared" si="0"/>
        <v>95040</v>
      </c>
      <c r="N19" s="115">
        <f t="shared" si="1"/>
        <v>2471040000</v>
      </c>
      <c r="O19" s="150">
        <f>K19*IFERROR(SUMIFS('tồn 30.11'!M:M,'tồn 30.11'!A:A,'Dự báo'!E19)/SUMIFS('tồn 30.11'!I:I,'tồn 30.11'!A:A,'Dự báo'!E19),0)*1000</f>
        <v>2327181098.0871139</v>
      </c>
      <c r="P19" s="115">
        <f t="shared" si="2"/>
        <v>143858901.91288614</v>
      </c>
    </row>
    <row r="20" spans="1:16" ht="31">
      <c r="A20" s="110">
        <f t="shared" si="3"/>
        <v>9</v>
      </c>
      <c r="B20" s="152" t="s">
        <v>338</v>
      </c>
      <c r="C20" s="115" t="s">
        <v>321</v>
      </c>
      <c r="D20" s="111" t="s">
        <v>615</v>
      </c>
      <c r="E20" s="112" t="s">
        <v>121</v>
      </c>
      <c r="F20" s="111" t="s">
        <v>7</v>
      </c>
      <c r="G20" s="113" t="s">
        <v>111</v>
      </c>
      <c r="H20" s="148">
        <v>0.55000000000000004</v>
      </c>
      <c r="I20" s="147" t="s">
        <v>398</v>
      </c>
      <c r="J20" s="114">
        <v>0.8</v>
      </c>
      <c r="K20" s="115">
        <v>44</v>
      </c>
      <c r="L20" s="151">
        <f>_xlfn.XLOOKUP(E20,'Trình bày'!B:B,'Trình bày'!H:H)</f>
        <v>0</v>
      </c>
      <c r="M20" s="115">
        <f t="shared" si="0"/>
        <v>0</v>
      </c>
      <c r="N20" s="115">
        <f t="shared" si="1"/>
        <v>0</v>
      </c>
      <c r="O20" s="150">
        <f>K20*IFERROR(SUMIFS('tồn 30.11'!M:M,'tồn 30.11'!A:A,'Dự báo'!E20)/SUMIFS('tồn 30.11'!I:I,'tồn 30.11'!A:A,'Dự báo'!E20),0)*1000</f>
        <v>1336268996.833281</v>
      </c>
      <c r="P20" s="115">
        <f t="shared" si="2"/>
        <v>-1336268996.833281</v>
      </c>
    </row>
    <row r="21" spans="1:16" ht="24.65" customHeight="1">
      <c r="A21" s="110">
        <f t="shared" si="3"/>
        <v>10</v>
      </c>
      <c r="B21" s="152" t="s">
        <v>312</v>
      </c>
      <c r="C21" s="115" t="s">
        <v>331</v>
      </c>
      <c r="D21" s="111" t="s">
        <v>613</v>
      </c>
      <c r="E21" s="112" t="s">
        <v>131</v>
      </c>
      <c r="F21" s="111" t="s">
        <v>17</v>
      </c>
      <c r="G21" s="113" t="s">
        <v>111</v>
      </c>
      <c r="H21" s="148">
        <v>0.84</v>
      </c>
      <c r="I21" s="147"/>
      <c r="J21" s="114">
        <v>0.8</v>
      </c>
      <c r="K21" s="115">
        <v>44</v>
      </c>
      <c r="L21" s="151">
        <f>_xlfn.XLOOKUP(E21,'Trình bày'!B:B,'Trình bày'!H:H)</f>
        <v>0</v>
      </c>
      <c r="M21" s="115">
        <f t="shared" si="0"/>
        <v>0</v>
      </c>
      <c r="N21" s="115">
        <f t="shared" si="1"/>
        <v>0</v>
      </c>
      <c r="O21" s="150">
        <f>K21*IFERROR(SUMIFS('tồn 30.11'!M:M,'tồn 30.11'!A:A,'Dự báo'!E21)/SUMIFS('tồn 30.11'!I:I,'tồn 30.11'!A:A,'Dự báo'!E21),0)*1000</f>
        <v>1184975898.1226416</v>
      </c>
      <c r="P21" s="115">
        <f t="shared" si="2"/>
        <v>-1184975898.1226416</v>
      </c>
    </row>
    <row r="22" spans="1:16" ht="15.5">
      <c r="A22" s="110">
        <f t="shared" si="3"/>
        <v>11</v>
      </c>
      <c r="B22" s="152" t="s">
        <v>312</v>
      </c>
      <c r="C22" s="115" t="s">
        <v>331</v>
      </c>
      <c r="D22" s="111" t="s">
        <v>616</v>
      </c>
      <c r="E22" s="112" t="s">
        <v>145</v>
      </c>
      <c r="F22" s="111" t="s">
        <v>31</v>
      </c>
      <c r="G22" s="113" t="s">
        <v>318</v>
      </c>
      <c r="H22" s="148">
        <v>0</v>
      </c>
      <c r="I22" s="147" t="s">
        <v>397</v>
      </c>
      <c r="J22" s="114">
        <v>0.8</v>
      </c>
      <c r="K22" s="115">
        <v>55</v>
      </c>
      <c r="L22" s="151">
        <f>_xlfn.XLOOKUP(E22,'Trình bày'!B:B,'Trình bày'!H:H)</f>
        <v>0</v>
      </c>
      <c r="M22" s="115">
        <f t="shared" si="0"/>
        <v>0</v>
      </c>
      <c r="N22" s="115">
        <f t="shared" si="1"/>
        <v>0</v>
      </c>
      <c r="O22" s="150">
        <f>K22*IFERROR(SUMIFS('tồn 30.11'!M:M,'tồn 30.11'!A:A,'Dự báo'!E22)/SUMIFS('tồn 30.11'!I:I,'tồn 30.11'!A:A,'Dự báo'!E22),0)*1000</f>
        <v>1770625577.2671256</v>
      </c>
      <c r="P22" s="115">
        <f t="shared" si="2"/>
        <v>-1770625577.2671256</v>
      </c>
    </row>
    <row r="23" spans="1:16" ht="15.5">
      <c r="A23" s="110">
        <f t="shared" si="3"/>
        <v>12</v>
      </c>
      <c r="B23" s="152" t="s">
        <v>312</v>
      </c>
      <c r="C23" s="115" t="s">
        <v>331</v>
      </c>
      <c r="D23" s="111" t="s">
        <v>467</v>
      </c>
      <c r="E23" s="112" t="s">
        <v>130</v>
      </c>
      <c r="F23" s="111" t="s">
        <v>16</v>
      </c>
      <c r="G23" s="113" t="s">
        <v>111</v>
      </c>
      <c r="H23" s="148">
        <v>0.78</v>
      </c>
      <c r="I23" s="147" t="s">
        <v>397</v>
      </c>
      <c r="J23" s="114">
        <v>0.8</v>
      </c>
      <c r="K23" s="115">
        <v>44</v>
      </c>
      <c r="L23" s="151">
        <f>_xlfn.XLOOKUP(E23,'Trình bày'!B:B,'Trình bày'!H:H)</f>
        <v>0</v>
      </c>
      <c r="M23" s="115">
        <f t="shared" si="0"/>
        <v>0</v>
      </c>
      <c r="N23" s="115">
        <f t="shared" si="1"/>
        <v>0</v>
      </c>
      <c r="O23" s="150">
        <f>K23*IFERROR(SUMIFS('tồn 30.11'!M:M,'tồn 30.11'!A:A,'Dự báo'!E23)/SUMIFS('tồn 30.11'!I:I,'tồn 30.11'!A:A,'Dự báo'!E23),0)*1000</f>
        <v>1163590549.0435569</v>
      </c>
      <c r="P23" s="115">
        <f t="shared" si="2"/>
        <v>-1163590549.0435569</v>
      </c>
    </row>
    <row r="24" spans="1:16" s="155" customFormat="1" ht="15.5">
      <c r="A24" s="110">
        <f t="shared" si="3"/>
        <v>13</v>
      </c>
      <c r="B24" s="152" t="s">
        <v>334</v>
      </c>
      <c r="C24" s="115" t="s">
        <v>331</v>
      </c>
      <c r="D24" s="111" t="s">
        <v>404</v>
      </c>
      <c r="E24" s="112" t="s">
        <v>139</v>
      </c>
      <c r="F24" s="111" t="s">
        <v>25</v>
      </c>
      <c r="G24" s="113" t="s">
        <v>318</v>
      </c>
      <c r="H24" s="148">
        <v>0.78</v>
      </c>
      <c r="I24" s="147" t="s">
        <v>397</v>
      </c>
      <c r="J24" s="114">
        <v>0.8</v>
      </c>
      <c r="K24" s="115">
        <v>33</v>
      </c>
      <c r="L24" s="151">
        <f>_xlfn.XLOOKUP(E24,'Trình bày'!B:B,'Trình bày'!H:H)</f>
        <v>0</v>
      </c>
      <c r="M24" s="115">
        <f t="shared" si="0"/>
        <v>0</v>
      </c>
      <c r="N24" s="115">
        <f t="shared" si="1"/>
        <v>0</v>
      </c>
      <c r="O24" s="150">
        <f>K24*IFERROR(SUMIFS('tồn 30.11'!M:M,'tồn 30.11'!A:A,'Dự báo'!E24)/SUMIFS('tồn 30.11'!I:I,'tồn 30.11'!A:A,'Dự báo'!E24),0)*1000</f>
        <v>987446395.91572583</v>
      </c>
      <c r="P24" s="115">
        <f t="shared" si="2"/>
        <v>-987446395.91572583</v>
      </c>
    </row>
    <row r="25" spans="1:16" s="155" customFormat="1" ht="15.5">
      <c r="A25" s="110">
        <f t="shared" si="3"/>
        <v>14</v>
      </c>
      <c r="B25" s="152" t="s">
        <v>334</v>
      </c>
      <c r="C25" s="115" t="s">
        <v>331</v>
      </c>
      <c r="D25" s="111" t="s">
        <v>399</v>
      </c>
      <c r="E25" s="112" t="s">
        <v>127</v>
      </c>
      <c r="F25" s="111" t="s">
        <v>13</v>
      </c>
      <c r="G25" s="113" t="s">
        <v>318</v>
      </c>
      <c r="H25" s="148">
        <v>0.8</v>
      </c>
      <c r="I25" s="147" t="s">
        <v>398</v>
      </c>
      <c r="J25" s="114">
        <v>0.8</v>
      </c>
      <c r="K25" s="115">
        <v>33</v>
      </c>
      <c r="L25" s="151">
        <f>_xlfn.XLOOKUP(E25,'Trình bày'!B:B,'Trình bày'!H:H)</f>
        <v>0</v>
      </c>
      <c r="M25" s="115">
        <f t="shared" si="0"/>
        <v>0</v>
      </c>
      <c r="N25" s="115">
        <f t="shared" si="1"/>
        <v>0</v>
      </c>
      <c r="O25" s="150">
        <f>K25*IFERROR(SUMIFS('tồn 30.11'!M:M,'tồn 30.11'!A:A,'Dự báo'!E25)/SUMIFS('tồn 30.11'!I:I,'tồn 30.11'!A:A,'Dự báo'!E25),0)*1000</f>
        <v>785711419.15347409</v>
      </c>
      <c r="P25" s="115">
        <f t="shared" si="2"/>
        <v>-785711419.15347409</v>
      </c>
    </row>
    <row r="26" spans="1:16" s="155" customFormat="1" ht="48.65" customHeight="1">
      <c r="A26" s="110">
        <f t="shared" si="3"/>
        <v>15</v>
      </c>
      <c r="B26" s="152" t="s">
        <v>338</v>
      </c>
      <c r="C26" s="115" t="s">
        <v>321</v>
      </c>
      <c r="D26" s="111" t="s">
        <v>469</v>
      </c>
      <c r="E26" s="112" t="s">
        <v>159</v>
      </c>
      <c r="F26" s="111" t="s">
        <v>45</v>
      </c>
      <c r="G26" s="113" t="s">
        <v>115</v>
      </c>
      <c r="H26" s="148">
        <v>0</v>
      </c>
      <c r="I26" s="147" t="s">
        <v>398</v>
      </c>
      <c r="J26" s="114">
        <v>0.8</v>
      </c>
      <c r="K26" s="115">
        <v>25</v>
      </c>
      <c r="L26" s="191">
        <v>605</v>
      </c>
      <c r="M26" s="115">
        <f t="shared" si="0"/>
        <v>15125</v>
      </c>
      <c r="N26" s="115">
        <f t="shared" si="1"/>
        <v>393250000</v>
      </c>
      <c r="O26" s="150">
        <f>K26*IFERROR(SUMIFS('tồn 30.11'!M:M,'tồn 30.11'!A:A,'Dự báo'!E26)/SUMIFS('tồn 30.11'!I:I,'tồn 30.11'!A:A,'Dự báo'!E26),0)*1000</f>
        <v>445195122.78709072</v>
      </c>
      <c r="P26" s="115">
        <f t="shared" si="2"/>
        <v>-51945122.787090719</v>
      </c>
    </row>
    <row r="27" spans="1:16" s="155" customFormat="1" ht="30.75" customHeight="1">
      <c r="A27" s="110">
        <f t="shared" si="3"/>
        <v>16</v>
      </c>
      <c r="B27" s="152" t="s">
        <v>334</v>
      </c>
      <c r="C27" s="115" t="s">
        <v>331</v>
      </c>
      <c r="D27" s="111" t="s">
        <v>358</v>
      </c>
      <c r="E27" s="112" t="s">
        <v>134</v>
      </c>
      <c r="F27" s="111" t="s">
        <v>20</v>
      </c>
      <c r="G27" s="113" t="s">
        <v>318</v>
      </c>
      <c r="H27" s="148">
        <v>0.78</v>
      </c>
      <c r="I27" s="147" t="s">
        <v>397</v>
      </c>
      <c r="J27" s="114">
        <v>0.8</v>
      </c>
      <c r="K27" s="115">
        <v>16.5</v>
      </c>
      <c r="L27" s="151">
        <f>_xlfn.XLOOKUP(E27,'Trình bày'!B:B,'Trình bày'!H:H)</f>
        <v>0</v>
      </c>
      <c r="M27" s="115">
        <f t="shared" si="0"/>
        <v>0</v>
      </c>
      <c r="N27" s="115">
        <f t="shared" si="1"/>
        <v>0</v>
      </c>
      <c r="O27" s="150">
        <f>K27*IFERROR(SUMIFS('tồn 30.11'!M:M,'tồn 30.11'!A:A,'Dự báo'!E27)/SUMIFS('tồn 30.11'!I:I,'tồn 30.11'!A:A,'Dự báo'!E27),0)*1000</f>
        <v>454741033.17302972</v>
      </c>
      <c r="P27" s="115">
        <f t="shared" si="2"/>
        <v>-454741033.17302972</v>
      </c>
    </row>
    <row r="28" spans="1:16" s="155" customFormat="1" ht="30.75" customHeight="1">
      <c r="A28" s="110">
        <f t="shared" si="3"/>
        <v>17</v>
      </c>
      <c r="B28" s="152" t="s">
        <v>312</v>
      </c>
      <c r="C28" s="115" t="s">
        <v>331</v>
      </c>
      <c r="D28" s="111" t="s">
        <v>403</v>
      </c>
      <c r="E28" s="112" t="s">
        <v>173</v>
      </c>
      <c r="F28" s="111" t="s">
        <v>59</v>
      </c>
      <c r="G28" s="113" t="s">
        <v>318</v>
      </c>
      <c r="H28" s="148">
        <v>0</v>
      </c>
      <c r="I28" s="147" t="s">
        <v>397</v>
      </c>
      <c r="J28" s="114">
        <v>1</v>
      </c>
      <c r="K28" s="115">
        <v>22</v>
      </c>
      <c r="L28" s="191">
        <v>1330</v>
      </c>
      <c r="M28" s="115">
        <f t="shared" si="0"/>
        <v>29260</v>
      </c>
      <c r="N28" s="115">
        <f t="shared" si="1"/>
        <v>760760000</v>
      </c>
      <c r="O28" s="150">
        <f>K28*IFERROR(SUMIFS('tồn 30.11'!M:M,'tồn 30.11'!A:A,'Dự báo'!E28)/SUMIFS('tồn 30.11'!I:I,'tồn 30.11'!A:A,'Dự báo'!E28),0)*1000</f>
        <v>632138719.14575982</v>
      </c>
      <c r="P28" s="115">
        <f t="shared" si="2"/>
        <v>128621280.85424018</v>
      </c>
    </row>
    <row r="29" spans="1:16" s="155" customFormat="1" ht="28.4" customHeight="1">
      <c r="A29" s="110">
        <f t="shared" si="3"/>
        <v>18</v>
      </c>
      <c r="B29" s="152" t="s">
        <v>338</v>
      </c>
      <c r="C29" s="115" t="s">
        <v>321</v>
      </c>
      <c r="D29" s="111" t="s">
        <v>404</v>
      </c>
      <c r="E29" s="112" t="s">
        <v>178</v>
      </c>
      <c r="F29" s="111" t="s">
        <v>622</v>
      </c>
      <c r="G29" s="113" t="s">
        <v>318</v>
      </c>
      <c r="H29" s="148">
        <v>0.84</v>
      </c>
      <c r="I29" s="147" t="s">
        <v>398</v>
      </c>
      <c r="J29" s="114">
        <v>1</v>
      </c>
      <c r="K29" s="115">
        <v>11</v>
      </c>
      <c r="L29" s="151">
        <f>_xlfn.XLOOKUP(E29,'Trình bày'!B:B,'Trình bày'!H:H)</f>
        <v>0</v>
      </c>
      <c r="M29" s="115">
        <f t="shared" si="0"/>
        <v>0</v>
      </c>
      <c r="N29" s="115">
        <f t="shared" si="1"/>
        <v>0</v>
      </c>
      <c r="O29" s="150">
        <f>K29*IFERROR(SUMIFS('tồn 30.11'!M:M,'tồn 30.11'!A:A,'Dự báo'!E29)/SUMIFS('tồn 30.11'!I:I,'tồn 30.11'!A:A,'Dự báo'!E29),0)*1000</f>
        <v>261937035.20594102</v>
      </c>
      <c r="P29" s="115">
        <f t="shared" si="2"/>
        <v>-261937035.20594102</v>
      </c>
    </row>
    <row r="30" spans="1:16" s="155" customFormat="1" ht="15.5">
      <c r="A30" s="110">
        <f t="shared" si="3"/>
        <v>19</v>
      </c>
      <c r="B30" s="152" t="s">
        <v>307</v>
      </c>
      <c r="C30" s="115" t="s">
        <v>331</v>
      </c>
      <c r="D30" s="111" t="s">
        <v>327</v>
      </c>
      <c r="E30" s="112" t="s">
        <v>130</v>
      </c>
      <c r="F30" s="111" t="s">
        <v>16</v>
      </c>
      <c r="G30" s="113" t="s">
        <v>111</v>
      </c>
      <c r="H30" s="148">
        <v>0</v>
      </c>
      <c r="I30" s="147" t="s">
        <v>398</v>
      </c>
      <c r="J30" s="114">
        <v>0.8</v>
      </c>
      <c r="K30" s="115">
        <v>22</v>
      </c>
      <c r="L30" s="151">
        <f>_xlfn.XLOOKUP(E30,'Trình bày'!B:B,'Trình bày'!H:H)</f>
        <v>0</v>
      </c>
      <c r="M30" s="115">
        <f t="shared" si="0"/>
        <v>0</v>
      </c>
      <c r="N30" s="115">
        <f t="shared" si="1"/>
        <v>0</v>
      </c>
      <c r="O30" s="150">
        <f>K30*IFERROR(SUMIFS('tồn 30.11'!M:M,'tồn 30.11'!A:A,'Dự báo'!E30)/SUMIFS('tồn 30.11'!I:I,'tồn 30.11'!A:A,'Dự báo'!E30),0)*1000</f>
        <v>581795274.52177846</v>
      </c>
      <c r="P30" s="115">
        <f t="shared" si="2"/>
        <v>-581795274.52177846</v>
      </c>
    </row>
    <row r="31" spans="1:16" ht="15.5">
      <c r="A31" s="110">
        <f t="shared" si="3"/>
        <v>20</v>
      </c>
      <c r="B31" s="152" t="s">
        <v>334</v>
      </c>
      <c r="C31" s="115" t="s">
        <v>331</v>
      </c>
      <c r="D31" s="111" t="s">
        <v>617</v>
      </c>
      <c r="E31" s="112" t="s">
        <v>162</v>
      </c>
      <c r="F31" s="111" t="s">
        <v>623</v>
      </c>
      <c r="G31" s="113" t="s">
        <v>318</v>
      </c>
      <c r="H31" s="148">
        <v>0.8</v>
      </c>
      <c r="I31" s="147" t="s">
        <v>397</v>
      </c>
      <c r="J31" s="114">
        <v>1</v>
      </c>
      <c r="K31" s="115">
        <v>12</v>
      </c>
      <c r="L31" s="151">
        <f>_xlfn.XLOOKUP(E31,'Trình bày'!B:B,'Trình bày'!H:H)</f>
        <v>0</v>
      </c>
      <c r="M31" s="115">
        <f t="shared" si="0"/>
        <v>0</v>
      </c>
      <c r="N31" s="115">
        <f t="shared" si="1"/>
        <v>0</v>
      </c>
      <c r="O31" s="150">
        <f>K31*IFERROR(SUMIFS('tồn 30.11'!M:M,'tồn 30.11'!A:A,'Dự báo'!E31)/SUMIFS('tồn 30.11'!I:I,'tồn 30.11'!A:A,'Dự báo'!E31),0)*1000</f>
        <v>498175447.40646833</v>
      </c>
      <c r="P31" s="115">
        <f t="shared" si="2"/>
        <v>-498175447.40646833</v>
      </c>
    </row>
    <row r="32" spans="1:16" ht="15.5">
      <c r="A32" s="110">
        <f t="shared" si="3"/>
        <v>21</v>
      </c>
      <c r="B32" s="152" t="s">
        <v>312</v>
      </c>
      <c r="C32" s="115" t="s">
        <v>331</v>
      </c>
      <c r="D32" s="111" t="s">
        <v>618</v>
      </c>
      <c r="E32" s="112" t="s">
        <v>280</v>
      </c>
      <c r="F32" s="111" t="s">
        <v>281</v>
      </c>
      <c r="G32" s="113" t="s">
        <v>318</v>
      </c>
      <c r="H32" s="148">
        <v>0</v>
      </c>
      <c r="I32" s="147" t="s">
        <v>397</v>
      </c>
      <c r="J32" s="114">
        <v>0.8</v>
      </c>
      <c r="K32" s="115">
        <v>99</v>
      </c>
      <c r="L32" s="151">
        <f>_xlfn.XLOOKUP(E32,'Trình bày'!B:B,'Trình bày'!H:H)</f>
        <v>0</v>
      </c>
      <c r="M32" s="115">
        <f t="shared" si="0"/>
        <v>0</v>
      </c>
      <c r="N32" s="115">
        <f t="shared" si="1"/>
        <v>0</v>
      </c>
      <c r="O32" s="150">
        <f>K32*IFERROR(SUMIFS('tồn 30.11'!M:M,'tồn 30.11'!A:A,'Dự báo'!E32)/SUMIFS('tồn 30.11'!I:I,'tồn 30.11'!A:A,'Dự báo'!E32),0)*1000</f>
        <v>2983516862.5592418</v>
      </c>
      <c r="P32" s="115">
        <f t="shared" si="2"/>
        <v>-2983516862.5592418</v>
      </c>
    </row>
    <row r="33" spans="1:16" ht="22.5" customHeight="1">
      <c r="A33" s="110">
        <f t="shared" si="3"/>
        <v>22</v>
      </c>
      <c r="B33" s="152" t="s">
        <v>334</v>
      </c>
      <c r="C33" s="115" t="s">
        <v>331</v>
      </c>
      <c r="D33" s="111" t="s">
        <v>617</v>
      </c>
      <c r="E33" s="112" t="s">
        <v>163</v>
      </c>
      <c r="F33" s="111" t="s">
        <v>49</v>
      </c>
      <c r="G33" s="113" t="s">
        <v>318</v>
      </c>
      <c r="H33" s="148">
        <v>0.78</v>
      </c>
      <c r="I33" s="147" t="s">
        <v>398</v>
      </c>
      <c r="J33" s="114">
        <v>1</v>
      </c>
      <c r="K33" s="115">
        <v>6</v>
      </c>
      <c r="L33" s="151">
        <f>_xlfn.XLOOKUP(E33,'Trình bày'!B:B,'Trình bày'!H:H)</f>
        <v>0</v>
      </c>
      <c r="M33" s="115">
        <f t="shared" si="0"/>
        <v>0</v>
      </c>
      <c r="N33" s="115">
        <f t="shared" si="1"/>
        <v>0</v>
      </c>
      <c r="O33" s="150">
        <f>K33*IFERROR(SUMIFS('tồn 30.11'!M:M,'tồn 30.11'!A:A,'Dự báo'!E33)/SUMIFS('tồn 30.11'!I:I,'tồn 30.11'!A:A,'Dự báo'!E33),0)*1000</f>
        <v>145544452.73752284</v>
      </c>
      <c r="P33" s="115">
        <f t="shared" si="2"/>
        <v>-145544452.73752284</v>
      </c>
    </row>
    <row r="34" spans="1:16" ht="27.65" customHeight="1">
      <c r="A34" s="110">
        <f t="shared" si="3"/>
        <v>23</v>
      </c>
      <c r="B34" s="152" t="s">
        <v>338</v>
      </c>
      <c r="C34" s="115" t="s">
        <v>321</v>
      </c>
      <c r="D34" s="111" t="s">
        <v>401</v>
      </c>
      <c r="E34" s="112" t="s">
        <v>126</v>
      </c>
      <c r="F34" s="111" t="s">
        <v>12</v>
      </c>
      <c r="G34" s="113" t="s">
        <v>318</v>
      </c>
      <c r="H34" s="148">
        <v>0</v>
      </c>
      <c r="I34" s="147" t="s">
        <v>398</v>
      </c>
      <c r="J34" s="114">
        <v>1</v>
      </c>
      <c r="K34" s="115">
        <v>40</v>
      </c>
      <c r="L34" s="191">
        <v>1380</v>
      </c>
      <c r="M34" s="115">
        <f t="shared" si="0"/>
        <v>55200</v>
      </c>
      <c r="N34" s="115">
        <f t="shared" si="1"/>
        <v>1435200000</v>
      </c>
      <c r="O34" s="150">
        <f>K34*IFERROR(SUMIFS('tồn 30.11'!M:M,'tồn 30.11'!A:A,'Dự báo'!E34)/SUMIFS('tồn 30.11'!I:I,'tồn 30.11'!A:A,'Dự báo'!E34),0)*1000</f>
        <v>1084025334.8698378</v>
      </c>
      <c r="P34" s="115">
        <f t="shared" si="2"/>
        <v>351174665.13016224</v>
      </c>
    </row>
    <row r="35" spans="1:16" ht="15.5">
      <c r="A35" s="110">
        <f t="shared" si="3"/>
        <v>24</v>
      </c>
      <c r="B35" s="152" t="s">
        <v>321</v>
      </c>
      <c r="C35" s="115" t="s">
        <v>321</v>
      </c>
      <c r="D35" s="111" t="s">
        <v>403</v>
      </c>
      <c r="E35" s="112" t="s">
        <v>207</v>
      </c>
      <c r="F35" s="111" t="s">
        <v>93</v>
      </c>
      <c r="G35" s="113" t="s">
        <v>318</v>
      </c>
      <c r="H35" s="148">
        <v>0</v>
      </c>
      <c r="I35" s="147" t="s">
        <v>397</v>
      </c>
      <c r="J35" s="114">
        <v>1</v>
      </c>
      <c r="K35" s="115">
        <v>20</v>
      </c>
      <c r="L35" s="191">
        <v>1380</v>
      </c>
      <c r="M35" s="115">
        <f t="shared" si="0"/>
        <v>27600</v>
      </c>
      <c r="N35" s="115">
        <f t="shared" si="1"/>
        <v>717600000</v>
      </c>
      <c r="O35" s="150">
        <f>K35*IFERROR(SUMIFS('tồn 30.11'!M:M,'tồn 30.11'!A:A,'Dự báo'!E35)/SUMIFS('tồn 30.11'!I:I,'tồn 30.11'!A:A,'Dự báo'!E35),0)*1000</f>
        <v>560404368.98972595</v>
      </c>
      <c r="P35" s="115">
        <f t="shared" si="2"/>
        <v>157195631.01027405</v>
      </c>
    </row>
    <row r="36" spans="1:16" ht="28.5" customHeight="1">
      <c r="A36" s="110">
        <f t="shared" si="3"/>
        <v>25</v>
      </c>
      <c r="B36" s="152" t="s">
        <v>338</v>
      </c>
      <c r="C36" s="115" t="s">
        <v>321</v>
      </c>
      <c r="D36" s="111" t="s">
        <v>403</v>
      </c>
      <c r="E36" s="112" t="s">
        <v>130</v>
      </c>
      <c r="F36" s="111" t="s">
        <v>16</v>
      </c>
      <c r="G36" s="113" t="s">
        <v>111</v>
      </c>
      <c r="H36" s="148">
        <v>0</v>
      </c>
      <c r="I36" s="147" t="s">
        <v>398</v>
      </c>
      <c r="J36" s="114">
        <v>1</v>
      </c>
      <c r="K36" s="115">
        <v>11</v>
      </c>
      <c r="L36" s="191">
        <v>1280</v>
      </c>
      <c r="M36" s="115">
        <f t="shared" si="0"/>
        <v>14080</v>
      </c>
      <c r="N36" s="115">
        <f t="shared" si="1"/>
        <v>366080000</v>
      </c>
      <c r="O36" s="150">
        <f>K36*IFERROR(SUMIFS('tồn 30.11'!M:M,'tồn 30.11'!A:A,'Dự báo'!E36)/SUMIFS('tồn 30.11'!I:I,'tồn 30.11'!A:A,'Dự báo'!E36),0)*1000</f>
        <v>290897637.26088923</v>
      </c>
      <c r="P36" s="115">
        <f t="shared" si="2"/>
        <v>75182362.739110768</v>
      </c>
    </row>
    <row r="37" spans="1:16" ht="40.5" customHeight="1">
      <c r="A37" s="110">
        <f t="shared" si="3"/>
        <v>26</v>
      </c>
      <c r="B37" s="152" t="s">
        <v>338</v>
      </c>
      <c r="C37" s="115" t="s">
        <v>321</v>
      </c>
      <c r="D37" s="111" t="s">
        <v>404</v>
      </c>
      <c r="E37" s="112" t="s">
        <v>135</v>
      </c>
      <c r="F37" s="111" t="s">
        <v>21</v>
      </c>
      <c r="G37" s="113" t="s">
        <v>318</v>
      </c>
      <c r="H37" s="148">
        <v>0.8</v>
      </c>
      <c r="I37" s="147" t="s">
        <v>398</v>
      </c>
      <c r="J37" s="114">
        <v>1</v>
      </c>
      <c r="K37" s="115">
        <v>11</v>
      </c>
      <c r="L37" s="151">
        <f>_xlfn.XLOOKUP(E37,'Trình bày'!B:B,'Trình bày'!H:H)</f>
        <v>0</v>
      </c>
      <c r="M37" s="115">
        <f t="shared" si="0"/>
        <v>0</v>
      </c>
      <c r="N37" s="115">
        <f t="shared" si="1"/>
        <v>0</v>
      </c>
      <c r="O37" s="150">
        <f>K37*IFERROR(SUMIFS('tồn 30.11'!M:M,'tồn 30.11'!A:A,'Dự báo'!E37)/SUMIFS('tồn 30.11'!I:I,'tồn 30.11'!A:A,'Dự báo'!E37),0)*1000</f>
        <v>235049657.43535897</v>
      </c>
      <c r="P37" s="115">
        <f t="shared" si="2"/>
        <v>-235049657.43535897</v>
      </c>
    </row>
    <row r="38" spans="1:16" ht="29.9" customHeight="1">
      <c r="A38" s="110">
        <f t="shared" si="3"/>
        <v>27</v>
      </c>
      <c r="B38" s="152" t="s">
        <v>307</v>
      </c>
      <c r="C38" s="115" t="s">
        <v>331</v>
      </c>
      <c r="D38" s="111" t="s">
        <v>473</v>
      </c>
      <c r="E38" s="112" t="s">
        <v>131</v>
      </c>
      <c r="F38" s="111" t="s">
        <v>17</v>
      </c>
      <c r="G38" s="113" t="s">
        <v>111</v>
      </c>
      <c r="H38" s="148">
        <v>0</v>
      </c>
      <c r="I38" s="147" t="s">
        <v>398</v>
      </c>
      <c r="J38" s="114">
        <v>0.8</v>
      </c>
      <c r="K38" s="115">
        <v>11</v>
      </c>
      <c r="L38" s="151">
        <f>_xlfn.XLOOKUP(E38,'Trình bày'!B:B,'Trình bày'!H:H)</f>
        <v>0</v>
      </c>
      <c r="M38" s="115">
        <f t="shared" si="0"/>
        <v>0</v>
      </c>
      <c r="N38" s="115">
        <f t="shared" si="1"/>
        <v>0</v>
      </c>
      <c r="O38" s="150">
        <f>K38*IFERROR(SUMIFS('tồn 30.11'!M:M,'tồn 30.11'!A:A,'Dự báo'!E38)/SUMIFS('tồn 30.11'!I:I,'tồn 30.11'!A:A,'Dự báo'!E38),0)*1000</f>
        <v>296243974.53066039</v>
      </c>
      <c r="P38" s="115">
        <f t="shared" si="2"/>
        <v>-296243974.53066039</v>
      </c>
    </row>
    <row r="39" spans="1:16" ht="24" customHeight="1">
      <c r="A39" s="110">
        <f t="shared" si="3"/>
        <v>28</v>
      </c>
      <c r="B39" s="152" t="s">
        <v>321</v>
      </c>
      <c r="C39" s="115" t="s">
        <v>321</v>
      </c>
      <c r="D39" s="111" t="s">
        <v>619</v>
      </c>
      <c r="E39" s="112" t="s">
        <v>163</v>
      </c>
      <c r="F39" s="111" t="s">
        <v>49</v>
      </c>
      <c r="G39" s="113" t="s">
        <v>318</v>
      </c>
      <c r="H39" s="148">
        <v>0</v>
      </c>
      <c r="I39" s="147" t="s">
        <v>397</v>
      </c>
      <c r="J39" s="114">
        <v>1</v>
      </c>
      <c r="K39" s="115">
        <v>33</v>
      </c>
      <c r="L39" s="151">
        <f>_xlfn.XLOOKUP(E39,'Trình bày'!B:B,'Trình bày'!H:H)</f>
        <v>0</v>
      </c>
      <c r="M39" s="115">
        <f t="shared" si="0"/>
        <v>0</v>
      </c>
      <c r="N39" s="115">
        <f t="shared" si="1"/>
        <v>0</v>
      </c>
      <c r="O39" s="150">
        <f>K39*IFERROR(SUMIFS('tồn 30.11'!M:M,'tồn 30.11'!A:A,'Dự báo'!E39)/SUMIFS('tồn 30.11'!I:I,'tồn 30.11'!A:A,'Dự báo'!E39),0)*1000</f>
        <v>800494490.0563755</v>
      </c>
      <c r="P39" s="115">
        <f t="shared" si="2"/>
        <v>-800494490.0563755</v>
      </c>
    </row>
    <row r="40" spans="1:16" s="155" customFormat="1" ht="55.5" customHeight="1">
      <c r="A40" s="110">
        <f t="shared" si="3"/>
        <v>29</v>
      </c>
      <c r="B40" s="152" t="s">
        <v>321</v>
      </c>
      <c r="C40" s="115" t="s">
        <v>321</v>
      </c>
      <c r="D40" s="111" t="s">
        <v>404</v>
      </c>
      <c r="E40" s="112" t="s">
        <v>137</v>
      </c>
      <c r="F40" s="111" t="s">
        <v>23</v>
      </c>
      <c r="G40" s="113" t="s">
        <v>318</v>
      </c>
      <c r="H40" s="148">
        <v>0</v>
      </c>
      <c r="I40" s="147"/>
      <c r="J40" s="114">
        <v>1</v>
      </c>
      <c r="K40" s="115">
        <v>10.5</v>
      </c>
      <c r="L40" s="151">
        <f>_xlfn.XLOOKUP(E40,'Trình bày'!B:B,'Trình bày'!H:H)</f>
        <v>0</v>
      </c>
      <c r="M40" s="115">
        <f t="shared" si="0"/>
        <v>0</v>
      </c>
      <c r="N40" s="115">
        <f t="shared" si="1"/>
        <v>0</v>
      </c>
      <c r="O40" s="150">
        <f>K40*IFERROR(SUMIFS('tồn 30.11'!M:M,'tồn 30.11'!A:A,'Dự báo'!E40)/SUMIFS('tồn 30.11'!I:I,'tồn 30.11'!A:A,'Dự báo'!E40),0)*1000</f>
        <v>245887761.74797964</v>
      </c>
      <c r="P40" s="115">
        <f t="shared" si="2"/>
        <v>-245887761.74797964</v>
      </c>
    </row>
    <row r="41" spans="1:16" s="155" customFormat="1" ht="31.4" customHeight="1">
      <c r="A41" s="110">
        <f t="shared" si="3"/>
        <v>30</v>
      </c>
      <c r="B41" s="152" t="s">
        <v>338</v>
      </c>
      <c r="C41" s="115" t="s">
        <v>321</v>
      </c>
      <c r="D41" s="111" t="s">
        <v>358</v>
      </c>
      <c r="E41" s="112" t="s">
        <v>135</v>
      </c>
      <c r="F41" s="111" t="s">
        <v>21</v>
      </c>
      <c r="G41" s="113" t="s">
        <v>318</v>
      </c>
      <c r="H41" s="148">
        <v>0</v>
      </c>
      <c r="I41" s="147" t="s">
        <v>398</v>
      </c>
      <c r="J41" s="114">
        <v>0.8</v>
      </c>
      <c r="K41" s="115">
        <v>5.5</v>
      </c>
      <c r="L41" s="151">
        <f>_xlfn.XLOOKUP(E41,'Trình bày'!B:B,'Trình bày'!H:H)</f>
        <v>0</v>
      </c>
      <c r="M41" s="115">
        <f t="shared" si="0"/>
        <v>0</v>
      </c>
      <c r="N41" s="115">
        <f t="shared" si="1"/>
        <v>0</v>
      </c>
      <c r="O41" s="150">
        <f>K41*IFERROR(SUMIFS('tồn 30.11'!M:M,'tồn 30.11'!A:A,'Dự báo'!E41)/SUMIFS('tồn 30.11'!I:I,'tồn 30.11'!A:A,'Dự báo'!E41),0)*1000</f>
        <v>117524828.71767949</v>
      </c>
      <c r="P41" s="115">
        <f t="shared" si="2"/>
        <v>-117524828.71767949</v>
      </c>
    </row>
    <row r="42" spans="1:16" s="155" customFormat="1" ht="31.4" customHeight="1">
      <c r="A42" s="110">
        <f t="shared" si="3"/>
        <v>31</v>
      </c>
      <c r="B42" s="152" t="s">
        <v>312</v>
      </c>
      <c r="C42" s="115" t="s">
        <v>331</v>
      </c>
      <c r="D42" s="111" t="s">
        <v>358</v>
      </c>
      <c r="E42" s="112" t="s">
        <v>138</v>
      </c>
      <c r="F42" s="111" t="s">
        <v>24</v>
      </c>
      <c r="G42" s="113" t="s">
        <v>318</v>
      </c>
      <c r="H42" s="148">
        <v>0.78</v>
      </c>
      <c r="I42" s="147" t="s">
        <v>398</v>
      </c>
      <c r="J42" s="114">
        <v>0.8</v>
      </c>
      <c r="K42" s="115">
        <v>5</v>
      </c>
      <c r="L42" s="151">
        <f>_xlfn.XLOOKUP(E42,'Trình bày'!B:B,'Trình bày'!H:H)</f>
        <v>0</v>
      </c>
      <c r="M42" s="115">
        <f t="shared" si="0"/>
        <v>0</v>
      </c>
      <c r="N42" s="115">
        <f t="shared" si="1"/>
        <v>0</v>
      </c>
      <c r="O42" s="150">
        <f>K42*IFERROR(SUMIFS('tồn 30.11'!M:M,'tồn 30.11'!A:A,'Dự báo'!E42)/SUMIFS('tồn 30.11'!I:I,'tồn 30.11'!A:A,'Dự báo'!E42),0)*1000</f>
        <v>42088903.061656617</v>
      </c>
      <c r="P42" s="115">
        <f t="shared" si="2"/>
        <v>-42088903.061656617</v>
      </c>
    </row>
    <row r="43" spans="1:16" s="155" customFormat="1" ht="31.4" customHeight="1">
      <c r="A43" s="110">
        <f t="shared" si="3"/>
        <v>32</v>
      </c>
      <c r="B43" s="152" t="s">
        <v>321</v>
      </c>
      <c r="C43" s="115" t="s">
        <v>321</v>
      </c>
      <c r="D43" s="111" t="s">
        <v>620</v>
      </c>
      <c r="E43" s="112" t="s">
        <v>130</v>
      </c>
      <c r="F43" s="111" t="s">
        <v>16</v>
      </c>
      <c r="G43" s="113" t="s">
        <v>111</v>
      </c>
      <c r="H43" s="148">
        <v>0</v>
      </c>
      <c r="I43" s="147" t="s">
        <v>397</v>
      </c>
      <c r="J43" s="114">
        <v>1</v>
      </c>
      <c r="K43" s="115">
        <v>748</v>
      </c>
      <c r="L43" s="191">
        <v>1080</v>
      </c>
      <c r="M43" s="115">
        <f t="shared" si="0"/>
        <v>807840</v>
      </c>
      <c r="N43" s="115">
        <f t="shared" si="1"/>
        <v>21003840000</v>
      </c>
      <c r="O43" s="150">
        <f>K43*IFERROR(SUMIFS('tồn 30.11'!M:M,'tồn 30.11'!A:A,'Dự báo'!E43)/SUMIFS('tồn 30.11'!I:I,'tồn 30.11'!A:A,'Dự báo'!E43),0)*1000</f>
        <v>19781039333.740471</v>
      </c>
      <c r="P43" s="115">
        <f t="shared" si="2"/>
        <v>1222800666.2595291</v>
      </c>
    </row>
    <row r="44" spans="1:16" ht="32.9" customHeight="1">
      <c r="A44" s="110">
        <f t="shared" si="3"/>
        <v>33</v>
      </c>
      <c r="B44" s="152" t="s">
        <v>338</v>
      </c>
      <c r="C44" s="115" t="s">
        <v>321</v>
      </c>
      <c r="D44" s="111" t="s">
        <v>405</v>
      </c>
      <c r="E44" s="112" t="s">
        <v>166</v>
      </c>
      <c r="F44" s="111" t="s">
        <v>52</v>
      </c>
      <c r="G44" s="113" t="s">
        <v>318</v>
      </c>
      <c r="H44" s="148">
        <v>0.74</v>
      </c>
      <c r="I44" s="147"/>
      <c r="J44" s="114">
        <v>1</v>
      </c>
      <c r="K44" s="115">
        <v>4.5</v>
      </c>
      <c r="L44" s="151">
        <f>_xlfn.XLOOKUP(E44,'Trình bày'!B:B,'Trình bày'!H:H)</f>
        <v>0</v>
      </c>
      <c r="M44" s="115">
        <f t="shared" si="0"/>
        <v>0</v>
      </c>
      <c r="N44" s="115">
        <f t="shared" si="1"/>
        <v>0</v>
      </c>
      <c r="O44" s="150">
        <f>K44*IFERROR(SUMIFS('tồn 30.11'!M:M,'tồn 30.11'!A:A,'Dự báo'!E44)/SUMIFS('tồn 30.11'!I:I,'tồn 30.11'!A:A,'Dự báo'!E44),0)*1000</f>
        <v>87871440.294997856</v>
      </c>
      <c r="P44" s="115">
        <f t="shared" si="2"/>
        <v>-87871440.294997856</v>
      </c>
    </row>
    <row r="45" spans="1:16" s="155" customFormat="1" ht="15.5">
      <c r="A45" s="110">
        <f t="shared" si="3"/>
        <v>34</v>
      </c>
      <c r="B45" s="152" t="s">
        <v>338</v>
      </c>
      <c r="C45" s="115" t="s">
        <v>321</v>
      </c>
      <c r="D45" s="111" t="s">
        <v>617</v>
      </c>
      <c r="E45" s="112" t="s">
        <v>164</v>
      </c>
      <c r="F45" s="111" t="s">
        <v>50</v>
      </c>
      <c r="G45" s="113" t="s">
        <v>318</v>
      </c>
      <c r="H45" s="148">
        <v>0</v>
      </c>
      <c r="I45" s="147" t="s">
        <v>398</v>
      </c>
      <c r="J45" s="114">
        <v>1</v>
      </c>
      <c r="K45" s="115">
        <v>9</v>
      </c>
      <c r="L45" s="151">
        <f>_xlfn.XLOOKUP(E45,'Trình bày'!B:B,'Trình bày'!H:H)</f>
        <v>0</v>
      </c>
      <c r="M45" s="115">
        <f t="shared" si="0"/>
        <v>0</v>
      </c>
      <c r="N45" s="115">
        <f t="shared" si="1"/>
        <v>0</v>
      </c>
      <c r="O45" s="150">
        <f>K45*IFERROR(SUMIFS('tồn 30.11'!M:M,'tồn 30.11'!A:A,'Dự báo'!E45)/SUMIFS('tồn 30.11'!I:I,'tồn 30.11'!A:A,'Dự báo'!E45),0)*1000</f>
        <v>164285217.07415912</v>
      </c>
      <c r="P45" s="115">
        <f t="shared" si="2"/>
        <v>-164285217.07415912</v>
      </c>
    </row>
    <row r="46" spans="1:16" ht="15.5">
      <c r="A46" s="110">
        <f t="shared" si="3"/>
        <v>35</v>
      </c>
      <c r="B46" s="152" t="s">
        <v>338</v>
      </c>
      <c r="C46" s="115" t="s">
        <v>321</v>
      </c>
      <c r="D46" s="111" t="s">
        <v>621</v>
      </c>
      <c r="E46" s="112" t="s">
        <v>130</v>
      </c>
      <c r="F46" s="111" t="s">
        <v>16</v>
      </c>
      <c r="G46" s="113" t="s">
        <v>111</v>
      </c>
      <c r="H46" s="148">
        <v>0</v>
      </c>
      <c r="I46" s="147" t="s">
        <v>398</v>
      </c>
      <c r="J46" s="114">
        <v>1</v>
      </c>
      <c r="K46" s="115">
        <v>88</v>
      </c>
      <c r="L46" s="191">
        <v>1080</v>
      </c>
      <c r="M46" s="115">
        <f t="shared" si="0"/>
        <v>95040</v>
      </c>
      <c r="N46" s="115">
        <f t="shared" si="1"/>
        <v>2471040000</v>
      </c>
      <c r="O46" s="150">
        <f>K46*IFERROR(SUMIFS('tồn 30.11'!M:M,'tồn 30.11'!A:A,'Dự báo'!E46)/SUMIFS('tồn 30.11'!I:I,'tồn 30.11'!A:A,'Dự báo'!E46),0)*1000</f>
        <v>2327181098.0871139</v>
      </c>
      <c r="P46" s="115">
        <f t="shared" si="2"/>
        <v>143858901.91288614</v>
      </c>
    </row>
    <row r="47" spans="1:16" ht="33.65" customHeight="1">
      <c r="A47" s="110">
        <f t="shared" si="3"/>
        <v>36</v>
      </c>
      <c r="B47" s="152" t="s">
        <v>338</v>
      </c>
      <c r="C47" s="115" t="s">
        <v>321</v>
      </c>
      <c r="D47" s="111" t="s">
        <v>406</v>
      </c>
      <c r="E47" s="112" t="s">
        <v>205</v>
      </c>
      <c r="F47" s="111" t="s">
        <v>91</v>
      </c>
      <c r="G47" s="113" t="s">
        <v>115</v>
      </c>
      <c r="H47" s="148" t="e">
        <v>#N/A</v>
      </c>
      <c r="I47" s="147" t="s">
        <v>398</v>
      </c>
      <c r="J47" s="114">
        <v>1</v>
      </c>
      <c r="K47" s="115">
        <v>2</v>
      </c>
      <c r="L47" s="191">
        <v>705</v>
      </c>
      <c r="M47" s="115">
        <f t="shared" si="0"/>
        <v>1410</v>
      </c>
      <c r="N47" s="115">
        <f t="shared" si="1"/>
        <v>36660000</v>
      </c>
      <c r="O47" s="150">
        <f>K47*IFERROR(SUMIFS('tồn 30.11'!M:M,'tồn 30.11'!A:A,'Dự báo'!E47)/SUMIFS('tồn 30.11'!I:I,'tồn 30.11'!A:A,'Dự báo'!E47),0)*1000</f>
        <v>56711393.95694565</v>
      </c>
      <c r="P47" s="115">
        <f t="shared" si="2"/>
        <v>-20051393.95694565</v>
      </c>
    </row>
    <row r="48" spans="1:16" s="155" customFormat="1" ht="35.25" customHeight="1">
      <c r="A48" s="110">
        <f t="shared" si="3"/>
        <v>37</v>
      </c>
      <c r="B48" s="152" t="s">
        <v>338</v>
      </c>
      <c r="C48" s="115" t="s">
        <v>321</v>
      </c>
      <c r="D48" s="111" t="s">
        <v>406</v>
      </c>
      <c r="E48" s="112" t="s">
        <v>205</v>
      </c>
      <c r="F48" s="111" t="s">
        <v>91</v>
      </c>
      <c r="G48" s="113" t="s">
        <v>115</v>
      </c>
      <c r="H48" s="148">
        <v>0</v>
      </c>
      <c r="I48" s="147" t="s">
        <v>398</v>
      </c>
      <c r="J48" s="114">
        <v>1</v>
      </c>
      <c r="K48" s="115">
        <v>1</v>
      </c>
      <c r="L48" s="191">
        <v>705</v>
      </c>
      <c r="M48" s="115">
        <f t="shared" si="0"/>
        <v>705</v>
      </c>
      <c r="N48" s="115">
        <f t="shared" si="1"/>
        <v>18330000</v>
      </c>
      <c r="O48" s="150">
        <f>K48*IFERROR(SUMIFS('tồn 30.11'!M:M,'tồn 30.11'!A:A,'Dự báo'!E48)/SUMIFS('tồn 30.11'!I:I,'tồn 30.11'!A:A,'Dự báo'!E48),0)*1000</f>
        <v>28355696.978472825</v>
      </c>
      <c r="P48" s="115">
        <f t="shared" si="2"/>
        <v>-10025696.978472825</v>
      </c>
    </row>
    <row r="49" spans="1:16" s="155" customFormat="1" ht="33.65" customHeight="1">
      <c r="A49" s="110">
        <f t="shared" si="3"/>
        <v>38</v>
      </c>
      <c r="B49" s="152" t="s">
        <v>338</v>
      </c>
      <c r="C49" s="115" t="s">
        <v>321</v>
      </c>
      <c r="D49" s="111" t="s">
        <v>358</v>
      </c>
      <c r="E49" s="112" t="s">
        <v>137</v>
      </c>
      <c r="F49" s="111" t="s">
        <v>23</v>
      </c>
      <c r="G49" s="113" t="s">
        <v>318</v>
      </c>
      <c r="H49" s="148">
        <v>0</v>
      </c>
      <c r="I49" s="147"/>
      <c r="J49" s="114">
        <v>0.8</v>
      </c>
      <c r="K49" s="115">
        <v>4.125</v>
      </c>
      <c r="L49" s="151">
        <f>_xlfn.XLOOKUP(E49,'Trình bày'!B:B,'Trình bày'!H:H)</f>
        <v>0</v>
      </c>
      <c r="M49" s="115">
        <f t="shared" si="0"/>
        <v>0</v>
      </c>
      <c r="N49" s="115">
        <f t="shared" si="1"/>
        <v>0</v>
      </c>
      <c r="O49" s="150">
        <f>K49*IFERROR(SUMIFS('tồn 30.11'!M:M,'tồn 30.11'!A:A,'Dự báo'!E49)/SUMIFS('tồn 30.11'!I:I,'tồn 30.11'!A:A,'Dự báo'!E49),0)*1000</f>
        <v>96598763.54384914</v>
      </c>
      <c r="P49" s="115">
        <f t="shared" si="2"/>
        <v>-96598763.54384914</v>
      </c>
    </row>
    <row r="50" spans="1:16" ht="31.5" customHeight="1">
      <c r="A50" s="110">
        <f t="shared" si="3"/>
        <v>39</v>
      </c>
      <c r="B50" s="152" t="s">
        <v>338</v>
      </c>
      <c r="C50" s="115" t="s">
        <v>321</v>
      </c>
      <c r="D50" s="111" t="s">
        <v>405</v>
      </c>
      <c r="E50" s="112" t="s">
        <v>165</v>
      </c>
      <c r="F50" s="111" t="s">
        <v>51</v>
      </c>
      <c r="G50" s="113" t="s">
        <v>318</v>
      </c>
      <c r="H50" s="148">
        <v>0.78</v>
      </c>
      <c r="I50" s="147" t="s">
        <v>398</v>
      </c>
      <c r="J50" s="114">
        <v>1</v>
      </c>
      <c r="K50" s="115">
        <v>6</v>
      </c>
      <c r="L50" s="151">
        <f>_xlfn.XLOOKUP(E50,'Trình bày'!B:B,'Trình bày'!H:H)</f>
        <v>0</v>
      </c>
      <c r="M50" s="115">
        <f t="shared" si="0"/>
        <v>0</v>
      </c>
      <c r="N50" s="115">
        <f t="shared" si="1"/>
        <v>0</v>
      </c>
      <c r="O50" s="150">
        <f>K50*IFERROR(SUMIFS('tồn 30.11'!M:M,'tồn 30.11'!A:A,'Dự báo'!E50)/SUMIFS('tồn 30.11'!I:I,'tồn 30.11'!A:A,'Dự báo'!E50),0)*1000</f>
        <v>86942217.883929983</v>
      </c>
      <c r="P50" s="115">
        <f t="shared" si="2"/>
        <v>-86942217.883929983</v>
      </c>
    </row>
  </sheetData>
  <sheetProtection formatCells="0" formatColumns="0" formatRows="0" insertColumns="0" insertRows="0" insertHyperlinks="0" deleteColumns="0" deleteRows="0" sort="0" autoFilter="0" pivotTables="0"/>
  <autoFilter ref="A11:BS50" xr:uid="{46C9430E-90DE-4A72-BDDC-A4EE07C7C2E6}"/>
  <phoneticPr fontId="53" type="noConversion"/>
  <conditionalFormatting sqref="P12:P50">
    <cfRule type="cellIs" dxfId="2" priority="1" operator="lessThan">
      <formula>0</formula>
    </cfRule>
  </conditionalFormatting>
  <dataValidations count="1">
    <dataValidation type="list" allowBlank="1" showInputMessage="1" showErrorMessage="1" sqref="I12:I50" xr:uid="{B73BA4DB-0C91-4FA7-A55F-0AC08D27502E}">
      <formula1>"Đã có, Chưa có"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93-86A4-48CC-BC98-C8A95DD7FF96}">
  <dimension ref="A1:N180"/>
  <sheetViews>
    <sheetView workbookViewId="0">
      <pane xSplit="3" ySplit="1" topLeftCell="D19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D177" sqref="D177"/>
    </sheetView>
  </sheetViews>
  <sheetFormatPr defaultRowHeight="14.5"/>
  <cols>
    <col min="1" max="1" width="11.54296875" customWidth="1"/>
    <col min="2" max="2" width="30.26953125" bestFit="1" customWidth="1"/>
    <col min="3" max="3" width="5.7265625" customWidth="1"/>
    <col min="4" max="5" width="9.7265625" bestFit="1" customWidth="1"/>
    <col min="6" max="8" width="8.7265625" style="99" hidden="1" customWidth="1"/>
    <col min="9" max="9" width="13.453125" style="99" bestFit="1" customWidth="1"/>
    <col min="10" max="10" width="15.7265625" style="99" hidden="1" customWidth="1"/>
    <col min="11" max="12" width="14.7265625" style="99" hidden="1" customWidth="1"/>
    <col min="13" max="13" width="17" style="99" customWidth="1"/>
    <col min="14" max="14" width="9" customWidth="1"/>
  </cols>
  <sheetData>
    <row r="1" spans="1:14">
      <c r="A1" s="98" t="s">
        <v>0</v>
      </c>
      <c r="B1" t="s">
        <v>1</v>
      </c>
      <c r="C1" t="s">
        <v>2</v>
      </c>
      <c r="D1" t="s">
        <v>412</v>
      </c>
      <c r="E1" t="s">
        <v>413</v>
      </c>
      <c r="F1" s="99" t="s">
        <v>414</v>
      </c>
      <c r="G1" s="99" t="s">
        <v>415</v>
      </c>
      <c r="H1" s="99" t="s">
        <v>416</v>
      </c>
      <c r="I1" s="99" t="s">
        <v>417</v>
      </c>
      <c r="J1" s="99" t="s">
        <v>418</v>
      </c>
      <c r="K1" s="99" t="s">
        <v>419</v>
      </c>
      <c r="L1" s="99" t="s">
        <v>420</v>
      </c>
      <c r="M1" s="99" t="s">
        <v>421</v>
      </c>
      <c r="N1" t="s">
        <v>422</v>
      </c>
    </row>
    <row r="2" spans="1:14">
      <c r="A2" s="98" t="s">
        <v>118</v>
      </c>
      <c r="B2" t="s">
        <v>3</v>
      </c>
      <c r="C2" t="s">
        <v>4</v>
      </c>
      <c r="D2" t="s">
        <v>629</v>
      </c>
      <c r="E2" t="s">
        <v>629</v>
      </c>
      <c r="F2" s="99">
        <v>448252.3</v>
      </c>
      <c r="G2" s="99">
        <v>0</v>
      </c>
      <c r="H2" s="99">
        <v>0</v>
      </c>
      <c r="I2" s="99">
        <v>448252.3</v>
      </c>
      <c r="J2" s="99">
        <v>11533979931</v>
      </c>
      <c r="K2" s="99">
        <v>2409156226</v>
      </c>
      <c r="L2" s="99">
        <v>0</v>
      </c>
      <c r="M2" s="99">
        <v>13943136157</v>
      </c>
      <c r="N2" t="s">
        <v>292</v>
      </c>
    </row>
    <row r="3" spans="1:14">
      <c r="A3" s="98" t="s">
        <v>119</v>
      </c>
      <c r="B3" t="s">
        <v>5</v>
      </c>
      <c r="C3" t="s">
        <v>4</v>
      </c>
      <c r="D3" t="s">
        <v>629</v>
      </c>
      <c r="E3" t="s">
        <v>629</v>
      </c>
      <c r="F3" s="99">
        <v>0</v>
      </c>
      <c r="G3" s="99">
        <v>0</v>
      </c>
      <c r="H3" s="99">
        <v>0</v>
      </c>
      <c r="I3" s="99">
        <v>0</v>
      </c>
      <c r="J3" s="99">
        <v>0</v>
      </c>
      <c r="K3" s="99">
        <v>0</v>
      </c>
      <c r="L3" s="99">
        <v>0</v>
      </c>
      <c r="M3" s="99">
        <v>0</v>
      </c>
      <c r="N3" t="s">
        <v>292</v>
      </c>
    </row>
    <row r="4" spans="1:14">
      <c r="A4" s="98" t="s">
        <v>120</v>
      </c>
      <c r="B4" t="s">
        <v>6</v>
      </c>
      <c r="C4" t="s">
        <v>4</v>
      </c>
      <c r="D4" t="s">
        <v>629</v>
      </c>
      <c r="E4" t="s">
        <v>629</v>
      </c>
      <c r="F4" s="99">
        <v>0</v>
      </c>
      <c r="G4" s="99">
        <v>0</v>
      </c>
      <c r="H4" s="99">
        <v>0</v>
      </c>
      <c r="I4" s="99">
        <v>0</v>
      </c>
      <c r="J4" s="99">
        <v>0</v>
      </c>
      <c r="K4" s="99">
        <v>0</v>
      </c>
      <c r="L4" s="99">
        <v>0</v>
      </c>
      <c r="M4" s="99">
        <v>0</v>
      </c>
      <c r="N4" t="s">
        <v>292</v>
      </c>
    </row>
    <row r="5" spans="1:14">
      <c r="A5" s="98" t="s">
        <v>121</v>
      </c>
      <c r="B5" t="s">
        <v>7</v>
      </c>
      <c r="C5" t="s">
        <v>4</v>
      </c>
      <c r="D5" t="s">
        <v>629</v>
      </c>
      <c r="E5" t="s">
        <v>629</v>
      </c>
      <c r="F5" s="99">
        <v>1354251.4</v>
      </c>
      <c r="G5" s="99">
        <v>29700</v>
      </c>
      <c r="H5" s="99">
        <v>-34100</v>
      </c>
      <c r="I5" s="99">
        <v>1349851.4</v>
      </c>
      <c r="J5" s="99">
        <v>35707546665</v>
      </c>
      <c r="K5" s="99">
        <v>6186217493</v>
      </c>
      <c r="L5" s="99">
        <v>-899114700</v>
      </c>
      <c r="M5" s="99">
        <v>40994649458</v>
      </c>
      <c r="N5" t="s">
        <v>292</v>
      </c>
    </row>
    <row r="6" spans="1:14">
      <c r="A6" s="98" t="s">
        <v>122</v>
      </c>
      <c r="B6" t="s">
        <v>8</v>
      </c>
      <c r="C6" t="s">
        <v>4</v>
      </c>
      <c r="D6" t="s">
        <v>629</v>
      </c>
      <c r="E6" t="s">
        <v>629</v>
      </c>
      <c r="F6" s="99">
        <v>2269</v>
      </c>
      <c r="G6" s="99">
        <v>0</v>
      </c>
      <c r="H6" s="99">
        <v>0</v>
      </c>
      <c r="I6" s="99">
        <v>2269</v>
      </c>
      <c r="J6" s="99">
        <v>56257586</v>
      </c>
      <c r="K6" s="99">
        <v>0</v>
      </c>
      <c r="L6" s="99">
        <v>-941628</v>
      </c>
      <c r="M6" s="99">
        <v>55315958</v>
      </c>
      <c r="N6" t="s">
        <v>292</v>
      </c>
    </row>
    <row r="7" spans="1:14">
      <c r="A7" s="98" t="s">
        <v>540</v>
      </c>
      <c r="B7" t="s">
        <v>485</v>
      </c>
      <c r="C7" t="s">
        <v>4</v>
      </c>
      <c r="D7" t="s">
        <v>629</v>
      </c>
      <c r="E7" t="s">
        <v>629</v>
      </c>
      <c r="F7" s="99">
        <v>0</v>
      </c>
      <c r="G7" s="99">
        <v>0</v>
      </c>
      <c r="H7" s="99">
        <v>0</v>
      </c>
      <c r="I7" s="99">
        <v>0</v>
      </c>
      <c r="J7" s="99">
        <v>0</v>
      </c>
      <c r="K7" s="99">
        <v>0</v>
      </c>
      <c r="L7" s="99">
        <v>0</v>
      </c>
      <c r="M7" s="99">
        <v>0</v>
      </c>
      <c r="N7" t="s">
        <v>292</v>
      </c>
    </row>
    <row r="8" spans="1:14">
      <c r="A8" s="98" t="s">
        <v>123</v>
      </c>
      <c r="B8" t="s">
        <v>9</v>
      </c>
      <c r="C8" t="s">
        <v>4</v>
      </c>
      <c r="D8" t="s">
        <v>629</v>
      </c>
      <c r="E8" t="s">
        <v>629</v>
      </c>
      <c r="F8" s="99">
        <v>4420.7</v>
      </c>
      <c r="G8" s="99">
        <v>0</v>
      </c>
      <c r="H8" s="99">
        <v>0</v>
      </c>
      <c r="I8" s="99">
        <v>4420.7</v>
      </c>
      <c r="J8" s="99">
        <v>104178216</v>
      </c>
      <c r="K8" s="99">
        <v>15943950</v>
      </c>
      <c r="L8" s="99">
        <v>0</v>
      </c>
      <c r="M8" s="99">
        <v>120122166</v>
      </c>
      <c r="N8" t="s">
        <v>292</v>
      </c>
    </row>
    <row r="9" spans="1:14">
      <c r="A9" s="98" t="s">
        <v>124</v>
      </c>
      <c r="B9" t="s">
        <v>10</v>
      </c>
      <c r="C9" t="s">
        <v>4</v>
      </c>
      <c r="D9" t="s">
        <v>629</v>
      </c>
      <c r="E9" t="s">
        <v>629</v>
      </c>
      <c r="F9" s="99">
        <v>6611.1</v>
      </c>
      <c r="G9" s="99">
        <v>5811</v>
      </c>
      <c r="H9" s="99">
        <v>-5811</v>
      </c>
      <c r="I9" s="99">
        <v>6611.1</v>
      </c>
      <c r="J9" s="99">
        <v>168774772</v>
      </c>
      <c r="K9" s="99">
        <v>148349019</v>
      </c>
      <c r="L9" s="99">
        <v>-164502981</v>
      </c>
      <c r="M9" s="99">
        <v>152620810</v>
      </c>
      <c r="N9" t="s">
        <v>292</v>
      </c>
    </row>
    <row r="10" spans="1:14">
      <c r="A10" s="98" t="s">
        <v>125</v>
      </c>
      <c r="B10" t="s">
        <v>11</v>
      </c>
      <c r="C10" t="s">
        <v>4</v>
      </c>
      <c r="D10" t="s">
        <v>629</v>
      </c>
      <c r="E10" t="s">
        <v>629</v>
      </c>
      <c r="F10" s="99">
        <v>9199.7999999999993</v>
      </c>
      <c r="G10" s="99">
        <v>0</v>
      </c>
      <c r="H10" s="99">
        <v>0</v>
      </c>
      <c r="I10" s="99">
        <v>9199.7999999999993</v>
      </c>
      <c r="J10" s="99">
        <v>254632064</v>
      </c>
      <c r="K10" s="99">
        <v>15668163</v>
      </c>
      <c r="L10" s="99">
        <v>0</v>
      </c>
      <c r="M10" s="99">
        <v>270300227</v>
      </c>
      <c r="N10" t="s">
        <v>292</v>
      </c>
    </row>
    <row r="11" spans="1:14">
      <c r="A11" s="98" t="s">
        <v>541</v>
      </c>
      <c r="B11" t="s">
        <v>486</v>
      </c>
      <c r="C11" t="s">
        <v>4</v>
      </c>
      <c r="D11" t="s">
        <v>629</v>
      </c>
      <c r="E11" t="s">
        <v>629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t="s">
        <v>292</v>
      </c>
    </row>
    <row r="12" spans="1:14">
      <c r="A12" s="98" t="s">
        <v>126</v>
      </c>
      <c r="B12" t="s">
        <v>12</v>
      </c>
      <c r="C12" t="s">
        <v>4</v>
      </c>
      <c r="D12" t="s">
        <v>629</v>
      </c>
      <c r="E12" t="s">
        <v>629</v>
      </c>
      <c r="F12" s="99">
        <v>526562.30000000005</v>
      </c>
      <c r="G12" s="99">
        <v>25600</v>
      </c>
      <c r="H12" s="99">
        <v>0</v>
      </c>
      <c r="I12" s="99">
        <v>552162.30000000005</v>
      </c>
      <c r="J12" s="99">
        <v>15663122176</v>
      </c>
      <c r="K12" s="99">
        <v>761497600</v>
      </c>
      <c r="L12" s="99">
        <v>-1460671722</v>
      </c>
      <c r="M12" s="99">
        <v>14963948054</v>
      </c>
      <c r="N12" t="s">
        <v>292</v>
      </c>
    </row>
    <row r="13" spans="1:14">
      <c r="A13" s="98" t="s">
        <v>542</v>
      </c>
      <c r="B13" t="s">
        <v>487</v>
      </c>
      <c r="C13" t="s">
        <v>4</v>
      </c>
      <c r="D13" t="s">
        <v>629</v>
      </c>
      <c r="E13" t="s">
        <v>629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t="s">
        <v>292</v>
      </c>
    </row>
    <row r="14" spans="1:14">
      <c r="A14" s="98" t="s">
        <v>127</v>
      </c>
      <c r="B14" t="s">
        <v>13</v>
      </c>
      <c r="C14" t="s">
        <v>4</v>
      </c>
      <c r="D14" t="s">
        <v>629</v>
      </c>
      <c r="E14" t="s">
        <v>629</v>
      </c>
      <c r="F14" s="99">
        <v>114617</v>
      </c>
      <c r="G14" s="99">
        <v>725</v>
      </c>
      <c r="H14" s="99">
        <v>0</v>
      </c>
      <c r="I14" s="99">
        <v>115342</v>
      </c>
      <c r="J14" s="99">
        <v>2700032669</v>
      </c>
      <c r="K14" s="99">
        <v>46195407</v>
      </c>
      <c r="L14" s="99">
        <v>0</v>
      </c>
      <c r="M14" s="99">
        <v>2746228076</v>
      </c>
      <c r="N14" t="s">
        <v>292</v>
      </c>
    </row>
    <row r="15" spans="1:14">
      <c r="A15" s="98" t="s">
        <v>543</v>
      </c>
      <c r="B15" t="s">
        <v>488</v>
      </c>
      <c r="C15" t="s">
        <v>4</v>
      </c>
      <c r="D15" t="s">
        <v>629</v>
      </c>
      <c r="E15" t="s">
        <v>629</v>
      </c>
      <c r="F15" s="99">
        <v>0</v>
      </c>
      <c r="G15" s="99">
        <v>0</v>
      </c>
      <c r="H15" s="99">
        <v>0</v>
      </c>
      <c r="I15" s="99">
        <v>0</v>
      </c>
      <c r="J15" s="99">
        <v>0</v>
      </c>
      <c r="K15" s="99">
        <v>0</v>
      </c>
      <c r="L15" s="99">
        <v>0</v>
      </c>
      <c r="M15" s="99">
        <v>0</v>
      </c>
      <c r="N15" t="s">
        <v>292</v>
      </c>
    </row>
    <row r="16" spans="1:14">
      <c r="A16" s="98" t="s">
        <v>128</v>
      </c>
      <c r="B16" t="s">
        <v>14</v>
      </c>
      <c r="C16" t="s">
        <v>4</v>
      </c>
      <c r="D16" t="s">
        <v>629</v>
      </c>
      <c r="E16" t="s">
        <v>629</v>
      </c>
      <c r="F16" s="99">
        <v>14671</v>
      </c>
      <c r="G16" s="99">
        <v>0</v>
      </c>
      <c r="H16" s="99">
        <v>0</v>
      </c>
      <c r="I16" s="99">
        <v>14671</v>
      </c>
      <c r="J16" s="99">
        <v>199232180</v>
      </c>
      <c r="K16" s="99">
        <v>0</v>
      </c>
      <c r="L16" s="99">
        <v>-134264675</v>
      </c>
      <c r="M16" s="99">
        <v>64967505</v>
      </c>
      <c r="N16" t="s">
        <v>292</v>
      </c>
    </row>
    <row r="17" spans="1:14">
      <c r="A17" s="98" t="s">
        <v>544</v>
      </c>
      <c r="B17" t="s">
        <v>489</v>
      </c>
      <c r="C17" t="s">
        <v>4</v>
      </c>
      <c r="D17" t="s">
        <v>629</v>
      </c>
      <c r="E17" t="s">
        <v>629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t="s">
        <v>292</v>
      </c>
    </row>
    <row r="18" spans="1:14">
      <c r="A18" s="98" t="s">
        <v>129</v>
      </c>
      <c r="B18" t="s">
        <v>15</v>
      </c>
      <c r="C18" t="s">
        <v>4</v>
      </c>
      <c r="D18" t="s">
        <v>629</v>
      </c>
      <c r="E18" t="s">
        <v>629</v>
      </c>
      <c r="F18" s="99">
        <v>24325</v>
      </c>
      <c r="G18" s="99">
        <v>0</v>
      </c>
      <c r="H18" s="99">
        <v>0</v>
      </c>
      <c r="I18" s="99">
        <v>24325</v>
      </c>
      <c r="J18" s="99">
        <v>587083875</v>
      </c>
      <c r="K18" s="99">
        <v>249570342</v>
      </c>
      <c r="L18" s="99">
        <v>0</v>
      </c>
      <c r="M18" s="99">
        <v>836654217</v>
      </c>
      <c r="N18" t="s">
        <v>292</v>
      </c>
    </row>
    <row r="19" spans="1:14">
      <c r="A19" s="98" t="s">
        <v>545</v>
      </c>
      <c r="B19" t="s">
        <v>490</v>
      </c>
      <c r="C19" t="s">
        <v>4</v>
      </c>
      <c r="D19" t="s">
        <v>629</v>
      </c>
      <c r="E19" t="s">
        <v>629</v>
      </c>
      <c r="F19" s="99">
        <v>0</v>
      </c>
      <c r="G19" s="99">
        <v>0</v>
      </c>
      <c r="H19" s="99">
        <v>0</v>
      </c>
      <c r="I19" s="99">
        <v>0</v>
      </c>
      <c r="J19" s="99">
        <v>0</v>
      </c>
      <c r="K19" s="99">
        <v>0</v>
      </c>
      <c r="L19" s="99">
        <v>0</v>
      </c>
      <c r="M19" s="99">
        <v>0</v>
      </c>
      <c r="N19" t="s">
        <v>292</v>
      </c>
    </row>
    <row r="20" spans="1:14">
      <c r="A20" s="98" t="s">
        <v>546</v>
      </c>
      <c r="B20" t="s">
        <v>10</v>
      </c>
      <c r="C20" t="s">
        <v>4</v>
      </c>
      <c r="D20" t="s">
        <v>629</v>
      </c>
      <c r="E20" t="s">
        <v>629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t="s">
        <v>292</v>
      </c>
    </row>
    <row r="21" spans="1:14">
      <c r="A21" s="98" t="s">
        <v>547</v>
      </c>
      <c r="B21" t="s">
        <v>491</v>
      </c>
      <c r="C21" t="s">
        <v>4</v>
      </c>
      <c r="D21" t="s">
        <v>629</v>
      </c>
      <c r="E21" t="s">
        <v>629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t="s">
        <v>292</v>
      </c>
    </row>
    <row r="22" spans="1:14">
      <c r="A22" s="98" t="s">
        <v>548</v>
      </c>
      <c r="B22" t="s">
        <v>492</v>
      </c>
      <c r="C22" t="s">
        <v>4</v>
      </c>
      <c r="D22" t="s">
        <v>629</v>
      </c>
      <c r="E22" t="s">
        <v>629</v>
      </c>
      <c r="F22" s="99">
        <v>0</v>
      </c>
      <c r="G22" s="99">
        <v>0</v>
      </c>
      <c r="H22" s="99">
        <v>0</v>
      </c>
      <c r="I22" s="99">
        <v>0</v>
      </c>
      <c r="J22" s="99">
        <v>0</v>
      </c>
      <c r="K22" s="99">
        <v>0</v>
      </c>
      <c r="L22" s="99">
        <v>0</v>
      </c>
      <c r="M22" s="99">
        <v>0</v>
      </c>
      <c r="N22" t="s">
        <v>292</v>
      </c>
    </row>
    <row r="23" spans="1:14">
      <c r="A23" s="98" t="s">
        <v>549</v>
      </c>
      <c r="B23" t="s">
        <v>493</v>
      </c>
      <c r="C23" t="s">
        <v>4</v>
      </c>
      <c r="D23" t="s">
        <v>629</v>
      </c>
      <c r="E23" t="s">
        <v>629</v>
      </c>
      <c r="F23" s="99">
        <v>0</v>
      </c>
      <c r="G23" s="99">
        <v>0</v>
      </c>
      <c r="H23" s="99">
        <v>0</v>
      </c>
      <c r="I23" s="99">
        <v>0</v>
      </c>
      <c r="J23" s="99">
        <v>0</v>
      </c>
      <c r="K23" s="99">
        <v>0</v>
      </c>
      <c r="L23" s="99">
        <v>0</v>
      </c>
      <c r="M23" s="99">
        <v>0</v>
      </c>
      <c r="N23" t="s">
        <v>292</v>
      </c>
    </row>
    <row r="24" spans="1:14">
      <c r="A24" s="98" t="s">
        <v>550</v>
      </c>
      <c r="B24" t="s">
        <v>328</v>
      </c>
      <c r="C24" t="s">
        <v>4</v>
      </c>
      <c r="D24" t="s">
        <v>629</v>
      </c>
      <c r="E24" t="s">
        <v>629</v>
      </c>
      <c r="F24" s="99">
        <v>0</v>
      </c>
      <c r="G24" s="99">
        <v>0</v>
      </c>
      <c r="H24" s="99">
        <v>0</v>
      </c>
      <c r="I24" s="99">
        <v>0</v>
      </c>
      <c r="J24" s="99">
        <v>0</v>
      </c>
      <c r="K24" s="99">
        <v>0</v>
      </c>
      <c r="L24" s="99">
        <v>0</v>
      </c>
      <c r="M24" s="99">
        <v>0</v>
      </c>
      <c r="N24" t="s">
        <v>292</v>
      </c>
    </row>
    <row r="25" spans="1:14">
      <c r="A25" s="98" t="s">
        <v>551</v>
      </c>
      <c r="B25" t="s">
        <v>494</v>
      </c>
      <c r="C25" t="s">
        <v>4</v>
      </c>
      <c r="D25" t="s">
        <v>629</v>
      </c>
      <c r="E25" t="s">
        <v>629</v>
      </c>
      <c r="F25" s="99">
        <v>0</v>
      </c>
      <c r="G25" s="99">
        <v>0</v>
      </c>
      <c r="H25" s="99">
        <v>0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  <c r="N25" t="s">
        <v>292</v>
      </c>
    </row>
    <row r="26" spans="1:14">
      <c r="A26" s="98" t="s">
        <v>130</v>
      </c>
      <c r="B26" t="s">
        <v>16</v>
      </c>
      <c r="C26" t="s">
        <v>4</v>
      </c>
      <c r="D26" t="s">
        <v>629</v>
      </c>
      <c r="E26" t="s">
        <v>629</v>
      </c>
      <c r="F26" s="99">
        <v>1148184.55</v>
      </c>
      <c r="G26" s="99">
        <v>16500</v>
      </c>
      <c r="H26" s="99">
        <v>-7333.75</v>
      </c>
      <c r="I26" s="99">
        <v>1157350.8</v>
      </c>
      <c r="J26" s="99">
        <v>29478490136</v>
      </c>
      <c r="K26" s="99">
        <v>1316215943</v>
      </c>
      <c r="L26" s="99">
        <v>-188286697</v>
      </c>
      <c r="M26" s="99">
        <v>30606419382</v>
      </c>
      <c r="N26" t="s">
        <v>292</v>
      </c>
    </row>
    <row r="27" spans="1:14">
      <c r="A27" s="98" t="s">
        <v>131</v>
      </c>
      <c r="B27" t="s">
        <v>17</v>
      </c>
      <c r="C27" t="s">
        <v>4</v>
      </c>
      <c r="D27" t="s">
        <v>629</v>
      </c>
      <c r="E27" t="s">
        <v>629</v>
      </c>
      <c r="F27" s="99">
        <v>374318.65</v>
      </c>
      <c r="G27" s="99">
        <v>0</v>
      </c>
      <c r="H27" s="99">
        <v>-3300</v>
      </c>
      <c r="I27" s="99">
        <v>371018.65</v>
      </c>
      <c r="J27" s="99">
        <v>9780572007</v>
      </c>
      <c r="K27" s="99">
        <v>297657284</v>
      </c>
      <c r="L27" s="99">
        <v>-86225700</v>
      </c>
      <c r="M27" s="99">
        <v>9992003591</v>
      </c>
      <c r="N27" t="s">
        <v>292</v>
      </c>
    </row>
    <row r="28" spans="1:14">
      <c r="A28" s="98" t="s">
        <v>552</v>
      </c>
      <c r="B28" t="s">
        <v>495</v>
      </c>
      <c r="C28" t="s">
        <v>4</v>
      </c>
      <c r="D28" t="s">
        <v>629</v>
      </c>
      <c r="E28" t="s">
        <v>629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99">
        <v>0</v>
      </c>
      <c r="N28" t="s">
        <v>292</v>
      </c>
    </row>
    <row r="29" spans="1:14">
      <c r="A29" s="98" t="s">
        <v>553</v>
      </c>
      <c r="B29" t="s">
        <v>328</v>
      </c>
      <c r="C29" t="s">
        <v>4</v>
      </c>
      <c r="D29" t="s">
        <v>629</v>
      </c>
      <c r="E29" t="s">
        <v>629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t="s">
        <v>292</v>
      </c>
    </row>
    <row r="30" spans="1:14">
      <c r="A30" s="98" t="s">
        <v>132</v>
      </c>
      <c r="B30" t="s">
        <v>18</v>
      </c>
      <c r="C30" t="s">
        <v>4</v>
      </c>
      <c r="D30" t="s">
        <v>629</v>
      </c>
      <c r="E30" t="s">
        <v>629</v>
      </c>
      <c r="F30" s="99">
        <v>0</v>
      </c>
      <c r="G30" s="99">
        <v>0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99">
        <v>0</v>
      </c>
      <c r="N30" t="s">
        <v>292</v>
      </c>
    </row>
    <row r="31" spans="1:14">
      <c r="A31" s="98" t="s">
        <v>133</v>
      </c>
      <c r="B31" t="s">
        <v>19</v>
      </c>
      <c r="C31" t="s">
        <v>4</v>
      </c>
      <c r="D31" t="s">
        <v>629</v>
      </c>
      <c r="E31" t="s">
        <v>629</v>
      </c>
      <c r="F31" s="99">
        <v>954348.7</v>
      </c>
      <c r="G31" s="99">
        <v>37400</v>
      </c>
      <c r="H31" s="99">
        <v>0</v>
      </c>
      <c r="I31" s="99">
        <v>991748.7</v>
      </c>
      <c r="J31" s="99">
        <v>20033687910</v>
      </c>
      <c r="K31" s="99">
        <v>5143043995</v>
      </c>
      <c r="L31" s="99">
        <v>0</v>
      </c>
      <c r="M31" s="99">
        <v>25176731905</v>
      </c>
      <c r="N31" t="s">
        <v>292</v>
      </c>
    </row>
    <row r="32" spans="1:14">
      <c r="A32" s="98" t="s">
        <v>134</v>
      </c>
      <c r="B32" t="s">
        <v>20</v>
      </c>
      <c r="C32" t="s">
        <v>4</v>
      </c>
      <c r="D32" t="s">
        <v>629</v>
      </c>
      <c r="E32" t="s">
        <v>629</v>
      </c>
      <c r="F32" s="99">
        <v>25472.5</v>
      </c>
      <c r="G32" s="99">
        <v>0</v>
      </c>
      <c r="H32" s="99">
        <v>0</v>
      </c>
      <c r="I32" s="99">
        <v>25472.5</v>
      </c>
      <c r="J32" s="99">
        <v>223954220</v>
      </c>
      <c r="K32" s="99">
        <v>478069475</v>
      </c>
      <c r="L32" s="99">
        <v>0</v>
      </c>
      <c r="M32" s="99">
        <v>702023695</v>
      </c>
      <c r="N32" t="s">
        <v>292</v>
      </c>
    </row>
    <row r="33" spans="1:14">
      <c r="A33" s="98" t="s">
        <v>135</v>
      </c>
      <c r="B33" t="s">
        <v>21</v>
      </c>
      <c r="C33" t="s">
        <v>4</v>
      </c>
      <c r="D33" t="s">
        <v>629</v>
      </c>
      <c r="E33" t="s">
        <v>629</v>
      </c>
      <c r="F33" s="99">
        <v>15238</v>
      </c>
      <c r="G33" s="99">
        <v>0</v>
      </c>
      <c r="H33" s="99">
        <v>0</v>
      </c>
      <c r="I33" s="99">
        <v>15238</v>
      </c>
      <c r="J33" s="99">
        <v>131961080</v>
      </c>
      <c r="K33" s="99">
        <v>193646800</v>
      </c>
      <c r="L33" s="99">
        <v>0</v>
      </c>
      <c r="M33" s="99">
        <v>325607880</v>
      </c>
      <c r="N33" t="s">
        <v>292</v>
      </c>
    </row>
    <row r="34" spans="1:14">
      <c r="A34" s="98" t="s">
        <v>554</v>
      </c>
      <c r="B34" t="s">
        <v>496</v>
      </c>
      <c r="C34" t="s">
        <v>4</v>
      </c>
      <c r="D34" t="s">
        <v>629</v>
      </c>
      <c r="E34" t="s">
        <v>629</v>
      </c>
      <c r="F34" s="99">
        <v>0</v>
      </c>
      <c r="G34" s="99">
        <v>0</v>
      </c>
      <c r="H34" s="99">
        <v>0</v>
      </c>
      <c r="I34" s="99">
        <v>0</v>
      </c>
      <c r="J34" s="99">
        <v>0</v>
      </c>
      <c r="K34" s="99">
        <v>0</v>
      </c>
      <c r="L34" s="99">
        <v>0</v>
      </c>
      <c r="M34" s="99">
        <v>0</v>
      </c>
      <c r="N34" t="s">
        <v>292</v>
      </c>
    </row>
    <row r="35" spans="1:14">
      <c r="A35" s="98" t="s">
        <v>136</v>
      </c>
      <c r="B35" t="s">
        <v>22</v>
      </c>
      <c r="C35" t="s">
        <v>4</v>
      </c>
      <c r="D35" t="s">
        <v>629</v>
      </c>
      <c r="E35" t="s">
        <v>629</v>
      </c>
      <c r="F35" s="99">
        <v>246844.9</v>
      </c>
      <c r="G35" s="99">
        <v>0</v>
      </c>
      <c r="H35" s="99">
        <v>0</v>
      </c>
      <c r="I35" s="99">
        <v>246844.9</v>
      </c>
      <c r="J35" s="99">
        <v>4979355323</v>
      </c>
      <c r="K35" s="99">
        <v>0</v>
      </c>
      <c r="L35" s="99">
        <v>-375006144</v>
      </c>
      <c r="M35" s="99">
        <v>4604349179</v>
      </c>
      <c r="N35" t="s">
        <v>292</v>
      </c>
    </row>
    <row r="36" spans="1:14">
      <c r="A36" s="98" t="s">
        <v>137</v>
      </c>
      <c r="B36" t="s">
        <v>23</v>
      </c>
      <c r="C36" t="s">
        <v>4</v>
      </c>
      <c r="D36" t="s">
        <v>629</v>
      </c>
      <c r="E36" t="s">
        <v>629</v>
      </c>
      <c r="F36" s="99">
        <v>8648</v>
      </c>
      <c r="G36" s="99">
        <v>1375</v>
      </c>
      <c r="H36" s="99">
        <v>0</v>
      </c>
      <c r="I36" s="99">
        <v>10023</v>
      </c>
      <c r="J36" s="99">
        <v>357032680</v>
      </c>
      <c r="K36" s="99">
        <v>56766875</v>
      </c>
      <c r="L36" s="99">
        <v>-179082123</v>
      </c>
      <c r="M36" s="99">
        <v>234717432</v>
      </c>
      <c r="N36" t="s">
        <v>292</v>
      </c>
    </row>
    <row r="37" spans="1:14">
      <c r="A37" s="98" t="s">
        <v>138</v>
      </c>
      <c r="B37" t="s">
        <v>24</v>
      </c>
      <c r="C37" t="s">
        <v>4</v>
      </c>
      <c r="D37" t="s">
        <v>629</v>
      </c>
      <c r="E37" t="s">
        <v>629</v>
      </c>
      <c r="F37" s="99">
        <v>59033.4</v>
      </c>
      <c r="G37" s="99">
        <v>0</v>
      </c>
      <c r="H37" s="99">
        <v>0</v>
      </c>
      <c r="I37" s="99">
        <v>59033.4</v>
      </c>
      <c r="J37" s="99">
        <v>497002195</v>
      </c>
      <c r="K37" s="99">
        <v>0</v>
      </c>
      <c r="L37" s="99">
        <v>-71985</v>
      </c>
      <c r="M37" s="99">
        <v>496930210</v>
      </c>
      <c r="N37" t="s">
        <v>292</v>
      </c>
    </row>
    <row r="38" spans="1:14">
      <c r="A38" s="98" t="s">
        <v>139</v>
      </c>
      <c r="B38" t="s">
        <v>25</v>
      </c>
      <c r="C38" t="s">
        <v>4</v>
      </c>
      <c r="D38" t="s">
        <v>629</v>
      </c>
      <c r="E38" t="s">
        <v>629</v>
      </c>
      <c r="F38" s="99">
        <v>41721</v>
      </c>
      <c r="G38" s="99">
        <v>0</v>
      </c>
      <c r="H38" s="99">
        <v>0</v>
      </c>
      <c r="I38" s="99">
        <v>41721</v>
      </c>
      <c r="J38" s="99">
        <v>251661072</v>
      </c>
      <c r="K38" s="99">
        <v>996740476</v>
      </c>
      <c r="L38" s="99">
        <v>0</v>
      </c>
      <c r="M38" s="99">
        <v>1248401548</v>
      </c>
      <c r="N38" t="s">
        <v>292</v>
      </c>
    </row>
    <row r="39" spans="1:14">
      <c r="A39" s="98" t="s">
        <v>140</v>
      </c>
      <c r="B39" t="s">
        <v>26</v>
      </c>
      <c r="C39" t="s">
        <v>4</v>
      </c>
      <c r="D39" t="s">
        <v>629</v>
      </c>
      <c r="E39" t="s">
        <v>629</v>
      </c>
      <c r="F39" s="99">
        <v>719</v>
      </c>
      <c r="G39" s="99">
        <v>0</v>
      </c>
      <c r="H39" s="99">
        <v>0</v>
      </c>
      <c r="I39" s="99">
        <v>719</v>
      </c>
      <c r="J39" s="99">
        <v>20394435</v>
      </c>
      <c r="K39" s="99">
        <v>0</v>
      </c>
      <c r="L39" s="99">
        <v>-4576811</v>
      </c>
      <c r="M39" s="99">
        <v>15817624</v>
      </c>
      <c r="N39" t="s">
        <v>292</v>
      </c>
    </row>
    <row r="40" spans="1:14">
      <c r="A40" s="98" t="s">
        <v>555</v>
      </c>
      <c r="B40" t="s">
        <v>497</v>
      </c>
      <c r="C40" t="s">
        <v>4</v>
      </c>
      <c r="D40" t="s">
        <v>629</v>
      </c>
      <c r="E40" t="s">
        <v>629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t="s">
        <v>292</v>
      </c>
    </row>
    <row r="41" spans="1:14">
      <c r="A41" s="98" t="s">
        <v>141</v>
      </c>
      <c r="B41" t="s">
        <v>27</v>
      </c>
      <c r="C41" t="s">
        <v>4</v>
      </c>
      <c r="D41" t="s">
        <v>629</v>
      </c>
      <c r="E41" t="s">
        <v>629</v>
      </c>
      <c r="F41" s="99">
        <v>2677.8</v>
      </c>
      <c r="G41" s="99">
        <v>0</v>
      </c>
      <c r="H41" s="99">
        <v>0</v>
      </c>
      <c r="I41" s="99">
        <v>2677.8</v>
      </c>
      <c r="J41" s="99">
        <v>56038321</v>
      </c>
      <c r="K41" s="99">
        <v>0</v>
      </c>
      <c r="L41" s="99">
        <v>-8102994</v>
      </c>
      <c r="M41" s="99">
        <v>47935327</v>
      </c>
      <c r="N41" t="s">
        <v>292</v>
      </c>
    </row>
    <row r="42" spans="1:14">
      <c r="A42" s="98" t="s">
        <v>142</v>
      </c>
      <c r="B42" t="s">
        <v>28</v>
      </c>
      <c r="C42" t="s">
        <v>4</v>
      </c>
      <c r="D42" t="s">
        <v>629</v>
      </c>
      <c r="E42" t="s">
        <v>629</v>
      </c>
      <c r="F42" s="99">
        <v>2.5</v>
      </c>
      <c r="G42" s="99">
        <v>0</v>
      </c>
      <c r="H42" s="99">
        <v>0</v>
      </c>
      <c r="I42" s="99">
        <v>2.5</v>
      </c>
      <c r="J42" s="99">
        <v>168598</v>
      </c>
      <c r="K42" s="99">
        <v>0</v>
      </c>
      <c r="L42" s="99">
        <v>-105426</v>
      </c>
      <c r="M42" s="99">
        <v>63172</v>
      </c>
      <c r="N42" t="s">
        <v>292</v>
      </c>
    </row>
    <row r="43" spans="1:14">
      <c r="A43" s="98" t="s">
        <v>143</v>
      </c>
      <c r="B43" t="s">
        <v>29</v>
      </c>
      <c r="C43" t="s">
        <v>4</v>
      </c>
      <c r="D43" t="s">
        <v>629</v>
      </c>
      <c r="E43" t="s">
        <v>629</v>
      </c>
      <c r="F43" s="99">
        <v>0.25</v>
      </c>
      <c r="G43" s="99">
        <v>0</v>
      </c>
      <c r="H43" s="99">
        <v>0</v>
      </c>
      <c r="I43" s="99">
        <v>0.25</v>
      </c>
      <c r="J43" s="99">
        <v>5535</v>
      </c>
      <c r="K43" s="99">
        <v>3480</v>
      </c>
      <c r="L43" s="99">
        <v>0</v>
      </c>
      <c r="M43" s="99">
        <v>9015</v>
      </c>
      <c r="N43" t="s">
        <v>292</v>
      </c>
    </row>
    <row r="44" spans="1:14">
      <c r="A44" s="98" t="s">
        <v>556</v>
      </c>
      <c r="B44" t="s">
        <v>498</v>
      </c>
      <c r="C44" t="s">
        <v>4</v>
      </c>
      <c r="D44" t="s">
        <v>629</v>
      </c>
      <c r="E44" t="s">
        <v>629</v>
      </c>
      <c r="F44" s="99">
        <v>0</v>
      </c>
      <c r="G44" s="99">
        <v>0</v>
      </c>
      <c r="H44" s="99">
        <v>0</v>
      </c>
      <c r="I44" s="99">
        <v>0</v>
      </c>
      <c r="J44" s="99">
        <v>0</v>
      </c>
      <c r="K44" s="99">
        <v>0</v>
      </c>
      <c r="L44" s="99">
        <v>0</v>
      </c>
      <c r="M44" s="99">
        <v>0</v>
      </c>
      <c r="N44" t="s">
        <v>292</v>
      </c>
    </row>
    <row r="45" spans="1:14">
      <c r="A45" s="98" t="s">
        <v>144</v>
      </c>
      <c r="B45" t="s">
        <v>30</v>
      </c>
      <c r="C45" t="s">
        <v>4</v>
      </c>
      <c r="D45" t="s">
        <v>629</v>
      </c>
      <c r="E45" t="s">
        <v>629</v>
      </c>
      <c r="F45" s="99">
        <v>4372.8999999999996</v>
      </c>
      <c r="G45" s="99">
        <v>0</v>
      </c>
      <c r="H45" s="99">
        <v>0</v>
      </c>
      <c r="I45" s="99">
        <v>4372.8999999999996</v>
      </c>
      <c r="J45" s="99">
        <v>111250949</v>
      </c>
      <c r="K45" s="99">
        <v>0</v>
      </c>
      <c r="L45" s="99">
        <v>-18869593</v>
      </c>
      <c r="M45" s="99">
        <v>92381356</v>
      </c>
      <c r="N45" t="s">
        <v>292</v>
      </c>
    </row>
    <row r="46" spans="1:14">
      <c r="A46" s="98" t="s">
        <v>145</v>
      </c>
      <c r="B46" t="s">
        <v>31</v>
      </c>
      <c r="C46" t="s">
        <v>4</v>
      </c>
      <c r="D46" t="s">
        <v>629</v>
      </c>
      <c r="E46" t="s">
        <v>629</v>
      </c>
      <c r="F46" s="99">
        <v>319722</v>
      </c>
      <c r="G46" s="99">
        <v>0</v>
      </c>
      <c r="H46" s="99">
        <v>0</v>
      </c>
      <c r="I46" s="99">
        <v>319722</v>
      </c>
      <c r="J46" s="99">
        <v>10079875494</v>
      </c>
      <c r="K46" s="99">
        <v>212996339</v>
      </c>
      <c r="L46" s="99">
        <v>0</v>
      </c>
      <c r="M46" s="99">
        <v>10292871833</v>
      </c>
      <c r="N46" t="s">
        <v>292</v>
      </c>
    </row>
    <row r="47" spans="1:14">
      <c r="A47" s="98" t="s">
        <v>557</v>
      </c>
      <c r="B47" t="s">
        <v>499</v>
      </c>
      <c r="C47" t="s">
        <v>4</v>
      </c>
      <c r="D47" t="s">
        <v>629</v>
      </c>
      <c r="E47" t="s">
        <v>629</v>
      </c>
      <c r="F47" s="99">
        <v>0</v>
      </c>
      <c r="G47" s="99">
        <v>0</v>
      </c>
      <c r="H47" s="99">
        <v>0</v>
      </c>
      <c r="I47" s="99">
        <v>0</v>
      </c>
      <c r="J47" s="99">
        <v>0</v>
      </c>
      <c r="K47" s="99">
        <v>0</v>
      </c>
      <c r="L47" s="99">
        <v>0</v>
      </c>
      <c r="M47" s="99">
        <v>0</v>
      </c>
      <c r="N47" t="s">
        <v>292</v>
      </c>
    </row>
    <row r="48" spans="1:14">
      <c r="A48" s="98" t="s">
        <v>146</v>
      </c>
      <c r="B48" t="s">
        <v>32</v>
      </c>
      <c r="C48" t="s">
        <v>4</v>
      </c>
      <c r="D48" t="s">
        <v>629</v>
      </c>
      <c r="E48" t="s">
        <v>629</v>
      </c>
      <c r="F48" s="99">
        <v>1900</v>
      </c>
      <c r="G48" s="99">
        <v>0</v>
      </c>
      <c r="H48" s="99">
        <v>0</v>
      </c>
      <c r="I48" s="99">
        <v>1900</v>
      </c>
      <c r="J48" s="99">
        <v>35112000</v>
      </c>
      <c r="K48" s="99">
        <v>24113765</v>
      </c>
      <c r="L48" s="99">
        <v>0</v>
      </c>
      <c r="M48" s="99">
        <v>59225765</v>
      </c>
      <c r="N48" t="s">
        <v>292</v>
      </c>
    </row>
    <row r="49" spans="1:14">
      <c r="A49" s="98" t="s">
        <v>147</v>
      </c>
      <c r="B49" t="s">
        <v>33</v>
      </c>
      <c r="C49" t="s">
        <v>4</v>
      </c>
      <c r="D49" t="s">
        <v>629</v>
      </c>
      <c r="E49" t="s">
        <v>629</v>
      </c>
      <c r="F49" s="99">
        <v>311299.5</v>
      </c>
      <c r="G49" s="99">
        <v>0</v>
      </c>
      <c r="H49" s="99">
        <v>0</v>
      </c>
      <c r="I49" s="99">
        <v>311299.5</v>
      </c>
      <c r="J49" s="99">
        <v>7166737089</v>
      </c>
      <c r="K49" s="99">
        <v>546339308</v>
      </c>
      <c r="L49" s="99">
        <v>0</v>
      </c>
      <c r="M49" s="99">
        <v>7713076397</v>
      </c>
      <c r="N49" t="s">
        <v>292</v>
      </c>
    </row>
    <row r="50" spans="1:14">
      <c r="A50" s="98" t="s">
        <v>148</v>
      </c>
      <c r="B50" t="s">
        <v>34</v>
      </c>
      <c r="C50" t="s">
        <v>4</v>
      </c>
      <c r="D50" t="s">
        <v>629</v>
      </c>
      <c r="E50" t="s">
        <v>629</v>
      </c>
      <c r="F50" s="99">
        <v>1650000</v>
      </c>
      <c r="G50" s="99">
        <v>0</v>
      </c>
      <c r="H50" s="99">
        <v>0</v>
      </c>
      <c r="I50" s="99">
        <v>1650000</v>
      </c>
      <c r="J50" s="99">
        <v>40253400000</v>
      </c>
      <c r="K50" s="99">
        <v>3268732686</v>
      </c>
      <c r="L50" s="99">
        <v>0</v>
      </c>
      <c r="M50" s="99">
        <v>43522132686</v>
      </c>
      <c r="N50" t="s">
        <v>292</v>
      </c>
    </row>
    <row r="51" spans="1:14">
      <c r="A51" s="98" t="s">
        <v>149</v>
      </c>
      <c r="B51" t="s">
        <v>35</v>
      </c>
      <c r="C51" t="s">
        <v>4</v>
      </c>
      <c r="D51" t="s">
        <v>629</v>
      </c>
      <c r="E51" t="s">
        <v>629</v>
      </c>
      <c r="F51" s="99">
        <v>125457.8</v>
      </c>
      <c r="G51" s="99">
        <v>0</v>
      </c>
      <c r="H51" s="99">
        <v>0</v>
      </c>
      <c r="I51" s="99">
        <v>125457.8</v>
      </c>
      <c r="J51" s="99">
        <v>3640910814</v>
      </c>
      <c r="K51" s="99">
        <v>0</v>
      </c>
      <c r="L51" s="99">
        <v>-490207221</v>
      </c>
      <c r="M51" s="99">
        <v>3150703593</v>
      </c>
      <c r="N51" t="s">
        <v>292</v>
      </c>
    </row>
    <row r="52" spans="1:14">
      <c r="A52" s="98" t="s">
        <v>150</v>
      </c>
      <c r="B52" t="s">
        <v>36</v>
      </c>
      <c r="C52" t="s">
        <v>4</v>
      </c>
      <c r="D52" t="s">
        <v>629</v>
      </c>
      <c r="E52" t="s">
        <v>629</v>
      </c>
      <c r="F52" s="99">
        <v>1850</v>
      </c>
      <c r="G52" s="99">
        <v>0</v>
      </c>
      <c r="H52" s="99">
        <v>0</v>
      </c>
      <c r="I52" s="99">
        <v>1850</v>
      </c>
      <c r="J52" s="99">
        <v>46727300</v>
      </c>
      <c r="K52" s="99">
        <v>17468343</v>
      </c>
      <c r="L52" s="99">
        <v>0</v>
      </c>
      <c r="M52" s="99">
        <v>64195643</v>
      </c>
      <c r="N52" t="s">
        <v>292</v>
      </c>
    </row>
    <row r="53" spans="1:14">
      <c r="A53" s="98" t="s">
        <v>151</v>
      </c>
      <c r="B53" t="s">
        <v>37</v>
      </c>
      <c r="C53" t="s">
        <v>4</v>
      </c>
      <c r="D53" t="s">
        <v>629</v>
      </c>
      <c r="E53" t="s">
        <v>629</v>
      </c>
      <c r="F53" s="99">
        <v>52800</v>
      </c>
      <c r="G53" s="99">
        <v>0</v>
      </c>
      <c r="H53" s="99">
        <v>0</v>
      </c>
      <c r="I53" s="99">
        <v>52800</v>
      </c>
      <c r="J53" s="99">
        <v>1384732800</v>
      </c>
      <c r="K53" s="99">
        <v>167396410</v>
      </c>
      <c r="L53" s="99">
        <v>0</v>
      </c>
      <c r="M53" s="99">
        <v>1552129210</v>
      </c>
      <c r="N53" t="s">
        <v>292</v>
      </c>
    </row>
    <row r="54" spans="1:14">
      <c r="A54" s="98" t="s">
        <v>152</v>
      </c>
      <c r="B54" t="s">
        <v>38</v>
      </c>
      <c r="C54" t="s">
        <v>4</v>
      </c>
      <c r="D54" t="s">
        <v>629</v>
      </c>
      <c r="E54" t="s">
        <v>629</v>
      </c>
      <c r="F54" s="99">
        <v>185278.5</v>
      </c>
      <c r="G54" s="99">
        <v>0</v>
      </c>
      <c r="H54" s="99">
        <v>0</v>
      </c>
      <c r="I54" s="99">
        <v>185278.5</v>
      </c>
      <c r="J54" s="99">
        <v>4680505467</v>
      </c>
      <c r="K54" s="99">
        <v>725234210</v>
      </c>
      <c r="L54" s="99">
        <v>0</v>
      </c>
      <c r="M54" s="99">
        <v>5405739677</v>
      </c>
      <c r="N54" t="s">
        <v>292</v>
      </c>
    </row>
    <row r="55" spans="1:14">
      <c r="A55" s="98" t="s">
        <v>153</v>
      </c>
      <c r="B55" t="s">
        <v>39</v>
      </c>
      <c r="C55" t="s">
        <v>4</v>
      </c>
      <c r="D55" t="s">
        <v>629</v>
      </c>
      <c r="E55" t="s">
        <v>629</v>
      </c>
      <c r="F55" s="99">
        <v>57750</v>
      </c>
      <c r="G55" s="99">
        <v>0</v>
      </c>
      <c r="H55" s="99">
        <v>0</v>
      </c>
      <c r="I55" s="99">
        <v>57750</v>
      </c>
      <c r="J55" s="99">
        <v>1695251250</v>
      </c>
      <c r="K55" s="99">
        <v>126906505</v>
      </c>
      <c r="L55" s="99">
        <v>0</v>
      </c>
      <c r="M55" s="99">
        <v>1822157755</v>
      </c>
      <c r="N55" t="s">
        <v>292</v>
      </c>
    </row>
    <row r="56" spans="1:14">
      <c r="A56" s="98" t="s">
        <v>558</v>
      </c>
      <c r="B56" t="s">
        <v>500</v>
      </c>
      <c r="C56" t="s">
        <v>4</v>
      </c>
      <c r="D56" t="s">
        <v>629</v>
      </c>
      <c r="E56" t="s">
        <v>629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t="s">
        <v>292</v>
      </c>
    </row>
    <row r="57" spans="1:14">
      <c r="A57" s="98" t="s">
        <v>154</v>
      </c>
      <c r="B57" t="s">
        <v>40</v>
      </c>
      <c r="C57" t="s">
        <v>4</v>
      </c>
      <c r="D57" t="s">
        <v>629</v>
      </c>
      <c r="E57" t="s">
        <v>629</v>
      </c>
      <c r="F57" s="99">
        <v>19753.599999999999</v>
      </c>
      <c r="G57" s="99">
        <v>0</v>
      </c>
      <c r="H57" s="99">
        <v>0</v>
      </c>
      <c r="I57" s="99">
        <v>19753.599999999999</v>
      </c>
      <c r="J57" s="99">
        <v>590830176</v>
      </c>
      <c r="K57" s="99">
        <v>42877130</v>
      </c>
      <c r="L57" s="99">
        <v>0</v>
      </c>
      <c r="M57" s="99">
        <v>633707306</v>
      </c>
      <c r="N57" t="s">
        <v>292</v>
      </c>
    </row>
    <row r="58" spans="1:14">
      <c r="A58" s="98" t="s">
        <v>155</v>
      </c>
      <c r="B58" t="s">
        <v>41</v>
      </c>
      <c r="C58" t="s">
        <v>4</v>
      </c>
      <c r="D58" t="s">
        <v>629</v>
      </c>
      <c r="E58" t="s">
        <v>629</v>
      </c>
      <c r="F58" s="99">
        <v>3570</v>
      </c>
      <c r="G58" s="99">
        <v>0</v>
      </c>
      <c r="H58" s="99">
        <v>-1645</v>
      </c>
      <c r="I58" s="99">
        <v>1925</v>
      </c>
      <c r="J58" s="99">
        <v>90024690</v>
      </c>
      <c r="K58" s="99">
        <v>246476</v>
      </c>
      <c r="L58" s="99">
        <v>-41481965</v>
      </c>
      <c r="M58" s="99">
        <v>48789201</v>
      </c>
      <c r="N58" t="s">
        <v>292</v>
      </c>
    </row>
    <row r="59" spans="1:14">
      <c r="A59" s="98" t="s">
        <v>156</v>
      </c>
      <c r="B59" t="s">
        <v>42</v>
      </c>
      <c r="C59" t="s">
        <v>4</v>
      </c>
      <c r="D59" t="s">
        <v>629</v>
      </c>
      <c r="E59" t="s">
        <v>629</v>
      </c>
      <c r="F59" s="99">
        <v>12373</v>
      </c>
      <c r="G59" s="99">
        <v>0</v>
      </c>
      <c r="H59" s="99">
        <v>0</v>
      </c>
      <c r="I59" s="99">
        <v>12373</v>
      </c>
      <c r="J59" s="99">
        <v>342125823</v>
      </c>
      <c r="K59" s="99">
        <v>7564556</v>
      </c>
      <c r="L59" s="99">
        <v>0</v>
      </c>
      <c r="M59" s="99">
        <v>349690379</v>
      </c>
      <c r="N59" t="s">
        <v>292</v>
      </c>
    </row>
    <row r="60" spans="1:14">
      <c r="A60" s="98" t="s">
        <v>157</v>
      </c>
      <c r="B60" t="s">
        <v>43</v>
      </c>
      <c r="C60" t="s">
        <v>4</v>
      </c>
      <c r="D60" t="s">
        <v>629</v>
      </c>
      <c r="E60" t="s">
        <v>629</v>
      </c>
      <c r="F60" s="99">
        <v>2280</v>
      </c>
      <c r="G60" s="99">
        <v>0</v>
      </c>
      <c r="H60" s="99">
        <v>0</v>
      </c>
      <c r="I60" s="99">
        <v>2280</v>
      </c>
      <c r="J60" s="99">
        <v>57013680</v>
      </c>
      <c r="K60" s="99">
        <v>0</v>
      </c>
      <c r="L60" s="99">
        <v>-3427710</v>
      </c>
      <c r="M60" s="99">
        <v>53585970</v>
      </c>
      <c r="N60" t="s">
        <v>292</v>
      </c>
    </row>
    <row r="61" spans="1:14">
      <c r="A61" s="98" t="s">
        <v>158</v>
      </c>
      <c r="B61" t="s">
        <v>44</v>
      </c>
      <c r="C61" t="s">
        <v>4</v>
      </c>
      <c r="D61" t="s">
        <v>629</v>
      </c>
      <c r="E61" t="s">
        <v>629</v>
      </c>
      <c r="F61" s="99">
        <v>2</v>
      </c>
      <c r="G61" s="99">
        <v>0</v>
      </c>
      <c r="H61" s="99">
        <v>0</v>
      </c>
      <c r="I61" s="99">
        <v>2</v>
      </c>
      <c r="J61" s="99">
        <v>46578</v>
      </c>
      <c r="K61" s="99">
        <v>0</v>
      </c>
      <c r="L61" s="99">
        <v>-5458</v>
      </c>
      <c r="M61" s="99">
        <v>41120</v>
      </c>
      <c r="N61" t="s">
        <v>292</v>
      </c>
    </row>
    <row r="62" spans="1:14">
      <c r="A62" s="98" t="s">
        <v>159</v>
      </c>
      <c r="B62" t="s">
        <v>45</v>
      </c>
      <c r="C62" t="s">
        <v>4</v>
      </c>
      <c r="D62" t="s">
        <v>629</v>
      </c>
      <c r="E62" t="s">
        <v>629</v>
      </c>
      <c r="F62" s="99">
        <v>25532</v>
      </c>
      <c r="G62" s="99">
        <v>0</v>
      </c>
      <c r="H62" s="99">
        <v>0</v>
      </c>
      <c r="I62" s="99">
        <v>25532</v>
      </c>
      <c r="J62" s="99">
        <v>386171500</v>
      </c>
      <c r="K62" s="99">
        <v>68497375</v>
      </c>
      <c r="L62" s="99">
        <v>0</v>
      </c>
      <c r="M62" s="99">
        <v>454668875</v>
      </c>
      <c r="N62" t="s">
        <v>292</v>
      </c>
    </row>
    <row r="63" spans="1:14">
      <c r="A63" s="98" t="s">
        <v>160</v>
      </c>
      <c r="B63" t="s">
        <v>46</v>
      </c>
      <c r="C63" t="s">
        <v>4</v>
      </c>
      <c r="D63" t="s">
        <v>629</v>
      </c>
      <c r="E63" t="s">
        <v>629</v>
      </c>
      <c r="F63" s="99">
        <v>44048</v>
      </c>
      <c r="G63" s="99">
        <v>0</v>
      </c>
      <c r="H63" s="99">
        <v>0</v>
      </c>
      <c r="I63" s="99">
        <v>44048</v>
      </c>
      <c r="J63" s="99">
        <v>1223653440</v>
      </c>
      <c r="K63" s="99">
        <v>0</v>
      </c>
      <c r="L63" s="99">
        <v>-253648806</v>
      </c>
      <c r="M63" s="99">
        <v>970004634</v>
      </c>
      <c r="N63" t="s">
        <v>292</v>
      </c>
    </row>
    <row r="64" spans="1:14">
      <c r="A64" s="98" t="s">
        <v>161</v>
      </c>
      <c r="B64" t="s">
        <v>47</v>
      </c>
      <c r="C64" t="s">
        <v>4</v>
      </c>
      <c r="D64" t="s">
        <v>629</v>
      </c>
      <c r="E64" t="s">
        <v>629</v>
      </c>
      <c r="F64" s="99">
        <v>1599.5</v>
      </c>
      <c r="G64" s="99">
        <v>0</v>
      </c>
      <c r="H64" s="99">
        <v>0</v>
      </c>
      <c r="I64" s="99">
        <v>1599.5</v>
      </c>
      <c r="J64" s="99">
        <v>43309661</v>
      </c>
      <c r="K64" s="99">
        <v>4026056</v>
      </c>
      <c r="L64" s="99">
        <v>0</v>
      </c>
      <c r="M64" s="99">
        <v>47335717</v>
      </c>
      <c r="N64" t="s">
        <v>292</v>
      </c>
    </row>
    <row r="65" spans="1:14">
      <c r="A65" s="98" t="s">
        <v>559</v>
      </c>
      <c r="B65" t="s">
        <v>498</v>
      </c>
      <c r="C65" t="s">
        <v>4</v>
      </c>
      <c r="D65" t="s">
        <v>629</v>
      </c>
      <c r="E65" t="s">
        <v>629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t="s">
        <v>292</v>
      </c>
    </row>
    <row r="66" spans="1:14">
      <c r="A66" s="98" t="s">
        <v>560</v>
      </c>
      <c r="B66" t="s">
        <v>501</v>
      </c>
      <c r="C66" t="s">
        <v>4</v>
      </c>
      <c r="D66" t="s">
        <v>629</v>
      </c>
      <c r="E66" t="s">
        <v>629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99">
        <v>0</v>
      </c>
      <c r="N66" t="s">
        <v>292</v>
      </c>
    </row>
    <row r="67" spans="1:14">
      <c r="A67" s="98" t="s">
        <v>561</v>
      </c>
      <c r="B67" t="s">
        <v>502</v>
      </c>
      <c r="C67" t="s">
        <v>4</v>
      </c>
      <c r="D67" t="s">
        <v>629</v>
      </c>
      <c r="E67" t="s">
        <v>629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t="s">
        <v>292</v>
      </c>
    </row>
    <row r="68" spans="1:14">
      <c r="A68" s="98" t="s">
        <v>562</v>
      </c>
      <c r="B68" t="s">
        <v>27</v>
      </c>
      <c r="C68" t="s">
        <v>4</v>
      </c>
      <c r="D68" t="s">
        <v>629</v>
      </c>
      <c r="E68" t="s">
        <v>629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99">
        <v>0</v>
      </c>
      <c r="N68" t="s">
        <v>292</v>
      </c>
    </row>
    <row r="69" spans="1:14">
      <c r="A69" s="98" t="s">
        <v>563</v>
      </c>
      <c r="B69" t="s">
        <v>503</v>
      </c>
      <c r="C69" t="s">
        <v>4</v>
      </c>
      <c r="D69" t="s">
        <v>629</v>
      </c>
      <c r="E69" t="s">
        <v>629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t="s">
        <v>292</v>
      </c>
    </row>
    <row r="70" spans="1:14">
      <c r="A70" s="98" t="s">
        <v>564</v>
      </c>
      <c r="B70" t="s">
        <v>504</v>
      </c>
      <c r="C70" t="s">
        <v>4</v>
      </c>
      <c r="D70" t="s">
        <v>629</v>
      </c>
      <c r="E70" t="s">
        <v>629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t="s">
        <v>292</v>
      </c>
    </row>
    <row r="71" spans="1:14">
      <c r="A71" s="98" t="s">
        <v>565</v>
      </c>
      <c r="B71" t="s">
        <v>503</v>
      </c>
      <c r="C71" t="s">
        <v>4</v>
      </c>
      <c r="D71" t="s">
        <v>629</v>
      </c>
      <c r="E71" t="s">
        <v>629</v>
      </c>
      <c r="F71" s="99">
        <v>0</v>
      </c>
      <c r="G71" s="99">
        <v>0</v>
      </c>
      <c r="H71" s="99">
        <v>0</v>
      </c>
      <c r="I71" s="99">
        <v>0</v>
      </c>
      <c r="J71" s="99">
        <v>0</v>
      </c>
      <c r="K71" s="99">
        <v>0</v>
      </c>
      <c r="L71" s="99">
        <v>0</v>
      </c>
      <c r="M71" s="99">
        <v>0</v>
      </c>
      <c r="N71" t="s">
        <v>292</v>
      </c>
    </row>
    <row r="72" spans="1:14">
      <c r="A72" s="98" t="s">
        <v>566</v>
      </c>
      <c r="B72" t="s">
        <v>505</v>
      </c>
      <c r="C72" t="s">
        <v>4</v>
      </c>
      <c r="D72" t="s">
        <v>629</v>
      </c>
      <c r="E72" t="s">
        <v>629</v>
      </c>
      <c r="F72" s="99">
        <v>0</v>
      </c>
      <c r="G72" s="99">
        <v>0</v>
      </c>
      <c r="H72" s="99">
        <v>0</v>
      </c>
      <c r="I72" s="99">
        <v>0</v>
      </c>
      <c r="J72" s="99">
        <v>0</v>
      </c>
      <c r="K72" s="99">
        <v>0</v>
      </c>
      <c r="L72" s="99">
        <v>0</v>
      </c>
      <c r="M72" s="99">
        <v>0</v>
      </c>
      <c r="N72" t="s">
        <v>292</v>
      </c>
    </row>
    <row r="73" spans="1:14">
      <c r="A73" s="98" t="s">
        <v>567</v>
      </c>
      <c r="B73" t="s">
        <v>506</v>
      </c>
      <c r="C73" t="s">
        <v>4</v>
      </c>
      <c r="D73" t="s">
        <v>629</v>
      </c>
      <c r="E73" t="s">
        <v>629</v>
      </c>
      <c r="F73" s="99">
        <v>0</v>
      </c>
      <c r="G73" s="99">
        <v>0</v>
      </c>
      <c r="H73" s="99">
        <v>0</v>
      </c>
      <c r="I73" s="99">
        <v>0</v>
      </c>
      <c r="J73" s="99">
        <v>0</v>
      </c>
      <c r="K73" s="99">
        <v>0</v>
      </c>
      <c r="L73" s="99">
        <v>0</v>
      </c>
      <c r="M73" s="99">
        <v>0</v>
      </c>
      <c r="N73" t="s">
        <v>292</v>
      </c>
    </row>
    <row r="74" spans="1:14">
      <c r="A74" s="98" t="s">
        <v>568</v>
      </c>
      <c r="B74" t="s">
        <v>507</v>
      </c>
      <c r="C74" t="s">
        <v>4</v>
      </c>
      <c r="D74" t="s">
        <v>629</v>
      </c>
      <c r="E74" t="s">
        <v>629</v>
      </c>
      <c r="F74" s="99">
        <v>0</v>
      </c>
      <c r="G74" s="99">
        <v>0</v>
      </c>
      <c r="H74" s="99">
        <v>0</v>
      </c>
      <c r="I74" s="99">
        <v>0</v>
      </c>
      <c r="J74" s="99">
        <v>0</v>
      </c>
      <c r="K74" s="99">
        <v>0</v>
      </c>
      <c r="L74" s="99">
        <v>0</v>
      </c>
      <c r="M74" s="99">
        <v>0</v>
      </c>
      <c r="N74" t="s">
        <v>292</v>
      </c>
    </row>
    <row r="75" spans="1:14">
      <c r="A75" s="98" t="s">
        <v>569</v>
      </c>
      <c r="B75" t="s">
        <v>508</v>
      </c>
      <c r="C75" t="s">
        <v>4</v>
      </c>
      <c r="D75" t="s">
        <v>629</v>
      </c>
      <c r="E75" t="s">
        <v>629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t="s">
        <v>292</v>
      </c>
    </row>
    <row r="76" spans="1:14">
      <c r="A76" s="98" t="s">
        <v>570</v>
      </c>
      <c r="B76" t="s">
        <v>509</v>
      </c>
      <c r="C76" t="s">
        <v>4</v>
      </c>
      <c r="D76" t="s">
        <v>629</v>
      </c>
      <c r="E76" t="s">
        <v>629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t="s">
        <v>292</v>
      </c>
    </row>
    <row r="77" spans="1:14">
      <c r="A77" s="98" t="s">
        <v>162</v>
      </c>
      <c r="B77" t="s">
        <v>48</v>
      </c>
      <c r="C77" t="s">
        <v>4</v>
      </c>
      <c r="D77" t="s">
        <v>629</v>
      </c>
      <c r="E77" t="s">
        <v>629</v>
      </c>
      <c r="F77" s="99">
        <v>135157</v>
      </c>
      <c r="G77" s="99">
        <v>5250</v>
      </c>
      <c r="H77" s="99">
        <v>0</v>
      </c>
      <c r="I77" s="99">
        <v>140407</v>
      </c>
      <c r="J77" s="99">
        <v>1456992460</v>
      </c>
      <c r="K77" s="99">
        <v>4371950877</v>
      </c>
      <c r="L77" s="99">
        <v>0</v>
      </c>
      <c r="M77" s="99">
        <v>5828943337</v>
      </c>
      <c r="N77" t="s">
        <v>292</v>
      </c>
    </row>
    <row r="78" spans="1:14">
      <c r="A78" s="98" t="s">
        <v>163</v>
      </c>
      <c r="B78" t="s">
        <v>49</v>
      </c>
      <c r="C78" t="s">
        <v>4</v>
      </c>
      <c r="D78" t="s">
        <v>629</v>
      </c>
      <c r="E78" t="s">
        <v>629</v>
      </c>
      <c r="F78" s="99">
        <v>172551.2</v>
      </c>
      <c r="G78" s="99">
        <v>23250</v>
      </c>
      <c r="H78" s="99">
        <v>-5790</v>
      </c>
      <c r="I78" s="99">
        <v>190011.2</v>
      </c>
      <c r="J78" s="99">
        <v>1898063200</v>
      </c>
      <c r="K78" s="99">
        <v>2774806153</v>
      </c>
      <c r="L78" s="99">
        <v>-63690000</v>
      </c>
      <c r="M78" s="99">
        <v>4609179353</v>
      </c>
      <c r="N78" t="s">
        <v>292</v>
      </c>
    </row>
    <row r="79" spans="1:14">
      <c r="A79" s="98" t="s">
        <v>164</v>
      </c>
      <c r="B79" t="s">
        <v>50</v>
      </c>
      <c r="C79" t="s">
        <v>4</v>
      </c>
      <c r="D79" t="s">
        <v>629</v>
      </c>
      <c r="E79" t="s">
        <v>629</v>
      </c>
      <c r="F79" s="99">
        <v>61940</v>
      </c>
      <c r="G79" s="99">
        <v>25260</v>
      </c>
      <c r="H79" s="99">
        <v>-13170</v>
      </c>
      <c r="I79" s="99">
        <v>74030</v>
      </c>
      <c r="J79" s="99">
        <v>681340000</v>
      </c>
      <c r="K79" s="99">
        <v>814867180</v>
      </c>
      <c r="L79" s="99">
        <v>-144870000</v>
      </c>
      <c r="M79" s="99">
        <v>1351337180</v>
      </c>
      <c r="N79" t="s">
        <v>292</v>
      </c>
    </row>
    <row r="80" spans="1:14">
      <c r="A80" s="98" t="s">
        <v>165</v>
      </c>
      <c r="B80" t="s">
        <v>51</v>
      </c>
      <c r="C80" t="s">
        <v>4</v>
      </c>
      <c r="D80" t="s">
        <v>629</v>
      </c>
      <c r="E80" t="s">
        <v>629</v>
      </c>
      <c r="F80" s="99">
        <v>17299</v>
      </c>
      <c r="G80" s="99">
        <v>1500</v>
      </c>
      <c r="H80" s="99">
        <v>0</v>
      </c>
      <c r="I80" s="99">
        <v>18799</v>
      </c>
      <c r="J80" s="99">
        <v>190289000</v>
      </c>
      <c r="K80" s="99">
        <v>82115459</v>
      </c>
      <c r="L80" s="99">
        <v>0</v>
      </c>
      <c r="M80" s="99">
        <v>272404459</v>
      </c>
      <c r="N80" t="s">
        <v>292</v>
      </c>
    </row>
    <row r="81" spans="1:14">
      <c r="A81" s="98" t="s">
        <v>166</v>
      </c>
      <c r="B81" t="s">
        <v>52</v>
      </c>
      <c r="C81" t="s">
        <v>4</v>
      </c>
      <c r="D81" t="s">
        <v>629</v>
      </c>
      <c r="E81" t="s">
        <v>629</v>
      </c>
      <c r="F81" s="99">
        <v>67170</v>
      </c>
      <c r="G81" s="99">
        <v>3750</v>
      </c>
      <c r="H81" s="99">
        <v>-750</v>
      </c>
      <c r="I81" s="99">
        <v>70170</v>
      </c>
      <c r="J81" s="99">
        <v>738870000</v>
      </c>
      <c r="K81" s="99">
        <v>639588659</v>
      </c>
      <c r="L81" s="99">
        <v>-8250000</v>
      </c>
      <c r="M81" s="99">
        <v>1370208659</v>
      </c>
      <c r="N81" t="s">
        <v>292</v>
      </c>
    </row>
    <row r="82" spans="1:14">
      <c r="A82" s="98" t="s">
        <v>167</v>
      </c>
      <c r="B82" t="s">
        <v>53</v>
      </c>
      <c r="C82" t="s">
        <v>4</v>
      </c>
      <c r="D82" t="s">
        <v>629</v>
      </c>
      <c r="E82" t="s">
        <v>629</v>
      </c>
      <c r="F82" s="99">
        <v>34217</v>
      </c>
      <c r="G82" s="99">
        <v>1548</v>
      </c>
      <c r="H82" s="99">
        <v>-1298</v>
      </c>
      <c r="I82" s="99">
        <v>34467</v>
      </c>
      <c r="J82" s="99">
        <v>205302000</v>
      </c>
      <c r="K82" s="99">
        <v>364347000</v>
      </c>
      <c r="L82" s="99">
        <v>-7788000</v>
      </c>
      <c r="M82" s="99">
        <v>561861000</v>
      </c>
      <c r="N82" t="s">
        <v>292</v>
      </c>
    </row>
    <row r="83" spans="1:14">
      <c r="A83" s="98" t="s">
        <v>168</v>
      </c>
      <c r="B83" t="s">
        <v>54</v>
      </c>
      <c r="C83" t="s">
        <v>4</v>
      </c>
      <c r="D83" t="s">
        <v>629</v>
      </c>
      <c r="E83" t="s">
        <v>629</v>
      </c>
      <c r="F83" s="99">
        <v>150674.5</v>
      </c>
      <c r="G83" s="99">
        <v>0</v>
      </c>
      <c r="H83" s="99">
        <v>0</v>
      </c>
      <c r="I83" s="99">
        <v>150674.5</v>
      </c>
      <c r="J83" s="99">
        <v>904047000</v>
      </c>
      <c r="K83" s="99">
        <v>1744163097</v>
      </c>
      <c r="L83" s="99">
        <v>0</v>
      </c>
      <c r="M83" s="99">
        <v>2648210097</v>
      </c>
      <c r="N83" t="s">
        <v>292</v>
      </c>
    </row>
    <row r="84" spans="1:14">
      <c r="A84" s="98" t="s">
        <v>571</v>
      </c>
      <c r="B84" t="s">
        <v>510</v>
      </c>
      <c r="C84" t="s">
        <v>4</v>
      </c>
      <c r="D84" t="s">
        <v>629</v>
      </c>
      <c r="E84" t="s">
        <v>629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t="s">
        <v>292</v>
      </c>
    </row>
    <row r="85" spans="1:14">
      <c r="A85" s="98" t="s">
        <v>572</v>
      </c>
      <c r="B85" t="s">
        <v>511</v>
      </c>
      <c r="C85" t="s">
        <v>4</v>
      </c>
      <c r="D85" t="s">
        <v>629</v>
      </c>
      <c r="E85" t="s">
        <v>629</v>
      </c>
      <c r="F85" s="99">
        <v>0</v>
      </c>
      <c r="G85" s="99">
        <v>0</v>
      </c>
      <c r="H85" s="99">
        <v>0</v>
      </c>
      <c r="I85" s="99">
        <v>0</v>
      </c>
      <c r="J85" s="99">
        <v>0</v>
      </c>
      <c r="K85" s="99">
        <v>0</v>
      </c>
      <c r="L85" s="99">
        <v>0</v>
      </c>
      <c r="M85" s="99">
        <v>0</v>
      </c>
      <c r="N85" t="s">
        <v>292</v>
      </c>
    </row>
    <row r="86" spans="1:14">
      <c r="A86" s="98" t="s">
        <v>573</v>
      </c>
      <c r="B86" t="s">
        <v>512</v>
      </c>
      <c r="C86" t="s">
        <v>4</v>
      </c>
      <c r="D86" t="s">
        <v>629</v>
      </c>
      <c r="E86" t="s">
        <v>629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t="s">
        <v>292</v>
      </c>
    </row>
    <row r="87" spans="1:14">
      <c r="A87" s="98" t="s">
        <v>574</v>
      </c>
      <c r="B87" t="s">
        <v>513</v>
      </c>
      <c r="C87" t="s">
        <v>4</v>
      </c>
      <c r="D87" t="s">
        <v>629</v>
      </c>
      <c r="E87" t="s">
        <v>629</v>
      </c>
      <c r="F87" s="99">
        <v>0</v>
      </c>
      <c r="G87" s="99">
        <v>0</v>
      </c>
      <c r="H87" s="99">
        <v>0</v>
      </c>
      <c r="I87" s="99">
        <v>0</v>
      </c>
      <c r="J87" s="99">
        <v>0</v>
      </c>
      <c r="K87" s="99">
        <v>0</v>
      </c>
      <c r="L87" s="99">
        <v>0</v>
      </c>
      <c r="M87" s="99">
        <v>0</v>
      </c>
      <c r="N87" t="s">
        <v>292</v>
      </c>
    </row>
    <row r="88" spans="1:14">
      <c r="A88" s="98" t="s">
        <v>575</v>
      </c>
      <c r="B88" t="s">
        <v>514</v>
      </c>
      <c r="C88" t="s">
        <v>4</v>
      </c>
      <c r="D88" t="s">
        <v>629</v>
      </c>
      <c r="E88" t="s">
        <v>629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t="s">
        <v>292</v>
      </c>
    </row>
    <row r="89" spans="1:14">
      <c r="A89" s="98" t="s">
        <v>576</v>
      </c>
      <c r="B89" t="s">
        <v>515</v>
      </c>
      <c r="C89" t="s">
        <v>4</v>
      </c>
      <c r="D89" t="s">
        <v>629</v>
      </c>
      <c r="E89" t="s">
        <v>629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t="s">
        <v>292</v>
      </c>
    </row>
    <row r="90" spans="1:14">
      <c r="A90" s="98" t="s">
        <v>577</v>
      </c>
      <c r="B90" t="s">
        <v>516</v>
      </c>
      <c r="C90" t="s">
        <v>4</v>
      </c>
      <c r="D90" t="s">
        <v>629</v>
      </c>
      <c r="E90" t="s">
        <v>629</v>
      </c>
      <c r="F90" s="99">
        <v>0</v>
      </c>
      <c r="G90" s="99">
        <v>0</v>
      </c>
      <c r="H90" s="99">
        <v>0</v>
      </c>
      <c r="I90" s="99">
        <v>0</v>
      </c>
      <c r="J90" s="99">
        <v>0</v>
      </c>
      <c r="K90" s="99">
        <v>0</v>
      </c>
      <c r="L90" s="99">
        <v>0</v>
      </c>
      <c r="M90" s="99">
        <v>0</v>
      </c>
      <c r="N90" t="s">
        <v>292</v>
      </c>
    </row>
    <row r="91" spans="1:14">
      <c r="A91" s="98" t="s">
        <v>169</v>
      </c>
      <c r="B91" t="s">
        <v>55</v>
      </c>
      <c r="C91" t="s">
        <v>4</v>
      </c>
      <c r="D91" t="s">
        <v>629</v>
      </c>
      <c r="E91" t="s">
        <v>629</v>
      </c>
      <c r="F91" s="99">
        <v>46434</v>
      </c>
      <c r="G91" s="99">
        <v>0</v>
      </c>
      <c r="H91" s="99">
        <v>0</v>
      </c>
      <c r="I91" s="99">
        <v>46434</v>
      </c>
      <c r="J91" s="99">
        <v>989137067</v>
      </c>
      <c r="K91" s="99">
        <v>0</v>
      </c>
      <c r="L91" s="99">
        <v>-42660706</v>
      </c>
      <c r="M91" s="99">
        <v>946476361</v>
      </c>
      <c r="N91" t="s">
        <v>292</v>
      </c>
    </row>
    <row r="92" spans="1:14">
      <c r="A92" s="98" t="s">
        <v>170</v>
      </c>
      <c r="B92" t="s">
        <v>56</v>
      </c>
      <c r="C92" t="s">
        <v>4</v>
      </c>
      <c r="D92" t="s">
        <v>629</v>
      </c>
      <c r="E92" t="s">
        <v>629</v>
      </c>
      <c r="F92" s="99">
        <v>2250</v>
      </c>
      <c r="G92" s="99">
        <v>0</v>
      </c>
      <c r="H92" s="99">
        <v>0</v>
      </c>
      <c r="I92" s="99">
        <v>2250</v>
      </c>
      <c r="J92" s="99">
        <v>45000000</v>
      </c>
      <c r="K92" s="99">
        <v>0</v>
      </c>
      <c r="L92" s="99">
        <v>-41477</v>
      </c>
      <c r="M92" s="99">
        <v>44958523</v>
      </c>
      <c r="N92" t="s">
        <v>292</v>
      </c>
    </row>
    <row r="93" spans="1:14">
      <c r="A93" s="98" t="s">
        <v>171</v>
      </c>
      <c r="B93" t="s">
        <v>57</v>
      </c>
      <c r="C93" t="s">
        <v>4</v>
      </c>
      <c r="D93" t="s">
        <v>629</v>
      </c>
      <c r="E93" t="s">
        <v>629</v>
      </c>
      <c r="F93" s="99">
        <v>134546</v>
      </c>
      <c r="G93" s="99">
        <v>0</v>
      </c>
      <c r="H93" s="99">
        <v>0</v>
      </c>
      <c r="I93" s="99">
        <v>134546</v>
      </c>
      <c r="J93" s="99">
        <v>2744065670</v>
      </c>
      <c r="K93" s="99">
        <v>0</v>
      </c>
      <c r="L93" s="99">
        <v>-78602911</v>
      </c>
      <c r="M93" s="99">
        <v>2665462759</v>
      </c>
      <c r="N93" t="s">
        <v>292</v>
      </c>
    </row>
    <row r="94" spans="1:14">
      <c r="A94" s="98" t="s">
        <v>424</v>
      </c>
      <c r="B94" t="s">
        <v>423</v>
      </c>
      <c r="C94" t="s">
        <v>4</v>
      </c>
      <c r="D94" t="s">
        <v>629</v>
      </c>
      <c r="E94" t="s">
        <v>629</v>
      </c>
      <c r="F94" s="99">
        <v>750</v>
      </c>
      <c r="G94" s="99">
        <v>0</v>
      </c>
      <c r="H94" s="99">
        <v>0</v>
      </c>
      <c r="I94" s="99">
        <v>750</v>
      </c>
      <c r="J94" s="99">
        <v>15000000</v>
      </c>
      <c r="K94" s="99">
        <v>0</v>
      </c>
      <c r="L94" s="99">
        <v>0</v>
      </c>
      <c r="M94" s="99">
        <v>15000000</v>
      </c>
      <c r="N94" t="s">
        <v>292</v>
      </c>
    </row>
    <row r="95" spans="1:14">
      <c r="A95" s="98" t="s">
        <v>172</v>
      </c>
      <c r="B95" t="s">
        <v>58</v>
      </c>
      <c r="C95" t="s">
        <v>4</v>
      </c>
      <c r="D95" t="s">
        <v>629</v>
      </c>
      <c r="E95" t="s">
        <v>629</v>
      </c>
      <c r="F95" s="99">
        <v>159609.5</v>
      </c>
      <c r="G95" s="99">
        <v>4125</v>
      </c>
      <c r="H95" s="99">
        <v>0</v>
      </c>
      <c r="I95" s="99">
        <v>163734.5</v>
      </c>
      <c r="J95" s="99">
        <v>3689852421</v>
      </c>
      <c r="K95" s="99">
        <v>280094355</v>
      </c>
      <c r="L95" s="99">
        <v>0</v>
      </c>
      <c r="M95" s="99">
        <v>3969946776</v>
      </c>
      <c r="N95" t="s">
        <v>292</v>
      </c>
    </row>
    <row r="96" spans="1:14">
      <c r="A96" s="98" t="s">
        <v>173</v>
      </c>
      <c r="B96" t="s">
        <v>59</v>
      </c>
      <c r="C96" t="s">
        <v>4</v>
      </c>
      <c r="D96" t="s">
        <v>629</v>
      </c>
      <c r="E96" t="s">
        <v>629</v>
      </c>
      <c r="F96" s="99">
        <v>16341.4</v>
      </c>
      <c r="G96" s="99">
        <v>0</v>
      </c>
      <c r="H96" s="99">
        <v>-533.20000000000005</v>
      </c>
      <c r="I96" s="99">
        <v>15808.2</v>
      </c>
      <c r="J96" s="99">
        <v>350408640</v>
      </c>
      <c r="K96" s="99">
        <v>115250918</v>
      </c>
      <c r="L96" s="99">
        <v>-11433408</v>
      </c>
      <c r="M96" s="99">
        <v>454226150</v>
      </c>
      <c r="N96" t="s">
        <v>292</v>
      </c>
    </row>
    <row r="97" spans="1:14">
      <c r="A97" s="98" t="s">
        <v>174</v>
      </c>
      <c r="B97" t="s">
        <v>60</v>
      </c>
      <c r="C97" t="s">
        <v>4</v>
      </c>
      <c r="D97" t="s">
        <v>629</v>
      </c>
      <c r="E97" t="s">
        <v>629</v>
      </c>
      <c r="F97" s="99">
        <v>19299.5</v>
      </c>
      <c r="G97" s="99">
        <v>0</v>
      </c>
      <c r="H97" s="99">
        <v>0</v>
      </c>
      <c r="I97" s="99">
        <v>19299.5</v>
      </c>
      <c r="J97" s="99">
        <v>443888500</v>
      </c>
      <c r="K97" s="99">
        <v>0</v>
      </c>
      <c r="L97" s="99">
        <v>-22917965</v>
      </c>
      <c r="M97" s="99">
        <v>420970535</v>
      </c>
      <c r="N97" t="s">
        <v>292</v>
      </c>
    </row>
    <row r="98" spans="1:14">
      <c r="A98" s="98" t="s">
        <v>175</v>
      </c>
      <c r="B98" t="s">
        <v>61</v>
      </c>
      <c r="C98" t="s">
        <v>4</v>
      </c>
      <c r="D98" t="s">
        <v>629</v>
      </c>
      <c r="E98" t="s">
        <v>629</v>
      </c>
      <c r="F98" s="99">
        <v>199180</v>
      </c>
      <c r="G98" s="99">
        <v>0</v>
      </c>
      <c r="H98" s="99">
        <v>0</v>
      </c>
      <c r="I98" s="99">
        <v>199180</v>
      </c>
      <c r="J98" s="99">
        <v>2987700000</v>
      </c>
      <c r="K98" s="99">
        <v>1117685700</v>
      </c>
      <c r="L98" s="99">
        <v>0</v>
      </c>
      <c r="M98" s="99">
        <v>4105385700</v>
      </c>
      <c r="N98" t="s">
        <v>292</v>
      </c>
    </row>
    <row r="99" spans="1:14">
      <c r="A99" s="98" t="s">
        <v>176</v>
      </c>
      <c r="B99" t="s">
        <v>62</v>
      </c>
      <c r="C99" t="s">
        <v>4</v>
      </c>
      <c r="D99" t="s">
        <v>629</v>
      </c>
      <c r="E99" t="s">
        <v>629</v>
      </c>
      <c r="F99" s="99">
        <v>1072.5</v>
      </c>
      <c r="G99" s="99">
        <v>0</v>
      </c>
      <c r="H99" s="99">
        <v>0</v>
      </c>
      <c r="I99" s="99">
        <v>1072.5</v>
      </c>
      <c r="J99" s="99">
        <v>32762730</v>
      </c>
      <c r="K99" s="99">
        <v>0</v>
      </c>
      <c r="L99" s="99">
        <v>-3134883</v>
      </c>
      <c r="M99" s="99">
        <v>29627847</v>
      </c>
      <c r="N99" t="s">
        <v>292</v>
      </c>
    </row>
    <row r="100" spans="1:14">
      <c r="A100" s="98" t="s">
        <v>177</v>
      </c>
      <c r="B100" t="s">
        <v>63</v>
      </c>
      <c r="C100" t="s">
        <v>4</v>
      </c>
      <c r="D100" t="s">
        <v>629</v>
      </c>
      <c r="E100" t="s">
        <v>629</v>
      </c>
      <c r="F100" s="99">
        <v>37400</v>
      </c>
      <c r="G100" s="99">
        <v>0</v>
      </c>
      <c r="H100" s="99">
        <v>0</v>
      </c>
      <c r="I100" s="99">
        <v>37400</v>
      </c>
      <c r="J100" s="99">
        <v>69601400</v>
      </c>
      <c r="K100" s="99">
        <v>238795492</v>
      </c>
      <c r="L100" s="99">
        <v>0</v>
      </c>
      <c r="M100" s="99">
        <v>308396892</v>
      </c>
      <c r="N100" t="s">
        <v>292</v>
      </c>
    </row>
    <row r="101" spans="1:14">
      <c r="A101" s="98" t="s">
        <v>178</v>
      </c>
      <c r="B101" t="s">
        <v>64</v>
      </c>
      <c r="C101" t="s">
        <v>4</v>
      </c>
      <c r="D101" t="s">
        <v>629</v>
      </c>
      <c r="E101" t="s">
        <v>629</v>
      </c>
      <c r="F101" s="99">
        <v>14543</v>
      </c>
      <c r="G101" s="99">
        <v>0</v>
      </c>
      <c r="H101" s="99">
        <v>0</v>
      </c>
      <c r="I101" s="99">
        <v>14543</v>
      </c>
      <c r="J101" s="99">
        <v>120212438</v>
      </c>
      <c r="K101" s="99">
        <v>226092135</v>
      </c>
      <c r="L101" s="99">
        <v>0</v>
      </c>
      <c r="M101" s="99">
        <v>346304573</v>
      </c>
      <c r="N101" t="s">
        <v>292</v>
      </c>
    </row>
    <row r="102" spans="1:14">
      <c r="A102" s="98" t="s">
        <v>179</v>
      </c>
      <c r="B102" t="s">
        <v>65</v>
      </c>
      <c r="C102" t="s">
        <v>4</v>
      </c>
      <c r="D102" t="s">
        <v>629</v>
      </c>
      <c r="E102" t="s">
        <v>629</v>
      </c>
      <c r="F102" s="99">
        <v>2</v>
      </c>
      <c r="G102" s="99">
        <v>0</v>
      </c>
      <c r="H102" s="99">
        <v>0</v>
      </c>
      <c r="I102" s="99">
        <v>2</v>
      </c>
      <c r="J102" s="99">
        <v>58540</v>
      </c>
      <c r="K102" s="99">
        <v>0</v>
      </c>
      <c r="L102" s="99">
        <v>-4234</v>
      </c>
      <c r="M102" s="99">
        <v>54306</v>
      </c>
      <c r="N102" t="s">
        <v>292</v>
      </c>
    </row>
    <row r="103" spans="1:14">
      <c r="A103" s="98" t="s">
        <v>180</v>
      </c>
      <c r="B103" t="s">
        <v>66</v>
      </c>
      <c r="C103" t="s">
        <v>4</v>
      </c>
      <c r="D103" t="s">
        <v>629</v>
      </c>
      <c r="E103" t="s">
        <v>629</v>
      </c>
      <c r="F103" s="99">
        <v>7925</v>
      </c>
      <c r="G103" s="99">
        <v>0</v>
      </c>
      <c r="H103" s="99">
        <v>0</v>
      </c>
      <c r="I103" s="99">
        <v>7925</v>
      </c>
      <c r="J103" s="99">
        <v>237750000</v>
      </c>
      <c r="K103" s="99">
        <v>0</v>
      </c>
      <c r="L103" s="99">
        <v>0</v>
      </c>
      <c r="M103" s="99">
        <v>237750000</v>
      </c>
      <c r="N103" t="s">
        <v>292</v>
      </c>
    </row>
    <row r="104" spans="1:14">
      <c r="A104" s="98" t="s">
        <v>578</v>
      </c>
      <c r="B104" t="s">
        <v>517</v>
      </c>
      <c r="C104" t="s">
        <v>4</v>
      </c>
      <c r="D104" t="s">
        <v>629</v>
      </c>
      <c r="E104" t="s">
        <v>629</v>
      </c>
      <c r="F104" s="99">
        <v>0</v>
      </c>
      <c r="G104" s="99">
        <v>0</v>
      </c>
      <c r="H104" s="99">
        <v>0</v>
      </c>
      <c r="I104" s="99">
        <v>0</v>
      </c>
      <c r="J104" s="99">
        <v>0</v>
      </c>
      <c r="K104" s="99">
        <v>0</v>
      </c>
      <c r="L104" s="99">
        <v>0</v>
      </c>
      <c r="M104" s="99">
        <v>0</v>
      </c>
      <c r="N104" t="s">
        <v>292</v>
      </c>
    </row>
    <row r="105" spans="1:14">
      <c r="A105" s="98" t="s">
        <v>181</v>
      </c>
      <c r="B105" t="s">
        <v>67</v>
      </c>
      <c r="C105" t="s">
        <v>4</v>
      </c>
      <c r="D105" t="s">
        <v>629</v>
      </c>
      <c r="E105" t="s">
        <v>629</v>
      </c>
      <c r="F105" s="99">
        <v>1448</v>
      </c>
      <c r="G105" s="99">
        <v>0</v>
      </c>
      <c r="H105" s="99">
        <v>0</v>
      </c>
      <c r="I105" s="99">
        <v>1448</v>
      </c>
      <c r="J105" s="99">
        <v>24770936</v>
      </c>
      <c r="K105" s="99">
        <v>14127181</v>
      </c>
      <c r="L105" s="99">
        <v>0</v>
      </c>
      <c r="M105" s="99">
        <v>38898117</v>
      </c>
      <c r="N105" t="s">
        <v>292</v>
      </c>
    </row>
    <row r="106" spans="1:14">
      <c r="A106" s="98" t="s">
        <v>182</v>
      </c>
      <c r="B106" t="s">
        <v>68</v>
      </c>
      <c r="C106" t="s">
        <v>4</v>
      </c>
      <c r="D106" t="s">
        <v>629</v>
      </c>
      <c r="E106" t="s">
        <v>629</v>
      </c>
      <c r="F106" s="99">
        <v>629781.69999999995</v>
      </c>
      <c r="G106" s="99">
        <v>0</v>
      </c>
      <c r="H106" s="99">
        <v>0</v>
      </c>
      <c r="I106" s="99">
        <v>629781.69999999995</v>
      </c>
      <c r="J106" s="99">
        <v>14668245575</v>
      </c>
      <c r="K106" s="99">
        <v>3599809468</v>
      </c>
      <c r="L106" s="99">
        <v>0</v>
      </c>
      <c r="M106" s="99">
        <v>18268055043</v>
      </c>
      <c r="N106" t="s">
        <v>292</v>
      </c>
    </row>
    <row r="107" spans="1:14">
      <c r="A107" s="98" t="s">
        <v>579</v>
      </c>
      <c r="B107" t="s">
        <v>518</v>
      </c>
      <c r="C107" t="s">
        <v>4</v>
      </c>
      <c r="D107" t="s">
        <v>629</v>
      </c>
      <c r="E107" t="s">
        <v>629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t="s">
        <v>292</v>
      </c>
    </row>
    <row r="108" spans="1:14">
      <c r="A108" s="98" t="s">
        <v>580</v>
      </c>
      <c r="B108" t="s">
        <v>519</v>
      </c>
      <c r="C108" t="s">
        <v>4</v>
      </c>
      <c r="D108" t="s">
        <v>629</v>
      </c>
      <c r="E108" t="s">
        <v>629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t="s">
        <v>292</v>
      </c>
    </row>
    <row r="109" spans="1:14">
      <c r="A109" s="98" t="s">
        <v>183</v>
      </c>
      <c r="B109" t="s">
        <v>69</v>
      </c>
      <c r="C109" t="s">
        <v>4</v>
      </c>
      <c r="D109" t="s">
        <v>629</v>
      </c>
      <c r="E109" t="s">
        <v>629</v>
      </c>
      <c r="F109" s="99">
        <v>197</v>
      </c>
      <c r="G109" s="99">
        <v>0</v>
      </c>
      <c r="H109" s="99">
        <v>0</v>
      </c>
      <c r="I109" s="99">
        <v>197</v>
      </c>
      <c r="J109" s="99">
        <v>4373597</v>
      </c>
      <c r="K109" s="99">
        <v>2593747</v>
      </c>
      <c r="L109" s="99">
        <v>0</v>
      </c>
      <c r="M109" s="99">
        <v>6967344</v>
      </c>
      <c r="N109" t="s">
        <v>292</v>
      </c>
    </row>
    <row r="110" spans="1:14">
      <c r="A110" s="98" t="s">
        <v>184</v>
      </c>
      <c r="B110" t="s">
        <v>70</v>
      </c>
      <c r="C110" t="s">
        <v>4</v>
      </c>
      <c r="D110" t="s">
        <v>629</v>
      </c>
      <c r="E110" t="s">
        <v>629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t="s">
        <v>292</v>
      </c>
    </row>
    <row r="111" spans="1:14">
      <c r="A111" s="98" t="s">
        <v>185</v>
      </c>
      <c r="B111" t="s">
        <v>71</v>
      </c>
      <c r="C111" t="s">
        <v>4</v>
      </c>
      <c r="D111" t="s">
        <v>629</v>
      </c>
      <c r="E111" t="s">
        <v>629</v>
      </c>
      <c r="F111" s="99">
        <v>3305.6</v>
      </c>
      <c r="G111" s="99">
        <v>1645</v>
      </c>
      <c r="H111" s="99">
        <v>0</v>
      </c>
      <c r="I111" s="99">
        <v>4950.6000000000004</v>
      </c>
      <c r="J111" s="99">
        <v>61980000</v>
      </c>
      <c r="K111" s="99">
        <v>41839423</v>
      </c>
      <c r="L111" s="99">
        <v>0</v>
      </c>
      <c r="M111" s="99">
        <v>103819423</v>
      </c>
      <c r="N111" t="s">
        <v>292</v>
      </c>
    </row>
    <row r="112" spans="1:14">
      <c r="A112" s="98" t="s">
        <v>581</v>
      </c>
      <c r="B112" t="s">
        <v>520</v>
      </c>
      <c r="C112" t="s">
        <v>4</v>
      </c>
      <c r="D112" t="s">
        <v>629</v>
      </c>
      <c r="E112" t="s">
        <v>629</v>
      </c>
      <c r="F112" s="99">
        <v>0</v>
      </c>
      <c r="G112" s="99">
        <v>450</v>
      </c>
      <c r="H112" s="99">
        <v>0</v>
      </c>
      <c r="I112" s="99">
        <v>450</v>
      </c>
      <c r="J112" s="99">
        <v>0</v>
      </c>
      <c r="K112" s="99">
        <v>4202269</v>
      </c>
      <c r="L112" s="99">
        <v>0</v>
      </c>
      <c r="M112" s="99">
        <v>4202269</v>
      </c>
      <c r="N112" t="s">
        <v>292</v>
      </c>
    </row>
    <row r="113" spans="1:14">
      <c r="A113" s="98" t="s">
        <v>280</v>
      </c>
      <c r="B113" t="s">
        <v>281</v>
      </c>
      <c r="C113" t="s">
        <v>4</v>
      </c>
      <c r="D113" t="s">
        <v>629</v>
      </c>
      <c r="E113" t="s">
        <v>629</v>
      </c>
      <c r="F113" s="99">
        <v>1899</v>
      </c>
      <c r="G113" s="99">
        <v>0</v>
      </c>
      <c r="H113" s="99">
        <v>0</v>
      </c>
      <c r="I113" s="99">
        <v>1899</v>
      </c>
      <c r="J113" s="99">
        <v>56085066</v>
      </c>
      <c r="K113" s="99">
        <v>1144212</v>
      </c>
      <c r="L113" s="99">
        <v>0</v>
      </c>
      <c r="M113" s="99">
        <v>57229278</v>
      </c>
      <c r="N113" t="s">
        <v>292</v>
      </c>
    </row>
    <row r="114" spans="1:14">
      <c r="A114" s="98" t="s">
        <v>186</v>
      </c>
      <c r="B114" t="s">
        <v>72</v>
      </c>
      <c r="C114" t="s">
        <v>4</v>
      </c>
      <c r="D114" t="s">
        <v>629</v>
      </c>
      <c r="E114" t="s">
        <v>629</v>
      </c>
      <c r="F114" s="99">
        <v>18243</v>
      </c>
      <c r="G114" s="99">
        <v>0</v>
      </c>
      <c r="H114" s="99">
        <v>0</v>
      </c>
      <c r="I114" s="99">
        <v>18243</v>
      </c>
      <c r="J114" s="99">
        <v>182430000</v>
      </c>
      <c r="K114" s="99">
        <v>0</v>
      </c>
      <c r="L114" s="99">
        <v>-182411757</v>
      </c>
      <c r="M114" s="99">
        <v>18243</v>
      </c>
      <c r="N114" t="s">
        <v>292</v>
      </c>
    </row>
    <row r="115" spans="1:14">
      <c r="A115" s="98" t="s">
        <v>187</v>
      </c>
      <c r="B115" t="s">
        <v>73</v>
      </c>
      <c r="C115" t="s">
        <v>4</v>
      </c>
      <c r="D115" t="s">
        <v>629</v>
      </c>
      <c r="E115" t="s">
        <v>629</v>
      </c>
      <c r="F115" s="99">
        <v>2313</v>
      </c>
      <c r="G115" s="99">
        <v>0</v>
      </c>
      <c r="H115" s="99">
        <v>0</v>
      </c>
      <c r="I115" s="99">
        <v>2313</v>
      </c>
      <c r="J115" s="99">
        <v>34695000</v>
      </c>
      <c r="K115" s="99">
        <v>0</v>
      </c>
      <c r="L115" s="99">
        <v>-34692687</v>
      </c>
      <c r="M115" s="99">
        <v>2313</v>
      </c>
      <c r="N115" t="s">
        <v>292</v>
      </c>
    </row>
    <row r="116" spans="1:14">
      <c r="A116" s="98" t="s">
        <v>188</v>
      </c>
      <c r="B116" t="s">
        <v>74</v>
      </c>
      <c r="C116" t="s">
        <v>4</v>
      </c>
      <c r="D116" t="s">
        <v>629</v>
      </c>
      <c r="E116" t="s">
        <v>629</v>
      </c>
      <c r="F116" s="99">
        <v>760</v>
      </c>
      <c r="G116" s="99">
        <v>0</v>
      </c>
      <c r="H116" s="99">
        <v>0</v>
      </c>
      <c r="I116" s="99">
        <v>760</v>
      </c>
      <c r="J116" s="99">
        <v>11400000</v>
      </c>
      <c r="K116" s="99">
        <v>0</v>
      </c>
      <c r="L116" s="99">
        <v>-11399240</v>
      </c>
      <c r="M116" s="99">
        <v>760</v>
      </c>
      <c r="N116" t="s">
        <v>292</v>
      </c>
    </row>
    <row r="117" spans="1:14">
      <c r="A117" s="98" t="s">
        <v>189</v>
      </c>
      <c r="B117" t="s">
        <v>75</v>
      </c>
      <c r="C117" t="s">
        <v>4</v>
      </c>
      <c r="D117" t="s">
        <v>629</v>
      </c>
      <c r="E117" t="s">
        <v>629</v>
      </c>
      <c r="F117" s="99">
        <v>2087</v>
      </c>
      <c r="G117" s="99">
        <v>0</v>
      </c>
      <c r="H117" s="99">
        <v>0</v>
      </c>
      <c r="I117" s="99">
        <v>2087</v>
      </c>
      <c r="J117" s="99">
        <v>31305000</v>
      </c>
      <c r="K117" s="99">
        <v>0</v>
      </c>
      <c r="L117" s="99">
        <v>-31302913</v>
      </c>
      <c r="M117" s="99">
        <v>2087</v>
      </c>
      <c r="N117" t="s">
        <v>292</v>
      </c>
    </row>
    <row r="118" spans="1:14">
      <c r="A118" s="98" t="s">
        <v>190</v>
      </c>
      <c r="B118" t="s">
        <v>76</v>
      </c>
      <c r="C118" t="s">
        <v>4</v>
      </c>
      <c r="D118" t="s">
        <v>629</v>
      </c>
      <c r="E118" t="s">
        <v>629</v>
      </c>
      <c r="F118" s="99">
        <v>4114</v>
      </c>
      <c r="G118" s="99">
        <v>0</v>
      </c>
      <c r="H118" s="99">
        <v>0</v>
      </c>
      <c r="I118" s="99">
        <v>4114</v>
      </c>
      <c r="J118" s="99">
        <v>61710000</v>
      </c>
      <c r="K118" s="99">
        <v>0</v>
      </c>
      <c r="L118" s="99">
        <v>-34837380</v>
      </c>
      <c r="M118" s="99">
        <v>26872620</v>
      </c>
      <c r="N118" t="s">
        <v>292</v>
      </c>
    </row>
    <row r="119" spans="1:14">
      <c r="A119" s="98" t="s">
        <v>582</v>
      </c>
      <c r="B119" t="s">
        <v>72</v>
      </c>
      <c r="C119" t="s">
        <v>4</v>
      </c>
      <c r="D119" t="s">
        <v>629</v>
      </c>
      <c r="E119" t="s">
        <v>629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t="s">
        <v>292</v>
      </c>
    </row>
    <row r="120" spans="1:14">
      <c r="A120" s="98" t="s">
        <v>191</v>
      </c>
      <c r="B120" t="s">
        <v>77</v>
      </c>
      <c r="C120" t="s">
        <v>4</v>
      </c>
      <c r="D120" t="s">
        <v>629</v>
      </c>
      <c r="E120" t="s">
        <v>629</v>
      </c>
      <c r="F120" s="99">
        <v>943</v>
      </c>
      <c r="G120" s="99">
        <v>0</v>
      </c>
      <c r="H120" s="99">
        <v>0</v>
      </c>
      <c r="I120" s="99">
        <v>943</v>
      </c>
      <c r="J120" s="99">
        <v>9430000</v>
      </c>
      <c r="K120" s="99">
        <v>0</v>
      </c>
      <c r="L120" s="99">
        <v>-9429057</v>
      </c>
      <c r="M120" s="99">
        <v>943</v>
      </c>
      <c r="N120" t="s">
        <v>292</v>
      </c>
    </row>
    <row r="121" spans="1:14">
      <c r="A121" s="98" t="s">
        <v>192</v>
      </c>
      <c r="B121" t="s">
        <v>78</v>
      </c>
      <c r="C121" t="s">
        <v>4</v>
      </c>
      <c r="D121" t="s">
        <v>629</v>
      </c>
      <c r="E121" t="s">
        <v>629</v>
      </c>
      <c r="F121" s="99">
        <v>60570.5</v>
      </c>
      <c r="G121" s="99">
        <v>0</v>
      </c>
      <c r="H121" s="99">
        <v>0</v>
      </c>
      <c r="I121" s="99">
        <v>60570.5</v>
      </c>
      <c r="J121" s="99">
        <v>908557500</v>
      </c>
      <c r="K121" s="99">
        <v>0</v>
      </c>
      <c r="L121" s="99">
        <v>-225001022</v>
      </c>
      <c r="M121" s="99">
        <v>683556478</v>
      </c>
      <c r="N121" t="s">
        <v>292</v>
      </c>
    </row>
    <row r="122" spans="1:14">
      <c r="A122" s="98" t="s">
        <v>583</v>
      </c>
      <c r="B122" t="s">
        <v>521</v>
      </c>
      <c r="C122" t="s">
        <v>4</v>
      </c>
      <c r="D122" t="s">
        <v>629</v>
      </c>
      <c r="E122" t="s">
        <v>629</v>
      </c>
      <c r="F122" s="99">
        <v>0</v>
      </c>
      <c r="G122" s="99">
        <v>0</v>
      </c>
      <c r="H122" s="99">
        <v>0</v>
      </c>
      <c r="I122" s="99">
        <v>0</v>
      </c>
      <c r="J122" s="99">
        <v>0</v>
      </c>
      <c r="K122" s="99">
        <v>0</v>
      </c>
      <c r="L122" s="99">
        <v>0</v>
      </c>
      <c r="M122" s="99">
        <v>0</v>
      </c>
      <c r="N122" t="s">
        <v>292</v>
      </c>
    </row>
    <row r="123" spans="1:14">
      <c r="A123" s="98" t="s">
        <v>193</v>
      </c>
      <c r="B123" t="s">
        <v>79</v>
      </c>
      <c r="C123" t="s">
        <v>4</v>
      </c>
      <c r="D123" t="s">
        <v>629</v>
      </c>
      <c r="E123" t="s">
        <v>629</v>
      </c>
      <c r="F123" s="99">
        <v>0</v>
      </c>
      <c r="G123" s="99">
        <v>0</v>
      </c>
      <c r="H123" s="99">
        <v>0</v>
      </c>
      <c r="I123" s="99">
        <v>0</v>
      </c>
      <c r="J123" s="99">
        <v>0</v>
      </c>
      <c r="K123" s="99">
        <v>0</v>
      </c>
      <c r="L123" s="99">
        <v>0</v>
      </c>
      <c r="M123" s="99">
        <v>0</v>
      </c>
      <c r="N123" t="s">
        <v>292</v>
      </c>
    </row>
    <row r="124" spans="1:14">
      <c r="A124" s="98" t="s">
        <v>194</v>
      </c>
      <c r="B124" t="s">
        <v>80</v>
      </c>
      <c r="C124" t="s">
        <v>4</v>
      </c>
      <c r="D124" t="s">
        <v>629</v>
      </c>
      <c r="E124" t="s">
        <v>629</v>
      </c>
      <c r="F124" s="99">
        <v>542</v>
      </c>
      <c r="G124" s="99">
        <v>0</v>
      </c>
      <c r="H124" s="99">
        <v>0</v>
      </c>
      <c r="I124" s="99">
        <v>542</v>
      </c>
      <c r="J124" s="99">
        <v>8130000</v>
      </c>
      <c r="K124" s="99">
        <v>0</v>
      </c>
      <c r="L124" s="99">
        <v>-8129458</v>
      </c>
      <c r="M124" s="99">
        <v>542</v>
      </c>
      <c r="N124" t="s">
        <v>292</v>
      </c>
    </row>
    <row r="125" spans="1:14">
      <c r="A125" s="98" t="s">
        <v>195</v>
      </c>
      <c r="B125" t="s">
        <v>81</v>
      </c>
      <c r="C125" t="s">
        <v>4</v>
      </c>
      <c r="D125" t="s">
        <v>629</v>
      </c>
      <c r="E125" t="s">
        <v>629</v>
      </c>
      <c r="F125" s="99">
        <v>2122</v>
      </c>
      <c r="G125" s="99">
        <v>0</v>
      </c>
      <c r="H125" s="99">
        <v>0</v>
      </c>
      <c r="I125" s="99">
        <v>2122</v>
      </c>
      <c r="J125" s="99">
        <v>31830000</v>
      </c>
      <c r="K125" s="99">
        <v>0</v>
      </c>
      <c r="L125" s="99">
        <v>-31827878</v>
      </c>
      <c r="M125" s="99">
        <v>2122</v>
      </c>
      <c r="N125" t="s">
        <v>292</v>
      </c>
    </row>
    <row r="126" spans="1:14">
      <c r="A126" s="98" t="s">
        <v>196</v>
      </c>
      <c r="B126" t="s">
        <v>82</v>
      </c>
      <c r="C126" t="s">
        <v>4</v>
      </c>
      <c r="D126" t="s">
        <v>629</v>
      </c>
      <c r="E126" t="s">
        <v>629</v>
      </c>
      <c r="F126" s="99">
        <v>1223</v>
      </c>
      <c r="G126" s="99">
        <v>0</v>
      </c>
      <c r="H126" s="99">
        <v>0</v>
      </c>
      <c r="I126" s="99">
        <v>1223</v>
      </c>
      <c r="J126" s="99">
        <v>18345000</v>
      </c>
      <c r="K126" s="99">
        <v>0</v>
      </c>
      <c r="L126" s="99">
        <v>-18343777</v>
      </c>
      <c r="M126" s="99">
        <v>1223</v>
      </c>
      <c r="N126" t="s">
        <v>292</v>
      </c>
    </row>
    <row r="127" spans="1:14">
      <c r="A127" s="98" t="s">
        <v>197</v>
      </c>
      <c r="B127" t="s">
        <v>83</v>
      </c>
      <c r="C127" t="s">
        <v>4</v>
      </c>
      <c r="D127" t="s">
        <v>629</v>
      </c>
      <c r="E127" t="s">
        <v>629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t="s">
        <v>292</v>
      </c>
    </row>
    <row r="128" spans="1:14">
      <c r="A128" s="98" t="s">
        <v>584</v>
      </c>
      <c r="B128" t="s">
        <v>522</v>
      </c>
      <c r="C128" t="s">
        <v>4</v>
      </c>
      <c r="D128" t="s">
        <v>629</v>
      </c>
      <c r="E128" t="s">
        <v>629</v>
      </c>
      <c r="F128" s="99">
        <v>0</v>
      </c>
      <c r="G128" s="99">
        <v>0</v>
      </c>
      <c r="H128" s="99">
        <v>0</v>
      </c>
      <c r="I128" s="99">
        <v>0</v>
      </c>
      <c r="J128" s="99">
        <v>0</v>
      </c>
      <c r="K128" s="99">
        <v>0</v>
      </c>
      <c r="L128" s="99">
        <v>0</v>
      </c>
      <c r="M128" s="99">
        <v>0</v>
      </c>
      <c r="N128" t="s">
        <v>292</v>
      </c>
    </row>
    <row r="129" spans="1:14">
      <c r="A129" s="98" t="s">
        <v>585</v>
      </c>
      <c r="B129" t="s">
        <v>523</v>
      </c>
      <c r="C129" t="s">
        <v>4</v>
      </c>
      <c r="D129" t="s">
        <v>629</v>
      </c>
      <c r="E129" t="s">
        <v>629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t="s">
        <v>292</v>
      </c>
    </row>
    <row r="130" spans="1:14">
      <c r="A130" s="98" t="s">
        <v>586</v>
      </c>
      <c r="B130" t="s">
        <v>524</v>
      </c>
      <c r="C130" t="s">
        <v>4</v>
      </c>
      <c r="D130" t="s">
        <v>629</v>
      </c>
      <c r="E130" t="s">
        <v>629</v>
      </c>
      <c r="F130" s="99">
        <v>0</v>
      </c>
      <c r="G130" s="99">
        <v>0</v>
      </c>
      <c r="H130" s="99">
        <v>0</v>
      </c>
      <c r="I130" s="99">
        <v>0</v>
      </c>
      <c r="J130" s="99">
        <v>0</v>
      </c>
      <c r="K130" s="99">
        <v>0</v>
      </c>
      <c r="L130" s="99">
        <v>0</v>
      </c>
      <c r="M130" s="99">
        <v>0</v>
      </c>
      <c r="N130" t="s">
        <v>292</v>
      </c>
    </row>
    <row r="131" spans="1:14">
      <c r="A131" s="98" t="s">
        <v>587</v>
      </c>
      <c r="B131" t="s">
        <v>525</v>
      </c>
      <c r="C131" t="s">
        <v>4</v>
      </c>
      <c r="D131" t="s">
        <v>629</v>
      </c>
      <c r="E131" t="s">
        <v>629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t="s">
        <v>292</v>
      </c>
    </row>
    <row r="132" spans="1:14">
      <c r="A132" s="98" t="s">
        <v>198</v>
      </c>
      <c r="B132" t="s">
        <v>84</v>
      </c>
      <c r="C132" t="s">
        <v>4</v>
      </c>
      <c r="D132" t="s">
        <v>629</v>
      </c>
      <c r="E132" t="s">
        <v>629</v>
      </c>
      <c r="F132" s="99">
        <v>0.5</v>
      </c>
      <c r="G132" s="99">
        <v>0</v>
      </c>
      <c r="H132" s="99">
        <v>0</v>
      </c>
      <c r="I132" s="99">
        <v>0.5</v>
      </c>
      <c r="J132" s="99">
        <v>3207</v>
      </c>
      <c r="K132" s="99">
        <v>0</v>
      </c>
      <c r="L132" s="99">
        <v>-20</v>
      </c>
      <c r="M132" s="99">
        <v>3187</v>
      </c>
      <c r="N132" t="s">
        <v>292</v>
      </c>
    </row>
    <row r="133" spans="1:14">
      <c r="A133" s="98" t="s">
        <v>199</v>
      </c>
      <c r="B133" t="s">
        <v>85</v>
      </c>
      <c r="C133" t="s">
        <v>4</v>
      </c>
      <c r="D133" t="s">
        <v>629</v>
      </c>
      <c r="E133" t="s">
        <v>629</v>
      </c>
      <c r="F133" s="99">
        <v>0</v>
      </c>
      <c r="G133" s="99">
        <v>0</v>
      </c>
      <c r="H133" s="99">
        <v>0</v>
      </c>
      <c r="I133" s="99">
        <v>0</v>
      </c>
      <c r="J133" s="99">
        <v>0</v>
      </c>
      <c r="K133" s="99">
        <v>0</v>
      </c>
      <c r="L133" s="99">
        <v>0</v>
      </c>
      <c r="M133" s="99">
        <v>0</v>
      </c>
      <c r="N133" t="s">
        <v>292</v>
      </c>
    </row>
    <row r="134" spans="1:14">
      <c r="A134" s="98" t="s">
        <v>200</v>
      </c>
      <c r="B134" t="s">
        <v>86</v>
      </c>
      <c r="C134" t="s">
        <v>4</v>
      </c>
      <c r="D134" t="s">
        <v>629</v>
      </c>
      <c r="E134" t="s">
        <v>629</v>
      </c>
      <c r="F134" s="99">
        <v>92425</v>
      </c>
      <c r="G134" s="99">
        <v>0</v>
      </c>
      <c r="H134" s="99">
        <v>0</v>
      </c>
      <c r="I134" s="99">
        <v>92425</v>
      </c>
      <c r="J134" s="99">
        <v>1601447975</v>
      </c>
      <c r="K134" s="99">
        <v>71418899</v>
      </c>
      <c r="L134" s="99">
        <v>0</v>
      </c>
      <c r="M134" s="99">
        <v>1672866874</v>
      </c>
      <c r="N134" t="s">
        <v>292</v>
      </c>
    </row>
    <row r="135" spans="1:14">
      <c r="A135" s="98" t="s">
        <v>588</v>
      </c>
      <c r="B135" t="s">
        <v>526</v>
      </c>
      <c r="C135" t="s">
        <v>4</v>
      </c>
      <c r="D135" t="s">
        <v>629</v>
      </c>
      <c r="E135" t="s">
        <v>629</v>
      </c>
      <c r="F135" s="99">
        <v>0</v>
      </c>
      <c r="G135" s="99">
        <v>0</v>
      </c>
      <c r="H135" s="99">
        <v>0</v>
      </c>
      <c r="I135" s="99">
        <v>0</v>
      </c>
      <c r="J135" s="99">
        <v>0</v>
      </c>
      <c r="K135" s="99">
        <v>0</v>
      </c>
      <c r="L135" s="99">
        <v>0</v>
      </c>
      <c r="M135" s="99">
        <v>0</v>
      </c>
      <c r="N135" t="s">
        <v>292</v>
      </c>
    </row>
    <row r="136" spans="1:14">
      <c r="A136" s="98" t="s">
        <v>201</v>
      </c>
      <c r="B136" t="s">
        <v>87</v>
      </c>
      <c r="C136" t="s">
        <v>4</v>
      </c>
      <c r="D136" t="s">
        <v>629</v>
      </c>
      <c r="E136" t="s">
        <v>629</v>
      </c>
      <c r="F136" s="99">
        <v>17363.2</v>
      </c>
      <c r="G136" s="99">
        <v>0</v>
      </c>
      <c r="H136" s="99">
        <v>0</v>
      </c>
      <c r="I136" s="99">
        <v>17363.2</v>
      </c>
      <c r="J136" s="99">
        <v>359366150</v>
      </c>
      <c r="K136" s="99">
        <v>102065077</v>
      </c>
      <c r="L136" s="99">
        <v>0</v>
      </c>
      <c r="M136" s="99">
        <v>461431227</v>
      </c>
      <c r="N136" t="s">
        <v>292</v>
      </c>
    </row>
    <row r="137" spans="1:14">
      <c r="A137" s="98" t="s">
        <v>589</v>
      </c>
      <c r="B137" t="s">
        <v>527</v>
      </c>
      <c r="C137" t="s">
        <v>4</v>
      </c>
      <c r="D137" t="s">
        <v>629</v>
      </c>
      <c r="E137" t="s">
        <v>629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t="s">
        <v>292</v>
      </c>
    </row>
    <row r="138" spans="1:14">
      <c r="A138" s="98" t="s">
        <v>202</v>
      </c>
      <c r="B138" t="s">
        <v>88</v>
      </c>
      <c r="C138" t="s">
        <v>4</v>
      </c>
      <c r="D138" t="s">
        <v>629</v>
      </c>
      <c r="E138" t="s">
        <v>629</v>
      </c>
      <c r="F138" s="99">
        <v>74800</v>
      </c>
      <c r="G138" s="99">
        <v>0</v>
      </c>
      <c r="H138" s="99">
        <v>0</v>
      </c>
      <c r="I138" s="99">
        <v>74800</v>
      </c>
      <c r="J138" s="99">
        <v>1979282800</v>
      </c>
      <c r="K138" s="99">
        <v>74934805</v>
      </c>
      <c r="L138" s="99">
        <v>0</v>
      </c>
      <c r="M138" s="99">
        <v>2054217605</v>
      </c>
      <c r="N138" t="s">
        <v>292</v>
      </c>
    </row>
    <row r="139" spans="1:14">
      <c r="A139" s="98" t="s">
        <v>203</v>
      </c>
      <c r="B139" t="s">
        <v>89</v>
      </c>
      <c r="C139" t="s">
        <v>4</v>
      </c>
      <c r="D139" t="s">
        <v>629</v>
      </c>
      <c r="E139" t="s">
        <v>629</v>
      </c>
      <c r="F139" s="99">
        <v>6200</v>
      </c>
      <c r="G139" s="99">
        <v>0</v>
      </c>
      <c r="H139" s="99">
        <v>0</v>
      </c>
      <c r="I139" s="99">
        <v>6200</v>
      </c>
      <c r="J139" s="99">
        <v>97420600</v>
      </c>
      <c r="K139" s="99">
        <v>23157244</v>
      </c>
      <c r="L139" s="99">
        <v>0</v>
      </c>
      <c r="M139" s="99">
        <v>120577844</v>
      </c>
      <c r="N139" t="s">
        <v>292</v>
      </c>
    </row>
    <row r="140" spans="1:14">
      <c r="A140" s="98" t="s">
        <v>282</v>
      </c>
      <c r="B140" t="s">
        <v>283</v>
      </c>
      <c r="C140" t="s">
        <v>4</v>
      </c>
      <c r="D140" t="s">
        <v>629</v>
      </c>
      <c r="E140" t="s">
        <v>629</v>
      </c>
      <c r="F140" s="99">
        <v>1500</v>
      </c>
      <c r="G140" s="99">
        <v>0</v>
      </c>
      <c r="H140" s="99">
        <v>0</v>
      </c>
      <c r="I140" s="99">
        <v>1500</v>
      </c>
      <c r="J140" s="99">
        <v>38365500</v>
      </c>
      <c r="K140" s="99">
        <v>0</v>
      </c>
      <c r="L140" s="99">
        <v>-4605921</v>
      </c>
      <c r="M140" s="99">
        <v>33759579</v>
      </c>
      <c r="N140" t="s">
        <v>292</v>
      </c>
    </row>
    <row r="141" spans="1:14">
      <c r="A141" s="98" t="s">
        <v>204</v>
      </c>
      <c r="B141" t="s">
        <v>90</v>
      </c>
      <c r="C141" t="s">
        <v>4</v>
      </c>
      <c r="D141" t="s">
        <v>629</v>
      </c>
      <c r="E141" t="s">
        <v>629</v>
      </c>
      <c r="F141" s="99">
        <v>10696</v>
      </c>
      <c r="G141" s="99">
        <v>0</v>
      </c>
      <c r="H141" s="99">
        <v>0</v>
      </c>
      <c r="I141" s="99">
        <v>10696</v>
      </c>
      <c r="J141" s="99">
        <v>277122664</v>
      </c>
      <c r="K141" s="99">
        <v>24785279</v>
      </c>
      <c r="L141" s="99">
        <v>0</v>
      </c>
      <c r="M141" s="99">
        <v>301907943</v>
      </c>
      <c r="N141" t="s">
        <v>292</v>
      </c>
    </row>
    <row r="142" spans="1:14">
      <c r="A142" s="98" t="s">
        <v>205</v>
      </c>
      <c r="B142" t="s">
        <v>91</v>
      </c>
      <c r="C142" t="s">
        <v>4</v>
      </c>
      <c r="D142" t="s">
        <v>629</v>
      </c>
      <c r="E142" t="s">
        <v>629</v>
      </c>
      <c r="F142" s="99">
        <v>2071.8000000000002</v>
      </c>
      <c r="G142" s="99">
        <v>0</v>
      </c>
      <c r="H142" s="99">
        <v>0</v>
      </c>
      <c r="I142" s="99">
        <v>2071.8000000000002</v>
      </c>
      <c r="J142" s="99">
        <v>53926882</v>
      </c>
      <c r="K142" s="99">
        <v>4820451</v>
      </c>
      <c r="L142" s="99">
        <v>0</v>
      </c>
      <c r="M142" s="99">
        <v>58747333</v>
      </c>
      <c r="N142" t="s">
        <v>292</v>
      </c>
    </row>
    <row r="143" spans="1:14">
      <c r="A143" s="98" t="s">
        <v>590</v>
      </c>
      <c r="B143" t="s">
        <v>528</v>
      </c>
      <c r="C143" t="s">
        <v>4</v>
      </c>
      <c r="D143" t="s">
        <v>629</v>
      </c>
      <c r="E143" t="s">
        <v>629</v>
      </c>
      <c r="F143" s="99">
        <v>0</v>
      </c>
      <c r="G143" s="99">
        <v>0</v>
      </c>
      <c r="H143" s="99">
        <v>0</v>
      </c>
      <c r="I143" s="99">
        <v>0</v>
      </c>
      <c r="J143" s="99">
        <v>0</v>
      </c>
      <c r="K143" s="99">
        <v>0</v>
      </c>
      <c r="L143" s="99">
        <v>0</v>
      </c>
      <c r="M143" s="99">
        <v>0</v>
      </c>
      <c r="N143" t="s">
        <v>292</v>
      </c>
    </row>
    <row r="144" spans="1:14">
      <c r="A144" s="98" t="s">
        <v>591</v>
      </c>
      <c r="B144" t="s">
        <v>529</v>
      </c>
      <c r="C144" t="s">
        <v>4</v>
      </c>
      <c r="D144" t="s">
        <v>629</v>
      </c>
      <c r="E144" t="s">
        <v>629</v>
      </c>
      <c r="F144" s="99">
        <v>0</v>
      </c>
      <c r="G144" s="99">
        <v>0</v>
      </c>
      <c r="H144" s="99">
        <v>0</v>
      </c>
      <c r="I144" s="99">
        <v>0</v>
      </c>
      <c r="J144" s="99">
        <v>0</v>
      </c>
      <c r="K144" s="99">
        <v>0</v>
      </c>
      <c r="L144" s="99">
        <v>0</v>
      </c>
      <c r="M144" s="99">
        <v>0</v>
      </c>
      <c r="N144" t="s">
        <v>292</v>
      </c>
    </row>
    <row r="145" spans="1:14">
      <c r="A145" s="98" t="s">
        <v>206</v>
      </c>
      <c r="B145" t="s">
        <v>92</v>
      </c>
      <c r="C145" t="s">
        <v>4</v>
      </c>
      <c r="D145" t="s">
        <v>629</v>
      </c>
      <c r="E145" t="s">
        <v>629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t="s">
        <v>292</v>
      </c>
    </row>
    <row r="146" spans="1:14">
      <c r="A146" s="98" t="s">
        <v>592</v>
      </c>
      <c r="B146" t="s">
        <v>530</v>
      </c>
      <c r="C146" t="s">
        <v>4</v>
      </c>
      <c r="D146" t="s">
        <v>629</v>
      </c>
      <c r="E146" t="s">
        <v>629</v>
      </c>
      <c r="F146" s="99">
        <v>0</v>
      </c>
      <c r="G146" s="99">
        <v>0</v>
      </c>
      <c r="H146" s="99">
        <v>0</v>
      </c>
      <c r="I146" s="99">
        <v>0</v>
      </c>
      <c r="J146" s="99">
        <v>0</v>
      </c>
      <c r="K146" s="99">
        <v>0</v>
      </c>
      <c r="L146" s="99">
        <v>0</v>
      </c>
      <c r="M146" s="99">
        <v>0</v>
      </c>
      <c r="N146" t="s">
        <v>292</v>
      </c>
    </row>
    <row r="147" spans="1:14">
      <c r="A147" s="98" t="s">
        <v>593</v>
      </c>
      <c r="B147" t="s">
        <v>531</v>
      </c>
      <c r="C147" t="s">
        <v>4</v>
      </c>
      <c r="D147" t="s">
        <v>629</v>
      </c>
      <c r="E147" t="s">
        <v>629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t="s">
        <v>292</v>
      </c>
    </row>
    <row r="148" spans="1:14">
      <c r="A148" s="98" t="s">
        <v>594</v>
      </c>
      <c r="B148" t="s">
        <v>532</v>
      </c>
      <c r="C148" t="s">
        <v>4</v>
      </c>
      <c r="D148" t="s">
        <v>629</v>
      </c>
      <c r="E148" t="s">
        <v>629</v>
      </c>
      <c r="F148" s="99">
        <v>0</v>
      </c>
      <c r="G148" s="99">
        <v>0</v>
      </c>
      <c r="H148" s="99">
        <v>0</v>
      </c>
      <c r="I148" s="99">
        <v>0</v>
      </c>
      <c r="J148" s="99">
        <v>0</v>
      </c>
      <c r="K148" s="99">
        <v>0</v>
      </c>
      <c r="L148" s="99">
        <v>0</v>
      </c>
      <c r="M148" s="99">
        <v>0</v>
      </c>
      <c r="N148" t="s">
        <v>292</v>
      </c>
    </row>
    <row r="149" spans="1:14">
      <c r="A149" s="98" t="s">
        <v>595</v>
      </c>
      <c r="B149" t="s">
        <v>533</v>
      </c>
      <c r="C149" t="s">
        <v>4</v>
      </c>
      <c r="D149" t="s">
        <v>629</v>
      </c>
      <c r="E149" t="s">
        <v>629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t="s">
        <v>292</v>
      </c>
    </row>
    <row r="150" spans="1:14">
      <c r="A150" s="98" t="s">
        <v>481</v>
      </c>
      <c r="B150" t="s">
        <v>482</v>
      </c>
      <c r="C150" t="s">
        <v>4</v>
      </c>
      <c r="D150" t="s">
        <v>629</v>
      </c>
      <c r="E150" t="s">
        <v>629</v>
      </c>
      <c r="F150" s="99">
        <v>1989</v>
      </c>
      <c r="G150" s="99">
        <v>0</v>
      </c>
      <c r="H150" s="99">
        <v>0</v>
      </c>
      <c r="I150" s="99">
        <v>1989</v>
      </c>
      <c r="J150" s="99">
        <v>46138833</v>
      </c>
      <c r="K150" s="99">
        <v>18563337</v>
      </c>
      <c r="L150" s="99">
        <v>0</v>
      </c>
      <c r="M150" s="99">
        <v>64702170</v>
      </c>
      <c r="N150" t="s">
        <v>292</v>
      </c>
    </row>
    <row r="151" spans="1:14">
      <c r="A151" s="98" t="s">
        <v>207</v>
      </c>
      <c r="B151" t="s">
        <v>93</v>
      </c>
      <c r="C151" t="s">
        <v>4</v>
      </c>
      <c r="D151" t="s">
        <v>629</v>
      </c>
      <c r="E151" t="s">
        <v>629</v>
      </c>
      <c r="F151" s="99">
        <v>433372.5</v>
      </c>
      <c r="G151" s="99">
        <v>0</v>
      </c>
      <c r="H151" s="99">
        <v>0</v>
      </c>
      <c r="I151" s="99">
        <v>433372.5</v>
      </c>
      <c r="J151" s="99">
        <v>13798147027</v>
      </c>
      <c r="K151" s="99">
        <v>0</v>
      </c>
      <c r="L151" s="99">
        <v>-1654954907</v>
      </c>
      <c r="M151" s="99">
        <v>12143192120</v>
      </c>
      <c r="N151" t="s">
        <v>292</v>
      </c>
    </row>
    <row r="152" spans="1:14">
      <c r="A152" s="98" t="s">
        <v>208</v>
      </c>
      <c r="B152" t="s">
        <v>94</v>
      </c>
      <c r="C152" t="s">
        <v>4</v>
      </c>
      <c r="D152" t="s">
        <v>629</v>
      </c>
      <c r="E152" t="s">
        <v>629</v>
      </c>
      <c r="F152" s="99">
        <v>5081.2</v>
      </c>
      <c r="G152" s="99">
        <v>0</v>
      </c>
      <c r="H152" s="99">
        <v>0</v>
      </c>
      <c r="I152" s="99">
        <v>5081.2</v>
      </c>
      <c r="J152" s="99">
        <v>145906658</v>
      </c>
      <c r="K152" s="99">
        <v>37639880</v>
      </c>
      <c r="L152" s="99">
        <v>0</v>
      </c>
      <c r="M152" s="99">
        <v>183546538</v>
      </c>
      <c r="N152" t="s">
        <v>292</v>
      </c>
    </row>
    <row r="153" spans="1:14">
      <c r="A153" s="98" t="s">
        <v>209</v>
      </c>
      <c r="B153" t="s">
        <v>95</v>
      </c>
      <c r="C153" t="s">
        <v>4</v>
      </c>
      <c r="D153" t="s">
        <v>629</v>
      </c>
      <c r="E153" t="s">
        <v>629</v>
      </c>
      <c r="F153" s="99">
        <v>75305.5</v>
      </c>
      <c r="G153" s="99">
        <v>0</v>
      </c>
      <c r="H153" s="99">
        <v>0</v>
      </c>
      <c r="I153" s="99">
        <v>75305.5</v>
      </c>
      <c r="J153" s="99">
        <v>1993110668</v>
      </c>
      <c r="K153" s="99">
        <v>236335799</v>
      </c>
      <c r="L153" s="99">
        <v>0</v>
      </c>
      <c r="M153" s="99">
        <v>2229446467</v>
      </c>
      <c r="N153" t="s">
        <v>292</v>
      </c>
    </row>
    <row r="154" spans="1:14">
      <c r="A154" s="98" t="s">
        <v>210</v>
      </c>
      <c r="B154" t="s">
        <v>96</v>
      </c>
      <c r="C154" t="s">
        <v>4</v>
      </c>
      <c r="D154" t="s">
        <v>629</v>
      </c>
      <c r="E154" t="s">
        <v>629</v>
      </c>
      <c r="F154" s="99">
        <v>119410.9</v>
      </c>
      <c r="G154" s="99">
        <v>1100</v>
      </c>
      <c r="H154" s="99">
        <v>0</v>
      </c>
      <c r="I154" s="99">
        <v>120510.9</v>
      </c>
      <c r="J154" s="99">
        <v>2880668552</v>
      </c>
      <c r="K154" s="99">
        <v>28221845</v>
      </c>
      <c r="L154" s="99">
        <v>0</v>
      </c>
      <c r="M154" s="99">
        <v>2908890397</v>
      </c>
      <c r="N154" t="s">
        <v>292</v>
      </c>
    </row>
    <row r="155" spans="1:14">
      <c r="A155" s="98" t="s">
        <v>211</v>
      </c>
      <c r="B155" t="s">
        <v>97</v>
      </c>
      <c r="C155" t="s">
        <v>4</v>
      </c>
      <c r="D155" t="s">
        <v>629</v>
      </c>
      <c r="E155" t="s">
        <v>629</v>
      </c>
      <c r="F155" s="99">
        <v>2200</v>
      </c>
      <c r="G155" s="99">
        <v>0</v>
      </c>
      <c r="H155" s="99">
        <v>0</v>
      </c>
      <c r="I155" s="99">
        <v>2200</v>
      </c>
      <c r="J155" s="99">
        <v>44226600</v>
      </c>
      <c r="K155" s="99">
        <v>0</v>
      </c>
      <c r="L155" s="99">
        <v>0</v>
      </c>
      <c r="M155" s="99">
        <v>44226600</v>
      </c>
      <c r="N155" t="s">
        <v>292</v>
      </c>
    </row>
    <row r="156" spans="1:14">
      <c r="A156" s="98" t="s">
        <v>212</v>
      </c>
      <c r="B156" t="s">
        <v>98</v>
      </c>
      <c r="C156" t="s">
        <v>4</v>
      </c>
      <c r="D156" t="s">
        <v>629</v>
      </c>
      <c r="E156" t="s">
        <v>629</v>
      </c>
      <c r="F156" s="99">
        <v>6600</v>
      </c>
      <c r="G156" s="99">
        <v>0</v>
      </c>
      <c r="H156" s="99">
        <v>0</v>
      </c>
      <c r="I156" s="99">
        <v>6600</v>
      </c>
      <c r="J156" s="99">
        <v>165706200</v>
      </c>
      <c r="K156" s="99">
        <v>7173364</v>
      </c>
      <c r="L156" s="99">
        <v>0</v>
      </c>
      <c r="M156" s="99">
        <v>172879564</v>
      </c>
      <c r="N156" t="s">
        <v>292</v>
      </c>
    </row>
    <row r="157" spans="1:14">
      <c r="A157" s="98" t="s">
        <v>213</v>
      </c>
      <c r="B157" t="s">
        <v>99</v>
      </c>
      <c r="C157" t="s">
        <v>4</v>
      </c>
      <c r="D157" t="s">
        <v>629</v>
      </c>
      <c r="E157" t="s">
        <v>629</v>
      </c>
      <c r="F157" s="99">
        <v>13200</v>
      </c>
      <c r="G157" s="99">
        <v>0</v>
      </c>
      <c r="H157" s="99">
        <v>0</v>
      </c>
      <c r="I157" s="99">
        <v>13200</v>
      </c>
      <c r="J157" s="99">
        <v>343701600</v>
      </c>
      <c r="K157" s="99">
        <v>0</v>
      </c>
      <c r="L157" s="99">
        <v>0</v>
      </c>
      <c r="M157" s="99">
        <v>343701600</v>
      </c>
      <c r="N157" t="s">
        <v>292</v>
      </c>
    </row>
    <row r="158" spans="1:14">
      <c r="A158" s="98" t="s">
        <v>214</v>
      </c>
      <c r="B158" t="s">
        <v>100</v>
      </c>
      <c r="C158" t="s">
        <v>4</v>
      </c>
      <c r="D158" t="s">
        <v>629</v>
      </c>
      <c r="E158" t="s">
        <v>629</v>
      </c>
      <c r="F158" s="99">
        <v>81391</v>
      </c>
      <c r="G158" s="99">
        <v>0</v>
      </c>
      <c r="H158" s="99">
        <v>0</v>
      </c>
      <c r="I158" s="99">
        <v>81391</v>
      </c>
      <c r="J158" s="99">
        <v>2463949743</v>
      </c>
      <c r="K158" s="99">
        <v>0</v>
      </c>
      <c r="L158" s="99">
        <v>-2801292</v>
      </c>
      <c r="M158" s="99">
        <v>2461148451</v>
      </c>
      <c r="N158" t="s">
        <v>292</v>
      </c>
    </row>
    <row r="159" spans="1:14">
      <c r="A159" s="98" t="s">
        <v>596</v>
      </c>
      <c r="B159" t="s">
        <v>534</v>
      </c>
      <c r="C159" t="s">
        <v>4</v>
      </c>
      <c r="D159" t="s">
        <v>629</v>
      </c>
      <c r="E159" t="s">
        <v>629</v>
      </c>
      <c r="F159" s="99">
        <v>0</v>
      </c>
      <c r="G159" s="99">
        <v>0</v>
      </c>
      <c r="H159" s="99">
        <v>0</v>
      </c>
      <c r="I159" s="99">
        <v>0</v>
      </c>
      <c r="J159" s="99">
        <v>0</v>
      </c>
      <c r="K159" s="99">
        <v>0</v>
      </c>
      <c r="L159" s="99">
        <v>0</v>
      </c>
      <c r="M159" s="99">
        <v>0</v>
      </c>
      <c r="N159" t="s">
        <v>292</v>
      </c>
    </row>
    <row r="160" spans="1:14">
      <c r="A160" s="98" t="s">
        <v>597</v>
      </c>
      <c r="B160" t="s">
        <v>535</v>
      </c>
      <c r="C160" t="s">
        <v>4</v>
      </c>
      <c r="D160" t="s">
        <v>629</v>
      </c>
      <c r="E160" t="s">
        <v>629</v>
      </c>
      <c r="F160" s="99">
        <v>0</v>
      </c>
      <c r="G160" s="99">
        <v>0</v>
      </c>
      <c r="H160" s="99">
        <v>0</v>
      </c>
      <c r="I160" s="99">
        <v>0</v>
      </c>
      <c r="J160" s="99">
        <v>0</v>
      </c>
      <c r="K160" s="99">
        <v>0</v>
      </c>
      <c r="L160" s="99">
        <v>0</v>
      </c>
      <c r="M160" s="99">
        <v>0</v>
      </c>
      <c r="N160" t="s">
        <v>292</v>
      </c>
    </row>
    <row r="161" spans="1:14">
      <c r="A161" s="98" t="s">
        <v>215</v>
      </c>
      <c r="B161" t="s">
        <v>101</v>
      </c>
      <c r="C161" t="s">
        <v>4</v>
      </c>
      <c r="D161" t="s">
        <v>629</v>
      </c>
      <c r="E161" t="s">
        <v>629</v>
      </c>
      <c r="F161" s="99">
        <v>1100</v>
      </c>
      <c r="G161" s="99">
        <v>0</v>
      </c>
      <c r="H161" s="99">
        <v>0</v>
      </c>
      <c r="I161" s="99">
        <v>1100</v>
      </c>
      <c r="J161" s="99">
        <v>29113700</v>
      </c>
      <c r="K161" s="99">
        <v>0</v>
      </c>
      <c r="L161" s="99">
        <v>0</v>
      </c>
      <c r="M161" s="99">
        <v>29113700</v>
      </c>
      <c r="N161" t="s">
        <v>292</v>
      </c>
    </row>
    <row r="162" spans="1:14">
      <c r="A162" s="98" t="s">
        <v>216</v>
      </c>
      <c r="B162" t="s">
        <v>102</v>
      </c>
      <c r="C162" t="s">
        <v>4</v>
      </c>
      <c r="D162" t="s">
        <v>629</v>
      </c>
      <c r="E162" t="s">
        <v>629</v>
      </c>
      <c r="F162" s="99">
        <v>391678.5</v>
      </c>
      <c r="G162" s="99">
        <v>0</v>
      </c>
      <c r="H162" s="99">
        <v>0</v>
      </c>
      <c r="I162" s="99">
        <v>391678.5</v>
      </c>
      <c r="J162" s="99">
        <v>9543246652</v>
      </c>
      <c r="K162" s="99">
        <v>0</v>
      </c>
      <c r="L162" s="99">
        <v>-14674</v>
      </c>
      <c r="M162" s="99">
        <v>9543231978</v>
      </c>
      <c r="N162" t="s">
        <v>292</v>
      </c>
    </row>
    <row r="163" spans="1:14">
      <c r="A163" s="98" t="s">
        <v>217</v>
      </c>
      <c r="B163" t="s">
        <v>103</v>
      </c>
      <c r="C163" t="s">
        <v>4</v>
      </c>
      <c r="D163" t="s">
        <v>629</v>
      </c>
      <c r="E163" t="s">
        <v>629</v>
      </c>
      <c r="F163" s="99">
        <v>15400</v>
      </c>
      <c r="G163" s="99">
        <v>0</v>
      </c>
      <c r="H163" s="99">
        <v>0</v>
      </c>
      <c r="I163" s="99">
        <v>15400</v>
      </c>
      <c r="J163" s="99">
        <v>412242600</v>
      </c>
      <c r="K163" s="99">
        <v>0</v>
      </c>
      <c r="L163" s="99">
        <v>0</v>
      </c>
      <c r="M163" s="99">
        <v>412242600</v>
      </c>
      <c r="N163" t="s">
        <v>292</v>
      </c>
    </row>
    <row r="164" spans="1:14">
      <c r="A164" s="98" t="s">
        <v>598</v>
      </c>
      <c r="B164" t="s">
        <v>536</v>
      </c>
      <c r="C164" t="s">
        <v>4</v>
      </c>
      <c r="D164" t="s">
        <v>629</v>
      </c>
      <c r="E164" t="s">
        <v>629</v>
      </c>
      <c r="F164" s="99">
        <v>0</v>
      </c>
      <c r="G164" s="99">
        <v>0</v>
      </c>
      <c r="H164" s="99">
        <v>0</v>
      </c>
      <c r="I164" s="99">
        <v>0</v>
      </c>
      <c r="J164" s="99">
        <v>0</v>
      </c>
      <c r="K164" s="99">
        <v>0</v>
      </c>
      <c r="L164" s="99">
        <v>0</v>
      </c>
      <c r="M164" s="99">
        <v>0</v>
      </c>
      <c r="N164" t="s">
        <v>292</v>
      </c>
    </row>
    <row r="165" spans="1:14">
      <c r="A165" s="98" t="s">
        <v>218</v>
      </c>
      <c r="B165" t="s">
        <v>104</v>
      </c>
      <c r="C165" t="s">
        <v>4</v>
      </c>
      <c r="D165" t="s">
        <v>629</v>
      </c>
      <c r="E165" t="s">
        <v>629</v>
      </c>
      <c r="F165" s="99">
        <v>16682.5</v>
      </c>
      <c r="G165" s="99">
        <v>0</v>
      </c>
      <c r="H165" s="99">
        <v>0</v>
      </c>
      <c r="I165" s="99">
        <v>16682.5</v>
      </c>
      <c r="J165" s="99">
        <v>512419670</v>
      </c>
      <c r="K165" s="99">
        <v>0</v>
      </c>
      <c r="L165" s="99">
        <v>-13145921</v>
      </c>
      <c r="M165" s="99">
        <v>499273749</v>
      </c>
      <c r="N165" t="s">
        <v>292</v>
      </c>
    </row>
    <row r="166" spans="1:14">
      <c r="A166" s="98" t="s">
        <v>219</v>
      </c>
      <c r="B166" t="s">
        <v>105</v>
      </c>
      <c r="C166" t="s">
        <v>4</v>
      </c>
      <c r="D166" t="s">
        <v>629</v>
      </c>
      <c r="E166" t="s">
        <v>629</v>
      </c>
      <c r="F166" s="99">
        <v>1473</v>
      </c>
      <c r="G166" s="99">
        <v>0</v>
      </c>
      <c r="H166" s="99">
        <v>0</v>
      </c>
      <c r="I166" s="99">
        <v>1473</v>
      </c>
      <c r="J166" s="99">
        <v>42126327</v>
      </c>
      <c r="K166" s="99">
        <v>6524110</v>
      </c>
      <c r="L166" s="99">
        <v>0</v>
      </c>
      <c r="M166" s="99">
        <v>48650437</v>
      </c>
      <c r="N166" t="s">
        <v>292</v>
      </c>
    </row>
    <row r="167" spans="1:14">
      <c r="A167" s="98" t="s">
        <v>220</v>
      </c>
      <c r="B167" t="s">
        <v>106</v>
      </c>
      <c r="C167" t="s">
        <v>4</v>
      </c>
      <c r="D167" t="s">
        <v>629</v>
      </c>
      <c r="E167" t="s">
        <v>629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t="s">
        <v>292</v>
      </c>
    </row>
    <row r="168" spans="1:14">
      <c r="A168" s="98" t="s">
        <v>483</v>
      </c>
      <c r="B168" t="s">
        <v>484</v>
      </c>
      <c r="C168" t="s">
        <v>4</v>
      </c>
      <c r="D168" t="s">
        <v>629</v>
      </c>
      <c r="E168" t="s">
        <v>629</v>
      </c>
      <c r="F168" s="99">
        <v>2200</v>
      </c>
      <c r="G168" s="99">
        <v>0</v>
      </c>
      <c r="H168" s="99">
        <v>0</v>
      </c>
      <c r="I168" s="99">
        <v>2200</v>
      </c>
      <c r="J168" s="99">
        <v>58049200</v>
      </c>
      <c r="K168" s="99">
        <v>0</v>
      </c>
      <c r="L168" s="99">
        <v>0</v>
      </c>
      <c r="M168" s="99">
        <v>58049200</v>
      </c>
      <c r="N168" t="s">
        <v>292</v>
      </c>
    </row>
    <row r="169" spans="1:14">
      <c r="A169" s="98" t="s">
        <v>221</v>
      </c>
      <c r="B169" t="s">
        <v>107</v>
      </c>
      <c r="C169" t="s">
        <v>4</v>
      </c>
      <c r="D169" t="s">
        <v>629</v>
      </c>
      <c r="E169" t="s">
        <v>629</v>
      </c>
      <c r="F169" s="99">
        <v>34081</v>
      </c>
      <c r="G169" s="99">
        <v>0</v>
      </c>
      <c r="H169" s="99">
        <v>0</v>
      </c>
      <c r="I169" s="99">
        <v>34081</v>
      </c>
      <c r="J169" s="99">
        <v>747737140</v>
      </c>
      <c r="K169" s="99">
        <v>161347067</v>
      </c>
      <c r="L169" s="99">
        <v>0</v>
      </c>
      <c r="M169" s="99">
        <v>909084207</v>
      </c>
      <c r="N169" t="s">
        <v>292</v>
      </c>
    </row>
    <row r="170" spans="1:14">
      <c r="A170" s="98" t="s">
        <v>222</v>
      </c>
      <c r="B170" t="s">
        <v>108</v>
      </c>
      <c r="C170" t="s">
        <v>4</v>
      </c>
      <c r="D170" t="s">
        <v>629</v>
      </c>
      <c r="E170" t="s">
        <v>629</v>
      </c>
      <c r="F170" s="99">
        <v>17597</v>
      </c>
      <c r="G170" s="99">
        <v>0</v>
      </c>
      <c r="H170" s="99">
        <v>0</v>
      </c>
      <c r="I170" s="99">
        <v>17597</v>
      </c>
      <c r="J170" s="99">
        <v>307947500</v>
      </c>
      <c r="K170" s="99">
        <v>111185035</v>
      </c>
      <c r="L170" s="99">
        <v>0</v>
      </c>
      <c r="M170" s="99">
        <v>419132535</v>
      </c>
      <c r="N170" t="s">
        <v>292</v>
      </c>
    </row>
    <row r="171" spans="1:14">
      <c r="A171" s="98" t="s">
        <v>599</v>
      </c>
      <c r="B171" t="s">
        <v>537</v>
      </c>
      <c r="C171" t="s">
        <v>4</v>
      </c>
      <c r="D171" t="s">
        <v>629</v>
      </c>
      <c r="E171" t="s">
        <v>629</v>
      </c>
      <c r="F171" s="99">
        <v>0</v>
      </c>
      <c r="G171" s="99">
        <v>0</v>
      </c>
      <c r="H171" s="99">
        <v>0</v>
      </c>
      <c r="I171" s="99">
        <v>0</v>
      </c>
      <c r="J171" s="99">
        <v>0</v>
      </c>
      <c r="K171" s="99">
        <v>0</v>
      </c>
      <c r="L171" s="99">
        <v>0</v>
      </c>
      <c r="M171" s="99">
        <v>0</v>
      </c>
      <c r="N171" t="s">
        <v>292</v>
      </c>
    </row>
    <row r="172" spans="1:14">
      <c r="A172" s="98" t="s">
        <v>223</v>
      </c>
      <c r="B172" t="s">
        <v>109</v>
      </c>
      <c r="C172" t="s">
        <v>4</v>
      </c>
      <c r="D172" t="s">
        <v>629</v>
      </c>
      <c r="E172" t="s">
        <v>629</v>
      </c>
      <c r="F172" s="99">
        <v>2400</v>
      </c>
      <c r="G172" s="99">
        <v>250</v>
      </c>
      <c r="H172" s="99">
        <v>0</v>
      </c>
      <c r="I172" s="99">
        <v>2650</v>
      </c>
      <c r="J172" s="99">
        <v>29426400</v>
      </c>
      <c r="K172" s="99">
        <v>8173680</v>
      </c>
      <c r="L172" s="99">
        <v>0</v>
      </c>
      <c r="M172" s="99">
        <v>37600080</v>
      </c>
      <c r="N172" t="s">
        <v>292</v>
      </c>
    </row>
    <row r="173" spans="1:14">
      <c r="A173" s="98" t="s">
        <v>275</v>
      </c>
      <c r="B173" t="s">
        <v>276</v>
      </c>
      <c r="C173" t="s">
        <v>4</v>
      </c>
      <c r="D173" t="s">
        <v>629</v>
      </c>
      <c r="E173" t="s">
        <v>629</v>
      </c>
      <c r="F173" s="99">
        <v>499.5</v>
      </c>
      <c r="G173" s="99">
        <v>0</v>
      </c>
      <c r="H173" s="99">
        <v>0</v>
      </c>
      <c r="I173" s="99">
        <v>499.5</v>
      </c>
      <c r="J173" s="99">
        <v>12162825</v>
      </c>
      <c r="K173" s="99">
        <v>1160946</v>
      </c>
      <c r="L173" s="99">
        <v>0</v>
      </c>
      <c r="M173" s="99">
        <v>13323771</v>
      </c>
      <c r="N173" t="s">
        <v>292</v>
      </c>
    </row>
    <row r="174" spans="1:14">
      <c r="A174" s="98" t="s">
        <v>600</v>
      </c>
      <c r="B174" t="s">
        <v>538</v>
      </c>
      <c r="C174" t="s">
        <v>4</v>
      </c>
      <c r="D174" t="s">
        <v>629</v>
      </c>
      <c r="E174" t="s">
        <v>629</v>
      </c>
      <c r="F174" s="99">
        <v>0</v>
      </c>
      <c r="G174" s="99">
        <v>0</v>
      </c>
      <c r="H174" s="99">
        <v>0</v>
      </c>
      <c r="I174" s="99">
        <v>0</v>
      </c>
      <c r="J174" s="99">
        <v>0</v>
      </c>
      <c r="K174" s="99">
        <v>0</v>
      </c>
      <c r="L174" s="99">
        <v>0</v>
      </c>
      <c r="M174" s="99">
        <v>0</v>
      </c>
      <c r="N174" t="s">
        <v>292</v>
      </c>
    </row>
    <row r="175" spans="1:14">
      <c r="A175" s="98" t="s">
        <v>425</v>
      </c>
      <c r="B175" t="s">
        <v>539</v>
      </c>
      <c r="C175" t="s">
        <v>4</v>
      </c>
      <c r="D175" t="s">
        <v>629</v>
      </c>
      <c r="E175" t="s">
        <v>629</v>
      </c>
      <c r="F175" s="99">
        <v>0</v>
      </c>
      <c r="G175" s="99">
        <v>0</v>
      </c>
      <c r="H175" s="99">
        <v>0</v>
      </c>
      <c r="I175" s="99">
        <v>0</v>
      </c>
      <c r="J175" s="99">
        <v>0</v>
      </c>
      <c r="K175" s="99">
        <v>0</v>
      </c>
      <c r="L175" s="99">
        <v>0</v>
      </c>
      <c r="M175" s="99">
        <v>0</v>
      </c>
      <c r="N175" t="s">
        <v>292</v>
      </c>
    </row>
    <row r="176" spans="1:14">
      <c r="A176" s="98" t="s">
        <v>277</v>
      </c>
      <c r="B176" t="s">
        <v>278</v>
      </c>
      <c r="C176" t="s">
        <v>4</v>
      </c>
      <c r="D176" t="s">
        <v>629</v>
      </c>
      <c r="E176" t="s">
        <v>629</v>
      </c>
      <c r="F176" s="99">
        <v>3254</v>
      </c>
      <c r="G176" s="99">
        <v>0</v>
      </c>
      <c r="H176" s="99">
        <v>0</v>
      </c>
      <c r="I176" s="99">
        <v>3254</v>
      </c>
      <c r="J176" s="99">
        <v>88515308</v>
      </c>
      <c r="K176" s="99">
        <v>18556817</v>
      </c>
      <c r="L176" s="99">
        <v>0</v>
      </c>
      <c r="M176" s="99">
        <v>107072125</v>
      </c>
      <c r="N176" t="s">
        <v>292</v>
      </c>
    </row>
    <row r="177" spans="1:14">
      <c r="A177" s="98" t="s">
        <v>464</v>
      </c>
      <c r="B177" t="s">
        <v>470</v>
      </c>
      <c r="C177" t="s">
        <v>4</v>
      </c>
      <c r="D177" t="s">
        <v>629</v>
      </c>
      <c r="E177" t="s">
        <v>629</v>
      </c>
      <c r="F177" s="99">
        <v>21397</v>
      </c>
      <c r="G177" s="99">
        <v>0</v>
      </c>
      <c r="H177" s="99">
        <v>0</v>
      </c>
      <c r="I177" s="99">
        <v>21397</v>
      </c>
      <c r="J177" s="99">
        <v>497416059</v>
      </c>
      <c r="K177" s="99">
        <v>57301386</v>
      </c>
      <c r="L177" s="99">
        <v>0</v>
      </c>
      <c r="M177" s="99">
        <v>554717445</v>
      </c>
      <c r="N177" t="s">
        <v>292</v>
      </c>
    </row>
    <row r="178" spans="1:14">
      <c r="A178" s="98" t="s">
        <v>465</v>
      </c>
      <c r="B178" t="s">
        <v>463</v>
      </c>
      <c r="C178" t="s">
        <v>4</v>
      </c>
      <c r="D178" t="s">
        <v>629</v>
      </c>
      <c r="E178" t="s">
        <v>629</v>
      </c>
      <c r="F178" s="99">
        <v>773</v>
      </c>
      <c r="G178" s="99">
        <v>0</v>
      </c>
      <c r="H178" s="99">
        <v>0</v>
      </c>
      <c r="I178" s="99">
        <v>773</v>
      </c>
      <c r="J178" s="99">
        <v>24982587</v>
      </c>
      <c r="K178" s="99">
        <v>2151954</v>
      </c>
      <c r="L178" s="99">
        <v>0</v>
      </c>
      <c r="M178" s="99">
        <v>27134541</v>
      </c>
      <c r="N178" t="s">
        <v>292</v>
      </c>
    </row>
    <row r="179" spans="1:14">
      <c r="A179" s="98" t="s">
        <v>474</v>
      </c>
      <c r="B179" t="s">
        <v>475</v>
      </c>
      <c r="C179" t="s">
        <v>4</v>
      </c>
      <c r="D179" t="s">
        <v>629</v>
      </c>
      <c r="E179" t="s">
        <v>629</v>
      </c>
      <c r="F179" s="99">
        <v>0</v>
      </c>
      <c r="G179" s="99">
        <v>0</v>
      </c>
      <c r="H179" s="99">
        <v>0</v>
      </c>
      <c r="I179" s="99">
        <v>0</v>
      </c>
      <c r="J179" s="99">
        <v>0</v>
      </c>
      <c r="K179" s="99">
        <v>0</v>
      </c>
      <c r="L179" s="99">
        <v>0</v>
      </c>
      <c r="M179" s="99">
        <v>0</v>
      </c>
      <c r="N179" t="s">
        <v>292</v>
      </c>
    </row>
    <row r="180" spans="1:14">
      <c r="A180" s="98" t="s">
        <v>476</v>
      </c>
      <c r="B180" t="s">
        <v>477</v>
      </c>
      <c r="C180" t="s">
        <v>4</v>
      </c>
      <c r="D180" t="s">
        <v>629</v>
      </c>
      <c r="E180" t="s">
        <v>629</v>
      </c>
      <c r="F180" s="99">
        <v>28348</v>
      </c>
      <c r="G180" s="99">
        <v>0</v>
      </c>
      <c r="H180" s="99">
        <v>0</v>
      </c>
      <c r="I180" s="99">
        <v>28348</v>
      </c>
      <c r="J180" s="99">
        <v>640664800</v>
      </c>
      <c r="K180" s="99">
        <v>20868543</v>
      </c>
      <c r="L180" s="99">
        <v>0</v>
      </c>
      <c r="M180" s="99">
        <v>661533343</v>
      </c>
      <c r="N180" t="s">
        <v>292</v>
      </c>
    </row>
  </sheetData>
  <autoFilter ref="A1:N178" xr:uid="{AAC7F893-86A4-48CC-BC98-C8A95DD7FF9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E84-2634-4B88-A7A8-80D474A5A188}">
  <sheetPr filterMode="1"/>
  <dimension ref="A1:N139"/>
  <sheetViews>
    <sheetView workbookViewId="0">
      <pane xSplit="5" ySplit="2" topLeftCell="F3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H136" sqref="H136"/>
    </sheetView>
  </sheetViews>
  <sheetFormatPr defaultColWidth="8.7265625" defaultRowHeight="13"/>
  <cols>
    <col min="1" max="1" width="11.54296875" style="29" customWidth="1"/>
    <col min="2" max="2" width="29.26953125" style="29" customWidth="1"/>
    <col min="3" max="3" width="7.26953125" style="29" customWidth="1"/>
    <col min="4" max="4" width="18.7265625" style="29" customWidth="1"/>
    <col min="5" max="5" width="8.7265625" style="29"/>
    <col min="6" max="6" width="9.453125" style="30" bestFit="1" customWidth="1"/>
    <col min="7" max="7" width="8.7265625" style="30" bestFit="1" customWidth="1"/>
    <col min="8" max="8" width="11.453125" style="30" customWidth="1"/>
    <col min="9" max="9" width="9.7265625" style="30" customWidth="1"/>
    <col min="10" max="10" width="8.7265625" style="30"/>
    <col min="11" max="11" width="12.26953125" style="29" customWidth="1"/>
    <col min="12" max="12" width="10.26953125" style="29" customWidth="1"/>
    <col min="13" max="13" width="12.7265625" style="29" customWidth="1"/>
    <col min="14" max="16384" width="8.7265625" style="29"/>
  </cols>
  <sheetData>
    <row r="1" spans="1:14">
      <c r="H1" s="30">
        <f>SUBTOTAL(9,H3:H944)</f>
        <v>2773739.55</v>
      </c>
      <c r="K1" s="30">
        <f>SUBTOTAL(9,K3:K99)</f>
        <v>3580725</v>
      </c>
    </row>
    <row r="2" spans="1:14" s="39" customFormat="1" ht="29.15" customHeight="1">
      <c r="A2" s="36" t="s">
        <v>0</v>
      </c>
      <c r="B2" s="37" t="s">
        <v>1</v>
      </c>
      <c r="C2" s="37" t="s">
        <v>444</v>
      </c>
      <c r="D2" s="37" t="s">
        <v>445</v>
      </c>
      <c r="E2" s="37" t="s">
        <v>446</v>
      </c>
      <c r="F2" s="38" t="s">
        <v>447</v>
      </c>
      <c r="G2" s="38" t="s">
        <v>448</v>
      </c>
      <c r="H2" s="38" t="s">
        <v>635</v>
      </c>
      <c r="I2" s="38" t="s">
        <v>394</v>
      </c>
      <c r="J2" s="38" t="s">
        <v>224</v>
      </c>
      <c r="K2" s="37" t="s">
        <v>636</v>
      </c>
      <c r="L2" s="37" t="s">
        <v>466</v>
      </c>
      <c r="M2" s="37" t="s">
        <v>279</v>
      </c>
    </row>
    <row r="3" spans="1:14">
      <c r="A3" s="31" t="s">
        <v>118</v>
      </c>
      <c r="B3" s="29" t="s">
        <v>3</v>
      </c>
      <c r="C3" s="29" t="s">
        <v>451</v>
      </c>
      <c r="D3" s="29" t="s">
        <v>452</v>
      </c>
      <c r="E3" s="29" t="s">
        <v>4</v>
      </c>
      <c r="F3" s="30">
        <v>204834</v>
      </c>
      <c r="G3" s="30">
        <v>3300</v>
      </c>
      <c r="H3" s="30">
        <f>+F3+G3</f>
        <v>208134</v>
      </c>
      <c r="I3" s="30" t="str">
        <f>IFERROR(_xlfn.XLOOKUP(A3,data!A:A,data!D:D)," ")</f>
        <v>rPET</v>
      </c>
      <c r="J3" s="30">
        <f>IFERROR(_xlfn.XLOOKUP(A3,data!A:A,data!E:E)," ")</f>
        <v>0</v>
      </c>
      <c r="K3" s="30">
        <v>0</v>
      </c>
      <c r="L3" s="32">
        <f>IFERROR(K3/1,0)</f>
        <v>0</v>
      </c>
      <c r="M3" s="29" t="str">
        <f>VLOOKUP(A3,'Trình bày'!B:B,1,0)</f>
        <v>110000329</v>
      </c>
      <c r="N3" s="32"/>
    </row>
    <row r="4" spans="1:14" hidden="1">
      <c r="A4" s="31" t="s">
        <v>118</v>
      </c>
      <c r="B4" s="29" t="s">
        <v>3</v>
      </c>
      <c r="C4" s="29" t="s">
        <v>453</v>
      </c>
      <c r="D4" s="29" t="s">
        <v>454</v>
      </c>
      <c r="E4" s="29" t="s">
        <v>4</v>
      </c>
      <c r="F4" s="30">
        <v>163428</v>
      </c>
      <c r="G4" s="30">
        <v>6600</v>
      </c>
      <c r="H4" s="30">
        <f t="shared" ref="H4:H67" si="0">+F4+G4</f>
        <v>170028</v>
      </c>
      <c r="I4" s="30" t="str">
        <f>IFERROR(_xlfn.XLOOKUP(A4,data!A:A,data!D:D)," ")</f>
        <v>rPET</v>
      </c>
      <c r="J4" s="30">
        <f>IFERROR(_xlfn.XLOOKUP(A4,data!A:A,data!E:E)," ")</f>
        <v>0</v>
      </c>
      <c r="K4" s="30">
        <v>0</v>
      </c>
      <c r="L4" s="32">
        <f t="shared" ref="L4:L67" si="1">IFERROR(K4/1,0)</f>
        <v>0</v>
      </c>
      <c r="M4" s="29" t="str">
        <f>VLOOKUP(A4,'Trình bày'!B:B,1,0)</f>
        <v>110000329</v>
      </c>
      <c r="N4" s="32"/>
    </row>
    <row r="5" spans="1:14">
      <c r="A5" s="31" t="s">
        <v>121</v>
      </c>
      <c r="B5" s="29" t="s">
        <v>7</v>
      </c>
      <c r="C5" s="29" t="s">
        <v>451</v>
      </c>
      <c r="D5" s="29" t="s">
        <v>452</v>
      </c>
      <c r="E5" s="29" t="s">
        <v>4</v>
      </c>
      <c r="F5" s="30">
        <v>542023.5</v>
      </c>
      <c r="G5" s="30">
        <v>17654</v>
      </c>
      <c r="H5" s="30">
        <f t="shared" si="0"/>
        <v>559677.5</v>
      </c>
      <c r="I5" s="30" t="str">
        <f>IFERROR(_xlfn.XLOOKUP(A5,data!A:A,data!D:D)," ")</f>
        <v>rPET</v>
      </c>
      <c r="J5" s="30">
        <f>IFERROR(_xlfn.XLOOKUP(A5,data!A:A,data!E:E)," ")</f>
        <v>0</v>
      </c>
      <c r="K5" s="30">
        <v>616000</v>
      </c>
      <c r="L5" s="32">
        <f t="shared" si="1"/>
        <v>616000</v>
      </c>
      <c r="M5" s="29" t="str">
        <f>VLOOKUP(A5,'Trình bày'!B:B,1,0)</f>
        <v>110000332</v>
      </c>
      <c r="N5" s="32"/>
    </row>
    <row r="6" spans="1:14" hidden="1">
      <c r="A6" s="31" t="s">
        <v>121</v>
      </c>
      <c r="B6" s="29" t="s">
        <v>7</v>
      </c>
      <c r="C6" s="29" t="s">
        <v>453</v>
      </c>
      <c r="D6" s="29" t="s">
        <v>454</v>
      </c>
      <c r="E6" s="29" t="s">
        <v>4</v>
      </c>
      <c r="F6" s="30">
        <v>5500</v>
      </c>
      <c r="G6" s="30">
        <v>221312</v>
      </c>
      <c r="H6" s="30">
        <f t="shared" si="0"/>
        <v>226812</v>
      </c>
      <c r="I6" s="30" t="str">
        <f>IFERROR(_xlfn.XLOOKUP(A6,data!A:A,data!D:D)," ")</f>
        <v>rPET</v>
      </c>
      <c r="J6" s="30">
        <f>IFERROR(_xlfn.XLOOKUP(A6,data!A:A,data!E:E)," ")</f>
        <v>0</v>
      </c>
      <c r="K6" s="30">
        <v>616000</v>
      </c>
      <c r="L6" s="32">
        <f t="shared" si="1"/>
        <v>616000</v>
      </c>
      <c r="M6" s="29" t="str">
        <f>VLOOKUP(A6,'Trình bày'!B:B,1,0)</f>
        <v>110000332</v>
      </c>
      <c r="N6" s="32"/>
    </row>
    <row r="7" spans="1:14" hidden="1">
      <c r="A7" s="31" t="s">
        <v>121</v>
      </c>
      <c r="B7" s="29" t="s">
        <v>7</v>
      </c>
      <c r="C7" s="29" t="s">
        <v>457</v>
      </c>
      <c r="D7" s="29" t="s">
        <v>458</v>
      </c>
      <c r="E7" s="29" t="s">
        <v>4</v>
      </c>
      <c r="F7" s="30">
        <v>2141.85</v>
      </c>
      <c r="G7" s="30">
        <v>0</v>
      </c>
      <c r="H7" s="30">
        <f t="shared" si="0"/>
        <v>2141.85</v>
      </c>
      <c r="I7" s="30" t="str">
        <f>IFERROR(_xlfn.XLOOKUP(A7,data!A:A,data!D:D)," ")</f>
        <v>rPET</v>
      </c>
      <c r="J7" s="30">
        <f>IFERROR(_xlfn.XLOOKUP(A7,data!A:A,data!E:E)," ")</f>
        <v>0</v>
      </c>
      <c r="K7" s="30">
        <v>616000</v>
      </c>
      <c r="L7" s="32">
        <f t="shared" si="1"/>
        <v>616000</v>
      </c>
      <c r="M7" s="29" t="str">
        <f>VLOOKUP(A7,'Trình bày'!B:B,1,0)</f>
        <v>110000332</v>
      </c>
      <c r="N7" s="32"/>
    </row>
    <row r="8" spans="1:14" hidden="1">
      <c r="A8" s="31" t="s">
        <v>124</v>
      </c>
      <c r="B8" s="29" t="s">
        <v>10</v>
      </c>
      <c r="C8" s="29" t="s">
        <v>453</v>
      </c>
      <c r="D8" s="29" t="s">
        <v>454</v>
      </c>
      <c r="E8" s="29" t="s">
        <v>4</v>
      </c>
      <c r="F8" s="30">
        <v>1382.9</v>
      </c>
      <c r="G8" s="30">
        <v>9921</v>
      </c>
      <c r="H8" s="30">
        <f t="shared" si="0"/>
        <v>11303.9</v>
      </c>
      <c r="I8" s="30" t="str">
        <f>IFERROR(_xlfn.XLOOKUP(A8,data!A:A,data!D:D)," ")</f>
        <v>HD thổi</v>
      </c>
      <c r="J8" s="30">
        <f>IFERROR(_xlfn.XLOOKUP(A8,data!A:A,data!E:E)," ")</f>
        <v>0</v>
      </c>
      <c r="K8" s="30">
        <v>0</v>
      </c>
      <c r="L8" s="32">
        <f t="shared" si="1"/>
        <v>0</v>
      </c>
      <c r="M8" s="29" t="str">
        <f>VLOOKUP(A8,'Trình bày'!B:B,1,0)</f>
        <v>110000336</v>
      </c>
      <c r="N8" s="32"/>
    </row>
    <row r="9" spans="1:14" hidden="1">
      <c r="A9" s="31" t="s">
        <v>125</v>
      </c>
      <c r="B9" s="29" t="s">
        <v>11</v>
      </c>
      <c r="C9" s="29" t="s">
        <v>455</v>
      </c>
      <c r="D9" s="29" t="s">
        <v>456</v>
      </c>
      <c r="E9" s="29" t="s">
        <v>4</v>
      </c>
      <c r="F9" s="30">
        <v>350</v>
      </c>
      <c r="G9" s="30">
        <v>0</v>
      </c>
      <c r="H9" s="30">
        <f t="shared" si="0"/>
        <v>350</v>
      </c>
      <c r="I9" s="30" t="str">
        <f>IFERROR(_xlfn.XLOOKUP(A9,data!A:A,data!D:D)," ")</f>
        <v>HD thổi</v>
      </c>
      <c r="J9" s="30" t="str">
        <f>IFERROR(_xlfn.XLOOKUP(A9,data!A:A,data!E:E)," ")</f>
        <v>Trắng</v>
      </c>
      <c r="K9" s="30">
        <v>0</v>
      </c>
      <c r="L9" s="32">
        <f t="shared" si="1"/>
        <v>0</v>
      </c>
      <c r="M9" s="29" t="str">
        <f>VLOOKUP(A9,'Trình bày'!B:B,1,0)</f>
        <v>110000337</v>
      </c>
      <c r="N9" s="32"/>
    </row>
    <row r="10" spans="1:14" hidden="1">
      <c r="A10" s="31" t="s">
        <v>126</v>
      </c>
      <c r="B10" s="29" t="s">
        <v>12</v>
      </c>
      <c r="C10" s="29" t="s">
        <v>455</v>
      </c>
      <c r="D10" s="29" t="s">
        <v>456</v>
      </c>
      <c r="E10" s="29" t="s">
        <v>4</v>
      </c>
      <c r="F10" s="30">
        <v>9416</v>
      </c>
      <c r="G10" s="30">
        <v>0</v>
      </c>
      <c r="H10" s="30">
        <f t="shared" si="0"/>
        <v>9416</v>
      </c>
      <c r="I10" s="30" t="str">
        <f>IFERROR(_xlfn.XLOOKUP(A10,data!A:A,data!D:D)," ")</f>
        <v>HD thổi</v>
      </c>
      <c r="J10" s="30" t="str">
        <f>IFERROR(_xlfn.XLOOKUP(A10,data!A:A,data!E:E)," ")</f>
        <v>Trong</v>
      </c>
      <c r="K10" s="30">
        <v>211750</v>
      </c>
      <c r="L10" s="32">
        <f t="shared" si="1"/>
        <v>211750</v>
      </c>
      <c r="M10" s="29" t="str">
        <f>VLOOKUP(A10,'Trình bày'!B:B,1,0)</f>
        <v>110000339</v>
      </c>
      <c r="N10" s="32"/>
    </row>
    <row r="11" spans="1:14" hidden="1">
      <c r="A11" s="31" t="s">
        <v>126</v>
      </c>
      <c r="B11" s="29" t="s">
        <v>12</v>
      </c>
      <c r="C11" s="29" t="s">
        <v>453</v>
      </c>
      <c r="D11" s="29" t="s">
        <v>454</v>
      </c>
      <c r="E11" s="29" t="s">
        <v>4</v>
      </c>
      <c r="F11" s="30">
        <v>234462.5</v>
      </c>
      <c r="G11" s="30">
        <v>137998</v>
      </c>
      <c r="H11" s="30">
        <f t="shared" si="0"/>
        <v>372460.5</v>
      </c>
      <c r="I11" s="30" t="str">
        <f>IFERROR(_xlfn.XLOOKUP(A11,data!A:A,data!D:D)," ")</f>
        <v>HD thổi</v>
      </c>
      <c r="J11" s="30" t="str">
        <f>IFERROR(_xlfn.XLOOKUP(A11,data!A:A,data!E:E)," ")</f>
        <v>Trong</v>
      </c>
      <c r="K11" s="30">
        <v>211750</v>
      </c>
      <c r="L11" s="32">
        <f t="shared" si="1"/>
        <v>211750</v>
      </c>
      <c r="M11" s="29" t="str">
        <f>VLOOKUP(A11,'Trình bày'!B:B,1,0)</f>
        <v>110000339</v>
      </c>
      <c r="N11" s="32"/>
    </row>
    <row r="12" spans="1:14" hidden="1">
      <c r="A12" s="31" t="s">
        <v>126</v>
      </c>
      <c r="B12" s="29" t="s">
        <v>12</v>
      </c>
      <c r="C12" s="29" t="s">
        <v>457</v>
      </c>
      <c r="D12" s="29" t="s">
        <v>458</v>
      </c>
      <c r="E12" s="29" t="s">
        <v>4</v>
      </c>
      <c r="F12" s="30">
        <v>20625</v>
      </c>
      <c r="G12" s="30">
        <v>1575</v>
      </c>
      <c r="H12" s="30">
        <f t="shared" si="0"/>
        <v>22200</v>
      </c>
      <c r="I12" s="30" t="str">
        <f>IFERROR(_xlfn.XLOOKUP(A12,data!A:A,data!D:D)," ")</f>
        <v>HD thổi</v>
      </c>
      <c r="J12" s="30" t="str">
        <f>IFERROR(_xlfn.XLOOKUP(A12,data!A:A,data!E:E)," ")</f>
        <v>Trong</v>
      </c>
      <c r="K12" s="30">
        <v>211750</v>
      </c>
      <c r="L12" s="32">
        <f t="shared" si="1"/>
        <v>211750</v>
      </c>
      <c r="M12" s="29" t="str">
        <f>VLOOKUP(A12,'Trình bày'!B:B,1,0)</f>
        <v>110000339</v>
      </c>
      <c r="N12" s="32"/>
    </row>
    <row r="13" spans="1:14">
      <c r="A13" s="31" t="s">
        <v>127</v>
      </c>
      <c r="B13" s="29" t="s">
        <v>13</v>
      </c>
      <c r="C13" s="29" t="s">
        <v>451</v>
      </c>
      <c r="D13" s="29" t="s">
        <v>452</v>
      </c>
      <c r="E13" s="29" t="s">
        <v>4</v>
      </c>
      <c r="F13" s="30">
        <v>15000</v>
      </c>
      <c r="G13" s="30">
        <v>0</v>
      </c>
      <c r="H13" s="30">
        <f t="shared" si="0"/>
        <v>15000</v>
      </c>
      <c r="I13" s="30" t="str">
        <f>IFERROR(_xlfn.XLOOKUP(A13,data!A:A,data!D:D)," ")</f>
        <v>HD thổi</v>
      </c>
      <c r="J13" s="30" t="str">
        <f>IFERROR(_xlfn.XLOOKUP(A13,data!A:A,data!E:E)," ")</f>
        <v>Đen</v>
      </c>
      <c r="K13" s="30">
        <v>15625</v>
      </c>
      <c r="L13" s="32">
        <f t="shared" si="1"/>
        <v>15625</v>
      </c>
      <c r="M13" s="29" t="str">
        <f>VLOOKUP(A13,'Trình bày'!B:B,1,0)</f>
        <v>110000341</v>
      </c>
      <c r="N13" s="32"/>
    </row>
    <row r="14" spans="1:14" hidden="1">
      <c r="A14" s="31" t="s">
        <v>127</v>
      </c>
      <c r="B14" s="29" t="s">
        <v>13</v>
      </c>
      <c r="C14" s="29" t="s">
        <v>453</v>
      </c>
      <c r="D14" s="29" t="s">
        <v>454</v>
      </c>
      <c r="E14" s="29" t="s">
        <v>4</v>
      </c>
      <c r="F14" s="30">
        <v>141975.5</v>
      </c>
      <c r="G14" s="30">
        <v>2350</v>
      </c>
      <c r="H14" s="30">
        <f t="shared" si="0"/>
        <v>144325.5</v>
      </c>
      <c r="I14" s="30" t="str">
        <f>IFERROR(_xlfn.XLOOKUP(A14,data!A:A,data!D:D)," ")</f>
        <v>HD thổi</v>
      </c>
      <c r="J14" s="30" t="str">
        <f>IFERROR(_xlfn.XLOOKUP(A14,data!A:A,data!E:E)," ")</f>
        <v>Đen</v>
      </c>
      <c r="K14" s="30">
        <v>15625</v>
      </c>
      <c r="L14" s="32">
        <f t="shared" si="1"/>
        <v>15625</v>
      </c>
      <c r="M14" s="29" t="str">
        <f>VLOOKUP(A14,'Trình bày'!B:B,1,0)</f>
        <v>110000341</v>
      </c>
      <c r="N14" s="32"/>
    </row>
    <row r="15" spans="1:14" hidden="1">
      <c r="A15" s="31" t="s">
        <v>128</v>
      </c>
      <c r="B15" s="29" t="s">
        <v>14</v>
      </c>
      <c r="C15" s="29" t="s">
        <v>459</v>
      </c>
      <c r="D15" s="29" t="s">
        <v>460</v>
      </c>
      <c r="E15" s="29" t="s">
        <v>4</v>
      </c>
      <c r="F15" s="30">
        <v>223</v>
      </c>
      <c r="G15" s="30">
        <v>0</v>
      </c>
      <c r="H15" s="30">
        <f t="shared" si="0"/>
        <v>223</v>
      </c>
      <c r="I15" s="30" t="str">
        <f>IFERROR(_xlfn.XLOOKUP(A15,data!A:A,data!D:D)," ")</f>
        <v>HD thổi</v>
      </c>
      <c r="J15" s="30" t="str">
        <f>IFERROR(_xlfn.XLOOKUP(A15,data!A:A,data!E:E)," ")</f>
        <v>Lá</v>
      </c>
      <c r="K15" s="30">
        <v>0</v>
      </c>
      <c r="L15" s="32">
        <f t="shared" si="1"/>
        <v>0</v>
      </c>
      <c r="M15" s="29" t="str">
        <f>VLOOKUP(A15,'Trình bày'!B:B,1,0)</f>
        <v>110000343</v>
      </c>
      <c r="N15" s="32"/>
    </row>
    <row r="16" spans="1:14" hidden="1">
      <c r="A16" s="31" t="s">
        <v>128</v>
      </c>
      <c r="B16" s="29" t="s">
        <v>14</v>
      </c>
      <c r="C16" s="29" t="s">
        <v>455</v>
      </c>
      <c r="D16" s="29" t="s">
        <v>456</v>
      </c>
      <c r="E16" s="29" t="s">
        <v>4</v>
      </c>
      <c r="F16" s="30">
        <v>752</v>
      </c>
      <c r="G16" s="30">
        <v>0</v>
      </c>
      <c r="H16" s="30">
        <f t="shared" si="0"/>
        <v>752</v>
      </c>
      <c r="I16" s="30" t="str">
        <f>IFERROR(_xlfn.XLOOKUP(A16,data!A:A,data!D:D)," ")</f>
        <v>HD thổi</v>
      </c>
      <c r="J16" s="30" t="str">
        <f>IFERROR(_xlfn.XLOOKUP(A16,data!A:A,data!E:E)," ")</f>
        <v>Lá</v>
      </c>
      <c r="K16" s="30">
        <v>0</v>
      </c>
      <c r="L16" s="32">
        <f t="shared" si="1"/>
        <v>0</v>
      </c>
      <c r="M16" s="29" t="str">
        <f>VLOOKUP(A16,'Trình bày'!B:B,1,0)</f>
        <v>110000343</v>
      </c>
      <c r="N16" s="32"/>
    </row>
    <row r="17" spans="1:14" hidden="1">
      <c r="A17" s="31" t="s">
        <v>128</v>
      </c>
      <c r="B17" s="29" t="s">
        <v>14</v>
      </c>
      <c r="C17" s="29" t="s">
        <v>453</v>
      </c>
      <c r="D17" s="29" t="s">
        <v>454</v>
      </c>
      <c r="E17" s="29" t="s">
        <v>4</v>
      </c>
      <c r="F17" s="30">
        <v>12325</v>
      </c>
      <c r="G17" s="30">
        <v>0</v>
      </c>
      <c r="H17" s="30">
        <f t="shared" si="0"/>
        <v>12325</v>
      </c>
      <c r="I17" s="30" t="str">
        <f>IFERROR(_xlfn.XLOOKUP(A17,data!A:A,data!D:D)," ")</f>
        <v>HD thổi</v>
      </c>
      <c r="J17" s="30" t="str">
        <f>IFERROR(_xlfn.XLOOKUP(A17,data!A:A,data!E:E)," ")</f>
        <v>Lá</v>
      </c>
      <c r="K17" s="30">
        <v>0</v>
      </c>
      <c r="L17" s="32">
        <f t="shared" si="1"/>
        <v>0</v>
      </c>
      <c r="M17" s="29" t="str">
        <f>VLOOKUP(A17,'Trình bày'!B:B,1,0)</f>
        <v>110000343</v>
      </c>
      <c r="N17" s="32"/>
    </row>
    <row r="18" spans="1:14" hidden="1">
      <c r="A18" s="31" t="s">
        <v>129</v>
      </c>
      <c r="B18" s="29" t="s">
        <v>15</v>
      </c>
      <c r="C18" s="29" t="s">
        <v>453</v>
      </c>
      <c r="D18" s="29" t="s">
        <v>454</v>
      </c>
      <c r="E18" s="29" t="s">
        <v>4</v>
      </c>
      <c r="F18" s="30">
        <v>1375</v>
      </c>
      <c r="G18" s="30">
        <v>2200</v>
      </c>
      <c r="H18" s="30">
        <f t="shared" si="0"/>
        <v>3575</v>
      </c>
      <c r="I18" s="30" t="str">
        <f>IFERROR(_xlfn.XLOOKUP(A18,data!A:A,data!D:D)," ")</f>
        <v>HD thổi</v>
      </c>
      <c r="J18" s="30" t="str">
        <f>IFERROR(_xlfn.XLOOKUP(A18,data!A:A,data!E:E)," ")</f>
        <v>Vàng</v>
      </c>
      <c r="K18" s="30">
        <v>0</v>
      </c>
      <c r="L18" s="32">
        <f t="shared" si="1"/>
        <v>0</v>
      </c>
      <c r="M18" s="29" t="str">
        <f>VLOOKUP(A18,'Trình bày'!B:B,1,0)</f>
        <v>110000345</v>
      </c>
      <c r="N18" s="32"/>
    </row>
    <row r="19" spans="1:14">
      <c r="A19" s="31" t="s">
        <v>130</v>
      </c>
      <c r="B19" s="29" t="s">
        <v>16</v>
      </c>
      <c r="C19" s="29" t="s">
        <v>451</v>
      </c>
      <c r="D19" s="29" t="s">
        <v>452</v>
      </c>
      <c r="E19" s="29" t="s">
        <v>4</v>
      </c>
      <c r="F19" s="30">
        <v>503605</v>
      </c>
      <c r="G19" s="30">
        <v>0</v>
      </c>
      <c r="H19" s="30">
        <f t="shared" si="0"/>
        <v>503605</v>
      </c>
      <c r="I19" s="30" t="str">
        <f>IFERROR(_xlfn.XLOOKUP(A19,data!A:A,data!D:D)," ")</f>
        <v>rPET</v>
      </c>
      <c r="J19" s="30">
        <f>IFERROR(_xlfn.XLOOKUP(A19,data!A:A,data!E:E)," ")</f>
        <v>0</v>
      </c>
      <c r="K19" s="30">
        <v>2663100</v>
      </c>
      <c r="L19" s="32">
        <f t="shared" si="1"/>
        <v>2663100</v>
      </c>
      <c r="M19" s="29" t="str">
        <f>VLOOKUP(A19,'Trình bày'!B:B,1,0)</f>
        <v>110000354</v>
      </c>
      <c r="N19" s="32"/>
    </row>
    <row r="20" spans="1:14">
      <c r="A20" s="31" t="s">
        <v>131</v>
      </c>
      <c r="B20" s="29" t="s">
        <v>17</v>
      </c>
      <c r="C20" s="29" t="s">
        <v>451</v>
      </c>
      <c r="D20" s="29" t="s">
        <v>452</v>
      </c>
      <c r="E20" s="29" t="s">
        <v>4</v>
      </c>
      <c r="F20" s="30">
        <v>96779.75</v>
      </c>
      <c r="G20" s="30">
        <v>0</v>
      </c>
      <c r="H20" s="30">
        <f t="shared" si="0"/>
        <v>96779.75</v>
      </c>
      <c r="I20" s="30" t="str">
        <f>IFERROR(_xlfn.XLOOKUP(A20,data!A:A,data!D:D)," ")</f>
        <v>rPET</v>
      </c>
      <c r="J20" s="30">
        <f>IFERROR(_xlfn.XLOOKUP(A20,data!A:A,data!E:E)," ")</f>
        <v>0</v>
      </c>
      <c r="K20" s="30">
        <v>25300</v>
      </c>
      <c r="L20" s="32">
        <f t="shared" si="1"/>
        <v>25300</v>
      </c>
      <c r="M20" s="29" t="str">
        <f>VLOOKUP(A20,'Trình bày'!B:B,1,0)</f>
        <v>110000355</v>
      </c>
      <c r="N20" s="32"/>
    </row>
    <row r="21" spans="1:14" hidden="1">
      <c r="A21" s="31" t="s">
        <v>131</v>
      </c>
      <c r="B21" s="29" t="s">
        <v>17</v>
      </c>
      <c r="C21" s="29" t="s">
        <v>453</v>
      </c>
      <c r="D21" s="29" t="s">
        <v>454</v>
      </c>
      <c r="E21" s="29" t="s">
        <v>4</v>
      </c>
      <c r="F21" s="30">
        <v>57000</v>
      </c>
      <c r="G21" s="30">
        <v>0</v>
      </c>
      <c r="H21" s="30">
        <f t="shared" si="0"/>
        <v>57000</v>
      </c>
      <c r="I21" s="30" t="str">
        <f>IFERROR(_xlfn.XLOOKUP(A21,data!A:A,data!D:D)," ")</f>
        <v>rPET</v>
      </c>
      <c r="J21" s="30">
        <f>IFERROR(_xlfn.XLOOKUP(A21,data!A:A,data!E:E)," ")</f>
        <v>0</v>
      </c>
      <c r="K21" s="30">
        <v>25300</v>
      </c>
      <c r="L21" s="32">
        <f t="shared" si="1"/>
        <v>25300</v>
      </c>
      <c r="M21" s="29" t="str">
        <f>VLOOKUP(A21,'Trình bày'!B:B,1,0)</f>
        <v>110000355</v>
      </c>
      <c r="N21" s="32"/>
    </row>
    <row r="22" spans="1:14" hidden="1">
      <c r="A22" s="31" t="s">
        <v>131</v>
      </c>
      <c r="B22" s="29" t="s">
        <v>17</v>
      </c>
      <c r="C22" s="29" t="s">
        <v>457</v>
      </c>
      <c r="D22" s="29" t="s">
        <v>458</v>
      </c>
      <c r="E22" s="29" t="s">
        <v>4</v>
      </c>
      <c r="F22" s="30">
        <v>1100</v>
      </c>
      <c r="G22" s="30">
        <v>0</v>
      </c>
      <c r="H22" s="30">
        <f t="shared" si="0"/>
        <v>1100</v>
      </c>
      <c r="I22" s="30" t="str">
        <f>IFERROR(_xlfn.XLOOKUP(A22,data!A:A,data!D:D)," ")</f>
        <v>rPET</v>
      </c>
      <c r="J22" s="30">
        <f>IFERROR(_xlfn.XLOOKUP(A22,data!A:A,data!E:E)," ")</f>
        <v>0</v>
      </c>
      <c r="K22" s="30">
        <v>25300</v>
      </c>
      <c r="L22" s="32">
        <f t="shared" si="1"/>
        <v>25300</v>
      </c>
      <c r="M22" s="29" t="str">
        <f>VLOOKUP(A22,'Trình bày'!B:B,1,0)</f>
        <v>110000355</v>
      </c>
      <c r="N22" s="32"/>
    </row>
    <row r="23" spans="1:14" hidden="1">
      <c r="A23" s="31" t="s">
        <v>133</v>
      </c>
      <c r="B23" s="29" t="s">
        <v>19</v>
      </c>
      <c r="C23" s="29" t="s">
        <v>449</v>
      </c>
      <c r="D23" s="29" t="s">
        <v>450</v>
      </c>
      <c r="E23" s="29" t="s">
        <v>4</v>
      </c>
      <c r="F23" s="30">
        <v>2200</v>
      </c>
      <c r="G23" s="30">
        <v>0</v>
      </c>
      <c r="H23" s="30">
        <f t="shared" si="0"/>
        <v>2200</v>
      </c>
      <c r="I23" s="30" t="str">
        <f>IFERROR(_xlfn.XLOOKUP(A23,data!A:A,data!D:D)," ")</f>
        <v>rPET</v>
      </c>
      <c r="J23" s="30">
        <f>IFERROR(_xlfn.XLOOKUP(A23,data!A:A,data!E:E)," ")</f>
        <v>0</v>
      </c>
      <c r="K23" s="30">
        <v>244200</v>
      </c>
      <c r="L23" s="32">
        <f t="shared" si="1"/>
        <v>244200</v>
      </c>
      <c r="M23" s="29" t="str">
        <f>VLOOKUP(A23,'Trình bày'!B:B,1,0)</f>
        <v>110000359</v>
      </c>
      <c r="N23" s="32"/>
    </row>
    <row r="24" spans="1:14">
      <c r="A24" s="31" t="s">
        <v>133</v>
      </c>
      <c r="B24" s="29" t="s">
        <v>19</v>
      </c>
      <c r="C24" s="29" t="s">
        <v>451</v>
      </c>
      <c r="D24" s="29" t="s">
        <v>452</v>
      </c>
      <c r="E24" s="29" t="s">
        <v>4</v>
      </c>
      <c r="F24" s="30">
        <v>1018040.8</v>
      </c>
      <c r="G24" s="30">
        <v>0</v>
      </c>
      <c r="H24" s="30">
        <f t="shared" si="0"/>
        <v>1018040.8</v>
      </c>
      <c r="I24" s="30" t="str">
        <f>IFERROR(_xlfn.XLOOKUP(A24,data!A:A,data!D:D)," ")</f>
        <v>rPET</v>
      </c>
      <c r="J24" s="30">
        <f>IFERROR(_xlfn.XLOOKUP(A24,data!A:A,data!E:E)," ")</f>
        <v>0</v>
      </c>
      <c r="K24" s="30">
        <v>244200</v>
      </c>
      <c r="L24" s="32">
        <f t="shared" si="1"/>
        <v>244200</v>
      </c>
      <c r="M24" s="29" t="str">
        <f>VLOOKUP(A24,'Trình bày'!B:B,1,0)</f>
        <v>110000359</v>
      </c>
      <c r="N24" s="32"/>
    </row>
    <row r="25" spans="1:14" hidden="1">
      <c r="A25" s="31" t="s">
        <v>133</v>
      </c>
      <c r="B25" s="29" t="s">
        <v>19</v>
      </c>
      <c r="C25" s="29" t="s">
        <v>453</v>
      </c>
      <c r="D25" s="29" t="s">
        <v>454</v>
      </c>
      <c r="E25" s="29" t="s">
        <v>4</v>
      </c>
      <c r="F25" s="30">
        <v>939963.9</v>
      </c>
      <c r="G25" s="30">
        <v>39600</v>
      </c>
      <c r="H25" s="30">
        <f t="shared" si="0"/>
        <v>979563.9</v>
      </c>
      <c r="I25" s="30" t="str">
        <f>IFERROR(_xlfn.XLOOKUP(A25,data!A:A,data!D:D)," ")</f>
        <v>rPET</v>
      </c>
      <c r="J25" s="30">
        <f>IFERROR(_xlfn.XLOOKUP(A25,data!A:A,data!E:E)," ")</f>
        <v>0</v>
      </c>
      <c r="K25" s="30">
        <v>244200</v>
      </c>
      <c r="L25" s="32">
        <f t="shared" si="1"/>
        <v>244200</v>
      </c>
      <c r="M25" s="29" t="str">
        <f>VLOOKUP(A25,'Trình bày'!B:B,1,0)</f>
        <v>110000359</v>
      </c>
      <c r="N25" s="32"/>
    </row>
    <row r="26" spans="1:14" hidden="1">
      <c r="A26" s="31" t="s">
        <v>134</v>
      </c>
      <c r="B26" s="29" t="s">
        <v>20</v>
      </c>
      <c r="C26" s="29" t="s">
        <v>453</v>
      </c>
      <c r="D26" s="29" t="s">
        <v>454</v>
      </c>
      <c r="E26" s="29" t="s">
        <v>4</v>
      </c>
      <c r="F26" s="30">
        <v>21245</v>
      </c>
      <c r="G26" s="30">
        <v>0</v>
      </c>
      <c r="H26" s="30">
        <f t="shared" si="0"/>
        <v>21245</v>
      </c>
      <c r="I26" s="30" t="str">
        <f>IFERROR(_xlfn.XLOOKUP(A26,data!A:A,data!D:D)," ")</f>
        <v>HD ép</v>
      </c>
      <c r="J26" s="30" t="str">
        <f>IFERROR(_xlfn.XLOOKUP(A26,data!A:A,data!E:E)," ")</f>
        <v>Dương</v>
      </c>
      <c r="K26" s="30">
        <v>22500</v>
      </c>
      <c r="L26" s="32">
        <f t="shared" si="1"/>
        <v>22500</v>
      </c>
      <c r="M26" s="29" t="str">
        <f>VLOOKUP(A26,'Trình bày'!B:B,1,0)</f>
        <v>110000360</v>
      </c>
      <c r="N26" s="32"/>
    </row>
    <row r="27" spans="1:14" hidden="1">
      <c r="A27" s="31" t="s">
        <v>135</v>
      </c>
      <c r="B27" s="29" t="s">
        <v>21</v>
      </c>
      <c r="C27" s="29" t="s">
        <v>453</v>
      </c>
      <c r="D27" s="29" t="s">
        <v>454</v>
      </c>
      <c r="E27" s="29" t="s">
        <v>4</v>
      </c>
      <c r="F27" s="30">
        <v>48550</v>
      </c>
      <c r="G27" s="30">
        <v>0</v>
      </c>
      <c r="H27" s="30">
        <f t="shared" si="0"/>
        <v>48550</v>
      </c>
      <c r="I27" s="30" t="str">
        <f>IFERROR(_xlfn.XLOOKUP(A27,data!A:A,data!D:D)," ")</f>
        <v>HD ép</v>
      </c>
      <c r="J27" s="30" t="str">
        <f>IFERROR(_xlfn.XLOOKUP(A27,data!A:A,data!E:E)," ")</f>
        <v>Đỏ</v>
      </c>
      <c r="K27" s="30">
        <v>5500</v>
      </c>
      <c r="L27" s="32">
        <f t="shared" si="1"/>
        <v>5500</v>
      </c>
      <c r="M27" s="29" t="str">
        <f>VLOOKUP(A27,'Trình bày'!B:B,1,0)</f>
        <v>110000361</v>
      </c>
      <c r="N27" s="32"/>
    </row>
    <row r="28" spans="1:14" hidden="1">
      <c r="A28" s="31" t="s">
        <v>136</v>
      </c>
      <c r="B28" s="29" t="s">
        <v>22</v>
      </c>
      <c r="C28" s="29" t="s">
        <v>455</v>
      </c>
      <c r="D28" s="29" t="s">
        <v>456</v>
      </c>
      <c r="E28" s="29" t="s">
        <v>4</v>
      </c>
      <c r="F28" s="30">
        <v>400</v>
      </c>
      <c r="G28" s="30">
        <v>0</v>
      </c>
      <c r="H28" s="30">
        <f t="shared" si="0"/>
        <v>400</v>
      </c>
      <c r="I28" s="30" t="str">
        <f>IFERROR(_xlfn.XLOOKUP(A28,data!A:A,data!D:D)," ")</f>
        <v>HD ép</v>
      </c>
      <c r="J28" s="30" t="str">
        <f>IFERROR(_xlfn.XLOOKUP(A28,data!A:A,data!E:E)," ")</f>
        <v>Xám</v>
      </c>
      <c r="K28" s="30">
        <v>0</v>
      </c>
      <c r="L28" s="32">
        <f t="shared" si="1"/>
        <v>0</v>
      </c>
      <c r="M28" s="29" t="str">
        <f>VLOOKUP(A28,'Trình bày'!B:B,1,0)</f>
        <v>110000363</v>
      </c>
      <c r="N28" s="32"/>
    </row>
    <row r="29" spans="1:14" hidden="1">
      <c r="A29" s="31" t="s">
        <v>136</v>
      </c>
      <c r="B29" s="29" t="s">
        <v>22</v>
      </c>
      <c r="C29" s="29" t="s">
        <v>453</v>
      </c>
      <c r="D29" s="29" t="s">
        <v>454</v>
      </c>
      <c r="E29" s="29" t="s">
        <v>4</v>
      </c>
      <c r="F29" s="30">
        <v>244271.9</v>
      </c>
      <c r="G29" s="30">
        <v>0</v>
      </c>
      <c r="H29" s="30">
        <f t="shared" si="0"/>
        <v>244271.9</v>
      </c>
      <c r="I29" s="30" t="str">
        <f>IFERROR(_xlfn.XLOOKUP(A29,data!A:A,data!D:D)," ")</f>
        <v>HD ép</v>
      </c>
      <c r="J29" s="30" t="str">
        <f>IFERROR(_xlfn.XLOOKUP(A29,data!A:A,data!E:E)," ")</f>
        <v>Xám</v>
      </c>
      <c r="K29" s="30">
        <v>0</v>
      </c>
      <c r="L29" s="32">
        <f t="shared" si="1"/>
        <v>0</v>
      </c>
      <c r="M29" s="29" t="str">
        <f>VLOOKUP(A29,'Trình bày'!B:B,1,0)</f>
        <v>110000363</v>
      </c>
      <c r="N29" s="32"/>
    </row>
    <row r="30" spans="1:14" hidden="1">
      <c r="A30" s="31" t="s">
        <v>137</v>
      </c>
      <c r="B30" s="29" t="s">
        <v>23</v>
      </c>
      <c r="C30" s="29" t="s">
        <v>455</v>
      </c>
      <c r="D30" s="29" t="s">
        <v>456</v>
      </c>
      <c r="E30" s="29" t="s">
        <v>4</v>
      </c>
      <c r="F30" s="30">
        <v>140</v>
      </c>
      <c r="G30" s="30">
        <v>0</v>
      </c>
      <c r="H30" s="30">
        <f t="shared" si="0"/>
        <v>140</v>
      </c>
      <c r="I30" s="30" t="str">
        <f>IFERROR(_xlfn.XLOOKUP(A30,data!A:A,data!D:D)," ")</f>
        <v>HD ép</v>
      </c>
      <c r="J30" s="30" t="str">
        <f>IFERROR(_xlfn.XLOOKUP(A30,data!A:A,data!E:E)," ")</f>
        <v>Vàng</v>
      </c>
      <c r="K30" s="30">
        <v>11000</v>
      </c>
      <c r="L30" s="32">
        <f t="shared" si="1"/>
        <v>11000</v>
      </c>
      <c r="M30" s="29" t="str">
        <f>VLOOKUP(A30,'Trình bày'!B:B,1,0)</f>
        <v>110000364</v>
      </c>
      <c r="N30" s="32"/>
    </row>
    <row r="31" spans="1:14" hidden="1">
      <c r="A31" s="31" t="s">
        <v>137</v>
      </c>
      <c r="B31" s="29" t="s">
        <v>23</v>
      </c>
      <c r="C31" s="29" t="s">
        <v>453</v>
      </c>
      <c r="D31" s="29" t="s">
        <v>454</v>
      </c>
      <c r="E31" s="29" t="s">
        <v>4</v>
      </c>
      <c r="F31" s="30">
        <v>28875</v>
      </c>
      <c r="G31" s="30">
        <v>0</v>
      </c>
      <c r="H31" s="30">
        <f t="shared" si="0"/>
        <v>28875</v>
      </c>
      <c r="I31" s="30" t="str">
        <f>IFERROR(_xlfn.XLOOKUP(A31,data!A:A,data!D:D)," ")</f>
        <v>HD ép</v>
      </c>
      <c r="J31" s="30" t="str">
        <f>IFERROR(_xlfn.XLOOKUP(A31,data!A:A,data!E:E)," ")</f>
        <v>Vàng</v>
      </c>
      <c r="K31" s="30">
        <v>11000</v>
      </c>
      <c r="L31" s="32">
        <f t="shared" si="1"/>
        <v>11000</v>
      </c>
      <c r="M31" s="29" t="str">
        <f>VLOOKUP(A31,'Trình bày'!B:B,1,0)</f>
        <v>110000364</v>
      </c>
      <c r="N31" s="32"/>
    </row>
    <row r="32" spans="1:14" hidden="1">
      <c r="A32" s="31" t="s">
        <v>138</v>
      </c>
      <c r="B32" s="29" t="s">
        <v>24</v>
      </c>
      <c r="C32" s="29" t="s">
        <v>455</v>
      </c>
      <c r="D32" s="29" t="s">
        <v>456</v>
      </c>
      <c r="E32" s="29" t="s">
        <v>4</v>
      </c>
      <c r="F32" s="30">
        <v>600</v>
      </c>
      <c r="G32" s="30">
        <v>0</v>
      </c>
      <c r="H32" s="30">
        <f t="shared" si="0"/>
        <v>600</v>
      </c>
      <c r="I32" s="30" t="str">
        <f>IFERROR(_xlfn.XLOOKUP(A32,data!A:A,data!D:D)," ")</f>
        <v>HD ép</v>
      </c>
      <c r="J32" s="30" t="str">
        <f>IFERROR(_xlfn.XLOOKUP(A32,data!A:A,data!E:E)," ")</f>
        <v>Trắng</v>
      </c>
      <c r="K32" s="30">
        <v>0</v>
      </c>
      <c r="L32" s="32">
        <f t="shared" si="1"/>
        <v>0</v>
      </c>
      <c r="M32" s="29" t="str">
        <f>VLOOKUP(A32,'Trình bày'!B:B,1,0)</f>
        <v>110000365</v>
      </c>
      <c r="N32" s="32"/>
    </row>
    <row r="33" spans="1:14" hidden="1">
      <c r="A33" s="31" t="s">
        <v>138</v>
      </c>
      <c r="B33" s="29" t="s">
        <v>24</v>
      </c>
      <c r="C33" s="29" t="s">
        <v>453</v>
      </c>
      <c r="D33" s="29" t="s">
        <v>454</v>
      </c>
      <c r="E33" s="29" t="s">
        <v>4</v>
      </c>
      <c r="F33" s="30">
        <v>51000.4</v>
      </c>
      <c r="G33" s="30">
        <v>7510</v>
      </c>
      <c r="H33" s="30">
        <f t="shared" si="0"/>
        <v>58510.400000000001</v>
      </c>
      <c r="I33" s="30" t="str">
        <f>IFERROR(_xlfn.XLOOKUP(A33,data!A:A,data!D:D)," ")</f>
        <v>HD ép</v>
      </c>
      <c r="J33" s="30" t="str">
        <f>IFERROR(_xlfn.XLOOKUP(A33,data!A:A,data!E:E)," ")</f>
        <v>Trắng</v>
      </c>
      <c r="K33" s="30">
        <v>0</v>
      </c>
      <c r="L33" s="32">
        <f t="shared" si="1"/>
        <v>0</v>
      </c>
      <c r="M33" s="29" t="str">
        <f>VLOOKUP(A33,'Trình bày'!B:B,1,0)</f>
        <v>110000365</v>
      </c>
      <c r="N33" s="32"/>
    </row>
    <row r="34" spans="1:14" hidden="1">
      <c r="A34" s="31" t="s">
        <v>139</v>
      </c>
      <c r="B34" s="29" t="s">
        <v>25</v>
      </c>
      <c r="C34" s="29" t="s">
        <v>453</v>
      </c>
      <c r="D34" s="29" t="s">
        <v>454</v>
      </c>
      <c r="E34" s="29" t="s">
        <v>4</v>
      </c>
      <c r="F34" s="30">
        <v>29275</v>
      </c>
      <c r="G34" s="30">
        <v>0</v>
      </c>
      <c r="H34" s="30">
        <f t="shared" si="0"/>
        <v>29275</v>
      </c>
      <c r="I34" s="30" t="str">
        <f>IFERROR(_xlfn.XLOOKUP(A34,data!A:A,data!D:D)," ")</f>
        <v>HD ép</v>
      </c>
      <c r="J34" s="30" t="str">
        <f>IFERROR(_xlfn.XLOOKUP(A34,data!A:A,data!E:E)," ")</f>
        <v>Lá</v>
      </c>
      <c r="K34" s="30">
        <v>28000</v>
      </c>
      <c r="L34" s="32">
        <f t="shared" si="1"/>
        <v>28000</v>
      </c>
      <c r="M34" s="29" t="str">
        <f>VLOOKUP(A34,'Trình bày'!B:B,1,0)</f>
        <v>110000366</v>
      </c>
      <c r="N34" s="32"/>
    </row>
    <row r="35" spans="1:14" hidden="1">
      <c r="A35" s="31" t="s">
        <v>140</v>
      </c>
      <c r="B35" s="29" t="s">
        <v>26</v>
      </c>
      <c r="C35" s="29" t="s">
        <v>453</v>
      </c>
      <c r="D35" s="29" t="s">
        <v>454</v>
      </c>
      <c r="E35" s="29" t="s">
        <v>4</v>
      </c>
      <c r="F35" s="30">
        <v>0</v>
      </c>
      <c r="G35" s="30">
        <v>141</v>
      </c>
      <c r="H35" s="30">
        <f t="shared" si="0"/>
        <v>141</v>
      </c>
      <c r="I35" s="30" t="str">
        <f>IFERROR(_xlfn.XLOOKUP(A35,data!A:A,data!D:D)," ")</f>
        <v>rPP</v>
      </c>
      <c r="J35" s="30" t="str">
        <f>IFERROR(_xlfn.XLOOKUP(A35,data!A:A,data!E:E)," ")</f>
        <v>Đỏ</v>
      </c>
      <c r="K35" s="30">
        <v>0</v>
      </c>
      <c r="L35" s="32">
        <f t="shared" si="1"/>
        <v>0</v>
      </c>
      <c r="M35" s="29" t="str">
        <f>VLOOKUP(A35,'Trình bày'!B:B,1,0)</f>
        <v>110000367</v>
      </c>
      <c r="N35" s="32"/>
    </row>
    <row r="36" spans="1:14" hidden="1">
      <c r="A36" s="31" t="s">
        <v>141</v>
      </c>
      <c r="B36" s="33" t="s">
        <v>27</v>
      </c>
      <c r="C36" s="33" t="s">
        <v>453</v>
      </c>
      <c r="D36" s="33" t="s">
        <v>454</v>
      </c>
      <c r="E36" s="29" t="s">
        <v>4</v>
      </c>
      <c r="F36" s="30">
        <v>0</v>
      </c>
      <c r="G36" s="30">
        <v>2677.8</v>
      </c>
      <c r="H36" s="30">
        <f t="shared" si="0"/>
        <v>2677.8</v>
      </c>
      <c r="I36" s="30" t="str">
        <f>IFERROR(_xlfn.XLOOKUP(A36,data!A:A,data!D:D)," ")</f>
        <v>rPP</v>
      </c>
      <c r="J36" s="30" t="str">
        <f>IFERROR(_xlfn.XLOOKUP(A36,data!A:A,data!E:E)," ")</f>
        <v>Trắng</v>
      </c>
      <c r="K36" s="30">
        <v>0</v>
      </c>
      <c r="L36" s="32">
        <f t="shared" si="1"/>
        <v>0</v>
      </c>
      <c r="M36" s="29" t="str">
        <f>VLOOKUP(A36,'Trình bày'!B:B,1,0)</f>
        <v>110000369</v>
      </c>
      <c r="N36" s="32"/>
    </row>
    <row r="37" spans="1:14" hidden="1">
      <c r="A37" s="31" t="s">
        <v>144</v>
      </c>
      <c r="B37" s="29" t="s">
        <v>30</v>
      </c>
      <c r="C37" s="29" t="s">
        <v>453</v>
      </c>
      <c r="D37" s="29" t="s">
        <v>454</v>
      </c>
      <c r="E37" s="29" t="s">
        <v>4</v>
      </c>
      <c r="F37" s="30">
        <v>3847.5</v>
      </c>
      <c r="G37" s="30">
        <v>2387.9</v>
      </c>
      <c r="H37" s="30">
        <f t="shared" si="0"/>
        <v>6235.4</v>
      </c>
      <c r="I37" s="30" t="str">
        <f>IFERROR(_xlfn.XLOOKUP(A37,data!A:A,data!D:D)," ")</f>
        <v>HD ép</v>
      </c>
      <c r="J37" s="30" t="str">
        <f>IFERROR(_xlfn.XLOOKUP(A37,data!A:A,data!E:E)," ")</f>
        <v>Dương</v>
      </c>
      <c r="K37" s="30">
        <v>0</v>
      </c>
      <c r="L37" s="32">
        <f t="shared" si="1"/>
        <v>0</v>
      </c>
      <c r="M37" s="29" t="str">
        <f>VLOOKUP(A37,'Trình bày'!B:B,1,0)</f>
        <v>110000373</v>
      </c>
      <c r="N37" s="32"/>
    </row>
    <row r="38" spans="1:14" hidden="1">
      <c r="A38" s="31" t="s">
        <v>145</v>
      </c>
      <c r="B38" s="29" t="s">
        <v>31</v>
      </c>
      <c r="C38" s="29" t="s">
        <v>455</v>
      </c>
      <c r="D38" s="29" t="s">
        <v>456</v>
      </c>
      <c r="E38" s="29" t="s">
        <v>4</v>
      </c>
      <c r="F38" s="30">
        <v>2400</v>
      </c>
      <c r="G38" s="30">
        <v>0</v>
      </c>
      <c r="H38" s="30">
        <f t="shared" si="0"/>
        <v>2400</v>
      </c>
      <c r="I38" s="30" t="str">
        <f>IFERROR(_xlfn.XLOOKUP(A38,data!A:A,data!D:D)," ")</f>
        <v>HD thổi</v>
      </c>
      <c r="J38" s="30" t="str">
        <f>IFERROR(_xlfn.XLOOKUP(A38,data!A:A,data!E:E)," ")</f>
        <v>Trong</v>
      </c>
      <c r="K38" s="30">
        <v>44500</v>
      </c>
      <c r="L38" s="32">
        <f t="shared" si="1"/>
        <v>44500</v>
      </c>
      <c r="M38" s="29" t="str">
        <f>VLOOKUP(A38,'Trình bày'!B:B,1,0)</f>
        <v>110000374</v>
      </c>
      <c r="N38" s="32"/>
    </row>
    <row r="39" spans="1:14" hidden="1">
      <c r="A39" s="31" t="s">
        <v>145</v>
      </c>
      <c r="B39" s="29" t="s">
        <v>31</v>
      </c>
      <c r="C39" s="29" t="s">
        <v>453</v>
      </c>
      <c r="D39" s="29" t="s">
        <v>454</v>
      </c>
      <c r="E39" s="29" t="s">
        <v>4</v>
      </c>
      <c r="F39" s="30">
        <v>284648.40000000002</v>
      </c>
      <c r="G39" s="30">
        <v>26491</v>
      </c>
      <c r="H39" s="30">
        <f t="shared" si="0"/>
        <v>311139.40000000002</v>
      </c>
      <c r="I39" s="30" t="str">
        <f>IFERROR(_xlfn.XLOOKUP(A39,data!A:A,data!D:D)," ")</f>
        <v>HD thổi</v>
      </c>
      <c r="J39" s="30" t="str">
        <f>IFERROR(_xlfn.XLOOKUP(A39,data!A:A,data!E:E)," ")</f>
        <v>Trong</v>
      </c>
      <c r="K39" s="30">
        <v>44500</v>
      </c>
      <c r="L39" s="32">
        <f t="shared" si="1"/>
        <v>44500</v>
      </c>
      <c r="M39" s="29" t="str">
        <f>VLOOKUP(A39,'Trình bày'!B:B,1,0)</f>
        <v>110000374</v>
      </c>
      <c r="N39" s="32"/>
    </row>
    <row r="40" spans="1:14" hidden="1">
      <c r="A40" s="31" t="s">
        <v>145</v>
      </c>
      <c r="B40" s="29" t="s">
        <v>31</v>
      </c>
      <c r="C40" s="29" t="s">
        <v>457</v>
      </c>
      <c r="D40" s="29" t="s">
        <v>458</v>
      </c>
      <c r="E40" s="29" t="s">
        <v>4</v>
      </c>
      <c r="F40" s="30">
        <v>11000</v>
      </c>
      <c r="G40" s="30">
        <v>1825</v>
      </c>
      <c r="H40" s="30">
        <f t="shared" si="0"/>
        <v>12825</v>
      </c>
      <c r="I40" s="30" t="str">
        <f>IFERROR(_xlfn.XLOOKUP(A40,data!A:A,data!D:D)," ")</f>
        <v>HD thổi</v>
      </c>
      <c r="J40" s="30" t="str">
        <f>IFERROR(_xlfn.XLOOKUP(A40,data!A:A,data!E:E)," ")</f>
        <v>Trong</v>
      </c>
      <c r="K40" s="30">
        <v>44500</v>
      </c>
      <c r="L40" s="32">
        <f t="shared" si="1"/>
        <v>44500</v>
      </c>
      <c r="M40" s="29" t="str">
        <f>VLOOKUP(A40,'Trình bày'!B:B,1,0)</f>
        <v>110000374</v>
      </c>
      <c r="N40" s="32"/>
    </row>
    <row r="41" spans="1:14">
      <c r="A41" s="31" t="s">
        <v>146</v>
      </c>
      <c r="B41" s="29" t="s">
        <v>32</v>
      </c>
      <c r="C41" s="29" t="s">
        <v>451</v>
      </c>
      <c r="D41" s="29" t="s">
        <v>452</v>
      </c>
      <c r="E41" s="29" t="s">
        <v>4</v>
      </c>
      <c r="F41" s="30">
        <v>800</v>
      </c>
      <c r="G41" s="30">
        <v>0</v>
      </c>
      <c r="H41" s="30">
        <f t="shared" si="0"/>
        <v>800</v>
      </c>
      <c r="I41" s="30" t="str">
        <f>IFERROR(_xlfn.XLOOKUP(A41,data!A:A,data!D:D)," ")</f>
        <v>rPET</v>
      </c>
      <c r="J41" s="30">
        <f>IFERROR(_xlfn.XLOOKUP(A41,data!A:A,data!E:E)," ")</f>
        <v>0</v>
      </c>
      <c r="K41" s="30">
        <v>0</v>
      </c>
      <c r="L41" s="32">
        <f t="shared" si="1"/>
        <v>0</v>
      </c>
      <c r="M41" s="29" t="str">
        <f>VLOOKUP(A41,'Trình bày'!B:B,1,0)</f>
        <v>110000376</v>
      </c>
      <c r="N41" s="32"/>
    </row>
    <row r="42" spans="1:14">
      <c r="A42" s="31" t="s">
        <v>147</v>
      </c>
      <c r="B42" s="29" t="s">
        <v>33</v>
      </c>
      <c r="C42" s="29" t="s">
        <v>451</v>
      </c>
      <c r="D42" s="29" t="s">
        <v>452</v>
      </c>
      <c r="E42" s="29" t="s">
        <v>4</v>
      </c>
      <c r="F42" s="30">
        <v>37400</v>
      </c>
      <c r="G42" s="30">
        <v>0</v>
      </c>
      <c r="H42" s="30">
        <f t="shared" si="0"/>
        <v>37400</v>
      </c>
      <c r="I42" s="30" t="str">
        <f>IFERROR(_xlfn.XLOOKUP(A42,data!A:A,data!D:D)," ")</f>
        <v>rPET</v>
      </c>
      <c r="J42" s="30">
        <f>IFERROR(_xlfn.XLOOKUP(A42,data!A:A,data!E:E)," ")</f>
        <v>0</v>
      </c>
      <c r="K42" s="30">
        <v>11000</v>
      </c>
      <c r="L42" s="32">
        <f t="shared" si="1"/>
        <v>11000</v>
      </c>
      <c r="M42" s="29" t="str">
        <f>VLOOKUP(A42,'Trình bày'!B:B,1,0)</f>
        <v>110000377</v>
      </c>
      <c r="N42" s="32"/>
    </row>
    <row r="43" spans="1:14" hidden="1">
      <c r="A43" s="31" t="s">
        <v>147</v>
      </c>
      <c r="B43" s="29" t="s">
        <v>33</v>
      </c>
      <c r="C43" s="29" t="s">
        <v>453</v>
      </c>
      <c r="D43" s="29" t="s">
        <v>454</v>
      </c>
      <c r="E43" s="29" t="s">
        <v>4</v>
      </c>
      <c r="F43" s="30">
        <v>238699.5</v>
      </c>
      <c r="G43" s="30">
        <v>0</v>
      </c>
      <c r="H43" s="30">
        <f t="shared" si="0"/>
        <v>238699.5</v>
      </c>
      <c r="I43" s="30" t="str">
        <f>IFERROR(_xlfn.XLOOKUP(A43,data!A:A,data!D:D)," ")</f>
        <v>rPET</v>
      </c>
      <c r="J43" s="30">
        <f>IFERROR(_xlfn.XLOOKUP(A43,data!A:A,data!E:E)," ")</f>
        <v>0</v>
      </c>
      <c r="K43" s="30">
        <v>11000</v>
      </c>
      <c r="L43" s="32">
        <f t="shared" si="1"/>
        <v>11000</v>
      </c>
      <c r="M43" s="29" t="str">
        <f>VLOOKUP(A43,'Trình bày'!B:B,1,0)</f>
        <v>110000377</v>
      </c>
      <c r="N43" s="32"/>
    </row>
    <row r="44" spans="1:14" hidden="1">
      <c r="A44" s="31" t="s">
        <v>147</v>
      </c>
      <c r="B44" s="29" t="s">
        <v>33</v>
      </c>
      <c r="C44" s="29" t="s">
        <v>457</v>
      </c>
      <c r="D44" s="29" t="s">
        <v>458</v>
      </c>
      <c r="E44" s="29" t="s">
        <v>4</v>
      </c>
      <c r="F44" s="30">
        <v>11000</v>
      </c>
      <c r="G44" s="30">
        <v>0</v>
      </c>
      <c r="H44" s="30">
        <f t="shared" si="0"/>
        <v>11000</v>
      </c>
      <c r="I44" s="30" t="str">
        <f>IFERROR(_xlfn.XLOOKUP(A44,data!A:A,data!D:D)," ")</f>
        <v>rPET</v>
      </c>
      <c r="J44" s="30">
        <f>IFERROR(_xlfn.XLOOKUP(A44,data!A:A,data!E:E)," ")</f>
        <v>0</v>
      </c>
      <c r="K44" s="30">
        <v>11000</v>
      </c>
      <c r="L44" s="32">
        <f t="shared" si="1"/>
        <v>11000</v>
      </c>
      <c r="M44" s="29" t="str">
        <f>VLOOKUP(A44,'Trình bày'!B:B,1,0)</f>
        <v>110000377</v>
      </c>
      <c r="N44" s="32"/>
    </row>
    <row r="45" spans="1:14">
      <c r="A45" s="31" t="s">
        <v>148</v>
      </c>
      <c r="B45" s="29" t="s">
        <v>34</v>
      </c>
      <c r="C45" s="29" t="s">
        <v>451</v>
      </c>
      <c r="D45" s="29" t="s">
        <v>452</v>
      </c>
      <c r="E45" s="29" t="s">
        <v>4</v>
      </c>
      <c r="F45" s="30">
        <v>217800</v>
      </c>
      <c r="G45" s="30">
        <v>0</v>
      </c>
      <c r="H45" s="30">
        <f t="shared" si="0"/>
        <v>217800</v>
      </c>
      <c r="I45" s="30" t="str">
        <f>IFERROR(_xlfn.XLOOKUP(A45,data!A:A,data!D:D)," ")</f>
        <v>rPET</v>
      </c>
      <c r="J45" s="30">
        <f>IFERROR(_xlfn.XLOOKUP(A45,data!A:A,data!E:E)," ")</f>
        <v>0</v>
      </c>
      <c r="K45" s="30">
        <v>0</v>
      </c>
      <c r="L45" s="32">
        <f t="shared" si="1"/>
        <v>0</v>
      </c>
      <c r="M45" s="29" t="str">
        <f>VLOOKUP(A45,'Trình bày'!B:B,1,0)</f>
        <v>110000378</v>
      </c>
      <c r="N45" s="32"/>
    </row>
    <row r="46" spans="1:14" hidden="1">
      <c r="A46" s="31" t="s">
        <v>148</v>
      </c>
      <c r="B46" s="29" t="s">
        <v>34</v>
      </c>
      <c r="C46" s="29" t="s">
        <v>453</v>
      </c>
      <c r="D46" s="29" t="s">
        <v>454</v>
      </c>
      <c r="E46" s="29" t="s">
        <v>4</v>
      </c>
      <c r="F46" s="30">
        <v>1432197</v>
      </c>
      <c r="G46" s="30">
        <v>0</v>
      </c>
      <c r="H46" s="30">
        <f t="shared" si="0"/>
        <v>1432197</v>
      </c>
      <c r="I46" s="30" t="str">
        <f>IFERROR(_xlfn.XLOOKUP(A46,data!A:A,data!D:D)," ")</f>
        <v>rPET</v>
      </c>
      <c r="J46" s="30">
        <f>IFERROR(_xlfn.XLOOKUP(A46,data!A:A,data!E:E)," ")</f>
        <v>0</v>
      </c>
      <c r="K46" s="30">
        <v>0</v>
      </c>
      <c r="L46" s="32">
        <f t="shared" si="1"/>
        <v>0</v>
      </c>
      <c r="M46" s="29" t="str">
        <f>VLOOKUP(A46,'Trình bày'!B:B,1,0)</f>
        <v>110000378</v>
      </c>
      <c r="N46" s="32"/>
    </row>
    <row r="47" spans="1:14">
      <c r="A47" s="31" t="s">
        <v>149</v>
      </c>
      <c r="B47" s="29" t="s">
        <v>35</v>
      </c>
      <c r="C47" s="29" t="s">
        <v>451</v>
      </c>
      <c r="D47" s="29" t="s">
        <v>452</v>
      </c>
      <c r="E47" s="29" t="s">
        <v>4</v>
      </c>
      <c r="F47" s="30">
        <v>479</v>
      </c>
      <c r="G47" s="30">
        <v>0</v>
      </c>
      <c r="H47" s="30">
        <f t="shared" si="0"/>
        <v>479</v>
      </c>
      <c r="I47" s="30" t="str">
        <f>IFERROR(_xlfn.XLOOKUP(A47,data!A:A,data!D:D)," ")</f>
        <v>Xơ sợi</v>
      </c>
      <c r="J47" s="30">
        <f>IFERROR(_xlfn.XLOOKUP(A47,data!A:A,data!E:E)," ")</f>
        <v>0</v>
      </c>
      <c r="K47" s="30">
        <v>-17600</v>
      </c>
      <c r="L47" s="32">
        <f t="shared" si="1"/>
        <v>-17600</v>
      </c>
      <c r="M47" s="29" t="str">
        <f>VLOOKUP(A47,'Trình bày'!B:B,1,0)</f>
        <v>110000381</v>
      </c>
      <c r="N47" s="32"/>
    </row>
    <row r="48" spans="1:14" hidden="1">
      <c r="A48" s="31" t="s">
        <v>149</v>
      </c>
      <c r="B48" s="29" t="s">
        <v>35</v>
      </c>
      <c r="C48" s="29" t="s">
        <v>453</v>
      </c>
      <c r="D48" s="29" t="s">
        <v>454</v>
      </c>
      <c r="E48" s="29" t="s">
        <v>4</v>
      </c>
      <c r="F48" s="30">
        <v>68232.600000000006</v>
      </c>
      <c r="G48" s="30">
        <v>0</v>
      </c>
      <c r="H48" s="30">
        <f t="shared" si="0"/>
        <v>68232.600000000006</v>
      </c>
      <c r="I48" s="30" t="str">
        <f>IFERROR(_xlfn.XLOOKUP(A48,data!A:A,data!D:D)," ")</f>
        <v>Xơ sợi</v>
      </c>
      <c r="J48" s="30">
        <f>IFERROR(_xlfn.XLOOKUP(A48,data!A:A,data!E:E)," ")</f>
        <v>0</v>
      </c>
      <c r="K48" s="30">
        <v>-17600</v>
      </c>
      <c r="L48" s="32">
        <f t="shared" si="1"/>
        <v>-17600</v>
      </c>
      <c r="M48" s="29" t="str">
        <f>VLOOKUP(A48,'Trình bày'!B:B,1,0)</f>
        <v>110000381</v>
      </c>
      <c r="N48" s="32"/>
    </row>
    <row r="49" spans="1:14" hidden="1">
      <c r="A49" s="31" t="s">
        <v>150</v>
      </c>
      <c r="B49" s="29" t="s">
        <v>36</v>
      </c>
      <c r="C49" s="29" t="s">
        <v>449</v>
      </c>
      <c r="D49" s="29" t="s">
        <v>450</v>
      </c>
      <c r="E49" s="29" t="s">
        <v>4</v>
      </c>
      <c r="F49" s="30">
        <v>315</v>
      </c>
      <c r="G49" s="30">
        <v>0</v>
      </c>
      <c r="H49" s="30">
        <f t="shared" si="0"/>
        <v>315</v>
      </c>
      <c r="I49" s="30" t="str">
        <f>IFERROR(_xlfn.XLOOKUP(A49,data!A:A,data!D:D)," ")</f>
        <v>Xơ sợi</v>
      </c>
      <c r="J49" s="30">
        <f>IFERROR(_xlfn.XLOOKUP(A49,data!A:A,data!E:E)," ")</f>
        <v>0</v>
      </c>
      <c r="K49" s="30">
        <v>0</v>
      </c>
      <c r="L49" s="32">
        <f t="shared" si="1"/>
        <v>0</v>
      </c>
      <c r="M49" s="29" t="str">
        <f>VLOOKUP(A49,'Trình bày'!B:B,1,0)</f>
        <v>110000382</v>
      </c>
      <c r="N49" s="32"/>
    </row>
    <row r="50" spans="1:14">
      <c r="A50" s="31" t="s">
        <v>150</v>
      </c>
      <c r="B50" s="29" t="s">
        <v>36</v>
      </c>
      <c r="C50" s="29" t="s">
        <v>451</v>
      </c>
      <c r="D50" s="29" t="s">
        <v>452</v>
      </c>
      <c r="E50" s="29" t="s">
        <v>4</v>
      </c>
      <c r="F50" s="30">
        <v>1050</v>
      </c>
      <c r="G50" s="30">
        <v>0</v>
      </c>
      <c r="H50" s="30">
        <f t="shared" si="0"/>
        <v>1050</v>
      </c>
      <c r="I50" s="30" t="str">
        <f>IFERROR(_xlfn.XLOOKUP(A50,data!A:A,data!D:D)," ")</f>
        <v>Xơ sợi</v>
      </c>
      <c r="J50" s="30">
        <f>IFERROR(_xlfn.XLOOKUP(A50,data!A:A,data!E:E)," ")</f>
        <v>0</v>
      </c>
      <c r="K50" s="30">
        <v>0</v>
      </c>
      <c r="L50" s="32">
        <f t="shared" si="1"/>
        <v>0</v>
      </c>
      <c r="M50" s="29" t="str">
        <f>VLOOKUP(A50,'Trình bày'!B:B,1,0)</f>
        <v>110000382</v>
      </c>
      <c r="N50" s="32"/>
    </row>
    <row r="51" spans="1:14" hidden="1">
      <c r="A51" s="31" t="s">
        <v>150</v>
      </c>
      <c r="B51" s="29" t="s">
        <v>36</v>
      </c>
      <c r="C51" s="29" t="s">
        <v>453</v>
      </c>
      <c r="D51" s="29" t="s">
        <v>454</v>
      </c>
      <c r="E51" s="29" t="s">
        <v>4</v>
      </c>
      <c r="F51" s="30">
        <v>3149.7</v>
      </c>
      <c r="G51" s="30">
        <v>0</v>
      </c>
      <c r="H51" s="30">
        <f t="shared" si="0"/>
        <v>3149.7</v>
      </c>
      <c r="I51" s="30" t="str">
        <f>IFERROR(_xlfn.XLOOKUP(A51,data!A:A,data!D:D)," ")</f>
        <v>Xơ sợi</v>
      </c>
      <c r="J51" s="30">
        <f>IFERROR(_xlfn.XLOOKUP(A51,data!A:A,data!E:E)," ")</f>
        <v>0</v>
      </c>
      <c r="K51" s="30">
        <v>0</v>
      </c>
      <c r="L51" s="32">
        <f t="shared" si="1"/>
        <v>0</v>
      </c>
      <c r="M51" s="29" t="str">
        <f>VLOOKUP(A51,'Trình bày'!B:B,1,0)</f>
        <v>110000382</v>
      </c>
      <c r="N51" s="32"/>
    </row>
    <row r="52" spans="1:14" hidden="1">
      <c r="A52" s="31" t="s">
        <v>151</v>
      </c>
      <c r="B52" s="29" t="s">
        <v>37</v>
      </c>
      <c r="C52" s="29" t="s">
        <v>453</v>
      </c>
      <c r="D52" s="29" t="s">
        <v>454</v>
      </c>
      <c r="E52" s="29" t="s">
        <v>4</v>
      </c>
      <c r="F52" s="30">
        <v>52800</v>
      </c>
      <c r="G52" s="30">
        <v>0</v>
      </c>
      <c r="H52" s="30">
        <f t="shared" si="0"/>
        <v>52800</v>
      </c>
      <c r="I52" s="30" t="str">
        <f>IFERROR(_xlfn.XLOOKUP(A52,data!A:A,data!D:D)," ")</f>
        <v>rPET</v>
      </c>
      <c r="J52" s="30">
        <f>IFERROR(_xlfn.XLOOKUP(A52,data!A:A,data!E:E)," ")</f>
        <v>0</v>
      </c>
      <c r="K52" s="30">
        <v>0</v>
      </c>
      <c r="L52" s="32">
        <f t="shared" si="1"/>
        <v>0</v>
      </c>
      <c r="M52" s="29" t="str">
        <f>VLOOKUP(A52,'Trình bày'!B:B,1,0)</f>
        <v>110000383</v>
      </c>
      <c r="N52" s="32"/>
    </row>
    <row r="53" spans="1:14" hidden="1">
      <c r="A53" s="31" t="s">
        <v>152</v>
      </c>
      <c r="B53" s="29" t="s">
        <v>38</v>
      </c>
      <c r="C53" s="29" t="s">
        <v>453</v>
      </c>
      <c r="D53" s="29" t="s">
        <v>454</v>
      </c>
      <c r="E53" s="29" t="s">
        <v>4</v>
      </c>
      <c r="F53" s="30">
        <v>171597.5</v>
      </c>
      <c r="G53" s="30">
        <v>0</v>
      </c>
      <c r="H53" s="30">
        <f t="shared" si="0"/>
        <v>171597.5</v>
      </c>
      <c r="I53" s="30" t="str">
        <f>IFERROR(_xlfn.XLOOKUP(A53,data!A:A,data!D:D)," ")</f>
        <v>Xơ sợi</v>
      </c>
      <c r="J53" s="30">
        <f>IFERROR(_xlfn.XLOOKUP(A53,data!A:A,data!E:E)," ")</f>
        <v>0</v>
      </c>
      <c r="K53" s="30">
        <v>0</v>
      </c>
      <c r="L53" s="32">
        <f t="shared" si="1"/>
        <v>0</v>
      </c>
      <c r="M53" s="29" t="str">
        <f>VLOOKUP(A53,'Trình bày'!B:B,1,0)</f>
        <v>110000384</v>
      </c>
      <c r="N53" s="32"/>
    </row>
    <row r="54" spans="1:14" hidden="1">
      <c r="A54" s="31" t="s">
        <v>153</v>
      </c>
      <c r="B54" s="29" t="s">
        <v>39</v>
      </c>
      <c r="C54" s="29" t="s">
        <v>453</v>
      </c>
      <c r="D54" s="29" t="s">
        <v>454</v>
      </c>
      <c r="E54" s="29" t="s">
        <v>4</v>
      </c>
      <c r="F54" s="30">
        <v>2750</v>
      </c>
      <c r="G54" s="30">
        <v>0</v>
      </c>
      <c r="H54" s="30">
        <f t="shared" si="0"/>
        <v>2750</v>
      </c>
      <c r="I54" s="30" t="str">
        <f>IFERROR(_xlfn.XLOOKUP(A54,data!A:A,data!D:D)," ")</f>
        <v>HD thổi</v>
      </c>
      <c r="J54" s="30" t="str">
        <f>IFERROR(_xlfn.XLOOKUP(A54,data!A:A,data!E:E)," ")</f>
        <v>Trong</v>
      </c>
      <c r="K54" s="30">
        <v>0</v>
      </c>
      <c r="L54" s="32">
        <f t="shared" si="1"/>
        <v>0</v>
      </c>
      <c r="M54" s="29" t="str">
        <f>VLOOKUP(A54,'Trình bày'!B:B,1,0)</f>
        <v>110000385</v>
      </c>
      <c r="N54" s="32"/>
    </row>
    <row r="55" spans="1:14" hidden="1">
      <c r="A55" s="31" t="s">
        <v>154</v>
      </c>
      <c r="B55" s="29" t="s">
        <v>40</v>
      </c>
      <c r="C55" s="29" t="s">
        <v>453</v>
      </c>
      <c r="D55" s="29" t="s">
        <v>454</v>
      </c>
      <c r="E55" s="29" t="s">
        <v>4</v>
      </c>
      <c r="F55" s="30">
        <v>13179.6</v>
      </c>
      <c r="G55" s="30">
        <v>0</v>
      </c>
      <c r="H55" s="30">
        <f t="shared" si="0"/>
        <v>13179.6</v>
      </c>
      <c r="I55" s="30" t="str">
        <f>IFERROR(_xlfn.XLOOKUP(A55,data!A:A,data!D:D)," ")</f>
        <v>Xơ sợi</v>
      </c>
      <c r="J55" s="30">
        <f>IFERROR(_xlfn.XLOOKUP(A55,data!A:A,data!E:E)," ")</f>
        <v>0</v>
      </c>
      <c r="K55" s="30">
        <v>0</v>
      </c>
      <c r="L55" s="32">
        <f t="shared" si="1"/>
        <v>0</v>
      </c>
      <c r="M55" s="29" t="str">
        <f>VLOOKUP(A55,'Trình bày'!B:B,1,0)</f>
        <v>110000387</v>
      </c>
      <c r="N55" s="32"/>
    </row>
    <row r="56" spans="1:14" hidden="1">
      <c r="A56" s="31" t="s">
        <v>155</v>
      </c>
      <c r="B56" s="29" t="s">
        <v>41</v>
      </c>
      <c r="C56" s="29" t="s">
        <v>459</v>
      </c>
      <c r="D56" s="29" t="s">
        <v>460</v>
      </c>
      <c r="E56" s="29" t="s">
        <v>4</v>
      </c>
      <c r="F56" s="30">
        <v>69</v>
      </c>
      <c r="G56" s="30">
        <v>0</v>
      </c>
      <c r="H56" s="30">
        <f t="shared" si="0"/>
        <v>69</v>
      </c>
      <c r="I56" s="30" t="str">
        <f>IFERROR(_xlfn.XLOOKUP(A56,data!A:A,data!D:D)," ")</f>
        <v>rPP</v>
      </c>
      <c r="J56" s="30" t="str">
        <f>IFERROR(_xlfn.XLOOKUP(A56,data!A:A,data!E:E)," ")</f>
        <v>Đỏ</v>
      </c>
      <c r="K56" s="30">
        <v>0</v>
      </c>
      <c r="L56" s="32">
        <f t="shared" si="1"/>
        <v>0</v>
      </c>
      <c r="M56" s="29" t="str">
        <f>VLOOKUP(A56,'Trình bày'!B:B,1,0)</f>
        <v>110000388</v>
      </c>
      <c r="N56" s="32"/>
    </row>
    <row r="57" spans="1:14" hidden="1">
      <c r="A57" s="31" t="s">
        <v>155</v>
      </c>
      <c r="B57" s="29" t="s">
        <v>41</v>
      </c>
      <c r="C57" s="29" t="s">
        <v>455</v>
      </c>
      <c r="D57" s="29" t="s">
        <v>456</v>
      </c>
      <c r="E57" s="29" t="s">
        <v>4</v>
      </c>
      <c r="F57" s="30">
        <v>1200</v>
      </c>
      <c r="G57" s="30">
        <v>0</v>
      </c>
      <c r="H57" s="30">
        <f t="shared" si="0"/>
        <v>1200</v>
      </c>
      <c r="I57" s="30" t="str">
        <f>IFERROR(_xlfn.XLOOKUP(A57,data!A:A,data!D:D)," ")</f>
        <v>rPP</v>
      </c>
      <c r="J57" s="30" t="str">
        <f>IFERROR(_xlfn.XLOOKUP(A57,data!A:A,data!E:E)," ")</f>
        <v>Đỏ</v>
      </c>
      <c r="K57" s="30">
        <v>0</v>
      </c>
      <c r="L57" s="32">
        <f t="shared" si="1"/>
        <v>0</v>
      </c>
      <c r="M57" s="29" t="str">
        <f>VLOOKUP(A57,'Trình bày'!B:B,1,0)</f>
        <v>110000388</v>
      </c>
      <c r="N57" s="32"/>
    </row>
    <row r="58" spans="1:14" hidden="1">
      <c r="A58" s="31" t="s">
        <v>155</v>
      </c>
      <c r="B58" s="29" t="s">
        <v>41</v>
      </c>
      <c r="C58" s="29" t="s">
        <v>453</v>
      </c>
      <c r="D58" s="29" t="s">
        <v>454</v>
      </c>
      <c r="E58" s="29" t="s">
        <v>4</v>
      </c>
      <c r="F58" s="30">
        <v>1375</v>
      </c>
      <c r="G58" s="30">
        <v>0</v>
      </c>
      <c r="H58" s="30">
        <f t="shared" si="0"/>
        <v>1375</v>
      </c>
      <c r="I58" s="30" t="str">
        <f>IFERROR(_xlfn.XLOOKUP(A58,data!A:A,data!D:D)," ")</f>
        <v>rPP</v>
      </c>
      <c r="J58" s="30" t="str">
        <f>IFERROR(_xlfn.XLOOKUP(A58,data!A:A,data!E:E)," ")</f>
        <v>Đỏ</v>
      </c>
      <c r="K58" s="30">
        <v>0</v>
      </c>
      <c r="L58" s="32">
        <f t="shared" si="1"/>
        <v>0</v>
      </c>
      <c r="M58" s="29" t="str">
        <f>VLOOKUP(A58,'Trình bày'!B:B,1,0)</f>
        <v>110000388</v>
      </c>
      <c r="N58" s="32"/>
    </row>
    <row r="59" spans="1:14" hidden="1">
      <c r="A59" s="31" t="s">
        <v>156</v>
      </c>
      <c r="B59" s="29" t="s">
        <v>42</v>
      </c>
      <c r="C59" s="29" t="s">
        <v>455</v>
      </c>
      <c r="D59" s="29" t="s">
        <v>456</v>
      </c>
      <c r="E59" s="29" t="s">
        <v>4</v>
      </c>
      <c r="F59" s="30">
        <v>325</v>
      </c>
      <c r="G59" s="30">
        <v>0</v>
      </c>
      <c r="H59" s="30">
        <f t="shared" si="0"/>
        <v>325</v>
      </c>
      <c r="I59" s="30" t="str">
        <f>IFERROR(_xlfn.XLOOKUP(A59,data!A:A,data!D:D)," ")</f>
        <v>rPP</v>
      </c>
      <c r="J59" s="30" t="str">
        <f>IFERROR(_xlfn.XLOOKUP(A59,data!A:A,data!E:E)," ")</f>
        <v>Đỏ</v>
      </c>
      <c r="K59" s="30">
        <v>0</v>
      </c>
      <c r="L59" s="32">
        <f t="shared" si="1"/>
        <v>0</v>
      </c>
      <c r="M59" s="29" t="str">
        <f>VLOOKUP(A59,'Trình bày'!B:B,1,0)</f>
        <v>110000389</v>
      </c>
      <c r="N59" s="32"/>
    </row>
    <row r="60" spans="1:14" hidden="1">
      <c r="A60" s="31" t="s">
        <v>156</v>
      </c>
      <c r="B60" s="29" t="s">
        <v>42</v>
      </c>
      <c r="C60" s="29" t="s">
        <v>453</v>
      </c>
      <c r="D60" s="29" t="s">
        <v>454</v>
      </c>
      <c r="E60" s="29" t="s">
        <v>4</v>
      </c>
      <c r="F60" s="30">
        <v>2656</v>
      </c>
      <c r="G60" s="30">
        <v>909</v>
      </c>
      <c r="H60" s="30">
        <f t="shared" si="0"/>
        <v>3565</v>
      </c>
      <c r="I60" s="30" t="str">
        <f>IFERROR(_xlfn.XLOOKUP(A60,data!A:A,data!D:D)," ")</f>
        <v>rPP</v>
      </c>
      <c r="J60" s="30" t="str">
        <f>IFERROR(_xlfn.XLOOKUP(A60,data!A:A,data!E:E)," ")</f>
        <v>Đỏ</v>
      </c>
      <c r="K60" s="30">
        <v>0</v>
      </c>
      <c r="L60" s="32">
        <f t="shared" si="1"/>
        <v>0</v>
      </c>
      <c r="M60" s="29" t="str">
        <f>VLOOKUP(A60,'Trình bày'!B:B,1,0)</f>
        <v>110000389</v>
      </c>
      <c r="N60" s="32"/>
    </row>
    <row r="61" spans="1:14" hidden="1">
      <c r="A61" s="31" t="s">
        <v>159</v>
      </c>
      <c r="B61" s="29" t="s">
        <v>45</v>
      </c>
      <c r="C61" s="29" t="s">
        <v>453</v>
      </c>
      <c r="D61" s="29" t="s">
        <v>454</v>
      </c>
      <c r="E61" s="29" t="s">
        <v>4</v>
      </c>
      <c r="F61" s="30">
        <v>27833</v>
      </c>
      <c r="G61" s="30">
        <v>0</v>
      </c>
      <c r="H61" s="30">
        <f t="shared" si="0"/>
        <v>27833</v>
      </c>
      <c r="I61" s="30" t="str">
        <f>IFERROR(_xlfn.XLOOKUP(A61,data!A:A,data!D:D)," ")</f>
        <v>rPP</v>
      </c>
      <c r="J61" s="30" t="str">
        <f>IFERROR(_xlfn.XLOOKUP(A61,data!A:A,data!E:E)," ")</f>
        <v>Đen</v>
      </c>
      <c r="K61" s="30">
        <v>0</v>
      </c>
      <c r="L61" s="32">
        <f t="shared" si="1"/>
        <v>0</v>
      </c>
      <c r="M61" s="29" t="str">
        <f>VLOOKUP(A61,'Trình bày'!B:B,1,0)</f>
        <v>110000392</v>
      </c>
      <c r="N61" s="32"/>
    </row>
    <row r="62" spans="1:14" hidden="1">
      <c r="A62" s="31" t="s">
        <v>160</v>
      </c>
      <c r="B62" s="29" t="s">
        <v>46</v>
      </c>
      <c r="C62" s="29" t="s">
        <v>453</v>
      </c>
      <c r="D62" s="29" t="s">
        <v>454</v>
      </c>
      <c r="E62" s="29" t="s">
        <v>4</v>
      </c>
      <c r="F62" s="30">
        <v>43838</v>
      </c>
      <c r="G62" s="30">
        <v>0</v>
      </c>
      <c r="H62" s="30">
        <f t="shared" si="0"/>
        <v>43838</v>
      </c>
      <c r="I62" s="30" t="str">
        <f>IFERROR(_xlfn.XLOOKUP(A62,data!A:A,data!D:D)," ")</f>
        <v>rPP</v>
      </c>
      <c r="J62" s="30" t="str">
        <f>IFERROR(_xlfn.XLOOKUP(A62,data!A:A,data!E:E)," ")</f>
        <v>Be</v>
      </c>
      <c r="K62" s="30">
        <v>0</v>
      </c>
      <c r="L62" s="32">
        <f t="shared" si="1"/>
        <v>0</v>
      </c>
      <c r="M62" s="29" t="str">
        <f>VLOOKUP(A62,'Trình bày'!B:B,1,0)</f>
        <v>110000393</v>
      </c>
      <c r="N62" s="32"/>
    </row>
    <row r="63" spans="1:14" hidden="1">
      <c r="A63" s="31" t="s">
        <v>161</v>
      </c>
      <c r="B63" s="29" t="s">
        <v>47</v>
      </c>
      <c r="C63" s="29" t="s">
        <v>453</v>
      </c>
      <c r="D63" s="29" t="s">
        <v>454</v>
      </c>
      <c r="E63" s="29" t="s">
        <v>4</v>
      </c>
      <c r="F63" s="30">
        <v>0</v>
      </c>
      <c r="G63" s="30">
        <v>1370</v>
      </c>
      <c r="H63" s="30">
        <f t="shared" si="0"/>
        <v>1370</v>
      </c>
      <c r="I63" s="30" t="str">
        <f>IFERROR(_xlfn.XLOOKUP(A63,data!A:A,data!D:D)," ")</f>
        <v>rPP</v>
      </c>
      <c r="J63" s="30" t="str">
        <f>IFERROR(_xlfn.XLOOKUP(A63,data!A:A,data!E:E)," ")</f>
        <v>Xám</v>
      </c>
      <c r="K63" s="30">
        <v>0</v>
      </c>
      <c r="L63" s="32">
        <f t="shared" si="1"/>
        <v>0</v>
      </c>
      <c r="M63" s="29" t="str">
        <f>VLOOKUP(A63,'Trình bày'!B:B,1,0)</f>
        <v>110000394</v>
      </c>
      <c r="N63" s="32"/>
    </row>
    <row r="64" spans="1:14" hidden="1">
      <c r="A64" s="31" t="s">
        <v>162</v>
      </c>
      <c r="B64" s="29" t="s">
        <v>48</v>
      </c>
      <c r="C64" s="29" t="s">
        <v>455</v>
      </c>
      <c r="D64" s="29" t="s">
        <v>456</v>
      </c>
      <c r="E64" s="29" t="s">
        <v>4</v>
      </c>
      <c r="F64" s="30">
        <v>340</v>
      </c>
      <c r="G64" s="30">
        <v>0</v>
      </c>
      <c r="H64" s="30">
        <f t="shared" si="0"/>
        <v>340</v>
      </c>
      <c r="I64" s="30" t="str">
        <f>IFERROR(_xlfn.XLOOKUP(A64,data!A:A,data!D:D)," ")</f>
        <v>Vảy HD ép</v>
      </c>
      <c r="J64" s="30" t="str">
        <f>IFERROR(_xlfn.XLOOKUP(A64,data!A:A,data!E:E)," ")</f>
        <v>Đỏ</v>
      </c>
      <c r="K64" s="30">
        <v>19750</v>
      </c>
      <c r="L64" s="32">
        <f t="shared" si="1"/>
        <v>19750</v>
      </c>
      <c r="M64" s="29" t="str">
        <f>VLOOKUP(A64,'Trình bày'!B:B,1,0)</f>
        <v>110000407</v>
      </c>
      <c r="N64" s="32"/>
    </row>
    <row r="65" spans="1:14" hidden="1">
      <c r="A65" s="31" t="s">
        <v>162</v>
      </c>
      <c r="B65" s="29" t="s">
        <v>48</v>
      </c>
      <c r="C65" s="29" t="s">
        <v>453</v>
      </c>
      <c r="D65" s="29" t="s">
        <v>454</v>
      </c>
      <c r="E65" s="29" t="s">
        <v>4</v>
      </c>
      <c r="F65" s="30">
        <v>47739</v>
      </c>
      <c r="G65" s="30">
        <v>40249</v>
      </c>
      <c r="H65" s="30">
        <f t="shared" si="0"/>
        <v>87988</v>
      </c>
      <c r="I65" s="30" t="str">
        <f>IFERROR(_xlfn.XLOOKUP(A65,data!A:A,data!D:D)," ")</f>
        <v>Vảy HD ép</v>
      </c>
      <c r="J65" s="30" t="str">
        <f>IFERROR(_xlfn.XLOOKUP(A65,data!A:A,data!E:E)," ")</f>
        <v>Đỏ</v>
      </c>
      <c r="K65" s="30">
        <v>19750</v>
      </c>
      <c r="L65" s="32">
        <f t="shared" si="1"/>
        <v>19750</v>
      </c>
      <c r="M65" s="29" t="str">
        <f>VLOOKUP(A65,'Trình bày'!B:B,1,0)</f>
        <v>110000407</v>
      </c>
      <c r="N65" s="32"/>
    </row>
    <row r="66" spans="1:14" hidden="1">
      <c r="A66" s="31" t="s">
        <v>163</v>
      </c>
      <c r="B66" s="29" t="s">
        <v>49</v>
      </c>
      <c r="C66" s="29" t="s">
        <v>455</v>
      </c>
      <c r="D66" s="29" t="s">
        <v>456</v>
      </c>
      <c r="E66" s="29" t="s">
        <v>4</v>
      </c>
      <c r="F66" s="30">
        <v>2834</v>
      </c>
      <c r="G66" s="30">
        <v>0</v>
      </c>
      <c r="H66" s="30">
        <f t="shared" si="0"/>
        <v>2834</v>
      </c>
      <c r="I66" s="30" t="str">
        <f>IFERROR(_xlfn.XLOOKUP(A66,data!A:A,data!D:D)," ")</f>
        <v>Vảy HD ép</v>
      </c>
      <c r="J66" s="30" t="str">
        <f>IFERROR(_xlfn.XLOOKUP(A66,data!A:A,data!E:E)," ")</f>
        <v>Trắng</v>
      </c>
      <c r="K66" s="30">
        <v>56500</v>
      </c>
      <c r="L66" s="32">
        <f t="shared" si="1"/>
        <v>56500</v>
      </c>
      <c r="M66" s="29" t="str">
        <f>VLOOKUP(A66,'Trình bày'!B:B,1,0)</f>
        <v>110000408</v>
      </c>
      <c r="N66" s="32"/>
    </row>
    <row r="67" spans="1:14" hidden="1">
      <c r="A67" s="31" t="s">
        <v>163</v>
      </c>
      <c r="B67" s="29" t="s">
        <v>49</v>
      </c>
      <c r="C67" s="29" t="s">
        <v>453</v>
      </c>
      <c r="D67" s="29" t="s">
        <v>454</v>
      </c>
      <c r="E67" s="29" t="s">
        <v>4</v>
      </c>
      <c r="F67" s="30">
        <v>65197.2</v>
      </c>
      <c r="G67" s="30">
        <v>40094</v>
      </c>
      <c r="H67" s="30">
        <f t="shared" si="0"/>
        <v>105291.2</v>
      </c>
      <c r="I67" s="30" t="str">
        <f>IFERROR(_xlfn.XLOOKUP(A67,data!A:A,data!D:D)," ")</f>
        <v>Vảy HD ép</v>
      </c>
      <c r="J67" s="30" t="str">
        <f>IFERROR(_xlfn.XLOOKUP(A67,data!A:A,data!E:E)," ")</f>
        <v>Trắng</v>
      </c>
      <c r="K67" s="30">
        <v>56500</v>
      </c>
      <c r="L67" s="32">
        <f t="shared" si="1"/>
        <v>56500</v>
      </c>
      <c r="M67" s="29" t="str">
        <f>VLOOKUP(A67,'Trình bày'!B:B,1,0)</f>
        <v>110000408</v>
      </c>
      <c r="N67" s="32"/>
    </row>
    <row r="68" spans="1:14" hidden="1">
      <c r="A68" s="31" t="s">
        <v>164</v>
      </c>
      <c r="B68" s="29" t="s">
        <v>50</v>
      </c>
      <c r="C68" s="29" t="s">
        <v>455</v>
      </c>
      <c r="D68" s="29" t="s">
        <v>456</v>
      </c>
      <c r="E68" s="29" t="s">
        <v>4</v>
      </c>
      <c r="F68" s="30">
        <v>502</v>
      </c>
      <c r="G68" s="30">
        <v>0</v>
      </c>
      <c r="H68" s="30">
        <f t="shared" ref="H68:H86" si="2">+F68+G68</f>
        <v>502</v>
      </c>
      <c r="I68" s="30" t="str">
        <f>IFERROR(_xlfn.XLOOKUP(A68,data!A:A,data!D:D)," ")</f>
        <v>Vảy HD ép</v>
      </c>
      <c r="J68" s="30" t="str">
        <f>IFERROR(_xlfn.XLOOKUP(A68,data!A:A,data!E:E)," ")</f>
        <v>Vàng</v>
      </c>
      <c r="K68" s="30">
        <v>0</v>
      </c>
      <c r="L68" s="32">
        <f t="shared" ref="L68:L131" si="3">IFERROR(K68/1,0)</f>
        <v>0</v>
      </c>
      <c r="M68" s="29" t="str">
        <f>VLOOKUP(A68,'Trình bày'!B:B,1,0)</f>
        <v>110000409</v>
      </c>
      <c r="N68" s="32"/>
    </row>
    <row r="69" spans="1:14" hidden="1">
      <c r="A69" s="31" t="s">
        <v>164</v>
      </c>
      <c r="B69" s="29" t="s">
        <v>50</v>
      </c>
      <c r="C69" s="29" t="s">
        <v>453</v>
      </c>
      <c r="D69" s="29" t="s">
        <v>454</v>
      </c>
      <c r="E69" s="29" t="s">
        <v>4</v>
      </c>
      <c r="F69" s="30">
        <v>23475</v>
      </c>
      <c r="G69" s="30">
        <v>27410</v>
      </c>
      <c r="H69" s="30">
        <f t="shared" si="2"/>
        <v>50885</v>
      </c>
      <c r="I69" s="30" t="str">
        <f>IFERROR(_xlfn.XLOOKUP(A69,data!A:A,data!D:D)," ")</f>
        <v>Vảy HD ép</v>
      </c>
      <c r="J69" s="30" t="str">
        <f>IFERROR(_xlfn.XLOOKUP(A69,data!A:A,data!E:E)," ")</f>
        <v>Vàng</v>
      </c>
      <c r="K69" s="30">
        <v>0</v>
      </c>
      <c r="L69" s="32">
        <f t="shared" si="3"/>
        <v>0</v>
      </c>
      <c r="M69" s="29" t="str">
        <f>VLOOKUP(A69,'Trình bày'!B:B,1,0)</f>
        <v>110000409</v>
      </c>
      <c r="N69" s="32"/>
    </row>
    <row r="70" spans="1:14" hidden="1">
      <c r="A70" s="31" t="s">
        <v>165</v>
      </c>
      <c r="B70" s="29" t="s">
        <v>51</v>
      </c>
      <c r="C70" s="29" t="s">
        <v>453</v>
      </c>
      <c r="D70" s="29" t="s">
        <v>454</v>
      </c>
      <c r="E70" s="29" t="s">
        <v>4</v>
      </c>
      <c r="F70" s="30">
        <v>9000</v>
      </c>
      <c r="G70" s="30">
        <v>18000</v>
      </c>
      <c r="H70" s="30">
        <f t="shared" si="2"/>
        <v>27000</v>
      </c>
      <c r="I70" s="30" t="str">
        <f>IFERROR(_xlfn.XLOOKUP(A70,data!A:A,data!D:D)," ")</f>
        <v>Vảy HD ép</v>
      </c>
      <c r="J70" s="30" t="str">
        <f>IFERROR(_xlfn.XLOOKUP(A70,data!A:A,data!E:E)," ")</f>
        <v>Lá</v>
      </c>
      <c r="K70" s="30">
        <v>0</v>
      </c>
      <c r="L70" s="32">
        <f t="shared" si="3"/>
        <v>0</v>
      </c>
      <c r="M70" s="29" t="str">
        <f>VLOOKUP(A70,'Trình bày'!B:B,1,0)</f>
        <v>110000410</v>
      </c>
      <c r="N70" s="32"/>
    </row>
    <row r="71" spans="1:14" hidden="1">
      <c r="A71" s="31" t="s">
        <v>166</v>
      </c>
      <c r="B71" s="29" t="s">
        <v>52</v>
      </c>
      <c r="C71" s="29" t="s">
        <v>455</v>
      </c>
      <c r="D71" s="29" t="s">
        <v>456</v>
      </c>
      <c r="E71" s="29" t="s">
        <v>4</v>
      </c>
      <c r="F71" s="30">
        <v>750</v>
      </c>
      <c r="G71" s="30">
        <v>0</v>
      </c>
      <c r="H71" s="30">
        <f t="shared" si="2"/>
        <v>750</v>
      </c>
      <c r="I71" s="30" t="str">
        <f>IFERROR(_xlfn.XLOOKUP(A71,data!A:A,data!D:D)," ")</f>
        <v>Vảy HD ép</v>
      </c>
      <c r="J71" s="30" t="str">
        <f>IFERROR(_xlfn.XLOOKUP(A71,data!A:A,data!E:E)," ")</f>
        <v>Dương</v>
      </c>
      <c r="K71" s="30">
        <v>0</v>
      </c>
      <c r="L71" s="32">
        <f t="shared" si="3"/>
        <v>0</v>
      </c>
      <c r="M71" s="29" t="str">
        <f>VLOOKUP(A71,'Trình bày'!B:B,1,0)</f>
        <v>110000411</v>
      </c>
      <c r="N71" s="32"/>
    </row>
    <row r="72" spans="1:14" hidden="1">
      <c r="A72" s="31" t="s">
        <v>166</v>
      </c>
      <c r="B72" s="33" t="s">
        <v>52</v>
      </c>
      <c r="C72" s="33" t="s">
        <v>453</v>
      </c>
      <c r="D72" s="33" t="s">
        <v>454</v>
      </c>
      <c r="E72" s="29" t="s">
        <v>4</v>
      </c>
      <c r="F72" s="30">
        <v>64425</v>
      </c>
      <c r="G72" s="30">
        <v>750</v>
      </c>
      <c r="H72" s="30">
        <f t="shared" si="2"/>
        <v>65175</v>
      </c>
      <c r="I72" s="30" t="str">
        <f>IFERROR(_xlfn.XLOOKUP(A72,data!A:A,data!D:D)," ")</f>
        <v>Vảy HD ép</v>
      </c>
      <c r="J72" s="30" t="str">
        <f>IFERROR(_xlfn.XLOOKUP(A72,data!A:A,data!E:E)," ")</f>
        <v>Dương</v>
      </c>
      <c r="K72" s="30">
        <v>0</v>
      </c>
      <c r="L72" s="32">
        <f t="shared" si="3"/>
        <v>0</v>
      </c>
      <c r="M72" s="29" t="str">
        <f>VLOOKUP(A72,'Trình bày'!B:B,1,0)</f>
        <v>110000411</v>
      </c>
      <c r="N72" s="32"/>
    </row>
    <row r="73" spans="1:14" hidden="1">
      <c r="A73" s="31" t="s">
        <v>167</v>
      </c>
      <c r="B73" s="29" t="s">
        <v>53</v>
      </c>
      <c r="C73" s="29" t="s">
        <v>455</v>
      </c>
      <c r="D73" s="29" t="s">
        <v>456</v>
      </c>
      <c r="E73" s="29" t="s">
        <v>4</v>
      </c>
      <c r="F73" s="30">
        <v>920</v>
      </c>
      <c r="G73" s="30">
        <v>0</v>
      </c>
      <c r="H73" s="30">
        <f t="shared" si="2"/>
        <v>920</v>
      </c>
      <c r="I73" s="30" t="str">
        <f>IFERROR(_xlfn.XLOOKUP(A73,data!A:A,data!D:D)," ")</f>
        <v>Vảy HD ép</v>
      </c>
      <c r="J73" s="30" t="str">
        <f>IFERROR(_xlfn.XLOOKUP(A73,data!A:A,data!E:E)," ")</f>
        <v>Đen</v>
      </c>
      <c r="K73" s="30">
        <v>2250</v>
      </c>
      <c r="L73" s="32">
        <f t="shared" si="3"/>
        <v>2250</v>
      </c>
      <c r="M73" s="29" t="str">
        <f>VLOOKUP(A73,'Trình bày'!B:B,1,0)</f>
        <v>110000412</v>
      </c>
      <c r="N73" s="32"/>
    </row>
    <row r="74" spans="1:14" hidden="1">
      <c r="A74" s="31" t="s">
        <v>167</v>
      </c>
      <c r="B74" s="29" t="s">
        <v>53</v>
      </c>
      <c r="C74" s="29" t="s">
        <v>453</v>
      </c>
      <c r="D74" s="29" t="s">
        <v>454</v>
      </c>
      <c r="E74" s="29" t="s">
        <v>4</v>
      </c>
      <c r="F74" s="30">
        <v>36752</v>
      </c>
      <c r="G74" s="30">
        <v>0</v>
      </c>
      <c r="H74" s="30">
        <f t="shared" si="2"/>
        <v>36752</v>
      </c>
      <c r="I74" s="30" t="str">
        <f>IFERROR(_xlfn.XLOOKUP(A74,data!A:A,data!D:D)," ")</f>
        <v>Vảy HD ép</v>
      </c>
      <c r="J74" s="30" t="str">
        <f>IFERROR(_xlfn.XLOOKUP(A74,data!A:A,data!E:E)," ")</f>
        <v>Đen</v>
      </c>
      <c r="K74" s="30">
        <v>2250</v>
      </c>
      <c r="L74" s="32">
        <f t="shared" si="3"/>
        <v>2250</v>
      </c>
      <c r="M74" s="29" t="str">
        <f>VLOOKUP(A74,'Trình bày'!B:B,1,0)</f>
        <v>110000412</v>
      </c>
      <c r="N74" s="32"/>
    </row>
    <row r="75" spans="1:14" hidden="1">
      <c r="A75" s="31" t="s">
        <v>168</v>
      </c>
      <c r="B75" s="29" t="s">
        <v>54</v>
      </c>
      <c r="C75" s="29" t="s">
        <v>453</v>
      </c>
      <c r="D75" s="29" t="s">
        <v>454</v>
      </c>
      <c r="E75" s="29" t="s">
        <v>4</v>
      </c>
      <c r="F75" s="30">
        <v>150249.5</v>
      </c>
      <c r="G75" s="30">
        <v>6925</v>
      </c>
      <c r="H75" s="30">
        <f t="shared" si="2"/>
        <v>157174.5</v>
      </c>
      <c r="I75" s="30" t="str">
        <f>IFERROR(_xlfn.XLOOKUP(A75,data!A:A,data!D:D)," ")</f>
        <v>Vảy HD ép</v>
      </c>
      <c r="J75" s="30" t="str">
        <f>IFERROR(_xlfn.XLOOKUP(A75,data!A:A,data!E:E)," ")</f>
        <v>Đồng</v>
      </c>
      <c r="K75" s="30">
        <v>0</v>
      </c>
      <c r="L75" s="32">
        <f t="shared" si="3"/>
        <v>0</v>
      </c>
      <c r="M75" s="29" t="str">
        <f>VLOOKUP(A75,'Trình bày'!B:B,1,0)</f>
        <v>110000413</v>
      </c>
      <c r="N75" s="32"/>
    </row>
    <row r="76" spans="1:14" hidden="1">
      <c r="A76" s="31" t="s">
        <v>169</v>
      </c>
      <c r="B76" s="29" t="s">
        <v>55</v>
      </c>
      <c r="C76" s="29" t="s">
        <v>455</v>
      </c>
      <c r="D76" s="29" t="s">
        <v>456</v>
      </c>
      <c r="E76" s="29" t="s">
        <v>4</v>
      </c>
      <c r="F76" s="30">
        <v>706.1</v>
      </c>
      <c r="G76" s="30">
        <v>0</v>
      </c>
      <c r="H76" s="30">
        <f t="shared" si="2"/>
        <v>706.1</v>
      </c>
      <c r="I76" s="30" t="str">
        <f>IFERROR(_xlfn.XLOOKUP(A76,data!A:A,data!D:D)," ")</f>
        <v>Vảy PP</v>
      </c>
      <c r="J76" s="30" t="str">
        <f>IFERROR(_xlfn.XLOOKUP(A76,data!A:A,data!E:E)," ")</f>
        <v>Đỏ</v>
      </c>
      <c r="K76" s="30">
        <v>11250</v>
      </c>
      <c r="L76" s="32">
        <f t="shared" si="3"/>
        <v>11250</v>
      </c>
      <c r="M76" s="29" t="str">
        <f>VLOOKUP(A76,'Trình bày'!B:B,1,0)</f>
        <v>110000421</v>
      </c>
      <c r="N76" s="32"/>
    </row>
    <row r="77" spans="1:14" hidden="1">
      <c r="A77" s="31" t="s">
        <v>169</v>
      </c>
      <c r="B77" s="29" t="s">
        <v>55</v>
      </c>
      <c r="C77" s="29" t="s">
        <v>453</v>
      </c>
      <c r="D77" s="29" t="s">
        <v>454</v>
      </c>
      <c r="E77" s="29" t="s">
        <v>4</v>
      </c>
      <c r="F77" s="30">
        <v>4494</v>
      </c>
      <c r="G77" s="30">
        <v>25500</v>
      </c>
      <c r="H77" s="30">
        <f t="shared" si="2"/>
        <v>29994</v>
      </c>
      <c r="I77" s="30" t="str">
        <f>IFERROR(_xlfn.XLOOKUP(A77,data!A:A,data!D:D)," ")</f>
        <v>Vảy PP</v>
      </c>
      <c r="J77" s="30" t="str">
        <f>IFERROR(_xlfn.XLOOKUP(A77,data!A:A,data!E:E)," ")</f>
        <v>Đỏ</v>
      </c>
      <c r="K77" s="30">
        <v>11250</v>
      </c>
      <c r="L77" s="32">
        <f t="shared" si="3"/>
        <v>11250</v>
      </c>
      <c r="M77" s="29" t="str">
        <f>VLOOKUP(A77,'Trình bày'!B:B,1,0)</f>
        <v>110000421</v>
      </c>
      <c r="N77" s="32"/>
    </row>
    <row r="78" spans="1:14" hidden="1">
      <c r="A78" s="31" t="s">
        <v>170</v>
      </c>
      <c r="B78" s="29" t="s">
        <v>56</v>
      </c>
      <c r="C78" s="29" t="s">
        <v>453</v>
      </c>
      <c r="D78" s="29" t="s">
        <v>454</v>
      </c>
      <c r="E78" s="29" t="s">
        <v>4</v>
      </c>
      <c r="F78" s="30">
        <v>2250</v>
      </c>
      <c r="G78" s="30">
        <v>0</v>
      </c>
      <c r="H78" s="30">
        <f t="shared" si="2"/>
        <v>2250</v>
      </c>
      <c r="I78" s="30" t="str">
        <f>IFERROR(_xlfn.XLOOKUP(A78,data!A:A,data!D:D)," ")</f>
        <v>Vảy PP</v>
      </c>
      <c r="J78" s="30" t="str">
        <f>IFERROR(_xlfn.XLOOKUP(A78,data!A:A,data!E:E)," ")</f>
        <v>Đỏ</v>
      </c>
      <c r="K78" s="30">
        <v>0</v>
      </c>
      <c r="L78" s="32">
        <f t="shared" si="3"/>
        <v>0</v>
      </c>
      <c r="M78" s="29" t="str">
        <f>VLOOKUP(A78,'Trình bày'!B:B,1,0)</f>
        <v>110000422</v>
      </c>
      <c r="N78" s="32"/>
    </row>
    <row r="79" spans="1:14" hidden="1">
      <c r="A79" s="31" t="s">
        <v>171</v>
      </c>
      <c r="B79" s="29" t="s">
        <v>57</v>
      </c>
      <c r="C79" s="29" t="s">
        <v>453</v>
      </c>
      <c r="D79" s="29" t="s">
        <v>454</v>
      </c>
      <c r="E79" s="29" t="s">
        <v>4</v>
      </c>
      <c r="F79" s="30">
        <v>114553</v>
      </c>
      <c r="G79" s="30">
        <v>5250</v>
      </c>
      <c r="H79" s="30">
        <f t="shared" si="2"/>
        <v>119803</v>
      </c>
      <c r="I79" s="30" t="str">
        <f>IFERROR(_xlfn.XLOOKUP(A79,data!A:A,data!D:D)," ")</f>
        <v>Vảy PP</v>
      </c>
      <c r="J79" s="30" t="str">
        <f>IFERROR(_xlfn.XLOOKUP(A79,data!A:A,data!E:E)," ")</f>
        <v>Dương</v>
      </c>
      <c r="K79" s="30">
        <v>0</v>
      </c>
      <c r="L79" s="32">
        <f t="shared" si="3"/>
        <v>0</v>
      </c>
      <c r="M79" s="29" t="str">
        <f>VLOOKUP(A79,'Trình bày'!B:B,1,0)</f>
        <v>110000423</v>
      </c>
      <c r="N79" s="32"/>
    </row>
    <row r="80" spans="1:14" hidden="1">
      <c r="A80" s="31" t="s">
        <v>424</v>
      </c>
      <c r="B80" s="29" t="s">
        <v>423</v>
      </c>
      <c r="C80" s="29" t="s">
        <v>453</v>
      </c>
      <c r="D80" s="29" t="s">
        <v>454</v>
      </c>
      <c r="E80" s="29" t="s">
        <v>4</v>
      </c>
      <c r="F80" s="30">
        <v>750</v>
      </c>
      <c r="G80" s="30">
        <v>0</v>
      </c>
      <c r="H80" s="30">
        <f t="shared" si="2"/>
        <v>750</v>
      </c>
      <c r="I80" s="30" t="str">
        <f>IFERROR(_xlfn.XLOOKUP(A80,data!A:A,data!D:D)," ")</f>
        <v>rPP</v>
      </c>
      <c r="J80" s="30" t="str">
        <f>IFERROR(_xlfn.XLOOKUP(A80,data!A:A,data!E:E)," ")</f>
        <v>Dương</v>
      </c>
      <c r="K80" s="30">
        <v>0</v>
      </c>
      <c r="L80" s="32">
        <f t="shared" si="3"/>
        <v>0</v>
      </c>
      <c r="M80" s="29" t="str">
        <f>VLOOKUP(A80,'Trình bày'!B:B,1,0)</f>
        <v>110000424</v>
      </c>
      <c r="N80" s="32"/>
    </row>
    <row r="81" spans="1:14" hidden="1">
      <c r="A81" s="31" t="s">
        <v>172</v>
      </c>
      <c r="B81" s="33" t="s">
        <v>58</v>
      </c>
      <c r="C81" s="33" t="s">
        <v>455</v>
      </c>
      <c r="D81" s="33" t="s">
        <v>456</v>
      </c>
      <c r="E81" s="29" t="s">
        <v>4</v>
      </c>
      <c r="F81" s="30">
        <v>3949</v>
      </c>
      <c r="G81" s="30">
        <v>0</v>
      </c>
      <c r="H81" s="30">
        <f t="shared" si="2"/>
        <v>3949</v>
      </c>
      <c r="I81" s="30" t="str">
        <f>IFERROR(_xlfn.XLOOKUP(A81,data!A:A,data!D:D)," ")</f>
        <v>HD thổi</v>
      </c>
      <c r="J81" s="30" t="str">
        <f>IFERROR(_xlfn.XLOOKUP(A81,data!A:A,data!E:E)," ")</f>
        <v>Trắng</v>
      </c>
      <c r="K81" s="30">
        <v>60500</v>
      </c>
      <c r="L81" s="32">
        <f t="shared" si="3"/>
        <v>60500</v>
      </c>
      <c r="M81" s="29" t="str">
        <f>VLOOKUP(A81,'Trình bày'!B:B,1,0)</f>
        <v>110000425</v>
      </c>
      <c r="N81" s="32"/>
    </row>
    <row r="82" spans="1:14" hidden="1">
      <c r="A82" s="31" t="s">
        <v>172</v>
      </c>
      <c r="B82" s="33" t="s">
        <v>58</v>
      </c>
      <c r="C82" s="33" t="s">
        <v>453</v>
      </c>
      <c r="D82" s="33" t="s">
        <v>454</v>
      </c>
      <c r="E82" s="29" t="s">
        <v>4</v>
      </c>
      <c r="F82" s="30">
        <v>67126.5</v>
      </c>
      <c r="G82" s="30">
        <v>22482</v>
      </c>
      <c r="H82" s="30">
        <f t="shared" si="2"/>
        <v>89608.5</v>
      </c>
      <c r="I82" s="30" t="str">
        <f>IFERROR(_xlfn.XLOOKUP(A82,data!A:A,data!D:D)," ")</f>
        <v>HD thổi</v>
      </c>
      <c r="J82" s="30" t="str">
        <f>IFERROR(_xlfn.XLOOKUP(A82,data!A:A,data!E:E)," ")</f>
        <v>Trắng</v>
      </c>
      <c r="K82" s="30">
        <v>60500</v>
      </c>
      <c r="L82" s="32">
        <f t="shared" si="3"/>
        <v>60500</v>
      </c>
      <c r="M82" s="29" t="str">
        <f>VLOOKUP(A82,'Trình bày'!B:B,1,0)</f>
        <v>110000425</v>
      </c>
      <c r="N82" s="32"/>
    </row>
    <row r="83" spans="1:14" hidden="1">
      <c r="A83" s="31" t="s">
        <v>173</v>
      </c>
      <c r="B83" s="29" t="s">
        <v>59</v>
      </c>
      <c r="C83" s="29" t="s">
        <v>455</v>
      </c>
      <c r="D83" s="29" t="s">
        <v>456</v>
      </c>
      <c r="E83" s="29" t="s">
        <v>4</v>
      </c>
      <c r="F83" s="30">
        <v>1703</v>
      </c>
      <c r="G83" s="30">
        <v>0</v>
      </c>
      <c r="H83" s="30">
        <f t="shared" si="2"/>
        <v>1703</v>
      </c>
      <c r="I83" s="30" t="str">
        <f>IFERROR(_xlfn.XLOOKUP(A83,data!A:A,data!D:D)," ")</f>
        <v>HD thổi</v>
      </c>
      <c r="J83" s="30" t="str">
        <f>IFERROR(_xlfn.XLOOKUP(A83,data!A:A,data!E:E)," ")</f>
        <v>Vàng</v>
      </c>
      <c r="K83" s="30">
        <v>0</v>
      </c>
      <c r="L83" s="32">
        <f t="shared" si="3"/>
        <v>0</v>
      </c>
      <c r="M83" s="29" t="str">
        <f>VLOOKUP(A83,'Trình bày'!B:B,1,0)</f>
        <v>110000426</v>
      </c>
      <c r="N83" s="32"/>
    </row>
    <row r="84" spans="1:14" hidden="1">
      <c r="A84" s="31" t="s">
        <v>173</v>
      </c>
      <c r="B84" s="29" t="s">
        <v>59</v>
      </c>
      <c r="C84" s="29" t="s">
        <v>453</v>
      </c>
      <c r="D84" s="29" t="s">
        <v>454</v>
      </c>
      <c r="E84" s="29" t="s">
        <v>4</v>
      </c>
      <c r="F84" s="30">
        <v>14950</v>
      </c>
      <c r="G84" s="30">
        <v>23894</v>
      </c>
      <c r="H84" s="30">
        <f t="shared" si="2"/>
        <v>38844</v>
      </c>
      <c r="I84" s="30" t="str">
        <f>IFERROR(_xlfn.XLOOKUP(A84,data!A:A,data!D:D)," ")</f>
        <v>HD thổi</v>
      </c>
      <c r="J84" s="30" t="str">
        <f>IFERROR(_xlfn.XLOOKUP(A84,data!A:A,data!E:E)," ")</f>
        <v>Vàng</v>
      </c>
      <c r="K84" s="30">
        <v>0</v>
      </c>
      <c r="L84" s="32">
        <f t="shared" si="3"/>
        <v>0</v>
      </c>
      <c r="M84" s="29" t="str">
        <f>VLOOKUP(A84,'Trình bày'!B:B,1,0)</f>
        <v>110000426</v>
      </c>
      <c r="N84" s="32"/>
    </row>
    <row r="85" spans="1:14" hidden="1">
      <c r="A85" s="31" t="s">
        <v>174</v>
      </c>
      <c r="B85" s="29" t="s">
        <v>60</v>
      </c>
      <c r="C85" s="29" t="s">
        <v>459</v>
      </c>
      <c r="D85" s="29" t="s">
        <v>460</v>
      </c>
      <c r="E85" s="29" t="s">
        <v>4</v>
      </c>
      <c r="F85" s="30">
        <v>625</v>
      </c>
      <c r="G85" s="30">
        <v>0</v>
      </c>
      <c r="H85" s="30">
        <f t="shared" si="2"/>
        <v>625</v>
      </c>
      <c r="I85" s="30" t="str">
        <f>IFERROR(_xlfn.XLOOKUP(A85,data!A:A,data!D:D)," ")</f>
        <v>HD thổi</v>
      </c>
      <c r="J85" s="30" t="str">
        <f>IFERROR(_xlfn.XLOOKUP(A85,data!A:A,data!E:E)," ")</f>
        <v>Lá</v>
      </c>
      <c r="K85" s="30">
        <v>0</v>
      </c>
      <c r="L85" s="32">
        <f t="shared" si="3"/>
        <v>0</v>
      </c>
      <c r="M85" s="29" t="str">
        <f>VLOOKUP(A85,'Trình bày'!B:B,1,0)</f>
        <v>110000427</v>
      </c>
      <c r="N85" s="32"/>
    </row>
    <row r="86" spans="1:14" hidden="1">
      <c r="A86" s="31" t="s">
        <v>174</v>
      </c>
      <c r="B86" s="29" t="s">
        <v>60</v>
      </c>
      <c r="C86" s="29" t="s">
        <v>453</v>
      </c>
      <c r="D86" s="29" t="s">
        <v>454</v>
      </c>
      <c r="E86" s="29" t="s">
        <v>4</v>
      </c>
      <c r="F86" s="30">
        <v>16475</v>
      </c>
      <c r="G86" s="30">
        <v>1674</v>
      </c>
      <c r="H86" s="30">
        <f t="shared" si="2"/>
        <v>18149</v>
      </c>
      <c r="I86" s="30" t="str">
        <f>IFERROR(_xlfn.XLOOKUP(A86,data!A:A,data!D:D)," ")</f>
        <v>HD thổi</v>
      </c>
      <c r="J86" s="30" t="str">
        <f>IFERROR(_xlfn.XLOOKUP(A86,data!A:A,data!E:E)," ")</f>
        <v>Lá</v>
      </c>
      <c r="K86" s="30">
        <v>0</v>
      </c>
      <c r="L86" s="32">
        <f t="shared" si="3"/>
        <v>0</v>
      </c>
      <c r="M86" s="29" t="str">
        <f>VLOOKUP(A86,'Trình bày'!B:B,1,0)</f>
        <v>110000427</v>
      </c>
      <c r="N86" s="32"/>
    </row>
    <row r="87" spans="1:14" hidden="1">
      <c r="A87" s="34" t="s">
        <v>175</v>
      </c>
      <c r="B87" s="35" t="s">
        <v>61</v>
      </c>
      <c r="C87" s="35" t="s">
        <v>479</v>
      </c>
      <c r="D87" s="35" t="s">
        <v>480</v>
      </c>
      <c r="E87" s="29" t="s">
        <v>4</v>
      </c>
      <c r="F87" s="30">
        <v>284680</v>
      </c>
      <c r="G87" s="30">
        <v>0</v>
      </c>
      <c r="H87" s="30">
        <f t="shared" ref="H87:H117" si="4">+F87+G87</f>
        <v>284680</v>
      </c>
      <c r="I87" s="30">
        <f>IFERROR(_xlfn.XLOOKUP(A87,data!A:A,data!D:D)," ")</f>
        <v>0</v>
      </c>
      <c r="J87" s="30">
        <f>IFERROR(_xlfn.XLOOKUP(A87,data!A:A,data!E:E)," ")</f>
        <v>0</v>
      </c>
      <c r="K87" s="30">
        <v>500</v>
      </c>
      <c r="L87" s="32">
        <f t="shared" si="3"/>
        <v>500</v>
      </c>
      <c r="M87" s="29" t="e">
        <f>VLOOKUP(A87,'Trình bày'!B:B,1,0)</f>
        <v>#N/A</v>
      </c>
    </row>
    <row r="88" spans="1:14" hidden="1">
      <c r="A88" s="29" t="s">
        <v>177</v>
      </c>
      <c r="B88" s="29" t="s">
        <v>63</v>
      </c>
      <c r="C88" s="29" t="s">
        <v>453</v>
      </c>
      <c r="D88" s="29" t="s">
        <v>454</v>
      </c>
      <c r="E88" s="29" t="s">
        <v>4</v>
      </c>
      <c r="F88" s="30">
        <v>37399</v>
      </c>
      <c r="G88" s="30">
        <v>0</v>
      </c>
      <c r="H88" s="30">
        <f t="shared" si="4"/>
        <v>37399</v>
      </c>
      <c r="I88" s="30" t="str">
        <f>IFERROR(_xlfn.XLOOKUP(A88,data!A:A,data!D:D)," ")</f>
        <v>rPET</v>
      </c>
      <c r="J88" s="30">
        <f>IFERROR(_xlfn.XLOOKUP(A88,data!A:A,data!E:E)," ")</f>
        <v>0</v>
      </c>
      <c r="K88" s="30">
        <v>0</v>
      </c>
      <c r="L88" s="32">
        <f t="shared" si="3"/>
        <v>0</v>
      </c>
      <c r="M88" s="29" t="str">
        <f>VLOOKUP(A88,'Trình bày'!B:B,1,0)</f>
        <v>110000430</v>
      </c>
    </row>
    <row r="89" spans="1:14" hidden="1">
      <c r="A89" s="29" t="s">
        <v>178</v>
      </c>
      <c r="B89" s="29" t="s">
        <v>64</v>
      </c>
      <c r="C89" s="29" t="s">
        <v>453</v>
      </c>
      <c r="D89" s="29" t="s">
        <v>454</v>
      </c>
      <c r="E89" s="29" t="s">
        <v>4</v>
      </c>
      <c r="F89" s="30">
        <v>1848</v>
      </c>
      <c r="G89" s="30">
        <v>1600</v>
      </c>
      <c r="H89" s="30">
        <f t="shared" si="4"/>
        <v>3448</v>
      </c>
      <c r="I89" s="30" t="str">
        <f>IFERROR(_xlfn.XLOOKUP(A89,data!A:A,data!D:D)," ")</f>
        <v>HD ép</v>
      </c>
      <c r="J89" s="30" t="str">
        <f>IFERROR(_xlfn.XLOOKUP(A89,data!A:A,data!E:E)," ")</f>
        <v>Xám</v>
      </c>
      <c r="K89" s="30">
        <v>11000</v>
      </c>
      <c r="L89" s="32">
        <f t="shared" si="3"/>
        <v>11000</v>
      </c>
      <c r="M89" s="29" t="str">
        <f>VLOOKUP(A89,'Trình bày'!B:B,1,0)</f>
        <v>110000431</v>
      </c>
    </row>
    <row r="90" spans="1:14" hidden="1">
      <c r="A90" s="29" t="s">
        <v>181</v>
      </c>
      <c r="B90" s="29" t="s">
        <v>67</v>
      </c>
      <c r="C90" s="29" t="s">
        <v>455</v>
      </c>
      <c r="D90" s="29" t="s">
        <v>456</v>
      </c>
      <c r="E90" s="29" t="s">
        <v>4</v>
      </c>
      <c r="F90" s="30">
        <v>0</v>
      </c>
      <c r="G90" s="30">
        <v>500</v>
      </c>
      <c r="H90" s="30">
        <f t="shared" si="4"/>
        <v>500</v>
      </c>
      <c r="I90" s="30" t="str">
        <f>IFERROR(_xlfn.XLOOKUP(A90,data!A:A,data!D:D)," ")</f>
        <v>rPP</v>
      </c>
      <c r="J90" s="30" t="str">
        <f>IFERROR(_xlfn.XLOOKUP(A90,data!A:A,data!E:E)," ")</f>
        <v>Dương</v>
      </c>
      <c r="K90" s="30">
        <v>0</v>
      </c>
      <c r="L90" s="32">
        <f t="shared" si="3"/>
        <v>0</v>
      </c>
      <c r="M90" s="29" t="str">
        <f>VLOOKUP(A90,'Trình bày'!B:B,1,0)</f>
        <v>110000435</v>
      </c>
    </row>
    <row r="91" spans="1:14" hidden="1">
      <c r="A91" s="31" t="s">
        <v>181</v>
      </c>
      <c r="B91" s="29" t="s">
        <v>67</v>
      </c>
      <c r="C91" s="29" t="s">
        <v>453</v>
      </c>
      <c r="D91" s="29" t="s">
        <v>454</v>
      </c>
      <c r="E91" s="29" t="s">
        <v>4</v>
      </c>
      <c r="F91" s="30">
        <v>73</v>
      </c>
      <c r="G91" s="30">
        <v>1192</v>
      </c>
      <c r="H91" s="30">
        <f t="shared" si="4"/>
        <v>1265</v>
      </c>
      <c r="I91" s="30" t="str">
        <f>IFERROR(_xlfn.XLOOKUP(A91,data!A:A,data!D:D)," ")</f>
        <v>rPP</v>
      </c>
      <c r="J91" s="30" t="str">
        <f>IFERROR(_xlfn.XLOOKUP(A91,data!A:A,data!E:E)," ")</f>
        <v>Dương</v>
      </c>
      <c r="K91" s="30">
        <v>0</v>
      </c>
      <c r="L91" s="32">
        <f t="shared" si="3"/>
        <v>0</v>
      </c>
      <c r="M91" s="29" t="str">
        <f>VLOOKUP(A91,'Trình bày'!B:B,1,0)</f>
        <v>110000435</v>
      </c>
      <c r="N91" s="32"/>
    </row>
    <row r="92" spans="1:14" hidden="1">
      <c r="A92" s="31" t="s">
        <v>182</v>
      </c>
      <c r="B92" s="29" t="s">
        <v>68</v>
      </c>
      <c r="C92" s="29" t="s">
        <v>449</v>
      </c>
      <c r="D92" s="29" t="s">
        <v>450</v>
      </c>
      <c r="E92" s="29" t="s">
        <v>4</v>
      </c>
      <c r="F92" s="30">
        <v>1507</v>
      </c>
      <c r="G92" s="30">
        <v>0</v>
      </c>
      <c r="H92" s="30">
        <f t="shared" si="4"/>
        <v>1507</v>
      </c>
      <c r="I92" s="30" t="str">
        <f>IFERROR(_xlfn.XLOOKUP(A92,data!A:A,data!D:D)," ")</f>
        <v>Xơ sợi</v>
      </c>
      <c r="J92" s="30">
        <f>IFERROR(_xlfn.XLOOKUP(A92,data!A:A,data!E:E)," ")</f>
        <v>0</v>
      </c>
      <c r="K92" s="30">
        <v>23100</v>
      </c>
      <c r="L92" s="32">
        <f t="shared" si="3"/>
        <v>23100</v>
      </c>
      <c r="M92" s="29" t="str">
        <f>VLOOKUP(A92,'Trình bày'!B:B,1,0)</f>
        <v>110000436</v>
      </c>
      <c r="N92" s="32"/>
    </row>
    <row r="93" spans="1:14">
      <c r="A93" s="29" t="s">
        <v>182</v>
      </c>
      <c r="B93" s="29" t="s">
        <v>68</v>
      </c>
      <c r="C93" s="29" t="s">
        <v>451</v>
      </c>
      <c r="D93" s="29" t="s">
        <v>452</v>
      </c>
      <c r="E93" s="29" t="s">
        <v>4</v>
      </c>
      <c r="F93" s="30">
        <v>6516.5</v>
      </c>
      <c r="G93" s="30">
        <v>3175</v>
      </c>
      <c r="H93" s="30">
        <f t="shared" si="4"/>
        <v>9691.5</v>
      </c>
      <c r="I93" s="30" t="str">
        <f>IFERROR(_xlfn.XLOOKUP(A93,data!A:A,data!D:D)," ")</f>
        <v>Xơ sợi</v>
      </c>
      <c r="J93" s="30">
        <f>IFERROR(_xlfn.XLOOKUP(A93,data!A:A,data!E:E)," ")</f>
        <v>0</v>
      </c>
      <c r="K93" s="30">
        <v>23100</v>
      </c>
      <c r="L93" s="32">
        <f t="shared" si="3"/>
        <v>23100</v>
      </c>
      <c r="M93" s="29" t="str">
        <f>VLOOKUP(A93,'Trình bày'!B:B,1,0)</f>
        <v>110000436</v>
      </c>
      <c r="N93" s="32"/>
    </row>
    <row r="94" spans="1:14" hidden="1">
      <c r="A94" s="34" t="s">
        <v>182</v>
      </c>
      <c r="B94" s="35" t="s">
        <v>68</v>
      </c>
      <c r="C94" s="35" t="s">
        <v>453</v>
      </c>
      <c r="D94" s="35" t="s">
        <v>454</v>
      </c>
      <c r="E94" s="29" t="s">
        <v>4</v>
      </c>
      <c r="F94" s="30">
        <v>559037.19999999995</v>
      </c>
      <c r="G94" s="30">
        <v>0</v>
      </c>
      <c r="H94" s="30">
        <f t="shared" si="4"/>
        <v>559037.19999999995</v>
      </c>
      <c r="I94" s="30" t="str">
        <f>IFERROR(_xlfn.XLOOKUP(A94,data!A:A,data!D:D)," ")</f>
        <v>Xơ sợi</v>
      </c>
      <c r="J94" s="30">
        <f>IFERROR(_xlfn.XLOOKUP(A94,data!A:A,data!E:E)," ")</f>
        <v>0</v>
      </c>
      <c r="K94" s="30">
        <v>23100</v>
      </c>
      <c r="L94" s="32">
        <f t="shared" si="3"/>
        <v>23100</v>
      </c>
      <c r="M94" s="29" t="str">
        <f>VLOOKUP(A94,'Trình bày'!B:B,1,0)</f>
        <v>110000436</v>
      </c>
    </row>
    <row r="95" spans="1:14" hidden="1">
      <c r="A95" s="29" t="s">
        <v>182</v>
      </c>
      <c r="B95" s="29" t="s">
        <v>68</v>
      </c>
      <c r="C95" s="29" t="s">
        <v>457</v>
      </c>
      <c r="D95" s="29" t="s">
        <v>458</v>
      </c>
      <c r="E95" s="29" t="s">
        <v>4</v>
      </c>
      <c r="F95" s="30">
        <v>100</v>
      </c>
      <c r="G95" s="30">
        <v>0</v>
      </c>
      <c r="H95" s="30">
        <f t="shared" si="4"/>
        <v>100</v>
      </c>
      <c r="I95" s="30" t="str">
        <f>IFERROR(_xlfn.XLOOKUP(A95,data!A:A,data!D:D)," ")</f>
        <v>Xơ sợi</v>
      </c>
      <c r="J95" s="30">
        <f>IFERROR(_xlfn.XLOOKUP(A95,data!A:A,data!E:E)," ")</f>
        <v>0</v>
      </c>
      <c r="K95" s="30">
        <v>23100</v>
      </c>
      <c r="L95" s="32">
        <f t="shared" si="3"/>
        <v>23100</v>
      </c>
      <c r="M95" s="29" t="str">
        <f>VLOOKUP(A95,'Trình bày'!B:B,1,0)</f>
        <v>110000436</v>
      </c>
    </row>
    <row r="96" spans="1:14" hidden="1">
      <c r="A96" s="29" t="s">
        <v>183</v>
      </c>
      <c r="B96" s="29" t="s">
        <v>69</v>
      </c>
      <c r="C96" s="29" t="s">
        <v>453</v>
      </c>
      <c r="D96" s="29" t="s">
        <v>454</v>
      </c>
      <c r="E96" s="29" t="s">
        <v>4</v>
      </c>
      <c r="F96" s="30">
        <v>0</v>
      </c>
      <c r="G96" s="30">
        <v>5250</v>
      </c>
      <c r="H96" s="30">
        <f t="shared" si="4"/>
        <v>5250</v>
      </c>
      <c r="I96" s="30" t="str">
        <f>IFERROR(_xlfn.XLOOKUP(A96,data!A:A,data!D:D)," ")</f>
        <v>Vảy PP</v>
      </c>
      <c r="J96" s="30" t="str">
        <f>IFERROR(_xlfn.XLOOKUP(A96,data!A:A,data!E:E)," ")</f>
        <v>Trắng</v>
      </c>
      <c r="K96" s="30">
        <v>0</v>
      </c>
      <c r="L96" s="32">
        <f t="shared" si="3"/>
        <v>0</v>
      </c>
      <c r="M96" s="29" t="str">
        <f>VLOOKUP(A96,'Trình bày'!B:B,1,0)</f>
        <v>110000439</v>
      </c>
    </row>
    <row r="97" spans="1:14" hidden="1">
      <c r="A97" s="29" t="s">
        <v>185</v>
      </c>
      <c r="B97" s="29" t="s">
        <v>71</v>
      </c>
      <c r="C97" s="29" t="s">
        <v>455</v>
      </c>
      <c r="D97" s="29" t="s">
        <v>456</v>
      </c>
      <c r="E97" s="29" t="s">
        <v>4</v>
      </c>
      <c r="F97" s="30">
        <v>915.6</v>
      </c>
      <c r="G97" s="30">
        <v>0</v>
      </c>
      <c r="H97" s="30">
        <f t="shared" si="4"/>
        <v>915.6</v>
      </c>
      <c r="I97" s="30" t="str">
        <f>IFERROR(_xlfn.XLOOKUP(A97,data!A:A,data!D:D)," ")</f>
        <v>rPP</v>
      </c>
      <c r="J97" s="30">
        <f>IFERROR(_xlfn.XLOOKUP(A97,data!A:A,data!E:E)," ")</f>
        <v>0</v>
      </c>
      <c r="K97" s="30">
        <v>0</v>
      </c>
      <c r="L97" s="32">
        <f t="shared" si="3"/>
        <v>0</v>
      </c>
      <c r="M97" s="29" t="str">
        <f>VLOOKUP(A97,'Trình bày'!B:B,1,0)</f>
        <v>110000441</v>
      </c>
    </row>
    <row r="98" spans="1:14" hidden="1">
      <c r="A98" s="29" t="s">
        <v>185</v>
      </c>
      <c r="B98" s="29" t="s">
        <v>71</v>
      </c>
      <c r="C98" s="29" t="s">
        <v>453</v>
      </c>
      <c r="D98" s="29" t="s">
        <v>454</v>
      </c>
      <c r="E98" s="29" t="s">
        <v>4</v>
      </c>
      <c r="F98" s="30">
        <v>1475</v>
      </c>
      <c r="G98" s="30">
        <v>2725</v>
      </c>
      <c r="H98" s="30">
        <f t="shared" si="4"/>
        <v>4200</v>
      </c>
      <c r="I98" s="30" t="str">
        <f>IFERROR(_xlfn.XLOOKUP(A98,data!A:A,data!D:D)," ")</f>
        <v>rPP</v>
      </c>
      <c r="J98" s="30">
        <f>IFERROR(_xlfn.XLOOKUP(A98,data!A:A,data!E:E)," ")</f>
        <v>0</v>
      </c>
      <c r="K98" s="30">
        <v>0</v>
      </c>
      <c r="L98" s="32">
        <f t="shared" si="3"/>
        <v>0</v>
      </c>
      <c r="M98" s="29" t="str">
        <f>VLOOKUP(A98,'Trình bày'!B:B,1,0)</f>
        <v>110000441</v>
      </c>
    </row>
    <row r="99" spans="1:14" hidden="1">
      <c r="A99" s="29" t="s">
        <v>581</v>
      </c>
      <c r="B99" s="29" t="s">
        <v>520</v>
      </c>
      <c r="C99" s="29" t="s">
        <v>455</v>
      </c>
      <c r="D99" s="29" t="s">
        <v>456</v>
      </c>
      <c r="E99" s="29" t="s">
        <v>4</v>
      </c>
      <c r="F99" s="30">
        <v>450</v>
      </c>
      <c r="G99" s="30">
        <v>0</v>
      </c>
      <c r="H99" s="30">
        <f t="shared" si="4"/>
        <v>450</v>
      </c>
      <c r="I99" s="30" t="str">
        <f>IFERROR(_xlfn.XLOOKUP(A99,data!A:A,data!D:D)," ")</f>
        <v xml:space="preserve"> </v>
      </c>
      <c r="J99" s="30" t="str">
        <f>IFERROR(_xlfn.XLOOKUP(A99,data!A:A,data!E:E)," ")</f>
        <v xml:space="preserve"> </v>
      </c>
      <c r="K99" s="30">
        <v>0</v>
      </c>
      <c r="L99" s="32">
        <f t="shared" si="3"/>
        <v>0</v>
      </c>
      <c r="M99" s="29" t="e">
        <f>VLOOKUP(A99,'Trình bày'!B:B,1,0)</f>
        <v>#N/A</v>
      </c>
    </row>
    <row r="100" spans="1:14" hidden="1">
      <c r="A100" s="29" t="s">
        <v>280</v>
      </c>
      <c r="B100" s="29" t="s">
        <v>281</v>
      </c>
      <c r="C100" s="29" t="s">
        <v>453</v>
      </c>
      <c r="D100" s="29" t="s">
        <v>454</v>
      </c>
      <c r="E100" s="29" t="s">
        <v>4</v>
      </c>
      <c r="F100" s="30">
        <v>1749</v>
      </c>
      <c r="G100" s="30">
        <v>0</v>
      </c>
      <c r="H100" s="30">
        <f t="shared" si="4"/>
        <v>1749</v>
      </c>
      <c r="I100" s="30" t="str">
        <f>IFERROR(_xlfn.XLOOKUP(A100,data!A:A,data!D:D)," ")</f>
        <v>HD thổi</v>
      </c>
      <c r="J100" s="30" t="str">
        <f>IFERROR(_xlfn.XLOOKUP(A100,data!A:A,data!E:E)," ")</f>
        <v>Trong</v>
      </c>
      <c r="K100" s="30">
        <v>0</v>
      </c>
      <c r="L100" s="32">
        <f t="shared" si="3"/>
        <v>0</v>
      </c>
      <c r="M100" s="29" t="str">
        <f>VLOOKUP(A100,'Trình bày'!B:B,1,0)</f>
        <v>110000443</v>
      </c>
    </row>
    <row r="101" spans="1:14" hidden="1">
      <c r="A101" s="29" t="s">
        <v>186</v>
      </c>
      <c r="B101" s="29" t="s">
        <v>72</v>
      </c>
      <c r="C101" s="29" t="s">
        <v>453</v>
      </c>
      <c r="D101" s="29" t="s">
        <v>454</v>
      </c>
      <c r="E101" s="29" t="s">
        <v>4</v>
      </c>
      <c r="F101" s="30">
        <v>0</v>
      </c>
      <c r="G101" s="30">
        <v>18243</v>
      </c>
      <c r="H101" s="30">
        <f t="shared" si="4"/>
        <v>18243</v>
      </c>
      <c r="I101" s="30">
        <f>IFERROR(_xlfn.XLOOKUP(A101,data!A:A,data!D:D)," ")</f>
        <v>0</v>
      </c>
      <c r="J101" s="30">
        <f>IFERROR(_xlfn.XLOOKUP(A101,data!A:A,data!E:E)," ")</f>
        <v>0</v>
      </c>
      <c r="K101" s="30">
        <v>0</v>
      </c>
      <c r="L101" s="32">
        <f t="shared" si="3"/>
        <v>0</v>
      </c>
      <c r="M101" s="29" t="e">
        <f>VLOOKUP(A101,'Trình bày'!B:B,1,0)</f>
        <v>#N/A</v>
      </c>
    </row>
    <row r="102" spans="1:14" hidden="1">
      <c r="A102" s="31" t="s">
        <v>188</v>
      </c>
      <c r="B102" s="29" t="s">
        <v>74</v>
      </c>
      <c r="C102" s="29" t="s">
        <v>453</v>
      </c>
      <c r="D102" s="29" t="s">
        <v>454</v>
      </c>
      <c r="E102" s="29" t="s">
        <v>4</v>
      </c>
      <c r="F102" s="30">
        <v>0</v>
      </c>
      <c r="G102" s="30">
        <v>760</v>
      </c>
      <c r="H102" s="30">
        <f t="shared" si="4"/>
        <v>760</v>
      </c>
      <c r="I102" s="30">
        <f>IFERROR(_xlfn.XLOOKUP(A102,data!A:A,data!D:D)," ")</f>
        <v>0</v>
      </c>
      <c r="J102" s="30">
        <f>IFERROR(_xlfn.XLOOKUP(A102,data!A:A,data!E:E)," ")</f>
        <v>0</v>
      </c>
      <c r="K102" s="30">
        <v>0</v>
      </c>
      <c r="L102" s="32">
        <f t="shared" si="3"/>
        <v>0</v>
      </c>
      <c r="M102" s="29" t="e">
        <f>VLOOKUP(A102,'Trình bày'!B:B,1,0)</f>
        <v>#N/A</v>
      </c>
      <c r="N102" s="32"/>
    </row>
    <row r="103" spans="1:14" hidden="1">
      <c r="A103" s="31" t="s">
        <v>191</v>
      </c>
      <c r="B103" s="29" t="s">
        <v>77</v>
      </c>
      <c r="C103" s="29" t="s">
        <v>453</v>
      </c>
      <c r="D103" s="29" t="s">
        <v>454</v>
      </c>
      <c r="E103" s="29" t="s">
        <v>4</v>
      </c>
      <c r="F103" s="30">
        <v>0</v>
      </c>
      <c r="G103" s="30">
        <v>943</v>
      </c>
      <c r="H103" s="30">
        <f t="shared" si="4"/>
        <v>943</v>
      </c>
      <c r="I103" s="30">
        <f>IFERROR(_xlfn.XLOOKUP(A103,data!A:A,data!D:D)," ")</f>
        <v>0</v>
      </c>
      <c r="J103" s="30">
        <f>IFERROR(_xlfn.XLOOKUP(A103,data!A:A,data!E:E)," ")</f>
        <v>0</v>
      </c>
      <c r="K103" s="30">
        <v>0</v>
      </c>
      <c r="L103" s="32">
        <f t="shared" si="3"/>
        <v>0</v>
      </c>
      <c r="M103" s="29" t="e">
        <f>VLOOKUP(A103,'Trình bày'!B:B,1,0)</f>
        <v>#N/A</v>
      </c>
      <c r="N103" s="32"/>
    </row>
    <row r="104" spans="1:14" hidden="1">
      <c r="A104" s="31" t="s">
        <v>196</v>
      </c>
      <c r="B104" s="29" t="s">
        <v>82</v>
      </c>
      <c r="C104" s="29" t="s">
        <v>453</v>
      </c>
      <c r="D104" s="29" t="s">
        <v>454</v>
      </c>
      <c r="E104" s="29" t="s">
        <v>4</v>
      </c>
      <c r="F104" s="30">
        <v>0</v>
      </c>
      <c r="G104" s="30">
        <v>1223</v>
      </c>
      <c r="H104" s="30">
        <f t="shared" si="4"/>
        <v>1223</v>
      </c>
      <c r="I104" s="30">
        <f>IFERROR(_xlfn.XLOOKUP(A104,data!A:A,data!D:D)," ")</f>
        <v>0</v>
      </c>
      <c r="J104" s="30">
        <f>IFERROR(_xlfn.XLOOKUP(A104,data!A:A,data!E:E)," ")</f>
        <v>0</v>
      </c>
      <c r="K104" s="30">
        <v>0</v>
      </c>
      <c r="L104" s="32">
        <f t="shared" si="3"/>
        <v>0</v>
      </c>
      <c r="M104" s="29" t="e">
        <f>VLOOKUP(A104,'Trình bày'!B:B,1,0)</f>
        <v>#N/A</v>
      </c>
      <c r="N104" s="32"/>
    </row>
    <row r="105" spans="1:14">
      <c r="A105" s="31" t="s">
        <v>200</v>
      </c>
      <c r="B105" s="29" t="s">
        <v>86</v>
      </c>
      <c r="C105" s="29" t="s">
        <v>451</v>
      </c>
      <c r="D105" s="29" t="s">
        <v>452</v>
      </c>
      <c r="E105" s="29" t="s">
        <v>4</v>
      </c>
      <c r="F105" s="30">
        <v>9450</v>
      </c>
      <c r="G105" s="30">
        <v>0</v>
      </c>
      <c r="H105" s="30">
        <f t="shared" si="4"/>
        <v>9450</v>
      </c>
      <c r="I105" s="30" t="str">
        <f>IFERROR(_xlfn.XLOOKUP(A105,data!A:A,data!D:D)," ")</f>
        <v>Xơ sợi</v>
      </c>
      <c r="J105" s="30">
        <f>IFERROR(_xlfn.XLOOKUP(A105,data!A:A,data!E:E)," ")</f>
        <v>0</v>
      </c>
      <c r="K105" s="30">
        <v>0</v>
      </c>
      <c r="L105" s="32">
        <f t="shared" si="3"/>
        <v>0</v>
      </c>
      <c r="M105" s="29" t="str">
        <f>VLOOKUP(A105,'Trình bày'!B:B,1,0)</f>
        <v>110000464</v>
      </c>
      <c r="N105" s="32"/>
    </row>
    <row r="106" spans="1:14" hidden="1">
      <c r="A106" s="31" t="s">
        <v>200</v>
      </c>
      <c r="B106" s="29" t="s">
        <v>86</v>
      </c>
      <c r="C106" s="29" t="s">
        <v>453</v>
      </c>
      <c r="D106" s="29" t="s">
        <v>454</v>
      </c>
      <c r="E106" s="29" t="s">
        <v>4</v>
      </c>
      <c r="F106" s="30">
        <v>81143</v>
      </c>
      <c r="G106" s="30">
        <v>0</v>
      </c>
      <c r="H106" s="30">
        <f t="shared" si="4"/>
        <v>81143</v>
      </c>
      <c r="I106" s="30" t="str">
        <f>IFERROR(_xlfn.XLOOKUP(A106,data!A:A,data!D:D)," ")</f>
        <v>Xơ sợi</v>
      </c>
      <c r="J106" s="30">
        <f>IFERROR(_xlfn.XLOOKUP(A106,data!A:A,data!E:E)," ")</f>
        <v>0</v>
      </c>
      <c r="K106" s="30">
        <v>0</v>
      </c>
      <c r="L106" s="32">
        <f t="shared" si="3"/>
        <v>0</v>
      </c>
      <c r="M106" s="29" t="str">
        <f>VLOOKUP(A106,'Trình bày'!B:B,1,0)</f>
        <v>110000464</v>
      </c>
      <c r="N106" s="32"/>
    </row>
    <row r="107" spans="1:14" hidden="1">
      <c r="A107" s="29" t="s">
        <v>201</v>
      </c>
      <c r="B107" s="29" t="s">
        <v>87</v>
      </c>
      <c r="C107" s="29" t="s">
        <v>453</v>
      </c>
      <c r="D107" s="29" t="s">
        <v>454</v>
      </c>
      <c r="E107" s="29" t="s">
        <v>4</v>
      </c>
      <c r="F107" s="30">
        <v>16099</v>
      </c>
      <c r="G107" s="30">
        <v>0</v>
      </c>
      <c r="H107" s="30">
        <f t="shared" si="4"/>
        <v>16099</v>
      </c>
      <c r="I107" s="30" t="str">
        <f>IFERROR(_xlfn.XLOOKUP(A107,data!A:A,data!D:D)," ")</f>
        <v>Xơ sợi</v>
      </c>
      <c r="J107" s="30">
        <f>IFERROR(_xlfn.XLOOKUP(A107,data!A:A,data!E:E)," ")</f>
        <v>0</v>
      </c>
      <c r="K107" s="30">
        <v>0</v>
      </c>
      <c r="L107" s="32">
        <f t="shared" si="3"/>
        <v>0</v>
      </c>
      <c r="M107" s="29" t="str">
        <f>VLOOKUP(A107,'Trình bày'!B:B,1,0)</f>
        <v>110000466</v>
      </c>
    </row>
    <row r="108" spans="1:14" hidden="1">
      <c r="A108" s="29" t="s">
        <v>202</v>
      </c>
      <c r="B108" s="29" t="s">
        <v>88</v>
      </c>
      <c r="C108" s="29" t="s">
        <v>453</v>
      </c>
      <c r="D108" s="29" t="s">
        <v>454</v>
      </c>
      <c r="E108" s="29" t="s">
        <v>4</v>
      </c>
      <c r="F108" s="30">
        <v>73650</v>
      </c>
      <c r="G108" s="30">
        <v>0</v>
      </c>
      <c r="H108" s="30">
        <f t="shared" si="4"/>
        <v>73650</v>
      </c>
      <c r="I108" s="30" t="str">
        <f>IFERROR(_xlfn.XLOOKUP(A108,data!A:A,data!D:D)," ")</f>
        <v>rPET</v>
      </c>
      <c r="J108" s="30">
        <f>IFERROR(_xlfn.XLOOKUP(A108,data!A:A,data!E:E)," ")</f>
        <v>0</v>
      </c>
      <c r="K108" s="30">
        <v>0</v>
      </c>
      <c r="L108" s="32">
        <f t="shared" si="3"/>
        <v>0</v>
      </c>
      <c r="M108" s="29" t="str">
        <f>VLOOKUP(A108,'Trình bày'!B:B,1,0)</f>
        <v>110000468</v>
      </c>
    </row>
    <row r="109" spans="1:14" hidden="1">
      <c r="A109" s="29" t="s">
        <v>203</v>
      </c>
      <c r="B109" s="29" t="s">
        <v>89</v>
      </c>
      <c r="C109" s="29" t="s">
        <v>453</v>
      </c>
      <c r="D109" s="29" t="s">
        <v>454</v>
      </c>
      <c r="E109" s="29" t="s">
        <v>4</v>
      </c>
      <c r="F109" s="30">
        <v>4950</v>
      </c>
      <c r="G109" s="30">
        <v>750</v>
      </c>
      <c r="H109" s="30">
        <f t="shared" si="4"/>
        <v>5700</v>
      </c>
      <c r="I109" s="30" t="str">
        <f>IFERROR(_xlfn.XLOOKUP(A109,data!A:A,data!D:D)," ")</f>
        <v>Vảy HD ép</v>
      </c>
      <c r="J109" s="30" t="str">
        <f>IFERROR(_xlfn.XLOOKUP(A109,data!A:A,data!E:E)," ")</f>
        <v>Dương</v>
      </c>
      <c r="K109" s="30">
        <v>0</v>
      </c>
      <c r="L109" s="32">
        <f t="shared" si="3"/>
        <v>0</v>
      </c>
      <c r="M109" s="29" t="str">
        <f>VLOOKUP(A109,'Trình bày'!B:B,1,0)</f>
        <v>110000469</v>
      </c>
    </row>
    <row r="110" spans="1:14" hidden="1">
      <c r="A110" s="29" t="s">
        <v>282</v>
      </c>
      <c r="B110" s="29" t="s">
        <v>283</v>
      </c>
      <c r="C110" s="29" t="s">
        <v>455</v>
      </c>
      <c r="D110" s="29" t="s">
        <v>456</v>
      </c>
      <c r="E110" s="29" t="s">
        <v>4</v>
      </c>
      <c r="F110" s="30">
        <v>200</v>
      </c>
      <c r="G110" s="30">
        <v>0</v>
      </c>
      <c r="H110" s="30">
        <f t="shared" si="4"/>
        <v>200</v>
      </c>
      <c r="I110" s="30" t="str">
        <f>IFERROR(_xlfn.XLOOKUP(A110,data!A:A,data!D:D)," ")</f>
        <v>rPP</v>
      </c>
      <c r="J110" s="30" t="str">
        <f>IFERROR(_xlfn.XLOOKUP(A110,data!A:A,data!E:E)," ")</f>
        <v>Dương</v>
      </c>
      <c r="K110" s="30">
        <v>0</v>
      </c>
      <c r="L110" s="32">
        <f t="shared" si="3"/>
        <v>0</v>
      </c>
      <c r="M110" s="29" t="str">
        <f>VLOOKUP(A110,'Trình bày'!B:B,1,0)</f>
        <v>110000470</v>
      </c>
    </row>
    <row r="111" spans="1:14" hidden="1">
      <c r="A111" s="29" t="s">
        <v>282</v>
      </c>
      <c r="B111" s="29" t="s">
        <v>283</v>
      </c>
      <c r="C111" s="29" t="s">
        <v>453</v>
      </c>
      <c r="D111" s="29" t="s">
        <v>454</v>
      </c>
      <c r="E111" s="29" t="s">
        <v>4</v>
      </c>
      <c r="F111" s="30">
        <v>0</v>
      </c>
      <c r="G111" s="30">
        <v>1300</v>
      </c>
      <c r="H111" s="30">
        <f t="shared" si="4"/>
        <v>1300</v>
      </c>
      <c r="I111" s="30" t="str">
        <f>IFERROR(_xlfn.XLOOKUP(A111,data!A:A,data!D:D)," ")</f>
        <v>rPP</v>
      </c>
      <c r="J111" s="30" t="str">
        <f>IFERROR(_xlfn.XLOOKUP(A111,data!A:A,data!E:E)," ")</f>
        <v>Dương</v>
      </c>
      <c r="K111" s="30">
        <v>0</v>
      </c>
      <c r="L111" s="32">
        <f t="shared" si="3"/>
        <v>0</v>
      </c>
      <c r="M111" s="29" t="str">
        <f>VLOOKUP(A111,'Trình bày'!B:B,1,0)</f>
        <v>110000470</v>
      </c>
    </row>
    <row r="112" spans="1:14" hidden="1">
      <c r="A112" s="29" t="s">
        <v>204</v>
      </c>
      <c r="B112" s="29" t="s">
        <v>90</v>
      </c>
      <c r="C112" s="29" t="s">
        <v>453</v>
      </c>
      <c r="D112" s="29" t="s">
        <v>454</v>
      </c>
      <c r="E112" s="29" t="s">
        <v>4</v>
      </c>
      <c r="F112" s="30">
        <v>5473</v>
      </c>
      <c r="G112" s="30">
        <v>1474</v>
      </c>
      <c r="H112" s="30">
        <f t="shared" si="4"/>
        <v>6947</v>
      </c>
      <c r="I112" s="30" t="str">
        <f>IFERROR(_xlfn.XLOOKUP(A112,data!A:A,data!D:D)," ")</f>
        <v>rPP</v>
      </c>
      <c r="J112" s="30" t="str">
        <f>IFERROR(_xlfn.XLOOKUP(A112,data!A:A,data!E:E)," ")</f>
        <v>Dương</v>
      </c>
      <c r="K112" s="30">
        <v>18000</v>
      </c>
      <c r="L112" s="32">
        <f t="shared" si="3"/>
        <v>18000</v>
      </c>
      <c r="M112" s="29" t="str">
        <f>VLOOKUP(A112,'Trình bày'!B:B,1,0)</f>
        <v>110000471</v>
      </c>
    </row>
    <row r="113" spans="1:13" hidden="1">
      <c r="A113" s="29" t="s">
        <v>205</v>
      </c>
      <c r="B113" s="29" t="s">
        <v>91</v>
      </c>
      <c r="C113" s="29" t="s">
        <v>453</v>
      </c>
      <c r="D113" s="29" t="s">
        <v>454</v>
      </c>
      <c r="E113" s="29" t="s">
        <v>4</v>
      </c>
      <c r="F113" s="30">
        <v>4950</v>
      </c>
      <c r="G113" s="30">
        <v>6050</v>
      </c>
      <c r="H113" s="30">
        <f t="shared" si="4"/>
        <v>11000</v>
      </c>
      <c r="I113" s="30" t="str">
        <f>IFERROR(_xlfn.XLOOKUP(A113,data!A:A,data!D:D)," ")</f>
        <v>rPP</v>
      </c>
      <c r="J113" s="30" t="str">
        <f>IFERROR(_xlfn.XLOOKUP(A113,data!A:A,data!E:E)," ")</f>
        <v>Xám</v>
      </c>
      <c r="K113" s="30">
        <v>6000</v>
      </c>
      <c r="L113" s="32">
        <f t="shared" si="3"/>
        <v>6000</v>
      </c>
      <c r="M113" s="29" t="str">
        <f>VLOOKUP(A113,'Trình bày'!B:B,1,0)</f>
        <v>110000472</v>
      </c>
    </row>
    <row r="114" spans="1:13" hidden="1">
      <c r="A114" s="29" t="s">
        <v>593</v>
      </c>
      <c r="B114" s="29" t="s">
        <v>531</v>
      </c>
      <c r="C114" s="29" t="s">
        <v>453</v>
      </c>
      <c r="D114" s="29" t="s">
        <v>454</v>
      </c>
      <c r="E114" s="29" t="s">
        <v>4</v>
      </c>
      <c r="F114" s="30">
        <v>0</v>
      </c>
      <c r="G114" s="30">
        <v>4902</v>
      </c>
      <c r="H114" s="30">
        <f t="shared" si="4"/>
        <v>4902</v>
      </c>
      <c r="I114" s="30" t="str">
        <f>IFERROR(_xlfn.XLOOKUP(A114,data!A:A,data!D:D)," ")</f>
        <v xml:space="preserve"> </v>
      </c>
      <c r="J114" s="30" t="str">
        <f>IFERROR(_xlfn.XLOOKUP(A114,data!A:A,data!E:E)," ")</f>
        <v xml:space="preserve"> </v>
      </c>
      <c r="K114" s="30">
        <v>0</v>
      </c>
      <c r="L114" s="32">
        <f t="shared" si="3"/>
        <v>0</v>
      </c>
      <c r="M114" s="29" t="e">
        <f>VLOOKUP(A114,'Trình bày'!B:B,1,0)</f>
        <v>#N/A</v>
      </c>
    </row>
    <row r="115" spans="1:13" hidden="1">
      <c r="A115" s="29" t="s">
        <v>207</v>
      </c>
      <c r="B115" s="29" t="s">
        <v>93</v>
      </c>
      <c r="C115" s="29" t="s">
        <v>455</v>
      </c>
      <c r="D115" s="29" t="s">
        <v>456</v>
      </c>
      <c r="E115" s="29" t="s">
        <v>4</v>
      </c>
      <c r="F115" s="30">
        <v>561</v>
      </c>
      <c r="G115" s="30">
        <v>0</v>
      </c>
      <c r="H115" s="30">
        <f t="shared" si="4"/>
        <v>561</v>
      </c>
      <c r="I115" s="30" t="str">
        <f>IFERROR(_xlfn.XLOOKUP(A115,data!A:A,data!D:D)," ")</f>
        <v>HD thổi</v>
      </c>
      <c r="J115" s="30" t="str">
        <f>IFERROR(_xlfn.XLOOKUP(A115,data!A:A,data!E:E)," ")</f>
        <v>Trong</v>
      </c>
      <c r="K115" s="30">
        <v>11000</v>
      </c>
      <c r="L115" s="32">
        <f t="shared" si="3"/>
        <v>11000</v>
      </c>
      <c r="M115" s="29" t="str">
        <f>VLOOKUP(A115,'Trình bày'!B:B,1,0)</f>
        <v>110000481</v>
      </c>
    </row>
    <row r="116" spans="1:13" hidden="1">
      <c r="A116" s="29" t="s">
        <v>207</v>
      </c>
      <c r="B116" s="29" t="s">
        <v>93</v>
      </c>
      <c r="C116" s="29" t="s">
        <v>453</v>
      </c>
      <c r="D116" s="29" t="s">
        <v>454</v>
      </c>
      <c r="E116" s="29" t="s">
        <v>4</v>
      </c>
      <c r="F116" s="30">
        <v>375659</v>
      </c>
      <c r="G116" s="30">
        <v>1375</v>
      </c>
      <c r="H116" s="30">
        <f t="shared" si="4"/>
        <v>377034</v>
      </c>
      <c r="I116" s="30" t="str">
        <f>IFERROR(_xlfn.XLOOKUP(A116,data!A:A,data!D:D)," ")</f>
        <v>HD thổi</v>
      </c>
      <c r="J116" s="30" t="str">
        <f>IFERROR(_xlfn.XLOOKUP(A116,data!A:A,data!E:E)," ")</f>
        <v>Trong</v>
      </c>
      <c r="K116" s="30">
        <v>11000</v>
      </c>
      <c r="L116" s="32">
        <f t="shared" si="3"/>
        <v>11000</v>
      </c>
      <c r="M116" s="29" t="str">
        <f>VLOOKUP(A116,'Trình bày'!B:B,1,0)</f>
        <v>110000481</v>
      </c>
    </row>
    <row r="117" spans="1:13" hidden="1">
      <c r="A117" s="29" t="s">
        <v>208</v>
      </c>
      <c r="B117" s="29" t="s">
        <v>94</v>
      </c>
      <c r="C117" s="29" t="s">
        <v>453</v>
      </c>
      <c r="D117" s="29" t="s">
        <v>454</v>
      </c>
      <c r="E117" s="29" t="s">
        <v>4</v>
      </c>
      <c r="F117" s="30">
        <v>3637</v>
      </c>
      <c r="G117" s="30">
        <v>0</v>
      </c>
      <c r="H117" s="30">
        <f t="shared" si="4"/>
        <v>3637</v>
      </c>
      <c r="I117" s="30" t="str">
        <f>IFERROR(_xlfn.XLOOKUP(A117,data!A:A,data!D:D)," ")</f>
        <v>rPP</v>
      </c>
      <c r="J117" s="30" t="str">
        <f>IFERROR(_xlfn.XLOOKUP(A117,data!A:A,data!E:E)," ")</f>
        <v>Trắng</v>
      </c>
      <c r="K117" s="30">
        <v>25</v>
      </c>
      <c r="L117" s="32">
        <f t="shared" si="3"/>
        <v>25</v>
      </c>
      <c r="M117" s="29" t="str">
        <f>VLOOKUP(A117,'Trình bày'!B:B,1,0)</f>
        <v>110000482</v>
      </c>
    </row>
    <row r="118" spans="1:13" hidden="1">
      <c r="A118" s="29" t="s">
        <v>209</v>
      </c>
      <c r="B118" s="29" t="s">
        <v>95</v>
      </c>
      <c r="C118" s="29" t="s">
        <v>453</v>
      </c>
      <c r="D118" s="29" t="s">
        <v>454</v>
      </c>
      <c r="E118" s="29" t="s">
        <v>4</v>
      </c>
      <c r="F118" s="30">
        <v>30205.5</v>
      </c>
      <c r="G118" s="30">
        <v>0</v>
      </c>
      <c r="H118" s="30">
        <f t="shared" ref="H118:H134" si="5">+F118+G118</f>
        <v>30205.5</v>
      </c>
      <c r="I118" s="30" t="str">
        <f>IFERROR(_xlfn.XLOOKUP(A118,data!A:A,data!D:D)," ")</f>
        <v>rPET</v>
      </c>
      <c r="J118" s="30">
        <f>IFERROR(_xlfn.XLOOKUP(A118,data!A:A,data!E:E)," ")</f>
        <v>0</v>
      </c>
      <c r="K118" s="30">
        <v>6600</v>
      </c>
      <c r="L118" s="32">
        <f t="shared" si="3"/>
        <v>6600</v>
      </c>
      <c r="M118" s="29" t="str">
        <f>VLOOKUP(A118,'Trình bày'!B:B,1,0)</f>
        <v>110000483</v>
      </c>
    </row>
    <row r="119" spans="1:13" hidden="1">
      <c r="A119" s="29" t="s">
        <v>209</v>
      </c>
      <c r="B119" s="29" t="s">
        <v>95</v>
      </c>
      <c r="C119" s="29" t="s">
        <v>457</v>
      </c>
      <c r="D119" s="29" t="s">
        <v>458</v>
      </c>
      <c r="E119" s="29" t="s">
        <v>4</v>
      </c>
      <c r="F119" s="30">
        <v>2200</v>
      </c>
      <c r="G119" s="30">
        <v>0</v>
      </c>
      <c r="H119" s="30">
        <f t="shared" si="5"/>
        <v>2200</v>
      </c>
      <c r="I119" s="30" t="str">
        <f>IFERROR(_xlfn.XLOOKUP(A119,data!A:A,data!D:D)," ")</f>
        <v>rPET</v>
      </c>
      <c r="J119" s="30">
        <f>IFERROR(_xlfn.XLOOKUP(A119,data!A:A,data!E:E)," ")</f>
        <v>0</v>
      </c>
      <c r="K119" s="30">
        <v>6600</v>
      </c>
      <c r="L119" s="32">
        <f t="shared" si="3"/>
        <v>6600</v>
      </c>
      <c r="M119" s="29" t="str">
        <f>VLOOKUP(A119,'Trình bày'!B:B,1,0)</f>
        <v>110000483</v>
      </c>
    </row>
    <row r="120" spans="1:13" hidden="1">
      <c r="A120" s="29" t="s">
        <v>210</v>
      </c>
      <c r="B120" s="29" t="s">
        <v>96</v>
      </c>
      <c r="C120" s="29" t="s">
        <v>453</v>
      </c>
      <c r="D120" s="29" t="s">
        <v>454</v>
      </c>
      <c r="E120" s="29" t="s">
        <v>4</v>
      </c>
      <c r="F120" s="30">
        <v>1100</v>
      </c>
      <c r="G120" s="30">
        <v>0</v>
      </c>
      <c r="H120" s="30">
        <f t="shared" si="5"/>
        <v>1100</v>
      </c>
      <c r="I120" s="30" t="str">
        <f>IFERROR(_xlfn.XLOOKUP(A120,data!A:A,data!D:D)," ")</f>
        <v>rPET</v>
      </c>
      <c r="J120" s="30">
        <f>IFERROR(_xlfn.XLOOKUP(A120,data!A:A,data!E:E)," ")</f>
        <v>0</v>
      </c>
      <c r="K120" s="30">
        <v>0</v>
      </c>
      <c r="L120" s="32">
        <f t="shared" si="3"/>
        <v>0</v>
      </c>
      <c r="M120" s="29" t="e">
        <f>VLOOKUP(A120,'Trình bày'!B:B,1,0)</f>
        <v>#N/A</v>
      </c>
    </row>
    <row r="121" spans="1:13">
      <c r="A121" s="29" t="s">
        <v>212</v>
      </c>
      <c r="B121" s="29" t="s">
        <v>98</v>
      </c>
      <c r="C121" s="29" t="s">
        <v>451</v>
      </c>
      <c r="D121" s="29" t="s">
        <v>452</v>
      </c>
      <c r="E121" s="29" t="s">
        <v>4</v>
      </c>
      <c r="F121" s="30">
        <v>2200</v>
      </c>
      <c r="G121" s="30">
        <v>0</v>
      </c>
      <c r="H121" s="30">
        <f t="shared" si="5"/>
        <v>2200</v>
      </c>
      <c r="I121" s="30" t="str">
        <f>IFERROR(_xlfn.XLOOKUP(A121,data!A:A,data!D:D)," ")</f>
        <v>rPET</v>
      </c>
      <c r="J121" s="30">
        <f>IFERROR(_xlfn.XLOOKUP(A121,data!A:A,data!E:E)," ")</f>
        <v>0</v>
      </c>
      <c r="K121" s="30">
        <v>0</v>
      </c>
      <c r="L121" s="32">
        <f t="shared" si="3"/>
        <v>0</v>
      </c>
      <c r="M121" s="29" t="e">
        <f>VLOOKUP(A121,'Trình bày'!B:B,1,0)</f>
        <v>#N/A</v>
      </c>
    </row>
    <row r="122" spans="1:13" hidden="1">
      <c r="A122" s="29" t="s">
        <v>212</v>
      </c>
      <c r="B122" s="29" t="s">
        <v>98</v>
      </c>
      <c r="C122" s="29" t="s">
        <v>453</v>
      </c>
      <c r="D122" s="29" t="s">
        <v>454</v>
      </c>
      <c r="E122" s="29" t="s">
        <v>4</v>
      </c>
      <c r="F122" s="30">
        <v>8800</v>
      </c>
      <c r="G122" s="30">
        <v>0</v>
      </c>
      <c r="H122" s="30">
        <f t="shared" si="5"/>
        <v>8800</v>
      </c>
      <c r="I122" s="30" t="str">
        <f>IFERROR(_xlfn.XLOOKUP(A122,data!A:A,data!D:D)," ")</f>
        <v>rPET</v>
      </c>
      <c r="J122" s="30">
        <f>IFERROR(_xlfn.XLOOKUP(A122,data!A:A,data!E:E)," ")</f>
        <v>0</v>
      </c>
      <c r="K122" s="30">
        <v>0</v>
      </c>
      <c r="L122" s="32">
        <f t="shared" si="3"/>
        <v>0</v>
      </c>
      <c r="M122" s="29" t="e">
        <f>VLOOKUP(A122,'Trình bày'!B:B,1,0)</f>
        <v>#N/A</v>
      </c>
    </row>
    <row r="123" spans="1:13" hidden="1">
      <c r="A123" s="29" t="s">
        <v>213</v>
      </c>
      <c r="B123" s="29" t="s">
        <v>99</v>
      </c>
      <c r="C123" s="29" t="s">
        <v>453</v>
      </c>
      <c r="D123" s="29" t="s">
        <v>454</v>
      </c>
      <c r="E123" s="29" t="s">
        <v>4</v>
      </c>
      <c r="F123" s="30">
        <v>13200</v>
      </c>
      <c r="G123" s="30">
        <v>0</v>
      </c>
      <c r="H123" s="30">
        <f t="shared" si="5"/>
        <v>13200</v>
      </c>
      <c r="I123" s="30" t="str">
        <f>IFERROR(_xlfn.XLOOKUP(A123,data!A:A,data!D:D)," ")</f>
        <v>rPET</v>
      </c>
      <c r="J123" s="30">
        <f>IFERROR(_xlfn.XLOOKUP(A123,data!A:A,data!E:E)," ")</f>
        <v>0</v>
      </c>
      <c r="K123" s="30">
        <v>0</v>
      </c>
      <c r="L123" s="32">
        <f t="shared" si="3"/>
        <v>0</v>
      </c>
      <c r="M123" s="29" t="e">
        <f>VLOOKUP(A123,'Trình bày'!B:B,1,0)</f>
        <v>#N/A</v>
      </c>
    </row>
    <row r="124" spans="1:13" hidden="1">
      <c r="A124" s="29" t="s">
        <v>216</v>
      </c>
      <c r="B124" s="29" t="s">
        <v>102</v>
      </c>
      <c r="C124" s="29" t="s">
        <v>449</v>
      </c>
      <c r="D124" s="29" t="s">
        <v>450</v>
      </c>
      <c r="E124" s="29" t="s">
        <v>4</v>
      </c>
      <c r="F124" s="30">
        <v>1733</v>
      </c>
      <c r="G124" s="30">
        <v>0</v>
      </c>
      <c r="H124" s="30">
        <f t="shared" si="5"/>
        <v>1733</v>
      </c>
      <c r="I124" s="30" t="str">
        <f>IFERROR(_xlfn.XLOOKUP(A124,data!A:A,data!D:D)," ")</f>
        <v>rPET</v>
      </c>
      <c r="J124" s="30">
        <f>IFERROR(_xlfn.XLOOKUP(A124,data!A:A,data!E:E)," ")</f>
        <v>0</v>
      </c>
      <c r="K124" s="30">
        <v>0</v>
      </c>
      <c r="L124" s="32">
        <f t="shared" si="3"/>
        <v>0</v>
      </c>
      <c r="M124" s="29" t="e">
        <f>VLOOKUP(A124,'Trình bày'!B:B,1,0)</f>
        <v>#N/A</v>
      </c>
    </row>
    <row r="125" spans="1:13">
      <c r="A125" s="29" t="s">
        <v>216</v>
      </c>
      <c r="B125" s="29" t="s">
        <v>102</v>
      </c>
      <c r="C125" s="29" t="s">
        <v>451</v>
      </c>
      <c r="D125" s="29" t="s">
        <v>452</v>
      </c>
      <c r="E125" s="29" t="s">
        <v>4</v>
      </c>
      <c r="F125" s="30">
        <v>25300</v>
      </c>
      <c r="G125" s="30">
        <v>0</v>
      </c>
      <c r="H125" s="30">
        <f t="shared" si="5"/>
        <v>25300</v>
      </c>
      <c r="I125" s="30" t="str">
        <f>IFERROR(_xlfn.XLOOKUP(A125,data!A:A,data!D:D)," ")</f>
        <v>rPET</v>
      </c>
      <c r="J125" s="30">
        <f>IFERROR(_xlfn.XLOOKUP(A125,data!A:A,data!E:E)," ")</f>
        <v>0</v>
      </c>
      <c r="K125" s="30">
        <v>0</v>
      </c>
      <c r="L125" s="32">
        <f t="shared" si="3"/>
        <v>0</v>
      </c>
      <c r="M125" s="29" t="e">
        <f>VLOOKUP(A125,'Trình bày'!B:B,1,0)</f>
        <v>#N/A</v>
      </c>
    </row>
    <row r="126" spans="1:13" hidden="1">
      <c r="A126" s="29" t="s">
        <v>216</v>
      </c>
      <c r="B126" s="29" t="s">
        <v>102</v>
      </c>
      <c r="C126" s="29" t="s">
        <v>453</v>
      </c>
      <c r="D126" s="29" t="s">
        <v>454</v>
      </c>
      <c r="E126" s="29" t="s">
        <v>4</v>
      </c>
      <c r="F126" s="30">
        <v>267142.7</v>
      </c>
      <c r="G126" s="30">
        <v>722</v>
      </c>
      <c r="H126" s="30">
        <f t="shared" si="5"/>
        <v>267864.7</v>
      </c>
      <c r="I126" s="30" t="str">
        <f>IFERROR(_xlfn.XLOOKUP(A126,data!A:A,data!D:D)," ")</f>
        <v>rPET</v>
      </c>
      <c r="J126" s="30">
        <f>IFERROR(_xlfn.XLOOKUP(A126,data!A:A,data!E:E)," ")</f>
        <v>0</v>
      </c>
      <c r="K126" s="30">
        <v>0</v>
      </c>
      <c r="L126" s="32">
        <f t="shared" si="3"/>
        <v>0</v>
      </c>
      <c r="M126" s="29" t="e">
        <f>VLOOKUP(A126,'Trình bày'!B:B,1,0)</f>
        <v>#N/A</v>
      </c>
    </row>
    <row r="127" spans="1:13">
      <c r="A127" s="29" t="s">
        <v>217</v>
      </c>
      <c r="B127" s="29" t="s">
        <v>103</v>
      </c>
      <c r="C127" s="29" t="s">
        <v>451</v>
      </c>
      <c r="D127" s="29" t="s">
        <v>452</v>
      </c>
      <c r="E127" s="29" t="s">
        <v>4</v>
      </c>
      <c r="F127" s="30">
        <v>1100</v>
      </c>
      <c r="G127" s="30">
        <v>0</v>
      </c>
      <c r="H127" s="30">
        <f t="shared" si="5"/>
        <v>1100</v>
      </c>
      <c r="I127" s="30" t="str">
        <f>IFERROR(_xlfn.XLOOKUP(A127,data!A:A,data!D:D)," ")</f>
        <v>rPET</v>
      </c>
      <c r="J127" s="30">
        <f>IFERROR(_xlfn.XLOOKUP(A127,data!A:A,data!E:E)," ")</f>
        <v>0</v>
      </c>
      <c r="K127" s="30">
        <v>0</v>
      </c>
      <c r="L127" s="32">
        <f t="shared" si="3"/>
        <v>0</v>
      </c>
      <c r="M127" s="29" t="e">
        <f>VLOOKUP(A127,'Trình bày'!B:B,1,0)</f>
        <v>#N/A</v>
      </c>
    </row>
    <row r="128" spans="1:13" hidden="1">
      <c r="A128" s="29" t="s">
        <v>217</v>
      </c>
      <c r="B128" s="29" t="s">
        <v>103</v>
      </c>
      <c r="C128" s="29" t="s">
        <v>453</v>
      </c>
      <c r="D128" s="29" t="s">
        <v>454</v>
      </c>
      <c r="E128" s="29" t="s">
        <v>4</v>
      </c>
      <c r="F128" s="30">
        <v>34096</v>
      </c>
      <c r="G128" s="30">
        <v>0</v>
      </c>
      <c r="H128" s="30">
        <f t="shared" si="5"/>
        <v>34096</v>
      </c>
      <c r="I128" s="30" t="str">
        <f>IFERROR(_xlfn.XLOOKUP(A128,data!A:A,data!D:D)," ")</f>
        <v>rPET</v>
      </c>
      <c r="J128" s="30">
        <f>IFERROR(_xlfn.XLOOKUP(A128,data!A:A,data!E:E)," ")</f>
        <v>0</v>
      </c>
      <c r="K128" s="30">
        <v>0</v>
      </c>
      <c r="L128" s="32">
        <f t="shared" si="3"/>
        <v>0</v>
      </c>
      <c r="M128" s="29" t="e">
        <f>VLOOKUP(A128,'Trình bày'!B:B,1,0)</f>
        <v>#N/A</v>
      </c>
    </row>
    <row r="129" spans="1:13" hidden="1">
      <c r="A129" s="29" t="s">
        <v>218</v>
      </c>
      <c r="B129" s="29" t="s">
        <v>104</v>
      </c>
      <c r="C129" s="29" t="s">
        <v>453</v>
      </c>
      <c r="D129" s="29" t="s">
        <v>454</v>
      </c>
      <c r="E129" s="29" t="s">
        <v>4</v>
      </c>
      <c r="F129" s="30">
        <v>15403</v>
      </c>
      <c r="G129" s="30">
        <v>225</v>
      </c>
      <c r="H129" s="30">
        <f t="shared" si="5"/>
        <v>15628</v>
      </c>
      <c r="I129" s="30" t="str">
        <f>IFERROR(_xlfn.XLOOKUP(A129,data!A:A,data!D:D)," ")</f>
        <v>HD thổi</v>
      </c>
      <c r="J129" s="30" t="str">
        <f>IFERROR(_xlfn.XLOOKUP(A129,data!A:A,data!E:E)," ")</f>
        <v>Trắng</v>
      </c>
      <c r="K129" s="30">
        <v>0</v>
      </c>
      <c r="L129" s="32">
        <f t="shared" si="3"/>
        <v>0</v>
      </c>
      <c r="M129" s="29" t="str">
        <f>VLOOKUP(A129,'Trình bày'!B:B,1,0)</f>
        <v>110000495</v>
      </c>
    </row>
    <row r="130" spans="1:13" hidden="1">
      <c r="A130" s="29" t="s">
        <v>219</v>
      </c>
      <c r="B130" s="29" t="s">
        <v>105</v>
      </c>
      <c r="C130" s="29" t="s">
        <v>453</v>
      </c>
      <c r="D130" s="29" t="s">
        <v>454</v>
      </c>
      <c r="E130" s="29" t="s">
        <v>4</v>
      </c>
      <c r="F130" s="30">
        <v>1448</v>
      </c>
      <c r="G130" s="30">
        <v>0</v>
      </c>
      <c r="H130" s="30">
        <f t="shared" si="5"/>
        <v>1448</v>
      </c>
      <c r="I130" s="30" t="str">
        <f>IFERROR(_xlfn.XLOOKUP(A130,data!A:A,data!D:D)," ")</f>
        <v>HD ép</v>
      </c>
      <c r="J130" s="30" t="str">
        <f>IFERROR(_xlfn.XLOOKUP(A130,data!A:A,data!E:E)," ")</f>
        <v>Dương</v>
      </c>
      <c r="K130" s="30">
        <v>0</v>
      </c>
      <c r="L130" s="32">
        <f t="shared" si="3"/>
        <v>0</v>
      </c>
      <c r="M130" s="29" t="str">
        <f>VLOOKUP(A130,'Trình bày'!B:B,1,0)</f>
        <v>110000496</v>
      </c>
    </row>
    <row r="131" spans="1:13" hidden="1">
      <c r="A131" s="29" t="s">
        <v>221</v>
      </c>
      <c r="B131" s="29" t="s">
        <v>107</v>
      </c>
      <c r="C131" s="29" t="s">
        <v>453</v>
      </c>
      <c r="D131" s="29" t="s">
        <v>454</v>
      </c>
      <c r="E131" s="29" t="s">
        <v>4</v>
      </c>
      <c r="F131" s="30">
        <v>34030</v>
      </c>
      <c r="G131" s="30">
        <v>0</v>
      </c>
      <c r="H131" s="30">
        <f t="shared" si="5"/>
        <v>34030</v>
      </c>
      <c r="I131" s="30" t="str">
        <f>IFERROR(_xlfn.XLOOKUP(A131,data!A:A,data!D:D)," ")</f>
        <v>rPET</v>
      </c>
      <c r="J131" s="30">
        <f>IFERROR(_xlfn.XLOOKUP(A131,data!A:A,data!E:E)," ")</f>
        <v>0</v>
      </c>
      <c r="K131" s="30">
        <v>0</v>
      </c>
      <c r="L131" s="32">
        <f t="shared" si="3"/>
        <v>0</v>
      </c>
      <c r="M131" s="29" t="str">
        <f>VLOOKUP(A131,'Trình bày'!B:B,1,0)</f>
        <v>110000499</v>
      </c>
    </row>
    <row r="132" spans="1:13" hidden="1">
      <c r="A132" s="29" t="s">
        <v>222</v>
      </c>
      <c r="B132" s="29" t="s">
        <v>108</v>
      </c>
      <c r="C132" s="29" t="s">
        <v>453</v>
      </c>
      <c r="D132" s="29" t="s">
        <v>454</v>
      </c>
      <c r="E132" s="29" t="s">
        <v>4</v>
      </c>
      <c r="F132" s="30">
        <v>17597</v>
      </c>
      <c r="G132" s="30">
        <v>0</v>
      </c>
      <c r="H132" s="30">
        <f t="shared" si="5"/>
        <v>17597</v>
      </c>
      <c r="I132" s="30" t="str">
        <f>IFERROR(_xlfn.XLOOKUP(A132,data!A:A,data!D:D)," ")</f>
        <v>rPET</v>
      </c>
      <c r="J132" s="30">
        <f>IFERROR(_xlfn.XLOOKUP(A132,data!A:A,data!E:E)," ")</f>
        <v>0</v>
      </c>
      <c r="K132" s="30">
        <v>0</v>
      </c>
      <c r="L132" s="32">
        <f t="shared" ref="L132:L139" si="6">IFERROR(K132/1,0)</f>
        <v>0</v>
      </c>
      <c r="M132" s="29" t="e">
        <f>VLOOKUP(A132,'Trình bày'!B:B,1,0)</f>
        <v>#N/A</v>
      </c>
    </row>
    <row r="133" spans="1:13" hidden="1">
      <c r="A133" s="29" t="s">
        <v>223</v>
      </c>
      <c r="B133" s="29" t="s">
        <v>109</v>
      </c>
      <c r="C133" s="29" t="s">
        <v>455</v>
      </c>
      <c r="D133" s="29" t="s">
        <v>456</v>
      </c>
      <c r="E133" s="29" t="s">
        <v>4</v>
      </c>
      <c r="F133" s="30">
        <v>660</v>
      </c>
      <c r="G133" s="30">
        <v>0</v>
      </c>
      <c r="H133" s="30">
        <f t="shared" si="5"/>
        <v>660</v>
      </c>
      <c r="I133" s="30" t="str">
        <f>IFERROR(_xlfn.XLOOKUP(A133,data!A:A,data!D:D)," ")</f>
        <v>LDPE</v>
      </c>
      <c r="J133" s="30">
        <f>IFERROR(_xlfn.XLOOKUP(A133,data!A:A,data!E:E)," ")</f>
        <v>0</v>
      </c>
      <c r="K133" s="30">
        <v>0</v>
      </c>
      <c r="L133" s="32">
        <f t="shared" si="6"/>
        <v>0</v>
      </c>
      <c r="M133" s="29" t="e">
        <f>VLOOKUP(A133,'Trình bày'!B:B,1,0)</f>
        <v>#N/A</v>
      </c>
    </row>
    <row r="134" spans="1:13" hidden="1">
      <c r="A134" s="29" t="s">
        <v>223</v>
      </c>
      <c r="B134" s="29" t="s">
        <v>109</v>
      </c>
      <c r="C134" s="29" t="s">
        <v>453</v>
      </c>
      <c r="D134" s="29" t="s">
        <v>454</v>
      </c>
      <c r="E134" s="29" t="s">
        <v>4</v>
      </c>
      <c r="F134" s="30">
        <v>2400</v>
      </c>
      <c r="G134" s="30">
        <v>0</v>
      </c>
      <c r="H134" s="30">
        <f t="shared" si="5"/>
        <v>2400</v>
      </c>
      <c r="I134" s="30" t="str">
        <f>IFERROR(_xlfn.XLOOKUP(A134,data!A:A,data!D:D)," ")</f>
        <v>LDPE</v>
      </c>
      <c r="J134" s="30">
        <f>IFERROR(_xlfn.XLOOKUP(A134,data!A:A,data!E:E)," ")</f>
        <v>0</v>
      </c>
      <c r="K134" s="30">
        <v>0</v>
      </c>
      <c r="L134" s="32">
        <f t="shared" si="6"/>
        <v>0</v>
      </c>
      <c r="M134" s="29" t="e">
        <f>VLOOKUP(A134,'Trình bày'!B:B,1,0)</f>
        <v>#N/A</v>
      </c>
    </row>
    <row r="135" spans="1:13">
      <c r="A135" s="29" t="s">
        <v>277</v>
      </c>
      <c r="B135" s="29" t="s">
        <v>278</v>
      </c>
      <c r="C135" s="29" t="s">
        <v>451</v>
      </c>
      <c r="D135" s="29" t="s">
        <v>452</v>
      </c>
      <c r="E135" s="29" t="s">
        <v>4</v>
      </c>
      <c r="F135" s="30">
        <v>65840</v>
      </c>
      <c r="G135" s="30">
        <v>0</v>
      </c>
      <c r="H135" s="30">
        <f t="shared" ref="H135:H139" si="7">+F135+G135</f>
        <v>65840</v>
      </c>
      <c r="I135" s="30" t="str">
        <f>IFERROR(_xlfn.XLOOKUP(A135,data!A:A,data!D:D)," ")</f>
        <v>rPET</v>
      </c>
      <c r="J135" s="30">
        <f>IFERROR(_xlfn.XLOOKUP(A135,data!A:A,data!E:E)," ")</f>
        <v>0</v>
      </c>
      <c r="K135" s="30">
        <v>0</v>
      </c>
      <c r="L135" s="32">
        <f t="shared" si="6"/>
        <v>0</v>
      </c>
      <c r="M135" s="29" t="str">
        <f>VLOOKUP(A135,'Trình bày'!B:B,1,0)</f>
        <v>110000506</v>
      </c>
    </row>
    <row r="136" spans="1:13">
      <c r="A136" s="29" t="s">
        <v>464</v>
      </c>
      <c r="B136" s="29" t="s">
        <v>470</v>
      </c>
      <c r="C136" s="29" t="s">
        <v>451</v>
      </c>
      <c r="D136" s="29" t="s">
        <v>452</v>
      </c>
      <c r="E136" s="29" t="s">
        <v>4</v>
      </c>
      <c r="F136" s="30">
        <v>1392</v>
      </c>
      <c r="G136" s="30">
        <v>0</v>
      </c>
      <c r="H136" s="30">
        <f t="shared" si="7"/>
        <v>1392</v>
      </c>
      <c r="I136" s="30" t="str">
        <f>IFERROR(_xlfn.XLOOKUP(A136,data!A:A,data!D:D)," ")</f>
        <v>rPET</v>
      </c>
      <c r="J136" s="30">
        <f>IFERROR(_xlfn.XLOOKUP(A136,data!A:A,data!E:E)," ")</f>
        <v>0</v>
      </c>
      <c r="K136" s="30">
        <v>0</v>
      </c>
      <c r="L136" s="32">
        <f t="shared" si="6"/>
        <v>0</v>
      </c>
      <c r="M136" s="29" t="e">
        <f>VLOOKUP(A136,'Trình bày'!B:B,1,0)</f>
        <v>#N/A</v>
      </c>
    </row>
    <row r="137" spans="1:13" hidden="1">
      <c r="A137" s="29" t="s">
        <v>465</v>
      </c>
      <c r="B137" s="29" t="s">
        <v>463</v>
      </c>
      <c r="C137" s="29" t="s">
        <v>453</v>
      </c>
      <c r="D137" s="29" t="s">
        <v>454</v>
      </c>
      <c r="E137" s="29" t="s">
        <v>4</v>
      </c>
      <c r="F137" s="30">
        <v>518.70000000000005</v>
      </c>
      <c r="G137" s="30">
        <v>0</v>
      </c>
      <c r="H137" s="30">
        <f t="shared" si="7"/>
        <v>518.70000000000005</v>
      </c>
      <c r="I137" s="30" t="str">
        <f>IFERROR(_xlfn.XLOOKUP(A137,data!A:A,data!D:D)," ")</f>
        <v>rPP</v>
      </c>
      <c r="J137" s="30" t="str">
        <f>IFERROR(_xlfn.XLOOKUP(A137,data!A:A,data!E:E)," ")</f>
        <v>Trắng</v>
      </c>
      <c r="K137" s="30">
        <v>0</v>
      </c>
      <c r="L137" s="32">
        <f t="shared" si="6"/>
        <v>0</v>
      </c>
      <c r="M137" s="29" t="str">
        <f>VLOOKUP(A137,'Trình bày'!B:B,1,0)</f>
        <v>110000508</v>
      </c>
    </row>
    <row r="138" spans="1:13" hidden="1">
      <c r="A138" s="29" t="s">
        <v>474</v>
      </c>
      <c r="B138" s="29" t="s">
        <v>475</v>
      </c>
      <c r="C138" s="29" t="s">
        <v>455</v>
      </c>
      <c r="D138" s="29" t="s">
        <v>456</v>
      </c>
      <c r="E138" s="29" t="s">
        <v>4</v>
      </c>
      <c r="F138" s="30">
        <v>950</v>
      </c>
      <c r="G138" s="30">
        <v>0</v>
      </c>
      <c r="H138" s="30">
        <f t="shared" si="7"/>
        <v>950</v>
      </c>
      <c r="I138" s="30" t="str">
        <f>IFERROR(_xlfn.XLOOKUP(A138,data!A:A,data!D:D)," ")</f>
        <v>HD thổi</v>
      </c>
      <c r="J138" s="30" t="str">
        <f>IFERROR(_xlfn.XLOOKUP(A138,data!A:A,data!E:E)," ")</f>
        <v>Đen</v>
      </c>
      <c r="K138" s="30">
        <v>0</v>
      </c>
      <c r="L138" s="32">
        <f t="shared" si="6"/>
        <v>0</v>
      </c>
      <c r="M138" s="29" t="e">
        <f>VLOOKUP(A138,'Trình bày'!B:B,1,0)</f>
        <v>#N/A</v>
      </c>
    </row>
    <row r="139" spans="1:13" hidden="1">
      <c r="A139" s="29" t="s">
        <v>476</v>
      </c>
      <c r="B139" s="29" t="s">
        <v>477</v>
      </c>
      <c r="C139" s="29" t="s">
        <v>453</v>
      </c>
      <c r="D139" s="29" t="s">
        <v>454</v>
      </c>
      <c r="E139" s="29" t="s">
        <v>4</v>
      </c>
      <c r="F139" s="30">
        <v>32548</v>
      </c>
      <c r="G139" s="30">
        <v>0</v>
      </c>
      <c r="H139" s="30">
        <f t="shared" si="7"/>
        <v>32548</v>
      </c>
      <c r="I139" s="30" t="str">
        <f>IFERROR(_xlfn.XLOOKUP(A139,data!A:A,data!D:D)," ")</f>
        <v>Xơ sợi</v>
      </c>
      <c r="J139" s="30">
        <f>IFERROR(_xlfn.XLOOKUP(A139,data!A:A,data!E:E)," ")</f>
        <v>0</v>
      </c>
      <c r="K139" s="30">
        <v>0</v>
      </c>
      <c r="L139" s="32">
        <f t="shared" si="6"/>
        <v>0</v>
      </c>
      <c r="M139" s="29" t="e">
        <f>VLOOKUP(A139,'Trình bày'!B:B,1,0)</f>
        <v>#N/A</v>
      </c>
    </row>
  </sheetData>
  <autoFilter ref="A2:T139" xr:uid="{13A89E84-2634-4B88-A7A8-80D474A5A188}">
    <filterColumn colId="3">
      <filters>
        <filter val="Kho Thành phẩm"/>
      </filters>
    </filterColumn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AFB-1507-40CE-A203-644F150F9106}">
  <dimension ref="A1:E117"/>
  <sheetViews>
    <sheetView workbookViewId="0">
      <pane xSplit="2" ySplit="1" topLeftCell="C110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B116" sqref="B116"/>
    </sheetView>
  </sheetViews>
  <sheetFormatPr defaultRowHeight="14.5"/>
  <cols>
    <col min="1" max="1" width="11.26953125" customWidth="1"/>
    <col min="2" max="2" width="27.54296875" bestFit="1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110</v>
      </c>
      <c r="E1" s="7" t="s">
        <v>224</v>
      </c>
    </row>
    <row r="2" spans="1:5">
      <c r="A2" s="2" t="s">
        <v>148</v>
      </c>
      <c r="B2" s="1" t="s">
        <v>34</v>
      </c>
      <c r="C2" s="1" t="s">
        <v>4</v>
      </c>
      <c r="D2" s="1" t="s">
        <v>111</v>
      </c>
      <c r="E2" s="1"/>
    </row>
    <row r="3" spans="1:5">
      <c r="A3" s="2" t="s">
        <v>147</v>
      </c>
      <c r="B3" s="1" t="s">
        <v>33</v>
      </c>
      <c r="C3" s="1" t="s">
        <v>4</v>
      </c>
      <c r="D3" s="1" t="s">
        <v>111</v>
      </c>
      <c r="E3" s="1"/>
    </row>
    <row r="4" spans="1:5">
      <c r="A4" s="2" t="s">
        <v>130</v>
      </c>
      <c r="B4" s="3" t="s">
        <v>16</v>
      </c>
      <c r="C4" s="1" t="s">
        <v>4</v>
      </c>
      <c r="D4" s="1" t="s">
        <v>111</v>
      </c>
      <c r="E4" s="1"/>
    </row>
    <row r="5" spans="1:5">
      <c r="A5" s="2" t="s">
        <v>216</v>
      </c>
      <c r="B5" s="1" t="s">
        <v>102</v>
      </c>
      <c r="C5" s="1" t="s">
        <v>4</v>
      </c>
      <c r="D5" s="1" t="s">
        <v>111</v>
      </c>
      <c r="E5" s="1"/>
    </row>
    <row r="6" spans="1:5">
      <c r="A6" s="2" t="s">
        <v>131</v>
      </c>
      <c r="B6" s="3" t="s">
        <v>17</v>
      </c>
      <c r="C6" s="1" t="s">
        <v>4</v>
      </c>
      <c r="D6" s="1" t="s">
        <v>111</v>
      </c>
      <c r="E6" s="1"/>
    </row>
    <row r="7" spans="1:5">
      <c r="A7" s="2" t="s">
        <v>209</v>
      </c>
      <c r="B7" s="1" t="s">
        <v>95</v>
      </c>
      <c r="C7" s="1" t="s">
        <v>4</v>
      </c>
      <c r="D7" s="1" t="s">
        <v>111</v>
      </c>
      <c r="E7" s="1"/>
    </row>
    <row r="8" spans="1:5">
      <c r="A8" s="2" t="s">
        <v>126</v>
      </c>
      <c r="B8" s="1" t="s">
        <v>12</v>
      </c>
      <c r="C8" s="1" t="s">
        <v>4</v>
      </c>
      <c r="D8" s="1" t="s">
        <v>113</v>
      </c>
      <c r="E8" s="1" t="s">
        <v>230</v>
      </c>
    </row>
    <row r="9" spans="1:5">
      <c r="A9" s="2" t="s">
        <v>173</v>
      </c>
      <c r="B9" s="1" t="s">
        <v>59</v>
      </c>
      <c r="C9" s="1" t="s">
        <v>4</v>
      </c>
      <c r="D9" s="1" t="s">
        <v>113</v>
      </c>
      <c r="E9" s="1" t="s">
        <v>227</v>
      </c>
    </row>
    <row r="10" spans="1:5">
      <c r="A10" s="2" t="s">
        <v>145</v>
      </c>
      <c r="B10" s="1" t="s">
        <v>31</v>
      </c>
      <c r="C10" s="1" t="s">
        <v>4</v>
      </c>
      <c r="D10" s="1" t="s">
        <v>113</v>
      </c>
      <c r="E10" s="1" t="s">
        <v>230</v>
      </c>
    </row>
    <row r="11" spans="1:5">
      <c r="A11" s="2" t="s">
        <v>207</v>
      </c>
      <c r="B11" s="1" t="s">
        <v>93</v>
      </c>
      <c r="C11" s="1" t="s">
        <v>4</v>
      </c>
      <c r="D11" s="1" t="s">
        <v>113</v>
      </c>
      <c r="E11" s="1" t="s">
        <v>230</v>
      </c>
    </row>
    <row r="12" spans="1:5">
      <c r="A12" s="232" t="s">
        <v>127</v>
      </c>
      <c r="B12" s="1" t="s">
        <v>13</v>
      </c>
      <c r="C12" s="1" t="s">
        <v>4</v>
      </c>
      <c r="D12" s="1" t="s">
        <v>113</v>
      </c>
      <c r="E12" s="1" t="s">
        <v>229</v>
      </c>
    </row>
    <row r="13" spans="1:5">
      <c r="A13" s="2" t="s">
        <v>172</v>
      </c>
      <c r="B13" s="1" t="s">
        <v>58</v>
      </c>
      <c r="C13" s="1" t="s">
        <v>4</v>
      </c>
      <c r="D13" s="1" t="s">
        <v>113</v>
      </c>
      <c r="E13" s="1" t="s">
        <v>225</v>
      </c>
    </row>
    <row r="14" spans="1:5">
      <c r="A14" s="2" t="s">
        <v>151</v>
      </c>
      <c r="B14" s="1" t="s">
        <v>37</v>
      </c>
      <c r="C14" s="1" t="s">
        <v>4</v>
      </c>
      <c r="D14" s="1" t="s">
        <v>111</v>
      </c>
      <c r="E14" s="1"/>
    </row>
    <row r="15" spans="1:5">
      <c r="A15" s="2" t="s">
        <v>210</v>
      </c>
      <c r="B15" s="1" t="s">
        <v>96</v>
      </c>
      <c r="C15" s="1" t="s">
        <v>4</v>
      </c>
      <c r="D15" s="1" t="s">
        <v>111</v>
      </c>
      <c r="E15" s="1"/>
    </row>
    <row r="16" spans="1:5">
      <c r="A16" s="2" t="s">
        <v>123</v>
      </c>
      <c r="B16" s="1" t="s">
        <v>9</v>
      </c>
      <c r="C16" s="1" t="s">
        <v>4</v>
      </c>
      <c r="D16" s="1" t="s">
        <v>111</v>
      </c>
      <c r="E16" s="1"/>
    </row>
    <row r="17" spans="1:5">
      <c r="A17" s="2" t="s">
        <v>132</v>
      </c>
      <c r="B17" s="1" t="s">
        <v>18</v>
      </c>
      <c r="C17" s="1" t="s">
        <v>4</v>
      </c>
      <c r="D17" s="1" t="s">
        <v>111</v>
      </c>
      <c r="E17" s="1"/>
    </row>
    <row r="18" spans="1:5">
      <c r="A18" s="2" t="s">
        <v>134</v>
      </c>
      <c r="B18" s="1" t="s">
        <v>20</v>
      </c>
      <c r="C18" s="1" t="s">
        <v>4</v>
      </c>
      <c r="D18" s="1" t="s">
        <v>114</v>
      </c>
      <c r="E18" s="1" t="s">
        <v>228</v>
      </c>
    </row>
    <row r="19" spans="1:5">
      <c r="A19" s="2" t="s">
        <v>139</v>
      </c>
      <c r="B19" s="1" t="s">
        <v>25</v>
      </c>
      <c r="C19" s="1" t="s">
        <v>4</v>
      </c>
      <c r="D19" s="1" t="s">
        <v>114</v>
      </c>
      <c r="E19" s="1" t="s">
        <v>232</v>
      </c>
    </row>
    <row r="20" spans="1:5">
      <c r="A20" s="2" t="s">
        <v>135</v>
      </c>
      <c r="B20" s="1" t="s">
        <v>21</v>
      </c>
      <c r="C20" s="1" t="s">
        <v>4</v>
      </c>
      <c r="D20" s="1" t="s">
        <v>114</v>
      </c>
      <c r="E20" s="1" t="s">
        <v>226</v>
      </c>
    </row>
    <row r="21" spans="1:5">
      <c r="A21" s="2" t="s">
        <v>219</v>
      </c>
      <c r="B21" s="1" t="s">
        <v>105</v>
      </c>
      <c r="C21" s="1" t="s">
        <v>4</v>
      </c>
      <c r="D21" s="1" t="s">
        <v>114</v>
      </c>
      <c r="E21" s="1" t="s">
        <v>228</v>
      </c>
    </row>
    <row r="22" spans="1:5">
      <c r="A22" s="2" t="s">
        <v>137</v>
      </c>
      <c r="B22" s="1" t="s">
        <v>23</v>
      </c>
      <c r="C22" s="1" t="s">
        <v>4</v>
      </c>
      <c r="D22" s="1" t="s">
        <v>114</v>
      </c>
      <c r="E22" s="1" t="s">
        <v>227</v>
      </c>
    </row>
    <row r="23" spans="1:5">
      <c r="A23" s="2" t="s">
        <v>138</v>
      </c>
      <c r="B23" s="1" t="s">
        <v>24</v>
      </c>
      <c r="C23" s="1" t="s">
        <v>4</v>
      </c>
      <c r="D23" s="1" t="s">
        <v>114</v>
      </c>
      <c r="E23" s="1" t="s">
        <v>225</v>
      </c>
    </row>
    <row r="24" spans="1:5">
      <c r="A24" s="2" t="s">
        <v>156</v>
      </c>
      <c r="B24" s="1" t="s">
        <v>42</v>
      </c>
      <c r="C24" s="1" t="s">
        <v>4</v>
      </c>
      <c r="D24" s="1" t="s">
        <v>115</v>
      </c>
      <c r="E24" s="1" t="s">
        <v>226</v>
      </c>
    </row>
    <row r="25" spans="1:5">
      <c r="A25" s="2" t="s">
        <v>204</v>
      </c>
      <c r="B25" s="1" t="s">
        <v>90</v>
      </c>
      <c r="C25" s="1" t="s">
        <v>4</v>
      </c>
      <c r="D25" s="1" t="s">
        <v>115</v>
      </c>
      <c r="E25" s="1" t="s">
        <v>228</v>
      </c>
    </row>
    <row r="26" spans="1:5">
      <c r="A26" s="2" t="s">
        <v>205</v>
      </c>
      <c r="B26" s="1" t="s">
        <v>91</v>
      </c>
      <c r="C26" s="1" t="s">
        <v>4</v>
      </c>
      <c r="D26" s="1" t="s">
        <v>115</v>
      </c>
      <c r="E26" s="1" t="s">
        <v>234</v>
      </c>
    </row>
    <row r="27" spans="1:5">
      <c r="A27" s="2" t="s">
        <v>159</v>
      </c>
      <c r="B27" s="1" t="s">
        <v>45</v>
      </c>
      <c r="C27" s="1" t="s">
        <v>4</v>
      </c>
      <c r="D27" s="1" t="s">
        <v>115</v>
      </c>
      <c r="E27" s="1" t="s">
        <v>229</v>
      </c>
    </row>
    <row r="28" spans="1:5">
      <c r="A28" s="2" t="s">
        <v>136</v>
      </c>
      <c r="B28" s="1" t="s">
        <v>22</v>
      </c>
      <c r="C28" s="1" t="s">
        <v>4</v>
      </c>
      <c r="D28" s="1" t="s">
        <v>114</v>
      </c>
      <c r="E28" s="1" t="s">
        <v>234</v>
      </c>
    </row>
    <row r="29" spans="1:5">
      <c r="A29" s="2" t="s">
        <v>218</v>
      </c>
      <c r="B29" s="1" t="s">
        <v>104</v>
      </c>
      <c r="C29" s="1" t="s">
        <v>4</v>
      </c>
      <c r="D29" s="1" t="s">
        <v>113</v>
      </c>
      <c r="E29" s="1" t="s">
        <v>225</v>
      </c>
    </row>
    <row r="30" spans="1:5">
      <c r="A30" s="2" t="s">
        <v>177</v>
      </c>
      <c r="B30" s="1" t="s">
        <v>63</v>
      </c>
      <c r="C30" s="1" t="s">
        <v>4</v>
      </c>
      <c r="D30" s="1" t="s">
        <v>111</v>
      </c>
      <c r="E30" s="1"/>
    </row>
    <row r="31" spans="1:5">
      <c r="A31" s="2" t="s">
        <v>202</v>
      </c>
      <c r="B31" s="1" t="s">
        <v>88</v>
      </c>
      <c r="C31" s="1" t="s">
        <v>4</v>
      </c>
      <c r="D31" s="1" t="s">
        <v>111</v>
      </c>
      <c r="E31" s="1"/>
    </row>
    <row r="32" spans="1:5">
      <c r="A32" s="2" t="s">
        <v>222</v>
      </c>
      <c r="B32" s="1" t="s">
        <v>108</v>
      </c>
      <c r="C32" s="1" t="s">
        <v>4</v>
      </c>
      <c r="D32" s="1" t="s">
        <v>111</v>
      </c>
      <c r="E32" s="1"/>
    </row>
    <row r="33" spans="1:5">
      <c r="A33" s="2" t="s">
        <v>149</v>
      </c>
      <c r="B33" s="1" t="s">
        <v>35</v>
      </c>
      <c r="C33" s="1" t="s">
        <v>4</v>
      </c>
      <c r="D33" s="1" t="s">
        <v>112</v>
      </c>
      <c r="E33" s="1"/>
    </row>
    <row r="34" spans="1:5">
      <c r="A34" s="2" t="s">
        <v>150</v>
      </c>
      <c r="B34" s="1" t="s">
        <v>36</v>
      </c>
      <c r="C34" s="1" t="s">
        <v>4</v>
      </c>
      <c r="D34" s="1" t="s">
        <v>112</v>
      </c>
      <c r="E34" s="1"/>
    </row>
    <row r="35" spans="1:5">
      <c r="A35" s="2" t="s">
        <v>121</v>
      </c>
      <c r="B35" s="3" t="s">
        <v>7</v>
      </c>
      <c r="C35" s="1" t="s">
        <v>4</v>
      </c>
      <c r="D35" s="1" t="s">
        <v>111</v>
      </c>
      <c r="E35" s="1"/>
    </row>
    <row r="36" spans="1:5">
      <c r="A36" s="2" t="s">
        <v>152</v>
      </c>
      <c r="B36" s="1" t="s">
        <v>38</v>
      </c>
      <c r="C36" s="1" t="s">
        <v>4</v>
      </c>
      <c r="D36" s="1" t="s">
        <v>112</v>
      </c>
      <c r="E36" s="1"/>
    </row>
    <row r="37" spans="1:5">
      <c r="A37" s="2" t="s">
        <v>124</v>
      </c>
      <c r="B37" s="1" t="s">
        <v>10</v>
      </c>
      <c r="C37" s="1" t="s">
        <v>4</v>
      </c>
      <c r="D37" s="1" t="s">
        <v>113</v>
      </c>
      <c r="E37" s="1"/>
    </row>
    <row r="38" spans="1:5">
      <c r="A38" s="2" t="s">
        <v>154</v>
      </c>
      <c r="B38" s="1" t="s">
        <v>40</v>
      </c>
      <c r="C38" s="1" t="s">
        <v>4</v>
      </c>
      <c r="D38" s="1" t="s">
        <v>112</v>
      </c>
      <c r="E38" s="1"/>
    </row>
    <row r="39" spans="1:5">
      <c r="A39" s="2" t="s">
        <v>181</v>
      </c>
      <c r="B39" s="1" t="s">
        <v>67</v>
      </c>
      <c r="C39" s="1" t="s">
        <v>4</v>
      </c>
      <c r="D39" s="1" t="s">
        <v>115</v>
      </c>
      <c r="E39" s="1" t="s">
        <v>228</v>
      </c>
    </row>
    <row r="40" spans="1:5">
      <c r="A40" s="2" t="s">
        <v>208</v>
      </c>
      <c r="B40" s="1" t="s">
        <v>94</v>
      </c>
      <c r="C40" s="1" t="s">
        <v>4</v>
      </c>
      <c r="D40" s="1" t="s">
        <v>115</v>
      </c>
      <c r="E40" s="1" t="s">
        <v>225</v>
      </c>
    </row>
    <row r="41" spans="1:5">
      <c r="A41" s="2" t="s">
        <v>140</v>
      </c>
      <c r="B41" s="1" t="s">
        <v>26</v>
      </c>
      <c r="C41" s="1" t="s">
        <v>4</v>
      </c>
      <c r="D41" s="1" t="s">
        <v>115</v>
      </c>
      <c r="E41" s="1" t="s">
        <v>226</v>
      </c>
    </row>
    <row r="42" spans="1:5">
      <c r="A42" s="2" t="s">
        <v>141</v>
      </c>
      <c r="B42" s="1" t="s">
        <v>27</v>
      </c>
      <c r="C42" s="1" t="s">
        <v>4</v>
      </c>
      <c r="D42" s="1" t="s">
        <v>115</v>
      </c>
      <c r="E42" s="1" t="s">
        <v>225</v>
      </c>
    </row>
    <row r="43" spans="1:5">
      <c r="A43" s="2" t="s">
        <v>142</v>
      </c>
      <c r="B43" s="1" t="s">
        <v>28</v>
      </c>
      <c r="C43" s="1" t="s">
        <v>4</v>
      </c>
      <c r="D43" s="1" t="s">
        <v>115</v>
      </c>
      <c r="E43" s="1" t="s">
        <v>234</v>
      </c>
    </row>
    <row r="44" spans="1:5">
      <c r="A44" s="2" t="s">
        <v>143</v>
      </c>
      <c r="B44" s="1" t="s">
        <v>29</v>
      </c>
      <c r="C44" s="1" t="s">
        <v>4</v>
      </c>
      <c r="D44" s="1" t="s">
        <v>115</v>
      </c>
      <c r="E44" s="1" t="s">
        <v>229</v>
      </c>
    </row>
    <row r="45" spans="1:5">
      <c r="A45" s="2" t="s">
        <v>155</v>
      </c>
      <c r="B45" s="1" t="s">
        <v>41</v>
      </c>
      <c r="C45" s="1" t="s">
        <v>4</v>
      </c>
      <c r="D45" s="1" t="s">
        <v>115</v>
      </c>
      <c r="E45" s="1" t="s">
        <v>226</v>
      </c>
    </row>
    <row r="46" spans="1:5">
      <c r="A46" s="2" t="s">
        <v>162</v>
      </c>
      <c r="B46" s="1" t="s">
        <v>48</v>
      </c>
      <c r="C46" s="1" t="s">
        <v>4</v>
      </c>
      <c r="D46" s="1" t="s">
        <v>117</v>
      </c>
      <c r="E46" s="1" t="s">
        <v>226</v>
      </c>
    </row>
    <row r="47" spans="1:5">
      <c r="A47" s="2" t="s">
        <v>164</v>
      </c>
      <c r="B47" s="1" t="s">
        <v>50</v>
      </c>
      <c r="C47" s="1" t="s">
        <v>4</v>
      </c>
      <c r="D47" s="1" t="s">
        <v>117</v>
      </c>
      <c r="E47" s="1" t="s">
        <v>227</v>
      </c>
    </row>
    <row r="48" spans="1:5">
      <c r="A48" s="2" t="s">
        <v>165</v>
      </c>
      <c r="B48" s="1" t="s">
        <v>51</v>
      </c>
      <c r="C48" s="1" t="s">
        <v>4</v>
      </c>
      <c r="D48" s="1" t="s">
        <v>117</v>
      </c>
      <c r="E48" s="1" t="s">
        <v>232</v>
      </c>
    </row>
    <row r="49" spans="1:5">
      <c r="A49" s="2" t="s">
        <v>166</v>
      </c>
      <c r="B49" s="1" t="s">
        <v>52</v>
      </c>
      <c r="C49" s="1" t="s">
        <v>4</v>
      </c>
      <c r="D49" s="1" t="s">
        <v>117</v>
      </c>
      <c r="E49" s="1" t="s">
        <v>228</v>
      </c>
    </row>
    <row r="50" spans="1:5">
      <c r="A50" s="2" t="s">
        <v>163</v>
      </c>
      <c r="B50" s="1" t="s">
        <v>49</v>
      </c>
      <c r="C50" s="1" t="s">
        <v>4</v>
      </c>
      <c r="D50" s="1" t="s">
        <v>117</v>
      </c>
      <c r="E50" s="1" t="s">
        <v>225</v>
      </c>
    </row>
    <row r="51" spans="1:5">
      <c r="A51" s="2" t="s">
        <v>167</v>
      </c>
      <c r="B51" s="1" t="s">
        <v>53</v>
      </c>
      <c r="C51" s="1" t="s">
        <v>4</v>
      </c>
      <c r="D51" s="1" t="s">
        <v>117</v>
      </c>
      <c r="E51" s="1" t="s">
        <v>229</v>
      </c>
    </row>
    <row r="52" spans="1:5">
      <c r="A52" s="2" t="s">
        <v>168</v>
      </c>
      <c r="B52" s="1" t="s">
        <v>54</v>
      </c>
      <c r="C52" s="1" t="s">
        <v>4</v>
      </c>
      <c r="D52" s="1" t="s">
        <v>117</v>
      </c>
      <c r="E52" s="1" t="s">
        <v>231</v>
      </c>
    </row>
    <row r="53" spans="1:5">
      <c r="A53" s="2" t="s">
        <v>169</v>
      </c>
      <c r="B53" s="1" t="s">
        <v>55</v>
      </c>
      <c r="C53" s="1" t="s">
        <v>4</v>
      </c>
      <c r="D53" s="1" t="s">
        <v>116</v>
      </c>
      <c r="E53" s="1" t="s">
        <v>226</v>
      </c>
    </row>
    <row r="54" spans="1:5">
      <c r="A54" s="2" t="s">
        <v>171</v>
      </c>
      <c r="B54" s="1" t="s">
        <v>57</v>
      </c>
      <c r="C54" s="1" t="s">
        <v>4</v>
      </c>
      <c r="D54" s="1" t="s">
        <v>116</v>
      </c>
      <c r="E54" s="1" t="s">
        <v>228</v>
      </c>
    </row>
    <row r="55" spans="1:5">
      <c r="A55" s="2" t="s">
        <v>170</v>
      </c>
      <c r="B55" s="1" t="s">
        <v>56</v>
      </c>
      <c r="C55" s="1" t="s">
        <v>4</v>
      </c>
      <c r="D55" s="1" t="s">
        <v>116</v>
      </c>
      <c r="E55" s="1" t="s">
        <v>226</v>
      </c>
    </row>
    <row r="56" spans="1:5">
      <c r="A56" s="2" t="s">
        <v>125</v>
      </c>
      <c r="B56" s="1" t="s">
        <v>11</v>
      </c>
      <c r="C56" s="1" t="s">
        <v>4</v>
      </c>
      <c r="D56" s="1" t="s">
        <v>113</v>
      </c>
      <c r="E56" s="1" t="s">
        <v>225</v>
      </c>
    </row>
    <row r="57" spans="1:5">
      <c r="A57" s="2" t="s">
        <v>128</v>
      </c>
      <c r="B57" s="1" t="s">
        <v>14</v>
      </c>
      <c r="C57" s="1" t="s">
        <v>4</v>
      </c>
      <c r="D57" s="1" t="s">
        <v>113</v>
      </c>
      <c r="E57" s="1" t="s">
        <v>232</v>
      </c>
    </row>
    <row r="58" spans="1:5">
      <c r="A58" s="2" t="s">
        <v>129</v>
      </c>
      <c r="B58" s="1" t="s">
        <v>15</v>
      </c>
      <c r="C58" s="1" t="s">
        <v>4</v>
      </c>
      <c r="D58" s="1" t="s">
        <v>113</v>
      </c>
      <c r="E58" s="1" t="s">
        <v>227</v>
      </c>
    </row>
    <row r="59" spans="1:5">
      <c r="A59" s="2" t="s">
        <v>175</v>
      </c>
      <c r="B59" s="1" t="s">
        <v>61</v>
      </c>
      <c r="C59" s="1" t="s">
        <v>4</v>
      </c>
      <c r="D59" s="1"/>
      <c r="E59" s="1"/>
    </row>
    <row r="60" spans="1:5">
      <c r="A60" s="2" t="s">
        <v>153</v>
      </c>
      <c r="B60" s="1" t="s">
        <v>39</v>
      </c>
      <c r="C60" s="1" t="s">
        <v>4</v>
      </c>
      <c r="D60" s="1" t="s">
        <v>113</v>
      </c>
      <c r="E60" s="1" t="s">
        <v>230</v>
      </c>
    </row>
    <row r="61" spans="1:5">
      <c r="A61" s="2" t="s">
        <v>122</v>
      </c>
      <c r="B61" s="1" t="s">
        <v>8</v>
      </c>
      <c r="C61" s="1" t="s">
        <v>4</v>
      </c>
      <c r="D61" s="1" t="s">
        <v>111</v>
      </c>
      <c r="E61" s="1"/>
    </row>
    <row r="62" spans="1:5">
      <c r="A62" s="2" t="s">
        <v>144</v>
      </c>
      <c r="B62" s="1" t="s">
        <v>30</v>
      </c>
      <c r="C62" s="1" t="s">
        <v>4</v>
      </c>
      <c r="D62" s="1" t="s">
        <v>114</v>
      </c>
      <c r="E62" s="1" t="s">
        <v>228</v>
      </c>
    </row>
    <row r="63" spans="1:5">
      <c r="A63" s="2" t="s">
        <v>174</v>
      </c>
      <c r="B63" s="1" t="s">
        <v>60</v>
      </c>
      <c r="C63" s="1" t="s">
        <v>4</v>
      </c>
      <c r="D63" s="1" t="s">
        <v>113</v>
      </c>
      <c r="E63" s="1" t="s">
        <v>232</v>
      </c>
    </row>
    <row r="64" spans="1:5">
      <c r="A64" s="2" t="s">
        <v>176</v>
      </c>
      <c r="B64" s="1" t="s">
        <v>62</v>
      </c>
      <c r="C64" s="1" t="s">
        <v>4</v>
      </c>
      <c r="D64" s="1" t="s">
        <v>113</v>
      </c>
      <c r="E64" s="1" t="s">
        <v>230</v>
      </c>
    </row>
    <row r="65" spans="1:5">
      <c r="A65" s="2" t="s">
        <v>157</v>
      </c>
      <c r="B65" s="1" t="s">
        <v>43</v>
      </c>
      <c r="C65" s="1" t="s">
        <v>4</v>
      </c>
      <c r="D65" s="1" t="s">
        <v>115</v>
      </c>
      <c r="E65" s="1" t="s">
        <v>228</v>
      </c>
    </row>
    <row r="66" spans="1:5">
      <c r="A66" s="2" t="s">
        <v>182</v>
      </c>
      <c r="B66" s="1" t="s">
        <v>68</v>
      </c>
      <c r="C66" s="1" t="s">
        <v>4</v>
      </c>
      <c r="D66" s="1" t="s">
        <v>112</v>
      </c>
      <c r="E66" s="1"/>
    </row>
    <row r="67" spans="1:5">
      <c r="A67" s="2" t="s">
        <v>183</v>
      </c>
      <c r="B67" s="1" t="s">
        <v>69</v>
      </c>
      <c r="C67" s="1" t="s">
        <v>4</v>
      </c>
      <c r="D67" s="1" t="s">
        <v>116</v>
      </c>
      <c r="E67" s="1" t="s">
        <v>225</v>
      </c>
    </row>
    <row r="68" spans="1:5">
      <c r="A68" s="2" t="s">
        <v>184</v>
      </c>
      <c r="B68" s="1" t="s">
        <v>70</v>
      </c>
      <c r="C68" s="1" t="s">
        <v>4</v>
      </c>
      <c r="D68" s="1" t="s">
        <v>461</v>
      </c>
      <c r="E68" s="1"/>
    </row>
    <row r="69" spans="1:5">
      <c r="A69" s="2" t="s">
        <v>158</v>
      </c>
      <c r="B69" s="1" t="s">
        <v>44</v>
      </c>
      <c r="C69" s="1" t="s">
        <v>4</v>
      </c>
      <c r="D69" s="1" t="s">
        <v>115</v>
      </c>
      <c r="E69" s="1" t="s">
        <v>228</v>
      </c>
    </row>
    <row r="70" spans="1:5">
      <c r="A70" s="2" t="s">
        <v>186</v>
      </c>
      <c r="B70" s="1" t="s">
        <v>72</v>
      </c>
      <c r="C70" s="1" t="s">
        <v>4</v>
      </c>
      <c r="D70" s="1"/>
      <c r="E70" s="1"/>
    </row>
    <row r="71" spans="1:5">
      <c r="A71" s="2" t="s">
        <v>187</v>
      </c>
      <c r="B71" s="1" t="s">
        <v>73</v>
      </c>
      <c r="C71" s="1" t="s">
        <v>4</v>
      </c>
      <c r="D71" s="1"/>
      <c r="E71" s="1"/>
    </row>
    <row r="72" spans="1:5">
      <c r="A72" s="2" t="s">
        <v>188</v>
      </c>
      <c r="B72" s="1" t="s">
        <v>74</v>
      </c>
      <c r="C72" s="1" t="s">
        <v>4</v>
      </c>
      <c r="D72" s="1"/>
      <c r="E72" s="1"/>
    </row>
    <row r="73" spans="1:5">
      <c r="A73" s="2" t="s">
        <v>189</v>
      </c>
      <c r="B73" s="1" t="s">
        <v>75</v>
      </c>
      <c r="C73" s="1" t="s">
        <v>4</v>
      </c>
      <c r="D73" s="1"/>
      <c r="E73" s="1"/>
    </row>
    <row r="74" spans="1:5">
      <c r="A74" s="2" t="s">
        <v>190</v>
      </c>
      <c r="B74" s="1" t="s">
        <v>76</v>
      </c>
      <c r="C74" s="1" t="s">
        <v>4</v>
      </c>
      <c r="D74" s="1"/>
      <c r="E74" s="1"/>
    </row>
    <row r="75" spans="1:5">
      <c r="A75" s="2" t="s">
        <v>191</v>
      </c>
      <c r="B75" s="1" t="s">
        <v>77</v>
      </c>
      <c r="C75" s="1" t="s">
        <v>4</v>
      </c>
      <c r="D75" s="1"/>
      <c r="E75" s="1"/>
    </row>
    <row r="76" spans="1:5">
      <c r="A76" s="2" t="s">
        <v>192</v>
      </c>
      <c r="B76" s="1" t="s">
        <v>78</v>
      </c>
      <c r="C76" s="1" t="s">
        <v>4</v>
      </c>
      <c r="D76" s="1"/>
      <c r="E76" s="1"/>
    </row>
    <row r="77" spans="1:5">
      <c r="A77" s="2" t="s">
        <v>193</v>
      </c>
      <c r="B77" s="1" t="s">
        <v>79</v>
      </c>
      <c r="C77" s="1" t="s">
        <v>4</v>
      </c>
      <c r="D77" s="1"/>
      <c r="E77" s="1"/>
    </row>
    <row r="78" spans="1:5">
      <c r="A78" s="2" t="s">
        <v>194</v>
      </c>
      <c r="B78" s="1" t="s">
        <v>80</v>
      </c>
      <c r="C78" s="1" t="s">
        <v>4</v>
      </c>
      <c r="D78" s="1"/>
      <c r="E78" s="1"/>
    </row>
    <row r="79" spans="1:5">
      <c r="A79" s="2" t="s">
        <v>195</v>
      </c>
      <c r="B79" s="1" t="s">
        <v>81</v>
      </c>
      <c r="C79" s="1" t="s">
        <v>4</v>
      </c>
      <c r="D79" s="1"/>
      <c r="E79" s="1"/>
    </row>
    <row r="80" spans="1:5">
      <c r="A80" s="2" t="s">
        <v>196</v>
      </c>
      <c r="B80" s="1" t="s">
        <v>82</v>
      </c>
      <c r="C80" s="1" t="s">
        <v>4</v>
      </c>
      <c r="D80" s="1"/>
      <c r="E80" s="1"/>
    </row>
    <row r="81" spans="1:5">
      <c r="A81" s="2" t="s">
        <v>197</v>
      </c>
      <c r="B81" s="1" t="s">
        <v>83</v>
      </c>
      <c r="C81" s="1" t="s">
        <v>4</v>
      </c>
      <c r="D81" s="1"/>
      <c r="E81" s="1"/>
    </row>
    <row r="82" spans="1:5">
      <c r="A82" s="2" t="s">
        <v>198</v>
      </c>
      <c r="B82" s="1" t="s">
        <v>84</v>
      </c>
      <c r="C82" s="1" t="s">
        <v>4</v>
      </c>
      <c r="D82" s="1"/>
      <c r="E82" s="1"/>
    </row>
    <row r="83" spans="1:5">
      <c r="A83" s="2" t="s">
        <v>199</v>
      </c>
      <c r="B83" s="1" t="s">
        <v>85</v>
      </c>
      <c r="C83" s="1" t="s">
        <v>4</v>
      </c>
      <c r="D83" s="1"/>
      <c r="E83" s="1"/>
    </row>
    <row r="84" spans="1:5">
      <c r="A84" s="2" t="s">
        <v>200</v>
      </c>
      <c r="B84" s="1" t="s">
        <v>86</v>
      </c>
      <c r="C84" s="1" t="s">
        <v>4</v>
      </c>
      <c r="D84" s="1" t="s">
        <v>112</v>
      </c>
      <c r="E84" s="1"/>
    </row>
    <row r="85" spans="1:5">
      <c r="A85" s="2" t="s">
        <v>201</v>
      </c>
      <c r="B85" s="1" t="s">
        <v>87</v>
      </c>
      <c r="C85" s="1" t="s">
        <v>4</v>
      </c>
      <c r="D85" s="1" t="s">
        <v>112</v>
      </c>
      <c r="E85" s="1"/>
    </row>
    <row r="86" spans="1:5">
      <c r="A86" s="2" t="s">
        <v>133</v>
      </c>
      <c r="B86" s="3" t="s">
        <v>19</v>
      </c>
      <c r="C86" s="1" t="s">
        <v>4</v>
      </c>
      <c r="D86" s="1" t="s">
        <v>111</v>
      </c>
      <c r="E86" s="1"/>
    </row>
    <row r="87" spans="1:5">
      <c r="A87" s="2" t="s">
        <v>203</v>
      </c>
      <c r="B87" s="1" t="s">
        <v>89</v>
      </c>
      <c r="C87" s="1" t="s">
        <v>4</v>
      </c>
      <c r="D87" s="1" t="s">
        <v>117</v>
      </c>
      <c r="E87" s="1" t="s">
        <v>228</v>
      </c>
    </row>
    <row r="88" spans="1:5">
      <c r="A88" s="2" t="s">
        <v>160</v>
      </c>
      <c r="B88" s="1" t="s">
        <v>46</v>
      </c>
      <c r="C88" s="1" t="s">
        <v>4</v>
      </c>
      <c r="D88" s="1" t="s">
        <v>115</v>
      </c>
      <c r="E88" s="1" t="s">
        <v>233</v>
      </c>
    </row>
    <row r="89" spans="1:5">
      <c r="A89" s="2" t="s">
        <v>161</v>
      </c>
      <c r="B89" s="1" t="s">
        <v>47</v>
      </c>
      <c r="C89" s="1" t="s">
        <v>4</v>
      </c>
      <c r="D89" s="1" t="s">
        <v>115</v>
      </c>
      <c r="E89" s="1" t="s">
        <v>234</v>
      </c>
    </row>
    <row r="90" spans="1:5">
      <c r="A90" s="2" t="s">
        <v>214</v>
      </c>
      <c r="B90" s="1" t="s">
        <v>100</v>
      </c>
      <c r="C90" s="1" t="s">
        <v>4</v>
      </c>
      <c r="D90" s="1" t="s">
        <v>111</v>
      </c>
      <c r="E90" s="1"/>
    </row>
    <row r="91" spans="1:5">
      <c r="A91" s="2" t="s">
        <v>179</v>
      </c>
      <c r="B91" s="1" t="s">
        <v>65</v>
      </c>
      <c r="C91" s="1" t="s">
        <v>4</v>
      </c>
      <c r="D91" s="1" t="s">
        <v>113</v>
      </c>
      <c r="E91" s="1" t="s">
        <v>230</v>
      </c>
    </row>
    <row r="92" spans="1:5">
      <c r="A92" s="2" t="s">
        <v>185</v>
      </c>
      <c r="B92" s="1" t="s">
        <v>71</v>
      </c>
      <c r="C92" s="1" t="s">
        <v>4</v>
      </c>
      <c r="D92" s="1" t="s">
        <v>115</v>
      </c>
      <c r="E92" s="1"/>
    </row>
    <row r="93" spans="1:5">
      <c r="A93" s="2" t="s">
        <v>217</v>
      </c>
      <c r="B93" s="1" t="s">
        <v>103</v>
      </c>
      <c r="C93" s="1" t="s">
        <v>4</v>
      </c>
      <c r="D93" s="1" t="s">
        <v>111</v>
      </c>
      <c r="E93" s="1"/>
    </row>
    <row r="94" spans="1:5">
      <c r="A94" s="2" t="s">
        <v>213</v>
      </c>
      <c r="B94" s="1" t="s">
        <v>99</v>
      </c>
      <c r="C94" s="1" t="s">
        <v>4</v>
      </c>
      <c r="D94" s="1" t="s">
        <v>111</v>
      </c>
      <c r="E94" s="1"/>
    </row>
    <row r="95" spans="1:5">
      <c r="A95" s="2" t="s">
        <v>118</v>
      </c>
      <c r="B95" s="3" t="s">
        <v>3</v>
      </c>
      <c r="C95" s="1" t="s">
        <v>4</v>
      </c>
      <c r="D95" s="1" t="s">
        <v>111</v>
      </c>
      <c r="E95" s="1"/>
    </row>
    <row r="96" spans="1:5">
      <c r="A96" s="2" t="s">
        <v>220</v>
      </c>
      <c r="B96" s="3" t="s">
        <v>106</v>
      </c>
      <c r="C96" s="1" t="s">
        <v>4</v>
      </c>
      <c r="D96" s="1" t="s">
        <v>111</v>
      </c>
      <c r="E96" s="1"/>
    </row>
    <row r="97" spans="1:5">
      <c r="A97" s="2" t="s">
        <v>212</v>
      </c>
      <c r="B97" s="1" t="s">
        <v>98</v>
      </c>
      <c r="C97" s="1" t="s">
        <v>4</v>
      </c>
      <c r="D97" s="1" t="s">
        <v>111</v>
      </c>
      <c r="E97" s="1"/>
    </row>
    <row r="98" spans="1:5">
      <c r="A98" s="2" t="s">
        <v>146</v>
      </c>
      <c r="B98" s="1" t="s">
        <v>32</v>
      </c>
      <c r="C98" s="1" t="s">
        <v>4</v>
      </c>
      <c r="D98" s="1" t="s">
        <v>111</v>
      </c>
      <c r="E98" s="1"/>
    </row>
    <row r="99" spans="1:5">
      <c r="A99" s="2" t="s">
        <v>211</v>
      </c>
      <c r="B99" s="1" t="s">
        <v>97</v>
      </c>
      <c r="C99" s="1" t="s">
        <v>4</v>
      </c>
      <c r="D99" s="1" t="s">
        <v>111</v>
      </c>
      <c r="E99" s="1"/>
    </row>
    <row r="100" spans="1:5">
      <c r="A100" s="2" t="s">
        <v>120</v>
      </c>
      <c r="B100" s="1" t="s">
        <v>6</v>
      </c>
      <c r="C100" s="1" t="s">
        <v>4</v>
      </c>
      <c r="D100" s="1" t="s">
        <v>111</v>
      </c>
      <c r="E100" s="1"/>
    </row>
    <row r="101" spans="1:5">
      <c r="A101" s="2" t="s">
        <v>221</v>
      </c>
      <c r="B101" s="1" t="s">
        <v>107</v>
      </c>
      <c r="C101" s="1" t="s">
        <v>4</v>
      </c>
      <c r="D101" s="1" t="s">
        <v>111</v>
      </c>
      <c r="E101" s="1"/>
    </row>
    <row r="102" spans="1:5">
      <c r="A102" s="2" t="s">
        <v>180</v>
      </c>
      <c r="B102" s="1" t="s">
        <v>66</v>
      </c>
      <c r="C102" s="1" t="s">
        <v>4</v>
      </c>
      <c r="D102" s="1" t="s">
        <v>113</v>
      </c>
      <c r="E102" s="1" t="s">
        <v>230</v>
      </c>
    </row>
    <row r="103" spans="1:5">
      <c r="A103" s="2" t="s">
        <v>178</v>
      </c>
      <c r="B103" s="1" t="s">
        <v>64</v>
      </c>
      <c r="C103" s="1" t="s">
        <v>4</v>
      </c>
      <c r="D103" s="1" t="s">
        <v>114</v>
      </c>
      <c r="E103" s="1" t="s">
        <v>234</v>
      </c>
    </row>
    <row r="104" spans="1:5">
      <c r="A104" s="2" t="s">
        <v>119</v>
      </c>
      <c r="B104" s="1" t="s">
        <v>5</v>
      </c>
      <c r="C104" s="1" t="s">
        <v>4</v>
      </c>
      <c r="D104" s="1" t="s">
        <v>111</v>
      </c>
      <c r="E104" s="1"/>
    </row>
    <row r="105" spans="1:5">
      <c r="A105" s="2" t="s">
        <v>215</v>
      </c>
      <c r="B105" s="1" t="s">
        <v>101</v>
      </c>
      <c r="C105" s="1" t="s">
        <v>4</v>
      </c>
      <c r="D105" s="1" t="s">
        <v>111</v>
      </c>
      <c r="E105" s="1"/>
    </row>
    <row r="106" spans="1:5">
      <c r="A106" s="2" t="s">
        <v>206</v>
      </c>
      <c r="B106" s="1" t="s">
        <v>92</v>
      </c>
      <c r="C106" s="1" t="s">
        <v>4</v>
      </c>
      <c r="D106" s="1" t="s">
        <v>111</v>
      </c>
      <c r="E106" s="1"/>
    </row>
    <row r="107" spans="1:5">
      <c r="A107" s="2" t="s">
        <v>223</v>
      </c>
      <c r="B107" s="1" t="s">
        <v>109</v>
      </c>
      <c r="C107" s="1" t="s">
        <v>4</v>
      </c>
      <c r="D107" s="1" t="s">
        <v>461</v>
      </c>
      <c r="E107" s="1"/>
    </row>
    <row r="108" spans="1:5">
      <c r="A108" t="s">
        <v>277</v>
      </c>
      <c r="B108" t="s">
        <v>278</v>
      </c>
      <c r="C108" s="1" t="s">
        <v>4</v>
      </c>
      <c r="D108" s="1" t="s">
        <v>111</v>
      </c>
    </row>
    <row r="109" spans="1:5">
      <c r="A109" t="s">
        <v>275</v>
      </c>
      <c r="B109" t="s">
        <v>276</v>
      </c>
      <c r="C109" s="1" t="s">
        <v>4</v>
      </c>
      <c r="D109" s="1" t="s">
        <v>111</v>
      </c>
    </row>
    <row r="110" spans="1:5">
      <c r="A110" t="s">
        <v>424</v>
      </c>
      <c r="B110" t="s">
        <v>423</v>
      </c>
      <c r="C110" s="1" t="s">
        <v>4</v>
      </c>
      <c r="D110" s="1" t="s">
        <v>115</v>
      </c>
      <c r="E110" t="s">
        <v>228</v>
      </c>
    </row>
    <row r="111" spans="1:5">
      <c r="A111" t="s">
        <v>280</v>
      </c>
      <c r="B111" t="s">
        <v>281</v>
      </c>
      <c r="C111" s="1" t="s">
        <v>4</v>
      </c>
      <c r="D111" s="1" t="s">
        <v>113</v>
      </c>
      <c r="E111" t="s">
        <v>230</v>
      </c>
    </row>
    <row r="112" spans="1:5">
      <c r="A112" t="s">
        <v>123</v>
      </c>
      <c r="B112" t="s">
        <v>9</v>
      </c>
      <c r="C112" s="1" t="s">
        <v>4</v>
      </c>
      <c r="D112" s="1" t="s">
        <v>111</v>
      </c>
    </row>
    <row r="113" spans="1:5">
      <c r="A113" t="s">
        <v>464</v>
      </c>
      <c r="B113" t="s">
        <v>470</v>
      </c>
      <c r="C113" s="1" t="s">
        <v>4</v>
      </c>
      <c r="D113" s="1" t="s">
        <v>111</v>
      </c>
    </row>
    <row r="114" spans="1:5">
      <c r="A114" t="s">
        <v>465</v>
      </c>
      <c r="B114" t="s">
        <v>463</v>
      </c>
      <c r="C114" s="1" t="s">
        <v>4</v>
      </c>
      <c r="D114" s="1" t="s">
        <v>115</v>
      </c>
      <c r="E114" t="s">
        <v>225</v>
      </c>
    </row>
    <row r="115" spans="1:5">
      <c r="A115" t="s">
        <v>474</v>
      </c>
      <c r="B115" t="s">
        <v>475</v>
      </c>
      <c r="C115" s="1" t="s">
        <v>4</v>
      </c>
      <c r="D115" s="1" t="s">
        <v>113</v>
      </c>
      <c r="E115" s="1" t="s">
        <v>229</v>
      </c>
    </row>
    <row r="116" spans="1:5">
      <c r="A116" t="s">
        <v>476</v>
      </c>
      <c r="B116" t="s">
        <v>477</v>
      </c>
      <c r="C116" s="1" t="s">
        <v>4</v>
      </c>
      <c r="D116" s="1" t="s">
        <v>112</v>
      </c>
    </row>
    <row r="117" spans="1:5">
      <c r="A117" s="29" t="s">
        <v>282</v>
      </c>
      <c r="B117" s="29" t="s">
        <v>283</v>
      </c>
      <c r="C117" s="1" t="s">
        <v>4</v>
      </c>
      <c r="D117" s="1" t="s">
        <v>115</v>
      </c>
      <c r="E117" t="s">
        <v>228</v>
      </c>
    </row>
  </sheetData>
  <autoFilter ref="A1:E116" xr:uid="{98EC4AFB-1507-40CE-A203-644F150F9106}"/>
  <conditionalFormatting sqref="A1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Trình bày</vt:lpstr>
      <vt:lpstr>KH 2025</vt:lpstr>
      <vt:lpstr>Dự báo</vt:lpstr>
      <vt:lpstr>tồn 30.11</vt:lpstr>
      <vt:lpstr>tồn TP 24.02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Cư, Lê Hoành</cp:lastModifiedBy>
  <dcterms:created xsi:type="dcterms:W3CDTF">2025-06-23T08:27:31Z</dcterms:created>
  <dcterms:modified xsi:type="dcterms:W3CDTF">2026-03-22T13:06:05Z</dcterms:modified>
</cp:coreProperties>
</file>