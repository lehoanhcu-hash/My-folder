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tg-my.sharepoint.com/personal/nguyenthithanhdiem_duytanrecycling_com/Documents/KTQT/15. Phòng vệ thương mại - EU/"/>
    </mc:Choice>
  </mc:AlternateContent>
  <xr:revisionPtr revIDLastSave="56" documentId="13_ncr:1_{D36D8C3F-3C81-4E26-80AE-873DF62897ED}" xr6:coauthVersionLast="47" xr6:coauthVersionMax="47" xr10:uidLastSave="{9AE3A33D-EC93-4765-A1A5-2400B426399E}"/>
  <bookViews>
    <workbookView xWindow="-108" yWindow="-108" windowWidth="30936" windowHeight="18696" firstSheet="1" activeTab="1" xr2:uid="{27B81B48-7C8E-4C5D-841E-0C337EC8CBC4}"/>
  </bookViews>
  <sheets>
    <sheet name="Sheet1" sheetId="8" r:id="rId1"/>
    <sheet name="Checklist" sheetId="7" r:id="rId2"/>
  </sheets>
  <definedNames>
    <definedName name="_xlnm._FilterDatabase" localSheetId="1" hidden="1">Checklist!$B$9:$O$122</definedName>
  </definedNames>
  <calcPr calcId="191028"/>
  <pivotCaches>
    <pivotCache cacheId="719"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7" l="1"/>
  <c r="L2" i="7"/>
  <c r="L1" i="7"/>
  <c r="L4" i="7"/>
  <c r="L3" i="7"/>
  <c r="L6" i="7" l="1"/>
  <c r="M6" i="7" s="1"/>
  <c r="M5" i="7"/>
  <c r="M3" i="7"/>
  <c r="M4" i="7"/>
  <c r="M2" i="7"/>
  <c r="M1" i="7" l="1"/>
</calcChain>
</file>

<file path=xl/sharedStrings.xml><?xml version="1.0" encoding="utf-8"?>
<sst xmlns="http://schemas.openxmlformats.org/spreadsheetml/2006/main" count="914" uniqueCount="386">
  <si>
    <t>Count of Câu hỏi liên quan</t>
  </si>
  <si>
    <t>Trạng thái</t>
  </si>
  <si>
    <t>Thời hạn cung cấp</t>
  </si>
  <si>
    <t>Phòng ban (DTR)</t>
  </si>
  <si>
    <t>Người phụ trách</t>
  </si>
  <si>
    <t>Hoàn tất</t>
  </si>
  <si>
    <t>(blank)</t>
  </si>
  <si>
    <t>Không cần kê khai</t>
  </si>
  <si>
    <t>Grand Total</t>
  </si>
  <si>
    <t>13/06/2025</t>
  </si>
  <si>
    <t>Kế toán</t>
  </si>
  <si>
    <t>Anh Hoàng</t>
  </si>
  <si>
    <t>Anh Lộc</t>
  </si>
  <si>
    <t>Kinh doanh, kế toán</t>
  </si>
  <si>
    <t>Anh Quốc Anh, anh Hoàng</t>
  </si>
  <si>
    <t>Kế toán, Cung ứng</t>
  </si>
  <si>
    <t>Anh Hoàng, Anh Minh Hoàng</t>
  </si>
  <si>
    <t>Chất lượng, kế toán</t>
  </si>
  <si>
    <t>Đoan, anh Hoàng</t>
  </si>
  <si>
    <t>Sản xuất, kế toán</t>
  </si>
  <si>
    <t>Anh Nam, anh Giang, anh Hoàng</t>
  </si>
  <si>
    <t>Sản xuất, Kỹ thuật, Kế toán</t>
  </si>
  <si>
    <t>Anh Ty, Anh Hoàng</t>
  </si>
  <si>
    <t>20/06/2025</t>
  </si>
  <si>
    <t>Xuất nhập khẩu, kinh doanh, kế toán</t>
  </si>
  <si>
    <t>Chị Tuyền, Cường, anh Hoàng</t>
  </si>
  <si>
    <t>Tổng</t>
  </si>
  <si>
    <t>Bộ phận điền xong</t>
  </si>
  <si>
    <t>Điều chỉnh</t>
  </si>
  <si>
    <t>TÀI LIỆU, THÔNG TIN CẦN CUNG CẤP ĐỂ PHỤC VỤ VỤ VIỆC ĐIỀU TRA CBPG ĐỐI VỚI SẢN PHẨM HẠT NHỰA PET XUẤT KHẨU SANG LIÊN MINH CHÂU ÂU</t>
  </si>
  <si>
    <t>Giai đoạn điều tra (IP):</t>
  </si>
  <si>
    <t>01/01 - 31/12/2024</t>
  </si>
  <si>
    <t>Còn lại</t>
  </si>
  <si>
    <t>Sản phẩm bị điều tra:</t>
  </si>
  <si>
    <t>Hạt nhựa PET có IV trên 78 ml/g theo tiêu chuẩn ISO Standard 1628-5</t>
  </si>
  <si>
    <t>Mục</t>
  </si>
  <si>
    <t>Câu hỏi liên quan</t>
  </si>
  <si>
    <t>Bảng biểu liên quan</t>
  </si>
  <si>
    <t>Nội dung / Xin cung cấp</t>
  </si>
  <si>
    <t>Phòng ban liên quan (Dự kiến)</t>
  </si>
  <si>
    <t>Xác nhận (Y/N)</t>
  </si>
  <si>
    <t>Ghi chú</t>
  </si>
  <si>
    <t>Comment của GHC</t>
  </si>
  <si>
    <t>A-1. Indentify and Communication</t>
  </si>
  <si>
    <t>Điền thông tin của DTR theo hướng dẫn tại bảng A.1, A.2</t>
  </si>
  <si>
    <t>Legal department</t>
  </si>
  <si>
    <t>Pháp chế</t>
  </si>
  <si>
    <t>Chị Mỹ</t>
  </si>
  <si>
    <t>Bộ phận điền</t>
  </si>
  <si>
    <t>A-2. Legal representative</t>
  </si>
  <si>
    <t>VBGB điền thông tin</t>
  </si>
  <si>
    <t>A-3-1,2</t>
  </si>
  <si>
    <t>A-3. Corporate information</t>
  </si>
  <si>
    <t>Điền thông tin của DTR theo hướng dẫn tại bảng A.3.1 về Legal form và Shareholders</t>
  </si>
  <si>
    <t>Điền thông tin của các cổ đông nắm trên 5% cổ phần trong giai đoạn IP</t>
  </si>
  <si>
    <t>A-3-3</t>
  </si>
  <si>
    <t>Điền thông tin của DTR theo hướng dẫn tại bảng A.3.2 về BOD</t>
  </si>
  <si>
    <t>A-3-4</t>
  </si>
  <si>
    <t>Chỉ rõ những điều kiện để cấu thành một đại hội cổ đông hợp lệ, và yêu cầu về tỉ lệ cần thiết để đưa ra quyết định trong các cuộc họp đại hội cổ đông và cuộc họp của Hội đồng Quản trị. Những quy định này có được nêu trong Điều lệ công ty hay các tài liệu khác không? Giải thích cơ quan nào đưa ra quyết định cuối cùng đối với các vấn đề quản lý của côngty.</t>
  </si>
  <si>
    <t>A-3-5</t>
  </si>
  <si>
    <t>Cung cấp các tài liệu sau:</t>
  </si>
  <si>
    <t>1. Điều lệ công ty</t>
  </si>
  <si>
    <t>Đã có</t>
  </si>
  <si>
    <t>2. Giấy ĐKKD</t>
  </si>
  <si>
    <t>3. Bằng chứng chứng minh việc đăng ký kinh doanh với Cơ quan liên quan có thẩm quyền</t>
  </si>
  <si>
    <t>Cung cấp nếu có</t>
  </si>
  <si>
    <t>4. Đánh giá thường niên của Cơ quan liên quan có thẩm quyền đối với hồ sơ ĐKKD của công ty</t>
  </si>
  <si>
    <t>5. Biên bản họp đại hội cổ đông (lần gần nhất)</t>
  </si>
  <si>
    <t>6. Biên bản họp Hội đồng quản trị (lần gần nhất)</t>
  </si>
  <si>
    <t>7. Biên bản họp Ban kiểm soát (lần gần nhất)</t>
  </si>
  <si>
    <t>8. Giấy đăng kí cổ dông / Chứng nhận góp vốn</t>
  </si>
  <si>
    <t>9. Bằng chứng cho việc góp vốn của 05 cổ đông lớn nhất</t>
  </si>
  <si>
    <t>10. Biên bản định giá đối với vốn góp của chủ sở hữu, do một bên độc lập thực hiện</t>
  </si>
  <si>
    <t>Cung cấp nếu có 
DTR không có tài liệu này nên lựa chọn ghi là Không cần kê khai, nếu chọn không đúng thì GHC điều chỉnh lại giúp</t>
  </si>
  <si>
    <t>11. Hồ sơ thành lập công ty nộp cho Cơ quan chức năng</t>
  </si>
  <si>
    <t>A-3-6</t>
  </si>
  <si>
    <t>12. Sơ đồ phòng ban của công ty, trong đó nêu rõ phòng ban nào liên quan đến hoạt động sản xuất / kinh doanh / phân phối sản phẩm bị điều tra tại tất cả các thị trường. Sơ đồ này cần chỉ rõ các công đoạn sản xuất để tạo thành sản phẩm bị điều tra của công ty.</t>
  </si>
  <si>
    <t>Nhân sự</t>
  </si>
  <si>
    <t>Chị Liên</t>
  </si>
  <si>
    <t>A-3-7</t>
  </si>
  <si>
    <t>13. Cung cấp sơ đồ cấu trúc tập đoàn của công ty, bao gồm tất cả các công ty liên quan / liên kết dù cho có liên quan đến hoạt động sản xuất / kinh doanh / phân phối sản phẩm bị điều tra hay không</t>
  </si>
  <si>
    <t>14. Cung cấp giấy đăng ký kinh doanh hoặc các tài liệu liên quan khác để chứng minh cho thông tin về các hoạt động chính của từng công ty nêu tại Mục 13</t>
  </si>
  <si>
    <t>A-3-8</t>
  </si>
  <si>
    <t>Chỉ rõ chi tiết bất kỳ mối liên kết tài chính hoặc hợp đồng nào và các liên doanh với bất kỳ công ty, cơ quan hoặc chính phủ nào (ở cấp quốc gia, khu vực hoặc địa phương) liên quan đến nghiên cứu và phát triển (R&amp;D), sản xuất, bán hàng, cấp phép, thỏa thuận kỹ thuật và bằng sáng chế, v.v., đối với sản phẩm đang được điều tra và đính kèm bản sao các hợp đồng giữa các bên kèm theo bản dịch tiếng Anh.</t>
  </si>
  <si>
    <t>Cung cấp giải trình và chứng từ liên quan nếu có</t>
  </si>
  <si>
    <t>A-3-9</t>
  </si>
  <si>
    <t>A-9. Production</t>
  </si>
  <si>
    <t>Điền thông tin của DTR theo hướng dẫn tại bảng A.9</t>
  </si>
  <si>
    <t>Accounting department - Production &amp; Cost</t>
  </si>
  <si>
    <t>Cung cấp thông tin của tất cả các mã sản phẩm mà công ty có sản xuất và/hoặc bán trong kì điều tra, kể cả các sản phẩm không thuộc đối tượng điều tra của vụ việc</t>
  </si>
  <si>
    <t>Chưa có thông tin, DTR điền bảng A.9</t>
  </si>
  <si>
    <t>A-3-10</t>
  </si>
  <si>
    <t>A.10. Related Companies</t>
  </si>
  <si>
    <t>Điền thông tin của DTR theo hướng dẫn tại bảng A.10</t>
  </si>
  <si>
    <t>GHC đã điền thông tin theo dữ liệu hiện có. Vui lòng check &amp; confirm, đồng thời điền các thông tin còn thiếu
DTR đã check và có note trường hợp của Plascene</t>
  </si>
  <si>
    <t>A-3-11</t>
  </si>
  <si>
    <t>A.11. Legal changes</t>
  </si>
  <si>
    <t>Cung cấp thông tin chi tiết về những thay đổi trong hình thức pháp lý, cơ cấu ban lãnh đạo, phạm vi kinh doanh, vốn điều lệ và cơ cấu cổ đông kể từ khi công ty được thành lập, bao gồm cả các hoạt động và/hoặc pháp nhân mà công ty hiện tại là đơn vị kế thừa. Điền thông tin tương ứng vào bảng A.11</t>
  </si>
  <si>
    <t>A-3-12</t>
  </si>
  <si>
    <t>Liệt kê và giải thích tất cả các giấy phép mà công ty bạn bắt buộc phải có để sản xuất (bao gồm cả quyền khai thác khoáng sản), bán hàng trong nước, hoặc xuất khẩu sản phẩm đang bị điều tra. Nêu rõ liệu công ty bạn có đang chịu bất kỳ hạn chế định lượng trực tiếp hoặc gián tiếp, hoặc các hạn chế khác đối với bất kỳ hoạt động nào trong số này hay không.</t>
  </si>
  <si>
    <t>A-3-13</t>
  </si>
  <si>
    <t>Mô tả các trường hợp mà giấy phép kinh doanh và/hoặc Giấy chứng nhận đăng ký doanh nghiệp của công ty có thể bị thu hồi. Công ty đã từng bị thu hồi trong trường hợp nào chưa?</t>
  </si>
  <si>
    <t>A-3-14</t>
  </si>
  <si>
    <t>Nêu rõ liệu công ty có phải là thành viên của Phòng Thương mại (Chamber of Commerce) có liên quan hoặc bất kỳ tổ chức đại diện nào khác hay không. Nếu có, vui lòng cung cấp bản sao giấy chứng nhận đăng ký với Phòng Thương mại tương ứng cùng với các tài liệu liên quan (kèm theo bản dịch tiếng Anh).</t>
  </si>
  <si>
    <t>B-1</t>
  </si>
  <si>
    <t>B-1. Scope of the investigation</t>
  </si>
  <si>
    <t>B-2-1</t>
  </si>
  <si>
    <t>B-2. Product specification</t>
  </si>
  <si>
    <t>Điền bảng quy đổi PCN cho tất cả các mã sản phẩm bị điều tra có sản xuất và/hoặc bán của công ty. Điền theo mẫu của bảng B.2.3</t>
  </si>
  <si>
    <t>Technical / QC department</t>
  </si>
  <si>
    <t>Yes</t>
  </si>
  <si>
    <t>Theo GHC hiểu thì toàn bộ các mã sản phẩm hàng điều tra của DTR đều thuộc mã R100. Vui lòng xác nhận</t>
  </si>
  <si>
    <t>B-2-2</t>
  </si>
  <si>
    <t>Điền thông tin theo hướng dẫn tại bảng B-2</t>
  </si>
  <si>
    <t>Accounting department - Sales</t>
  </si>
  <si>
    <t>Trong sheet "data doanh thu", vui lòng giải thích những dòng không có mã sản phẩm và tên sản phẩm tại cột T đến cột W</t>
  </si>
  <si>
    <t>B-2-3</t>
  </si>
  <si>
    <t>Cung cấp bảng mô tả về hệ thống mã sản phẩm của công ty, ý nghĩa từng ký tự trong mã sản phẩm</t>
  </si>
  <si>
    <t>Chất lượng</t>
  </si>
  <si>
    <t>Đoan</t>
  </si>
  <si>
    <t>B-2-4</t>
  </si>
  <si>
    <t>Có trường hợp nào mà cùng một loại sản phẩm nhưng được đưa vào hai mã sản phẩm khác nhau khi bán tại hai thị trường khác nhau không? Nếu có, công ty cần làm bảng đối chiếu giữa các mã sản phẩm tương đồng như vậy</t>
  </si>
  <si>
    <t>Đang liên hệ kế toán</t>
  </si>
  <si>
    <t>B-2-5</t>
  </si>
  <si>
    <t>Nếu việc bán hàng cho khách hàng độc lập tại Liên minh Châu Âu hoặc tại thị trường nội địa được thực hiện thông qua một công ty có liên quan, vui lòng cung cấp bảng đối chiếu mã sản phẩm sản xuất và mã sản phẩm trên hóa đơn bán hàng của công ty bạn với mã sản phẩm tương ứng trên hóa đơn của công ty có liên quan.</t>
  </si>
  <si>
    <t>Chất lượng, Kinh doanh</t>
  </si>
  <si>
    <t>Anh Quốc Anh, Đoan</t>
  </si>
  <si>
    <t>No</t>
  </si>
  <si>
    <t>Không thực hiện với không ty liên quan khác</t>
  </si>
  <si>
    <t>B-2-6</t>
  </si>
  <si>
    <t>Cung cấp brochure/catalogue liên quan đến sản phẩm bị điều tra của công ty</t>
  </si>
  <si>
    <t>MKT</t>
  </si>
  <si>
    <t>Hiếu</t>
  </si>
  <si>
    <t>C-1</t>
  </si>
  <si>
    <t>C-1. Turnover</t>
  </si>
  <si>
    <t>Cung cấp thông tin theo hướng dẫn tại bảng C.1</t>
  </si>
  <si>
    <t>Lưu ý:
- Doanh thu ở đây là net of all discount and free of taxes
- Nếu doanh thu của công ty được hợp nhất với công ty khác để làm ra báo cáo tài chính hợp nhất, vui lòng cung cấp số liệu về doanh thu hợp nhất sử dụng cùng format của bảng C.1</t>
  </si>
  <si>
    <t>Net sales của năm 2022 không khớp với BCTC</t>
  </si>
  <si>
    <t>C-2</t>
  </si>
  <si>
    <t>C-2. Q&amp;V</t>
  </si>
  <si>
    <t>Cung cấp thông tin theo hướng dẫn tại bảng C.2</t>
  </si>
  <si>
    <t>Nếu có công ty liên quan / liên kết có bán sản phẩm bị điều tra tại thị trường nội địa hoặc xuất khẩu sang EU, cần thực hiện việc công hợp số liệu của các công ty đó để tạo thành một bảng số liệu cộng hợp theo format của bảng C.2</t>
  </si>
  <si>
    <t>Từ ô K36, chưa cộng total cho dữ liệu xuất khẩu sang các nước khác ngoài EU (cả qty và value)</t>
  </si>
  <si>
    <t>C-3-1</t>
  </si>
  <si>
    <t>C-3. Production and Capacity</t>
  </si>
  <si>
    <t>Cung cấp thông tin theo hướng dẫn tại bảng C.3</t>
  </si>
  <si>
    <t>Công ty cung cấp thêm báo cáo sản xuất all products =&gt; Lọc ra các mặt hàng điều tra =&gt; Link được công thức ra "Actual production volume"</t>
  </si>
  <si>
    <t>C-3-2</t>
  </si>
  <si>
    <t>Giải thích phương pháp tính toán số liệu về công suất thiết kế của công ty (capacity)</t>
  </si>
  <si>
    <t>Manufacturing department</t>
  </si>
  <si>
    <t>Phương đã gửi file, Anh Hoàng điều chỉnh</t>
  </si>
  <si>
    <t>C-3-3</t>
  </si>
  <si>
    <t>Giải thích chi tiết về kế hoạch gia tăng công suất sản xuất sản phẩm bị điều tra tại VN, EU hoặc bất kỳ nước thứ ba nào</t>
  </si>
  <si>
    <t>Anh Ty đã gửi, anh Hoàng điều chỉnh</t>
  </si>
  <si>
    <t>C-3-4</t>
  </si>
  <si>
    <t>Giải thích liệu công suất sản xuất nêu trên có thể được sử dụng để sản xuất các sản phẩm khác ngoài sản phẩm đang bị điều tra hay không. Giải thích phương pháp được sử dụng để phân bổ công suất sản xuất trong trường hợp này.</t>
  </si>
  <si>
    <t>Sản xuất</t>
  </si>
  <si>
    <t>Anh Nam, chị Lan</t>
  </si>
  <si>
    <t>Apart from the product currently under investigation, the production capacity of the plant can be used for another item (WSS03G).  The method used to allocate production capacity in this event shall base on available resources, inventory levels, and the Sales &amp; Operations Planning (S&amp;OP) forecast to distribute the production plan</t>
  </si>
  <si>
    <t>Cần nêu rõ xem sản phẩm WSS03G là loại sản phẩm gì?
Nêu rõ phương pháp phân bổ công suất cho hàng điều tra, đính kèm bảng tính cụ thể và giải trình về tỉ lệ phân bổ sử dụng</t>
  </si>
  <si>
    <t>C-3-5</t>
  </si>
  <si>
    <t>Cung cấp thông tin về tỉ lệ phế liệu sinh ra trong quá trình sản xuất sản phẩm bị điều tra của công ty</t>
  </si>
  <si>
    <t>C-4</t>
  </si>
  <si>
    <t>C-4. Stocks</t>
  </si>
  <si>
    <t>Cung cấp thông tin theo hướng dẫn tại bảng C.4</t>
  </si>
  <si>
    <t>1. Tổng giá trị thành phẩm trong sheet "C4. Stock-data" không khớp với BCTC do DTR đang sử dụng giá trị sau khi điều chỉnh cut-off =&gt; Tại sao lại có điều chỉnh cut-off, tại sao không dùng số liệu khớp với BCTC?
2. Dòng 6,7 sheet "C.4 Stocks" là số liệu đầu kỳ và cuối kỳ của hàng điều tra cho năm tài chính 2023 (Công ty đang kê khai số liệu 2024)</t>
  </si>
  <si>
    <t>C-5</t>
  </si>
  <si>
    <t>C-5. Employment</t>
  </si>
  <si>
    <t>Cung cấp thông tin theo hướng dẫn tại bảng C.5</t>
  </si>
  <si>
    <t>HR department</t>
  </si>
  <si>
    <t>Cung cấp thông tin về số lao động bình quân trong mỗi kì (có thể tính bình quân theo tháng), chứ không lấy số lao động tại một thời điểm cuối mỗi kỳ</t>
  </si>
  <si>
    <t xml:space="preserve">1. Công ty link công thức từ file Nhập-xuất-tồn hoặc Báo cáo sản xuất để có được số liệu sản xuất của từng nhóm sản phẩm =&gt; Số lượng sản xuất của hàng điều tra cần khớp với data sheet C.3
2. Tổng số lượng bán dòng 30 trong sheet "Nhân sự" đang lệch với số liệu trên sheet "Data doanh thu"
</t>
  </si>
  <si>
    <t>C-6</t>
  </si>
  <si>
    <t>C-6. Acquisition of assets</t>
  </si>
  <si>
    <t>Cung cấp thông tin theo hướng dẫn tại bảng C.6</t>
  </si>
  <si>
    <t>Accounting department - Assets</t>
  </si>
  <si>
    <t>Cung cấp thông tin về giá trị của các tài sản mà công ty mua vào có liên quan đến sản xuất / kinh doanh / phân phối sản phẩm bị điều tra</t>
  </si>
  <si>
    <t>C-7</t>
  </si>
  <si>
    <t>C-7. Total export</t>
  </si>
  <si>
    <t>Cung cấp thông tin theo hướng dẫn tại bảng C.7</t>
  </si>
  <si>
    <t>Kê khai doanh thu net of discount, credit note, free of taxes</t>
  </si>
  <si>
    <t>Sau khi update theo comments 2 sheets C.2 =&gt; cần checking khớp số tổng xuất khẩu hàng điều tra trên sheet C.2 với data của sheet C.7</t>
  </si>
  <si>
    <t>C-8</t>
  </si>
  <si>
    <t>C-8. Purchases</t>
  </si>
  <si>
    <t>Cung cấp thông tin theo hướng dẫn tại bảng C.8</t>
  </si>
  <si>
    <t>Accounting department - Purchases</t>
  </si>
  <si>
    <t>Ko mua thành phẩm nên ko cần kê khai</t>
  </si>
  <si>
    <r>
      <t xml:space="preserve">Kê khai các giao dịch mua vào hàng hóa bị điều tra </t>
    </r>
    <r>
      <rPr>
        <b/>
        <u/>
        <sz val="11"/>
        <color theme="1"/>
        <rFont val="Calibri"/>
        <family val="2"/>
        <scheme val="minor"/>
      </rPr>
      <t>dạng thành phẩm</t>
    </r>
  </si>
  <si>
    <t>D-1-1</t>
  </si>
  <si>
    <t>D-1. General Information</t>
  </si>
  <si>
    <t>Cung cấp quy trình bán hàng và quy trình xuất hóa đơn tại thị trường EU của công ty, bao gồm từ việc hỏi hàng, chào giá, ... cho đến khi hàng hóa được giao đến khách hàng.</t>
  </si>
  <si>
    <t>Domestic sales department</t>
  </si>
  <si>
    <t>Đã điền file PDF Sales Process</t>
  </si>
  <si>
    <t>Cung cấp danh sách các khách hàng mà công ty bán hàng hóa bị điều tra tại thị trường EU trong giai đoạn IP, sau đó phân loại từng khách hàng thành các nhóm sau:
- 1 = NHÀ SẢN XUẤT
- 2 = NHÀ PHÂN PHỐI 
- 3 = NHÀ BÁN BUÔN 
- 4 = NHÀ BÁN LẺ 
- 5 = LOẠI KHÁC</t>
  </si>
  <si>
    <t>Đã gửi anh Danh, kế toán điền tiếp</t>
  </si>
  <si>
    <t>D-1-2</t>
  </si>
  <si>
    <t>Cung cấp quy trình đàm phán giá bán với khách hàng, từ những trao đổi đầu tiên với khách hàng cho đến và bao gồm cả các điều chỉnh giá sau bán hàng (nếu có). Nếu quy trình bán hàng này khác nhau giữa các nhóm khách hàng, hãy mô tả quy trình với từng nhóm khách hàng một cách riêng biệt.</t>
  </si>
  <si>
    <t>Kinh doanh</t>
  </si>
  <si>
    <t>Anh Quốc Anh</t>
  </si>
  <si>
    <t>Đã điền file PDF Price Negotiation</t>
  </si>
  <si>
    <t>D-1-3</t>
  </si>
  <si>
    <t>Có bất kỳ hạn chế nào đối với hoạt động bán hàng trong nước không? Nếu có, những điều kiện này được quy định trong tài liệu nào? Công ty có cần giấy phép nào để bán nội địa sản phẩm bị điều tra hay không?</t>
  </si>
  <si>
    <t xml:space="preserve">1) Vietnamese consumer behavior has not accepted recycled plastic in packaging  
2) There is no strong EPR policy domestically  
3) There are no standards for recycled plastic content in packaging. 
4) There are no clear standards for recycled packaging.  
5) Consumers demand quality products with bright colors. </t>
  </si>
  <si>
    <t>Có thể là những quy định liên quan đến tiêu chuẩn kĩ thuật đối với sản phẩm PET tái chế, hoặc đối với sản phẩm PET nói chung. Vui lòng trả lời</t>
  </si>
  <si>
    <t>D-1-4</t>
  </si>
  <si>
    <t>Giải thích liệu việc sản xuất có bắt đầu sau khi đã thống nhất với khách hàng về các thông số kỹ thuật của sản phẩm và các điều khoản bán hàng, hay sẽ được thực hiện theo lịch trình sản xuất thông thường của công ty.</t>
  </si>
  <si>
    <t>Kinh doanh, Sản xuất</t>
  </si>
  <si>
    <t>Cường, anh Nam</t>
  </si>
  <si>
    <t xml:space="preserve">​​We offer both make-to-order (customized resin) and make-to-stock (the common resin).​ </t>
  </si>
  <si>
    <t>D-1-5</t>
  </si>
  <si>
    <t>Công ty có sử dụng bảng giá khi bán sản phẩm bị điều tra tại thị trường nội địa không? Nếu có, vui lòng cung cấp bản sao của tất cả các bảng giá (bằng tiếng Anh hoặc có bản dịch tiếng Anh) đã được ban hành hoặc sử dụng trong thời kỳ IP cho tất cả các loại khách hàng trên thị trường nội địa,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t>
  </si>
  <si>
    <t xml:space="preserve">​​We have no specific price book​ for EU and Dosmetic Market </t>
  </si>
  <si>
    <t>D-2-1</t>
  </si>
  <si>
    <t>D-2. Sales to independent and related customers</t>
  </si>
  <si>
    <t>Điền thông tin theo hướng dẫn tại bảng D-2</t>
  </si>
  <si>
    <t>Accounting department - Domestic sales</t>
  </si>
  <si>
    <t>D-2-2</t>
  </si>
  <si>
    <t>Vui lòng cung cấp bản sao của ba hóa đơn bán hàng cho ba khách hàng độc lập khác nhau và, nếu có, ba hóa đơn bán hàng cho ba khách hàng liên kết khác nhau (kèm theo các đơn đặt hàng tương ứng) liên quan đến các giao dịch bán hàng trên thị trường nội địa trong thời kỳ điều tra (bằng tiếng Anh hoặc có bản dịch tiếng Anh).</t>
  </si>
  <si>
    <t>D-3-1</t>
  </si>
  <si>
    <t>D-3. Sales of related parties to independent customers</t>
  </si>
  <si>
    <t>Trong trường hợp DTR có bán hàng cho công ty liên kết và công ty liên kết đó bán lại cho khách hàng độc lập tại Việt Nam, vui lòng điền thông tin theo hướng dẫn tại bảng D-3</t>
  </si>
  <si>
    <t>không có</t>
  </si>
  <si>
    <t>Theo GHC hiểu thì không có trường hợp này. DTR vui lòng xác nhận</t>
  </si>
  <si>
    <t>D-3-2</t>
  </si>
  <si>
    <t>Vui lòng cung cấp bản sao của ba hóa đơn của các công ty có liên quan của bạn cho ba khách hàng khác nhau (kèm theo các đơn đặt hàng mua và bán tương ứng) liên quan đến các giao dịch bán hàng trên thị trường nội địa trong thời kỳ điều tra (bằng tiếng Anh hoặc có bản dịch tiếng Anh).</t>
  </si>
  <si>
    <t>E-1-1</t>
  </si>
  <si>
    <t>E-1. General information</t>
  </si>
  <si>
    <t>Cung cấp quy trình bán hàng và quy trình xuất hóa đơn tại thị trường EU và các thị trường khác của công ty, bao gồm từ việc hỏi hàng, chào giá, ... cho đến khi hàng hóa được giao đến khách hàng.</t>
  </si>
  <si>
    <t>Export sales department</t>
  </si>
  <si>
    <t>Cung cấp danh sách các khách hàng mà công ty bán hàng hóa bị điều tra tại thị trường nội địa trong giai đoạn IP, sau đó phân loại từng khách hàng thành các nhóm sau:
- 1 = NHÀ SẢN XUẤT
- 2 = NHÀ PHÂN PHỐI 
- 3 = NHÀ BÁN BUÔN 
- 4 = NHÀ BÁN LẺ 
- 5 = LOẠI KHÁC</t>
  </si>
  <si>
    <t>Có sự khác biệt nào về giá bán cho từng đối tượng khách hàng / hay từng nhóm khách hàng tại thị trường EU hay không</t>
  </si>
  <si>
    <t>E-1-2</t>
  </si>
  <si>
    <t>E-1-3</t>
  </si>
  <si>
    <t>Có bất kỳ hạn chế nào đối với hoạt động xuất khẩu không? Nếu có, những văn bản nào quy định các điều kiện cho hoạt động xuất khẩu của công ty? Công ty có cần giấy phép xuất khẩu không?</t>
  </si>
  <si>
    <t>không có, tùy theo nhu cầu khách hàng thì có các chứng nhận sau: RecyClass, REACH, GRS, EFSA</t>
  </si>
  <si>
    <t>E-1-4</t>
  </si>
  <si>
    <t>Nếu hoạt động bán hàng của công ty bạn được thực hiện theo hợp đồng (dài hạn hoặc ngắn hạn), vui lòng mô tả chi tiết quy trình đàm phán và thống nhất các điều khoản trong hợp đồng, bao gồm giá cả và số lượng. Mô tả từng loại hợp đồng áp dụng cho sản phẩm đang bị điều tra, bao gồm các điều khoản, yêu cầu về việc thay đổi giá hoặc đàm phán lại từ một trong hai bên, v.v. Giải thích các nghĩa vụ của mỗi bên trong trường hợp hợp đồng bị chấm dứt trước thời hạn.</t>
  </si>
  <si>
    <t xml:space="preserve">​​Price and renegotiation after the final contract are not allowed. </t>
  </si>
  <si>
    <t>E-1-5</t>
  </si>
  <si>
    <t>Kinh doanh, Chất lượng, Sản xuất</t>
  </si>
  <si>
    <t>Anh Quốc Anh, Đoan, Nam</t>
  </si>
  <si>
    <t>DTR kiểm tra lại xem hàng xuất khẩu cũng có thể đc sản xuất theo dạng make-to-stock à? Bình thường hàng xuất khẩu sẽ 100% là make-to-order</t>
  </si>
  <si>
    <t>E-1-6</t>
  </si>
  <si>
    <t>Công ty có sử dụng bảng giá khi bán sản phẩm bị điều tra tại thị trường EU và các quốc gia khác không? Nếu có, vui lòng cung cấp bản sao của tất cả các bảng giá (bằng tiếng Anh hoặc có bản dịch tiếng Anh) đã được ban hành hoặc sử dụng trong thời kỳ IP cho tất cả các loại khách hàng trên thị trường EU và các quốc gia khác,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t>
  </si>
  <si>
    <t>E-1-7</t>
  </si>
  <si>
    <t>Nếu công ty bạn thuộc diện áp dụng chương trình hoàn thuế GTGT hoặc thuế xuất khẩu đối với sản phẩm đang bị điều tra, vui lòng cung cấp đầy đủ thông tin (bao gồm bản sao các chứng từ kế toán và các tài liệu hỗ trợ khác). Liệt kê các tài liệu bắt buộc để yêu cầu hoàn thuế GTGT hoặc thuế xuất khẩu tương đương.</t>
  </si>
  <si>
    <t>Đã chuyển thông tin và xác nhận anh Lộc thực hiện</t>
  </si>
  <si>
    <t>E-1-8</t>
  </si>
  <si>
    <t>Đối với tất cả các giao dịch bán hàng thông qua các công ty có liên quan, vui lòng mô tả chi tiết cách thức thực hiện giao dịch, bao gồm quy trình từ thời điểm đặt hàng đến khi giao hàng cho khách hàng độc lập đầu tiên. Giải thích đầy đủ cách lập hóa đơn và thanh toán được thực hiện như thế nào.</t>
  </si>
  <si>
    <t>anh Quốc Anh</t>
  </si>
  <si>
    <t>E-2-1</t>
  </si>
  <si>
    <t>E-2. Sales to independent customers in the European Union</t>
  </si>
  <si>
    <t>Điền thông tin vào bảng E-2 theo hướng dẫn</t>
  </si>
  <si>
    <t>Accounting department - Export sales</t>
  </si>
  <si>
    <t>E-2-2</t>
  </si>
  <si>
    <t>Đối với các giao dịch bán hàng không được thực hiện theo điều kiện CIF, vui lòng giải thích cách công ty ước tính giá CIF tương ứng tại bảng E-2. Giữ nguyên các công thức tính toán trong bảng E-2.</t>
  </si>
  <si>
    <t>E-2-3</t>
  </si>
  <si>
    <t>Vui lòng cung cấp bản sao của ba hóa đơn bán hàng cho ba khách hàng độc lập khác nhau (kèm theo các đơn đặt hàng tương ứng và tờ khai hải quan xuất khẩu) liên quan đến các giao dịch bán hàng tại thị trường Liên minh Châu Âu (bằng tiếng Anh hoặc có bản dịch tiếng Anh).</t>
  </si>
  <si>
    <t>đợi kế toán, kinh doanh xác nhận tên khách hàng</t>
  </si>
  <si>
    <t>E-3-1</t>
  </si>
  <si>
    <t>E-3. Sales to related parties in the European Union</t>
  </si>
  <si>
    <t>Điền thông tin vào bảng E-3 theo hướng dẫn</t>
  </si>
  <si>
    <t>E-3-2</t>
  </si>
  <si>
    <t>Đối với các giao dịch bán hàng không được thực hiện theo điều kiện CIF, vui lòng giải thích cách công ty ước tính giá CIF tương ứng tại bảng E-3. Giữ nguyên các công thức tính toán trong bảng E-3.</t>
  </si>
  <si>
    <t>E-3-3</t>
  </si>
  <si>
    <t>Liệt kê bất kỳ chi phí nào phát sinh tại các công ty có liên quan nhưng được công ty thanh toán hoặc hoàn trả, trực tiếp hoặc gián tiếp, bất kể chi phí đó có liên quan đến sản phẩm đang bị điều tra hay không. Giải thích chi tiết bản chất của các khoản chi phí đã liệt kê.</t>
  </si>
  <si>
    <t>E-3-4</t>
  </si>
  <si>
    <t>Vui lòng cung cấp bản sao của ba hóa đơn bán hàng cho các khách hàng có liên quan (kèm theo các đơn đặt hàng tương ứng và tờ khai hải quan xuất khẩu) liên quan đến các giao dịch bán hàng hướng đến thị trường Liên minh Châu Âu (bằng tiếng Anh hoặc có bản dịch tiếng Anh).</t>
  </si>
  <si>
    <t>không có giao dịch công ty liên kết để bán cho EU</t>
  </si>
  <si>
    <t>E-4-1</t>
  </si>
  <si>
    <t>E-4. Sales to independent customers in countries other than the European Union</t>
  </si>
  <si>
    <t>Điền thông tin vào bảng E-4 theo hướng dẫn</t>
  </si>
  <si>
    <t>Cần trao đổi với luận sư tại EU xem  có cần thiết phải trả lời bảng này không?</t>
  </si>
  <si>
    <t>E-4-2</t>
  </si>
  <si>
    <t>Đối với các giao dịch bán hàng không được thực hiện theo điều kiện CIF, vui lòng giải thích cách công ty ước tính giá CIF tương ứng tại bảng E-4. Giữ nguyên các công thức tính toán trong bảng E-4.</t>
  </si>
  <si>
    <t>E-4-3</t>
  </si>
  <si>
    <t>Vui lòng cung cấp bản sao của ba hóa đơn bán hàng cho ba khách hàng độc lập khác nhau (kèm theo các đơn đặt hàng tương ứng và tờ khai hải quan xuất khẩu) liên quan đến các giao dịch bán hàng tại các quốc gia xuất khẩu ngoài Liên minh Châu Âu (bằng tiếng Anh hoặc có bản dịch tiếng Anh).</t>
  </si>
  <si>
    <t>E-5-1</t>
  </si>
  <si>
    <t>E-5. Sales to related customers in countries other than the European Union</t>
  </si>
  <si>
    <t>Điền thông tin vào bảng E-5 theo hướng dẫn</t>
  </si>
  <si>
    <t>E-5-2</t>
  </si>
  <si>
    <t>Đối với các giao dịch bán hàng không được thực hiện theo điều kiện CIF, vui lòng giải thích cách bạn đã tính toán các giá trị CIF được ghi trong cột giá trị CIF của Bảng ROWSALRL. Đối với các giá trị CIF được tính toán, hãy cung cấp các phép tính (công thức) trong Bảng ROWSALRL.</t>
  </si>
  <si>
    <t>E-5-3</t>
  </si>
  <si>
    <t>Liệt kê bất kỳ chi phí nào do các công ty có liên quan của bạn phát sinh mà đã được công ty bạn thanh toán hoặc hoàn trả, trực tiếp hoặc gián tiếp, bất kể chi phí đó có liên quan đến sản phẩm đang được rà soát hay không. Giải thích chi tiết bản chất của các khoản chi phí đã liệt kê.</t>
  </si>
  <si>
    <t>E-5-4</t>
  </si>
  <si>
    <t>F-1-1</t>
  </si>
  <si>
    <t>F-1. Accounting system and policies</t>
  </si>
  <si>
    <t>Hằng năm, những tài liệu kế toán nào phải được nộp cho Cơ quan chức năng?</t>
  </si>
  <si>
    <t>Accounting department - General</t>
  </si>
  <si>
    <t>F-1-2</t>
  </si>
  <si>
    <t>Nêu tên các cơ quan chức năng có liên quan đến việc nộp các tài liệu này</t>
  </si>
  <si>
    <t>F-1-3,4</t>
  </si>
  <si>
    <t>Cung cấp BCTC có kiểm toán (bản Tiếng Việt - Tiếng Anh) cho 03 năm tài chính gần nhất</t>
  </si>
  <si>
    <t>F-1-5</t>
  </si>
  <si>
    <t>Mô tả ngắn gọn các yêu cầu pháp lý cơ bản như ngôn ngữ và đơn vị tiền tệ phải sử dụng trong việc ghi chép sổ sách kế toán, cũng như thời gian lưu trữ các hồ sơ kế toán và tài liệu khác (hợp đồng quan trọng, thỏa thuận, điều lệ công ty, biên bản họp hội đồng quản trị, báo cáo tài chính và báo cáo kiểm toán).</t>
  </si>
  <si>
    <t>F-1-8</t>
  </si>
  <si>
    <t>Nếu có các báo cáo tài chính nội bộ và định kỳ, báo cáo quản trị, hoặc đánh giá chi phí tiêu chuẩn được lập và lưu trữ cho sản phẩm đang bị điều tra, vui lòng cung cấp bản sao cho ba năm tài chính gần nhất.</t>
  </si>
  <si>
    <t>DTR có chuẩn bị những báo cáo này không? Vui lòng thảo luận với GHC để cân nhắc có nộp các báo cáo này không</t>
  </si>
  <si>
    <t>F-1-9</t>
  </si>
  <si>
    <t>Cung cấp bản tiếng Anh của hệ thống tài khoản kế toán (chart of accounts) cho từng đơn vị trong tập đoàn có liên quan đến việc sản xuất và/hoặc bán sản phẩm đang bị điều tra.</t>
  </si>
  <si>
    <t>F-1-10</t>
  </si>
  <si>
    <t>Cung cấp địa chỉ nơi lưu trữ hồ sơ kế toán của công ty. Nếu hồ sơ được lưu trữ tại nhiều địa điểm khác nhau, vui lòng chỉ rõ loại hồ sơ nào được lưu tại địa điểm nào. Đặc biệt, hãy chỉ rõ nơi có thể kiểm tra các dữ liệu sau:
– Kế toán tổng hợp
– Bán hàng nội địa
– Bán hàng xuất khẩu
– Giá thành sản xuất</t>
  </si>
  <si>
    <t>F-1-11</t>
  </si>
  <si>
    <t>Mô tả các nguyên tắc và thực tiễn kế toán chung của công ty bạn nếu những nội dung này chưa được đề cập trong báo cáo tài chính. Vui lòng đề cập đến các yếu tố như: tính nhất quán trong phương pháp định giá, việc phân biệt riêng biệt giữa tài sản và nợ phải trả, nguyên tắc thận trọng trong định giá, nguyên tắc hoạt động liên tục, và việc ghi nhận thu nhập và chi phí có được phản ánh đúng trong năm tài chính liên quan hay không.</t>
  </si>
  <si>
    <t>F-1-12</t>
  </si>
  <si>
    <t>Mô tả chi tiết hệ thống kế toán tài chính của công ty bạn. Giải thích liệu các thực tiễn kế toán của bạn có tuân thủ các nguyên tắc kế toán được chấp nhận chung (GAAP) tại quốc gia sản xuất hay không. Mô tả của bạn nên đề cập đến tất cả các nguyên tắc có ảnh hưởng đáng kể đến chi phí sản xuất của sản phẩm đang bị điều tra, bao gồm (nhưng không giới hạn):
a) Phương pháp định giá hàng tồn kho nguyên vật liệu, sản phẩm dở dang và thành phẩm (ví dụ: nhập trước xuất trước – FIFO, nhập sau xuất trước – LIFO, bình quân gia quyền).
b) Phương pháp ghi giảm hoặc xóa sổ hàng tồn kho đối với nguyên vật liệu và thành phẩm.
c) Tuổi thọ hữu ích trung bình của thiết bị sản xuất và phương pháp khấu hao.
d) Giá trị của hàng hóa bị hư hỏng hoặc không đạt tiêu chuẩn trong các giai đoạn sản xuất khác nhau.
e) Lãi/lỗ tỷ giá hối đoái từ các giao dịch và từ việc điều chỉnh cuối năm tài chính (định giá các số dư ngoại tệ). Giải thích tỷ giá nào được sử dụng để quy đổi các giao dịch mua bán bằng ngoại tệ sang nội tệ. Chỉ rõ ngày xác định tỷ giá và nguồn tỷ giá được sử dụng. Nêu rõ đồng tiền được sử dụng để lập hóa đơn xuất khẩu.
f) Khấu hao nhanh.
g) Việc vốn hóa chi phí chung và/hoặc chi phí lãi vay.
h) Dự phòng nợ xấu.
i) Chi phí tái cấu trúc.</t>
  </si>
  <si>
    <t>Tham khảo phần thuyết minh trong BCTC về chính sách kế toán của công ty để trả lời</t>
  </si>
  <si>
    <t>F-1-13</t>
  </si>
  <si>
    <t>Nếu bất kỳ phương pháp kế toán nào của công ty bạn đã thay đổi trong ba năm tài chính gần đây, vui lòng giải thích chi tiết từng thay đổi, ngày thay đổi và lý do thay đổi.</t>
  </si>
  <si>
    <t>F-1-14</t>
  </si>
  <si>
    <t>Mô tả hệ thống kế toán chi phí mà công ty bạn sử dụng để ghi nhận chi phí sản xuất của sản phẩm đang bị điều tra. Mô tả của bạn nên bao gồm:
a) Mô tả chung về phương pháp kế toán chi phí của công ty liên quan đến việc phân bổ chi phí sản xuất cho từng đơn vị sản phẩm. Hệ thống kế toán chi phí này có tích hợp với hệ thống kế toán tài chính dùng để lập báo cáo tài chính không?
b) Nếu công ty sử dụng hệ thống giá thành theo định mức, mô tả các khía cạnh sau:
(i) Các loại chênh lệch (variances) được ghi nhận và cách chúng được sử dụng trong báo cáo quản trị;
(ii) Thời kỳ tính toán và ghi nhận các chênh lệch;
(iii) Phương pháp xây dựng chi phí tiêu chuẩn;
(iv) Tần suất cập nhật chi phí tiêu chuẩn, bao gồm ngày cập nhật gần nhất.
c) Nếu có, cho biết liệu chi phí tiêu chuẩn (standard cost) có được sử dụng trong hồ sơ trả lời hay không và liệu tất cả các chênh lệch giữa chi phí tiêu chuẩn và thực tế có được phân bổ đầy đủ không. Giải thích chi tiết phương pháp phân bổ và các chênh lệch chi phí đáng kể (nếu có) trong thời kỳ điều tra.
d) Nếu có, cung cấp danh sách các trung tâm chi phí (cost center) trực tiếp hoặc yếu tố chi phí trong hệ thống kế toán chi phí. Giải thích bản chất của các trung tâm/yếu tố này.
e) Nếu có, cung cấp danh sách các trung tâm chi phí gián tiếp. Giải thích bản chất của các chi phí gián tiếp được ghi nhận tại mỗi trung tâm và phương pháp phân bổ các chi phí này cho trung tâm chi phí trực tiếp và sản phẩm bị điều tra.
f) Phương pháp phân bổ chi phí cho các đơn vị tổ chức trong công ty (ví dụ: chi phí công ty mẹ phân bổ cho công ty con, chi phí tập đoàn phân bổ cho nhà máy, bộ phận sản phẩm, phân bổ giữa các nhà máy).
g) Phương pháp ghi nhận phế phẩm, hàng hỏng, hàng không đạt tiêu chuẩn trong từng giai đoạn sản xuất. Nêu rõ phương pháp ghi nhận chi phí tái chế (rework).
h) Phương pháp định giá và ghi nhận chi phí bán hàng, nguyên vật liệu, sản phẩm dở dang và thành phẩm.
i) Cung cấp danh sách các chi phí được định giá hoặc xử lý khác nhau giữa kế toán chi phí và kế toán tài chính. Chỉ rõ sự khác biệt và giải thích lý do.</t>
  </si>
  <si>
    <t>Theo GHC hiểu thì DTR sửa dụng phương pháp giá thành thực tế chứ không sử dụng giá thành định mức. DTR vui lòng xác nhận</t>
  </si>
  <si>
    <t>F-1-15</t>
  </si>
  <si>
    <t>Mô tả cách xử lý kế toán đối với chiết khấu, khoản hoàn cuối năm, bao gồm cả các khoản chiết khấu theo số lượng. Vui lòng cho biết các khoản này có được ghi nhận trong tài khoản doanh thu bán hàng và ảnh hưởng đến doanh thu thuần trên báo cáo kết quả kinh doanh hay được ghi nhận vào chi phí và tính vào giá vốn bán hàng.</t>
  </si>
  <si>
    <t>F-1-16</t>
  </si>
  <si>
    <t>Nêu năm tài chính của công ty bạn. Nếu có thay đổi trong ba năm tài chính gần đây, vui lòng giải thích lý do và nội dung thay đổi.</t>
  </si>
  <si>
    <t>F-2-1</t>
  </si>
  <si>
    <t>F - 2. Production process and cost of production of the product under investigation</t>
  </si>
  <si>
    <t>Mô tả quy trình sản xuất của sản phẩm đang được điều tra. Phần mô tả của bạn nên bao gồm các nội dung sau:
a) Mô tả cơ sở sản xuất của công ty bạn. Nếu việc sản xuất hoặc các giai đoạn của quy trình sản xuất diễn ra tại nhiều cơ sở, hãy liệt kê tất cả các cơ sở và giải thích các hoạt động sản xuất tại các cơ sở chính. Giải thích xem các giai đoạn của quy trình sản xuất có được thuê ngoài hay không.
b) Giải thích quy trình sản xuất của sản phẩm đang được điều tra như được sản xuất và bán bởi công ty bạn, và đính kèm sơ đồ quy trình sản xuất đầy đủ, bao gồm mô tả từng giai đoạn trong quy trình.
c) Mô tả tính chất của các nguyên liệu đầu vào chính trong quy trình sản xuất và mối quan hệ của bạn với nhà cung cấp (có liên kết hay không). Chỉ rõ liệu các nguyên liệu hoặc bộ phận đầu vào này có được nhập khẩu hay không và giá trị đầu vào có bao gồm chi phí nhập khẩu và thuế gián tiếp (đối với cả hàng xuất khẩu và tiêu thụ nội địa).
d) Báo cáo số ngày trung bình mà sản phẩm đang được điều tra được lưu kho trước khi bán.
e) Xác định bất kỳ sản phẩm nào khác được sản xuất bởi công ty bạn tại cùng cơ sở sản xuất với sản phẩm đang được điều tra.
f) Xác định các sản phẩm phụ chính phát sinh từ quá trình sản xuất sản phẩm đang được điều tra và mô tả mục đích sử dụng của chúng.
g) Nếu một dây chuyền sản xuất hoặc thiết bị chính đã bị ngừng hoạt động, hãy cung cấp chi tiết về những gì đã xảy ra với dây chuyền hoặc thiết bị đó.</t>
  </si>
  <si>
    <r>
      <t xml:space="preserve">a/b/ Chị Lan: hoàn tất GHC ok
c/ Đoan: hoàn tất GHC ok
</t>
    </r>
    <r>
      <rPr>
        <sz val="11"/>
        <color rgb="FFFF0000"/>
        <rFont val="Calibri"/>
        <family val="2"/>
        <scheme val="minor"/>
      </rPr>
      <t>d/ Anh Hoàng Kế toán</t>
    </r>
    <r>
      <rPr>
        <sz val="11"/>
        <color theme="1"/>
        <rFont val="Calibri"/>
        <family val="2"/>
        <scheme val="minor"/>
      </rPr>
      <t xml:space="preserve">
e/ Chị Lan: hoàn tất GHC ok
f/ Chị Lan: hoàn tất GHC ok
g/ Không có!</t>
    </r>
  </si>
  <si>
    <t>F-2-2</t>
  </si>
  <si>
    <t>Điền thông tin được yêu cầu theo hướng dẫn tại bảng F-2. COP Overview</t>
  </si>
  <si>
    <t>Lưu ý: Sản lượng tại bảng F-2 phải khớp với sản lượng tại bảng C-3</t>
  </si>
  <si>
    <t>Số lượng hàng điều tra thực tế sản xuất năm 2023 và 2024 không khớp với số liệu kê khai ở sheet C.3 Production &amp; Capacity của Table C</t>
  </si>
  <si>
    <t>F-2-3</t>
  </si>
  <si>
    <t>Nếu công ty có quy trình sản xuất tích hợp theo chiều dọc (nguyên liệu đầu vào tự sản xuất trong công ty), hoặc một số nguyên liệu đầu vào (ví dụ: nguyên liệu chính, bán thành phẩm, năng lượng) được sản xuất bởi công ty liên kết, vui lòng hoàn thành bảng 'Tổng quan COP' cho từng sản phẩm đầu vào được khai thác hoặc sản xuất, bao gồm cả các 'nguyên liệu' hoặc 'bộ phận' cơ bản được xác định trong bảng tại mục 2 ở trên.</t>
  </si>
  <si>
    <t>F-2-4</t>
  </si>
  <si>
    <t>Điền thông tin được yêu cầu theo hướng dẫn tại bảng F-2. DM-COP</t>
  </si>
  <si>
    <t>F-2-5</t>
  </si>
  <si>
    <t>Điền thông tin được yêu cầu theo hướng dẫn tại bảng F-2. EU-COP</t>
  </si>
  <si>
    <t>F-2-6</t>
  </si>
  <si>
    <t>Hoàn thành các bảng 'DMCOP raw materials purchases' và 'EUCOP raw materials purchases' cung cấp thông tin về tổng lượng nguyên liệu được mua để sản xuất sản phẩm đang được điều tra.
a) Nếu nguyên liệu chính dùng để sản xuất sản phẩm giống nhau cho cả thị trường xuất khẩu và thị trường nội địa, và không có lý do gì khiến chi phí nguyên liệu thô trên mỗi tấn khác nhau giữa các thị trường, chỉ cần hoàn thành một trong hai bảng.
b) Nếu chi phí đầu vào khác nhau tùy theo thị trường tiêu thụ, vui lòng hoàn thành cả hai bảng và giải thích lý do sự khác biệt, đồng thời nêu rõ các con số khác nhau.
c) Bạn chỉ cần điền thông tin trong các cột có tiêu đề ‘CHI PHÍ MUA HÀNG ĐƯỢC GHI TRÊN HÓA ĐƠN’ trong trường hợp cuộc điều tra có đề cập đến biến dạng nguyên liệu thô theo Điều 7(2a) của Quy định cơ bản (xem mục F-4. Khiếu nại liên quan đến biến dạng nguyên liệu thô).
Dựa trên các yêu cầu trên, hãy hoàn thành bảng mua nguyên liệu thô riêng biệt cho ba nguyên liệu chính được mua. Thông tin này phải bao gồm tất cả các giao dịch mua trong thời kỳ điều tra. Với mỗi giao dịch, vui lòng mô tả nguyên liệu trực tiếp và các đặc điểm của nó (cấp độ, độ tinh khiết, tiêu chuẩn, …)
Nếu bạn mua nguyên liệu từ các bên liên kết, vui lòng xem phần bên dưới.</t>
  </si>
  <si>
    <t>File Table F.2 - DMCOP - Sheet 2: Công ty chưa link công thức kê khai giá trị đầu kỳ, cuối kỳ HTK dối với NVL chính, phụ gia và hóa chất</t>
  </si>
  <si>
    <t>F-2-7</t>
  </si>
  <si>
    <t>Hoàn thành các bảng 'DMCOP raw materials production' và 'EUCOP raw materials production' nếu công ty bạn tự sản xuất các nguyên liệu chính. Thông tin này phải bao gồm tổng chi phí sản xuất các nguyên liệu đó trong thời kỳ điều tra.</t>
  </si>
  <si>
    <t>F-2-8</t>
  </si>
  <si>
    <t>Mô tả chi tiết phương pháp bạn đã sử dụng để báo cáo từng khoản chi phí được liệt kê ở trên. Đính kèm các bảng tính hoặc tài liệu làm việc bạn đã sử dụng trong hồ sơ nộp. Với mỗi khoản chi phí, hãy bao gồm một ví dụ tính toán minh họa. Phần mô tả của bạn nên bao gồm các nội dung sau:
a) Đối với chi phí nguyên vật liệu mua từ các công ty độc lập, giải thích bản chất của các thỏa thuận hợp đồng. Nêu rõ liệu chi phí nguyên vật liệu có bao gồm chi phí vận chuyển, thuế nhập khẩu và các chi phí khác liên quan đến việc mua nguyên vật liệu sử dụng trong sản xuất hay không.
b) Nếu bạn mua nguyên vật liệu từ các nhà cung cấp có liên kết, hãy cho biết bạn có cho rằng giá chuyển nhượng là đại diện cho giá thị trường hợp lý hay không. Ngoài các bảng 'mua nguyên liệu thô' trong các bảng DMCOP và EUCOP, chi phí sản xuất nguyên liệu của các nhà cung cấp liên kết cũng phải được cung cấp theo cùng một cơ sở như yêu cầu trong các bảng 'sản xuất nguyên liệu thô' của bảng COP.
c) Nếu chi phí lao động trực tiếp bao gồm khoản thanh toán cho lao động hợp đồng, hãy báo cáo riêng khoản chi phí phát sinh cho lao động hợp đồng. Chỉ rõ liệu các nhà thầu có liên kết với công ty bạn hay không. Mô tả các dịch vụ sản xuất được cung cấp bởi các nhà thầu lao động.
d) Nếu công ty bạn là một phần của tập đoàn hợp nhất, hãy giải thích cách chi phí lãi vay được xác định từ tổng chi phí vay của các công ty trong tập đoàn. Nêu rõ liệu lãi vay có được trả cho các bên liên kết hay không và giải thích chi tiết các khoản vay giữa các công ty liên kết.
e) Trong trường hợp công ty bạn là một phần của tập đoàn hợp nhất, hãy giải thích liệu chi phí khấu hao được báo cáo là trên cơ sở công ty riêng lẻ hay hợp nhất. Vui lòng giải thích sự khác biệt có thể có giữa hai khoản này và cách chúng được xác định.
f) Giải thích cách tính chi phí nghiên cứu và phát triển (R&amp;D) cho sản phẩm đang được điều tra.</t>
  </si>
  <si>
    <t>F-2-9</t>
  </si>
  <si>
    <t>Nếu chi phí sản xuất của bạn bị ảnh hưởng bởi việc sử dụng cơ sở sản xuất mới đòi hỏi đầu tư bổ sung đáng kể và dẫn đến tỷ lệ sử dụng công suất thấp do đang trong giai đoạn khởi động, vui lòng cung cấp các thông tin sau:
a) Mô tả chi tiết cơ sở sản xuất mới, bao gồm vị trí, thiết bị sản xuất và các hoạt động sản xuất.
b) Phân tích chi tiết chi phí mua lại/xây dựng cơ sở sản xuất mới (phải khớp với giá trị tài sản trong sổ sách kế toán của bạn).
c) Thông tin chi tiết về tỷ lệ sử dụng công suất trong giai đoạn khởi động.
d) Ngày cụ thể bắt đầu sản xuất để bán.
e) Thông tin về thời gian kéo dài của giai đoạn khởi động.</t>
  </si>
  <si>
    <t>F-3-1</t>
  </si>
  <si>
    <t>F - 3. Production in the exporting country</t>
  </si>
  <si>
    <t>Cung cấp thông tin về các khía cạnh sau liên quan đến việc sản xuất và bán sản phẩm đang được điều tra tại quốc gia xuất khẩu, và so sánh với các thị trường đại diện khác:
Giá của sản phẩm đang được điều tra
Giá nguyên liệu đầu vào của sản phẩm đang được điều tra
Sự tồn tại của hoạt động trao đổi hàng hóa đáng kể (barter trade)
Sự tồn tại của các thỏa thuận gia công phi thương mại
Các khía cạnh liên quan khác</t>
  </si>
  <si>
    <t>DTR cung cấp các báo cáo nghiên cứu thị trường về giá sản phẩm rPET, giá nguyên liệu đầu vào đề sản xuất sản phẩm rPET tại thị trường Việt Nam (nếu có). GHC sẽ soạn bản trả lời</t>
  </si>
  <si>
    <t>F-3-2</t>
  </si>
  <si>
    <t>2.	Chứng minh bằng các bằng chứng hỗ trợ rằng toàn bộ chi phí liên quan đến việc sản xuất và bán sản phẩm đang được điều tra được phản ánh một cách hợp lý và chính xác trong hồ sơ kế toán của công ty bạn. Thông tin này cần được cung cấp đặc biệt cho các khoản mục sau, bao gồm mô tả về bất kỳ cơ chế kiểm soát giá nội địa nào và bảng giá nội địa thực tế được thiết lập cho các khoản mục liên quan:
Nguyên liệu chính
Khí tự nhiên
Dầu mỏ
Điện năng
Chi phí vận chuyển</t>
  </si>
  <si>
    <t>anh Hoàng</t>
  </si>
  <si>
    <t>GHC sẽ trả lời</t>
  </si>
  <si>
    <t>F-3-3</t>
  </si>
  <si>
    <t>Cung cấp thông tin về các chi phí nêu trên mà công ty bạn đã phát sinh, chỉ rõ các nguồn thông tin công khai hoặc bất kỳ cơ sở hợp lý nào khác để xác minh hoặc xác lập các chi phí này, bao gồm thông tin từ các thị trường đại diện khác.</t>
  </si>
  <si>
    <t>F-3-4</t>
  </si>
  <si>
    <t>Cung cấp thông tin về mối quan hệ giữa các nhà sản xuất/nhà cung cấp các khoản mục nêu trên và công ty bạn.</t>
  </si>
  <si>
    <t>F-3-5</t>
  </si>
  <si>
    <t>Cho biết liệu công ty bạn đã từng được tư nhân hóa hay chưa. Nếu có, hãy cung cấp thông tin về các điều khoản của quá trình tư nhân hóa và cách thức thực hiện thực tế. Thông tin này nên tập trung, dựa trên bằng chứng hợp lý có sẵn, vào việc liệu quá trình tư nhân hóa đó có được thực hiện theo nguyên tắc thị trường và phản ánh giá trị thị trường hay không.</t>
  </si>
  <si>
    <t>G-1</t>
  </si>
  <si>
    <t>G - Profitability</t>
  </si>
  <si>
    <t>Hoàn thành bảng tính 'COMPANY CONCERNED' trong 'Table G - PL' cho từng công ty tham gia vào việc bán sản phẩm đang được điều tra (bao gồm công ty bạn và từng công ty liên kết có sổ sách kế toán riêng). Các bảng này phải thể hiện tổng các khoản chi phí được phân chia giữa sản phẩm đang được điều tra và các sản phẩm khác, giữa doanh số bán cho khách hàng độc lập và khách hàng liên kết, và giữa thị trường nội địa và thị trường xuất khẩu. Giải thích cơ sở phân bổ từng khoản chi phí. Nếu sử dụng phương pháp phân bổ khác ngoài phương pháp dựa trên doanh thu, cần giải thích chi tiết phương pháp đó.
Lưu ý rằng số liệu doanh thu liên quan phải là doanh thu thuần (sau khi trừ ghi chú tín dụng, chiết khấu, thuế và tiêu dùng nội bộ) và phải được trình bày riêng cho từng cột.
Các cột '%' thể hiện tỷ lệ phần trăm so với doanh thu thuần; giá trị của từng khoản chi phí phải được biểu thị dưới dạng phần trăm của doanh thu thuần.
Đối với tổng doanh thu, cột ‘Năm tài chính gần nhất’ phải khớp với báo cáo tài chính đã kiểm toán được yêu cầu tại mục F.1.2 và cột ‘Thời kỳ điều tra’ phải khớp với các bảng C.1 và C.2 trong Phần C.</t>
  </si>
  <si>
    <t>1. Tại sao lại ko có chi phí vận chuyển nội địa cho các đơn xuất khẩu?
3. Công ty giao hàng theo incoterm CIF =&gt; Tại sao không có chi phí bảo hiểm xuất khẩu?</t>
  </si>
  <si>
    <t>G-2</t>
  </si>
  <si>
    <t>Nếu báo cáo tài chính đã kiểm toán bạn cung cấp là báo cáo hợp nhất của nhiều công ty, hãy hoàn thành bảng tính 'CONSOLIDATED' trong tệp 'Table G - PL' và cung cấp bản tiếng Anh của báo cáo tài chính đã kiểm toán cho từng công ty có trong báo cáo hợp nhất, theo yêu cầu tại mục F.1.2.
Trong trường hợp này, cột 'Profit and loss last financial year' trong bảng tính 'COMPANY CONCERNED' phải khớp với cột 'Company Concerned' trong bảng tính 'CONSOLIDATED'.</t>
  </si>
  <si>
    <t>G-3</t>
  </si>
  <si>
    <t>Trong trường hợp công ty bạn là một phần của tập đoàn hợp nhất, hãy giải thích cách thu nhập tài chính và chi phí tài chính được xác định từ tổng chi phí vay của các công ty trong tập đoàn. Nêu rõ liệu lãi vay có được trả cho các bên liên kết hay không và giải thích chi tiết các khoản vay giữa các công ty liên kết.</t>
  </si>
  <si>
    <t>G-4</t>
  </si>
  <si>
    <t>Cung cấp trong ba năm tài chính gần nhất các tờ khai thuế thu nhập doanh nghiệp, thuế giá trị gia tăng (VAT), thuế bán hàng hoặc các loại thuế gián thu khác đã nộp cho cơ quan thuế quốc gia và/hoặc địa phương (vui lòng chỉ rõ cơ quan thuế và cung cấp tên/địa chỉ). Đồng thời cung cấp bằng chứng thanh toán cho tất cả các loại thuế nêu trên nếu có.</t>
  </si>
  <si>
    <t>G-5</t>
  </si>
  <si>
    <t>Cung cấp bảng đối chiếu, trong đó giải thích rõ ràng mối liên hệ giữa 'Bảng G – PL' và báo cáo tài chính đã phát hành/cân đối thử cuối kỳ của bạn.</t>
  </si>
  <si>
    <t>H</t>
  </si>
  <si>
    <t>H - 1. Allowances on export sales</t>
  </si>
  <si>
    <t>Cung cấp giải trình về các khoản điều chỉnh vào giá xuất khẩu mà công ty đã kê khai tại bảng E. Các giải trình này bao gồm:
- Chi phí đó là gì?
- Chi phí đó phát sinh cho một số giao dịch/khách hàng đặc thù hay cho toàn bộ các giao dịch bán hàng của công ty?
- Chi phí đó ghi nhận trên tài khoản kế toán nào của công ty?
- Phương pháp kê khai chi phí tương ứng cho từng giao dịch của công ty là gì (theo dõi đích danh hay phân bổ)?</t>
  </si>
  <si>
    <t>Hiện tại, DTR đang kê khai các khoản điều chỉnh vào giá bán sau:
- Hàng nội địa: Chi phí vận chuyển
- Hàng xuất khẩu đi EU:
+ Lệ phí hải quan
+ Phí đăng kí, kiểm tra hồ sơ
+ Phí nâng cont
+ Phí hạ cont
+ Vệ sinh cont
+ Phí điện giao hàng
+ Cước chuyển phát nhanh
+ Cước vận chuyển
+ Phí Cơ sở hạ tầng
+ Phí nội địa VN
+ Cước tàu
Vui lòng giải thích với từng loại chi phí trên, và nếu danh sách trên chưa đủ các chi phí liên quan đến hoạt động bán sản phẩm bị điều tra tại thị trường nội địa / EU thì vui lòng kiểm tra và bổ sung</t>
  </si>
  <si>
    <t>Chị Liên, anh Hoàng</t>
  </si>
  <si>
    <t>Nhân sự, Kế toán</t>
  </si>
  <si>
    <t>A Hoàng</t>
  </si>
  <si>
    <t>Kế toán giải trình</t>
  </si>
  <si>
    <t>Diễm: 
1. link công thức từ file NXT của Danh =&gt; Đã xong
2. Lệch do chỉ lấy mã đầu 11*, data doanh thu đang đổ tất cả bao gồm mã 11*, 14*, 15*, 16*</t>
  </si>
  <si>
    <t>Diễm: 
Đã khớp số</t>
  </si>
  <si>
    <t>Diễm:
Đã khớp số</t>
  </si>
  <si>
    <t>Diễm: 
Những cột  không có mã mã phẩm là doanh thu bán phế liệu, doanh thu tài trợ</t>
  </si>
  <si>
    <t>Huyền: 
done</t>
  </si>
  <si>
    <r>
      <t xml:space="preserve">1. Cột 48 cần quy đổi về giá bán theo CIF, hiện công ty mới chỉ cộng thêm cước vận chuyển đường biển chứ chưa cộng phí bảo hiểm đường biển. Vui lòng kiểm tra lại.
</t>
    </r>
    <r>
      <rPr>
        <sz val="11"/>
        <color rgb="FFEE0000"/>
        <rFont val="Calibri"/>
        <family val="2"/>
        <scheme val="minor"/>
      </rPr>
      <t xml:space="preserve">2. Cột credit cost sẽ áp dụng lãi suất trung bình theo kỳ hạn thanh toán tại ngân hàng giao dịch nhiều nhất của Công ty =&gt; Công ty cung cấp thêm data để chứng minh
</t>
    </r>
    <r>
      <rPr>
        <sz val="11"/>
        <color theme="1"/>
        <rFont val="Calibri"/>
        <family val="2"/>
        <scheme val="minor"/>
      </rPr>
      <t>3. Cột 53, đối với incoterm CIF, tại sao không có bảo hiểm đường biển?
4. Cột 71 nếu không có thông tin, Công ty điền "N/A"</t>
    </r>
  </si>
  <si>
    <r>
      <t xml:space="preserve">Cúc+Danh
</t>
    </r>
    <r>
      <rPr>
        <sz val="11"/>
        <rFont val="Calibri"/>
        <family val="2"/>
        <scheme val="minor"/>
      </rPr>
      <t>1. Tất cả chi phí giành cho kênh xuất khẩu thì đưa vào chi phí xuất khẩu (bao gồm cp vận chuyển nội địa ra cảng, nâng/hạ cont …)</t>
    </r>
    <r>
      <rPr>
        <sz val="11"/>
        <color theme="1"/>
        <rFont val="Calibri"/>
        <family val="2"/>
        <scheme val="minor"/>
      </rPr>
      <t xml:space="preserve">
3. Bên nhà cung cấp xuất hóa đơn chi phí bao gồm cả phí bảo hiểm xuất khẩu (không break-down chi tiết)</t>
    </r>
  </si>
  <si>
    <t>Danh
1. Gía trị thành phẩm 31/12/2024 chưa khớp với kiểm toán là do kiểm toán đang để phần cut-off 2024 vào CPSXKDDD (2.2 tỷ)
Giá trị thành phẩm 31/12/2023 chưa khớp với kiểm toán là do kiểm toán có điều chỉnh biên bản kiểm kê
2. GHC confirm là GHC ghi nhầm</t>
  </si>
  <si>
    <r>
      <rPr>
        <b/>
        <sz val="11"/>
        <color rgb="FFEE0000"/>
        <rFont val="Calibri"/>
        <family val="2"/>
        <scheme val="minor"/>
      </rPr>
      <t>1. Tổng net sales cột 34 file D-2 không khớp với net sales nội địa của Table C</t>
    </r>
    <r>
      <rPr>
        <sz val="11"/>
        <color theme="1"/>
        <rFont val="Calibri"/>
        <family val="2"/>
        <scheme val="minor"/>
      </rPr>
      <t xml:space="preserve">
2. Chi phí vận chuyển đường bộ và vận chuyển đường biển đang được ghi nhận vào tài khoản nào, đối chiếu với số kế toán ra sao?
3. Tại sao có chí phí vận chuyển đường biển nhưng không có bảo hiểm đường biển? Đã bao gồm trong chi phí vận chuyển cột 48?
4. Cột 57+59 "Chi phí bảo hành và Phí ngân hàng" được công ty phân bổ như nào? Trong hợp đồng có điều khoản quy định về chính sách này không?</t>
    </r>
  </si>
  <si>
    <t xml:space="preserve">1.Net sales table C=  Cột 34- cột 39- cột 61 file D-2 (đã nói với GHC)
2. Chi phí vận chuyển đường bộ và vận chuyển đường biển đang được ghi nhận vào tài khoản: 6417003602. Đối chiếu với sổ kế toán dựa vào số hóa đơn có kèm bảng kê chi tiết từng cont hàng.
3. Công ty không mua phí bảo hiểm
4. 57-Chi phí bảo hàng: Phân bổ theo doanh thu của từng khách hàng, 58-Chi phí ngân hàng: Phân bổ theo doanh thu và sản lượng </t>
  </si>
  <si>
    <t>Danh: 
uploaded (đã tham khảo ý kiến của Toàn)</t>
  </si>
  <si>
    <t>Danh:
updated file NXT</t>
  </si>
  <si>
    <t>1. Phí bảo hiểm đường biển bên nhà vận chuyển bao gồm gộp tất cả chi phí
2.Đã cung cấp
3.Phí bảo hiểm đường biển bên nhà vận chuyển miễn phí cho DTR nên không có chi phí này
4. Đã cung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</si>
</sst>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b/>
      <sz val="11"/>
      <color theme="0"/>
      <name val="Calibri"/>
      <family val="2"/>
      <scheme val="minor"/>
    </font>
    <font>
      <b/>
      <sz val="11"/>
      <color theme="1"/>
      <name val="Arial"/>
      <family val="2"/>
    </font>
    <font>
      <sz val="11"/>
      <name val="Calibri"/>
      <family val="2"/>
      <scheme val="minor"/>
    </font>
    <font>
      <sz val="12"/>
      <color theme="1"/>
      <name val="Calibri"/>
      <family val="2"/>
      <scheme val="minor"/>
    </font>
    <font>
      <b/>
      <u/>
      <sz val="11"/>
      <color theme="1"/>
      <name val="Calibri"/>
      <family val="2"/>
      <scheme val="minor"/>
    </font>
    <font>
      <sz val="8"/>
      <name val="Calibri"/>
      <family val="2"/>
      <scheme val="minor"/>
    </font>
    <font>
      <sz val="11"/>
      <color theme="1"/>
      <name val="Calibri"/>
      <family val="2"/>
      <scheme val="minor"/>
    </font>
    <font>
      <b/>
      <sz val="11"/>
      <color rgb="FF0000FF"/>
      <name val="Calibri"/>
      <family val="2"/>
      <scheme val="minor"/>
    </font>
    <font>
      <sz val="11"/>
      <color rgb="FFFF0000"/>
      <name val="Calibri"/>
      <family val="2"/>
      <scheme val="minor"/>
    </font>
    <font>
      <sz val="11"/>
      <color rgb="FFEE0000"/>
      <name val="Calibri"/>
      <family val="2"/>
      <scheme val="minor"/>
    </font>
    <font>
      <b/>
      <sz val="11"/>
      <color rgb="FFEE000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diagonalUp="1" diagonalDown="1">
      <left style="thin">
        <color rgb="FF000000"/>
      </left>
      <right style="thin">
        <color rgb="FF000000"/>
      </right>
      <top style="thin">
        <color rgb="FF000000"/>
      </top>
      <bottom style="thin">
        <color rgb="FF000000"/>
      </bottom>
      <diagonal style="thin">
        <color rgb="FF000000"/>
      </diagonal>
    </border>
  </borders>
  <cellStyleXfs count="2">
    <xf numFmtId="0" fontId="0" fillId="0" borderId="0"/>
    <xf numFmtId="9" fontId="8" fillId="0" borderId="0" applyFont="0" applyFill="0" applyBorder="0" applyAlignment="0" applyProtection="0"/>
  </cellStyleXfs>
  <cellXfs count="67">
    <xf numFmtId="0" fontId="0" fillId="0" borderId="0" xfId="0"/>
    <xf numFmtId="0" fontId="0" fillId="2" borderId="0" xfId="0" applyFill="1"/>
    <xf numFmtId="0" fontId="0" fillId="2" borderId="0" xfId="0" applyFill="1" applyAlignment="1">
      <alignment horizontal="center" vertical="center"/>
    </xf>
    <xf numFmtId="0" fontId="0" fillId="2" borderId="0" xfId="0" applyFill="1" applyAlignment="1">
      <alignment wrapText="1"/>
    </xf>
    <xf numFmtId="0" fontId="3" fillId="0" borderId="0" xfId="0" applyFont="1" applyAlignment="1">
      <alignment horizontal="center" vertical="top" wrapText="1"/>
    </xf>
    <xf numFmtId="0" fontId="1" fillId="2" borderId="0" xfId="0" applyFont="1" applyFill="1"/>
    <xf numFmtId="0" fontId="3" fillId="0" borderId="0" xfId="0" applyFont="1" applyAlignment="1">
      <alignment horizontal="left" vertical="top"/>
    </xf>
    <xf numFmtId="0" fontId="3" fillId="0" borderId="0" xfId="0" applyFont="1" applyAlignment="1">
      <alignment horizontal="left" vertical="top" wrapText="1"/>
    </xf>
    <xf numFmtId="0" fontId="0" fillId="2" borderId="0" xfId="0" applyFill="1" applyAlignment="1">
      <alignment vertical="center"/>
    </xf>
    <xf numFmtId="0" fontId="4" fillId="0" borderId="1" xfId="0" applyFont="1" applyBorder="1" applyAlignment="1">
      <alignment horizontal="left" vertical="top"/>
    </xf>
    <xf numFmtId="0" fontId="0" fillId="2" borderId="1" xfId="0" applyFill="1" applyBorder="1" applyAlignment="1">
      <alignment horizontal="left" vertical="top"/>
    </xf>
    <xf numFmtId="0" fontId="4" fillId="0" borderId="1" xfId="0" applyFont="1" applyBorder="1" applyAlignment="1">
      <alignment horizontal="center" vertical="top"/>
    </xf>
    <xf numFmtId="0" fontId="0" fillId="2" borderId="1" xfId="0" applyFill="1" applyBorder="1" applyAlignment="1">
      <alignment horizontal="center" vertical="top"/>
    </xf>
    <xf numFmtId="0" fontId="4" fillId="0" borderId="1" xfId="0" applyFont="1" applyBorder="1" applyAlignment="1">
      <alignment horizontal="left" vertical="top" wrapText="1"/>
    </xf>
    <xf numFmtId="0" fontId="0" fillId="2" borderId="1" xfId="0" applyFill="1" applyBorder="1" applyAlignment="1">
      <alignment vertical="top" wrapText="1"/>
    </xf>
    <xf numFmtId="14" fontId="0" fillId="2" borderId="1" xfId="0" quotePrefix="1" applyNumberFormat="1" applyFill="1" applyBorder="1" applyAlignment="1">
      <alignment horizontal="left" vertical="top" wrapText="1"/>
    </xf>
    <xf numFmtId="0" fontId="0" fillId="2" borderId="1" xfId="0" applyFill="1" applyBorder="1" applyAlignment="1">
      <alignment horizontal="left" vertical="top" wrapText="1"/>
    </xf>
    <xf numFmtId="14" fontId="0" fillId="2" borderId="1" xfId="0" quotePrefix="1" applyNumberFormat="1" applyFill="1" applyBorder="1" applyAlignment="1">
      <alignment horizontal="center" vertical="top" wrapText="1"/>
    </xf>
    <xf numFmtId="0" fontId="0" fillId="2" borderId="1" xfId="0" applyFill="1" applyBorder="1" applyAlignment="1">
      <alignment horizontal="center" vertical="top" wrapText="1"/>
    </xf>
    <xf numFmtId="0" fontId="3" fillId="0" borderId="0" xfId="0" applyFont="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3" xfId="0" applyFill="1" applyBorder="1" applyAlignment="1">
      <alignment horizontal="left" vertical="top"/>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2" fillId="4" borderId="2" xfId="0" applyFont="1" applyFill="1" applyBorder="1" applyAlignment="1">
      <alignment horizontal="center" vertical="center"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14" fontId="0" fillId="2" borderId="1" xfId="0" quotePrefix="1" applyNumberFormat="1" applyFill="1" applyBorder="1" applyAlignment="1">
      <alignment horizontal="left" vertical="top"/>
    </xf>
    <xf numFmtId="164" fontId="3" fillId="0" borderId="0" xfId="1" applyNumberFormat="1" applyFont="1" applyAlignment="1">
      <alignment horizontal="center" vertical="top" wrapText="1"/>
    </xf>
    <xf numFmtId="0" fontId="3" fillId="5" borderId="0" xfId="0" applyFont="1" applyFill="1" applyAlignment="1">
      <alignment horizontal="left" vertical="top" wrapText="1"/>
    </xf>
    <xf numFmtId="14" fontId="1" fillId="2" borderId="0" xfId="0" quotePrefix="1" applyNumberFormat="1" applyFont="1" applyFill="1" applyAlignment="1">
      <alignment horizontal="left" vertical="top" wrapText="1"/>
    </xf>
    <xf numFmtId="164" fontId="9" fillId="2" borderId="0" xfId="1" applyNumberFormat="1" applyFont="1" applyFill="1" applyAlignment="1">
      <alignment horizontal="left"/>
    </xf>
    <xf numFmtId="14" fontId="1" fillId="2" borderId="0" xfId="0" quotePrefix="1" applyNumberFormat="1" applyFont="1" applyFill="1" applyAlignment="1">
      <alignment horizontal="left" vertical="center" wrapText="1"/>
    </xf>
    <xf numFmtId="14" fontId="1" fillId="2" borderId="0" xfId="0" quotePrefix="1" applyNumberFormat="1" applyFont="1" applyFill="1" applyAlignment="1">
      <alignment horizontal="left" vertical="top"/>
    </xf>
    <xf numFmtId="0" fontId="0" fillId="6" borderId="1" xfId="0" applyFill="1" applyBorder="1" applyAlignment="1">
      <alignment horizontal="left" vertical="top" wrapText="1"/>
    </xf>
    <xf numFmtId="0" fontId="1" fillId="2" borderId="0" xfId="0" applyFont="1" applyFill="1" applyAlignment="1">
      <alignment wrapText="1"/>
    </xf>
    <xf numFmtId="0" fontId="0" fillId="0" borderId="0" xfId="0" pivotButton="1"/>
    <xf numFmtId="0" fontId="5" fillId="0" borderId="0" xfId="0" applyFont="1" applyAlignment="1">
      <alignment vertical="top" wrapText="1"/>
    </xf>
    <xf numFmtId="0" fontId="3" fillId="0" borderId="0" xfId="0" applyFont="1" applyAlignment="1">
      <alignment horizontal="left" vertical="center" wrapText="1"/>
    </xf>
    <xf numFmtId="14" fontId="0" fillId="6" borderId="1" xfId="0" quotePrefix="1" applyNumberFormat="1" applyFill="1" applyBorder="1" applyAlignment="1">
      <alignment horizontal="left" vertical="top" wrapText="1"/>
    </xf>
    <xf numFmtId="164" fontId="9" fillId="2" borderId="0" xfId="1" applyNumberFormat="1" applyFont="1" applyFill="1" applyAlignment="1">
      <alignment horizontal="left" vertical="center"/>
    </xf>
    <xf numFmtId="0" fontId="3" fillId="7" borderId="0" xfId="0" applyFont="1" applyFill="1" applyAlignment="1">
      <alignment horizontal="center" vertical="top" wrapText="1"/>
    </xf>
    <xf numFmtId="164" fontId="9" fillId="7" borderId="0" xfId="1" applyNumberFormat="1" applyFont="1" applyFill="1" applyAlignment="1">
      <alignment horizontal="left"/>
    </xf>
    <xf numFmtId="0" fontId="0" fillId="0" borderId="1" xfId="0" applyBorder="1" applyAlignment="1">
      <alignment vertical="top" wrapText="1"/>
    </xf>
    <xf numFmtId="0" fontId="0" fillId="0" borderId="1" xfId="0" applyBorder="1" applyAlignment="1">
      <alignment horizontal="left" vertical="top" wrapText="1"/>
    </xf>
    <xf numFmtId="0" fontId="1" fillId="2" borderId="5" xfId="0" applyFont="1" applyFill="1" applyBorder="1"/>
    <xf numFmtId="0" fontId="0" fillId="2" borderId="5" xfId="0" applyFill="1" applyBorder="1"/>
    <xf numFmtId="0" fontId="4" fillId="0" borderId="6" xfId="0" applyFont="1" applyBorder="1" applyAlignment="1">
      <alignment horizontal="left" vertical="top"/>
    </xf>
    <xf numFmtId="0" fontId="4" fillId="0" borderId="6" xfId="0" applyFont="1" applyBorder="1" applyAlignment="1">
      <alignment horizontal="left" vertical="top" wrapText="1"/>
    </xf>
    <xf numFmtId="0" fontId="0" fillId="2" borderId="6" xfId="0" applyFill="1" applyBorder="1" applyAlignment="1">
      <alignment vertical="top"/>
    </xf>
    <xf numFmtId="0" fontId="0" fillId="2" borderId="6" xfId="0" applyFill="1" applyBorder="1" applyAlignment="1">
      <alignment vertical="top" wrapText="1"/>
    </xf>
    <xf numFmtId="0" fontId="4" fillId="6" borderId="1" xfId="0" applyFont="1" applyFill="1" applyBorder="1" applyAlignment="1">
      <alignment horizontal="center" vertical="top"/>
    </xf>
    <xf numFmtId="0" fontId="0" fillId="6" borderId="1" xfId="0" applyFill="1" applyBorder="1" applyAlignment="1">
      <alignment horizontal="center" vertical="top"/>
    </xf>
    <xf numFmtId="0" fontId="0" fillId="8" borderId="1" xfId="0" applyFill="1" applyBorder="1" applyAlignment="1">
      <alignment horizontal="center" vertical="top"/>
    </xf>
    <xf numFmtId="0" fontId="0" fillId="9" borderId="1" xfId="0" applyFill="1" applyBorder="1" applyAlignment="1">
      <alignment horizontal="center" vertical="top"/>
    </xf>
    <xf numFmtId="0" fontId="3" fillId="10" borderId="0" xfId="0" applyFont="1" applyFill="1" applyAlignment="1">
      <alignment horizontal="left" vertical="center" wrapText="1"/>
    </xf>
    <xf numFmtId="0" fontId="3" fillId="10" borderId="0" xfId="0" applyFont="1" applyFill="1" applyAlignment="1">
      <alignment horizontal="center" vertical="center" wrapText="1"/>
    </xf>
    <xf numFmtId="164" fontId="9" fillId="10" borderId="0" xfId="1" applyNumberFormat="1" applyFont="1" applyFill="1" applyAlignment="1">
      <alignment horizontal="left" vertical="center"/>
    </xf>
    <xf numFmtId="0" fontId="0" fillId="2" borderId="5" xfId="0" applyFill="1" applyBorder="1" applyAlignment="1">
      <alignment vertical="top" wrapText="1"/>
    </xf>
    <xf numFmtId="0" fontId="0" fillId="2" borderId="5" xfId="0" applyFill="1" applyBorder="1" applyAlignment="1">
      <alignment vertical="top"/>
    </xf>
    <xf numFmtId="0" fontId="0" fillId="2" borderId="0" xfId="0" applyFill="1" applyAlignment="1">
      <alignment vertical="top"/>
    </xf>
    <xf numFmtId="0" fontId="0" fillId="2" borderId="7" xfId="0" applyFill="1" applyBorder="1" applyAlignment="1">
      <alignment vertical="top" wrapText="1"/>
    </xf>
  </cellXfs>
  <cellStyles count="2">
    <cellStyle name="Normal" xfId="0" builtinId="0"/>
    <cellStyle name="Percent" xfId="1" builtinId="5"/>
  </cellStyles>
  <dxfs count="12">
    <dxf>
      <font>
        <color rgb="FF9C0006"/>
      </font>
      <fill>
        <patternFill>
          <bgColor rgb="FFFFC7CE"/>
        </patternFill>
      </fill>
    </dxf>
    <dxf>
      <font>
        <color rgb="FF9C5700"/>
      </font>
      <fill>
        <patternFill>
          <bgColor theme="5"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theme="5"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FF"/>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95251</xdr:colOff>
      <xdr:row>0</xdr:row>
      <xdr:rowOff>142875</xdr:rowOff>
    </xdr:from>
    <xdr:to>
      <xdr:col>3</xdr:col>
      <xdr:colOff>742475</xdr:colOff>
      <xdr:row>3</xdr:row>
      <xdr:rowOff>0</xdr:rowOff>
    </xdr:to>
    <xdr:pic>
      <xdr:nvPicPr>
        <xdr:cNvPr id="2" name="Picture 1">
          <a:extLst>
            <a:ext uri="{FF2B5EF4-FFF2-40B4-BE49-F238E27FC236}">
              <a16:creationId xmlns:a16="http://schemas.microsoft.com/office/drawing/2014/main" id="{3250AB88-C532-4237-8238-8442967D25E1}"/>
            </a:ext>
          </a:extLst>
        </xdr:cNvPr>
        <xdr:cNvPicPr>
          <a:picLocks noChangeAspect="1"/>
        </xdr:cNvPicPr>
      </xdr:nvPicPr>
      <xdr:blipFill>
        <a:blip xmlns:r="http://schemas.openxmlformats.org/officeDocument/2006/relationships" r:embed="rId1"/>
        <a:stretch>
          <a:fillRect/>
        </a:stretch>
      </xdr:blipFill>
      <xdr:spPr>
        <a:xfrm>
          <a:off x="95251" y="142875"/>
          <a:ext cx="2147094" cy="4286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ương, Phạm Ngọc Phương" refreshedDate="45827.56409803241" createdVersion="8" refreshedVersion="8" minRefreshableVersion="3" recordCount="113" xr:uid="{3EEF083E-5705-420B-A79C-609C119F0177}">
  <cacheSource type="worksheet">
    <worksheetSource ref="B9:M122" sheet="Checklist"/>
  </cacheSource>
  <cacheFields count="12">
    <cacheField name="Mục" numFmtId="0">
      <sharedItems containsString="0" containsBlank="1" containsNumber="1" containsInteger="1" minValue="1" maxValue="112"/>
    </cacheField>
    <cacheField name="Câu hỏi liên quan" numFmtId="0">
      <sharedItems containsBlank="1"/>
    </cacheField>
    <cacheField name="Bảng biểu liên quan" numFmtId="0">
      <sharedItems containsBlank="1"/>
    </cacheField>
    <cacheField name="Nội dung / Xin cung cấp" numFmtId="0">
      <sharedItems containsBlank="1" longText="1"/>
    </cacheField>
    <cacheField name="Thời hạn cung cấp" numFmtId="0">
      <sharedItems containsBlank="1" count="3">
        <s v="13/06/2025"/>
        <m/>
        <s v="20/06/2025"/>
      </sharedItems>
    </cacheField>
    <cacheField name="Phòng ban liên quan (Dự kiến)" numFmtId="0">
      <sharedItems containsBlank="1"/>
    </cacheField>
    <cacheField name="Phòng ban (DTR)" numFmtId="0">
      <sharedItems containsBlank="1" count="25">
        <s v="Pháp chế"/>
        <m/>
        <s v="Nhân sự"/>
        <s v="Kế toán"/>
        <s v="Chất lượng"/>
        <s v="Chất lượng, kế toán"/>
        <s v="Chất lượng, Kinh doanh"/>
        <s v="MKT"/>
        <s v="Sản xuất, Kỹ thuật, Kế toán"/>
        <s v="Sản xuất"/>
        <s v="Kế toán, Cung ứng"/>
        <s v="Kinh doanh, kế toán"/>
        <s v="Kinh doanh"/>
        <s v="Kinh doanh, Sản xuất"/>
        <s v="Kinh doanh, Chất lượng, Sản xuất"/>
        <s v="Xuất nhập khẩu, kinh doanh, kế toán"/>
        <s v="Sản xuất, kế toán"/>
        <s v="Sản xuất Kỹ thuật Chất lượng" u="1"/>
        <s v="Kinh doanh, Chất lượng" u="1"/>
        <s v="Sản xuất Kỹ thuật" u="1"/>
        <s v="Xuất nhập khẩu" u="1"/>
        <s v="Kế toán, Xuất nhập khẩu, Kinh doanh" u="1"/>
        <s v="VPT" u="1"/>
        <s v="Kế toán, pháp chế" u="1"/>
        <s v="Cung ứng" u="1"/>
      </sharedItems>
    </cacheField>
    <cacheField name="Người phụ trách" numFmtId="0">
      <sharedItems containsBlank="1" count="29">
        <s v="Chị Mỹ"/>
        <m/>
        <s v="Chị Liên"/>
        <s v="Anh Hoàng"/>
        <s v="Đoan"/>
        <s v="Đoan, anh Hoàng"/>
        <s v="Anh Quốc Anh, Đoan"/>
        <s v="Hiếu"/>
        <s v="Anh Ty, Anh Hoàng"/>
        <s v="Anh Nam, chị Lan"/>
        <s v="Anh Hoàng, Anh Minh Hoàng"/>
        <s v="Anh Quốc Anh, anh Hoàng"/>
        <s v="Anh Quốc Anh"/>
        <s v="Cường, anh Nam"/>
        <s v="Anh Quốc Anh, Đoan, Nam"/>
        <s v="Anh Lộc"/>
        <s v="Chị Tuyền, Cường, anh Hoàng"/>
        <s v="Anh Nam, anh Giang, anh Hoàng"/>
        <s v="Anh Ty, Anh Nam, Anh Giang" u="1"/>
        <s v="Anh Ty, Anh Nam, Anh Giang, Đoan" u="1"/>
        <s v="Chị Tuyền" u="1"/>
        <s v="Anh Nam, anh Giang, chị Ly, anh Ty" u="1"/>
        <s v="Anh Hoàng, Chị Tuyền" u="1"/>
        <s v="Anh Danh" u="1"/>
        <s v="Anh Quốc Anh, anh Lộc" u="1"/>
        <s v="Anh Hoàng, Chị Tuyền, anh Quốc Anh" u="1"/>
        <s v="Anh Hoàng, chị Mỹ" u="1"/>
        <s v="Chị Oanh" u="1"/>
        <s v="Thiện, Anh Minh" u="1"/>
      </sharedItems>
    </cacheField>
    <cacheField name="Xác nhận (Y/N)" numFmtId="0">
      <sharedItems containsBlank="1"/>
    </cacheField>
    <cacheField name="Ghi chú" numFmtId="0">
      <sharedItems containsBlank="1" longText="1"/>
    </cacheField>
    <cacheField name="Trạng thái" numFmtId="0">
      <sharedItems containsBlank="1" count="5">
        <s v="Bộ phận điền"/>
        <m/>
        <s v="Hoàn tất"/>
        <s v="Không cần kê khai"/>
        <s v="Điều chỉnh"/>
      </sharedItems>
    </cacheField>
    <cacheField name="Ghi chú2"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n v="1"/>
    <m/>
    <s v="A-1. Indentify and Communication"/>
    <s v="Điền thông tin của DTR theo hướng dẫn tại bảng A.1, A.2"/>
    <x v="0"/>
    <s v="Legal department"/>
    <x v="0"/>
    <x v="0"/>
    <m/>
    <m/>
    <x v="0"/>
    <m/>
  </r>
  <r>
    <n v="2"/>
    <m/>
    <s v="A-2. Legal representative"/>
    <m/>
    <x v="1"/>
    <m/>
    <x v="1"/>
    <x v="1"/>
    <m/>
    <m/>
    <x v="1"/>
    <s v="VBGB điền thông tin"/>
  </r>
  <r>
    <n v="3"/>
    <s v="A-3-1,2"/>
    <s v="A-3. Corporate information"/>
    <s v="Điền thông tin của DTR theo hướng dẫn tại bảng A.3.1 về Legal form và Shareholders"/>
    <x v="0"/>
    <s v="Legal department"/>
    <x v="0"/>
    <x v="0"/>
    <m/>
    <m/>
    <x v="0"/>
    <s v="Điền thông tin của các cổ đông nắm trên 5% cổ phần trong giai đoạn IP"/>
  </r>
  <r>
    <n v="4"/>
    <s v="A-3-3"/>
    <m/>
    <s v="Điền thông tin của DTR theo hướng dẫn tại bảng A.3.2 về BOD"/>
    <x v="0"/>
    <s v="Legal department"/>
    <x v="0"/>
    <x v="0"/>
    <m/>
    <m/>
    <x v="2"/>
    <m/>
  </r>
  <r>
    <n v="5"/>
    <s v="A-3-4"/>
    <m/>
    <s v="Chỉ rõ những điều kiện để cấu thành một đại hội cổ đông hợp lệ, và yêu cầu về tỉ lệ cần thiết để đưa ra quyết định trong các cuộc họp đại hội cổ đông và cuộc họp của Hội đồng Quản trị. Những quy định này có được nêu trong Điều lệ công ty hay các tài liệu khác không? Giải thích cơ quan nào đưa ra quyết định cuối cùng đối với các vấn đề quản lý của côngty."/>
    <x v="0"/>
    <s v="Legal department"/>
    <x v="0"/>
    <x v="0"/>
    <m/>
    <m/>
    <x v="2"/>
    <m/>
  </r>
  <r>
    <n v="6"/>
    <s v="A-3-5"/>
    <m/>
    <s v="Cung cấp các tài liệu sau:"/>
    <x v="0"/>
    <s v="Legal department"/>
    <x v="0"/>
    <x v="0"/>
    <m/>
    <m/>
    <x v="1"/>
    <m/>
  </r>
  <r>
    <n v="7"/>
    <s v="A-3-5"/>
    <m/>
    <s v="1. Điều lệ công ty"/>
    <x v="0"/>
    <s v="Legal department"/>
    <x v="0"/>
    <x v="0"/>
    <m/>
    <m/>
    <x v="2"/>
    <s v="Đã có"/>
  </r>
  <r>
    <n v="8"/>
    <s v="A-3-5"/>
    <m/>
    <s v="2. Giấy ĐKKD"/>
    <x v="0"/>
    <s v="Legal department"/>
    <x v="0"/>
    <x v="0"/>
    <m/>
    <m/>
    <x v="2"/>
    <s v="Đã có"/>
  </r>
  <r>
    <n v="9"/>
    <s v="A-3-5"/>
    <m/>
    <s v="3. Bằng chứng chứng minh việc đăng ký kinh doanh với Cơ quan liên quan có thẩm quyền"/>
    <x v="0"/>
    <s v="Legal department"/>
    <x v="0"/>
    <x v="0"/>
    <m/>
    <m/>
    <x v="2"/>
    <s v="Cung cấp nếu có"/>
  </r>
  <r>
    <n v="10"/>
    <s v="A-3-5"/>
    <m/>
    <s v="4. Đánh giá thường niên của Cơ quan liên quan có thẩm quyền đối với hồ sơ ĐKKD của công ty"/>
    <x v="0"/>
    <s v="Legal department"/>
    <x v="0"/>
    <x v="0"/>
    <m/>
    <m/>
    <x v="2"/>
    <s v="Cung cấp nếu có"/>
  </r>
  <r>
    <n v="11"/>
    <s v="A-3-5"/>
    <m/>
    <s v="5. Biên bản họp đại hội cổ đông (lần gần nhất)"/>
    <x v="0"/>
    <s v="Legal department"/>
    <x v="0"/>
    <x v="0"/>
    <m/>
    <m/>
    <x v="2"/>
    <m/>
  </r>
  <r>
    <n v="12"/>
    <s v="A-3-5"/>
    <m/>
    <s v="6. Biên bản họp Hội đồng quản trị (lần gần nhất)"/>
    <x v="0"/>
    <s v="Legal department"/>
    <x v="0"/>
    <x v="0"/>
    <m/>
    <m/>
    <x v="2"/>
    <m/>
  </r>
  <r>
    <n v="13"/>
    <s v="A-3-5"/>
    <m/>
    <s v="7. Biên bản họp Ban kiểm soát (lần gần nhất)"/>
    <x v="0"/>
    <s v="Legal department"/>
    <x v="0"/>
    <x v="0"/>
    <m/>
    <m/>
    <x v="2"/>
    <s v="Cung cấp nếu có"/>
  </r>
  <r>
    <n v="14"/>
    <s v="A-3-5"/>
    <m/>
    <s v="8. Giấy đăng kí cổ dông / Chứng nhận góp vốn"/>
    <x v="0"/>
    <s v="Legal department"/>
    <x v="0"/>
    <x v="0"/>
    <m/>
    <m/>
    <x v="2"/>
    <m/>
  </r>
  <r>
    <n v="15"/>
    <s v="A-3-5"/>
    <m/>
    <s v="9. Bằng chứng cho việc góp vốn của 05 cổ đông lớn nhất"/>
    <x v="0"/>
    <s v="Legal department"/>
    <x v="0"/>
    <x v="0"/>
    <m/>
    <m/>
    <x v="2"/>
    <m/>
  </r>
  <r>
    <n v="16"/>
    <s v="A-3-5"/>
    <m/>
    <s v="10. Biên bản định giá đối với vốn góp của chủ sở hữu, do một bên độc lập thực hiện"/>
    <x v="0"/>
    <s v="Legal department"/>
    <x v="0"/>
    <x v="0"/>
    <m/>
    <m/>
    <x v="2"/>
    <s v="Cung cấp nếu có _x000a_DTR không có tài liệu này nên lựa chọn ghi là Không cần kê khai, nếu chọn không đúng thì GHC điều chỉnh lại giúp"/>
  </r>
  <r>
    <n v="17"/>
    <s v="A-3-5"/>
    <m/>
    <s v="11. Hồ sơ thành lập công ty nộp cho Cơ quan chức năng"/>
    <x v="0"/>
    <s v="Legal department"/>
    <x v="0"/>
    <x v="0"/>
    <m/>
    <m/>
    <x v="2"/>
    <m/>
  </r>
  <r>
    <n v="18"/>
    <s v="A-3-6"/>
    <m/>
    <s v="12. Sơ đồ phòng ban của công ty, trong đó nêu rõ phòng ban nào liên quan đến hoạt động sản xuất / kinh doanh / phân phối sản phẩm bị điều tra tại tất cả các thị trường. Sơ đồ này cần chỉ rõ các công đoạn sản xuất để tạo thành sản phẩm bị điều tra của công ty."/>
    <x v="0"/>
    <s v="Legal department"/>
    <x v="2"/>
    <x v="2"/>
    <m/>
    <m/>
    <x v="2"/>
    <m/>
  </r>
  <r>
    <n v="19"/>
    <s v="A-3-7"/>
    <m/>
    <s v="13. Cung cấp sơ đồ cấu trúc tập đoàn của công ty, bao gồm tất cả các công ty liên quan / liên kết dù cho có liên quan đến hoạt động sản xuất / kinh doanh / phân phối sản phẩm bị điều tra hay không"/>
    <x v="0"/>
    <s v="Legal department"/>
    <x v="0"/>
    <x v="0"/>
    <m/>
    <m/>
    <x v="2"/>
    <s v="Đã có"/>
  </r>
  <r>
    <n v="20"/>
    <s v="A-3-7"/>
    <m/>
    <s v="14. Cung cấp giấy đăng ký kinh doanh hoặc các tài liệu liên quan khác để chứng minh cho thông tin về các hoạt động chính của từng công ty nêu tại Mục 13"/>
    <x v="0"/>
    <s v="Legal department"/>
    <x v="0"/>
    <x v="0"/>
    <m/>
    <m/>
    <x v="2"/>
    <m/>
  </r>
  <r>
    <n v="21"/>
    <s v="A-3-8"/>
    <m/>
    <s v="Chỉ rõ chi tiết bất kỳ mối liên kết tài chính hoặc hợp đồng nào và các liên doanh với bất kỳ công ty, cơ quan hoặc chính phủ nào (ở cấp quốc gia, khu vực hoặc địa phương) liên quan đến nghiên cứu và phát triển (R&amp;D), sản xuất, bán hàng, cấp phép, thỏa thuận kỹ thuật và bằng sáng chế, v.v., đối với sản phẩm đang được điều tra và đính kèm bản sao các hợp đồng giữa các bên kèm theo bản dịch tiếng Anh."/>
    <x v="0"/>
    <s v="Legal department"/>
    <x v="0"/>
    <x v="0"/>
    <m/>
    <m/>
    <x v="2"/>
    <s v="Cung cấp giải trình và chứng từ liên quan nếu có"/>
  </r>
  <r>
    <n v="22"/>
    <s v="A-3-9"/>
    <s v="A-9. Production"/>
    <s v="Điền thông tin của DTR theo hướng dẫn tại bảng A.9"/>
    <x v="0"/>
    <s v="Accounting department - Production &amp; Cost"/>
    <x v="3"/>
    <x v="3"/>
    <m/>
    <m/>
    <x v="1"/>
    <s v="Cung cấp thông tin của tất cả các mã sản phẩm mà công ty có sản xuất và/hoặc bán trong kì điều tra, kể cả các sản phẩm không thuộc đối tượng điều tra của vụ việc"/>
  </r>
  <r>
    <n v="23"/>
    <s v="A-3-10"/>
    <s v="A.10. Related Companies"/>
    <s v="Điền thông tin của DTR theo hướng dẫn tại bảng A.10"/>
    <x v="0"/>
    <s v="Legal department"/>
    <x v="0"/>
    <x v="0"/>
    <m/>
    <m/>
    <x v="2"/>
    <s v="GHC đã điền thông tin theo dữ liệu hiện có. Vui lòng check &amp; confirm, đồng thời điền các thông tin còn thiếu_x000a_DTR đã check và có note trường hợp của Plascene"/>
  </r>
  <r>
    <n v="24"/>
    <s v="A-3-11"/>
    <s v="A.11. Legal changes"/>
    <s v="Cung cấp thông tin chi tiết về những thay đổi trong hình thức pháp lý, cơ cấu ban lãnh đạo, phạm vi kinh doanh, vốn điều lệ và cơ cấu cổ đông kể từ khi công ty được thành lập, bao gồm cả các hoạt động và/hoặc pháp nhân mà công ty hiện tại là đơn vị kế thừa. Điền thông tin tương ứng vào bảng A.11"/>
    <x v="0"/>
    <s v="Legal department"/>
    <x v="0"/>
    <x v="0"/>
    <m/>
    <m/>
    <x v="1"/>
    <m/>
  </r>
  <r>
    <n v="25"/>
    <s v="A-3-12"/>
    <m/>
    <s v="Liệt kê và giải thích tất cả các giấy phép mà công ty bạn bắt buộc phải có để sản xuất (bao gồm cả quyền khai thác khoáng sản), bán hàng trong nước, hoặc xuất khẩu sản phẩm đang bị điều tra. Nêu rõ liệu công ty bạn có đang chịu bất kỳ hạn chế định lượng trực tiếp hoặc gián tiếp, hoặc các hạn chế khác đối với bất kỳ hoạt động nào trong số này hay không."/>
    <x v="0"/>
    <s v="Legal department"/>
    <x v="0"/>
    <x v="0"/>
    <m/>
    <m/>
    <x v="2"/>
    <m/>
  </r>
  <r>
    <n v="26"/>
    <s v="A-3-13"/>
    <m/>
    <s v="Mô tả các trường hợp mà giấy phép kinh doanh và/hoặc Giấy chứng nhận đăng ký doanh nghiệp của công ty có thể bị thu hồi. Công ty đã từng bị thu hồi trong trường hợp nào chưa?"/>
    <x v="0"/>
    <s v="Legal department"/>
    <x v="0"/>
    <x v="0"/>
    <m/>
    <m/>
    <x v="2"/>
    <m/>
  </r>
  <r>
    <n v="27"/>
    <s v="A-3-14"/>
    <m/>
    <s v="Nêu rõ liệu công ty có phải là thành viên của Phòng Thương mại (Chamber of Commerce) có liên quan hoặc bất kỳ tổ chức đại diện nào khác hay không. Nếu có, vui lòng cung cấp bản sao giấy chứng nhận đăng ký với Phòng Thương mại tương ứng cùng với các tài liệu liên quan (kèm theo bản dịch tiếng Anh)."/>
    <x v="0"/>
    <s v="Legal department"/>
    <x v="0"/>
    <x v="0"/>
    <m/>
    <m/>
    <x v="2"/>
    <m/>
  </r>
  <r>
    <n v="28"/>
    <s v="B-1"/>
    <s v="B-1. Scope of the investigation"/>
    <m/>
    <x v="1"/>
    <m/>
    <x v="1"/>
    <x v="1"/>
    <m/>
    <m/>
    <x v="1"/>
    <m/>
  </r>
  <r>
    <n v="29"/>
    <s v="B-2-1"/>
    <s v="B-2. Product specification"/>
    <s v="Điền bảng quy đổi PCN cho tất cả các mã sản phẩm bị điều tra có sản xuất và/hoặc bán của công ty. Điền theo mẫu của bảng B.2.3"/>
    <x v="0"/>
    <s v="Technical / QC department"/>
    <x v="4"/>
    <x v="4"/>
    <s v="Yes"/>
    <m/>
    <x v="0"/>
    <s v="Theo GHC hiểu thì toàn bộ các mã sản phẩm hàng điều tra của DTR đều thuộc mã R100. Vui lòng xác nhận"/>
  </r>
  <r>
    <m/>
    <s v="B-2-2"/>
    <m/>
    <s v="Điền thông tin theo hướng dẫn tại bảng B-2"/>
    <x v="0"/>
    <s v="Accounting department - Sales"/>
    <x v="3"/>
    <x v="3"/>
    <m/>
    <m/>
    <x v="1"/>
    <m/>
  </r>
  <r>
    <n v="30"/>
    <s v="B-2-3"/>
    <m/>
    <s v="Cung cấp bảng mô tả về hệ thống mã sản phẩm của công ty, ý nghĩa từng ký tự trong mã sản phẩm"/>
    <x v="0"/>
    <s v="Technical / QC department"/>
    <x v="4"/>
    <x v="4"/>
    <s v="Yes"/>
    <m/>
    <x v="2"/>
    <m/>
  </r>
  <r>
    <n v="31"/>
    <s v="B-2-4"/>
    <m/>
    <s v="Có trường hợp nào mà cùng một loại sản phẩm nhưng được đưa vào hai mã sản phẩm khác nhau khi bán tại hai thị trường khác nhau không? Nếu có, công ty cần làm bảng đối chiếu giữa các mã sản phẩm tương đồng như vậy"/>
    <x v="0"/>
    <s v="Technical / QC department"/>
    <x v="5"/>
    <x v="5"/>
    <s v="Yes"/>
    <s v="Đang liên hệ kế toán"/>
    <x v="1"/>
    <m/>
  </r>
  <r>
    <n v="32"/>
    <s v="B-2-5"/>
    <m/>
    <s v="Nếu việc bán hàng cho khách hàng độc lập tại Liên minh Châu Âu hoặc tại thị trường nội địa được thực hiện thông qua một công ty có liên quan, vui lòng cung cấp bảng đối chiếu mã sản phẩm sản xuất và mã sản phẩm trên hóa đơn bán hàng của công ty bạn với mã sản phẩm tương ứng trên hóa đơn của công ty có liên quan."/>
    <x v="0"/>
    <s v="Technical / QC department"/>
    <x v="6"/>
    <x v="6"/>
    <s v="No"/>
    <s v="Không thực hiện với không ty liên quan khác"/>
    <x v="3"/>
    <m/>
  </r>
  <r>
    <n v="33"/>
    <s v="B-2-6"/>
    <m/>
    <s v="Cung cấp brochure/catalogue liên quan đến sản phẩm bị điều tra của công ty"/>
    <x v="0"/>
    <s v="Technical / QC department"/>
    <x v="7"/>
    <x v="7"/>
    <m/>
    <m/>
    <x v="2"/>
    <m/>
  </r>
  <r>
    <n v="34"/>
    <s v="C-1"/>
    <s v="C-1. Turnover"/>
    <s v="Cung cấp thông tin theo hướng dẫn tại bảng C.1"/>
    <x v="0"/>
    <s v="Accounting department - Sales"/>
    <x v="3"/>
    <x v="3"/>
    <m/>
    <m/>
    <x v="1"/>
    <s v="Lưu ý:_x000a_- Doanh thu ở đây là net of all discount and free of taxes_x000a_- Nếu doanh thu của công ty được hợp nhất với công ty khác để làm ra báo cáo tài chính hợp nhất, vui lòng cung cấp số liệu về doanh thu hợp nhất sử dụng cùng format của bảng C.1"/>
  </r>
  <r>
    <n v="35"/>
    <s v="C-2"/>
    <s v="C-2. Q&amp;V"/>
    <s v="Cung cấp thông tin theo hướng dẫn tại bảng C.2"/>
    <x v="0"/>
    <s v="Accounting department - Sales"/>
    <x v="3"/>
    <x v="3"/>
    <m/>
    <m/>
    <x v="1"/>
    <s v="Nếu có công ty liên quan / liên kết có bán sản phẩm bị điều tra tại thị trường nội địa hoặc xuất khẩu sang EU, cần thực hiện việc công hợp số liệu của các công ty đó để tạo thành một bảng số liệu cộng hợp theo format của bảng C.2"/>
  </r>
  <r>
    <n v="36"/>
    <s v="C-3-1"/>
    <s v="C-3. Production and Capacity"/>
    <s v="Cung cấp thông tin theo hướng dẫn tại bảng C.3"/>
    <x v="0"/>
    <s v="Accounting department - Production &amp; Cost"/>
    <x v="3"/>
    <x v="3"/>
    <m/>
    <m/>
    <x v="1"/>
    <m/>
  </r>
  <r>
    <n v="37"/>
    <s v="C-3-2"/>
    <m/>
    <s v="Giải thích phương pháp tính toán số liệu về công suất thiết kế của công ty (capacity)"/>
    <x v="0"/>
    <s v="Manufacturing department"/>
    <x v="8"/>
    <x v="8"/>
    <m/>
    <s v="Phương đã gửi file, Anh Hoàng điều chỉnh"/>
    <x v="1"/>
    <m/>
  </r>
  <r>
    <n v="38"/>
    <s v="C-3-3"/>
    <m/>
    <s v="Giải thích chi tiết về kế hoạch gia tăng công suất sản xuất sản phẩm bị điều tra tại VN, EU hoặc bất kỳ nước thứ ba nào"/>
    <x v="0"/>
    <s v="Manufacturing department"/>
    <x v="8"/>
    <x v="8"/>
    <m/>
    <s v="Anh Ty đã gửi, anh Hoàng điều chỉnh"/>
    <x v="1"/>
    <s v="Cung cấp nếu có"/>
  </r>
  <r>
    <n v="39"/>
    <s v="C-3-4"/>
    <m/>
    <s v="Giải thích liệu công suất sản xuất nêu trên có thể được sử dụng để sản xuất các sản phẩm khác ngoài sản phẩm đang bị điều tra hay không. Giải thích phương pháp được sử dụng để phân bổ công suất sản xuất trong trường hợp này."/>
    <x v="0"/>
    <s v="Manufacturing department"/>
    <x v="9"/>
    <x v="9"/>
    <m/>
    <s v="Apart from the product currently under investigation, the production capacity of the plant can be used for another item (WSS03G).  The method used to allocate production capacity in this event shall base on available resources, inventory levels, and the Sales &amp; Operations Planning (S&amp;OP) forecast to distribute the production plan"/>
    <x v="0"/>
    <m/>
  </r>
  <r>
    <n v="40"/>
    <s v="C-3-5"/>
    <m/>
    <s v="Cung cấp thông tin về tỉ lệ phế liệu sinh ra trong quá trình sản xuất sản phẩm bị điều tra của công ty"/>
    <x v="0"/>
    <s v="Accounting department - Production &amp; Cost"/>
    <x v="3"/>
    <x v="3"/>
    <m/>
    <m/>
    <x v="1"/>
    <m/>
  </r>
  <r>
    <n v="41"/>
    <s v="C-4"/>
    <s v="C-4. Stocks"/>
    <s v="Cung cấp thông tin theo hướng dẫn tại bảng C.4"/>
    <x v="0"/>
    <s v="Accounting department - Production &amp; Cost"/>
    <x v="3"/>
    <x v="3"/>
    <m/>
    <m/>
    <x v="1"/>
    <m/>
  </r>
  <r>
    <n v="42"/>
    <s v="C-5"/>
    <s v="C-5. Employment"/>
    <s v="Cung cấp thông tin theo hướng dẫn tại bảng C.5"/>
    <x v="0"/>
    <s v="HR department"/>
    <x v="2"/>
    <x v="2"/>
    <m/>
    <m/>
    <x v="4"/>
    <s v="Cung cấp thông tin về số lao động bình quân trong mỗi kì (có thể tính bình quân theo tháng), chứ không lấy số lao động tại một thời điểm cuối mỗi kỳ"/>
  </r>
  <r>
    <n v="43"/>
    <s v="C-6"/>
    <s v="C-6. Acquisition of assets"/>
    <s v="Cung cấp thông tin theo hướng dẫn tại bảng C.6"/>
    <x v="0"/>
    <s v="Accounting department - Assets"/>
    <x v="3"/>
    <x v="3"/>
    <m/>
    <m/>
    <x v="1"/>
    <s v="Cung cấp thông tin về giá trị của các tài sản mà công ty mua vào có liên quan đến sản xuất / kinh doanh / phân phối sản phẩm bị điều tra"/>
  </r>
  <r>
    <n v="44"/>
    <s v="C-7"/>
    <s v="C-7. Total export"/>
    <s v="Cung cấp thông tin theo hướng dẫn tại bảng C.7"/>
    <x v="0"/>
    <s v="Accounting department - Sales"/>
    <x v="3"/>
    <x v="3"/>
    <m/>
    <m/>
    <x v="1"/>
    <s v="Kê khai doanh thu net of discount, credit note, free of taxes"/>
  </r>
  <r>
    <n v="45"/>
    <s v="C-8"/>
    <s v="C-8. Purchases"/>
    <s v="Cung cấp thông tin theo hướng dẫn tại bảng C.8"/>
    <x v="0"/>
    <s v="Accounting department - Purchases"/>
    <x v="10"/>
    <x v="10"/>
    <m/>
    <s v="Ko mua thành phẩm nên ko cần kê khai"/>
    <x v="3"/>
    <s v="Kê khai các giao dịch mua vào hàng hóa bị điều tra dạng thành phẩm"/>
  </r>
  <r>
    <n v="46"/>
    <s v="D-1-1"/>
    <s v="D-1. General Information"/>
    <s v="Cung cấp quy trình bán hàng và quy trình xuất hóa đơn tại thị trường EU của công ty, bao gồm từ việc hỏi hàng, chào giá, ... cho đến khi hàng hóa được giao đến khách hàng."/>
    <x v="0"/>
    <s v="Domestic sales department"/>
    <x v="11"/>
    <x v="11"/>
    <m/>
    <s v="Đã điền file PDF Sales Process"/>
    <x v="2"/>
    <m/>
  </r>
  <r>
    <n v="47"/>
    <s v="D-1-1"/>
    <m/>
    <s v="Cung cấp danh sách các khách hàng mà công ty bán hàng hóa bị điều tra tại thị trường EU trong giai đoạn IP, sau đó phân loại từng khách hàng thành các nhóm sau:_x000a_- 1 = NHÀ SẢN XUẤT_x000a_- 2 = NHÀ PHÂN PHỐI _x000a_- 3 = NHÀ BÁN BUÔN _x000a_- 4 = NHÀ BÁN LẺ _x000a_- 5 = LOẠI KHÁC"/>
    <x v="0"/>
    <s v="Domestic sales department"/>
    <x v="11"/>
    <x v="11"/>
    <m/>
    <s v="Đã gửi anh Danh, kế toán điền tiếp"/>
    <x v="1"/>
    <m/>
  </r>
  <r>
    <n v="48"/>
    <s v="D-1-2"/>
    <m/>
    <s v="Cung cấp quy trình đàm phán giá bán với khách hàng, từ những trao đổi đầu tiên với khách hàng cho đến và bao gồm cả các điều chỉnh giá sau bán hàng (nếu có). Nếu quy trình bán hàng này khác nhau giữa các nhóm khách hàng, hãy mô tả quy trình với từng nhóm khách hàng một cách riêng biệt."/>
    <x v="0"/>
    <s v="Domestic sales department"/>
    <x v="12"/>
    <x v="12"/>
    <m/>
    <s v="Đã điền file PDF Price Negotiation"/>
    <x v="2"/>
    <m/>
  </r>
  <r>
    <n v="49"/>
    <s v="D-1-3"/>
    <m/>
    <s v="Có bất kỳ hạn chế nào đối với hoạt động bán hàng trong nước không? Nếu có, những điều kiện này được quy định trong tài liệu nào? Công ty có cần giấy phép nào để bán nội địa sản phẩm bị điều tra hay không?"/>
    <x v="0"/>
    <s v="Domestic sales department"/>
    <x v="12"/>
    <x v="12"/>
    <m/>
    <s v="1) Vietnamese consumer behavior has not accepted recycled plastic in packaging  _x000a_2) There is no strong EPR policy domestically  _x000a_3) There are no standards for recycled plastic content in packaging. _x000a_4) There are no clear standards for recycled packaging.  _x000a_5) Consumers demand quality products with bright colors. "/>
    <x v="2"/>
    <s v="Có thể là những quy định liên quan đến tiêu chuẩn kĩ thuật đối với sản phẩm PET tái chế, hoặc đối với sản phẩm PET nói chung. Vui lòng trả lời"/>
  </r>
  <r>
    <n v="50"/>
    <s v="D-1-4"/>
    <m/>
    <s v="Giải thích liệu việc sản xuất có bắt đầu sau khi đã thống nhất với khách hàng về các thông số kỹ thuật của sản phẩm và các điều khoản bán hàng, hay sẽ được thực hiện theo lịch trình sản xuất thông thường của công ty."/>
    <x v="0"/>
    <s v="Domestic sales department"/>
    <x v="13"/>
    <x v="13"/>
    <m/>
    <s v="​​We offer both make-to-order (customized resin) and make-to-stock (the common resin).​ "/>
    <x v="2"/>
    <m/>
  </r>
  <r>
    <n v="51"/>
    <s v="D-1-5"/>
    <m/>
    <s v="Công ty có sử dụng bảng giá khi bán sản phẩm bị điều tra tại thị trường nội địa không? Nếu có, vui lòng cung cấp bản sao của tất cả các bảng giá (bằng tiếng Anh hoặc có bản dịch tiếng Anh) đã được ban hành hoặc sử dụng trong thời kỳ IP cho tất cả các loại khách hàng trên thị trường nội địa,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
    <x v="0"/>
    <s v="Domestic sales department"/>
    <x v="11"/>
    <x v="11"/>
    <m/>
    <s v="​​We have no specific price book​ for EU and Dosmetic Market "/>
    <x v="2"/>
    <m/>
  </r>
  <r>
    <n v="52"/>
    <s v="D-2-1"/>
    <s v="D-2. Sales to independent and related customers"/>
    <s v="Điền thông tin theo hướng dẫn tại bảng D-2"/>
    <x v="2"/>
    <s v="Accounting department - Domestic sales"/>
    <x v="3"/>
    <x v="3"/>
    <m/>
    <m/>
    <x v="1"/>
    <m/>
  </r>
  <r>
    <n v="53"/>
    <s v="D-2-2"/>
    <m/>
    <s v="Vui lòng cung cấp bản sao của ba hóa đơn bán hàng cho ba khách hàng độc lập khác nhau và, nếu có, ba hóa đơn bán hàng cho ba khách hàng liên kết khác nhau (kèm theo các đơn đặt hàng tương ứng) liên quan đến các giao dịch bán hàng trên thị trường nội địa trong thời kỳ điều tra (bằng tiếng Anh hoặc có bản dịch tiếng Anh)."/>
    <x v="2"/>
    <s v="Domestic sales department"/>
    <x v="3"/>
    <x v="3"/>
    <m/>
    <m/>
    <x v="1"/>
    <m/>
  </r>
  <r>
    <n v="54"/>
    <s v="D-3-1"/>
    <s v="D-3. Sales of related parties to independent customers"/>
    <s v="Trong trường hợp DTR có bán hàng cho công ty liên kết và công ty liên kết đó bán lại cho khách hàng độc lập tại Việt Nam, vui lòng điền thông tin theo hướng dẫn tại bảng D-3"/>
    <x v="2"/>
    <s v="Accounting department - Domestic sales"/>
    <x v="12"/>
    <x v="12"/>
    <m/>
    <s v="không có"/>
    <x v="3"/>
    <s v="Theo GHC hiểu thì không có trường hợp này. DTR vui lòng xác nhận"/>
  </r>
  <r>
    <n v="55"/>
    <s v="D-3-2"/>
    <m/>
    <s v="Vui lòng cung cấp bản sao của ba hóa đơn của các công ty có liên quan của bạn cho ba khách hàng khác nhau (kèm theo các đơn đặt hàng mua và bán tương ứng) liên quan đến các giao dịch bán hàng trên thị trường nội địa trong thời kỳ điều tra (bằng tiếng Anh hoặc có bản dịch tiếng Anh)."/>
    <x v="2"/>
    <s v="Domestic sales department"/>
    <x v="3"/>
    <x v="3"/>
    <m/>
    <m/>
    <x v="1"/>
    <s v="Theo GHC hiểu thì không có trường hợp này. DTR vui lòng xác nhận"/>
  </r>
  <r>
    <n v="56"/>
    <s v="E-1-1"/>
    <s v="E-1. General information"/>
    <s v="Cung cấp quy trình bán hàng và quy trình xuất hóa đơn tại thị trường EU và các thị trường khác của công ty, bao gồm từ việc hỏi hàng, chào giá, ... cho đến khi hàng hóa được giao đến khách hàng."/>
    <x v="0"/>
    <s v="Export sales department"/>
    <x v="12"/>
    <x v="12"/>
    <m/>
    <s v="Đã điền file PDF Sales Process"/>
    <x v="2"/>
    <m/>
  </r>
  <r>
    <n v="57"/>
    <s v="E-1-1"/>
    <m/>
    <s v="Cung cấp danh sách các khách hàng mà công ty bán hàng hóa bị điều tra tại thị trường nội địa trong giai đoạn IP, sau đó phân loại từng khách hàng thành các nhóm sau:_x000a_- 1 = NHÀ SẢN XUẤT_x000a_- 2 = NHÀ PHÂN PHỐI _x000a_- 3 = NHÀ BÁN BUÔN _x000a_- 4 = NHÀ BÁN LẺ _x000a_- 5 = LOẠI KHÁC"/>
    <x v="0"/>
    <s v="Export sales department"/>
    <x v="11"/>
    <x v="11"/>
    <m/>
    <s v="Đã gửi anh Danh, kế toán điền tiếp"/>
    <x v="1"/>
    <m/>
  </r>
  <r>
    <n v="58"/>
    <s v="E-1-1"/>
    <m/>
    <s v="Có sự khác biệt nào về giá bán cho từng đối tượng khách hàng / hay từng nhóm khách hàng tại thị trường EU hay không"/>
    <x v="0"/>
    <s v="Export sales department"/>
    <x v="12"/>
    <x v="12"/>
    <m/>
    <s v="​​We have no specific price book​ for EU and Dosmetic Market "/>
    <x v="0"/>
    <m/>
  </r>
  <r>
    <n v="59"/>
    <s v="E-1-2"/>
    <m/>
    <s v="Cung cấp quy trình đàm phán giá bán với khách hàng, từ những trao đổi đầu tiên với khách hàng cho đến và bao gồm cả các điều chỉnh giá sau bán hàng (nếu có). Nếu quy trình bán hàng này khác nhau giữa các nhóm khách hàng, hãy mô tả quy trình với từng nhóm khách hàng một cách riêng biệt."/>
    <x v="0"/>
    <s v="Export sales department"/>
    <x v="12"/>
    <x v="12"/>
    <m/>
    <s v="Đã điền file PDF Price Negotiation"/>
    <x v="2"/>
    <m/>
  </r>
  <r>
    <n v="60"/>
    <s v="E-1-3"/>
    <m/>
    <s v="Có bất kỳ hạn chế nào đối với hoạt động xuất khẩu không? Nếu có, những văn bản nào quy định các điều kiện cho hoạt động xuất khẩu của công ty? Công ty có cần giấy phép xuất khẩu không?"/>
    <x v="0"/>
    <s v="Export sales department"/>
    <x v="12"/>
    <x v="12"/>
    <m/>
    <s v="không có, tùy theo nhu cầu khách hàng thì có các chứng nhận sau: RecyClass, REACH, GRS, EFSA"/>
    <x v="2"/>
    <m/>
  </r>
  <r>
    <n v="61"/>
    <s v="E-1-4"/>
    <m/>
    <s v="Nếu hoạt động bán hàng của công ty bạn được thực hiện theo hợp đồng (dài hạn hoặc ngắn hạn), vui lòng mô tả chi tiết quy trình đàm phán và thống nhất các điều khoản trong hợp đồng, bao gồm giá cả và số lượng. Mô tả từng loại hợp đồng áp dụng cho sản phẩm đang bị điều tra, bao gồm các điều khoản, yêu cầu về việc thay đổi giá hoặc đàm phán lại từ một trong hai bên, v.v. Giải thích các nghĩa vụ của mỗi bên trong trường hợp hợp đồng bị chấm dứt trước thời hạn."/>
    <x v="0"/>
    <s v="Export sales department"/>
    <x v="12"/>
    <x v="12"/>
    <m/>
    <s v="​​Price and renegotiation after the final contract are not allowed. "/>
    <x v="2"/>
    <m/>
  </r>
  <r>
    <n v="62"/>
    <s v="E-1-5"/>
    <m/>
    <s v="Giải thích liệu việc sản xuất có bắt đầu sau khi đã thống nhất với khách hàng về các thông số kỹ thuật của sản phẩm và các điều khoản bán hàng, hay sẽ được thực hiện theo lịch trình sản xuất thông thường của công ty."/>
    <x v="0"/>
    <s v="Export sales department"/>
    <x v="14"/>
    <x v="14"/>
    <m/>
    <s v="​​We offer both make-to-order (customized resin) and make-to-stock (the common resin).​ "/>
    <x v="0"/>
    <m/>
  </r>
  <r>
    <n v="63"/>
    <s v="E-1-6"/>
    <m/>
    <s v="Công ty có sử dụng bảng giá khi bán sản phẩm bị điều tra tại thị trường EU và các quốc gia khác không? Nếu có, vui lòng cung cấp bản sao của tất cả các bảng giá (bằng tiếng Anh hoặc có bản dịch tiếng Anh) đã được ban hành hoặc sử dụng trong thời kỳ IP cho tất cả các loại khách hàng trên thị trường EU và các quốc gia khác,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
    <x v="0"/>
    <s v="Export sales department"/>
    <x v="11"/>
    <x v="11"/>
    <m/>
    <s v="​​We have no specific price book​ for EU and Dosmetic Market "/>
    <x v="2"/>
    <m/>
  </r>
  <r>
    <n v="64"/>
    <s v="E-1-7"/>
    <m/>
    <s v="Nếu công ty bạn thuộc diện áp dụng chương trình hoàn thuế GTGT hoặc thuế xuất khẩu đối với sản phẩm đang bị điều tra, vui lòng cung cấp đầy đủ thông tin (bao gồm bản sao các chứng từ kế toán và các tài liệu hỗ trợ khác). Liệt kê các tài liệu bắt buộc để yêu cầu hoàn thuế GTGT hoặc thuế xuất khẩu tương đương."/>
    <x v="0"/>
    <s v="Export sales department"/>
    <x v="3"/>
    <x v="15"/>
    <m/>
    <s v="Đã chuyển thông tin và xác nhận anh Lộc thực hiện"/>
    <x v="1"/>
    <m/>
  </r>
  <r>
    <n v="65"/>
    <s v="E-1-8"/>
    <m/>
    <s v="Đối với tất cả các giao dịch bán hàng thông qua các công ty có liên quan, vui lòng mô tả chi tiết cách thức thực hiện giao dịch, bao gồm quy trình từ thời điểm đặt hàng đến khi giao hàng cho khách hàng độc lập đầu tiên. Giải thích đầy đủ cách lập hóa đơn và thanh toán được thực hiện như thế nào."/>
    <x v="0"/>
    <s v="Export sales department"/>
    <x v="12"/>
    <x v="12"/>
    <m/>
    <s v="không có"/>
    <x v="3"/>
    <s v="Theo GHC hiểu thì không có trường hợp này. DTR vui lòng xác nhận"/>
  </r>
  <r>
    <n v="66"/>
    <s v="E-2-1"/>
    <s v="E-2. Sales to independent customers in the European Union"/>
    <s v="Điền thông tin vào bảng E-2 theo hướng dẫn"/>
    <x v="2"/>
    <s v="Accounting department - Export sales"/>
    <x v="3"/>
    <x v="3"/>
    <m/>
    <m/>
    <x v="1"/>
    <m/>
  </r>
  <r>
    <n v="67"/>
    <s v="E-2-2"/>
    <m/>
    <s v="Đối với các giao dịch bán hàng không được thực hiện theo điều kiện CIF, vui lòng giải thích cách công ty ước tính giá CIF tương ứng tại bảng E-2. Giữ nguyên các công thức tính toán trong bảng E-2."/>
    <x v="2"/>
    <s v="Accounting department - Export sales"/>
    <x v="3"/>
    <x v="3"/>
    <m/>
    <m/>
    <x v="1"/>
    <m/>
  </r>
  <r>
    <n v="68"/>
    <s v="E-2-3"/>
    <m/>
    <s v="Vui lòng cung cấp bản sao của ba hóa đơn bán hàng cho ba khách hàng độc lập khác nhau (kèm theo các đơn đặt hàng tương ứng và tờ khai hải quan xuất khẩu) liên quan đến các giao dịch bán hàng tại thị trường Liên minh Châu Âu (bằng tiếng Anh hoặc có bản dịch tiếng Anh)."/>
    <x v="2"/>
    <s v="Export sales department"/>
    <x v="15"/>
    <x v="16"/>
    <m/>
    <s v="đợi kế toán, kinh doanh xác nhận tên khách hàng"/>
    <x v="1"/>
    <m/>
  </r>
  <r>
    <n v="69"/>
    <s v="E-3-1"/>
    <s v="E-3. Sales to related parties in the European Union"/>
    <s v="Điền thông tin vào bảng E-3 theo hướng dẫn"/>
    <x v="2"/>
    <s v="Accounting department - Export sales"/>
    <x v="3"/>
    <x v="3"/>
    <m/>
    <m/>
    <x v="1"/>
    <m/>
  </r>
  <r>
    <n v="70"/>
    <s v="E-3-2"/>
    <m/>
    <s v="Đối với các giao dịch bán hàng không được thực hiện theo điều kiện CIF, vui lòng giải thích cách công ty ước tính giá CIF tương ứng tại bảng E-3. Giữ nguyên các công thức tính toán trong bảng E-3."/>
    <x v="2"/>
    <s v="Accounting department - Export sales"/>
    <x v="3"/>
    <x v="3"/>
    <m/>
    <m/>
    <x v="1"/>
    <m/>
  </r>
  <r>
    <n v="71"/>
    <s v="E-3-3"/>
    <m/>
    <s v="Liệt kê bất kỳ chi phí nào phát sinh tại các công ty có liên quan nhưng được công ty thanh toán hoặc hoàn trả, trực tiếp hoặc gián tiếp, bất kể chi phí đó có liên quan đến sản phẩm đang bị điều tra hay không. Giải thích chi tiết bản chất của các khoản chi phí đã liệt kê."/>
    <x v="2"/>
    <s v="Accounting department - Export sales"/>
    <x v="3"/>
    <x v="3"/>
    <m/>
    <m/>
    <x v="1"/>
    <m/>
  </r>
  <r>
    <n v="72"/>
    <s v="E-3-4"/>
    <m/>
    <s v="Vui lòng cung cấp bản sao của ba hóa đơn bán hàng cho các khách hàng có liên quan (kèm theo các đơn đặt hàng tương ứng và tờ khai hải quan xuất khẩu) liên quan đến các giao dịch bán hàng hướng đến thị trường Liên minh Châu Âu (bằng tiếng Anh hoặc có bản dịch tiếng Anh)."/>
    <x v="2"/>
    <s v="Export sales department"/>
    <x v="15"/>
    <x v="16"/>
    <m/>
    <s v="không có giao dịch công ty liên kết để bán cho EU"/>
    <x v="3"/>
    <m/>
  </r>
  <r>
    <n v="73"/>
    <s v="E-4-1"/>
    <s v="E-4. Sales to independent customers in countries other than the European Union"/>
    <s v="Điền thông tin vào bảng E-4 theo hướng dẫn"/>
    <x v="2"/>
    <s v="Accounting department - Export sales"/>
    <x v="3"/>
    <x v="3"/>
    <m/>
    <m/>
    <x v="1"/>
    <s v="Cần trao đổi với luận sư tại EU xem  có cần thiết phải trả lời bảng này không?"/>
  </r>
  <r>
    <n v="74"/>
    <s v="E-4-2"/>
    <m/>
    <s v="Đối với các giao dịch bán hàng không được thực hiện theo điều kiện CIF, vui lòng giải thích cách công ty ước tính giá CIF tương ứng tại bảng E-4. Giữ nguyên các công thức tính toán trong bảng E-4."/>
    <x v="2"/>
    <s v="Accounting department - Export sales"/>
    <x v="3"/>
    <x v="3"/>
    <m/>
    <m/>
    <x v="1"/>
    <s v="Cần trao đổi với luận sư tại EU xem  có cần thiết phải trả lời bảng này không?"/>
  </r>
  <r>
    <n v="75"/>
    <s v="E-4-3"/>
    <m/>
    <s v="Vui lòng cung cấp bản sao của ba hóa đơn bán hàng cho ba khách hàng độc lập khác nhau (kèm theo các đơn đặt hàng tương ứng và tờ khai hải quan xuất khẩu) liên quan đến các giao dịch bán hàng tại các quốc gia xuất khẩu ngoài Liên minh Châu Âu (bằng tiếng Anh hoặc có bản dịch tiếng Anh)."/>
    <x v="2"/>
    <s v="Export sales department"/>
    <x v="15"/>
    <x v="16"/>
    <m/>
    <s v="đợi kế toán, kinh doanh xác nhận tên khách hàng"/>
    <x v="1"/>
    <s v="Cần trao đổi với luận sư tại EU xem  có cần thiết phải trả lời bảng này không?"/>
  </r>
  <r>
    <n v="76"/>
    <s v="E-5-1"/>
    <s v="E-5. Sales to related customers in countries other than the European Union"/>
    <s v="Điền thông tin vào bảng E-5 theo hướng dẫn"/>
    <x v="2"/>
    <s v="Accounting department - Export sales"/>
    <x v="3"/>
    <x v="3"/>
    <m/>
    <m/>
    <x v="1"/>
    <s v="Cần trao đổi với luận sư tại EU xem  có cần thiết phải trả lời bảng này không?"/>
  </r>
  <r>
    <n v="77"/>
    <s v="E-5-2"/>
    <m/>
    <s v="Đối với các giao dịch bán hàng không được thực hiện theo điều kiện CIF, vui lòng giải thích cách bạn đã tính toán các giá trị CIF được ghi trong cột giá trị CIF của Bảng ROWSALRL. Đối với các giá trị CIF được tính toán, hãy cung cấp các phép tính (công thức) trong Bảng ROWSALRL."/>
    <x v="2"/>
    <s v="Accounting department - Export sales"/>
    <x v="3"/>
    <x v="3"/>
    <m/>
    <m/>
    <x v="1"/>
    <s v="Cần trao đổi với luận sư tại EU xem  có cần thiết phải trả lời bảng này không?"/>
  </r>
  <r>
    <n v="78"/>
    <s v="E-5-3"/>
    <m/>
    <s v="Liệt kê bất kỳ chi phí nào do các công ty có liên quan của bạn phát sinh mà đã được công ty bạn thanh toán hoặc hoàn trả, trực tiếp hoặc gián tiếp, bất kể chi phí đó có liên quan đến sản phẩm đang được rà soát hay không. Giải thích chi tiết bản chất của các khoản chi phí đã liệt kê."/>
    <x v="2"/>
    <s v="Accounting department - Export sales"/>
    <x v="3"/>
    <x v="3"/>
    <m/>
    <m/>
    <x v="1"/>
    <s v="Cần trao đổi với luận sư tại EU xem  có cần thiết phải trả lời bảng này không?"/>
  </r>
  <r>
    <n v="79"/>
    <s v="E-5-4"/>
    <m/>
    <s v="Vui lòng cung cấp bản sao của ba hóa đơn bán hàng cho các khách hàng có liên quan (kèm theo các đơn đặt hàng tương ứng và tờ khai hải quan xuất khẩu) liên quan đến các giao dịch bán hàng hướng đến thị trường Liên minh Châu Âu (bằng tiếng Anh hoặc có bản dịch tiếng Anh)."/>
    <x v="2"/>
    <s v="Export sales department"/>
    <x v="15"/>
    <x v="16"/>
    <m/>
    <s v="không có giao dịch công ty liên kết để bán cho EU"/>
    <x v="3"/>
    <s v="Cần trao đổi với luận sư tại EU xem  có cần thiết phải trả lời bảng này không?"/>
  </r>
  <r>
    <n v="80"/>
    <s v="F-1-1"/>
    <s v="F-1. Accounting system and policies"/>
    <s v="Hằng năm, những tài liệu kế toán nào phải được nộp cho Cơ quan chức năng?"/>
    <x v="0"/>
    <s v="Accounting department - General"/>
    <x v="3"/>
    <x v="3"/>
    <m/>
    <m/>
    <x v="1"/>
    <m/>
  </r>
  <r>
    <n v="81"/>
    <s v="F-1-2"/>
    <m/>
    <s v="Nêu tên các cơ quan chức năng có liên quan đến việc nộp các tài liệu này"/>
    <x v="0"/>
    <s v="Accounting department - General"/>
    <x v="3"/>
    <x v="3"/>
    <m/>
    <m/>
    <x v="1"/>
    <m/>
  </r>
  <r>
    <n v="82"/>
    <s v="F-1-3,4"/>
    <m/>
    <s v="Cung cấp BCTC có kiểm toán (bản Tiếng Việt - Tiếng Anh) cho 03 năm tài chính gần nhất"/>
    <x v="0"/>
    <s v="Accounting department - General"/>
    <x v="3"/>
    <x v="3"/>
    <m/>
    <m/>
    <x v="1"/>
    <m/>
  </r>
  <r>
    <n v="83"/>
    <s v="F-1-5"/>
    <m/>
    <s v="Mô tả ngắn gọn các yêu cầu pháp lý cơ bản như ngôn ngữ và đơn vị tiền tệ phải sử dụng trong việc ghi chép sổ sách kế toán, cũng như thời gian lưu trữ các hồ sơ kế toán và tài liệu khác (hợp đồng quan trọng, thỏa thuận, điều lệ công ty, biên bản họp hội đồng quản trị, báo cáo tài chính và báo cáo kiểm toán)."/>
    <x v="0"/>
    <s v="Accounting department - General"/>
    <x v="3"/>
    <x v="3"/>
    <m/>
    <m/>
    <x v="1"/>
    <m/>
  </r>
  <r>
    <n v="84"/>
    <s v="F-1-8"/>
    <m/>
    <s v="Nếu có các báo cáo tài chính nội bộ và định kỳ, báo cáo quản trị, hoặc đánh giá chi phí tiêu chuẩn được lập và lưu trữ cho sản phẩm đang bị điều tra, vui lòng cung cấp bản sao cho ba năm tài chính gần nhất."/>
    <x v="0"/>
    <s v="Accounting department - General"/>
    <x v="3"/>
    <x v="3"/>
    <m/>
    <m/>
    <x v="1"/>
    <s v="DTR có chuẩn bị những báo cáo này không? Vui lòng thảo luận với GHC để cân nhắc có nộp các báo cáo này không"/>
  </r>
  <r>
    <n v="85"/>
    <s v="F-1-9"/>
    <m/>
    <s v="Cung cấp bản tiếng Anh của hệ thống tài khoản kế toán (chart of accounts) cho từng đơn vị trong tập đoàn có liên quan đến việc sản xuất và/hoặc bán sản phẩm đang bị điều tra."/>
    <x v="0"/>
    <s v="Accounting department - General"/>
    <x v="3"/>
    <x v="3"/>
    <m/>
    <m/>
    <x v="1"/>
    <m/>
  </r>
  <r>
    <n v="86"/>
    <s v="F-1-10"/>
    <m/>
    <s v="Cung cấp địa chỉ nơi lưu trữ hồ sơ kế toán của công ty. Nếu hồ sơ được lưu trữ tại nhiều địa điểm khác nhau, vui lòng chỉ rõ loại hồ sơ nào được lưu tại địa điểm nào. Đặc biệt, hãy chỉ rõ nơi có thể kiểm tra các dữ liệu sau:_x000a_– Kế toán tổng hợp_x000a_– Bán hàng nội địa_x000a_– Bán hàng xuất khẩu_x000a_– Giá thành sản xuất"/>
    <x v="0"/>
    <s v="Accounting department - General"/>
    <x v="3"/>
    <x v="3"/>
    <m/>
    <m/>
    <x v="1"/>
    <m/>
  </r>
  <r>
    <n v="87"/>
    <s v="F-1-11"/>
    <m/>
    <s v="Mô tả các nguyên tắc và thực tiễn kế toán chung của công ty bạn nếu những nội dung này chưa được đề cập trong báo cáo tài chính. Vui lòng đề cập đến các yếu tố như: tính nhất quán trong phương pháp định giá, việc phân biệt riêng biệt giữa tài sản và nợ phải trả, nguyên tắc thận trọng trong định giá, nguyên tắc hoạt động liên tục, và việc ghi nhận thu nhập và chi phí có được phản ánh đúng trong năm tài chính liên quan hay không."/>
    <x v="0"/>
    <s v="Accounting department - General"/>
    <x v="3"/>
    <x v="3"/>
    <m/>
    <m/>
    <x v="1"/>
    <m/>
  </r>
  <r>
    <n v="88"/>
    <s v="F-1-12"/>
    <m/>
    <s v="Mô tả chi tiết hệ thống kế toán tài chính của công ty bạn. Giải thích liệu các thực tiễn kế toán của bạn có tuân thủ các nguyên tắc kế toán được chấp nhận chung (GAAP) tại quốc gia sản xuất hay không. Mô tả của bạn nên đề cập đến tất cả các nguyên tắc có ảnh hưởng đáng kể đến chi phí sản xuất của sản phẩm đang bị điều tra, bao gồm (nhưng không giới hạn):_x000a_a) Phương pháp định giá hàng tồn kho nguyên vật liệu, sản phẩm dở dang và thành phẩm (ví dụ: nhập trước xuất trước – FIFO, nhập sau xuất trước – LIFO, bình quân gia quyền)._x000a_b) Phương pháp ghi giảm hoặc xóa sổ hàng tồn kho đối với nguyên vật liệu và thành phẩm._x000a_c) Tuổi thọ hữu ích trung bình của thiết bị sản xuất và phương pháp khấu hao._x000a_d) Giá trị của hàng hóa bị hư hỏng hoặc không đạt tiêu chuẩn trong các giai đoạn sản xuất khác nhau._x000a_e) Lãi/lỗ tỷ giá hối đoái từ các giao dịch và từ việc điều chỉnh cuối năm tài chính (định giá các số dư ngoại tệ). Giải thích tỷ giá nào được sử dụng để quy đổi các giao dịch mua bán bằng ngoại tệ sang nội tệ. Chỉ rõ ngày xác định tỷ giá và nguồn tỷ giá được sử dụng. Nêu rõ đồng tiền được sử dụng để lập hóa đơn xuất khẩu._x000a_f) Khấu hao nhanh._x000a_g) Việc vốn hóa chi phí chung và/hoặc chi phí lãi vay._x000a_h) Dự phòng nợ xấu._x000a_i) Chi phí tái cấu trúc."/>
    <x v="0"/>
    <s v="Accounting department - General"/>
    <x v="3"/>
    <x v="3"/>
    <m/>
    <m/>
    <x v="1"/>
    <s v="Tham khảo phần thuyết minh trong BCTC về chính sách kế toán của công ty để trả lời"/>
  </r>
  <r>
    <n v="89"/>
    <s v="F-1-13"/>
    <m/>
    <s v="Nếu bất kỳ phương pháp kế toán nào của công ty bạn đã thay đổi trong ba năm tài chính gần đây, vui lòng giải thích chi tiết từng thay đổi, ngày thay đổi và lý do thay đổi."/>
    <x v="0"/>
    <s v="Accounting department - General"/>
    <x v="3"/>
    <x v="3"/>
    <m/>
    <m/>
    <x v="1"/>
    <m/>
  </r>
  <r>
    <n v="90"/>
    <s v="F-1-14"/>
    <m/>
    <s v="Mô tả hệ thống kế toán chi phí mà công ty bạn sử dụng để ghi nhận chi phí sản xuất của sản phẩm đang bị điều tra. Mô tả của bạn nên bao gồm:_x000a_a) Mô tả chung về phương pháp kế toán chi phí của công ty liên quan đến việc phân bổ chi phí sản xuất cho từng đơn vị sản phẩm. Hệ thống kế toán chi phí này có tích hợp với hệ thống kế toán tài chính dùng để lập báo cáo tài chính không?_x000a_b) Nếu công ty sử dụng hệ thống giá thành theo định mức, mô tả các khía cạnh sau:_x000a_(i) Các loại chênh lệch (variances) được ghi nhận và cách chúng được sử dụng trong báo cáo quản trị;_x000a_(ii) Thời kỳ tính toán và ghi nhận các chênh lệch;_x000a_(iii) Phương pháp xây dựng chi phí tiêu chuẩn;_x000a_(iv) Tần suất cập nhật chi phí tiêu chuẩn, bao gồm ngày cập nhật gần nhất._x000a_c) Nếu có, cho biết liệu chi phí tiêu chuẩn (standard cost) có được sử dụng trong hồ sơ trả lời hay không và liệu tất cả các chênh lệch giữa chi phí tiêu chuẩn và thực tế có được phân bổ đầy đủ không. Giải thích chi tiết phương pháp phân bổ và các chênh lệch chi phí đáng kể (nếu có) trong thời kỳ điều tra._x000a_d) Nếu có, cung cấp danh sách các trung tâm chi phí (cost center) trực tiếp hoặc yếu tố chi phí trong hệ thống kế toán chi phí. Giải thích bản chất của các trung tâm/yếu tố này._x000a_e) Nếu có, cung cấp danh sách các trung tâm chi phí gián tiếp. Giải thích bản chất của các chi phí gián tiếp được ghi nhận tại mỗi trung tâm và phương pháp phân bổ các chi phí này cho trung tâm chi phí trực tiếp và sản phẩm bị điều tra._x000a_f) Phương pháp phân bổ chi phí cho các đơn vị tổ chức trong công ty (ví dụ: chi phí công ty mẹ phân bổ cho công ty con, chi phí tập đoàn phân bổ cho nhà máy, bộ phận sản phẩm, phân bổ giữa các nhà máy)._x000a_g) Phương pháp ghi nhận phế phẩm, hàng hỏng, hàng không đạt tiêu chuẩn trong từng giai đoạn sản xuất. Nêu rõ phương pháp ghi nhận chi phí tái chế (rework)._x000a_h) Phương pháp định giá và ghi nhận chi phí bán hàng, nguyên vật liệu, sản phẩm dở dang và thành phẩm._x000a_i) Cung cấp danh sách các chi phí được định giá hoặc xử lý khác nhau giữa kế toán chi phí và kế toán tài chính. Chỉ rõ sự khác biệt và giải thích lý do."/>
    <x v="0"/>
    <s v="Accounting department - General"/>
    <x v="3"/>
    <x v="3"/>
    <m/>
    <m/>
    <x v="1"/>
    <s v="Theo GHC hiểu thì DTR sửa dụng phương pháp giá thành thực tế chứ không sử dụng giá thành định mức. DTR vui lòng xác nhận"/>
  </r>
  <r>
    <n v="91"/>
    <s v="F-1-15"/>
    <m/>
    <s v="Mô tả cách xử lý kế toán đối với chiết khấu, khoản hoàn cuối năm, bao gồm cả các khoản chiết khấu theo số lượng. Vui lòng cho biết các khoản này có được ghi nhận trong tài khoản doanh thu bán hàng và ảnh hưởng đến doanh thu thuần trên báo cáo kết quả kinh doanh hay được ghi nhận vào chi phí và tính vào giá vốn bán hàng."/>
    <x v="0"/>
    <s v="Accounting department - General"/>
    <x v="3"/>
    <x v="3"/>
    <m/>
    <m/>
    <x v="1"/>
    <m/>
  </r>
  <r>
    <n v="92"/>
    <s v="F-1-16"/>
    <m/>
    <s v="Nêu năm tài chính của công ty bạn. Nếu có thay đổi trong ba năm tài chính gần đây, vui lòng giải thích lý do và nội dung thay đổi."/>
    <x v="0"/>
    <s v="Accounting department - General"/>
    <x v="3"/>
    <x v="3"/>
    <m/>
    <m/>
    <x v="1"/>
    <m/>
  </r>
  <r>
    <n v="93"/>
    <s v="F-2-1"/>
    <s v="F - 2. Production process and cost of production of the product under investigation"/>
    <s v="Mô tả quy trình sản xuất của sản phẩm đang được điều tra. Phần mô tả của bạn nên bao gồm các nội dung sau:_x000a_a) Mô tả cơ sở sản xuất của công ty bạn. Nếu việc sản xuất hoặc các giai đoạn của quy trình sản xuất diễn ra tại nhiều cơ sở, hãy liệt kê tất cả các cơ sở và giải thích các hoạt động sản xuất tại các cơ sở chính. Giải thích xem các giai đoạn của quy trình sản xuất có được thuê ngoài hay không._x000a_b) Giải thích quy trình sản xuất của sản phẩm đang được điều tra như được sản xuất và bán bởi công ty bạn, và đính kèm sơ đồ quy trình sản xuất đầy đủ, bao gồm mô tả từng giai đoạn trong quy trình._x000a_c) Mô tả tính chất của các nguyên liệu đầu vào chính trong quy trình sản xuất và mối quan hệ của bạn với nhà cung cấp (có liên kết hay không). Chỉ rõ liệu các nguyên liệu hoặc bộ phận đầu vào này có được nhập khẩu hay không và giá trị đầu vào có bao gồm chi phí nhập khẩu và thuế gián tiếp (đối với cả hàng xuất khẩu và tiêu thụ nội địa)._x000a_d) Báo cáo số ngày trung bình mà sản phẩm đang được điều tra được lưu kho trước khi bán._x000a_e) Xác định bất kỳ sản phẩm nào khác được sản xuất bởi công ty bạn tại cùng cơ sở sản xuất với sản phẩm đang được điều tra._x000a_f) Xác định các sản phẩm phụ chính phát sinh từ quá trình sản xuất sản phẩm đang được điều tra và mô tả mục đích sử dụng của chúng._x000a_g) Nếu một dây chuyền sản xuất hoặc thiết bị chính đã bị ngừng hoạt động, hãy cung cấp chi tiết về những gì đã xảy ra với dây chuyền hoặc thiết bị đó."/>
    <x v="0"/>
    <s v="Manufacturing department"/>
    <x v="16"/>
    <x v="17"/>
    <m/>
    <s v="a/b/ Chị Lan: hoàn tất GHC ok_x000a__x000a_c/ Đoan: hoàn tất GHC ok_x000a__x000a_d/ Anh Hoàng Kế toán_x000a__x000a_e/ Chị Lan: hoàn tất GHC ok_x000a__x000a_f/ Chị Lan: hoàn tất GHC ok_x000a__x000a_g/ Không có!"/>
    <x v="1"/>
    <m/>
  </r>
  <r>
    <n v="94"/>
    <s v="F-2-2"/>
    <m/>
    <s v="Điền thông tin được yêu cầu theo hướng dẫn tại bảng F-2. COP Overview"/>
    <x v="2"/>
    <s v="Accounting department - Production &amp; Cost"/>
    <x v="3"/>
    <x v="3"/>
    <m/>
    <m/>
    <x v="1"/>
    <s v="Lưu ý: Sản lượng tại bảng F-2 phải khớp với sản lượng tại bảng C-3"/>
  </r>
  <r>
    <n v="95"/>
    <s v="F-2-3"/>
    <m/>
    <s v="Nếu công ty có quy trình sản xuất tích hợp theo chiều dọc (nguyên liệu đầu vào tự sản xuất trong công ty), hoặc một số nguyên liệu đầu vào (ví dụ: nguyên liệu chính, bán thành phẩm, năng lượng) được sản xuất bởi công ty liên kết, vui lòng hoàn thành bảng 'Tổng quan COP' cho từng sản phẩm đầu vào được khai thác hoặc sản xuất, bao gồm cả các 'nguyên liệu' hoặc 'bộ phận' cơ bản được xác định trong bảng tại mục 2 ở trên."/>
    <x v="2"/>
    <s v="Accounting department - Production &amp; Cost"/>
    <x v="3"/>
    <x v="3"/>
    <m/>
    <m/>
    <x v="1"/>
    <m/>
  </r>
  <r>
    <n v="96"/>
    <s v="F-2-4"/>
    <m/>
    <s v="Điền thông tin được yêu cầu theo hướng dẫn tại bảng F-2. DM-COP"/>
    <x v="2"/>
    <s v="Accounting department - Production &amp; Cost"/>
    <x v="3"/>
    <x v="3"/>
    <m/>
    <m/>
    <x v="1"/>
    <m/>
  </r>
  <r>
    <n v="97"/>
    <s v="F-2-5"/>
    <m/>
    <s v="Điền thông tin được yêu cầu theo hướng dẫn tại bảng F-2. EU-COP"/>
    <x v="2"/>
    <s v="Accounting department - Production &amp; Cost"/>
    <x v="3"/>
    <x v="3"/>
    <m/>
    <m/>
    <x v="1"/>
    <m/>
  </r>
  <r>
    <n v="98"/>
    <s v="F-2-6"/>
    <m/>
    <s v="Hoàn thành các bảng 'DMCOP raw materials purchases' và 'EUCOP raw materials purchases' cung cấp thông tin về tổng lượng nguyên liệu được mua để sản xuất sản phẩm đang được điều tra._x000a_a) Nếu nguyên liệu chính dùng để sản xuất sản phẩm giống nhau cho cả thị trường xuất khẩu và thị trường nội địa, và không có lý do gì khiến chi phí nguyên liệu thô trên mỗi tấn khác nhau giữa các thị trường, chỉ cần hoàn thành một trong hai bảng._x000a_b) Nếu chi phí đầu vào khác nhau tùy theo thị trường tiêu thụ, vui lòng hoàn thành cả hai bảng và giải thích lý do sự khác biệt, đồng thời nêu rõ các con số khác nhau._x000a_c) Bạn chỉ cần điền thông tin trong các cột có tiêu đề ‘CHI PHÍ MUA HÀNG ĐƯỢC GHI TRÊN HÓA ĐƠN’ trong trường hợp cuộc điều tra có đề cập đến biến dạng nguyên liệu thô theo Điều 7(2a) của Quy định cơ bản (xem mục F-4. Khiếu nại liên quan đến biến dạng nguyên liệu thô)._x000a_Dựa trên các yêu cầu trên, hãy hoàn thành bảng mua nguyên liệu thô riêng biệt cho ba nguyên liệu chính được mua. Thông tin này phải bao gồm tất cả các giao dịch mua trong thời kỳ điều tra. Với mỗi giao dịch, vui lòng mô tả nguyên liệu trực tiếp và các đặc điểm của nó (cấp độ, độ tinh khiết, tiêu chuẩn, …)_x000a_Nếu bạn mua nguyên liệu từ các bên liên kết, vui lòng xem phần bên dưới."/>
    <x v="2"/>
    <s v="Accounting department - Production &amp; Cost"/>
    <x v="3"/>
    <x v="3"/>
    <m/>
    <m/>
    <x v="1"/>
    <m/>
  </r>
  <r>
    <n v="99"/>
    <s v="F-2-7"/>
    <m/>
    <s v="Hoàn thành các bảng 'DMCOP raw materials production' và 'EUCOP raw materials production' nếu công ty bạn tự sản xuất các nguyên liệu chính. Thông tin này phải bao gồm tổng chi phí sản xuất các nguyên liệu đó trong thời kỳ điều tra."/>
    <x v="2"/>
    <s v="Accounting department - Production &amp; Cost"/>
    <x v="3"/>
    <x v="3"/>
    <m/>
    <m/>
    <x v="1"/>
    <m/>
  </r>
  <r>
    <n v="100"/>
    <s v="F-2-8"/>
    <m/>
    <s v="Mô tả chi tiết phương pháp bạn đã sử dụng để báo cáo từng khoản chi phí được liệt kê ở trên. Đính kèm các bảng tính hoặc tài liệu làm việc bạn đã sử dụng trong hồ sơ nộp. Với mỗi khoản chi phí, hãy bao gồm một ví dụ tính toán minh họa. Phần mô tả của bạn nên bao gồm các nội dung sau:_x000a__x000a_a) Đối với chi phí nguyên vật liệu mua từ các công ty độc lập, giải thích bản chất của các thỏa thuận hợp đồng. Nêu rõ liệu chi phí nguyên vật liệu có bao gồm chi phí vận chuyển, thuế nhập khẩu và các chi phí khác liên quan đến việc mua nguyên vật liệu sử dụng trong sản xuất hay không._x000a__x000a_b) Nếu bạn mua nguyên vật liệu từ các nhà cung cấp có liên kết, hãy cho biết bạn có cho rằng giá chuyển nhượng là đại diện cho giá thị trường hợp lý hay không. Ngoài các bảng 'mua nguyên liệu thô' trong các bảng DMCOP và EUCOP, chi phí sản xuất nguyên liệu của các nhà cung cấp liên kết cũng phải được cung cấp theo cùng một cơ sở như yêu cầu trong các bảng 'sản xuất nguyên liệu thô' của bảng COP._x000a__x000a_c) Nếu chi phí lao động trực tiếp bao gồm khoản thanh toán cho lao động hợp đồng, hãy báo cáo riêng khoản chi phí phát sinh cho lao động hợp đồng. Chỉ rõ liệu các nhà thầu có liên kết với công ty bạn hay không. Mô tả các dịch vụ sản xuất được cung cấp bởi các nhà thầu lao động._x000a__x000a_d) Nếu công ty bạn là một phần của tập đoàn hợp nhất, hãy giải thích cách chi phí lãi vay được xác định từ tổng chi phí vay của các công ty trong tập đoàn. Nêu rõ liệu lãi vay có được trả cho các bên liên kết hay không và giải thích chi tiết các khoản vay giữa các công ty liên kết._x000a__x000a_e) Trong trường hợp công ty bạn là một phần của tập đoàn hợp nhất, hãy giải thích liệu chi phí khấu hao được báo cáo là trên cơ sở công ty riêng lẻ hay hợp nhất. Vui lòng giải thích sự khác biệt có thể có giữa hai khoản này và cách chúng được xác định._x000a__x000a_f) Giải thích cách tính chi phí nghiên cứu và phát triển (R&amp;D) cho sản phẩm đang được điều tra."/>
    <x v="2"/>
    <s v="Accounting department - Production &amp; Cost"/>
    <x v="3"/>
    <x v="3"/>
    <m/>
    <m/>
    <x v="1"/>
    <m/>
  </r>
  <r>
    <n v="101"/>
    <s v="F-2-9"/>
    <m/>
    <s v="Nếu chi phí sản xuất của bạn bị ảnh hưởng bởi việc sử dụng cơ sở sản xuất mới đòi hỏi đầu tư bổ sung đáng kể và dẫn đến tỷ lệ sử dụng công suất thấp do đang trong giai đoạn khởi động, vui lòng cung cấp các thông tin sau:_x000a__x000a_a) Mô tả chi tiết cơ sở sản xuất mới, bao gồm vị trí, thiết bị sản xuất và các hoạt động sản xuất._x000a__x000a_b) Phân tích chi tiết chi phí mua lại/xây dựng cơ sở sản xuất mới (phải khớp với giá trị tài sản trong sổ sách kế toán của bạn)._x000a__x000a_c) Thông tin chi tiết về tỷ lệ sử dụng công suất trong giai đoạn khởi động._x000a__x000a_d) Ngày cụ thể bắt đầu sản xuất để bán._x000a__x000a_e) Thông tin về thời gian kéo dài của giai đoạn khởi động."/>
    <x v="2"/>
    <s v="Accounting department - Production &amp; Cost"/>
    <x v="3"/>
    <x v="3"/>
    <m/>
    <m/>
    <x v="1"/>
    <m/>
  </r>
  <r>
    <n v="102"/>
    <s v="F-3-1"/>
    <s v="F - 3. Production in the exporting country"/>
    <s v="Cung cấp thông tin về các khía cạnh sau liên quan đến việc sản xuất và bán sản phẩm đang được điều tra tại quốc gia xuất khẩu, và so sánh với các thị trường đại diện khác:_x000a__x000a_Giá của sản phẩm đang được điều tra_x000a_Giá nguyên liệu đầu vào của sản phẩm đang được điều tra_x000a_Sự tồn tại của hoạt động trao đổi hàng hóa đáng kể (barter trade)_x000a_Sự tồn tại của các thỏa thuận gia công phi thương mại_x000a_Các khía cạnh liên quan khác"/>
    <x v="2"/>
    <s v="Legal department"/>
    <x v="3"/>
    <x v="3"/>
    <m/>
    <s v="DTR cung cấp các báo cáo nghiên cứu thị trường về giá sản phẩm rPET, giá nguyên liệu đầu vào đề sản xuất sản phẩm rPET tại thị trường Việt Nam (nếu có). GHC sẽ soạn bản trả lời"/>
    <x v="1"/>
    <m/>
  </r>
  <r>
    <n v="103"/>
    <s v="F-3-2"/>
    <m/>
    <s v="2._x0009_Chứng minh bằng các bằng chứng hỗ trợ rằng toàn bộ chi phí liên quan đến việc sản xuất và bán sản phẩm đang được điều tra được phản ánh một cách hợp lý và chính xác trong hồ sơ kế toán của công ty bạn. Thông tin này cần được cung cấp đặc biệt cho các khoản mục sau, bao gồm mô tả về bất kỳ cơ chế kiểm soát giá nội địa nào và bảng giá nội địa thực tế được thiết lập cho các khoản mục liên quan:_x000a__x000a_Nguyên liệu chính_x000a_Khí tự nhiên_x000a_Dầu mỏ_x000a_Điện năng_x000a_Chi phí vận chuyển"/>
    <x v="2"/>
    <s v="Legal department"/>
    <x v="3"/>
    <x v="3"/>
    <m/>
    <s v="GHC sẽ trả lời"/>
    <x v="1"/>
    <m/>
  </r>
  <r>
    <n v="104"/>
    <s v="F-3-3"/>
    <m/>
    <s v="Cung cấp thông tin về các chi phí nêu trên mà công ty bạn đã phát sinh, chỉ rõ các nguồn thông tin công khai hoặc bất kỳ cơ sở hợp lý nào khác để xác minh hoặc xác lập các chi phí này, bao gồm thông tin từ các thị trường đại diện khác."/>
    <x v="2"/>
    <s v="Legal department"/>
    <x v="3"/>
    <x v="3"/>
    <m/>
    <s v="GHC sẽ trả lời"/>
    <x v="1"/>
    <m/>
  </r>
  <r>
    <n v="105"/>
    <s v="F-3-4"/>
    <m/>
    <s v="Cung cấp thông tin về mối quan hệ giữa các nhà sản xuất/nhà cung cấp các khoản mục nêu trên và công ty bạn."/>
    <x v="2"/>
    <s v="Legal department"/>
    <x v="3"/>
    <x v="3"/>
    <m/>
    <s v="GHC sẽ trả lời"/>
    <x v="1"/>
    <m/>
  </r>
  <r>
    <n v="106"/>
    <s v="F-3-5"/>
    <m/>
    <s v="Cho biết liệu công ty bạn đã từng được tư nhân hóa hay chưa. Nếu có, hãy cung cấp thông tin về các điều khoản của quá trình tư nhân hóa và cách thức thực hiện thực tế. Thông tin này nên tập trung, dựa trên bằng chứng hợp lý có sẵn, vào việc liệu quá trình tư nhân hóa đó có được thực hiện theo nguyên tắc thị trường và phản ánh giá trị thị trường hay không."/>
    <x v="2"/>
    <s v="Legal department"/>
    <x v="0"/>
    <x v="0"/>
    <m/>
    <m/>
    <x v="2"/>
    <m/>
  </r>
  <r>
    <n v="107"/>
    <s v="G-1"/>
    <s v="G - Profitability"/>
    <s v="Hoàn thành bảng tính 'COMPANY CONCERNED' trong 'Table G - PL' cho từng công ty tham gia vào việc bán sản phẩm đang được điều tra (bao gồm công ty bạn và từng công ty liên kết có sổ sách kế toán riêng). Các bảng này phải thể hiện tổng các khoản chi phí được phân chia giữa sản phẩm đang được điều tra và các sản phẩm khác, giữa doanh số bán cho khách hàng độc lập và khách hàng liên kết, và giữa thị trường nội địa và thị trường xuất khẩu. Giải thích cơ sở phân bổ từng khoản chi phí. Nếu sử dụng phương pháp phân bổ khác ngoài phương pháp dựa trên doanh thu, cần giải thích chi tiết phương pháp đó._x000a_Lưu ý rằng số liệu doanh thu liên quan phải là doanh thu thuần (sau khi trừ ghi chú tín dụng, chiết khấu, thuế và tiêu dùng nội bộ) và phải được trình bày riêng cho từng cột._x000a_Các cột '%' thể hiện tỷ lệ phần trăm so với doanh thu thuần; giá trị của từng khoản chi phí phải được biểu thị dưới dạng phần trăm của doanh thu thuần._x000a_Đối với tổng doanh thu, cột ‘Năm tài chính gần nhất’ phải khớp với báo cáo tài chính đã kiểm toán được yêu cầu tại mục F.1.2 và cột ‘Thời kỳ điều tra’ phải khớp với các bảng C.1 và C.2 trong Phần C."/>
    <x v="2"/>
    <s v="Accounting department - General"/>
    <x v="3"/>
    <x v="3"/>
    <m/>
    <m/>
    <x v="1"/>
    <m/>
  </r>
  <r>
    <n v="108"/>
    <s v="G-2"/>
    <m/>
    <s v="Nếu báo cáo tài chính đã kiểm toán bạn cung cấp là báo cáo hợp nhất của nhiều công ty, hãy hoàn thành bảng tính 'CONSOLIDATED' trong tệp 'Table G - PL' và cung cấp bản tiếng Anh của báo cáo tài chính đã kiểm toán cho từng công ty có trong báo cáo hợp nhất, theo yêu cầu tại mục F.1.2._x000a_Trong trường hợp này, cột 'Profit and loss last financial year' trong bảng tính 'COMPANY CONCERNED' phải khớp với cột 'Company Concerned' trong bảng tính 'CONSOLIDATED'."/>
    <x v="2"/>
    <s v="Accounting department - General"/>
    <x v="3"/>
    <x v="3"/>
    <m/>
    <m/>
    <x v="1"/>
    <m/>
  </r>
  <r>
    <n v="109"/>
    <s v="G-3"/>
    <m/>
    <s v="Trong trường hợp công ty bạn là một phần của tập đoàn hợp nhất, hãy giải thích cách thu nhập tài chính và chi phí tài chính được xác định từ tổng chi phí vay của các công ty trong tập đoàn. Nêu rõ liệu lãi vay có được trả cho các bên liên kết hay không và giải thích chi tiết các khoản vay giữa các công ty liên kết."/>
    <x v="2"/>
    <s v="Accounting department - General"/>
    <x v="3"/>
    <x v="3"/>
    <m/>
    <m/>
    <x v="1"/>
    <m/>
  </r>
  <r>
    <n v="110"/>
    <s v="G-4"/>
    <m/>
    <s v="Cung cấp trong ba năm tài chính gần nhất các tờ khai thuế thu nhập doanh nghiệp, thuế giá trị gia tăng (VAT), thuế bán hàng hoặc các loại thuế gián thu khác đã nộp cho cơ quan thuế quốc gia và/hoặc địa phương (vui lòng chỉ rõ cơ quan thuế và cung cấp tên/địa chỉ). Đồng thời cung cấp bằng chứng thanh toán cho tất cả các loại thuế nêu trên nếu có."/>
    <x v="2"/>
    <s v="Accounting department - General"/>
    <x v="3"/>
    <x v="3"/>
    <m/>
    <m/>
    <x v="1"/>
    <m/>
  </r>
  <r>
    <n v="111"/>
    <s v="G-5"/>
    <m/>
    <s v="Cung cấp bảng đối chiếu, trong đó giải thích rõ ràng mối liên hệ giữa 'Bảng G – PL' và báo cáo tài chính đã phát hành/cân đối thử cuối kỳ của bạn."/>
    <x v="2"/>
    <s v="Accounting department - General"/>
    <x v="3"/>
    <x v="3"/>
    <m/>
    <m/>
    <x v="1"/>
    <m/>
  </r>
  <r>
    <n v="112"/>
    <s v="H"/>
    <s v="H - 1. Allowances on export sales"/>
    <s v="Cung cấp giải trình về các khoản điều chỉnh vào giá xuất khẩu mà công ty đã kê khai tại bảng E. Các giải trình này bao gồm:_x000a_- Chi phí đó là gì?_x000a_- Chi phí đó phát sinh cho một số giao dịch/khách hàng đặc thù hay cho toàn bộ các giao dịch bán hàng của công ty?_x000a_- Chi phí đó ghi nhận trên tài khoản kế toán nào của công ty?_x000a_- Phương pháp kê khai chi phí tương ứng cho từng giao dịch của công ty là gì (theo dõi đích danh hay phân bổ)?"/>
    <x v="2"/>
    <s v="Accounting department - Sales"/>
    <x v="3"/>
    <x v="3"/>
    <m/>
    <m/>
    <x v="1"/>
    <s v="Hiện tại, DTR đang kê khai các khoản điều chỉnh vào giá bán sau:_x000a_- Hàng nội địa: Chi phí vận chuyển_x000a_- Hàng xuất khẩu đi EU:_x000a_+ Lệ phí hải quan_x000a_+ Phí đăng kí, kiểm tra hồ sơ_x000a_+ Phí nâng cont_x000a_+ Phí hạ cont_x000a_+ Vệ sinh cont_x000a_+ Phí điện giao hàng_x000a_+ Cước chuyển phát nhanh_x000a_+ Cước vận chuyển_x000a_+ Phí Cơ sở hạ tầng_x000a_+ Phí nội địa VN_x000a_+ Cước tàu_x000a_Vui lòng giải thích với từng loại chi phí trên, và nếu danh sách trên chưa đủ các chi phí liên quan đến hoạt động bán sản phẩm bị điều tra tại thị trường nội địa / EU thì vui lòng kiểm tra và bổ su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8299D9-89AC-47C6-8BAE-EF1FA6CE663E}" name="PivotTable1" cacheId="7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14" firstHeaderRow="1" firstDataRow="2" firstDataCol="3"/>
  <pivotFields count="12">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3">
        <item x="0"/>
        <item x="2"/>
        <item x="1"/>
      </items>
    </pivotField>
    <pivotField compact="0" outline="0" subtotalTop="0" showAll="0" sortType="descending" defaultSubtotal="0">
      <autoSortScope>
        <pivotArea dataOnly="0" outline="0" fieldPosition="0">
          <references count="2">
            <reference field="4294967294" count="1" selected="0">
              <x v="0"/>
            </reference>
            <reference field="10" count="1" selected="0">
              <x v="1"/>
            </reference>
          </references>
        </pivotArea>
      </autoSortScope>
    </pivotField>
    <pivotField axis="axisRow" compact="0" outline="0" subtotalTop="0" showAll="0" defaultSubtotal="0">
      <items count="25">
        <item h="1" x="4"/>
        <item h="1" x="6"/>
        <item h="1" m="1" x="24"/>
        <item x="3"/>
        <item m="1" x="23"/>
        <item m="1" x="21"/>
        <item h="1" x="12"/>
        <item h="1" m="1" x="18"/>
        <item x="11"/>
        <item h="1" x="7"/>
        <item h="1" x="2"/>
        <item h="1" x="0"/>
        <item h="1" x="9"/>
        <item h="1" m="1" x="19"/>
        <item h="1" m="1" x="17"/>
        <item h="1" m="1" x="22"/>
        <item h="1" m="1" x="20"/>
        <item h="1" x="1"/>
        <item x="10"/>
        <item x="5"/>
        <item x="16"/>
        <item x="8"/>
        <item x="15"/>
        <item h="1" x="13"/>
        <item h="1" x="14"/>
      </items>
    </pivotField>
    <pivotField axis="axisRow" compact="0" outline="0" subtotalTop="0" showAll="0" sortType="descending" defaultSubtotal="0">
      <items count="29">
        <item m="1" x="23"/>
        <item m="1" x="18"/>
        <item m="1" x="19"/>
        <item x="2"/>
        <item x="4"/>
        <item x="7"/>
        <item m="1" x="28"/>
        <item x="1"/>
        <item x="0"/>
        <item x="3"/>
        <item m="1" x="27"/>
        <item x="6"/>
        <item m="1" x="24"/>
        <item x="12"/>
        <item x="11"/>
        <item x="15"/>
        <item m="1" x="25"/>
        <item m="1" x="20"/>
        <item m="1" x="21"/>
        <item m="1" x="26"/>
        <item x="10"/>
        <item m="1" x="22"/>
        <item x="8"/>
        <item x="5"/>
        <item x="17"/>
        <item x="16"/>
        <item x="9"/>
        <item x="13"/>
        <item x="14"/>
      </items>
      <autoSortScope>
        <pivotArea dataOnly="0" outline="0" fieldPosition="0">
          <references count="2">
            <reference field="4294967294" count="1" selected="0">
              <x v="0"/>
            </reference>
            <reference field="10" count="1" selected="0">
              <x v="1"/>
            </reference>
          </references>
        </pivotArea>
      </autoSortScope>
    </pivotField>
    <pivotField compact="0" outline="0" subtotalTop="0" showAll="0" defaultSubtotal="0"/>
    <pivotField compact="0" outline="0" subtotalTop="0" showAll="0" defaultSubtotal="0"/>
    <pivotField axis="axisCol" compact="0" outline="0" subtotalTop="0" showAll="0" defaultSubtotal="0">
      <items count="5">
        <item x="2"/>
        <item x="1"/>
        <item x="0"/>
        <item x="3"/>
        <item x="4"/>
      </items>
    </pivotField>
    <pivotField compact="0" outline="0" subtotalTop="0" showAll="0" defaultSubtotal="0"/>
  </pivotFields>
  <rowFields count="3">
    <field x="4"/>
    <field x="6"/>
    <field x="7"/>
  </rowFields>
  <rowItems count="10">
    <i>
      <x/>
      <x v="3"/>
      <x v="9"/>
    </i>
    <i r="2">
      <x v="15"/>
    </i>
    <i r="1">
      <x v="8"/>
      <x v="14"/>
    </i>
    <i r="1">
      <x v="18"/>
      <x v="20"/>
    </i>
    <i r="1">
      <x v="19"/>
      <x v="23"/>
    </i>
    <i r="1">
      <x v="20"/>
      <x v="24"/>
    </i>
    <i r="1">
      <x v="21"/>
      <x v="22"/>
    </i>
    <i>
      <x v="1"/>
      <x v="3"/>
      <x v="9"/>
    </i>
    <i r="1">
      <x v="22"/>
      <x v="25"/>
    </i>
    <i t="grand">
      <x/>
    </i>
  </rowItems>
  <colFields count="1">
    <field x="10"/>
  </colFields>
  <colItems count="4">
    <i>
      <x/>
    </i>
    <i>
      <x v="1"/>
    </i>
    <i>
      <x v="3"/>
    </i>
    <i t="grand">
      <x/>
    </i>
  </colItems>
  <dataFields count="1">
    <dataField name="Count of Câu hỏi liên quan" fld="1" subtotal="count" baseField="0" baseItem="0"/>
  </dataFields>
  <formats count="1">
    <format dxfId="11">
      <pivotArea dataOnly="0" outline="0" fieldPosition="0">
        <references count="1">
          <reference field="7"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5DB3-F1A9-44C1-B15B-12609355DE92}">
  <dimension ref="A3:G14"/>
  <sheetViews>
    <sheetView workbookViewId="0">
      <selection activeCell="E14" sqref="E14"/>
    </sheetView>
  </sheetViews>
  <sheetFormatPr defaultRowHeight="14.4" x14ac:dyDescent="0.3"/>
  <cols>
    <col min="1" max="1" width="18" bestFit="1" customWidth="1"/>
    <col min="2" max="2" width="34.44140625" bestFit="1" customWidth="1"/>
    <col min="3" max="3" width="28.44140625" bestFit="1" customWidth="1"/>
    <col min="4" max="6" width="16.21875" bestFit="1" customWidth="1"/>
    <col min="7" max="7" width="10.77734375" bestFit="1" customWidth="1"/>
    <col min="8" max="8" width="16.21875" bestFit="1" customWidth="1"/>
    <col min="9" max="9" width="10.77734375" bestFit="1" customWidth="1"/>
    <col min="10" max="15" width="38.5546875" bestFit="1" customWidth="1"/>
    <col min="16" max="16" width="10.77734375" bestFit="1" customWidth="1"/>
  </cols>
  <sheetData>
    <row r="3" spans="1:7" x14ac:dyDescent="0.3">
      <c r="A3" s="41" t="s">
        <v>0</v>
      </c>
      <c r="D3" s="41" t="s">
        <v>1</v>
      </c>
    </row>
    <row r="4" spans="1:7" x14ac:dyDescent="0.3">
      <c r="A4" s="41" t="s">
        <v>2</v>
      </c>
      <c r="B4" s="41" t="s">
        <v>3</v>
      </c>
      <c r="C4" s="41" t="s">
        <v>4</v>
      </c>
      <c r="D4" t="s">
        <v>5</v>
      </c>
      <c r="E4" t="s">
        <v>6</v>
      </c>
      <c r="F4" t="s">
        <v>7</v>
      </c>
      <c r="G4" t="s">
        <v>8</v>
      </c>
    </row>
    <row r="5" spans="1:7" x14ac:dyDescent="0.3">
      <c r="A5" t="s">
        <v>9</v>
      </c>
      <c r="B5" t="s">
        <v>10</v>
      </c>
      <c r="C5" t="s">
        <v>11</v>
      </c>
      <c r="E5">
        <v>22</v>
      </c>
      <c r="G5">
        <v>22</v>
      </c>
    </row>
    <row r="6" spans="1:7" x14ac:dyDescent="0.3">
      <c r="C6" t="s">
        <v>12</v>
      </c>
      <c r="E6">
        <v>1</v>
      </c>
      <c r="G6">
        <v>1</v>
      </c>
    </row>
    <row r="7" spans="1:7" x14ac:dyDescent="0.3">
      <c r="B7" t="s">
        <v>13</v>
      </c>
      <c r="C7" t="s">
        <v>14</v>
      </c>
      <c r="D7">
        <v>3</v>
      </c>
      <c r="E7">
        <v>2</v>
      </c>
      <c r="G7">
        <v>5</v>
      </c>
    </row>
    <row r="8" spans="1:7" x14ac:dyDescent="0.3">
      <c r="B8" t="s">
        <v>15</v>
      </c>
      <c r="C8" t="s">
        <v>16</v>
      </c>
      <c r="F8">
        <v>1</v>
      </c>
      <c r="G8">
        <v>1</v>
      </c>
    </row>
    <row r="9" spans="1:7" x14ac:dyDescent="0.3">
      <c r="B9" t="s">
        <v>17</v>
      </c>
      <c r="C9" t="s">
        <v>18</v>
      </c>
      <c r="E9">
        <v>1</v>
      </c>
      <c r="G9">
        <v>1</v>
      </c>
    </row>
    <row r="10" spans="1:7" x14ac:dyDescent="0.3">
      <c r="B10" t="s">
        <v>19</v>
      </c>
      <c r="C10" t="s">
        <v>20</v>
      </c>
      <c r="E10">
        <v>1</v>
      </c>
      <c r="G10">
        <v>1</v>
      </c>
    </row>
    <row r="11" spans="1:7" x14ac:dyDescent="0.3">
      <c r="B11" t="s">
        <v>21</v>
      </c>
      <c r="C11" t="s">
        <v>22</v>
      </c>
      <c r="E11">
        <v>2</v>
      </c>
      <c r="G11">
        <v>2</v>
      </c>
    </row>
    <row r="12" spans="1:7" x14ac:dyDescent="0.3">
      <c r="A12" t="s">
        <v>23</v>
      </c>
      <c r="B12" t="s">
        <v>10</v>
      </c>
      <c r="C12" t="s">
        <v>11</v>
      </c>
      <c r="E12">
        <v>31</v>
      </c>
      <c r="G12">
        <v>31</v>
      </c>
    </row>
    <row r="13" spans="1:7" x14ac:dyDescent="0.3">
      <c r="B13" t="s">
        <v>24</v>
      </c>
      <c r="C13" t="s">
        <v>25</v>
      </c>
      <c r="E13">
        <v>2</v>
      </c>
      <c r="F13">
        <v>2</v>
      </c>
      <c r="G13">
        <v>4</v>
      </c>
    </row>
    <row r="14" spans="1:7" x14ac:dyDescent="0.3">
      <c r="A14" t="s">
        <v>8</v>
      </c>
      <c r="D14">
        <v>3</v>
      </c>
      <c r="E14">
        <v>62</v>
      </c>
      <c r="F14">
        <v>3</v>
      </c>
      <c r="G14">
        <v>68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05EB-B2F2-4D95-BA2A-9B4EA93EC571}">
  <sheetPr>
    <pageSetUpPr fitToPage="1"/>
  </sheetPr>
  <dimension ref="B1:O122"/>
  <sheetViews>
    <sheetView showGridLines="0" tabSelected="1" zoomScale="85" zoomScaleNormal="85" workbookViewId="0">
      <pane xSplit="5" ySplit="9" topLeftCell="F31" activePane="bottomRight" state="frozen"/>
      <selection pane="topRight" activeCell="F1" sqref="F1"/>
      <selection pane="bottomLeft" activeCell="A10" sqref="A10"/>
      <selection pane="bottomRight" activeCell="G32" sqref="G32"/>
    </sheetView>
  </sheetViews>
  <sheetFormatPr defaultColWidth="8.77734375" defaultRowHeight="14.4" x14ac:dyDescent="0.3"/>
  <cols>
    <col min="1" max="1" width="5.44140625" style="1" customWidth="1"/>
    <col min="2" max="2" width="7.21875" style="2" customWidth="1"/>
    <col min="3" max="3" width="9.77734375" style="2" customWidth="1"/>
    <col min="4" max="4" width="19.21875" style="8" customWidth="1"/>
    <col min="5" max="5" width="76" style="3" customWidth="1"/>
    <col min="6" max="6" width="13.77734375" style="3" customWidth="1"/>
    <col min="7" max="7" width="20.21875" style="3" customWidth="1"/>
    <col min="8" max="8" width="16.5546875" style="3" customWidth="1"/>
    <col min="9" max="9" width="19.44140625" style="3" bestFit="1" customWidth="1"/>
    <col min="10" max="10" width="8.5546875" style="3" customWidth="1"/>
    <col min="11" max="12" width="19.77734375" style="3" customWidth="1"/>
    <col min="13" max="13" width="22.21875" style="1" customWidth="1"/>
    <col min="14" max="14" width="48" style="1" customWidth="1"/>
    <col min="15" max="15" width="26.88671875" style="1" customWidth="1"/>
    <col min="16" max="16384" width="8.77734375" style="1"/>
  </cols>
  <sheetData>
    <row r="1" spans="2:15" x14ac:dyDescent="0.3">
      <c r="D1" s="2"/>
      <c r="K1" s="34" t="s">
        <v>26</v>
      </c>
      <c r="L1" s="46">
        <f>+COUNT($B$10:$B$122)</f>
        <v>112</v>
      </c>
      <c r="M1" s="47">
        <f>+SUM(M2:M5)</f>
        <v>0.58035714285714279</v>
      </c>
    </row>
    <row r="2" spans="2:15" x14ac:dyDescent="0.3">
      <c r="D2" s="2"/>
      <c r="K2" s="38" t="s">
        <v>27</v>
      </c>
      <c r="L2" s="4">
        <f>+COUNTIFS($L$10:$L$122,"Bộ phận điền")</f>
        <v>12</v>
      </c>
      <c r="M2" s="36">
        <f t="shared" ref="M2:M5" si="0">+L2/$L$1</f>
        <v>0.10714285714285714</v>
      </c>
    </row>
    <row r="3" spans="2:15" x14ac:dyDescent="0.3">
      <c r="D3" s="2"/>
      <c r="K3" s="35" t="s">
        <v>28</v>
      </c>
      <c r="L3" s="4">
        <f>+COUNTIFS($L$10:$L$122,K3)</f>
        <v>13</v>
      </c>
      <c r="M3" s="36">
        <f t="shared" si="0"/>
        <v>0.11607142857142858</v>
      </c>
    </row>
    <row r="4" spans="2:15" x14ac:dyDescent="0.3">
      <c r="D4" s="2"/>
      <c r="K4" s="37" t="s">
        <v>5</v>
      </c>
      <c r="L4" s="19">
        <f>+COUNTIFS($L$10:$L$122,K4)</f>
        <v>34</v>
      </c>
      <c r="M4" s="36">
        <f t="shared" si="0"/>
        <v>0.30357142857142855</v>
      </c>
    </row>
    <row r="5" spans="2:15" ht="32.25" customHeight="1" x14ac:dyDescent="0.3">
      <c r="B5" s="19" t="s">
        <v>29</v>
      </c>
      <c r="C5" s="19"/>
      <c r="D5" s="19"/>
      <c r="E5" s="19"/>
      <c r="F5" s="19"/>
      <c r="G5" s="19"/>
      <c r="H5" s="19"/>
      <c r="I5" s="19"/>
      <c r="J5" s="19"/>
      <c r="K5" s="43" t="s">
        <v>7</v>
      </c>
      <c r="L5" s="19">
        <f>+COUNTIFS($L$10:$L$122,K5)</f>
        <v>6</v>
      </c>
      <c r="M5" s="45">
        <f t="shared" si="0"/>
        <v>5.3571428571428568E-2</v>
      </c>
    </row>
    <row r="6" spans="2:15" x14ac:dyDescent="0.3">
      <c r="B6" s="1"/>
      <c r="C6" s="1"/>
      <c r="D6" s="6" t="s">
        <v>30</v>
      </c>
      <c r="E6" s="7" t="s">
        <v>31</v>
      </c>
      <c r="F6" s="4"/>
      <c r="G6" s="19"/>
      <c r="H6" s="19"/>
      <c r="I6" s="19"/>
      <c r="J6" s="19"/>
      <c r="K6" s="60" t="s">
        <v>32</v>
      </c>
      <c r="L6" s="61">
        <f>+L1-SUM(L2:L5)</f>
        <v>47</v>
      </c>
      <c r="M6" s="62">
        <f>+L6/$L$1</f>
        <v>0.41964285714285715</v>
      </c>
    </row>
    <row r="7" spans="2:15" ht="27.6" x14ac:dyDescent="0.3">
      <c r="B7" s="6"/>
      <c r="C7" s="6"/>
      <c r="D7" s="7" t="s">
        <v>33</v>
      </c>
      <c r="E7" s="7" t="s">
        <v>34</v>
      </c>
      <c r="F7" s="4"/>
      <c r="G7" s="4"/>
      <c r="H7" s="4"/>
      <c r="I7" s="4"/>
      <c r="J7" s="4"/>
      <c r="K7" s="4"/>
      <c r="L7" s="4"/>
      <c r="M7" s="4"/>
    </row>
    <row r="8" spans="2:15" x14ac:dyDescent="0.3">
      <c r="D8" s="2"/>
      <c r="L8" s="33"/>
    </row>
    <row r="9" spans="2:15" s="40" customFormat="1" ht="43.2" x14ac:dyDescent="0.3">
      <c r="B9" s="20" t="s">
        <v>35</v>
      </c>
      <c r="C9" s="21" t="s">
        <v>36</v>
      </c>
      <c r="D9" s="21" t="s">
        <v>37</v>
      </c>
      <c r="E9" s="20" t="s">
        <v>38</v>
      </c>
      <c r="F9" s="20" t="s">
        <v>2</v>
      </c>
      <c r="G9" s="21" t="s">
        <v>39</v>
      </c>
      <c r="H9" s="28" t="s">
        <v>3</v>
      </c>
      <c r="I9" s="28" t="s">
        <v>4</v>
      </c>
      <c r="J9" s="28" t="s">
        <v>40</v>
      </c>
      <c r="K9" s="28" t="s">
        <v>41</v>
      </c>
      <c r="L9" s="28" t="s">
        <v>1</v>
      </c>
      <c r="M9" s="20" t="s">
        <v>41</v>
      </c>
      <c r="N9" s="21" t="s">
        <v>42</v>
      </c>
      <c r="O9" s="21" t="s">
        <v>372</v>
      </c>
    </row>
    <row r="10" spans="2:15" s="5" customFormat="1" x14ac:dyDescent="0.3">
      <c r="B10" s="11">
        <v>1</v>
      </c>
      <c r="C10" s="11"/>
      <c r="D10" s="9" t="s">
        <v>43</v>
      </c>
      <c r="E10" s="13" t="s">
        <v>44</v>
      </c>
      <c r="F10" s="17" t="s">
        <v>9</v>
      </c>
      <c r="G10" s="15" t="s">
        <v>45</v>
      </c>
      <c r="H10" s="15" t="s">
        <v>46</v>
      </c>
      <c r="I10" s="15" t="s">
        <v>47</v>
      </c>
      <c r="J10" s="15"/>
      <c r="K10" s="15"/>
      <c r="L10" s="15" t="s">
        <v>48</v>
      </c>
      <c r="M10" s="52"/>
      <c r="N10" s="50"/>
      <c r="O10" s="50"/>
    </row>
    <row r="11" spans="2:15" s="5" customFormat="1" x14ac:dyDescent="0.3">
      <c r="B11" s="11">
        <v>2</v>
      </c>
      <c r="C11" s="11"/>
      <c r="D11" s="9" t="s">
        <v>49</v>
      </c>
      <c r="E11" s="13"/>
      <c r="F11" s="17"/>
      <c r="G11" s="15"/>
      <c r="H11" s="15"/>
      <c r="I11" s="15"/>
      <c r="J11" s="15"/>
      <c r="K11" s="15"/>
      <c r="L11" s="15"/>
      <c r="M11" s="52" t="s">
        <v>50</v>
      </c>
      <c r="N11" s="50"/>
      <c r="O11" s="50"/>
    </row>
    <row r="12" spans="2:15" s="5" customFormat="1" ht="14.55" customHeight="1" x14ac:dyDescent="0.3">
      <c r="B12" s="11">
        <v>3</v>
      </c>
      <c r="C12" s="11" t="s">
        <v>51</v>
      </c>
      <c r="D12" s="29" t="s">
        <v>52</v>
      </c>
      <c r="E12" s="13" t="s">
        <v>53</v>
      </c>
      <c r="F12" s="17" t="s">
        <v>9</v>
      </c>
      <c r="G12" s="15" t="s">
        <v>45</v>
      </c>
      <c r="H12" s="15" t="s">
        <v>46</v>
      </c>
      <c r="I12" s="15" t="s">
        <v>47</v>
      </c>
      <c r="J12" s="15"/>
      <c r="K12" s="15"/>
      <c r="L12" s="15" t="s">
        <v>48</v>
      </c>
      <c r="M12" s="53" t="s">
        <v>54</v>
      </c>
      <c r="N12" s="50"/>
      <c r="O12" s="50"/>
    </row>
    <row r="13" spans="2:15" s="5" customFormat="1" x14ac:dyDescent="0.3">
      <c r="B13" s="11">
        <v>4</v>
      </c>
      <c r="C13" s="56" t="s">
        <v>55</v>
      </c>
      <c r="D13" s="30"/>
      <c r="E13" s="13" t="s">
        <v>56</v>
      </c>
      <c r="F13" s="17" t="s">
        <v>9</v>
      </c>
      <c r="G13" s="15" t="s">
        <v>45</v>
      </c>
      <c r="H13" s="15" t="s">
        <v>46</v>
      </c>
      <c r="I13" s="15" t="s">
        <v>47</v>
      </c>
      <c r="J13" s="15"/>
      <c r="K13" s="15"/>
      <c r="L13" s="15" t="s">
        <v>5</v>
      </c>
      <c r="M13" s="52"/>
      <c r="N13" s="50"/>
      <c r="O13" s="50"/>
    </row>
    <row r="14" spans="2:15" s="5" customFormat="1" ht="78" x14ac:dyDescent="0.3">
      <c r="B14" s="11">
        <v>5</v>
      </c>
      <c r="C14" s="56" t="s">
        <v>57</v>
      </c>
      <c r="D14" s="30"/>
      <c r="E14" s="42" t="s">
        <v>58</v>
      </c>
      <c r="F14" s="17" t="s">
        <v>9</v>
      </c>
      <c r="G14" s="15" t="s">
        <v>45</v>
      </c>
      <c r="H14" s="15" t="s">
        <v>46</v>
      </c>
      <c r="I14" s="15" t="s">
        <v>47</v>
      </c>
      <c r="J14" s="15"/>
      <c r="K14" s="15"/>
      <c r="L14" s="15" t="s">
        <v>5</v>
      </c>
      <c r="M14" s="52"/>
      <c r="N14" s="50"/>
      <c r="O14" s="50"/>
    </row>
    <row r="15" spans="2:15" s="5" customFormat="1" x14ac:dyDescent="0.3">
      <c r="B15" s="11">
        <v>6</v>
      </c>
      <c r="C15" s="11" t="s">
        <v>59</v>
      </c>
      <c r="D15" s="30"/>
      <c r="E15" s="13" t="s">
        <v>60</v>
      </c>
      <c r="F15" s="17" t="s">
        <v>9</v>
      </c>
      <c r="G15" s="15" t="s">
        <v>45</v>
      </c>
      <c r="H15" s="15" t="s">
        <v>46</v>
      </c>
      <c r="I15" s="15" t="s">
        <v>47</v>
      </c>
      <c r="J15" s="15"/>
      <c r="K15" s="15"/>
      <c r="L15" s="15"/>
      <c r="M15" s="52"/>
      <c r="N15" s="50"/>
      <c r="O15" s="50"/>
    </row>
    <row r="16" spans="2:15" s="5" customFormat="1" x14ac:dyDescent="0.3">
      <c r="B16" s="11">
        <v>7</v>
      </c>
      <c r="C16" s="56" t="s">
        <v>59</v>
      </c>
      <c r="D16" s="30"/>
      <c r="E16" s="13" t="s">
        <v>61</v>
      </c>
      <c r="F16" s="17" t="s">
        <v>9</v>
      </c>
      <c r="G16" s="15" t="s">
        <v>45</v>
      </c>
      <c r="H16" s="15" t="s">
        <v>46</v>
      </c>
      <c r="I16" s="15" t="s">
        <v>47</v>
      </c>
      <c r="J16" s="15"/>
      <c r="K16" s="32"/>
      <c r="L16" s="15" t="s">
        <v>5</v>
      </c>
      <c r="M16" s="53" t="s">
        <v>62</v>
      </c>
      <c r="N16" s="50"/>
      <c r="O16" s="50"/>
    </row>
    <row r="17" spans="2:15" x14ac:dyDescent="0.3">
      <c r="B17" s="11">
        <v>8</v>
      </c>
      <c r="C17" s="56" t="s">
        <v>59</v>
      </c>
      <c r="D17" s="30"/>
      <c r="E17" s="14" t="s">
        <v>63</v>
      </c>
      <c r="F17" s="17" t="s">
        <v>9</v>
      </c>
      <c r="G17" s="15" t="s">
        <v>45</v>
      </c>
      <c r="H17" s="15" t="s">
        <v>46</v>
      </c>
      <c r="I17" s="15" t="s">
        <v>47</v>
      </c>
      <c r="J17" s="15"/>
      <c r="K17" s="32"/>
      <c r="L17" s="15" t="s">
        <v>5</v>
      </c>
      <c r="M17" s="53" t="s">
        <v>62</v>
      </c>
      <c r="N17" s="51"/>
      <c r="O17" s="51"/>
    </row>
    <row r="18" spans="2:15" x14ac:dyDescent="0.3">
      <c r="B18" s="11">
        <v>9</v>
      </c>
      <c r="C18" s="56" t="s">
        <v>59</v>
      </c>
      <c r="D18" s="30"/>
      <c r="E18" s="14" t="s">
        <v>64</v>
      </c>
      <c r="F18" s="17" t="s">
        <v>9</v>
      </c>
      <c r="G18" s="15" t="s">
        <v>45</v>
      </c>
      <c r="H18" s="15" t="s">
        <v>46</v>
      </c>
      <c r="I18" s="15" t="s">
        <v>47</v>
      </c>
      <c r="J18" s="15"/>
      <c r="K18" s="32"/>
      <c r="L18" s="15" t="s">
        <v>5</v>
      </c>
      <c r="M18" s="54" t="s">
        <v>65</v>
      </c>
      <c r="N18" s="51"/>
      <c r="O18" s="51"/>
    </row>
    <row r="19" spans="2:15" ht="28.8" x14ac:dyDescent="0.3">
      <c r="B19" s="11">
        <v>10</v>
      </c>
      <c r="C19" s="56" t="s">
        <v>59</v>
      </c>
      <c r="D19" s="30"/>
      <c r="E19" s="14" t="s">
        <v>66</v>
      </c>
      <c r="F19" s="17" t="s">
        <v>9</v>
      </c>
      <c r="G19" s="15" t="s">
        <v>45</v>
      </c>
      <c r="H19" s="15" t="s">
        <v>46</v>
      </c>
      <c r="I19" s="15" t="s">
        <v>47</v>
      </c>
      <c r="J19" s="15"/>
      <c r="K19" s="32"/>
      <c r="L19" s="15" t="s">
        <v>5</v>
      </c>
      <c r="M19" s="54" t="s">
        <v>65</v>
      </c>
      <c r="N19" s="51"/>
      <c r="O19" s="51"/>
    </row>
    <row r="20" spans="2:15" x14ac:dyDescent="0.3">
      <c r="B20" s="11">
        <v>11</v>
      </c>
      <c r="C20" s="56" t="s">
        <v>59</v>
      </c>
      <c r="D20" s="30"/>
      <c r="E20" s="14" t="s">
        <v>67</v>
      </c>
      <c r="F20" s="17" t="s">
        <v>9</v>
      </c>
      <c r="G20" s="15" t="s">
        <v>45</v>
      </c>
      <c r="H20" s="15" t="s">
        <v>46</v>
      </c>
      <c r="I20" s="15" t="s">
        <v>47</v>
      </c>
      <c r="J20" s="15"/>
      <c r="K20" s="32"/>
      <c r="L20" s="15" t="s">
        <v>5</v>
      </c>
      <c r="M20" s="54"/>
      <c r="N20" s="51"/>
      <c r="O20" s="51"/>
    </row>
    <row r="21" spans="2:15" x14ac:dyDescent="0.3">
      <c r="B21" s="11">
        <v>12</v>
      </c>
      <c r="C21" s="56" t="s">
        <v>59</v>
      </c>
      <c r="D21" s="30"/>
      <c r="E21" s="14" t="s">
        <v>68</v>
      </c>
      <c r="F21" s="17" t="s">
        <v>9</v>
      </c>
      <c r="G21" s="15" t="s">
        <v>45</v>
      </c>
      <c r="H21" s="15" t="s">
        <v>46</v>
      </c>
      <c r="I21" s="15" t="s">
        <v>47</v>
      </c>
      <c r="J21" s="15"/>
      <c r="K21" s="32"/>
      <c r="L21" s="15" t="s">
        <v>5</v>
      </c>
      <c r="M21" s="54"/>
      <c r="N21" s="51"/>
      <c r="O21" s="51"/>
    </row>
    <row r="22" spans="2:15" x14ac:dyDescent="0.3">
      <c r="B22" s="11">
        <v>13</v>
      </c>
      <c r="C22" s="56" t="s">
        <v>59</v>
      </c>
      <c r="D22" s="30"/>
      <c r="E22" s="14" t="s">
        <v>69</v>
      </c>
      <c r="F22" s="17" t="s">
        <v>9</v>
      </c>
      <c r="G22" s="15" t="s">
        <v>45</v>
      </c>
      <c r="H22" s="15" t="s">
        <v>46</v>
      </c>
      <c r="I22" s="15" t="s">
        <v>47</v>
      </c>
      <c r="J22" s="15"/>
      <c r="K22" s="32"/>
      <c r="L22" s="15" t="s">
        <v>5</v>
      </c>
      <c r="M22" s="54" t="s">
        <v>65</v>
      </c>
      <c r="N22" s="51"/>
      <c r="O22" s="51"/>
    </row>
    <row r="23" spans="2:15" x14ac:dyDescent="0.3">
      <c r="B23" s="11">
        <v>14</v>
      </c>
      <c r="C23" s="56" t="s">
        <v>59</v>
      </c>
      <c r="D23" s="30"/>
      <c r="E23" s="14" t="s">
        <v>70</v>
      </c>
      <c r="F23" s="17" t="s">
        <v>9</v>
      </c>
      <c r="G23" s="15" t="s">
        <v>45</v>
      </c>
      <c r="H23" s="15" t="s">
        <v>46</v>
      </c>
      <c r="I23" s="15" t="s">
        <v>47</v>
      </c>
      <c r="J23" s="15"/>
      <c r="K23" s="32"/>
      <c r="L23" s="15" t="s">
        <v>5</v>
      </c>
      <c r="M23" s="54"/>
      <c r="N23" s="51"/>
      <c r="O23" s="51"/>
    </row>
    <row r="24" spans="2:15" x14ac:dyDescent="0.3">
      <c r="B24" s="11">
        <v>15</v>
      </c>
      <c r="C24" s="56" t="s">
        <v>59</v>
      </c>
      <c r="D24" s="30"/>
      <c r="E24" s="14" t="s">
        <v>71</v>
      </c>
      <c r="F24" s="17" t="s">
        <v>9</v>
      </c>
      <c r="G24" s="15" t="s">
        <v>45</v>
      </c>
      <c r="H24" s="15" t="s">
        <v>46</v>
      </c>
      <c r="I24" s="15" t="s">
        <v>47</v>
      </c>
      <c r="J24" s="15"/>
      <c r="K24" s="32"/>
      <c r="L24" s="15" t="s">
        <v>5</v>
      </c>
      <c r="M24" s="54"/>
      <c r="N24" s="51"/>
      <c r="O24" s="51"/>
    </row>
    <row r="25" spans="2:15" ht="86.4" x14ac:dyDescent="0.3">
      <c r="B25" s="11">
        <v>16</v>
      </c>
      <c r="C25" s="56" t="s">
        <v>59</v>
      </c>
      <c r="D25" s="30"/>
      <c r="E25" s="14" t="s">
        <v>72</v>
      </c>
      <c r="F25" s="17" t="s">
        <v>9</v>
      </c>
      <c r="G25" s="15" t="s">
        <v>45</v>
      </c>
      <c r="H25" s="15" t="s">
        <v>46</v>
      </c>
      <c r="I25" s="15" t="s">
        <v>47</v>
      </c>
      <c r="J25" s="15"/>
      <c r="K25" s="32"/>
      <c r="L25" s="15" t="s">
        <v>5</v>
      </c>
      <c r="M25" s="55" t="s">
        <v>73</v>
      </c>
      <c r="N25" s="51"/>
      <c r="O25" s="51"/>
    </row>
    <row r="26" spans="2:15" x14ac:dyDescent="0.3">
      <c r="B26" s="11">
        <v>17</v>
      </c>
      <c r="C26" s="56" t="s">
        <v>59</v>
      </c>
      <c r="D26" s="30"/>
      <c r="E26" s="14" t="s">
        <v>74</v>
      </c>
      <c r="F26" s="17" t="s">
        <v>9</v>
      </c>
      <c r="G26" s="15" t="s">
        <v>45</v>
      </c>
      <c r="H26" s="15" t="s">
        <v>46</v>
      </c>
      <c r="I26" s="15" t="s">
        <v>47</v>
      </c>
      <c r="J26" s="15"/>
      <c r="K26" s="32"/>
      <c r="L26" s="15" t="s">
        <v>5</v>
      </c>
      <c r="M26" s="54"/>
      <c r="N26" s="51"/>
      <c r="O26" s="51"/>
    </row>
    <row r="27" spans="2:15" ht="43.2" x14ac:dyDescent="0.3">
      <c r="B27" s="11">
        <v>18</v>
      </c>
      <c r="C27" s="56" t="s">
        <v>75</v>
      </c>
      <c r="D27" s="30"/>
      <c r="E27" s="14" t="s">
        <v>76</v>
      </c>
      <c r="F27" s="17" t="s">
        <v>9</v>
      </c>
      <c r="G27" s="15" t="s">
        <v>45</v>
      </c>
      <c r="H27" s="15" t="s">
        <v>77</v>
      </c>
      <c r="I27" s="15" t="s">
        <v>78</v>
      </c>
      <c r="J27" s="15"/>
      <c r="K27" s="32"/>
      <c r="L27" s="15" t="s">
        <v>5</v>
      </c>
      <c r="M27" s="54"/>
      <c r="N27" s="51"/>
      <c r="O27" s="51"/>
    </row>
    <row r="28" spans="2:15" ht="43.2" x14ac:dyDescent="0.3">
      <c r="B28" s="11">
        <v>19</v>
      </c>
      <c r="C28" s="56" t="s">
        <v>79</v>
      </c>
      <c r="D28" s="30"/>
      <c r="E28" s="14" t="s">
        <v>80</v>
      </c>
      <c r="F28" s="17" t="s">
        <v>9</v>
      </c>
      <c r="G28" s="15" t="s">
        <v>45</v>
      </c>
      <c r="H28" s="15" t="s">
        <v>46</v>
      </c>
      <c r="I28" s="15" t="s">
        <v>47</v>
      </c>
      <c r="J28" s="15"/>
      <c r="K28" s="32"/>
      <c r="L28" s="15" t="s">
        <v>5</v>
      </c>
      <c r="M28" s="54" t="s">
        <v>62</v>
      </c>
      <c r="N28" s="51"/>
      <c r="O28" s="51"/>
    </row>
    <row r="29" spans="2:15" ht="28.8" x14ac:dyDescent="0.3">
      <c r="B29" s="11">
        <v>20</v>
      </c>
      <c r="C29" s="56" t="s">
        <v>79</v>
      </c>
      <c r="D29" s="30"/>
      <c r="E29" s="14" t="s">
        <v>81</v>
      </c>
      <c r="F29" s="17" t="s">
        <v>9</v>
      </c>
      <c r="G29" s="15" t="s">
        <v>45</v>
      </c>
      <c r="H29" s="15" t="s">
        <v>46</v>
      </c>
      <c r="I29" s="15" t="s">
        <v>47</v>
      </c>
      <c r="J29" s="15"/>
      <c r="K29" s="32"/>
      <c r="L29" s="15" t="s">
        <v>5</v>
      </c>
      <c r="M29" s="54"/>
      <c r="N29" s="51"/>
      <c r="O29" s="51"/>
    </row>
    <row r="30" spans="2:15" ht="60.75" customHeight="1" x14ac:dyDescent="0.3">
      <c r="B30" s="11">
        <v>21</v>
      </c>
      <c r="C30" s="56" t="s">
        <v>82</v>
      </c>
      <c r="D30" s="31"/>
      <c r="E30" s="14" t="s">
        <v>83</v>
      </c>
      <c r="F30" s="17" t="s">
        <v>9</v>
      </c>
      <c r="G30" s="15" t="s">
        <v>45</v>
      </c>
      <c r="H30" s="15" t="s">
        <v>46</v>
      </c>
      <c r="I30" s="15" t="s">
        <v>47</v>
      </c>
      <c r="J30" s="15"/>
      <c r="K30" s="32"/>
      <c r="L30" s="15" t="s">
        <v>5</v>
      </c>
      <c r="M30" s="54" t="s">
        <v>84</v>
      </c>
      <c r="N30" s="51"/>
      <c r="O30" s="51"/>
    </row>
    <row r="31" spans="2:15" s="65" customFormat="1" ht="115.2" x14ac:dyDescent="0.3">
      <c r="B31" s="11">
        <v>22</v>
      </c>
      <c r="C31" s="12" t="s">
        <v>85</v>
      </c>
      <c r="D31" s="10" t="s">
        <v>86</v>
      </c>
      <c r="E31" s="13" t="s">
        <v>87</v>
      </c>
      <c r="F31" s="17" t="s">
        <v>9</v>
      </c>
      <c r="G31" s="16" t="s">
        <v>88</v>
      </c>
      <c r="H31" s="16" t="s">
        <v>10</v>
      </c>
      <c r="I31" s="16" t="s">
        <v>11</v>
      </c>
      <c r="J31" s="16"/>
      <c r="K31" s="16"/>
      <c r="L31" s="16" t="s">
        <v>28</v>
      </c>
      <c r="M31" s="55" t="s">
        <v>89</v>
      </c>
      <c r="N31" s="64" t="s">
        <v>90</v>
      </c>
      <c r="O31" s="63" t="s">
        <v>383</v>
      </c>
    </row>
    <row r="32" spans="2:15" ht="100.8" x14ac:dyDescent="0.3">
      <c r="B32" s="11">
        <v>23</v>
      </c>
      <c r="C32" s="12" t="s">
        <v>91</v>
      </c>
      <c r="D32" s="10" t="s">
        <v>92</v>
      </c>
      <c r="E32" s="13" t="s">
        <v>93</v>
      </c>
      <c r="F32" s="17" t="s">
        <v>9</v>
      </c>
      <c r="G32" s="15" t="s">
        <v>45</v>
      </c>
      <c r="H32" s="15" t="s">
        <v>46</v>
      </c>
      <c r="I32" s="15" t="s">
        <v>47</v>
      </c>
      <c r="J32" s="15"/>
      <c r="K32" s="15"/>
      <c r="L32" s="15" t="s">
        <v>5</v>
      </c>
      <c r="M32" s="55" t="s">
        <v>94</v>
      </c>
      <c r="N32" s="51"/>
      <c r="O32" s="51"/>
    </row>
    <row r="33" spans="2:15" ht="45" customHeight="1" x14ac:dyDescent="0.3">
      <c r="B33" s="11">
        <v>24</v>
      </c>
      <c r="C33" s="12" t="s">
        <v>95</v>
      </c>
      <c r="D33" s="22" t="s">
        <v>96</v>
      </c>
      <c r="E33" s="13" t="s">
        <v>97</v>
      </c>
      <c r="F33" s="17" t="s">
        <v>9</v>
      </c>
      <c r="G33" s="15" t="s">
        <v>45</v>
      </c>
      <c r="H33" s="15" t="s">
        <v>46</v>
      </c>
      <c r="I33" s="15" t="s">
        <v>47</v>
      </c>
      <c r="J33" s="15"/>
      <c r="K33" s="15"/>
      <c r="L33" s="15"/>
      <c r="M33" s="54"/>
      <c r="N33" s="51"/>
      <c r="O33" s="51"/>
    </row>
    <row r="34" spans="2:15" ht="57.6" x14ac:dyDescent="0.3">
      <c r="B34" s="11">
        <v>25</v>
      </c>
      <c r="C34" s="57" t="s">
        <v>98</v>
      </c>
      <c r="D34" s="23"/>
      <c r="E34" s="14" t="s">
        <v>99</v>
      </c>
      <c r="F34" s="17" t="s">
        <v>9</v>
      </c>
      <c r="G34" s="15" t="s">
        <v>45</v>
      </c>
      <c r="H34" s="15" t="s">
        <v>46</v>
      </c>
      <c r="I34" s="15" t="s">
        <v>47</v>
      </c>
      <c r="J34" s="15"/>
      <c r="K34" s="15"/>
      <c r="L34" s="15" t="s">
        <v>5</v>
      </c>
      <c r="M34" s="54"/>
      <c r="N34" s="51"/>
      <c r="O34" s="51"/>
    </row>
    <row r="35" spans="2:15" ht="43.2" x14ac:dyDescent="0.3">
      <c r="B35" s="11">
        <v>26</v>
      </c>
      <c r="C35" s="57" t="s">
        <v>100</v>
      </c>
      <c r="D35" s="23"/>
      <c r="E35" s="14" t="s">
        <v>101</v>
      </c>
      <c r="F35" s="17" t="s">
        <v>9</v>
      </c>
      <c r="G35" s="15" t="s">
        <v>45</v>
      </c>
      <c r="H35" s="15" t="s">
        <v>46</v>
      </c>
      <c r="I35" s="15" t="s">
        <v>47</v>
      </c>
      <c r="J35" s="15"/>
      <c r="K35" s="15"/>
      <c r="L35" s="15" t="s">
        <v>5</v>
      </c>
      <c r="M35" s="54"/>
      <c r="N35" s="51"/>
      <c r="O35" s="51"/>
    </row>
    <row r="36" spans="2:15" ht="57.6" x14ac:dyDescent="0.3">
      <c r="B36" s="11">
        <v>27</v>
      </c>
      <c r="C36" s="57" t="s">
        <v>102</v>
      </c>
      <c r="D36" s="24"/>
      <c r="E36" s="14" t="s">
        <v>103</v>
      </c>
      <c r="F36" s="17" t="s">
        <v>9</v>
      </c>
      <c r="G36" s="15" t="s">
        <v>45</v>
      </c>
      <c r="H36" s="15" t="s">
        <v>46</v>
      </c>
      <c r="I36" s="15" t="s">
        <v>47</v>
      </c>
      <c r="J36" s="15"/>
      <c r="K36" s="15"/>
      <c r="L36" s="15" t="s">
        <v>5</v>
      </c>
      <c r="M36" s="54"/>
      <c r="N36" s="51"/>
      <c r="O36" s="51"/>
    </row>
    <row r="37" spans="2:15" x14ac:dyDescent="0.3">
      <c r="B37" s="11">
        <v>28</v>
      </c>
      <c r="C37" s="12" t="s">
        <v>104</v>
      </c>
      <c r="D37" s="10" t="s">
        <v>105</v>
      </c>
      <c r="E37" s="14"/>
      <c r="F37" s="14"/>
      <c r="G37" s="16"/>
      <c r="H37" s="16"/>
      <c r="I37" s="16"/>
      <c r="J37" s="16"/>
      <c r="K37" s="16"/>
      <c r="L37" s="16"/>
      <c r="M37" s="54"/>
      <c r="N37" s="51"/>
      <c r="O37" s="51"/>
    </row>
    <row r="38" spans="2:15" ht="72" x14ac:dyDescent="0.3">
      <c r="B38" s="11">
        <v>29</v>
      </c>
      <c r="C38" s="12" t="s">
        <v>106</v>
      </c>
      <c r="D38" s="22" t="s">
        <v>107</v>
      </c>
      <c r="E38" s="14" t="s">
        <v>108</v>
      </c>
      <c r="F38" s="17" t="s">
        <v>9</v>
      </c>
      <c r="G38" s="16" t="s">
        <v>109</v>
      </c>
      <c r="H38" s="16" t="s">
        <v>17</v>
      </c>
      <c r="I38" s="16" t="s">
        <v>18</v>
      </c>
      <c r="J38" s="16" t="s">
        <v>110</v>
      </c>
      <c r="K38" s="16"/>
      <c r="L38" s="16" t="s">
        <v>48</v>
      </c>
      <c r="M38" s="55" t="s">
        <v>111</v>
      </c>
      <c r="N38" s="51"/>
      <c r="O38" s="51"/>
    </row>
    <row r="39" spans="2:15" s="65" customFormat="1" ht="57.6" x14ac:dyDescent="0.3">
      <c r="B39" s="11"/>
      <c r="C39" s="12" t="s">
        <v>112</v>
      </c>
      <c r="D39" s="10"/>
      <c r="E39" s="14" t="s">
        <v>113</v>
      </c>
      <c r="F39" s="17" t="s">
        <v>9</v>
      </c>
      <c r="G39" s="49" t="s">
        <v>114</v>
      </c>
      <c r="H39" s="16" t="s">
        <v>10</v>
      </c>
      <c r="I39" s="16" t="s">
        <v>11</v>
      </c>
      <c r="J39" s="16"/>
      <c r="K39" s="16"/>
      <c r="L39" s="16" t="s">
        <v>28</v>
      </c>
      <c r="M39" s="55"/>
      <c r="N39" s="63" t="s">
        <v>115</v>
      </c>
      <c r="O39" s="63" t="s">
        <v>376</v>
      </c>
    </row>
    <row r="40" spans="2:15" ht="28.8" x14ac:dyDescent="0.3">
      <c r="B40" s="11">
        <v>30</v>
      </c>
      <c r="C40" s="57" t="s">
        <v>116</v>
      </c>
      <c r="D40" s="23"/>
      <c r="E40" s="14" t="s">
        <v>117</v>
      </c>
      <c r="F40" s="17" t="s">
        <v>9</v>
      </c>
      <c r="G40" s="16" t="s">
        <v>109</v>
      </c>
      <c r="H40" s="16" t="s">
        <v>118</v>
      </c>
      <c r="I40" s="16" t="s">
        <v>119</v>
      </c>
      <c r="J40" s="16" t="s">
        <v>110</v>
      </c>
      <c r="K40" s="16"/>
      <c r="L40" s="16" t="s">
        <v>5</v>
      </c>
      <c r="M40" s="54"/>
      <c r="N40" s="51"/>
      <c r="O40" s="51"/>
    </row>
    <row r="41" spans="2:15" ht="43.2" x14ac:dyDescent="0.3">
      <c r="B41" s="11">
        <v>31</v>
      </c>
      <c r="C41" s="12" t="s">
        <v>120</v>
      </c>
      <c r="D41" s="23"/>
      <c r="E41" s="14" t="s">
        <v>121</v>
      </c>
      <c r="F41" s="17" t="s">
        <v>9</v>
      </c>
      <c r="G41" s="16" t="s">
        <v>109</v>
      </c>
      <c r="H41" s="39" t="s">
        <v>17</v>
      </c>
      <c r="I41" s="16" t="s">
        <v>18</v>
      </c>
      <c r="J41" s="16" t="s">
        <v>110</v>
      </c>
      <c r="K41" s="16" t="s">
        <v>122</v>
      </c>
      <c r="L41" s="16"/>
      <c r="M41" s="54"/>
      <c r="N41" s="51"/>
      <c r="O41" s="51"/>
    </row>
    <row r="42" spans="2:15" ht="57.6" x14ac:dyDescent="0.3">
      <c r="B42" s="11">
        <v>32</v>
      </c>
      <c r="C42" s="12" t="s">
        <v>123</v>
      </c>
      <c r="D42" s="23"/>
      <c r="E42" s="14" t="s">
        <v>124</v>
      </c>
      <c r="F42" s="17" t="s">
        <v>9</v>
      </c>
      <c r="G42" s="16" t="s">
        <v>109</v>
      </c>
      <c r="H42" s="16" t="s">
        <v>125</v>
      </c>
      <c r="I42" s="16" t="s">
        <v>126</v>
      </c>
      <c r="J42" s="16" t="s">
        <v>127</v>
      </c>
      <c r="K42" s="16" t="s">
        <v>128</v>
      </c>
      <c r="L42" s="16" t="s">
        <v>7</v>
      </c>
      <c r="M42" s="54"/>
      <c r="N42" s="51"/>
      <c r="O42" s="51"/>
    </row>
    <row r="43" spans="2:15" ht="28.8" x14ac:dyDescent="0.3">
      <c r="B43" s="11">
        <v>33</v>
      </c>
      <c r="C43" s="57" t="s">
        <v>129</v>
      </c>
      <c r="D43" s="23"/>
      <c r="E43" s="14" t="s">
        <v>130</v>
      </c>
      <c r="F43" s="17" t="s">
        <v>9</v>
      </c>
      <c r="G43" s="16" t="s">
        <v>109</v>
      </c>
      <c r="H43" s="16" t="s">
        <v>131</v>
      </c>
      <c r="I43" s="16" t="s">
        <v>132</v>
      </c>
      <c r="J43" s="16"/>
      <c r="K43" s="16"/>
      <c r="L43" s="16" t="s">
        <v>5</v>
      </c>
      <c r="M43" s="54"/>
      <c r="N43" s="51"/>
      <c r="O43" s="51"/>
    </row>
    <row r="44" spans="2:15" s="65" customFormat="1" ht="172.8" x14ac:dyDescent="0.3">
      <c r="B44" s="11">
        <v>34</v>
      </c>
      <c r="C44" s="12" t="s">
        <v>133</v>
      </c>
      <c r="D44" s="24" t="s">
        <v>134</v>
      </c>
      <c r="E44" s="14" t="s">
        <v>135</v>
      </c>
      <c r="F44" s="17" t="s">
        <v>9</v>
      </c>
      <c r="G44" s="16" t="s">
        <v>114</v>
      </c>
      <c r="H44" s="16" t="s">
        <v>10</v>
      </c>
      <c r="I44" s="16" t="s">
        <v>11</v>
      </c>
      <c r="J44" s="16"/>
      <c r="K44" s="16"/>
      <c r="L44" s="16" t="s">
        <v>28</v>
      </c>
      <c r="M44" s="55" t="s">
        <v>136</v>
      </c>
      <c r="N44" s="64" t="s">
        <v>137</v>
      </c>
      <c r="O44" s="63" t="s">
        <v>375</v>
      </c>
    </row>
    <row r="45" spans="2:15" s="65" customFormat="1" ht="144" x14ac:dyDescent="0.3">
      <c r="B45" s="11">
        <v>35</v>
      </c>
      <c r="C45" s="12" t="s">
        <v>138</v>
      </c>
      <c r="D45" s="10" t="s">
        <v>139</v>
      </c>
      <c r="E45" s="14" t="s">
        <v>140</v>
      </c>
      <c r="F45" s="17" t="s">
        <v>9</v>
      </c>
      <c r="G45" s="16" t="s">
        <v>114</v>
      </c>
      <c r="H45" s="16" t="s">
        <v>10</v>
      </c>
      <c r="I45" s="16" t="s">
        <v>11</v>
      </c>
      <c r="J45" s="16"/>
      <c r="K45" s="16"/>
      <c r="L45" s="16" t="s">
        <v>28</v>
      </c>
      <c r="M45" s="55" t="s">
        <v>141</v>
      </c>
      <c r="N45" s="63" t="s">
        <v>142</v>
      </c>
      <c r="O45" s="63" t="s">
        <v>375</v>
      </c>
    </row>
    <row r="46" spans="2:15" s="65" customFormat="1" ht="45" customHeight="1" x14ac:dyDescent="0.3">
      <c r="B46" s="11">
        <v>36</v>
      </c>
      <c r="C46" s="12" t="s">
        <v>143</v>
      </c>
      <c r="D46" s="10" t="s">
        <v>144</v>
      </c>
      <c r="E46" s="14" t="s">
        <v>145</v>
      </c>
      <c r="F46" s="17" t="s">
        <v>9</v>
      </c>
      <c r="G46" s="16" t="s">
        <v>88</v>
      </c>
      <c r="H46" s="16" t="s">
        <v>10</v>
      </c>
      <c r="I46" s="16" t="s">
        <v>11</v>
      </c>
      <c r="J46" s="16"/>
      <c r="K46" s="16"/>
      <c r="L46" s="16" t="s">
        <v>28</v>
      </c>
      <c r="M46" s="54"/>
      <c r="N46" s="63" t="s">
        <v>146</v>
      </c>
      <c r="O46" s="63" t="s">
        <v>371</v>
      </c>
    </row>
    <row r="47" spans="2:15" ht="28.8" x14ac:dyDescent="0.3">
      <c r="B47" s="11">
        <v>37</v>
      </c>
      <c r="C47" s="12" t="s">
        <v>147</v>
      </c>
      <c r="D47" s="22"/>
      <c r="E47" s="14" t="s">
        <v>148</v>
      </c>
      <c r="F47" s="17" t="s">
        <v>9</v>
      </c>
      <c r="G47" s="16" t="s">
        <v>149</v>
      </c>
      <c r="H47" s="39" t="s">
        <v>21</v>
      </c>
      <c r="I47" s="16" t="s">
        <v>22</v>
      </c>
      <c r="J47" s="16"/>
      <c r="K47" s="16" t="s">
        <v>150</v>
      </c>
      <c r="L47" s="16"/>
      <c r="M47" s="54"/>
      <c r="N47" s="51"/>
      <c r="O47" s="51"/>
    </row>
    <row r="48" spans="2:15" ht="28.8" x14ac:dyDescent="0.3">
      <c r="B48" s="11">
        <v>38</v>
      </c>
      <c r="C48" s="12" t="s">
        <v>151</v>
      </c>
      <c r="D48" s="23"/>
      <c r="E48" s="14" t="s">
        <v>152</v>
      </c>
      <c r="F48" s="17" t="s">
        <v>9</v>
      </c>
      <c r="G48" s="16" t="s">
        <v>149</v>
      </c>
      <c r="H48" s="39" t="s">
        <v>21</v>
      </c>
      <c r="I48" s="16" t="s">
        <v>22</v>
      </c>
      <c r="J48" s="16"/>
      <c r="K48" s="16" t="s">
        <v>153</v>
      </c>
      <c r="L48" s="16"/>
      <c r="M48" s="54" t="s">
        <v>65</v>
      </c>
      <c r="N48" s="51"/>
      <c r="O48" s="51"/>
    </row>
    <row r="49" spans="2:15" s="65" customFormat="1" ht="259.2" x14ac:dyDescent="0.3">
      <c r="B49" s="11">
        <v>39</v>
      </c>
      <c r="C49" s="59" t="s">
        <v>154</v>
      </c>
      <c r="D49" s="23"/>
      <c r="E49" s="14" t="s">
        <v>155</v>
      </c>
      <c r="F49" s="17" t="s">
        <v>9</v>
      </c>
      <c r="G49" s="16" t="s">
        <v>149</v>
      </c>
      <c r="H49" s="16" t="s">
        <v>156</v>
      </c>
      <c r="I49" s="16" t="s">
        <v>157</v>
      </c>
      <c r="J49" s="16"/>
      <c r="K49" s="16" t="s">
        <v>158</v>
      </c>
      <c r="L49" s="16" t="s">
        <v>48</v>
      </c>
      <c r="M49" s="54"/>
      <c r="N49" s="63" t="s">
        <v>159</v>
      </c>
      <c r="O49" s="66"/>
    </row>
    <row r="50" spans="2:15" ht="43.2" x14ac:dyDescent="0.3">
      <c r="B50" s="11">
        <v>40</v>
      </c>
      <c r="C50" s="12" t="s">
        <v>160</v>
      </c>
      <c r="D50" s="23"/>
      <c r="E50" s="14" t="s">
        <v>161</v>
      </c>
      <c r="F50" s="17" t="s">
        <v>9</v>
      </c>
      <c r="G50" s="16" t="s">
        <v>88</v>
      </c>
      <c r="H50" s="16" t="s">
        <v>10</v>
      </c>
      <c r="I50" s="16" t="s">
        <v>11</v>
      </c>
      <c r="J50" s="16"/>
      <c r="K50" s="16"/>
      <c r="L50" s="16"/>
      <c r="M50" s="54"/>
      <c r="N50" s="51"/>
      <c r="O50" s="51"/>
    </row>
    <row r="51" spans="2:15" s="65" customFormat="1" ht="175.8" customHeight="1" x14ac:dyDescent="0.3">
      <c r="B51" s="11">
        <v>41</v>
      </c>
      <c r="C51" s="12" t="s">
        <v>162</v>
      </c>
      <c r="D51" s="24" t="s">
        <v>163</v>
      </c>
      <c r="E51" s="14" t="s">
        <v>164</v>
      </c>
      <c r="F51" s="17" t="s">
        <v>9</v>
      </c>
      <c r="G51" s="16" t="s">
        <v>88</v>
      </c>
      <c r="H51" s="16" t="s">
        <v>10</v>
      </c>
      <c r="I51" s="16" t="s">
        <v>11</v>
      </c>
      <c r="J51" s="16"/>
      <c r="K51" s="16"/>
      <c r="L51" s="16" t="s">
        <v>28</v>
      </c>
      <c r="M51" s="54"/>
      <c r="N51" s="63" t="s">
        <v>165</v>
      </c>
      <c r="O51" s="63" t="s">
        <v>380</v>
      </c>
    </row>
    <row r="52" spans="2:15" s="65" customFormat="1" ht="100.8" x14ac:dyDescent="0.3">
      <c r="B52" s="11">
        <v>42</v>
      </c>
      <c r="C52" s="58" t="s">
        <v>166</v>
      </c>
      <c r="D52" s="10" t="s">
        <v>167</v>
      </c>
      <c r="E52" s="14" t="s">
        <v>168</v>
      </c>
      <c r="F52" s="17" t="s">
        <v>9</v>
      </c>
      <c r="G52" s="16" t="s">
        <v>169</v>
      </c>
      <c r="H52" s="16" t="s">
        <v>370</v>
      </c>
      <c r="I52" s="16" t="s">
        <v>369</v>
      </c>
      <c r="J52" s="16"/>
      <c r="K52" s="16"/>
      <c r="L52" s="16" t="s">
        <v>28</v>
      </c>
      <c r="M52" s="55" t="s">
        <v>170</v>
      </c>
      <c r="N52" s="63" t="s">
        <v>171</v>
      </c>
      <c r="O52" s="63" t="s">
        <v>373</v>
      </c>
    </row>
    <row r="53" spans="2:15" ht="86.4" x14ac:dyDescent="0.3">
      <c r="B53" s="11">
        <v>43</v>
      </c>
      <c r="C53" s="12" t="s">
        <v>172</v>
      </c>
      <c r="D53" s="10" t="s">
        <v>173</v>
      </c>
      <c r="E53" s="14" t="s">
        <v>174</v>
      </c>
      <c r="F53" s="17" t="s">
        <v>9</v>
      </c>
      <c r="G53" s="16" t="s">
        <v>175</v>
      </c>
      <c r="H53" s="16" t="s">
        <v>10</v>
      </c>
      <c r="I53" s="16" t="s">
        <v>11</v>
      </c>
      <c r="J53" s="16"/>
      <c r="K53" s="16"/>
      <c r="L53" s="16" t="s">
        <v>48</v>
      </c>
      <c r="M53" s="55" t="s">
        <v>176</v>
      </c>
      <c r="N53" s="51"/>
      <c r="O53" s="51"/>
    </row>
    <row r="54" spans="2:15" s="65" customFormat="1" ht="43.2" x14ac:dyDescent="0.3">
      <c r="B54" s="11">
        <v>44</v>
      </c>
      <c r="C54" s="12" t="s">
        <v>177</v>
      </c>
      <c r="D54" s="10" t="s">
        <v>178</v>
      </c>
      <c r="E54" s="14" t="s">
        <v>179</v>
      </c>
      <c r="F54" s="17" t="s">
        <v>9</v>
      </c>
      <c r="G54" s="16" t="s">
        <v>114</v>
      </c>
      <c r="H54" s="16" t="s">
        <v>10</v>
      </c>
      <c r="I54" s="16" t="s">
        <v>11</v>
      </c>
      <c r="J54" s="16"/>
      <c r="K54" s="16"/>
      <c r="L54" s="16" t="s">
        <v>28</v>
      </c>
      <c r="M54" s="54" t="s">
        <v>180</v>
      </c>
      <c r="N54" s="63" t="s">
        <v>181</v>
      </c>
      <c r="O54" s="63" t="s">
        <v>374</v>
      </c>
    </row>
    <row r="55" spans="2:15" ht="43.2" x14ac:dyDescent="0.3">
      <c r="B55" s="11">
        <v>45</v>
      </c>
      <c r="C55" s="12" t="s">
        <v>182</v>
      </c>
      <c r="D55" s="10" t="s">
        <v>183</v>
      </c>
      <c r="E55" s="14" t="s">
        <v>184</v>
      </c>
      <c r="F55" s="17" t="s">
        <v>9</v>
      </c>
      <c r="G55" s="16" t="s">
        <v>185</v>
      </c>
      <c r="H55" s="16" t="s">
        <v>15</v>
      </c>
      <c r="I55" s="16" t="s">
        <v>16</v>
      </c>
      <c r="J55" s="16"/>
      <c r="K55" s="16" t="s">
        <v>186</v>
      </c>
      <c r="L55" s="16" t="s">
        <v>7</v>
      </c>
      <c r="M55" s="54" t="s">
        <v>187</v>
      </c>
      <c r="N55" s="51"/>
      <c r="O55" s="51"/>
    </row>
    <row r="56" spans="2:15" ht="28.8" x14ac:dyDescent="0.3">
      <c r="B56" s="11">
        <v>46</v>
      </c>
      <c r="C56" s="57" t="s">
        <v>188</v>
      </c>
      <c r="D56" s="10" t="s">
        <v>189</v>
      </c>
      <c r="E56" s="14" t="s">
        <v>190</v>
      </c>
      <c r="F56" s="17" t="s">
        <v>9</v>
      </c>
      <c r="G56" s="16" t="s">
        <v>191</v>
      </c>
      <c r="H56" s="16" t="s">
        <v>13</v>
      </c>
      <c r="I56" s="16" t="s">
        <v>14</v>
      </c>
      <c r="J56" s="16"/>
      <c r="K56" s="16" t="s">
        <v>192</v>
      </c>
      <c r="L56" s="16" t="s">
        <v>5</v>
      </c>
      <c r="M56" s="54"/>
      <c r="N56" s="51"/>
      <c r="O56" s="51"/>
    </row>
    <row r="57" spans="2:15" ht="100.8" x14ac:dyDescent="0.3">
      <c r="B57" s="11">
        <v>47</v>
      </c>
      <c r="C57" s="12" t="s">
        <v>188</v>
      </c>
      <c r="D57" s="22"/>
      <c r="E57" s="48" t="s">
        <v>193</v>
      </c>
      <c r="F57" s="17" t="s">
        <v>9</v>
      </c>
      <c r="G57" s="16" t="s">
        <v>191</v>
      </c>
      <c r="H57" s="16" t="s">
        <v>13</v>
      </c>
      <c r="I57" s="16" t="s">
        <v>14</v>
      </c>
      <c r="J57" s="16"/>
      <c r="K57" s="16" t="s">
        <v>194</v>
      </c>
      <c r="L57" s="16"/>
      <c r="M57" s="54"/>
      <c r="N57" s="51"/>
      <c r="O57" s="51"/>
    </row>
    <row r="58" spans="2:15" ht="57.6" x14ac:dyDescent="0.3">
      <c r="B58" s="11">
        <v>48</v>
      </c>
      <c r="C58" s="57" t="s">
        <v>195</v>
      </c>
      <c r="D58" s="23"/>
      <c r="E58" s="14" t="s">
        <v>196</v>
      </c>
      <c r="F58" s="17" t="s">
        <v>9</v>
      </c>
      <c r="G58" s="16" t="s">
        <v>191</v>
      </c>
      <c r="H58" s="16" t="s">
        <v>197</v>
      </c>
      <c r="I58" s="16" t="s">
        <v>198</v>
      </c>
      <c r="J58" s="16"/>
      <c r="K58" s="16" t="s">
        <v>199</v>
      </c>
      <c r="L58" s="16" t="s">
        <v>5</v>
      </c>
      <c r="M58" s="54"/>
      <c r="N58" s="51"/>
      <c r="O58" s="51"/>
    </row>
    <row r="59" spans="2:15" ht="106.5" customHeight="1" x14ac:dyDescent="0.3">
      <c r="B59" s="11">
        <v>49</v>
      </c>
      <c r="C59" s="57" t="s">
        <v>200</v>
      </c>
      <c r="D59" s="23"/>
      <c r="E59" s="14" t="s">
        <v>201</v>
      </c>
      <c r="F59" s="17" t="s">
        <v>9</v>
      </c>
      <c r="G59" s="16" t="s">
        <v>191</v>
      </c>
      <c r="H59" s="16" t="s">
        <v>197</v>
      </c>
      <c r="I59" s="16" t="s">
        <v>198</v>
      </c>
      <c r="J59" s="16"/>
      <c r="K59" s="16" t="s">
        <v>202</v>
      </c>
      <c r="L59" s="16" t="s">
        <v>5</v>
      </c>
      <c r="M59" s="55" t="s">
        <v>203</v>
      </c>
      <c r="N59" s="51"/>
      <c r="O59" s="51"/>
    </row>
    <row r="60" spans="2:15" ht="72" x14ac:dyDescent="0.3">
      <c r="B60" s="11">
        <v>50</v>
      </c>
      <c r="C60" s="57" t="s">
        <v>204</v>
      </c>
      <c r="D60" s="23"/>
      <c r="E60" s="14" t="s">
        <v>205</v>
      </c>
      <c r="F60" s="17" t="s">
        <v>9</v>
      </c>
      <c r="G60" s="16" t="s">
        <v>191</v>
      </c>
      <c r="H60" s="16" t="s">
        <v>206</v>
      </c>
      <c r="I60" s="16" t="s">
        <v>207</v>
      </c>
      <c r="J60" s="16"/>
      <c r="K60" s="16" t="s">
        <v>208</v>
      </c>
      <c r="L60" s="16" t="s">
        <v>5</v>
      </c>
      <c r="M60" s="54"/>
      <c r="N60" s="51"/>
      <c r="O60" s="51"/>
    </row>
    <row r="61" spans="2:15" ht="100.8" x14ac:dyDescent="0.3">
      <c r="B61" s="11">
        <v>51</v>
      </c>
      <c r="C61" s="57" t="s">
        <v>209</v>
      </c>
      <c r="D61" s="23"/>
      <c r="E61" s="14" t="s">
        <v>210</v>
      </c>
      <c r="F61" s="17" t="s">
        <v>9</v>
      </c>
      <c r="G61" s="16" t="s">
        <v>191</v>
      </c>
      <c r="H61" s="16" t="s">
        <v>13</v>
      </c>
      <c r="I61" s="16" t="s">
        <v>14</v>
      </c>
      <c r="J61" s="16"/>
      <c r="K61" s="16" t="s">
        <v>211</v>
      </c>
      <c r="L61" s="16" t="s">
        <v>5</v>
      </c>
      <c r="M61" s="54"/>
      <c r="N61" s="51"/>
      <c r="O61" s="51"/>
    </row>
    <row r="62" spans="2:15" s="65" customFormat="1" ht="239.4" customHeight="1" x14ac:dyDescent="0.3">
      <c r="B62" s="11">
        <v>52</v>
      </c>
      <c r="C62" s="12" t="s">
        <v>212</v>
      </c>
      <c r="D62" s="26" t="s">
        <v>213</v>
      </c>
      <c r="E62" s="14" t="s">
        <v>214</v>
      </c>
      <c r="F62" s="18" t="s">
        <v>23</v>
      </c>
      <c r="G62" s="16" t="s">
        <v>215</v>
      </c>
      <c r="H62" s="16" t="s">
        <v>10</v>
      </c>
      <c r="I62" s="16" t="s">
        <v>11</v>
      </c>
      <c r="J62" s="16"/>
      <c r="K62" s="16"/>
      <c r="L62" s="16" t="s">
        <v>28</v>
      </c>
      <c r="M62" s="54"/>
      <c r="N62" s="63" t="s">
        <v>381</v>
      </c>
      <c r="O62" s="63" t="s">
        <v>382</v>
      </c>
    </row>
    <row r="63" spans="2:15" ht="57.6" x14ac:dyDescent="0.3">
      <c r="B63" s="11">
        <v>53</v>
      </c>
      <c r="C63" s="12" t="s">
        <v>216</v>
      </c>
      <c r="D63" s="25"/>
      <c r="E63" s="14" t="s">
        <v>217</v>
      </c>
      <c r="F63" s="18" t="s">
        <v>23</v>
      </c>
      <c r="G63" s="16" t="s">
        <v>191</v>
      </c>
      <c r="H63" s="16" t="s">
        <v>10</v>
      </c>
      <c r="I63" s="16" t="s">
        <v>11</v>
      </c>
      <c r="J63" s="16"/>
      <c r="K63" s="16"/>
      <c r="L63" s="16"/>
      <c r="M63" s="54"/>
      <c r="N63" s="51"/>
      <c r="O63" s="51"/>
    </row>
    <row r="64" spans="2:15" ht="57.6" x14ac:dyDescent="0.3">
      <c r="B64" s="11">
        <v>54</v>
      </c>
      <c r="C64" s="12" t="s">
        <v>218</v>
      </c>
      <c r="D64" s="26" t="s">
        <v>219</v>
      </c>
      <c r="E64" s="14" t="s">
        <v>220</v>
      </c>
      <c r="F64" s="18" t="s">
        <v>23</v>
      </c>
      <c r="G64" s="16" t="s">
        <v>215</v>
      </c>
      <c r="H64" s="16" t="s">
        <v>197</v>
      </c>
      <c r="I64" s="16" t="s">
        <v>198</v>
      </c>
      <c r="J64" s="16"/>
      <c r="K64" s="16" t="s">
        <v>221</v>
      </c>
      <c r="L64" s="16" t="s">
        <v>7</v>
      </c>
      <c r="M64" s="54" t="s">
        <v>222</v>
      </c>
      <c r="N64" s="51"/>
      <c r="O64" s="51"/>
    </row>
    <row r="65" spans="2:15" ht="43.5" customHeight="1" x14ac:dyDescent="0.3">
      <c r="B65" s="11">
        <v>55</v>
      </c>
      <c r="C65" s="12" t="s">
        <v>223</v>
      </c>
      <c r="D65" s="25"/>
      <c r="E65" s="14" t="s">
        <v>224</v>
      </c>
      <c r="F65" s="18" t="s">
        <v>23</v>
      </c>
      <c r="G65" s="16" t="s">
        <v>191</v>
      </c>
      <c r="H65" s="16" t="s">
        <v>10</v>
      </c>
      <c r="I65" s="16" t="s">
        <v>11</v>
      </c>
      <c r="J65" s="16"/>
      <c r="K65" s="16"/>
      <c r="L65" s="16"/>
      <c r="M65" s="54" t="s">
        <v>222</v>
      </c>
      <c r="N65" s="51"/>
      <c r="O65" s="51"/>
    </row>
    <row r="66" spans="2:15" ht="43.2" x14ac:dyDescent="0.3">
      <c r="B66" s="11">
        <v>56</v>
      </c>
      <c r="C66" s="57" t="s">
        <v>225</v>
      </c>
      <c r="D66" s="24" t="s">
        <v>226</v>
      </c>
      <c r="E66" s="14" t="s">
        <v>227</v>
      </c>
      <c r="F66" s="18" t="s">
        <v>9</v>
      </c>
      <c r="G66" s="16" t="s">
        <v>228</v>
      </c>
      <c r="H66" s="16" t="s">
        <v>197</v>
      </c>
      <c r="I66" s="16" t="s">
        <v>198</v>
      </c>
      <c r="J66" s="16"/>
      <c r="K66" s="16" t="s">
        <v>192</v>
      </c>
      <c r="L66" s="16" t="s">
        <v>5</v>
      </c>
      <c r="M66" s="54"/>
      <c r="N66" s="51"/>
      <c r="O66" s="51"/>
    </row>
    <row r="67" spans="2:15" ht="100.8" x14ac:dyDescent="0.3">
      <c r="B67" s="11">
        <v>57</v>
      </c>
      <c r="C67" s="12" t="s">
        <v>225</v>
      </c>
      <c r="D67" s="22"/>
      <c r="E67" s="48" t="s">
        <v>229</v>
      </c>
      <c r="F67" s="18" t="s">
        <v>9</v>
      </c>
      <c r="G67" s="16" t="s">
        <v>228</v>
      </c>
      <c r="H67" s="16" t="s">
        <v>13</v>
      </c>
      <c r="I67" s="16" t="s">
        <v>14</v>
      </c>
      <c r="J67" s="16"/>
      <c r="K67" s="16" t="s">
        <v>194</v>
      </c>
      <c r="L67" s="16"/>
      <c r="M67" s="54"/>
      <c r="N67" s="51"/>
      <c r="O67" s="51"/>
    </row>
    <row r="68" spans="2:15" ht="43.2" x14ac:dyDescent="0.3">
      <c r="B68" s="11">
        <v>58</v>
      </c>
      <c r="C68" s="12" t="s">
        <v>225</v>
      </c>
      <c r="D68" s="23"/>
      <c r="E68" s="14" t="s">
        <v>230</v>
      </c>
      <c r="F68" s="18" t="s">
        <v>9</v>
      </c>
      <c r="G68" s="16" t="s">
        <v>228</v>
      </c>
      <c r="H68" s="16" t="s">
        <v>197</v>
      </c>
      <c r="I68" s="16" t="s">
        <v>198</v>
      </c>
      <c r="J68" s="16"/>
      <c r="K68" s="16" t="s">
        <v>211</v>
      </c>
      <c r="L68" s="16" t="s">
        <v>48</v>
      </c>
      <c r="M68" s="54"/>
      <c r="N68" s="51"/>
      <c r="O68" s="51"/>
    </row>
    <row r="69" spans="2:15" ht="57.6" x14ac:dyDescent="0.3">
      <c r="B69" s="11">
        <v>59</v>
      </c>
      <c r="C69" s="57" t="s">
        <v>231</v>
      </c>
      <c r="D69" s="23"/>
      <c r="E69" s="14" t="s">
        <v>196</v>
      </c>
      <c r="F69" s="18" t="s">
        <v>9</v>
      </c>
      <c r="G69" s="16" t="s">
        <v>228</v>
      </c>
      <c r="H69" s="16" t="s">
        <v>197</v>
      </c>
      <c r="I69" s="16" t="s">
        <v>198</v>
      </c>
      <c r="J69" s="16"/>
      <c r="K69" s="16" t="s">
        <v>199</v>
      </c>
      <c r="L69" s="16" t="s">
        <v>5</v>
      </c>
      <c r="M69" s="54"/>
      <c r="N69" s="51"/>
      <c r="O69" s="51"/>
    </row>
    <row r="70" spans="2:15" ht="72" x14ac:dyDescent="0.3">
      <c r="B70" s="11">
        <v>60</v>
      </c>
      <c r="C70" s="57" t="s">
        <v>232</v>
      </c>
      <c r="D70" s="23"/>
      <c r="E70" s="14" t="s">
        <v>233</v>
      </c>
      <c r="F70" s="18" t="s">
        <v>9</v>
      </c>
      <c r="G70" s="16" t="s">
        <v>228</v>
      </c>
      <c r="H70" s="16" t="s">
        <v>197</v>
      </c>
      <c r="I70" s="16" t="s">
        <v>198</v>
      </c>
      <c r="J70" s="16"/>
      <c r="K70" s="16" t="s">
        <v>234</v>
      </c>
      <c r="L70" s="16" t="s">
        <v>5</v>
      </c>
      <c r="M70" s="54"/>
      <c r="N70" s="51"/>
      <c r="O70" s="51"/>
    </row>
    <row r="71" spans="2:15" ht="101.55" customHeight="1" x14ac:dyDescent="0.3">
      <c r="B71" s="11">
        <v>61</v>
      </c>
      <c r="C71" s="57" t="s">
        <v>235</v>
      </c>
      <c r="D71" s="23"/>
      <c r="E71" s="14" t="s">
        <v>236</v>
      </c>
      <c r="F71" s="18" t="s">
        <v>9</v>
      </c>
      <c r="G71" s="16" t="s">
        <v>228</v>
      </c>
      <c r="H71" s="16" t="s">
        <v>197</v>
      </c>
      <c r="I71" s="16" t="s">
        <v>198</v>
      </c>
      <c r="J71" s="16"/>
      <c r="K71" s="16" t="s">
        <v>237</v>
      </c>
      <c r="L71" s="16" t="s">
        <v>5</v>
      </c>
      <c r="M71"/>
      <c r="N71" s="51"/>
      <c r="O71" s="51"/>
    </row>
    <row r="72" spans="2:15" s="65" customFormat="1" ht="72" x14ac:dyDescent="0.3">
      <c r="B72" s="11">
        <v>62</v>
      </c>
      <c r="C72" s="59" t="s">
        <v>238</v>
      </c>
      <c r="D72" s="23"/>
      <c r="E72" s="14" t="s">
        <v>205</v>
      </c>
      <c r="F72" s="18" t="s">
        <v>9</v>
      </c>
      <c r="G72" s="16" t="s">
        <v>228</v>
      </c>
      <c r="H72" s="16" t="s">
        <v>239</v>
      </c>
      <c r="I72" s="16" t="s">
        <v>240</v>
      </c>
      <c r="J72" s="16"/>
      <c r="K72" s="16" t="s">
        <v>208</v>
      </c>
      <c r="L72" s="16" t="s">
        <v>48</v>
      </c>
      <c r="M72" s="54"/>
      <c r="N72" s="63" t="s">
        <v>241</v>
      </c>
      <c r="O72" s="66"/>
    </row>
    <row r="73" spans="2:15" ht="100.8" x14ac:dyDescent="0.3">
      <c r="B73" s="11">
        <v>63</v>
      </c>
      <c r="C73" s="57" t="s">
        <v>242</v>
      </c>
      <c r="D73" s="23"/>
      <c r="E73" s="14" t="s">
        <v>243</v>
      </c>
      <c r="F73" s="18" t="s">
        <v>9</v>
      </c>
      <c r="G73" s="16" t="s">
        <v>228</v>
      </c>
      <c r="H73" s="16" t="s">
        <v>13</v>
      </c>
      <c r="I73" s="16" t="s">
        <v>14</v>
      </c>
      <c r="J73" s="16"/>
      <c r="K73" s="16" t="s">
        <v>211</v>
      </c>
      <c r="L73" s="16" t="s">
        <v>5</v>
      </c>
      <c r="M73" s="54"/>
      <c r="N73" s="51"/>
      <c r="O73" s="51"/>
    </row>
    <row r="74" spans="2:15" ht="90" customHeight="1" x14ac:dyDescent="0.3">
      <c r="B74" s="11">
        <v>64</v>
      </c>
      <c r="C74" s="12" t="s">
        <v>244</v>
      </c>
      <c r="D74" s="23"/>
      <c r="E74" s="14" t="s">
        <v>245</v>
      </c>
      <c r="F74" s="18" t="s">
        <v>9</v>
      </c>
      <c r="G74" s="16" t="s">
        <v>228</v>
      </c>
      <c r="H74" s="39" t="s">
        <v>10</v>
      </c>
      <c r="I74" s="39" t="s">
        <v>12</v>
      </c>
      <c r="J74" s="16"/>
      <c r="K74" s="16" t="s">
        <v>246</v>
      </c>
      <c r="L74" s="16"/>
      <c r="M74" s="54"/>
      <c r="N74" s="51"/>
      <c r="O74" s="51"/>
    </row>
    <row r="75" spans="2:15" ht="57.6" x14ac:dyDescent="0.3">
      <c r="B75" s="11">
        <v>65</v>
      </c>
      <c r="C75" s="12" t="s">
        <v>247</v>
      </c>
      <c r="D75" s="23"/>
      <c r="E75" s="14" t="s">
        <v>248</v>
      </c>
      <c r="F75" s="18" t="s">
        <v>9</v>
      </c>
      <c r="G75" s="16" t="s">
        <v>228</v>
      </c>
      <c r="H75" s="16" t="s">
        <v>197</v>
      </c>
      <c r="I75" s="16" t="s">
        <v>249</v>
      </c>
      <c r="J75" s="16"/>
      <c r="K75" s="49" t="s">
        <v>221</v>
      </c>
      <c r="L75" s="16" t="s">
        <v>7</v>
      </c>
      <c r="M75" s="54" t="s">
        <v>222</v>
      </c>
      <c r="N75" s="51"/>
      <c r="O75" s="51"/>
    </row>
    <row r="76" spans="2:15" s="65" customFormat="1" ht="194.4" customHeight="1" x14ac:dyDescent="0.3">
      <c r="B76" s="11">
        <v>66</v>
      </c>
      <c r="C76" s="12" t="s">
        <v>250</v>
      </c>
      <c r="D76" s="26" t="s">
        <v>251</v>
      </c>
      <c r="E76" s="14" t="s">
        <v>252</v>
      </c>
      <c r="F76" s="18" t="s">
        <v>23</v>
      </c>
      <c r="G76" s="16" t="s">
        <v>253</v>
      </c>
      <c r="H76" s="16" t="s">
        <v>10</v>
      </c>
      <c r="I76" s="16" t="s">
        <v>11</v>
      </c>
      <c r="J76" s="16"/>
      <c r="K76" s="16"/>
      <c r="L76" s="16" t="s">
        <v>28</v>
      </c>
      <c r="M76" s="54"/>
      <c r="N76" s="63" t="s">
        <v>378</v>
      </c>
      <c r="O76" s="63" t="s">
        <v>385</v>
      </c>
    </row>
    <row r="77" spans="2:15" ht="43.5" customHeight="1" x14ac:dyDescent="0.3">
      <c r="B77" s="11">
        <v>67</v>
      </c>
      <c r="C77" s="12" t="s">
        <v>254</v>
      </c>
      <c r="D77" s="25"/>
      <c r="E77" s="14" t="s">
        <v>255</v>
      </c>
      <c r="F77" s="18" t="s">
        <v>23</v>
      </c>
      <c r="G77" s="16" t="s">
        <v>253</v>
      </c>
      <c r="H77" s="16" t="s">
        <v>10</v>
      </c>
      <c r="I77" s="16" t="s">
        <v>11</v>
      </c>
      <c r="J77" s="16"/>
      <c r="K77" s="16"/>
      <c r="L77" s="16"/>
      <c r="M77" s="54"/>
      <c r="N77" s="51"/>
      <c r="O77" s="51"/>
    </row>
    <row r="78" spans="2:15" ht="57.6" x14ac:dyDescent="0.3">
      <c r="B78" s="11">
        <v>68</v>
      </c>
      <c r="C78" s="12" t="s">
        <v>256</v>
      </c>
      <c r="D78" s="27"/>
      <c r="E78" s="14" t="s">
        <v>257</v>
      </c>
      <c r="F78" s="18" t="s">
        <v>23</v>
      </c>
      <c r="G78" s="16" t="s">
        <v>228</v>
      </c>
      <c r="H78" s="39" t="s">
        <v>24</v>
      </c>
      <c r="I78" s="16" t="s">
        <v>25</v>
      </c>
      <c r="J78" s="16"/>
      <c r="K78" s="16" t="s">
        <v>258</v>
      </c>
      <c r="L78" s="16" t="s">
        <v>48</v>
      </c>
      <c r="M78" s="54"/>
      <c r="N78" s="51"/>
      <c r="O78" s="51"/>
    </row>
    <row r="79" spans="2:15" ht="43.2" x14ac:dyDescent="0.3">
      <c r="B79" s="11">
        <v>69</v>
      </c>
      <c r="C79" s="12" t="s">
        <v>259</v>
      </c>
      <c r="D79" s="26" t="s">
        <v>260</v>
      </c>
      <c r="E79" s="14" t="s">
        <v>261</v>
      </c>
      <c r="F79" s="18" t="s">
        <v>23</v>
      </c>
      <c r="G79" s="16" t="s">
        <v>253</v>
      </c>
      <c r="H79" s="16" t="s">
        <v>10</v>
      </c>
      <c r="I79" s="16" t="s">
        <v>11</v>
      </c>
      <c r="J79" s="16"/>
      <c r="K79" s="16"/>
      <c r="L79" s="16"/>
      <c r="M79" s="54"/>
      <c r="N79" s="51"/>
      <c r="O79" s="51"/>
    </row>
    <row r="80" spans="2:15" ht="30" customHeight="1" x14ac:dyDescent="0.3">
      <c r="B80" s="11">
        <v>70</v>
      </c>
      <c r="C80" s="12" t="s">
        <v>262</v>
      </c>
      <c r="D80" s="25"/>
      <c r="E80" s="14" t="s">
        <v>263</v>
      </c>
      <c r="F80" s="18" t="s">
        <v>23</v>
      </c>
      <c r="G80" s="16" t="s">
        <v>253</v>
      </c>
      <c r="H80" s="16" t="s">
        <v>10</v>
      </c>
      <c r="I80" s="16" t="s">
        <v>11</v>
      </c>
      <c r="J80" s="16"/>
      <c r="K80" s="16"/>
      <c r="L80" s="16"/>
      <c r="M80" s="54"/>
      <c r="N80" s="51"/>
      <c r="O80" s="51"/>
    </row>
    <row r="81" spans="2:15" ht="43.2" x14ac:dyDescent="0.3">
      <c r="B81" s="11">
        <v>71</v>
      </c>
      <c r="C81" s="12" t="s">
        <v>264</v>
      </c>
      <c r="D81" s="27"/>
      <c r="E81" s="14" t="s">
        <v>265</v>
      </c>
      <c r="F81" s="18" t="s">
        <v>23</v>
      </c>
      <c r="G81" s="16" t="s">
        <v>253</v>
      </c>
      <c r="H81" s="16" t="s">
        <v>10</v>
      </c>
      <c r="I81" s="16" t="s">
        <v>11</v>
      </c>
      <c r="J81" s="16"/>
      <c r="K81" s="16"/>
      <c r="L81" s="16"/>
      <c r="M81" s="54"/>
      <c r="N81" s="51"/>
      <c r="O81" s="51"/>
    </row>
    <row r="82" spans="2:15" ht="57.6" x14ac:dyDescent="0.3">
      <c r="B82" s="11">
        <v>72</v>
      </c>
      <c r="C82" s="12" t="s">
        <v>266</v>
      </c>
      <c r="D82" s="27"/>
      <c r="E82" s="14" t="s">
        <v>267</v>
      </c>
      <c r="F82" s="18" t="s">
        <v>23</v>
      </c>
      <c r="G82" s="16" t="s">
        <v>228</v>
      </c>
      <c r="H82" s="39" t="s">
        <v>24</v>
      </c>
      <c r="I82" s="16" t="s">
        <v>25</v>
      </c>
      <c r="J82" s="16"/>
      <c r="K82" s="16" t="s">
        <v>268</v>
      </c>
      <c r="L82" s="16" t="s">
        <v>7</v>
      </c>
      <c r="M82" s="54"/>
      <c r="N82" s="51"/>
      <c r="O82" s="51"/>
    </row>
    <row r="83" spans="2:15" ht="72" x14ac:dyDescent="0.3">
      <c r="B83" s="11">
        <v>73</v>
      </c>
      <c r="C83" s="12" t="s">
        <v>269</v>
      </c>
      <c r="D83" s="26" t="s">
        <v>270</v>
      </c>
      <c r="E83" s="14" t="s">
        <v>271</v>
      </c>
      <c r="F83" s="18" t="s">
        <v>23</v>
      </c>
      <c r="G83" s="16" t="s">
        <v>253</v>
      </c>
      <c r="H83" s="16" t="s">
        <v>10</v>
      </c>
      <c r="I83" s="16" t="s">
        <v>11</v>
      </c>
      <c r="J83" s="16"/>
      <c r="K83" s="16"/>
      <c r="L83" s="16"/>
      <c r="M83" s="54" t="s">
        <v>272</v>
      </c>
      <c r="N83" s="51"/>
      <c r="O83" s="51"/>
    </row>
    <row r="84" spans="2:15" ht="45" customHeight="1" x14ac:dyDescent="0.3">
      <c r="B84" s="11">
        <v>74</v>
      </c>
      <c r="C84" s="12" t="s">
        <v>273</v>
      </c>
      <c r="D84" s="25"/>
      <c r="E84" s="14" t="s">
        <v>274</v>
      </c>
      <c r="F84" s="18" t="s">
        <v>23</v>
      </c>
      <c r="G84" s="16" t="s">
        <v>253</v>
      </c>
      <c r="H84" s="16" t="s">
        <v>10</v>
      </c>
      <c r="I84" s="16" t="s">
        <v>11</v>
      </c>
      <c r="J84" s="16"/>
      <c r="K84" s="16"/>
      <c r="L84" s="16"/>
      <c r="M84" s="54" t="s">
        <v>272</v>
      </c>
      <c r="N84" s="51"/>
      <c r="O84" s="51"/>
    </row>
    <row r="85" spans="2:15" ht="57.6" x14ac:dyDescent="0.3">
      <c r="B85" s="11">
        <v>75</v>
      </c>
      <c r="C85" s="12" t="s">
        <v>275</v>
      </c>
      <c r="D85" s="27"/>
      <c r="E85" s="14" t="s">
        <v>276</v>
      </c>
      <c r="F85" s="18" t="s">
        <v>23</v>
      </c>
      <c r="G85" s="16" t="s">
        <v>228</v>
      </c>
      <c r="H85" s="39" t="s">
        <v>24</v>
      </c>
      <c r="I85" s="16" t="s">
        <v>25</v>
      </c>
      <c r="J85" s="16"/>
      <c r="K85" s="16" t="s">
        <v>258</v>
      </c>
      <c r="L85" s="16" t="s">
        <v>48</v>
      </c>
      <c r="M85" s="54" t="s">
        <v>272</v>
      </c>
      <c r="N85" s="51"/>
      <c r="O85" s="51"/>
    </row>
    <row r="86" spans="2:15" ht="57.6" x14ac:dyDescent="0.3">
      <c r="B86" s="11">
        <v>76</v>
      </c>
      <c r="C86" s="12" t="s">
        <v>277</v>
      </c>
      <c r="D86" s="26" t="s">
        <v>278</v>
      </c>
      <c r="E86" s="14" t="s">
        <v>279</v>
      </c>
      <c r="F86" s="18" t="s">
        <v>23</v>
      </c>
      <c r="G86" s="16" t="s">
        <v>253</v>
      </c>
      <c r="H86" s="16" t="s">
        <v>10</v>
      </c>
      <c r="I86" s="16" t="s">
        <v>11</v>
      </c>
      <c r="J86" s="16"/>
      <c r="K86" s="16"/>
      <c r="L86" s="16"/>
      <c r="M86" s="54" t="s">
        <v>272</v>
      </c>
      <c r="N86" s="51"/>
      <c r="O86" s="51"/>
    </row>
    <row r="87" spans="2:15" ht="45" customHeight="1" x14ac:dyDescent="0.3">
      <c r="B87" s="11">
        <v>77</v>
      </c>
      <c r="C87" s="12" t="s">
        <v>280</v>
      </c>
      <c r="D87" s="25"/>
      <c r="E87" s="14" t="s">
        <v>281</v>
      </c>
      <c r="F87" s="18" t="s">
        <v>23</v>
      </c>
      <c r="G87" s="16" t="s">
        <v>253</v>
      </c>
      <c r="H87" s="16" t="s">
        <v>10</v>
      </c>
      <c r="I87" s="16" t="s">
        <v>11</v>
      </c>
      <c r="J87" s="16"/>
      <c r="K87" s="16"/>
      <c r="L87" s="16"/>
      <c r="M87" s="54" t="s">
        <v>272</v>
      </c>
      <c r="N87" s="51"/>
      <c r="O87" s="51"/>
    </row>
    <row r="88" spans="2:15" ht="57.6" x14ac:dyDescent="0.3">
      <c r="B88" s="11">
        <v>78</v>
      </c>
      <c r="C88" s="12" t="s">
        <v>282</v>
      </c>
      <c r="D88" s="27"/>
      <c r="E88" s="14" t="s">
        <v>283</v>
      </c>
      <c r="F88" s="18" t="s">
        <v>23</v>
      </c>
      <c r="G88" s="16" t="s">
        <v>253</v>
      </c>
      <c r="H88" s="16" t="s">
        <v>10</v>
      </c>
      <c r="I88" s="16" t="s">
        <v>11</v>
      </c>
      <c r="J88" s="16"/>
      <c r="K88" s="16"/>
      <c r="L88" s="16"/>
      <c r="M88" s="54" t="s">
        <v>272</v>
      </c>
      <c r="N88" s="51"/>
      <c r="O88" s="51"/>
    </row>
    <row r="89" spans="2:15" ht="57.6" x14ac:dyDescent="0.3">
      <c r="B89" s="11">
        <v>79</v>
      </c>
      <c r="C89" s="12" t="s">
        <v>284</v>
      </c>
      <c r="D89" s="27"/>
      <c r="E89" s="14" t="s">
        <v>267</v>
      </c>
      <c r="F89" s="18" t="s">
        <v>23</v>
      </c>
      <c r="G89" s="16" t="s">
        <v>228</v>
      </c>
      <c r="H89" s="39" t="s">
        <v>24</v>
      </c>
      <c r="I89" s="16" t="s">
        <v>25</v>
      </c>
      <c r="J89" s="16"/>
      <c r="K89" s="16" t="s">
        <v>268</v>
      </c>
      <c r="L89" s="16" t="s">
        <v>7</v>
      </c>
      <c r="M89" s="54" t="s">
        <v>272</v>
      </c>
      <c r="N89" s="51"/>
      <c r="O89" s="51"/>
    </row>
    <row r="90" spans="2:15" ht="28.8" x14ac:dyDescent="0.3">
      <c r="B90" s="11">
        <v>80</v>
      </c>
      <c r="C90" s="12" t="s">
        <v>285</v>
      </c>
      <c r="D90" s="24" t="s">
        <v>286</v>
      </c>
      <c r="E90" s="14" t="s">
        <v>287</v>
      </c>
      <c r="F90" s="18" t="s">
        <v>9</v>
      </c>
      <c r="G90" s="16" t="s">
        <v>288</v>
      </c>
      <c r="H90" s="16" t="s">
        <v>10</v>
      </c>
      <c r="I90" s="16" t="s">
        <v>11</v>
      </c>
      <c r="J90" s="16"/>
      <c r="K90" s="16"/>
      <c r="L90" s="16"/>
      <c r="M90" s="54"/>
      <c r="N90" s="51"/>
      <c r="O90" s="51"/>
    </row>
    <row r="91" spans="2:15" ht="28.8" x14ac:dyDescent="0.3">
      <c r="B91" s="11">
        <v>81</v>
      </c>
      <c r="C91" s="12" t="s">
        <v>289</v>
      </c>
      <c r="D91" s="22"/>
      <c r="E91" s="14" t="s">
        <v>290</v>
      </c>
      <c r="F91" s="18" t="s">
        <v>9</v>
      </c>
      <c r="G91" s="16" t="s">
        <v>288</v>
      </c>
      <c r="H91" s="16" t="s">
        <v>10</v>
      </c>
      <c r="I91" s="16" t="s">
        <v>11</v>
      </c>
      <c r="J91" s="16"/>
      <c r="K91" s="16"/>
      <c r="L91" s="16"/>
      <c r="M91" s="54"/>
      <c r="N91" s="51"/>
      <c r="O91" s="51"/>
    </row>
    <row r="92" spans="2:15" ht="28.8" x14ac:dyDescent="0.3">
      <c r="B92" s="11">
        <v>82</v>
      </c>
      <c r="C92" s="12" t="s">
        <v>291</v>
      </c>
      <c r="D92" s="23"/>
      <c r="E92" s="14" t="s">
        <v>292</v>
      </c>
      <c r="F92" s="18" t="s">
        <v>9</v>
      </c>
      <c r="G92" s="16" t="s">
        <v>288</v>
      </c>
      <c r="H92" s="16" t="s">
        <v>10</v>
      </c>
      <c r="I92" s="16" t="s">
        <v>11</v>
      </c>
      <c r="J92" s="16"/>
      <c r="K92" s="16"/>
      <c r="L92" s="16"/>
      <c r="M92" s="54"/>
      <c r="N92" s="51"/>
      <c r="O92" s="51"/>
    </row>
    <row r="93" spans="2:15" ht="57.6" x14ac:dyDescent="0.3">
      <c r="B93" s="11">
        <v>83</v>
      </c>
      <c r="C93" s="12" t="s">
        <v>293</v>
      </c>
      <c r="D93" s="23"/>
      <c r="E93" s="14" t="s">
        <v>294</v>
      </c>
      <c r="F93" s="18" t="s">
        <v>9</v>
      </c>
      <c r="G93" s="16" t="s">
        <v>288</v>
      </c>
      <c r="H93" s="16" t="s">
        <v>10</v>
      </c>
      <c r="I93" s="16" t="s">
        <v>11</v>
      </c>
      <c r="J93" s="16"/>
      <c r="K93" s="16"/>
      <c r="L93" s="16"/>
      <c r="M93" s="54"/>
      <c r="N93" s="51"/>
      <c r="O93" s="51"/>
    </row>
    <row r="94" spans="2:15" ht="72" x14ac:dyDescent="0.3">
      <c r="B94" s="11">
        <v>84</v>
      </c>
      <c r="C94" s="12" t="s">
        <v>295</v>
      </c>
      <c r="D94" s="23"/>
      <c r="E94" s="14" t="s">
        <v>296</v>
      </c>
      <c r="F94" s="18" t="s">
        <v>9</v>
      </c>
      <c r="G94" s="16" t="s">
        <v>288</v>
      </c>
      <c r="H94" s="16" t="s">
        <v>10</v>
      </c>
      <c r="I94" s="16" t="s">
        <v>11</v>
      </c>
      <c r="J94" s="16"/>
      <c r="K94" s="16"/>
      <c r="L94" s="16"/>
      <c r="M94" s="55" t="s">
        <v>297</v>
      </c>
      <c r="N94" s="51"/>
      <c r="O94" s="51"/>
    </row>
    <row r="95" spans="2:15" ht="30" customHeight="1" x14ac:dyDescent="0.3">
      <c r="B95" s="11">
        <v>85</v>
      </c>
      <c r="C95" s="12" t="s">
        <v>298</v>
      </c>
      <c r="D95" s="23"/>
      <c r="E95" s="14" t="s">
        <v>299</v>
      </c>
      <c r="F95" s="18" t="s">
        <v>9</v>
      </c>
      <c r="G95" s="16" t="s">
        <v>288</v>
      </c>
      <c r="H95" s="16" t="s">
        <v>10</v>
      </c>
      <c r="I95" s="16" t="s">
        <v>11</v>
      </c>
      <c r="J95" s="16"/>
      <c r="K95" s="16"/>
      <c r="L95" s="16"/>
      <c r="M95" s="54"/>
      <c r="N95" s="51"/>
      <c r="O95" s="51"/>
    </row>
    <row r="96" spans="2:15" ht="100.8" x14ac:dyDescent="0.3">
      <c r="B96" s="11">
        <v>86</v>
      </c>
      <c r="C96" s="12" t="s">
        <v>300</v>
      </c>
      <c r="D96" s="23"/>
      <c r="E96" s="14" t="s">
        <v>301</v>
      </c>
      <c r="F96" s="18" t="s">
        <v>9</v>
      </c>
      <c r="G96" s="16" t="s">
        <v>288</v>
      </c>
      <c r="H96" s="16" t="s">
        <v>10</v>
      </c>
      <c r="I96" s="16" t="s">
        <v>11</v>
      </c>
      <c r="J96" s="16"/>
      <c r="K96" s="16"/>
      <c r="L96" s="16"/>
      <c r="M96" s="54"/>
      <c r="N96" s="51"/>
      <c r="O96" s="51"/>
    </row>
    <row r="97" spans="2:15" ht="72" x14ac:dyDescent="0.3">
      <c r="B97" s="11">
        <v>87</v>
      </c>
      <c r="C97" s="12" t="s">
        <v>302</v>
      </c>
      <c r="D97" s="23"/>
      <c r="E97" s="14" t="s">
        <v>303</v>
      </c>
      <c r="F97" s="18" t="s">
        <v>9</v>
      </c>
      <c r="G97" s="16" t="s">
        <v>288</v>
      </c>
      <c r="H97" s="16" t="s">
        <v>10</v>
      </c>
      <c r="I97" s="16" t="s">
        <v>11</v>
      </c>
      <c r="J97" s="16"/>
      <c r="K97" s="16"/>
      <c r="L97" s="16"/>
      <c r="M97" s="54"/>
      <c r="N97" s="51"/>
      <c r="O97" s="51"/>
    </row>
    <row r="98" spans="2:15" ht="273.60000000000002" x14ac:dyDescent="0.3">
      <c r="B98" s="11">
        <v>88</v>
      </c>
      <c r="C98" s="12" t="s">
        <v>304</v>
      </c>
      <c r="D98" s="23"/>
      <c r="E98" s="14" t="s">
        <v>305</v>
      </c>
      <c r="F98" s="18" t="s">
        <v>9</v>
      </c>
      <c r="G98" s="16" t="s">
        <v>288</v>
      </c>
      <c r="H98" s="16" t="s">
        <v>10</v>
      </c>
      <c r="I98" s="16" t="s">
        <v>11</v>
      </c>
      <c r="J98" s="16"/>
      <c r="K98" s="16"/>
      <c r="L98" s="16"/>
      <c r="M98" s="55" t="s">
        <v>306</v>
      </c>
      <c r="N98" s="51"/>
      <c r="O98" s="51"/>
    </row>
    <row r="99" spans="2:15" ht="35.1" customHeight="1" x14ac:dyDescent="0.3">
      <c r="B99" s="11">
        <v>89</v>
      </c>
      <c r="C99" s="12" t="s">
        <v>307</v>
      </c>
      <c r="D99" s="23"/>
      <c r="E99" s="14" t="s">
        <v>308</v>
      </c>
      <c r="F99" s="18" t="s">
        <v>9</v>
      </c>
      <c r="G99" s="16" t="s">
        <v>288</v>
      </c>
      <c r="H99" s="16" t="s">
        <v>10</v>
      </c>
      <c r="I99" s="16" t="s">
        <v>11</v>
      </c>
      <c r="J99" s="16"/>
      <c r="K99" s="16"/>
      <c r="L99" s="16"/>
      <c r="M99" s="54"/>
      <c r="N99" s="51"/>
      <c r="O99" s="51"/>
    </row>
    <row r="100" spans="2:15" ht="375" customHeight="1" x14ac:dyDescent="0.3">
      <c r="B100" s="11">
        <v>90</v>
      </c>
      <c r="C100" s="12" t="s">
        <v>309</v>
      </c>
      <c r="D100" s="23"/>
      <c r="E100" s="14" t="s">
        <v>310</v>
      </c>
      <c r="F100" s="18" t="s">
        <v>9</v>
      </c>
      <c r="G100" s="16" t="s">
        <v>288</v>
      </c>
      <c r="H100" s="16" t="s">
        <v>10</v>
      </c>
      <c r="I100" s="16" t="s">
        <v>11</v>
      </c>
      <c r="J100" s="16"/>
      <c r="K100" s="16"/>
      <c r="L100" s="16"/>
      <c r="M100" s="55" t="s">
        <v>311</v>
      </c>
      <c r="N100" s="51"/>
      <c r="O100" s="51"/>
    </row>
    <row r="101" spans="2:15" ht="85.05" customHeight="1" x14ac:dyDescent="0.3">
      <c r="B101" s="11">
        <v>91</v>
      </c>
      <c r="C101" s="12" t="s">
        <v>312</v>
      </c>
      <c r="D101" s="23"/>
      <c r="E101" s="14" t="s">
        <v>313</v>
      </c>
      <c r="F101" s="18" t="s">
        <v>9</v>
      </c>
      <c r="G101" s="16" t="s">
        <v>288</v>
      </c>
      <c r="H101" s="16" t="s">
        <v>10</v>
      </c>
      <c r="I101" s="16" t="s">
        <v>11</v>
      </c>
      <c r="J101" s="16"/>
      <c r="K101" s="16"/>
      <c r="L101" s="16"/>
      <c r="M101" s="54"/>
      <c r="N101" s="51"/>
      <c r="O101" s="51"/>
    </row>
    <row r="102" spans="2:15" ht="28.8" x14ac:dyDescent="0.3">
      <c r="B102" s="11">
        <v>92</v>
      </c>
      <c r="C102" s="12" t="s">
        <v>314</v>
      </c>
      <c r="D102" s="23"/>
      <c r="E102" s="14" t="s">
        <v>315</v>
      </c>
      <c r="F102" s="18" t="s">
        <v>9</v>
      </c>
      <c r="G102" s="16" t="s">
        <v>288</v>
      </c>
      <c r="H102" s="16" t="s">
        <v>10</v>
      </c>
      <c r="I102" s="16" t="s">
        <v>11</v>
      </c>
      <c r="J102" s="16"/>
      <c r="K102" s="16"/>
      <c r="L102" s="16"/>
      <c r="M102" s="54"/>
      <c r="N102" s="51"/>
      <c r="O102" s="51"/>
    </row>
    <row r="103" spans="2:15" ht="46.8" customHeight="1" x14ac:dyDescent="0.3">
      <c r="B103" s="11">
        <v>93</v>
      </c>
      <c r="C103" s="12" t="s">
        <v>316</v>
      </c>
      <c r="D103" s="26" t="s">
        <v>317</v>
      </c>
      <c r="E103" s="14" t="s">
        <v>318</v>
      </c>
      <c r="F103" s="18" t="s">
        <v>9</v>
      </c>
      <c r="G103" s="16" t="s">
        <v>149</v>
      </c>
      <c r="H103" s="16" t="s">
        <v>19</v>
      </c>
      <c r="I103" s="16" t="s">
        <v>20</v>
      </c>
      <c r="J103" s="16"/>
      <c r="K103" s="16" t="s">
        <v>319</v>
      </c>
      <c r="L103" s="16"/>
      <c r="M103" s="54"/>
      <c r="N103" s="51"/>
      <c r="O103" s="51"/>
    </row>
    <row r="104" spans="2:15" s="65" customFormat="1" ht="43.2" x14ac:dyDescent="0.3">
      <c r="B104" s="11">
        <v>94</v>
      </c>
      <c r="C104" s="12" t="s">
        <v>320</v>
      </c>
      <c r="D104" s="25"/>
      <c r="E104" s="14" t="s">
        <v>321</v>
      </c>
      <c r="F104" s="18" t="s">
        <v>23</v>
      </c>
      <c r="G104" s="16" t="s">
        <v>88</v>
      </c>
      <c r="H104" s="16" t="s">
        <v>10</v>
      </c>
      <c r="I104" s="16" t="s">
        <v>11</v>
      </c>
      <c r="J104" s="16"/>
      <c r="K104" s="16"/>
      <c r="L104" s="16" t="s">
        <v>28</v>
      </c>
      <c r="M104" s="54" t="s">
        <v>322</v>
      </c>
      <c r="N104" s="63" t="s">
        <v>323</v>
      </c>
      <c r="O104" s="63" t="s">
        <v>384</v>
      </c>
    </row>
    <row r="105" spans="2:15" ht="72" x14ac:dyDescent="0.3">
      <c r="B105" s="11">
        <v>95</v>
      </c>
      <c r="C105" s="12" t="s">
        <v>324</v>
      </c>
      <c r="D105" s="27"/>
      <c r="E105" s="14" t="s">
        <v>325</v>
      </c>
      <c r="F105" s="18" t="s">
        <v>23</v>
      </c>
      <c r="G105" s="16" t="s">
        <v>88</v>
      </c>
      <c r="H105" s="16" t="s">
        <v>10</v>
      </c>
      <c r="I105" s="16" t="s">
        <v>11</v>
      </c>
      <c r="J105" s="16"/>
      <c r="K105" s="16"/>
      <c r="L105" s="16"/>
      <c r="M105" s="54"/>
      <c r="N105" s="51"/>
      <c r="O105" s="51"/>
    </row>
    <row r="106" spans="2:15" ht="43.2" x14ac:dyDescent="0.3">
      <c r="B106" s="11">
        <v>96</v>
      </c>
      <c r="C106" s="12" t="s">
        <v>326</v>
      </c>
      <c r="D106" s="27"/>
      <c r="E106" s="14" t="s">
        <v>327</v>
      </c>
      <c r="F106" s="18" t="s">
        <v>23</v>
      </c>
      <c r="G106" s="16" t="s">
        <v>88</v>
      </c>
      <c r="H106" s="16" t="s">
        <v>10</v>
      </c>
      <c r="I106" s="16" t="s">
        <v>11</v>
      </c>
      <c r="J106" s="16"/>
      <c r="K106" s="16"/>
      <c r="L106" s="16" t="s">
        <v>48</v>
      </c>
      <c r="M106" s="54"/>
      <c r="N106" s="51"/>
      <c r="O106" s="51"/>
    </row>
    <row r="107" spans="2:15" ht="43.2" x14ac:dyDescent="0.3">
      <c r="B107" s="11">
        <v>97</v>
      </c>
      <c r="C107" s="12" t="s">
        <v>328</v>
      </c>
      <c r="D107" s="27"/>
      <c r="E107" s="14" t="s">
        <v>329</v>
      </c>
      <c r="F107" s="18" t="s">
        <v>23</v>
      </c>
      <c r="G107" s="16" t="s">
        <v>88</v>
      </c>
      <c r="H107" s="16" t="s">
        <v>10</v>
      </c>
      <c r="I107" s="16" t="s">
        <v>11</v>
      </c>
      <c r="J107" s="16"/>
      <c r="K107" s="16"/>
      <c r="L107" s="16" t="s">
        <v>48</v>
      </c>
      <c r="M107" s="54"/>
      <c r="N107" s="51"/>
      <c r="O107" s="51"/>
    </row>
    <row r="108" spans="2:15" s="65" customFormat="1" ht="244.8" x14ac:dyDescent="0.3">
      <c r="B108" s="11">
        <v>98</v>
      </c>
      <c r="C108" s="12" t="s">
        <v>330</v>
      </c>
      <c r="D108" s="27"/>
      <c r="E108" s="14" t="s">
        <v>331</v>
      </c>
      <c r="F108" s="18" t="s">
        <v>23</v>
      </c>
      <c r="G108" s="16" t="s">
        <v>88</v>
      </c>
      <c r="H108" s="16" t="s">
        <v>10</v>
      </c>
      <c r="I108" s="16" t="s">
        <v>11</v>
      </c>
      <c r="J108" s="16"/>
      <c r="K108" s="16"/>
      <c r="L108" s="16" t="s">
        <v>28</v>
      </c>
      <c r="M108" s="54"/>
      <c r="N108" s="63" t="s">
        <v>332</v>
      </c>
      <c r="O108" s="63" t="s">
        <v>377</v>
      </c>
    </row>
    <row r="109" spans="2:15" ht="43.2" x14ac:dyDescent="0.3">
      <c r="B109" s="11">
        <v>99</v>
      </c>
      <c r="C109" s="12" t="s">
        <v>333</v>
      </c>
      <c r="D109" s="27"/>
      <c r="E109" s="14" t="s">
        <v>334</v>
      </c>
      <c r="F109" s="18" t="s">
        <v>23</v>
      </c>
      <c r="G109" s="16" t="s">
        <v>88</v>
      </c>
      <c r="H109" s="16" t="s">
        <v>10</v>
      </c>
      <c r="I109" s="16" t="s">
        <v>11</v>
      </c>
      <c r="J109" s="16"/>
      <c r="K109" s="16"/>
      <c r="L109" s="16" t="s">
        <v>48</v>
      </c>
      <c r="M109" s="54"/>
      <c r="N109" s="51"/>
      <c r="O109" s="51"/>
    </row>
    <row r="110" spans="2:15" ht="409.6" x14ac:dyDescent="0.3">
      <c r="B110" s="11">
        <v>100</v>
      </c>
      <c r="C110" s="12" t="s">
        <v>335</v>
      </c>
      <c r="D110" s="27"/>
      <c r="E110" s="14" t="s">
        <v>336</v>
      </c>
      <c r="F110" s="18" t="s">
        <v>23</v>
      </c>
      <c r="G110" s="16" t="s">
        <v>88</v>
      </c>
      <c r="H110" s="16" t="s">
        <v>10</v>
      </c>
      <c r="I110" s="16" t="s">
        <v>11</v>
      </c>
      <c r="J110" s="16"/>
      <c r="K110" s="16"/>
      <c r="L110" s="16"/>
      <c r="M110" s="54"/>
      <c r="N110" s="51"/>
      <c r="O110" s="51"/>
    </row>
    <row r="111" spans="2:15" ht="216" x14ac:dyDescent="0.3">
      <c r="B111" s="11">
        <v>101</v>
      </c>
      <c r="C111" s="12" t="s">
        <v>337</v>
      </c>
      <c r="D111" s="27"/>
      <c r="E111" s="14" t="s">
        <v>338</v>
      </c>
      <c r="F111" s="18" t="s">
        <v>23</v>
      </c>
      <c r="G111" s="16" t="s">
        <v>88</v>
      </c>
      <c r="H111" s="16" t="s">
        <v>10</v>
      </c>
      <c r="I111" s="16" t="s">
        <v>11</v>
      </c>
      <c r="J111" s="16"/>
      <c r="K111" s="16"/>
      <c r="L111" s="16"/>
      <c r="M111" s="54"/>
      <c r="N111" s="51"/>
      <c r="O111" s="51"/>
    </row>
    <row r="112" spans="2:15" ht="129.6" x14ac:dyDescent="0.3">
      <c r="B112" s="11">
        <v>102</v>
      </c>
      <c r="C112" s="12" t="s">
        <v>339</v>
      </c>
      <c r="D112" s="26" t="s">
        <v>340</v>
      </c>
      <c r="E112" s="14" t="s">
        <v>341</v>
      </c>
      <c r="F112" s="18" t="s">
        <v>23</v>
      </c>
      <c r="G112" s="16" t="s">
        <v>45</v>
      </c>
      <c r="H112" s="44" t="s">
        <v>10</v>
      </c>
      <c r="I112" s="44" t="s">
        <v>11</v>
      </c>
      <c r="J112" s="16"/>
      <c r="K112" s="16" t="s">
        <v>342</v>
      </c>
      <c r="L112" s="16"/>
      <c r="M112" s="54"/>
      <c r="N112" s="51"/>
      <c r="O112" s="51"/>
    </row>
    <row r="113" spans="2:15" ht="158.4" x14ac:dyDescent="0.3">
      <c r="B113" s="11">
        <v>103</v>
      </c>
      <c r="C113" s="12" t="s">
        <v>343</v>
      </c>
      <c r="D113" s="25"/>
      <c r="E113" s="14" t="s">
        <v>344</v>
      </c>
      <c r="F113" s="18" t="s">
        <v>23</v>
      </c>
      <c r="G113" s="16" t="s">
        <v>45</v>
      </c>
      <c r="H113" s="44" t="s">
        <v>10</v>
      </c>
      <c r="I113" s="44" t="s">
        <v>345</v>
      </c>
      <c r="J113" s="16"/>
      <c r="K113" s="16" t="s">
        <v>346</v>
      </c>
      <c r="L113" s="16"/>
      <c r="M113" s="54"/>
      <c r="N113" s="51"/>
      <c r="O113" s="51"/>
    </row>
    <row r="114" spans="2:15" ht="43.2" x14ac:dyDescent="0.3">
      <c r="B114" s="11">
        <v>104</v>
      </c>
      <c r="C114" s="12" t="s">
        <v>347</v>
      </c>
      <c r="D114" s="27"/>
      <c r="E114" s="14" t="s">
        <v>348</v>
      </c>
      <c r="F114" s="18" t="s">
        <v>23</v>
      </c>
      <c r="G114" s="16" t="s">
        <v>45</v>
      </c>
      <c r="H114" s="44" t="s">
        <v>10</v>
      </c>
      <c r="I114" s="44" t="s">
        <v>345</v>
      </c>
      <c r="J114" s="15"/>
      <c r="K114" s="16" t="s">
        <v>346</v>
      </c>
      <c r="L114" s="16"/>
      <c r="M114" s="54"/>
      <c r="N114" s="51"/>
      <c r="O114" s="51"/>
    </row>
    <row r="115" spans="2:15" ht="28.8" x14ac:dyDescent="0.3">
      <c r="B115" s="11">
        <v>105</v>
      </c>
      <c r="C115" s="12" t="s">
        <v>349</v>
      </c>
      <c r="D115" s="27"/>
      <c r="E115" s="14" t="s">
        <v>350</v>
      </c>
      <c r="F115" s="18" t="s">
        <v>23</v>
      </c>
      <c r="G115" s="16" t="s">
        <v>45</v>
      </c>
      <c r="H115" s="44" t="s">
        <v>10</v>
      </c>
      <c r="I115" s="44" t="s">
        <v>345</v>
      </c>
      <c r="J115" s="16"/>
      <c r="K115" s="16" t="s">
        <v>346</v>
      </c>
      <c r="L115" s="16"/>
      <c r="M115" s="54"/>
      <c r="N115" s="51"/>
      <c r="O115" s="51"/>
    </row>
    <row r="116" spans="2:15" ht="72" x14ac:dyDescent="0.3">
      <c r="B116" s="11">
        <v>106</v>
      </c>
      <c r="C116" s="57" t="s">
        <v>351</v>
      </c>
      <c r="D116" s="27"/>
      <c r="E116" s="14" t="s">
        <v>352</v>
      </c>
      <c r="F116" s="18" t="s">
        <v>23</v>
      </c>
      <c r="G116" s="16" t="s">
        <v>45</v>
      </c>
      <c r="H116" s="15" t="s">
        <v>46</v>
      </c>
      <c r="I116" s="15" t="s">
        <v>47</v>
      </c>
      <c r="J116" s="15"/>
      <c r="K116" s="16"/>
      <c r="L116" s="16" t="s">
        <v>5</v>
      </c>
      <c r="M116" s="54"/>
      <c r="N116" s="51"/>
      <c r="O116" s="51"/>
    </row>
    <row r="117" spans="2:15" s="65" customFormat="1" ht="201.6" x14ac:dyDescent="0.3">
      <c r="B117" s="11">
        <v>107</v>
      </c>
      <c r="C117" s="12" t="s">
        <v>353</v>
      </c>
      <c r="D117" s="24" t="s">
        <v>354</v>
      </c>
      <c r="E117" s="14" t="s">
        <v>355</v>
      </c>
      <c r="F117" s="18" t="s">
        <v>23</v>
      </c>
      <c r="G117" s="16" t="s">
        <v>288</v>
      </c>
      <c r="H117" s="16" t="s">
        <v>10</v>
      </c>
      <c r="I117" s="16" t="s">
        <v>11</v>
      </c>
      <c r="J117" s="16"/>
      <c r="K117" s="16"/>
      <c r="L117" s="16" t="s">
        <v>28</v>
      </c>
      <c r="M117" s="54"/>
      <c r="N117" s="63" t="s">
        <v>356</v>
      </c>
      <c r="O117" s="63" t="s">
        <v>379</v>
      </c>
    </row>
    <row r="118" spans="2:15" ht="86.4" x14ac:dyDescent="0.3">
      <c r="B118" s="11">
        <v>108</v>
      </c>
      <c r="C118" s="12" t="s">
        <v>357</v>
      </c>
      <c r="D118" s="22"/>
      <c r="E118" s="14" t="s">
        <v>358</v>
      </c>
      <c r="F118" s="18" t="s">
        <v>23</v>
      </c>
      <c r="G118" s="16" t="s">
        <v>288</v>
      </c>
      <c r="H118" s="16" t="s">
        <v>10</v>
      </c>
      <c r="I118" s="16" t="s">
        <v>11</v>
      </c>
      <c r="J118" s="16"/>
      <c r="K118" s="16"/>
      <c r="L118" s="16"/>
      <c r="M118" s="54"/>
      <c r="N118" s="51"/>
      <c r="O118" s="51"/>
    </row>
    <row r="119" spans="2:15" ht="57.6" x14ac:dyDescent="0.3">
      <c r="B119" s="11">
        <v>109</v>
      </c>
      <c r="C119" s="12" t="s">
        <v>359</v>
      </c>
      <c r="D119" s="23"/>
      <c r="E119" s="14" t="s">
        <v>360</v>
      </c>
      <c r="F119" s="18" t="s">
        <v>23</v>
      </c>
      <c r="G119" s="16" t="s">
        <v>288</v>
      </c>
      <c r="H119" s="16" t="s">
        <v>10</v>
      </c>
      <c r="I119" s="16" t="s">
        <v>11</v>
      </c>
      <c r="J119" s="16"/>
      <c r="K119" s="16"/>
      <c r="L119" s="16"/>
      <c r="M119" s="54"/>
      <c r="N119" s="51"/>
      <c r="O119" s="51"/>
    </row>
    <row r="120" spans="2:15" ht="46.5" customHeight="1" x14ac:dyDescent="0.3">
      <c r="B120" s="11">
        <v>110</v>
      </c>
      <c r="C120" s="12" t="s">
        <v>361</v>
      </c>
      <c r="D120" s="23"/>
      <c r="E120" s="14" t="s">
        <v>362</v>
      </c>
      <c r="F120" s="18" t="s">
        <v>23</v>
      </c>
      <c r="G120" s="16" t="s">
        <v>288</v>
      </c>
      <c r="H120" s="16" t="s">
        <v>10</v>
      </c>
      <c r="I120" s="16" t="s">
        <v>11</v>
      </c>
      <c r="J120" s="16"/>
      <c r="K120" s="16"/>
      <c r="L120" s="16"/>
      <c r="M120" s="54"/>
      <c r="N120" s="51"/>
      <c r="O120" s="51"/>
    </row>
    <row r="121" spans="2:15" ht="28.8" x14ac:dyDescent="0.3">
      <c r="B121" s="11">
        <v>111</v>
      </c>
      <c r="C121" s="12" t="s">
        <v>363</v>
      </c>
      <c r="D121" s="23"/>
      <c r="E121" s="14" t="s">
        <v>364</v>
      </c>
      <c r="F121" s="18" t="s">
        <v>23</v>
      </c>
      <c r="G121" s="16" t="s">
        <v>288</v>
      </c>
      <c r="H121" s="16" t="s">
        <v>10</v>
      </c>
      <c r="I121" s="16" t="s">
        <v>11</v>
      </c>
      <c r="J121" s="16"/>
      <c r="K121" s="16"/>
      <c r="L121" s="16"/>
      <c r="M121" s="54"/>
      <c r="N121" s="51"/>
      <c r="O121" s="51"/>
    </row>
    <row r="122" spans="2:15" ht="403.2" x14ac:dyDescent="0.3">
      <c r="B122" s="11">
        <v>112</v>
      </c>
      <c r="C122" s="12" t="s">
        <v>365</v>
      </c>
      <c r="D122" s="24" t="s">
        <v>366</v>
      </c>
      <c r="E122" s="14" t="s">
        <v>367</v>
      </c>
      <c r="F122" s="18" t="s">
        <v>23</v>
      </c>
      <c r="G122" s="16" t="s">
        <v>114</v>
      </c>
      <c r="H122" s="16" t="s">
        <v>10</v>
      </c>
      <c r="I122" s="16" t="s">
        <v>11</v>
      </c>
      <c r="J122" s="16"/>
      <c r="K122" s="16"/>
      <c r="L122" s="16"/>
      <c r="M122" s="55" t="s">
        <v>368</v>
      </c>
      <c r="N122" s="51"/>
      <c r="O122" s="51"/>
    </row>
  </sheetData>
  <autoFilter ref="B9:O122" xr:uid="{216005EB-B2F2-4D95-BA2A-9B4EA93EC571}"/>
  <phoneticPr fontId="7" type="noConversion"/>
  <conditionalFormatting sqref="E1:E1048576">
    <cfRule type="duplicateValues" dxfId="10" priority="3"/>
  </conditionalFormatting>
  <conditionalFormatting sqref="E9:E122">
    <cfRule type="duplicateValues" dxfId="9" priority="23"/>
    <cfRule type="duplicateValues" dxfId="8" priority="24"/>
  </conditionalFormatting>
  <conditionalFormatting sqref="K2:K4 L8:L1048576">
    <cfRule type="containsText" dxfId="7" priority="4" operator="containsText" text="Hoàn tất">
      <formula>NOT(ISERROR(SEARCH("Hoàn tất",K2)))</formula>
    </cfRule>
    <cfRule type="containsText" dxfId="6" priority="5" operator="containsText" text="điều chỉnh">
      <formula>NOT(ISERROR(SEARCH("điều chỉnh",K2)))</formula>
    </cfRule>
    <cfRule type="containsText" dxfId="5" priority="6" operator="containsText" text="review">
      <formula>NOT(ISERROR(SEARCH("review",K2)))</formula>
    </cfRule>
    <cfRule type="containsText" dxfId="4" priority="7" operator="containsText" text="điền">
      <formula>NOT(ISERROR(SEARCH("điền",K2)))</formula>
    </cfRule>
  </conditionalFormatting>
  <conditionalFormatting sqref="L1:L5">
    <cfRule type="containsText" dxfId="3" priority="16" operator="containsText" text="Hoàn tất">
      <formula>NOT(ISERROR(SEARCH("Hoàn tất",L1)))</formula>
    </cfRule>
    <cfRule type="containsText" dxfId="2" priority="17" operator="containsText" text="điều chỉnh">
      <formula>NOT(ISERROR(SEARCH("điều chỉnh",L1)))</formula>
    </cfRule>
    <cfRule type="containsText" dxfId="1" priority="18" operator="containsText" text="review">
      <formula>NOT(ISERROR(SEARCH("review",L1)))</formula>
    </cfRule>
    <cfRule type="containsText" dxfId="0" priority="19" operator="containsText" text="điền">
      <formula>NOT(ISERROR(SEARCH("điền",L1)))</formula>
    </cfRule>
  </conditionalFormatting>
  <dataValidations disablePrompts="1" count="3">
    <dataValidation type="list" allowBlank="1" showInputMessage="1" showErrorMessage="1" sqref="L123:L1048576" xr:uid="{08A3EECA-CD7F-44E0-A8A5-E4076985C981}">
      <formula1>"Bộ phận điền, GHC review, Điều chỉnh,  Hoàn tất"</formula1>
    </dataValidation>
    <dataValidation type="list" allowBlank="1" showInputMessage="1" showErrorMessage="1" sqref="L9:L122" xr:uid="{CEE3DEEA-02CC-4E96-91EB-C3535B14BD90}">
      <formula1>"Bộ phận điền, Điều chỉnh,  Hoàn tất, Không cần kê khai"</formula1>
    </dataValidation>
    <dataValidation type="list" allowBlank="1" showInputMessage="1" showErrorMessage="1" sqref="J9:J122" xr:uid="{40A4E3EC-9A61-47C1-AD8E-020D87D4EED8}">
      <formula1>"Yes, No"</formula1>
    </dataValidation>
  </dataValidations>
  <pageMargins left="0.7" right="0.7" top="0.75" bottom="0.75" header="0.3" footer="0.3"/>
  <pageSetup paperSize="9" scale="59" fitToHeight="0" orientation="landscape"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D1FE6F030DED4BA982408E4F5C1ECD" ma:contentTypeVersion="4" ma:contentTypeDescription="Create a new document." ma:contentTypeScope="" ma:versionID="7ce302d4eeeabf0cc7c3204c3afe6532">
  <xsd:schema xmlns:xsd="http://www.w3.org/2001/XMLSchema" xmlns:xs="http://www.w3.org/2001/XMLSchema" xmlns:p="http://schemas.microsoft.com/office/2006/metadata/properties" xmlns:ns2="915792f5-55b6-401d-9be8-f77bd19071f9" targetNamespace="http://schemas.microsoft.com/office/2006/metadata/properties" ma:root="true" ma:fieldsID="69d241dbb374efb0cb7cf35dcc2ab203" ns2:_="">
    <xsd:import namespace="915792f5-55b6-401d-9be8-f77bd19071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5792f5-55b6-401d-9be8-f77bd19071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7CDB66D-6A01-4DDC-93D3-B47054FA83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5792f5-55b6-401d-9be8-f77bd19071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26B785-FFB4-4C8D-BD18-8B0DB79D175F}">
  <ds:schemaRefs>
    <ds:schemaRef ds:uri="http://schemas.microsoft.com/sharepoint/v3/contenttype/forms"/>
  </ds:schemaRefs>
</ds:datastoreItem>
</file>

<file path=customXml/itemProps3.xml><?xml version="1.0" encoding="utf-8"?>
<ds:datastoreItem xmlns:ds="http://schemas.openxmlformats.org/officeDocument/2006/customXml" ds:itemID="{BAAB17D1-35EC-4154-9A7F-F8A6585F599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ToanNT</dc:creator>
  <cp:keywords/>
  <dc:description/>
  <cp:lastModifiedBy>Danh, Hoàng Duy</cp:lastModifiedBy>
  <cp:revision/>
  <dcterms:created xsi:type="dcterms:W3CDTF">2023-02-01T03:08:44Z</dcterms:created>
  <dcterms:modified xsi:type="dcterms:W3CDTF">2025-07-01T04:46:40Z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0x01010002D1FE6F030DED4BA982408E4F5C1ECD</vt:lpwstr>
  </property>
  <property fmtid="{D5CDD505-2E9C-101B-9397-08002B2CF9AE}" pid="3" name="MediaServiceImageTags">
    <vt:lpwstr/>
  </property>
</Properties>
</file>